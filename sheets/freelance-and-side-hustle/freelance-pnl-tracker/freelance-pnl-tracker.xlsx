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My Drive\000_drive_drive\600_PROJECTS\modelstack\sheets\freelance-and-side-hustle\freelance-pnl-tracker\"/>
    </mc:Choice>
  </mc:AlternateContent>
  <xr:revisionPtr revIDLastSave="0" documentId="13_ncr:1_{9BA5791B-30D2-4981-868A-6416D9BC075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Revenue Log" sheetId="1" r:id="rId1"/>
    <sheet name="Expense Log" sheetId="2" r:id="rId2"/>
    <sheet name="Monthly P&amp;L" sheetId="3" r:id="rId3"/>
    <sheet name="Tax Estimator" sheetId="4" r:id="rId4"/>
    <sheet name="Schedule C Preview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5" l="1"/>
  <c r="C16" i="5"/>
  <c r="C14" i="5"/>
  <c r="C13" i="5"/>
  <c r="C12" i="5"/>
  <c r="C11" i="5"/>
  <c r="C8" i="5"/>
  <c r="C2" i="5"/>
  <c r="C4" i="5" s="1"/>
  <c r="C6" i="5" s="1"/>
  <c r="B21" i="4"/>
  <c r="B18" i="4"/>
  <c r="H50" i="2"/>
  <c r="G50" i="2"/>
  <c r="F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C15" i="5" s="1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B22" i="3"/>
  <c r="B21" i="3"/>
  <c r="B20" i="3"/>
  <c r="B19" i="3"/>
  <c r="B18" i="3"/>
  <c r="F13" i="3"/>
  <c r="E13" i="3"/>
  <c r="C13" i="3"/>
  <c r="B13" i="3"/>
  <c r="F12" i="3"/>
  <c r="E12" i="3"/>
  <c r="C12" i="3"/>
  <c r="B12" i="3"/>
  <c r="F11" i="3"/>
  <c r="E11" i="3"/>
  <c r="D11" i="3"/>
  <c r="G11" i="3" s="1"/>
  <c r="C11" i="3"/>
  <c r="B11" i="3"/>
  <c r="H11" i="3" s="1"/>
  <c r="F10" i="3"/>
  <c r="E10" i="3"/>
  <c r="C10" i="3"/>
  <c r="B10" i="3"/>
  <c r="D10" i="3" s="1"/>
  <c r="G10" i="3" s="1"/>
  <c r="F9" i="3"/>
  <c r="E9" i="3"/>
  <c r="C9" i="3"/>
  <c r="B9" i="3"/>
  <c r="F8" i="3"/>
  <c r="E8" i="3"/>
  <c r="C8" i="3"/>
  <c r="B8" i="3"/>
  <c r="F7" i="3"/>
  <c r="E7" i="3"/>
  <c r="C7" i="3"/>
  <c r="B7" i="3"/>
  <c r="D7" i="3" s="1"/>
  <c r="G7" i="3" s="1"/>
  <c r="H7" i="3" s="1"/>
  <c r="F6" i="3"/>
  <c r="E6" i="3"/>
  <c r="C6" i="3"/>
  <c r="B6" i="3"/>
  <c r="F5" i="3"/>
  <c r="E5" i="3"/>
  <c r="C5" i="3"/>
  <c r="D5" i="3" s="1"/>
  <c r="G5" i="3" s="1"/>
  <c r="B5" i="3"/>
  <c r="H5" i="3" s="1"/>
  <c r="F4" i="3"/>
  <c r="E4" i="3"/>
  <c r="C4" i="3"/>
  <c r="B4" i="3"/>
  <c r="D4" i="3" s="1"/>
  <c r="G4" i="3" s="1"/>
  <c r="F3" i="3"/>
  <c r="E3" i="3"/>
  <c r="C3" i="3"/>
  <c r="B3" i="3"/>
  <c r="J2" i="3"/>
  <c r="J3" i="3" s="1"/>
  <c r="J4" i="3" s="1"/>
  <c r="J5" i="3" s="1"/>
  <c r="J6" i="3" s="1"/>
  <c r="J7" i="3" s="1"/>
  <c r="J8" i="3" s="1"/>
  <c r="J9" i="3" s="1"/>
  <c r="J10" i="3" s="1"/>
  <c r="J11" i="3" s="1"/>
  <c r="J12" i="3" s="1"/>
  <c r="J13" i="3" s="1"/>
  <c r="F2" i="3"/>
  <c r="F14" i="3" s="1"/>
  <c r="E2" i="3"/>
  <c r="E14" i="3" s="1"/>
  <c r="C2" i="3"/>
  <c r="C14" i="3" s="1"/>
  <c r="B2" i="3"/>
  <c r="C18" i="5" l="1"/>
  <c r="C19" i="5" s="1"/>
  <c r="H13" i="3"/>
  <c r="H8" i="3"/>
  <c r="H12" i="3"/>
  <c r="D3" i="3"/>
  <c r="G3" i="3" s="1"/>
  <c r="H3" i="3" s="1"/>
  <c r="D9" i="3"/>
  <c r="G9" i="3" s="1"/>
  <c r="H9" i="3" s="1"/>
  <c r="B14" i="3"/>
  <c r="H4" i="3"/>
  <c r="D8" i="3"/>
  <c r="G8" i="3" s="1"/>
  <c r="H10" i="3"/>
  <c r="D2" i="3"/>
  <c r="D13" i="3"/>
  <c r="G13" i="3" s="1"/>
  <c r="D6" i="3"/>
  <c r="G6" i="3" s="1"/>
  <c r="H6" i="3" s="1"/>
  <c r="D12" i="3"/>
  <c r="G12" i="3" s="1"/>
  <c r="C19" i="3" l="1"/>
  <c r="C18" i="3"/>
  <c r="C22" i="3"/>
  <c r="C21" i="3"/>
  <c r="C20" i="3"/>
  <c r="G2" i="3"/>
  <c r="I2" i="3"/>
  <c r="D14" i="3"/>
  <c r="I3" i="3" l="1"/>
  <c r="K2" i="3"/>
  <c r="G14" i="3"/>
  <c r="H2" i="3"/>
  <c r="B7" i="4" l="1"/>
  <c r="C20" i="5"/>
  <c r="H14" i="3"/>
  <c r="K3" i="3"/>
  <c r="I4" i="3"/>
  <c r="K4" i="3" l="1"/>
  <c r="I5" i="3"/>
  <c r="B10" i="4"/>
  <c r="B11" i="4" s="1"/>
  <c r="B13" i="4" l="1"/>
  <c r="B12" i="4"/>
  <c r="B14" i="4" s="1"/>
  <c r="B15" i="4" s="1"/>
  <c r="B17" i="4" s="1"/>
  <c r="B19" i="4" s="1"/>
  <c r="B20" i="4" s="1"/>
  <c r="B22" i="4" s="1"/>
  <c r="B23" i="4" s="1"/>
  <c r="I6" i="3"/>
  <c r="K5" i="3"/>
  <c r="I7" i="3" l="1"/>
  <c r="K6" i="3"/>
  <c r="C30" i="4"/>
  <c r="E30" i="4" s="1"/>
  <c r="C29" i="4"/>
  <c r="E29" i="4" s="1"/>
  <c r="C28" i="4"/>
  <c r="E28" i="4" s="1"/>
  <c r="C27" i="4"/>
  <c r="E27" i="4" s="1"/>
  <c r="K7" i="3" l="1"/>
  <c r="I8" i="3"/>
  <c r="K8" i="3" l="1"/>
  <c r="I9" i="3"/>
  <c r="K9" i="3" l="1"/>
  <c r="I10" i="3"/>
  <c r="K10" i="3" l="1"/>
  <c r="I11" i="3"/>
  <c r="I12" i="3" l="1"/>
  <c r="K11" i="3"/>
  <c r="I13" i="3" l="1"/>
  <c r="K13" i="3" s="1"/>
  <c r="K12" i="3"/>
</calcChain>
</file>

<file path=xl/sharedStrings.xml><?xml version="1.0" encoding="utf-8"?>
<sst xmlns="http://schemas.openxmlformats.org/spreadsheetml/2006/main" count="457" uniqueCount="294">
  <si>
    <t>Month</t>
  </si>
  <si>
    <t>Gross Revenue</t>
  </si>
  <si>
    <t>Platform Fees</t>
  </si>
  <si>
    <t>Net Revenue</t>
  </si>
  <si>
    <t>Deductible expenses (tax)</t>
  </si>
  <si>
    <t>Cash expenses (full)</t>
  </si>
  <si>
    <t>Net Profit</t>
  </si>
  <si>
    <t>Profit Margin</t>
  </si>
  <si>
    <t>Cumulative Revenue (YTD)</t>
  </si>
  <si>
    <t>Cumulative deductible (YTD)</t>
  </si>
  <si>
    <t>Cumulative Profit (YTD)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</si>
  <si>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</si>
  <si>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</si>
  <si>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</si>
  <si>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</si>
  <si>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</si>
  <si>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</si>
  <si>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</si>
  <si>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</si>
  <si>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</si>
  <si>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</si>
  <si>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</si>
  <si>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</si>
  <si>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</si>
  <si>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By client (gross billed)</t>
  </si>
  <si>
    <t>Client</t>
  </si>
  <si>
    <t>Total billed</t>
  </si>
  <si>
    <t>% of revenue</t>
  </si>
  <si>
    <t>Acme Corp</t>
  </si>
  <si>
    <t>Upwork</t>
  </si>
  <si>
    <t>Bloom LLC</t>
  </si>
  <si>
    <t>River Studio</t>
  </si>
  <si>
    <t>Direct</t>
  </si>
  <si>
    <t>Date Received</t>
  </si>
  <si>
    <t>Client / Source</t>
  </si>
  <si>
    <t>Project / Description</t>
  </si>
  <si>
    <t>Invoice #</t>
  </si>
  <si>
    <t>Gross Amount</t>
  </si>
  <si>
    <t>Platform Fee</t>
  </si>
  <si>
    <t>Net Received</t>
  </si>
  <si>
    <t>Quarter</t>
  </si>
  <si>
    <t>Category</t>
  </si>
  <si>
    <t>Paid?</t>
  </si>
  <si>
    <t>Q1 strategy deck</t>
  </si>
  <si>
    <t>INV-101</t>
  </si>
  <si>
    <t>Consulting</t>
  </si>
  <si>
    <t>Paid</t>
  </si>
  <si>
    <t>React bugfix bundle</t>
  </si>
  <si>
    <t>UW-2401</t>
  </si>
  <si>
    <t>Development</t>
  </si>
  <si>
    <t>Brand refresh concepts</t>
  </si>
  <si>
    <t>INV-102</t>
  </si>
  <si>
    <t>Design</t>
  </si>
  <si>
    <t>API integration</t>
  </si>
  <si>
    <t>UW-2402</t>
  </si>
  <si>
    <t>Invoiced</t>
  </si>
  <si>
    <t>Workshop afternoon</t>
  </si>
  <si>
    <t>INV-103</t>
  </si>
  <si>
    <t>Teaching</t>
  </si>
  <si>
    <t>Blog series (3 posts)</t>
  </si>
  <si>
    <t>INV-104</t>
  </si>
  <si>
    <t>Writing</t>
  </si>
  <si>
    <t>Wireframes v2</t>
  </si>
  <si>
    <t>UW-2403</t>
  </si>
  <si>
    <t>Landing page copy</t>
  </si>
  <si>
    <t>INV-105</t>
  </si>
  <si>
    <t>Sprint support</t>
  </si>
  <si>
    <t>INV-106</t>
  </si>
  <si>
    <t>Overdue</t>
  </si>
  <si>
    <t>SQL report pack</t>
  </si>
  <si>
    <t>UW-2404</t>
  </si>
  <si>
    <t>Logo variations</t>
  </si>
  <si>
    <t>RS-01</t>
  </si>
  <si>
    <t>Newsletter setup</t>
  </si>
  <si>
    <t>INV-107</t>
  </si>
  <si>
    <t>Other</t>
  </si>
  <si>
    <t>Mid-year review</t>
  </si>
  <si>
    <t>INV-108</t>
  </si>
  <si>
    <t>Accessibility audit</t>
  </si>
  <si>
    <t>UW-2405</t>
  </si>
  <si>
    <t>Social templates</t>
  </si>
  <si>
    <t>INV-109</t>
  </si>
  <si>
    <t>Pitch deck polish</t>
  </si>
  <si>
    <t>RS-02</t>
  </si>
  <si>
    <t>Course module edits</t>
  </si>
  <si>
    <t>INV-110</t>
  </si>
  <si>
    <t>Python script</t>
  </si>
  <si>
    <t>UW-2406</t>
  </si>
  <si>
    <t>Discovery calls block</t>
  </si>
  <si>
    <t>INV-111</t>
  </si>
  <si>
    <t>Print spec</t>
  </si>
  <si>
    <t>INV-112</t>
  </si>
  <si>
    <t>Site tweaks</t>
  </si>
  <si>
    <t>RS-03</t>
  </si>
  <si>
    <t>UX critique</t>
  </si>
  <si>
    <t>UW-2407</t>
  </si>
  <si>
    <t>Grant narrative</t>
  </si>
  <si>
    <t>INV-113</t>
  </si>
  <si>
    <t>Retainer true-up</t>
  </si>
  <si>
    <t>INV-114</t>
  </si>
  <si>
    <t>Holiday campaign</t>
  </si>
  <si>
    <t>INV-115</t>
  </si>
  <si>
    <t>Year-end cleanup</t>
  </si>
  <si>
    <t>UW-2408</t>
  </si>
  <si>
    <t>Date</t>
  </si>
  <si>
    <t>Vendor / Payee</t>
  </si>
  <si>
    <t>Description</t>
  </si>
  <si>
    <t>Amount</t>
  </si>
  <si>
    <t>Tax Deductible?</t>
  </si>
  <si>
    <t>Deductible Amount</t>
  </si>
  <si>
    <t>Receipt?</t>
  </si>
  <si>
    <t>Notes</t>
  </si>
  <si>
    <t>Adobe</t>
  </si>
  <si>
    <t>Creative Cloud</t>
  </si>
  <si>
    <t>Software/Subscriptions</t>
  </si>
  <si>
    <t>Digital</t>
  </si>
  <si>
    <t>Apple</t>
  </si>
  <si>
    <t>MacBook Air (partial biz)</t>
  </si>
  <si>
    <t>Equipment</t>
  </si>
  <si>
    <t>depreciation note</t>
  </si>
  <si>
    <t>Staples</t>
  </si>
  <si>
    <t>Printer paper</t>
  </si>
  <si>
    <t>Office Supplies</t>
  </si>
  <si>
    <t>Yes</t>
  </si>
  <si>
    <t>CPA Review</t>
  </si>
  <si>
    <t>Q4 consult</t>
  </si>
  <si>
    <t>Professional Services</t>
  </si>
  <si>
    <t>Coursera</t>
  </si>
  <si>
    <t>Python course</t>
  </si>
  <si>
    <t>Education/Training</t>
  </si>
  <si>
    <t>WeWork</t>
  </si>
  <si>
    <t>Day pass</t>
  </si>
  <si>
    <t>Travel</t>
  </si>
  <si>
    <t>Cafe Rio</t>
  </si>
  <si>
    <t>Client lunch</t>
  </si>
  <si>
    <t>Meals (50%)</t>
  </si>
  <si>
    <t>No</t>
  </si>
  <si>
    <t>Google</t>
  </si>
  <si>
    <t>Workspace</t>
  </si>
  <si>
    <t>Best Buy</t>
  </si>
  <si>
    <t>External SSD</t>
  </si>
  <si>
    <t>Home Office</t>
  </si>
  <si>
    <t>Simplified method (sample)</t>
  </si>
  <si>
    <t>Zoom</t>
  </si>
  <si>
    <t>Pro plan</t>
  </si>
  <si>
    <t>Delta</t>
  </si>
  <si>
    <t>Conference flight</t>
  </si>
  <si>
    <t>Hotel Indigo</t>
  </si>
  <si>
    <t>1 night stay</t>
  </si>
  <si>
    <t>LinkedIn</t>
  </si>
  <si>
    <t>Ads test</t>
  </si>
  <si>
    <t>Marketing</t>
  </si>
  <si>
    <t>Verizon</t>
  </si>
  <si>
    <t>Phone (biz share)</t>
  </si>
  <si>
    <t>Phone/Internet</t>
  </si>
  <si>
    <t>Notion</t>
  </si>
  <si>
    <t>Team plan</t>
  </si>
  <si>
    <t>Amazon</t>
  </si>
  <si>
    <t>Cables, hub</t>
  </si>
  <si>
    <t>Hiscox</t>
  </si>
  <si>
    <t>Liability insurance</t>
  </si>
  <si>
    <t>Insurance</t>
  </si>
  <si>
    <t>Udemy</t>
  </si>
  <si>
    <t>Excel deep dive</t>
  </si>
  <si>
    <t>Uber</t>
  </si>
  <si>
    <t>To client site</t>
  </si>
  <si>
    <t>Microsoft 365</t>
  </si>
  <si>
    <t>FedEx</t>
  </si>
  <si>
    <t>Contract print ship</t>
  </si>
  <si>
    <t>Local Diner</t>
  </si>
  <si>
    <t>Team lunch</t>
  </si>
  <si>
    <t>Figma</t>
  </si>
  <si>
    <t>Professional</t>
  </si>
  <si>
    <t>Dropbox</t>
  </si>
  <si>
    <t>Plus</t>
  </si>
  <si>
    <t>Ink</t>
  </si>
  <si>
    <t>Airbnb</t>
  </si>
  <si>
    <t>Remote work week</t>
  </si>
  <si>
    <t>Namecheap</t>
  </si>
  <si>
    <t>Domain renewals</t>
  </si>
  <si>
    <t>ChatGPT Plus</t>
  </si>
  <si>
    <t>Research</t>
  </si>
  <si>
    <t>Costco</t>
  </si>
  <si>
    <t>Office snacks</t>
  </si>
  <si>
    <t>mixed use</t>
  </si>
  <si>
    <t>Law firm</t>
  </si>
  <si>
    <t>Contract template</t>
  </si>
  <si>
    <t>AT&amp;T</t>
  </si>
  <si>
    <t>Internet</t>
  </si>
  <si>
    <t>Miro</t>
  </si>
  <si>
    <t>Boards</t>
  </si>
  <si>
    <t>Parking</t>
  </si>
  <si>
    <t>Downtown garage</t>
  </si>
  <si>
    <t>Home Depot</t>
  </si>
  <si>
    <t>Desk lamp</t>
  </si>
  <si>
    <t>Conference</t>
  </si>
  <si>
    <t>Ticket</t>
  </si>
  <si>
    <t>Sushi spot</t>
  </si>
  <si>
    <t>Client dinner</t>
  </si>
  <si>
    <t>Slack</t>
  </si>
  <si>
    <t>Pro</t>
  </si>
  <si>
    <t>UPS</t>
  </si>
  <si>
    <t>Ship samples</t>
  </si>
  <si>
    <t>Canva</t>
  </si>
  <si>
    <t>QuickBooks</t>
  </si>
  <si>
    <t>Self-employed</t>
  </si>
  <si>
    <t>Lumen</t>
  </si>
  <si>
    <t>Fiber</t>
  </si>
  <si>
    <t>Target</t>
  </si>
  <si>
    <t>Whiteboard supplies</t>
  </si>
  <si>
    <t>TurboTax</t>
  </si>
  <si>
    <t>Live assist</t>
  </si>
  <si>
    <t>Coffee shop</t>
  </si>
  <si>
    <t>Client meeting</t>
  </si>
  <si>
    <t>GitHub</t>
  </si>
  <si>
    <t>Copilot</t>
  </si>
  <si>
    <t>AWS</t>
  </si>
  <si>
    <t>Hosting</t>
  </si>
  <si>
    <t>Post office</t>
  </si>
  <si>
    <t>Certified mail</t>
  </si>
  <si>
    <t>Charity gala ticket</t>
  </si>
  <si>
    <t>Networking</t>
  </si>
  <si>
    <t>ask CPA</t>
  </si>
  <si>
    <t>Filing status</t>
  </si>
  <si>
    <t>Single</t>
  </si>
  <si>
    <t>W-2 income (day job, gross)</t>
  </si>
  <si>
    <t>W-2 federal tax withheld (YTD or annual est.)</t>
  </si>
  <si>
    <t>State (reference only)</t>
  </si>
  <si>
    <t>CA</t>
  </si>
  <si>
    <t>Side hustle net profit (from Monthly P&amp;L annual)</t>
  </si>
  <si>
    <t>SS wage base (2025, edit if law changes)</t>
  </si>
  <si>
    <t>Net profit (Schedule C)</t>
  </si>
  <si>
    <t>SE tax base (92.35%)</t>
  </si>
  <si>
    <t>Social Security portion (12.4%)</t>
  </si>
  <si>
    <t>Medicare portion (2.9%)</t>
  </si>
  <si>
    <t>Total self-employment tax</t>
  </si>
  <si>
    <t>Deductible half of SE tax</t>
  </si>
  <si>
    <t>Combined gross for income tax estimate</t>
  </si>
  <si>
    <t>Standard deduction (approx.; 2025-style)</t>
  </si>
  <si>
    <t>Taxable income (federal, rough)</t>
  </si>
  <si>
    <t>Federal income tax (approx.; ordinary brackets)</t>
  </si>
  <si>
    <t>Tax already withheld (W-2)</t>
  </si>
  <si>
    <t>Remaining tax owed (income + SE - withheld)</t>
  </si>
  <si>
    <t>Quarterly payment target (1/4 of remaining)</t>
  </si>
  <si>
    <t>Quarterly estimated payments</t>
  </si>
  <si>
    <t>Due date</t>
  </si>
  <si>
    <t>Amount owed</t>
  </si>
  <si>
    <t>Amount paid</t>
  </si>
  <si>
    <t>Remaining</t>
  </si>
  <si>
    <t>Q1</t>
  </si>
  <si>
    <t>Apr 15</t>
  </si>
  <si>
    <t>Q2</t>
  </si>
  <si>
    <t>Jun 15</t>
  </si>
  <si>
    <t>Q3</t>
  </si>
  <si>
    <t>Sep 15</t>
  </si>
  <si>
    <t>Q4</t>
  </si>
  <si>
    <t>Jan 15 (next year)</t>
  </si>
  <si>
    <t>Line</t>
  </si>
  <si>
    <t>Source / notes</t>
  </si>
  <si>
    <t>Gross receipts (after platform fees)</t>
  </si>
  <si>
    <t>Matches Revenue Log E minus F so net ties Monthly P&amp;L</t>
  </si>
  <si>
    <t>Returns and allowances</t>
  </si>
  <si>
    <t>Net receipts</t>
  </si>
  <si>
    <t>Line 1 minus line 2</t>
  </si>
  <si>
    <t>Cost of goods sold</t>
  </si>
  <si>
    <t>Most freelancers leave 0</t>
  </si>
  <si>
    <t>Gross profit</t>
  </si>
  <si>
    <t>Net receipts (line 3 $) minus COGS (line 4 $)</t>
  </si>
  <si>
    <t>Expenses</t>
  </si>
  <si>
    <t>Advertising / marketing</t>
  </si>
  <si>
    <t>Expense category Marketing</t>
  </si>
  <si>
    <t>Car and truck (not tracked here)</t>
  </si>
  <si>
    <t>Depreciation (not tracked here)</t>
  </si>
  <si>
    <t>Legal and professional</t>
  </si>
  <si>
    <t>Expense category</t>
  </si>
  <si>
    <t>Office expense (supplies + home office)</t>
  </si>
  <si>
    <t>Two categories summed</t>
  </si>
  <si>
    <t>Supplies (equipment purchases)</t>
  </si>
  <si>
    <t>Equipment mapped here</t>
  </si>
  <si>
    <t>24a</t>
  </si>
  <si>
    <t>Expense category Travel</t>
  </si>
  <si>
    <t>24b</t>
  </si>
  <si>
    <t>Meals (50% deductible portion)</t>
  </si>
  <si>
    <t>Expense Log column G</t>
  </si>
  <si>
    <t>Utilities / phone / internet</t>
  </si>
  <si>
    <t>Other (software, education, insurance, misc.)</t>
  </si>
  <si>
    <t>Rolled categories</t>
  </si>
  <si>
    <t>Total expenses</t>
  </si>
  <si>
    <t>Sum of expense lines above</t>
  </si>
  <si>
    <t>Net profit or loss</t>
  </si>
  <si>
    <t>Should match Monthly P&amp;L annual net profit</t>
  </si>
  <si>
    <t>Check (P&amp;L vs Schedule C)</t>
  </si>
  <si>
    <t>TRUE if tie-out within a penny</t>
  </si>
  <si>
    <t>Tax Estimator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</si>
</sst>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.00"/>
    <numFmt numFmtId="166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rgb="FF3E2723"/>
      <name val="Calibri"/>
      <family val="2"/>
    </font>
    <font>
      <sz val="11"/>
      <name val="Calibri"/>
      <family val="2"/>
    </font>
    <font>
      <b/>
      <sz val="12"/>
      <color rgb="FF3E2723"/>
      <name val="Calibri"/>
      <family val="2"/>
    </font>
    <font>
      <sz val="11"/>
      <color rgb="FF3E2723"/>
      <name val="Calibri"/>
      <family val="2"/>
    </font>
    <font>
      <i/>
      <sz val="10"/>
      <color rgb="FF555555"/>
      <name val="Calibri"/>
      <family val="2"/>
    </font>
    <font>
      <sz val="11"/>
      <color rgb="FF4472C4"/>
      <name val="Calibri"/>
      <family val="2"/>
    </font>
    <font>
      <b/>
      <sz val="11"/>
      <color theme="0"/>
      <name val="Calibri"/>
      <family val="2"/>
    </font>
    <font>
      <b/>
      <sz val="11"/>
      <color rgb="FF4472C4"/>
      <name val="Calibri"/>
      <family val="2"/>
    </font>
    <font>
      <b/>
      <i/>
      <sz val="10"/>
      <color rgb="FF555555"/>
      <name val="Calibri"/>
      <family val="2"/>
    </font>
    <font>
      <b/>
      <sz val="14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8DCC4"/>
      </patternFill>
    </fill>
    <fill>
      <patternFill patternType="solid">
        <fgColor rgb="FFFFF2CC"/>
        <bgColor rgb="FFFFF2CC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5" fontId="2" fillId="0" borderId="0" xfId="0" applyNumberFormat="1" applyFont="1"/>
    <xf numFmtId="0" fontId="2" fillId="0" borderId="0" xfId="0" applyFont="1"/>
    <xf numFmtId="0" fontId="1" fillId="2" borderId="1" xfId="0" applyFont="1" applyFill="1" applyBorder="1"/>
    <xf numFmtId="0" fontId="3" fillId="0" borderId="0" xfId="0" applyFont="1"/>
    <xf numFmtId="0" fontId="1" fillId="2" borderId="0" xfId="0" applyFont="1" applyFill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164" fontId="2" fillId="3" borderId="0" xfId="0" applyNumberFormat="1" applyFont="1" applyFill="1"/>
    <xf numFmtId="0" fontId="2" fillId="3" borderId="0" xfId="0" applyFont="1" applyFill="1"/>
    <xf numFmtId="165" fontId="2" fillId="3" borderId="0" xfId="0" applyNumberFormat="1" applyFont="1" applyFill="1"/>
    <xf numFmtId="165" fontId="6" fillId="0" borderId="0" xfId="0" applyNumberFormat="1" applyFont="1"/>
    <xf numFmtId="0" fontId="6" fillId="0" borderId="0" xfId="0" applyFont="1"/>
    <xf numFmtId="166" fontId="6" fillId="0" borderId="0" xfId="0" applyNumberFormat="1" applyFont="1"/>
    <xf numFmtId="0" fontId="7" fillId="4" borderId="1" xfId="0" applyFont="1" applyFill="1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right"/>
    </xf>
    <xf numFmtId="165" fontId="2" fillId="3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0" borderId="0" xfId="0" applyFont="1"/>
    <xf numFmtId="165" fontId="8" fillId="0" borderId="0" xfId="0" applyNumberFormat="1" applyFont="1"/>
    <xf numFmtId="0" fontId="9" fillId="0" borderId="0" xfId="0" applyFont="1"/>
    <xf numFmtId="0" fontId="10" fillId="4" borderId="1" xfId="0" applyFont="1" applyFill="1" applyBorder="1"/>
    <xf numFmtId="0" fontId="3" fillId="5" borderId="0" xfId="0" applyFont="1" applyFill="1"/>
    <xf numFmtId="165" fontId="8" fillId="5" borderId="0" xfId="0" applyNumberFormat="1" applyFont="1" applyFill="1"/>
    <xf numFmtId="166" fontId="8" fillId="5" borderId="0" xfId="0" applyNumberFormat="1" applyFont="1" applyFill="1"/>
  </cellXfs>
  <cellStyles count="1">
    <cellStyle name="Normal" xfId="0" builtinId="0"/>
  </cellStyles>
  <dxfs count="2">
    <dxf>
      <fill>
        <patternFill patternType="solid">
          <fgColor rgb="FFFFE0B2"/>
          <bgColor rgb="FFFFE0B2"/>
        </patternFill>
      </fill>
    </dxf>
    <dxf>
      <fill>
        <patternFill patternType="solid">
          <fgColor rgb="FFFFCDD2"/>
          <bgColor rgb="FFFFCD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428625</xdr:colOff>
      <xdr:row>3</xdr:row>
      <xdr:rowOff>95250</xdr:rowOff>
    </xdr:from>
    <xdr:to>
      <xdr:col>14</xdr:col>
      <xdr:colOff>38301</xdr:colOff>
      <xdr:row>8</xdr:row>
      <xdr:rowOff>9646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8848EF-D290-CA1B-6C8F-403446225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0" y="666750"/>
          <a:ext cx="1438476" cy="866896"/>
        </a:xfrm>
        <a:prstGeom prst="rect">
          <a:avLst/>
        </a:prstGeom>
      </xdr:spPr>
    </xdr:pic>
    <xdr:clientData/>
  </xdr:twoCellAnchor>
  <xdr:twoCellAnchor editAs="oneCell">
    <xdr:from>
      <xdr:col>8</xdr:col>
      <xdr:colOff>487725</xdr:colOff>
      <xdr:row>3</xdr:row>
      <xdr:rowOff>171240</xdr:rowOff>
    </xdr:from>
    <xdr:to>
      <xdr:col>12</xdr:col>
      <xdr:colOff>9525</xdr:colOff>
      <xdr:row>5</xdr:row>
      <xdr:rowOff>133680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C59E1A4-5219-1FD5-33B0-2B54663C24F2}"/>
                </a:ext>
              </a:extLst>
            </xdr14:cNvPr>
            <xdr14:cNvContentPartPr/>
          </xdr14:nvContentPartPr>
          <xdr14:nvPr macro=""/>
          <xdr14:xfrm>
            <a:off x="9698400" y="742740"/>
            <a:ext cx="2874600" cy="3434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C59E1A4-5219-1FD5-33B0-2B54663C24F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689400" y="734091"/>
              <a:ext cx="2892240" cy="36109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8T09:12:30.55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7985 953 24575,'-15'-1'0,"0"0"0,0-1 0,-28-9 0,-14-1 0,-880-91-273,-9 50-202,205 13 293,-1680-84 113,1834 94 1145,10-53-1153,309 38 77,-75-17 0,291 45 0,37 12 0,0 0 0,0 1 0,-1 0 0,-16-1 0,-99-6 0,-137-7 0,251 17-341,-1 0 0,1-2-1,-30-7 1,29 5-6485</inkml:trace>
  <inkml:trace contextRef="#ctx0" brushRef="#br0" timeOffset="1274.27">630 1 24575,'-33'3'0,"0"1"0,0 2 0,1 1 0,0 2 0,0 1 0,-50 23 0,-65 20 0,-11-20 0,155-32 0,1-1 0,-1 0 0,1 1 0,-1-1 0,1 1 0,-1 0 0,1 0 0,-1 0 0,1 0 0,0 0 0,0 0 0,0 1 0,0-1 0,0 1 0,0 0 0,0-1 0,0 1 0,-1 2 0,2-2 0,0-1 0,1 1 0,-1 0 0,1-1 0,0 1 0,-1 0 0,1-1 0,0 1 0,0 0 0,0-1 0,0 1 0,1 0 0,-1 0 0,0-1 0,1 1 0,-1-1 0,1 1 0,-1 0 0,1-1 0,1 2 0,3 6 0,1 0 0,0 0 0,1-1 0,0 0 0,0-1 0,0 1 0,10 6 0,63 51 0,139 108 0,-154-136 0,-49-29 0,-1 0 0,0 1 0,14 11 0,6 10-1365,-20-19-5461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2" width="14" customWidth="1"/>
    <col min="3" max="3" width="28" customWidth="1"/>
    <col min="4" max="7" width="14" customWidth="1"/>
    <col min="8" max="8" width="14" style="20" customWidth="1"/>
    <col min="9" max="10" width="14" customWidth="1"/>
  </cols>
  <sheetData>
    <row r="1" spans="1:10" ht="30" customHeigh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12">
        <v>45665</v>
      </c>
      <c r="B2" s="13" t="s">
        <v>28</v>
      </c>
      <c r="C2" s="13" t="s">
        <v>43</v>
      </c>
      <c r="D2" s="13" t="s">
        <v>44</v>
      </c>
      <c r="E2" s="14">
        <v>3200</v>
      </c>
      <c r="F2" s="14">
        <v>0</v>
      </c>
      <c r="G2" s="15">
        <f t="shared" ref="G2:G27" si="0">E2-F2</f>
        <v>3200</v>
      </c>
      <c r="H2" s="19" t="str">
        <f t="shared" ref="H2:H27" si="1">IF(MONTH(A2)&lt;=3,"Q1",IF(MONTH(A2)&lt;=6,"Q2",IF(MONTH(A2)&lt;=9,"Q3","Q4")))</f>
        <v>Q1</v>
      </c>
      <c r="I2" s="13" t="s">
        <v>45</v>
      </c>
      <c r="J2" s="13" t="s">
        <v>46</v>
      </c>
    </row>
    <row r="3" spans="1:10" x14ac:dyDescent="0.25">
      <c r="A3" s="12">
        <v>45679</v>
      </c>
      <c r="B3" s="13" t="s">
        <v>29</v>
      </c>
      <c r="C3" s="13" t="s">
        <v>47</v>
      </c>
      <c r="D3" s="13" t="s">
        <v>48</v>
      </c>
      <c r="E3" s="14">
        <v>1800</v>
      </c>
      <c r="F3" s="14">
        <v>180</v>
      </c>
      <c r="G3" s="15">
        <f t="shared" si="0"/>
        <v>1620</v>
      </c>
      <c r="H3" s="19" t="str">
        <f t="shared" si="1"/>
        <v>Q1</v>
      </c>
      <c r="I3" s="13" t="s">
        <v>49</v>
      </c>
      <c r="J3" s="13" t="s">
        <v>46</v>
      </c>
    </row>
    <row r="4" spans="1:10" x14ac:dyDescent="0.25">
      <c r="A4" s="12">
        <v>45691</v>
      </c>
      <c r="B4" s="13" t="s">
        <v>30</v>
      </c>
      <c r="C4" s="13" t="s">
        <v>50</v>
      </c>
      <c r="D4" s="13" t="s">
        <v>51</v>
      </c>
      <c r="E4" s="14">
        <v>4500</v>
      </c>
      <c r="F4" s="14">
        <v>0</v>
      </c>
      <c r="G4" s="15">
        <f t="shared" si="0"/>
        <v>4500</v>
      </c>
      <c r="H4" s="19" t="str">
        <f t="shared" si="1"/>
        <v>Q1</v>
      </c>
      <c r="I4" s="13" t="s">
        <v>52</v>
      </c>
      <c r="J4" s="13" t="s">
        <v>46</v>
      </c>
    </row>
    <row r="5" spans="1:10" x14ac:dyDescent="0.25">
      <c r="A5" s="12">
        <v>45702</v>
      </c>
      <c r="B5" s="13" t="s">
        <v>29</v>
      </c>
      <c r="C5" s="13" t="s">
        <v>53</v>
      </c>
      <c r="D5" s="13" t="s">
        <v>54</v>
      </c>
      <c r="E5" s="14">
        <v>2400</v>
      </c>
      <c r="F5" s="14">
        <v>240</v>
      </c>
      <c r="G5" s="15">
        <f t="shared" si="0"/>
        <v>2160</v>
      </c>
      <c r="H5" s="19" t="str">
        <f t="shared" si="1"/>
        <v>Q1</v>
      </c>
      <c r="I5" s="13" t="s">
        <v>49</v>
      </c>
      <c r="J5" s="13" t="s">
        <v>55</v>
      </c>
    </row>
    <row r="6" spans="1:10" x14ac:dyDescent="0.25">
      <c r="A6" s="12">
        <v>45716</v>
      </c>
      <c r="B6" s="13" t="s">
        <v>28</v>
      </c>
      <c r="C6" s="13" t="s">
        <v>56</v>
      </c>
      <c r="D6" s="13" t="s">
        <v>57</v>
      </c>
      <c r="E6" s="14">
        <v>950</v>
      </c>
      <c r="F6" s="14">
        <v>0</v>
      </c>
      <c r="G6" s="15">
        <f t="shared" si="0"/>
        <v>950</v>
      </c>
      <c r="H6" s="19" t="str">
        <f t="shared" si="1"/>
        <v>Q1</v>
      </c>
      <c r="I6" s="13" t="s">
        <v>58</v>
      </c>
      <c r="J6" s="13" t="s">
        <v>46</v>
      </c>
    </row>
    <row r="7" spans="1:10" x14ac:dyDescent="0.25">
      <c r="A7" s="12">
        <v>45721</v>
      </c>
      <c r="B7" s="13" t="s">
        <v>32</v>
      </c>
      <c r="C7" s="13" t="s">
        <v>59</v>
      </c>
      <c r="D7" s="13" t="s">
        <v>60</v>
      </c>
      <c r="E7" s="14">
        <v>1200</v>
      </c>
      <c r="F7" s="14">
        <v>0</v>
      </c>
      <c r="G7" s="15">
        <f t="shared" si="0"/>
        <v>1200</v>
      </c>
      <c r="H7" s="19" t="str">
        <f t="shared" si="1"/>
        <v>Q1</v>
      </c>
      <c r="I7" s="13" t="s">
        <v>61</v>
      </c>
      <c r="J7" s="13" t="s">
        <v>46</v>
      </c>
    </row>
    <row r="8" spans="1:10" x14ac:dyDescent="0.25">
      <c r="A8" s="12">
        <v>45734</v>
      </c>
      <c r="B8" s="13" t="s">
        <v>29</v>
      </c>
      <c r="C8" s="13" t="s">
        <v>62</v>
      </c>
      <c r="D8" s="13" t="s">
        <v>63</v>
      </c>
      <c r="E8" s="14">
        <v>1650</v>
      </c>
      <c r="F8" s="14">
        <v>165</v>
      </c>
      <c r="G8" s="15">
        <f t="shared" si="0"/>
        <v>1485</v>
      </c>
      <c r="H8" s="19" t="str">
        <f t="shared" si="1"/>
        <v>Q1</v>
      </c>
      <c r="I8" s="13" t="s">
        <v>52</v>
      </c>
      <c r="J8" s="13" t="s">
        <v>46</v>
      </c>
    </row>
    <row r="9" spans="1:10" x14ac:dyDescent="0.25">
      <c r="A9" s="12">
        <v>45749</v>
      </c>
      <c r="B9" s="13" t="s">
        <v>30</v>
      </c>
      <c r="C9" s="13" t="s">
        <v>64</v>
      </c>
      <c r="D9" s="13" t="s">
        <v>65</v>
      </c>
      <c r="E9" s="14">
        <v>2100</v>
      </c>
      <c r="F9" s="14">
        <v>0</v>
      </c>
      <c r="G9" s="15">
        <f t="shared" si="0"/>
        <v>2100</v>
      </c>
      <c r="H9" s="19" t="str">
        <f t="shared" si="1"/>
        <v>Q2</v>
      </c>
      <c r="I9" s="13" t="s">
        <v>61</v>
      </c>
      <c r="J9" s="13" t="s">
        <v>46</v>
      </c>
    </row>
    <row r="10" spans="1:10" x14ac:dyDescent="0.25">
      <c r="A10" s="12">
        <v>45763</v>
      </c>
      <c r="B10" s="13" t="s">
        <v>28</v>
      </c>
      <c r="C10" s="13" t="s">
        <v>66</v>
      </c>
      <c r="D10" s="13" t="s">
        <v>67</v>
      </c>
      <c r="E10" s="14">
        <v>3800</v>
      </c>
      <c r="F10" s="14">
        <v>0</v>
      </c>
      <c r="G10" s="15">
        <f t="shared" si="0"/>
        <v>3800</v>
      </c>
      <c r="H10" s="19" t="str">
        <f t="shared" si="1"/>
        <v>Q2</v>
      </c>
      <c r="I10" s="13" t="s">
        <v>45</v>
      </c>
      <c r="J10" s="13" t="s">
        <v>68</v>
      </c>
    </row>
    <row r="11" spans="1:10" x14ac:dyDescent="0.25">
      <c r="A11" s="12">
        <v>45776</v>
      </c>
      <c r="B11" s="13" t="s">
        <v>29</v>
      </c>
      <c r="C11" s="13" t="s">
        <v>69</v>
      </c>
      <c r="D11" s="13" t="s">
        <v>70</v>
      </c>
      <c r="E11" s="14">
        <v>1100</v>
      </c>
      <c r="F11" s="14">
        <v>110</v>
      </c>
      <c r="G11" s="15">
        <f t="shared" si="0"/>
        <v>990</v>
      </c>
      <c r="H11" s="19" t="str">
        <f t="shared" si="1"/>
        <v>Q2</v>
      </c>
      <c r="I11" s="13" t="s">
        <v>49</v>
      </c>
      <c r="J11" s="13" t="s">
        <v>46</v>
      </c>
    </row>
    <row r="12" spans="1:10" x14ac:dyDescent="0.25">
      <c r="A12" s="12">
        <v>45784</v>
      </c>
      <c r="B12" s="13" t="s">
        <v>31</v>
      </c>
      <c r="C12" s="13" t="s">
        <v>71</v>
      </c>
      <c r="D12" s="13" t="s">
        <v>72</v>
      </c>
      <c r="E12" s="14">
        <v>2750</v>
      </c>
      <c r="F12" s="14">
        <v>0</v>
      </c>
      <c r="G12" s="15">
        <f t="shared" si="0"/>
        <v>2750</v>
      </c>
      <c r="H12" s="19" t="str">
        <f t="shared" si="1"/>
        <v>Q2</v>
      </c>
      <c r="I12" s="13" t="s">
        <v>52</v>
      </c>
      <c r="J12" s="13" t="s">
        <v>46</v>
      </c>
    </row>
    <row r="13" spans="1:10" x14ac:dyDescent="0.25">
      <c r="A13" s="12">
        <v>45798</v>
      </c>
      <c r="B13" s="13" t="s">
        <v>32</v>
      </c>
      <c r="C13" s="13" t="s">
        <v>73</v>
      </c>
      <c r="D13" s="13" t="s">
        <v>74</v>
      </c>
      <c r="E13" s="14">
        <v>800</v>
      </c>
      <c r="F13" s="14">
        <v>0</v>
      </c>
      <c r="G13" s="15">
        <f t="shared" si="0"/>
        <v>800</v>
      </c>
      <c r="H13" s="19" t="str">
        <f t="shared" si="1"/>
        <v>Q2</v>
      </c>
      <c r="I13" s="13" t="s">
        <v>75</v>
      </c>
      <c r="J13" s="13" t="s">
        <v>46</v>
      </c>
    </row>
    <row r="14" spans="1:10" x14ac:dyDescent="0.25">
      <c r="A14" s="12">
        <v>45812</v>
      </c>
      <c r="B14" s="13" t="s">
        <v>28</v>
      </c>
      <c r="C14" s="13" t="s">
        <v>76</v>
      </c>
      <c r="D14" s="13" t="s">
        <v>77</v>
      </c>
      <c r="E14" s="14">
        <v>3400</v>
      </c>
      <c r="F14" s="14">
        <v>0</v>
      </c>
      <c r="G14" s="15">
        <f t="shared" si="0"/>
        <v>3400</v>
      </c>
      <c r="H14" s="19" t="str">
        <f t="shared" si="1"/>
        <v>Q2</v>
      </c>
      <c r="I14" s="13" t="s">
        <v>45</v>
      </c>
      <c r="J14" s="13" t="s">
        <v>46</v>
      </c>
    </row>
    <row r="15" spans="1:10" x14ac:dyDescent="0.25">
      <c r="A15" s="12">
        <v>45827</v>
      </c>
      <c r="B15" s="13" t="s">
        <v>29</v>
      </c>
      <c r="C15" s="13" t="s">
        <v>78</v>
      </c>
      <c r="D15" s="13" t="s">
        <v>79</v>
      </c>
      <c r="E15" s="14">
        <v>2200</v>
      </c>
      <c r="F15" s="14">
        <v>220</v>
      </c>
      <c r="G15" s="15">
        <f t="shared" si="0"/>
        <v>1980</v>
      </c>
      <c r="H15" s="19" t="str">
        <f t="shared" si="1"/>
        <v>Q2</v>
      </c>
      <c r="I15" s="13" t="s">
        <v>49</v>
      </c>
      <c r="J15" s="13" t="s">
        <v>46</v>
      </c>
    </row>
    <row r="16" spans="1:10" x14ac:dyDescent="0.25">
      <c r="A16" s="12">
        <v>45839</v>
      </c>
      <c r="B16" s="13" t="s">
        <v>30</v>
      </c>
      <c r="C16" s="13" t="s">
        <v>80</v>
      </c>
      <c r="D16" s="13" t="s">
        <v>81</v>
      </c>
      <c r="E16" s="14">
        <v>1900</v>
      </c>
      <c r="F16" s="14">
        <v>0</v>
      </c>
      <c r="G16" s="15">
        <f t="shared" si="0"/>
        <v>1900</v>
      </c>
      <c r="H16" s="19" t="str">
        <f t="shared" si="1"/>
        <v>Q3</v>
      </c>
      <c r="I16" s="13" t="s">
        <v>52</v>
      </c>
      <c r="J16" s="13" t="s">
        <v>46</v>
      </c>
    </row>
    <row r="17" spans="1:10" x14ac:dyDescent="0.25">
      <c r="A17" s="12">
        <v>45853</v>
      </c>
      <c r="B17" s="13" t="s">
        <v>31</v>
      </c>
      <c r="C17" s="13" t="s">
        <v>82</v>
      </c>
      <c r="D17" s="13" t="s">
        <v>83</v>
      </c>
      <c r="E17" s="14">
        <v>3100</v>
      </c>
      <c r="F17" s="14">
        <v>0</v>
      </c>
      <c r="G17" s="15">
        <f t="shared" si="0"/>
        <v>3100</v>
      </c>
      <c r="H17" s="19" t="str">
        <f t="shared" si="1"/>
        <v>Q3</v>
      </c>
      <c r="I17" s="13" t="s">
        <v>52</v>
      </c>
      <c r="J17" s="13" t="s">
        <v>55</v>
      </c>
    </row>
    <row r="18" spans="1:10" x14ac:dyDescent="0.25">
      <c r="A18" s="12">
        <v>45875</v>
      </c>
      <c r="B18" s="13" t="s">
        <v>32</v>
      </c>
      <c r="C18" s="13" t="s">
        <v>84</v>
      </c>
      <c r="D18" s="13" t="s">
        <v>85</v>
      </c>
      <c r="E18" s="14">
        <v>1350</v>
      </c>
      <c r="F18" s="14">
        <v>0</v>
      </c>
      <c r="G18" s="15">
        <f t="shared" si="0"/>
        <v>1350</v>
      </c>
      <c r="H18" s="19" t="str">
        <f t="shared" si="1"/>
        <v>Q3</v>
      </c>
      <c r="I18" s="13" t="s">
        <v>58</v>
      </c>
      <c r="J18" s="13" t="s">
        <v>46</v>
      </c>
    </row>
    <row r="19" spans="1:10" x14ac:dyDescent="0.25">
      <c r="A19" s="12">
        <v>45889</v>
      </c>
      <c r="B19" s="13" t="s">
        <v>29</v>
      </c>
      <c r="C19" s="13" t="s">
        <v>86</v>
      </c>
      <c r="D19" s="13" t="s">
        <v>87</v>
      </c>
      <c r="E19" s="14">
        <v>980</v>
      </c>
      <c r="F19" s="14">
        <v>98</v>
      </c>
      <c r="G19" s="15">
        <f t="shared" si="0"/>
        <v>882</v>
      </c>
      <c r="H19" s="19" t="str">
        <f t="shared" si="1"/>
        <v>Q3</v>
      </c>
      <c r="I19" s="13" t="s">
        <v>49</v>
      </c>
      <c r="J19" s="13" t="s">
        <v>46</v>
      </c>
    </row>
    <row r="20" spans="1:10" x14ac:dyDescent="0.25">
      <c r="A20" s="12">
        <v>45903</v>
      </c>
      <c r="B20" s="13" t="s">
        <v>28</v>
      </c>
      <c r="C20" s="13" t="s">
        <v>88</v>
      </c>
      <c r="D20" s="13" t="s">
        <v>89</v>
      </c>
      <c r="E20" s="14">
        <v>2600</v>
      </c>
      <c r="F20" s="14">
        <v>0</v>
      </c>
      <c r="G20" s="15">
        <f t="shared" si="0"/>
        <v>2600</v>
      </c>
      <c r="H20" s="19" t="str">
        <f t="shared" si="1"/>
        <v>Q3</v>
      </c>
      <c r="I20" s="13" t="s">
        <v>45</v>
      </c>
      <c r="J20" s="13" t="s">
        <v>46</v>
      </c>
    </row>
    <row r="21" spans="1:10" x14ac:dyDescent="0.25">
      <c r="A21" s="12">
        <v>45917</v>
      </c>
      <c r="B21" s="13" t="s">
        <v>30</v>
      </c>
      <c r="C21" s="13" t="s">
        <v>90</v>
      </c>
      <c r="D21" s="13" t="s">
        <v>91</v>
      </c>
      <c r="E21" s="14">
        <v>1750</v>
      </c>
      <c r="F21" s="14">
        <v>0</v>
      </c>
      <c r="G21" s="15">
        <f t="shared" si="0"/>
        <v>1750</v>
      </c>
      <c r="H21" s="19" t="str">
        <f t="shared" si="1"/>
        <v>Q3</v>
      </c>
      <c r="I21" s="13" t="s">
        <v>52</v>
      </c>
      <c r="J21" s="13" t="s">
        <v>46</v>
      </c>
    </row>
    <row r="22" spans="1:10" x14ac:dyDescent="0.25">
      <c r="A22" s="12">
        <v>45938</v>
      </c>
      <c r="B22" s="13" t="s">
        <v>31</v>
      </c>
      <c r="C22" s="13" t="s">
        <v>92</v>
      </c>
      <c r="D22" s="13" t="s">
        <v>93</v>
      </c>
      <c r="E22" s="14">
        <v>1450</v>
      </c>
      <c r="F22" s="14">
        <v>0</v>
      </c>
      <c r="G22" s="15">
        <f t="shared" si="0"/>
        <v>1450</v>
      </c>
      <c r="H22" s="19" t="str">
        <f t="shared" si="1"/>
        <v>Q4</v>
      </c>
      <c r="I22" s="13" t="s">
        <v>49</v>
      </c>
      <c r="J22" s="13" t="s">
        <v>46</v>
      </c>
    </row>
    <row r="23" spans="1:10" x14ac:dyDescent="0.25">
      <c r="A23" s="12">
        <v>45952</v>
      </c>
      <c r="B23" s="13" t="s">
        <v>29</v>
      </c>
      <c r="C23" s="13" t="s">
        <v>94</v>
      </c>
      <c r="D23" s="13" t="s">
        <v>95</v>
      </c>
      <c r="E23" s="14">
        <v>1300</v>
      </c>
      <c r="F23" s="14">
        <v>130</v>
      </c>
      <c r="G23" s="15">
        <f t="shared" si="0"/>
        <v>1170</v>
      </c>
      <c r="H23" s="19" t="str">
        <f t="shared" si="1"/>
        <v>Q4</v>
      </c>
      <c r="I23" s="13" t="s">
        <v>52</v>
      </c>
      <c r="J23" s="13" t="s">
        <v>46</v>
      </c>
    </row>
    <row r="24" spans="1:10" x14ac:dyDescent="0.25">
      <c r="A24" s="12">
        <v>45966</v>
      </c>
      <c r="B24" s="13" t="s">
        <v>32</v>
      </c>
      <c r="C24" s="13" t="s">
        <v>96</v>
      </c>
      <c r="D24" s="13" t="s">
        <v>97</v>
      </c>
      <c r="E24" s="14">
        <v>2200</v>
      </c>
      <c r="F24" s="14">
        <v>0</v>
      </c>
      <c r="G24" s="15">
        <f t="shared" si="0"/>
        <v>2200</v>
      </c>
      <c r="H24" s="19" t="str">
        <f t="shared" si="1"/>
        <v>Q4</v>
      </c>
      <c r="I24" s="13" t="s">
        <v>61</v>
      </c>
      <c r="J24" s="13" t="s">
        <v>46</v>
      </c>
    </row>
    <row r="25" spans="1:10" x14ac:dyDescent="0.25">
      <c r="A25" s="12">
        <v>45980</v>
      </c>
      <c r="B25" s="13" t="s">
        <v>28</v>
      </c>
      <c r="C25" s="13" t="s">
        <v>98</v>
      </c>
      <c r="D25" s="13" t="s">
        <v>99</v>
      </c>
      <c r="E25" s="14">
        <v>4100</v>
      </c>
      <c r="F25" s="14">
        <v>0</v>
      </c>
      <c r="G25" s="15">
        <f t="shared" si="0"/>
        <v>4100</v>
      </c>
      <c r="H25" s="19" t="str">
        <f t="shared" si="1"/>
        <v>Q4</v>
      </c>
      <c r="I25" s="13" t="s">
        <v>45</v>
      </c>
      <c r="J25" s="13" t="s">
        <v>46</v>
      </c>
    </row>
    <row r="26" spans="1:10" x14ac:dyDescent="0.25">
      <c r="A26" s="12">
        <v>45993</v>
      </c>
      <c r="B26" s="13" t="s">
        <v>30</v>
      </c>
      <c r="C26" s="13" t="s">
        <v>100</v>
      </c>
      <c r="D26" s="13" t="s">
        <v>101</v>
      </c>
      <c r="E26" s="14">
        <v>2900</v>
      </c>
      <c r="F26" s="14">
        <v>0</v>
      </c>
      <c r="G26" s="15">
        <f t="shared" si="0"/>
        <v>2900</v>
      </c>
      <c r="H26" s="19" t="str">
        <f t="shared" si="1"/>
        <v>Q4</v>
      </c>
      <c r="I26" s="13" t="s">
        <v>52</v>
      </c>
      <c r="J26" s="13" t="s">
        <v>46</v>
      </c>
    </row>
    <row r="27" spans="1:10" x14ac:dyDescent="0.25">
      <c r="A27" s="12">
        <v>46007</v>
      </c>
      <c r="B27" s="13" t="s">
        <v>29</v>
      </c>
      <c r="C27" s="13" t="s">
        <v>102</v>
      </c>
      <c r="D27" s="13" t="s">
        <v>103</v>
      </c>
      <c r="E27" s="14">
        <v>1500</v>
      </c>
      <c r="F27" s="14">
        <v>150</v>
      </c>
      <c r="G27" s="15">
        <f t="shared" si="0"/>
        <v>1350</v>
      </c>
      <c r="H27" s="19" t="str">
        <f t="shared" si="1"/>
        <v>Q4</v>
      </c>
      <c r="I27" s="13" t="s">
        <v>49</v>
      </c>
      <c r="J27" s="13" t="s">
        <v>46</v>
      </c>
    </row>
  </sheetData>
  <conditionalFormatting sqref="J2:J500">
    <cfRule type="expression" dxfId="1" priority="1">
      <formula>J2="Overdue"</formula>
    </cfRule>
  </conditionalFormatting>
  <dataValidations count="2">
    <dataValidation type="list" allowBlank="1" sqref="I2:I500" xr:uid="{00000000-0002-0000-0000-000000000000}">
      <formula1>"Consulting,Design,Development,Writing,Teaching,Other"</formula1>
    </dataValidation>
    <dataValidation type="list" allowBlank="1" sqref="J2:J500" xr:uid="{00000000-0002-0000-0000-000001000000}">
      <formula1>"Paid,Invoiced,Overdue"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"/>
  <sheetViews>
    <sheetView workbookViewId="0">
      <pane ySplit="1" topLeftCell="A2" activePane="bottomLeft" state="frozen"/>
      <selection pane="bottomLeft" activeCell="P8" sqref="P8"/>
    </sheetView>
  </sheetViews>
  <sheetFormatPr defaultRowHeight="15" x14ac:dyDescent="0.25"/>
  <cols>
    <col min="1" max="2" width="15" customWidth="1"/>
    <col min="3" max="3" width="26" customWidth="1"/>
    <col min="4" max="4" width="15" customWidth="1"/>
    <col min="5" max="5" width="22.140625" bestFit="1" customWidth="1"/>
    <col min="6" max="9" width="15" customWidth="1"/>
    <col min="10" max="10" width="17" bestFit="1" customWidth="1"/>
  </cols>
  <sheetData>
    <row r="1" spans="1:10" x14ac:dyDescent="0.25">
      <c r="A1" s="4" t="s">
        <v>104</v>
      </c>
      <c r="B1" s="4" t="s">
        <v>105</v>
      </c>
      <c r="C1" s="4" t="s">
        <v>106</v>
      </c>
      <c r="D1" s="4" t="s">
        <v>107</v>
      </c>
      <c r="E1" s="4" t="s">
        <v>41</v>
      </c>
      <c r="F1" s="4" t="s">
        <v>108</v>
      </c>
      <c r="G1" s="4" t="s">
        <v>109</v>
      </c>
      <c r="H1" s="4" t="s">
        <v>40</v>
      </c>
      <c r="I1" s="4" t="s">
        <v>110</v>
      </c>
      <c r="J1" s="4" t="s">
        <v>111</v>
      </c>
    </row>
    <row r="2" spans="1:10" x14ac:dyDescent="0.25">
      <c r="A2" s="12">
        <v>45662</v>
      </c>
      <c r="B2" s="13" t="s">
        <v>112</v>
      </c>
      <c r="C2" s="13" t="s">
        <v>113</v>
      </c>
      <c r="D2" s="14">
        <v>59.99</v>
      </c>
      <c r="E2" s="13" t="s">
        <v>114</v>
      </c>
      <c r="F2" s="16" t="str">
        <f t="shared" ref="F2:F33" si="0">IF(E2="Meals (50%)","Partial",IF(E2="Other","Check","Yes"))</f>
        <v>Yes</v>
      </c>
      <c r="G2" s="15">
        <f t="shared" ref="G2:G33" si="1">IF(E2="Meals (50%)",D2*0.5,D2)</f>
        <v>59.99</v>
      </c>
      <c r="H2" s="16" t="str">
        <f t="shared" ref="H2:H33" si="2">IF(MONTH(A2)&lt;=3,"Q1",IF(MONTH(A2)&lt;=6,"Q2",IF(MONTH(A2)&lt;=9,"Q3","Q4")))</f>
        <v>Q1</v>
      </c>
      <c r="I2" s="13" t="s">
        <v>115</v>
      </c>
      <c r="J2" s="13"/>
    </row>
    <row r="3" spans="1:10" x14ac:dyDescent="0.25">
      <c r="A3" s="12">
        <v>45669</v>
      </c>
      <c r="B3" s="13" t="s">
        <v>116</v>
      </c>
      <c r="C3" s="13" t="s">
        <v>117</v>
      </c>
      <c r="D3" s="14">
        <v>899</v>
      </c>
      <c r="E3" s="13" t="s">
        <v>118</v>
      </c>
      <c r="F3" s="16" t="str">
        <f t="shared" si="0"/>
        <v>Yes</v>
      </c>
      <c r="G3" s="15">
        <f t="shared" si="1"/>
        <v>899</v>
      </c>
      <c r="H3" s="16" t="str">
        <f t="shared" si="2"/>
        <v>Q1</v>
      </c>
      <c r="I3" s="13" t="s">
        <v>115</v>
      </c>
      <c r="J3" s="13" t="s">
        <v>119</v>
      </c>
    </row>
    <row r="4" spans="1:10" x14ac:dyDescent="0.25">
      <c r="A4" s="12">
        <v>45675</v>
      </c>
      <c r="B4" s="13" t="s">
        <v>120</v>
      </c>
      <c r="C4" s="13" t="s">
        <v>121</v>
      </c>
      <c r="D4" s="14">
        <v>42.5</v>
      </c>
      <c r="E4" s="13" t="s">
        <v>122</v>
      </c>
      <c r="F4" s="16" t="str">
        <f t="shared" si="0"/>
        <v>Yes</v>
      </c>
      <c r="G4" s="15">
        <f t="shared" si="1"/>
        <v>42.5</v>
      </c>
      <c r="H4" s="16" t="str">
        <f t="shared" si="2"/>
        <v>Q1</v>
      </c>
      <c r="I4" s="13" t="s">
        <v>123</v>
      </c>
      <c r="J4" s="13"/>
    </row>
    <row r="5" spans="1:10" x14ac:dyDescent="0.25">
      <c r="A5" s="12">
        <v>45682</v>
      </c>
      <c r="B5" s="13" t="s">
        <v>124</v>
      </c>
      <c r="C5" s="13" t="s">
        <v>125</v>
      </c>
      <c r="D5" s="14">
        <v>275</v>
      </c>
      <c r="E5" s="13" t="s">
        <v>126</v>
      </c>
      <c r="F5" s="16" t="str">
        <f t="shared" si="0"/>
        <v>Yes</v>
      </c>
      <c r="G5" s="15">
        <f t="shared" si="1"/>
        <v>275</v>
      </c>
      <c r="H5" s="16" t="str">
        <f t="shared" si="2"/>
        <v>Q1</v>
      </c>
      <c r="I5" s="13" t="s">
        <v>115</v>
      </c>
      <c r="J5" s="13"/>
    </row>
    <row r="6" spans="1:10" x14ac:dyDescent="0.25">
      <c r="A6" s="12">
        <v>45690</v>
      </c>
      <c r="B6" s="13" t="s">
        <v>127</v>
      </c>
      <c r="C6" s="13" t="s">
        <v>128</v>
      </c>
      <c r="D6" s="14">
        <v>49</v>
      </c>
      <c r="E6" s="13" t="s">
        <v>129</v>
      </c>
      <c r="F6" s="16" t="str">
        <f t="shared" si="0"/>
        <v>Yes</v>
      </c>
      <c r="G6" s="15">
        <f t="shared" si="1"/>
        <v>49</v>
      </c>
      <c r="H6" s="16" t="str">
        <f t="shared" si="2"/>
        <v>Q1</v>
      </c>
      <c r="I6" s="13" t="s">
        <v>115</v>
      </c>
      <c r="J6" s="13"/>
    </row>
    <row r="7" spans="1:10" x14ac:dyDescent="0.25">
      <c r="A7" s="12">
        <v>45697</v>
      </c>
      <c r="B7" s="13" t="s">
        <v>130</v>
      </c>
      <c r="C7" s="13" t="s">
        <v>131</v>
      </c>
      <c r="D7" s="14">
        <v>45</v>
      </c>
      <c r="E7" s="13" t="s">
        <v>132</v>
      </c>
      <c r="F7" s="16" t="str">
        <f t="shared" si="0"/>
        <v>Yes</v>
      </c>
      <c r="G7" s="15">
        <f t="shared" si="1"/>
        <v>45</v>
      </c>
      <c r="H7" s="16" t="str">
        <f t="shared" si="2"/>
        <v>Q1</v>
      </c>
      <c r="I7" s="13" t="s">
        <v>115</v>
      </c>
      <c r="J7" s="13"/>
    </row>
    <row r="8" spans="1:10" x14ac:dyDescent="0.25">
      <c r="A8" s="12">
        <v>45704</v>
      </c>
      <c r="B8" s="13" t="s">
        <v>133</v>
      </c>
      <c r="C8" s="13" t="s">
        <v>134</v>
      </c>
      <c r="D8" s="14">
        <v>38.200000000000003</v>
      </c>
      <c r="E8" s="13" t="s">
        <v>135</v>
      </c>
      <c r="F8" s="16" t="str">
        <f t="shared" si="0"/>
        <v>Partial</v>
      </c>
      <c r="G8" s="15">
        <f t="shared" si="1"/>
        <v>19.100000000000001</v>
      </c>
      <c r="H8" s="16" t="str">
        <f t="shared" si="2"/>
        <v>Q1</v>
      </c>
      <c r="I8" s="13" t="s">
        <v>136</v>
      </c>
      <c r="J8" s="13"/>
    </row>
    <row r="9" spans="1:10" x14ac:dyDescent="0.25">
      <c r="A9" s="12">
        <v>45711</v>
      </c>
      <c r="B9" s="13" t="s">
        <v>137</v>
      </c>
      <c r="C9" s="13" t="s">
        <v>138</v>
      </c>
      <c r="D9" s="14">
        <v>12</v>
      </c>
      <c r="E9" s="13" t="s">
        <v>114</v>
      </c>
      <c r="F9" s="16" t="str">
        <f t="shared" si="0"/>
        <v>Yes</v>
      </c>
      <c r="G9" s="15">
        <f t="shared" si="1"/>
        <v>12</v>
      </c>
      <c r="H9" s="16" t="str">
        <f t="shared" si="2"/>
        <v>Q1</v>
      </c>
      <c r="I9" s="13" t="s">
        <v>115</v>
      </c>
      <c r="J9" s="13"/>
    </row>
    <row r="10" spans="1:10" x14ac:dyDescent="0.25">
      <c r="A10" s="12">
        <v>45717</v>
      </c>
      <c r="B10" s="13" t="s">
        <v>139</v>
      </c>
      <c r="C10" s="13" t="s">
        <v>140</v>
      </c>
      <c r="D10" s="14">
        <v>129</v>
      </c>
      <c r="E10" s="13" t="s">
        <v>118</v>
      </c>
      <c r="F10" s="16" t="str">
        <f t="shared" si="0"/>
        <v>Yes</v>
      </c>
      <c r="G10" s="15">
        <f t="shared" si="1"/>
        <v>129</v>
      </c>
      <c r="H10" s="16" t="str">
        <f t="shared" si="2"/>
        <v>Q1</v>
      </c>
      <c r="I10" s="13" t="s">
        <v>123</v>
      </c>
      <c r="J10" s="13"/>
    </row>
    <row r="11" spans="1:10" x14ac:dyDescent="0.25">
      <c r="A11" s="12">
        <v>45731</v>
      </c>
      <c r="B11" s="13" t="s">
        <v>141</v>
      </c>
      <c r="C11" s="13" t="s">
        <v>142</v>
      </c>
      <c r="D11" s="14">
        <v>150</v>
      </c>
      <c r="E11" s="13" t="s">
        <v>141</v>
      </c>
      <c r="F11" s="16" t="str">
        <f t="shared" si="0"/>
        <v>Yes</v>
      </c>
      <c r="G11" s="15">
        <f t="shared" si="1"/>
        <v>150</v>
      </c>
      <c r="H11" s="16" t="str">
        <f t="shared" si="2"/>
        <v>Q1</v>
      </c>
      <c r="I11" s="13" t="s">
        <v>115</v>
      </c>
      <c r="J11" s="13"/>
    </row>
    <row r="12" spans="1:10" x14ac:dyDescent="0.25">
      <c r="A12" s="12">
        <v>45738</v>
      </c>
      <c r="B12" s="13" t="s">
        <v>143</v>
      </c>
      <c r="C12" s="13" t="s">
        <v>144</v>
      </c>
      <c r="D12" s="14">
        <v>15.99</v>
      </c>
      <c r="E12" s="13" t="s">
        <v>114</v>
      </c>
      <c r="F12" s="16" t="str">
        <f t="shared" si="0"/>
        <v>Yes</v>
      </c>
      <c r="G12" s="15">
        <f t="shared" si="1"/>
        <v>15.99</v>
      </c>
      <c r="H12" s="16" t="str">
        <f t="shared" si="2"/>
        <v>Q1</v>
      </c>
      <c r="I12" s="13" t="s">
        <v>115</v>
      </c>
      <c r="J12" s="13"/>
    </row>
    <row r="13" spans="1:10" x14ac:dyDescent="0.25">
      <c r="A13" s="12">
        <v>45750</v>
      </c>
      <c r="B13" s="13" t="s">
        <v>145</v>
      </c>
      <c r="C13" s="13" t="s">
        <v>146</v>
      </c>
      <c r="D13" s="14">
        <v>312</v>
      </c>
      <c r="E13" s="13" t="s">
        <v>132</v>
      </c>
      <c r="F13" s="16" t="str">
        <f t="shared" si="0"/>
        <v>Yes</v>
      </c>
      <c r="G13" s="15">
        <f t="shared" si="1"/>
        <v>312</v>
      </c>
      <c r="H13" s="16" t="str">
        <f t="shared" si="2"/>
        <v>Q2</v>
      </c>
      <c r="I13" s="13" t="s">
        <v>115</v>
      </c>
      <c r="J13" s="13"/>
    </row>
    <row r="14" spans="1:10" x14ac:dyDescent="0.25">
      <c r="A14" s="12">
        <v>45757</v>
      </c>
      <c r="B14" s="13" t="s">
        <v>147</v>
      </c>
      <c r="C14" s="13" t="s">
        <v>148</v>
      </c>
      <c r="D14" s="14">
        <v>189</v>
      </c>
      <c r="E14" s="13" t="s">
        <v>132</v>
      </c>
      <c r="F14" s="16" t="str">
        <f t="shared" si="0"/>
        <v>Yes</v>
      </c>
      <c r="G14" s="15">
        <f t="shared" si="1"/>
        <v>189</v>
      </c>
      <c r="H14" s="16" t="str">
        <f t="shared" si="2"/>
        <v>Q2</v>
      </c>
      <c r="I14" s="13" t="s">
        <v>115</v>
      </c>
      <c r="J14" s="13"/>
    </row>
    <row r="15" spans="1:10" x14ac:dyDescent="0.25">
      <c r="A15" s="12">
        <v>45764</v>
      </c>
      <c r="B15" s="13" t="s">
        <v>149</v>
      </c>
      <c r="C15" s="13" t="s">
        <v>150</v>
      </c>
      <c r="D15" s="14">
        <v>50</v>
      </c>
      <c r="E15" s="13" t="s">
        <v>151</v>
      </c>
      <c r="F15" s="16" t="str">
        <f t="shared" si="0"/>
        <v>Yes</v>
      </c>
      <c r="G15" s="15">
        <f t="shared" si="1"/>
        <v>50</v>
      </c>
      <c r="H15" s="16" t="str">
        <f t="shared" si="2"/>
        <v>Q2</v>
      </c>
      <c r="I15" s="13" t="s">
        <v>115</v>
      </c>
      <c r="J15" s="13"/>
    </row>
    <row r="16" spans="1:10" x14ac:dyDescent="0.25">
      <c r="A16" s="12">
        <v>45771</v>
      </c>
      <c r="B16" s="13" t="s">
        <v>152</v>
      </c>
      <c r="C16" s="13" t="s">
        <v>153</v>
      </c>
      <c r="D16" s="14">
        <v>65</v>
      </c>
      <c r="E16" s="13" t="s">
        <v>154</v>
      </c>
      <c r="F16" s="16" t="str">
        <f t="shared" si="0"/>
        <v>Yes</v>
      </c>
      <c r="G16" s="15">
        <f t="shared" si="1"/>
        <v>65</v>
      </c>
      <c r="H16" s="16" t="str">
        <f t="shared" si="2"/>
        <v>Q2</v>
      </c>
      <c r="I16" s="13" t="s">
        <v>115</v>
      </c>
      <c r="J16" s="13"/>
    </row>
    <row r="17" spans="1:10" x14ac:dyDescent="0.25">
      <c r="A17" s="12">
        <v>45778</v>
      </c>
      <c r="B17" s="13" t="s">
        <v>155</v>
      </c>
      <c r="C17" s="13" t="s">
        <v>156</v>
      </c>
      <c r="D17" s="14">
        <v>10</v>
      </c>
      <c r="E17" s="13" t="s">
        <v>114</v>
      </c>
      <c r="F17" s="16" t="str">
        <f t="shared" si="0"/>
        <v>Yes</v>
      </c>
      <c r="G17" s="15">
        <f t="shared" si="1"/>
        <v>10</v>
      </c>
      <c r="H17" s="16" t="str">
        <f t="shared" si="2"/>
        <v>Q2</v>
      </c>
      <c r="I17" s="13" t="s">
        <v>115</v>
      </c>
      <c r="J17" s="13"/>
    </row>
    <row r="18" spans="1:10" x14ac:dyDescent="0.25">
      <c r="A18" s="12">
        <v>45785</v>
      </c>
      <c r="B18" s="13" t="s">
        <v>157</v>
      </c>
      <c r="C18" s="13" t="s">
        <v>158</v>
      </c>
      <c r="D18" s="14">
        <v>48.75</v>
      </c>
      <c r="E18" s="13" t="s">
        <v>122</v>
      </c>
      <c r="F18" s="16" t="str">
        <f t="shared" si="0"/>
        <v>Yes</v>
      </c>
      <c r="G18" s="15">
        <f t="shared" si="1"/>
        <v>48.75</v>
      </c>
      <c r="H18" s="16" t="str">
        <f t="shared" si="2"/>
        <v>Q2</v>
      </c>
      <c r="I18" s="13" t="s">
        <v>123</v>
      </c>
      <c r="J18" s="13"/>
    </row>
    <row r="19" spans="1:10" x14ac:dyDescent="0.25">
      <c r="A19" s="12">
        <v>45792</v>
      </c>
      <c r="B19" s="13" t="s">
        <v>159</v>
      </c>
      <c r="C19" s="13" t="s">
        <v>160</v>
      </c>
      <c r="D19" s="14">
        <v>42</v>
      </c>
      <c r="E19" s="13" t="s">
        <v>161</v>
      </c>
      <c r="F19" s="16" t="str">
        <f t="shared" si="0"/>
        <v>Yes</v>
      </c>
      <c r="G19" s="15">
        <f t="shared" si="1"/>
        <v>42</v>
      </c>
      <c r="H19" s="16" t="str">
        <f t="shared" si="2"/>
        <v>Q2</v>
      </c>
      <c r="I19" s="13" t="s">
        <v>115</v>
      </c>
      <c r="J19" s="13"/>
    </row>
    <row r="20" spans="1:10" x14ac:dyDescent="0.25">
      <c r="A20" s="12">
        <v>45799</v>
      </c>
      <c r="B20" s="13" t="s">
        <v>162</v>
      </c>
      <c r="C20" s="13" t="s">
        <v>163</v>
      </c>
      <c r="D20" s="14">
        <v>19.989999999999998</v>
      </c>
      <c r="E20" s="13" t="s">
        <v>129</v>
      </c>
      <c r="F20" s="16" t="str">
        <f t="shared" si="0"/>
        <v>Yes</v>
      </c>
      <c r="G20" s="15">
        <f t="shared" si="1"/>
        <v>19.989999999999998</v>
      </c>
      <c r="H20" s="16" t="str">
        <f t="shared" si="2"/>
        <v>Q2</v>
      </c>
      <c r="I20" s="13" t="s">
        <v>115</v>
      </c>
      <c r="J20" s="13"/>
    </row>
    <row r="21" spans="1:10" x14ac:dyDescent="0.25">
      <c r="A21" s="12">
        <v>45806</v>
      </c>
      <c r="B21" s="13" t="s">
        <v>164</v>
      </c>
      <c r="C21" s="13" t="s">
        <v>165</v>
      </c>
      <c r="D21" s="14">
        <v>24.5</v>
      </c>
      <c r="E21" s="13" t="s">
        <v>132</v>
      </c>
      <c r="F21" s="16" t="str">
        <f t="shared" si="0"/>
        <v>Yes</v>
      </c>
      <c r="G21" s="15">
        <f t="shared" si="1"/>
        <v>24.5</v>
      </c>
      <c r="H21" s="16" t="str">
        <f t="shared" si="2"/>
        <v>Q2</v>
      </c>
      <c r="I21" s="13" t="s">
        <v>115</v>
      </c>
      <c r="J21" s="13"/>
    </row>
    <row r="22" spans="1:10" x14ac:dyDescent="0.25">
      <c r="A22" s="12">
        <v>45813</v>
      </c>
      <c r="B22" s="13" t="s">
        <v>166</v>
      </c>
      <c r="C22" s="13" t="s">
        <v>23</v>
      </c>
      <c r="D22" s="14">
        <v>99</v>
      </c>
      <c r="E22" s="13" t="s">
        <v>114</v>
      </c>
      <c r="F22" s="16" t="str">
        <f t="shared" si="0"/>
        <v>Yes</v>
      </c>
      <c r="G22" s="15">
        <f t="shared" si="1"/>
        <v>99</v>
      </c>
      <c r="H22" s="16" t="str">
        <f t="shared" si="2"/>
        <v>Q2</v>
      </c>
      <c r="I22" s="13" t="s">
        <v>115</v>
      </c>
      <c r="J22" s="13"/>
    </row>
    <row r="23" spans="1:10" x14ac:dyDescent="0.25">
      <c r="A23" s="12">
        <v>45820</v>
      </c>
      <c r="B23" s="13" t="s">
        <v>167</v>
      </c>
      <c r="C23" s="13" t="s">
        <v>168</v>
      </c>
      <c r="D23" s="14">
        <v>18.399999999999999</v>
      </c>
      <c r="E23" s="13" t="s">
        <v>122</v>
      </c>
      <c r="F23" s="16" t="str">
        <f t="shared" si="0"/>
        <v>Yes</v>
      </c>
      <c r="G23" s="15">
        <f t="shared" si="1"/>
        <v>18.399999999999999</v>
      </c>
      <c r="H23" s="16" t="str">
        <f t="shared" si="2"/>
        <v>Q2</v>
      </c>
      <c r="I23" s="13" t="s">
        <v>123</v>
      </c>
      <c r="J23" s="13"/>
    </row>
    <row r="24" spans="1:10" x14ac:dyDescent="0.25">
      <c r="A24" s="12">
        <v>45827</v>
      </c>
      <c r="B24" s="13" t="s">
        <v>169</v>
      </c>
      <c r="C24" s="13" t="s">
        <v>170</v>
      </c>
      <c r="D24" s="14">
        <v>62.1</v>
      </c>
      <c r="E24" s="13" t="s">
        <v>135</v>
      </c>
      <c r="F24" s="16" t="str">
        <f t="shared" si="0"/>
        <v>Partial</v>
      </c>
      <c r="G24" s="15">
        <f t="shared" si="1"/>
        <v>31.05</v>
      </c>
      <c r="H24" s="16" t="str">
        <f t="shared" si="2"/>
        <v>Q2</v>
      </c>
      <c r="I24" s="13" t="s">
        <v>136</v>
      </c>
      <c r="J24" s="13"/>
    </row>
    <row r="25" spans="1:10" x14ac:dyDescent="0.25">
      <c r="A25" s="12">
        <v>45834</v>
      </c>
      <c r="B25" s="13" t="s">
        <v>171</v>
      </c>
      <c r="C25" s="13" t="s">
        <v>172</v>
      </c>
      <c r="D25" s="14">
        <v>15</v>
      </c>
      <c r="E25" s="13" t="s">
        <v>114</v>
      </c>
      <c r="F25" s="16" t="str">
        <f t="shared" si="0"/>
        <v>Yes</v>
      </c>
      <c r="G25" s="15">
        <f t="shared" si="1"/>
        <v>15</v>
      </c>
      <c r="H25" s="16" t="str">
        <f t="shared" si="2"/>
        <v>Q2</v>
      </c>
      <c r="I25" s="13" t="s">
        <v>115</v>
      </c>
      <c r="J25" s="13"/>
    </row>
    <row r="26" spans="1:10" x14ac:dyDescent="0.25">
      <c r="A26" s="12">
        <v>45841</v>
      </c>
      <c r="B26" s="13" t="s">
        <v>173</v>
      </c>
      <c r="C26" s="13" t="s">
        <v>174</v>
      </c>
      <c r="D26" s="14">
        <v>11.99</v>
      </c>
      <c r="E26" s="13" t="s">
        <v>114</v>
      </c>
      <c r="F26" s="16" t="str">
        <f t="shared" si="0"/>
        <v>Yes</v>
      </c>
      <c r="G26" s="15">
        <f t="shared" si="1"/>
        <v>11.99</v>
      </c>
      <c r="H26" s="16" t="str">
        <f t="shared" si="2"/>
        <v>Q3</v>
      </c>
      <c r="I26" s="13" t="s">
        <v>115</v>
      </c>
      <c r="J26" s="13"/>
    </row>
    <row r="27" spans="1:10" x14ac:dyDescent="0.25">
      <c r="A27" s="12">
        <v>45848</v>
      </c>
      <c r="B27" s="13" t="s">
        <v>120</v>
      </c>
      <c r="C27" s="13" t="s">
        <v>175</v>
      </c>
      <c r="D27" s="14">
        <v>67</v>
      </c>
      <c r="E27" s="13" t="s">
        <v>122</v>
      </c>
      <c r="F27" s="16" t="str">
        <f t="shared" si="0"/>
        <v>Yes</v>
      </c>
      <c r="G27" s="15">
        <f t="shared" si="1"/>
        <v>67</v>
      </c>
      <c r="H27" s="16" t="str">
        <f t="shared" si="2"/>
        <v>Q3</v>
      </c>
      <c r="I27" s="13" t="s">
        <v>123</v>
      </c>
      <c r="J27" s="13"/>
    </row>
    <row r="28" spans="1:10" x14ac:dyDescent="0.25">
      <c r="A28" s="12">
        <v>45855</v>
      </c>
      <c r="B28" s="13" t="s">
        <v>176</v>
      </c>
      <c r="C28" s="13" t="s">
        <v>177</v>
      </c>
      <c r="D28" s="14">
        <v>420</v>
      </c>
      <c r="E28" s="13" t="s">
        <v>132</v>
      </c>
      <c r="F28" s="16" t="str">
        <f t="shared" si="0"/>
        <v>Yes</v>
      </c>
      <c r="G28" s="15">
        <f t="shared" si="1"/>
        <v>420</v>
      </c>
      <c r="H28" s="16" t="str">
        <f t="shared" si="2"/>
        <v>Q3</v>
      </c>
      <c r="I28" s="13" t="s">
        <v>115</v>
      </c>
      <c r="J28" s="13"/>
    </row>
    <row r="29" spans="1:10" x14ac:dyDescent="0.25">
      <c r="A29" s="12">
        <v>45862</v>
      </c>
      <c r="B29" s="13" t="s">
        <v>178</v>
      </c>
      <c r="C29" s="13" t="s">
        <v>179</v>
      </c>
      <c r="D29" s="14">
        <v>36.880000000000003</v>
      </c>
      <c r="E29" s="13" t="s">
        <v>151</v>
      </c>
      <c r="F29" s="16" t="str">
        <f t="shared" si="0"/>
        <v>Yes</v>
      </c>
      <c r="G29" s="15">
        <f t="shared" si="1"/>
        <v>36.880000000000003</v>
      </c>
      <c r="H29" s="16" t="str">
        <f t="shared" si="2"/>
        <v>Q3</v>
      </c>
      <c r="I29" s="13" t="s">
        <v>115</v>
      </c>
      <c r="J29" s="13"/>
    </row>
    <row r="30" spans="1:10" x14ac:dyDescent="0.25">
      <c r="A30" s="12">
        <v>45870</v>
      </c>
      <c r="B30" s="13" t="s">
        <v>180</v>
      </c>
      <c r="C30" s="13" t="s">
        <v>181</v>
      </c>
      <c r="D30" s="14">
        <v>20</v>
      </c>
      <c r="E30" s="13" t="s">
        <v>114</v>
      </c>
      <c r="F30" s="16" t="str">
        <f t="shared" si="0"/>
        <v>Yes</v>
      </c>
      <c r="G30" s="15">
        <f t="shared" si="1"/>
        <v>20</v>
      </c>
      <c r="H30" s="16" t="str">
        <f t="shared" si="2"/>
        <v>Q3</v>
      </c>
      <c r="I30" s="13" t="s">
        <v>115</v>
      </c>
      <c r="J30" s="13"/>
    </row>
    <row r="31" spans="1:10" x14ac:dyDescent="0.25">
      <c r="A31" s="12">
        <v>45877</v>
      </c>
      <c r="B31" s="13" t="s">
        <v>182</v>
      </c>
      <c r="C31" s="13" t="s">
        <v>183</v>
      </c>
      <c r="D31" s="14">
        <v>55</v>
      </c>
      <c r="E31" s="13" t="s">
        <v>75</v>
      </c>
      <c r="F31" s="16" t="str">
        <f t="shared" si="0"/>
        <v>Check</v>
      </c>
      <c r="G31" s="15">
        <f t="shared" si="1"/>
        <v>55</v>
      </c>
      <c r="H31" s="16" t="str">
        <f t="shared" si="2"/>
        <v>Q3</v>
      </c>
      <c r="I31" s="13" t="s">
        <v>123</v>
      </c>
      <c r="J31" s="13" t="s">
        <v>184</v>
      </c>
    </row>
    <row r="32" spans="1:10" x14ac:dyDescent="0.25">
      <c r="A32" s="12">
        <v>45884</v>
      </c>
      <c r="B32" s="13" t="s">
        <v>185</v>
      </c>
      <c r="C32" s="13" t="s">
        <v>186</v>
      </c>
      <c r="D32" s="14">
        <v>350</v>
      </c>
      <c r="E32" s="13" t="s">
        <v>126</v>
      </c>
      <c r="F32" s="16" t="str">
        <f t="shared" si="0"/>
        <v>Yes</v>
      </c>
      <c r="G32" s="15">
        <f t="shared" si="1"/>
        <v>350</v>
      </c>
      <c r="H32" s="16" t="str">
        <f t="shared" si="2"/>
        <v>Q3</v>
      </c>
      <c r="I32" s="13" t="s">
        <v>115</v>
      </c>
      <c r="J32" s="13"/>
    </row>
    <row r="33" spans="1:10" x14ac:dyDescent="0.25">
      <c r="A33" s="12">
        <v>45891</v>
      </c>
      <c r="B33" s="13" t="s">
        <v>187</v>
      </c>
      <c r="C33" s="13" t="s">
        <v>188</v>
      </c>
      <c r="D33" s="14">
        <v>80</v>
      </c>
      <c r="E33" s="13" t="s">
        <v>154</v>
      </c>
      <c r="F33" s="16" t="str">
        <f t="shared" si="0"/>
        <v>Yes</v>
      </c>
      <c r="G33" s="15">
        <f t="shared" si="1"/>
        <v>80</v>
      </c>
      <c r="H33" s="16" t="str">
        <f t="shared" si="2"/>
        <v>Q3</v>
      </c>
      <c r="I33" s="13" t="s">
        <v>115</v>
      </c>
      <c r="J33" s="13"/>
    </row>
    <row r="34" spans="1:10" x14ac:dyDescent="0.25">
      <c r="A34" s="12">
        <v>45898</v>
      </c>
      <c r="B34" s="13" t="s">
        <v>189</v>
      </c>
      <c r="C34" s="13" t="s">
        <v>190</v>
      </c>
      <c r="D34" s="14">
        <v>10</v>
      </c>
      <c r="E34" s="13" t="s">
        <v>114</v>
      </c>
      <c r="F34" s="16" t="str">
        <f t="shared" ref="F34:F50" si="3">IF(E34="Meals (50%)","Partial",IF(E34="Other","Check","Yes"))</f>
        <v>Yes</v>
      </c>
      <c r="G34" s="15">
        <f t="shared" ref="G34:G50" si="4">IF(E34="Meals (50%)",D34*0.5,D34)</f>
        <v>10</v>
      </c>
      <c r="H34" s="16" t="str">
        <f t="shared" ref="H34:H50" si="5">IF(MONTH(A34)&lt;=3,"Q1",IF(MONTH(A34)&lt;=6,"Q2",IF(MONTH(A34)&lt;=9,"Q3","Q4")))</f>
        <v>Q3</v>
      </c>
      <c r="I34" s="13" t="s">
        <v>115</v>
      </c>
      <c r="J34" s="13"/>
    </row>
    <row r="35" spans="1:10" x14ac:dyDescent="0.25">
      <c r="A35" s="12">
        <v>45905</v>
      </c>
      <c r="B35" s="13" t="s">
        <v>191</v>
      </c>
      <c r="C35" s="13" t="s">
        <v>192</v>
      </c>
      <c r="D35" s="14">
        <v>22</v>
      </c>
      <c r="E35" s="13" t="s">
        <v>132</v>
      </c>
      <c r="F35" s="16" t="str">
        <f t="shared" si="3"/>
        <v>Yes</v>
      </c>
      <c r="G35" s="15">
        <f t="shared" si="4"/>
        <v>22</v>
      </c>
      <c r="H35" s="16" t="str">
        <f t="shared" si="5"/>
        <v>Q3</v>
      </c>
      <c r="I35" s="13" t="s">
        <v>136</v>
      </c>
      <c r="J35" s="13"/>
    </row>
    <row r="36" spans="1:10" x14ac:dyDescent="0.25">
      <c r="A36" s="12">
        <v>45912</v>
      </c>
      <c r="B36" s="13" t="s">
        <v>193</v>
      </c>
      <c r="C36" s="13" t="s">
        <v>194</v>
      </c>
      <c r="D36" s="14">
        <v>45</v>
      </c>
      <c r="E36" s="13" t="s">
        <v>122</v>
      </c>
      <c r="F36" s="16" t="str">
        <f t="shared" si="3"/>
        <v>Yes</v>
      </c>
      <c r="G36" s="15">
        <f t="shared" si="4"/>
        <v>45</v>
      </c>
      <c r="H36" s="16" t="str">
        <f t="shared" si="5"/>
        <v>Q3</v>
      </c>
      <c r="I36" s="13" t="s">
        <v>123</v>
      </c>
      <c r="J36" s="13"/>
    </row>
    <row r="37" spans="1:10" x14ac:dyDescent="0.25">
      <c r="A37" s="12">
        <v>45919</v>
      </c>
      <c r="B37" s="13" t="s">
        <v>195</v>
      </c>
      <c r="C37" s="13" t="s">
        <v>196</v>
      </c>
      <c r="D37" s="14">
        <v>299</v>
      </c>
      <c r="E37" s="13" t="s">
        <v>129</v>
      </c>
      <c r="F37" s="16" t="str">
        <f t="shared" si="3"/>
        <v>Yes</v>
      </c>
      <c r="G37" s="15">
        <f t="shared" si="4"/>
        <v>299</v>
      </c>
      <c r="H37" s="16" t="str">
        <f t="shared" si="5"/>
        <v>Q3</v>
      </c>
      <c r="I37" s="13" t="s">
        <v>115</v>
      </c>
      <c r="J37" s="13"/>
    </row>
    <row r="38" spans="1:10" x14ac:dyDescent="0.25">
      <c r="A38" s="12">
        <v>45926</v>
      </c>
      <c r="B38" s="13" t="s">
        <v>197</v>
      </c>
      <c r="C38" s="13" t="s">
        <v>198</v>
      </c>
      <c r="D38" s="14">
        <v>94</v>
      </c>
      <c r="E38" s="13" t="s">
        <v>135</v>
      </c>
      <c r="F38" s="16" t="str">
        <f t="shared" si="3"/>
        <v>Partial</v>
      </c>
      <c r="G38" s="15">
        <f t="shared" si="4"/>
        <v>47</v>
      </c>
      <c r="H38" s="16" t="str">
        <f t="shared" si="5"/>
        <v>Q3</v>
      </c>
      <c r="I38" s="13" t="s">
        <v>136</v>
      </c>
      <c r="J38" s="13"/>
    </row>
    <row r="39" spans="1:10" x14ac:dyDescent="0.25">
      <c r="A39" s="12">
        <v>45933</v>
      </c>
      <c r="B39" s="13" t="s">
        <v>199</v>
      </c>
      <c r="C39" s="13" t="s">
        <v>200</v>
      </c>
      <c r="D39" s="14">
        <v>8.75</v>
      </c>
      <c r="E39" s="13" t="s">
        <v>114</v>
      </c>
      <c r="F39" s="16" t="str">
        <f t="shared" si="3"/>
        <v>Yes</v>
      </c>
      <c r="G39" s="15">
        <f t="shared" si="4"/>
        <v>8.75</v>
      </c>
      <c r="H39" s="16" t="str">
        <f t="shared" si="5"/>
        <v>Q4</v>
      </c>
      <c r="I39" s="13" t="s">
        <v>115</v>
      </c>
      <c r="J39" s="13"/>
    </row>
    <row r="40" spans="1:10" x14ac:dyDescent="0.25">
      <c r="A40" s="12">
        <v>45940</v>
      </c>
      <c r="B40" s="13" t="s">
        <v>201</v>
      </c>
      <c r="C40" s="13" t="s">
        <v>202</v>
      </c>
      <c r="D40" s="14">
        <v>27.15</v>
      </c>
      <c r="E40" s="13" t="s">
        <v>122</v>
      </c>
      <c r="F40" s="16" t="str">
        <f t="shared" si="3"/>
        <v>Yes</v>
      </c>
      <c r="G40" s="15">
        <f t="shared" si="4"/>
        <v>27.15</v>
      </c>
      <c r="H40" s="16" t="str">
        <f t="shared" si="5"/>
        <v>Q4</v>
      </c>
      <c r="I40" s="13" t="s">
        <v>123</v>
      </c>
      <c r="J40" s="13"/>
    </row>
    <row r="41" spans="1:10" x14ac:dyDescent="0.25">
      <c r="A41" s="12">
        <v>45947</v>
      </c>
      <c r="B41" s="13" t="s">
        <v>203</v>
      </c>
      <c r="C41" s="13" t="s">
        <v>200</v>
      </c>
      <c r="D41" s="14">
        <v>12.99</v>
      </c>
      <c r="E41" s="13" t="s">
        <v>114</v>
      </c>
      <c r="F41" s="16" t="str">
        <f t="shared" si="3"/>
        <v>Yes</v>
      </c>
      <c r="G41" s="15">
        <f t="shared" si="4"/>
        <v>12.99</v>
      </c>
      <c r="H41" s="16" t="str">
        <f t="shared" si="5"/>
        <v>Q4</v>
      </c>
      <c r="I41" s="13" t="s">
        <v>115</v>
      </c>
      <c r="J41" s="13"/>
    </row>
    <row r="42" spans="1:10" x14ac:dyDescent="0.25">
      <c r="A42" s="12">
        <v>45954</v>
      </c>
      <c r="B42" s="13" t="s">
        <v>204</v>
      </c>
      <c r="C42" s="13" t="s">
        <v>205</v>
      </c>
      <c r="D42" s="14">
        <v>30</v>
      </c>
      <c r="E42" s="13" t="s">
        <v>114</v>
      </c>
      <c r="F42" s="16" t="str">
        <f t="shared" si="3"/>
        <v>Yes</v>
      </c>
      <c r="G42" s="15">
        <f t="shared" si="4"/>
        <v>30</v>
      </c>
      <c r="H42" s="16" t="str">
        <f t="shared" si="5"/>
        <v>Q4</v>
      </c>
      <c r="I42" s="13" t="s">
        <v>115</v>
      </c>
      <c r="J42" s="13"/>
    </row>
    <row r="43" spans="1:10" x14ac:dyDescent="0.25">
      <c r="A43" s="12">
        <v>45962</v>
      </c>
      <c r="B43" s="13" t="s">
        <v>206</v>
      </c>
      <c r="C43" s="13" t="s">
        <v>207</v>
      </c>
      <c r="D43" s="14">
        <v>75</v>
      </c>
      <c r="E43" s="13" t="s">
        <v>154</v>
      </c>
      <c r="F43" s="16" t="str">
        <f t="shared" si="3"/>
        <v>Yes</v>
      </c>
      <c r="G43" s="15">
        <f t="shared" si="4"/>
        <v>75</v>
      </c>
      <c r="H43" s="16" t="str">
        <f t="shared" si="5"/>
        <v>Q4</v>
      </c>
      <c r="I43" s="13" t="s">
        <v>115</v>
      </c>
      <c r="J43" s="13"/>
    </row>
    <row r="44" spans="1:10" x14ac:dyDescent="0.25">
      <c r="A44" s="12">
        <v>45969</v>
      </c>
      <c r="B44" s="13" t="s">
        <v>208</v>
      </c>
      <c r="C44" s="13" t="s">
        <v>209</v>
      </c>
      <c r="D44" s="14">
        <v>33.200000000000003</v>
      </c>
      <c r="E44" s="13" t="s">
        <v>122</v>
      </c>
      <c r="F44" s="16" t="str">
        <f t="shared" si="3"/>
        <v>Yes</v>
      </c>
      <c r="G44" s="15">
        <f t="shared" si="4"/>
        <v>33.200000000000003</v>
      </c>
      <c r="H44" s="16" t="str">
        <f t="shared" si="5"/>
        <v>Q4</v>
      </c>
      <c r="I44" s="13" t="s">
        <v>123</v>
      </c>
      <c r="J44" s="13"/>
    </row>
    <row r="45" spans="1:10" x14ac:dyDescent="0.25">
      <c r="A45" s="12">
        <v>45976</v>
      </c>
      <c r="B45" s="13" t="s">
        <v>210</v>
      </c>
      <c r="C45" s="13" t="s">
        <v>211</v>
      </c>
      <c r="D45" s="14">
        <v>169</v>
      </c>
      <c r="E45" s="13" t="s">
        <v>126</v>
      </c>
      <c r="F45" s="16" t="str">
        <f t="shared" si="3"/>
        <v>Yes</v>
      </c>
      <c r="G45" s="15">
        <f t="shared" si="4"/>
        <v>169</v>
      </c>
      <c r="H45" s="16" t="str">
        <f t="shared" si="5"/>
        <v>Q4</v>
      </c>
      <c r="I45" s="13" t="s">
        <v>115</v>
      </c>
      <c r="J45" s="13"/>
    </row>
    <row r="46" spans="1:10" x14ac:dyDescent="0.25">
      <c r="A46" s="12">
        <v>45983</v>
      </c>
      <c r="B46" s="13" t="s">
        <v>212</v>
      </c>
      <c r="C46" s="13" t="s">
        <v>213</v>
      </c>
      <c r="D46" s="14">
        <v>14.5</v>
      </c>
      <c r="E46" s="13" t="s">
        <v>135</v>
      </c>
      <c r="F46" s="16" t="str">
        <f t="shared" si="3"/>
        <v>Partial</v>
      </c>
      <c r="G46" s="15">
        <f t="shared" si="4"/>
        <v>7.25</v>
      </c>
      <c r="H46" s="16" t="str">
        <f t="shared" si="5"/>
        <v>Q4</v>
      </c>
      <c r="I46" s="13" t="s">
        <v>136</v>
      </c>
      <c r="J46" s="13"/>
    </row>
    <row r="47" spans="1:10" x14ac:dyDescent="0.25">
      <c r="A47" s="12">
        <v>45990</v>
      </c>
      <c r="B47" s="13" t="s">
        <v>214</v>
      </c>
      <c r="C47" s="13" t="s">
        <v>215</v>
      </c>
      <c r="D47" s="14">
        <v>10</v>
      </c>
      <c r="E47" s="13" t="s">
        <v>114</v>
      </c>
      <c r="F47" s="16" t="str">
        <f t="shared" si="3"/>
        <v>Yes</v>
      </c>
      <c r="G47" s="15">
        <f t="shared" si="4"/>
        <v>10</v>
      </c>
      <c r="H47" s="16" t="str">
        <f t="shared" si="5"/>
        <v>Q4</v>
      </c>
      <c r="I47" s="13" t="s">
        <v>115</v>
      </c>
      <c r="J47" s="13"/>
    </row>
    <row r="48" spans="1:10" x14ac:dyDescent="0.25">
      <c r="A48" s="12">
        <v>45997</v>
      </c>
      <c r="B48" s="13" t="s">
        <v>216</v>
      </c>
      <c r="C48" s="13" t="s">
        <v>217</v>
      </c>
      <c r="D48" s="14">
        <v>48.33</v>
      </c>
      <c r="E48" s="13" t="s">
        <v>114</v>
      </c>
      <c r="F48" s="16" t="str">
        <f t="shared" si="3"/>
        <v>Yes</v>
      </c>
      <c r="G48" s="15">
        <f t="shared" si="4"/>
        <v>48.33</v>
      </c>
      <c r="H48" s="16" t="str">
        <f t="shared" si="5"/>
        <v>Q4</v>
      </c>
      <c r="I48" s="13" t="s">
        <v>115</v>
      </c>
      <c r="J48" s="13"/>
    </row>
    <row r="49" spans="1:10" x14ac:dyDescent="0.25">
      <c r="A49" s="12">
        <v>46004</v>
      </c>
      <c r="B49" s="13" t="s">
        <v>218</v>
      </c>
      <c r="C49" s="13" t="s">
        <v>219</v>
      </c>
      <c r="D49" s="14">
        <v>9.65</v>
      </c>
      <c r="E49" s="13" t="s">
        <v>122</v>
      </c>
      <c r="F49" s="16" t="str">
        <f t="shared" si="3"/>
        <v>Yes</v>
      </c>
      <c r="G49" s="15">
        <f t="shared" si="4"/>
        <v>9.65</v>
      </c>
      <c r="H49" s="16" t="str">
        <f t="shared" si="5"/>
        <v>Q4</v>
      </c>
      <c r="I49" s="13" t="s">
        <v>123</v>
      </c>
      <c r="J49" s="13"/>
    </row>
    <row r="50" spans="1:10" x14ac:dyDescent="0.25">
      <c r="A50" s="12">
        <v>46011</v>
      </c>
      <c r="B50" s="13" t="s">
        <v>220</v>
      </c>
      <c r="C50" s="13" t="s">
        <v>221</v>
      </c>
      <c r="D50" s="14">
        <v>125</v>
      </c>
      <c r="E50" s="13" t="s">
        <v>151</v>
      </c>
      <c r="F50" s="16" t="str">
        <f t="shared" si="3"/>
        <v>Yes</v>
      </c>
      <c r="G50" s="15">
        <f t="shared" si="4"/>
        <v>125</v>
      </c>
      <c r="H50" s="16" t="str">
        <f t="shared" si="5"/>
        <v>Q4</v>
      </c>
      <c r="I50" s="13" t="s">
        <v>115</v>
      </c>
      <c r="J50" s="13" t="s">
        <v>222</v>
      </c>
    </row>
  </sheetData>
  <dataValidations count="2">
    <dataValidation type="list" allowBlank="1" sqref="E2:E500" xr:uid="{00000000-0002-0000-0100-000000000000}">
      <formula1>"Software/Subscriptions,Equipment,Office Supplies,Professional Services,Education/Training,Travel,Meals (50%),Home Office,Phone/Internet,Marketing,Insurance,Other"</formula1>
    </dataValidation>
    <dataValidation type="list" allowBlank="1" sqref="I2:I500" xr:uid="{00000000-0002-0000-0100-000001000000}">
      <formula1>"Yes,No,Digital"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workbookViewId="0">
      <selection activeCell="E7" sqref="E7"/>
    </sheetView>
  </sheetViews>
  <sheetFormatPr defaultRowHeight="15" x14ac:dyDescent="0.25"/>
  <cols>
    <col min="1" max="1" width="22.85546875" bestFit="1" customWidth="1"/>
    <col min="2" max="2" width="14.42578125" bestFit="1" customWidth="1"/>
    <col min="3" max="3" width="13.42578125" bestFit="1" customWidth="1"/>
    <col min="4" max="4" width="12.5703125" bestFit="1" customWidth="1"/>
    <col min="5" max="5" width="24.5703125" bestFit="1" customWidth="1"/>
    <col min="6" max="6" width="19.140625" bestFit="1" customWidth="1"/>
    <col min="7" max="7" width="10.140625" bestFit="1" customWidth="1"/>
    <col min="8" max="8" width="12.7109375" bestFit="1" customWidth="1"/>
    <col min="9" max="9" width="25.140625" bestFit="1" customWidth="1"/>
    <col min="10" max="10" width="27" bestFit="1" customWidth="1"/>
    <col min="11" max="11" width="22.28515625" bestFit="1" customWidth="1"/>
  </cols>
  <sheetData>
    <row r="1" spans="1:1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</row>
    <row r="2" spans="1:11" x14ac:dyDescent="0.25">
      <c r="A2" s="3" t="s">
        <v>11</v>
      </c>
      <c r="B2" s="15">
        <f>SUMPRODUCT((ISNUMBER('Revenue Log'!$A$2:$A$500))*(MONTH('Revenue Log'!$A$2:$A$500)=1)*'Revenue Log'!$E$2:$E$500)</f>
        <v>5000</v>
      </c>
      <c r="C2" s="15">
        <f>SUMPRODUCT((ISNUMBER('Revenue Log'!$A$2:$A$500))*(MONTH('Revenue Log'!$A$2:$A$500)=1)*'Revenue Log'!$F$2:$F$500)</f>
        <v>180</v>
      </c>
      <c r="D2" s="15">
        <f t="shared" ref="D2:D13" si="0">B2-C2</f>
        <v>4820</v>
      </c>
      <c r="E2" s="15">
        <f>SUMPRODUCT((ISNUMBER('Expense Log'!$A$2:$A$500))*(MONTH('Expense Log'!$A$2:$A$500)=1)*'Expense Log'!$G$2:$G$500)</f>
        <v>1276.49</v>
      </c>
      <c r="F2" s="15">
        <f>SUMPRODUCT((ISNUMBER('Expense Log'!$A$2:$A$500))*(MONTH('Expense Log'!$A$2:$A$500)=1)*'Expense Log'!$D$2:$D$500)</f>
        <v>1276.49</v>
      </c>
      <c r="G2" s="15">
        <f t="shared" ref="G2:G13" si="1">D2-E2</f>
        <v>3543.51</v>
      </c>
      <c r="H2" s="17">
        <f t="shared" ref="H2:H14" si="2">IF(B2&gt;0,G2/B2,"")</f>
        <v>0.70870200000000005</v>
      </c>
      <c r="I2" s="15">
        <f>D2</f>
        <v>4820</v>
      </c>
      <c r="J2" s="15">
        <f>E2</f>
        <v>1276.49</v>
      </c>
      <c r="K2" s="15">
        <f t="shared" ref="K2:K13" si="3">I2-J2</f>
        <v>3543.51</v>
      </c>
    </row>
    <row r="3" spans="1:11" x14ac:dyDescent="0.25">
      <c r="A3" s="3" t="s">
        <v>12</v>
      </c>
      <c r="B3" s="15">
        <f>SUMPRODUCT((ISNUMBER('Revenue Log'!$A$2:$A$500))*(MONTH('Revenue Log'!$A$2:$A$500)=2)*'Revenue Log'!$E$2:$E$500)</f>
        <v>7850</v>
      </c>
      <c r="C3" s="15">
        <f>SUMPRODUCT((ISNUMBER('Revenue Log'!$A$2:$A$500))*(MONTH('Revenue Log'!$A$2:$A$500)=2)*'Revenue Log'!$F$2:$F$500)</f>
        <v>240</v>
      </c>
      <c r="D3" s="15">
        <f t="shared" si="0"/>
        <v>7610</v>
      </c>
      <c r="E3" s="15">
        <f>SUMPRODUCT((ISNUMBER('Expense Log'!$A$2:$A$500))*(MONTH('Expense Log'!$A$2:$A$500)=2)*'Expense Log'!$G$2:$G$500)</f>
        <v>125.1</v>
      </c>
      <c r="F3" s="15">
        <f>SUMPRODUCT((ISNUMBER('Expense Log'!$A$2:$A$500))*(MONTH('Expense Log'!$A$2:$A$500)=2)*'Expense Log'!$D$2:$D$500)</f>
        <v>144.19999999999999</v>
      </c>
      <c r="G3" s="15">
        <f t="shared" si="1"/>
        <v>7484.9</v>
      </c>
      <c r="H3" s="17">
        <f t="shared" si="2"/>
        <v>0.95349044585987253</v>
      </c>
      <c r="I3" s="15">
        <f t="shared" ref="I3:I13" si="4">I2+D3</f>
        <v>12430</v>
      </c>
      <c r="J3" s="15">
        <f t="shared" ref="J3:J13" si="5">J2+E3</f>
        <v>1401.59</v>
      </c>
      <c r="K3" s="15">
        <f t="shared" si="3"/>
        <v>11028.41</v>
      </c>
    </row>
    <row r="4" spans="1:11" x14ac:dyDescent="0.25">
      <c r="A4" s="3" t="s">
        <v>13</v>
      </c>
      <c r="B4" s="15">
        <f>SUMPRODUCT((ISNUMBER('Revenue Log'!$A$2:$A$500))*(MONTH('Revenue Log'!$A$2:$A$500)=3)*'Revenue Log'!$E$2:$E$500)</f>
        <v>2850</v>
      </c>
      <c r="C4" s="15">
        <f>SUMPRODUCT((ISNUMBER('Revenue Log'!$A$2:$A$500))*(MONTH('Revenue Log'!$A$2:$A$500)=3)*'Revenue Log'!$F$2:$F$500)</f>
        <v>165</v>
      </c>
      <c r="D4" s="15">
        <f t="shared" si="0"/>
        <v>2685</v>
      </c>
      <c r="E4" s="15">
        <f>SUMPRODUCT((ISNUMBER('Expense Log'!$A$2:$A$500))*(MONTH('Expense Log'!$A$2:$A$500)=3)*'Expense Log'!$G$2:$G$500)</f>
        <v>294.99</v>
      </c>
      <c r="F4" s="15">
        <f>SUMPRODUCT((ISNUMBER('Expense Log'!$A$2:$A$500))*(MONTH('Expense Log'!$A$2:$A$500)=3)*'Expense Log'!$D$2:$D$500)</f>
        <v>294.99</v>
      </c>
      <c r="G4" s="15">
        <f t="shared" si="1"/>
        <v>2390.0100000000002</v>
      </c>
      <c r="H4" s="17">
        <f t="shared" si="2"/>
        <v>0.83860000000000012</v>
      </c>
      <c r="I4" s="15">
        <f t="shared" si="4"/>
        <v>15115</v>
      </c>
      <c r="J4" s="15">
        <f t="shared" si="5"/>
        <v>1696.58</v>
      </c>
      <c r="K4" s="15">
        <f t="shared" si="3"/>
        <v>13418.42</v>
      </c>
    </row>
    <row r="5" spans="1:11" x14ac:dyDescent="0.25">
      <c r="A5" s="3" t="s">
        <v>14</v>
      </c>
      <c r="B5" s="15">
        <f>SUMPRODUCT((ISNUMBER('Revenue Log'!$A$2:$A$500))*(MONTH('Revenue Log'!$A$2:$A$500)=4)*'Revenue Log'!$E$2:$E$500)</f>
        <v>7000</v>
      </c>
      <c r="C5" s="15">
        <f>SUMPRODUCT((ISNUMBER('Revenue Log'!$A$2:$A$500))*(MONTH('Revenue Log'!$A$2:$A$500)=4)*'Revenue Log'!$F$2:$F$500)</f>
        <v>110</v>
      </c>
      <c r="D5" s="15">
        <f t="shared" si="0"/>
        <v>6890</v>
      </c>
      <c r="E5" s="15">
        <f>SUMPRODUCT((ISNUMBER('Expense Log'!$A$2:$A$500))*(MONTH('Expense Log'!$A$2:$A$500)=4)*'Expense Log'!$G$2:$G$500)</f>
        <v>616</v>
      </c>
      <c r="F5" s="15">
        <f>SUMPRODUCT((ISNUMBER('Expense Log'!$A$2:$A$500))*(MONTH('Expense Log'!$A$2:$A$500)=4)*'Expense Log'!$D$2:$D$500)</f>
        <v>616</v>
      </c>
      <c r="G5" s="15">
        <f t="shared" si="1"/>
        <v>6274</v>
      </c>
      <c r="H5" s="17">
        <f t="shared" si="2"/>
        <v>0.89628571428571424</v>
      </c>
      <c r="I5" s="15">
        <f t="shared" si="4"/>
        <v>22005</v>
      </c>
      <c r="J5" s="15">
        <f t="shared" si="5"/>
        <v>2312.58</v>
      </c>
      <c r="K5" s="15">
        <f t="shared" si="3"/>
        <v>19692.419999999998</v>
      </c>
    </row>
    <row r="6" spans="1:11" x14ac:dyDescent="0.25">
      <c r="A6" s="3" t="s">
        <v>15</v>
      </c>
      <c r="B6" s="15">
        <f>SUMPRODUCT((ISNUMBER('Revenue Log'!$A$2:$A$500))*(MONTH('Revenue Log'!$A$2:$A$500)=5)*'Revenue Log'!$E$2:$E$500)</f>
        <v>3550</v>
      </c>
      <c r="C6" s="15">
        <f>SUMPRODUCT((ISNUMBER('Revenue Log'!$A$2:$A$500))*(MONTH('Revenue Log'!$A$2:$A$500)=5)*'Revenue Log'!$F$2:$F$500)</f>
        <v>0</v>
      </c>
      <c r="D6" s="15">
        <f t="shared" si="0"/>
        <v>3550</v>
      </c>
      <c r="E6" s="15">
        <f>SUMPRODUCT((ISNUMBER('Expense Log'!$A$2:$A$500))*(MONTH('Expense Log'!$A$2:$A$500)=5)*'Expense Log'!$G$2:$G$500)</f>
        <v>145.24</v>
      </c>
      <c r="F6" s="15">
        <f>SUMPRODUCT((ISNUMBER('Expense Log'!$A$2:$A$500))*(MONTH('Expense Log'!$A$2:$A$500)=5)*'Expense Log'!$D$2:$D$500)</f>
        <v>145.24</v>
      </c>
      <c r="G6" s="15">
        <f t="shared" si="1"/>
        <v>3404.76</v>
      </c>
      <c r="H6" s="17">
        <f t="shared" si="2"/>
        <v>0.95908732394366203</v>
      </c>
      <c r="I6" s="15">
        <f t="shared" si="4"/>
        <v>25555</v>
      </c>
      <c r="J6" s="15">
        <f t="shared" si="5"/>
        <v>2457.8199999999997</v>
      </c>
      <c r="K6" s="15">
        <f t="shared" si="3"/>
        <v>23097.18</v>
      </c>
    </row>
    <row r="7" spans="1:11" x14ac:dyDescent="0.25">
      <c r="A7" s="3" t="s">
        <v>16</v>
      </c>
      <c r="B7" s="15">
        <f>SUMPRODUCT((ISNUMBER('Revenue Log'!$A$2:$A$500))*(MONTH('Revenue Log'!$A$2:$A$500)=6)*'Revenue Log'!$E$2:$E$500)</f>
        <v>5600</v>
      </c>
      <c r="C7" s="15">
        <f>SUMPRODUCT((ISNUMBER('Revenue Log'!$A$2:$A$500))*(MONTH('Revenue Log'!$A$2:$A$500)=6)*'Revenue Log'!$F$2:$F$500)</f>
        <v>220</v>
      </c>
      <c r="D7" s="15">
        <f t="shared" si="0"/>
        <v>5380</v>
      </c>
      <c r="E7" s="15">
        <f>SUMPRODUCT((ISNUMBER('Expense Log'!$A$2:$A$500))*(MONTH('Expense Log'!$A$2:$A$500)=6)*'Expense Log'!$G$2:$G$500)</f>
        <v>163.45000000000002</v>
      </c>
      <c r="F7" s="15">
        <f>SUMPRODUCT((ISNUMBER('Expense Log'!$A$2:$A$500))*(MONTH('Expense Log'!$A$2:$A$500)=6)*'Expense Log'!$D$2:$D$500)</f>
        <v>194.5</v>
      </c>
      <c r="G7" s="15">
        <f t="shared" si="1"/>
        <v>5216.55</v>
      </c>
      <c r="H7" s="17">
        <f t="shared" si="2"/>
        <v>0.93152678571428571</v>
      </c>
      <c r="I7" s="15">
        <f t="shared" si="4"/>
        <v>30935</v>
      </c>
      <c r="J7" s="15">
        <f t="shared" si="5"/>
        <v>2621.2699999999995</v>
      </c>
      <c r="K7" s="15">
        <f t="shared" si="3"/>
        <v>28313.73</v>
      </c>
    </row>
    <row r="8" spans="1:11" x14ac:dyDescent="0.25">
      <c r="A8" s="3" t="s">
        <v>17</v>
      </c>
      <c r="B8" s="15">
        <f>SUMPRODUCT((ISNUMBER('Revenue Log'!$A$2:$A$500))*(MONTH('Revenue Log'!$A$2:$A$500)=7)*'Revenue Log'!$E$2:$E$500)</f>
        <v>5000</v>
      </c>
      <c r="C8" s="15">
        <f>SUMPRODUCT((ISNUMBER('Revenue Log'!$A$2:$A$500))*(MONTH('Revenue Log'!$A$2:$A$500)=7)*'Revenue Log'!$F$2:$F$500)</f>
        <v>0</v>
      </c>
      <c r="D8" s="15">
        <f t="shared" si="0"/>
        <v>5000</v>
      </c>
      <c r="E8" s="15">
        <f>SUMPRODUCT((ISNUMBER('Expense Log'!$A$2:$A$500))*(MONTH('Expense Log'!$A$2:$A$500)=7)*'Expense Log'!$G$2:$G$500)</f>
        <v>535.87</v>
      </c>
      <c r="F8" s="15">
        <f>SUMPRODUCT((ISNUMBER('Expense Log'!$A$2:$A$500))*(MONTH('Expense Log'!$A$2:$A$500)=7)*'Expense Log'!$D$2:$D$500)</f>
        <v>535.87</v>
      </c>
      <c r="G8" s="15">
        <f t="shared" si="1"/>
        <v>4464.13</v>
      </c>
      <c r="H8" s="17">
        <f t="shared" si="2"/>
        <v>0.89282600000000001</v>
      </c>
      <c r="I8" s="15">
        <f t="shared" si="4"/>
        <v>35935</v>
      </c>
      <c r="J8" s="15">
        <f t="shared" si="5"/>
        <v>3157.1399999999994</v>
      </c>
      <c r="K8" s="15">
        <f t="shared" si="3"/>
        <v>32777.86</v>
      </c>
    </row>
    <row r="9" spans="1:11" x14ac:dyDescent="0.25">
      <c r="A9" s="3" t="s">
        <v>18</v>
      </c>
      <c r="B9" s="15">
        <f>SUMPRODUCT((ISNUMBER('Revenue Log'!$A$2:$A$500))*(MONTH('Revenue Log'!$A$2:$A$500)=8)*'Revenue Log'!$E$2:$E$500)</f>
        <v>2330</v>
      </c>
      <c r="C9" s="15">
        <f>SUMPRODUCT((ISNUMBER('Revenue Log'!$A$2:$A$500))*(MONTH('Revenue Log'!$A$2:$A$500)=8)*'Revenue Log'!$F$2:$F$500)</f>
        <v>98</v>
      </c>
      <c r="D9" s="15">
        <f t="shared" si="0"/>
        <v>2232</v>
      </c>
      <c r="E9" s="15">
        <f>SUMPRODUCT((ISNUMBER('Expense Log'!$A$2:$A$500))*(MONTH('Expense Log'!$A$2:$A$500)=8)*'Expense Log'!$G$2:$G$500)</f>
        <v>515</v>
      </c>
      <c r="F9" s="15">
        <f>SUMPRODUCT((ISNUMBER('Expense Log'!$A$2:$A$500))*(MONTH('Expense Log'!$A$2:$A$500)=8)*'Expense Log'!$D$2:$D$500)</f>
        <v>515</v>
      </c>
      <c r="G9" s="15">
        <f t="shared" si="1"/>
        <v>1717</v>
      </c>
      <c r="H9" s="17">
        <f t="shared" si="2"/>
        <v>0.73690987124463514</v>
      </c>
      <c r="I9" s="15">
        <f t="shared" si="4"/>
        <v>38167</v>
      </c>
      <c r="J9" s="15">
        <f t="shared" si="5"/>
        <v>3672.1399999999994</v>
      </c>
      <c r="K9" s="15">
        <f t="shared" si="3"/>
        <v>34494.86</v>
      </c>
    </row>
    <row r="10" spans="1:11" x14ac:dyDescent="0.25">
      <c r="A10" s="3" t="s">
        <v>19</v>
      </c>
      <c r="B10" s="15">
        <f>SUMPRODUCT((ISNUMBER('Revenue Log'!$A$2:$A$500))*(MONTH('Revenue Log'!$A$2:$A$500)=9)*'Revenue Log'!$E$2:$E$500)</f>
        <v>4350</v>
      </c>
      <c r="C10" s="15">
        <f>SUMPRODUCT((ISNUMBER('Revenue Log'!$A$2:$A$500))*(MONTH('Revenue Log'!$A$2:$A$500)=9)*'Revenue Log'!$F$2:$F$500)</f>
        <v>0</v>
      </c>
      <c r="D10" s="15">
        <f t="shared" si="0"/>
        <v>4350</v>
      </c>
      <c r="E10" s="15">
        <f>SUMPRODUCT((ISNUMBER('Expense Log'!$A$2:$A$500))*(MONTH('Expense Log'!$A$2:$A$500)=9)*'Expense Log'!$G$2:$G$500)</f>
        <v>413</v>
      </c>
      <c r="F10" s="15">
        <f>SUMPRODUCT((ISNUMBER('Expense Log'!$A$2:$A$500))*(MONTH('Expense Log'!$A$2:$A$500)=9)*'Expense Log'!$D$2:$D$500)</f>
        <v>460</v>
      </c>
      <c r="G10" s="15">
        <f t="shared" si="1"/>
        <v>3937</v>
      </c>
      <c r="H10" s="17">
        <f t="shared" si="2"/>
        <v>0.90505747126436786</v>
      </c>
      <c r="I10" s="15">
        <f t="shared" si="4"/>
        <v>42517</v>
      </c>
      <c r="J10" s="15">
        <f t="shared" si="5"/>
        <v>4085.1399999999994</v>
      </c>
      <c r="K10" s="15">
        <f t="shared" si="3"/>
        <v>38431.86</v>
      </c>
    </row>
    <row r="11" spans="1:11" x14ac:dyDescent="0.25">
      <c r="A11" s="3" t="s">
        <v>20</v>
      </c>
      <c r="B11" s="15">
        <f>SUMPRODUCT((ISNUMBER('Revenue Log'!$A$2:$A$500))*(MONTH('Revenue Log'!$A$2:$A$500)=10)*'Revenue Log'!$E$2:$E$500)</f>
        <v>2750</v>
      </c>
      <c r="C11" s="15">
        <f>SUMPRODUCT((ISNUMBER('Revenue Log'!$A$2:$A$500))*(MONTH('Revenue Log'!$A$2:$A$500)=10)*'Revenue Log'!$F$2:$F$500)</f>
        <v>130</v>
      </c>
      <c r="D11" s="15">
        <f t="shared" si="0"/>
        <v>2620</v>
      </c>
      <c r="E11" s="15">
        <f>SUMPRODUCT((ISNUMBER('Expense Log'!$A$2:$A$500))*(MONTH('Expense Log'!$A$2:$A$500)=10)*'Expense Log'!$G$2:$G$500)</f>
        <v>78.89</v>
      </c>
      <c r="F11" s="15">
        <f>SUMPRODUCT((ISNUMBER('Expense Log'!$A$2:$A$500))*(MONTH('Expense Log'!$A$2:$A$500)=10)*'Expense Log'!$D$2:$D$500)</f>
        <v>78.89</v>
      </c>
      <c r="G11" s="15">
        <f t="shared" si="1"/>
        <v>2541.11</v>
      </c>
      <c r="H11" s="17">
        <f t="shared" si="2"/>
        <v>0.92404000000000008</v>
      </c>
      <c r="I11" s="15">
        <f t="shared" si="4"/>
        <v>45137</v>
      </c>
      <c r="J11" s="15">
        <f t="shared" si="5"/>
        <v>4164.03</v>
      </c>
      <c r="K11" s="15">
        <f t="shared" si="3"/>
        <v>40972.97</v>
      </c>
    </row>
    <row r="12" spans="1:11" x14ac:dyDescent="0.25">
      <c r="A12" s="3" t="s">
        <v>21</v>
      </c>
      <c r="B12" s="15">
        <f>SUMPRODUCT((ISNUMBER('Revenue Log'!$A$2:$A$500))*(MONTH('Revenue Log'!$A$2:$A$500)=11)*'Revenue Log'!$E$2:$E$500)</f>
        <v>6300</v>
      </c>
      <c r="C12" s="15">
        <f>SUMPRODUCT((ISNUMBER('Revenue Log'!$A$2:$A$500))*(MONTH('Revenue Log'!$A$2:$A$500)=11)*'Revenue Log'!$F$2:$F$500)</f>
        <v>0</v>
      </c>
      <c r="D12" s="15">
        <f t="shared" si="0"/>
        <v>6300</v>
      </c>
      <c r="E12" s="15">
        <f>SUMPRODUCT((ISNUMBER('Expense Log'!$A$2:$A$500))*(MONTH('Expense Log'!$A$2:$A$500)=11)*'Expense Log'!$G$2:$G$500)</f>
        <v>294.45</v>
      </c>
      <c r="F12" s="15">
        <f>SUMPRODUCT((ISNUMBER('Expense Log'!$A$2:$A$500))*(MONTH('Expense Log'!$A$2:$A$500)=11)*'Expense Log'!$D$2:$D$500)</f>
        <v>301.7</v>
      </c>
      <c r="G12" s="15">
        <f t="shared" si="1"/>
        <v>6005.55</v>
      </c>
      <c r="H12" s="17">
        <f t="shared" si="2"/>
        <v>0.95326190476190475</v>
      </c>
      <c r="I12" s="15">
        <f t="shared" si="4"/>
        <v>51437</v>
      </c>
      <c r="J12" s="15">
        <f t="shared" si="5"/>
        <v>4458.4799999999996</v>
      </c>
      <c r="K12" s="15">
        <f t="shared" si="3"/>
        <v>46978.520000000004</v>
      </c>
    </row>
    <row r="13" spans="1:11" x14ac:dyDescent="0.25">
      <c r="A13" s="3" t="s">
        <v>22</v>
      </c>
      <c r="B13" s="15">
        <f>SUMPRODUCT((ISNUMBER('Revenue Log'!$A$2:$A$500))*(MONTH('Revenue Log'!$A$2:$A$500)=12)*'Revenue Log'!$E$2:$E$500)</f>
        <v>4400</v>
      </c>
      <c r="C13" s="15">
        <f>SUMPRODUCT((ISNUMBER('Revenue Log'!$A$2:$A$500))*(MONTH('Revenue Log'!$A$2:$A$500)=12)*'Revenue Log'!$F$2:$F$500)</f>
        <v>150</v>
      </c>
      <c r="D13" s="15">
        <f t="shared" si="0"/>
        <v>4250</v>
      </c>
      <c r="E13" s="15">
        <f>SUMPRODUCT((ISNUMBER('Expense Log'!$A$2:$A$500))*(MONTH('Expense Log'!$A$2:$A$500)=12)*'Expense Log'!$G$2:$G$500)</f>
        <v>182.98</v>
      </c>
      <c r="F13" s="15">
        <f>SUMPRODUCT((ISNUMBER('Expense Log'!$A$2:$A$500))*(MONTH('Expense Log'!$A$2:$A$500)=12)*'Expense Log'!$D$2:$D$500)</f>
        <v>182.98</v>
      </c>
      <c r="G13" s="15">
        <f t="shared" si="1"/>
        <v>4067.02</v>
      </c>
      <c r="H13" s="17">
        <f t="shared" si="2"/>
        <v>0.92432272727272724</v>
      </c>
      <c r="I13" s="15">
        <f t="shared" si="4"/>
        <v>55687</v>
      </c>
      <c r="J13" s="15">
        <f t="shared" si="5"/>
        <v>4641.4599999999991</v>
      </c>
      <c r="K13" s="15">
        <f t="shared" si="3"/>
        <v>51045.54</v>
      </c>
    </row>
    <row r="14" spans="1:11" ht="15.75" customHeight="1" x14ac:dyDescent="0.25">
      <c r="A14" s="30" t="s">
        <v>23</v>
      </c>
      <c r="B14" s="31">
        <f t="shared" ref="B14:G14" si="6">SUM(B2:B13)</f>
        <v>56980</v>
      </c>
      <c r="C14" s="31">
        <f t="shared" si="6"/>
        <v>1293</v>
      </c>
      <c r="D14" s="31">
        <f t="shared" si="6"/>
        <v>55687</v>
      </c>
      <c r="E14" s="31">
        <f t="shared" si="6"/>
        <v>4641.4599999999991</v>
      </c>
      <c r="F14" s="31">
        <f t="shared" si="6"/>
        <v>4745.8599999999997</v>
      </c>
      <c r="G14" s="31">
        <f t="shared" si="6"/>
        <v>51045.54</v>
      </c>
      <c r="H14" s="32">
        <f t="shared" si="2"/>
        <v>0.89585012285012289</v>
      </c>
      <c r="I14" s="3"/>
      <c r="J14" s="3"/>
      <c r="K14" s="3"/>
    </row>
    <row r="16" spans="1:11" ht="15.75" customHeight="1" x14ac:dyDescent="0.25">
      <c r="A16" s="5" t="s">
        <v>24</v>
      </c>
    </row>
    <row r="17" spans="1:3" x14ac:dyDescent="0.25">
      <c r="A17" s="18" t="s">
        <v>25</v>
      </c>
      <c r="B17" s="18" t="s">
        <v>26</v>
      </c>
      <c r="C17" s="18" t="s">
        <v>27</v>
      </c>
    </row>
    <row r="18" spans="1:3" x14ac:dyDescent="0.25">
      <c r="A18" s="3" t="s">
        <v>28</v>
      </c>
      <c r="B18" s="15">
        <f>SUMIFS('Revenue Log'!$E$2:$E$500,'Revenue Log'!$B$2:$B$500,$A$18)</f>
        <v>18050</v>
      </c>
      <c r="C18" s="17">
        <f>IF($B$14=0,"",B18/$B$14)</f>
        <v>0.3167778167778168</v>
      </c>
    </row>
    <row r="19" spans="1:3" x14ac:dyDescent="0.25">
      <c r="A19" s="3" t="s">
        <v>29</v>
      </c>
      <c r="B19" s="15">
        <f>SUMIFS('Revenue Log'!$E$2:$E$500,'Revenue Log'!$B$2:$B$500,$A$19)</f>
        <v>12930</v>
      </c>
      <c r="C19" s="17">
        <f>IF($B$14=0,"",B19/$B$14)</f>
        <v>0.22692172692172694</v>
      </c>
    </row>
    <row r="20" spans="1:3" x14ac:dyDescent="0.25">
      <c r="A20" s="3" t="s">
        <v>30</v>
      </c>
      <c r="B20" s="15">
        <f>SUMIFS('Revenue Log'!$E$2:$E$500,'Revenue Log'!$B$2:$B$500,$A$20)</f>
        <v>13150</v>
      </c>
      <c r="C20" s="17">
        <f>IF($B$14=0,"",B20/$B$14)</f>
        <v>0.23078273078273079</v>
      </c>
    </row>
    <row r="21" spans="1:3" x14ac:dyDescent="0.25">
      <c r="A21" s="3" t="s">
        <v>31</v>
      </c>
      <c r="B21" s="15">
        <f>SUMIFS('Revenue Log'!$E$2:$E$500,'Revenue Log'!$B$2:$B$500,$A$21)</f>
        <v>7300</v>
      </c>
      <c r="C21" s="17">
        <f>IF($B$14=0,"",B21/$B$14)</f>
        <v>0.12811512811512812</v>
      </c>
    </row>
    <row r="22" spans="1:3" x14ac:dyDescent="0.25">
      <c r="A22" s="3" t="s">
        <v>32</v>
      </c>
      <c r="B22" s="15">
        <f>SUMIFS('Revenue Log'!$E$2:$E$500,'Revenue Log'!$B$2:$B$500,$A$22)</f>
        <v>5550</v>
      </c>
      <c r="C22" s="17">
        <f>IF($B$14=0,"",B22/$B$14)</f>
        <v>9.7402597402597407E-2</v>
      </c>
    </row>
  </sheetData>
  <conditionalFormatting sqref="H2:H13">
    <cfRule type="cellIs" dxfId="0" priority="1" operator="lessThan">
      <formula>0.2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showGridLines="0" workbookViewId="0">
      <selection activeCell="A26" sqref="A26"/>
    </sheetView>
  </sheetViews>
  <sheetFormatPr defaultRowHeight="15" x14ac:dyDescent="0.25"/>
  <cols>
    <col min="1" max="1" width="45.140625" bestFit="1" customWidth="1"/>
    <col min="2" max="2" width="18" style="10" customWidth="1"/>
    <col min="3" max="3" width="13.7109375" bestFit="1" customWidth="1"/>
    <col min="4" max="4" width="12.42578125" bestFit="1" customWidth="1"/>
    <col min="5" max="5" width="10.42578125" bestFit="1" customWidth="1"/>
  </cols>
  <sheetData>
    <row r="1" spans="1:2" ht="21.95" customHeight="1" x14ac:dyDescent="0.3">
      <c r="A1" s="29" t="s">
        <v>293</v>
      </c>
    </row>
    <row r="2" spans="1:2" ht="21.95" customHeight="1" x14ac:dyDescent="0.25"/>
    <row r="3" spans="1:2" ht="21.95" customHeight="1" x14ac:dyDescent="0.25">
      <c r="A3" s="7" t="s">
        <v>223</v>
      </c>
      <c r="B3" s="21" t="s">
        <v>224</v>
      </c>
    </row>
    <row r="4" spans="1:2" ht="21.95" customHeight="1" x14ac:dyDescent="0.25">
      <c r="A4" s="7" t="s">
        <v>225</v>
      </c>
      <c r="B4" s="22">
        <v>85000</v>
      </c>
    </row>
    <row r="5" spans="1:2" ht="21.95" customHeight="1" x14ac:dyDescent="0.25">
      <c r="A5" s="7" t="s">
        <v>226</v>
      </c>
      <c r="B5" s="22">
        <v>12800</v>
      </c>
    </row>
    <row r="6" spans="1:2" ht="21.95" customHeight="1" x14ac:dyDescent="0.25">
      <c r="A6" s="7" t="s">
        <v>227</v>
      </c>
      <c r="B6" s="21" t="s">
        <v>228</v>
      </c>
    </row>
    <row r="7" spans="1:2" ht="21.95" customHeight="1" x14ac:dyDescent="0.25">
      <c r="A7" s="7" t="s">
        <v>229</v>
      </c>
      <c r="B7" s="23">
        <f>'Monthly P&amp;L'!$G$14</f>
        <v>51045.54</v>
      </c>
    </row>
    <row r="8" spans="1:2" ht="21.95" customHeight="1" x14ac:dyDescent="0.25"/>
    <row r="9" spans="1:2" ht="21.95" customHeight="1" x14ac:dyDescent="0.25">
      <c r="A9" s="7" t="s">
        <v>230</v>
      </c>
      <c r="B9" s="24">
        <v>176100</v>
      </c>
    </row>
    <row r="10" spans="1:2" ht="21.95" customHeight="1" x14ac:dyDescent="0.25">
      <c r="A10" s="7" t="s">
        <v>231</v>
      </c>
      <c r="B10" s="23">
        <f>B7</f>
        <v>51045.54</v>
      </c>
    </row>
    <row r="11" spans="1:2" ht="21.95" customHeight="1" x14ac:dyDescent="0.25">
      <c r="A11" s="7" t="s">
        <v>232</v>
      </c>
      <c r="B11" s="23">
        <f>B10*0.9235</f>
        <v>47140.556190000003</v>
      </c>
    </row>
    <row r="12" spans="1:2" ht="21.95" customHeight="1" x14ac:dyDescent="0.25">
      <c r="A12" s="7" t="s">
        <v>233</v>
      </c>
      <c r="B12" s="23">
        <f>MIN(B11,MAX(0,$B$9-B4))*0.124</f>
        <v>5845.4289675600003</v>
      </c>
    </row>
    <row r="13" spans="1:2" ht="21.95" customHeight="1" x14ac:dyDescent="0.25">
      <c r="A13" s="7" t="s">
        <v>234</v>
      </c>
      <c r="B13" s="23">
        <f>B11*0.029</f>
        <v>1367.0761295100001</v>
      </c>
    </row>
    <row r="14" spans="1:2" ht="21.95" customHeight="1" x14ac:dyDescent="0.25">
      <c r="A14" s="7" t="s">
        <v>235</v>
      </c>
      <c r="B14" s="23">
        <f>B12+B13</f>
        <v>7212.5050970700004</v>
      </c>
    </row>
    <row r="15" spans="1:2" ht="21.95" customHeight="1" x14ac:dyDescent="0.25">
      <c r="A15" s="7" t="s">
        <v>236</v>
      </c>
      <c r="B15" s="23">
        <f>B14*0.5</f>
        <v>3606.2525485350002</v>
      </c>
    </row>
    <row r="16" spans="1:2" ht="21.95" customHeight="1" x14ac:dyDescent="0.25"/>
    <row r="17" spans="1:5" ht="21.95" customHeight="1" x14ac:dyDescent="0.25">
      <c r="A17" s="7" t="s">
        <v>237</v>
      </c>
      <c r="B17" s="23">
        <f>B4+B7-B15</f>
        <v>132439.287451465</v>
      </c>
    </row>
    <row r="18" spans="1:5" ht="21.95" customHeight="1" x14ac:dyDescent="0.25">
      <c r="A18" s="7" t="s">
        <v>238</v>
      </c>
      <c r="B18" s="23">
        <f>IF(B3="Single",15000,IF(B3="Married Filing Jointly",30000,IF(B3="Head of Household",22500,15000)))</f>
        <v>15000</v>
      </c>
    </row>
    <row r="19" spans="1:5" ht="21.95" customHeight="1" x14ac:dyDescent="0.25">
      <c r="A19" s="7" t="s">
        <v>239</v>
      </c>
      <c r="B19" s="23">
        <f>MAX(0,B17-B18)</f>
        <v>117439.287451465</v>
      </c>
    </row>
    <row r="20" spans="1:5" ht="21.95" customHeight="1" x14ac:dyDescent="0.25">
      <c r="A20" s="7" t="s">
        <v>240</v>
      </c>
      <c r="B20" s="23">
        <f>IF(B3="Married Filing Jointly",IF(B19&lt;=0,0,IF(B19&lt;=23850,B19*0.1,IF(B19&lt;=96950,2385+(B19-23850)*0.12,IF(B19&lt;=206700,11157+(B19-96950)*0.22,IF(B19&lt;=394600,35302+(B19-206700)*0.24,IF(B19&lt;=501050,80398+(B19-394600)*0.32,IF(B19&lt;=1252700,114462+(B19-501050)*0.35,114462+(1252700-501050)*0.35+(B19-1252700)*0.37))))))),IF(B3="Head of Household",IF(B19&lt;=0,0,IF(B19&lt;=17025,B19*0.1,IF(B19&lt;=69250,1702.5+(B19-17025)*0.12,IF(B19&lt;=110150,7975.5+(B19-69250)*0.22,IF(B19&lt;=210300,18993+(B19-110150)*0.24,IF(B19&lt;=267450,43029+(B19-210300)*0.32,IF(B19&lt;=626350,61317+(B19-267450)*0.35,61317+(626350-267450)*0.35+(B19-626350)*0.37))))))),IF(B19&lt;=0,0,IF(B19&lt;=11925,B19*0.1,IF(B19&lt;=48475,1192.5+(B19-11925)*0.12,IF(B19&lt;=103350,5578.5+(B19-48475)*0.22,IF(B19&lt;=197300,17651+(B19-103350)*0.24,IF(B19&lt;=250525,40199+(B19-197300)*0.32,IF(B19&lt;=626350,57231+(B19-250525)*0.35,57231+(626350-250525)*0.35+(B19-626350)*0.37)))))))))</f>
        <v>21032.428988351599</v>
      </c>
    </row>
    <row r="21" spans="1:5" ht="21.95" customHeight="1" x14ac:dyDescent="0.25">
      <c r="A21" s="7" t="s">
        <v>241</v>
      </c>
      <c r="B21" s="23">
        <f>B5</f>
        <v>12800</v>
      </c>
    </row>
    <row r="22" spans="1:5" ht="21.95" customHeight="1" x14ac:dyDescent="0.25">
      <c r="A22" s="7" t="s">
        <v>242</v>
      </c>
      <c r="B22" s="23">
        <f>B20+B14-B21</f>
        <v>15444.934085421599</v>
      </c>
    </row>
    <row r="23" spans="1:5" ht="21.95" customHeight="1" x14ac:dyDescent="0.25">
      <c r="A23" s="7" t="s">
        <v>243</v>
      </c>
      <c r="B23" s="23">
        <f>MAX(0,B22/4)</f>
        <v>3861.2335213553997</v>
      </c>
    </row>
    <row r="24" spans="1:5" ht="21.95" customHeight="1" x14ac:dyDescent="0.25"/>
    <row r="25" spans="1:5" ht="21.95" customHeight="1" x14ac:dyDescent="0.25">
      <c r="A25" s="5" t="s">
        <v>244</v>
      </c>
    </row>
    <row r="26" spans="1:5" ht="21.95" customHeight="1" x14ac:dyDescent="0.25">
      <c r="A26" s="6" t="s">
        <v>40</v>
      </c>
      <c r="B26" s="25" t="s">
        <v>245</v>
      </c>
      <c r="C26" s="6" t="s">
        <v>246</v>
      </c>
      <c r="D26" s="6" t="s">
        <v>247</v>
      </c>
      <c r="E26" s="6" t="s">
        <v>248</v>
      </c>
    </row>
    <row r="27" spans="1:5" ht="21.95" customHeight="1" x14ac:dyDescent="0.25">
      <c r="A27" s="3" t="s">
        <v>249</v>
      </c>
      <c r="B27" s="9" t="s">
        <v>250</v>
      </c>
      <c r="C27" s="15">
        <f>$B$23</f>
        <v>3861.2335213553997</v>
      </c>
      <c r="D27" s="14">
        <v>0</v>
      </c>
      <c r="E27" s="15">
        <f>C27-D27</f>
        <v>3861.2335213553997</v>
      </c>
    </row>
    <row r="28" spans="1:5" ht="21.95" customHeight="1" x14ac:dyDescent="0.25">
      <c r="A28" s="3" t="s">
        <v>251</v>
      </c>
      <c r="B28" s="9" t="s">
        <v>252</v>
      </c>
      <c r="C28" s="15">
        <f>$B$23</f>
        <v>3861.2335213553997</v>
      </c>
      <c r="D28" s="14">
        <v>0</v>
      </c>
      <c r="E28" s="15">
        <f>C28-D28</f>
        <v>3861.2335213553997</v>
      </c>
    </row>
    <row r="29" spans="1:5" ht="21.95" customHeight="1" x14ac:dyDescent="0.25">
      <c r="A29" s="3" t="s">
        <v>253</v>
      </c>
      <c r="B29" s="9" t="s">
        <v>254</v>
      </c>
      <c r="C29" s="15">
        <f>$B$23</f>
        <v>3861.2335213553997</v>
      </c>
      <c r="D29" s="14">
        <v>0</v>
      </c>
      <c r="E29" s="15">
        <f>C29-D29</f>
        <v>3861.2335213553997</v>
      </c>
    </row>
    <row r="30" spans="1:5" ht="21.95" customHeight="1" x14ac:dyDescent="0.25">
      <c r="A30" s="3" t="s">
        <v>255</v>
      </c>
      <c r="B30" s="9" t="s">
        <v>256</v>
      </c>
      <c r="C30" s="15">
        <f>$B$23</f>
        <v>3861.2335213553997</v>
      </c>
      <c r="D30" s="14">
        <v>0</v>
      </c>
      <c r="E30" s="15">
        <f>C30-D30</f>
        <v>3861.2335213553997</v>
      </c>
    </row>
    <row r="31" spans="1:5" ht="21.95" customHeight="1" x14ac:dyDescent="0.25"/>
  </sheetData>
  <dataValidations count="1">
    <dataValidation type="list" allowBlank="1" sqref="B3" xr:uid="{00000000-0002-0000-0300-000000000000}">
      <formula1>"Single,Married Filing Jointly,Head of Household"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/>
  </sheetViews>
  <sheetFormatPr defaultRowHeight="15" x14ac:dyDescent="0.25"/>
  <cols>
    <col min="1" max="1" width="8" style="10" customWidth="1"/>
    <col min="2" max="2" width="36" customWidth="1"/>
    <col min="3" max="3" width="17.85546875" customWidth="1"/>
    <col min="4" max="4" width="45" bestFit="1" customWidth="1"/>
  </cols>
  <sheetData>
    <row r="1" spans="1:4" x14ac:dyDescent="0.25">
      <c r="A1" s="11" t="s">
        <v>257</v>
      </c>
      <c r="B1" s="6" t="s">
        <v>106</v>
      </c>
      <c r="C1" s="6" t="s">
        <v>107</v>
      </c>
      <c r="D1" s="6" t="s">
        <v>258</v>
      </c>
    </row>
    <row r="2" spans="1:4" x14ac:dyDescent="0.25">
      <c r="A2" s="9">
        <v>1</v>
      </c>
      <c r="B2" s="7" t="s">
        <v>259</v>
      </c>
      <c r="C2" s="15">
        <f>SUM('Revenue Log'!$E$2:$E$500)-SUM('Revenue Log'!$F$2:$F$500)</f>
        <v>55687</v>
      </c>
      <c r="D2" s="8" t="s">
        <v>260</v>
      </c>
    </row>
    <row r="3" spans="1:4" x14ac:dyDescent="0.25">
      <c r="A3" s="9">
        <v>2</v>
      </c>
      <c r="B3" s="7" t="s">
        <v>261</v>
      </c>
      <c r="C3" s="2">
        <v>0</v>
      </c>
      <c r="D3" s="8"/>
    </row>
    <row r="4" spans="1:4" x14ac:dyDescent="0.25">
      <c r="A4" s="9">
        <v>3</v>
      </c>
      <c r="B4" s="7" t="s">
        <v>262</v>
      </c>
      <c r="C4" s="15">
        <f>C2-C3</f>
        <v>55687</v>
      </c>
      <c r="D4" s="8" t="s">
        <v>263</v>
      </c>
    </row>
    <row r="5" spans="1:4" x14ac:dyDescent="0.25">
      <c r="A5" s="9">
        <v>4</v>
      </c>
      <c r="B5" s="7" t="s">
        <v>264</v>
      </c>
      <c r="C5" s="2">
        <v>0</v>
      </c>
      <c r="D5" s="8" t="s">
        <v>265</v>
      </c>
    </row>
    <row r="6" spans="1:4" x14ac:dyDescent="0.25">
      <c r="A6" s="9">
        <v>5</v>
      </c>
      <c r="B6" s="26" t="s">
        <v>266</v>
      </c>
      <c r="C6" s="27">
        <f>C4-C5</f>
        <v>55687</v>
      </c>
      <c r="D6" s="28" t="s">
        <v>267</v>
      </c>
    </row>
    <row r="7" spans="1:4" ht="15.75" customHeight="1" x14ac:dyDescent="0.25">
      <c r="A7" s="18"/>
      <c r="B7" s="18" t="s">
        <v>268</v>
      </c>
      <c r="C7" s="18"/>
      <c r="D7" s="18"/>
    </row>
    <row r="8" spans="1:4" x14ac:dyDescent="0.25">
      <c r="A8" s="9">
        <v>8</v>
      </c>
      <c r="B8" s="7" t="s">
        <v>269</v>
      </c>
      <c r="C8" s="15">
        <f>SUMIFS('Expense Log'!$D$2:$D$500,'Expense Log'!$E$2:$E$500,"Marketing")</f>
        <v>211.88</v>
      </c>
      <c r="D8" s="8" t="s">
        <v>270</v>
      </c>
    </row>
    <row r="9" spans="1:4" x14ac:dyDescent="0.25">
      <c r="A9" s="9">
        <v>10</v>
      </c>
      <c r="B9" s="7" t="s">
        <v>271</v>
      </c>
      <c r="C9" s="2">
        <v>0</v>
      </c>
      <c r="D9" s="8"/>
    </row>
    <row r="10" spans="1:4" x14ac:dyDescent="0.25">
      <c r="A10" s="9">
        <v>13</v>
      </c>
      <c r="B10" s="7" t="s">
        <v>272</v>
      </c>
      <c r="C10" s="2">
        <v>0</v>
      </c>
      <c r="D10" s="8"/>
    </row>
    <row r="11" spans="1:4" x14ac:dyDescent="0.25">
      <c r="A11" s="9">
        <v>17</v>
      </c>
      <c r="B11" s="7" t="s">
        <v>273</v>
      </c>
      <c r="C11" s="15">
        <f>SUMIFS('Expense Log'!$D$2:$D$500,'Expense Log'!$E$2:$E$500,"Professional Services")</f>
        <v>794</v>
      </c>
      <c r="D11" s="8" t="s">
        <v>274</v>
      </c>
    </row>
    <row r="12" spans="1:4" x14ac:dyDescent="0.25">
      <c r="A12" s="9">
        <v>18</v>
      </c>
      <c r="B12" s="7" t="s">
        <v>275</v>
      </c>
      <c r="C12" s="15">
        <f>SUMIFS('Expense Log'!$D$2:$D$500,'Expense Log'!$E$2:$E$500,"Office Supplies")+SUMIFS('Expense Log'!$D$2:$D$500,'Expense Log'!$E$2:$E$500,"Home Office")</f>
        <v>441.65</v>
      </c>
      <c r="D12" s="8" t="s">
        <v>276</v>
      </c>
    </row>
    <row r="13" spans="1:4" x14ac:dyDescent="0.25">
      <c r="A13" s="9">
        <v>22</v>
      </c>
      <c r="B13" s="7" t="s">
        <v>277</v>
      </c>
      <c r="C13" s="15">
        <f>SUMIFS('Expense Log'!$D$2:$D$500,'Expense Log'!$E$2:$E$500,"Equipment")</f>
        <v>1028</v>
      </c>
      <c r="D13" s="8" t="s">
        <v>278</v>
      </c>
    </row>
    <row r="14" spans="1:4" x14ac:dyDescent="0.25">
      <c r="A14" s="9" t="s">
        <v>279</v>
      </c>
      <c r="B14" s="7" t="s">
        <v>132</v>
      </c>
      <c r="C14" s="15">
        <f>SUMIFS('Expense Log'!$D$2:$D$500,'Expense Log'!$E$2:$E$500,"Travel")</f>
        <v>1012.5</v>
      </c>
      <c r="D14" s="8" t="s">
        <v>280</v>
      </c>
    </row>
    <row r="15" spans="1:4" x14ac:dyDescent="0.25">
      <c r="A15" s="9" t="s">
        <v>281</v>
      </c>
      <c r="B15" s="7" t="s">
        <v>282</v>
      </c>
      <c r="C15" s="15">
        <f>SUMIFS('Expense Log'!$G$2:$G$500,'Expense Log'!$E$2:$E$500,"Meals (50%)")</f>
        <v>104.4</v>
      </c>
      <c r="D15" s="8" t="s">
        <v>283</v>
      </c>
    </row>
    <row r="16" spans="1:4" x14ac:dyDescent="0.25">
      <c r="A16" s="9">
        <v>25</v>
      </c>
      <c r="B16" s="7" t="s">
        <v>284</v>
      </c>
      <c r="C16" s="15">
        <f>SUMIFS('Expense Log'!$D$2:$D$500,'Expense Log'!$E$2:$E$500,"Phone/Internet")</f>
        <v>220</v>
      </c>
      <c r="D16" s="8"/>
    </row>
    <row r="17" spans="1:4" x14ac:dyDescent="0.25">
      <c r="A17" s="9">
        <v>27</v>
      </c>
      <c r="B17" s="7" t="s">
        <v>285</v>
      </c>
      <c r="C17" s="15">
        <f>SUMIFS('Expense Log'!$D$2:$D$500,'Expense Log'!$E$2:$E$500,"Software/Subscriptions")+SUMIFS('Expense Log'!$D$2:$D$500,'Expense Log'!$E$2:$E$500,"Education/Training")+SUMIFS('Expense Log'!$D$2:$D$500,'Expense Log'!$E$2:$E$500,"Insurance")+SUMIFS('Expense Log'!$D$2:$D$500,'Expense Log'!$E$2:$E$500,"Other")</f>
        <v>829.03</v>
      </c>
      <c r="D17" s="8" t="s">
        <v>286</v>
      </c>
    </row>
    <row r="18" spans="1:4" x14ac:dyDescent="0.25">
      <c r="A18" s="10">
        <v>28</v>
      </c>
      <c r="B18" s="26" t="s">
        <v>287</v>
      </c>
      <c r="C18" s="27">
        <f>SUM(C8:C17)</f>
        <v>4641.46</v>
      </c>
      <c r="D18" s="28" t="s">
        <v>288</v>
      </c>
    </row>
    <row r="19" spans="1:4" x14ac:dyDescent="0.25">
      <c r="A19" s="10">
        <v>31</v>
      </c>
      <c r="B19" s="7" t="s">
        <v>289</v>
      </c>
      <c r="C19" s="15">
        <f>C6-C18</f>
        <v>51045.54</v>
      </c>
      <c r="D19" s="8" t="s">
        <v>290</v>
      </c>
    </row>
    <row r="20" spans="1:4" x14ac:dyDescent="0.25">
      <c r="B20" s="7" t="s">
        <v>291</v>
      </c>
      <c r="C20" s="16" t="b">
        <f>ABS(C19-'Monthly P&amp;L'!$G$14)&lt;0.01</f>
        <v>1</v>
      </c>
      <c r="D20" s="8" t="s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Revenue Log</vt:lpstr>
      <vt:lpstr>Expense Log</vt:lpstr>
      <vt:lpstr>Monthly P&amp;L</vt:lpstr>
      <vt:lpstr>Tax Estimator</vt:lpstr>
      <vt:lpstr>Schedule C Preview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Wallace</dc:creator>
  <cp:lastModifiedBy>Kevin Wallace</cp:lastModifiedBy>
  <dcterms:created xsi:type="dcterms:W3CDTF">2024-05-06T03:01:56Z</dcterms:created>
  <dcterms:modified xsi:type="dcterms:W3CDTF">2025-11-05T04:20:41Z</dcterms:modified>
  <cp:revision>1</cp:revision>
</cp:coreProperties>
</file>