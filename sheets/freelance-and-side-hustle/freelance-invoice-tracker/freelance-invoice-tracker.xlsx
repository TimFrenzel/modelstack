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32\"/>
    </mc:Choice>
  </mc:AlternateContent>
  <xr:revisionPtr revIDLastSave="0" documentId="13_ncr:1_{5C8F3485-8876-4EA3-84A9-E1BE627715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oices" sheetId="1" r:id="rId1"/>
    <sheet name="Client Summary" sheetId="2" r:id="rId2"/>
    <sheet name="Rate C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15" i="3"/>
  <c r="D14" i="3"/>
  <c r="D13" i="3"/>
  <c r="D12" i="3"/>
  <c r="G10" i="2"/>
  <c r="F10" i="2"/>
  <c r="E10" i="2"/>
  <c r="C10" i="2"/>
  <c r="B10" i="2"/>
  <c r="D10" i="2" s="1"/>
  <c r="G9" i="2"/>
  <c r="F9" i="2"/>
  <c r="E9" i="2"/>
  <c r="C9" i="2"/>
  <c r="B9" i="2"/>
  <c r="G8" i="2"/>
  <c r="E8" i="2"/>
  <c r="C8" i="2"/>
  <c r="B8" i="2"/>
  <c r="D8" i="2" s="1"/>
  <c r="G7" i="2"/>
  <c r="F7" i="2"/>
  <c r="E7" i="2"/>
  <c r="C7" i="2"/>
  <c r="B7" i="2"/>
  <c r="D7" i="2" s="1"/>
  <c r="G6" i="2"/>
  <c r="E6" i="2"/>
  <c r="C6" i="2"/>
  <c r="B6" i="2"/>
  <c r="G5" i="2"/>
  <c r="E5" i="2"/>
  <c r="C5" i="2"/>
  <c r="B5" i="2"/>
  <c r="G4" i="2"/>
  <c r="E4" i="2"/>
  <c r="C4" i="2"/>
  <c r="B4" i="2"/>
  <c r="D4" i="2" s="1"/>
  <c r="J30" i="1"/>
  <c r="I30" i="1"/>
  <c r="I29" i="1"/>
  <c r="G29" i="1"/>
  <c r="J29" i="1" s="1"/>
  <c r="I28" i="1"/>
  <c r="G28" i="1"/>
  <c r="J28" i="1" s="1"/>
  <c r="I27" i="1"/>
  <c r="G27" i="1"/>
  <c r="K27" i="1" s="1"/>
  <c r="I26" i="1"/>
  <c r="G26" i="1"/>
  <c r="J26" i="1" s="1"/>
  <c r="I25" i="1"/>
  <c r="G25" i="1"/>
  <c r="K25" i="1" s="1"/>
  <c r="I24" i="1"/>
  <c r="G24" i="1"/>
  <c r="K24" i="1" s="1"/>
  <c r="J23" i="1"/>
  <c r="I23" i="1"/>
  <c r="G23" i="1"/>
  <c r="K23" i="1" s="1"/>
  <c r="J22" i="1"/>
  <c r="I22" i="1"/>
  <c r="G22" i="1"/>
  <c r="K22" i="1" s="1"/>
  <c r="J21" i="1"/>
  <c r="I21" i="1"/>
  <c r="G21" i="1"/>
  <c r="K21" i="1" s="1"/>
  <c r="K20" i="1"/>
  <c r="J20" i="1"/>
  <c r="I20" i="1"/>
  <c r="G20" i="1"/>
  <c r="J19" i="1"/>
  <c r="I19" i="1"/>
  <c r="G19" i="1"/>
  <c r="K19" i="1" s="1"/>
  <c r="J18" i="1"/>
  <c r="I18" i="1"/>
  <c r="G18" i="1"/>
  <c r="K18" i="1" s="1"/>
  <c r="J17" i="1"/>
  <c r="I17" i="1"/>
  <c r="F5" i="2" s="1"/>
  <c r="G17" i="1"/>
  <c r="K17" i="1" s="1"/>
  <c r="J16" i="1"/>
  <c r="I16" i="1"/>
  <c r="F8" i="2" s="1"/>
  <c r="G16" i="1"/>
  <c r="K16" i="1" s="1"/>
  <c r="J15" i="1"/>
  <c r="I15" i="1"/>
  <c r="F4" i="2" s="1"/>
  <c r="G15" i="1"/>
  <c r="K15" i="1" s="1"/>
  <c r="K14" i="1"/>
  <c r="J14" i="1"/>
  <c r="I14" i="1"/>
  <c r="B5" i="1" s="1"/>
  <c r="G14" i="1"/>
  <c r="B7" i="1"/>
  <c r="B4" i="1"/>
  <c r="D9" i="2" l="1"/>
  <c r="D5" i="2"/>
  <c r="J25" i="1"/>
  <c r="D6" i="2"/>
  <c r="F6" i="2"/>
  <c r="B6" i="1"/>
  <c r="K26" i="1"/>
  <c r="J27" i="1"/>
  <c r="K28" i="1"/>
  <c r="K29" i="1"/>
  <c r="J24" i="1"/>
</calcChain>
</file>

<file path=xl/sharedStrings.xml><?xml version="1.0" encoding="utf-8"?>
<sst xmlns="http://schemas.openxmlformats.org/spreadsheetml/2006/main" count="175" uniqueCount="135">
  <si>
    <t>KM Digital — Invoice Tracker</t>
  </si>
  <si>
    <t>2026</t>
  </si>
  <si>
    <t>Total Outstanding:</t>
  </si>
  <si>
    <t>Overdue (&gt;30 days):</t>
  </si>
  <si>
    <t>Avg Days to Payment:</t>
  </si>
  <si>
    <t>Total Collected YTD:</t>
  </si>
  <si>
    <t>Problem Clients (&gt;45 days avg):</t>
  </si>
  <si>
    <t>Riverside Dental, BrightPath Academy</t>
  </si>
  <si>
    <t>Default Terms:</t>
  </si>
  <si>
    <t>Net 30</t>
  </si>
  <si>
    <t>Late Fee %:</t>
  </si>
  <si>
    <t>Hourly Rate:</t>
  </si>
  <si>
    <t>Invoice #</t>
  </si>
  <si>
    <t>Client</t>
  </si>
  <si>
    <t>Description</t>
  </si>
  <si>
    <t>Date Sent</t>
  </si>
  <si>
    <t>Amount</t>
  </si>
  <si>
    <t>Terms</t>
  </si>
  <si>
    <t>Due Date</t>
  </si>
  <si>
    <t>Date Paid</t>
  </si>
  <si>
    <t>Days Outstanding</t>
  </si>
  <si>
    <t>Status</t>
  </si>
  <si>
    <t>Late Fee</t>
  </si>
  <si>
    <t>Notes</t>
  </si>
  <si>
    <t>INV-031</t>
  </si>
  <si>
    <t>Greenleaf Cafe</t>
  </si>
  <si>
    <t>Website redesign - homepage + menu page</t>
  </si>
  <si>
    <t>INV-032</t>
  </si>
  <si>
    <t>Martinez Law Group</t>
  </si>
  <si>
    <t>Monthly retainer - Jan</t>
  </si>
  <si>
    <t>Net 15</t>
  </si>
  <si>
    <t>always pays early</t>
  </si>
  <si>
    <t>INV-033</t>
  </si>
  <si>
    <t>Riverside Dental</t>
  </si>
  <si>
    <t>New patient form + online booking integration</t>
  </si>
  <si>
    <t>had to chase, 3 emails + phone call</t>
  </si>
  <si>
    <t>INV-034</t>
  </si>
  <si>
    <t>Summit CrossFit</t>
  </si>
  <si>
    <t>Landing page for spring promo</t>
  </si>
  <si>
    <t>INV-036</t>
  </si>
  <si>
    <t>Monthly retainer - Feb</t>
  </si>
  <si>
    <t>INV-037</t>
  </si>
  <si>
    <t>Add catering page + photo gallery</t>
  </si>
  <si>
    <t>INV-038</t>
  </si>
  <si>
    <t>BrightPath Academy</t>
  </si>
  <si>
    <t>Course catalog rebuild</t>
  </si>
  <si>
    <t>slow payer, nice people but disorganized</t>
  </si>
  <si>
    <t>INV-039</t>
  </si>
  <si>
    <t>TrueNorth HVAC</t>
  </si>
  <si>
    <t>Google Business setup + basic SEO</t>
  </si>
  <si>
    <t>INV-040</t>
  </si>
  <si>
    <t>Monthly retainer - Mar</t>
  </si>
  <si>
    <t>INV-041</t>
  </si>
  <si>
    <t>Email signup popup + Mailchimp integration</t>
  </si>
  <si>
    <t>INV-042</t>
  </si>
  <si>
    <t>Blog setup + 4 initial posts</t>
  </si>
  <si>
    <t>emailed 3/28, they said check's in the mail lol</t>
  </si>
  <si>
    <t>INV-043</t>
  </si>
  <si>
    <t>Event registration page</t>
  </si>
  <si>
    <t>sent, no response yet</t>
  </si>
  <si>
    <t>INV-044</t>
  </si>
  <si>
    <t>Menu PDF auto-update system</t>
  </si>
  <si>
    <t>INV-045</t>
  </si>
  <si>
    <t>Monthly retainer - Apr</t>
  </si>
  <si>
    <t>INV-046</t>
  </si>
  <si>
    <t>Seasonal landing page (AC promo)</t>
  </si>
  <si>
    <t>INV-047</t>
  </si>
  <si>
    <t>Monthly hosting + support</t>
  </si>
  <si>
    <t>dispute - they say hosting should be included in original deal</t>
  </si>
  <si>
    <t>Dave (friend's startup)</t>
  </si>
  <si>
    <t>logo + business cards</t>
  </si>
  <si>
    <t>verbal</t>
  </si>
  <si>
    <t>verbal agreement, probably won't pay, lesson learned</t>
  </si>
  <si>
    <t>---</t>
  </si>
  <si>
    <t>INV-035 was a quote for Oak Hill Church, never signed</t>
  </si>
  <si>
    <t>need to start requiring 50% upfront for new clients</t>
  </si>
  <si>
    <t>Riverside is becoming a pattern... consider dropping or requiring prepay</t>
  </si>
  <si>
    <t>last updated 4/10</t>
  </si>
  <si>
    <t>Client Summary</t>
  </si>
  <si>
    <t>Total Invoiced</t>
  </si>
  <si>
    <t>Total Paid</t>
  </si>
  <si>
    <t>Outstanding</t>
  </si>
  <si>
    <t># Invoices</t>
  </si>
  <si>
    <t>Avg Days to Pay</t>
  </si>
  <si>
    <t>Longest Wait</t>
  </si>
  <si>
    <t>Rating</t>
  </si>
  <si>
    <t>great</t>
  </si>
  <si>
    <t>best client, always on time, retainer is reliable income</t>
  </si>
  <si>
    <t>good</t>
  </si>
  <si>
    <t>growing relationship, good for portfolio</t>
  </si>
  <si>
    <t>small jobs but quick pay</t>
  </si>
  <si>
    <t>problem</t>
  </si>
  <si>
    <t>always late, 50+ days twice, consider prepay requirement</t>
  </si>
  <si>
    <t>slow</t>
  </si>
  <si>
    <t>nice people but disorganized, net 15 next time?</t>
  </si>
  <si>
    <t>n/a</t>
  </si>
  <si>
    <t>never again, don't do work for friends without a contract</t>
  </si>
  <si>
    <t>clients sorted by total invoiced, roughly</t>
  </si>
  <si>
    <t>Rate Card &amp; Pricing</t>
  </si>
  <si>
    <t>HOURLY RATES</t>
  </si>
  <si>
    <t>Service Type</t>
  </si>
  <si>
    <t>Rate/Hr</t>
  </si>
  <si>
    <t>Web Design / Development</t>
  </si>
  <si>
    <t>SEO / Digital Marketing</t>
  </si>
  <si>
    <t>lower rate, less demand</t>
  </si>
  <si>
    <t>Consulting / Strategy</t>
  </si>
  <si>
    <t>rarely bill this</t>
  </si>
  <si>
    <t>Maintenance / Support</t>
  </si>
  <si>
    <t>for existing client sites</t>
  </si>
  <si>
    <t>COMMON PACKAGES</t>
  </si>
  <si>
    <t>Package</t>
  </si>
  <si>
    <t>Price</t>
  </si>
  <si>
    <t>Est. Hours</t>
  </si>
  <si>
    <t>Effective Rate</t>
  </si>
  <si>
    <t>Basic Landing Page</t>
  </si>
  <si>
    <t>Full Website (5-7 pages)</t>
  </si>
  <si>
    <t>includes 1 round revisions</t>
  </si>
  <si>
    <t>E-commerce Setup (Shopify)</t>
  </si>
  <si>
    <t>doesn't include product photography</t>
  </si>
  <si>
    <t>Monthly Retainer</t>
  </si>
  <si>
    <t>Martinez pays this, works well</t>
  </si>
  <si>
    <t>Monthly Hosting + Support</t>
  </si>
  <si>
    <t>mostly passive income</t>
  </si>
  <si>
    <t>PAYMENT TERMS</t>
  </si>
  <si>
    <t>Default:</t>
  </si>
  <si>
    <t>Retainer clients:</t>
  </si>
  <si>
    <t>Late fee:</t>
  </si>
  <si>
    <t>1.5% per 30 days past due</t>
  </si>
  <si>
    <t>Deposit for new clients:</t>
  </si>
  <si>
    <t>50% upfront</t>
  </si>
  <si>
    <t>(not enforced yet, need to start)</t>
  </si>
  <si>
    <t>notes</t>
  </si>
  <si>
    <t>need to raise rates Q3, haven't changed since 2024</t>
  </si>
  <si>
    <t>e-commerce jobs take longer than estimated, bump to $5k?</t>
  </si>
  <si>
    <t>updated 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</si>
</sst>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AAF"/>
        <bgColor rgb="FFA5AAAF"/>
      </patternFill>
    </fill>
  </fills>
  <borders count="11">
    <border>
      <left/>
      <right/>
      <top/>
      <bottom/>
      <diagonal/>
    </border>
    <border>
      <left style="thin">
        <color rgb="FF404040"/>
      </left>
      <right/>
      <top style="thin">
        <color rgb="FF404040"/>
      </top>
      <bottom/>
      <diagonal/>
    </border>
    <border>
      <left/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 style="thin">
        <color rgb="FF404040"/>
      </left>
      <right/>
      <top/>
      <bottom/>
      <diagonal/>
    </border>
    <border>
      <left/>
      <right/>
      <top/>
      <bottom/>
      <diagonal/>
    </border>
    <border>
      <left/>
      <right style="thin">
        <color rgb="FF404040"/>
      </right>
      <top/>
      <bottom/>
      <diagonal/>
    </border>
    <border>
      <left style="thin">
        <color rgb="FF404040"/>
      </left>
      <right/>
      <top/>
      <bottom style="thin">
        <color rgb="FF404040"/>
      </bottom>
      <diagonal/>
    </border>
    <border>
      <left/>
      <right/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1" xfId="0" applyFont="1" applyBorder="1"/>
    <xf numFmtId="164" fontId="2" fillId="0" borderId="2" xfId="0" applyNumberFormat="1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164" fontId="2" fillId="0" borderId="5" xfId="0" applyNumberFormat="1" applyFont="1" applyBorder="1"/>
    <xf numFmtId="0" fontId="0" fillId="0" borderId="5" xfId="0" applyBorder="1"/>
    <xf numFmtId="0" fontId="0" fillId="0" borderId="6" xfId="0" applyBorder="1"/>
    <xf numFmtId="1" fontId="2" fillId="0" borderId="5" xfId="0" applyNumberFormat="1" applyFont="1" applyBorder="1"/>
    <xf numFmtId="0" fontId="3" fillId="0" borderId="7" xfId="0" applyFont="1" applyBorder="1"/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165" fontId="2" fillId="2" borderId="0" xfId="0" applyNumberFormat="1" applyFont="1" applyFill="1"/>
    <xf numFmtId="164" fontId="2" fillId="2" borderId="0" xfId="0" applyNumberFormat="1" applyFont="1" applyFill="1"/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/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14" fontId="2" fillId="0" borderId="10" xfId="0" applyNumberFormat="1" applyFont="1" applyBorder="1"/>
    <xf numFmtId="164" fontId="2" fillId="0" borderId="10" xfId="0" applyNumberFormat="1" applyFont="1" applyBorder="1"/>
    <xf numFmtId="1" fontId="2" fillId="0" borderId="10" xfId="0" applyNumberFormat="1" applyFont="1" applyBorder="1"/>
    <xf numFmtId="0" fontId="4" fillId="0" borderId="0" xfId="0" applyFont="1"/>
    <xf numFmtId="0" fontId="3" fillId="0" borderId="8" xfId="0" applyFont="1" applyBorder="1"/>
    <xf numFmtId="164" fontId="2" fillId="0" borderId="0" xfId="0" applyNumberFormat="1" applyFont="1"/>
    <xf numFmtId="0" fontId="2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2">
    <dxf>
      <font>
        <sz val="10"/>
        <color rgb="FFFF0000"/>
        <name val="Arial"/>
      </font>
    </dxf>
    <dxf>
      <fill>
        <patternFill patternType="solid">
          <fgColor rgb="FFFFDCD2"/>
          <bgColor rgb="FFFFDC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sqref="A1:D1"/>
    </sheetView>
  </sheetViews>
  <sheetFormatPr defaultRowHeight="15" x14ac:dyDescent="0.25"/>
  <cols>
    <col min="1" max="1" width="12" customWidth="1"/>
    <col min="2" max="2" width="24" customWidth="1"/>
    <col min="3" max="3" width="32" customWidth="1"/>
    <col min="4" max="4" width="12" customWidth="1"/>
    <col min="5" max="5" width="13" customWidth="1"/>
    <col min="6" max="6" width="10" customWidth="1"/>
    <col min="7" max="8" width="12" customWidth="1"/>
    <col min="9" max="9" width="14" customWidth="1"/>
    <col min="10" max="10" width="12" customWidth="1"/>
    <col min="11" max="11" width="11" customWidth="1"/>
    <col min="12" max="12" width="40" customWidth="1"/>
  </cols>
  <sheetData>
    <row r="1" spans="1:12" ht="16.5" x14ac:dyDescent="0.25">
      <c r="A1" s="29" t="s">
        <v>0</v>
      </c>
      <c r="B1" s="30"/>
      <c r="C1" s="30"/>
      <c r="D1" s="30"/>
    </row>
    <row r="2" spans="1:12" x14ac:dyDescent="0.25">
      <c r="A2" s="1" t="s">
        <v>1</v>
      </c>
    </row>
    <row r="4" spans="1:12" x14ac:dyDescent="0.25">
      <c r="A4" s="2" t="s">
        <v>2</v>
      </c>
      <c r="B4" s="3">
        <f>SUMPRODUCT((Invoices!H14:H30="")*Invoices!E14:E30)</f>
        <v>9750</v>
      </c>
      <c r="C4" s="4"/>
      <c r="D4" s="4"/>
      <c r="E4" s="5"/>
    </row>
    <row r="5" spans="1:12" x14ac:dyDescent="0.25">
      <c r="A5" s="6" t="s">
        <v>3</v>
      </c>
      <c r="B5" s="7">
        <f ca="1">SUMPRODUCT((H14:H30="")*(I14:I30&gt;30)*E14:E30)</f>
        <v>500</v>
      </c>
      <c r="C5" s="8"/>
      <c r="D5" s="8"/>
      <c r="E5" s="9"/>
    </row>
    <row r="6" spans="1:12" x14ac:dyDescent="0.25">
      <c r="A6" s="6" t="s">
        <v>4</v>
      </c>
      <c r="B6" s="10">
        <f ca="1">IFERROR(AVERAGEIF(H14:H30,"&lt;&gt;"&amp;"",I14:I30),0)</f>
        <v>26.7</v>
      </c>
      <c r="C6" s="8"/>
      <c r="D6" s="8"/>
      <c r="E6" s="9"/>
    </row>
    <row r="7" spans="1:12" x14ac:dyDescent="0.25">
      <c r="A7" s="6" t="s">
        <v>5</v>
      </c>
      <c r="B7" s="7">
        <f>SUMPRODUCT((H14:H30&lt;&gt;"")*E14:E30)</f>
        <v>20550</v>
      </c>
      <c r="C7" s="8"/>
      <c r="D7" s="8"/>
      <c r="E7" s="9"/>
    </row>
    <row r="8" spans="1:12" x14ac:dyDescent="0.25">
      <c r="A8" s="11" t="s">
        <v>6</v>
      </c>
      <c r="B8" s="12" t="s">
        <v>7</v>
      </c>
      <c r="C8" s="13"/>
      <c r="D8" s="13"/>
      <c r="E8" s="14"/>
    </row>
    <row r="10" spans="1:12" x14ac:dyDescent="0.25">
      <c r="A10" s="15" t="s">
        <v>8</v>
      </c>
      <c r="B10" s="1" t="s">
        <v>9</v>
      </c>
      <c r="D10" s="15" t="s">
        <v>10</v>
      </c>
      <c r="E10" s="16">
        <v>1.4999999999999999E-2</v>
      </c>
    </row>
    <row r="11" spans="1:12" x14ac:dyDescent="0.25">
      <c r="A11" s="15" t="s">
        <v>11</v>
      </c>
      <c r="B11" s="17">
        <v>95</v>
      </c>
    </row>
    <row r="13" spans="1:12" x14ac:dyDescent="0.25">
      <c r="A13" s="18" t="s">
        <v>12</v>
      </c>
      <c r="B13" s="19" t="s">
        <v>13</v>
      </c>
      <c r="C13" s="19" t="s">
        <v>14</v>
      </c>
      <c r="D13" s="19" t="s">
        <v>15</v>
      </c>
      <c r="E13" s="19" t="s">
        <v>16</v>
      </c>
      <c r="F13" s="18" t="s">
        <v>17</v>
      </c>
      <c r="G13" s="19" t="s">
        <v>18</v>
      </c>
      <c r="H13" s="19" t="s">
        <v>19</v>
      </c>
      <c r="I13" s="19" t="s">
        <v>20</v>
      </c>
      <c r="J13" s="19" t="s">
        <v>21</v>
      </c>
      <c r="K13" s="19" t="s">
        <v>22</v>
      </c>
      <c r="L13" s="19" t="s">
        <v>23</v>
      </c>
    </row>
    <row r="14" spans="1:12" x14ac:dyDescent="0.25">
      <c r="A14" s="20" t="s">
        <v>24</v>
      </c>
      <c r="B14" s="21" t="s">
        <v>25</v>
      </c>
      <c r="C14" s="21" t="s">
        <v>26</v>
      </c>
      <c r="D14" s="22">
        <v>46030</v>
      </c>
      <c r="E14" s="23">
        <v>2850</v>
      </c>
      <c r="F14" s="20" t="s">
        <v>9</v>
      </c>
      <c r="G14" s="22">
        <f>D14+30</f>
        <v>46060</v>
      </c>
      <c r="H14" s="22">
        <v>46055</v>
      </c>
      <c r="I14" s="24">
        <f t="shared" ref="I14:I30" ca="1" si="0">IF(H14&lt;&gt;"",H14-D14,TODAY()-D14)</f>
        <v>25</v>
      </c>
      <c r="J14" s="21" t="str">
        <f t="shared" ref="J14:J29" ca="1" si="1">IF(H14&lt;&gt;"","Paid",IF(TODAY()&gt;G14,"OVERDUE","Open"))</f>
        <v>Paid</v>
      </c>
      <c r="K14" s="23">
        <f t="shared" ref="K14:K29" ca="1" si="2">IF(AND(H14="",TODAY()&gt;G14),E14*$E$10*(TODAY()-G14)/30,0)</f>
        <v>0</v>
      </c>
      <c r="L14" s="21"/>
    </row>
    <row r="15" spans="1:12" x14ac:dyDescent="0.25">
      <c r="A15" s="20" t="s">
        <v>27</v>
      </c>
      <c r="B15" s="21" t="s">
        <v>28</v>
      </c>
      <c r="C15" s="21" t="s">
        <v>29</v>
      </c>
      <c r="D15" s="22">
        <v>46032</v>
      </c>
      <c r="E15" s="23">
        <v>1500</v>
      </c>
      <c r="F15" s="20" t="s">
        <v>30</v>
      </c>
      <c r="G15" s="22">
        <f>D15+15</f>
        <v>46047</v>
      </c>
      <c r="H15" s="22">
        <v>46044</v>
      </c>
      <c r="I15" s="24">
        <f t="shared" ca="1" si="0"/>
        <v>12</v>
      </c>
      <c r="J15" s="21" t="str">
        <f t="shared" ca="1" si="1"/>
        <v>Paid</v>
      </c>
      <c r="K15" s="23">
        <f t="shared" ca="1" si="2"/>
        <v>0</v>
      </c>
      <c r="L15" s="21" t="s">
        <v>31</v>
      </c>
    </row>
    <row r="16" spans="1:12" x14ac:dyDescent="0.25">
      <c r="A16" s="20" t="s">
        <v>32</v>
      </c>
      <c r="B16" s="21" t="s">
        <v>33</v>
      </c>
      <c r="C16" s="21" t="s">
        <v>34</v>
      </c>
      <c r="D16" s="22">
        <v>46037</v>
      </c>
      <c r="E16" s="23">
        <v>3400</v>
      </c>
      <c r="F16" s="20" t="s">
        <v>9</v>
      </c>
      <c r="G16" s="22">
        <f>D16+30</f>
        <v>46067</v>
      </c>
      <c r="H16" s="22">
        <v>46093</v>
      </c>
      <c r="I16" s="24">
        <f t="shared" ca="1" si="0"/>
        <v>56</v>
      </c>
      <c r="J16" s="21" t="str">
        <f t="shared" ca="1" si="1"/>
        <v>Paid</v>
      </c>
      <c r="K16" s="23">
        <f t="shared" ca="1" si="2"/>
        <v>0</v>
      </c>
      <c r="L16" s="21" t="s">
        <v>35</v>
      </c>
    </row>
    <row r="17" spans="1:12" x14ac:dyDescent="0.25">
      <c r="A17" s="20" t="s">
        <v>36</v>
      </c>
      <c r="B17" s="21" t="s">
        <v>37</v>
      </c>
      <c r="C17" s="21" t="s">
        <v>38</v>
      </c>
      <c r="D17" s="22">
        <v>46044</v>
      </c>
      <c r="E17" s="23">
        <v>1200</v>
      </c>
      <c r="F17" s="20" t="s">
        <v>9</v>
      </c>
      <c r="G17" s="22">
        <f>D17+30</f>
        <v>46074</v>
      </c>
      <c r="H17" s="22">
        <v>46071</v>
      </c>
      <c r="I17" s="24">
        <f t="shared" ca="1" si="0"/>
        <v>27</v>
      </c>
      <c r="J17" s="21" t="str">
        <f t="shared" ca="1" si="1"/>
        <v>Paid</v>
      </c>
      <c r="K17" s="23">
        <f t="shared" ca="1" si="2"/>
        <v>0</v>
      </c>
      <c r="L17" s="21"/>
    </row>
    <row r="18" spans="1:12" x14ac:dyDescent="0.25">
      <c r="A18" s="20" t="s">
        <v>39</v>
      </c>
      <c r="B18" s="21" t="s">
        <v>28</v>
      </c>
      <c r="C18" s="21" t="s">
        <v>40</v>
      </c>
      <c r="D18" s="22">
        <v>46058</v>
      </c>
      <c r="E18" s="23">
        <v>1500</v>
      </c>
      <c r="F18" s="20" t="s">
        <v>30</v>
      </c>
      <c r="G18" s="22">
        <f>D18+15</f>
        <v>46073</v>
      </c>
      <c r="H18" s="22">
        <v>46070</v>
      </c>
      <c r="I18" s="24">
        <f t="shared" ca="1" si="0"/>
        <v>12</v>
      </c>
      <c r="J18" s="21" t="str">
        <f t="shared" ca="1" si="1"/>
        <v>Paid</v>
      </c>
      <c r="K18" s="23">
        <f t="shared" ca="1" si="2"/>
        <v>0</v>
      </c>
      <c r="L18" s="21"/>
    </row>
    <row r="19" spans="1:12" x14ac:dyDescent="0.25">
      <c r="A19" s="20" t="s">
        <v>41</v>
      </c>
      <c r="B19" s="21" t="s">
        <v>25</v>
      </c>
      <c r="C19" s="21" t="s">
        <v>42</v>
      </c>
      <c r="D19" s="22">
        <v>46063</v>
      </c>
      <c r="E19" s="23">
        <v>1850</v>
      </c>
      <c r="F19" s="20" t="s">
        <v>9</v>
      </c>
      <c r="G19" s="22">
        <f>D19+30</f>
        <v>46093</v>
      </c>
      <c r="H19" s="22">
        <v>46089</v>
      </c>
      <c r="I19" s="24">
        <f t="shared" ca="1" si="0"/>
        <v>26</v>
      </c>
      <c r="J19" s="21" t="str">
        <f t="shared" ca="1" si="1"/>
        <v>Paid</v>
      </c>
      <c r="K19" s="23">
        <f t="shared" ca="1" si="2"/>
        <v>0</v>
      </c>
      <c r="L19" s="21"/>
    </row>
    <row r="20" spans="1:12" x14ac:dyDescent="0.25">
      <c r="A20" s="20" t="s">
        <v>43</v>
      </c>
      <c r="B20" s="21" t="s">
        <v>44</v>
      </c>
      <c r="C20" s="21" t="s">
        <v>45</v>
      </c>
      <c r="D20" s="22">
        <v>46065</v>
      </c>
      <c r="E20" s="23">
        <v>4200</v>
      </c>
      <c r="F20" s="20" t="s">
        <v>9</v>
      </c>
      <c r="G20" s="22">
        <f>D20+30</f>
        <v>46095</v>
      </c>
      <c r="H20" s="22">
        <v>46114</v>
      </c>
      <c r="I20" s="24">
        <f t="shared" ca="1" si="0"/>
        <v>49</v>
      </c>
      <c r="J20" s="21" t="str">
        <f t="shared" ca="1" si="1"/>
        <v>Paid</v>
      </c>
      <c r="K20" s="23">
        <f t="shared" ca="1" si="2"/>
        <v>0</v>
      </c>
      <c r="L20" s="21" t="s">
        <v>46</v>
      </c>
    </row>
    <row r="21" spans="1:12" x14ac:dyDescent="0.25">
      <c r="A21" s="20" t="s">
        <v>47</v>
      </c>
      <c r="B21" s="21" t="s">
        <v>48</v>
      </c>
      <c r="C21" s="21" t="s">
        <v>49</v>
      </c>
      <c r="D21" s="22">
        <v>46073</v>
      </c>
      <c r="E21" s="23">
        <v>950</v>
      </c>
      <c r="F21" s="20" t="s">
        <v>9</v>
      </c>
      <c r="G21" s="22">
        <f>D21+30</f>
        <v>46103</v>
      </c>
      <c r="H21" s="22">
        <v>46096</v>
      </c>
      <c r="I21" s="24">
        <f t="shared" ca="1" si="0"/>
        <v>23</v>
      </c>
      <c r="J21" s="21" t="str">
        <f t="shared" ca="1" si="1"/>
        <v>Paid</v>
      </c>
      <c r="K21" s="23">
        <f t="shared" ca="1" si="2"/>
        <v>0</v>
      </c>
      <c r="L21" s="21"/>
    </row>
    <row r="22" spans="1:12" x14ac:dyDescent="0.25">
      <c r="A22" s="20" t="s">
        <v>50</v>
      </c>
      <c r="B22" s="21" t="s">
        <v>28</v>
      </c>
      <c r="C22" s="21" t="s">
        <v>51</v>
      </c>
      <c r="D22" s="22">
        <v>46084</v>
      </c>
      <c r="E22" s="23">
        <v>1500</v>
      </c>
      <c r="F22" s="20" t="s">
        <v>30</v>
      </c>
      <c r="G22" s="22">
        <f>D22+15</f>
        <v>46099</v>
      </c>
      <c r="H22" s="22">
        <v>46095</v>
      </c>
      <c r="I22" s="24">
        <f t="shared" ca="1" si="0"/>
        <v>11</v>
      </c>
      <c r="J22" s="21" t="str">
        <f t="shared" ca="1" si="1"/>
        <v>Paid</v>
      </c>
      <c r="K22" s="23">
        <f t="shared" ca="1" si="2"/>
        <v>0</v>
      </c>
      <c r="L22" s="21"/>
    </row>
    <row r="23" spans="1:12" x14ac:dyDescent="0.25">
      <c r="A23" s="20" t="s">
        <v>52</v>
      </c>
      <c r="B23" s="21" t="s">
        <v>37</v>
      </c>
      <c r="C23" s="21" t="s">
        <v>53</v>
      </c>
      <c r="D23" s="22">
        <v>46091</v>
      </c>
      <c r="E23" s="23">
        <v>1600</v>
      </c>
      <c r="F23" s="20" t="s">
        <v>9</v>
      </c>
      <c r="G23" s="22">
        <f>D23+30</f>
        <v>46121</v>
      </c>
      <c r="H23" s="22">
        <v>46117</v>
      </c>
      <c r="I23" s="24">
        <f t="shared" ca="1" si="0"/>
        <v>26</v>
      </c>
      <c r="J23" s="21" t="str">
        <f t="shared" ca="1" si="1"/>
        <v>Paid</v>
      </c>
      <c r="K23" s="23">
        <f t="shared" ca="1" si="2"/>
        <v>0</v>
      </c>
      <c r="L23" s="21"/>
    </row>
    <row r="24" spans="1:12" x14ac:dyDescent="0.25">
      <c r="A24" s="20" t="s">
        <v>54</v>
      </c>
      <c r="B24" s="21" t="s">
        <v>33</v>
      </c>
      <c r="C24" s="21" t="s">
        <v>55</v>
      </c>
      <c r="D24" s="22">
        <v>46096</v>
      </c>
      <c r="E24" s="23">
        <v>2800</v>
      </c>
      <c r="F24" s="20" t="s">
        <v>9</v>
      </c>
      <c r="G24" s="22">
        <f>D24+30</f>
        <v>46126</v>
      </c>
      <c r="H24" s="22"/>
      <c r="I24" s="24">
        <f t="shared" ca="1" si="0"/>
        <v>26</v>
      </c>
      <c r="J24" s="21" t="str">
        <f t="shared" ca="1" si="1"/>
        <v>Open</v>
      </c>
      <c r="K24" s="23">
        <f t="shared" ca="1" si="2"/>
        <v>0</v>
      </c>
      <c r="L24" s="21" t="s">
        <v>56</v>
      </c>
    </row>
    <row r="25" spans="1:12" x14ac:dyDescent="0.25">
      <c r="A25" s="20" t="s">
        <v>57</v>
      </c>
      <c r="B25" s="21" t="s">
        <v>44</v>
      </c>
      <c r="C25" s="21" t="s">
        <v>58</v>
      </c>
      <c r="D25" s="22">
        <v>46099</v>
      </c>
      <c r="E25" s="23">
        <v>2100</v>
      </c>
      <c r="F25" s="20" t="s">
        <v>9</v>
      </c>
      <c r="G25" s="22">
        <f>D25+30</f>
        <v>46129</v>
      </c>
      <c r="H25" s="22"/>
      <c r="I25" s="24">
        <f t="shared" ca="1" si="0"/>
        <v>23</v>
      </c>
      <c r="J25" s="21" t="str">
        <f t="shared" ca="1" si="1"/>
        <v>Open</v>
      </c>
      <c r="K25" s="23">
        <f t="shared" ca="1" si="2"/>
        <v>0</v>
      </c>
      <c r="L25" s="21" t="s">
        <v>59</v>
      </c>
    </row>
    <row r="26" spans="1:12" x14ac:dyDescent="0.25">
      <c r="A26" s="20" t="s">
        <v>60</v>
      </c>
      <c r="B26" s="21" t="s">
        <v>25</v>
      </c>
      <c r="C26" s="21" t="s">
        <v>61</v>
      </c>
      <c r="D26" s="22">
        <v>46106</v>
      </c>
      <c r="E26" s="23">
        <v>1400</v>
      </c>
      <c r="F26" s="20" t="s">
        <v>9</v>
      </c>
      <c r="G26" s="22">
        <f>D26+30</f>
        <v>46136</v>
      </c>
      <c r="H26" s="22"/>
      <c r="I26" s="24">
        <f t="shared" ca="1" si="0"/>
        <v>16</v>
      </c>
      <c r="J26" s="21" t="str">
        <f t="shared" ca="1" si="1"/>
        <v>Open</v>
      </c>
      <c r="K26" s="23">
        <f t="shared" ca="1" si="2"/>
        <v>0</v>
      </c>
      <c r="L26" s="21"/>
    </row>
    <row r="27" spans="1:12" x14ac:dyDescent="0.25">
      <c r="A27" s="20" t="s">
        <v>62</v>
      </c>
      <c r="B27" s="21" t="s">
        <v>28</v>
      </c>
      <c r="C27" s="21" t="s">
        <v>63</v>
      </c>
      <c r="D27" s="22">
        <v>46114</v>
      </c>
      <c r="E27" s="23">
        <v>1500</v>
      </c>
      <c r="F27" s="20" t="s">
        <v>30</v>
      </c>
      <c r="G27" s="22">
        <f>D27+15</f>
        <v>46129</v>
      </c>
      <c r="H27" s="22"/>
      <c r="I27" s="24">
        <f t="shared" ca="1" si="0"/>
        <v>8</v>
      </c>
      <c r="J27" s="21" t="str">
        <f t="shared" ca="1" si="1"/>
        <v>Open</v>
      </c>
      <c r="K27" s="23">
        <f t="shared" ca="1" si="2"/>
        <v>0</v>
      </c>
      <c r="L27" s="21"/>
    </row>
    <row r="28" spans="1:12" x14ac:dyDescent="0.25">
      <c r="A28" s="20" t="s">
        <v>64</v>
      </c>
      <c r="B28" s="21" t="s">
        <v>48</v>
      </c>
      <c r="C28" s="21" t="s">
        <v>65</v>
      </c>
      <c r="D28" s="22">
        <v>46117</v>
      </c>
      <c r="E28" s="23">
        <v>1100</v>
      </c>
      <c r="F28" s="20" t="s">
        <v>9</v>
      </c>
      <c r="G28" s="22">
        <f>D28+30</f>
        <v>46147</v>
      </c>
      <c r="H28" s="22"/>
      <c r="I28" s="24">
        <f t="shared" ca="1" si="0"/>
        <v>5</v>
      </c>
      <c r="J28" s="21" t="str">
        <f t="shared" ca="1" si="1"/>
        <v>Open</v>
      </c>
      <c r="K28" s="23">
        <f t="shared" ca="1" si="2"/>
        <v>0</v>
      </c>
      <c r="L28" s="21"/>
    </row>
    <row r="29" spans="1:12" x14ac:dyDescent="0.25">
      <c r="A29" s="20" t="s">
        <v>66</v>
      </c>
      <c r="B29" s="21" t="s">
        <v>33</v>
      </c>
      <c r="C29" s="21" t="s">
        <v>67</v>
      </c>
      <c r="D29" s="22">
        <v>46120</v>
      </c>
      <c r="E29" s="23">
        <v>350</v>
      </c>
      <c r="F29" s="20" t="s">
        <v>30</v>
      </c>
      <c r="G29" s="22">
        <f>D29+15</f>
        <v>46135</v>
      </c>
      <c r="H29" s="22"/>
      <c r="I29" s="24">
        <f t="shared" ca="1" si="0"/>
        <v>2</v>
      </c>
      <c r="J29" s="21" t="str">
        <f t="shared" ca="1" si="1"/>
        <v>Open</v>
      </c>
      <c r="K29" s="23">
        <f t="shared" ca="1" si="2"/>
        <v>0</v>
      </c>
      <c r="L29" s="21" t="s">
        <v>68</v>
      </c>
    </row>
    <row r="30" spans="1:12" x14ac:dyDescent="0.25">
      <c r="A30" s="20"/>
      <c r="B30" s="21" t="s">
        <v>69</v>
      </c>
      <c r="C30" s="21" t="s">
        <v>70</v>
      </c>
      <c r="D30" s="22">
        <v>46082</v>
      </c>
      <c r="E30" s="23">
        <v>500</v>
      </c>
      <c r="F30" s="20" t="s">
        <v>71</v>
      </c>
      <c r="G30" s="22"/>
      <c r="H30" s="22"/>
      <c r="I30" s="24">
        <f t="shared" ca="1" si="0"/>
        <v>40</v>
      </c>
      <c r="J30" s="21" t="str">
        <f>IF(H30&lt;&gt;"","Paid","Open")</f>
        <v>Open</v>
      </c>
      <c r="K30" s="23">
        <v>0</v>
      </c>
      <c r="L30" s="21" t="s">
        <v>72</v>
      </c>
    </row>
    <row r="32" spans="1:12" x14ac:dyDescent="0.25">
      <c r="A32" s="1" t="s">
        <v>73</v>
      </c>
    </row>
    <row r="33" spans="1:1" x14ac:dyDescent="0.25">
      <c r="A33" s="1" t="s">
        <v>74</v>
      </c>
    </row>
    <row r="34" spans="1:1" x14ac:dyDescent="0.25">
      <c r="A34" s="1" t="s">
        <v>75</v>
      </c>
    </row>
    <row r="35" spans="1:1" x14ac:dyDescent="0.25">
      <c r="A35" s="1" t="s">
        <v>76</v>
      </c>
    </row>
    <row r="36" spans="1:1" x14ac:dyDescent="0.25">
      <c r="A36" s="1" t="s">
        <v>77</v>
      </c>
    </row>
  </sheetData>
  <mergeCells count="1">
    <mergeCell ref="A1:D1"/>
  </mergeCells>
  <conditionalFormatting sqref="A14:L30">
    <cfRule type="expression" dxfId="1" priority="2">
      <formula>AND(H14="",I14&gt;45)</formula>
    </cfRule>
  </conditionalFormatting>
  <conditionalFormatting sqref="J14:J30">
    <cfRule type="cellIs" dxfId="0" priority="1" operator="equal">
      <formula>"OVERDUE"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5" x14ac:dyDescent="0.25"/>
  <cols>
    <col min="1" max="1" width="24" customWidth="1"/>
    <col min="2" max="2" width="15" customWidth="1"/>
    <col min="3" max="4" width="14" customWidth="1"/>
    <col min="5" max="5" width="10" customWidth="1"/>
    <col min="6" max="6" width="14" customWidth="1"/>
    <col min="7" max="7" width="13" customWidth="1"/>
    <col min="8" max="8" width="12" customWidth="1"/>
    <col min="9" max="9" width="35" customWidth="1"/>
  </cols>
  <sheetData>
    <row r="1" spans="1:9" ht="15.75" x14ac:dyDescent="0.25">
      <c r="A1" s="25" t="s">
        <v>78</v>
      </c>
    </row>
    <row r="3" spans="1:9" x14ac:dyDescent="0.25">
      <c r="A3" s="19" t="s">
        <v>13</v>
      </c>
      <c r="B3" s="19" t="s">
        <v>79</v>
      </c>
      <c r="C3" s="19" t="s">
        <v>80</v>
      </c>
      <c r="D3" s="19" t="s">
        <v>81</v>
      </c>
      <c r="E3" s="19" t="s">
        <v>82</v>
      </c>
      <c r="F3" s="19" t="s">
        <v>83</v>
      </c>
      <c r="G3" s="19" t="s">
        <v>84</v>
      </c>
      <c r="H3" s="19" t="s">
        <v>85</v>
      </c>
      <c r="I3" s="19" t="s">
        <v>23</v>
      </c>
    </row>
    <row r="4" spans="1:9" x14ac:dyDescent="0.25">
      <c r="A4" s="21" t="s">
        <v>28</v>
      </c>
      <c r="B4" s="23">
        <f>SUMIF(Invoices!B$14:B$30,A4,Invoices!E$14:E$30)</f>
        <v>6000</v>
      </c>
      <c r="C4" s="23">
        <f>SUMPRODUCT((Invoices!B$14:B$30=A4)*(Invoices!H$14:H$30&lt;&gt;"")*Invoices!E$14:E$30)</f>
        <v>4500</v>
      </c>
      <c r="D4" s="23">
        <f t="shared" ref="D4:D10" si="0">B4-C4</f>
        <v>1500</v>
      </c>
      <c r="E4" s="21">
        <f>COUNTIF(Invoices!B$14:B$30,A4)</f>
        <v>4</v>
      </c>
      <c r="F4" s="24">
        <f ca="1">IFERROR(AVERAGEIFS(Invoices!I$14:I$30,Invoices!B$14:B$30,A4,Invoices!H$14:H$30,"&lt;&gt;"),"")</f>
        <v>11.666666666666666</v>
      </c>
      <c r="G4" s="24" t="str">
        <f ca="1">IFERROR(_xludf.MAXIFS(Invoices!I$14:I$30,Invoices!B$14:B$30,A4,Invoices!H$14:H$30,"&lt;&gt;"),"")</f>
        <v/>
      </c>
      <c r="H4" s="21" t="s">
        <v>86</v>
      </c>
      <c r="I4" s="21" t="s">
        <v>87</v>
      </c>
    </row>
    <row r="5" spans="1:9" x14ac:dyDescent="0.25">
      <c r="A5" s="21" t="s">
        <v>37</v>
      </c>
      <c r="B5" s="23">
        <f>SUMIF(Invoices!B$14:B$30,A5,Invoices!E$14:E$30)</f>
        <v>2800</v>
      </c>
      <c r="C5" s="23">
        <f>SUMPRODUCT((Invoices!B$14:B$30=A5)*(Invoices!H$14:H$30&lt;&gt;"")*Invoices!E$14:E$30)</f>
        <v>2800</v>
      </c>
      <c r="D5" s="23">
        <f t="shared" si="0"/>
        <v>0</v>
      </c>
      <c r="E5" s="21">
        <f>COUNTIF(Invoices!B$14:B$30,A5)</f>
        <v>2</v>
      </c>
      <c r="F5" s="24">
        <f ca="1">IFERROR(AVERAGEIFS(Invoices!I$14:I$30,Invoices!B$14:B$30,A5,Invoices!H$14:H$30,"&lt;&gt;"),"")</f>
        <v>26.5</v>
      </c>
      <c r="G5" s="24" t="str">
        <f ca="1">IFERROR(_xludf.MAXIFS(Invoices!I$14:I$30,Invoices!B$14:B$30,A5,Invoices!H$14:H$30,"&lt;&gt;"),"")</f>
        <v/>
      </c>
      <c r="H5" s="21" t="s">
        <v>88</v>
      </c>
      <c r="I5" s="21"/>
    </row>
    <row r="6" spans="1:9" x14ac:dyDescent="0.25">
      <c r="A6" s="21" t="s">
        <v>25</v>
      </c>
      <c r="B6" s="23">
        <f>SUMIF(Invoices!B$14:B$30,A6,Invoices!E$14:E$30)</f>
        <v>6100</v>
      </c>
      <c r="C6" s="23">
        <f>SUMPRODUCT((Invoices!B$14:B$30=A6)*(Invoices!H$14:H$30&lt;&gt;"")*Invoices!E$14:E$30)</f>
        <v>4700</v>
      </c>
      <c r="D6" s="23">
        <f t="shared" si="0"/>
        <v>1400</v>
      </c>
      <c r="E6" s="21">
        <f>COUNTIF(Invoices!B$14:B$30,A6)</f>
        <v>3</v>
      </c>
      <c r="F6" s="24">
        <f ca="1">IFERROR(AVERAGEIFS(Invoices!I$14:I$30,Invoices!B$14:B$30,A6,Invoices!H$14:H$30,"&lt;&gt;"),"")</f>
        <v>25.5</v>
      </c>
      <c r="G6" s="24" t="str">
        <f ca="1">IFERROR(_xludf.MAXIFS(Invoices!I$14:I$30,Invoices!B$14:B$30,A6,Invoices!H$14:H$30,"&lt;&gt;"),"")</f>
        <v/>
      </c>
      <c r="H6" s="21" t="s">
        <v>88</v>
      </c>
      <c r="I6" s="21" t="s">
        <v>89</v>
      </c>
    </row>
    <row r="7" spans="1:9" x14ac:dyDescent="0.25">
      <c r="A7" s="21" t="s">
        <v>48</v>
      </c>
      <c r="B7" s="23">
        <f>SUMIF(Invoices!B$14:B$30,A7,Invoices!E$14:E$30)</f>
        <v>2050</v>
      </c>
      <c r="C7" s="23">
        <f>SUMPRODUCT((Invoices!B$14:B$30=A7)*(Invoices!H$14:H$30&lt;&gt;"")*Invoices!E$14:E$30)</f>
        <v>950</v>
      </c>
      <c r="D7" s="23">
        <f t="shared" si="0"/>
        <v>1100</v>
      </c>
      <c r="E7" s="21">
        <f>COUNTIF(Invoices!B$14:B$30,A7)</f>
        <v>2</v>
      </c>
      <c r="F7" s="24">
        <f ca="1">IFERROR(AVERAGEIFS(Invoices!I$14:I$30,Invoices!B$14:B$30,A7,Invoices!H$14:H$30,"&lt;&gt;"),"")</f>
        <v>23</v>
      </c>
      <c r="G7" s="24" t="str">
        <f ca="1">IFERROR(_xludf.MAXIFS(Invoices!I$14:I$30,Invoices!B$14:B$30,A7,Invoices!H$14:H$30,"&lt;&gt;"),"")</f>
        <v/>
      </c>
      <c r="H7" s="21" t="s">
        <v>88</v>
      </c>
      <c r="I7" s="21" t="s">
        <v>90</v>
      </c>
    </row>
    <row r="8" spans="1:9" x14ac:dyDescent="0.25">
      <c r="A8" s="21" t="s">
        <v>33</v>
      </c>
      <c r="B8" s="23">
        <f>SUMIF(Invoices!B$14:B$30,A8,Invoices!E$14:E$30)</f>
        <v>6550</v>
      </c>
      <c r="C8" s="23">
        <f>SUMPRODUCT((Invoices!B$14:B$30=A8)*(Invoices!H$14:H$30&lt;&gt;"")*Invoices!E$14:E$30)</f>
        <v>3400</v>
      </c>
      <c r="D8" s="23">
        <f t="shared" si="0"/>
        <v>3150</v>
      </c>
      <c r="E8" s="21">
        <f>COUNTIF(Invoices!B$14:B$30,A8)</f>
        <v>3</v>
      </c>
      <c r="F8" s="24">
        <f ca="1">IFERROR(AVERAGEIFS(Invoices!I$14:I$30,Invoices!B$14:B$30,A8,Invoices!H$14:H$30,"&lt;&gt;"),"")</f>
        <v>56</v>
      </c>
      <c r="G8" s="24" t="str">
        <f ca="1">IFERROR(_xludf.MAXIFS(Invoices!I$14:I$30,Invoices!B$14:B$30,A8,Invoices!H$14:H$30,"&lt;&gt;"),"")</f>
        <v/>
      </c>
      <c r="H8" s="21" t="s">
        <v>91</v>
      </c>
      <c r="I8" s="21" t="s">
        <v>92</v>
      </c>
    </row>
    <row r="9" spans="1:9" x14ac:dyDescent="0.25">
      <c r="A9" s="21" t="s">
        <v>44</v>
      </c>
      <c r="B9" s="23">
        <f>SUMIF(Invoices!B$14:B$30,A9,Invoices!E$14:E$30)</f>
        <v>6300</v>
      </c>
      <c r="C9" s="23">
        <f>SUMPRODUCT((Invoices!B$14:B$30=A9)*(Invoices!H$14:H$30&lt;&gt;"")*Invoices!E$14:E$30)</f>
        <v>4200</v>
      </c>
      <c r="D9" s="23">
        <f t="shared" si="0"/>
        <v>2100</v>
      </c>
      <c r="E9" s="21">
        <f>COUNTIF(Invoices!B$14:B$30,A9)</f>
        <v>2</v>
      </c>
      <c r="F9" s="24">
        <f ca="1">IFERROR(AVERAGEIFS(Invoices!I$14:I$30,Invoices!B$14:B$30,A9,Invoices!H$14:H$30,"&lt;&gt;"),"")</f>
        <v>49</v>
      </c>
      <c r="G9" s="24" t="str">
        <f ca="1">IFERROR(_xludf.MAXIFS(Invoices!I$14:I$30,Invoices!B$14:B$30,A9,Invoices!H$14:H$30,"&lt;&gt;"),"")</f>
        <v/>
      </c>
      <c r="H9" s="21" t="s">
        <v>93</v>
      </c>
      <c r="I9" s="21" t="s">
        <v>94</v>
      </c>
    </row>
    <row r="10" spans="1:9" x14ac:dyDescent="0.25">
      <c r="A10" s="21" t="s">
        <v>69</v>
      </c>
      <c r="B10" s="23">
        <f>SUMIF(Invoices!B$14:B$30,A10,Invoices!E$14:E$30)</f>
        <v>500</v>
      </c>
      <c r="C10" s="23">
        <f>SUMPRODUCT((Invoices!B$14:B$30=A10)*(Invoices!H$14:H$30&lt;&gt;"")*Invoices!E$14:E$30)</f>
        <v>0</v>
      </c>
      <c r="D10" s="23">
        <f t="shared" si="0"/>
        <v>500</v>
      </c>
      <c r="E10" s="21">
        <f>COUNTIF(Invoices!B$14:B$30,A10)</f>
        <v>1</v>
      </c>
      <c r="F10" s="24" t="str">
        <f>IFERROR(AVERAGEIFS(Invoices!I$14:I$30,Invoices!B$14:B$30,A10,Invoices!H$14:H$30,"&lt;&gt;"),"")</f>
        <v/>
      </c>
      <c r="G10" s="24" t="str">
        <f ca="1">IFERROR(_xludf.MAXIFS(Invoices!I$14:I$30,Invoices!B$14:B$30,A10,Invoices!H$14:H$30,"&lt;&gt;"),"")</f>
        <v/>
      </c>
      <c r="H10" s="21" t="s">
        <v>95</v>
      </c>
      <c r="I10" s="21" t="s">
        <v>96</v>
      </c>
    </row>
    <row r="13" spans="1:9" x14ac:dyDescent="0.25">
      <c r="A13" s="1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14" customWidth="1"/>
    <col min="5" max="5" width="40" customWidth="1"/>
  </cols>
  <sheetData>
    <row r="1" spans="1:5" ht="15.75" x14ac:dyDescent="0.25">
      <c r="A1" s="25" t="s">
        <v>98</v>
      </c>
    </row>
    <row r="3" spans="1:5" x14ac:dyDescent="0.25">
      <c r="A3" s="15" t="s">
        <v>99</v>
      </c>
    </row>
    <row r="4" spans="1:5" x14ac:dyDescent="0.25">
      <c r="A4" s="26" t="s">
        <v>100</v>
      </c>
      <c r="B4" s="26" t="s">
        <v>101</v>
      </c>
      <c r="C4" s="26" t="s">
        <v>23</v>
      </c>
    </row>
    <row r="5" spans="1:5" x14ac:dyDescent="0.25">
      <c r="A5" s="1" t="s">
        <v>102</v>
      </c>
      <c r="B5" s="17">
        <v>95</v>
      </c>
      <c r="C5" s="1"/>
    </row>
    <row r="6" spans="1:5" x14ac:dyDescent="0.25">
      <c r="A6" s="1" t="s">
        <v>103</v>
      </c>
      <c r="B6" s="17">
        <v>85</v>
      </c>
      <c r="C6" s="1" t="s">
        <v>104</v>
      </c>
    </row>
    <row r="7" spans="1:5" x14ac:dyDescent="0.25">
      <c r="A7" s="1" t="s">
        <v>105</v>
      </c>
      <c r="B7" s="17">
        <v>120</v>
      </c>
      <c r="C7" s="1" t="s">
        <v>106</v>
      </c>
    </row>
    <row r="8" spans="1:5" x14ac:dyDescent="0.25">
      <c r="A8" s="1" t="s">
        <v>107</v>
      </c>
      <c r="B8" s="17">
        <v>75</v>
      </c>
      <c r="C8" s="1" t="s">
        <v>108</v>
      </c>
    </row>
    <row r="10" spans="1:5" x14ac:dyDescent="0.25">
      <c r="A10" s="15" t="s">
        <v>109</v>
      </c>
    </row>
    <row r="11" spans="1:5" x14ac:dyDescent="0.25">
      <c r="A11" s="26" t="s">
        <v>110</v>
      </c>
      <c r="B11" s="26" t="s">
        <v>111</v>
      </c>
      <c r="C11" s="26" t="s">
        <v>112</v>
      </c>
      <c r="D11" s="26" t="s">
        <v>113</v>
      </c>
      <c r="E11" s="26" t="s">
        <v>23</v>
      </c>
    </row>
    <row r="12" spans="1:5" x14ac:dyDescent="0.25">
      <c r="A12" s="1" t="s">
        <v>114</v>
      </c>
      <c r="B12" s="17">
        <v>1200</v>
      </c>
      <c r="C12" s="1">
        <v>10</v>
      </c>
      <c r="D12" s="27">
        <f>B12/C12</f>
        <v>120</v>
      </c>
      <c r="E12" s="1"/>
    </row>
    <row r="13" spans="1:5" x14ac:dyDescent="0.25">
      <c r="A13" s="1" t="s">
        <v>115</v>
      </c>
      <c r="B13" s="17">
        <v>3500</v>
      </c>
      <c r="C13" s="1">
        <v>35</v>
      </c>
      <c r="D13" s="27">
        <f>B13/C13</f>
        <v>100</v>
      </c>
      <c r="E13" s="1" t="s">
        <v>116</v>
      </c>
    </row>
    <row r="14" spans="1:5" x14ac:dyDescent="0.25">
      <c r="A14" s="1" t="s">
        <v>117</v>
      </c>
      <c r="B14" s="17">
        <v>4500</v>
      </c>
      <c r="C14" s="1">
        <v>45</v>
      </c>
      <c r="D14" s="27">
        <f>B14/C14</f>
        <v>100</v>
      </c>
      <c r="E14" s="1" t="s">
        <v>118</v>
      </c>
    </row>
    <row r="15" spans="1:5" x14ac:dyDescent="0.25">
      <c r="A15" s="1" t="s">
        <v>119</v>
      </c>
      <c r="B15" s="17">
        <v>1500</v>
      </c>
      <c r="C15" s="1">
        <v>15</v>
      </c>
      <c r="D15" s="27">
        <f>B15/C15</f>
        <v>100</v>
      </c>
      <c r="E15" s="1" t="s">
        <v>120</v>
      </c>
    </row>
    <row r="16" spans="1:5" x14ac:dyDescent="0.25">
      <c r="A16" s="1" t="s">
        <v>121</v>
      </c>
      <c r="B16" s="17">
        <v>350</v>
      </c>
      <c r="C16" s="1">
        <v>3</v>
      </c>
      <c r="D16" s="27">
        <f>B16/C16</f>
        <v>116.66666666666667</v>
      </c>
      <c r="E16" s="1" t="s">
        <v>122</v>
      </c>
    </row>
    <row r="18" spans="1:3" x14ac:dyDescent="0.25">
      <c r="A18" s="15" t="s">
        <v>123</v>
      </c>
    </row>
    <row r="19" spans="1:3" x14ac:dyDescent="0.25">
      <c r="A19" s="1" t="s">
        <v>124</v>
      </c>
      <c r="B19" s="1" t="s">
        <v>9</v>
      </c>
    </row>
    <row r="20" spans="1:3" x14ac:dyDescent="0.25">
      <c r="A20" s="1" t="s">
        <v>125</v>
      </c>
      <c r="B20" s="1" t="s">
        <v>30</v>
      </c>
    </row>
    <row r="21" spans="1:3" x14ac:dyDescent="0.25">
      <c r="A21" s="1" t="s">
        <v>126</v>
      </c>
      <c r="B21" s="28" t="s">
        <v>127</v>
      </c>
    </row>
    <row r="22" spans="1:3" x14ac:dyDescent="0.25">
      <c r="A22" s="1" t="s">
        <v>128</v>
      </c>
      <c r="B22" s="28" t="s">
        <v>129</v>
      </c>
      <c r="C22" s="1" t="s">
        <v>130</v>
      </c>
    </row>
    <row r="24" spans="1:3" x14ac:dyDescent="0.25">
      <c r="A24" s="15" t="s">
        <v>131</v>
      </c>
    </row>
    <row r="25" spans="1:3" x14ac:dyDescent="0.25">
      <c r="A25" s="1" t="s">
        <v>132</v>
      </c>
    </row>
    <row r="26" spans="1:3" x14ac:dyDescent="0.25">
      <c r="A26" s="1" t="s">
        <v>133</v>
      </c>
    </row>
    <row r="27" spans="1:3" x14ac:dyDescent="0.25">
      <c r="A27" s="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Client Summary</vt:lpstr>
      <vt:lpstr>Rate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Wallace</dc:creator>
  <cp:lastModifiedBy>Kevin Wallace</cp:lastModifiedBy>
  <dcterms:created xsi:type="dcterms:W3CDTF">2024-05-06T03:01:56Z</dcterms:created>
  <dcterms:modified xsi:type="dcterms:W3CDTF">2025-11-05T04:20:41Z</dcterms:modified>
  <cp:revision>1</cp:revision>
</cp:coreProperties>
</file>