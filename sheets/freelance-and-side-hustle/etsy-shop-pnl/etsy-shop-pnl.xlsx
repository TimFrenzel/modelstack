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30\"/>
    </mc:Choice>
  </mc:AlternateContent>
  <xr:revisionPtr revIDLastSave="0" documentId="13_ncr:1_{B378277B-8265-45EA-92B0-51ABF221F201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Monthly P&amp;L" sheetId="1" r:id="rId1"/>
    <sheet name="Order Log" sheetId="2" r:id="rId2"/>
    <sheet name="Product Co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J7" i="3" s="1"/>
  <c r="H6" i="3"/>
  <c r="J6" i="3" s="1"/>
  <c r="H5" i="3"/>
  <c r="J5" i="3" s="1"/>
  <c r="H4" i="3"/>
  <c r="J4" i="3" s="1"/>
  <c r="H3" i="3"/>
  <c r="J3" i="3" s="1"/>
  <c r="H2" i="3"/>
  <c r="J2" i="3" s="1"/>
  <c r="E34" i="1"/>
  <c r="D34" i="1"/>
  <c r="C34" i="1"/>
  <c r="B34" i="1"/>
  <c r="E21" i="1"/>
  <c r="D21" i="1"/>
  <c r="C21" i="1"/>
  <c r="B21" i="1"/>
  <c r="E8" i="1"/>
  <c r="E12" i="1" s="1"/>
  <c r="D8" i="1"/>
  <c r="D12" i="1" s="1"/>
  <c r="C8" i="1"/>
  <c r="C12" i="1" s="1"/>
  <c r="B8" i="1"/>
  <c r="B12" i="1" s="1"/>
  <c r="B23" i="1" l="1"/>
  <c r="B36" i="1" s="1"/>
  <c r="C23" i="1"/>
  <c r="C36" i="1" s="1"/>
  <c r="D23" i="1"/>
  <c r="D36" i="1" s="1"/>
  <c r="E23" i="1"/>
  <c r="E36" i="1" s="1"/>
  <c r="C24" i="1"/>
  <c r="C40" i="1" l="1"/>
  <c r="C41" i="1" s="1"/>
  <c r="E40" i="1"/>
  <c r="E41" i="1" s="1"/>
  <c r="E37" i="1"/>
  <c r="B40" i="1"/>
  <c r="B41" i="1" s="1"/>
  <c r="B24" i="1"/>
  <c r="D37" i="1"/>
  <c r="D40" i="1"/>
  <c r="D41" i="1" s="1"/>
  <c r="E24" i="1"/>
  <c r="C37" i="1"/>
  <c r="D24" i="1"/>
  <c r="B37" i="1"/>
</calcChain>
</file>

<file path=xl/sharedStrings.xml><?xml version="1.0" encoding="utf-8"?>
<sst xmlns="http://schemas.openxmlformats.org/spreadsheetml/2006/main" count="190" uniqueCount="126">
  <si>
    <t>Tangled Root Studio</t>
  </si>
  <si>
    <t>Monthly P&amp;L — 2026</t>
  </si>
  <si>
    <t>January</t>
  </si>
  <si>
    <t>February</t>
  </si>
  <si>
    <t>March</t>
  </si>
  <si>
    <t>April</t>
  </si>
  <si>
    <t>Notes</t>
  </si>
  <si>
    <t>REVENUE</t>
  </si>
  <si>
    <t xml:space="preserve">  Etsy Sales (gross)</t>
  </si>
  <si>
    <t>Apr is through 4/10 only</t>
  </si>
  <si>
    <t xml:space="preserve">  Etsy Transaction Fees (6.5%)</t>
  </si>
  <si>
    <t xml:space="preserve">  Etsy Listing Fees</t>
  </si>
  <si>
    <t>$0.20 per listing</t>
  </si>
  <si>
    <t xml:space="preserve">  Etsy Ads</t>
  </si>
  <si>
    <t>bumped budget in March, didn't help much</t>
  </si>
  <si>
    <t xml:space="preserve">  Payment Processing (3%+$0.25)</t>
  </si>
  <si>
    <t>Net Revenue</t>
  </si>
  <si>
    <t>COST OF GOODS</t>
  </si>
  <si>
    <t xml:space="preserve">  Wax (soy blend)</t>
  </si>
  <si>
    <t>switched to Golden 464 in Feb</t>
  </si>
  <si>
    <t xml:space="preserve">  Fragrance Oils</t>
  </si>
  <si>
    <t xml:space="preserve">  Wicks &amp; Tabs</t>
  </si>
  <si>
    <t>bought bulk in March</t>
  </si>
  <si>
    <t xml:space="preserve">  Jars &amp; Containers</t>
  </si>
  <si>
    <t>9oz amber from Fillmore</t>
  </si>
  <si>
    <t xml:space="preserve">  Labels &amp; Packaging</t>
  </si>
  <si>
    <t xml:space="preserve">  Shipping Supplies</t>
  </si>
  <si>
    <t>Pirate Ship labels</t>
  </si>
  <si>
    <t>Total COGS</t>
  </si>
  <si>
    <t>Gross Profit</t>
  </si>
  <si>
    <t xml:space="preserve">  Gross Margin %</t>
  </si>
  <si>
    <t>OPERATING EXPENSES</t>
  </si>
  <si>
    <t xml:space="preserve">  Candle Supplies (misc)</t>
  </si>
  <si>
    <t>thermometer, pouring pitcher, etc</t>
  </si>
  <si>
    <t xml:space="preserve">  Photography/Props</t>
  </si>
  <si>
    <t>-</t>
  </si>
  <si>
    <t>new backdrop for spring photos</t>
  </si>
  <si>
    <t xml:space="preserve">  Software (Etsy tools)</t>
  </si>
  <si>
    <t>eRank subscription</t>
  </si>
  <si>
    <t xml:space="preserve">  Craft Fair Fees</t>
  </si>
  <si>
    <t>Spring Market booth Apr 19-20</t>
  </si>
  <si>
    <t xml:space="preserve">  Insurance</t>
  </si>
  <si>
    <t>quarterly, product liability</t>
  </si>
  <si>
    <t xml:space="preserve">  Phone/Internet (30%)</t>
  </si>
  <si>
    <t>30% of plan, used for photos + orders</t>
  </si>
  <si>
    <t xml:space="preserve">  Mileage (supplies runs)</t>
  </si>
  <si>
    <t>67 cents/mile, should track better</t>
  </si>
  <si>
    <t>Total OpEx</t>
  </si>
  <si>
    <t>NET INCOME</t>
  </si>
  <si>
    <t xml:space="preserve">  Net Margin %</t>
  </si>
  <si>
    <t>SELF-EMPLOYMENT TAX ESTIMATE</t>
  </si>
  <si>
    <t xml:space="preserve">  SE Tax (15.3%)</t>
  </si>
  <si>
    <t xml:space="preserve">  Take-Home After SE Tax</t>
  </si>
  <si>
    <t>--- stuff to look into ---</t>
  </si>
  <si>
    <t>Pirate Ship might be cheaper than Etsy labels for heavier orders?</t>
  </si>
  <si>
    <t>need to track returns separately next month</t>
  </si>
  <si>
    <t>ask about wholesale pricing from Lone Star for fragrance oils (10+ lbs)</t>
  </si>
  <si>
    <t>March was best month, farmers market season starting... keep pushing</t>
  </si>
  <si>
    <t>updated 4/10</t>
  </si>
  <si>
    <t>Order #</t>
  </si>
  <si>
    <t>Date</t>
  </si>
  <si>
    <t>Item</t>
  </si>
  <si>
    <t>Qty</t>
  </si>
  <si>
    <t>Price</t>
  </si>
  <si>
    <t>Shipping Charged</t>
  </si>
  <si>
    <t>Ship Cost (actual)</t>
  </si>
  <si>
    <t>Platform</t>
  </si>
  <si>
    <t>ETSY-30847</t>
  </si>
  <si>
    <t>8oz Lavender Fields Candle</t>
  </si>
  <si>
    <t>Etsy</t>
  </si>
  <si>
    <t>ETSY-30851</t>
  </si>
  <si>
    <t>Wax Melt Sampler (6 pack)</t>
  </si>
  <si>
    <t>repeat customer</t>
  </si>
  <si>
    <t>ETSY-30863</t>
  </si>
  <si>
    <t>12oz Cedarwood + Vanilla</t>
  </si>
  <si>
    <t>ETSY-30870</t>
  </si>
  <si>
    <t>Gift Set - 3 Candle Bundle</t>
  </si>
  <si>
    <t>free shipping promo</t>
  </si>
  <si>
    <t>ETSY-30879</t>
  </si>
  <si>
    <t>ETSY-30884</t>
  </si>
  <si>
    <t>Jan 22</t>
  </si>
  <si>
    <t>Wax Melt - Pumpkin Spice (seasonal)</t>
  </si>
  <si>
    <t>ETSY-30891</t>
  </si>
  <si>
    <t>4oz Travel Tin - Citrus Burst</t>
  </si>
  <si>
    <t>ETSY-30903</t>
  </si>
  <si>
    <t>custom label request</t>
  </si>
  <si>
    <t>ETSY-30912</t>
  </si>
  <si>
    <t>ETSY-30918</t>
  </si>
  <si>
    <t>ETSY-30925</t>
  </si>
  <si>
    <t>last of holiday stock</t>
  </si>
  <si>
    <t>ETSY-30931</t>
  </si>
  <si>
    <t>Valentine's gift</t>
  </si>
  <si>
    <t>ETSY-30940</t>
  </si>
  <si>
    <t>Feb 19</t>
  </si>
  <si>
    <t>ETSY-30948</t>
  </si>
  <si>
    <t>ETSY-30955</t>
  </si>
  <si>
    <t>ETSY-30962</t>
  </si>
  <si>
    <t>bulk order, gift for coworkers</t>
  </si>
  <si>
    <t>ETSY-30970</t>
  </si>
  <si>
    <t>ETSY-30978</t>
  </si>
  <si>
    <t>ETSY-30985</t>
  </si>
  <si>
    <t>ETSY-30991</t>
  </si>
  <si>
    <t>damaged in shipping, reshipped</t>
  </si>
  <si>
    <t>ETSY-31002</t>
  </si>
  <si>
    <t>ETSY-31008</t>
  </si>
  <si>
    <t>ETSY-31015</t>
  </si>
  <si>
    <t>CF-0041</t>
  </si>
  <si>
    <t>craft fair</t>
  </si>
  <si>
    <t>sold at booth</t>
  </si>
  <si>
    <t>ETSY-31024</t>
  </si>
  <si>
    <t>ETSY-31030</t>
  </si>
  <si>
    <t>ETSY-31038</t>
  </si>
  <si>
    <t>ETSY-31045</t>
  </si>
  <si>
    <t>ETSY-31050</t>
  </si>
  <si>
    <t>Product</t>
  </si>
  <si>
    <t>Wax (oz)</t>
  </si>
  <si>
    <t>Fragrance (oz)</t>
  </si>
  <si>
    <t>Wick</t>
  </si>
  <si>
    <t>Container</t>
  </si>
  <si>
    <t>Label</t>
  </si>
  <si>
    <t>Packaging</t>
  </si>
  <si>
    <t>Total Cost</t>
  </si>
  <si>
    <t>Sell Price</t>
  </si>
  <si>
    <t>Margin</t>
  </si>
  <si>
    <t>note: costs don't include Etsy fees, those hit the P&amp;L separately</t>
  </si>
  <si>
    <t>fragrance oil prices from Lone Star Candle Supply, last checked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</si>
</sst>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i/>
      <sz val="11"/>
      <color rgb="FF8C8C8C"/>
      <name val="Arial"/>
    </font>
    <font>
      <i/>
      <sz val="9"/>
      <color rgb="FF8C8C8C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D2B4AF"/>
      </patternFill>
    </fill>
    <fill>
      <patternFill patternType="solid">
        <fgColor rgb="FFEBE6E1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2" xfId="0" applyFont="1" applyBorder="1"/>
    <xf numFmtId="164" fontId="3" fillId="0" borderId="2" xfId="0" applyNumberFormat="1" applyFont="1" applyBorder="1"/>
    <xf numFmtId="0" fontId="3" fillId="3" borderId="0" xfId="0" applyFont="1" applyFill="1"/>
    <xf numFmtId="164" fontId="3" fillId="3" borderId="0" xfId="0" applyNumberFormat="1" applyFont="1" applyFill="1"/>
    <xf numFmtId="0" fontId="0" fillId="3" borderId="0" xfId="0" applyFill="1"/>
    <xf numFmtId="165" fontId="4" fillId="0" borderId="0" xfId="0" applyNumberFormat="1" applyFont="1"/>
    <xf numFmtId="0" fontId="3" fillId="0" borderId="3" xfId="0" applyFont="1" applyBorder="1"/>
    <xf numFmtId="164" fontId="3" fillId="0" borderId="3" xfId="0" applyNumberFormat="1" applyFont="1" applyBorder="1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14" fontId="4" fillId="0" borderId="0" xfId="0" applyNumberFormat="1" applyFont="1"/>
    <xf numFmtId="0" fontId="7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sqref="A1:C1"/>
    </sheetView>
  </sheetViews>
  <sheetFormatPr defaultRowHeight="15" x14ac:dyDescent="0.25"/>
  <cols>
    <col min="1" max="1" width="35" customWidth="1"/>
    <col min="2" max="5" width="14" customWidth="1"/>
    <col min="6" max="6" width="42" customWidth="1"/>
  </cols>
  <sheetData>
    <row r="1" spans="1:6" ht="16.5" x14ac:dyDescent="0.25">
      <c r="A1" s="19" t="s">
        <v>0</v>
      </c>
      <c r="B1" s="20"/>
      <c r="C1" s="20"/>
    </row>
    <row r="2" spans="1:6" x14ac:dyDescent="0.25">
      <c r="A2" s="1" t="s">
        <v>1</v>
      </c>
    </row>
    <row r="5" spans="1:6" x14ac:dyDescent="0.25">
      <c r="A5" s="2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25">
      <c r="A6" s="3" t="s">
        <v>7</v>
      </c>
    </row>
    <row r="7" spans="1:6" x14ac:dyDescent="0.25">
      <c r="A7" s="4" t="s">
        <v>8</v>
      </c>
      <c r="B7" s="5">
        <v>2847</v>
      </c>
      <c r="C7" s="5">
        <v>2190</v>
      </c>
      <c r="D7" s="5">
        <v>3412.5</v>
      </c>
      <c r="E7" s="5">
        <v>1680</v>
      </c>
      <c r="F7" s="4" t="s">
        <v>9</v>
      </c>
    </row>
    <row r="8" spans="1:6" x14ac:dyDescent="0.25">
      <c r="A8" s="4" t="s">
        <v>10</v>
      </c>
      <c r="B8" s="5">
        <f>-B7*0.065</f>
        <v>-185.05500000000001</v>
      </c>
      <c r="C8" s="5">
        <f>-C7*0.065</f>
        <v>-142.35</v>
      </c>
      <c r="D8" s="5">
        <f>-D7*0.065</f>
        <v>-221.8125</v>
      </c>
      <c r="E8" s="5">
        <f>-E7*0.065</f>
        <v>-109.2</v>
      </c>
      <c r="F8" s="4"/>
    </row>
    <row r="9" spans="1:6" x14ac:dyDescent="0.25">
      <c r="A9" s="4" t="s">
        <v>11</v>
      </c>
      <c r="B9" s="5">
        <v>-12.8</v>
      </c>
      <c r="C9" s="5">
        <v>-9.6</v>
      </c>
      <c r="D9" s="5">
        <v>-15.2</v>
      </c>
      <c r="E9" s="5">
        <v>-7.4</v>
      </c>
      <c r="F9" s="4" t="s">
        <v>12</v>
      </c>
    </row>
    <row r="10" spans="1:6" x14ac:dyDescent="0.25">
      <c r="A10" s="4" t="s">
        <v>13</v>
      </c>
      <c r="B10" s="5">
        <v>-45</v>
      </c>
      <c r="C10" s="5">
        <v>-45</v>
      </c>
      <c r="D10" s="5">
        <v>-60</v>
      </c>
      <c r="E10" s="5">
        <v>-30</v>
      </c>
      <c r="F10" s="4" t="s">
        <v>14</v>
      </c>
    </row>
    <row r="11" spans="1:6" x14ac:dyDescent="0.25">
      <c r="A11" s="4" t="s">
        <v>15</v>
      </c>
      <c r="B11" s="5">
        <v>-97.41</v>
      </c>
      <c r="C11" s="5">
        <v>-78.7</v>
      </c>
      <c r="D11" s="5">
        <v>-115.38</v>
      </c>
      <c r="E11" s="5">
        <v>-57.4</v>
      </c>
      <c r="F11" s="4"/>
    </row>
    <row r="12" spans="1:6" x14ac:dyDescent="0.25">
      <c r="A12" s="6" t="s">
        <v>16</v>
      </c>
      <c r="B12" s="7">
        <f>SUM(B7:B11)</f>
        <v>2506.7350000000001</v>
      </c>
      <c r="C12" s="7">
        <f>SUM(C7:C11)</f>
        <v>1914.3500000000001</v>
      </c>
      <c r="D12" s="7">
        <f>SUM(D7:D11)</f>
        <v>3000.1075000000001</v>
      </c>
      <c r="E12" s="7">
        <f>SUM(E7:E11)</f>
        <v>1475.9999999999998</v>
      </c>
    </row>
    <row r="14" spans="1:6" x14ac:dyDescent="0.25">
      <c r="A14" s="3" t="s">
        <v>17</v>
      </c>
    </row>
    <row r="15" spans="1:6" x14ac:dyDescent="0.25">
      <c r="A15" s="4" t="s">
        <v>18</v>
      </c>
      <c r="B15" s="5">
        <v>380</v>
      </c>
      <c r="C15" s="5">
        <v>290</v>
      </c>
      <c r="D15" s="5">
        <v>520</v>
      </c>
      <c r="E15" s="5">
        <v>185</v>
      </c>
      <c r="F15" s="4" t="s">
        <v>19</v>
      </c>
    </row>
    <row r="16" spans="1:6" x14ac:dyDescent="0.25">
      <c r="A16" s="4" t="s">
        <v>20</v>
      </c>
      <c r="B16" s="5">
        <v>245</v>
      </c>
      <c r="C16" s="5">
        <v>198</v>
      </c>
      <c r="D16" s="5">
        <v>312</v>
      </c>
      <c r="E16" s="5">
        <v>140</v>
      </c>
    </row>
    <row r="17" spans="1:6" x14ac:dyDescent="0.25">
      <c r="A17" s="4" t="s">
        <v>21</v>
      </c>
      <c r="B17" s="5">
        <v>42</v>
      </c>
      <c r="C17" s="5">
        <v>42</v>
      </c>
      <c r="D17" s="5">
        <v>65</v>
      </c>
      <c r="E17" s="5">
        <v>28</v>
      </c>
      <c r="F17" s="4" t="s">
        <v>22</v>
      </c>
    </row>
    <row r="18" spans="1:6" x14ac:dyDescent="0.25">
      <c r="A18" s="4" t="s">
        <v>23</v>
      </c>
      <c r="B18" s="5">
        <v>310</v>
      </c>
      <c r="C18" s="5">
        <v>248</v>
      </c>
      <c r="D18" s="5">
        <v>415</v>
      </c>
      <c r="E18" s="5">
        <v>165</v>
      </c>
      <c r="F18" s="4" t="s">
        <v>24</v>
      </c>
    </row>
    <row r="19" spans="1:6" x14ac:dyDescent="0.25">
      <c r="A19" s="4" t="s">
        <v>25</v>
      </c>
      <c r="B19" s="5">
        <v>125</v>
      </c>
      <c r="C19" s="5">
        <v>89</v>
      </c>
      <c r="D19" s="5">
        <v>178</v>
      </c>
      <c r="E19" s="5">
        <v>62</v>
      </c>
    </row>
    <row r="20" spans="1:6" x14ac:dyDescent="0.25">
      <c r="A20" s="4" t="s">
        <v>26</v>
      </c>
      <c r="B20" s="5">
        <v>88</v>
      </c>
      <c r="C20" s="5">
        <v>72</v>
      </c>
      <c r="D20" s="5">
        <v>134</v>
      </c>
      <c r="E20" s="5">
        <v>48</v>
      </c>
      <c r="F20" s="4" t="s">
        <v>27</v>
      </c>
    </row>
    <row r="21" spans="1:6" x14ac:dyDescent="0.25">
      <c r="A21" s="6" t="s">
        <v>28</v>
      </c>
      <c r="B21" s="7">
        <f>SUM(B15:B20)</f>
        <v>1190</v>
      </c>
      <c r="C21" s="7">
        <f>SUM(C15:C20)</f>
        <v>939</v>
      </c>
      <c r="D21" s="7">
        <f>SUM(D15:D20)</f>
        <v>1624</v>
      </c>
      <c r="E21" s="7">
        <f>SUM(E15:E20)</f>
        <v>628</v>
      </c>
    </row>
    <row r="23" spans="1:6" x14ac:dyDescent="0.25">
      <c r="A23" s="8" t="s">
        <v>29</v>
      </c>
      <c r="B23" s="9">
        <f>B12-B21</f>
        <v>1316.7350000000001</v>
      </c>
      <c r="C23" s="9">
        <f>C12-C21</f>
        <v>975.35000000000014</v>
      </c>
      <c r="D23" s="9">
        <f>D12-D21</f>
        <v>1376.1075000000001</v>
      </c>
      <c r="E23" s="9">
        <f>E12-E21</f>
        <v>847.99999999999977</v>
      </c>
      <c r="F23" s="10"/>
    </row>
    <row r="24" spans="1:6" x14ac:dyDescent="0.25">
      <c r="A24" s="4" t="s">
        <v>30</v>
      </c>
      <c r="B24" s="11">
        <f>IF(B12=0,0,B23/B12)</f>
        <v>0.52527889864704491</v>
      </c>
      <c r="C24" s="11">
        <f>IF(C12=0,0,C23/C12)</f>
        <v>0.50949408415389041</v>
      </c>
      <c r="D24" s="11">
        <f>IF(D12=0,0,D23/D12)</f>
        <v>0.45868606374938231</v>
      </c>
      <c r="E24" s="11">
        <f>IF(E12=0,0,E23/E12)</f>
        <v>0.57452574525745248</v>
      </c>
    </row>
    <row r="26" spans="1:6" x14ac:dyDescent="0.25">
      <c r="A26" s="3" t="s">
        <v>31</v>
      </c>
    </row>
    <row r="27" spans="1:6" x14ac:dyDescent="0.25">
      <c r="A27" s="4" t="s">
        <v>32</v>
      </c>
      <c r="B27" s="5">
        <v>34</v>
      </c>
      <c r="C27" s="5">
        <v>22</v>
      </c>
      <c r="D27" s="5">
        <v>45</v>
      </c>
      <c r="E27" s="5">
        <v>15</v>
      </c>
      <c r="F27" s="4" t="s">
        <v>33</v>
      </c>
    </row>
    <row r="28" spans="1:6" x14ac:dyDescent="0.25">
      <c r="A28" s="4" t="s">
        <v>34</v>
      </c>
      <c r="B28" s="5">
        <v>65</v>
      </c>
      <c r="C28" s="5" t="s">
        <v>35</v>
      </c>
      <c r="D28" s="5">
        <v>120</v>
      </c>
      <c r="E28" s="5" t="s">
        <v>35</v>
      </c>
      <c r="F28" s="4" t="s">
        <v>36</v>
      </c>
    </row>
    <row r="29" spans="1:6" x14ac:dyDescent="0.25">
      <c r="A29" s="4" t="s">
        <v>37</v>
      </c>
      <c r="B29" s="5">
        <v>19.989999999999998</v>
      </c>
      <c r="C29" s="5">
        <v>19.989999999999998</v>
      </c>
      <c r="D29" s="5">
        <v>19.989999999999998</v>
      </c>
      <c r="E29" s="5">
        <v>19.989999999999998</v>
      </c>
      <c r="F29" s="4" t="s">
        <v>38</v>
      </c>
    </row>
    <row r="30" spans="1:6" x14ac:dyDescent="0.25">
      <c r="A30" s="4" t="s">
        <v>39</v>
      </c>
      <c r="B30" s="5" t="s">
        <v>35</v>
      </c>
      <c r="C30" s="5">
        <v>75</v>
      </c>
      <c r="D30" s="5" t="s">
        <v>35</v>
      </c>
      <c r="E30" s="5">
        <v>150</v>
      </c>
      <c r="F30" s="4" t="s">
        <v>40</v>
      </c>
    </row>
    <row r="31" spans="1:6" x14ac:dyDescent="0.25">
      <c r="A31" s="4" t="s">
        <v>41</v>
      </c>
      <c r="B31" s="5" t="s">
        <v>35</v>
      </c>
      <c r="C31" s="5" t="s">
        <v>35</v>
      </c>
      <c r="D31" s="5">
        <v>247</v>
      </c>
      <c r="E31" s="5" t="s">
        <v>35</v>
      </c>
      <c r="F31" s="4" t="s">
        <v>42</v>
      </c>
    </row>
    <row r="32" spans="1:6" x14ac:dyDescent="0.25">
      <c r="A32" s="4" t="s">
        <v>43</v>
      </c>
      <c r="B32" s="5">
        <v>36</v>
      </c>
      <c r="C32" s="5">
        <v>36</v>
      </c>
      <c r="D32" s="5">
        <v>36</v>
      </c>
      <c r="E32" s="5">
        <v>36</v>
      </c>
      <c r="F32" s="4" t="s">
        <v>44</v>
      </c>
    </row>
    <row r="33" spans="1:6" x14ac:dyDescent="0.25">
      <c r="A33" s="4" t="s">
        <v>45</v>
      </c>
      <c r="B33" s="5">
        <v>28.5</v>
      </c>
      <c r="C33" s="5">
        <v>14.25</v>
      </c>
      <c r="D33" s="5">
        <v>42.75</v>
      </c>
      <c r="E33" s="5">
        <v>19</v>
      </c>
      <c r="F33" s="4" t="s">
        <v>46</v>
      </c>
    </row>
    <row r="34" spans="1:6" x14ac:dyDescent="0.25">
      <c r="A34" s="6" t="s">
        <v>47</v>
      </c>
      <c r="B34" s="7">
        <f>SUM(B27:B33)</f>
        <v>183.49</v>
      </c>
      <c r="C34" s="7">
        <f>SUM(C27:C33)</f>
        <v>167.24</v>
      </c>
      <c r="D34" s="7">
        <f>SUM(D27:D33)</f>
        <v>510.74</v>
      </c>
      <c r="E34" s="7">
        <f>SUM(E27:E33)</f>
        <v>239.99</v>
      </c>
    </row>
    <row r="36" spans="1:6" x14ac:dyDescent="0.25">
      <c r="A36" s="12" t="s">
        <v>48</v>
      </c>
      <c r="B36" s="13">
        <f>B23-B34</f>
        <v>1133.2450000000001</v>
      </c>
      <c r="C36" s="13">
        <f>C23-C34</f>
        <v>808.11000000000013</v>
      </c>
      <c r="D36" s="13">
        <f>D23-D34</f>
        <v>865.36750000000006</v>
      </c>
      <c r="E36" s="13">
        <f>E23-E34</f>
        <v>608.00999999999976</v>
      </c>
    </row>
    <row r="37" spans="1:6" x14ac:dyDescent="0.25">
      <c r="A37" s="4" t="s">
        <v>49</v>
      </c>
      <c r="B37" s="11">
        <f>IF(B12=0,0,B36/B12)</f>
        <v>0.45208009622078121</v>
      </c>
      <c r="C37" s="11">
        <f>IF(C12=0,0,C36/C12)</f>
        <v>0.42213283882257691</v>
      </c>
      <c r="D37" s="11">
        <f>IF(D12=0,0,D36/D12)</f>
        <v>0.28844549736967762</v>
      </c>
      <c r="E37" s="11">
        <f>IF(E12=0,0,E36/E12)</f>
        <v>0.41193089430894297</v>
      </c>
    </row>
    <row r="39" spans="1:6" x14ac:dyDescent="0.25">
      <c r="A39" s="3" t="s">
        <v>50</v>
      </c>
    </row>
    <row r="40" spans="1:6" x14ac:dyDescent="0.25">
      <c r="A40" s="4" t="s">
        <v>51</v>
      </c>
      <c r="B40" s="5">
        <f>MAX(0,B36*0.153)</f>
        <v>173.38648500000002</v>
      </c>
      <c r="C40" s="5">
        <f>MAX(0,C36*0.153)</f>
        <v>123.64083000000002</v>
      </c>
      <c r="D40" s="5">
        <f>MAX(0,D36*0.153)</f>
        <v>132.4012275</v>
      </c>
      <c r="E40" s="5">
        <f>MAX(0,E36*0.153)</f>
        <v>93.025529999999961</v>
      </c>
    </row>
    <row r="41" spans="1:6" x14ac:dyDescent="0.25">
      <c r="A41" s="4" t="s">
        <v>52</v>
      </c>
      <c r="B41" s="5">
        <f>B36-B40</f>
        <v>959.85851500000012</v>
      </c>
      <c r="C41" s="5">
        <f>C36-C40</f>
        <v>684.46917000000008</v>
      </c>
      <c r="D41" s="5">
        <f>D36-D40</f>
        <v>732.96627250000006</v>
      </c>
      <c r="E41" s="5">
        <f>E36-E40</f>
        <v>514.98446999999976</v>
      </c>
    </row>
    <row r="43" spans="1:6" x14ac:dyDescent="0.25">
      <c r="A43" s="14" t="s">
        <v>53</v>
      </c>
    </row>
    <row r="44" spans="1:6" x14ac:dyDescent="0.25">
      <c r="A44" s="1" t="s">
        <v>54</v>
      </c>
    </row>
    <row r="45" spans="1:6" x14ac:dyDescent="0.25">
      <c r="A45" s="1" t="s">
        <v>55</v>
      </c>
    </row>
    <row r="46" spans="1:6" x14ac:dyDescent="0.25">
      <c r="A46" s="1" t="s">
        <v>56</v>
      </c>
    </row>
    <row r="47" spans="1:6" x14ac:dyDescent="0.25">
      <c r="A47" s="1" t="s">
        <v>57</v>
      </c>
    </row>
    <row r="49" spans="1:1" x14ac:dyDescent="0.25">
      <c r="A49" s="15" t="s">
        <v>58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/>
  </sheetViews>
  <sheetFormatPr defaultRowHeight="15" x14ac:dyDescent="0.25"/>
  <cols>
    <col min="1" max="2" width="12" customWidth="1"/>
    <col min="3" max="3" width="30" customWidth="1"/>
    <col min="4" max="4" width="6" customWidth="1"/>
    <col min="5" max="5" width="10" customWidth="1"/>
    <col min="6" max="6" width="14" customWidth="1"/>
    <col min="7" max="7" width="13" customWidth="1"/>
    <col min="8" max="8" width="10" customWidth="1"/>
    <col min="9" max="9" width="35" customWidth="1"/>
  </cols>
  <sheetData>
    <row r="1" spans="1:9" x14ac:dyDescent="0.25">
      <c r="A1" s="16" t="s">
        <v>59</v>
      </c>
      <c r="B1" s="16" t="s">
        <v>60</v>
      </c>
      <c r="C1" s="16" t="s">
        <v>61</v>
      </c>
      <c r="D1" s="16" t="s">
        <v>62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</v>
      </c>
    </row>
    <row r="2" spans="1:9" x14ac:dyDescent="0.25">
      <c r="A2" s="4" t="s">
        <v>67</v>
      </c>
      <c r="B2" s="17">
        <v>46027</v>
      </c>
      <c r="C2" s="4" t="s">
        <v>68</v>
      </c>
      <c r="D2" s="4">
        <v>1</v>
      </c>
      <c r="E2" s="5">
        <v>24</v>
      </c>
      <c r="F2" s="5">
        <v>5.5</v>
      </c>
      <c r="G2" s="5">
        <v>4.2</v>
      </c>
      <c r="H2" s="4" t="s">
        <v>69</v>
      </c>
    </row>
    <row r="3" spans="1:9" x14ac:dyDescent="0.25">
      <c r="A3" s="4" t="s">
        <v>70</v>
      </c>
      <c r="B3" s="17">
        <v>46030</v>
      </c>
      <c r="C3" s="4" t="s">
        <v>71</v>
      </c>
      <c r="D3" s="4">
        <v>1</v>
      </c>
      <c r="E3" s="5">
        <v>16</v>
      </c>
      <c r="F3" s="5">
        <v>4</v>
      </c>
      <c r="G3" s="5">
        <v>3.1</v>
      </c>
      <c r="H3" s="4" t="s">
        <v>69</v>
      </c>
      <c r="I3" s="4" t="s">
        <v>72</v>
      </c>
    </row>
    <row r="4" spans="1:9" x14ac:dyDescent="0.25">
      <c r="A4" s="4" t="s">
        <v>73</v>
      </c>
      <c r="B4" s="17">
        <v>46034</v>
      </c>
      <c r="C4" s="4" t="s">
        <v>74</v>
      </c>
      <c r="D4" s="4">
        <v>1</v>
      </c>
      <c r="E4" s="5">
        <v>32</v>
      </c>
      <c r="F4" s="5">
        <v>5.5</v>
      </c>
      <c r="G4" s="5">
        <v>4.8</v>
      </c>
      <c r="H4" s="4" t="s">
        <v>69</v>
      </c>
    </row>
    <row r="5" spans="1:9" x14ac:dyDescent="0.25">
      <c r="A5" s="4" t="s">
        <v>75</v>
      </c>
      <c r="B5" s="17">
        <v>46037</v>
      </c>
      <c r="C5" s="4" t="s">
        <v>76</v>
      </c>
      <c r="D5" s="4">
        <v>1</v>
      </c>
      <c r="E5" s="5">
        <v>62</v>
      </c>
      <c r="F5" s="5">
        <v>0</v>
      </c>
      <c r="G5" s="5">
        <v>7.9</v>
      </c>
      <c r="H5" s="4" t="s">
        <v>69</v>
      </c>
      <c r="I5" s="4" t="s">
        <v>77</v>
      </c>
    </row>
    <row r="6" spans="1:9" x14ac:dyDescent="0.25">
      <c r="A6" s="4" t="s">
        <v>78</v>
      </c>
      <c r="B6" s="17">
        <v>46040</v>
      </c>
      <c r="C6" s="4" t="s">
        <v>68</v>
      </c>
      <c r="D6" s="4">
        <v>2</v>
      </c>
      <c r="E6" s="5">
        <v>24</v>
      </c>
      <c r="F6" s="5">
        <v>5.5</v>
      </c>
      <c r="G6" s="5">
        <v>5.6</v>
      </c>
      <c r="H6" s="4" t="s">
        <v>69</v>
      </c>
    </row>
    <row r="7" spans="1:9" x14ac:dyDescent="0.25">
      <c r="A7" s="4" t="s">
        <v>79</v>
      </c>
      <c r="B7" s="4" t="s">
        <v>80</v>
      </c>
      <c r="C7" s="4" t="s">
        <v>81</v>
      </c>
      <c r="D7" s="4">
        <v>1</v>
      </c>
      <c r="E7" s="5">
        <v>18</v>
      </c>
      <c r="F7" s="5">
        <v>4</v>
      </c>
      <c r="G7" s="5">
        <v>3.1</v>
      </c>
      <c r="H7" s="4" t="s">
        <v>69</v>
      </c>
    </row>
    <row r="8" spans="1:9" x14ac:dyDescent="0.25">
      <c r="A8" s="4" t="s">
        <v>82</v>
      </c>
      <c r="B8" s="17">
        <v>46048</v>
      </c>
      <c r="C8" s="4" t="s">
        <v>83</v>
      </c>
      <c r="D8" s="4">
        <v>1</v>
      </c>
      <c r="E8" s="5">
        <v>14</v>
      </c>
      <c r="F8" s="5">
        <v>4</v>
      </c>
      <c r="G8" s="5">
        <v>2.9</v>
      </c>
      <c r="H8" s="4" t="s">
        <v>69</v>
      </c>
    </row>
    <row r="9" spans="1:9" x14ac:dyDescent="0.25">
      <c r="A9" s="4" t="s">
        <v>84</v>
      </c>
      <c r="B9" s="17">
        <v>46052</v>
      </c>
      <c r="C9" s="4" t="s">
        <v>74</v>
      </c>
      <c r="D9" s="4">
        <v>1</v>
      </c>
      <c r="E9" s="5">
        <v>32</v>
      </c>
      <c r="F9" s="5">
        <v>5.5</v>
      </c>
      <c r="G9" s="5">
        <v>4.8</v>
      </c>
      <c r="H9" s="4" t="s">
        <v>69</v>
      </c>
      <c r="I9" s="4" t="s">
        <v>85</v>
      </c>
    </row>
    <row r="10" spans="1:9" x14ac:dyDescent="0.25">
      <c r="A10" s="4" t="s">
        <v>86</v>
      </c>
      <c r="B10" s="17">
        <v>46056</v>
      </c>
      <c r="C10" s="4" t="s">
        <v>68</v>
      </c>
      <c r="D10" s="4">
        <v>1</v>
      </c>
      <c r="E10" s="5">
        <v>24</v>
      </c>
      <c r="F10" s="5">
        <v>5.5</v>
      </c>
      <c r="G10" s="5">
        <v>4.2</v>
      </c>
      <c r="H10" s="4" t="s">
        <v>69</v>
      </c>
    </row>
    <row r="11" spans="1:9" x14ac:dyDescent="0.25">
      <c r="A11" s="4" t="s">
        <v>87</v>
      </c>
      <c r="B11" s="17">
        <v>46060</v>
      </c>
      <c r="C11" s="4" t="s">
        <v>71</v>
      </c>
      <c r="D11" s="4">
        <v>1</v>
      </c>
      <c r="E11" s="5">
        <v>16</v>
      </c>
      <c r="F11" s="5">
        <v>4</v>
      </c>
      <c r="G11" s="5">
        <v>3.1</v>
      </c>
      <c r="H11" s="4" t="s">
        <v>69</v>
      </c>
    </row>
    <row r="12" spans="1:9" x14ac:dyDescent="0.25">
      <c r="A12" s="4" t="s">
        <v>88</v>
      </c>
      <c r="B12" s="17">
        <v>46064</v>
      </c>
      <c r="C12" s="4" t="s">
        <v>81</v>
      </c>
      <c r="D12" s="4">
        <v>1</v>
      </c>
      <c r="E12" s="5">
        <v>18</v>
      </c>
      <c r="F12" s="5">
        <v>4</v>
      </c>
      <c r="G12" s="5">
        <v>3.1</v>
      </c>
      <c r="H12" s="4" t="s">
        <v>69</v>
      </c>
      <c r="I12" s="4" t="s">
        <v>89</v>
      </c>
    </row>
    <row r="13" spans="1:9" x14ac:dyDescent="0.25">
      <c r="A13" s="4" t="s">
        <v>90</v>
      </c>
      <c r="B13" s="17">
        <v>46067</v>
      </c>
      <c r="C13" s="4" t="s">
        <v>76</v>
      </c>
      <c r="D13" s="4">
        <v>1</v>
      </c>
      <c r="E13" s="5">
        <v>62</v>
      </c>
      <c r="F13" s="5">
        <v>0</v>
      </c>
      <c r="G13" s="5">
        <v>7.9</v>
      </c>
      <c r="H13" s="4" t="s">
        <v>69</v>
      </c>
      <c r="I13" s="4" t="s">
        <v>91</v>
      </c>
    </row>
    <row r="14" spans="1:9" x14ac:dyDescent="0.25">
      <c r="A14" s="4" t="s">
        <v>92</v>
      </c>
      <c r="B14" s="4" t="s">
        <v>93</v>
      </c>
      <c r="C14" s="4" t="s">
        <v>83</v>
      </c>
      <c r="D14" s="4">
        <v>1</v>
      </c>
      <c r="E14" s="5">
        <v>14</v>
      </c>
      <c r="F14" s="5">
        <v>4</v>
      </c>
      <c r="G14" s="5">
        <v>2.9</v>
      </c>
      <c r="H14" s="4" t="s">
        <v>69</v>
      </c>
    </row>
    <row r="15" spans="1:9" x14ac:dyDescent="0.25">
      <c r="A15" s="4" t="s">
        <v>94</v>
      </c>
      <c r="B15" s="17">
        <v>46077</v>
      </c>
      <c r="C15" s="4" t="s">
        <v>68</v>
      </c>
      <c r="D15" s="4">
        <v>1</v>
      </c>
      <c r="E15" s="5">
        <v>24</v>
      </c>
      <c r="F15" s="5">
        <v>5.5</v>
      </c>
      <c r="G15" s="5">
        <v>4.2</v>
      </c>
      <c r="H15" s="4" t="s">
        <v>69</v>
      </c>
    </row>
    <row r="16" spans="1:9" x14ac:dyDescent="0.25">
      <c r="A16" s="4" t="s">
        <v>95</v>
      </c>
      <c r="B16" s="17">
        <v>46081</v>
      </c>
      <c r="C16" s="4" t="s">
        <v>74</v>
      </c>
      <c r="D16" s="4">
        <v>1</v>
      </c>
      <c r="E16" s="5">
        <v>32</v>
      </c>
      <c r="F16" s="5">
        <v>5.5</v>
      </c>
      <c r="G16" s="5">
        <v>4.8</v>
      </c>
      <c r="H16" s="4" t="s">
        <v>69</v>
      </c>
    </row>
    <row r="17" spans="1:9" x14ac:dyDescent="0.25">
      <c r="A17" s="4" t="s">
        <v>96</v>
      </c>
      <c r="B17" s="17">
        <v>46083</v>
      </c>
      <c r="C17" s="4" t="s">
        <v>68</v>
      </c>
      <c r="D17" s="4">
        <v>3</v>
      </c>
      <c r="E17" s="5">
        <v>24</v>
      </c>
      <c r="F17" s="5">
        <v>8</v>
      </c>
      <c r="G17" s="5">
        <v>7.5</v>
      </c>
      <c r="H17" s="4" t="s">
        <v>69</v>
      </c>
      <c r="I17" s="4" t="s">
        <v>97</v>
      </c>
    </row>
    <row r="18" spans="1:9" x14ac:dyDescent="0.25">
      <c r="A18" s="4" t="s">
        <v>98</v>
      </c>
      <c r="B18" s="17">
        <v>46087</v>
      </c>
      <c r="C18" s="4" t="s">
        <v>71</v>
      </c>
      <c r="D18" s="4">
        <v>1</v>
      </c>
      <c r="E18" s="5">
        <v>16</v>
      </c>
      <c r="F18" s="5">
        <v>4</v>
      </c>
      <c r="G18" s="5">
        <v>3.1</v>
      </c>
      <c r="H18" s="4" t="s">
        <v>69</v>
      </c>
    </row>
    <row r="19" spans="1:9" x14ac:dyDescent="0.25">
      <c r="A19" s="4" t="s">
        <v>99</v>
      </c>
      <c r="B19" s="17">
        <v>46091</v>
      </c>
      <c r="C19" s="4" t="s">
        <v>74</v>
      </c>
      <c r="D19" s="4">
        <v>1</v>
      </c>
      <c r="E19" s="5">
        <v>32</v>
      </c>
      <c r="F19" s="5">
        <v>5.5</v>
      </c>
      <c r="G19" s="5">
        <v>4.8</v>
      </c>
      <c r="H19" s="4" t="s">
        <v>69</v>
      </c>
    </row>
    <row r="20" spans="1:9" x14ac:dyDescent="0.25">
      <c r="A20" s="4" t="s">
        <v>100</v>
      </c>
      <c r="B20" s="17">
        <v>46094</v>
      </c>
      <c r="C20" s="4" t="s">
        <v>76</v>
      </c>
      <c r="D20" s="4">
        <v>1</v>
      </c>
      <c r="E20" s="5">
        <v>62</v>
      </c>
      <c r="F20" s="5">
        <v>0</v>
      </c>
      <c r="G20" s="5">
        <v>7.9</v>
      </c>
      <c r="H20" s="4" t="s">
        <v>69</v>
      </c>
    </row>
    <row r="21" spans="1:9" x14ac:dyDescent="0.25">
      <c r="A21" s="4" t="s">
        <v>101</v>
      </c>
      <c r="B21" s="17">
        <v>46098</v>
      </c>
      <c r="C21" s="4" t="s">
        <v>83</v>
      </c>
      <c r="D21" s="4">
        <v>1</v>
      </c>
      <c r="E21" s="5">
        <v>14</v>
      </c>
      <c r="F21" s="5">
        <v>4</v>
      </c>
      <c r="G21" s="5">
        <v>2.9</v>
      </c>
      <c r="H21" s="4" t="s">
        <v>69</v>
      </c>
      <c r="I21" s="4" t="s">
        <v>102</v>
      </c>
    </row>
    <row r="22" spans="1:9" x14ac:dyDescent="0.25">
      <c r="A22" s="4" t="s">
        <v>103</v>
      </c>
      <c r="B22" s="17">
        <v>46101</v>
      </c>
      <c r="C22" s="4" t="s">
        <v>68</v>
      </c>
      <c r="D22" s="4">
        <v>1</v>
      </c>
      <c r="E22" s="5">
        <v>24</v>
      </c>
      <c r="F22" s="5">
        <v>5.5</v>
      </c>
      <c r="G22" s="5">
        <v>4.2</v>
      </c>
      <c r="H22" s="4" t="s">
        <v>69</v>
      </c>
    </row>
    <row r="23" spans="1:9" x14ac:dyDescent="0.25">
      <c r="A23" s="4" t="s">
        <v>104</v>
      </c>
      <c r="B23" s="17">
        <v>46104</v>
      </c>
      <c r="C23" s="4" t="s">
        <v>71</v>
      </c>
      <c r="D23" s="4">
        <v>1</v>
      </c>
      <c r="E23" s="5">
        <v>16</v>
      </c>
      <c r="F23" s="5">
        <v>4</v>
      </c>
      <c r="G23" s="5">
        <v>3.1</v>
      </c>
      <c r="H23" s="4" t="s">
        <v>69</v>
      </c>
      <c r="I23" s="4" t="s">
        <v>72</v>
      </c>
    </row>
    <row r="24" spans="1:9" x14ac:dyDescent="0.25">
      <c r="A24" s="4" t="s">
        <v>105</v>
      </c>
      <c r="B24" s="17">
        <v>46107</v>
      </c>
      <c r="C24" s="4" t="s">
        <v>74</v>
      </c>
      <c r="D24" s="4">
        <v>1</v>
      </c>
      <c r="E24" s="5">
        <v>32</v>
      </c>
      <c r="F24" s="5">
        <v>5.5</v>
      </c>
      <c r="G24" s="5">
        <v>4.8</v>
      </c>
      <c r="H24" s="4" t="s">
        <v>69</v>
      </c>
    </row>
    <row r="25" spans="1:9" x14ac:dyDescent="0.25">
      <c r="A25" s="4" t="s">
        <v>106</v>
      </c>
      <c r="B25" s="17">
        <v>46110</v>
      </c>
      <c r="C25" s="4" t="s">
        <v>68</v>
      </c>
      <c r="D25" s="4">
        <v>2</v>
      </c>
      <c r="E25" s="5">
        <v>24</v>
      </c>
      <c r="F25" s="5">
        <v>0</v>
      </c>
      <c r="G25" s="5">
        <v>0</v>
      </c>
      <c r="H25" s="4" t="s">
        <v>107</v>
      </c>
      <c r="I25" s="4" t="s">
        <v>108</v>
      </c>
    </row>
    <row r="26" spans="1:9" x14ac:dyDescent="0.25">
      <c r="A26" s="4" t="s">
        <v>109</v>
      </c>
      <c r="B26" s="17">
        <v>46112</v>
      </c>
      <c r="C26" s="4" t="s">
        <v>83</v>
      </c>
      <c r="D26" s="4">
        <v>1</v>
      </c>
      <c r="E26" s="5">
        <v>14</v>
      </c>
      <c r="F26" s="5">
        <v>4</v>
      </c>
      <c r="G26" s="5">
        <v>2.9</v>
      </c>
      <c r="H26" s="4" t="s">
        <v>69</v>
      </c>
    </row>
    <row r="27" spans="1:9" x14ac:dyDescent="0.25">
      <c r="A27" s="4" t="s">
        <v>110</v>
      </c>
      <c r="B27" s="17">
        <v>46114</v>
      </c>
      <c r="C27" s="4" t="s">
        <v>68</v>
      </c>
      <c r="D27" s="4">
        <v>1</v>
      </c>
      <c r="E27" s="5">
        <v>24</v>
      </c>
      <c r="F27" s="5">
        <v>5.5</v>
      </c>
      <c r="G27" s="5">
        <v>4.2</v>
      </c>
      <c r="H27" s="4" t="s">
        <v>69</v>
      </c>
    </row>
    <row r="28" spans="1:9" x14ac:dyDescent="0.25">
      <c r="A28" s="4" t="s">
        <v>111</v>
      </c>
      <c r="B28" s="17">
        <v>46117</v>
      </c>
      <c r="C28" s="4" t="s">
        <v>76</v>
      </c>
      <c r="D28" s="4">
        <v>1</v>
      </c>
      <c r="E28" s="5">
        <v>62</v>
      </c>
      <c r="F28" s="5">
        <v>0</v>
      </c>
      <c r="G28" s="5">
        <v>7.9</v>
      </c>
      <c r="H28" s="4" t="s">
        <v>69</v>
      </c>
    </row>
    <row r="29" spans="1:9" x14ac:dyDescent="0.25">
      <c r="A29" s="4" t="s">
        <v>112</v>
      </c>
      <c r="B29" s="17">
        <v>46120</v>
      </c>
      <c r="C29" s="4" t="s">
        <v>71</v>
      </c>
      <c r="D29" s="4">
        <v>1</v>
      </c>
      <c r="E29" s="5">
        <v>16</v>
      </c>
      <c r="F29" s="5">
        <v>4</v>
      </c>
      <c r="G29" s="5">
        <v>3.1</v>
      </c>
      <c r="H29" s="4" t="s">
        <v>69</v>
      </c>
    </row>
    <row r="30" spans="1:9" x14ac:dyDescent="0.25">
      <c r="A30" s="4" t="s">
        <v>113</v>
      </c>
      <c r="B30" s="17">
        <v>46122</v>
      </c>
      <c r="C30" s="4" t="s">
        <v>74</v>
      </c>
      <c r="D30" s="4">
        <v>1</v>
      </c>
      <c r="E30" s="5">
        <v>32</v>
      </c>
      <c r="F30" s="5">
        <v>5.5</v>
      </c>
      <c r="G30" s="5">
        <v>4.8</v>
      </c>
      <c r="H30" s="4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defaultRowHeight="15" x14ac:dyDescent="0.25"/>
  <cols>
    <col min="1" max="1" width="30" customWidth="1"/>
    <col min="2" max="2" width="10" customWidth="1"/>
    <col min="3" max="3" width="14" customWidth="1"/>
    <col min="4" max="4" width="8" customWidth="1"/>
    <col min="5" max="5" width="11" customWidth="1"/>
    <col min="6" max="6" width="8" customWidth="1"/>
    <col min="7" max="9" width="11" customWidth="1"/>
    <col min="10" max="10" width="10" customWidth="1"/>
  </cols>
  <sheetData>
    <row r="1" spans="1:10" x14ac:dyDescent="0.25">
      <c r="A1" s="3" t="s">
        <v>114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</row>
    <row r="2" spans="1:10" x14ac:dyDescent="0.25">
      <c r="A2" s="4" t="s">
        <v>68</v>
      </c>
      <c r="B2" s="5">
        <v>1.8</v>
      </c>
      <c r="C2" s="5">
        <v>2.4</v>
      </c>
      <c r="D2" s="5">
        <v>0.35</v>
      </c>
      <c r="E2" s="5">
        <v>2.85</v>
      </c>
      <c r="F2" s="5">
        <v>0.45</v>
      </c>
      <c r="G2" s="5">
        <v>1.5</v>
      </c>
      <c r="H2" s="5">
        <f t="shared" ref="H2:H7" si="0">SUM(B2:G2)</f>
        <v>9.3500000000000014</v>
      </c>
      <c r="I2" s="5">
        <v>24</v>
      </c>
      <c r="J2" s="11">
        <f t="shared" ref="J2:J7" si="1">IF(I2=0,0,(I2-H2)/I2)</f>
        <v>0.61041666666666661</v>
      </c>
    </row>
    <row r="3" spans="1:10" x14ac:dyDescent="0.25">
      <c r="A3" s="4" t="s">
        <v>74</v>
      </c>
      <c r="B3" s="5">
        <v>2.7</v>
      </c>
      <c r="C3" s="5">
        <v>3.2</v>
      </c>
      <c r="D3" s="5">
        <v>0.35</v>
      </c>
      <c r="E3" s="5">
        <v>3.5</v>
      </c>
      <c r="F3" s="5">
        <v>0.45</v>
      </c>
      <c r="G3" s="5">
        <v>1.75</v>
      </c>
      <c r="H3" s="5">
        <f t="shared" si="0"/>
        <v>11.95</v>
      </c>
      <c r="I3" s="5">
        <v>32</v>
      </c>
      <c r="J3" s="11">
        <f t="shared" si="1"/>
        <v>0.62656250000000002</v>
      </c>
    </row>
    <row r="4" spans="1:10" x14ac:dyDescent="0.25">
      <c r="A4" s="4" t="s">
        <v>83</v>
      </c>
      <c r="B4" s="5">
        <v>0.9</v>
      </c>
      <c r="C4" s="5">
        <v>1.2</v>
      </c>
      <c r="D4" s="5">
        <v>0.3</v>
      </c>
      <c r="E4" s="5">
        <v>1.25</v>
      </c>
      <c r="F4" s="5">
        <v>0.35</v>
      </c>
      <c r="G4" s="5">
        <v>0.85</v>
      </c>
      <c r="H4" s="5">
        <f t="shared" si="0"/>
        <v>4.8499999999999996</v>
      </c>
      <c r="I4" s="5">
        <v>14</v>
      </c>
      <c r="J4" s="11">
        <f t="shared" si="1"/>
        <v>0.65357142857142858</v>
      </c>
    </row>
    <row r="5" spans="1:10" x14ac:dyDescent="0.25">
      <c r="A5" s="4" t="s">
        <v>71</v>
      </c>
      <c r="B5" s="5">
        <v>1.5</v>
      </c>
      <c r="C5" s="5">
        <v>1.8</v>
      </c>
      <c r="D5" s="5">
        <v>0</v>
      </c>
      <c r="E5" s="5">
        <v>0.9</v>
      </c>
      <c r="F5" s="5">
        <v>0.35</v>
      </c>
      <c r="G5" s="5">
        <v>1.2</v>
      </c>
      <c r="H5" s="5">
        <f t="shared" si="0"/>
        <v>5.75</v>
      </c>
      <c r="I5" s="5">
        <v>16</v>
      </c>
      <c r="J5" s="11">
        <f t="shared" si="1"/>
        <v>0.640625</v>
      </c>
    </row>
    <row r="6" spans="1:10" x14ac:dyDescent="0.25">
      <c r="A6" s="4" t="s">
        <v>81</v>
      </c>
      <c r="B6" s="5">
        <v>1.5</v>
      </c>
      <c r="C6" s="5">
        <v>2.1</v>
      </c>
      <c r="D6" s="5">
        <v>0</v>
      </c>
      <c r="E6" s="5">
        <v>0.9</v>
      </c>
      <c r="F6" s="5">
        <v>0.35</v>
      </c>
      <c r="G6" s="5">
        <v>1.2</v>
      </c>
      <c r="H6" s="5">
        <f t="shared" si="0"/>
        <v>6.05</v>
      </c>
      <c r="I6" s="5">
        <v>18</v>
      </c>
      <c r="J6" s="11">
        <f t="shared" si="1"/>
        <v>0.66388888888888886</v>
      </c>
    </row>
    <row r="7" spans="1:10" x14ac:dyDescent="0.25">
      <c r="A7" s="4" t="s">
        <v>76</v>
      </c>
      <c r="B7" s="5">
        <v>5.4</v>
      </c>
      <c r="C7" s="5">
        <v>7.2</v>
      </c>
      <c r="D7" s="5">
        <v>1.05</v>
      </c>
      <c r="E7" s="5">
        <v>8.5500000000000007</v>
      </c>
      <c r="F7" s="5">
        <v>1.35</v>
      </c>
      <c r="G7" s="5">
        <v>4.5</v>
      </c>
      <c r="H7" s="5">
        <f t="shared" si="0"/>
        <v>28.050000000000004</v>
      </c>
      <c r="I7" s="5">
        <v>62</v>
      </c>
      <c r="J7" s="11">
        <f t="shared" si="1"/>
        <v>0.54758064516129024</v>
      </c>
    </row>
    <row r="9" spans="1:10" x14ac:dyDescent="0.25">
      <c r="A9" s="18" t="s">
        <v>124</v>
      </c>
    </row>
    <row r="10" spans="1:10" x14ac:dyDescent="0.25">
      <c r="A10" s="18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P&amp;L</vt:lpstr>
      <vt:lpstr>Order Log</vt:lpstr>
      <vt:lpstr>Product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Elena Morales</dc:creator>
  <cp:lastModifiedBy>Elena Morales</cp:lastModifiedBy>
  <dcterms:created xsi:type="dcterms:W3CDTF">2025-11-28T08:29:54Z</dcterms:created>
  <dcterms:modified xsi:type="dcterms:W3CDTF">2025-12-24T03:25:07Z</dcterms:modified>
  <cp:revision>1</cp:revision>
</cp:coreProperties>
</file>