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29\"/>
    </mc:Choice>
  </mc:AlternateContent>
  <xr:revisionPtr revIDLastSave="0" documentId="13_ncr:1_{C8CA32CE-7636-4D05-9715-61671437C857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Job Log" sheetId="1" r:id="rId1"/>
    <sheet name="Rates &amp; Assum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 s="1"/>
  <c r="M21" i="1" s="1"/>
  <c r="H21" i="1"/>
  <c r="K20" i="1"/>
  <c r="L20" i="1" s="1"/>
  <c r="M20" i="1" s="1"/>
  <c r="H20" i="1"/>
  <c r="K19" i="1"/>
  <c r="L19" i="1" s="1"/>
  <c r="M19" i="1" s="1"/>
  <c r="H19" i="1"/>
  <c r="H18" i="1"/>
  <c r="K18" i="1" s="1"/>
  <c r="L18" i="1" s="1"/>
  <c r="M18" i="1" s="1"/>
  <c r="H17" i="1"/>
  <c r="K17" i="1" s="1"/>
  <c r="L17" i="1" s="1"/>
  <c r="M17" i="1" s="1"/>
  <c r="K16" i="1"/>
  <c r="L16" i="1" s="1"/>
  <c r="M16" i="1" s="1"/>
  <c r="H16" i="1"/>
  <c r="K15" i="1"/>
  <c r="L15" i="1" s="1"/>
  <c r="M15" i="1" s="1"/>
  <c r="H15" i="1"/>
  <c r="K14" i="1"/>
  <c r="L14" i="1" s="1"/>
  <c r="M14" i="1" s="1"/>
  <c r="H14" i="1"/>
  <c r="K13" i="1"/>
  <c r="L13" i="1" s="1"/>
  <c r="M13" i="1" s="1"/>
  <c r="H13" i="1"/>
  <c r="H12" i="1"/>
  <c r="K12" i="1" s="1"/>
  <c r="L12" i="1" s="1"/>
  <c r="C5" i="1"/>
  <c r="C4" i="1"/>
  <c r="M12" i="1" l="1"/>
  <c r="C9" i="1"/>
  <c r="C6" i="1" l="1"/>
  <c r="C8" i="1"/>
  <c r="C7" i="1"/>
</calcChain>
</file>

<file path=xl/sharedStrings.xml><?xml version="1.0" encoding="utf-8"?>
<sst xmlns="http://schemas.openxmlformats.org/spreadsheetml/2006/main" count="93" uniqueCount="82">
  <si>
    <t>Redd Brothers Construction</t>
  </si>
  <si>
    <t>Job Profitability Tracker — 2026</t>
  </si>
  <si>
    <t>Total Jobs:</t>
  </si>
  <si>
    <t>Completed Jobs:</t>
  </si>
  <si>
    <t>Avg Margin:</t>
  </si>
  <si>
    <t>Best Job:</t>
  </si>
  <si>
    <t>Worst Job:</t>
  </si>
  <si>
    <t>Total Profit (completed):</t>
  </si>
  <si>
    <t>Job #</t>
  </si>
  <si>
    <t>Client</t>
  </si>
  <si>
    <t>Job Description</t>
  </si>
  <si>
    <t>Status</t>
  </si>
  <si>
    <t>Quoted Price</t>
  </si>
  <si>
    <t>Materials</t>
  </si>
  <si>
    <t>Labor Hrs</t>
  </si>
  <si>
    <t>Labor Cost</t>
  </si>
  <si>
    <t>Subcontractor</t>
  </si>
  <si>
    <t>Other Costs</t>
  </si>
  <si>
    <t>Total Actual</t>
  </si>
  <si>
    <t>Profit</t>
  </si>
  <si>
    <t>Margin %</t>
  </si>
  <si>
    <t>Notes</t>
  </si>
  <si>
    <t>JB-2601</t>
  </si>
  <si>
    <t>Dave Kowalski</t>
  </si>
  <si>
    <t>Kitchen remodel - cabinets, countertops, backsplash</t>
  </si>
  <si>
    <t>done</t>
  </si>
  <si>
    <t>came in under, Dave wants to do bathroom next</t>
  </si>
  <si>
    <t>JB-2602</t>
  </si>
  <si>
    <t>Sarah &amp; Mike Chen</t>
  </si>
  <si>
    <t>Deck build - 16x20 composite</t>
  </si>
  <si>
    <t>permit took 3 weeks, delayed start</t>
  </si>
  <si>
    <t>JB-2603</t>
  </si>
  <si>
    <t>Meridian Church</t>
  </si>
  <si>
    <t>Bathroom ADA retrofit x2</t>
  </si>
  <si>
    <t>non-profit, gave them a break on price</t>
  </si>
  <si>
    <t>JB-2604</t>
  </si>
  <si>
    <t>Tom Petrosky</t>
  </si>
  <si>
    <t>Basement finishing - framing, drywall, LVP, egress window</t>
  </si>
  <si>
    <t>client added scope mid-job, should have re-quoted</t>
  </si>
  <si>
    <t>JB-2605</t>
  </si>
  <si>
    <t>Linda Ferraro</t>
  </si>
  <si>
    <t>Fence - 180 LF cedar privacy 6ft</t>
  </si>
  <si>
    <t>JB-2606</t>
  </si>
  <si>
    <t>Heritage Apartments</t>
  </si>
  <si>
    <t>Unit turnover - paint, patch, fixtures (unit 4B)</t>
  </si>
  <si>
    <t>quick job, they have 3 more units coming</t>
  </si>
  <si>
    <t>JB-2607</t>
  </si>
  <si>
    <t>Master bath - tile, vanity, lighting</t>
  </si>
  <si>
    <t>active</t>
  </si>
  <si>
    <t>waiting on vanity backorder, ETA 4/22</t>
  </si>
  <si>
    <t>JB-2608</t>
  </si>
  <si>
    <t>First Methodist Daycare</t>
  </si>
  <si>
    <t>Playground fence + gate install</t>
  </si>
  <si>
    <t>JB-2609</t>
  </si>
  <si>
    <t>Carla Briggs</t>
  </si>
  <si>
    <t>Garage conversion to home office</t>
  </si>
  <si>
    <t>just started demo, inspection scheduled 4/18</t>
  </si>
  <si>
    <t>JB-2610</t>
  </si>
  <si>
    <t>Unit turnover - unit 7A, bigger scope than 4B</t>
  </si>
  <si>
    <t>just started</t>
  </si>
  <si>
    <t>JB-2611</t>
  </si>
  <si>
    <t>Jim &amp; Pat Deluca</t>
  </si>
  <si>
    <t>Whole-house interior paint</t>
  </si>
  <si>
    <t>on hold</t>
  </si>
  <si>
    <t>on hold, they're dealing with insurance claim from water damage</t>
  </si>
  <si>
    <t>JB-2612</t>
  </si>
  <si>
    <t>Dave (referral from Tom)</t>
  </si>
  <si>
    <t>Shed build - 12x16 with electrical</t>
  </si>
  <si>
    <t>waiting on HOA approval, might not happen</t>
  </si>
  <si>
    <t>---</t>
  </si>
  <si>
    <t>shop rate is $45/hr, need to bump to $50 in Q3</t>
  </si>
  <si>
    <t>Heritage wants a bulk deal for remaining units, think about 10% discount</t>
  </si>
  <si>
    <t>last updated 4/13</t>
  </si>
  <si>
    <t>Shop rate ($/hr)</t>
  </si>
  <si>
    <t>Target margin</t>
  </si>
  <si>
    <t>Insurance monthly</t>
  </si>
  <si>
    <t>Truck payment</t>
  </si>
  <si>
    <t>Material markup %</t>
  </si>
  <si>
    <t>n/a - we pass through at cost</t>
  </si>
  <si>
    <t>notes</t>
  </si>
  <si>
    <t>Tom wants to renegotiate rate for Q3</t>
  </si>
  <si>
    <t>check workers comp renewal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</si>
</sst>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"/>
    <numFmt numFmtId="166" formatCode="\$#,##0.0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3"/>
      <name val="Arial"/>
    </font>
    <font>
      <sz val="11"/>
      <name val="Arial"/>
    </font>
    <font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4AF8C"/>
      </patternFill>
    </fill>
  </fills>
  <borders count="11"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/>
      <bottom/>
      <diagonal/>
    </border>
    <border>
      <left/>
      <right/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5"/>
  </cellStyleXfs>
  <cellXfs count="32">
    <xf numFmtId="0" fontId="0" fillId="0" borderId="0" xfId="0" applyBorder="1"/>
    <xf numFmtId="0" fontId="4" fillId="0" borderId="0" xfId="0" applyFont="1" applyBorder="1"/>
    <xf numFmtId="0" fontId="1" fillId="0" borderId="1" xfId="0" applyFont="1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2" fillId="0" borderId="5" xfId="0" applyFont="1"/>
    <xf numFmtId="0" fontId="0" fillId="0" borderId="5" xfId="0"/>
    <xf numFmtId="0" fontId="0" fillId="0" borderId="6" xfId="0" applyBorder="1"/>
    <xf numFmtId="164" fontId="2" fillId="0" borderId="5" xfId="0" applyNumberFormat="1" applyFont="1"/>
    <xf numFmtId="0" fontId="1" fillId="0" borderId="7" xfId="0" applyFont="1" applyBorder="1"/>
    <xf numFmtId="165" fontId="2" fillId="0" borderId="8" xfId="0" applyNumberFormat="1" applyFont="1" applyBorder="1"/>
    <xf numFmtId="0" fontId="0" fillId="0" borderId="8" xfId="0" applyBorder="1"/>
    <xf numFmtId="0" fontId="0" fillId="0" borderId="9" xfId="0" applyBorder="1"/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165" fontId="2" fillId="0" borderId="10" xfId="0" applyNumberFormat="1" applyFont="1" applyBorder="1" applyAlignment="1">
      <alignment horizontal="right"/>
    </xf>
    <xf numFmtId="166" fontId="2" fillId="0" borderId="10" xfId="0" applyNumberFormat="1" applyFont="1" applyBorder="1" applyAlignment="1">
      <alignment horizontal="right"/>
    </xf>
    <xf numFmtId="167" fontId="2" fillId="0" borderId="10" xfId="0" applyNumberFormat="1" applyFont="1" applyBorder="1"/>
    <xf numFmtId="164" fontId="2" fillId="0" borderId="10" xfId="0" applyNumberFormat="1" applyFont="1" applyBorder="1"/>
    <xf numFmtId="0" fontId="2" fillId="0" borderId="10" xfId="0" applyFont="1" applyBorder="1" applyAlignment="1">
      <alignment horizontal="right"/>
    </xf>
    <xf numFmtId="0" fontId="5" fillId="0" borderId="10" xfId="0" applyFont="1" applyBorder="1"/>
    <xf numFmtId="0" fontId="2" fillId="0" borderId="0" xfId="0" applyFont="1" applyBorder="1"/>
    <xf numFmtId="9" fontId="2" fillId="0" borderId="0" xfId="0" applyNumberFormat="1" applyFont="1" applyBorder="1"/>
    <xf numFmtId="165" fontId="2" fillId="0" borderId="0" xfId="0" applyNumberFormat="1" applyFont="1" applyBorder="1"/>
    <xf numFmtId="0" fontId="1" fillId="0" borderId="0" xfId="0" applyFont="1" applyBorder="1"/>
    <xf numFmtId="0" fontId="3" fillId="0" borderId="5" xfId="0" applyFont="1"/>
    <xf numFmtId="0" fontId="0" fillId="0" borderId="0" xfId="0" applyBorder="1"/>
  </cellXfs>
  <cellStyles count="1">
    <cellStyle name="Normal" xfId="0" builtinId="0"/>
  </cellStyles>
  <dxfs count="1">
    <dxf>
      <font>
        <sz val="10"/>
        <color rgb="FFFF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sqref="A1:D1"/>
    </sheetView>
  </sheetViews>
  <sheetFormatPr defaultRowHeight="15" x14ac:dyDescent="0.25"/>
  <cols>
    <col min="1" max="1" width="8" customWidth="1"/>
    <col min="2" max="2" width="22" customWidth="1"/>
    <col min="3" max="3" width="30" customWidth="1"/>
    <col min="4" max="4" width="10" customWidth="1"/>
    <col min="5" max="5" width="14" customWidth="1"/>
    <col min="6" max="6" width="13" customWidth="1"/>
    <col min="7" max="7" width="10" customWidth="1"/>
    <col min="8" max="9" width="13" customWidth="1"/>
    <col min="10" max="10" width="12" customWidth="1"/>
    <col min="11" max="11" width="14" customWidth="1"/>
    <col min="12" max="12" width="13" customWidth="1"/>
    <col min="13" max="13" width="10" customWidth="1"/>
    <col min="14" max="14" width="48" customWidth="1"/>
  </cols>
  <sheetData>
    <row r="1" spans="1:14" ht="16.5" customHeight="1" x14ac:dyDescent="0.25">
      <c r="A1" s="30" t="s">
        <v>0</v>
      </c>
      <c r="B1" s="31"/>
      <c r="C1" s="31"/>
      <c r="D1" s="31"/>
    </row>
    <row r="2" spans="1:14" x14ac:dyDescent="0.25">
      <c r="A2" s="1" t="s">
        <v>1</v>
      </c>
    </row>
    <row r="4" spans="1:14" x14ac:dyDescent="0.25">
      <c r="B4" s="2" t="s">
        <v>2</v>
      </c>
      <c r="C4" s="3">
        <f>COUNTA(B12:B23)</f>
        <v>12</v>
      </c>
      <c r="D4" s="4"/>
      <c r="E4" s="4"/>
      <c r="F4" s="5"/>
    </row>
    <row r="5" spans="1:14" x14ac:dyDescent="0.25">
      <c r="B5" s="6" t="s">
        <v>3</v>
      </c>
      <c r="C5" s="7">
        <f>COUNTIF(D12:D23,"done")</f>
        <v>7</v>
      </c>
      <c r="D5" s="8"/>
      <c r="E5" s="8"/>
      <c r="F5" s="9"/>
    </row>
    <row r="6" spans="1:14" x14ac:dyDescent="0.25">
      <c r="B6" s="6" t="s">
        <v>4</v>
      </c>
      <c r="C6" s="10">
        <f>AVERAGEIF(D12:D23,"done",M12:M23)</f>
        <v>0.27095029116080244</v>
      </c>
      <c r="D6" s="8"/>
      <c r="E6" s="8"/>
      <c r="F6" s="9"/>
    </row>
    <row r="7" spans="1:14" x14ac:dyDescent="0.25">
      <c r="B7" s="6" t="s">
        <v>5</v>
      </c>
      <c r="C7" s="7" t="str">
        <f>INDEX(B12:B23,MATCH(_xlfn.MAXIFS(M12:M23,D12:D23,"done"),M12:M23,0))</f>
        <v>Heritage Apartments</v>
      </c>
      <c r="D7" s="8"/>
      <c r="E7" s="8"/>
      <c r="F7" s="9"/>
    </row>
    <row r="8" spans="1:14" x14ac:dyDescent="0.25">
      <c r="B8" s="6" t="s">
        <v>6</v>
      </c>
      <c r="C8" s="7" t="str">
        <f>INDEX(B12:B23,MATCH(_xlfn.MINIFS(M12:M23,D12:D23,"done"),M12:M23,0))</f>
        <v>Tom Petrosky</v>
      </c>
      <c r="D8" s="8"/>
      <c r="E8" s="8"/>
      <c r="F8" s="9"/>
    </row>
    <row r="9" spans="1:14" x14ac:dyDescent="0.25">
      <c r="B9" s="11" t="s">
        <v>7</v>
      </c>
      <c r="C9" s="12">
        <f>SUMPRODUCT((D12:D23="done")*L12:L23)</f>
        <v>25354.05</v>
      </c>
      <c r="D9" s="13"/>
      <c r="E9" s="13"/>
      <c r="F9" s="14"/>
    </row>
    <row r="11" spans="1:14" x14ac:dyDescent="0.25">
      <c r="A11" s="15" t="s">
        <v>8</v>
      </c>
      <c r="B11" s="16" t="s">
        <v>9</v>
      </c>
      <c r="C11" s="16" t="s">
        <v>10</v>
      </c>
      <c r="D11" s="16" t="s">
        <v>11</v>
      </c>
      <c r="E11" s="17" t="s">
        <v>12</v>
      </c>
      <c r="F11" s="17" t="s">
        <v>13</v>
      </c>
      <c r="G11" s="16" t="s">
        <v>14</v>
      </c>
      <c r="H11" s="17" t="s">
        <v>15</v>
      </c>
      <c r="I11" s="17" t="s">
        <v>16</v>
      </c>
      <c r="J11" s="17" t="s">
        <v>17</v>
      </c>
      <c r="K11" s="17" t="s">
        <v>18</v>
      </c>
      <c r="L11" s="17" t="s">
        <v>19</v>
      </c>
      <c r="M11" s="16" t="s">
        <v>20</v>
      </c>
      <c r="N11" s="16" t="s">
        <v>21</v>
      </c>
    </row>
    <row r="12" spans="1:14" x14ac:dyDescent="0.25">
      <c r="A12" s="18" t="s">
        <v>22</v>
      </c>
      <c r="B12" s="19" t="s">
        <v>23</v>
      </c>
      <c r="C12" s="19" t="s">
        <v>24</v>
      </c>
      <c r="D12" s="19" t="s">
        <v>25</v>
      </c>
      <c r="E12" s="20">
        <v>28500</v>
      </c>
      <c r="F12" s="21">
        <v>11247.83</v>
      </c>
      <c r="G12" s="22">
        <v>142</v>
      </c>
      <c r="H12" s="21">
        <f>G12*'Rates &amp; Assumptions'!$B$1</f>
        <v>6390</v>
      </c>
      <c r="I12" s="21">
        <v>3800</v>
      </c>
      <c r="J12" s="21">
        <v>425</v>
      </c>
      <c r="K12" s="21">
        <f t="shared" ref="K12:K21" si="0">SUM(F12,H12,I12,J12)</f>
        <v>21862.83</v>
      </c>
      <c r="L12" s="21">
        <f t="shared" ref="L12:L21" si="1">E12-K12</f>
        <v>6637.1699999999983</v>
      </c>
      <c r="M12" s="23">
        <f t="shared" ref="M12:M21" si="2">IF(E12=0,"",L12/E12)</f>
        <v>0.23288315789473679</v>
      </c>
      <c r="N12" s="19" t="s">
        <v>26</v>
      </c>
    </row>
    <row r="13" spans="1:14" x14ac:dyDescent="0.25">
      <c r="A13" s="18" t="s">
        <v>27</v>
      </c>
      <c r="B13" s="19" t="s">
        <v>28</v>
      </c>
      <c r="C13" s="19" t="s">
        <v>29</v>
      </c>
      <c r="D13" s="19" t="s">
        <v>25</v>
      </c>
      <c r="E13" s="20">
        <v>18000</v>
      </c>
      <c r="F13" s="21">
        <v>8945</v>
      </c>
      <c r="G13" s="22">
        <v>96</v>
      </c>
      <c r="H13" s="21">
        <f>G13*'Rates &amp; Assumptions'!$B$1</f>
        <v>4320</v>
      </c>
      <c r="I13" s="24"/>
      <c r="J13" s="21">
        <v>267</v>
      </c>
      <c r="K13" s="21">
        <f t="shared" si="0"/>
        <v>13532</v>
      </c>
      <c r="L13" s="21">
        <f t="shared" si="1"/>
        <v>4468</v>
      </c>
      <c r="M13" s="23">
        <f t="shared" si="2"/>
        <v>0.24822222222222223</v>
      </c>
      <c r="N13" s="19" t="s">
        <v>30</v>
      </c>
    </row>
    <row r="14" spans="1:14" x14ac:dyDescent="0.25">
      <c r="A14" s="18" t="s">
        <v>31</v>
      </c>
      <c r="B14" s="19" t="s">
        <v>32</v>
      </c>
      <c r="C14" s="19" t="s">
        <v>33</v>
      </c>
      <c r="D14" s="19" t="s">
        <v>25</v>
      </c>
      <c r="E14" s="20">
        <v>22000</v>
      </c>
      <c r="F14" s="21">
        <v>7823.4</v>
      </c>
      <c r="G14" s="22">
        <v>118</v>
      </c>
      <c r="H14" s="21">
        <f>G14*'Rates &amp; Assumptions'!$B$1</f>
        <v>5310</v>
      </c>
      <c r="I14" s="21">
        <v>2100</v>
      </c>
      <c r="J14" s="21">
        <v>890</v>
      </c>
      <c r="K14" s="21">
        <f t="shared" si="0"/>
        <v>16123.4</v>
      </c>
      <c r="L14" s="21">
        <f t="shared" si="1"/>
        <v>5876.6</v>
      </c>
      <c r="M14" s="23">
        <f t="shared" si="2"/>
        <v>0.26711818181818181</v>
      </c>
      <c r="N14" s="19" t="s">
        <v>34</v>
      </c>
    </row>
    <row r="15" spans="1:14" x14ac:dyDescent="0.25">
      <c r="A15" s="18" t="s">
        <v>35</v>
      </c>
      <c r="B15" s="19" t="s">
        <v>36</v>
      </c>
      <c r="C15" s="19" t="s">
        <v>37</v>
      </c>
      <c r="D15" s="19" t="s">
        <v>25</v>
      </c>
      <c r="E15" s="20">
        <v>35000</v>
      </c>
      <c r="F15" s="21">
        <v>17892.169999999998</v>
      </c>
      <c r="G15" s="22">
        <v>203</v>
      </c>
      <c r="H15" s="21">
        <f>G15*'Rates &amp; Assumptions'!$B$1</f>
        <v>9135</v>
      </c>
      <c r="I15" s="21">
        <v>6300</v>
      </c>
      <c r="J15" s="21">
        <v>2440</v>
      </c>
      <c r="K15" s="21">
        <f t="shared" si="0"/>
        <v>35767.17</v>
      </c>
      <c r="L15" s="21">
        <f t="shared" si="1"/>
        <v>-767.16999999999825</v>
      </c>
      <c r="M15" s="23">
        <f t="shared" si="2"/>
        <v>-2.1919142857142807E-2</v>
      </c>
      <c r="N15" s="19" t="s">
        <v>38</v>
      </c>
    </row>
    <row r="16" spans="1:14" x14ac:dyDescent="0.25">
      <c r="A16" s="18" t="s">
        <v>39</v>
      </c>
      <c r="B16" s="19" t="s">
        <v>40</v>
      </c>
      <c r="C16" s="19" t="s">
        <v>41</v>
      </c>
      <c r="D16" s="19" t="s">
        <v>25</v>
      </c>
      <c r="E16" s="20">
        <v>12500</v>
      </c>
      <c r="F16" s="21">
        <v>5430</v>
      </c>
      <c r="G16" s="22">
        <v>54</v>
      </c>
      <c r="H16" s="21">
        <f>G16*'Rates &amp; Assumptions'!$B$1</f>
        <v>2430</v>
      </c>
      <c r="I16" s="24"/>
      <c r="J16" s="21">
        <v>180</v>
      </c>
      <c r="K16" s="21">
        <f t="shared" si="0"/>
        <v>8040</v>
      </c>
      <c r="L16" s="21">
        <f t="shared" si="1"/>
        <v>4460</v>
      </c>
      <c r="M16" s="23">
        <f t="shared" si="2"/>
        <v>0.35680000000000001</v>
      </c>
      <c r="N16" s="19"/>
    </row>
    <row r="17" spans="1:14" x14ac:dyDescent="0.25">
      <c r="A17" s="18" t="s">
        <v>42</v>
      </c>
      <c r="B17" s="19" t="s">
        <v>43</v>
      </c>
      <c r="C17" s="19" t="s">
        <v>44</v>
      </c>
      <c r="D17" s="19" t="s">
        <v>25</v>
      </c>
      <c r="E17" s="20">
        <v>4200</v>
      </c>
      <c r="F17" s="21">
        <v>823.55</v>
      </c>
      <c r="G17" s="22">
        <v>28</v>
      </c>
      <c r="H17" s="21">
        <f>G17*'Rates &amp; Assumptions'!$B$1</f>
        <v>1260</v>
      </c>
      <c r="I17" s="24"/>
      <c r="J17" s="21">
        <v>95</v>
      </c>
      <c r="K17" s="21">
        <f t="shared" si="0"/>
        <v>2178.5500000000002</v>
      </c>
      <c r="L17" s="21">
        <f t="shared" si="1"/>
        <v>2021.4499999999998</v>
      </c>
      <c r="M17" s="23">
        <f t="shared" si="2"/>
        <v>0.48129761904761903</v>
      </c>
      <c r="N17" s="19" t="s">
        <v>45</v>
      </c>
    </row>
    <row r="18" spans="1:14" x14ac:dyDescent="0.25">
      <c r="A18" s="18" t="s">
        <v>46</v>
      </c>
      <c r="B18" s="19" t="s">
        <v>23</v>
      </c>
      <c r="C18" s="19" t="s">
        <v>47</v>
      </c>
      <c r="D18" s="19" t="s">
        <v>48</v>
      </c>
      <c r="E18" s="20">
        <v>19500</v>
      </c>
      <c r="F18" s="21">
        <v>6100</v>
      </c>
      <c r="G18" s="22">
        <v>67</v>
      </c>
      <c r="H18" s="21">
        <f>G18*'Rates &amp; Assumptions'!$B$1</f>
        <v>3015</v>
      </c>
      <c r="I18" s="21">
        <v>2400</v>
      </c>
      <c r="J18" s="21">
        <v>350</v>
      </c>
      <c r="K18" s="21">
        <f t="shared" si="0"/>
        <v>11865</v>
      </c>
      <c r="L18" s="21">
        <f t="shared" si="1"/>
        <v>7635</v>
      </c>
      <c r="M18" s="23">
        <f t="shared" si="2"/>
        <v>0.39153846153846156</v>
      </c>
      <c r="N18" s="19" t="s">
        <v>49</v>
      </c>
    </row>
    <row r="19" spans="1:14" x14ac:dyDescent="0.25">
      <c r="A19" s="18" t="s">
        <v>50</v>
      </c>
      <c r="B19" s="19" t="s">
        <v>51</v>
      </c>
      <c r="C19" s="19" t="s">
        <v>52</v>
      </c>
      <c r="D19" s="19" t="s">
        <v>25</v>
      </c>
      <c r="E19" s="20">
        <v>8000</v>
      </c>
      <c r="F19" s="21">
        <v>3412</v>
      </c>
      <c r="G19" s="22">
        <v>38</v>
      </c>
      <c r="H19" s="21">
        <f>G19*'Rates &amp; Assumptions'!$B$1</f>
        <v>1710</v>
      </c>
      <c r="I19" s="24"/>
      <c r="J19" s="21">
        <v>220</v>
      </c>
      <c r="K19" s="21">
        <f t="shared" si="0"/>
        <v>5342</v>
      </c>
      <c r="L19" s="21">
        <f t="shared" si="1"/>
        <v>2658</v>
      </c>
      <c r="M19" s="23">
        <f t="shared" si="2"/>
        <v>0.33224999999999999</v>
      </c>
      <c r="N19" s="19"/>
    </row>
    <row r="20" spans="1:14" x14ac:dyDescent="0.25">
      <c r="A20" s="18" t="s">
        <v>53</v>
      </c>
      <c r="B20" s="19" t="s">
        <v>54</v>
      </c>
      <c r="C20" s="19" t="s">
        <v>55</v>
      </c>
      <c r="D20" s="19" t="s">
        <v>48</v>
      </c>
      <c r="E20" s="20">
        <v>24000</v>
      </c>
      <c r="F20" s="21">
        <v>4890</v>
      </c>
      <c r="G20" s="22">
        <v>45</v>
      </c>
      <c r="H20" s="21">
        <f>G20*'Rates &amp; Assumptions'!$B$1</f>
        <v>2025</v>
      </c>
      <c r="I20" s="21">
        <v>1600</v>
      </c>
      <c r="J20" s="24"/>
      <c r="K20" s="21">
        <f t="shared" si="0"/>
        <v>8515</v>
      </c>
      <c r="L20" s="21">
        <f t="shared" si="1"/>
        <v>15485</v>
      </c>
      <c r="M20" s="23">
        <f t="shared" si="2"/>
        <v>0.64520833333333338</v>
      </c>
      <c r="N20" s="19" t="s">
        <v>56</v>
      </c>
    </row>
    <row r="21" spans="1:14" x14ac:dyDescent="0.25">
      <c r="A21" s="18" t="s">
        <v>57</v>
      </c>
      <c r="B21" s="19" t="s">
        <v>43</v>
      </c>
      <c r="C21" s="19" t="s">
        <v>58</v>
      </c>
      <c r="D21" s="19" t="s">
        <v>48</v>
      </c>
      <c r="E21" s="20">
        <v>5800</v>
      </c>
      <c r="F21" s="21">
        <v>340</v>
      </c>
      <c r="G21" s="22">
        <v>8</v>
      </c>
      <c r="H21" s="21">
        <f>G21*'Rates &amp; Assumptions'!$B$1</f>
        <v>360</v>
      </c>
      <c r="I21" s="24"/>
      <c r="J21" s="24"/>
      <c r="K21" s="21">
        <f t="shared" si="0"/>
        <v>700</v>
      </c>
      <c r="L21" s="21">
        <f t="shared" si="1"/>
        <v>5100</v>
      </c>
      <c r="M21" s="23">
        <f t="shared" si="2"/>
        <v>0.87931034482758619</v>
      </c>
      <c r="N21" s="19" t="s">
        <v>59</v>
      </c>
    </row>
    <row r="22" spans="1:14" x14ac:dyDescent="0.25">
      <c r="A22" s="18" t="s">
        <v>60</v>
      </c>
      <c r="B22" s="19" t="s">
        <v>61</v>
      </c>
      <c r="C22" s="19" t="s">
        <v>62</v>
      </c>
      <c r="D22" s="19" t="s">
        <v>63</v>
      </c>
      <c r="E22" s="20">
        <v>7500</v>
      </c>
      <c r="F22" s="24"/>
      <c r="G22" s="19"/>
      <c r="H22" s="21"/>
      <c r="I22" s="24"/>
      <c r="J22" s="24"/>
      <c r="K22" s="21"/>
      <c r="L22" s="21"/>
      <c r="M22" s="23"/>
      <c r="N22" s="25" t="s">
        <v>64</v>
      </c>
    </row>
    <row r="23" spans="1:14" x14ac:dyDescent="0.25">
      <c r="A23" s="18" t="s">
        <v>65</v>
      </c>
      <c r="B23" s="19" t="s">
        <v>66</v>
      </c>
      <c r="C23" s="19" t="s">
        <v>67</v>
      </c>
      <c r="D23" s="19" t="s">
        <v>63</v>
      </c>
      <c r="E23" s="20">
        <v>14000</v>
      </c>
      <c r="F23" s="24"/>
      <c r="G23" s="19"/>
      <c r="H23" s="21"/>
      <c r="I23" s="24"/>
      <c r="J23" s="24"/>
      <c r="K23" s="21"/>
      <c r="L23" s="21"/>
      <c r="M23" s="23"/>
      <c r="N23" s="25" t="s">
        <v>68</v>
      </c>
    </row>
    <row r="25" spans="1:14" x14ac:dyDescent="0.25">
      <c r="A25" s="26" t="s">
        <v>69</v>
      </c>
    </row>
    <row r="26" spans="1:14" x14ac:dyDescent="0.25">
      <c r="A26" s="26" t="s">
        <v>70</v>
      </c>
    </row>
    <row r="27" spans="1:14" x14ac:dyDescent="0.25">
      <c r="A27" s="26" t="s">
        <v>71</v>
      </c>
    </row>
    <row r="28" spans="1:14" x14ac:dyDescent="0.25">
      <c r="A28" s="26" t="s">
        <v>72</v>
      </c>
    </row>
  </sheetData>
  <mergeCells count="1">
    <mergeCell ref="A1:D1"/>
  </mergeCells>
  <conditionalFormatting sqref="L12:M23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cols>
    <col min="1" max="1" width="20" customWidth="1"/>
    <col min="2" max="2" width="32" customWidth="1"/>
  </cols>
  <sheetData>
    <row r="1" spans="1:2" x14ac:dyDescent="0.25">
      <c r="A1" s="26" t="s">
        <v>73</v>
      </c>
      <c r="B1" s="26">
        <v>45</v>
      </c>
    </row>
    <row r="2" spans="1:2" x14ac:dyDescent="0.25">
      <c r="A2" s="26" t="s">
        <v>74</v>
      </c>
      <c r="B2" s="27">
        <v>0.25</v>
      </c>
    </row>
    <row r="3" spans="1:2" x14ac:dyDescent="0.25">
      <c r="A3" s="26" t="s">
        <v>75</v>
      </c>
      <c r="B3" s="28">
        <v>485</v>
      </c>
    </row>
    <row r="4" spans="1:2" x14ac:dyDescent="0.25">
      <c r="A4" s="26" t="s">
        <v>76</v>
      </c>
      <c r="B4" s="28">
        <v>487</v>
      </c>
    </row>
    <row r="5" spans="1:2" x14ac:dyDescent="0.25">
      <c r="A5" s="26"/>
      <c r="B5" s="26"/>
    </row>
    <row r="6" spans="1:2" x14ac:dyDescent="0.25">
      <c r="A6" s="26" t="s">
        <v>77</v>
      </c>
      <c r="B6" s="26" t="s">
        <v>78</v>
      </c>
    </row>
    <row r="7" spans="1:2" x14ac:dyDescent="0.25">
      <c r="A7" s="26"/>
      <c r="B7" s="26"/>
    </row>
    <row r="8" spans="1:2" x14ac:dyDescent="0.25">
      <c r="A8" s="29" t="s">
        <v>79</v>
      </c>
      <c r="B8" s="26"/>
    </row>
    <row r="9" spans="1:2" x14ac:dyDescent="0.25">
      <c r="A9" s="26" t="s">
        <v>80</v>
      </c>
      <c r="B9" s="26"/>
    </row>
    <row r="10" spans="1:2" x14ac:dyDescent="0.25">
      <c r="A10" s="26" t="s">
        <v>81</v>
      </c>
      <c r="B10" s="2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Log</vt:lpstr>
      <vt:lpstr>Rates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Nguyen</dc:creator>
  <cp:lastModifiedBy>Victor Nguyen</cp:lastModifiedBy>
  <dcterms:created xsi:type="dcterms:W3CDTF">2024-04-14T11:19:54Z</dcterms:created>
  <dcterms:modified xsi:type="dcterms:W3CDTF">2025-08-12T13:31:23Z</dcterms:modified>
  <cp:revision>1</cp:revision>
</cp:coreProperties>
</file>