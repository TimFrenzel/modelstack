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000_drive_drive\300_WORK\xAI\002_xAI\project\excel-scraping\task_028\"/>
    </mc:Choice>
  </mc:AlternateContent>
  <xr:revisionPtr revIDLastSave="0" documentId="13_ncr:1_{92359063-84B2-453D-BFB7-25D791D11FA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sh Fl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7" i="1" l="1"/>
  <c r="M47" i="1" s="1"/>
  <c r="L44" i="1"/>
  <c r="M44" i="1" s="1"/>
  <c r="L41" i="1"/>
  <c r="M41" i="1" s="1"/>
  <c r="L38" i="1"/>
  <c r="M38" i="1" s="1"/>
  <c r="L35" i="1"/>
  <c r="M35" i="1" s="1"/>
  <c r="L32" i="1"/>
  <c r="M32" i="1" s="1"/>
  <c r="L29" i="1"/>
  <c r="M29" i="1" s="1"/>
  <c r="E29" i="1"/>
  <c r="L26" i="1"/>
  <c r="M26" i="1" s="1"/>
  <c r="E26" i="1"/>
  <c r="L23" i="1"/>
  <c r="M23" i="1" s="1"/>
  <c r="E23" i="1"/>
  <c r="L20" i="1"/>
  <c r="M20" i="1" s="1"/>
  <c r="E20" i="1"/>
  <c r="L17" i="1"/>
  <c r="M17" i="1" s="1"/>
  <c r="E17" i="1"/>
  <c r="L14" i="1"/>
  <c r="M14" i="1" s="1"/>
  <c r="E14" i="1"/>
  <c r="L11" i="1"/>
  <c r="M11" i="1" s="1"/>
  <c r="N11" i="1" s="1"/>
  <c r="E11" i="1"/>
  <c r="N14" i="1" l="1"/>
  <c r="N17" i="1" s="1"/>
  <c r="N20" i="1" s="1"/>
  <c r="N23" i="1" s="1"/>
  <c r="N26" i="1" s="1"/>
  <c r="N29" i="1" s="1"/>
  <c r="N32" i="1" s="1"/>
  <c r="N35" i="1" s="1"/>
  <c r="N38" i="1" s="1"/>
  <c r="N41" i="1" s="1"/>
  <c r="N44" i="1" s="1"/>
  <c r="N47" i="1" s="1"/>
  <c r="C6" i="1"/>
  <c r="C7" i="1" l="1"/>
  <c r="C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</authors>
  <commentList>
    <comment ref="K20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new trimmer head + blades</t>
        </r>
      </text>
    </comment>
  </commentList>
</comments>
</file>

<file path=xl/sharedStrings.xml><?xml version="1.0" encoding="utf-8"?>
<sst xmlns="http://schemas.openxmlformats.org/spreadsheetml/2006/main" count="57" uniqueCount="55">
  <si>
    <t>Greenline Property Services</t>
  </si>
  <si>
    <t>13-Week Cash Flow Forecast</t>
  </si>
  <si>
    <t>Starting Cash (Week 1):</t>
  </si>
  <si>
    <t>Ending Cash (Week 13):</t>
  </si>
  <si>
    <t>Lowest Cash Point:</t>
  </si>
  <si>
    <t>Weeks of Runway (if no new income):</t>
  </si>
  <si>
    <t>Week</t>
  </si>
  <si>
    <t>Week Starting</t>
  </si>
  <si>
    <t>Expected Inflows</t>
  </si>
  <si>
    <t>Actual Inflows</t>
  </si>
  <si>
    <t>Variance</t>
  </si>
  <si>
    <t>Payroll</t>
  </si>
  <si>
    <t>Rent</t>
  </si>
  <si>
    <t>Insurance</t>
  </si>
  <si>
    <t>Fuel &amp; Equipment</t>
  </si>
  <si>
    <t>Materials/Supplies</t>
  </si>
  <si>
    <t>Other Expenses</t>
  </si>
  <si>
    <t>Total Outflows</t>
  </si>
  <si>
    <t>Net Cash Flow</t>
  </si>
  <si>
    <t>Ending Cash</t>
  </si>
  <si>
    <t>Notes</t>
  </si>
  <si>
    <t>Mar 2</t>
  </si>
  <si>
    <t>Martinez lawn contract, Henderson cleanup</t>
  </si>
  <si>
    <t>Mar 9</t>
  </si>
  <si>
    <t>Westfield HOA (monthly), misc residential</t>
  </si>
  <si>
    <t>Mar 16</t>
  </si>
  <si>
    <t>Henderson paid early + added tree removal</t>
  </si>
  <si>
    <t>Henderson spring pkg, 3 new residential, Martinez</t>
  </si>
  <si>
    <t>Mar 23</t>
  </si>
  <si>
    <t>rain all week, crew got 2 days</t>
  </si>
  <si>
    <t>2 residential, rain canceled Wed-Fri</t>
  </si>
  <si>
    <t>Mar 30</t>
  </si>
  <si>
    <t>Westfield HOA, Martinez, 4 residential</t>
  </si>
  <si>
    <t>Apr 6</t>
  </si>
  <si>
    <t>hired temp for aeration week</t>
  </si>
  <si>
    <t>spring aeration push, 6 residential</t>
  </si>
  <si>
    <t>Apr 13</t>
  </si>
  <si>
    <t>Martinez, 3 residential, missed Henderson</t>
  </si>
  <si>
    <t>Apr 20</t>
  </si>
  <si>
    <t>big invoice from Martinez job should hit by here</t>
  </si>
  <si>
    <t>projected - residential ramp up</t>
  </si>
  <si>
    <t>Apr 27</t>
  </si>
  <si>
    <t>projected + mulch season</t>
  </si>
  <si>
    <t>May 4</t>
  </si>
  <si>
    <t>projected</t>
  </si>
  <si>
    <t>May 11</t>
  </si>
  <si>
    <t>Memorial Day week - might lose a day</t>
  </si>
  <si>
    <t>projected - big Martinez job should hit</t>
  </si>
  <si>
    <t>May 18</t>
  </si>
  <si>
    <t>May 25</t>
  </si>
  <si>
    <t>--- notes ---</t>
  </si>
  <si>
    <t>Westfield HOA contract renews June 1, need to follow up on rate increase</t>
  </si>
  <si>
    <t>Truck payment ($487/mo) starts in May, add to Other starting week 10 or 11</t>
  </si>
  <si>
    <t>Ask Martinez about summer schedule, they usually do 2x/month June-Aug</t>
  </si>
  <si>
    <t>last updated 4/13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</si>
</sst>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"/>
  </numFmts>
  <fonts count="13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9"/>
      <color rgb="FF787878"/>
      <name val="Arial"/>
      <family val="2"/>
    </font>
    <font>
      <i/>
      <sz val="10"/>
      <color rgb="FF999999"/>
      <name val="Arial"/>
      <family val="2"/>
    </font>
    <font>
      <i/>
      <sz val="9"/>
      <color rgb="FF999999"/>
      <name val="Arial"/>
      <family val="2"/>
    </font>
    <font>
      <sz val="10"/>
      <color theme="3" tint="0.39997558519241921"/>
      <name val="Arial"/>
      <family val="2"/>
    </font>
    <font>
      <b/>
      <sz val="10"/>
      <color theme="3" tint="0.39997558519241921"/>
      <name val="Arial"/>
      <family val="2"/>
    </font>
    <font>
      <sz val="11"/>
      <color theme="3" tint="0.39997558519241921"/>
      <name val="Calibri"/>
      <family val="2"/>
      <scheme val="minor"/>
    </font>
    <font>
      <b/>
      <sz val="11"/>
      <color theme="3" tint="0.3999755851924192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2CDC3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/>
    </xf>
    <xf numFmtId="0" fontId="0" fillId="0" borderId="1" xfId="0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6" fillId="0" borderId="0" xfId="0" applyFont="1" applyAlignment="1">
      <alignment indent="1"/>
    </xf>
    <xf numFmtId="0" fontId="7" fillId="0" borderId="0" xfId="0" applyFont="1"/>
    <xf numFmtId="0" fontId="8" fillId="0" borderId="0" xfId="0" applyFont="1"/>
    <xf numFmtId="0" fontId="1" fillId="0" borderId="0" xfId="0" applyFont="1"/>
    <xf numFmtId="0" fontId="0" fillId="0" borderId="0" xfId="0"/>
    <xf numFmtId="164" fontId="9" fillId="0" borderId="0" xfId="0" applyNumberFormat="1" applyFont="1"/>
    <xf numFmtId="164" fontId="10" fillId="0" borderId="0" xfId="0" applyNumberFormat="1" applyFont="1"/>
    <xf numFmtId="0" fontId="11" fillId="0" borderId="0" xfId="0" applyFont="1"/>
    <xf numFmtId="164" fontId="12" fillId="0" borderId="0" xfId="0" applyNumberFormat="1" applyFont="1"/>
    <xf numFmtId="164" fontId="3" fillId="3" borderId="1" xfId="0" applyNumberFormat="1" applyFont="1" applyFill="1" applyBorder="1"/>
    <xf numFmtId="0" fontId="0" fillId="0" borderId="0" xfId="0" applyAlignment="1">
      <alignment horizontal="center"/>
    </xf>
    <xf numFmtId="164" fontId="5" fillId="4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164" fontId="3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showGridLines="0" tabSelected="1" workbookViewId="0">
      <selection activeCell="I20" sqref="I20"/>
    </sheetView>
  </sheetViews>
  <sheetFormatPr defaultRowHeight="15" x14ac:dyDescent="0.25"/>
  <cols>
    <col min="1" max="1" width="33.28515625" customWidth="1"/>
    <col min="2" max="2" width="42.5703125" bestFit="1" customWidth="1"/>
    <col min="3" max="4" width="18.5703125" customWidth="1"/>
    <col min="5" max="5" width="14.5703125" style="21" customWidth="1"/>
    <col min="6" max="8" width="13" customWidth="1"/>
    <col min="9" max="9" width="17.42578125" bestFit="1" customWidth="1"/>
    <col min="10" max="10" width="18" bestFit="1" customWidth="1"/>
    <col min="11" max="11" width="15.28515625" bestFit="1" customWidth="1"/>
    <col min="12" max="13" width="14.140625" bestFit="1" customWidth="1"/>
    <col min="14" max="14" width="24.5703125" customWidth="1"/>
    <col min="15" max="15" width="45" customWidth="1"/>
  </cols>
  <sheetData>
    <row r="1" spans="1:15" ht="18" x14ac:dyDescent="0.25">
      <c r="A1" s="14" t="s">
        <v>0</v>
      </c>
      <c r="B1" s="15"/>
      <c r="C1" s="15"/>
      <c r="D1" s="15"/>
      <c r="E1" s="15"/>
    </row>
    <row r="2" spans="1:15" x14ac:dyDescent="0.25">
      <c r="A2" s="1" t="s">
        <v>1</v>
      </c>
    </row>
    <row r="4" spans="1:15" x14ac:dyDescent="0.25">
      <c r="A4" s="2" t="s">
        <v>2</v>
      </c>
      <c r="B4" s="3"/>
      <c r="C4" s="20">
        <v>14220</v>
      </c>
      <c r="D4" s="3"/>
    </row>
    <row r="5" spans="1:15" x14ac:dyDescent="0.25">
      <c r="A5" s="2" t="s">
        <v>3</v>
      </c>
      <c r="B5" s="3"/>
      <c r="C5" s="4">
        <f>N47</f>
        <v>50618.17</v>
      </c>
      <c r="D5" s="3"/>
    </row>
    <row r="6" spans="1:15" x14ac:dyDescent="0.25">
      <c r="A6" s="2" t="s">
        <v>4</v>
      </c>
      <c r="B6" s="3"/>
      <c r="C6" s="4">
        <f>MIN(N11,N14,N17,N20,N23,N26,N29,N32,N35,N38,N41,N44,N47)</f>
        <v>16738.5</v>
      </c>
      <c r="D6" s="3"/>
    </row>
    <row r="7" spans="1:15" x14ac:dyDescent="0.25">
      <c r="A7" s="2" t="s">
        <v>5</v>
      </c>
      <c r="B7" s="3"/>
      <c r="C7" s="5">
        <f>N47/AVERAGE(L11,L14,L17,L20,L23,L26,L29,L32,L35,L38,L41,L44,L47)</f>
        <v>10.427006965586273</v>
      </c>
      <c r="D7" s="3"/>
    </row>
    <row r="8" spans="1:15" x14ac:dyDescent="0.25">
      <c r="A8" s="3"/>
      <c r="B8" s="3"/>
      <c r="C8" s="3"/>
      <c r="D8" s="3"/>
    </row>
    <row r="10" spans="1:15" x14ac:dyDescent="0.25">
      <c r="A10" s="6" t="s">
        <v>6</v>
      </c>
      <c r="B10" s="7" t="s">
        <v>7</v>
      </c>
      <c r="C10" s="7" t="s">
        <v>8</v>
      </c>
      <c r="D10" s="7" t="s">
        <v>9</v>
      </c>
      <c r="E10" s="6" t="s">
        <v>10</v>
      </c>
      <c r="F10" s="7" t="s">
        <v>11</v>
      </c>
      <c r="G10" s="7" t="s">
        <v>12</v>
      </c>
      <c r="H10" s="7" t="s">
        <v>13</v>
      </c>
      <c r="I10" s="7" t="s">
        <v>14</v>
      </c>
      <c r="J10" s="7" t="s">
        <v>15</v>
      </c>
      <c r="K10" s="7" t="s">
        <v>16</v>
      </c>
      <c r="L10" s="7" t="s">
        <v>17</v>
      </c>
      <c r="M10" s="7" t="s">
        <v>18</v>
      </c>
      <c r="N10" s="7" t="s">
        <v>19</v>
      </c>
      <c r="O10" s="7" t="s">
        <v>20</v>
      </c>
    </row>
    <row r="11" spans="1:15" x14ac:dyDescent="0.25">
      <c r="A11" s="8">
        <v>1</v>
      </c>
      <c r="B11" s="9" t="s">
        <v>21</v>
      </c>
      <c r="C11" s="10">
        <v>8500</v>
      </c>
      <c r="D11" s="10">
        <v>7840</v>
      </c>
      <c r="E11" s="22">
        <f>D11-C11</f>
        <v>-660</v>
      </c>
      <c r="F11" s="10">
        <v>3200</v>
      </c>
      <c r="G11" s="10">
        <v>1400</v>
      </c>
      <c r="I11" s="10">
        <v>387.5</v>
      </c>
      <c r="J11" s="10">
        <v>245</v>
      </c>
      <c r="K11" s="10">
        <v>89</v>
      </c>
      <c r="L11" s="17">
        <f>SUM(F11:K11)</f>
        <v>5321.5</v>
      </c>
      <c r="M11" s="16">
        <f>D11-L11</f>
        <v>2518.5</v>
      </c>
      <c r="N11" s="19">
        <f>C4+M11</f>
        <v>16738.5</v>
      </c>
    </row>
    <row r="12" spans="1:15" x14ac:dyDescent="0.25">
      <c r="B12" s="11" t="s">
        <v>22</v>
      </c>
      <c r="E12" s="23"/>
      <c r="L12" s="18"/>
      <c r="M12" s="18"/>
      <c r="N12" s="18"/>
    </row>
    <row r="13" spans="1:15" x14ac:dyDescent="0.25">
      <c r="E13" s="23"/>
      <c r="L13" s="18"/>
      <c r="M13" s="18"/>
      <c r="N13" s="18"/>
    </row>
    <row r="14" spans="1:15" x14ac:dyDescent="0.25">
      <c r="A14" s="8">
        <v>2</v>
      </c>
      <c r="B14" s="9" t="s">
        <v>23</v>
      </c>
      <c r="C14" s="10">
        <v>6200</v>
      </c>
      <c r="D14" s="10">
        <v>6200</v>
      </c>
      <c r="E14" s="24">
        <f>D14-C14</f>
        <v>0</v>
      </c>
      <c r="F14" s="10">
        <v>3200</v>
      </c>
      <c r="H14" s="10">
        <v>485</v>
      </c>
      <c r="I14" s="10">
        <v>412.33</v>
      </c>
      <c r="J14" s="10">
        <v>178</v>
      </c>
      <c r="K14" s="10">
        <v>45</v>
      </c>
      <c r="L14" s="17">
        <f>SUM(F14:K14)</f>
        <v>4320.33</v>
      </c>
      <c r="M14" s="16">
        <f>D14-L14</f>
        <v>1879.67</v>
      </c>
      <c r="N14" s="19">
        <f>N11+M14</f>
        <v>18618.169999999998</v>
      </c>
    </row>
    <row r="15" spans="1:15" x14ac:dyDescent="0.25">
      <c r="B15" s="11" t="s">
        <v>24</v>
      </c>
      <c r="E15" s="23"/>
      <c r="L15" s="18"/>
      <c r="M15" s="18"/>
      <c r="N15" s="18"/>
    </row>
    <row r="16" spans="1:15" x14ac:dyDescent="0.25">
      <c r="E16" s="23"/>
      <c r="L16" s="18"/>
      <c r="M16" s="18"/>
      <c r="N16" s="18"/>
    </row>
    <row r="17" spans="1:15" x14ac:dyDescent="0.25">
      <c r="A17" s="8">
        <v>3</v>
      </c>
      <c r="B17" s="9" t="s">
        <v>25</v>
      </c>
      <c r="C17" s="10">
        <v>9000</v>
      </c>
      <c r="D17" s="10">
        <v>11247</v>
      </c>
      <c r="E17" s="24">
        <f>D17-C17</f>
        <v>2247</v>
      </c>
      <c r="F17" s="10">
        <v>3200</v>
      </c>
      <c r="I17" s="10">
        <v>398</v>
      </c>
      <c r="J17" s="10">
        <v>892</v>
      </c>
      <c r="K17" s="10">
        <v>120</v>
      </c>
      <c r="L17" s="17">
        <f>SUM(F17:K17)</f>
        <v>4610</v>
      </c>
      <c r="M17" s="16">
        <f>D17-L17</f>
        <v>6637</v>
      </c>
      <c r="N17" s="19">
        <f>N14+M17</f>
        <v>25255.17</v>
      </c>
      <c r="O17" s="9" t="s">
        <v>26</v>
      </c>
    </row>
    <row r="18" spans="1:15" x14ac:dyDescent="0.25">
      <c r="B18" s="11" t="s">
        <v>27</v>
      </c>
      <c r="E18" s="23"/>
      <c r="L18" s="18"/>
      <c r="M18" s="18"/>
      <c r="N18" s="18"/>
    </row>
    <row r="19" spans="1:15" x14ac:dyDescent="0.25">
      <c r="E19" s="23"/>
      <c r="L19" s="18"/>
      <c r="M19" s="18"/>
      <c r="N19" s="18"/>
    </row>
    <row r="20" spans="1:15" x14ac:dyDescent="0.25">
      <c r="A20" s="8">
        <v>4</v>
      </c>
      <c r="B20" s="9" t="s">
        <v>28</v>
      </c>
      <c r="C20" s="10">
        <v>5500</v>
      </c>
      <c r="D20" s="10">
        <v>4100</v>
      </c>
      <c r="E20" s="22">
        <f>D20-C20</f>
        <v>-1400</v>
      </c>
      <c r="F20" s="10">
        <v>3200</v>
      </c>
      <c r="G20" s="10">
        <v>1400</v>
      </c>
      <c r="I20" s="10">
        <v>215</v>
      </c>
      <c r="J20" s="10">
        <v>67</v>
      </c>
      <c r="K20" s="10">
        <v>340</v>
      </c>
      <c r="L20" s="17">
        <f>SUM(F20:K20)</f>
        <v>5222</v>
      </c>
      <c r="M20" s="16">
        <f>D20-L20</f>
        <v>-1122</v>
      </c>
      <c r="N20" s="19">
        <f>N17+M20</f>
        <v>24133.17</v>
      </c>
      <c r="O20" s="9" t="s">
        <v>29</v>
      </c>
    </row>
    <row r="21" spans="1:15" x14ac:dyDescent="0.25">
      <c r="B21" s="11" t="s">
        <v>30</v>
      </c>
      <c r="E21" s="23"/>
      <c r="L21" s="18"/>
      <c r="M21" s="18"/>
      <c r="N21" s="18"/>
    </row>
    <row r="22" spans="1:15" x14ac:dyDescent="0.25">
      <c r="E22" s="23"/>
      <c r="L22" s="18"/>
      <c r="M22" s="18"/>
      <c r="N22" s="18"/>
    </row>
    <row r="23" spans="1:15" x14ac:dyDescent="0.25">
      <c r="A23" s="8">
        <v>5</v>
      </c>
      <c r="B23" s="9" t="s">
        <v>31</v>
      </c>
      <c r="C23" s="10">
        <v>7800</v>
      </c>
      <c r="D23" s="10">
        <v>8150</v>
      </c>
      <c r="E23" s="24">
        <f>D23-C23</f>
        <v>350</v>
      </c>
      <c r="F23" s="10">
        <v>3200</v>
      </c>
      <c r="I23" s="10">
        <v>445</v>
      </c>
      <c r="J23" s="10">
        <v>523</v>
      </c>
      <c r="K23" s="10">
        <v>88</v>
      </c>
      <c r="L23" s="17">
        <f>SUM(F23:K23)</f>
        <v>4256</v>
      </c>
      <c r="M23" s="16">
        <f>D23-L23</f>
        <v>3894</v>
      </c>
      <c r="N23" s="19">
        <f>N20+M23</f>
        <v>28027.17</v>
      </c>
    </row>
    <row r="24" spans="1:15" x14ac:dyDescent="0.25">
      <c r="B24" s="11" t="s">
        <v>32</v>
      </c>
      <c r="E24" s="23"/>
      <c r="L24" s="18"/>
      <c r="M24" s="18"/>
      <c r="N24" s="18"/>
    </row>
    <row r="25" spans="1:15" x14ac:dyDescent="0.25">
      <c r="E25" s="23"/>
      <c r="L25" s="18"/>
      <c r="M25" s="18"/>
      <c r="N25" s="18"/>
    </row>
    <row r="26" spans="1:15" x14ac:dyDescent="0.25">
      <c r="A26" s="8">
        <v>6</v>
      </c>
      <c r="B26" s="9" t="s">
        <v>33</v>
      </c>
      <c r="C26" s="10">
        <v>8200</v>
      </c>
      <c r="D26" s="10">
        <v>8200</v>
      </c>
      <c r="E26" s="24">
        <f>D26-C26</f>
        <v>0</v>
      </c>
      <c r="F26" s="10">
        <v>3840</v>
      </c>
      <c r="I26" s="10">
        <v>510</v>
      </c>
      <c r="J26" s="10">
        <v>1247</v>
      </c>
      <c r="K26" s="10">
        <v>95</v>
      </c>
      <c r="L26" s="17">
        <f>SUM(F26:K26)</f>
        <v>5692</v>
      </c>
      <c r="M26" s="16">
        <f>D26-L26</f>
        <v>2508</v>
      </c>
      <c r="N26" s="19">
        <f>N23+M26</f>
        <v>30535.17</v>
      </c>
      <c r="O26" s="9" t="s">
        <v>34</v>
      </c>
    </row>
    <row r="27" spans="1:15" x14ac:dyDescent="0.25">
      <c r="B27" s="11" t="s">
        <v>35</v>
      </c>
      <c r="E27" s="23"/>
      <c r="L27" s="18"/>
      <c r="M27" s="18"/>
      <c r="N27" s="18"/>
    </row>
    <row r="28" spans="1:15" x14ac:dyDescent="0.25">
      <c r="E28" s="23"/>
      <c r="L28" s="18"/>
      <c r="M28" s="18"/>
      <c r="N28" s="18"/>
    </row>
    <row r="29" spans="1:15" x14ac:dyDescent="0.25">
      <c r="A29" s="8">
        <v>7</v>
      </c>
      <c r="B29" s="9" t="s">
        <v>36</v>
      </c>
      <c r="C29" s="10">
        <v>6500</v>
      </c>
      <c r="D29" s="10">
        <v>5870</v>
      </c>
      <c r="E29" s="22">
        <f>D29-C29</f>
        <v>-630</v>
      </c>
      <c r="F29" s="10">
        <v>3200</v>
      </c>
      <c r="G29" s="10">
        <v>1400</v>
      </c>
      <c r="I29" s="10">
        <v>378</v>
      </c>
      <c r="J29" s="10">
        <v>189</v>
      </c>
      <c r="K29" s="10">
        <v>155</v>
      </c>
      <c r="L29" s="17">
        <f>SUM(F29:K29)</f>
        <v>5322</v>
      </c>
      <c r="M29" s="16">
        <f>D29-L29</f>
        <v>548</v>
      </c>
      <c r="N29" s="19">
        <f>N26+M29</f>
        <v>31083.17</v>
      </c>
    </row>
    <row r="30" spans="1:15" x14ac:dyDescent="0.25">
      <c r="B30" s="11" t="s">
        <v>37</v>
      </c>
      <c r="E30" s="23"/>
      <c r="L30" s="18"/>
      <c r="M30" s="18"/>
      <c r="N30" s="18"/>
    </row>
    <row r="31" spans="1:15" x14ac:dyDescent="0.25">
      <c r="E31" s="23"/>
      <c r="L31" s="18"/>
      <c r="M31" s="18"/>
      <c r="N31" s="18"/>
    </row>
    <row r="32" spans="1:15" x14ac:dyDescent="0.25">
      <c r="A32" s="8">
        <v>8</v>
      </c>
      <c r="B32" s="9" t="s">
        <v>38</v>
      </c>
      <c r="C32" s="10">
        <v>7200</v>
      </c>
      <c r="E32" s="23"/>
      <c r="F32" s="10">
        <v>3200</v>
      </c>
      <c r="I32" s="10">
        <v>420</v>
      </c>
      <c r="J32" s="10">
        <v>380</v>
      </c>
      <c r="K32" s="10">
        <v>75</v>
      </c>
      <c r="L32" s="17">
        <f>SUM(F32:K32)</f>
        <v>4075</v>
      </c>
      <c r="M32" s="16">
        <f>IF(D32="",C32-L32,D32-L32)</f>
        <v>3125</v>
      </c>
      <c r="N32" s="19">
        <f>N29+M32</f>
        <v>34208.17</v>
      </c>
      <c r="O32" s="9" t="s">
        <v>39</v>
      </c>
    </row>
    <row r="33" spans="1:15" x14ac:dyDescent="0.25">
      <c r="B33" s="11" t="s">
        <v>40</v>
      </c>
      <c r="E33" s="23"/>
      <c r="L33" s="18"/>
      <c r="M33" s="18"/>
      <c r="N33" s="18"/>
    </row>
    <row r="34" spans="1:15" x14ac:dyDescent="0.25">
      <c r="E34" s="23"/>
      <c r="L34" s="18"/>
      <c r="M34" s="18"/>
      <c r="N34" s="18"/>
    </row>
    <row r="35" spans="1:15" x14ac:dyDescent="0.25">
      <c r="A35" s="8">
        <v>9</v>
      </c>
      <c r="B35" s="9" t="s">
        <v>41</v>
      </c>
      <c r="C35" s="10">
        <v>8800</v>
      </c>
      <c r="E35" s="23"/>
      <c r="F35" s="10">
        <v>3200</v>
      </c>
      <c r="I35" s="10">
        <v>445</v>
      </c>
      <c r="J35" s="10">
        <v>580</v>
      </c>
      <c r="K35" s="10">
        <v>130</v>
      </c>
      <c r="L35" s="17">
        <f>SUM(F35:K35)</f>
        <v>4355</v>
      </c>
      <c r="M35" s="16">
        <f>IF(D35="",C35-L35,D35-L35)</f>
        <v>4445</v>
      </c>
      <c r="N35" s="19">
        <f>N32+M35</f>
        <v>38653.17</v>
      </c>
    </row>
    <row r="36" spans="1:15" x14ac:dyDescent="0.25">
      <c r="B36" s="11" t="s">
        <v>42</v>
      </c>
      <c r="E36" s="23"/>
      <c r="L36" s="18"/>
      <c r="M36" s="18"/>
      <c r="N36" s="18"/>
    </row>
    <row r="37" spans="1:15" x14ac:dyDescent="0.25">
      <c r="E37" s="23"/>
      <c r="L37" s="18"/>
      <c r="M37" s="18"/>
      <c r="N37" s="18"/>
    </row>
    <row r="38" spans="1:15" x14ac:dyDescent="0.25">
      <c r="A38" s="8">
        <v>10</v>
      </c>
      <c r="B38" s="9" t="s">
        <v>43</v>
      </c>
      <c r="C38" s="10">
        <v>6900</v>
      </c>
      <c r="E38" s="23"/>
      <c r="F38" s="10">
        <v>3200</v>
      </c>
      <c r="G38" s="10">
        <v>1400</v>
      </c>
      <c r="H38" s="10">
        <v>485</v>
      </c>
      <c r="I38" s="10">
        <v>390</v>
      </c>
      <c r="J38" s="10">
        <v>450</v>
      </c>
      <c r="K38" s="10">
        <v>95</v>
      </c>
      <c r="L38" s="17">
        <f>SUM(F38:K38)</f>
        <v>6020</v>
      </c>
      <c r="M38" s="16">
        <f>IF(D38="",C38-L38,D38-L38)</f>
        <v>880</v>
      </c>
      <c r="N38" s="19">
        <f>N35+M38</f>
        <v>39533.17</v>
      </c>
    </row>
    <row r="39" spans="1:15" x14ac:dyDescent="0.25">
      <c r="B39" s="11" t="s">
        <v>44</v>
      </c>
      <c r="E39" s="23"/>
      <c r="L39" s="18"/>
      <c r="M39" s="18"/>
      <c r="N39" s="18"/>
    </row>
    <row r="40" spans="1:15" x14ac:dyDescent="0.25">
      <c r="E40" s="23"/>
      <c r="L40" s="18"/>
      <c r="M40" s="18"/>
      <c r="N40" s="18"/>
    </row>
    <row r="41" spans="1:15" x14ac:dyDescent="0.25">
      <c r="A41" s="8">
        <v>11</v>
      </c>
      <c r="B41" s="9" t="s">
        <v>45</v>
      </c>
      <c r="C41" s="10">
        <v>9500</v>
      </c>
      <c r="E41" s="23"/>
      <c r="F41" s="10">
        <v>3200</v>
      </c>
      <c r="I41" s="10">
        <v>430</v>
      </c>
      <c r="J41" s="10">
        <v>520</v>
      </c>
      <c r="K41" s="10">
        <v>60</v>
      </c>
      <c r="L41" s="17">
        <f>SUM(F41:K41)</f>
        <v>4210</v>
      </c>
      <c r="M41" s="16">
        <f>IF(D41="",C41-L41,D41-L41)</f>
        <v>5290</v>
      </c>
      <c r="N41" s="19">
        <f>N38+M41</f>
        <v>44823.17</v>
      </c>
      <c r="O41" s="9" t="s">
        <v>46</v>
      </c>
    </row>
    <row r="42" spans="1:15" x14ac:dyDescent="0.25">
      <c r="B42" s="11" t="s">
        <v>47</v>
      </c>
      <c r="E42" s="23"/>
      <c r="L42" s="18"/>
      <c r="M42" s="18"/>
      <c r="N42" s="18"/>
    </row>
    <row r="43" spans="1:15" x14ac:dyDescent="0.25">
      <c r="E43" s="23"/>
      <c r="L43" s="18"/>
      <c r="M43" s="18"/>
      <c r="N43" s="18"/>
    </row>
    <row r="44" spans="1:15" x14ac:dyDescent="0.25">
      <c r="A44" s="8">
        <v>12</v>
      </c>
      <c r="B44" s="9" t="s">
        <v>48</v>
      </c>
      <c r="C44" s="10">
        <v>7400</v>
      </c>
      <c r="E44" s="23"/>
      <c r="F44" s="10">
        <v>3200</v>
      </c>
      <c r="I44" s="10">
        <v>395</v>
      </c>
      <c r="J44" s="10">
        <v>340</v>
      </c>
      <c r="K44" s="10">
        <v>110</v>
      </c>
      <c r="L44" s="17">
        <f>SUM(F44:K44)</f>
        <v>4045</v>
      </c>
      <c r="M44" s="16">
        <f>IF(D44="",C44-L44,D44-L44)</f>
        <v>3355</v>
      </c>
      <c r="N44" s="19">
        <f>N41+M44</f>
        <v>48178.17</v>
      </c>
    </row>
    <row r="45" spans="1:15" x14ac:dyDescent="0.25">
      <c r="B45" s="11" t="s">
        <v>44</v>
      </c>
      <c r="E45" s="23"/>
      <c r="L45" s="18"/>
      <c r="M45" s="18"/>
      <c r="N45" s="18"/>
    </row>
    <row r="46" spans="1:15" x14ac:dyDescent="0.25">
      <c r="E46" s="23"/>
      <c r="L46" s="18"/>
      <c r="M46" s="18"/>
      <c r="N46" s="18"/>
    </row>
    <row r="47" spans="1:15" x14ac:dyDescent="0.25">
      <c r="A47" s="8">
        <v>13</v>
      </c>
      <c r="B47" s="9" t="s">
        <v>49</v>
      </c>
      <c r="C47" s="10">
        <v>8100</v>
      </c>
      <c r="E47" s="23"/>
      <c r="F47" s="10">
        <v>3200</v>
      </c>
      <c r="G47" s="10">
        <v>1400</v>
      </c>
      <c r="I47" s="10">
        <v>410</v>
      </c>
      <c r="J47" s="10">
        <v>600</v>
      </c>
      <c r="K47" s="10">
        <v>50</v>
      </c>
      <c r="L47" s="17">
        <f>SUM(F47:K47)</f>
        <v>5660</v>
      </c>
      <c r="M47" s="16">
        <f>IF(D47="",C47-L47,D47-L47)</f>
        <v>2440</v>
      </c>
      <c r="N47" s="19">
        <f>N44+M47</f>
        <v>50618.17</v>
      </c>
    </row>
    <row r="48" spans="1:15" x14ac:dyDescent="0.25">
      <c r="B48" s="11" t="s">
        <v>44</v>
      </c>
    </row>
    <row r="50" spans="1:1" x14ac:dyDescent="0.25">
      <c r="A50" s="12" t="s">
        <v>50</v>
      </c>
    </row>
    <row r="51" spans="1:1" x14ac:dyDescent="0.25">
      <c r="A51" s="9" t="s">
        <v>51</v>
      </c>
    </row>
    <row r="52" spans="1:1" x14ac:dyDescent="0.25">
      <c r="A52" s="9" t="s">
        <v>52</v>
      </c>
    </row>
    <row r="53" spans="1:1" x14ac:dyDescent="0.25">
      <c r="A53" s="9" t="s">
        <v>53</v>
      </c>
    </row>
    <row r="55" spans="1:1" x14ac:dyDescent="0.25">
      <c r="A55" s="13" t="s">
        <v>54</v>
      </c>
    </row>
  </sheetData>
  <mergeCells count="1">
    <mergeCell ref="A1:E1"/>
  </mergeCells>
  <conditionalFormatting sqref="N11:N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{EAB17336-264C-4C62-B327-4AB7B4909665}</x14:id>
        </ext>
      </extLst>
    </cfRule>
  </conditionalFormatting>
  <pageMargins left="0.75" right="0.75" top="1" bottom="1" header="0.5" footer="0.5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B17336-264C-4C62-B327-4AB7B49096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N11:N47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Kim</dc:creator>
  <cp:lastModifiedBy>Jordan Kim</cp:lastModifiedBy>
  <dcterms:created xsi:type="dcterms:W3CDTF">2021-06-13T03:11:35Z</dcterms:created>
  <dcterms:modified xsi:type="dcterms:W3CDTF">2024-01-07T19:05:11Z</dcterms:modified>
  <cp:revision>1</cp:revision>
</cp:coreProperties>
</file>