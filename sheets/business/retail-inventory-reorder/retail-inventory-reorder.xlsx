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000_drive_drive\300_WORK\xAI\002_xAI\project\excel-scraping\task_033\"/>
    </mc:Choice>
  </mc:AlternateContent>
  <xr:revisionPtr revIDLastSave="0" documentId="13_ncr:1_{E3090DA8-FB96-412A-BC17-91C9E4D5CF2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ventory" sheetId="1" r:id="rId1"/>
    <sheet name="Suppliers" sheetId="2" r:id="rId2"/>
    <sheet name="Reorder Queu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F13" i="3"/>
  <c r="F12" i="3"/>
  <c r="F14" i="3" s="1"/>
  <c r="F10" i="3"/>
  <c r="F7" i="3"/>
  <c r="F6" i="3"/>
  <c r="F5" i="3"/>
  <c r="K44" i="1"/>
  <c r="G44" i="1"/>
  <c r="K43" i="1"/>
  <c r="G43" i="1"/>
  <c r="K42" i="1"/>
  <c r="G42" i="1"/>
  <c r="K41" i="1"/>
  <c r="G41" i="1"/>
  <c r="K40" i="1"/>
  <c r="G40" i="1"/>
  <c r="K39" i="1"/>
  <c r="G39" i="1"/>
  <c r="K38" i="1"/>
  <c r="G38" i="1"/>
  <c r="K37" i="1"/>
  <c r="G37" i="1"/>
  <c r="K36" i="1"/>
  <c r="G36" i="1"/>
  <c r="K35" i="1"/>
  <c r="G35" i="1"/>
  <c r="K34" i="1"/>
  <c r="G34" i="1"/>
  <c r="K33" i="1"/>
  <c r="G33" i="1"/>
  <c r="K32" i="1"/>
  <c r="G32" i="1"/>
  <c r="K31" i="1"/>
  <c r="G31" i="1"/>
  <c r="K30" i="1"/>
  <c r="G30" i="1"/>
  <c r="K29" i="1"/>
  <c r="G29" i="1"/>
  <c r="K28" i="1"/>
  <c r="G28" i="1"/>
  <c r="K27" i="1"/>
  <c r="G27" i="1"/>
  <c r="K26" i="1"/>
  <c r="G26" i="1"/>
  <c r="K25" i="1"/>
  <c r="G25" i="1"/>
  <c r="K24" i="1"/>
  <c r="G24" i="1"/>
  <c r="K23" i="1"/>
  <c r="G23" i="1"/>
  <c r="K22" i="1"/>
  <c r="G22" i="1"/>
  <c r="K21" i="1"/>
  <c r="G21" i="1"/>
  <c r="K20" i="1"/>
  <c r="G20" i="1"/>
  <c r="K19" i="1"/>
  <c r="G19" i="1"/>
  <c r="K18" i="1"/>
  <c r="G18" i="1"/>
  <c r="K17" i="1"/>
  <c r="G17" i="1"/>
  <c r="K16" i="1"/>
  <c r="G16" i="1"/>
  <c r="K15" i="1"/>
  <c r="G15" i="1"/>
  <c r="K14" i="1"/>
  <c r="G14" i="1"/>
  <c r="K13" i="1"/>
  <c r="G13" i="1"/>
  <c r="K12" i="1"/>
  <c r="G12" i="1"/>
  <c r="K11" i="1"/>
  <c r="G11" i="1"/>
  <c r="K10" i="1"/>
  <c r="G10" i="1"/>
  <c r="B7" i="1"/>
  <c r="F8" i="3" l="1"/>
  <c r="F18" i="3" s="1"/>
</calcChain>
</file>

<file path=xl/sharedStrings.xml><?xml version="1.0" encoding="utf-8"?>
<sst xmlns="http://schemas.openxmlformats.org/spreadsheetml/2006/main" count="319" uniqueCount="229">
  <si>
    <t>The Copper Whisk</t>
  </si>
  <si>
    <t>Inventory &amp; Reorder Sheet</t>
  </si>
  <si>
    <t>Default Markup %:</t>
  </si>
  <si>
    <t>Low Stock Alert (units):</t>
  </si>
  <si>
    <t>Last Count Date:</t>
  </si>
  <si>
    <t>4/8/2026</t>
  </si>
  <si>
    <t>Total Inventory Value (retail):</t>
  </si>
  <si>
    <t>SKU</t>
  </si>
  <si>
    <t>Product Name</t>
  </si>
  <si>
    <t>Category</t>
  </si>
  <si>
    <t>Supplier</t>
  </si>
  <si>
    <t>Unit Cost</t>
  </si>
  <si>
    <t>Retail Price</t>
  </si>
  <si>
    <t>Markup %</t>
  </si>
  <si>
    <t>In Stock</t>
  </si>
  <si>
    <t>Reorder Point</t>
  </si>
  <si>
    <t>Reorder Qty</t>
  </si>
  <si>
    <t>REORDER?</t>
  </si>
  <si>
    <t>Last Ordered</t>
  </si>
  <si>
    <t>Notes</t>
  </si>
  <si>
    <t>CW-001</t>
  </si>
  <si>
    <t>Lodge 10.25" Cast Iron Skillet</t>
  </si>
  <si>
    <t>Cookware</t>
  </si>
  <si>
    <t>Lodge Direct</t>
  </si>
  <si>
    <t>3/15/2026</t>
  </si>
  <si>
    <t>CW-002</t>
  </si>
  <si>
    <t>Copper Saucepan 2qt</t>
  </si>
  <si>
    <t>Williams Import</t>
  </si>
  <si>
    <t>2/20/2026</t>
  </si>
  <si>
    <t>bestseller, always running low</t>
  </si>
  <si>
    <t>CW-003</t>
  </si>
  <si>
    <t>Stainless Mixing Bowl Set (3pc)</t>
  </si>
  <si>
    <t>KitchenPro Dist.</t>
  </si>
  <si>
    <t>1/10/2026</t>
  </si>
  <si>
    <t>CW-004</t>
  </si>
  <si>
    <t>Enameled Dutch Oven 6qt</t>
  </si>
  <si>
    <t>March 2026</t>
  </si>
  <si>
    <t>supplier changed MOQ to 4</t>
  </si>
  <si>
    <t>CW-005</t>
  </si>
  <si>
    <t>Nonstick Crepe Pan 10"</t>
  </si>
  <si>
    <t>12/5/2025</t>
  </si>
  <si>
    <t>KN-001</t>
  </si>
  <si>
    <t>8in Chef's Knife (German Steel)</t>
  </si>
  <si>
    <t>Knives</t>
  </si>
  <si>
    <t>BladeWorks</t>
  </si>
  <si>
    <t>3/1/2026</t>
  </si>
  <si>
    <t>KN-002</t>
  </si>
  <si>
    <t>Paring Knife Set (3pc)</t>
  </si>
  <si>
    <t>2/14/2026</t>
  </si>
  <si>
    <t>KN-003</t>
  </si>
  <si>
    <t>Bread Knife 9in Serrated</t>
  </si>
  <si>
    <t>1/20/2026</t>
  </si>
  <si>
    <t>KN-004</t>
  </si>
  <si>
    <t>Magnetic Knife Strip (walnut)</t>
  </si>
  <si>
    <t>Amazon (temporary!)</t>
  </si>
  <si>
    <t>3/22/2026</t>
  </si>
  <si>
    <t>find a better supplier, Amazon margin is tight</t>
  </si>
  <si>
    <t>BK-001</t>
  </si>
  <si>
    <t>Silicone Baking Mat Set (2)</t>
  </si>
  <si>
    <t>Baking</t>
  </si>
  <si>
    <t>2/1/2026</t>
  </si>
  <si>
    <t>BK-002</t>
  </si>
  <si>
    <t>Rolling Pin (French style)</t>
  </si>
  <si>
    <t>Artisan Supply Co</t>
  </si>
  <si>
    <t>12/12/2025</t>
  </si>
  <si>
    <t>BK-003</t>
  </si>
  <si>
    <t>9in Springform Pan</t>
  </si>
  <si>
    <t>1/15/2026</t>
  </si>
  <si>
    <t>BK-004</t>
  </si>
  <si>
    <t>Pastry Brush Set (silicone)</t>
  </si>
  <si>
    <t>11/20/2025</t>
  </si>
  <si>
    <t>stocking stuffer, big in Nov-Dec</t>
  </si>
  <si>
    <t>BK-005</t>
  </si>
  <si>
    <t>Digital Kitchen Scale</t>
  </si>
  <si>
    <t>3/28/2026</t>
  </si>
  <si>
    <t>12?</t>
  </si>
  <si>
    <t>BK-006</t>
  </si>
  <si>
    <t>Cake Decorating Kit (12 tips)</t>
  </si>
  <si>
    <t>2/8/2026</t>
  </si>
  <si>
    <t>UT-001</t>
  </si>
  <si>
    <t>Bamboo Utensil Set (5pc)</t>
  </si>
  <si>
    <t>Utensils</t>
  </si>
  <si>
    <t>EcoHome Wholesale</t>
  </si>
  <si>
    <t>2/25/2026</t>
  </si>
  <si>
    <t>UT-002</t>
  </si>
  <si>
    <t>Stainless Tongs 12in</t>
  </si>
  <si>
    <t>1/5/2026</t>
  </si>
  <si>
    <t>UT-003</t>
  </si>
  <si>
    <t>Silicone Spatula Set (3pc)</t>
  </si>
  <si>
    <t>UT-004</t>
  </si>
  <si>
    <t>Wooden Spoon Set (olive wood)</t>
  </si>
  <si>
    <t>3/10/2026</t>
  </si>
  <si>
    <t>these sell great as gifts</t>
  </si>
  <si>
    <t>UT-005</t>
  </si>
  <si>
    <t>Microplane Zester</t>
  </si>
  <si>
    <t>1/28/2026</t>
  </si>
  <si>
    <t>UT-006</t>
  </si>
  <si>
    <t>Garlic Press (heavy duty)</t>
  </si>
  <si>
    <t>12/18/2025</t>
  </si>
  <si>
    <t>UT-007</t>
  </si>
  <si>
    <t>Citrus Juicer (manual)</t>
  </si>
  <si>
    <t>2/15/2026</t>
  </si>
  <si>
    <t>ST-001</t>
  </si>
  <si>
    <t>Glass Jar Set (4pc, bamboo lid)</t>
  </si>
  <si>
    <t>Storage</t>
  </si>
  <si>
    <t>3/5/2026</t>
  </si>
  <si>
    <t>ST-002</t>
  </si>
  <si>
    <t>Produce Storage Containers (3pc)</t>
  </si>
  <si>
    <t>2/10/2026</t>
  </si>
  <si>
    <t>ST-003</t>
  </si>
  <si>
    <t>Beeswax Wrap Set (3 sizes)</t>
  </si>
  <si>
    <t>1/22/2026</t>
  </si>
  <si>
    <t>ST-004</t>
  </si>
  <si>
    <t>Magnetic Spice Rack (6 jars)</t>
  </si>
  <si>
    <t>3/18/2026</t>
  </si>
  <si>
    <t>slow mover but high margin</t>
  </si>
  <si>
    <t>GD-001</t>
  </si>
  <si>
    <t>Instant-Read Thermometer</t>
  </si>
  <si>
    <t>Gadgets</t>
  </si>
  <si>
    <t>2/5/2026</t>
  </si>
  <si>
    <t>GD-002</t>
  </si>
  <si>
    <t>Herb Scissors (5 blade)</t>
  </si>
  <si>
    <t>3/12/2026</t>
  </si>
  <si>
    <t>GD-003</t>
  </si>
  <si>
    <t>Avocado Slicer</t>
  </si>
  <si>
    <t>12/1/2025</t>
  </si>
  <si>
    <t>impulse buy spot near register</t>
  </si>
  <si>
    <t>GD-004</t>
  </si>
  <si>
    <t>Oil Mister / Sprayer</t>
  </si>
  <si>
    <t>GD-005</t>
  </si>
  <si>
    <t>Mandoline Slicer (adjustable)</t>
  </si>
  <si>
    <t>GD-006</t>
  </si>
  <si>
    <t>Corn Stripper</t>
  </si>
  <si>
    <t>8/15/2025</t>
  </si>
  <si>
    <t>seasonal - don't reorder until Sept</t>
  </si>
  <si>
    <t>SP-001</t>
  </si>
  <si>
    <t>Truffle Salt (3.5oz jar)</t>
  </si>
  <si>
    <t>Specialty</t>
  </si>
  <si>
    <t>Gourmet Foods Inc</t>
  </si>
  <si>
    <t>3/20/2026</t>
  </si>
  <si>
    <t>SP-002</t>
  </si>
  <si>
    <t>Smoked Paprika (tin)</t>
  </si>
  <si>
    <t>2/28/2026</t>
  </si>
  <si>
    <t>SP-003</t>
  </si>
  <si>
    <t>Vanilla Bean Paste (4oz)</t>
  </si>
  <si>
    <t>3/25/2026</t>
  </si>
  <si>
    <t>discontinuing after this batch</t>
  </si>
  <si>
    <t>--- reorder notes ---</t>
  </si>
  <si>
    <t>KitchenPro order minimum is $150, bundle items</t>
  </si>
  <si>
    <t>Williams Import lead time is 3-4 weeks, order early</t>
  </si>
  <si>
    <t>need to find permanent supplier for items currently on Amazon</t>
  </si>
  <si>
    <t>last counted 4/8, next count due 4/15</t>
  </si>
  <si>
    <t>Supplier Directory</t>
  </si>
  <si>
    <t>Contact</t>
  </si>
  <si>
    <t>Phone</t>
  </si>
  <si>
    <t>Email</t>
  </si>
  <si>
    <t>Order Minimum</t>
  </si>
  <si>
    <t>Payment Terms</t>
  </si>
  <si>
    <t>Lead Time</t>
  </si>
  <si>
    <t>Account #</t>
  </si>
  <si>
    <t>Maria (sales rep)</t>
  </si>
  <si>
    <t>555-234-8901</t>
  </si>
  <si>
    <t>maria@kitchenprodist.com</t>
  </si>
  <si>
    <t>Net 30</t>
  </si>
  <si>
    <t>5-7 days</t>
  </si>
  <si>
    <t>KPD-4421</t>
  </si>
  <si>
    <t>main supplier, good relationship</t>
  </si>
  <si>
    <t>Online ordering</t>
  </si>
  <si>
    <t>orders@bladeworks.com</t>
  </si>
  <si>
    <t>Prepaid</t>
  </si>
  <si>
    <t>7-10 days</t>
  </si>
  <si>
    <t>BW-1183</t>
  </si>
  <si>
    <t>quality is excellent</t>
  </si>
  <si>
    <t>Chen Wei</t>
  </si>
  <si>
    <t>555-876-2340</t>
  </si>
  <si>
    <t>chen@williamsimport.net</t>
  </si>
  <si>
    <t>3-4 weeks</t>
  </si>
  <si>
    <t>WI-772</t>
  </si>
  <si>
    <t>long lead time, plan ahead</t>
  </si>
  <si>
    <t>Jake or Priya</t>
  </si>
  <si>
    <t>555-445-6712</t>
  </si>
  <si>
    <t>sales@ecohomewholesale.com</t>
  </si>
  <si>
    <t>Net 15</t>
  </si>
  <si>
    <t>3-5 days</t>
  </si>
  <si>
    <t>EH-3309</t>
  </si>
  <si>
    <t>fast shipping, good for rush orders</t>
  </si>
  <si>
    <t>Megan</t>
  </si>
  <si>
    <t>555-331-9987</t>
  </si>
  <si>
    <t>megan@artisansupply.co</t>
  </si>
  <si>
    <t>10-14 days</t>
  </si>
  <si>
    <t>AS-5567</t>
  </si>
  <si>
    <t>handmade items, beautiful but slow</t>
  </si>
  <si>
    <t>main office</t>
  </si>
  <si>
    <t>555-990-1122</t>
  </si>
  <si>
    <t>wholesale@gourmetfoods.com</t>
  </si>
  <si>
    <t>2-3 days</t>
  </si>
  <si>
    <t>GF-8891</t>
  </si>
  <si>
    <t>perishable items, order in smaller batches</t>
  </si>
  <si>
    <t>Amazon (temporary)</t>
  </si>
  <si>
    <t>n/a</t>
  </si>
  <si>
    <t>2 days</t>
  </si>
  <si>
    <t>stopgap only, margins are terrible</t>
  </si>
  <si>
    <t>keep Amazon items to a minimum, markup barely covers overhead</t>
  </si>
  <si>
    <t>need to ask Maria at KitchenPro about volume discounts at $500+</t>
  </si>
  <si>
    <t>Current Reorder Queue</t>
  </si>
  <si>
    <t>Group orders by supplier to meet minimums</t>
  </si>
  <si>
    <t>Product</t>
  </si>
  <si>
    <t>Qty Needed</t>
  </si>
  <si>
    <t>Line Total</t>
  </si>
  <si>
    <t>Ordered?</t>
  </si>
  <si>
    <t>MOQ is 4 now</t>
  </si>
  <si>
    <t>Magnetic Spice Rack</t>
  </si>
  <si>
    <t>Williams subtotal:</t>
  </si>
  <si>
    <t>min is $300, we're at $__</t>
  </si>
  <si>
    <t>Magnetic Knife Strip</t>
  </si>
  <si>
    <t>actually this is Amazon item, wrong supplier here</t>
  </si>
  <si>
    <t>confirm stock count first</t>
  </si>
  <si>
    <t>Mandoline Slicer</t>
  </si>
  <si>
    <t>KitchenPro subtotal:</t>
  </si>
  <si>
    <t>min is $150</t>
  </si>
  <si>
    <t>Gourmet Foods</t>
  </si>
  <si>
    <t>Vanilla Bean Paste</t>
  </si>
  <si>
    <t>YES</t>
  </si>
  <si>
    <t>last order, discontinuing</t>
  </si>
  <si>
    <t>TOTAL ORDER VALUE:</t>
  </si>
  <si>
    <t>--- ordering notes ---</t>
  </si>
  <si>
    <t>place Williams order by 4/12 to get delivery before end of month</t>
  </si>
  <si>
    <t>KitchenPro order can wait until next week</t>
  </si>
  <si>
    <t>Jenny made a mistake on row 10 - knife strip is Amazon not BladeWorks, fix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</si>
</sst>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sz val="11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0000"/>
      <name val="Arial"/>
    </font>
    <font>
      <i/>
      <sz val="10"/>
      <color rgb="FF808080"/>
      <name val="Arial"/>
    </font>
    <font>
      <b/>
      <sz val="12"/>
      <color rgb="FF000000"/>
      <name val="Arial"/>
    </font>
    <font>
      <i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4C3AA"/>
        <bgColor rgb="FFB4C3AA"/>
      </patternFill>
    </fill>
  </fills>
  <borders count="4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/>
      <right/>
      <top/>
      <bottom style="thin">
        <color rgb="FF333333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1" xfId="0" applyFont="1" applyBorder="1"/>
    <xf numFmtId="9" fontId="4" fillId="2" borderId="1" xfId="0" applyNumberFormat="1" applyFont="1" applyFill="1" applyBorder="1"/>
    <xf numFmtId="0" fontId="4" fillId="2" borderId="1" xfId="0" applyFont="1" applyFill="1" applyBorder="1"/>
    <xf numFmtId="49" fontId="4" fillId="2" borderId="1" xfId="0" applyNumberFormat="1" applyFont="1" applyFill="1" applyBorder="1"/>
    <xf numFmtId="164" fontId="3" fillId="0" borderId="1" xfId="0" applyNumberFormat="1" applyFont="1" applyBorder="1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4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/>
    <xf numFmtId="9" fontId="4" fillId="0" borderId="0" xfId="0" applyNumberFormat="1" applyFont="1"/>
    <xf numFmtId="1" fontId="4" fillId="0" borderId="0" xfId="0" applyNumberFormat="1" applyFont="1" applyAlignment="1">
      <alignment horizontal="center"/>
    </xf>
    <xf numFmtId="1" fontId="4" fillId="2" borderId="0" xfId="0" applyNumberFormat="1" applyFont="1" applyFill="1" applyAlignment="1">
      <alignment horizontal="center"/>
    </xf>
    <xf numFmtId="49" fontId="4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4" fillId="0" borderId="3" xfId="0" applyFont="1" applyBorder="1"/>
    <xf numFmtId="164" fontId="4" fillId="2" borderId="3" xfId="0" applyNumberFormat="1" applyFont="1" applyFill="1" applyBorder="1"/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workbookViewId="0">
      <selection sqref="A1:C1"/>
    </sheetView>
  </sheetViews>
  <sheetFormatPr defaultRowHeight="15" x14ac:dyDescent="0.25"/>
  <cols>
    <col min="1" max="1" width="10" customWidth="1"/>
    <col min="2" max="2" width="32" customWidth="1"/>
    <col min="3" max="3" width="16" customWidth="1"/>
    <col min="4" max="4" width="18" customWidth="1"/>
    <col min="5" max="5" width="11" customWidth="1"/>
    <col min="6" max="6" width="12" customWidth="1"/>
    <col min="7" max="7" width="10" customWidth="1"/>
    <col min="8" max="8" width="9" customWidth="1"/>
    <col min="9" max="9" width="12" customWidth="1"/>
    <col min="10" max="10" width="11" customWidth="1"/>
    <col min="11" max="11" width="10" customWidth="1"/>
    <col min="12" max="12" width="13" customWidth="1"/>
    <col min="13" max="13" width="40" customWidth="1"/>
  </cols>
  <sheetData>
    <row r="1" spans="1:13" ht="18" x14ac:dyDescent="0.25">
      <c r="A1" s="26" t="s">
        <v>0</v>
      </c>
      <c r="B1" s="27"/>
      <c r="C1" s="27"/>
    </row>
    <row r="2" spans="1:13" x14ac:dyDescent="0.25">
      <c r="A2" s="1" t="s">
        <v>1</v>
      </c>
    </row>
    <row r="4" spans="1:13" x14ac:dyDescent="0.25">
      <c r="A4" s="2" t="s">
        <v>2</v>
      </c>
      <c r="B4" s="3">
        <v>0.55000000000000004</v>
      </c>
    </row>
    <row r="5" spans="1:13" x14ac:dyDescent="0.25">
      <c r="A5" s="2" t="s">
        <v>3</v>
      </c>
      <c r="B5" s="4">
        <v>5</v>
      </c>
    </row>
    <row r="6" spans="1:13" x14ac:dyDescent="0.25">
      <c r="A6" s="2" t="s">
        <v>4</v>
      </c>
      <c r="B6" s="5" t="s">
        <v>5</v>
      </c>
    </row>
    <row r="7" spans="1:13" x14ac:dyDescent="0.25">
      <c r="A7" s="2" t="s">
        <v>6</v>
      </c>
      <c r="B7" s="6">
        <f>SUMPRODUCT(H10:H44,F10:F44)</f>
        <v>6909.57</v>
      </c>
    </row>
    <row r="9" spans="1:13" x14ac:dyDescent="0.25">
      <c r="A9" s="7" t="s">
        <v>7</v>
      </c>
      <c r="B9" s="8" t="s">
        <v>8</v>
      </c>
      <c r="C9" s="8" t="s">
        <v>9</v>
      </c>
      <c r="D9" s="8" t="s">
        <v>10</v>
      </c>
      <c r="E9" s="8" t="s">
        <v>11</v>
      </c>
      <c r="F9" s="8" t="s">
        <v>12</v>
      </c>
      <c r="G9" s="8" t="s">
        <v>13</v>
      </c>
      <c r="H9" s="7" t="s">
        <v>14</v>
      </c>
      <c r="I9" s="7" t="s">
        <v>15</v>
      </c>
      <c r="J9" s="7" t="s">
        <v>16</v>
      </c>
      <c r="K9" s="7" t="s">
        <v>17</v>
      </c>
      <c r="L9" s="8" t="s">
        <v>18</v>
      </c>
      <c r="M9" s="8" t="s">
        <v>19</v>
      </c>
    </row>
    <row r="10" spans="1:13" x14ac:dyDescent="0.25">
      <c r="A10" s="9" t="s">
        <v>20</v>
      </c>
      <c r="B10" s="10" t="s">
        <v>21</v>
      </c>
      <c r="C10" s="10" t="s">
        <v>22</v>
      </c>
      <c r="D10" s="10" t="s">
        <v>23</v>
      </c>
      <c r="E10" s="11">
        <v>18.5</v>
      </c>
      <c r="F10" s="11">
        <v>34.99</v>
      </c>
      <c r="G10" s="12">
        <f t="shared" ref="G10:G44" si="0">(F10-E10)/E10</f>
        <v>0.89135135135135146</v>
      </c>
      <c r="H10" s="13">
        <v>8</v>
      </c>
      <c r="I10" s="14">
        <v>5</v>
      </c>
      <c r="J10" s="13">
        <v>12</v>
      </c>
      <c r="K10" s="9" t="str">
        <f t="shared" ref="K10:K44" si="1">IF(H10&lt;=I10,"YES","")</f>
        <v/>
      </c>
      <c r="L10" s="15" t="s">
        <v>24</v>
      </c>
      <c r="M10" s="10"/>
    </row>
    <row r="11" spans="1:13" x14ac:dyDescent="0.25">
      <c r="A11" s="9" t="s">
        <v>25</v>
      </c>
      <c r="B11" s="10" t="s">
        <v>26</v>
      </c>
      <c r="C11" s="10" t="s">
        <v>22</v>
      </c>
      <c r="D11" s="10" t="s">
        <v>27</v>
      </c>
      <c r="E11" s="11">
        <v>42</v>
      </c>
      <c r="F11" s="11">
        <v>79.989999999999995</v>
      </c>
      <c r="G11" s="12">
        <f t="shared" si="0"/>
        <v>0.9045238095238094</v>
      </c>
      <c r="H11" s="13">
        <v>3</v>
      </c>
      <c r="I11" s="14">
        <v>4</v>
      </c>
      <c r="J11" s="13">
        <v>6</v>
      </c>
      <c r="K11" s="16" t="str">
        <f t="shared" si="1"/>
        <v>YES</v>
      </c>
      <c r="L11" s="15" t="s">
        <v>28</v>
      </c>
      <c r="M11" s="10" t="s">
        <v>29</v>
      </c>
    </row>
    <row r="12" spans="1:13" x14ac:dyDescent="0.25">
      <c r="A12" s="9" t="s">
        <v>30</v>
      </c>
      <c r="B12" s="10" t="s">
        <v>31</v>
      </c>
      <c r="C12" s="10" t="s">
        <v>22</v>
      </c>
      <c r="D12" s="10" t="s">
        <v>32</v>
      </c>
      <c r="E12" s="11">
        <v>12.75</v>
      </c>
      <c r="F12" s="11">
        <v>24.99</v>
      </c>
      <c r="G12" s="12">
        <f t="shared" si="0"/>
        <v>0.95999999999999985</v>
      </c>
      <c r="H12" s="13">
        <v>14</v>
      </c>
      <c r="I12" s="14">
        <v>6</v>
      </c>
      <c r="J12" s="13">
        <v>12</v>
      </c>
      <c r="K12" s="9" t="str">
        <f t="shared" si="1"/>
        <v/>
      </c>
      <c r="L12" s="15" t="s">
        <v>33</v>
      </c>
      <c r="M12" s="10"/>
    </row>
    <row r="13" spans="1:13" x14ac:dyDescent="0.25">
      <c r="A13" s="9" t="s">
        <v>34</v>
      </c>
      <c r="B13" s="10" t="s">
        <v>35</v>
      </c>
      <c r="C13" s="10" t="s">
        <v>22</v>
      </c>
      <c r="D13" s="10" t="s">
        <v>27</v>
      </c>
      <c r="E13" s="11">
        <v>38</v>
      </c>
      <c r="F13" s="11">
        <v>69.989999999999995</v>
      </c>
      <c r="G13" s="12">
        <f t="shared" si="0"/>
        <v>0.84184210526315773</v>
      </c>
      <c r="H13" s="13">
        <v>2</v>
      </c>
      <c r="I13" s="14">
        <v>3</v>
      </c>
      <c r="J13" s="13">
        <v>4</v>
      </c>
      <c r="K13" s="16" t="str">
        <f t="shared" si="1"/>
        <v>YES</v>
      </c>
      <c r="L13" s="10" t="s">
        <v>36</v>
      </c>
      <c r="M13" s="10" t="s">
        <v>37</v>
      </c>
    </row>
    <row r="14" spans="1:13" x14ac:dyDescent="0.25">
      <c r="A14" s="9" t="s">
        <v>38</v>
      </c>
      <c r="B14" s="10" t="s">
        <v>39</v>
      </c>
      <c r="C14" s="10" t="s">
        <v>22</v>
      </c>
      <c r="D14" s="10" t="s">
        <v>32</v>
      </c>
      <c r="E14" s="11">
        <v>14.25</v>
      </c>
      <c r="F14" s="11">
        <v>27.99</v>
      </c>
      <c r="G14" s="12">
        <f t="shared" si="0"/>
        <v>0.96421052631578941</v>
      </c>
      <c r="H14" s="13">
        <v>7</v>
      </c>
      <c r="I14" s="14">
        <v>4</v>
      </c>
      <c r="J14" s="13">
        <v>8</v>
      </c>
      <c r="K14" s="9" t="str">
        <f t="shared" si="1"/>
        <v/>
      </c>
      <c r="L14" s="15" t="s">
        <v>40</v>
      </c>
      <c r="M14" s="10"/>
    </row>
    <row r="15" spans="1:13" x14ac:dyDescent="0.25">
      <c r="A15" s="9" t="s">
        <v>41</v>
      </c>
      <c r="B15" s="10" t="s">
        <v>42</v>
      </c>
      <c r="C15" s="10" t="s">
        <v>43</v>
      </c>
      <c r="D15" s="10" t="s">
        <v>44</v>
      </c>
      <c r="E15" s="11">
        <v>32</v>
      </c>
      <c r="F15" s="11">
        <v>59.99</v>
      </c>
      <c r="G15" s="12">
        <f t="shared" si="0"/>
        <v>0.87468750000000006</v>
      </c>
      <c r="H15" s="13">
        <v>5</v>
      </c>
      <c r="I15" s="14">
        <v>4</v>
      </c>
      <c r="J15" s="13">
        <v>6</v>
      </c>
      <c r="K15" s="9" t="str">
        <f t="shared" si="1"/>
        <v/>
      </c>
      <c r="L15" s="15" t="s">
        <v>45</v>
      </c>
      <c r="M15" s="10"/>
    </row>
    <row r="16" spans="1:13" x14ac:dyDescent="0.25">
      <c r="A16" s="9" t="s">
        <v>46</v>
      </c>
      <c r="B16" s="10" t="s">
        <v>47</v>
      </c>
      <c r="C16" s="10" t="s">
        <v>43</v>
      </c>
      <c r="D16" s="10" t="s">
        <v>44</v>
      </c>
      <c r="E16" s="11">
        <v>18</v>
      </c>
      <c r="F16" s="11">
        <v>34.99</v>
      </c>
      <c r="G16" s="12">
        <f t="shared" si="0"/>
        <v>0.943888888888889</v>
      </c>
      <c r="H16" s="13">
        <v>9</v>
      </c>
      <c r="I16" s="14">
        <v>5</v>
      </c>
      <c r="J16" s="13">
        <v>10</v>
      </c>
      <c r="K16" s="9" t="str">
        <f t="shared" si="1"/>
        <v/>
      </c>
      <c r="L16" s="15" t="s">
        <v>48</v>
      </c>
      <c r="M16" s="10"/>
    </row>
    <row r="17" spans="1:13" x14ac:dyDescent="0.25">
      <c r="A17" s="9" t="s">
        <v>49</v>
      </c>
      <c r="B17" s="10" t="s">
        <v>50</v>
      </c>
      <c r="C17" s="10" t="s">
        <v>43</v>
      </c>
      <c r="D17" s="10" t="s">
        <v>44</v>
      </c>
      <c r="E17" s="11">
        <v>24</v>
      </c>
      <c r="F17" s="11">
        <v>44.99</v>
      </c>
      <c r="G17" s="12">
        <f t="shared" si="0"/>
        <v>0.87458333333333338</v>
      </c>
      <c r="H17" s="13">
        <v>6</v>
      </c>
      <c r="I17" s="14">
        <v>3</v>
      </c>
      <c r="J17" s="13">
        <v>6</v>
      </c>
      <c r="K17" s="9" t="str">
        <f t="shared" si="1"/>
        <v/>
      </c>
      <c r="L17" s="15" t="s">
        <v>51</v>
      </c>
      <c r="M17" s="10"/>
    </row>
    <row r="18" spans="1:13" x14ac:dyDescent="0.25">
      <c r="A18" s="9" t="s">
        <v>52</v>
      </c>
      <c r="B18" s="10" t="s">
        <v>53</v>
      </c>
      <c r="C18" s="10" t="s">
        <v>43</v>
      </c>
      <c r="D18" s="10" t="s">
        <v>54</v>
      </c>
      <c r="E18" s="11">
        <v>15</v>
      </c>
      <c r="F18" s="11">
        <v>29.99</v>
      </c>
      <c r="G18" s="12">
        <f t="shared" si="0"/>
        <v>0.99933333333333318</v>
      </c>
      <c r="H18" s="13">
        <v>4</v>
      </c>
      <c r="I18" s="14">
        <v>5</v>
      </c>
      <c r="J18" s="13">
        <v>8</v>
      </c>
      <c r="K18" s="16" t="str">
        <f t="shared" si="1"/>
        <v>YES</v>
      </c>
      <c r="L18" s="15" t="s">
        <v>55</v>
      </c>
      <c r="M18" s="10" t="s">
        <v>56</v>
      </c>
    </row>
    <row r="19" spans="1:13" x14ac:dyDescent="0.25">
      <c r="A19" s="9" t="s">
        <v>57</v>
      </c>
      <c r="B19" s="10" t="s">
        <v>58</v>
      </c>
      <c r="C19" s="10" t="s">
        <v>59</v>
      </c>
      <c r="D19" s="10" t="s">
        <v>32</v>
      </c>
      <c r="E19" s="11">
        <v>6.5</v>
      </c>
      <c r="F19" s="11">
        <v>16.989999999999998</v>
      </c>
      <c r="G19" s="12">
        <f t="shared" si="0"/>
        <v>1.6138461538461537</v>
      </c>
      <c r="H19" s="13">
        <v>18</v>
      </c>
      <c r="I19" s="14">
        <v>8</v>
      </c>
      <c r="J19" s="13">
        <v>24</v>
      </c>
      <c r="K19" s="9" t="str">
        <f t="shared" si="1"/>
        <v/>
      </c>
      <c r="L19" s="15" t="s">
        <v>60</v>
      </c>
      <c r="M19" s="10"/>
    </row>
    <row r="20" spans="1:13" x14ac:dyDescent="0.25">
      <c r="A20" s="9" t="s">
        <v>61</v>
      </c>
      <c r="B20" s="10" t="s">
        <v>62</v>
      </c>
      <c r="C20" s="10" t="s">
        <v>59</v>
      </c>
      <c r="D20" s="10" t="s">
        <v>63</v>
      </c>
      <c r="E20" s="11">
        <v>11</v>
      </c>
      <c r="F20" s="11">
        <v>24.99</v>
      </c>
      <c r="G20" s="12">
        <f t="shared" si="0"/>
        <v>1.2718181818181817</v>
      </c>
      <c r="H20" s="13">
        <v>7</v>
      </c>
      <c r="I20" s="14">
        <v>4</v>
      </c>
      <c r="J20" s="13">
        <v>8</v>
      </c>
      <c r="K20" s="9" t="str">
        <f t="shared" si="1"/>
        <v/>
      </c>
      <c r="L20" s="15" t="s">
        <v>64</v>
      </c>
      <c r="M20" s="10"/>
    </row>
    <row r="21" spans="1:13" x14ac:dyDescent="0.25">
      <c r="A21" s="9" t="s">
        <v>65</v>
      </c>
      <c r="B21" s="10" t="s">
        <v>66</v>
      </c>
      <c r="C21" s="10" t="s">
        <v>59</v>
      </c>
      <c r="D21" s="10" t="s">
        <v>32</v>
      </c>
      <c r="E21" s="11">
        <v>8.25</v>
      </c>
      <c r="F21" s="11">
        <v>18.989999999999998</v>
      </c>
      <c r="G21" s="12">
        <f t="shared" si="0"/>
        <v>1.3018181818181815</v>
      </c>
      <c r="H21" s="13">
        <v>11</v>
      </c>
      <c r="I21" s="14">
        <v>5</v>
      </c>
      <c r="J21" s="13">
        <v>12</v>
      </c>
      <c r="K21" s="9" t="str">
        <f t="shared" si="1"/>
        <v/>
      </c>
      <c r="L21" s="15" t="s">
        <v>67</v>
      </c>
      <c r="M21" s="10"/>
    </row>
    <row r="22" spans="1:13" x14ac:dyDescent="0.25">
      <c r="A22" s="9" t="s">
        <v>68</v>
      </c>
      <c r="B22" s="10" t="s">
        <v>69</v>
      </c>
      <c r="C22" s="10" t="s">
        <v>59</v>
      </c>
      <c r="D22" s="10" t="s">
        <v>32</v>
      </c>
      <c r="E22" s="11">
        <v>3.75</v>
      </c>
      <c r="F22" s="11">
        <v>9.99</v>
      </c>
      <c r="G22" s="12">
        <f t="shared" si="0"/>
        <v>1.6640000000000001</v>
      </c>
      <c r="H22" s="13">
        <v>22</v>
      </c>
      <c r="I22" s="14">
        <v>10</v>
      </c>
      <c r="J22" s="13">
        <v>24</v>
      </c>
      <c r="K22" s="9" t="str">
        <f t="shared" si="1"/>
        <v/>
      </c>
      <c r="L22" s="15" t="s">
        <v>70</v>
      </c>
      <c r="M22" s="10" t="s">
        <v>71</v>
      </c>
    </row>
    <row r="23" spans="1:13" x14ac:dyDescent="0.25">
      <c r="A23" s="9" t="s">
        <v>72</v>
      </c>
      <c r="B23" s="10" t="s">
        <v>73</v>
      </c>
      <c r="C23" s="10" t="s">
        <v>59</v>
      </c>
      <c r="D23" s="10" t="s">
        <v>54</v>
      </c>
      <c r="E23" s="11">
        <v>12</v>
      </c>
      <c r="F23" s="11">
        <v>24.99</v>
      </c>
      <c r="G23" s="12">
        <f t="shared" si="0"/>
        <v>1.0824999999999998</v>
      </c>
      <c r="H23" s="13">
        <v>3</v>
      </c>
      <c r="I23" s="14">
        <v>5</v>
      </c>
      <c r="J23" s="13">
        <v>10</v>
      </c>
      <c r="K23" s="16" t="str">
        <f t="shared" si="1"/>
        <v>YES</v>
      </c>
      <c r="L23" s="15" t="s">
        <v>74</v>
      </c>
      <c r="M23" s="10" t="s">
        <v>75</v>
      </c>
    </row>
    <row r="24" spans="1:13" x14ac:dyDescent="0.25">
      <c r="A24" s="9" t="s">
        <v>76</v>
      </c>
      <c r="B24" s="10" t="s">
        <v>77</v>
      </c>
      <c r="C24" s="10" t="s">
        <v>59</v>
      </c>
      <c r="D24" s="10" t="s">
        <v>63</v>
      </c>
      <c r="E24" s="11">
        <v>9.5</v>
      </c>
      <c r="F24" s="11">
        <v>22.99</v>
      </c>
      <c r="G24" s="12">
        <f t="shared" si="0"/>
        <v>1.42</v>
      </c>
      <c r="H24" s="13">
        <v>8</v>
      </c>
      <c r="I24" s="14">
        <v>4</v>
      </c>
      <c r="J24" s="13">
        <v>8</v>
      </c>
      <c r="K24" s="9" t="str">
        <f t="shared" si="1"/>
        <v/>
      </c>
      <c r="L24" s="15" t="s">
        <v>78</v>
      </c>
      <c r="M24" s="10"/>
    </row>
    <row r="25" spans="1:13" x14ac:dyDescent="0.25">
      <c r="A25" s="9" t="s">
        <v>79</v>
      </c>
      <c r="B25" s="10" t="s">
        <v>80</v>
      </c>
      <c r="C25" s="10" t="s">
        <v>81</v>
      </c>
      <c r="D25" s="10" t="s">
        <v>82</v>
      </c>
      <c r="E25" s="11">
        <v>7.25</v>
      </c>
      <c r="F25" s="11">
        <v>18.989999999999998</v>
      </c>
      <c r="G25" s="12">
        <f t="shared" si="0"/>
        <v>1.6193103448275861</v>
      </c>
      <c r="H25" s="13">
        <v>15</v>
      </c>
      <c r="I25" s="14">
        <v>8</v>
      </c>
      <c r="J25" s="13">
        <v>20</v>
      </c>
      <c r="K25" s="9" t="str">
        <f t="shared" si="1"/>
        <v/>
      </c>
      <c r="L25" s="15" t="s">
        <v>83</v>
      </c>
      <c r="M25" s="10"/>
    </row>
    <row r="26" spans="1:13" x14ac:dyDescent="0.25">
      <c r="A26" s="9" t="s">
        <v>84</v>
      </c>
      <c r="B26" s="10" t="s">
        <v>85</v>
      </c>
      <c r="C26" s="10" t="s">
        <v>81</v>
      </c>
      <c r="D26" s="10" t="s">
        <v>32</v>
      </c>
      <c r="E26" s="11">
        <v>5.5</v>
      </c>
      <c r="F26" s="11">
        <v>12.99</v>
      </c>
      <c r="G26" s="12">
        <f t="shared" si="0"/>
        <v>1.3618181818181818</v>
      </c>
      <c r="H26" s="13">
        <v>20</v>
      </c>
      <c r="I26" s="14">
        <v>8</v>
      </c>
      <c r="J26" s="13">
        <v>24</v>
      </c>
      <c r="K26" s="9" t="str">
        <f t="shared" si="1"/>
        <v/>
      </c>
      <c r="L26" s="15" t="s">
        <v>86</v>
      </c>
      <c r="M26" s="10"/>
    </row>
    <row r="27" spans="1:13" x14ac:dyDescent="0.25">
      <c r="A27" s="9" t="s">
        <v>87</v>
      </c>
      <c r="B27" s="10" t="s">
        <v>88</v>
      </c>
      <c r="C27" s="10" t="s">
        <v>81</v>
      </c>
      <c r="D27" s="10" t="s">
        <v>32</v>
      </c>
      <c r="E27" s="11">
        <v>4</v>
      </c>
      <c r="F27" s="11">
        <v>11.99</v>
      </c>
      <c r="G27" s="12">
        <f t="shared" si="0"/>
        <v>1.9975000000000001</v>
      </c>
      <c r="H27" s="13">
        <v>16</v>
      </c>
      <c r="I27" s="14">
        <v>8</v>
      </c>
      <c r="J27" s="13">
        <v>20</v>
      </c>
      <c r="K27" s="9" t="str">
        <f t="shared" si="1"/>
        <v/>
      </c>
      <c r="L27" s="15" t="s">
        <v>60</v>
      </c>
      <c r="M27" s="10"/>
    </row>
    <row r="28" spans="1:13" x14ac:dyDescent="0.25">
      <c r="A28" s="9" t="s">
        <v>89</v>
      </c>
      <c r="B28" s="10" t="s">
        <v>90</v>
      </c>
      <c r="C28" s="10" t="s">
        <v>81</v>
      </c>
      <c r="D28" s="10" t="s">
        <v>63</v>
      </c>
      <c r="E28" s="11">
        <v>14</v>
      </c>
      <c r="F28" s="11">
        <v>32.99</v>
      </c>
      <c r="G28" s="12">
        <f t="shared" si="0"/>
        <v>1.3564285714285715</v>
      </c>
      <c r="H28" s="13">
        <v>4</v>
      </c>
      <c r="I28" s="14">
        <v>4</v>
      </c>
      <c r="J28" s="13">
        <v>6</v>
      </c>
      <c r="K28" s="16" t="str">
        <f t="shared" si="1"/>
        <v>YES</v>
      </c>
      <c r="L28" s="15" t="s">
        <v>91</v>
      </c>
      <c r="M28" s="10" t="s">
        <v>92</v>
      </c>
    </row>
    <row r="29" spans="1:13" x14ac:dyDescent="0.25">
      <c r="A29" s="9" t="s">
        <v>93</v>
      </c>
      <c r="B29" s="10" t="s">
        <v>94</v>
      </c>
      <c r="C29" s="10" t="s">
        <v>81</v>
      </c>
      <c r="D29" s="10" t="s">
        <v>32</v>
      </c>
      <c r="E29" s="11">
        <v>8.75</v>
      </c>
      <c r="F29" s="11">
        <v>17.989999999999998</v>
      </c>
      <c r="G29" s="12">
        <f t="shared" si="0"/>
        <v>1.0559999999999998</v>
      </c>
      <c r="H29" s="13">
        <v>9</v>
      </c>
      <c r="I29" s="14">
        <v>5</v>
      </c>
      <c r="J29" s="13">
        <v>10</v>
      </c>
      <c r="K29" s="9" t="str">
        <f t="shared" si="1"/>
        <v/>
      </c>
      <c r="L29" s="15" t="s">
        <v>95</v>
      </c>
      <c r="M29" s="10"/>
    </row>
    <row r="30" spans="1:13" x14ac:dyDescent="0.25">
      <c r="A30" s="9" t="s">
        <v>96</v>
      </c>
      <c r="B30" s="10" t="s">
        <v>97</v>
      </c>
      <c r="C30" s="10" t="s">
        <v>81</v>
      </c>
      <c r="D30" s="10" t="s">
        <v>32</v>
      </c>
      <c r="E30" s="11">
        <v>6</v>
      </c>
      <c r="F30" s="11">
        <v>14.99</v>
      </c>
      <c r="G30" s="12">
        <f t="shared" si="0"/>
        <v>1.4983333333333333</v>
      </c>
      <c r="H30" s="13">
        <v>12</v>
      </c>
      <c r="I30" s="14">
        <v>6</v>
      </c>
      <c r="J30" s="13">
        <v>12</v>
      </c>
      <c r="K30" s="9" t="str">
        <f t="shared" si="1"/>
        <v/>
      </c>
      <c r="L30" s="15" t="s">
        <v>98</v>
      </c>
      <c r="M30" s="10"/>
    </row>
    <row r="31" spans="1:13" x14ac:dyDescent="0.25">
      <c r="A31" s="9" t="s">
        <v>99</v>
      </c>
      <c r="B31" s="10" t="s">
        <v>100</v>
      </c>
      <c r="C31" s="10" t="s">
        <v>81</v>
      </c>
      <c r="D31" s="10" t="s">
        <v>82</v>
      </c>
      <c r="E31" s="11">
        <v>5.25</v>
      </c>
      <c r="F31" s="11">
        <v>13.99</v>
      </c>
      <c r="G31" s="12">
        <f t="shared" si="0"/>
        <v>1.6647619047619049</v>
      </c>
      <c r="H31" s="13">
        <v>7</v>
      </c>
      <c r="I31" s="14">
        <v>5</v>
      </c>
      <c r="J31" s="13">
        <v>10</v>
      </c>
      <c r="K31" s="9" t="str">
        <f t="shared" si="1"/>
        <v/>
      </c>
      <c r="L31" s="15" t="s">
        <v>101</v>
      </c>
      <c r="M31" s="10"/>
    </row>
    <row r="32" spans="1:13" x14ac:dyDescent="0.25">
      <c r="A32" s="9" t="s">
        <v>102</v>
      </c>
      <c r="B32" s="10" t="s">
        <v>103</v>
      </c>
      <c r="C32" s="10" t="s">
        <v>104</v>
      </c>
      <c r="D32" s="10" t="s">
        <v>82</v>
      </c>
      <c r="E32" s="11">
        <v>11</v>
      </c>
      <c r="F32" s="11">
        <v>28.99</v>
      </c>
      <c r="G32" s="12">
        <f t="shared" si="0"/>
        <v>1.6354545454545453</v>
      </c>
      <c r="H32" s="13">
        <v>6</v>
      </c>
      <c r="I32" s="14">
        <v>5</v>
      </c>
      <c r="J32" s="13">
        <v>8</v>
      </c>
      <c r="K32" s="9" t="str">
        <f t="shared" si="1"/>
        <v/>
      </c>
      <c r="L32" s="15" t="s">
        <v>105</v>
      </c>
      <c r="M32" s="10"/>
    </row>
    <row r="33" spans="1:13" x14ac:dyDescent="0.25">
      <c r="A33" s="9" t="s">
        <v>106</v>
      </c>
      <c r="B33" s="10" t="s">
        <v>107</v>
      </c>
      <c r="C33" s="10" t="s">
        <v>104</v>
      </c>
      <c r="D33" s="10" t="s">
        <v>82</v>
      </c>
      <c r="E33" s="11">
        <v>9.5</v>
      </c>
      <c r="F33" s="11">
        <v>22.99</v>
      </c>
      <c r="G33" s="12">
        <f t="shared" si="0"/>
        <v>1.42</v>
      </c>
      <c r="H33" s="13">
        <v>10</v>
      </c>
      <c r="I33" s="14">
        <v>5</v>
      </c>
      <c r="J33" s="13">
        <v>10</v>
      </c>
      <c r="K33" s="9" t="str">
        <f t="shared" si="1"/>
        <v/>
      </c>
      <c r="L33" s="15" t="s">
        <v>108</v>
      </c>
      <c r="M33" s="10"/>
    </row>
    <row r="34" spans="1:13" x14ac:dyDescent="0.25">
      <c r="A34" s="9" t="s">
        <v>109</v>
      </c>
      <c r="B34" s="10" t="s">
        <v>110</v>
      </c>
      <c r="C34" s="10" t="s">
        <v>104</v>
      </c>
      <c r="D34" s="10" t="s">
        <v>82</v>
      </c>
      <c r="E34" s="11">
        <v>8</v>
      </c>
      <c r="F34" s="11">
        <v>19.989999999999998</v>
      </c>
      <c r="G34" s="12">
        <f t="shared" si="0"/>
        <v>1.4987499999999998</v>
      </c>
      <c r="H34" s="13">
        <v>13</v>
      </c>
      <c r="I34" s="14">
        <v>6</v>
      </c>
      <c r="J34" s="13">
        <v>12</v>
      </c>
      <c r="K34" s="9" t="str">
        <f t="shared" si="1"/>
        <v/>
      </c>
      <c r="L34" s="15" t="s">
        <v>111</v>
      </c>
      <c r="M34" s="10"/>
    </row>
    <row r="35" spans="1:13" x14ac:dyDescent="0.25">
      <c r="A35" s="9" t="s">
        <v>112</v>
      </c>
      <c r="B35" s="10" t="s">
        <v>113</v>
      </c>
      <c r="C35" s="10" t="s">
        <v>104</v>
      </c>
      <c r="D35" s="10" t="s">
        <v>27</v>
      </c>
      <c r="E35" s="11">
        <v>22</v>
      </c>
      <c r="F35" s="11">
        <v>44.99</v>
      </c>
      <c r="G35" s="12">
        <f t="shared" si="0"/>
        <v>1.0450000000000002</v>
      </c>
      <c r="H35" s="13">
        <v>2</v>
      </c>
      <c r="I35" s="14">
        <v>3</v>
      </c>
      <c r="J35" s="13">
        <v>4</v>
      </c>
      <c r="K35" s="16" t="str">
        <f t="shared" si="1"/>
        <v>YES</v>
      </c>
      <c r="L35" s="15" t="s">
        <v>114</v>
      </c>
      <c r="M35" s="10" t="s">
        <v>115</v>
      </c>
    </row>
    <row r="36" spans="1:13" x14ac:dyDescent="0.25">
      <c r="A36" s="9" t="s">
        <v>116</v>
      </c>
      <c r="B36" s="10" t="s">
        <v>117</v>
      </c>
      <c r="C36" s="10" t="s">
        <v>118</v>
      </c>
      <c r="D36" s="10" t="s">
        <v>32</v>
      </c>
      <c r="E36" s="11">
        <v>9</v>
      </c>
      <c r="F36" s="11">
        <v>19.989999999999998</v>
      </c>
      <c r="G36" s="12">
        <f t="shared" si="0"/>
        <v>1.221111111111111</v>
      </c>
      <c r="H36" s="13">
        <v>11</v>
      </c>
      <c r="I36" s="14">
        <v>5</v>
      </c>
      <c r="J36" s="13">
        <v>12</v>
      </c>
      <c r="K36" s="9" t="str">
        <f t="shared" si="1"/>
        <v/>
      </c>
      <c r="L36" s="15" t="s">
        <v>119</v>
      </c>
      <c r="M36" s="10"/>
    </row>
    <row r="37" spans="1:13" x14ac:dyDescent="0.25">
      <c r="A37" s="9" t="s">
        <v>120</v>
      </c>
      <c r="B37" s="10" t="s">
        <v>121</v>
      </c>
      <c r="C37" s="10" t="s">
        <v>118</v>
      </c>
      <c r="D37" s="10" t="s">
        <v>54</v>
      </c>
      <c r="E37" s="11">
        <v>4.5</v>
      </c>
      <c r="F37" s="11">
        <v>12.99</v>
      </c>
      <c r="G37" s="12">
        <f t="shared" si="0"/>
        <v>1.8866666666666667</v>
      </c>
      <c r="H37" s="13">
        <v>14</v>
      </c>
      <c r="I37" s="14">
        <v>6</v>
      </c>
      <c r="J37" s="13">
        <v>20</v>
      </c>
      <c r="K37" s="9" t="str">
        <f t="shared" si="1"/>
        <v/>
      </c>
      <c r="L37" s="15" t="s">
        <v>122</v>
      </c>
      <c r="M37" s="10"/>
    </row>
    <row r="38" spans="1:13" x14ac:dyDescent="0.25">
      <c r="A38" s="9" t="s">
        <v>123</v>
      </c>
      <c r="B38" s="10" t="s">
        <v>124</v>
      </c>
      <c r="C38" s="10" t="s">
        <v>118</v>
      </c>
      <c r="D38" s="10" t="s">
        <v>32</v>
      </c>
      <c r="E38" s="11">
        <v>3.25</v>
      </c>
      <c r="F38" s="11">
        <v>9.99</v>
      </c>
      <c r="G38" s="12">
        <f t="shared" si="0"/>
        <v>2.0738461538461541</v>
      </c>
      <c r="H38" s="13">
        <v>19</v>
      </c>
      <c r="I38" s="14">
        <v>8</v>
      </c>
      <c r="J38" s="13">
        <v>24</v>
      </c>
      <c r="K38" s="9" t="str">
        <f t="shared" si="1"/>
        <v/>
      </c>
      <c r="L38" s="15" t="s">
        <v>125</v>
      </c>
      <c r="M38" s="10" t="s">
        <v>126</v>
      </c>
    </row>
    <row r="39" spans="1:13" x14ac:dyDescent="0.25">
      <c r="A39" s="9" t="s">
        <v>127</v>
      </c>
      <c r="B39" s="10" t="s">
        <v>128</v>
      </c>
      <c r="C39" s="10" t="s">
        <v>118</v>
      </c>
      <c r="D39" s="10" t="s">
        <v>82</v>
      </c>
      <c r="E39" s="11">
        <v>7.5</v>
      </c>
      <c r="F39" s="11">
        <v>17.989999999999998</v>
      </c>
      <c r="G39" s="12">
        <f t="shared" si="0"/>
        <v>1.3986666666666665</v>
      </c>
      <c r="H39" s="13">
        <v>8</v>
      </c>
      <c r="I39" s="14">
        <v>5</v>
      </c>
      <c r="J39" s="13">
        <v>10</v>
      </c>
      <c r="K39" s="9" t="str">
        <f t="shared" si="1"/>
        <v/>
      </c>
      <c r="L39" s="15" t="s">
        <v>28</v>
      </c>
      <c r="M39" s="10"/>
    </row>
    <row r="40" spans="1:13" x14ac:dyDescent="0.25">
      <c r="A40" s="9" t="s">
        <v>129</v>
      </c>
      <c r="B40" s="10" t="s">
        <v>130</v>
      </c>
      <c r="C40" s="10" t="s">
        <v>118</v>
      </c>
      <c r="D40" s="10" t="s">
        <v>32</v>
      </c>
      <c r="E40" s="11">
        <v>16</v>
      </c>
      <c r="F40" s="11">
        <v>34.99</v>
      </c>
      <c r="G40" s="12">
        <f t="shared" si="0"/>
        <v>1.1868750000000001</v>
      </c>
      <c r="H40" s="13">
        <v>5</v>
      </c>
      <c r="I40" s="14">
        <v>4</v>
      </c>
      <c r="J40" s="13">
        <v>6</v>
      </c>
      <c r="K40" s="9" t="str">
        <f t="shared" si="1"/>
        <v/>
      </c>
      <c r="L40" s="15" t="s">
        <v>45</v>
      </c>
      <c r="M40" s="10"/>
    </row>
    <row r="41" spans="1:13" x14ac:dyDescent="0.25">
      <c r="A41" s="9" t="s">
        <v>131</v>
      </c>
      <c r="B41" s="10" t="s">
        <v>132</v>
      </c>
      <c r="C41" s="10" t="s">
        <v>118</v>
      </c>
      <c r="D41" s="10" t="s">
        <v>32</v>
      </c>
      <c r="E41" s="11">
        <v>3</v>
      </c>
      <c r="F41" s="11">
        <v>8.99</v>
      </c>
      <c r="G41" s="12">
        <f t="shared" si="0"/>
        <v>1.9966666666666668</v>
      </c>
      <c r="H41" s="13">
        <v>25</v>
      </c>
      <c r="I41" s="14">
        <v>10</v>
      </c>
      <c r="J41" s="13">
        <v>24</v>
      </c>
      <c r="K41" s="9" t="str">
        <f t="shared" si="1"/>
        <v/>
      </c>
      <c r="L41" s="15" t="s">
        <v>133</v>
      </c>
      <c r="M41" s="10" t="s">
        <v>134</v>
      </c>
    </row>
    <row r="42" spans="1:13" x14ac:dyDescent="0.25">
      <c r="A42" s="9" t="s">
        <v>135</v>
      </c>
      <c r="B42" s="10" t="s">
        <v>136</v>
      </c>
      <c r="C42" s="10" t="s">
        <v>137</v>
      </c>
      <c r="D42" s="10" t="s">
        <v>138</v>
      </c>
      <c r="E42" s="11">
        <v>8.5</v>
      </c>
      <c r="F42" s="11">
        <v>18.989999999999998</v>
      </c>
      <c r="G42" s="12">
        <f t="shared" si="0"/>
        <v>1.2341176470588233</v>
      </c>
      <c r="H42" s="13">
        <v>7</v>
      </c>
      <c r="I42" s="14">
        <v>5</v>
      </c>
      <c r="J42" s="13">
        <v>12</v>
      </c>
      <c r="K42" s="9" t="str">
        <f t="shared" si="1"/>
        <v/>
      </c>
      <c r="L42" s="15" t="s">
        <v>139</v>
      </c>
      <c r="M42" s="10"/>
    </row>
    <row r="43" spans="1:13" x14ac:dyDescent="0.25">
      <c r="A43" s="9" t="s">
        <v>140</v>
      </c>
      <c r="B43" s="10" t="s">
        <v>141</v>
      </c>
      <c r="C43" s="10" t="s">
        <v>137</v>
      </c>
      <c r="D43" s="10" t="s">
        <v>138</v>
      </c>
      <c r="E43" s="11">
        <v>4.75</v>
      </c>
      <c r="F43" s="11">
        <v>11.99</v>
      </c>
      <c r="G43" s="12">
        <f t="shared" si="0"/>
        <v>1.5242105263157895</v>
      </c>
      <c r="H43" s="13">
        <v>10</v>
      </c>
      <c r="I43" s="14">
        <v>6</v>
      </c>
      <c r="J43" s="13">
        <v>12</v>
      </c>
      <c r="K43" s="9" t="str">
        <f t="shared" si="1"/>
        <v/>
      </c>
      <c r="L43" s="15" t="s">
        <v>142</v>
      </c>
      <c r="M43" s="10"/>
    </row>
    <row r="44" spans="1:13" x14ac:dyDescent="0.25">
      <c r="A44" s="9" t="s">
        <v>143</v>
      </c>
      <c r="B44" s="10" t="s">
        <v>144</v>
      </c>
      <c r="C44" s="10" t="s">
        <v>137</v>
      </c>
      <c r="D44" s="10" t="s">
        <v>138</v>
      </c>
      <c r="E44" s="11">
        <v>12</v>
      </c>
      <c r="F44" s="11">
        <v>26.99</v>
      </c>
      <c r="G44" s="12">
        <f t="shared" si="0"/>
        <v>1.2491666666666665</v>
      </c>
      <c r="H44" s="13">
        <v>3</v>
      </c>
      <c r="I44" s="14">
        <v>4</v>
      </c>
      <c r="J44" s="13">
        <v>6</v>
      </c>
      <c r="K44" s="16" t="str">
        <f t="shared" si="1"/>
        <v>YES</v>
      </c>
      <c r="L44" s="15" t="s">
        <v>145</v>
      </c>
      <c r="M44" s="10" t="s">
        <v>146</v>
      </c>
    </row>
    <row r="46" spans="1:13" x14ac:dyDescent="0.25">
      <c r="A46" s="17" t="s">
        <v>147</v>
      </c>
    </row>
    <row r="47" spans="1:13" x14ac:dyDescent="0.25">
      <c r="A47" s="10" t="s">
        <v>148</v>
      </c>
    </row>
    <row r="48" spans="1:13" x14ac:dyDescent="0.25">
      <c r="A48" s="10" t="s">
        <v>149</v>
      </c>
    </row>
    <row r="49" spans="1:1" x14ac:dyDescent="0.25">
      <c r="A49" s="10" t="s">
        <v>150</v>
      </c>
    </row>
    <row r="50" spans="1:1" x14ac:dyDescent="0.25">
      <c r="A50" s="10" t="s">
        <v>151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defaultRowHeight="15" x14ac:dyDescent="0.25"/>
  <cols>
    <col min="1" max="1" width="20" customWidth="1"/>
    <col min="2" max="2" width="22" customWidth="1"/>
    <col min="3" max="3" width="15" customWidth="1"/>
    <col min="4" max="4" width="28" customWidth="1"/>
    <col min="5" max="5" width="13" customWidth="1"/>
    <col min="6" max="6" width="14" customWidth="1"/>
    <col min="7" max="7" width="12" customWidth="1"/>
    <col min="8" max="8" width="14" customWidth="1"/>
    <col min="9" max="9" width="35" customWidth="1"/>
  </cols>
  <sheetData>
    <row r="1" spans="1:9" ht="15.75" x14ac:dyDescent="0.25">
      <c r="A1" s="18" t="s">
        <v>152</v>
      </c>
    </row>
    <row r="3" spans="1:9" x14ac:dyDescent="0.25">
      <c r="A3" s="8" t="s">
        <v>10</v>
      </c>
      <c r="B3" s="8" t="s">
        <v>153</v>
      </c>
      <c r="C3" s="8" t="s">
        <v>154</v>
      </c>
      <c r="D3" s="8" t="s">
        <v>155</v>
      </c>
      <c r="E3" s="8" t="s">
        <v>156</v>
      </c>
      <c r="F3" s="8" t="s">
        <v>157</v>
      </c>
      <c r="G3" s="8" t="s">
        <v>158</v>
      </c>
      <c r="H3" s="8" t="s">
        <v>159</v>
      </c>
      <c r="I3" s="8" t="s">
        <v>19</v>
      </c>
    </row>
    <row r="4" spans="1:9" x14ac:dyDescent="0.25">
      <c r="A4" s="19" t="s">
        <v>32</v>
      </c>
      <c r="B4" s="19" t="s">
        <v>160</v>
      </c>
      <c r="C4" s="19" t="s">
        <v>161</v>
      </c>
      <c r="D4" s="19" t="s">
        <v>162</v>
      </c>
      <c r="E4" s="20">
        <v>150</v>
      </c>
      <c r="F4" s="19" t="s">
        <v>163</v>
      </c>
      <c r="G4" s="19" t="s">
        <v>164</v>
      </c>
      <c r="H4" s="19" t="s">
        <v>165</v>
      </c>
      <c r="I4" s="19" t="s">
        <v>166</v>
      </c>
    </row>
    <row r="5" spans="1:9" x14ac:dyDescent="0.25">
      <c r="A5" s="19" t="s">
        <v>44</v>
      </c>
      <c r="B5" s="19" t="s">
        <v>167</v>
      </c>
      <c r="C5" s="19"/>
      <c r="D5" s="19" t="s">
        <v>168</v>
      </c>
      <c r="E5" s="20">
        <v>200</v>
      </c>
      <c r="F5" s="19" t="s">
        <v>169</v>
      </c>
      <c r="G5" s="19" t="s">
        <v>170</v>
      </c>
      <c r="H5" s="19" t="s">
        <v>171</v>
      </c>
      <c r="I5" s="19" t="s">
        <v>172</v>
      </c>
    </row>
    <row r="6" spans="1:9" x14ac:dyDescent="0.25">
      <c r="A6" s="19" t="s">
        <v>27</v>
      </c>
      <c r="B6" s="19" t="s">
        <v>173</v>
      </c>
      <c r="C6" s="19" t="s">
        <v>174</v>
      </c>
      <c r="D6" s="19" t="s">
        <v>175</v>
      </c>
      <c r="E6" s="20">
        <v>300</v>
      </c>
      <c r="F6" s="19" t="s">
        <v>163</v>
      </c>
      <c r="G6" s="19" t="s">
        <v>176</v>
      </c>
      <c r="H6" s="19" t="s">
        <v>177</v>
      </c>
      <c r="I6" s="19" t="s">
        <v>178</v>
      </c>
    </row>
    <row r="7" spans="1:9" x14ac:dyDescent="0.25">
      <c r="A7" s="19" t="s">
        <v>82</v>
      </c>
      <c r="B7" s="19" t="s">
        <v>179</v>
      </c>
      <c r="C7" s="19" t="s">
        <v>180</v>
      </c>
      <c r="D7" s="19" t="s">
        <v>181</v>
      </c>
      <c r="E7" s="20">
        <v>100</v>
      </c>
      <c r="F7" s="19" t="s">
        <v>182</v>
      </c>
      <c r="G7" s="19" t="s">
        <v>183</v>
      </c>
      <c r="H7" s="19" t="s">
        <v>184</v>
      </c>
      <c r="I7" s="19" t="s">
        <v>185</v>
      </c>
    </row>
    <row r="8" spans="1:9" x14ac:dyDescent="0.25">
      <c r="A8" s="19" t="s">
        <v>63</v>
      </c>
      <c r="B8" s="19" t="s">
        <v>186</v>
      </c>
      <c r="C8" s="19" t="s">
        <v>187</v>
      </c>
      <c r="D8" s="19" t="s">
        <v>188</v>
      </c>
      <c r="E8" s="20">
        <v>250</v>
      </c>
      <c r="F8" s="19" t="s">
        <v>163</v>
      </c>
      <c r="G8" s="19" t="s">
        <v>189</v>
      </c>
      <c r="H8" s="19" t="s">
        <v>190</v>
      </c>
      <c r="I8" s="19" t="s">
        <v>191</v>
      </c>
    </row>
    <row r="9" spans="1:9" x14ac:dyDescent="0.25">
      <c r="A9" s="19" t="s">
        <v>138</v>
      </c>
      <c r="B9" s="19" t="s">
        <v>192</v>
      </c>
      <c r="C9" s="19" t="s">
        <v>193</v>
      </c>
      <c r="D9" s="19" t="s">
        <v>194</v>
      </c>
      <c r="E9" s="20">
        <v>75</v>
      </c>
      <c r="F9" s="19" t="s">
        <v>182</v>
      </c>
      <c r="G9" s="19" t="s">
        <v>195</v>
      </c>
      <c r="H9" s="19" t="s">
        <v>196</v>
      </c>
      <c r="I9" s="19" t="s">
        <v>197</v>
      </c>
    </row>
    <row r="10" spans="1:9" x14ac:dyDescent="0.25">
      <c r="A10" s="19" t="s">
        <v>198</v>
      </c>
      <c r="B10" s="19" t="s">
        <v>199</v>
      </c>
      <c r="C10" s="19"/>
      <c r="D10" s="19"/>
      <c r="E10" s="20">
        <v>0</v>
      </c>
      <c r="F10" s="19" t="s">
        <v>169</v>
      </c>
      <c r="G10" s="19" t="s">
        <v>200</v>
      </c>
      <c r="H10" s="19"/>
      <c r="I10" s="19" t="s">
        <v>201</v>
      </c>
    </row>
    <row r="12" spans="1:9" x14ac:dyDescent="0.25">
      <c r="A12" s="10" t="s">
        <v>202</v>
      </c>
    </row>
    <row r="13" spans="1:9" x14ac:dyDescent="0.25">
      <c r="A13" s="10" t="s">
        <v>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/>
  </sheetViews>
  <sheetFormatPr defaultRowHeight="15" x14ac:dyDescent="0.25"/>
  <cols>
    <col min="1" max="1" width="18" customWidth="1"/>
    <col min="2" max="2" width="10" customWidth="1"/>
    <col min="3" max="3" width="30" customWidth="1"/>
    <col min="4" max="5" width="11" customWidth="1"/>
    <col min="6" max="6" width="12" customWidth="1"/>
    <col min="7" max="7" width="10" customWidth="1"/>
    <col min="8" max="8" width="30" customWidth="1"/>
  </cols>
  <sheetData>
    <row r="1" spans="1:8" ht="15.75" x14ac:dyDescent="0.25">
      <c r="A1" s="18" t="s">
        <v>204</v>
      </c>
    </row>
    <row r="2" spans="1:8" x14ac:dyDescent="0.25">
      <c r="A2" s="21" t="s">
        <v>205</v>
      </c>
    </row>
    <row r="4" spans="1:8" x14ac:dyDescent="0.25">
      <c r="A4" s="22" t="s">
        <v>10</v>
      </c>
      <c r="B4" s="22" t="s">
        <v>7</v>
      </c>
      <c r="C4" s="22" t="s">
        <v>206</v>
      </c>
      <c r="D4" s="23" t="s">
        <v>207</v>
      </c>
      <c r="E4" s="22" t="s">
        <v>11</v>
      </c>
      <c r="F4" s="22" t="s">
        <v>208</v>
      </c>
      <c r="G4" s="23" t="s">
        <v>209</v>
      </c>
      <c r="H4" s="22" t="s">
        <v>19</v>
      </c>
    </row>
    <row r="5" spans="1:8" x14ac:dyDescent="0.25">
      <c r="A5" s="10" t="s">
        <v>27</v>
      </c>
      <c r="B5" s="10" t="s">
        <v>25</v>
      </c>
      <c r="C5" s="10" t="s">
        <v>26</v>
      </c>
      <c r="D5" s="13">
        <v>6</v>
      </c>
      <c r="E5" s="11">
        <v>42</v>
      </c>
      <c r="F5" s="11">
        <f>D5*E5</f>
        <v>252</v>
      </c>
      <c r="G5" s="9"/>
      <c r="H5" s="10"/>
    </row>
    <row r="6" spans="1:8" x14ac:dyDescent="0.25">
      <c r="A6" s="10" t="s">
        <v>27</v>
      </c>
      <c r="B6" s="10" t="s">
        <v>34</v>
      </c>
      <c r="C6" s="10" t="s">
        <v>35</v>
      </c>
      <c r="D6" s="13">
        <v>4</v>
      </c>
      <c r="E6" s="11">
        <v>38</v>
      </c>
      <c r="F6" s="11">
        <f>D6*E6</f>
        <v>152</v>
      </c>
      <c r="G6" s="9"/>
      <c r="H6" s="10" t="s">
        <v>210</v>
      </c>
    </row>
    <row r="7" spans="1:8" x14ac:dyDescent="0.25">
      <c r="A7" s="10" t="s">
        <v>27</v>
      </c>
      <c r="B7" s="10" t="s">
        <v>112</v>
      </c>
      <c r="C7" s="10" t="s">
        <v>211</v>
      </c>
      <c r="D7" s="13">
        <v>4</v>
      </c>
      <c r="E7" s="11">
        <v>22</v>
      </c>
      <c r="F7" s="11">
        <f>D7*E7</f>
        <v>88</v>
      </c>
      <c r="G7" s="9"/>
      <c r="H7" s="10"/>
    </row>
    <row r="8" spans="1:8" x14ac:dyDescent="0.25">
      <c r="C8" s="24" t="s">
        <v>212</v>
      </c>
      <c r="F8" s="25">
        <f>SUM(F5:F7)</f>
        <v>492</v>
      </c>
      <c r="H8" s="10" t="s">
        <v>213</v>
      </c>
    </row>
    <row r="10" spans="1:8" x14ac:dyDescent="0.25">
      <c r="A10" s="10" t="s">
        <v>44</v>
      </c>
      <c r="B10" s="10" t="s">
        <v>52</v>
      </c>
      <c r="C10" s="10" t="s">
        <v>214</v>
      </c>
      <c r="D10" s="13">
        <v>8</v>
      </c>
      <c r="E10" s="11">
        <v>15</v>
      </c>
      <c r="F10" s="11">
        <f>D10*E10</f>
        <v>120</v>
      </c>
      <c r="G10" s="9"/>
      <c r="H10" s="10" t="s">
        <v>215</v>
      </c>
    </row>
    <row r="12" spans="1:8" x14ac:dyDescent="0.25">
      <c r="A12" s="10" t="s">
        <v>32</v>
      </c>
      <c r="B12" s="10" t="s">
        <v>72</v>
      </c>
      <c r="C12" s="10" t="s">
        <v>73</v>
      </c>
      <c r="D12" s="13">
        <v>10</v>
      </c>
      <c r="E12" s="11">
        <v>12</v>
      </c>
      <c r="F12" s="11">
        <f>D12*E12</f>
        <v>120</v>
      </c>
      <c r="G12" s="9"/>
      <c r="H12" s="10" t="s">
        <v>216</v>
      </c>
    </row>
    <row r="13" spans="1:8" x14ac:dyDescent="0.25">
      <c r="A13" s="10" t="s">
        <v>32</v>
      </c>
      <c r="B13" s="10" t="s">
        <v>129</v>
      </c>
      <c r="C13" s="10" t="s">
        <v>217</v>
      </c>
      <c r="D13" s="13">
        <v>6</v>
      </c>
      <c r="E13" s="11">
        <v>16</v>
      </c>
      <c r="F13" s="11">
        <f>D13*E13</f>
        <v>96</v>
      </c>
      <c r="G13" s="9"/>
      <c r="H13" s="10"/>
    </row>
    <row r="14" spans="1:8" x14ac:dyDescent="0.25">
      <c r="C14" s="24" t="s">
        <v>218</v>
      </c>
      <c r="F14" s="25">
        <f>SUM(F12:F13)</f>
        <v>216</v>
      </c>
      <c r="H14" s="10" t="s">
        <v>219</v>
      </c>
    </row>
    <row r="16" spans="1:8" x14ac:dyDescent="0.25">
      <c r="A16" s="10" t="s">
        <v>220</v>
      </c>
      <c r="B16" s="10" t="s">
        <v>143</v>
      </c>
      <c r="C16" s="10" t="s">
        <v>221</v>
      </c>
      <c r="D16" s="13">
        <v>6</v>
      </c>
      <c r="E16" s="11">
        <v>12</v>
      </c>
      <c r="F16" s="11">
        <f>D16*E16</f>
        <v>72</v>
      </c>
      <c r="G16" s="9" t="s">
        <v>222</v>
      </c>
      <c r="H16" s="10" t="s">
        <v>223</v>
      </c>
    </row>
    <row r="18" spans="1:6" x14ac:dyDescent="0.25">
      <c r="A18" s="24" t="s">
        <v>224</v>
      </c>
      <c r="F18" s="25">
        <f>F8+F10+F14+F16</f>
        <v>900</v>
      </c>
    </row>
    <row r="20" spans="1:6" x14ac:dyDescent="0.25">
      <c r="A20" s="17" t="s">
        <v>225</v>
      </c>
    </row>
    <row r="21" spans="1:6" x14ac:dyDescent="0.25">
      <c r="A21" s="10" t="s">
        <v>226</v>
      </c>
    </row>
    <row r="22" spans="1:6" x14ac:dyDescent="0.25">
      <c r="A22" s="10" t="s">
        <v>227</v>
      </c>
    </row>
    <row r="23" spans="1:6" x14ac:dyDescent="0.25">
      <c r="A23" s="10" t="s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Suppliers</vt:lpstr>
      <vt:lpstr>Reorder Queue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Alicia Romero</dc:creator>
  <cp:lastModifiedBy>Alicia Romero</cp:lastModifiedBy>
  <dcterms:created xsi:type="dcterms:W3CDTF">2021-10-28T04:19:21Z</dcterms:created>
  <dcterms:modified xsi:type="dcterms:W3CDTF">2023-04-30T03:35:09Z</dcterms:modified>
  <cp:revision>1</cp:revision>
</cp:coreProperties>
</file>