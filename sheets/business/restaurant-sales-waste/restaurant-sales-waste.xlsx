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1\"/>
    </mc:Choice>
  </mc:AlternateContent>
  <xr:revisionPtr revIDLastSave="0" documentId="13_ncr:1_{4526135F-DBEC-4214-B46A-01F824775C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eekly Sales" sheetId="1" r:id="rId1"/>
    <sheet name="Food Waste" sheetId="2" r:id="rId2"/>
    <sheet name="Menu &amp; Co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I15" i="3" s="1"/>
  <c r="G14" i="3"/>
  <c r="I14" i="3" s="1"/>
  <c r="G13" i="3"/>
  <c r="I13" i="3" s="1"/>
  <c r="H12" i="3"/>
  <c r="G12" i="3"/>
  <c r="I12" i="3" s="1"/>
  <c r="G11" i="3"/>
  <c r="I11" i="3" s="1"/>
  <c r="G10" i="3"/>
  <c r="I10" i="3" s="1"/>
  <c r="G9" i="3"/>
  <c r="I9" i="3" s="1"/>
  <c r="G8" i="3"/>
  <c r="H8" i="3" s="1"/>
  <c r="E23" i="2"/>
  <c r="E24" i="2" s="1"/>
  <c r="L18" i="1"/>
  <c r="J16" i="1"/>
  <c r="K16" i="1" s="1"/>
  <c r="J15" i="1"/>
  <c r="M15" i="1" s="1"/>
  <c r="J14" i="1"/>
  <c r="M14" i="1" s="1"/>
  <c r="J13" i="1"/>
  <c r="M13" i="1" s="1"/>
  <c r="J12" i="1"/>
  <c r="M12" i="1" s="1"/>
  <c r="J11" i="1"/>
  <c r="M11" i="1" s="1"/>
  <c r="J10" i="1"/>
  <c r="J9" i="1"/>
  <c r="M9" i="1" s="1"/>
  <c r="K9" i="1" l="1"/>
  <c r="J18" i="1"/>
  <c r="M18" i="1" s="1"/>
  <c r="J19" i="1"/>
  <c r="M10" i="1"/>
  <c r="K11" i="1"/>
  <c r="E25" i="2"/>
  <c r="K12" i="1"/>
  <c r="I8" i="3"/>
  <c r="H9" i="3"/>
  <c r="K13" i="1"/>
  <c r="H10" i="3"/>
  <c r="K14" i="1"/>
  <c r="H11" i="3"/>
  <c r="K15" i="1"/>
  <c r="K10" i="1"/>
  <c r="H13" i="3"/>
  <c r="H14" i="3"/>
  <c r="B19" i="3" s="1"/>
  <c r="H15" i="3"/>
  <c r="B18" i="3" l="1"/>
</calcChain>
</file>

<file path=xl/sharedStrings.xml><?xml version="1.0" encoding="utf-8"?>
<sst xmlns="http://schemas.openxmlformats.org/spreadsheetml/2006/main" count="146" uniqueCount="121">
  <si>
    <t>El Camino Kitchen</t>
  </si>
  <si>
    <t>Weekly Sales Tracker — 2026</t>
  </si>
  <si>
    <t>Target Food Cost %:</t>
  </si>
  <si>
    <t>Target Weekly Revenue:</t>
  </si>
  <si>
    <t>Avg Ticket Price:</t>
  </si>
  <si>
    <t>Week</t>
  </si>
  <si>
    <t>Week Starting</t>
  </si>
  <si>
    <t>Mon</t>
  </si>
  <si>
    <t>Tue</t>
  </si>
  <si>
    <t>Wed</t>
  </si>
  <si>
    <t>Thu</t>
  </si>
  <si>
    <t>Fri</t>
  </si>
  <si>
    <t>Sat</t>
  </si>
  <si>
    <t>Sun</t>
  </si>
  <si>
    <t>Weekly Total</t>
  </si>
  <si>
    <t>vs Target</t>
  </si>
  <si>
    <t>Ticket Count</t>
  </si>
  <si>
    <t>Avg Ticket</t>
  </si>
  <si>
    <t>Notes</t>
  </si>
  <si>
    <t>first full week, Sat farmers market was huge</t>
  </si>
  <si>
    <t>lost Wednesday, alternator died</t>
  </si>
  <si>
    <t>moved Sunday to brewery parking lot, way better</t>
  </si>
  <si>
    <t>Thu rained out, didn't even set up</t>
  </si>
  <si>
    <t>best week yet, added al pastor special</t>
  </si>
  <si>
    <t>through Thursday only</t>
  </si>
  <si>
    <t>TOTALS</t>
  </si>
  <si>
    <t>WEEKLY AVG</t>
  </si>
  <si>
    <t>---</t>
  </si>
  <si>
    <t>Monday always closed, not worth the gas</t>
  </si>
  <si>
    <t>Sat farmers market fee is $75, not included above</t>
  </si>
  <si>
    <t>brewery lot on Sundays is free but they want 5% of sales starting May</t>
  </si>
  <si>
    <t>updated 4/10</t>
  </si>
  <si>
    <t>Weekly Waste Log</t>
  </si>
  <si>
    <t>Ingredient</t>
  </si>
  <si>
    <t>Qty Wasted</t>
  </si>
  <si>
    <t>Unit</t>
  </si>
  <si>
    <t>Est. Cost</t>
  </si>
  <si>
    <t>Reason</t>
  </si>
  <si>
    <t>ground beef</t>
  </si>
  <si>
    <t>~3 lbs</t>
  </si>
  <si>
    <t>lbs</t>
  </si>
  <si>
    <t>over-prepped for Saturday</t>
  </si>
  <si>
    <t>avocados</t>
  </si>
  <si>
    <t>8</t>
  </si>
  <si>
    <t>each</t>
  </si>
  <si>
    <t>went brown, didn't rotate</t>
  </si>
  <si>
    <t>pico de gallo</t>
  </si>
  <si>
    <t>2 qts</t>
  </si>
  <si>
    <t>qts</t>
  </si>
  <si>
    <t>tortillas (flour 10in)</t>
  </si>
  <si>
    <t>~40</t>
  </si>
  <si>
    <t>got wet from cooler leak</t>
  </si>
  <si>
    <t>sour cream</t>
  </si>
  <si>
    <t>1 tub</t>
  </si>
  <si>
    <t>expired</t>
  </si>
  <si>
    <t>chicken thighs</t>
  </si>
  <si>
    <t>5 lbs</t>
  </si>
  <si>
    <t>truck broke down Wed, couldn't sell</t>
  </si>
  <si>
    <t>cilantro</t>
  </si>
  <si>
    <t>3 bunches</t>
  </si>
  <si>
    <t>wilted</t>
  </si>
  <si>
    <t>rice</t>
  </si>
  <si>
    <t>~4 lbs cooked</t>
  </si>
  <si>
    <t>too much for a short week</t>
  </si>
  <si>
    <t>4</t>
  </si>
  <si>
    <t>need to buy less on Tuesdays</t>
  </si>
  <si>
    <t>jalapeños</t>
  </si>
  <si>
    <t>~1 lb</t>
  </si>
  <si>
    <t>4 lbs</t>
  </si>
  <si>
    <t>rain Thu, over-prepped again</t>
  </si>
  <si>
    <t>corn tortillas</t>
  </si>
  <si>
    <t>~60</t>
  </si>
  <si>
    <t>stale</t>
  </si>
  <si>
    <t>lettuce</t>
  </si>
  <si>
    <t>2 heads</t>
  </si>
  <si>
    <t>forgot in truck overnight</t>
  </si>
  <si>
    <t>2</t>
  </si>
  <si>
    <t>ordered more this time, barely any waste</t>
  </si>
  <si>
    <t>1 qt</t>
  </si>
  <si>
    <t>cheese blend</t>
  </si>
  <si>
    <t>~2 lbs</t>
  </si>
  <si>
    <t>moldy, check fridge temp</t>
  </si>
  <si>
    <t>expired again, buy smaller size?</t>
  </si>
  <si>
    <t>2 lbs</t>
  </si>
  <si>
    <t>partial week, leftover from Thu</t>
  </si>
  <si>
    <t>Total Waste Cost (all weeks):</t>
  </si>
  <si>
    <t>Avg Weekly Waste:</t>
  </si>
  <si>
    <t>Waste as % of Revenue:</t>
  </si>
  <si>
    <t>worst item: avocados, need to fix ordering</t>
  </si>
  <si>
    <t>Menu Items &amp; Food Cost</t>
  </si>
  <si>
    <t>Labor Rate ($/hr):</t>
  </si>
  <si>
    <t>Hrs per Prep Session:</t>
  </si>
  <si>
    <t>Menu Item</t>
  </si>
  <si>
    <t>Menu Price</t>
  </si>
  <si>
    <t>Protein Cost</t>
  </si>
  <si>
    <t>Tortilla/Shell</t>
  </si>
  <si>
    <t>Toppings</t>
  </si>
  <si>
    <t>Sides</t>
  </si>
  <si>
    <t>Total Food Cost</t>
  </si>
  <si>
    <t>Food Cost %</t>
  </si>
  <si>
    <t>Margin per Item</t>
  </si>
  <si>
    <t>Classic Beef Burrito</t>
  </si>
  <si>
    <t>Al Pastor Taco (x3)</t>
  </si>
  <si>
    <t>new item, started week 6</t>
  </si>
  <si>
    <t>Chicken Burrito Bowl</t>
  </si>
  <si>
    <t>no tortilla, add extra rice</t>
  </si>
  <si>
    <t>Veggie Quesadilla</t>
  </si>
  <si>
    <t>cheese is the expensive part</t>
  </si>
  <si>
    <t>Street Tacos (x3)</t>
  </si>
  <si>
    <t>best seller</t>
  </si>
  <si>
    <t>Loaded Nachos</t>
  </si>
  <si>
    <t>chips cost more than expected</t>
  </si>
  <si>
    <t>Kids Taco Plate</t>
  </si>
  <si>
    <t>Horchata (16oz)</t>
  </si>
  <si>
    <t>highest margin item</t>
  </si>
  <si>
    <t>Avg Food Cost %:</t>
  </si>
  <si>
    <t>Items Above Target:</t>
  </si>
  <si>
    <t>notes</t>
  </si>
  <si>
    <t>protein prices from Restaurant Depot, last checked 3/1</t>
  </si>
  <si>
    <t>tortilla price assumes bulk pack from Costco</t>
  </si>
  <si>
    <t>need to re-price nachos, chips went up 20% in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</si>
</sst>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i/>
      <sz val="11"/>
      <color rgb="FF808080"/>
      <name val="Arial"/>
    </font>
    <font>
      <i/>
      <sz val="9"/>
      <color rgb="FF80808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39B82"/>
        <bgColor rgb="FFC39B82"/>
      </patternFill>
    </fill>
  </fills>
  <borders count="3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1" xfId="0" applyFont="1" applyBorder="1"/>
    <xf numFmtId="9" fontId="3" fillId="2" borderId="1" xfId="0" applyNumberFormat="1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3" fontId="3" fillId="0" borderId="0" xfId="0" applyNumberFormat="1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2" xfId="0" applyFont="1" applyBorder="1"/>
    <xf numFmtId="167" fontId="3" fillId="0" borderId="0" xfId="0" applyNumberFormat="1" applyFont="1"/>
    <xf numFmtId="9" fontId="3" fillId="2" borderId="0" xfId="0" applyNumberFormat="1" applyFont="1" applyFill="1"/>
    <xf numFmtId="165" fontId="3" fillId="2" borderId="0" xfId="0" applyNumberFormat="1" applyFont="1" applyFill="1"/>
    <xf numFmtId="0" fontId="3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14" customWidth="1"/>
    <col min="3" max="9" width="11" customWidth="1"/>
    <col min="10" max="10" width="14" customWidth="1"/>
    <col min="11" max="11" width="12" customWidth="1"/>
    <col min="12" max="13" width="11" customWidth="1"/>
    <col min="14" max="14" width="45" customWidth="1"/>
  </cols>
  <sheetData>
    <row r="1" spans="1:14" ht="18" x14ac:dyDescent="0.25">
      <c r="A1" s="24" t="s">
        <v>0</v>
      </c>
      <c r="B1" s="25"/>
      <c r="C1" s="25"/>
      <c r="D1" s="25"/>
    </row>
    <row r="2" spans="1:14" x14ac:dyDescent="0.25">
      <c r="A2" s="1" t="s">
        <v>1</v>
      </c>
    </row>
    <row r="4" spans="1:14" x14ac:dyDescent="0.25">
      <c r="B4" s="2" t="s">
        <v>2</v>
      </c>
      <c r="C4" s="3">
        <v>0.3</v>
      </c>
    </row>
    <row r="5" spans="1:14" x14ac:dyDescent="0.25">
      <c r="B5" s="2" t="s">
        <v>3</v>
      </c>
      <c r="C5" s="4">
        <v>6000</v>
      </c>
    </row>
    <row r="6" spans="1:14" x14ac:dyDescent="0.25">
      <c r="B6" s="2" t="s">
        <v>4</v>
      </c>
      <c r="C6" s="5">
        <v>12.5</v>
      </c>
    </row>
    <row r="8" spans="1:14" x14ac:dyDescent="0.25">
      <c r="A8" s="6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  <c r="K8" s="7" t="s">
        <v>15</v>
      </c>
      <c r="L8" s="7" t="s">
        <v>16</v>
      </c>
      <c r="M8" s="7" t="s">
        <v>17</v>
      </c>
      <c r="N8" s="7" t="s">
        <v>18</v>
      </c>
    </row>
    <row r="9" spans="1:14" x14ac:dyDescent="0.25">
      <c r="A9" s="8">
        <v>1</v>
      </c>
      <c r="B9" s="9">
        <v>46069</v>
      </c>
      <c r="C9" s="10">
        <v>0</v>
      </c>
      <c r="D9" s="10">
        <v>687.5</v>
      </c>
      <c r="E9" s="10">
        <v>845</v>
      </c>
      <c r="F9" s="10">
        <v>923</v>
      </c>
      <c r="G9" s="10">
        <v>1247</v>
      </c>
      <c r="H9" s="10">
        <v>1580</v>
      </c>
      <c r="I9" s="10">
        <v>890</v>
      </c>
      <c r="J9" s="11">
        <f t="shared" ref="J9:J16" si="0">SUM(C9:I9)</f>
        <v>6172.5</v>
      </c>
      <c r="K9" s="10">
        <f t="shared" ref="K9:K16" si="1">J9-$C$5</f>
        <v>172.5</v>
      </c>
      <c r="L9" s="12">
        <v>485</v>
      </c>
      <c r="M9" s="10">
        <f t="shared" ref="M9:M15" si="2">J9/L9</f>
        <v>12.726804123711339</v>
      </c>
      <c r="N9" s="13" t="s">
        <v>19</v>
      </c>
    </row>
    <row r="10" spans="1:14" x14ac:dyDescent="0.25">
      <c r="A10" s="8">
        <v>2</v>
      </c>
      <c r="B10" s="9">
        <v>46076</v>
      </c>
      <c r="C10" s="10">
        <v>0</v>
      </c>
      <c r="D10" s="10">
        <v>712</v>
      </c>
      <c r="E10" s="10">
        <v>780</v>
      </c>
      <c r="F10" s="10">
        <v>1015.5</v>
      </c>
      <c r="G10" s="10">
        <v>1340</v>
      </c>
      <c r="H10" s="10">
        <v>1425</v>
      </c>
      <c r="I10" s="10">
        <v>920</v>
      </c>
      <c r="J10" s="11">
        <f t="shared" si="0"/>
        <v>6192.5</v>
      </c>
      <c r="K10" s="10">
        <f t="shared" si="1"/>
        <v>192.5</v>
      </c>
      <c r="L10" s="12">
        <v>490</v>
      </c>
      <c r="M10" s="10">
        <f t="shared" si="2"/>
        <v>12.637755102040817</v>
      </c>
      <c r="N10" s="13"/>
    </row>
    <row r="11" spans="1:14" x14ac:dyDescent="0.25">
      <c r="A11" s="8">
        <v>3</v>
      </c>
      <c r="B11" s="9">
        <v>46083</v>
      </c>
      <c r="C11" s="10">
        <v>0</v>
      </c>
      <c r="D11" s="10">
        <v>643</v>
      </c>
      <c r="E11" s="10">
        <v>0</v>
      </c>
      <c r="F11" s="10">
        <v>890</v>
      </c>
      <c r="G11" s="10">
        <v>1180</v>
      </c>
      <c r="H11" s="10">
        <v>1510</v>
      </c>
      <c r="I11" s="10">
        <v>845</v>
      </c>
      <c r="J11" s="11">
        <f t="shared" si="0"/>
        <v>5068</v>
      </c>
      <c r="K11" s="10">
        <f t="shared" si="1"/>
        <v>-932</v>
      </c>
      <c r="L11" s="12">
        <v>398</v>
      </c>
      <c r="M11" s="10">
        <f t="shared" si="2"/>
        <v>12.733668341708542</v>
      </c>
      <c r="N11" s="13" t="s">
        <v>20</v>
      </c>
    </row>
    <row r="12" spans="1:14" x14ac:dyDescent="0.25">
      <c r="A12" s="8">
        <v>4</v>
      </c>
      <c r="B12" s="9">
        <v>46090</v>
      </c>
      <c r="C12" s="10">
        <v>0</v>
      </c>
      <c r="D12" s="10">
        <v>725</v>
      </c>
      <c r="E12" s="10">
        <v>812.5</v>
      </c>
      <c r="F12" s="10">
        <v>978</v>
      </c>
      <c r="G12" s="10">
        <v>1410</v>
      </c>
      <c r="H12" s="10">
        <v>1620</v>
      </c>
      <c r="I12" s="10">
        <v>1045</v>
      </c>
      <c r="J12" s="11">
        <f t="shared" si="0"/>
        <v>6590.5</v>
      </c>
      <c r="K12" s="10">
        <f t="shared" si="1"/>
        <v>590.5</v>
      </c>
      <c r="L12" s="12">
        <v>522</v>
      </c>
      <c r="M12" s="10">
        <f t="shared" si="2"/>
        <v>12.625478927203066</v>
      </c>
      <c r="N12" s="13" t="s">
        <v>21</v>
      </c>
    </row>
    <row r="13" spans="1:14" x14ac:dyDescent="0.25">
      <c r="A13" s="8">
        <v>5</v>
      </c>
      <c r="B13" s="9">
        <v>46097</v>
      </c>
      <c r="C13" s="10">
        <v>0</v>
      </c>
      <c r="D13" s="10">
        <v>690</v>
      </c>
      <c r="E13" s="10">
        <v>834</v>
      </c>
      <c r="F13" s="10">
        <v>0</v>
      </c>
      <c r="G13" s="10">
        <v>1290</v>
      </c>
      <c r="H13" s="10">
        <v>1380</v>
      </c>
      <c r="I13" s="10">
        <v>1120</v>
      </c>
      <c r="J13" s="11">
        <f t="shared" si="0"/>
        <v>5314</v>
      </c>
      <c r="K13" s="10">
        <f t="shared" si="1"/>
        <v>-686</v>
      </c>
      <c r="L13" s="12">
        <v>425</v>
      </c>
      <c r="M13" s="10">
        <f t="shared" si="2"/>
        <v>12.503529411764706</v>
      </c>
      <c r="N13" s="13" t="s">
        <v>22</v>
      </c>
    </row>
    <row r="14" spans="1:14" x14ac:dyDescent="0.25">
      <c r="A14" s="8">
        <v>6</v>
      </c>
      <c r="B14" s="9">
        <v>46104</v>
      </c>
      <c r="C14" s="10">
        <v>0</v>
      </c>
      <c r="D14" s="10">
        <v>748</v>
      </c>
      <c r="E14" s="10">
        <v>867</v>
      </c>
      <c r="F14" s="10">
        <v>1045</v>
      </c>
      <c r="G14" s="10">
        <v>1567</v>
      </c>
      <c r="H14" s="10">
        <v>1890</v>
      </c>
      <c r="I14" s="10">
        <v>1210</v>
      </c>
      <c r="J14" s="11">
        <f t="shared" si="0"/>
        <v>7327</v>
      </c>
      <c r="K14" s="10">
        <f t="shared" si="1"/>
        <v>1327</v>
      </c>
      <c r="L14" s="12">
        <v>587</v>
      </c>
      <c r="M14" s="10">
        <f t="shared" si="2"/>
        <v>12.482112436115843</v>
      </c>
      <c r="N14" s="13" t="s">
        <v>23</v>
      </c>
    </row>
    <row r="15" spans="1:14" x14ac:dyDescent="0.25">
      <c r="A15" s="8">
        <v>7</v>
      </c>
      <c r="B15" s="9">
        <v>46111</v>
      </c>
      <c r="C15" s="10">
        <v>0</v>
      </c>
      <c r="D15" s="10">
        <v>702</v>
      </c>
      <c r="E15" s="10">
        <v>815</v>
      </c>
      <c r="F15" s="10">
        <v>990</v>
      </c>
      <c r="G15" s="10">
        <v>1425</v>
      </c>
      <c r="H15" s="10">
        <v>1745</v>
      </c>
      <c r="I15" s="10">
        <v>1135</v>
      </c>
      <c r="J15" s="11">
        <f t="shared" si="0"/>
        <v>6812</v>
      </c>
      <c r="K15" s="10">
        <f t="shared" si="1"/>
        <v>812</v>
      </c>
      <c r="L15" s="12">
        <v>548</v>
      </c>
      <c r="M15" s="10">
        <f t="shared" si="2"/>
        <v>12.430656934306569</v>
      </c>
      <c r="N15" s="13"/>
    </row>
    <row r="16" spans="1:14" x14ac:dyDescent="0.25">
      <c r="A16" s="8">
        <v>8</v>
      </c>
      <c r="B16" s="9">
        <v>46118</v>
      </c>
      <c r="C16" s="10">
        <v>0</v>
      </c>
      <c r="D16" s="10">
        <v>680</v>
      </c>
      <c r="E16" s="10">
        <v>795</v>
      </c>
      <c r="F16" s="10">
        <v>1010</v>
      </c>
      <c r="G16" s="10">
        <v>1380</v>
      </c>
      <c r="H16" s="10"/>
      <c r="I16" s="10"/>
      <c r="J16" s="11">
        <f t="shared" si="0"/>
        <v>3865</v>
      </c>
      <c r="K16" s="10">
        <f t="shared" si="1"/>
        <v>-2135</v>
      </c>
      <c r="L16" s="12"/>
      <c r="M16" s="10"/>
      <c r="N16" s="13" t="s">
        <v>24</v>
      </c>
    </row>
    <row r="18" spans="1:13" x14ac:dyDescent="0.25">
      <c r="A18" s="14" t="s">
        <v>25</v>
      </c>
      <c r="J18" s="11">
        <f>SUM(J9:J16)</f>
        <v>47341.5</v>
      </c>
      <c r="L18" s="15">
        <f>SUM(L9:L16)</f>
        <v>3455</v>
      </c>
      <c r="M18" s="11">
        <f>J18/L18</f>
        <v>13.702315484804631</v>
      </c>
    </row>
    <row r="19" spans="1:13" x14ac:dyDescent="0.25">
      <c r="A19" s="13" t="s">
        <v>26</v>
      </c>
      <c r="J19" s="10">
        <f>AVERAGE(J9:J15)</f>
        <v>6210.9285714285716</v>
      </c>
    </row>
    <row r="21" spans="1:13" x14ac:dyDescent="0.25">
      <c r="A21" s="16" t="s">
        <v>27</v>
      </c>
    </row>
    <row r="22" spans="1:13" x14ac:dyDescent="0.25">
      <c r="A22" s="13" t="s">
        <v>28</v>
      </c>
    </row>
    <row r="23" spans="1:13" x14ac:dyDescent="0.25">
      <c r="A23" s="13" t="s">
        <v>29</v>
      </c>
    </row>
    <row r="24" spans="1:13" x14ac:dyDescent="0.25">
      <c r="A24" s="13" t="s">
        <v>30</v>
      </c>
    </row>
    <row r="26" spans="1:13" x14ac:dyDescent="0.25">
      <c r="A26" s="17" t="s">
        <v>31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3" customWidth="1"/>
    <col min="4" max="4" width="8" customWidth="1"/>
    <col min="5" max="5" width="12" customWidth="1"/>
    <col min="6" max="6" width="35" customWidth="1"/>
  </cols>
  <sheetData>
    <row r="1" spans="1:6" ht="15.75" x14ac:dyDescent="0.25">
      <c r="A1" s="18" t="s">
        <v>32</v>
      </c>
    </row>
    <row r="3" spans="1:6" x14ac:dyDescent="0.25">
      <c r="A3" s="19" t="s">
        <v>5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</row>
    <row r="4" spans="1:6" x14ac:dyDescent="0.25">
      <c r="A4" s="13">
        <v>1</v>
      </c>
      <c r="B4" s="13" t="s">
        <v>38</v>
      </c>
      <c r="C4" s="13" t="s">
        <v>39</v>
      </c>
      <c r="D4" s="13" t="s">
        <v>40</v>
      </c>
      <c r="E4" s="10">
        <v>14.5</v>
      </c>
      <c r="F4" s="13" t="s">
        <v>41</v>
      </c>
    </row>
    <row r="5" spans="1:6" x14ac:dyDescent="0.25">
      <c r="A5" s="13">
        <v>1</v>
      </c>
      <c r="B5" s="13" t="s">
        <v>42</v>
      </c>
      <c r="C5" s="13" t="s">
        <v>43</v>
      </c>
      <c r="D5" s="13" t="s">
        <v>44</v>
      </c>
      <c r="E5" s="10">
        <v>12</v>
      </c>
      <c r="F5" s="13" t="s">
        <v>45</v>
      </c>
    </row>
    <row r="6" spans="1:6" x14ac:dyDescent="0.25">
      <c r="A6" s="13">
        <v>1</v>
      </c>
      <c r="B6" s="13" t="s">
        <v>46</v>
      </c>
      <c r="C6" s="13" t="s">
        <v>47</v>
      </c>
      <c r="D6" s="13" t="s">
        <v>48</v>
      </c>
      <c r="E6" s="10">
        <v>6</v>
      </c>
      <c r="F6" s="13"/>
    </row>
    <row r="7" spans="1:6" x14ac:dyDescent="0.25">
      <c r="A7" s="13">
        <v>2</v>
      </c>
      <c r="B7" s="13" t="s">
        <v>49</v>
      </c>
      <c r="C7" s="13" t="s">
        <v>50</v>
      </c>
      <c r="D7" s="13" t="s">
        <v>44</v>
      </c>
      <c r="E7" s="10">
        <v>8</v>
      </c>
      <c r="F7" s="13" t="s">
        <v>51</v>
      </c>
    </row>
    <row r="8" spans="1:6" x14ac:dyDescent="0.25">
      <c r="A8" s="13">
        <v>2</v>
      </c>
      <c r="B8" s="13" t="s">
        <v>52</v>
      </c>
      <c r="C8" s="13" t="s">
        <v>53</v>
      </c>
      <c r="D8" s="13" t="s">
        <v>44</v>
      </c>
      <c r="E8" s="10">
        <v>4.5</v>
      </c>
      <c r="F8" s="13" t="s">
        <v>54</v>
      </c>
    </row>
    <row r="9" spans="1:6" x14ac:dyDescent="0.25">
      <c r="A9" s="13">
        <v>3</v>
      </c>
      <c r="B9" s="13" t="s">
        <v>55</v>
      </c>
      <c r="C9" s="13" t="s">
        <v>56</v>
      </c>
      <c r="D9" s="13" t="s">
        <v>40</v>
      </c>
      <c r="E9" s="10">
        <v>17.5</v>
      </c>
      <c r="F9" s="13" t="s">
        <v>57</v>
      </c>
    </row>
    <row r="10" spans="1:6" x14ac:dyDescent="0.25">
      <c r="A10" s="13">
        <v>3</v>
      </c>
      <c r="B10" s="13" t="s">
        <v>58</v>
      </c>
      <c r="C10" s="13" t="s">
        <v>59</v>
      </c>
      <c r="D10" s="13" t="s">
        <v>44</v>
      </c>
      <c r="E10" s="10">
        <v>3</v>
      </c>
      <c r="F10" s="13" t="s">
        <v>60</v>
      </c>
    </row>
    <row r="11" spans="1:6" x14ac:dyDescent="0.25">
      <c r="A11" s="13">
        <v>3</v>
      </c>
      <c r="B11" s="13" t="s">
        <v>61</v>
      </c>
      <c r="C11" s="13" t="s">
        <v>62</v>
      </c>
      <c r="D11" s="13" t="s">
        <v>40</v>
      </c>
      <c r="E11" s="10">
        <v>2</v>
      </c>
      <c r="F11" s="13" t="s">
        <v>63</v>
      </c>
    </row>
    <row r="12" spans="1:6" x14ac:dyDescent="0.25">
      <c r="A12" s="13">
        <v>4</v>
      </c>
      <c r="B12" s="13" t="s">
        <v>42</v>
      </c>
      <c r="C12" s="13" t="s">
        <v>64</v>
      </c>
      <c r="D12" s="13" t="s">
        <v>44</v>
      </c>
      <c r="E12" s="10">
        <v>6</v>
      </c>
      <c r="F12" s="13" t="s">
        <v>65</v>
      </c>
    </row>
    <row r="13" spans="1:6" x14ac:dyDescent="0.25">
      <c r="A13" s="13">
        <v>4</v>
      </c>
      <c r="B13" s="13" t="s">
        <v>66</v>
      </c>
      <c r="C13" s="13" t="s">
        <v>67</v>
      </c>
      <c r="D13" s="13" t="s">
        <v>40</v>
      </c>
      <c r="E13" s="10">
        <v>1.5</v>
      </c>
      <c r="F13" s="13"/>
    </row>
    <row r="14" spans="1:6" x14ac:dyDescent="0.25">
      <c r="A14" s="13">
        <v>5</v>
      </c>
      <c r="B14" s="13" t="s">
        <v>38</v>
      </c>
      <c r="C14" s="13" t="s">
        <v>68</v>
      </c>
      <c r="D14" s="13" t="s">
        <v>40</v>
      </c>
      <c r="E14" s="10">
        <v>19</v>
      </c>
      <c r="F14" s="13" t="s">
        <v>69</v>
      </c>
    </row>
    <row r="15" spans="1:6" x14ac:dyDescent="0.25">
      <c r="A15" s="13">
        <v>5</v>
      </c>
      <c r="B15" s="13" t="s">
        <v>70</v>
      </c>
      <c r="C15" s="13" t="s">
        <v>71</v>
      </c>
      <c r="D15" s="13" t="s">
        <v>44</v>
      </c>
      <c r="E15" s="10">
        <v>6</v>
      </c>
      <c r="F15" s="13" t="s">
        <v>72</v>
      </c>
    </row>
    <row r="16" spans="1:6" x14ac:dyDescent="0.25">
      <c r="A16" s="13">
        <v>5</v>
      </c>
      <c r="B16" s="13" t="s">
        <v>73</v>
      </c>
      <c r="C16" s="13" t="s">
        <v>74</v>
      </c>
      <c r="D16" s="13" t="s">
        <v>44</v>
      </c>
      <c r="E16" s="10">
        <v>3.5</v>
      </c>
      <c r="F16" s="13" t="s">
        <v>75</v>
      </c>
    </row>
    <row r="17" spans="1:6" x14ac:dyDescent="0.25">
      <c r="A17" s="13">
        <v>6</v>
      </c>
      <c r="B17" s="13" t="s">
        <v>42</v>
      </c>
      <c r="C17" s="13" t="s">
        <v>76</v>
      </c>
      <c r="D17" s="13" t="s">
        <v>44</v>
      </c>
      <c r="E17" s="10">
        <v>3</v>
      </c>
      <c r="F17" s="13" t="s">
        <v>77</v>
      </c>
    </row>
    <row r="18" spans="1:6" x14ac:dyDescent="0.25">
      <c r="A18" s="13">
        <v>6</v>
      </c>
      <c r="B18" s="13" t="s">
        <v>46</v>
      </c>
      <c r="C18" s="13" t="s">
        <v>78</v>
      </c>
      <c r="D18" s="13" t="s">
        <v>48</v>
      </c>
      <c r="E18" s="10">
        <v>3</v>
      </c>
      <c r="F18" s="13"/>
    </row>
    <row r="19" spans="1:6" x14ac:dyDescent="0.25">
      <c r="A19" s="13">
        <v>7</v>
      </c>
      <c r="B19" s="13" t="s">
        <v>79</v>
      </c>
      <c r="C19" s="13" t="s">
        <v>80</v>
      </c>
      <c r="D19" s="13" t="s">
        <v>40</v>
      </c>
      <c r="E19" s="10">
        <v>9</v>
      </c>
      <c r="F19" s="13" t="s">
        <v>81</v>
      </c>
    </row>
    <row r="20" spans="1:6" x14ac:dyDescent="0.25">
      <c r="A20" s="13">
        <v>7</v>
      </c>
      <c r="B20" s="13" t="s">
        <v>52</v>
      </c>
      <c r="C20" s="13" t="s">
        <v>53</v>
      </c>
      <c r="D20" s="13" t="s">
        <v>44</v>
      </c>
      <c r="E20" s="10">
        <v>4.5</v>
      </c>
      <c r="F20" s="13" t="s">
        <v>82</v>
      </c>
    </row>
    <row r="21" spans="1:6" x14ac:dyDescent="0.25">
      <c r="A21" s="13">
        <v>8</v>
      </c>
      <c r="B21" s="13" t="s">
        <v>55</v>
      </c>
      <c r="C21" s="13" t="s">
        <v>83</v>
      </c>
      <c r="D21" s="13" t="s">
        <v>40</v>
      </c>
      <c r="E21" s="10">
        <v>7</v>
      </c>
      <c r="F21" s="13" t="s">
        <v>84</v>
      </c>
    </row>
    <row r="23" spans="1:6" x14ac:dyDescent="0.25">
      <c r="A23" s="14" t="s">
        <v>85</v>
      </c>
      <c r="E23" s="11">
        <f>SUM(E4:E21)</f>
        <v>130</v>
      </c>
    </row>
    <row r="24" spans="1:6" x14ac:dyDescent="0.25">
      <c r="A24" s="13" t="s">
        <v>86</v>
      </c>
      <c r="E24" s="10">
        <f>E23/8</f>
        <v>16.25</v>
      </c>
    </row>
    <row r="25" spans="1:6" x14ac:dyDescent="0.25">
      <c r="A25" s="13" t="s">
        <v>87</v>
      </c>
      <c r="E25" s="20">
        <f>E23/'Weekly Sales'!J18</f>
        <v>2.7460050906709756E-3</v>
      </c>
    </row>
    <row r="27" spans="1:6" x14ac:dyDescent="0.25">
      <c r="A27" s="16" t="s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defaultRowHeight="15" x14ac:dyDescent="0.25"/>
  <cols>
    <col min="1" max="1" width="28" customWidth="1"/>
    <col min="2" max="3" width="12" customWidth="1"/>
    <col min="4" max="4" width="13" customWidth="1"/>
    <col min="5" max="5" width="11" customWidth="1"/>
    <col min="6" max="6" width="10" customWidth="1"/>
    <col min="7" max="7" width="14" customWidth="1"/>
    <col min="8" max="8" width="12" customWidth="1"/>
    <col min="9" max="9" width="14" customWidth="1"/>
    <col min="10" max="10" width="35" customWidth="1"/>
  </cols>
  <sheetData>
    <row r="1" spans="1:10" ht="15.75" x14ac:dyDescent="0.25">
      <c r="A1" s="18" t="s">
        <v>89</v>
      </c>
    </row>
    <row r="3" spans="1:10" x14ac:dyDescent="0.25">
      <c r="A3" s="13" t="s">
        <v>2</v>
      </c>
      <c r="B3" s="21">
        <v>0.3</v>
      </c>
    </row>
    <row r="4" spans="1:10" x14ac:dyDescent="0.25">
      <c r="A4" s="13" t="s">
        <v>90</v>
      </c>
      <c r="B4" s="22">
        <v>16.5</v>
      </c>
    </row>
    <row r="5" spans="1:10" x14ac:dyDescent="0.25">
      <c r="A5" s="13" t="s">
        <v>91</v>
      </c>
      <c r="B5" s="23">
        <v>3</v>
      </c>
    </row>
    <row r="7" spans="1:10" x14ac:dyDescent="0.25">
      <c r="A7" s="7" t="s">
        <v>92</v>
      </c>
      <c r="B7" s="7" t="s">
        <v>93</v>
      </c>
      <c r="C7" s="7" t="s">
        <v>94</v>
      </c>
      <c r="D7" s="7" t="s">
        <v>95</v>
      </c>
      <c r="E7" s="7" t="s">
        <v>96</v>
      </c>
      <c r="F7" s="7" t="s">
        <v>97</v>
      </c>
      <c r="G7" s="7" t="s">
        <v>98</v>
      </c>
      <c r="H7" s="7" t="s">
        <v>99</v>
      </c>
      <c r="I7" s="7" t="s">
        <v>100</v>
      </c>
      <c r="J7" s="7" t="s">
        <v>18</v>
      </c>
    </row>
    <row r="8" spans="1:10" x14ac:dyDescent="0.25">
      <c r="A8" s="13" t="s">
        <v>101</v>
      </c>
      <c r="B8" s="22">
        <v>13</v>
      </c>
      <c r="C8" s="10">
        <v>2.85</v>
      </c>
      <c r="D8" s="10">
        <v>0.35</v>
      </c>
      <c r="E8" s="10">
        <v>1.2</v>
      </c>
      <c r="F8" s="10">
        <v>0.45</v>
      </c>
      <c r="G8" s="10">
        <f t="shared" ref="G8:G15" si="0">SUM(C8:F8)</f>
        <v>4.8500000000000005</v>
      </c>
      <c r="H8" s="20">
        <f t="shared" ref="H8:H15" si="1">G8/B8</f>
        <v>0.37307692307692314</v>
      </c>
      <c r="I8" s="10">
        <f t="shared" ref="I8:I15" si="2">B8-G8</f>
        <v>8.1499999999999986</v>
      </c>
      <c r="J8" s="13"/>
    </row>
    <row r="9" spans="1:10" x14ac:dyDescent="0.25">
      <c r="A9" s="13" t="s">
        <v>102</v>
      </c>
      <c r="B9" s="22">
        <v>11</v>
      </c>
      <c r="C9" s="10">
        <v>2.4</v>
      </c>
      <c r="D9" s="10">
        <v>0.6</v>
      </c>
      <c r="E9" s="10">
        <v>0.9</v>
      </c>
      <c r="F9" s="10">
        <v>0.3</v>
      </c>
      <c r="G9" s="10">
        <f t="shared" si="0"/>
        <v>4.2</v>
      </c>
      <c r="H9" s="20">
        <f t="shared" si="1"/>
        <v>0.38181818181818183</v>
      </c>
      <c r="I9" s="10">
        <f t="shared" si="2"/>
        <v>6.8</v>
      </c>
      <c r="J9" s="13" t="s">
        <v>103</v>
      </c>
    </row>
    <row r="10" spans="1:10" x14ac:dyDescent="0.25">
      <c r="A10" s="13" t="s">
        <v>104</v>
      </c>
      <c r="B10" s="22">
        <v>12.5</v>
      </c>
      <c r="C10" s="10">
        <v>2.15</v>
      </c>
      <c r="D10" s="10">
        <v>0</v>
      </c>
      <c r="E10" s="10">
        <v>1.45</v>
      </c>
      <c r="F10" s="10">
        <v>0.65</v>
      </c>
      <c r="G10" s="10">
        <f t="shared" si="0"/>
        <v>4.25</v>
      </c>
      <c r="H10" s="20">
        <f t="shared" si="1"/>
        <v>0.34</v>
      </c>
      <c r="I10" s="10">
        <f t="shared" si="2"/>
        <v>8.25</v>
      </c>
      <c r="J10" s="13" t="s">
        <v>105</v>
      </c>
    </row>
    <row r="11" spans="1:10" x14ac:dyDescent="0.25">
      <c r="A11" s="13" t="s">
        <v>106</v>
      </c>
      <c r="B11" s="22">
        <v>10</v>
      </c>
      <c r="C11" s="10">
        <v>0</v>
      </c>
      <c r="D11" s="10">
        <v>0.7</v>
      </c>
      <c r="E11" s="10">
        <v>1.8</v>
      </c>
      <c r="F11" s="10">
        <v>0.4</v>
      </c>
      <c r="G11" s="10">
        <f t="shared" si="0"/>
        <v>2.9</v>
      </c>
      <c r="H11" s="20">
        <f t="shared" si="1"/>
        <v>0.28999999999999998</v>
      </c>
      <c r="I11" s="10">
        <f t="shared" si="2"/>
        <v>7.1</v>
      </c>
      <c r="J11" s="13" t="s">
        <v>107</v>
      </c>
    </row>
    <row r="12" spans="1:10" x14ac:dyDescent="0.25">
      <c r="A12" s="13" t="s">
        <v>108</v>
      </c>
      <c r="B12" s="22">
        <v>9.5</v>
      </c>
      <c r="C12" s="10">
        <v>2.1</v>
      </c>
      <c r="D12" s="10">
        <v>0.45</v>
      </c>
      <c r="E12" s="10">
        <v>0.75</v>
      </c>
      <c r="F12" s="10">
        <v>0.25</v>
      </c>
      <c r="G12" s="10">
        <f t="shared" si="0"/>
        <v>3.5500000000000003</v>
      </c>
      <c r="H12" s="20">
        <f t="shared" si="1"/>
        <v>0.37368421052631584</v>
      </c>
      <c r="I12" s="10">
        <f t="shared" si="2"/>
        <v>5.9499999999999993</v>
      </c>
      <c r="J12" s="13" t="s">
        <v>109</v>
      </c>
    </row>
    <row r="13" spans="1:10" x14ac:dyDescent="0.25">
      <c r="A13" s="13" t="s">
        <v>110</v>
      </c>
      <c r="B13" s="22">
        <v>14</v>
      </c>
      <c r="C13" s="10">
        <v>3.2</v>
      </c>
      <c r="D13" s="10">
        <v>1.1000000000000001</v>
      </c>
      <c r="E13" s="10">
        <v>1.65</v>
      </c>
      <c r="F13" s="10">
        <v>0.5</v>
      </c>
      <c r="G13" s="10">
        <f t="shared" si="0"/>
        <v>6.4500000000000011</v>
      </c>
      <c r="H13" s="20">
        <f t="shared" si="1"/>
        <v>0.4607142857142858</v>
      </c>
      <c r="I13" s="10">
        <f t="shared" si="2"/>
        <v>7.5499999999999989</v>
      </c>
      <c r="J13" s="13" t="s">
        <v>111</v>
      </c>
    </row>
    <row r="14" spans="1:10" x14ac:dyDescent="0.25">
      <c r="A14" s="13" t="s">
        <v>112</v>
      </c>
      <c r="B14" s="22">
        <v>7</v>
      </c>
      <c r="C14" s="10">
        <v>1.4</v>
      </c>
      <c r="D14" s="10">
        <v>0.2</v>
      </c>
      <c r="E14" s="10">
        <v>0.45</v>
      </c>
      <c r="F14" s="10">
        <v>0.35</v>
      </c>
      <c r="G14" s="10">
        <f t="shared" si="0"/>
        <v>2.4</v>
      </c>
      <c r="H14" s="20">
        <f t="shared" si="1"/>
        <v>0.34285714285714286</v>
      </c>
      <c r="I14" s="10">
        <f t="shared" si="2"/>
        <v>4.5999999999999996</v>
      </c>
      <c r="J14" s="13"/>
    </row>
    <row r="15" spans="1:10" x14ac:dyDescent="0.25">
      <c r="A15" s="13" t="s">
        <v>113</v>
      </c>
      <c r="B15" s="22">
        <v>4</v>
      </c>
      <c r="C15" s="10">
        <v>0</v>
      </c>
      <c r="D15" s="10">
        <v>0</v>
      </c>
      <c r="E15" s="10">
        <v>0</v>
      </c>
      <c r="F15" s="10">
        <v>0.85</v>
      </c>
      <c r="G15" s="10">
        <f t="shared" si="0"/>
        <v>0.85</v>
      </c>
      <c r="H15" s="20">
        <f t="shared" si="1"/>
        <v>0.21249999999999999</v>
      </c>
      <c r="I15" s="10">
        <f t="shared" si="2"/>
        <v>3.15</v>
      </c>
      <c r="J15" s="13" t="s">
        <v>114</v>
      </c>
    </row>
    <row r="18" spans="1:2" x14ac:dyDescent="0.25">
      <c r="A18" s="14" t="s">
        <v>115</v>
      </c>
      <c r="B18" s="20">
        <f>AVERAGE(H8:H15)</f>
        <v>0.34683134299910617</v>
      </c>
    </row>
    <row r="19" spans="1:2" x14ac:dyDescent="0.25">
      <c r="A19" s="13" t="s">
        <v>116</v>
      </c>
      <c r="B19" s="13">
        <f>COUNTIF(H8:H15,"&gt;"&amp;B3)</f>
        <v>6</v>
      </c>
    </row>
    <row r="21" spans="1:2" x14ac:dyDescent="0.25">
      <c r="A21" s="14" t="s">
        <v>117</v>
      </c>
    </row>
    <row r="22" spans="1:2" x14ac:dyDescent="0.25">
      <c r="A22" s="13" t="s">
        <v>118</v>
      </c>
    </row>
    <row r="23" spans="1:2" x14ac:dyDescent="0.25">
      <c r="A23" s="13" t="s">
        <v>119</v>
      </c>
    </row>
    <row r="24" spans="1:2" x14ac:dyDescent="0.25">
      <c r="A24" s="13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Sales</vt:lpstr>
      <vt:lpstr>Food Waste</vt:lpstr>
      <vt:lpstr>Menu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Reed</dc:creator>
  <cp:lastModifiedBy>Samuel Reed</cp:lastModifiedBy>
  <dcterms:created xsi:type="dcterms:W3CDTF">2024-07-07T16:02:40Z</dcterms:created>
  <dcterms:modified xsi:type="dcterms:W3CDTF">2025-02-14T17:17:40Z</dcterms:modified>
  <cp:revision>1</cp:revision>
</cp:coreProperties>
</file>