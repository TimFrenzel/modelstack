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000_drive_drive\600_PROJECTS\modelstack\sheets\business\saas-mrr-notes\"/>
    </mc:Choice>
  </mc:AlternateContent>
  <xr:revisionPtr revIDLastSave="0" documentId="13_ncr:1_{3C0597CD-4BAF-4C5A-A71B-B99BE6F39DFF}" xr6:coauthVersionLast="47" xr6:coauthVersionMax="47" xr10:uidLastSave="{00000000-0000-0000-0000-000000000000}"/>
  <bookViews>
    <workbookView xWindow="-35520" yWindow="2145" windowWidth="28800" windowHeight="15345" activeTab="4" xr2:uid="{00000000-000D-0000-FFFF-FFFF00000000}"/>
  </bookViews>
  <sheets>
    <sheet name="Business Inputs" sheetId="1" r:id="rId1"/>
    <sheet name="Monthly MRR Bridge" sheetId="2" r:id="rId2"/>
    <sheet name="Cohort Retention" sheetId="3" r:id="rId3"/>
    <sheet name="Acquisition &amp; Unit Economics" sheetId="4" r:id="rId4"/>
    <sheet name="Snapshot &amp; Scenario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4" l="1"/>
  <c r="B10" i="4"/>
  <c r="B7" i="4"/>
  <c r="B6" i="1" s="1"/>
  <c r="B6" i="4"/>
  <c r="D5" i="4"/>
  <c r="D4" i="4"/>
  <c r="D3" i="4"/>
  <c r="B3" i="2"/>
  <c r="D3" i="2" s="1"/>
  <c r="B5" i="1"/>
  <c r="D22" i="5" s="1"/>
  <c r="E22" i="5" s="1"/>
  <c r="E3" i="1"/>
  <c r="B12" i="4" l="1"/>
  <c r="B13" i="5" s="1"/>
  <c r="B8" i="4"/>
  <c r="B12" i="5" s="1"/>
  <c r="F3" i="2"/>
  <c r="H3" i="2" s="1"/>
  <c r="B4" i="5"/>
  <c r="C13" i="2"/>
  <c r="G13" i="2" s="1"/>
  <c r="C3" i="2"/>
  <c r="C5" i="2"/>
  <c r="C6" i="2"/>
  <c r="C11" i="2"/>
  <c r="G11" i="2" s="1"/>
  <c r="C7" i="2"/>
  <c r="C9" i="2"/>
  <c r="G9" i="2" s="1"/>
  <c r="C12" i="2"/>
  <c r="G12" i="2" s="1"/>
  <c r="C10" i="2"/>
  <c r="G10" i="2" s="1"/>
  <c r="C14" i="2"/>
  <c r="G14" i="2" s="1"/>
  <c r="C4" i="2"/>
  <c r="C8" i="2"/>
  <c r="B13" i="4"/>
  <c r="J3" i="2"/>
  <c r="I3" i="2"/>
  <c r="D20" i="5"/>
  <c r="E20" i="5" s="1"/>
  <c r="D21" i="5"/>
  <c r="E21" i="5" s="1"/>
  <c r="E8" i="1" l="1"/>
  <c r="B14" i="5"/>
  <c r="B7" i="3"/>
  <c r="D7" i="3" s="1"/>
  <c r="G7" i="2"/>
  <c r="C7" i="3" s="1"/>
  <c r="G4" i="2"/>
  <c r="C4" i="3" s="1"/>
  <c r="B4" i="3"/>
  <c r="D4" i="3" s="1"/>
  <c r="E3" i="2"/>
  <c r="B3" i="3"/>
  <c r="D3" i="3" s="1"/>
  <c r="G3" i="2"/>
  <c r="G8" i="2"/>
  <c r="C8" i="3" s="1"/>
  <c r="B8" i="3"/>
  <c r="D8" i="3" s="1"/>
  <c r="B6" i="3"/>
  <c r="D6" i="3" s="1"/>
  <c r="G6" i="2"/>
  <c r="C6" i="3" s="1"/>
  <c r="G5" i="2"/>
  <c r="C5" i="3" s="1"/>
  <c r="B5" i="3"/>
  <c r="D5" i="3" s="1"/>
  <c r="E8" i="3" l="1"/>
  <c r="F8" i="3" s="1"/>
  <c r="G8" i="3" s="1"/>
  <c r="H8" i="3" s="1"/>
  <c r="I8" i="3" s="1"/>
  <c r="J8" i="3" s="1"/>
  <c r="E5" i="3"/>
  <c r="F5" i="3" s="1"/>
  <c r="G5" i="3" s="1"/>
  <c r="H5" i="3" s="1"/>
  <c r="I5" i="3" s="1"/>
  <c r="J5" i="3" s="1"/>
  <c r="E6" i="3"/>
  <c r="F6" i="3" s="1"/>
  <c r="G6" i="3" s="1"/>
  <c r="H6" i="3" s="1"/>
  <c r="I6" i="3" s="1"/>
  <c r="J6" i="3" s="1"/>
  <c r="C3" i="3"/>
  <c r="K3" i="2"/>
  <c r="L3" i="2" s="1"/>
  <c r="E3" i="3"/>
  <c r="F3" i="3" s="1"/>
  <c r="G3" i="3" s="1"/>
  <c r="H3" i="3" s="1"/>
  <c r="I3" i="3" s="1"/>
  <c r="J3" i="3" s="1"/>
  <c r="B4" i="2"/>
  <c r="E4" i="3"/>
  <c r="F4" i="3" s="1"/>
  <c r="G4" i="3" s="1"/>
  <c r="H4" i="3" s="1"/>
  <c r="I4" i="3" s="1"/>
  <c r="J4" i="3" s="1"/>
  <c r="E7" i="3"/>
  <c r="F7" i="3" s="1"/>
  <c r="G7" i="3" s="1"/>
  <c r="H7" i="3" s="1"/>
  <c r="I7" i="3" s="1"/>
  <c r="J7" i="3" s="1"/>
  <c r="K3" i="3" l="1"/>
  <c r="K6" i="3"/>
  <c r="K7" i="3"/>
  <c r="K4" i="3"/>
  <c r="D4" i="2"/>
  <c r="E4" i="2" s="1"/>
  <c r="F4" i="2"/>
  <c r="M3" i="2"/>
  <c r="K5" i="3"/>
  <c r="K8" i="3"/>
  <c r="B5" i="2" l="1"/>
  <c r="J4" i="2"/>
  <c r="I4" i="2"/>
  <c r="H4" i="2"/>
  <c r="N3" i="2"/>
  <c r="K4" i="2" l="1"/>
  <c r="F5" i="2" s="1"/>
  <c r="D5" i="2"/>
  <c r="E5" i="2" s="1"/>
  <c r="L4" i="2" l="1"/>
  <c r="M4" i="2"/>
  <c r="N4" i="2" s="1"/>
  <c r="B6" i="2"/>
  <c r="I5" i="2"/>
  <c r="J5" i="2"/>
  <c r="H5" i="2"/>
  <c r="K5" i="2" l="1"/>
  <c r="F6" i="2" s="1"/>
  <c r="D6" i="2"/>
  <c r="E6" i="2" s="1"/>
  <c r="L5" i="2" l="1"/>
  <c r="M5" i="2"/>
  <c r="B7" i="2"/>
  <c r="N5" i="2"/>
  <c r="H6" i="2"/>
  <c r="I6" i="2"/>
  <c r="J6" i="2"/>
  <c r="K6" i="2" l="1"/>
  <c r="M6" i="2" s="1"/>
  <c r="F7" i="2"/>
  <c r="L6" i="2"/>
  <c r="D7" i="2"/>
  <c r="E7" i="2" s="1"/>
  <c r="J7" i="2" l="1"/>
  <c r="I7" i="2"/>
  <c r="H7" i="2"/>
  <c r="K7" i="2" s="1"/>
  <c r="B8" i="2"/>
  <c r="N6" i="2"/>
  <c r="M7" i="2" l="1"/>
  <c r="F8" i="2"/>
  <c r="L7" i="2"/>
  <c r="D8" i="2"/>
  <c r="E8" i="2" s="1"/>
  <c r="B9" i="2" l="1"/>
  <c r="H8" i="2"/>
  <c r="I8" i="2"/>
  <c r="J8" i="2"/>
  <c r="N7" i="2"/>
  <c r="K8" i="2" l="1"/>
  <c r="F9" i="2"/>
  <c r="M8" i="2"/>
  <c r="N8" i="2" s="1"/>
  <c r="D9" i="2"/>
  <c r="E9" i="2" s="1"/>
  <c r="L8" i="2"/>
  <c r="B10" i="2" l="1"/>
  <c r="J9" i="2"/>
  <c r="I9" i="2"/>
  <c r="H9" i="2"/>
  <c r="K9" i="2" l="1"/>
  <c r="F10" i="2"/>
  <c r="M9" i="2"/>
  <c r="N9" i="2" s="1"/>
  <c r="L9" i="2"/>
  <c r="D10" i="2"/>
  <c r="E10" i="2" s="1"/>
  <c r="B11" i="2" l="1"/>
  <c r="I10" i="2"/>
  <c r="H10" i="2"/>
  <c r="J10" i="2"/>
  <c r="K10" i="2" l="1"/>
  <c r="F11" i="2" s="1"/>
  <c r="D11" i="2"/>
  <c r="E11" i="2" s="1"/>
  <c r="L10" i="2" l="1"/>
  <c r="M10" i="2"/>
  <c r="N10" i="2" s="1"/>
  <c r="B12" i="2"/>
  <c r="J11" i="2"/>
  <c r="H11" i="2"/>
  <c r="I11" i="2"/>
  <c r="K11" i="2" l="1"/>
  <c r="M11" i="2"/>
  <c r="N11" i="2" s="1"/>
  <c r="F12" i="2"/>
  <c r="L11" i="2"/>
  <c r="D12" i="2"/>
  <c r="E12" i="2" s="1"/>
  <c r="B13" i="2" l="1"/>
  <c r="J12" i="2"/>
  <c r="I12" i="2"/>
  <c r="H12" i="2"/>
  <c r="K12" i="2" l="1"/>
  <c r="F13" i="2"/>
  <c r="M12" i="2"/>
  <c r="N12" i="2" s="1"/>
  <c r="L12" i="2"/>
  <c r="D13" i="2"/>
  <c r="E13" i="2" s="1"/>
  <c r="B14" i="2" l="1"/>
  <c r="H13" i="2"/>
  <c r="I13" i="2"/>
  <c r="J13" i="2"/>
  <c r="K13" i="2" l="1"/>
  <c r="F14" i="2" s="1"/>
  <c r="D14" i="2"/>
  <c r="E14" i="2" s="1"/>
  <c r="L13" i="2" l="1"/>
  <c r="M13" i="2"/>
  <c r="N13" i="2" s="1"/>
  <c r="B7" i="5"/>
  <c r="J14" i="2"/>
  <c r="I14" i="2"/>
  <c r="H14" i="2"/>
  <c r="B14" i="4" l="1"/>
  <c r="B15" i="5" s="1"/>
  <c r="K14" i="2"/>
  <c r="E5" i="1"/>
  <c r="Q4" i="2"/>
  <c r="E4" i="1"/>
  <c r="Q3" i="2"/>
  <c r="M14" i="2"/>
  <c r="B6" i="5"/>
  <c r="B5" i="5"/>
  <c r="L14" i="2"/>
  <c r="E6" i="1" l="1"/>
  <c r="N14" i="2"/>
  <c r="Q5" i="2"/>
  <c r="E7" i="1" l="1"/>
  <c r="B8" i="5"/>
</calcChain>
</file>

<file path=xl/sharedStrings.xml><?xml version="1.0" encoding="utf-8"?>
<sst xmlns="http://schemas.openxmlformats.org/spreadsheetml/2006/main" count="105" uniqueCount="89">
  <si>
    <t>SaaS MRR notes</t>
  </si>
  <si>
    <t>Business Inputs</t>
  </si>
  <si>
    <t>This month</t>
  </si>
  <si>
    <t>Starting Customers</t>
  </si>
  <si>
    <t>Starting MRR</t>
  </si>
  <si>
    <t>Starting ARPA</t>
  </si>
  <si>
    <t>Ending MRR</t>
  </si>
  <si>
    <t>Ending ARR</t>
  </si>
  <si>
    <t>Monthly New Customers</t>
  </si>
  <si>
    <t>Month 12 gross profit</t>
  </si>
  <si>
    <t>Monthly Logo Churn</t>
  </si>
  <si>
    <t>Month 12 operating margin</t>
  </si>
  <si>
    <t>Monthly Expansion MRR Rate</t>
  </si>
  <si>
    <t>CAC payback months</t>
  </si>
  <si>
    <t>Monthly Contraction MRR Rate</t>
  </si>
  <si>
    <t>Gross Margin</t>
  </si>
  <si>
    <t>Fixed Monthly OpEx</t>
  </si>
  <si>
    <t>Planning Horizon (months)</t>
  </si>
  <si>
    <t>Monthly MRR Bridge</t>
  </si>
  <si>
    <t>Month</t>
  </si>
  <si>
    <t>Start Customers</t>
  </si>
  <si>
    <t>New Customers</t>
  </si>
  <si>
    <t>Churned Customers</t>
  </si>
  <si>
    <t>End Customers</t>
  </si>
  <si>
    <t>Start MRR</t>
  </si>
  <si>
    <t>New MRR</t>
  </si>
  <si>
    <t>Expansion MRR</t>
  </si>
  <si>
    <t>Contraction MRR</t>
  </si>
  <si>
    <t>Churn MRR</t>
  </si>
  <si>
    <t>End MRR</t>
  </si>
  <si>
    <t>ARPA</t>
  </si>
  <si>
    <t>Gross Profit</t>
  </si>
  <si>
    <t>Operating Margin $</t>
  </si>
  <si>
    <t>Bridge recap</t>
  </si>
  <si>
    <t>Jan</t>
  </si>
  <si>
    <t>Feb</t>
  </si>
  <si>
    <t>Net new MRR</t>
  </si>
  <si>
    <t>Mar</t>
  </si>
  <si>
    <t>Avg monthly gross profit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</si>
  <si>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</si>
  <si>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</si>
  <si>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</si>
  <si>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</si>
  <si>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</si>
  <si>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</si>
  <si>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</si>
  <si>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</si>
  <si>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</si>
  <si>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Cohort Retention</t>
  </si>
  <si>
    <t>Cohort</t>
  </si>
  <si>
    <t>Starting Cohort MRR</t>
  </si>
  <si>
    <t>Month 0</t>
  </si>
  <si>
    <t>Month 1</t>
  </si>
  <si>
    <t>Month 2</t>
  </si>
  <si>
    <t>Month 3</t>
  </si>
  <si>
    <t>Month 4</t>
  </si>
  <si>
    <t>Month 5</t>
  </si>
  <si>
    <t>Month 6</t>
  </si>
  <si>
    <t>6-Mo Gross Profit</t>
  </si>
  <si>
    <t>Acquisition &amp; Unit Economics</t>
  </si>
  <si>
    <t>Channel</t>
  </si>
  <si>
    <t>Spend</t>
  </si>
  <si>
    <t>CAC</t>
  </si>
  <si>
    <t>Paid Search</t>
  </si>
  <si>
    <t>Review Sites</t>
  </si>
  <si>
    <t>Partner Referrals</t>
  </si>
  <si>
    <t>Total paid acquisition spend</t>
  </si>
  <si>
    <t>Total new customers</t>
  </si>
  <si>
    <t>Blended CAC</t>
  </si>
  <si>
    <t>Gross profit / customer / month</t>
  </si>
  <si>
    <t>Customer lifetime (months)</t>
  </si>
  <si>
    <t>Gross LTV</t>
  </si>
  <si>
    <t>CAC payback (months)</t>
  </si>
  <si>
    <t>SaaS quick ratio</t>
  </si>
  <si>
    <t>Snapshot &amp; Scenarios</t>
  </si>
  <si>
    <t>Now</t>
  </si>
  <si>
    <t>Ending customers</t>
  </si>
  <si>
    <t>Unit econ</t>
  </si>
  <si>
    <t>CAC payback</t>
  </si>
  <si>
    <t>Quick ratio</t>
  </si>
  <si>
    <t>Cases</t>
  </si>
  <si>
    <t>Case</t>
  </si>
  <si>
    <t>New Cust Mult</t>
  </si>
  <si>
    <t>Churn Mult</t>
  </si>
  <si>
    <t>Approx. Ending MRR</t>
  </si>
  <si>
    <t>Approx. Ending ARR</t>
  </si>
  <si>
    <t>Base</t>
  </si>
  <si>
    <t>Upside</t>
  </si>
  <si>
    <t>Downside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</si>
</sst>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.0%"/>
    <numFmt numFmtId="166" formatCode="&quot;$&quot;#,##0"/>
  </numFmts>
  <fonts count="6" x14ac:knownFonts="1">
    <font>
      <sz val="11"/>
      <color theme="1"/>
      <name val="Calibri"/>
      <family val="2"/>
      <scheme val="minor"/>
    </font>
    <font>
      <b/>
      <sz val="14"/>
      <color rgb="FF333333"/>
      <name val="Calibri"/>
      <family val="2"/>
    </font>
    <font>
      <b/>
      <sz val="11"/>
      <color rgb="FF3D4A35"/>
      <name val="Calibri"/>
      <family val="2"/>
    </font>
    <font>
      <sz val="11"/>
      <color rgb="FF000000"/>
      <name val="Calibri"/>
      <family val="2"/>
    </font>
    <font>
      <sz val="11"/>
      <color rgb="FF4472C4"/>
      <name val="Calibri"/>
      <family val="2"/>
    </font>
    <font>
      <i/>
      <sz val="9"/>
      <color rgb="FF66615A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DE5D4"/>
      </patternFill>
    </fill>
    <fill>
      <patternFill patternType="solid">
        <fgColor rgb="FFFFF2CC"/>
      </patternFill>
    </fill>
    <fill>
      <patternFill patternType="solid">
        <fgColor rgb="FFE7EDE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3" fillId="4" borderId="1" xfId="0" applyFont="1" applyFill="1" applyBorder="1" applyAlignment="1">
      <alignment vertical="center"/>
    </xf>
    <xf numFmtId="164" fontId="3" fillId="3" borderId="0" xfId="0" applyNumberFormat="1" applyFont="1" applyFill="1" applyAlignment="1">
      <alignment vertical="center"/>
    </xf>
    <xf numFmtId="166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165" fontId="3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166" fontId="3" fillId="3" borderId="0" xfId="0" applyNumberFormat="1" applyFont="1" applyFill="1" applyAlignment="1">
      <alignment vertical="center"/>
    </xf>
    <xf numFmtId="164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vertical="center"/>
    </xf>
    <xf numFmtId="0" fontId="3" fillId="3" borderId="0" xfId="0" applyFont="1" applyFill="1" applyAlignment="1">
      <alignment vertical="center"/>
    </xf>
    <xf numFmtId="2" fontId="3" fillId="3" borderId="0" xfId="0" applyNumberFormat="1" applyFont="1" applyFill="1" applyAlignment="1">
      <alignment vertical="center"/>
    </xf>
    <xf numFmtId="0" fontId="2" fillId="2" borderId="3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166" fontId="4" fillId="5" borderId="2" xfId="0" applyNumberFormat="1" applyFont="1" applyFill="1" applyBorder="1" applyAlignment="1">
      <alignment vertical="center"/>
    </xf>
    <xf numFmtId="2" fontId="4" fillId="5" borderId="2" xfId="0" applyNumberFormat="1" applyFont="1" applyFill="1" applyBorder="1" applyAlignment="1">
      <alignment vertical="center"/>
    </xf>
    <xf numFmtId="166" fontId="4" fillId="5" borderId="1" xfId="0" applyNumberFormat="1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3" fontId="4" fillId="5" borderId="1" xfId="0" applyNumberFormat="1" applyFont="1" applyFill="1" applyBorder="1" applyAlignment="1">
      <alignment vertical="center"/>
    </xf>
    <xf numFmtId="0" fontId="0" fillId="5" borderId="0" xfId="0" applyFill="1" applyAlignment="1">
      <alignment vertical="center"/>
    </xf>
    <xf numFmtId="164" fontId="4" fillId="5" borderId="1" xfId="0" applyNumberFormat="1" applyFont="1" applyFill="1" applyBorder="1" applyAlignment="1">
      <alignment vertical="center"/>
    </xf>
    <xf numFmtId="2" fontId="4" fillId="5" borderId="1" xfId="0" applyNumberFormat="1" applyFont="1" applyFill="1" applyBorder="1" applyAlignment="1">
      <alignment vertical="center"/>
    </xf>
    <xf numFmtId="0" fontId="0" fillId="5" borderId="0" xfId="0" applyFill="1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Scenario ARR</a:t>
            </a:r>
          </a:p>
        </c:rich>
      </c:tx>
      <c:layout>
        <c:manualLayout>
          <c:xMode val="edge"/>
          <c:yMode val="edge"/>
          <c:x val="0.43853860674292511"/>
          <c:y val="1.666666666666666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47311027382323"/>
          <c:y val="0.10833333333333332"/>
          <c:w val="0.77647722401461994"/>
          <c:h val="0.6942405949256343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'Snapshot &amp; Scenarios'!$E$19</c:f>
              <c:strCache>
                <c:ptCount val="1"/>
                <c:pt idx="0">
                  <c:v>Approx. Ending ARR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385-4527-BBB0-D2CFB1673AF5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385-4527-BBB0-D2CFB1673AF5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385-4527-BBB0-D2CFB1673AF5}"/>
              </c:ext>
            </c:extLst>
          </c:dPt>
          <c:cat>
            <c:strRef>
              <c:f>'Snapshot &amp; Scenarios'!$A$20:$A$22</c:f>
              <c:strCache>
                <c:ptCount val="3"/>
                <c:pt idx="0">
                  <c:v>Base</c:v>
                </c:pt>
                <c:pt idx="1">
                  <c:v>Upside</c:v>
                </c:pt>
                <c:pt idx="2">
                  <c:v>Downside</c:v>
                </c:pt>
              </c:strCache>
            </c:strRef>
          </c:cat>
          <c:val>
            <c:numRef>
              <c:f>'Snapshot &amp; Scenarios'!$E$20:$E$22</c:f>
              <c:numCache>
                <c:formatCode>"$"#,##0</c:formatCode>
                <c:ptCount val="3"/>
                <c:pt idx="0">
                  <c:v>364359.82680798718</c:v>
                </c:pt>
                <c:pt idx="1">
                  <c:v>458922.92530466348</c:v>
                </c:pt>
                <c:pt idx="2">
                  <c:v>287976.14970494236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E6-4271-A0D1-404DD17EF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Case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ARR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225293113432456"/>
          <c:y val="0.90363407699037634"/>
          <c:w val="0.28987809188607871"/>
          <c:h val="5.19214785651793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352425</xdr:colOff>
      <xdr:row>1</xdr:row>
      <xdr:rowOff>190500</xdr:rowOff>
    </xdr:from>
    <xdr:ext cx="6648450" cy="4572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showGridLines="0" zoomScale="160" zoomScaleNormal="160" workbookViewId="0">
      <selection activeCell="G10" sqref="G10"/>
    </sheetView>
  </sheetViews>
  <sheetFormatPr defaultRowHeight="15" x14ac:dyDescent="0.25"/>
  <cols>
    <col min="1" max="1" width="28.5703125" bestFit="1" customWidth="1"/>
    <col min="3" max="3" width="4" customWidth="1"/>
    <col min="4" max="4" width="29.5703125" bestFit="1" customWidth="1"/>
  </cols>
  <sheetData>
    <row r="1" spans="1:5" ht="18.75" x14ac:dyDescent="0.25">
      <c r="A1" s="1" t="s">
        <v>0</v>
      </c>
      <c r="B1" s="2"/>
      <c r="C1" s="2"/>
      <c r="D1" s="2"/>
      <c r="E1" s="2"/>
    </row>
    <row r="2" spans="1:5" x14ac:dyDescent="0.25">
      <c r="A2" s="3" t="s">
        <v>1</v>
      </c>
      <c r="B2" s="2"/>
      <c r="C2" s="2"/>
      <c r="D2" s="17" t="s">
        <v>2</v>
      </c>
      <c r="E2" s="2"/>
    </row>
    <row r="3" spans="1:5" x14ac:dyDescent="0.25">
      <c r="A3" s="4" t="s">
        <v>3</v>
      </c>
      <c r="B3" s="5">
        <v>180</v>
      </c>
      <c r="C3" s="2"/>
      <c r="D3" s="18" t="s">
        <v>4</v>
      </c>
      <c r="E3" s="19">
        <f>B5</f>
        <v>15300</v>
      </c>
    </row>
    <row r="4" spans="1:5" x14ac:dyDescent="0.25">
      <c r="A4" s="4" t="s">
        <v>5</v>
      </c>
      <c r="B4" s="7">
        <v>85</v>
      </c>
      <c r="C4" s="2"/>
      <c r="D4" s="18" t="s">
        <v>6</v>
      </c>
      <c r="E4" s="19">
        <f>'Monthly MRR Bridge'!K14</f>
        <v>25032.337694293601</v>
      </c>
    </row>
    <row r="5" spans="1:5" x14ac:dyDescent="0.25">
      <c r="A5" s="4" t="s">
        <v>4</v>
      </c>
      <c r="B5" s="8">
        <f>B3*B4</f>
        <v>15300</v>
      </c>
      <c r="C5" s="2"/>
      <c r="D5" s="18" t="s">
        <v>7</v>
      </c>
      <c r="E5" s="19">
        <f>'Monthly MRR Bridge'!K14*12</f>
        <v>300388.05233152321</v>
      </c>
    </row>
    <row r="6" spans="1:5" x14ac:dyDescent="0.25">
      <c r="A6" s="4" t="s">
        <v>8</v>
      </c>
      <c r="B6" s="9">
        <f>'Acquisition &amp; Unit Economics'!B7</f>
        <v>14</v>
      </c>
      <c r="C6" s="2"/>
      <c r="D6" s="18" t="s">
        <v>9</v>
      </c>
      <c r="E6" s="19">
        <f>'Monthly MRR Bridge'!M14</f>
        <v>20526.516909320751</v>
      </c>
    </row>
    <row r="7" spans="1:5" x14ac:dyDescent="0.25">
      <c r="A7" s="4" t="s">
        <v>10</v>
      </c>
      <c r="B7" s="10">
        <v>2.5000000000000001E-2</v>
      </c>
      <c r="C7" s="2"/>
      <c r="D7" s="18" t="s">
        <v>11</v>
      </c>
      <c r="E7" s="19">
        <f>'Monthly MRR Bridge'!N14</f>
        <v>-45473.483090679249</v>
      </c>
    </row>
    <row r="8" spans="1:5" x14ac:dyDescent="0.25">
      <c r="A8" s="4" t="s">
        <v>12</v>
      </c>
      <c r="B8" s="10">
        <v>0.01</v>
      </c>
      <c r="C8" s="2"/>
      <c r="D8" s="18" t="s">
        <v>13</v>
      </c>
      <c r="E8" s="20">
        <f>'Acquisition &amp; Unit Economics'!B13</f>
        <v>18.446402951424471</v>
      </c>
    </row>
    <row r="9" spans="1:5" x14ac:dyDescent="0.25">
      <c r="A9" s="4" t="s">
        <v>14</v>
      </c>
      <c r="B9" s="10">
        <v>4.0000000000000001E-3</v>
      </c>
      <c r="C9" s="2"/>
      <c r="D9" s="2"/>
      <c r="E9" s="2"/>
    </row>
    <row r="10" spans="1:5" x14ac:dyDescent="0.25">
      <c r="A10" s="4" t="s">
        <v>15</v>
      </c>
      <c r="B10" s="10">
        <v>0.82</v>
      </c>
      <c r="C10" s="2"/>
      <c r="D10" s="11"/>
      <c r="E10" s="2"/>
    </row>
    <row r="11" spans="1:5" x14ac:dyDescent="0.25">
      <c r="A11" s="4" t="s">
        <v>16</v>
      </c>
      <c r="B11" s="12">
        <v>48000</v>
      </c>
      <c r="C11" s="2"/>
      <c r="D11" s="11"/>
      <c r="E11" s="2"/>
    </row>
    <row r="12" spans="1:5" x14ac:dyDescent="0.25">
      <c r="A12" s="4" t="s">
        <v>17</v>
      </c>
      <c r="B12" s="5">
        <v>12</v>
      </c>
      <c r="C12" s="2"/>
      <c r="D12" s="2"/>
      <c r="E12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4"/>
  <sheetViews>
    <sheetView showGridLines="0" workbookViewId="0">
      <selection activeCell="E11" sqref="E11"/>
    </sheetView>
  </sheetViews>
  <sheetFormatPr defaultRowHeight="15" x14ac:dyDescent="0.25"/>
  <cols>
    <col min="1" max="14" width="15.28515625" customWidth="1"/>
    <col min="15" max="15" width="8" customWidth="1"/>
    <col min="16" max="16" width="23" bestFit="1" customWidth="1"/>
  </cols>
  <sheetData>
    <row r="1" spans="1:17" ht="18.75" x14ac:dyDescent="0.25">
      <c r="A1" s="1" t="s">
        <v>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5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2"/>
      <c r="P2" s="17" t="s">
        <v>33</v>
      </c>
      <c r="Q2" s="2"/>
    </row>
    <row r="3" spans="1:17" x14ac:dyDescent="0.25">
      <c r="A3" s="4" t="s">
        <v>34</v>
      </c>
      <c r="B3" s="9">
        <f>'Business Inputs'!$B$3</f>
        <v>180</v>
      </c>
      <c r="C3" s="9">
        <f>'Business Inputs'!$B$6</f>
        <v>14</v>
      </c>
      <c r="D3" s="9">
        <f>ROUND(B3*'Business Inputs'!$B$7,0)</f>
        <v>5</v>
      </c>
      <c r="E3" s="9">
        <f t="shared" ref="E3:E14" si="0">B3+C3-D3</f>
        <v>189</v>
      </c>
      <c r="F3" s="8">
        <f>'Business Inputs'!$B$5</f>
        <v>15300</v>
      </c>
      <c r="G3" s="8">
        <f>C3*'Business Inputs'!$B$4</f>
        <v>1190</v>
      </c>
      <c r="H3" s="8">
        <f>F3*'Business Inputs'!$B$8</f>
        <v>153</v>
      </c>
      <c r="I3" s="8">
        <f>F3*'Business Inputs'!$B$9*-1</f>
        <v>-61.2</v>
      </c>
      <c r="J3" s="8">
        <f>F3*'Business Inputs'!$B$7*-1</f>
        <v>-382.5</v>
      </c>
      <c r="K3" s="8">
        <f t="shared" ref="K3:K14" si="1">F3+G3+H3+I3+J3</f>
        <v>16199.3</v>
      </c>
      <c r="L3" s="13">
        <f t="shared" ref="L3:L14" si="2">IF(E3=0,0,K3/E3)</f>
        <v>85.710582010582002</v>
      </c>
      <c r="M3" s="8">
        <f>K3*'Business Inputs'!$B$10</f>
        <v>13283.425999999999</v>
      </c>
      <c r="N3" s="8">
        <f>M3-'Business Inputs'!$B$11-'Acquisition &amp; Unit Economics'!$B$6</f>
        <v>-52716.574000000001</v>
      </c>
      <c r="O3" s="2"/>
      <c r="P3" s="22" t="s">
        <v>6</v>
      </c>
      <c r="Q3" s="19">
        <f>K14</f>
        <v>25032.337694293601</v>
      </c>
    </row>
    <row r="4" spans="1:17" x14ac:dyDescent="0.25">
      <c r="A4" s="4" t="s">
        <v>35</v>
      </c>
      <c r="B4" s="9">
        <f t="shared" ref="B4:B14" si="3">E3</f>
        <v>189</v>
      </c>
      <c r="C4" s="9">
        <f>'Business Inputs'!$B$6</f>
        <v>14</v>
      </c>
      <c r="D4" s="9">
        <f>ROUND(B4*'Business Inputs'!$B$7,0)</f>
        <v>5</v>
      </c>
      <c r="E4" s="9">
        <f t="shared" si="0"/>
        <v>198</v>
      </c>
      <c r="F4" s="8">
        <f t="shared" ref="F4:F14" si="4">K3</f>
        <v>16199.3</v>
      </c>
      <c r="G4" s="8">
        <f>C4*'Business Inputs'!$B$4</f>
        <v>1190</v>
      </c>
      <c r="H4" s="8">
        <f>F4*'Business Inputs'!$B$8</f>
        <v>161.99299999999999</v>
      </c>
      <c r="I4" s="8">
        <f>F4*'Business Inputs'!$B$9*-1</f>
        <v>-64.797200000000004</v>
      </c>
      <c r="J4" s="8">
        <f>F4*'Business Inputs'!$B$7*-1</f>
        <v>-404.98250000000002</v>
      </c>
      <c r="K4" s="8">
        <f t="shared" si="1"/>
        <v>17081.513299999999</v>
      </c>
      <c r="L4" s="13">
        <f t="shared" si="2"/>
        <v>86.270269191919184</v>
      </c>
      <c r="M4" s="8">
        <f>K4*'Business Inputs'!$B$10</f>
        <v>14006.840905999998</v>
      </c>
      <c r="N4" s="8">
        <f>M4-'Business Inputs'!$B$11-'Acquisition &amp; Unit Economics'!$B$6</f>
        <v>-51993.159094000002</v>
      </c>
      <c r="O4" s="2"/>
      <c r="P4" s="22" t="s">
        <v>36</v>
      </c>
      <c r="Q4" s="19">
        <f>K14-'Business Inputs'!B5</f>
        <v>9732.3376942936011</v>
      </c>
    </row>
    <row r="5" spans="1:17" x14ac:dyDescent="0.25">
      <c r="A5" s="4" t="s">
        <v>37</v>
      </c>
      <c r="B5" s="9">
        <f t="shared" si="3"/>
        <v>198</v>
      </c>
      <c r="C5" s="9">
        <f>'Business Inputs'!$B$6</f>
        <v>14</v>
      </c>
      <c r="D5" s="9">
        <f>ROUND(B5*'Business Inputs'!$B$7,0)</f>
        <v>5</v>
      </c>
      <c r="E5" s="9">
        <f t="shared" si="0"/>
        <v>207</v>
      </c>
      <c r="F5" s="8">
        <f t="shared" si="4"/>
        <v>17081.513299999999</v>
      </c>
      <c r="G5" s="8">
        <f>C5*'Business Inputs'!$B$4</f>
        <v>1190</v>
      </c>
      <c r="H5" s="8">
        <f>F5*'Business Inputs'!$B$8</f>
        <v>170.815133</v>
      </c>
      <c r="I5" s="8">
        <f>F5*'Business Inputs'!$B$9*-1</f>
        <v>-68.32605319999999</v>
      </c>
      <c r="J5" s="8">
        <f>F5*'Business Inputs'!$B$7*-1</f>
        <v>-427.03783249999998</v>
      </c>
      <c r="K5" s="8">
        <f t="shared" si="1"/>
        <v>17946.964547300002</v>
      </c>
      <c r="L5" s="13">
        <f t="shared" si="2"/>
        <v>86.700311822705316</v>
      </c>
      <c r="M5" s="8">
        <f>K5*'Business Inputs'!$B$10</f>
        <v>14716.510928786001</v>
      </c>
      <c r="N5" s="8">
        <f>M5-'Business Inputs'!$B$11-'Acquisition &amp; Unit Economics'!$B$6</f>
        <v>-51283.489071213997</v>
      </c>
      <c r="O5" s="2"/>
      <c r="P5" s="22" t="s">
        <v>38</v>
      </c>
      <c r="Q5" s="19">
        <f>AVERAGE(M3:M14)</f>
        <v>17020.670666475176</v>
      </c>
    </row>
    <row r="6" spans="1:17" x14ac:dyDescent="0.25">
      <c r="A6" s="4" t="s">
        <v>39</v>
      </c>
      <c r="B6" s="9">
        <f t="shared" si="3"/>
        <v>207</v>
      </c>
      <c r="C6" s="9">
        <f>'Business Inputs'!$B$6</f>
        <v>14</v>
      </c>
      <c r="D6" s="9">
        <f>ROUND(B6*'Business Inputs'!$B$7,0)</f>
        <v>5</v>
      </c>
      <c r="E6" s="9">
        <f t="shared" si="0"/>
        <v>216</v>
      </c>
      <c r="F6" s="8">
        <f t="shared" si="4"/>
        <v>17946.964547300002</v>
      </c>
      <c r="G6" s="8">
        <f>C6*'Business Inputs'!$B$4</f>
        <v>1190</v>
      </c>
      <c r="H6" s="8">
        <f>F6*'Business Inputs'!$B$8</f>
        <v>179.46964547300001</v>
      </c>
      <c r="I6" s="8">
        <f>F6*'Business Inputs'!$B$9*-1</f>
        <v>-71.787858189200008</v>
      </c>
      <c r="J6" s="8">
        <f>F6*'Business Inputs'!$B$7*-1</f>
        <v>-448.67411368250009</v>
      </c>
      <c r="K6" s="8">
        <f t="shared" si="1"/>
        <v>18795.972220901302</v>
      </c>
      <c r="L6" s="13">
        <f t="shared" si="2"/>
        <v>87.018389911580101</v>
      </c>
      <c r="M6" s="8">
        <f>K6*'Business Inputs'!$B$10</f>
        <v>15412.697221139066</v>
      </c>
      <c r="N6" s="8">
        <f>M6-'Business Inputs'!$B$11-'Acquisition &amp; Unit Economics'!$B$6</f>
        <v>-50587.302778860932</v>
      </c>
      <c r="O6" s="2"/>
      <c r="P6" s="2"/>
      <c r="Q6" s="2"/>
    </row>
    <row r="7" spans="1:17" x14ac:dyDescent="0.25">
      <c r="A7" s="4" t="s">
        <v>40</v>
      </c>
      <c r="B7" s="9">
        <f t="shared" si="3"/>
        <v>216</v>
      </c>
      <c r="C7" s="9">
        <f>'Business Inputs'!$B$6</f>
        <v>14</v>
      </c>
      <c r="D7" s="9">
        <f>ROUND(B7*'Business Inputs'!$B$7,0)</f>
        <v>5</v>
      </c>
      <c r="E7" s="9">
        <f t="shared" si="0"/>
        <v>225</v>
      </c>
      <c r="F7" s="8">
        <f t="shared" si="4"/>
        <v>18795.972220901302</v>
      </c>
      <c r="G7" s="8">
        <f>C7*'Business Inputs'!$B$4</f>
        <v>1190</v>
      </c>
      <c r="H7" s="8">
        <f>F7*'Business Inputs'!$B$8</f>
        <v>187.95972220901302</v>
      </c>
      <c r="I7" s="8">
        <f>F7*'Business Inputs'!$B$9*-1</f>
        <v>-75.183888883605206</v>
      </c>
      <c r="J7" s="8">
        <f>F7*'Business Inputs'!$B$7*-1</f>
        <v>-469.89930552253259</v>
      </c>
      <c r="K7" s="8">
        <f t="shared" si="1"/>
        <v>19628.848748704175</v>
      </c>
      <c r="L7" s="13">
        <f t="shared" si="2"/>
        <v>87.239327772018555</v>
      </c>
      <c r="M7" s="8">
        <f>K7*'Business Inputs'!$B$10</f>
        <v>16095.655973937422</v>
      </c>
      <c r="N7" s="8">
        <f>M7-'Business Inputs'!$B$11-'Acquisition &amp; Unit Economics'!$B$6</f>
        <v>-49904.344026062579</v>
      </c>
      <c r="O7" s="2"/>
      <c r="P7" s="2"/>
      <c r="Q7" s="2"/>
    </row>
    <row r="8" spans="1:17" x14ac:dyDescent="0.25">
      <c r="A8" s="4" t="s">
        <v>41</v>
      </c>
      <c r="B8" s="9">
        <f t="shared" si="3"/>
        <v>225</v>
      </c>
      <c r="C8" s="9">
        <f>'Business Inputs'!$B$6</f>
        <v>14</v>
      </c>
      <c r="D8" s="9">
        <f>ROUND(B8*'Business Inputs'!$B$7,0)</f>
        <v>6</v>
      </c>
      <c r="E8" s="9">
        <f t="shared" si="0"/>
        <v>233</v>
      </c>
      <c r="F8" s="8">
        <f t="shared" si="4"/>
        <v>19628.848748704175</v>
      </c>
      <c r="G8" s="8">
        <f>C8*'Business Inputs'!$B$4</f>
        <v>1190</v>
      </c>
      <c r="H8" s="8">
        <f>F8*'Business Inputs'!$B$8</f>
        <v>196.28848748704175</v>
      </c>
      <c r="I8" s="8">
        <f>F8*'Business Inputs'!$B$9*-1</f>
        <v>-78.515394994816702</v>
      </c>
      <c r="J8" s="8">
        <f>F8*'Business Inputs'!$B$7*-1</f>
        <v>-490.72121871760442</v>
      </c>
      <c r="K8" s="8">
        <f t="shared" si="1"/>
        <v>20445.900622478795</v>
      </c>
      <c r="L8" s="13">
        <f t="shared" si="2"/>
        <v>87.75064644840684</v>
      </c>
      <c r="M8" s="8">
        <f>K8*'Business Inputs'!$B$10</f>
        <v>16765.638510432611</v>
      </c>
      <c r="N8" s="8">
        <f>M8-'Business Inputs'!$B$11-'Acquisition &amp; Unit Economics'!$B$6</f>
        <v>-49234.361489567389</v>
      </c>
      <c r="O8" s="2"/>
      <c r="P8" s="2"/>
      <c r="Q8" s="2"/>
    </row>
    <row r="9" spans="1:17" x14ac:dyDescent="0.25">
      <c r="A9" s="4" t="s">
        <v>42</v>
      </c>
      <c r="B9" s="9">
        <f t="shared" si="3"/>
        <v>233</v>
      </c>
      <c r="C9" s="9">
        <f>'Business Inputs'!$B$6</f>
        <v>14</v>
      </c>
      <c r="D9" s="9">
        <f>ROUND(B9*'Business Inputs'!$B$7,0)</f>
        <v>6</v>
      </c>
      <c r="E9" s="9">
        <f t="shared" si="0"/>
        <v>241</v>
      </c>
      <c r="F9" s="8">
        <f t="shared" si="4"/>
        <v>20445.900622478795</v>
      </c>
      <c r="G9" s="8">
        <f>C9*'Business Inputs'!$B$4</f>
        <v>1190</v>
      </c>
      <c r="H9" s="8">
        <f>F9*'Business Inputs'!$B$8</f>
        <v>204.45900622478797</v>
      </c>
      <c r="I9" s="8">
        <f>F9*'Business Inputs'!$B$9*-1</f>
        <v>-81.783602489915182</v>
      </c>
      <c r="J9" s="8">
        <f>F9*'Business Inputs'!$B$7*-1</f>
        <v>-511.1475155619699</v>
      </c>
      <c r="K9" s="8">
        <f t="shared" si="1"/>
        <v>21247.428510651698</v>
      </c>
      <c r="L9" s="13">
        <f t="shared" si="2"/>
        <v>88.16360377863775</v>
      </c>
      <c r="M9" s="8">
        <f>K9*'Business Inputs'!$B$10</f>
        <v>17422.891378734392</v>
      </c>
      <c r="N9" s="8">
        <f>M9-'Business Inputs'!$B$11-'Acquisition &amp; Unit Economics'!$B$6</f>
        <v>-48577.108621265608</v>
      </c>
      <c r="O9" s="2"/>
      <c r="P9" s="2"/>
      <c r="Q9" s="2"/>
    </row>
    <row r="10" spans="1:17" x14ac:dyDescent="0.25">
      <c r="A10" s="4" t="s">
        <v>43</v>
      </c>
      <c r="B10" s="9">
        <f t="shared" si="3"/>
        <v>241</v>
      </c>
      <c r="C10" s="9">
        <f>'Business Inputs'!$B$6</f>
        <v>14</v>
      </c>
      <c r="D10" s="9">
        <f>ROUND(B10*'Business Inputs'!$B$7,0)</f>
        <v>6</v>
      </c>
      <c r="E10" s="9">
        <f t="shared" si="0"/>
        <v>249</v>
      </c>
      <c r="F10" s="8">
        <f t="shared" si="4"/>
        <v>21247.428510651698</v>
      </c>
      <c r="G10" s="8">
        <f>C10*'Business Inputs'!$B$4</f>
        <v>1190</v>
      </c>
      <c r="H10" s="8">
        <f>F10*'Business Inputs'!$B$8</f>
        <v>212.47428510651699</v>
      </c>
      <c r="I10" s="8">
        <f>F10*'Business Inputs'!$B$9*-1</f>
        <v>-84.989714042606792</v>
      </c>
      <c r="J10" s="8">
        <f>F10*'Business Inputs'!$B$7*-1</f>
        <v>-531.18571276629245</v>
      </c>
      <c r="K10" s="8">
        <f t="shared" si="1"/>
        <v>22033.727368949316</v>
      </c>
      <c r="L10" s="13">
        <f t="shared" si="2"/>
        <v>88.488864935539425</v>
      </c>
      <c r="M10" s="8">
        <f>K10*'Business Inputs'!$B$10</f>
        <v>18067.656442538439</v>
      </c>
      <c r="N10" s="8">
        <f>M10-'Business Inputs'!$B$11-'Acquisition &amp; Unit Economics'!$B$6</f>
        <v>-47932.343557461558</v>
      </c>
      <c r="O10" s="2"/>
      <c r="P10" s="2"/>
      <c r="Q10" s="2"/>
    </row>
    <row r="11" spans="1:17" x14ac:dyDescent="0.25">
      <c r="A11" s="4" t="s">
        <v>44</v>
      </c>
      <c r="B11" s="9">
        <f t="shared" si="3"/>
        <v>249</v>
      </c>
      <c r="C11" s="9">
        <f>'Business Inputs'!$B$6</f>
        <v>14</v>
      </c>
      <c r="D11" s="9">
        <f>ROUND(B11*'Business Inputs'!$B$7,0)</f>
        <v>6</v>
      </c>
      <c r="E11" s="9">
        <f t="shared" si="0"/>
        <v>257</v>
      </c>
      <c r="F11" s="8">
        <f t="shared" si="4"/>
        <v>22033.727368949316</v>
      </c>
      <c r="G11" s="8">
        <f>C11*'Business Inputs'!$B$4</f>
        <v>1190</v>
      </c>
      <c r="H11" s="8">
        <f>F11*'Business Inputs'!$B$8</f>
        <v>220.33727368949317</v>
      </c>
      <c r="I11" s="8">
        <f>F11*'Business Inputs'!$B$9*-1</f>
        <v>-88.134909475797272</v>
      </c>
      <c r="J11" s="8">
        <f>F11*'Business Inputs'!$B$7*-1</f>
        <v>-550.84318422373292</v>
      </c>
      <c r="K11" s="8">
        <f t="shared" si="1"/>
        <v>22805.086548939278</v>
      </c>
      <c r="L11" s="13">
        <f t="shared" si="2"/>
        <v>88.735745326611976</v>
      </c>
      <c r="M11" s="8">
        <f>K11*'Business Inputs'!$B$10</f>
        <v>18700.170970130206</v>
      </c>
      <c r="N11" s="8">
        <f>M11-'Business Inputs'!$B$11-'Acquisition &amp; Unit Economics'!$B$6</f>
        <v>-47299.829029869798</v>
      </c>
      <c r="O11" s="2"/>
      <c r="P11" s="2"/>
      <c r="Q11" s="2"/>
    </row>
    <row r="12" spans="1:17" x14ac:dyDescent="0.25">
      <c r="A12" s="4" t="s">
        <v>45</v>
      </c>
      <c r="B12" s="9">
        <f t="shared" si="3"/>
        <v>257</v>
      </c>
      <c r="C12" s="9">
        <f>'Business Inputs'!$B$6</f>
        <v>14</v>
      </c>
      <c r="D12" s="9">
        <f>ROUND(B12*'Business Inputs'!$B$7,0)</f>
        <v>6</v>
      </c>
      <c r="E12" s="9">
        <f t="shared" si="0"/>
        <v>265</v>
      </c>
      <c r="F12" s="8">
        <f t="shared" si="4"/>
        <v>22805.086548939278</v>
      </c>
      <c r="G12" s="8">
        <f>C12*'Business Inputs'!$B$4</f>
        <v>1190</v>
      </c>
      <c r="H12" s="8">
        <f>F12*'Business Inputs'!$B$8</f>
        <v>228.05086548939278</v>
      </c>
      <c r="I12" s="8">
        <f>F12*'Business Inputs'!$B$9*-1</f>
        <v>-91.220346195757116</v>
      </c>
      <c r="J12" s="8">
        <f>F12*'Business Inputs'!$B$7*-1</f>
        <v>-570.127163723482</v>
      </c>
      <c r="K12" s="8">
        <f t="shared" si="1"/>
        <v>23561.789904509431</v>
      </c>
      <c r="L12" s="13">
        <f t="shared" si="2"/>
        <v>88.912414733997849</v>
      </c>
      <c r="M12" s="8">
        <f>K12*'Business Inputs'!$B$10</f>
        <v>19320.667721697733</v>
      </c>
      <c r="N12" s="8">
        <f>M12-'Business Inputs'!$B$11-'Acquisition &amp; Unit Economics'!$B$6</f>
        <v>-46679.332278302267</v>
      </c>
      <c r="O12" s="2"/>
      <c r="P12" s="2"/>
      <c r="Q12" s="2"/>
    </row>
    <row r="13" spans="1:17" x14ac:dyDescent="0.25">
      <c r="A13" s="4" t="s">
        <v>46</v>
      </c>
      <c r="B13" s="9">
        <f t="shared" si="3"/>
        <v>265</v>
      </c>
      <c r="C13" s="9">
        <f>'Business Inputs'!$B$6</f>
        <v>14</v>
      </c>
      <c r="D13" s="9">
        <f>ROUND(B13*'Business Inputs'!$B$7,0)</f>
        <v>7</v>
      </c>
      <c r="E13" s="9">
        <f t="shared" si="0"/>
        <v>272</v>
      </c>
      <c r="F13" s="8">
        <f t="shared" si="4"/>
        <v>23561.789904509431</v>
      </c>
      <c r="G13" s="8">
        <f>C13*'Business Inputs'!$B$4</f>
        <v>1190</v>
      </c>
      <c r="H13" s="8">
        <f>F13*'Business Inputs'!$B$8</f>
        <v>235.6178990450943</v>
      </c>
      <c r="I13" s="8">
        <f>F13*'Business Inputs'!$B$9*-1</f>
        <v>-94.247159618037728</v>
      </c>
      <c r="J13" s="8">
        <f>F13*'Business Inputs'!$B$7*-1</f>
        <v>-589.04474761273582</v>
      </c>
      <c r="K13" s="8">
        <f t="shared" si="1"/>
        <v>24304.11589632375</v>
      </c>
      <c r="L13" s="13">
        <f t="shared" si="2"/>
        <v>89.353367265896139</v>
      </c>
      <c r="M13" s="8">
        <f>K13*'Business Inputs'!$B$10</f>
        <v>19929.375034985474</v>
      </c>
      <c r="N13" s="8">
        <f>M13-'Business Inputs'!$B$11-'Acquisition &amp; Unit Economics'!$B$6</f>
        <v>-46070.624965014526</v>
      </c>
      <c r="O13" s="2"/>
      <c r="P13" s="2"/>
      <c r="Q13" s="2"/>
    </row>
    <row r="14" spans="1:17" x14ac:dyDescent="0.25">
      <c r="A14" s="4" t="s">
        <v>47</v>
      </c>
      <c r="B14" s="9">
        <f t="shared" si="3"/>
        <v>272</v>
      </c>
      <c r="C14" s="9">
        <f>'Business Inputs'!$B$6</f>
        <v>14</v>
      </c>
      <c r="D14" s="9">
        <f>ROUND(B14*'Business Inputs'!$B$7,0)</f>
        <v>7</v>
      </c>
      <c r="E14" s="9">
        <f t="shared" si="0"/>
        <v>279</v>
      </c>
      <c r="F14" s="8">
        <f t="shared" si="4"/>
        <v>24304.11589632375</v>
      </c>
      <c r="G14" s="8">
        <f>C14*'Business Inputs'!$B$4</f>
        <v>1190</v>
      </c>
      <c r="H14" s="8">
        <f>F14*'Business Inputs'!$B$8</f>
        <v>243.04115896323751</v>
      </c>
      <c r="I14" s="8">
        <f>F14*'Business Inputs'!$B$9*-1</f>
        <v>-97.216463585295003</v>
      </c>
      <c r="J14" s="8">
        <f>F14*'Business Inputs'!$B$7*-1</f>
        <v>-607.60289740809378</v>
      </c>
      <c r="K14" s="8">
        <f t="shared" si="1"/>
        <v>25032.337694293601</v>
      </c>
      <c r="L14" s="13">
        <f t="shared" si="2"/>
        <v>89.721640481339065</v>
      </c>
      <c r="M14" s="8">
        <f>K14*'Business Inputs'!$B$10</f>
        <v>20526.516909320751</v>
      </c>
      <c r="N14" s="8">
        <f>M14-'Business Inputs'!$B$11-'Acquisition &amp; Unit Economics'!$B$6</f>
        <v>-45473.483090679249</v>
      </c>
      <c r="O14" s="2"/>
      <c r="P14" s="2"/>
      <c r="Q14" s="2"/>
    </row>
  </sheetData>
  <conditionalFormatting sqref="N3:N14">
    <cfRule type="cellIs" dxfId="2" priority="1" operator="lessThan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"/>
  <sheetViews>
    <sheetView showGridLines="0" workbookViewId="0">
      <selection activeCell="C14" sqref="C14"/>
    </sheetView>
  </sheetViews>
  <sheetFormatPr defaultRowHeight="15" x14ac:dyDescent="0.25"/>
  <cols>
    <col min="1" max="1" width="14" customWidth="1"/>
    <col min="2" max="2" width="15.140625" bestFit="1" customWidth="1"/>
    <col min="3" max="10" width="14" customWidth="1"/>
    <col min="11" max="11" width="16.7109375" bestFit="1" customWidth="1"/>
  </cols>
  <sheetData>
    <row r="1" spans="1:11" ht="18.75" x14ac:dyDescent="0.25">
      <c r="A1" s="1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49</v>
      </c>
      <c r="B2" s="3" t="s">
        <v>21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</row>
    <row r="3" spans="1:11" x14ac:dyDescent="0.25">
      <c r="A3" s="4" t="s">
        <v>34</v>
      </c>
      <c r="B3" s="9">
        <f>'Monthly MRR Bridge'!C3</f>
        <v>14</v>
      </c>
      <c r="C3" s="8">
        <f>'Monthly MRR Bridge'!G3</f>
        <v>1190</v>
      </c>
      <c r="D3" s="9">
        <f t="shared" ref="D3:D8" si="0">B3</f>
        <v>14</v>
      </c>
      <c r="E3" s="14">
        <f>D3*(1-'Business Inputs'!$B$7)</f>
        <v>13.65</v>
      </c>
      <c r="F3" s="14">
        <f>E3*(1-'Business Inputs'!$B$7)</f>
        <v>13.30875</v>
      </c>
      <c r="G3" s="14">
        <f>F3*(1-'Business Inputs'!$B$7)</f>
        <v>12.97603125</v>
      </c>
      <c r="H3" s="14">
        <f>G3*(1-'Business Inputs'!$B$7)</f>
        <v>12.65163046875</v>
      </c>
      <c r="I3" s="14">
        <f>H3*(1-'Business Inputs'!$B$7)</f>
        <v>12.335339707031249</v>
      </c>
      <c r="J3" s="14">
        <f>I3*(1-'Business Inputs'!$B$7)</f>
        <v>12.026956214355467</v>
      </c>
      <c r="K3" s="8">
        <f>SUM(D3:J3)*'Business Inputs'!$B$4*'Business Inputs'!$B$10</f>
        <v>6339.1249225175279</v>
      </c>
    </row>
    <row r="4" spans="1:11" x14ac:dyDescent="0.25">
      <c r="A4" s="4" t="s">
        <v>35</v>
      </c>
      <c r="B4" s="9">
        <f>'Monthly MRR Bridge'!C4</f>
        <v>14</v>
      </c>
      <c r="C4" s="8">
        <f>'Monthly MRR Bridge'!G4</f>
        <v>1190</v>
      </c>
      <c r="D4" s="9">
        <f t="shared" si="0"/>
        <v>14</v>
      </c>
      <c r="E4" s="14">
        <f>D4*(1-'Business Inputs'!$B$7)</f>
        <v>13.65</v>
      </c>
      <c r="F4" s="14">
        <f>E4*(1-'Business Inputs'!$B$7)</f>
        <v>13.30875</v>
      </c>
      <c r="G4" s="14">
        <f>F4*(1-'Business Inputs'!$B$7)</f>
        <v>12.97603125</v>
      </c>
      <c r="H4" s="14">
        <f>G4*(1-'Business Inputs'!$B$7)</f>
        <v>12.65163046875</v>
      </c>
      <c r="I4" s="14">
        <f>H4*(1-'Business Inputs'!$B$7)</f>
        <v>12.335339707031249</v>
      </c>
      <c r="J4" s="14">
        <f>I4*(1-'Business Inputs'!$B$7)</f>
        <v>12.026956214355467</v>
      </c>
      <c r="K4" s="8">
        <f>SUM(D4:J4)*'Business Inputs'!$B$4*'Business Inputs'!$B$10</f>
        <v>6339.1249225175279</v>
      </c>
    </row>
    <row r="5" spans="1:11" x14ac:dyDescent="0.25">
      <c r="A5" s="4" t="s">
        <v>37</v>
      </c>
      <c r="B5" s="9">
        <f>'Monthly MRR Bridge'!C5</f>
        <v>14</v>
      </c>
      <c r="C5" s="8">
        <f>'Monthly MRR Bridge'!G5</f>
        <v>1190</v>
      </c>
      <c r="D5" s="9">
        <f t="shared" si="0"/>
        <v>14</v>
      </c>
      <c r="E5" s="14">
        <f>D5*(1-'Business Inputs'!$B$7)</f>
        <v>13.65</v>
      </c>
      <c r="F5" s="14">
        <f>E5*(1-'Business Inputs'!$B$7)</f>
        <v>13.30875</v>
      </c>
      <c r="G5" s="14">
        <f>F5*(1-'Business Inputs'!$B$7)</f>
        <v>12.97603125</v>
      </c>
      <c r="H5" s="14">
        <f>G5*(1-'Business Inputs'!$B$7)</f>
        <v>12.65163046875</v>
      </c>
      <c r="I5" s="14">
        <f>H5*(1-'Business Inputs'!$B$7)</f>
        <v>12.335339707031249</v>
      </c>
      <c r="J5" s="14">
        <f>I5*(1-'Business Inputs'!$B$7)</f>
        <v>12.026956214355467</v>
      </c>
      <c r="K5" s="8">
        <f>SUM(D5:J5)*'Business Inputs'!$B$4*'Business Inputs'!$B$10</f>
        <v>6339.1249225175279</v>
      </c>
    </row>
    <row r="6" spans="1:11" x14ac:dyDescent="0.25">
      <c r="A6" s="4" t="s">
        <v>39</v>
      </c>
      <c r="B6" s="9">
        <f>'Monthly MRR Bridge'!C6</f>
        <v>14</v>
      </c>
      <c r="C6" s="8">
        <f>'Monthly MRR Bridge'!G6</f>
        <v>1190</v>
      </c>
      <c r="D6" s="9">
        <f t="shared" si="0"/>
        <v>14</v>
      </c>
      <c r="E6" s="14">
        <f>D6*(1-'Business Inputs'!$B$7)</f>
        <v>13.65</v>
      </c>
      <c r="F6" s="14">
        <f>E6*(1-'Business Inputs'!$B$7)</f>
        <v>13.30875</v>
      </c>
      <c r="G6" s="14">
        <f>F6*(1-'Business Inputs'!$B$7)</f>
        <v>12.97603125</v>
      </c>
      <c r="H6" s="14">
        <f>G6*(1-'Business Inputs'!$B$7)</f>
        <v>12.65163046875</v>
      </c>
      <c r="I6" s="14">
        <f>H6*(1-'Business Inputs'!$B$7)</f>
        <v>12.335339707031249</v>
      </c>
      <c r="J6" s="14">
        <f>I6*(1-'Business Inputs'!$B$7)</f>
        <v>12.026956214355467</v>
      </c>
      <c r="K6" s="8">
        <f>SUM(D6:J6)*'Business Inputs'!$B$4*'Business Inputs'!$B$10</f>
        <v>6339.1249225175279</v>
      </c>
    </row>
    <row r="7" spans="1:11" x14ac:dyDescent="0.25">
      <c r="A7" s="4" t="s">
        <v>40</v>
      </c>
      <c r="B7" s="9">
        <f>'Monthly MRR Bridge'!C7</f>
        <v>14</v>
      </c>
      <c r="C7" s="8">
        <f>'Monthly MRR Bridge'!G7</f>
        <v>1190</v>
      </c>
      <c r="D7" s="9">
        <f t="shared" si="0"/>
        <v>14</v>
      </c>
      <c r="E7" s="14">
        <f>D7*(1-'Business Inputs'!$B$7)</f>
        <v>13.65</v>
      </c>
      <c r="F7" s="14">
        <f>E7*(1-'Business Inputs'!$B$7)</f>
        <v>13.30875</v>
      </c>
      <c r="G7" s="14">
        <f>F7*(1-'Business Inputs'!$B$7)</f>
        <v>12.97603125</v>
      </c>
      <c r="H7" s="14">
        <f>G7*(1-'Business Inputs'!$B$7)</f>
        <v>12.65163046875</v>
      </c>
      <c r="I7" s="14">
        <f>H7*(1-'Business Inputs'!$B$7)</f>
        <v>12.335339707031249</v>
      </c>
      <c r="J7" s="14">
        <f>I7*(1-'Business Inputs'!$B$7)</f>
        <v>12.026956214355467</v>
      </c>
      <c r="K7" s="8">
        <f>SUM(D7:J7)*'Business Inputs'!$B$4*'Business Inputs'!$B$10</f>
        <v>6339.1249225175279</v>
      </c>
    </row>
    <row r="8" spans="1:11" x14ac:dyDescent="0.25">
      <c r="A8" s="4" t="s">
        <v>41</v>
      </c>
      <c r="B8" s="9">
        <f>'Monthly MRR Bridge'!C8</f>
        <v>14</v>
      </c>
      <c r="C8" s="8">
        <f>'Monthly MRR Bridge'!G8</f>
        <v>1190</v>
      </c>
      <c r="D8" s="9">
        <f t="shared" si="0"/>
        <v>14</v>
      </c>
      <c r="E8" s="14">
        <f>D8*(1-'Business Inputs'!$B$7)</f>
        <v>13.65</v>
      </c>
      <c r="F8" s="14">
        <f>E8*(1-'Business Inputs'!$B$7)</f>
        <v>13.30875</v>
      </c>
      <c r="G8" s="14">
        <f>F8*(1-'Business Inputs'!$B$7)</f>
        <v>12.97603125</v>
      </c>
      <c r="H8" s="14">
        <f>G8*(1-'Business Inputs'!$B$7)</f>
        <v>12.65163046875</v>
      </c>
      <c r="I8" s="14">
        <f>H8*(1-'Business Inputs'!$B$7)</f>
        <v>12.335339707031249</v>
      </c>
      <c r="J8" s="14">
        <f>I8*(1-'Business Inputs'!$B$7)</f>
        <v>12.026956214355467</v>
      </c>
      <c r="K8" s="8">
        <f>SUM(D8:J8)*'Business Inputs'!$B$4*'Business Inputs'!$B$10</f>
        <v>6339.1249225175279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showGridLines="0" workbookViewId="0">
      <pane ySplit="1" topLeftCell="A2" activePane="bottomLeft" state="frozen"/>
      <selection pane="bottomLeft" activeCell="D22" sqref="D22"/>
    </sheetView>
  </sheetViews>
  <sheetFormatPr defaultRowHeight="15" x14ac:dyDescent="0.25"/>
  <cols>
    <col min="1" max="1" width="35.28515625" bestFit="1" customWidth="1"/>
    <col min="2" max="3" width="18" customWidth="1"/>
  </cols>
  <sheetData>
    <row r="1" spans="1:4" ht="18.75" x14ac:dyDescent="0.25">
      <c r="A1" s="1" t="s">
        <v>59</v>
      </c>
      <c r="B1" s="2"/>
      <c r="C1" s="2"/>
      <c r="D1" s="2"/>
    </row>
    <row r="2" spans="1:4" x14ac:dyDescent="0.25">
      <c r="A2" s="3" t="s">
        <v>60</v>
      </c>
      <c r="B2" s="3" t="s">
        <v>61</v>
      </c>
      <c r="C2" s="3" t="s">
        <v>21</v>
      </c>
      <c r="D2" s="3" t="s">
        <v>62</v>
      </c>
    </row>
    <row r="3" spans="1:4" x14ac:dyDescent="0.25">
      <c r="A3" s="15" t="s">
        <v>63</v>
      </c>
      <c r="B3" s="12">
        <v>9000</v>
      </c>
      <c r="C3" s="5">
        <v>6</v>
      </c>
      <c r="D3" s="8">
        <f>IF(C3=0,0,B3/C3)</f>
        <v>1500</v>
      </c>
    </row>
    <row r="4" spans="1:4" x14ac:dyDescent="0.25">
      <c r="A4" s="15" t="s">
        <v>64</v>
      </c>
      <c r="B4" s="12">
        <v>5000</v>
      </c>
      <c r="C4" s="5">
        <v>4</v>
      </c>
      <c r="D4" s="8">
        <f>IF(C4=0,0,B4/C4)</f>
        <v>1250</v>
      </c>
    </row>
    <row r="5" spans="1:4" x14ac:dyDescent="0.25">
      <c r="A5" s="15" t="s">
        <v>65</v>
      </c>
      <c r="B5" s="12">
        <v>4000</v>
      </c>
      <c r="C5" s="5">
        <v>4</v>
      </c>
      <c r="D5" s="8">
        <f>IF(C5=0,0,B5/C5)</f>
        <v>1000</v>
      </c>
    </row>
    <row r="6" spans="1:4" x14ac:dyDescent="0.25">
      <c r="A6" s="6" t="s">
        <v>66</v>
      </c>
      <c r="B6" s="21">
        <f>SUM(B3:B5)</f>
        <v>18000</v>
      </c>
      <c r="C6" s="2"/>
      <c r="D6" s="2"/>
    </row>
    <row r="7" spans="1:4" x14ac:dyDescent="0.25">
      <c r="A7" s="6" t="s">
        <v>67</v>
      </c>
      <c r="B7" s="23">
        <f>SUM(C3:C5)</f>
        <v>14</v>
      </c>
      <c r="C7" s="2"/>
      <c r="D7" s="2"/>
    </row>
    <row r="8" spans="1:4" x14ac:dyDescent="0.25">
      <c r="A8" s="6" t="s">
        <v>68</v>
      </c>
      <c r="B8" s="21">
        <f>IF(B7=0,0,B6/B7)</f>
        <v>1285.7142857142858</v>
      </c>
      <c r="C8" s="2"/>
      <c r="D8" s="2"/>
    </row>
    <row r="9" spans="1:4" x14ac:dyDescent="0.25">
      <c r="A9" s="2"/>
      <c r="B9" s="24"/>
      <c r="C9" s="2"/>
      <c r="D9" s="2"/>
    </row>
    <row r="10" spans="1:4" x14ac:dyDescent="0.25">
      <c r="A10" s="6" t="s">
        <v>69</v>
      </c>
      <c r="B10" s="25">
        <f>'Business Inputs'!B4*'Business Inputs'!B10</f>
        <v>69.7</v>
      </c>
      <c r="C10" s="2"/>
      <c r="D10" s="2"/>
    </row>
    <row r="11" spans="1:4" x14ac:dyDescent="0.25">
      <c r="A11" s="6" t="s">
        <v>70</v>
      </c>
      <c r="B11" s="26">
        <f>IF('Business Inputs'!B7=0,0,1/'Business Inputs'!B7)</f>
        <v>40</v>
      </c>
      <c r="C11" s="2"/>
      <c r="D11" s="2"/>
    </row>
    <row r="12" spans="1:4" x14ac:dyDescent="0.25">
      <c r="A12" s="6" t="s">
        <v>71</v>
      </c>
      <c r="B12" s="21">
        <f>B10*B11</f>
        <v>2788</v>
      </c>
      <c r="C12" s="2"/>
      <c r="D12" s="2"/>
    </row>
    <row r="13" spans="1:4" x14ac:dyDescent="0.25">
      <c r="A13" s="6" t="s">
        <v>72</v>
      </c>
      <c r="B13" s="26">
        <f>IF(B10=0,0,B8/B10)</f>
        <v>18.446402951424471</v>
      </c>
      <c r="C13" s="2"/>
      <c r="D13" s="2"/>
    </row>
    <row r="14" spans="1:4" x14ac:dyDescent="0.25">
      <c r="A14" s="6" t="s">
        <v>73</v>
      </c>
      <c r="B14" s="26">
        <f>IF(ABS('Monthly MRR Bridge'!I14+'Monthly MRR Bridge'!J14)=0,0,('Monthly MRR Bridge'!G14+'Monthly MRR Bridge'!H14)/ABS('Monthly MRR Bridge'!I14+'Monthly MRR Bridge'!J14))</f>
        <v>2.033203453638782</v>
      </c>
      <c r="C14" s="2"/>
      <c r="D14" s="2"/>
    </row>
    <row r="15" spans="1:4" x14ac:dyDescent="0.25">
      <c r="B15" s="27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22"/>
  <sheetViews>
    <sheetView showGridLines="0" tabSelected="1" workbookViewId="0">
      <selection activeCell="C14" sqref="C14"/>
    </sheetView>
  </sheetViews>
  <sheetFormatPr defaultRowHeight="15" x14ac:dyDescent="0.25"/>
  <cols>
    <col min="1" max="1" width="26.140625" bestFit="1" customWidth="1"/>
    <col min="2" max="3" width="18" customWidth="1"/>
    <col min="4" max="4" width="19.28515625" bestFit="1" customWidth="1"/>
    <col min="5" max="5" width="18.7109375" bestFit="1" customWidth="1"/>
  </cols>
  <sheetData>
    <row r="2" spans="1:5" ht="18.75" x14ac:dyDescent="0.25">
      <c r="A2" s="1" t="s">
        <v>74</v>
      </c>
      <c r="B2" s="2"/>
      <c r="C2" s="2"/>
      <c r="D2" s="2"/>
      <c r="E2" s="2"/>
    </row>
    <row r="3" spans="1:5" x14ac:dyDescent="0.25">
      <c r="A3" s="3" t="s">
        <v>75</v>
      </c>
      <c r="B3" s="2"/>
      <c r="C3" s="2"/>
      <c r="D3" s="2"/>
      <c r="E3" s="2"/>
    </row>
    <row r="4" spans="1:5" x14ac:dyDescent="0.25">
      <c r="A4" s="6" t="s">
        <v>4</v>
      </c>
      <c r="B4" s="21">
        <f>'Business Inputs'!B5</f>
        <v>15300</v>
      </c>
      <c r="C4" s="2"/>
      <c r="D4" s="2"/>
      <c r="E4" s="2"/>
    </row>
    <row r="5" spans="1:5" x14ac:dyDescent="0.25">
      <c r="A5" s="6" t="s">
        <v>6</v>
      </c>
      <c r="B5" s="21">
        <f>'Monthly MRR Bridge'!K14</f>
        <v>25032.337694293601</v>
      </c>
      <c r="C5" s="2"/>
      <c r="D5" s="2"/>
      <c r="E5" s="2"/>
    </row>
    <row r="6" spans="1:5" x14ac:dyDescent="0.25">
      <c r="A6" s="6" t="s">
        <v>7</v>
      </c>
      <c r="B6" s="21">
        <f>'Monthly MRR Bridge'!K14*12</f>
        <v>300388.05233152321</v>
      </c>
      <c r="C6" s="2"/>
      <c r="D6" s="2"/>
      <c r="E6" s="2"/>
    </row>
    <row r="7" spans="1:5" x14ac:dyDescent="0.25">
      <c r="A7" s="6" t="s">
        <v>76</v>
      </c>
      <c r="B7" s="23">
        <f>'Monthly MRR Bridge'!E14</f>
        <v>279</v>
      </c>
      <c r="C7" s="2"/>
      <c r="D7" s="2"/>
      <c r="E7" s="2"/>
    </row>
    <row r="8" spans="1:5" x14ac:dyDescent="0.25">
      <c r="A8" s="6" t="s">
        <v>11</v>
      </c>
      <c r="B8" s="21">
        <f>'Monthly MRR Bridge'!N14</f>
        <v>-45473.483090679249</v>
      </c>
      <c r="C8" s="2"/>
      <c r="D8" s="2"/>
      <c r="E8" s="2"/>
    </row>
    <row r="9" spans="1:5" x14ac:dyDescent="0.25">
      <c r="A9" s="2"/>
      <c r="B9" s="24"/>
      <c r="C9" s="2"/>
      <c r="D9" s="2"/>
      <c r="E9" s="2"/>
    </row>
    <row r="10" spans="1:5" x14ac:dyDescent="0.25">
      <c r="A10" s="2"/>
      <c r="B10" s="24"/>
      <c r="C10" s="2"/>
      <c r="D10" s="2"/>
      <c r="E10" s="2"/>
    </row>
    <row r="11" spans="1:5" x14ac:dyDescent="0.25">
      <c r="A11" s="3" t="s">
        <v>77</v>
      </c>
      <c r="B11" s="24"/>
      <c r="C11" s="2"/>
      <c r="D11" s="2"/>
      <c r="E11" s="2"/>
    </row>
    <row r="12" spans="1:5" x14ac:dyDescent="0.25">
      <c r="A12" s="6" t="s">
        <v>68</v>
      </c>
      <c r="B12" s="21">
        <f>'Acquisition &amp; Unit Economics'!B8</f>
        <v>1285.7142857142858</v>
      </c>
      <c r="C12" s="2"/>
      <c r="D12" s="2"/>
      <c r="E12" s="2"/>
    </row>
    <row r="13" spans="1:5" x14ac:dyDescent="0.25">
      <c r="A13" s="6" t="s">
        <v>71</v>
      </c>
      <c r="B13" s="21">
        <f>'Acquisition &amp; Unit Economics'!B12</f>
        <v>2788</v>
      </c>
      <c r="C13" s="2"/>
      <c r="D13" s="2"/>
      <c r="E13" s="2"/>
    </row>
    <row r="14" spans="1:5" x14ac:dyDescent="0.25">
      <c r="A14" s="6" t="s">
        <v>78</v>
      </c>
      <c r="B14" s="26">
        <f>'Acquisition &amp; Unit Economics'!B13</f>
        <v>18.446402951424471</v>
      </c>
      <c r="C14" s="2"/>
      <c r="D14" s="2"/>
      <c r="E14" s="2"/>
    </row>
    <row r="15" spans="1:5" x14ac:dyDescent="0.25">
      <c r="A15" s="6" t="s">
        <v>79</v>
      </c>
      <c r="B15" s="26">
        <f>'Acquisition &amp; Unit Economics'!B14</f>
        <v>2.033203453638782</v>
      </c>
      <c r="C15" s="2"/>
      <c r="D15" s="2"/>
      <c r="E15" s="2"/>
    </row>
    <row r="16" spans="1:5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3" t="s">
        <v>80</v>
      </c>
      <c r="B18" s="2"/>
      <c r="C18" s="2"/>
      <c r="D18" s="2"/>
      <c r="E18" s="2"/>
    </row>
    <row r="19" spans="1:5" x14ac:dyDescent="0.25">
      <c r="A19" s="3" t="s">
        <v>81</v>
      </c>
      <c r="B19" s="3" t="s">
        <v>82</v>
      </c>
      <c r="C19" s="3" t="s">
        <v>83</v>
      </c>
      <c r="D19" s="3" t="s">
        <v>84</v>
      </c>
      <c r="E19" s="3" t="s">
        <v>85</v>
      </c>
    </row>
    <row r="20" spans="1:5" x14ac:dyDescent="0.25">
      <c r="A20" s="15" t="s">
        <v>86</v>
      </c>
      <c r="B20" s="16">
        <v>1</v>
      </c>
      <c r="C20" s="16">
        <v>1</v>
      </c>
      <c r="D20" s="8">
        <f>'Business Inputs'!$B$5*(1+((('Business Inputs'!$B$6*B20*'Business Inputs'!$B$4)+('Business Inputs'!$B$5*'Business Inputs'!$B$8)-('Business Inputs'!$B$5*'Business Inputs'!$B$9)-('Business Inputs'!$B$5*'Business Inputs'!$B$7*C20))/MAX(1,'Business Inputs'!$B$5)))^12</f>
        <v>30363.318900665596</v>
      </c>
      <c r="E20" s="8">
        <f>D20*12</f>
        <v>364359.82680798718</v>
      </c>
    </row>
    <row r="21" spans="1:5" x14ac:dyDescent="0.25">
      <c r="A21" s="15" t="s">
        <v>87</v>
      </c>
      <c r="B21" s="16">
        <v>1.2</v>
      </c>
      <c r="C21" s="16">
        <v>0.8</v>
      </c>
      <c r="D21" s="8">
        <f>'Business Inputs'!$B$5*(1+((('Business Inputs'!$B$6*B21*'Business Inputs'!$B$4)+('Business Inputs'!$B$5*'Business Inputs'!$B$8)-('Business Inputs'!$B$5*'Business Inputs'!$B$9)-('Business Inputs'!$B$5*'Business Inputs'!$B$7*C21))/MAX(1,'Business Inputs'!$B$5)))^12</f>
        <v>38243.577108721955</v>
      </c>
      <c r="E21" s="8">
        <f>D21*12</f>
        <v>458922.92530466348</v>
      </c>
    </row>
    <row r="22" spans="1:5" x14ac:dyDescent="0.25">
      <c r="A22" s="15" t="s">
        <v>88</v>
      </c>
      <c r="B22" s="16">
        <v>0.8</v>
      </c>
      <c r="C22" s="16">
        <v>1.2</v>
      </c>
      <c r="D22" s="8">
        <f>'Business Inputs'!$B$5*(1+((('Business Inputs'!$B$6*B22*'Business Inputs'!$B$4)+('Business Inputs'!$B$5*'Business Inputs'!$B$8)-('Business Inputs'!$B$5*'Business Inputs'!$B$9)-('Business Inputs'!$B$5*'Business Inputs'!$B$7*C22))/MAX(1,'Business Inputs'!$B$5)))^12</f>
        <v>23998.012475411866</v>
      </c>
      <c r="E22" s="8">
        <f>D22*12</f>
        <v>287976.14970494236</v>
      </c>
    </row>
  </sheetData>
  <conditionalFormatting sqref="B14">
    <cfRule type="cellIs" dxfId="1" priority="1" operator="greaterThan">
      <formula>18</formula>
    </cfRule>
  </conditionalFormatting>
  <conditionalFormatting sqref="B15">
    <cfRule type="cellIs" dxfId="0" priority="2" operator="lessThan">
      <formula>1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Business Inputs</vt:lpstr>
      <vt:lpstr>Monthly MRR Bridge</vt:lpstr>
      <vt:lpstr>Cohort Retention</vt:lpstr>
      <vt:lpstr>Acquisition &amp; Unit Economics</vt:lpstr>
      <vt:lpstr>Snapshot &amp;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Reed</dc:creator>
  <cp:lastModifiedBy>Frenzel, Tim</cp:lastModifiedBy>
  <cp:revision>1</cp:revision>
  <dcterms:created xsi:type="dcterms:W3CDTF">2024-07-07T16:02:40Z</dcterms:created>
  <dcterms:modified xsi:type="dcterms:W3CDTF">2026-04-09T14:46:45Z</dcterms:modified>
</cp:coreProperties>
</file>