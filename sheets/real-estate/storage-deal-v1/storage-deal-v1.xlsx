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Overview" sheetId="1" state="visible" r:id="rId1"/>
    <sheet xmlns:r="http://schemas.openxmlformats.org/officeDocument/2006/relationships" name="Unit Mix &amp; Lease-Up" sheetId="2" state="visible" r:id="rId2"/>
    <sheet xmlns:r="http://schemas.openxmlformats.org/officeDocument/2006/relationships" name="Operating Costs" sheetId="3" state="visible" r:id="rId3"/>
    <sheet xmlns:r="http://schemas.openxmlformats.org/officeDocument/2006/relationships" name="5-Year Projection" sheetId="4" state="visible" r:id="rId4"/>
    <sheet xmlns:r="http://schemas.openxmlformats.org/officeDocument/2006/relationships" name="Returns &amp; Snapsh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"/>
    <numFmt numFmtId="166" formatCode="&quot;$&quot;#,##0"/>
    <numFmt numFmtId="167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333333"/>
      <sz val="14"/>
    </font>
    <font>
      <name val="Calibri"/>
      <b val="1"/>
      <color rgb="003D4A35"/>
      <sz val="11"/>
    </font>
    <font>
      <name val="Calibri"/>
      <color rgb="00000000"/>
      <sz val="11"/>
    </font>
    <font>
      <name val="Calibri"/>
      <color rgb="004472C4"/>
      <sz val="11"/>
    </font>
    <font>
      <name val="Calibri"/>
      <b val="1"/>
      <color rgb="00595959"/>
      <sz val="11"/>
    </font>
    <font>
      <name val="Calibri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DDE5D4"/>
      </patternFill>
    </fill>
    <fill>
      <patternFill patternType="solid">
        <fgColor rgb="00FFF2CC"/>
      </patternFill>
    </fill>
    <fill>
      <patternFill patternType="solid">
        <fgColor rgb="00B8C4A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6" fontId="3" fillId="5" borderId="1" applyAlignment="1" pivotButton="0" quotePrefix="0" xfId="0">
      <alignment vertical="center"/>
    </xf>
    <xf numFmtId="2" fontId="3" fillId="5" borderId="1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0" fontId="3" fillId="5" borderId="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7" fontId="3" fillId="5" borderId="1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6" fontId="3" fillId="3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0" fontId="3" fillId="3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  <xf numFmtId="165" fontId="3" fillId="3" borderId="0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166" fontId="4" fillId="5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0" fontId="4" fillId="5" borderId="1" applyAlignment="1" pivotButton="0" quotePrefix="0" xfId="0">
      <alignment vertical="center"/>
    </xf>
    <xf numFmtId="167" fontId="4" fillId="5" borderId="1" applyAlignment="1" pivotButton="0" quotePrefix="0" xfId="0">
      <alignment vertical="center"/>
    </xf>
    <xf numFmtId="1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B8C4A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4" customWidth="1" min="8" max="8"/>
    <col width="14" customWidth="1" min="9" max="9"/>
  </cols>
  <sheetData>
    <row r="1">
      <c r="A1" s="1" t="inlineStr">
        <is>
          <t>Storage deal scratch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Property Details</t>
        </is>
      </c>
      <c r="B2" s="2" t="n"/>
      <c r="C2" s="2" t="n"/>
      <c r="D2" s="2" t="n"/>
      <c r="E2" s="2" t="n"/>
      <c r="F2" s="2" t="n"/>
      <c r="G2" s="2" t="n"/>
      <c r="H2" s="3" t="inlineStr">
        <is>
          <t>Check first</t>
        </is>
      </c>
      <c r="I2" s="2" t="n"/>
    </row>
    <row r="3">
      <c r="A3" s="4" t="inlineStr">
        <is>
          <t>Facility Name</t>
        </is>
      </c>
      <c r="B3" s="5" t="inlineStr">
        <is>
          <t>Northgate Storage</t>
        </is>
      </c>
      <c r="C3" s="2" t="n"/>
      <c r="D3" s="2" t="n"/>
      <c r="E3" s="2" t="n"/>
      <c r="F3" s="2" t="n"/>
      <c r="G3" s="2" t="n"/>
      <c r="H3" s="6" t="inlineStr">
        <is>
          <t>Year 1 NOI</t>
        </is>
      </c>
      <c r="I3" s="7">
        <f>'5-Year Projection'!B10</f>
        <v/>
      </c>
    </row>
    <row r="4">
      <c r="A4" s="4" t="inlineStr">
        <is>
          <t>Market</t>
        </is>
      </c>
      <c r="B4" s="5" t="inlineStr">
        <is>
          <t>Columbus, OH</t>
        </is>
      </c>
      <c r="C4" s="2" t="n"/>
      <c r="D4" s="2" t="n"/>
      <c r="E4" s="2" t="n"/>
      <c r="F4" s="2" t="n"/>
      <c r="G4" s="2" t="n"/>
      <c r="H4" s="6" t="inlineStr">
        <is>
          <t>Year 1 DSCR</t>
        </is>
      </c>
      <c r="I4" s="8">
        <f>'5-Year Projection'!B13</f>
        <v/>
      </c>
    </row>
    <row r="5">
      <c r="A5" s="4" t="inlineStr">
        <is>
          <t>Property Class</t>
        </is>
      </c>
      <c r="B5" s="5" t="inlineStr">
        <is>
          <t>Drive-Up + Climate</t>
        </is>
      </c>
      <c r="C5" s="2" t="n"/>
      <c r="D5" s="2" t="n"/>
      <c r="E5" s="2" t="n"/>
      <c r="F5" s="2" t="n"/>
      <c r="G5" s="2" t="n"/>
      <c r="H5" s="6" t="inlineStr">
        <is>
          <t>Year 1 CF After Debt</t>
        </is>
      </c>
      <c r="I5" s="7">
        <f>'5-Year Projection'!B12</f>
        <v/>
      </c>
    </row>
    <row r="6">
      <c r="A6" s="4" t="inlineStr">
        <is>
          <t>Total Units</t>
        </is>
      </c>
      <c r="B6" s="9">
        <f>SUM('Unit Mix &amp; Lease-Up'!C3:C8)</f>
        <v/>
      </c>
      <c r="C6" s="2" t="n"/>
      <c r="D6" s="2" t="n"/>
      <c r="E6" s="2" t="n"/>
      <c r="F6" s="2" t="n"/>
      <c r="G6" s="2" t="n"/>
      <c r="H6" s="6" t="inlineStr">
        <is>
          <t>Stabilized Yield on Cost</t>
        </is>
      </c>
      <c r="I6" s="10">
        <f>'Returns &amp; Snapshot'!B10</f>
        <v/>
      </c>
    </row>
    <row r="7">
      <c r="A7" s="4" t="inlineStr">
        <is>
          <t>Total Rentable SqFt</t>
        </is>
      </c>
      <c r="B7" s="9">
        <f>SUM('Unit Mix &amp; Lease-Up'!E3:E8)</f>
        <v/>
      </c>
      <c r="C7" s="2" t="n"/>
      <c r="D7" s="2" t="n"/>
      <c r="E7" s="2" t="n"/>
      <c r="F7" s="2" t="n"/>
      <c r="G7" s="2" t="n"/>
      <c r="H7" s="6" t="inlineStr">
        <is>
          <t>5-Year Sale Proceeds</t>
        </is>
      </c>
      <c r="I7" s="7">
        <f>'Returns &amp; Snapshot'!B18</f>
        <v/>
      </c>
    </row>
    <row r="8">
      <c r="A8" s="4" t="inlineStr">
        <is>
          <t>Current Occupancy</t>
        </is>
      </c>
      <c r="B8" s="11">
        <f>IF(B6=0,0,SUM('Unit Mix &amp; Lease-Up'!F3:F8)/B6)</f>
        <v/>
      </c>
      <c r="C8" s="2" t="n"/>
      <c r="D8" s="2" t="n"/>
      <c r="E8" s="2" t="n"/>
      <c r="F8" s="2" t="n"/>
      <c r="G8" s="2" t="n"/>
      <c r="H8" s="6" t="inlineStr">
        <is>
          <t>Equity Multiple</t>
        </is>
      </c>
      <c r="I8" s="12">
        <f>'Returns &amp; Snapshot'!B23</f>
        <v/>
      </c>
    </row>
    <row r="9">
      <c r="A9" s="4" t="inlineStr">
        <is>
          <t>Stabilized Occupancy Target</t>
        </is>
      </c>
      <c r="B9" s="13" t="n">
        <v>0.92</v>
      </c>
      <c r="C9" s="2" t="n"/>
      <c r="D9" s="2" t="n"/>
      <c r="E9" s="2" t="n"/>
      <c r="F9" s="2" t="n"/>
      <c r="G9" s="2" t="n"/>
      <c r="H9" s="6" t="inlineStr">
        <is>
          <t>Levered IRR</t>
        </is>
      </c>
      <c r="I9" s="10">
        <f>'Returns &amp; Snapshot'!B24</f>
        <v/>
      </c>
    </row>
    <row r="10">
      <c r="A10" s="4" t="inlineStr">
        <is>
          <t>Avg Current Rent / Occupied Unit</t>
        </is>
      </c>
      <c r="B10" s="14">
        <f>IF(SUM('Unit Mix &amp; Lease-Up'!F3:F8)=0,0,SUM('Unit Mix &amp; Lease-Up'!K3:K8)/SUM('Unit Mix &amp; Lease-Up'!F3:F8))</f>
        <v/>
      </c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Avg Market Rent / Occupied Unit</t>
        </is>
      </c>
      <c r="B11" s="14">
        <f>IF(SUM('Unit Mix &amp; Lease-Up'!J3:J8)=0,0,SUM('Unit Mix &amp; Lease-Up'!L3:L8)/SUM('Unit Mix &amp; Lease-Up'!J3:J8))</f>
        <v/>
      </c>
      <c r="C11" s="2" t="n"/>
      <c r="D11" s="2" t="n"/>
      <c r="E11" s="2" t="n"/>
      <c r="F11" s="2" t="n"/>
      <c r="G11" s="2" t="n"/>
      <c r="H11" s="15" t="inlineStr">
        <is>
          <t>Scratch note</t>
        </is>
      </c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16" t="inlineStr">
        <is>
          <t>Lease-up is the swing here.</t>
        </is>
      </c>
      <c r="I12" s="2" t="n"/>
    </row>
    <row r="13">
      <c r="A13" s="3" t="inlineStr">
        <is>
          <t>Acquisition</t>
        </is>
      </c>
      <c r="B13" s="2" t="n"/>
      <c r="C13" s="2" t="n"/>
      <c r="D13" s="2" t="n"/>
      <c r="E13" s="2" t="n"/>
      <c r="F13" s="2" t="n"/>
      <c r="G13" s="2" t="n"/>
      <c r="H13" s="16" t="inlineStr">
        <is>
          <t>Exit cap is just a rough look.</t>
        </is>
      </c>
      <c r="I13" s="2" t="n"/>
    </row>
    <row r="14">
      <c r="A14" s="4" t="inlineStr">
        <is>
          <t>Purchase Price</t>
        </is>
      </c>
      <c r="B14" s="17" t="n">
        <v>2450000</v>
      </c>
      <c r="C14" s="2" t="n"/>
      <c r="D14" s="2" t="n"/>
      <c r="E14" s="2" t="n"/>
      <c r="F14" s="2" t="n"/>
      <c r="G14" s="2" t="n"/>
      <c r="H14" s="2" t="n"/>
      <c r="I14" s="2" t="n"/>
    </row>
    <row r="15">
      <c r="A15" s="4" t="inlineStr">
        <is>
          <t>Closing Costs</t>
        </is>
      </c>
      <c r="B15" s="17" t="n">
        <v>42000</v>
      </c>
      <c r="C15" s="2" t="n"/>
      <c r="D15" s="2" t="n"/>
      <c r="E15" s="2" t="n"/>
      <c r="F15" s="2" t="n"/>
      <c r="G15" s="2" t="n"/>
      <c r="H15" s="2" t="n"/>
      <c r="I15" s="2" t="n"/>
    </row>
    <row r="16">
      <c r="A16" s="4" t="inlineStr">
        <is>
          <t>Immediate CapEx</t>
        </is>
      </c>
      <c r="B16" s="17" t="n">
        <v>85000</v>
      </c>
      <c r="C16" s="2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Total Basis</t>
        </is>
      </c>
      <c r="B17" s="18">
        <f>B14+B15+B16</f>
        <v/>
      </c>
      <c r="C17" s="2" t="n"/>
      <c r="D17" s="2" t="n"/>
      <c r="E17" s="2" t="n"/>
      <c r="F17" s="2" t="n"/>
      <c r="G17" s="2" t="n"/>
      <c r="H17" s="2" t="n"/>
      <c r="I17" s="2" t="n"/>
    </row>
    <row r="18">
      <c r="A18" s="4" t="inlineStr">
        <is>
          <t>Going-In Cap Rate</t>
        </is>
      </c>
      <c r="B18" s="19">
        <f>IF(B14=0,0,'5-Year Projection'!B10/B14)</f>
        <v/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Financing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Down Payment (%)</t>
        </is>
      </c>
      <c r="B21" s="13" t="n">
        <v>0.3</v>
      </c>
      <c r="C21" s="2" t="n"/>
      <c r="D21" s="2" t="n"/>
      <c r="E21" s="2" t="n"/>
      <c r="F21" s="2" t="n"/>
      <c r="G21" s="2" t="n"/>
      <c r="H21" s="2" t="n"/>
      <c r="I21" s="2" t="n"/>
    </row>
    <row r="22">
      <c r="A22" s="4" t="inlineStr">
        <is>
          <t>Down Payment ($)</t>
        </is>
      </c>
      <c r="B22" s="18">
        <f>B14*B21</f>
        <v/>
      </c>
      <c r="C22" s="2" t="n"/>
      <c r="D22" s="2" t="n"/>
      <c r="E22" s="2" t="n"/>
      <c r="F22" s="2" t="n"/>
      <c r="G22" s="2" t="n"/>
      <c r="H22" s="2" t="n"/>
      <c r="I22" s="2" t="n"/>
    </row>
    <row r="23">
      <c r="A23" s="4" t="inlineStr">
        <is>
          <t>Loan Amount</t>
        </is>
      </c>
      <c r="B23" s="18">
        <f>B14-B22</f>
        <v/>
      </c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Interest Rate</t>
        </is>
      </c>
      <c r="B24" s="20" t="n">
        <v>0.06850000000000001</v>
      </c>
      <c r="C24" s="2" t="n"/>
      <c r="D24" s="2" t="n"/>
      <c r="E24" s="2" t="n"/>
      <c r="F24" s="2" t="n"/>
      <c r="G24" s="2" t="n"/>
      <c r="H24" s="2" t="n"/>
      <c r="I24" s="2" t="n"/>
    </row>
    <row r="25">
      <c r="A25" s="4" t="inlineStr">
        <is>
          <t>Loan Term (years)</t>
        </is>
      </c>
      <c r="B25" s="21" t="n">
        <v>25</v>
      </c>
      <c r="C25" s="2" t="n"/>
      <c r="D25" s="2" t="n"/>
      <c r="E25" s="2" t="n"/>
      <c r="F25" s="2" t="n"/>
      <c r="G25" s="2" t="n"/>
      <c r="H25" s="2" t="n"/>
      <c r="I25" s="2" t="n"/>
    </row>
    <row r="26">
      <c r="A26" s="4" t="inlineStr">
        <is>
          <t>Monthly Debt Service</t>
        </is>
      </c>
      <c r="B26" s="18">
        <f>IF(B23=0,0,PMT(B24/12,B25*12,-B23))</f>
        <v/>
      </c>
      <c r="C26" s="2" t="n"/>
      <c r="D26" s="2" t="n"/>
      <c r="E26" s="2" t="n"/>
      <c r="F26" s="2" t="n"/>
      <c r="G26" s="2" t="n"/>
      <c r="H26" s="2" t="n"/>
      <c r="I26" s="2" t="n"/>
    </row>
    <row r="27">
      <c r="A27" s="4" t="inlineStr">
        <is>
          <t>Annual Debt Service</t>
        </is>
      </c>
      <c r="B27" s="18">
        <f>B26*12</f>
        <v/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Lease-Up / Revenue Assumptions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4" t="inlineStr">
        <is>
          <t>Monthly Move-Ins</t>
        </is>
      </c>
      <c r="B30" s="21" t="n">
        <v>7</v>
      </c>
      <c r="C30" s="2" t="n"/>
      <c r="D30" s="2" t="n"/>
      <c r="E30" s="2" t="n"/>
      <c r="F30" s="2" t="n"/>
      <c r="G30" s="2" t="n"/>
      <c r="H30" s="2" t="n"/>
      <c r="I30" s="2" t="n"/>
    </row>
    <row r="31">
      <c r="A31" s="4" t="inlineStr">
        <is>
          <t>Monthly Move-Out Rate</t>
        </is>
      </c>
      <c r="B31" s="20" t="n">
        <v>0.015</v>
      </c>
      <c r="C31" s="2" t="n"/>
      <c r="D31" s="2" t="n"/>
      <c r="E31" s="2" t="n"/>
      <c r="F31" s="2" t="n"/>
      <c r="G31" s="2" t="n"/>
      <c r="H31" s="2" t="n"/>
      <c r="I31" s="2" t="n"/>
    </row>
    <row r="32">
      <c r="A32" s="4" t="inlineStr">
        <is>
          <t>Annual Rent Growth</t>
        </is>
      </c>
      <c r="B32" s="13" t="n">
        <v>0.03</v>
      </c>
      <c r="C32" s="2" t="n"/>
      <c r="D32" s="2" t="n"/>
      <c r="E32" s="2" t="n"/>
      <c r="F32" s="2" t="n"/>
      <c r="G32" s="2" t="n"/>
      <c r="H32" s="2" t="n"/>
      <c r="I32" s="2" t="n"/>
    </row>
    <row r="33">
      <c r="A33" s="4" t="inlineStr">
        <is>
          <t>Ancillary Income / Occupied Unit / Month</t>
        </is>
      </c>
      <c r="B33" s="22" t="n">
        <v>9</v>
      </c>
      <c r="C33" s="2" t="n"/>
      <c r="D33" s="2" t="n"/>
      <c r="E33" s="2" t="n"/>
      <c r="F33" s="2" t="n"/>
      <c r="G33" s="2" t="n"/>
      <c r="H33" s="2" t="n"/>
      <c r="I33" s="2" t="n"/>
    </row>
    <row r="34">
      <c r="A34" s="4" t="inlineStr">
        <is>
          <t>Bad Debt / Promo Loss (%)</t>
        </is>
      </c>
      <c r="B34" s="20" t="n">
        <v>0.02</v>
      </c>
      <c r="C34" s="2" t="n"/>
      <c r="D34" s="2" t="n"/>
      <c r="E34" s="2" t="n"/>
      <c r="F34" s="2" t="n"/>
      <c r="G34" s="2" t="n"/>
      <c r="H34" s="2" t="n"/>
      <c r="I34" s="2" t="n"/>
    </row>
    <row r="35">
      <c r="A35" s="4" t="inlineStr">
        <is>
          <t>Exit Cap Rate</t>
        </is>
      </c>
      <c r="B35" s="20" t="n">
        <v>0.0675</v>
      </c>
      <c r="C35" s="2" t="n"/>
      <c r="D35" s="2" t="n"/>
      <c r="E35" s="2" t="n"/>
      <c r="F35" s="2" t="n"/>
      <c r="G35" s="2" t="n"/>
      <c r="H35" s="2" t="n"/>
      <c r="I35" s="2" t="n"/>
    </row>
    <row r="36">
      <c r="A36" s="4" t="inlineStr">
        <is>
          <t>Selling Costs (%)</t>
        </is>
      </c>
      <c r="B36" s="13" t="n">
        <v>0.03</v>
      </c>
      <c r="C36" s="2" t="n"/>
      <c r="D36" s="2" t="n"/>
      <c r="E36" s="2" t="n"/>
      <c r="F36" s="2" t="n"/>
      <c r="G36" s="2" t="n"/>
      <c r="H36" s="2" t="n"/>
      <c r="I36" s="2" t="n"/>
    </row>
    <row r="37">
      <c r="A37" s="4" t="inlineStr">
        <is>
          <t>Hold Period (years)</t>
        </is>
      </c>
      <c r="B37" s="21" t="n">
        <v>5</v>
      </c>
      <c r="C37" s="2" t="n"/>
      <c r="D37" s="2" t="n"/>
      <c r="E37" s="2" t="n"/>
      <c r="F37" s="2" t="n"/>
      <c r="G37" s="2" t="n"/>
      <c r="H37" s="2" t="n"/>
      <c r="I37" s="2" t="n"/>
    </row>
  </sheetData>
  <dataValidations count="1">
    <dataValidation sqref="B5" showDropDown="0" showInputMessage="0" showErrorMessage="0" allowBlank="1" type="list">
      <formula1>"Drive-Up + Climate,Drive-Up Only,Climate-Controlled,Parking Heavy"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1" customWidth="1" min="15" max="15"/>
    <col width="14" customWidth="1" min="16" max="16"/>
  </cols>
  <sheetData>
    <row r="1">
      <c r="A1" s="1" t="inlineStr">
        <is>
          <t>Unit Mix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Unit Type</t>
        </is>
      </c>
      <c r="B2" s="3" t="inlineStr">
        <is>
          <t>Size Label</t>
        </is>
      </c>
      <c r="C2" s="3" t="inlineStr">
        <is>
          <t>Units</t>
        </is>
      </c>
      <c r="D2" s="3" t="inlineStr">
        <is>
          <t>SqFt / Unit</t>
        </is>
      </c>
      <c r="E2" s="3" t="inlineStr">
        <is>
          <t>Total SqFt</t>
        </is>
      </c>
      <c r="F2" s="3" t="inlineStr">
        <is>
          <t>Current Occupied Units</t>
        </is>
      </c>
      <c r="G2" s="3" t="inlineStr">
        <is>
          <t>Current Occ %</t>
        </is>
      </c>
      <c r="H2" s="3" t="inlineStr">
        <is>
          <t>Current Avg Rent / Unit</t>
        </is>
      </c>
      <c r="I2" s="3" t="inlineStr">
        <is>
          <t>Market Rent / Unit</t>
        </is>
      </c>
      <c r="J2" s="3" t="inlineStr">
        <is>
          <t>Stabilized Occupied Units</t>
        </is>
      </c>
      <c r="K2" s="3" t="inlineStr">
        <is>
          <t>Current Monthly Gross</t>
        </is>
      </c>
      <c r="L2" s="3" t="inlineStr">
        <is>
          <t>Stabilized Monthly Gross</t>
        </is>
      </c>
      <c r="M2" s="3" t="inlineStr">
        <is>
          <t>Rent Lift %</t>
        </is>
      </c>
      <c r="N2" s="2" t="n"/>
      <c r="O2" s="3" t="inlineStr">
        <is>
          <t>Unit Mix Summary</t>
        </is>
      </c>
      <c r="P2" s="2" t="n"/>
    </row>
    <row r="3">
      <c r="A3" s="5" t="inlineStr">
        <is>
          <t>5x5</t>
        </is>
      </c>
      <c r="B3" s="5" t="inlineStr">
        <is>
          <t>Small</t>
        </is>
      </c>
      <c r="C3" s="21" t="n">
        <v>40</v>
      </c>
      <c r="D3" s="21" t="n">
        <v>25</v>
      </c>
      <c r="E3" s="9">
        <f>C3*D3</f>
        <v/>
      </c>
      <c r="F3" s="21" t="n">
        <v>31</v>
      </c>
      <c r="G3" s="11">
        <f>IF(C3=0,0,F3/C3)</f>
        <v/>
      </c>
      <c r="H3" s="22" t="n">
        <v>42</v>
      </c>
      <c r="I3" s="22" t="n">
        <v>48</v>
      </c>
      <c r="J3" s="9">
        <f>ROUND(C3*'Facility Overview'!$B$9,0)</f>
        <v/>
      </c>
      <c r="K3" s="18">
        <f>F3*H3</f>
        <v/>
      </c>
      <c r="L3" s="18">
        <f>J3*I3</f>
        <v/>
      </c>
      <c r="M3" s="11">
        <f>IF(H3=0,0,I3/H3-1)</f>
        <v/>
      </c>
      <c r="N3" s="2" t="n"/>
      <c r="O3" s="6" t="inlineStr">
        <is>
          <t>Current occupied units</t>
        </is>
      </c>
      <c r="P3" s="23">
        <f>SUM(F3:F8)</f>
        <v/>
      </c>
    </row>
    <row r="4">
      <c r="A4" s="5" t="inlineStr">
        <is>
          <t>5x10</t>
        </is>
      </c>
      <c r="B4" s="5" t="inlineStr">
        <is>
          <t>Small</t>
        </is>
      </c>
      <c r="C4" s="21" t="n">
        <v>55</v>
      </c>
      <c r="D4" s="21" t="n">
        <v>50</v>
      </c>
      <c r="E4" s="9">
        <f>C4*D4</f>
        <v/>
      </c>
      <c r="F4" s="21" t="n">
        <v>44</v>
      </c>
      <c r="G4" s="11">
        <f>IF(C4=0,0,F4/C4)</f>
        <v/>
      </c>
      <c r="H4" s="22" t="n">
        <v>62</v>
      </c>
      <c r="I4" s="22" t="n">
        <v>69</v>
      </c>
      <c r="J4" s="9">
        <f>ROUND(C4*'Facility Overview'!$B$9,0)</f>
        <v/>
      </c>
      <c r="K4" s="18">
        <f>F4*H4</f>
        <v/>
      </c>
      <c r="L4" s="18">
        <f>J4*I4</f>
        <v/>
      </c>
      <c r="M4" s="11">
        <f>IF(H4=0,0,I4/H4-1)</f>
        <v/>
      </c>
      <c r="N4" s="2" t="n"/>
      <c r="O4" s="6" t="inlineStr">
        <is>
          <t>Current monthly gross</t>
        </is>
      </c>
      <c r="P4" s="24">
        <f>SUM(K3:K8)</f>
        <v/>
      </c>
    </row>
    <row r="5">
      <c r="A5" s="5" t="inlineStr">
        <is>
          <t>10x10</t>
        </is>
      </c>
      <c r="B5" s="5" t="inlineStr">
        <is>
          <t>Medium</t>
        </is>
      </c>
      <c r="C5" s="21" t="n">
        <v>64</v>
      </c>
      <c r="D5" s="21" t="n">
        <v>100</v>
      </c>
      <c r="E5" s="9">
        <f>C5*D5</f>
        <v/>
      </c>
      <c r="F5" s="21" t="n">
        <v>50</v>
      </c>
      <c r="G5" s="11">
        <f>IF(C5=0,0,F5/C5)</f>
        <v/>
      </c>
      <c r="H5" s="22" t="n">
        <v>88</v>
      </c>
      <c r="I5" s="22" t="n">
        <v>97</v>
      </c>
      <c r="J5" s="9">
        <f>ROUND(C5*'Facility Overview'!$B$9,0)</f>
        <v/>
      </c>
      <c r="K5" s="18">
        <f>F5*H5</f>
        <v/>
      </c>
      <c r="L5" s="18">
        <f>J5*I5</f>
        <v/>
      </c>
      <c r="M5" s="11">
        <f>IF(H5=0,0,I5/H5-1)</f>
        <v/>
      </c>
      <c r="N5" s="2" t="n"/>
      <c r="O5" s="6" t="inlineStr">
        <is>
          <t>Stabilized monthly gross</t>
        </is>
      </c>
      <c r="P5" s="24">
        <f>SUM(L3:L8)</f>
        <v/>
      </c>
    </row>
    <row r="6">
      <c r="A6" s="5" t="inlineStr">
        <is>
          <t>10x15</t>
        </is>
      </c>
      <c r="B6" s="5" t="inlineStr">
        <is>
          <t>Large</t>
        </is>
      </c>
      <c r="C6" s="21" t="n">
        <v>28</v>
      </c>
      <c r="D6" s="21" t="n">
        <v>150</v>
      </c>
      <c r="E6" s="9">
        <f>C6*D6</f>
        <v/>
      </c>
      <c r="F6" s="21" t="n">
        <v>18</v>
      </c>
      <c r="G6" s="11">
        <f>IF(C6=0,0,F6/C6)</f>
        <v/>
      </c>
      <c r="H6" s="22" t="n">
        <v>112</v>
      </c>
      <c r="I6" s="22" t="n">
        <v>126</v>
      </c>
      <c r="J6" s="9">
        <f>ROUND(C6*'Facility Overview'!$B$9,0)</f>
        <v/>
      </c>
      <c r="K6" s="18">
        <f>F6*H6</f>
        <v/>
      </c>
      <c r="L6" s="18">
        <f>J6*I6</f>
        <v/>
      </c>
      <c r="M6" s="11">
        <f>IF(H6=0,0,I6/H6-1)</f>
        <v/>
      </c>
      <c r="N6" s="2" t="n"/>
      <c r="O6" s="6" t="inlineStr">
        <is>
          <t>Lease-up month hit</t>
        </is>
      </c>
      <c r="P6" s="23">
        <f>IFERROR(MINIFS(A17:A40,F17:F40,"&gt;="&amp;'Facility Overview'!$B$9),"")</f>
        <v/>
      </c>
    </row>
    <row r="7">
      <c r="A7" s="5" t="inlineStr">
        <is>
          <t>10x20</t>
        </is>
      </c>
      <c r="B7" s="5" t="inlineStr">
        <is>
          <t>Large</t>
        </is>
      </c>
      <c r="C7" s="21" t="n">
        <v>18</v>
      </c>
      <c r="D7" s="21" t="n">
        <v>200</v>
      </c>
      <c r="E7" s="9">
        <f>C7*D7</f>
        <v/>
      </c>
      <c r="F7" s="21" t="n">
        <v>11</v>
      </c>
      <c r="G7" s="11">
        <f>IF(C7=0,0,F7/C7)</f>
        <v/>
      </c>
      <c r="H7" s="22" t="n">
        <v>156</v>
      </c>
      <c r="I7" s="22" t="n">
        <v>176</v>
      </c>
      <c r="J7" s="9">
        <f>ROUND(C7*'Facility Overview'!$B$9,0)</f>
        <v/>
      </c>
      <c r="K7" s="18">
        <f>F7*H7</f>
        <v/>
      </c>
      <c r="L7" s="18">
        <f>J7*I7</f>
        <v/>
      </c>
      <c r="M7" s="11">
        <f>IF(H7=0,0,I7/H7-1)</f>
        <v/>
      </c>
      <c r="N7" s="2" t="n"/>
      <c r="O7" s="6" t="inlineStr">
        <is>
          <t>Avg month 1-12 EGI</t>
        </is>
      </c>
      <c r="P7" s="24">
        <f>AVERAGE(L17:L28)</f>
        <v/>
      </c>
    </row>
    <row r="8">
      <c r="A8" s="5" t="inlineStr">
        <is>
          <t>Parking / RV</t>
        </is>
      </c>
      <c r="B8" s="5" t="inlineStr">
        <is>
          <t>Parking</t>
        </is>
      </c>
      <c r="C8" s="21" t="n">
        <v>14</v>
      </c>
      <c r="D8" s="21" t="n">
        <v>300</v>
      </c>
      <c r="E8" s="9">
        <f>C8*D8</f>
        <v/>
      </c>
      <c r="F8" s="21" t="n">
        <v>8</v>
      </c>
      <c r="G8" s="11">
        <f>IF(C8=0,0,F8/C8)</f>
        <v/>
      </c>
      <c r="H8" s="22" t="n">
        <v>84</v>
      </c>
      <c r="I8" s="22" t="n">
        <v>95</v>
      </c>
      <c r="J8" s="9">
        <f>ROUND(C8*'Facility Overview'!$B$9,0)</f>
        <v/>
      </c>
      <c r="K8" s="18">
        <f>F8*H8</f>
        <v/>
      </c>
      <c r="L8" s="18">
        <f>J8*I8</f>
        <v/>
      </c>
      <c r="M8" s="11">
        <f>IF(H8=0,0,I8/H8-1)</f>
        <v/>
      </c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1" t="inlineStr">
        <is>
          <t>24-Month Lease-Up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3" t="inlineStr">
        <is>
          <t>Month #</t>
        </is>
      </c>
      <c r="B16" s="3" t="inlineStr">
        <is>
          <t>Beginning Occupied Units</t>
        </is>
      </c>
      <c r="C16" s="3" t="inlineStr">
        <is>
          <t>Move-Ins</t>
        </is>
      </c>
      <c r="D16" s="3" t="inlineStr">
        <is>
          <t>Move-Outs</t>
        </is>
      </c>
      <c r="E16" s="3" t="inlineStr">
        <is>
          <t>Ending Occupied Units</t>
        </is>
      </c>
      <c r="F16" s="3" t="inlineStr">
        <is>
          <t>Occupancy %</t>
        </is>
      </c>
      <c r="G16" s="3" t="inlineStr">
        <is>
          <t>Avg Rent / Occupied Unit</t>
        </is>
      </c>
      <c r="H16" s="3" t="inlineStr">
        <is>
          <t>Storage Rent Revenue</t>
        </is>
      </c>
      <c r="I16" s="3" t="inlineStr">
        <is>
          <t>Ancillary Income</t>
        </is>
      </c>
      <c r="J16" s="3" t="inlineStr">
        <is>
          <t>Gross Revenue</t>
        </is>
      </c>
      <c r="K16" s="3" t="inlineStr">
        <is>
          <t>Bad Debt / Promo Loss</t>
        </is>
      </c>
      <c r="L16" s="3" t="inlineStr">
        <is>
          <t>Effective Gross Revenue</t>
        </is>
      </c>
      <c r="M16" s="2" t="n"/>
      <c r="N16" s="2" t="n"/>
      <c r="O16" s="2" t="n"/>
      <c r="P16" s="2" t="n"/>
    </row>
    <row r="17">
      <c r="A17" s="25" t="n">
        <v>1</v>
      </c>
      <c r="B17" s="9">
        <f>SUM(F3:F8)</f>
        <v/>
      </c>
      <c r="C17" s="9">
        <f>MIN('Facility Overview'!$B$30,'Facility Overview'!$B$6-B17)</f>
        <v/>
      </c>
      <c r="D17" s="9">
        <f>ROUND(B17*'Facility Overview'!$B$31,0)</f>
        <v/>
      </c>
      <c r="E17" s="9">
        <f>MAX(0,MIN('Facility Overview'!$B$6,B17+C17-D17))</f>
        <v/>
      </c>
      <c r="F17" s="11">
        <f>IF('Facility Overview'!$B$6=0,0,E17/'Facility Overview'!$B$6)</f>
        <v/>
      </c>
      <c r="G17" s="14">
        <f>('Facility Overview'!$B$10+(MIN(A17,24)/24)*('Facility Overview'!$B$11-'Facility Overview'!$B$10))*(1+'Facility Overview'!$B$32/12)^(A17-1)</f>
        <v/>
      </c>
      <c r="H17" s="18">
        <f>E17*G17</f>
        <v/>
      </c>
      <c r="I17" s="18">
        <f>E17*'Facility Overview'!$B$33</f>
        <v/>
      </c>
      <c r="J17" s="18">
        <f>H17+I17</f>
        <v/>
      </c>
      <c r="K17" s="18">
        <f>J17*'Facility Overview'!$B$34*-1</f>
        <v/>
      </c>
      <c r="L17" s="18">
        <f>J17+K17</f>
        <v/>
      </c>
      <c r="M17" s="2" t="n"/>
      <c r="N17" s="2" t="n"/>
      <c r="O17" s="2" t="n"/>
      <c r="P17" s="2" t="n"/>
    </row>
    <row r="18">
      <c r="A18" s="25" t="n">
        <v>2</v>
      </c>
      <c r="B18" s="9">
        <f>E17</f>
        <v/>
      </c>
      <c r="C18" s="9">
        <f>MIN('Facility Overview'!$B$30,'Facility Overview'!$B$6-B18)</f>
        <v/>
      </c>
      <c r="D18" s="9">
        <f>ROUND(B18*'Facility Overview'!$B$31,0)</f>
        <v/>
      </c>
      <c r="E18" s="9">
        <f>MAX(0,MIN('Facility Overview'!$B$6,B18+C18-D18))</f>
        <v/>
      </c>
      <c r="F18" s="11">
        <f>IF('Facility Overview'!$B$6=0,0,E18/'Facility Overview'!$B$6)</f>
        <v/>
      </c>
      <c r="G18" s="14">
        <f>('Facility Overview'!$B$10+(MIN(A18,24)/24)*('Facility Overview'!$B$11-'Facility Overview'!$B$10))*(1+'Facility Overview'!$B$32/12)^(A18-1)</f>
        <v/>
      </c>
      <c r="H18" s="18">
        <f>E18*G18</f>
        <v/>
      </c>
      <c r="I18" s="18">
        <f>E18*'Facility Overview'!$B$33</f>
        <v/>
      </c>
      <c r="J18" s="18">
        <f>H18+I18</f>
        <v/>
      </c>
      <c r="K18" s="18">
        <f>J18*'Facility Overview'!$B$34*-1</f>
        <v/>
      </c>
      <c r="L18" s="18">
        <f>J18+K18</f>
        <v/>
      </c>
      <c r="M18" s="2" t="n"/>
      <c r="N18" s="2" t="n"/>
      <c r="O18" s="2" t="n"/>
      <c r="P18" s="2" t="n"/>
    </row>
    <row r="19">
      <c r="A19" s="25" t="n">
        <v>3</v>
      </c>
      <c r="B19" s="9">
        <f>E18</f>
        <v/>
      </c>
      <c r="C19" s="9">
        <f>MIN('Facility Overview'!$B$30,'Facility Overview'!$B$6-B19)</f>
        <v/>
      </c>
      <c r="D19" s="9">
        <f>ROUND(B19*'Facility Overview'!$B$31,0)</f>
        <v/>
      </c>
      <c r="E19" s="9">
        <f>MAX(0,MIN('Facility Overview'!$B$6,B19+C19-D19))</f>
        <v/>
      </c>
      <c r="F19" s="11">
        <f>IF('Facility Overview'!$B$6=0,0,E19/'Facility Overview'!$B$6)</f>
        <v/>
      </c>
      <c r="G19" s="14">
        <f>('Facility Overview'!$B$10+(MIN(A19,24)/24)*('Facility Overview'!$B$11-'Facility Overview'!$B$10))*(1+'Facility Overview'!$B$32/12)^(A19-1)</f>
        <v/>
      </c>
      <c r="H19" s="18">
        <f>E19*G19</f>
        <v/>
      </c>
      <c r="I19" s="18">
        <f>E19*'Facility Overview'!$B$33</f>
        <v/>
      </c>
      <c r="J19" s="18">
        <f>H19+I19</f>
        <v/>
      </c>
      <c r="K19" s="18">
        <f>J19*'Facility Overview'!$B$34*-1</f>
        <v/>
      </c>
      <c r="L19" s="18">
        <f>J19+K19</f>
        <v/>
      </c>
      <c r="M19" s="2" t="n"/>
      <c r="N19" s="2" t="n"/>
      <c r="O19" s="2" t="n"/>
      <c r="P19" s="2" t="n"/>
    </row>
    <row r="20">
      <c r="A20" s="25" t="n">
        <v>4</v>
      </c>
      <c r="B20" s="9">
        <f>E19</f>
        <v/>
      </c>
      <c r="C20" s="9">
        <f>MIN('Facility Overview'!$B$30,'Facility Overview'!$B$6-B20)</f>
        <v/>
      </c>
      <c r="D20" s="9">
        <f>ROUND(B20*'Facility Overview'!$B$31,0)</f>
        <v/>
      </c>
      <c r="E20" s="9">
        <f>MAX(0,MIN('Facility Overview'!$B$6,B20+C20-D20))</f>
        <v/>
      </c>
      <c r="F20" s="11">
        <f>IF('Facility Overview'!$B$6=0,0,E20/'Facility Overview'!$B$6)</f>
        <v/>
      </c>
      <c r="G20" s="14">
        <f>('Facility Overview'!$B$10+(MIN(A20,24)/24)*('Facility Overview'!$B$11-'Facility Overview'!$B$10))*(1+'Facility Overview'!$B$32/12)^(A20-1)</f>
        <v/>
      </c>
      <c r="H20" s="18">
        <f>E20*G20</f>
        <v/>
      </c>
      <c r="I20" s="18">
        <f>E20*'Facility Overview'!$B$33</f>
        <v/>
      </c>
      <c r="J20" s="18">
        <f>H20+I20</f>
        <v/>
      </c>
      <c r="K20" s="18">
        <f>J20*'Facility Overview'!$B$34*-1</f>
        <v/>
      </c>
      <c r="L20" s="18">
        <f>J20+K20</f>
        <v/>
      </c>
      <c r="M20" s="2" t="n"/>
      <c r="N20" s="2" t="n"/>
      <c r="O20" s="2" t="n"/>
      <c r="P20" s="2" t="n"/>
    </row>
    <row r="21">
      <c r="A21" s="25" t="n">
        <v>5</v>
      </c>
      <c r="B21" s="9">
        <f>E20</f>
        <v/>
      </c>
      <c r="C21" s="9">
        <f>MIN('Facility Overview'!$B$30,'Facility Overview'!$B$6-B21)</f>
        <v/>
      </c>
      <c r="D21" s="9">
        <f>ROUND(B21*'Facility Overview'!$B$31,0)</f>
        <v/>
      </c>
      <c r="E21" s="9">
        <f>MAX(0,MIN('Facility Overview'!$B$6,B21+C21-D21))</f>
        <v/>
      </c>
      <c r="F21" s="11">
        <f>IF('Facility Overview'!$B$6=0,0,E21/'Facility Overview'!$B$6)</f>
        <v/>
      </c>
      <c r="G21" s="14">
        <f>('Facility Overview'!$B$10+(MIN(A21,24)/24)*('Facility Overview'!$B$11-'Facility Overview'!$B$10))*(1+'Facility Overview'!$B$32/12)^(A21-1)</f>
        <v/>
      </c>
      <c r="H21" s="18">
        <f>E21*G21</f>
        <v/>
      </c>
      <c r="I21" s="18">
        <f>E21*'Facility Overview'!$B$33</f>
        <v/>
      </c>
      <c r="J21" s="18">
        <f>H21+I21</f>
        <v/>
      </c>
      <c r="K21" s="18">
        <f>J21*'Facility Overview'!$B$34*-1</f>
        <v/>
      </c>
      <c r="L21" s="18">
        <f>J21+K21</f>
        <v/>
      </c>
      <c r="M21" s="2" t="n"/>
      <c r="N21" s="2" t="n"/>
      <c r="O21" s="2" t="n"/>
      <c r="P21" s="2" t="n"/>
    </row>
    <row r="22">
      <c r="A22" s="25" t="n">
        <v>6</v>
      </c>
      <c r="B22" s="9">
        <f>E21</f>
        <v/>
      </c>
      <c r="C22" s="9">
        <f>MIN('Facility Overview'!$B$30,'Facility Overview'!$B$6-B22)</f>
        <v/>
      </c>
      <c r="D22" s="9">
        <f>ROUND(B22*'Facility Overview'!$B$31,0)</f>
        <v/>
      </c>
      <c r="E22" s="9">
        <f>MAX(0,MIN('Facility Overview'!$B$6,B22+C22-D22))</f>
        <v/>
      </c>
      <c r="F22" s="11">
        <f>IF('Facility Overview'!$B$6=0,0,E22/'Facility Overview'!$B$6)</f>
        <v/>
      </c>
      <c r="G22" s="14">
        <f>('Facility Overview'!$B$10+(MIN(A22,24)/24)*('Facility Overview'!$B$11-'Facility Overview'!$B$10))*(1+'Facility Overview'!$B$32/12)^(A22-1)</f>
        <v/>
      </c>
      <c r="H22" s="18">
        <f>E22*G22</f>
        <v/>
      </c>
      <c r="I22" s="18">
        <f>E22*'Facility Overview'!$B$33</f>
        <v/>
      </c>
      <c r="J22" s="18">
        <f>H22+I22</f>
        <v/>
      </c>
      <c r="K22" s="18">
        <f>J22*'Facility Overview'!$B$34*-1</f>
        <v/>
      </c>
      <c r="L22" s="18">
        <f>J22+K22</f>
        <v/>
      </c>
      <c r="M22" s="2" t="n"/>
      <c r="N22" s="2" t="n"/>
      <c r="O22" s="2" t="n"/>
      <c r="P22" s="2" t="n"/>
    </row>
    <row r="23">
      <c r="A23" s="25" t="n">
        <v>7</v>
      </c>
      <c r="B23" s="9">
        <f>E22</f>
        <v/>
      </c>
      <c r="C23" s="9">
        <f>MIN('Facility Overview'!$B$30,'Facility Overview'!$B$6-B23)</f>
        <v/>
      </c>
      <c r="D23" s="9">
        <f>ROUND(B23*'Facility Overview'!$B$31,0)</f>
        <v/>
      </c>
      <c r="E23" s="9">
        <f>MAX(0,MIN('Facility Overview'!$B$6,B23+C23-D23))</f>
        <v/>
      </c>
      <c r="F23" s="11">
        <f>IF('Facility Overview'!$B$6=0,0,E23/'Facility Overview'!$B$6)</f>
        <v/>
      </c>
      <c r="G23" s="14">
        <f>('Facility Overview'!$B$10+(MIN(A23,24)/24)*('Facility Overview'!$B$11-'Facility Overview'!$B$10))*(1+'Facility Overview'!$B$32/12)^(A23-1)</f>
        <v/>
      </c>
      <c r="H23" s="18">
        <f>E23*G23</f>
        <v/>
      </c>
      <c r="I23" s="18">
        <f>E23*'Facility Overview'!$B$33</f>
        <v/>
      </c>
      <c r="J23" s="18">
        <f>H23+I23</f>
        <v/>
      </c>
      <c r="K23" s="18">
        <f>J23*'Facility Overview'!$B$34*-1</f>
        <v/>
      </c>
      <c r="L23" s="18">
        <f>J23+K23</f>
        <v/>
      </c>
      <c r="M23" s="2" t="n"/>
      <c r="N23" s="2" t="n"/>
      <c r="O23" s="2" t="n"/>
      <c r="P23" s="2" t="n"/>
    </row>
    <row r="24">
      <c r="A24" s="25" t="n">
        <v>8</v>
      </c>
      <c r="B24" s="9">
        <f>E23</f>
        <v/>
      </c>
      <c r="C24" s="9">
        <f>MIN('Facility Overview'!$B$30,'Facility Overview'!$B$6-B24)</f>
        <v/>
      </c>
      <c r="D24" s="9">
        <f>ROUND(B24*'Facility Overview'!$B$31,0)</f>
        <v/>
      </c>
      <c r="E24" s="9">
        <f>MAX(0,MIN('Facility Overview'!$B$6,B24+C24-D24))</f>
        <v/>
      </c>
      <c r="F24" s="11">
        <f>IF('Facility Overview'!$B$6=0,0,E24/'Facility Overview'!$B$6)</f>
        <v/>
      </c>
      <c r="G24" s="14">
        <f>('Facility Overview'!$B$10+(MIN(A24,24)/24)*('Facility Overview'!$B$11-'Facility Overview'!$B$10))*(1+'Facility Overview'!$B$32/12)^(A24-1)</f>
        <v/>
      </c>
      <c r="H24" s="18">
        <f>E24*G24</f>
        <v/>
      </c>
      <c r="I24" s="18">
        <f>E24*'Facility Overview'!$B$33</f>
        <v/>
      </c>
      <c r="J24" s="18">
        <f>H24+I24</f>
        <v/>
      </c>
      <c r="K24" s="18">
        <f>J24*'Facility Overview'!$B$34*-1</f>
        <v/>
      </c>
      <c r="L24" s="18">
        <f>J24+K24</f>
        <v/>
      </c>
      <c r="M24" s="2" t="n"/>
      <c r="N24" s="2" t="n"/>
      <c r="O24" s="2" t="n"/>
      <c r="P24" s="2" t="n"/>
    </row>
    <row r="25">
      <c r="A25" s="25" t="n">
        <v>9</v>
      </c>
      <c r="B25" s="9">
        <f>E24</f>
        <v/>
      </c>
      <c r="C25" s="9">
        <f>MIN('Facility Overview'!$B$30,'Facility Overview'!$B$6-B25)</f>
        <v/>
      </c>
      <c r="D25" s="9">
        <f>ROUND(B25*'Facility Overview'!$B$31,0)</f>
        <v/>
      </c>
      <c r="E25" s="9">
        <f>MAX(0,MIN('Facility Overview'!$B$6,B25+C25-D25))</f>
        <v/>
      </c>
      <c r="F25" s="11">
        <f>IF('Facility Overview'!$B$6=0,0,E25/'Facility Overview'!$B$6)</f>
        <v/>
      </c>
      <c r="G25" s="14">
        <f>('Facility Overview'!$B$10+(MIN(A25,24)/24)*('Facility Overview'!$B$11-'Facility Overview'!$B$10))*(1+'Facility Overview'!$B$32/12)^(A25-1)</f>
        <v/>
      </c>
      <c r="H25" s="18">
        <f>E25*G25</f>
        <v/>
      </c>
      <c r="I25" s="18">
        <f>E25*'Facility Overview'!$B$33</f>
        <v/>
      </c>
      <c r="J25" s="18">
        <f>H25+I25</f>
        <v/>
      </c>
      <c r="K25" s="18">
        <f>J25*'Facility Overview'!$B$34*-1</f>
        <v/>
      </c>
      <c r="L25" s="18">
        <f>J25+K25</f>
        <v/>
      </c>
      <c r="M25" s="2" t="n"/>
      <c r="N25" s="2" t="n"/>
      <c r="O25" s="2" t="n"/>
      <c r="P25" s="2" t="n"/>
    </row>
    <row r="26">
      <c r="A26" s="25" t="n">
        <v>10</v>
      </c>
      <c r="B26" s="9">
        <f>E25</f>
        <v/>
      </c>
      <c r="C26" s="9">
        <f>MIN('Facility Overview'!$B$30,'Facility Overview'!$B$6-B26)</f>
        <v/>
      </c>
      <c r="D26" s="9">
        <f>ROUND(B26*'Facility Overview'!$B$31,0)</f>
        <v/>
      </c>
      <c r="E26" s="9">
        <f>MAX(0,MIN('Facility Overview'!$B$6,B26+C26-D26))</f>
        <v/>
      </c>
      <c r="F26" s="11">
        <f>IF('Facility Overview'!$B$6=0,0,E26/'Facility Overview'!$B$6)</f>
        <v/>
      </c>
      <c r="G26" s="14">
        <f>('Facility Overview'!$B$10+(MIN(A26,24)/24)*('Facility Overview'!$B$11-'Facility Overview'!$B$10))*(1+'Facility Overview'!$B$32/12)^(A26-1)</f>
        <v/>
      </c>
      <c r="H26" s="18">
        <f>E26*G26</f>
        <v/>
      </c>
      <c r="I26" s="18">
        <f>E26*'Facility Overview'!$B$33</f>
        <v/>
      </c>
      <c r="J26" s="18">
        <f>H26+I26</f>
        <v/>
      </c>
      <c r="K26" s="18">
        <f>J26*'Facility Overview'!$B$34*-1</f>
        <v/>
      </c>
      <c r="L26" s="18">
        <f>J26+K26</f>
        <v/>
      </c>
      <c r="M26" s="2" t="n"/>
      <c r="N26" s="2" t="n"/>
      <c r="O26" s="2" t="n"/>
      <c r="P26" s="2" t="n"/>
    </row>
    <row r="27">
      <c r="A27" s="25" t="n">
        <v>11</v>
      </c>
      <c r="B27" s="9">
        <f>E26</f>
        <v/>
      </c>
      <c r="C27" s="9">
        <f>MIN('Facility Overview'!$B$30,'Facility Overview'!$B$6-B27)</f>
        <v/>
      </c>
      <c r="D27" s="9">
        <f>ROUND(B27*'Facility Overview'!$B$31,0)</f>
        <v/>
      </c>
      <c r="E27" s="9">
        <f>MAX(0,MIN('Facility Overview'!$B$6,B27+C27-D27))</f>
        <v/>
      </c>
      <c r="F27" s="11">
        <f>IF('Facility Overview'!$B$6=0,0,E27/'Facility Overview'!$B$6)</f>
        <v/>
      </c>
      <c r="G27" s="14">
        <f>('Facility Overview'!$B$10+(MIN(A27,24)/24)*('Facility Overview'!$B$11-'Facility Overview'!$B$10))*(1+'Facility Overview'!$B$32/12)^(A27-1)</f>
        <v/>
      </c>
      <c r="H27" s="18">
        <f>E27*G27</f>
        <v/>
      </c>
      <c r="I27" s="18">
        <f>E27*'Facility Overview'!$B$33</f>
        <v/>
      </c>
      <c r="J27" s="18">
        <f>H27+I27</f>
        <v/>
      </c>
      <c r="K27" s="18">
        <f>J27*'Facility Overview'!$B$34*-1</f>
        <v/>
      </c>
      <c r="L27" s="18">
        <f>J27+K27</f>
        <v/>
      </c>
      <c r="M27" s="2" t="n"/>
      <c r="N27" s="2" t="n"/>
      <c r="O27" s="2" t="n"/>
      <c r="P27" s="2" t="n"/>
    </row>
    <row r="28">
      <c r="A28" s="25" t="n">
        <v>12</v>
      </c>
      <c r="B28" s="9">
        <f>E27</f>
        <v/>
      </c>
      <c r="C28" s="9">
        <f>MIN('Facility Overview'!$B$30,'Facility Overview'!$B$6-B28)</f>
        <v/>
      </c>
      <c r="D28" s="9">
        <f>ROUND(B28*'Facility Overview'!$B$31,0)</f>
        <v/>
      </c>
      <c r="E28" s="9">
        <f>MAX(0,MIN('Facility Overview'!$B$6,B28+C28-D28))</f>
        <v/>
      </c>
      <c r="F28" s="11">
        <f>IF('Facility Overview'!$B$6=0,0,E28/'Facility Overview'!$B$6)</f>
        <v/>
      </c>
      <c r="G28" s="14">
        <f>('Facility Overview'!$B$10+(MIN(A28,24)/24)*('Facility Overview'!$B$11-'Facility Overview'!$B$10))*(1+'Facility Overview'!$B$32/12)^(A28-1)</f>
        <v/>
      </c>
      <c r="H28" s="18">
        <f>E28*G28</f>
        <v/>
      </c>
      <c r="I28" s="18">
        <f>E28*'Facility Overview'!$B$33</f>
        <v/>
      </c>
      <c r="J28" s="18">
        <f>H28+I28</f>
        <v/>
      </c>
      <c r="K28" s="18">
        <f>J28*'Facility Overview'!$B$34*-1</f>
        <v/>
      </c>
      <c r="L28" s="18">
        <f>J28+K28</f>
        <v/>
      </c>
      <c r="M28" s="2" t="n"/>
      <c r="N28" s="2" t="n"/>
      <c r="O28" s="2" t="n"/>
      <c r="P28" s="2" t="n"/>
    </row>
    <row r="29">
      <c r="A29" s="25" t="n">
        <v>13</v>
      </c>
      <c r="B29" s="9">
        <f>E28</f>
        <v/>
      </c>
      <c r="C29" s="9">
        <f>MIN('Facility Overview'!$B$30,'Facility Overview'!$B$6-B29)</f>
        <v/>
      </c>
      <c r="D29" s="9">
        <f>ROUND(B29*'Facility Overview'!$B$31,0)</f>
        <v/>
      </c>
      <c r="E29" s="9">
        <f>MAX(0,MIN('Facility Overview'!$B$6,B29+C29-D29))</f>
        <v/>
      </c>
      <c r="F29" s="11">
        <f>IF('Facility Overview'!$B$6=0,0,E29/'Facility Overview'!$B$6)</f>
        <v/>
      </c>
      <c r="G29" s="14">
        <f>('Facility Overview'!$B$10+(MIN(A29,24)/24)*('Facility Overview'!$B$11-'Facility Overview'!$B$10))*(1+'Facility Overview'!$B$32/12)^(A29-1)</f>
        <v/>
      </c>
      <c r="H29" s="18">
        <f>E29*G29</f>
        <v/>
      </c>
      <c r="I29" s="18">
        <f>E29*'Facility Overview'!$B$33</f>
        <v/>
      </c>
      <c r="J29" s="18">
        <f>H29+I29</f>
        <v/>
      </c>
      <c r="K29" s="18">
        <f>J29*'Facility Overview'!$B$34*-1</f>
        <v/>
      </c>
      <c r="L29" s="18">
        <f>J29+K29</f>
        <v/>
      </c>
      <c r="M29" s="2" t="n"/>
      <c r="N29" s="2" t="n"/>
      <c r="O29" s="2" t="n"/>
      <c r="P29" s="2" t="n"/>
    </row>
    <row r="30">
      <c r="A30" s="25" t="n">
        <v>14</v>
      </c>
      <c r="B30" s="9">
        <f>E29</f>
        <v/>
      </c>
      <c r="C30" s="9">
        <f>MIN('Facility Overview'!$B$30,'Facility Overview'!$B$6-B30)</f>
        <v/>
      </c>
      <c r="D30" s="9">
        <f>ROUND(B30*'Facility Overview'!$B$31,0)</f>
        <v/>
      </c>
      <c r="E30" s="9">
        <f>MAX(0,MIN('Facility Overview'!$B$6,B30+C30-D30))</f>
        <v/>
      </c>
      <c r="F30" s="11">
        <f>IF('Facility Overview'!$B$6=0,0,E30/'Facility Overview'!$B$6)</f>
        <v/>
      </c>
      <c r="G30" s="14">
        <f>('Facility Overview'!$B$10+(MIN(A30,24)/24)*('Facility Overview'!$B$11-'Facility Overview'!$B$10))*(1+'Facility Overview'!$B$32/12)^(A30-1)</f>
        <v/>
      </c>
      <c r="H30" s="18">
        <f>E30*G30</f>
        <v/>
      </c>
      <c r="I30" s="18">
        <f>E30*'Facility Overview'!$B$33</f>
        <v/>
      </c>
      <c r="J30" s="18">
        <f>H30+I30</f>
        <v/>
      </c>
      <c r="K30" s="18">
        <f>J30*'Facility Overview'!$B$34*-1</f>
        <v/>
      </c>
      <c r="L30" s="18">
        <f>J30+K30</f>
        <v/>
      </c>
      <c r="M30" s="2" t="n"/>
      <c r="N30" s="2" t="n"/>
      <c r="O30" s="2" t="n"/>
      <c r="P30" s="2" t="n"/>
    </row>
    <row r="31">
      <c r="A31" s="25" t="n">
        <v>15</v>
      </c>
      <c r="B31" s="9">
        <f>E30</f>
        <v/>
      </c>
      <c r="C31" s="9">
        <f>MIN('Facility Overview'!$B$30,'Facility Overview'!$B$6-B31)</f>
        <v/>
      </c>
      <c r="D31" s="9">
        <f>ROUND(B31*'Facility Overview'!$B$31,0)</f>
        <v/>
      </c>
      <c r="E31" s="9">
        <f>MAX(0,MIN('Facility Overview'!$B$6,B31+C31-D31))</f>
        <v/>
      </c>
      <c r="F31" s="11">
        <f>IF('Facility Overview'!$B$6=0,0,E31/'Facility Overview'!$B$6)</f>
        <v/>
      </c>
      <c r="G31" s="14">
        <f>('Facility Overview'!$B$10+(MIN(A31,24)/24)*('Facility Overview'!$B$11-'Facility Overview'!$B$10))*(1+'Facility Overview'!$B$32/12)^(A31-1)</f>
        <v/>
      </c>
      <c r="H31" s="18">
        <f>E31*G31</f>
        <v/>
      </c>
      <c r="I31" s="18">
        <f>E31*'Facility Overview'!$B$33</f>
        <v/>
      </c>
      <c r="J31" s="18">
        <f>H31+I31</f>
        <v/>
      </c>
      <c r="K31" s="18">
        <f>J31*'Facility Overview'!$B$34*-1</f>
        <v/>
      </c>
      <c r="L31" s="18">
        <f>J31+K31</f>
        <v/>
      </c>
      <c r="M31" s="2" t="n"/>
      <c r="N31" s="2" t="n"/>
      <c r="O31" s="2" t="n"/>
      <c r="P31" s="2" t="n"/>
    </row>
    <row r="32">
      <c r="A32" s="25" t="n">
        <v>16</v>
      </c>
      <c r="B32" s="9">
        <f>E31</f>
        <v/>
      </c>
      <c r="C32" s="9">
        <f>MIN('Facility Overview'!$B$30,'Facility Overview'!$B$6-B32)</f>
        <v/>
      </c>
      <c r="D32" s="9">
        <f>ROUND(B32*'Facility Overview'!$B$31,0)</f>
        <v/>
      </c>
      <c r="E32" s="9">
        <f>MAX(0,MIN('Facility Overview'!$B$6,B32+C32-D32))</f>
        <v/>
      </c>
      <c r="F32" s="11">
        <f>IF('Facility Overview'!$B$6=0,0,E32/'Facility Overview'!$B$6)</f>
        <v/>
      </c>
      <c r="G32" s="14">
        <f>('Facility Overview'!$B$10+(MIN(A32,24)/24)*('Facility Overview'!$B$11-'Facility Overview'!$B$10))*(1+'Facility Overview'!$B$32/12)^(A32-1)</f>
        <v/>
      </c>
      <c r="H32" s="18">
        <f>E32*G32</f>
        <v/>
      </c>
      <c r="I32" s="18">
        <f>E32*'Facility Overview'!$B$33</f>
        <v/>
      </c>
      <c r="J32" s="18">
        <f>H32+I32</f>
        <v/>
      </c>
      <c r="K32" s="18">
        <f>J32*'Facility Overview'!$B$34*-1</f>
        <v/>
      </c>
      <c r="L32" s="18">
        <f>J32+K32</f>
        <v/>
      </c>
      <c r="M32" s="2" t="n"/>
      <c r="N32" s="2" t="n"/>
      <c r="O32" s="2" t="n"/>
      <c r="P32" s="2" t="n"/>
    </row>
    <row r="33">
      <c r="A33" s="25" t="n">
        <v>17</v>
      </c>
      <c r="B33" s="9">
        <f>E32</f>
        <v/>
      </c>
      <c r="C33" s="9">
        <f>MIN('Facility Overview'!$B$30,'Facility Overview'!$B$6-B33)</f>
        <v/>
      </c>
      <c r="D33" s="9">
        <f>ROUND(B33*'Facility Overview'!$B$31,0)</f>
        <v/>
      </c>
      <c r="E33" s="9">
        <f>MAX(0,MIN('Facility Overview'!$B$6,B33+C33-D33))</f>
        <v/>
      </c>
      <c r="F33" s="11">
        <f>IF('Facility Overview'!$B$6=0,0,E33/'Facility Overview'!$B$6)</f>
        <v/>
      </c>
      <c r="G33" s="14">
        <f>('Facility Overview'!$B$10+(MIN(A33,24)/24)*('Facility Overview'!$B$11-'Facility Overview'!$B$10))*(1+'Facility Overview'!$B$32/12)^(A33-1)</f>
        <v/>
      </c>
      <c r="H33" s="18">
        <f>E33*G33</f>
        <v/>
      </c>
      <c r="I33" s="18">
        <f>E33*'Facility Overview'!$B$33</f>
        <v/>
      </c>
      <c r="J33" s="18">
        <f>H33+I33</f>
        <v/>
      </c>
      <c r="K33" s="18">
        <f>J33*'Facility Overview'!$B$34*-1</f>
        <v/>
      </c>
      <c r="L33" s="18">
        <f>J33+K33</f>
        <v/>
      </c>
      <c r="M33" s="2" t="n"/>
      <c r="N33" s="2" t="n"/>
      <c r="O33" s="2" t="n"/>
      <c r="P33" s="2" t="n"/>
    </row>
    <row r="34">
      <c r="A34" s="25" t="n">
        <v>18</v>
      </c>
      <c r="B34" s="9">
        <f>E33</f>
        <v/>
      </c>
      <c r="C34" s="9">
        <f>MIN('Facility Overview'!$B$30,'Facility Overview'!$B$6-B34)</f>
        <v/>
      </c>
      <c r="D34" s="9">
        <f>ROUND(B34*'Facility Overview'!$B$31,0)</f>
        <v/>
      </c>
      <c r="E34" s="9">
        <f>MAX(0,MIN('Facility Overview'!$B$6,B34+C34-D34))</f>
        <v/>
      </c>
      <c r="F34" s="11">
        <f>IF('Facility Overview'!$B$6=0,0,E34/'Facility Overview'!$B$6)</f>
        <v/>
      </c>
      <c r="G34" s="14">
        <f>('Facility Overview'!$B$10+(MIN(A34,24)/24)*('Facility Overview'!$B$11-'Facility Overview'!$B$10))*(1+'Facility Overview'!$B$32/12)^(A34-1)</f>
        <v/>
      </c>
      <c r="H34" s="18">
        <f>E34*G34</f>
        <v/>
      </c>
      <c r="I34" s="18">
        <f>E34*'Facility Overview'!$B$33</f>
        <v/>
      </c>
      <c r="J34" s="18">
        <f>H34+I34</f>
        <v/>
      </c>
      <c r="K34" s="18">
        <f>J34*'Facility Overview'!$B$34*-1</f>
        <v/>
      </c>
      <c r="L34" s="18">
        <f>J34+K34</f>
        <v/>
      </c>
      <c r="M34" s="2" t="n"/>
      <c r="N34" s="2" t="n"/>
      <c r="O34" s="2" t="n"/>
      <c r="P34" s="2" t="n"/>
    </row>
    <row r="35">
      <c r="A35" s="25" t="n">
        <v>19</v>
      </c>
      <c r="B35" s="9">
        <f>E34</f>
        <v/>
      </c>
      <c r="C35" s="9">
        <f>MIN('Facility Overview'!$B$30,'Facility Overview'!$B$6-B35)</f>
        <v/>
      </c>
      <c r="D35" s="9">
        <f>ROUND(B35*'Facility Overview'!$B$31,0)</f>
        <v/>
      </c>
      <c r="E35" s="9">
        <f>MAX(0,MIN('Facility Overview'!$B$6,B35+C35-D35))</f>
        <v/>
      </c>
      <c r="F35" s="11">
        <f>IF('Facility Overview'!$B$6=0,0,E35/'Facility Overview'!$B$6)</f>
        <v/>
      </c>
      <c r="G35" s="14">
        <f>('Facility Overview'!$B$10+(MIN(A35,24)/24)*('Facility Overview'!$B$11-'Facility Overview'!$B$10))*(1+'Facility Overview'!$B$32/12)^(A35-1)</f>
        <v/>
      </c>
      <c r="H35" s="18">
        <f>E35*G35</f>
        <v/>
      </c>
      <c r="I35" s="18">
        <f>E35*'Facility Overview'!$B$33</f>
        <v/>
      </c>
      <c r="J35" s="18">
        <f>H35+I35</f>
        <v/>
      </c>
      <c r="K35" s="18">
        <f>J35*'Facility Overview'!$B$34*-1</f>
        <v/>
      </c>
      <c r="L35" s="18">
        <f>J35+K35</f>
        <v/>
      </c>
      <c r="M35" s="2" t="n"/>
      <c r="N35" s="2" t="n"/>
      <c r="O35" s="2" t="n"/>
      <c r="P35" s="2" t="n"/>
    </row>
    <row r="36">
      <c r="A36" s="25" t="n">
        <v>20</v>
      </c>
      <c r="B36" s="9">
        <f>E35</f>
        <v/>
      </c>
      <c r="C36" s="9">
        <f>MIN('Facility Overview'!$B$30,'Facility Overview'!$B$6-B36)</f>
        <v/>
      </c>
      <c r="D36" s="9">
        <f>ROUND(B36*'Facility Overview'!$B$31,0)</f>
        <v/>
      </c>
      <c r="E36" s="9">
        <f>MAX(0,MIN('Facility Overview'!$B$6,B36+C36-D36))</f>
        <v/>
      </c>
      <c r="F36" s="11">
        <f>IF('Facility Overview'!$B$6=0,0,E36/'Facility Overview'!$B$6)</f>
        <v/>
      </c>
      <c r="G36" s="14">
        <f>('Facility Overview'!$B$10+(MIN(A36,24)/24)*('Facility Overview'!$B$11-'Facility Overview'!$B$10))*(1+'Facility Overview'!$B$32/12)^(A36-1)</f>
        <v/>
      </c>
      <c r="H36" s="18">
        <f>E36*G36</f>
        <v/>
      </c>
      <c r="I36" s="18">
        <f>E36*'Facility Overview'!$B$33</f>
        <v/>
      </c>
      <c r="J36" s="18">
        <f>H36+I36</f>
        <v/>
      </c>
      <c r="K36" s="18">
        <f>J36*'Facility Overview'!$B$34*-1</f>
        <v/>
      </c>
      <c r="L36" s="18">
        <f>J36+K36</f>
        <v/>
      </c>
      <c r="M36" s="2" t="n"/>
      <c r="N36" s="2" t="n"/>
      <c r="O36" s="2" t="n"/>
      <c r="P36" s="2" t="n"/>
    </row>
    <row r="37">
      <c r="A37" s="25" t="n">
        <v>21</v>
      </c>
      <c r="B37" s="9">
        <f>E36</f>
        <v/>
      </c>
      <c r="C37" s="9">
        <f>MIN('Facility Overview'!$B$30,'Facility Overview'!$B$6-B37)</f>
        <v/>
      </c>
      <c r="D37" s="9">
        <f>ROUND(B37*'Facility Overview'!$B$31,0)</f>
        <v/>
      </c>
      <c r="E37" s="9">
        <f>MAX(0,MIN('Facility Overview'!$B$6,B37+C37-D37))</f>
        <v/>
      </c>
      <c r="F37" s="11">
        <f>IF('Facility Overview'!$B$6=0,0,E37/'Facility Overview'!$B$6)</f>
        <v/>
      </c>
      <c r="G37" s="14">
        <f>('Facility Overview'!$B$10+(MIN(A37,24)/24)*('Facility Overview'!$B$11-'Facility Overview'!$B$10))*(1+'Facility Overview'!$B$32/12)^(A37-1)</f>
        <v/>
      </c>
      <c r="H37" s="18">
        <f>E37*G37</f>
        <v/>
      </c>
      <c r="I37" s="18">
        <f>E37*'Facility Overview'!$B$33</f>
        <v/>
      </c>
      <c r="J37" s="18">
        <f>H37+I37</f>
        <v/>
      </c>
      <c r="K37" s="18">
        <f>J37*'Facility Overview'!$B$34*-1</f>
        <v/>
      </c>
      <c r="L37" s="18">
        <f>J37+K37</f>
        <v/>
      </c>
      <c r="M37" s="2" t="n"/>
      <c r="N37" s="2" t="n"/>
      <c r="O37" s="2" t="n"/>
      <c r="P37" s="2" t="n"/>
    </row>
    <row r="38">
      <c r="A38" s="25" t="n">
        <v>22</v>
      </c>
      <c r="B38" s="9">
        <f>E37</f>
        <v/>
      </c>
      <c r="C38" s="9">
        <f>MIN('Facility Overview'!$B$30,'Facility Overview'!$B$6-B38)</f>
        <v/>
      </c>
      <c r="D38" s="9">
        <f>ROUND(B38*'Facility Overview'!$B$31,0)</f>
        <v/>
      </c>
      <c r="E38" s="9">
        <f>MAX(0,MIN('Facility Overview'!$B$6,B38+C38-D38))</f>
        <v/>
      </c>
      <c r="F38" s="11">
        <f>IF('Facility Overview'!$B$6=0,0,E38/'Facility Overview'!$B$6)</f>
        <v/>
      </c>
      <c r="G38" s="14">
        <f>('Facility Overview'!$B$10+(MIN(A38,24)/24)*('Facility Overview'!$B$11-'Facility Overview'!$B$10))*(1+'Facility Overview'!$B$32/12)^(A38-1)</f>
        <v/>
      </c>
      <c r="H38" s="18">
        <f>E38*G38</f>
        <v/>
      </c>
      <c r="I38" s="18">
        <f>E38*'Facility Overview'!$B$33</f>
        <v/>
      </c>
      <c r="J38" s="18">
        <f>H38+I38</f>
        <v/>
      </c>
      <c r="K38" s="18">
        <f>J38*'Facility Overview'!$B$34*-1</f>
        <v/>
      </c>
      <c r="L38" s="18">
        <f>J38+K38</f>
        <v/>
      </c>
      <c r="M38" s="2" t="n"/>
      <c r="N38" s="2" t="n"/>
      <c r="O38" s="2" t="n"/>
      <c r="P38" s="2" t="n"/>
    </row>
    <row r="39">
      <c r="A39" s="25" t="n">
        <v>23</v>
      </c>
      <c r="B39" s="9">
        <f>E38</f>
        <v/>
      </c>
      <c r="C39" s="9">
        <f>MIN('Facility Overview'!$B$30,'Facility Overview'!$B$6-B39)</f>
        <v/>
      </c>
      <c r="D39" s="9">
        <f>ROUND(B39*'Facility Overview'!$B$31,0)</f>
        <v/>
      </c>
      <c r="E39" s="9">
        <f>MAX(0,MIN('Facility Overview'!$B$6,B39+C39-D39))</f>
        <v/>
      </c>
      <c r="F39" s="11">
        <f>IF('Facility Overview'!$B$6=0,0,E39/'Facility Overview'!$B$6)</f>
        <v/>
      </c>
      <c r="G39" s="14">
        <f>('Facility Overview'!$B$10+(MIN(A39,24)/24)*('Facility Overview'!$B$11-'Facility Overview'!$B$10))*(1+'Facility Overview'!$B$32/12)^(A39-1)</f>
        <v/>
      </c>
      <c r="H39" s="18">
        <f>E39*G39</f>
        <v/>
      </c>
      <c r="I39" s="18">
        <f>E39*'Facility Overview'!$B$33</f>
        <v/>
      </c>
      <c r="J39" s="18">
        <f>H39+I39</f>
        <v/>
      </c>
      <c r="K39" s="18">
        <f>J39*'Facility Overview'!$B$34*-1</f>
        <v/>
      </c>
      <c r="L39" s="18">
        <f>J39+K39</f>
        <v/>
      </c>
      <c r="M39" s="2" t="n"/>
      <c r="N39" s="2" t="n"/>
      <c r="O39" s="2" t="n"/>
      <c r="P39" s="2" t="n"/>
    </row>
    <row r="40">
      <c r="A40" s="25" t="n">
        <v>24</v>
      </c>
      <c r="B40" s="9">
        <f>E39</f>
        <v/>
      </c>
      <c r="C40" s="9">
        <f>MIN('Facility Overview'!$B$30,'Facility Overview'!$B$6-B40)</f>
        <v/>
      </c>
      <c r="D40" s="9">
        <f>ROUND(B40*'Facility Overview'!$B$31,0)</f>
        <v/>
      </c>
      <c r="E40" s="9">
        <f>MAX(0,MIN('Facility Overview'!$B$6,B40+C40-D40))</f>
        <v/>
      </c>
      <c r="F40" s="11">
        <f>IF('Facility Overview'!$B$6=0,0,E40/'Facility Overview'!$B$6)</f>
        <v/>
      </c>
      <c r="G40" s="14">
        <f>('Facility Overview'!$B$10+(MIN(A40,24)/24)*('Facility Overview'!$B$11-'Facility Overview'!$B$10))*(1+'Facility Overview'!$B$32/12)^(A40-1)</f>
        <v/>
      </c>
      <c r="H40" s="18">
        <f>E40*G40</f>
        <v/>
      </c>
      <c r="I40" s="18">
        <f>E40*'Facility Overview'!$B$33</f>
        <v/>
      </c>
      <c r="J40" s="18">
        <f>H40+I40</f>
        <v/>
      </c>
      <c r="K40" s="18">
        <f>J40*'Facility Overview'!$B$34*-1</f>
        <v/>
      </c>
      <c r="L40" s="18">
        <f>J40+K40</f>
        <v/>
      </c>
      <c r="M40" s="2" t="n"/>
      <c r="N40" s="2" t="n"/>
      <c r="O40" s="2" t="n"/>
      <c r="P40" s="2" t="n"/>
    </row>
  </sheetData>
  <conditionalFormatting sqref="F17:F40">
    <cfRule type="cellIs" priority="1" operator="lessThan" dxfId="0">
      <formula>0.85</formula>
    </cfRule>
  </conditionalFormatting>
  <conditionalFormatting sqref="M3:M8">
    <cfRule type="cellIs" priority="2" operator="greaterThan" dxfId="1">
      <formula>0.15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8" customWidth="1" min="11" max="11"/>
  </cols>
  <sheetData>
    <row r="1">
      <c r="A1" s="1" t="inlineStr">
        <is>
          <t>Operating Costs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Expense Line</t>
        </is>
      </c>
      <c r="B2" s="3" t="inlineStr">
        <is>
          <t>Type</t>
        </is>
      </c>
      <c r="C2" s="3" t="inlineStr">
        <is>
          <t>Year 1 Basis</t>
        </is>
      </c>
      <c r="D2" s="3" t="inlineStr">
        <is>
          <t>Growth Rate</t>
        </is>
      </c>
      <c r="E2" s="3" t="inlineStr">
        <is>
          <t>Year 1 Expense</t>
        </is>
      </c>
      <c r="F2" s="3" t="inlineStr">
        <is>
          <t>Year 2 Expense</t>
        </is>
      </c>
      <c r="G2" s="3" t="inlineStr">
        <is>
          <t>Year 3 Expense</t>
        </is>
      </c>
      <c r="H2" s="3" t="inlineStr">
        <is>
          <t>Year 4 Expense</t>
        </is>
      </c>
      <c r="I2" s="3" t="inlineStr">
        <is>
          <t>Year 5 Expense</t>
        </is>
      </c>
      <c r="J2" s="2" t="n"/>
      <c r="K2" s="26" t="inlineStr">
        <is>
          <t>Notes</t>
        </is>
      </c>
    </row>
    <row r="3">
      <c r="A3" s="5" t="inlineStr">
        <is>
          <t>Payroll / manager</t>
        </is>
      </c>
      <c r="B3" s="5" t="inlineStr">
        <is>
          <t>Fixed</t>
        </is>
      </c>
      <c r="C3" s="17" t="n">
        <v>78000</v>
      </c>
      <c r="D3" s="13" t="n">
        <v>0.03</v>
      </c>
      <c r="E3" s="18">
        <f>IF($B3="% of EGI",'5-Year Projection'!B8*$C3,$C3)</f>
        <v/>
      </c>
      <c r="F3" s="18">
        <f>IF($B3="% of EGI",'5-Year Projection'!C8*$C3,E3*(1+$D3))</f>
        <v/>
      </c>
      <c r="G3" s="18">
        <f>IF($B3="% of EGI",'5-Year Projection'!D8*$C3,F3*(1+$D3))</f>
        <v/>
      </c>
      <c r="H3" s="18">
        <f>IF($B3="% of EGI",'5-Year Projection'!E8*$C3,G3*(1+$D3))</f>
        <v/>
      </c>
      <c r="I3" s="18">
        <f>IF($B3="% of EGI",'5-Year Projection'!F8*$C3,H3*(1+$D3))</f>
        <v/>
      </c>
      <c r="J3" s="2" t="n"/>
      <c r="K3" s="16" t="inlineStr">
        <is>
          <t>Fixed costs step off the growth rate.</t>
        </is>
      </c>
    </row>
    <row r="4">
      <c r="A4" s="5" t="inlineStr">
        <is>
          <t>Property tax</t>
        </is>
      </c>
      <c r="B4" s="5" t="inlineStr">
        <is>
          <t>Fixed</t>
        </is>
      </c>
      <c r="C4" s="17" t="n">
        <v>26500</v>
      </c>
      <c r="D4" s="13" t="n">
        <v>0.02</v>
      </c>
      <c r="E4" s="18">
        <f>IF($B4="% of EGI",'5-Year Projection'!B8*$C4,$C4)</f>
        <v/>
      </c>
      <c r="F4" s="18">
        <f>IF($B4="% of EGI",'5-Year Projection'!C8*$C4,E4*(1+$D4))</f>
        <v/>
      </c>
      <c r="G4" s="18">
        <f>IF($B4="% of EGI",'5-Year Projection'!D8*$C4,F4*(1+$D4))</f>
        <v/>
      </c>
      <c r="H4" s="18">
        <f>IF($B4="% of EGI",'5-Year Projection'!E8*$C4,G4*(1+$D4))</f>
        <v/>
      </c>
      <c r="I4" s="18">
        <f>IF($B4="% of EGI",'5-Year Projection'!F8*$C4,H4*(1+$D4))</f>
        <v/>
      </c>
      <c r="J4" s="2" t="n"/>
      <c r="K4" s="16" t="inlineStr">
        <is>
          <t>Percent lines follow each year's EGI.</t>
        </is>
      </c>
    </row>
    <row r="5">
      <c r="A5" s="5" t="inlineStr">
        <is>
          <t>Insurance</t>
        </is>
      </c>
      <c r="B5" s="5" t="inlineStr">
        <is>
          <t>Fixed</t>
        </is>
      </c>
      <c r="C5" s="17" t="n">
        <v>11800</v>
      </c>
      <c r="D5" s="13" t="n">
        <v>0.03</v>
      </c>
      <c r="E5" s="18">
        <f>IF($B5="% of EGI",'5-Year Projection'!B8*$C5,$C5)</f>
        <v/>
      </c>
      <c r="F5" s="18">
        <f>IF($B5="% of EGI",'5-Year Projection'!C8*$C5,E5*(1+$D5))</f>
        <v/>
      </c>
      <c r="G5" s="18">
        <f>IF($B5="% of EGI",'5-Year Projection'!D8*$C5,F5*(1+$D5))</f>
        <v/>
      </c>
      <c r="H5" s="18">
        <f>IF($B5="% of EGI",'5-Year Projection'!E8*$C5,G5*(1+$D5))</f>
        <v/>
      </c>
      <c r="I5" s="18">
        <f>IF($B5="% of EGI",'5-Year Projection'!F8*$C5,H5*(1+$D5))</f>
        <v/>
      </c>
      <c r="J5" s="2" t="n"/>
      <c r="K5" s="2" t="n"/>
    </row>
    <row r="6">
      <c r="A6" s="5" t="inlineStr">
        <is>
          <t>Utilities</t>
        </is>
      </c>
      <c r="B6" s="5" t="inlineStr">
        <is>
          <t>Fixed</t>
        </is>
      </c>
      <c r="C6" s="17" t="n">
        <v>14200</v>
      </c>
      <c r="D6" s="13" t="n">
        <v>0.03</v>
      </c>
      <c r="E6" s="18">
        <f>IF($B6="% of EGI",'5-Year Projection'!B8*$C6,$C6)</f>
        <v/>
      </c>
      <c r="F6" s="18">
        <f>IF($B6="% of EGI",'5-Year Projection'!C8*$C6,E6*(1+$D6))</f>
        <v/>
      </c>
      <c r="G6" s="18">
        <f>IF($B6="% of EGI",'5-Year Projection'!D8*$C6,F6*(1+$D6))</f>
        <v/>
      </c>
      <c r="H6" s="18">
        <f>IF($B6="% of EGI",'5-Year Projection'!E8*$C6,G6*(1+$D6))</f>
        <v/>
      </c>
      <c r="I6" s="18">
        <f>IF($B6="% of EGI",'5-Year Projection'!F8*$C6,H6*(1+$D6))</f>
        <v/>
      </c>
      <c r="J6" s="2" t="n"/>
      <c r="K6" s="2" t="n"/>
    </row>
    <row r="7">
      <c r="A7" s="5" t="inlineStr">
        <is>
          <t>Repairs &amp; maintenance</t>
        </is>
      </c>
      <c r="B7" s="5" t="inlineStr">
        <is>
          <t>Fixed</t>
        </is>
      </c>
      <c r="C7" s="17" t="n">
        <v>21000</v>
      </c>
      <c r="D7" s="13" t="n">
        <v>0.03</v>
      </c>
      <c r="E7" s="18">
        <f>IF($B7="% of EGI",'5-Year Projection'!B8*$C7,$C7)</f>
        <v/>
      </c>
      <c r="F7" s="18">
        <f>IF($B7="% of EGI",'5-Year Projection'!C8*$C7,E7*(1+$D7))</f>
        <v/>
      </c>
      <c r="G7" s="18">
        <f>IF($B7="% of EGI",'5-Year Projection'!D8*$C7,F7*(1+$D7))</f>
        <v/>
      </c>
      <c r="H7" s="18">
        <f>IF($B7="% of EGI",'5-Year Projection'!E8*$C7,G7*(1+$D7))</f>
        <v/>
      </c>
      <c r="I7" s="18">
        <f>IF($B7="% of EGI",'5-Year Projection'!F8*$C7,H7*(1+$D7))</f>
        <v/>
      </c>
      <c r="J7" s="2" t="n"/>
      <c r="K7" s="2" t="n"/>
    </row>
    <row r="8">
      <c r="A8" s="5" t="inlineStr">
        <is>
          <t>Marketing</t>
        </is>
      </c>
      <c r="B8" s="5" t="inlineStr">
        <is>
          <t>Fixed</t>
        </is>
      </c>
      <c r="C8" s="17" t="n">
        <v>9000</v>
      </c>
      <c r="D8" s="13" t="n">
        <v>0.02</v>
      </c>
      <c r="E8" s="18">
        <f>IF($B8="% of EGI",'5-Year Projection'!B8*$C8,$C8)</f>
        <v/>
      </c>
      <c r="F8" s="18">
        <f>IF($B8="% of EGI",'5-Year Projection'!C8*$C8,E8*(1+$D8))</f>
        <v/>
      </c>
      <c r="G8" s="18">
        <f>IF($B8="% of EGI",'5-Year Projection'!D8*$C8,F8*(1+$D8))</f>
        <v/>
      </c>
      <c r="H8" s="18">
        <f>IF($B8="% of EGI",'5-Year Projection'!E8*$C8,G8*(1+$D8))</f>
        <v/>
      </c>
      <c r="I8" s="18">
        <f>IF($B8="% of EGI",'5-Year Projection'!F8*$C8,H8*(1+$D8))</f>
        <v/>
      </c>
      <c r="J8" s="2" t="n"/>
      <c r="K8" s="2" t="n"/>
    </row>
    <row r="9">
      <c r="A9" s="5" t="inlineStr">
        <is>
          <t>Software / admin</t>
        </is>
      </c>
      <c r="B9" s="5" t="inlineStr">
        <is>
          <t>Fixed</t>
        </is>
      </c>
      <c r="C9" s="17" t="n">
        <v>6200</v>
      </c>
      <c r="D9" s="13" t="n">
        <v>0.03</v>
      </c>
      <c r="E9" s="18">
        <f>IF($B9="% of EGI",'5-Year Projection'!B8*$C9,$C9)</f>
        <v/>
      </c>
      <c r="F9" s="18">
        <f>IF($B9="% of EGI",'5-Year Projection'!C8*$C9,E9*(1+$D9))</f>
        <v/>
      </c>
      <c r="G9" s="18">
        <f>IF($B9="% of EGI",'5-Year Projection'!D8*$C9,F9*(1+$D9))</f>
        <v/>
      </c>
      <c r="H9" s="18">
        <f>IF($B9="% of EGI",'5-Year Projection'!E8*$C9,G9*(1+$D9))</f>
        <v/>
      </c>
      <c r="I9" s="18">
        <f>IF($B9="% of EGI",'5-Year Projection'!F8*$C9,H9*(1+$D9))</f>
        <v/>
      </c>
      <c r="J9" s="2" t="n"/>
      <c r="K9" s="2" t="n"/>
    </row>
    <row r="10">
      <c r="A10" s="5" t="inlineStr">
        <is>
          <t>Security / gate</t>
        </is>
      </c>
      <c r="B10" s="5" t="inlineStr">
        <is>
          <t>Fixed</t>
        </is>
      </c>
      <c r="C10" s="17" t="n">
        <v>5400</v>
      </c>
      <c r="D10" s="13" t="n">
        <v>0.03</v>
      </c>
      <c r="E10" s="18">
        <f>IF($B10="% of EGI",'5-Year Projection'!B8*$C10,$C10)</f>
        <v/>
      </c>
      <c r="F10" s="18">
        <f>IF($B10="% of EGI",'5-Year Projection'!C8*$C10,E10*(1+$D10))</f>
        <v/>
      </c>
      <c r="G10" s="18">
        <f>IF($B10="% of EGI",'5-Year Projection'!D8*$C10,F10*(1+$D10))</f>
        <v/>
      </c>
      <c r="H10" s="18">
        <f>IF($B10="% of EGI",'5-Year Projection'!E8*$C10,G10*(1+$D10))</f>
        <v/>
      </c>
      <c r="I10" s="18">
        <f>IF($B10="% of EGI",'5-Year Projection'!F8*$C10,H10*(1+$D10))</f>
        <v/>
      </c>
      <c r="J10" s="2" t="n"/>
      <c r="K10" s="2" t="n"/>
    </row>
    <row r="11">
      <c r="A11" s="5" t="inlineStr">
        <is>
          <t>Snow / lawn</t>
        </is>
      </c>
      <c r="B11" s="5" t="inlineStr">
        <is>
          <t>Fixed</t>
        </is>
      </c>
      <c r="C11" s="17" t="n">
        <v>4600</v>
      </c>
      <c r="D11" s="13" t="n">
        <v>0.02</v>
      </c>
      <c r="E11" s="18">
        <f>IF($B11="% of EGI",'5-Year Projection'!B8*$C11,$C11)</f>
        <v/>
      </c>
      <c r="F11" s="18">
        <f>IF($B11="% of EGI",'5-Year Projection'!C8*$C11,E11*(1+$D11))</f>
        <v/>
      </c>
      <c r="G11" s="18">
        <f>IF($B11="% of EGI",'5-Year Projection'!D8*$C11,F11*(1+$D11))</f>
        <v/>
      </c>
      <c r="H11" s="18">
        <f>IF($B11="% of EGI",'5-Year Projection'!E8*$C11,G11*(1+$D11))</f>
        <v/>
      </c>
      <c r="I11" s="18">
        <f>IF($B11="% of EGI",'5-Year Projection'!F8*$C11,H11*(1+$D11))</f>
        <v/>
      </c>
      <c r="J11" s="2" t="n"/>
      <c r="K11" s="2" t="n"/>
    </row>
    <row r="12">
      <c r="A12" s="5" t="inlineStr">
        <is>
          <t>Management fee</t>
        </is>
      </c>
      <c r="B12" s="5" t="inlineStr">
        <is>
          <t>% of EGI</t>
        </is>
      </c>
      <c r="C12" s="13" t="n">
        <v>0.05</v>
      </c>
      <c r="D12" s="13" t="n">
        <v>0</v>
      </c>
      <c r="E12" s="18">
        <f>IF($B12="% of EGI",'5-Year Projection'!B8*$C12,$C12)</f>
        <v/>
      </c>
      <c r="F12" s="18">
        <f>IF($B12="% of EGI",'5-Year Projection'!C8*$C12,E12*(1+$D12))</f>
        <v/>
      </c>
      <c r="G12" s="18">
        <f>IF($B12="% of EGI",'5-Year Projection'!D8*$C12,F12*(1+$D12))</f>
        <v/>
      </c>
      <c r="H12" s="18">
        <f>IF($B12="% of EGI",'5-Year Projection'!E8*$C12,G12*(1+$D12))</f>
        <v/>
      </c>
      <c r="I12" s="18">
        <f>IF($B12="% of EGI",'5-Year Projection'!F8*$C12,H12*(1+$D12))</f>
        <v/>
      </c>
      <c r="J12" s="2" t="n"/>
      <c r="K12" s="2" t="n"/>
    </row>
    <row r="13">
      <c r="A13" s="5" t="inlineStr">
        <is>
          <t>Replacement reserve</t>
        </is>
      </c>
      <c r="B13" s="5" t="inlineStr">
        <is>
          <t>% of EGI</t>
        </is>
      </c>
      <c r="C13" s="13" t="n">
        <v>0.03</v>
      </c>
      <c r="D13" s="13" t="n">
        <v>0</v>
      </c>
      <c r="E13" s="18">
        <f>IF($B13="% of EGI",'5-Year Projection'!B8*$C13,$C13)</f>
        <v/>
      </c>
      <c r="F13" s="18">
        <f>IF($B13="% of EGI",'5-Year Projection'!C8*$C13,E13*(1+$D13))</f>
        <v/>
      </c>
      <c r="G13" s="18">
        <f>IF($B13="% of EGI",'5-Year Projection'!D8*$C13,F13*(1+$D13))</f>
        <v/>
      </c>
      <c r="H13" s="18">
        <f>IF($B13="% of EGI",'5-Year Projection'!E8*$C13,G13*(1+$D13))</f>
        <v/>
      </c>
      <c r="I13" s="18">
        <f>IF($B13="% of EGI",'5-Year Projection'!F8*$C13,H13*(1+$D13))</f>
        <v/>
      </c>
      <c r="J13" s="2" t="n"/>
      <c r="K13" s="2" t="n"/>
    </row>
    <row r="14">
      <c r="A14" s="5" t="inlineStr">
        <is>
          <t>Other</t>
        </is>
      </c>
      <c r="B14" s="5" t="inlineStr">
        <is>
          <t>Fixed</t>
        </is>
      </c>
      <c r="C14" s="17" t="n">
        <v>3500</v>
      </c>
      <c r="D14" s="13" t="n">
        <v>0.02</v>
      </c>
      <c r="E14" s="18">
        <f>IF($B14="% of EGI",'5-Year Projection'!B8*$C14,$C14)</f>
        <v/>
      </c>
      <c r="F14" s="18">
        <f>IF($B14="% of EGI",'5-Year Projection'!C8*$C14,E14*(1+$D14))</f>
        <v/>
      </c>
      <c r="G14" s="18">
        <f>IF($B14="% of EGI",'5-Year Projection'!D8*$C14,F14*(1+$D14))</f>
        <v/>
      </c>
      <c r="H14" s="18">
        <f>IF($B14="% of EGI",'5-Year Projection'!E8*$C14,G14*(1+$D14))</f>
        <v/>
      </c>
      <c r="I14" s="18">
        <f>IF($B14="% of EGI",'5-Year Projection'!F8*$C14,H14*(1+$D14))</f>
        <v/>
      </c>
      <c r="J14" s="2" t="n"/>
      <c r="K14" s="2" t="n"/>
    </row>
  </sheetData>
  <dataValidations count="1">
    <dataValidation sqref="B3:B14" showDropDown="0" showInputMessage="0" showErrorMessage="0" allowBlank="0" type="list">
      <formula1>"Fixed,% of EGI"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5-Year Projection</t>
        </is>
      </c>
      <c r="B1" s="2" t="n"/>
      <c r="C1" s="2" t="n"/>
      <c r="D1" s="2" t="n"/>
      <c r="E1" s="2" t="n"/>
      <c r="F1" s="2" t="n"/>
    </row>
    <row r="2">
      <c r="A2" s="3" t="inlineStr">
        <is>
          <t>Line Item</t>
        </is>
      </c>
      <c r="B2" s="3" t="inlineStr">
        <is>
          <t>Year 1</t>
        </is>
      </c>
      <c r="C2" s="3" t="inlineStr">
        <is>
          <t>Year 2</t>
        </is>
      </c>
      <c r="D2" s="3" t="inlineStr">
        <is>
          <t>Year 3</t>
        </is>
      </c>
      <c r="E2" s="3" t="inlineStr">
        <is>
          <t>Year 4</t>
        </is>
      </c>
      <c r="F2" s="3" t="inlineStr">
        <is>
          <t>Year 5</t>
        </is>
      </c>
    </row>
    <row r="3">
      <c r="A3" s="4" t="inlineStr">
        <is>
          <t>Occupancy %</t>
        </is>
      </c>
      <c r="B3" s="11">
        <f>AVERAGE('Unit Mix &amp; Lease-Up'!F17:F28)</f>
        <v/>
      </c>
      <c r="C3" s="11">
        <f>AVERAGE('Unit Mix &amp; Lease-Up'!F29:F40)</f>
        <v/>
      </c>
      <c r="D3" s="11">
        <f>'Facility Overview'!$B$9</f>
        <v/>
      </c>
      <c r="E3" s="11">
        <f>D3</f>
        <v/>
      </c>
      <c r="F3" s="11">
        <f>E3</f>
        <v/>
      </c>
    </row>
    <row r="4">
      <c r="A4" s="4" t="inlineStr">
        <is>
          <t>Storage rent</t>
        </is>
      </c>
      <c r="B4" s="18">
        <f>SUM('Unit Mix &amp; Lease-Up'!H17:H28)</f>
        <v/>
      </c>
      <c r="C4" s="18">
        <f>SUM('Unit Mix &amp; Lease-Up'!H29:H40)</f>
        <v/>
      </c>
      <c r="D4" s="18">
        <f>C4*(1+'Facility Overview'!$B$32)</f>
        <v/>
      </c>
      <c r="E4" s="18">
        <f>D4*(1+'Facility Overview'!$B$32)</f>
        <v/>
      </c>
      <c r="F4" s="18">
        <f>E4*(1+'Facility Overview'!$B$32)</f>
        <v/>
      </c>
    </row>
    <row r="5">
      <c r="A5" s="4" t="inlineStr">
        <is>
          <t>Ancillary income</t>
        </is>
      </c>
      <c r="B5" s="18">
        <f>SUM('Unit Mix &amp; Lease-Up'!I17:I28)</f>
        <v/>
      </c>
      <c r="C5" s="18">
        <f>SUM('Unit Mix &amp; Lease-Up'!I29:I40)</f>
        <v/>
      </c>
      <c r="D5" s="18">
        <f>C5*(1+'Facility Overview'!$B$32)</f>
        <v/>
      </c>
      <c r="E5" s="18">
        <f>D5*(1+'Facility Overview'!$B$32)</f>
        <v/>
      </c>
      <c r="F5" s="18">
        <f>E5*(1+'Facility Overview'!$B$32)</f>
        <v/>
      </c>
    </row>
    <row r="6">
      <c r="A6" s="4" t="inlineStr">
        <is>
          <t>Gross revenue</t>
        </is>
      </c>
      <c r="B6" s="18">
        <f>B4+B5</f>
        <v/>
      </c>
      <c r="C6" s="18">
        <f>C4+C5</f>
        <v/>
      </c>
      <c r="D6" s="18">
        <f>D4+D5</f>
        <v/>
      </c>
      <c r="E6" s="18">
        <f>E4+E5</f>
        <v/>
      </c>
      <c r="F6" s="18">
        <f>F4+F5</f>
        <v/>
      </c>
    </row>
    <row r="7">
      <c r="A7" s="4" t="inlineStr">
        <is>
          <t>Bad debt / promo loss</t>
        </is>
      </c>
      <c r="B7" s="18">
        <f>B6*'Facility Overview'!$B$34*-1</f>
        <v/>
      </c>
      <c r="C7" s="18">
        <f>C6*'Facility Overview'!$B$34*-1</f>
        <v/>
      </c>
      <c r="D7" s="18">
        <f>D6*'Facility Overview'!$B$34*-1</f>
        <v/>
      </c>
      <c r="E7" s="18">
        <f>E6*'Facility Overview'!$B$34*-1</f>
        <v/>
      </c>
      <c r="F7" s="18">
        <f>F6*'Facility Overview'!$B$34*-1</f>
        <v/>
      </c>
    </row>
    <row r="8">
      <c r="A8" s="4" t="inlineStr">
        <is>
          <t>Effective gross income</t>
        </is>
      </c>
      <c r="B8" s="18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</row>
    <row r="9">
      <c r="A9" s="4" t="inlineStr">
        <is>
          <t>Total operating expenses</t>
        </is>
      </c>
      <c r="B9" s="18">
        <f>SUM('Operating Costs'!E3:E14)</f>
        <v/>
      </c>
      <c r="C9" s="18">
        <f>SUM('Operating Costs'!F3:F14)</f>
        <v/>
      </c>
      <c r="D9" s="18">
        <f>SUM('Operating Costs'!G3:G14)</f>
        <v/>
      </c>
      <c r="E9" s="18">
        <f>SUM('Operating Costs'!H3:H14)</f>
        <v/>
      </c>
      <c r="F9" s="18">
        <f>SUM('Operating Costs'!I3:I14)</f>
        <v/>
      </c>
    </row>
    <row r="10">
      <c r="A10" s="4" t="inlineStr">
        <is>
          <t>NOI</t>
        </is>
      </c>
      <c r="B10" s="18">
        <f>B8-B9</f>
        <v/>
      </c>
      <c r="C10" s="18">
        <f>C8-C9</f>
        <v/>
      </c>
      <c r="D10" s="18">
        <f>D8-D9</f>
        <v/>
      </c>
      <c r="E10" s="18">
        <f>E8-E9</f>
        <v/>
      </c>
      <c r="F10" s="18">
        <f>F8-F9</f>
        <v/>
      </c>
    </row>
    <row r="11">
      <c r="A11" s="4" t="inlineStr">
        <is>
          <t>Debt service</t>
        </is>
      </c>
      <c r="B11" s="18">
        <f>'Facility Overview'!$B$27</f>
        <v/>
      </c>
      <c r="C11" s="18">
        <f>'Facility Overview'!$B$27</f>
        <v/>
      </c>
      <c r="D11" s="18">
        <f>'Facility Overview'!$B$27</f>
        <v/>
      </c>
      <c r="E11" s="18">
        <f>'Facility Overview'!$B$27</f>
        <v/>
      </c>
      <c r="F11" s="18">
        <f>'Facility Overview'!$B$27</f>
        <v/>
      </c>
    </row>
    <row r="12">
      <c r="A12" s="4" t="inlineStr">
        <is>
          <t>Cash flow after debt</t>
        </is>
      </c>
      <c r="B12" s="18">
        <f>B10-B11</f>
        <v/>
      </c>
      <c r="C12" s="18">
        <f>C10-C11</f>
        <v/>
      </c>
      <c r="D12" s="18">
        <f>D10-D11</f>
        <v/>
      </c>
      <c r="E12" s="18">
        <f>E10-E11</f>
        <v/>
      </c>
      <c r="F12" s="18">
        <f>F10-F11</f>
        <v/>
      </c>
    </row>
    <row r="13">
      <c r="A13" s="4" t="inlineStr">
        <is>
          <t>DSCR</t>
        </is>
      </c>
      <c r="B13" s="27">
        <f>IF(B11=0,0,B10/B11)</f>
        <v/>
      </c>
      <c r="C13" s="27">
        <f>IF(C11=0,0,C10/C11)</f>
        <v/>
      </c>
      <c r="D13" s="27">
        <f>IF(D11=0,0,D10/D11)</f>
        <v/>
      </c>
      <c r="E13" s="27">
        <f>IF(E11=0,0,E10/E11)</f>
        <v/>
      </c>
      <c r="F13" s="27">
        <f>IF(F11=0,0,F10/F11)</f>
        <v/>
      </c>
    </row>
  </sheetData>
  <conditionalFormatting sqref="B13:F13">
    <cfRule type="cellIs" priority="1" operator="lessThan" dxfId="0">
      <formula>1.20</formula>
    </cfRule>
  </conditionalFormatting>
  <conditionalFormatting sqref="B3:F3">
    <cfRule type="cellIs" priority="2" operator="lessThan" dxfId="0">
      <formula>0.85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Returns &amp; Snapshot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Deal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6" t="inlineStr">
        <is>
          <t>Purchase price</t>
        </is>
      </c>
      <c r="B3" s="24">
        <f>'Facility Overview'!B14</f>
        <v/>
      </c>
      <c r="C3" s="2" t="n"/>
      <c r="D3" s="15" t="inlineStr">
        <is>
          <t>IRR Cash Flow</t>
        </is>
      </c>
      <c r="E3" s="2" t="n"/>
      <c r="F3" s="2" t="n"/>
      <c r="G3" s="2" t="n"/>
      <c r="H3" s="2" t="n"/>
      <c r="I3" s="2" t="n"/>
    </row>
    <row r="4">
      <c r="A4" s="6" t="inlineStr">
        <is>
          <t>Total basis</t>
        </is>
      </c>
      <c r="B4" s="24">
        <f>'Facility Overview'!B17</f>
        <v/>
      </c>
      <c r="C4" s="2" t="n"/>
      <c r="D4" s="3" t="inlineStr">
        <is>
          <t>Initial</t>
        </is>
      </c>
      <c r="E4" s="3" t="inlineStr">
        <is>
          <t>Year 1</t>
        </is>
      </c>
      <c r="F4" s="3" t="inlineStr">
        <is>
          <t>Year 2</t>
        </is>
      </c>
      <c r="G4" s="3" t="inlineStr">
        <is>
          <t>Year 3</t>
        </is>
      </c>
      <c r="H4" s="3" t="inlineStr">
        <is>
          <t>Year 4</t>
        </is>
      </c>
      <c r="I4" s="3" t="inlineStr">
        <is>
          <t>Year 5 + Sale</t>
        </is>
      </c>
    </row>
    <row r="5">
      <c r="A5" s="6" t="inlineStr">
        <is>
          <t>Loan amount</t>
        </is>
      </c>
      <c r="B5" s="24">
        <f>'Facility Overview'!B23</f>
        <v/>
      </c>
      <c r="C5" s="2" t="n"/>
      <c r="D5" s="18">
        <f>-B6</f>
        <v/>
      </c>
      <c r="E5" s="18">
        <f>'5-Year Projection'!B12</f>
        <v/>
      </c>
      <c r="F5" s="18">
        <f>'5-Year Projection'!C12</f>
        <v/>
      </c>
      <c r="G5" s="18">
        <f>'5-Year Projection'!D12</f>
        <v/>
      </c>
      <c r="H5" s="18">
        <f>'5-Year Projection'!E12</f>
        <v/>
      </c>
      <c r="I5" s="18">
        <f>'5-Year Projection'!F12+B18</f>
        <v/>
      </c>
    </row>
    <row r="6">
      <c r="A6" s="6" t="inlineStr">
        <is>
          <t>Initial equity</t>
        </is>
      </c>
      <c r="B6" s="24">
        <f>'Facility Overview'!B22+'Facility Overview'!B15+'Facility Overview'!B16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6" t="inlineStr">
        <is>
          <t>Year 1 NOI</t>
        </is>
      </c>
      <c r="B7" s="24">
        <f>'5-Year Projection'!B10</f>
        <v/>
      </c>
      <c r="C7" s="2" t="n"/>
      <c r="D7" s="2" t="n"/>
      <c r="E7" s="2" t="n"/>
      <c r="F7" s="2" t="n"/>
      <c r="G7" s="2" t="n"/>
      <c r="H7" s="2" t="n"/>
      <c r="I7" s="2" t="n"/>
    </row>
    <row r="8">
      <c r="A8" s="6" t="inlineStr">
        <is>
          <t>Year 1 cap rate</t>
        </is>
      </c>
      <c r="B8" s="28">
        <f>IF(B3=0,0,B7/B3)</f>
        <v/>
      </c>
      <c r="C8" s="2" t="n"/>
      <c r="D8" s="2" t="n"/>
      <c r="E8" s="2" t="n"/>
      <c r="F8" s="2" t="n"/>
      <c r="G8" s="2" t="n"/>
      <c r="H8" s="2" t="n"/>
      <c r="I8" s="2" t="n"/>
    </row>
    <row r="9">
      <c r="A9" s="6" t="inlineStr">
        <is>
          <t>Year 1 cash-on-cash</t>
        </is>
      </c>
      <c r="B9" s="28">
        <f>IF(B6=0,0,'5-Year Projection'!B12/B6)</f>
        <v/>
      </c>
      <c r="C9" s="2" t="n"/>
      <c r="D9" s="2" t="n"/>
      <c r="E9" s="2" t="n"/>
      <c r="F9" s="2" t="n"/>
      <c r="G9" s="2" t="n"/>
      <c r="H9" s="2" t="n"/>
      <c r="I9" s="2" t="n"/>
    </row>
    <row r="10">
      <c r="A10" s="6" t="inlineStr">
        <is>
          <t>Stabilized yield on cost</t>
        </is>
      </c>
      <c r="B10" s="28">
        <f>IF(B4=0,0,'5-Year Projection'!D10/B4)</f>
        <v/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Exit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6" t="inlineStr">
        <is>
          <t>Year 5 NOI</t>
        </is>
      </c>
      <c r="B13" s="24">
        <f>'5-Year Projection'!F10</f>
        <v/>
      </c>
      <c r="C13" s="2" t="n"/>
      <c r="D13" s="2" t="n"/>
      <c r="E13" s="2" t="n"/>
      <c r="F13" s="2" t="n"/>
      <c r="G13" s="2" t="n"/>
      <c r="H13" s="2" t="n"/>
      <c r="I13" s="2" t="n"/>
    </row>
    <row r="14">
      <c r="A14" s="6" t="inlineStr">
        <is>
          <t>Exit cap rate</t>
        </is>
      </c>
      <c r="B14" s="28">
        <f>'Facility Overview'!B35</f>
        <v/>
      </c>
      <c r="C14" s="2" t="n"/>
      <c r="D14" s="2" t="n"/>
      <c r="E14" s="2" t="n"/>
      <c r="F14" s="2" t="n"/>
      <c r="G14" s="2" t="n"/>
      <c r="H14" s="2" t="n"/>
      <c r="I14" s="2" t="n"/>
    </row>
    <row r="15">
      <c r="A15" s="6" t="inlineStr">
        <is>
          <t>Gross sale value</t>
        </is>
      </c>
      <c r="B15" s="24">
        <f>IF(B14=0,0,B13/B14)</f>
        <v/>
      </c>
      <c r="C15" s="2" t="n"/>
      <c r="D15" s="2" t="n"/>
      <c r="E15" s="2" t="n"/>
      <c r="F15" s="2" t="n"/>
      <c r="G15" s="2" t="n"/>
      <c r="H15" s="2" t="n"/>
      <c r="I15" s="2" t="n"/>
    </row>
    <row r="16">
      <c r="A16" s="6" t="inlineStr">
        <is>
          <t>Selling costs</t>
        </is>
      </c>
      <c r="B16" s="24">
        <f>B15*'Facility Overview'!B36</f>
        <v/>
      </c>
      <c r="C16" s="2" t="n"/>
      <c r="D16" s="2" t="n"/>
      <c r="E16" s="2" t="n"/>
      <c r="F16" s="2" t="n"/>
      <c r="G16" s="2" t="n"/>
      <c r="H16" s="2" t="n"/>
      <c r="I16" s="2" t="n"/>
    </row>
    <row r="17">
      <c r="A17" s="6" t="inlineStr">
        <is>
          <t>Loan payoff</t>
        </is>
      </c>
      <c r="B17" s="24">
        <f>-FV('Facility Overview'!B24/12,'Facility Overview'!B37*12,'Facility Overview'!B26,'Facility Overview'!B23)</f>
        <v/>
      </c>
      <c r="C17" s="2" t="n"/>
      <c r="D17" s="2" t="n"/>
      <c r="E17" s="2" t="n"/>
      <c r="F17" s="2" t="n"/>
      <c r="G17" s="2" t="n"/>
      <c r="H17" s="2" t="n"/>
      <c r="I17" s="2" t="n"/>
    </row>
    <row r="18">
      <c r="A18" s="6" t="inlineStr">
        <is>
          <t>Net sale proceeds</t>
        </is>
      </c>
      <c r="B18" s="24">
        <f>B15-B16-B17</f>
        <v/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Return Math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6" t="inlineStr">
        <is>
          <t>5-year cash flow total</t>
        </is>
      </c>
      <c r="B21" s="24">
        <f>SUM('5-Year Projection'!B12:F12)</f>
        <v/>
      </c>
      <c r="C21" s="2" t="n"/>
      <c r="D21" s="2" t="n"/>
      <c r="E21" s="2" t="n"/>
      <c r="F21" s="2" t="n"/>
      <c r="G21" s="2" t="n"/>
      <c r="H21" s="2" t="n"/>
      <c r="I21" s="2" t="n"/>
    </row>
    <row r="22">
      <c r="A22" s="6" t="inlineStr">
        <is>
          <t>Total cash back</t>
        </is>
      </c>
      <c r="B22" s="24">
        <f>B21+B18</f>
        <v/>
      </c>
      <c r="C22" s="2" t="n"/>
      <c r="D22" s="2" t="n"/>
      <c r="E22" s="2" t="n"/>
      <c r="F22" s="2" t="n"/>
      <c r="G22" s="2" t="n"/>
      <c r="H22" s="2" t="n"/>
      <c r="I22" s="2" t="n"/>
    </row>
    <row r="23">
      <c r="A23" s="6" t="inlineStr">
        <is>
          <t>Equity multiple</t>
        </is>
      </c>
      <c r="B23" s="29">
        <f>IF(B6=0,0,B22/B6)</f>
        <v/>
      </c>
      <c r="C23" s="2" t="n"/>
      <c r="D23" s="2" t="n"/>
      <c r="E23" s="2" t="n"/>
      <c r="F23" s="2" t="n"/>
      <c r="G23" s="2" t="n"/>
      <c r="H23" s="2" t="n"/>
      <c r="I23" s="2" t="n"/>
    </row>
    <row r="24">
      <c r="A24" s="6" t="inlineStr">
        <is>
          <t>Levered IRR</t>
        </is>
      </c>
      <c r="B24" s="30">
        <f>IRR(D5:I5)</f>
        <v/>
      </c>
      <c r="C24" s="2" t="n"/>
      <c r="D24" s="2" t="n"/>
      <c r="E24" s="2" t="n"/>
      <c r="F24" s="2" t="n"/>
      <c r="G24" s="2" t="n"/>
      <c r="H24" s="2" t="n"/>
      <c r="I24" s="2" t="n"/>
    </row>
  </sheetData>
  <conditionalFormatting sqref="B24">
    <cfRule type="cellIs" priority="1" operator="lessThan" dxfId="0">
      <formula>0.12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2026-04-09T06:09:46Z</dcterms:created>
  <dcterms:modified xmlns:dcterms="http://purl.org/dc/terms/" xmlns:xsi="http://www.w3.org/2001/XMLSchema-instance" xsi:type="dcterms:W3CDTF">2026-04-09T06:09:46Z</dcterms:modified>
</cp:coreProperties>
</file>