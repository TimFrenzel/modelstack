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real-estate\brrrr-rental-v1\"/>
    </mc:Choice>
  </mc:AlternateContent>
  <xr:revisionPtr revIDLastSave="0" documentId="13_ncr:1_{B5D95AE9-068A-4D40-ADCD-4C0A0E7349AA}" xr6:coauthVersionLast="47" xr6:coauthVersionMax="47" xr10:uidLastSave="{00000000-0000-0000-0000-000000000000}"/>
  <bookViews>
    <workbookView xWindow="3300" yWindow="990" windowWidth="28800" windowHeight="15345" activeTab="4" xr2:uid="{00000000-000D-0000-FFFF-FFFF00000000}"/>
  </bookViews>
  <sheets>
    <sheet name="Deal Setup" sheetId="1" r:id="rId1"/>
    <sheet name="Rehab Budget" sheetId="2" r:id="rId2"/>
    <sheet name="Stabilized Rental" sheetId="3" r:id="rId3"/>
    <sheet name="Refi &amp; 5-Year Hold" sheetId="4" r:id="rId4"/>
    <sheet name="BRRRR Snapsho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B6" i="5"/>
  <c r="B3" i="5"/>
  <c r="B5" i="4"/>
  <c r="B22" i="3"/>
  <c r="B15" i="3"/>
  <c r="B14" i="3"/>
  <c r="B16" i="3" s="1"/>
  <c r="B14" i="2"/>
  <c r="C10" i="2" s="1"/>
  <c r="L4" i="2"/>
  <c r="K4" i="2"/>
  <c r="J4" i="2"/>
  <c r="I4" i="2"/>
  <c r="H4" i="2"/>
  <c r="G4" i="2"/>
  <c r="G5" i="2" s="1"/>
  <c r="B24" i="1"/>
  <c r="B3" i="4" s="1"/>
  <c r="B14" i="1"/>
  <c r="B17" i="3" l="1"/>
  <c r="B13" i="4" s="1"/>
  <c r="B12" i="4"/>
  <c r="C12" i="4" s="1"/>
  <c r="C11" i="2"/>
  <c r="C12" i="2"/>
  <c r="B28" i="1"/>
  <c r="C3" i="2"/>
  <c r="C4" i="2"/>
  <c r="B15" i="2"/>
  <c r="B8" i="1"/>
  <c r="C6" i="2"/>
  <c r="C7" i="2"/>
  <c r="C8" i="2"/>
  <c r="C5" i="2"/>
  <c r="C9" i="2"/>
  <c r="B15" i="1" l="1"/>
  <c r="B16" i="1" s="1"/>
  <c r="B9" i="1"/>
  <c r="B4" i="5"/>
  <c r="B20" i="1"/>
  <c r="C14" i="4"/>
  <c r="C13" i="4"/>
  <c r="D12" i="4"/>
  <c r="B17" i="4"/>
  <c r="B21" i="5"/>
  <c r="F17" i="4"/>
  <c r="E17" i="4"/>
  <c r="D17" i="4"/>
  <c r="C17" i="4"/>
  <c r="B18" i="3"/>
  <c r="D13" i="4" l="1"/>
  <c r="D14" i="4" s="1"/>
  <c r="E12" i="4"/>
  <c r="B14" i="4"/>
  <c r="B20" i="3"/>
  <c r="B21" i="3"/>
  <c r="B19" i="3"/>
  <c r="B7" i="4"/>
  <c r="B13" i="5" s="1"/>
  <c r="B11" i="5"/>
  <c r="B30" i="1"/>
  <c r="I6" i="1" s="1"/>
  <c r="B5" i="5"/>
  <c r="B7" i="5" s="1"/>
  <c r="I3" i="1"/>
  <c r="I4" i="1"/>
  <c r="B4" i="4"/>
  <c r="B6" i="4" s="1"/>
  <c r="B12" i="5" s="1"/>
  <c r="B19" i="1"/>
  <c r="B29" i="1"/>
  <c r="I5" i="1" s="1"/>
  <c r="E5" i="5" l="1"/>
  <c r="E14" i="4"/>
  <c r="E13" i="4"/>
  <c r="F12" i="4"/>
  <c r="B23" i="3"/>
  <c r="B15" i="4" l="1"/>
  <c r="C15" i="4" s="1"/>
  <c r="B24" i="3"/>
  <c r="F13" i="4"/>
  <c r="F14" i="4" s="1"/>
  <c r="D15" i="4" l="1"/>
  <c r="C16" i="4"/>
  <c r="B16" i="4"/>
  <c r="B25" i="3"/>
  <c r="B8" i="4"/>
  <c r="E15" i="4" l="1"/>
  <c r="D16" i="4"/>
  <c r="B18" i="4"/>
  <c r="B19" i="4"/>
  <c r="I7" i="1" s="1"/>
  <c r="C18" i="4"/>
  <c r="G5" i="5" s="1"/>
  <c r="C19" i="4"/>
  <c r="I8" i="1" l="1"/>
  <c r="B14" i="5"/>
  <c r="B15" i="5" s="1"/>
  <c r="F5" i="5"/>
  <c r="D18" i="4"/>
  <c r="H5" i="5" s="1"/>
  <c r="D19" i="4"/>
  <c r="F15" i="4"/>
  <c r="F16" i="4" s="1"/>
  <c r="E16" i="4"/>
  <c r="E18" i="4" l="1"/>
  <c r="I5" i="5" s="1"/>
  <c r="E19" i="4"/>
  <c r="B18" i="5"/>
  <c r="B19" i="5" s="1"/>
  <c r="F18" i="4"/>
  <c r="F19" i="4"/>
  <c r="B26" i="5"/>
  <c r="B20" i="5" l="1"/>
  <c r="B22" i="5" s="1"/>
  <c r="B27" i="5" l="1"/>
  <c r="B28" i="5" s="1"/>
  <c r="I9" i="1" s="1"/>
  <c r="J5" i="5"/>
  <c r="B29" i="5" s="1"/>
</calcChain>
</file>

<file path=xl/sharedStrings.xml><?xml version="1.0" encoding="utf-8"?>
<sst xmlns="http://schemas.openxmlformats.org/spreadsheetml/2006/main" count="147" uniqueCount="132">
  <si>
    <t>BRRRR rental scratch</t>
  </si>
  <si>
    <t>Property &amp; Purchase</t>
  </si>
  <si>
    <t>What matters</t>
  </si>
  <si>
    <t>Property Address</t>
  </si>
  <si>
    <t>1842 Linden Ave</t>
  </si>
  <si>
    <t>Total basis</t>
  </si>
  <si>
    <t>Property Type</t>
  </si>
  <si>
    <t>Single Family</t>
  </si>
  <si>
    <t>Equity created</t>
  </si>
  <si>
    <t>Purchase Price</t>
  </si>
  <si>
    <t>Cash out at refi</t>
  </si>
  <si>
    <t>Closing Costs</t>
  </si>
  <si>
    <t>Cash left in deal</t>
  </si>
  <si>
    <t>After Repair Value (ARV)</t>
  </si>
  <si>
    <t>Post-refi DSCR</t>
  </si>
  <si>
    <t>Total Rehab Budget</t>
  </si>
  <si>
    <t>Year 1 cash flow</t>
  </si>
  <si>
    <t>Total Basis</t>
  </si>
  <si>
    <t>5-year equity multiple</t>
  </si>
  <si>
    <t>Initial Financing</t>
  </si>
  <si>
    <t>Purchase Loan LTV</t>
  </si>
  <si>
    <t>Rehab Draw Coverage</t>
  </si>
  <si>
    <t>Purchase Loan Amount</t>
  </si>
  <si>
    <t>Rehab Draw Amount</t>
  </si>
  <si>
    <t>Total Initial Loan</t>
  </si>
  <si>
    <t>Rate (interest only)</t>
  </si>
  <si>
    <t>Points (%)</t>
  </si>
  <si>
    <t>Monthly Interest Payment</t>
  </si>
  <si>
    <t>Cash to Close</t>
  </si>
  <si>
    <t>Refinance Assumptions</t>
  </si>
  <si>
    <t>Refi LTV</t>
  </si>
  <si>
    <t>Refi Loan Amount</t>
  </si>
  <si>
    <t>Refi Rate</t>
  </si>
  <si>
    <t>Refi Term (years)</t>
  </si>
  <si>
    <t>Refi Closing Costs</t>
  </si>
  <si>
    <t>Monthly P&amp;I After Refi</t>
  </si>
  <si>
    <t>Cash Out at Refi</t>
  </si>
  <si>
    <t>Cash Left in Deal</t>
  </si>
  <si>
    <t>Hold / Exit</t>
  </si>
  <si>
    <t>Hold Period (years)</t>
  </si>
  <si>
    <t>Annual Rent Growth</t>
  </si>
  <si>
    <t>Annual Expense Growth</t>
  </si>
  <si>
    <t>Exit Cap Rate</t>
  </si>
  <si>
    <t>Selling Costs (%)</t>
  </si>
  <si>
    <t>Rehab Budget</t>
  </si>
  <si>
    <t>Line Item</t>
  </si>
  <si>
    <t>Budget</t>
  </si>
  <si>
    <t>% of Rehab</t>
  </si>
  <si>
    <t>Draw Month</t>
  </si>
  <si>
    <t>Notes</t>
  </si>
  <si>
    <t>Draw Schedule</t>
  </si>
  <si>
    <t>Demo / cleanout</t>
  </si>
  <si>
    <t>Month 1</t>
  </si>
  <si>
    <t>Month 2</t>
  </si>
  <si>
    <t>Month 3</t>
  </si>
  <si>
    <t>Month 4</t>
  </si>
  <si>
    <t>Month 5</t>
  </si>
  <si>
    <t>Month 6</t>
  </si>
  <si>
    <t>Roof</t>
  </si>
  <si>
    <t>HVAC / mechanical</t>
  </si>
  <si>
    <t>Kitchen</t>
  </si>
  <si>
    <t>Bath</t>
  </si>
  <si>
    <t>Flooring</t>
  </si>
  <si>
    <t>Paint</t>
  </si>
  <si>
    <t>Exterior / windows</t>
  </si>
  <si>
    <t>Landscaping</t>
  </si>
  <si>
    <t>Contingency</t>
  </si>
  <si>
    <t>Leave this in</t>
  </si>
  <si>
    <t>Total Rehab</t>
  </si>
  <si>
    <t>Avg Monthly Draw</t>
  </si>
  <si>
    <t>Stabilized Rental</t>
  </si>
  <si>
    <t>Monthly Rent</t>
  </si>
  <si>
    <t>Other Income</t>
  </si>
  <si>
    <t>Vacancy (%)</t>
  </si>
  <si>
    <t>Management (%)</t>
  </si>
  <si>
    <t>Maintenance Reserve (%)</t>
  </si>
  <si>
    <t>CapEx Reserve (%)</t>
  </si>
  <si>
    <t>Property Tax (monthly)</t>
  </si>
  <si>
    <t>Insurance (monthly)</t>
  </si>
  <si>
    <t>HOA</t>
  </si>
  <si>
    <t>Utilities / lawn / misc</t>
  </si>
  <si>
    <t>Annual Gross Scheduled Rent</t>
  </si>
  <si>
    <t>Annual Other Income</t>
  </si>
  <si>
    <t>Gross Income</t>
  </si>
  <si>
    <t>Vacancy Loss</t>
  </si>
  <si>
    <t>Effective Gross Income</t>
  </si>
  <si>
    <t>Management Fee</t>
  </si>
  <si>
    <t>Maintenance Reserve</t>
  </si>
  <si>
    <t>CapEx Reserve</t>
  </si>
  <si>
    <t>Fixed Annual Expenses</t>
  </si>
  <si>
    <t>Total Operating Expenses</t>
  </si>
  <si>
    <t>Annual NOI</t>
  </si>
  <si>
    <t>Monthly NOI</t>
  </si>
  <si>
    <t>Refi &amp; 5-Year Hold</t>
  </si>
  <si>
    <t>Refi Math</t>
  </si>
  <si>
    <t>Refi loan amount</t>
  </si>
  <si>
    <t>Hard money payoff</t>
  </si>
  <si>
    <t>Refi closing costs</t>
  </si>
  <si>
    <t>Year 1</t>
  </si>
  <si>
    <t>Year 2</t>
  </si>
  <si>
    <t>Year 3</t>
  </si>
  <si>
    <t>Year 4</t>
  </si>
  <si>
    <t>Year 5</t>
  </si>
  <si>
    <t>Gross income</t>
  </si>
  <si>
    <t>Vacancy loss</t>
  </si>
  <si>
    <t>Effective gross income</t>
  </si>
  <si>
    <t>Operating expenses</t>
  </si>
  <si>
    <t>NOI</t>
  </si>
  <si>
    <t>Debt service</t>
  </si>
  <si>
    <t>Cash flow after debt</t>
  </si>
  <si>
    <t>DSCR</t>
  </si>
  <si>
    <t>BRRRR Snapshot</t>
  </si>
  <si>
    <t>Deal</t>
  </si>
  <si>
    <t>Purchase price</t>
  </si>
  <si>
    <t>IRR Cash Flow</t>
  </si>
  <si>
    <t>Rehab</t>
  </si>
  <si>
    <t>Initial</t>
  </si>
  <si>
    <t>Refi</t>
  </si>
  <si>
    <t>Year 5 + Sale</t>
  </si>
  <si>
    <t>ARV</t>
  </si>
  <si>
    <t>Initial cash in</t>
  </si>
  <si>
    <t>Cash-on-cash return</t>
  </si>
  <si>
    <t>Exit</t>
  </si>
  <si>
    <t>Year 5 NOI</t>
  </si>
  <si>
    <t>Exit value</t>
  </si>
  <si>
    <t>Selling costs</t>
  </si>
  <si>
    <t>Loan payoff</t>
  </si>
  <si>
    <t>Net sale proceeds</t>
  </si>
  <si>
    <t>Return Math</t>
  </si>
  <si>
    <t>5-year cash flow total</t>
  </si>
  <si>
    <t>Total cash back</t>
  </si>
  <si>
    <t>Levered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</si>
</sst>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0\x"/>
  </numFmts>
  <fonts count="10" x14ac:knownFonts="1">
    <font>
      <sz val="11"/>
      <color theme="1"/>
      <name val="Calibri"/>
      <family val="2"/>
      <scheme val="minor"/>
    </font>
    <font>
      <b/>
      <sz val="14"/>
      <color rgb="FF333333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b/>
      <sz val="11"/>
      <color rgb="FF595959"/>
      <name val="Calibri"/>
      <family val="2"/>
    </font>
    <font>
      <i/>
      <sz val="9"/>
      <color rgb="FF80808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C5A46"/>
      </patternFill>
    </fill>
    <fill>
      <patternFill patternType="solid">
        <fgColor rgb="FFFFF2CC"/>
      </patternFill>
    </fill>
    <fill>
      <patternFill patternType="solid">
        <fgColor rgb="FF8B9270"/>
      </patternFill>
    </fill>
    <fill>
      <patternFill patternType="solid">
        <fgColor rgb="FFF3F3F3"/>
      </patternFill>
    </fill>
    <fill>
      <patternFill patternType="solid">
        <fgColor rgb="FFD6C2B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vertical="center"/>
    </xf>
    <xf numFmtId="2" fontId="4" fillId="5" borderId="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6" fontId="4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5" fontId="3" fillId="3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10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65" fontId="4" fillId="0" borderId="0" xfId="0" applyNumberFormat="1" applyFont="1" applyAlignment="1">
      <alignment vertical="center"/>
    </xf>
    <xf numFmtId="0" fontId="2" fillId="6" borderId="1" xfId="0" applyFont="1" applyFill="1" applyBorder="1" applyAlignment="1">
      <alignment vertical="center"/>
    </xf>
    <xf numFmtId="2" fontId="4" fillId="0" borderId="0" xfId="0" applyNumberFormat="1" applyFont="1" applyAlignment="1">
      <alignment vertical="center"/>
    </xf>
    <xf numFmtId="10" fontId="4" fillId="5" borderId="1" xfId="0" applyNumberFormat="1" applyFont="1" applyFill="1" applyBorder="1" applyAlignment="1">
      <alignment vertical="center"/>
    </xf>
    <xf numFmtId="0" fontId="3" fillId="3" borderId="0" xfId="0" applyFont="1" applyFill="1" applyAlignment="1">
      <alignment horizontal="right" vertical="center"/>
    </xf>
    <xf numFmtId="10" fontId="7" fillId="5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60-4172-8191-94231E9D8D22}"/>
              </c:ext>
            </c:extLst>
          </c:dPt>
          <c:cat>
            <c:strRef>
              <c:f>'BRRRR Snapshot'!$D$4:$J$4</c:f>
              <c:strCache>
                <c:ptCount val="7"/>
                <c:pt idx="0">
                  <c:v>Initial</c:v>
                </c:pt>
                <c:pt idx="1">
                  <c:v>Refi</c:v>
                </c:pt>
                <c:pt idx="2">
                  <c:v>Year 1</c:v>
                </c:pt>
                <c:pt idx="3">
                  <c:v>Year 2</c:v>
                </c:pt>
                <c:pt idx="4">
                  <c:v>Year 3</c:v>
                </c:pt>
                <c:pt idx="5">
                  <c:v>Year 4</c:v>
                </c:pt>
                <c:pt idx="6">
                  <c:v>Year 5 + Sale</c:v>
                </c:pt>
              </c:strCache>
            </c:strRef>
          </c:cat>
          <c:val>
            <c:numRef>
              <c:f>'BRRRR Snapshot'!$D$5:$J$5</c:f>
              <c:numCache>
                <c:formatCode>"$"#,##0</c:formatCode>
                <c:ptCount val="7"/>
                <c:pt idx="0">
                  <c:v>52108</c:v>
                </c:pt>
                <c:pt idx="1">
                  <c:v>1350</c:v>
                </c:pt>
                <c:pt idx="2">
                  <c:v>563.25437271039664</c:v>
                </c:pt>
                <c:pt idx="3">
                  <c:v>1098.9793727103988</c:v>
                </c:pt>
                <c:pt idx="4">
                  <c:v>1652.004847710401</c:v>
                </c:pt>
                <c:pt idx="5">
                  <c:v>2222.8805300854056</c:v>
                </c:pt>
                <c:pt idx="6">
                  <c:v>-103052.43573866892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0-4172-8191-94231E9D8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0002432"/>
        <c:axId val="1440003392"/>
      </c:barChart>
      <c:catAx>
        <c:axId val="14400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03392"/>
        <c:crosses val="autoZero"/>
        <c:auto val="1"/>
        <c:lblAlgn val="ctr"/>
        <c:lblOffset val="100"/>
        <c:noMultiLvlLbl val="0"/>
      </c:catAx>
      <c:valAx>
        <c:axId val="14400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0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33337</xdr:rowOff>
    </xdr:from>
    <xdr:to>
      <xdr:col>9</xdr:col>
      <xdr:colOff>790576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B0C9F-3F02-5ED6-AB69-E7B565872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workbookViewId="0">
      <selection activeCell="H13" sqref="H13"/>
    </sheetView>
  </sheetViews>
  <sheetFormatPr defaultRowHeight="15" x14ac:dyDescent="0.25"/>
  <cols>
    <col min="1" max="1" width="32" customWidth="1"/>
    <col min="2" max="2" width="15" customWidth="1"/>
    <col min="8" max="8" width="22" customWidth="1"/>
    <col min="9" max="9" width="14" customWidth="1"/>
  </cols>
  <sheetData>
    <row r="1" spans="1:9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2"/>
      <c r="C2" s="2"/>
      <c r="D2" s="2"/>
      <c r="E2" s="2"/>
      <c r="F2" s="2"/>
      <c r="G2" s="2"/>
      <c r="H2" s="3" t="s">
        <v>2</v>
      </c>
      <c r="I2" s="2"/>
    </row>
    <row r="3" spans="1:9" x14ac:dyDescent="0.25">
      <c r="A3" s="4" t="s">
        <v>3</v>
      </c>
      <c r="B3" s="5" t="s">
        <v>4</v>
      </c>
      <c r="C3" s="2"/>
      <c r="D3" s="2"/>
      <c r="E3" s="2"/>
      <c r="F3" s="2"/>
      <c r="G3" s="2"/>
      <c r="H3" s="6" t="s">
        <v>5</v>
      </c>
      <c r="I3" s="7">
        <f>B9</f>
        <v>233800</v>
      </c>
    </row>
    <row r="4" spans="1:9" x14ac:dyDescent="0.25">
      <c r="A4" s="4" t="s">
        <v>6</v>
      </c>
      <c r="B4" s="5" t="s">
        <v>7</v>
      </c>
      <c r="C4" s="2"/>
      <c r="D4" s="2"/>
      <c r="E4" s="2"/>
      <c r="F4" s="2"/>
      <c r="G4" s="2"/>
      <c r="H4" s="6" t="s">
        <v>8</v>
      </c>
      <c r="I4" s="7">
        <f>B7-B9</f>
        <v>21200</v>
      </c>
    </row>
    <row r="5" spans="1:9" x14ac:dyDescent="0.25">
      <c r="A5" s="4" t="s">
        <v>9</v>
      </c>
      <c r="B5" s="8">
        <v>168000</v>
      </c>
      <c r="C5" s="2"/>
      <c r="D5" s="2"/>
      <c r="E5" s="2"/>
      <c r="F5" s="2"/>
      <c r="G5" s="2"/>
      <c r="H5" s="6" t="s">
        <v>10</v>
      </c>
      <c r="I5" s="7">
        <f>B29</f>
        <v>1350</v>
      </c>
    </row>
    <row r="6" spans="1:9" x14ac:dyDescent="0.25">
      <c r="A6" s="4" t="s">
        <v>11</v>
      </c>
      <c r="B6" s="8">
        <v>5800</v>
      </c>
      <c r="C6" s="2"/>
      <c r="D6" s="2"/>
      <c r="E6" s="2"/>
      <c r="F6" s="2"/>
      <c r="G6" s="2"/>
      <c r="H6" s="6" t="s">
        <v>12</v>
      </c>
      <c r="I6" s="7">
        <f>B30</f>
        <v>50758</v>
      </c>
    </row>
    <row r="7" spans="1:9" x14ac:dyDescent="0.25">
      <c r="A7" s="4" t="s">
        <v>13</v>
      </c>
      <c r="B7" s="8">
        <v>255000</v>
      </c>
      <c r="C7" s="2"/>
      <c r="D7" s="2"/>
      <c r="E7" s="2"/>
      <c r="F7" s="2"/>
      <c r="G7" s="2"/>
      <c r="H7" s="6" t="s">
        <v>14</v>
      </c>
      <c r="I7" s="9">
        <f>'Refi &amp; 5-Year Hold'!B19</f>
        <v>1.0359770266274173</v>
      </c>
    </row>
    <row r="8" spans="1:9" x14ac:dyDescent="0.25">
      <c r="A8" s="4" t="s">
        <v>15</v>
      </c>
      <c r="B8" s="10">
        <f>'Rehab Budget'!B14</f>
        <v>60000</v>
      </c>
      <c r="C8" s="2"/>
      <c r="D8" s="2"/>
      <c r="E8" s="2"/>
      <c r="F8" s="2"/>
      <c r="G8" s="2"/>
      <c r="H8" s="6" t="s">
        <v>16</v>
      </c>
      <c r="I8" s="7">
        <f>'Refi &amp; 5-Year Hold'!B18</f>
        <v>563.25437271039664</v>
      </c>
    </row>
    <row r="9" spans="1:9" x14ac:dyDescent="0.25">
      <c r="A9" s="4" t="s">
        <v>17</v>
      </c>
      <c r="B9" s="10">
        <f>B5+B6+B8</f>
        <v>233800</v>
      </c>
      <c r="C9" s="2"/>
      <c r="D9" s="2"/>
      <c r="E9" s="2"/>
      <c r="F9" s="2"/>
      <c r="G9" s="2"/>
      <c r="H9" s="6" t="s">
        <v>18</v>
      </c>
      <c r="I9" s="11">
        <f>'BRRRR Snapshot'!B28</f>
        <v>-1.8455000501929133</v>
      </c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3" t="s">
        <v>19</v>
      </c>
      <c r="B11" s="2"/>
      <c r="C11" s="2"/>
      <c r="D11" s="2"/>
      <c r="E11" s="2"/>
      <c r="F11" s="2"/>
      <c r="G11" s="2"/>
      <c r="H11" s="12"/>
      <c r="I11" s="2"/>
    </row>
    <row r="12" spans="1:9" x14ac:dyDescent="0.25">
      <c r="A12" s="4" t="s">
        <v>20</v>
      </c>
      <c r="B12" s="13">
        <v>0.8</v>
      </c>
      <c r="C12" s="2"/>
      <c r="D12" s="2"/>
      <c r="E12" s="2"/>
      <c r="F12" s="2"/>
      <c r="G12" s="2"/>
      <c r="H12" s="14"/>
      <c r="I12" s="2"/>
    </row>
    <row r="13" spans="1:9" x14ac:dyDescent="0.25">
      <c r="A13" s="4" t="s">
        <v>21</v>
      </c>
      <c r="B13" s="13">
        <v>0.85</v>
      </c>
      <c r="C13" s="2"/>
      <c r="D13" s="2"/>
      <c r="E13" s="2"/>
      <c r="F13" s="2"/>
      <c r="G13" s="2"/>
      <c r="H13" s="14"/>
      <c r="I13" s="2"/>
    </row>
    <row r="14" spans="1:9" x14ac:dyDescent="0.25">
      <c r="A14" s="4" t="s">
        <v>22</v>
      </c>
      <c r="B14" s="10">
        <f>B5*B12</f>
        <v>134400</v>
      </c>
      <c r="C14" s="2"/>
      <c r="D14" s="2"/>
      <c r="E14" s="2"/>
      <c r="F14" s="2"/>
      <c r="G14" s="2"/>
      <c r="H14" s="2"/>
      <c r="I14" s="2"/>
    </row>
    <row r="15" spans="1:9" x14ac:dyDescent="0.25">
      <c r="A15" s="4" t="s">
        <v>23</v>
      </c>
      <c r="B15" s="10">
        <f>B8*B13</f>
        <v>51000</v>
      </c>
      <c r="C15" s="2"/>
      <c r="D15" s="2"/>
      <c r="E15" s="2"/>
      <c r="F15" s="2"/>
      <c r="G15" s="2"/>
      <c r="H15" s="2"/>
      <c r="I15" s="2"/>
    </row>
    <row r="16" spans="1:9" x14ac:dyDescent="0.25">
      <c r="A16" s="4" t="s">
        <v>24</v>
      </c>
      <c r="B16" s="10">
        <f>B14+B15</f>
        <v>185400</v>
      </c>
      <c r="C16" s="2"/>
      <c r="D16" s="2"/>
      <c r="E16" s="2"/>
      <c r="F16" s="2"/>
      <c r="G16" s="2"/>
      <c r="H16" s="2"/>
      <c r="I16" s="2"/>
    </row>
    <row r="17" spans="1:9" x14ac:dyDescent="0.25">
      <c r="A17" s="4" t="s">
        <v>25</v>
      </c>
      <c r="B17" s="15">
        <v>0.105</v>
      </c>
      <c r="C17" s="2"/>
      <c r="D17" s="2"/>
      <c r="E17" s="2"/>
      <c r="F17" s="2"/>
      <c r="G17" s="2"/>
      <c r="H17" s="2"/>
      <c r="I17" s="2"/>
    </row>
    <row r="18" spans="1:9" x14ac:dyDescent="0.25">
      <c r="A18" s="4" t="s">
        <v>26</v>
      </c>
      <c r="B18" s="15">
        <v>0.02</v>
      </c>
      <c r="C18" s="2"/>
      <c r="D18" s="2"/>
      <c r="E18" s="2"/>
      <c r="F18" s="2"/>
      <c r="G18" s="2"/>
      <c r="H18" s="2"/>
      <c r="I18" s="2"/>
    </row>
    <row r="19" spans="1:9" x14ac:dyDescent="0.25">
      <c r="A19" s="4" t="s">
        <v>27</v>
      </c>
      <c r="B19" s="10">
        <f>B16*B17/12</f>
        <v>1622.25</v>
      </c>
      <c r="C19" s="2"/>
      <c r="D19" s="2"/>
      <c r="E19" s="2"/>
      <c r="F19" s="2"/>
      <c r="G19" s="2"/>
      <c r="H19" s="2"/>
      <c r="I19" s="2"/>
    </row>
    <row r="20" spans="1:9" x14ac:dyDescent="0.25">
      <c r="A20" s="4" t="s">
        <v>28</v>
      </c>
      <c r="B20" s="10">
        <f>MAX(0,(B5-B14)+(B8-B15)+B6+(B16*B18))</f>
        <v>52108</v>
      </c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3" t="s">
        <v>29</v>
      </c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4" t="s">
        <v>30</v>
      </c>
      <c r="B23" s="13">
        <v>0.75</v>
      </c>
      <c r="C23" s="2"/>
      <c r="D23" s="2"/>
      <c r="E23" s="2"/>
      <c r="F23" s="2"/>
      <c r="G23" s="2"/>
      <c r="H23" s="2"/>
      <c r="I23" s="2"/>
    </row>
    <row r="24" spans="1:9" x14ac:dyDescent="0.25">
      <c r="A24" s="4" t="s">
        <v>31</v>
      </c>
      <c r="B24" s="10">
        <f>B7*B23</f>
        <v>191250</v>
      </c>
      <c r="C24" s="2"/>
      <c r="D24" s="2"/>
      <c r="E24" s="2"/>
      <c r="F24" s="2"/>
      <c r="G24" s="2"/>
      <c r="H24" s="2"/>
      <c r="I24" s="2"/>
    </row>
    <row r="25" spans="1:9" x14ac:dyDescent="0.25">
      <c r="A25" s="4" t="s">
        <v>32</v>
      </c>
      <c r="B25" s="15">
        <v>7.2499999999999995E-2</v>
      </c>
      <c r="C25" s="2"/>
      <c r="D25" s="2"/>
      <c r="E25" s="2"/>
      <c r="F25" s="2"/>
      <c r="G25" s="2"/>
      <c r="H25" s="2"/>
      <c r="I25" s="2"/>
    </row>
    <row r="26" spans="1:9" x14ac:dyDescent="0.25">
      <c r="A26" s="4" t="s">
        <v>33</v>
      </c>
      <c r="B26" s="16">
        <v>30</v>
      </c>
      <c r="C26" s="2"/>
      <c r="D26" s="2"/>
      <c r="E26" s="2"/>
      <c r="F26" s="2"/>
      <c r="G26" s="2"/>
      <c r="H26" s="2"/>
      <c r="I26" s="2"/>
    </row>
    <row r="27" spans="1:9" x14ac:dyDescent="0.25">
      <c r="A27" s="4" t="s">
        <v>34</v>
      </c>
      <c r="B27" s="8">
        <v>4500</v>
      </c>
      <c r="C27" s="2"/>
      <c r="D27" s="2"/>
      <c r="E27" s="2"/>
      <c r="F27" s="2"/>
      <c r="G27" s="2"/>
      <c r="H27" s="2"/>
      <c r="I27" s="2"/>
    </row>
    <row r="28" spans="1:9" x14ac:dyDescent="0.25">
      <c r="A28" s="4" t="s">
        <v>35</v>
      </c>
      <c r="B28" s="10">
        <f>PMT(B25/12,B26*12,-B24)</f>
        <v>1304.662135607467</v>
      </c>
      <c r="C28" s="2"/>
      <c r="D28" s="2"/>
      <c r="E28" s="2"/>
      <c r="F28" s="2"/>
      <c r="G28" s="2"/>
      <c r="H28" s="2"/>
      <c r="I28" s="2"/>
    </row>
    <row r="29" spans="1:9" x14ac:dyDescent="0.25">
      <c r="A29" s="4" t="s">
        <v>36</v>
      </c>
      <c r="B29" s="10">
        <f>B24-B16-B27</f>
        <v>1350</v>
      </c>
      <c r="C29" s="2"/>
      <c r="D29" s="2"/>
      <c r="E29" s="2"/>
      <c r="F29" s="2"/>
      <c r="G29" s="2"/>
      <c r="H29" s="2"/>
      <c r="I29" s="2"/>
    </row>
    <row r="30" spans="1:9" x14ac:dyDescent="0.25">
      <c r="A30" s="4" t="s">
        <v>37</v>
      </c>
      <c r="B30" s="10">
        <f>B20-B29</f>
        <v>50758</v>
      </c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3" t="s">
        <v>38</v>
      </c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4" t="s">
        <v>39</v>
      </c>
      <c r="B33" s="16">
        <v>5</v>
      </c>
      <c r="C33" s="2"/>
      <c r="D33" s="2"/>
      <c r="E33" s="2"/>
      <c r="F33" s="2"/>
      <c r="G33" s="2"/>
      <c r="H33" s="2"/>
      <c r="I33" s="2"/>
    </row>
    <row r="34" spans="1:9" x14ac:dyDescent="0.25">
      <c r="A34" s="4" t="s">
        <v>40</v>
      </c>
      <c r="B34" s="13">
        <v>0.03</v>
      </c>
      <c r="C34" s="2"/>
      <c r="D34" s="2"/>
      <c r="E34" s="2"/>
      <c r="F34" s="2"/>
      <c r="G34" s="2"/>
      <c r="H34" s="2"/>
      <c r="I34" s="2"/>
    </row>
    <row r="35" spans="1:9" x14ac:dyDescent="0.25">
      <c r="A35" s="4" t="s">
        <v>41</v>
      </c>
      <c r="B35" s="13">
        <v>2.5000000000000001E-2</v>
      </c>
      <c r="C35" s="2"/>
      <c r="D35" s="2"/>
      <c r="E35" s="2"/>
      <c r="F35" s="2"/>
      <c r="G35" s="2"/>
      <c r="H35" s="2"/>
      <c r="I35" s="2"/>
    </row>
    <row r="36" spans="1:9" x14ac:dyDescent="0.25">
      <c r="A36" s="4" t="s">
        <v>42</v>
      </c>
      <c r="B36" s="15">
        <v>6.7500000000000004E-2</v>
      </c>
      <c r="C36" s="2"/>
      <c r="D36" s="2"/>
      <c r="E36" s="2"/>
      <c r="F36" s="2"/>
      <c r="G36" s="2"/>
      <c r="H36" s="2"/>
      <c r="I36" s="2"/>
    </row>
    <row r="37" spans="1:9" x14ac:dyDescent="0.25">
      <c r="A37" s="4" t="s">
        <v>43</v>
      </c>
      <c r="B37" s="13">
        <v>0.04</v>
      </c>
      <c r="C37" s="2"/>
      <c r="D37" s="2"/>
      <c r="E37" s="2"/>
      <c r="F37" s="2"/>
      <c r="G37" s="2"/>
      <c r="H37" s="2"/>
      <c r="I37" s="2"/>
    </row>
  </sheetData>
  <dataValidations count="1">
    <dataValidation type="list" allowBlank="1" sqref="B4" xr:uid="{00000000-0002-0000-0000-000000000000}">
      <formula1>"Single Family,Duplex,Triplex,Small Multifamily"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showGridLines="0" workbookViewId="0">
      <selection activeCell="D10" sqref="D10"/>
    </sheetView>
  </sheetViews>
  <sheetFormatPr defaultRowHeight="15" x14ac:dyDescent="0.25"/>
  <cols>
    <col min="1" max="1" width="22" customWidth="1"/>
    <col min="2" max="4" width="14" customWidth="1"/>
    <col min="5" max="5" width="18" customWidth="1"/>
    <col min="6" max="12" width="14" customWidth="1"/>
  </cols>
  <sheetData>
    <row r="1" spans="1:12" ht="18.75" x14ac:dyDescent="0.25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2"/>
      <c r="G2" s="3" t="s">
        <v>50</v>
      </c>
      <c r="H2" s="2"/>
      <c r="I2" s="2"/>
      <c r="J2" s="2"/>
      <c r="K2" s="2"/>
      <c r="L2" s="2"/>
    </row>
    <row r="3" spans="1:12" x14ac:dyDescent="0.25">
      <c r="A3" s="5" t="s">
        <v>51</v>
      </c>
      <c r="B3" s="8">
        <v>4200</v>
      </c>
      <c r="C3" s="17">
        <f t="shared" ref="C3:C12" si="0">IF($B$14=0,0,B3/$B$14)</f>
        <v>7.0000000000000007E-2</v>
      </c>
      <c r="D3" s="16">
        <v>1</v>
      </c>
      <c r="E3" s="5"/>
      <c r="F3" s="2"/>
      <c r="G3" s="18" t="s">
        <v>52</v>
      </c>
      <c r="H3" s="18" t="s">
        <v>53</v>
      </c>
      <c r="I3" s="18" t="s">
        <v>54</v>
      </c>
      <c r="J3" s="18" t="s">
        <v>55</v>
      </c>
      <c r="K3" s="18" t="s">
        <v>56</v>
      </c>
      <c r="L3" s="18" t="s">
        <v>57</v>
      </c>
    </row>
    <row r="4" spans="1:12" x14ac:dyDescent="0.25">
      <c r="A4" s="5" t="s">
        <v>58</v>
      </c>
      <c r="B4" s="8">
        <v>12000</v>
      </c>
      <c r="C4" s="17">
        <f t="shared" si="0"/>
        <v>0.2</v>
      </c>
      <c r="D4" s="16">
        <v>2</v>
      </c>
      <c r="E4" s="5"/>
      <c r="F4" s="2"/>
      <c r="G4" s="10">
        <f>SUMIF($D$3:$D$12,1,$B$3:$B$12)</f>
        <v>4200</v>
      </c>
      <c r="H4" s="10">
        <f>SUMIF($D$3:$D$12,2,$B$3:$B$12)</f>
        <v>19000</v>
      </c>
      <c r="I4" s="10">
        <f>SUMIF($D$3:$D$12,3,$B$3:$B$12)</f>
        <v>15700</v>
      </c>
      <c r="J4" s="10">
        <f>SUMIF($D$3:$D$12,4,$B$3:$B$12)</f>
        <v>9000</v>
      </c>
      <c r="K4" s="10">
        <f>SUMIF($D$3:$D$12,5,$B$3:$B$12)</f>
        <v>6100</v>
      </c>
      <c r="L4" s="10">
        <f>SUMIF($D$3:$D$12,6,$B$3:$B$12)</f>
        <v>6000</v>
      </c>
    </row>
    <row r="5" spans="1:12" x14ac:dyDescent="0.25">
      <c r="A5" s="5" t="s">
        <v>59</v>
      </c>
      <c r="B5" s="8">
        <v>7000</v>
      </c>
      <c r="C5" s="17">
        <f t="shared" si="0"/>
        <v>0.11666666666666667</v>
      </c>
      <c r="D5" s="16">
        <v>2</v>
      </c>
      <c r="E5" s="5"/>
      <c r="F5" s="2"/>
      <c r="G5" s="10">
        <f>SUM(G4:L4)</f>
        <v>60000</v>
      </c>
      <c r="H5" s="2"/>
      <c r="I5" s="2"/>
      <c r="J5" s="2"/>
      <c r="K5" s="2"/>
      <c r="L5" s="2"/>
    </row>
    <row r="6" spans="1:12" x14ac:dyDescent="0.25">
      <c r="A6" s="5" t="s">
        <v>60</v>
      </c>
      <c r="B6" s="8">
        <v>9500</v>
      </c>
      <c r="C6" s="17">
        <f t="shared" si="0"/>
        <v>0.15833333333333333</v>
      </c>
      <c r="D6" s="16">
        <v>3</v>
      </c>
      <c r="E6" s="5"/>
      <c r="F6" s="2"/>
      <c r="G6" s="2"/>
      <c r="H6" s="2"/>
      <c r="I6" s="2"/>
      <c r="J6" s="2"/>
      <c r="K6" s="2"/>
      <c r="L6" s="2"/>
    </row>
    <row r="7" spans="1:12" x14ac:dyDescent="0.25">
      <c r="A7" s="5" t="s">
        <v>61</v>
      </c>
      <c r="B7" s="8">
        <v>6200</v>
      </c>
      <c r="C7" s="17">
        <f t="shared" si="0"/>
        <v>0.10333333333333333</v>
      </c>
      <c r="D7" s="16">
        <v>3</v>
      </c>
      <c r="E7" s="5"/>
      <c r="F7" s="2"/>
      <c r="G7" s="2"/>
      <c r="H7" s="2"/>
      <c r="I7" s="2"/>
      <c r="J7" s="2"/>
      <c r="K7" s="2"/>
      <c r="L7" s="2"/>
    </row>
    <row r="8" spans="1:12" x14ac:dyDescent="0.25">
      <c r="A8" s="5" t="s">
        <v>62</v>
      </c>
      <c r="B8" s="8">
        <v>5400</v>
      </c>
      <c r="C8" s="17">
        <f t="shared" si="0"/>
        <v>0.09</v>
      </c>
      <c r="D8" s="16">
        <v>4</v>
      </c>
      <c r="E8" s="5"/>
      <c r="F8" s="2"/>
      <c r="G8" s="2"/>
      <c r="H8" s="2"/>
      <c r="I8" s="2"/>
      <c r="J8" s="2"/>
      <c r="K8" s="2"/>
      <c r="L8" s="2"/>
    </row>
    <row r="9" spans="1:12" x14ac:dyDescent="0.25">
      <c r="A9" s="5" t="s">
        <v>63</v>
      </c>
      <c r="B9" s="8">
        <v>3600</v>
      </c>
      <c r="C9" s="17">
        <f t="shared" si="0"/>
        <v>0.06</v>
      </c>
      <c r="D9" s="16">
        <v>4</v>
      </c>
      <c r="E9" s="5"/>
      <c r="F9" s="2"/>
      <c r="G9" s="2"/>
      <c r="H9" s="2"/>
      <c r="I9" s="2"/>
      <c r="J9" s="2"/>
      <c r="K9" s="2"/>
      <c r="L9" s="2"/>
    </row>
    <row r="10" spans="1:12" x14ac:dyDescent="0.25">
      <c r="A10" s="5" t="s">
        <v>64</v>
      </c>
      <c r="B10" s="8">
        <v>4300</v>
      </c>
      <c r="C10" s="17">
        <f t="shared" si="0"/>
        <v>7.166666666666667E-2</v>
      </c>
      <c r="D10" s="16">
        <v>5</v>
      </c>
      <c r="E10" s="5"/>
      <c r="F10" s="2"/>
      <c r="G10" s="2"/>
      <c r="H10" s="2"/>
      <c r="I10" s="2"/>
      <c r="J10" s="2"/>
      <c r="K10" s="2"/>
      <c r="L10" s="2"/>
    </row>
    <row r="11" spans="1:12" x14ac:dyDescent="0.25">
      <c r="A11" s="5" t="s">
        <v>65</v>
      </c>
      <c r="B11" s="8">
        <v>1800</v>
      </c>
      <c r="C11" s="17">
        <f t="shared" si="0"/>
        <v>0.03</v>
      </c>
      <c r="D11" s="16">
        <v>5</v>
      </c>
      <c r="E11" s="5"/>
      <c r="F11" s="2"/>
      <c r="G11" s="2"/>
      <c r="H11" s="2"/>
      <c r="I11" s="2"/>
      <c r="J11" s="2"/>
      <c r="K11" s="2"/>
      <c r="L11" s="2"/>
    </row>
    <row r="12" spans="1:12" x14ac:dyDescent="0.25">
      <c r="A12" s="5" t="s">
        <v>66</v>
      </c>
      <c r="B12" s="8">
        <v>6000</v>
      </c>
      <c r="C12" s="17">
        <f t="shared" si="0"/>
        <v>0.1</v>
      </c>
      <c r="D12" s="16">
        <v>6</v>
      </c>
      <c r="E12" s="21" t="s">
        <v>67</v>
      </c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3" t="s">
        <v>68</v>
      </c>
      <c r="B14" s="10">
        <f>SUM(B3:B12)</f>
        <v>60000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3" t="s">
        <v>69</v>
      </c>
      <c r="B15" s="10">
        <f>B14/6</f>
        <v>10000</v>
      </c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dataValidations count="1">
    <dataValidation type="whole" sqref="D3:D12" xr:uid="{00000000-0002-0000-0100-000000000000}">
      <formula1>1</formula1>
      <formula2>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showGridLines="0" workbookViewId="0">
      <selection activeCell="G9" sqref="G9"/>
    </sheetView>
  </sheetViews>
  <sheetFormatPr defaultRowHeight="15" x14ac:dyDescent="0.25"/>
  <cols>
    <col min="1" max="1" width="26" customWidth="1"/>
    <col min="2" max="2" width="14" customWidth="1"/>
  </cols>
  <sheetData>
    <row r="1" spans="1:2" ht="18.75" x14ac:dyDescent="0.25">
      <c r="A1" s="24" t="s">
        <v>70</v>
      </c>
      <c r="B1" s="2"/>
    </row>
    <row r="2" spans="1:2" x14ac:dyDescent="0.25">
      <c r="A2" s="2"/>
      <c r="B2" s="2"/>
    </row>
    <row r="3" spans="1:2" x14ac:dyDescent="0.25">
      <c r="A3" s="4" t="s">
        <v>71</v>
      </c>
      <c r="B3" s="8">
        <v>2250</v>
      </c>
    </row>
    <row r="4" spans="1:2" x14ac:dyDescent="0.25">
      <c r="A4" s="4" t="s">
        <v>72</v>
      </c>
      <c r="B4" s="8">
        <v>35</v>
      </c>
    </row>
    <row r="5" spans="1:2" x14ac:dyDescent="0.25">
      <c r="A5" s="4" t="s">
        <v>73</v>
      </c>
      <c r="B5" s="13">
        <v>0.05</v>
      </c>
    </row>
    <row r="6" spans="1:2" x14ac:dyDescent="0.25">
      <c r="A6" s="4" t="s">
        <v>74</v>
      </c>
      <c r="B6" s="13">
        <v>0.08</v>
      </c>
    </row>
    <row r="7" spans="1:2" x14ac:dyDescent="0.25">
      <c r="A7" s="4" t="s">
        <v>75</v>
      </c>
      <c r="B7" s="13">
        <v>7.0000000000000007E-2</v>
      </c>
    </row>
    <row r="8" spans="1:2" x14ac:dyDescent="0.25">
      <c r="A8" s="4" t="s">
        <v>76</v>
      </c>
      <c r="B8" s="13">
        <v>0.05</v>
      </c>
    </row>
    <row r="9" spans="1:2" x14ac:dyDescent="0.25">
      <c r="A9" s="4" t="s">
        <v>77</v>
      </c>
      <c r="B9" s="8">
        <v>210</v>
      </c>
    </row>
    <row r="10" spans="1:2" x14ac:dyDescent="0.25">
      <c r="A10" s="4" t="s">
        <v>78</v>
      </c>
      <c r="B10" s="8">
        <v>95</v>
      </c>
    </row>
    <row r="11" spans="1:2" x14ac:dyDescent="0.25">
      <c r="A11" s="4" t="s">
        <v>79</v>
      </c>
      <c r="B11" s="8">
        <v>0</v>
      </c>
    </row>
    <row r="12" spans="1:2" x14ac:dyDescent="0.25">
      <c r="A12" s="4" t="s">
        <v>80</v>
      </c>
      <c r="B12" s="8">
        <v>80</v>
      </c>
    </row>
    <row r="13" spans="1:2" x14ac:dyDescent="0.25">
      <c r="A13" s="2"/>
      <c r="B13" s="2"/>
    </row>
    <row r="14" spans="1:2" x14ac:dyDescent="0.25">
      <c r="A14" s="4" t="s">
        <v>81</v>
      </c>
      <c r="B14" s="10">
        <f>B3*12</f>
        <v>27000</v>
      </c>
    </row>
    <row r="15" spans="1:2" x14ac:dyDescent="0.25">
      <c r="A15" s="4" t="s">
        <v>82</v>
      </c>
      <c r="B15" s="10">
        <f>B4*12</f>
        <v>420</v>
      </c>
    </row>
    <row r="16" spans="1:2" x14ac:dyDescent="0.25">
      <c r="A16" s="4" t="s">
        <v>83</v>
      </c>
      <c r="B16" s="10">
        <f>B14+B15</f>
        <v>27420</v>
      </c>
    </row>
    <row r="17" spans="1:2" x14ac:dyDescent="0.25">
      <c r="A17" s="4" t="s">
        <v>84</v>
      </c>
      <c r="B17" s="10">
        <f>B16*B5*-1</f>
        <v>-1371</v>
      </c>
    </row>
    <row r="18" spans="1:2" x14ac:dyDescent="0.25">
      <c r="A18" s="4" t="s">
        <v>85</v>
      </c>
      <c r="B18" s="10">
        <f>B16+B17</f>
        <v>26049</v>
      </c>
    </row>
    <row r="19" spans="1:2" x14ac:dyDescent="0.25">
      <c r="A19" s="4" t="s">
        <v>86</v>
      </c>
      <c r="B19" s="10">
        <f>B18*B6*-1</f>
        <v>-2083.92</v>
      </c>
    </row>
    <row r="20" spans="1:2" x14ac:dyDescent="0.25">
      <c r="A20" s="4" t="s">
        <v>87</v>
      </c>
      <c r="B20" s="10">
        <f>B18*B7*-1</f>
        <v>-1823.43</v>
      </c>
    </row>
    <row r="21" spans="1:2" x14ac:dyDescent="0.25">
      <c r="A21" s="4" t="s">
        <v>88</v>
      </c>
      <c r="B21" s="10">
        <f>B18*B8*-1</f>
        <v>-1302.45</v>
      </c>
    </row>
    <row r="22" spans="1:2" x14ac:dyDescent="0.25">
      <c r="A22" s="4" t="s">
        <v>89</v>
      </c>
      <c r="B22" s="10">
        <f>SUM(B9:B12)*12</f>
        <v>4620</v>
      </c>
    </row>
    <row r="23" spans="1:2" x14ac:dyDescent="0.25">
      <c r="A23" s="4" t="s">
        <v>90</v>
      </c>
      <c r="B23" s="10">
        <f>ABS(SUM(B19:B21))+B22</f>
        <v>9829.7999999999993</v>
      </c>
    </row>
    <row r="24" spans="1:2" x14ac:dyDescent="0.25">
      <c r="A24" s="4" t="s">
        <v>91</v>
      </c>
      <c r="B24" s="10">
        <f>B18-B23</f>
        <v>16219.2</v>
      </c>
    </row>
    <row r="25" spans="1:2" x14ac:dyDescent="0.25">
      <c r="A25" s="4" t="s">
        <v>92</v>
      </c>
      <c r="B25" s="10">
        <f>B24/12</f>
        <v>1351.6000000000001</v>
      </c>
    </row>
  </sheetData>
  <pageMargins left="0.75" right="0.75" top="1" bottom="1" header="0.5" footer="0.5"/>
  <ignoredErrors>
    <ignoredError sqref="B17:B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workbookViewId="0">
      <selection activeCell="F26" sqref="F26"/>
    </sheetView>
  </sheetViews>
  <sheetFormatPr defaultRowHeight="15" x14ac:dyDescent="0.25"/>
  <cols>
    <col min="1" max="1" width="24" customWidth="1"/>
    <col min="2" max="6" width="14" customWidth="1"/>
  </cols>
  <sheetData>
    <row r="1" spans="1:6" ht="18.75" x14ac:dyDescent="0.25">
      <c r="A1" s="1" t="s">
        <v>93</v>
      </c>
      <c r="B1" s="2"/>
      <c r="C1" s="2"/>
      <c r="D1" s="2"/>
      <c r="E1" s="2"/>
      <c r="F1" s="2"/>
    </row>
    <row r="2" spans="1:6" x14ac:dyDescent="0.25">
      <c r="A2" s="3" t="s">
        <v>94</v>
      </c>
      <c r="B2" s="2"/>
      <c r="C2" s="2"/>
      <c r="D2" s="2"/>
      <c r="E2" s="2"/>
      <c r="F2" s="2"/>
    </row>
    <row r="3" spans="1:6" x14ac:dyDescent="0.25">
      <c r="A3" s="4" t="s">
        <v>95</v>
      </c>
      <c r="B3" s="10">
        <f>'Deal Setup'!B24</f>
        <v>191250</v>
      </c>
      <c r="C3" s="2"/>
      <c r="D3" s="2"/>
      <c r="E3" s="2"/>
      <c r="F3" s="2"/>
    </row>
    <row r="4" spans="1:6" x14ac:dyDescent="0.25">
      <c r="A4" s="4" t="s">
        <v>96</v>
      </c>
      <c r="B4" s="10">
        <f>'Deal Setup'!B16</f>
        <v>185400</v>
      </c>
      <c r="C4" s="2"/>
      <c r="D4" s="2"/>
      <c r="E4" s="2"/>
      <c r="F4" s="2"/>
    </row>
    <row r="5" spans="1:6" x14ac:dyDescent="0.25">
      <c r="A5" s="4" t="s">
        <v>97</v>
      </c>
      <c r="B5" s="10">
        <f>'Deal Setup'!B27</f>
        <v>4500</v>
      </c>
      <c r="C5" s="2"/>
      <c r="D5" s="2"/>
      <c r="E5" s="2"/>
      <c r="F5" s="2"/>
    </row>
    <row r="6" spans="1:6" x14ac:dyDescent="0.25">
      <c r="A6" s="4" t="s">
        <v>10</v>
      </c>
      <c r="B6" s="10">
        <f>B3-B4-B5</f>
        <v>1350</v>
      </c>
      <c r="C6" s="2"/>
      <c r="D6" s="2"/>
      <c r="E6" s="2"/>
      <c r="F6" s="2"/>
    </row>
    <row r="7" spans="1:6" x14ac:dyDescent="0.25">
      <c r="A7" s="4" t="s">
        <v>12</v>
      </c>
      <c r="B7" s="10">
        <f>'Deal Setup'!B20-B6</f>
        <v>50758</v>
      </c>
      <c r="C7" s="2"/>
      <c r="D7" s="2"/>
      <c r="E7" s="2"/>
      <c r="F7" s="2"/>
    </row>
    <row r="8" spans="1:6" x14ac:dyDescent="0.25">
      <c r="A8" s="4" t="s">
        <v>14</v>
      </c>
      <c r="B8" s="19">
        <f>IF('Deal Setup'!B28*12=0,0,'Stabilized Rental'!B24/('Deal Setup'!B28*12))</f>
        <v>1.0359770266274173</v>
      </c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3" t="s">
        <v>45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102</v>
      </c>
    </row>
    <row r="12" spans="1:6" x14ac:dyDescent="0.25">
      <c r="A12" s="4" t="s">
        <v>103</v>
      </c>
      <c r="B12" s="10">
        <f>'Stabilized Rental'!B16</f>
        <v>27420</v>
      </c>
      <c r="C12" s="10">
        <f>B12*(1+'Deal Setup'!$B$34)</f>
        <v>28242.600000000002</v>
      </c>
      <c r="D12" s="10">
        <f>C12*(1+'Deal Setup'!$B$34)</f>
        <v>29089.878000000004</v>
      </c>
      <c r="E12" s="10">
        <f>D12*(1+'Deal Setup'!$B$34)</f>
        <v>29962.574340000006</v>
      </c>
      <c r="F12" s="10">
        <f>E12*(1+'Deal Setup'!$B$34)</f>
        <v>30861.451570200006</v>
      </c>
    </row>
    <row r="13" spans="1:6" x14ac:dyDescent="0.25">
      <c r="A13" s="4" t="s">
        <v>104</v>
      </c>
      <c r="B13" s="10">
        <f>'Stabilized Rental'!B17</f>
        <v>-1371</v>
      </c>
      <c r="C13" s="10">
        <f>C12*'Stabilized Rental'!$B$5*-1</f>
        <v>-1412.13</v>
      </c>
      <c r="D13" s="10">
        <f>D12*'Stabilized Rental'!$B$5*-1</f>
        <v>-1454.4939000000004</v>
      </c>
      <c r="E13" s="10">
        <f>E12*'Stabilized Rental'!$B$5*-1</f>
        <v>-1498.1287170000005</v>
      </c>
      <c r="F13" s="10">
        <f>F12*'Stabilized Rental'!$B$5*-1</f>
        <v>-1543.0725785100003</v>
      </c>
    </row>
    <row r="14" spans="1:6" x14ac:dyDescent="0.25">
      <c r="A14" s="4" t="s">
        <v>105</v>
      </c>
      <c r="B14" s="10">
        <f>'Stabilized Rental'!B18</f>
        <v>26049</v>
      </c>
      <c r="C14" s="10">
        <f>C12+C13</f>
        <v>26830.47</v>
      </c>
      <c r="D14" s="10">
        <f>D12+D13</f>
        <v>27635.384100000003</v>
      </c>
      <c r="E14" s="10">
        <f>E12+E13</f>
        <v>28464.445623000007</v>
      </c>
      <c r="F14" s="10">
        <f>F12+F13</f>
        <v>29318.378991690006</v>
      </c>
    </row>
    <row r="15" spans="1:6" x14ac:dyDescent="0.25">
      <c r="A15" s="4" t="s">
        <v>106</v>
      </c>
      <c r="B15" s="10">
        <f>'Stabilized Rental'!B23</f>
        <v>9829.7999999999993</v>
      </c>
      <c r="C15" s="10">
        <f>B15*(1+'Deal Setup'!$B$35)</f>
        <v>10075.544999999998</v>
      </c>
      <c r="D15" s="10">
        <f>C15*(1+'Deal Setup'!$B$35)</f>
        <v>10327.433624999998</v>
      </c>
      <c r="E15" s="10">
        <f>D15*(1+'Deal Setup'!$B$35)</f>
        <v>10585.619465624997</v>
      </c>
      <c r="F15" s="10">
        <f>E15*(1+'Deal Setup'!$B$35)</f>
        <v>10850.259952265622</v>
      </c>
    </row>
    <row r="16" spans="1:6" x14ac:dyDescent="0.25">
      <c r="A16" s="4" t="s">
        <v>107</v>
      </c>
      <c r="B16" s="10">
        <f>'Stabilized Rental'!B24</f>
        <v>16219.2</v>
      </c>
      <c r="C16" s="10">
        <f>C14-C15</f>
        <v>16754.925000000003</v>
      </c>
      <c r="D16" s="10">
        <f>D14-D15</f>
        <v>17307.950475000005</v>
      </c>
      <c r="E16" s="10">
        <f>E14-E15</f>
        <v>17878.82615737501</v>
      </c>
      <c r="F16" s="10">
        <f>F14-F15</f>
        <v>18468.119039424382</v>
      </c>
    </row>
    <row r="17" spans="1:6" x14ac:dyDescent="0.25">
      <c r="A17" s="4" t="s">
        <v>108</v>
      </c>
      <c r="B17" s="10">
        <f>'Deal Setup'!B28*12</f>
        <v>15655.945627289604</v>
      </c>
      <c r="C17" s="10">
        <f>'Deal Setup'!$B$28*12</f>
        <v>15655.945627289604</v>
      </c>
      <c r="D17" s="10">
        <f>'Deal Setup'!$B$28*12</f>
        <v>15655.945627289604</v>
      </c>
      <c r="E17" s="10">
        <f>'Deal Setup'!$B$28*12</f>
        <v>15655.945627289604</v>
      </c>
      <c r="F17" s="10">
        <f>'Deal Setup'!$B$28*12</f>
        <v>15655.945627289604</v>
      </c>
    </row>
    <row r="18" spans="1:6" x14ac:dyDescent="0.25">
      <c r="A18" s="4" t="s">
        <v>109</v>
      </c>
      <c r="B18" s="10">
        <f>B16-B17</f>
        <v>563.25437271039664</v>
      </c>
      <c r="C18" s="10">
        <f>C16-C17</f>
        <v>1098.9793727103988</v>
      </c>
      <c r="D18" s="10">
        <f>D16-D17</f>
        <v>1652.004847710401</v>
      </c>
      <c r="E18" s="10">
        <f>E16-E17</f>
        <v>2222.8805300854056</v>
      </c>
      <c r="F18" s="10">
        <f>F16-F17</f>
        <v>2812.1734121347781</v>
      </c>
    </row>
    <row r="19" spans="1:6" x14ac:dyDescent="0.25">
      <c r="A19" s="4" t="s">
        <v>110</v>
      </c>
      <c r="B19" s="19">
        <f>IF(B17=0,0,B16/B17)</f>
        <v>1.0359770266274173</v>
      </c>
      <c r="C19" s="19">
        <f>IF(C17=0,0,C16/C17)</f>
        <v>1.0701956559426717</v>
      </c>
      <c r="D19" s="19">
        <f>IF(D17=0,0,D16/D17)</f>
        <v>1.1055193271002948</v>
      </c>
      <c r="E19" s="19">
        <f>IF(E17=0,0,E16/E17)</f>
        <v>1.1419831534296301</v>
      </c>
      <c r="F19" s="19">
        <f>IF(F17=0,0,F16/F17)</f>
        <v>1.1796233507117531</v>
      </c>
    </row>
  </sheetData>
  <conditionalFormatting sqref="B19:F19">
    <cfRule type="cellIs" dxfId="1" priority="1" operator="lessThan">
      <formula>1.2</formula>
    </cfRule>
  </conditionalFormatting>
  <pageMargins left="0.75" right="0.75" top="1" bottom="1" header="0.5" footer="0.5"/>
  <ignoredErrors>
    <ignoredError sqref="C17:F1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showGridLines="0" tabSelected="1" workbookViewId="0">
      <selection activeCell="O6" sqref="O6"/>
    </sheetView>
  </sheetViews>
  <sheetFormatPr defaultRowHeight="15" x14ac:dyDescent="0.25"/>
  <cols>
    <col min="1" max="1" width="22" customWidth="1"/>
    <col min="2" max="2" width="14" customWidth="1"/>
    <col min="4" max="10" width="12" customWidth="1"/>
  </cols>
  <sheetData>
    <row r="1" spans="1:10" ht="18.75" x14ac:dyDescent="0.25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112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6" t="s">
        <v>113</v>
      </c>
      <c r="B3" s="7">
        <f>'Deal Setup'!B5</f>
        <v>168000</v>
      </c>
      <c r="C3" s="2"/>
      <c r="D3" s="12" t="s">
        <v>114</v>
      </c>
      <c r="E3" s="2"/>
      <c r="F3" s="2"/>
      <c r="G3" s="2"/>
      <c r="H3" s="2"/>
      <c r="I3" s="2"/>
      <c r="J3" s="2"/>
    </row>
    <row r="4" spans="1:10" x14ac:dyDescent="0.25">
      <c r="A4" s="6" t="s">
        <v>115</v>
      </c>
      <c r="B4" s="7">
        <f>'Deal Setup'!B8</f>
        <v>60000</v>
      </c>
      <c r="C4" s="2"/>
      <c r="D4" s="18" t="s">
        <v>116</v>
      </c>
      <c r="E4" s="18" t="s">
        <v>117</v>
      </c>
      <c r="F4" s="18" t="s">
        <v>98</v>
      </c>
      <c r="G4" s="18" t="s">
        <v>99</v>
      </c>
      <c r="H4" s="18" t="s">
        <v>100</v>
      </c>
      <c r="I4" s="18" t="s">
        <v>101</v>
      </c>
      <c r="J4" s="18" t="s">
        <v>118</v>
      </c>
    </row>
    <row r="5" spans="1:10" x14ac:dyDescent="0.25">
      <c r="A5" s="6" t="s">
        <v>5</v>
      </c>
      <c r="B5" s="7">
        <f>'Deal Setup'!B9</f>
        <v>233800</v>
      </c>
      <c r="C5" s="2"/>
      <c r="D5" s="10">
        <f>B11</f>
        <v>52108</v>
      </c>
      <c r="E5" s="10">
        <f>B12</f>
        <v>1350</v>
      </c>
      <c r="F5" s="10">
        <f>'Refi &amp; 5-Year Hold'!B18</f>
        <v>563.25437271039664</v>
      </c>
      <c r="G5" s="10">
        <f>'Refi &amp; 5-Year Hold'!C18</f>
        <v>1098.9793727103988</v>
      </c>
      <c r="H5" s="10">
        <f>'Refi &amp; 5-Year Hold'!D18</f>
        <v>1652.004847710401</v>
      </c>
      <c r="I5" s="10">
        <f>'Refi &amp; 5-Year Hold'!E18</f>
        <v>2222.8805300854056</v>
      </c>
      <c r="J5" s="10">
        <f>'Refi &amp; 5-Year Hold'!F18+B22</f>
        <v>-103052.43573866892</v>
      </c>
    </row>
    <row r="6" spans="1:10" x14ac:dyDescent="0.25">
      <c r="A6" s="6" t="s">
        <v>119</v>
      </c>
      <c r="B6" s="7">
        <f>'Deal Setup'!B7</f>
        <v>255000</v>
      </c>
      <c r="C6" s="2"/>
      <c r="D6" s="2"/>
      <c r="E6" s="2"/>
      <c r="F6" s="2"/>
      <c r="G6" s="2"/>
      <c r="H6" s="2"/>
      <c r="I6" s="2"/>
      <c r="J6" s="2"/>
    </row>
    <row r="7" spans="1:10" x14ac:dyDescent="0.25">
      <c r="A7" s="6" t="s">
        <v>8</v>
      </c>
      <c r="B7" s="7">
        <f>B6-B5</f>
        <v>21200</v>
      </c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3" t="s">
        <v>117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6" t="s">
        <v>120</v>
      </c>
      <c r="B11" s="7">
        <f>'Deal Setup'!B20</f>
        <v>52108</v>
      </c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6" t="s">
        <v>10</v>
      </c>
      <c r="B12" s="7">
        <f>'Refi &amp; 5-Year Hold'!B6</f>
        <v>1350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6" t="s">
        <v>12</v>
      </c>
      <c r="B13" s="7">
        <f>'Refi &amp; 5-Year Hold'!B7</f>
        <v>50758</v>
      </c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6" t="s">
        <v>16</v>
      </c>
      <c r="B14" s="7">
        <f>'Refi &amp; 5-Year Hold'!B18</f>
        <v>563.25437271039664</v>
      </c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6" t="s">
        <v>121</v>
      </c>
      <c r="B15" s="20">
        <f>IF(B13&lt;=0,0,B14/B13)</f>
        <v>1.1096859070696179E-2</v>
      </c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3" t="s">
        <v>122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6" t="s">
        <v>123</v>
      </c>
      <c r="B18" s="7">
        <f>'Refi &amp; 5-Year Hold'!F16</f>
        <v>18468.119039424382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6" t="s">
        <v>124</v>
      </c>
      <c r="B19" s="7">
        <f>IF('Deal Setup'!B36=0,0,B18/'Deal Setup'!B36)</f>
        <v>273601.76354702789</v>
      </c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6" t="s">
        <v>125</v>
      </c>
      <c r="B20" s="7">
        <f>B19*'Deal Setup'!B37</f>
        <v>10944.070541881116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6" t="s">
        <v>126</v>
      </c>
      <c r="B21" s="7">
        <f>-FV('Deal Setup'!B25/12,'Deal Setup'!B33*12,'Deal Setup'!B28,'Deal Setup'!B24)</f>
        <v>368522.30215595046</v>
      </c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6" t="s">
        <v>127</v>
      </c>
      <c r="B22" s="7">
        <f>B19-B20-B21</f>
        <v>-105864.60915080371</v>
      </c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3" t="s">
        <v>128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6" t="s">
        <v>129</v>
      </c>
      <c r="B26" s="7">
        <f>SUM('Refi &amp; 5-Year Hold'!B18:F18)</f>
        <v>8349.2925353513801</v>
      </c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6" t="s">
        <v>130</v>
      </c>
      <c r="B27" s="7">
        <f>B12+B22+B26</f>
        <v>-96165.316615452321</v>
      </c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6" t="s">
        <v>18</v>
      </c>
      <c r="B28" s="11">
        <f>IF(B11=0,0,B27/B11)</f>
        <v>-1.8455000501929133</v>
      </c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6" t="s">
        <v>131</v>
      </c>
      <c r="B29" s="22">
        <f>IRR(D5:J5)</f>
        <v>0.10345875879585709</v>
      </c>
      <c r="C29" s="2"/>
      <c r="D29" s="2"/>
      <c r="E29" s="2"/>
      <c r="F29" s="2"/>
      <c r="G29" s="2"/>
      <c r="H29" s="2"/>
      <c r="I29" s="2"/>
      <c r="J29" s="2"/>
    </row>
  </sheetData>
  <conditionalFormatting sqref="B13">
    <cfRule type="cellIs" dxfId="0" priority="1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 Setup</vt:lpstr>
      <vt:lpstr>Rehab Budget</vt:lpstr>
      <vt:lpstr>Stabilized Rental</vt:lpstr>
      <vt:lpstr>Refi &amp; 5-Year Hold</vt:lpstr>
      <vt:lpstr>BRRRR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 Ding</dc:creator>
  <cp:lastModifiedBy>Frenzel, Tim</cp:lastModifiedBy>
  <dcterms:created xsi:type="dcterms:W3CDTF">2026-04-09T06:17:14Z</dcterms:created>
  <dcterms:modified xsi:type="dcterms:W3CDTF">2026-04-09T06:48:53Z</dcterms:modified>
</cp:coreProperties>
</file>