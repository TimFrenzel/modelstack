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al Setup" sheetId="1" state="visible" r:id="rId1"/>
    <sheet xmlns:r="http://schemas.openxmlformats.org/officeDocument/2006/relationships" name="Rehab Budget" sheetId="2" state="visible" r:id="rId2"/>
    <sheet xmlns:r="http://schemas.openxmlformats.org/officeDocument/2006/relationships" name="Stabilized Rental" sheetId="3" state="visible" r:id="rId3"/>
    <sheet xmlns:r="http://schemas.openxmlformats.org/officeDocument/2006/relationships" name="Refi &amp; 5-Year Hold" sheetId="4" state="visible" r:id="rId4"/>
    <sheet xmlns:r="http://schemas.openxmlformats.org/officeDocument/2006/relationships" name="BRRRR Snapsh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0x"/>
  </numFmts>
  <fonts count="7">
    <font>
      <name val="Calibri"/>
      <family val="2"/>
      <color theme="1"/>
      <sz val="11"/>
      <scheme val="minor"/>
    </font>
    <font>
      <name val="Calibri"/>
      <b val="1"/>
      <color rgb="00333333"/>
      <sz val="14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4472C4"/>
      <sz val="11"/>
    </font>
    <font>
      <name val="Calibri"/>
      <b val="1"/>
      <color rgb="00595959"/>
      <sz val="11"/>
    </font>
    <font>
      <name val="Calibri"/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8C5A46"/>
      </patternFill>
    </fill>
    <fill>
      <patternFill patternType="solid">
        <fgColor rgb="00FFF2CC"/>
      </patternFill>
    </fill>
    <fill>
      <patternFill patternType="solid">
        <fgColor rgb="008B9270"/>
      </patternFill>
    </fill>
    <fill>
      <patternFill patternType="solid">
        <fgColor rgb="00F3F3F3"/>
      </patternFill>
    </fill>
    <fill>
      <patternFill patternType="solid">
        <fgColor rgb="00D6C2B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164" fontId="4" fillId="5" borderId="1" applyAlignment="1" pivotButton="0" quotePrefix="0" xfId="0">
      <alignment vertical="center"/>
    </xf>
    <xf numFmtId="164" fontId="3" fillId="3" borderId="0" applyAlignment="1" pivotButton="0" quotePrefix="0" xfId="0">
      <alignment vertical="center"/>
    </xf>
    <xf numFmtId="2" fontId="4" fillId="5" borderId="1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6" fontId="4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5" fontId="3" fillId="3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0" fontId="3" fillId="3" borderId="0" applyAlignment="1" pivotButton="0" quotePrefix="0" xfId="0">
      <alignment vertical="center"/>
    </xf>
    <xf numFmtId="3" fontId="3" fillId="3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2" fontId="4" fillId="0" borderId="0" applyAlignment="1" pivotButton="0" quotePrefix="0" xfId="0">
      <alignment vertical="center"/>
    </xf>
    <xf numFmtId="10" fontId="4" fillId="5" borderId="1" applyAlignment="1" pivotButton="0" quotePrefix="0" xfId="0">
      <alignment vertical="center"/>
    </xf>
    <xf numFmtId="10" fontId="0" fillId="5" borderId="1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22" customWidth="1" min="8" max="8"/>
    <col width="14" customWidth="1" min="9" max="9"/>
  </cols>
  <sheetData>
    <row r="1">
      <c r="A1" s="1" t="inlineStr">
        <is>
          <t>BRRRR rental scratch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Property &amp; Purchase</t>
        </is>
      </c>
      <c r="B2" s="2" t="n"/>
      <c r="C2" s="2" t="n"/>
      <c r="D2" s="2" t="n"/>
      <c r="E2" s="2" t="n"/>
      <c r="F2" s="2" t="n"/>
      <c r="G2" s="2" t="n"/>
      <c r="H2" s="3" t="inlineStr">
        <is>
          <t>What matters</t>
        </is>
      </c>
      <c r="I2" s="2" t="n"/>
    </row>
    <row r="3">
      <c r="A3" s="4" t="inlineStr">
        <is>
          <t>Property Address</t>
        </is>
      </c>
      <c r="B3" s="5" t="inlineStr">
        <is>
          <t>1842 Linden Ave</t>
        </is>
      </c>
      <c r="C3" s="2" t="n"/>
      <c r="D3" s="2" t="n"/>
      <c r="E3" s="2" t="n"/>
      <c r="F3" s="2" t="n"/>
      <c r="G3" s="2" t="n"/>
      <c r="H3" s="6" t="inlineStr">
        <is>
          <t>Total basis</t>
        </is>
      </c>
      <c r="I3" s="7">
        <f>B9</f>
        <v/>
      </c>
    </row>
    <row r="4">
      <c r="A4" s="4" t="inlineStr">
        <is>
          <t>Property Type</t>
        </is>
      </c>
      <c r="B4" s="5" t="inlineStr">
        <is>
          <t>Single Family</t>
        </is>
      </c>
      <c r="C4" s="2" t="n"/>
      <c r="D4" s="2" t="n"/>
      <c r="E4" s="2" t="n"/>
      <c r="F4" s="2" t="n"/>
      <c r="G4" s="2" t="n"/>
      <c r="H4" s="6" t="inlineStr">
        <is>
          <t>Equity created</t>
        </is>
      </c>
      <c r="I4" s="7">
        <f>B7-B9</f>
        <v/>
      </c>
    </row>
    <row r="5">
      <c r="A5" s="4" t="inlineStr">
        <is>
          <t>Purchase Price</t>
        </is>
      </c>
      <c r="B5" s="8" t="n">
        <v>168000</v>
      </c>
      <c r="C5" s="2" t="n"/>
      <c r="D5" s="2" t="n"/>
      <c r="E5" s="2" t="n"/>
      <c r="F5" s="2" t="n"/>
      <c r="G5" s="2" t="n"/>
      <c r="H5" s="6" t="inlineStr">
        <is>
          <t>Cash out at refi</t>
        </is>
      </c>
      <c r="I5" s="7">
        <f>B29</f>
        <v/>
      </c>
    </row>
    <row r="6">
      <c r="A6" s="4" t="inlineStr">
        <is>
          <t>Closing Costs</t>
        </is>
      </c>
      <c r="B6" s="8" t="n">
        <v>5800</v>
      </c>
      <c r="C6" s="2" t="n"/>
      <c r="D6" s="2" t="n"/>
      <c r="E6" s="2" t="n"/>
      <c r="F6" s="2" t="n"/>
      <c r="G6" s="2" t="n"/>
      <c r="H6" s="6" t="inlineStr">
        <is>
          <t>Cash left in deal</t>
        </is>
      </c>
      <c r="I6" s="7">
        <f>B30</f>
        <v/>
      </c>
    </row>
    <row r="7">
      <c r="A7" s="4" t="inlineStr">
        <is>
          <t>After Repair Value (ARV)</t>
        </is>
      </c>
      <c r="B7" s="8" t="n">
        <v>255000</v>
      </c>
      <c r="C7" s="2" t="n"/>
      <c r="D7" s="2" t="n"/>
      <c r="E7" s="2" t="n"/>
      <c r="F7" s="2" t="n"/>
      <c r="G7" s="2" t="n"/>
      <c r="H7" s="6" t="inlineStr">
        <is>
          <t>Post-refi DSCR</t>
        </is>
      </c>
      <c r="I7" s="9">
        <f>'Refi &amp; 5-Year Hold'!B19</f>
        <v/>
      </c>
    </row>
    <row r="8">
      <c r="A8" s="4" t="inlineStr">
        <is>
          <t>Total Rehab Budget</t>
        </is>
      </c>
      <c r="B8" s="10">
        <f>'Rehab Budget'!B14</f>
        <v/>
      </c>
      <c r="C8" s="2" t="n"/>
      <c r="D8" s="2" t="n"/>
      <c r="E8" s="2" t="n"/>
      <c r="F8" s="2" t="n"/>
      <c r="G8" s="2" t="n"/>
      <c r="H8" s="6" t="inlineStr">
        <is>
          <t>Year 1 cash flow</t>
        </is>
      </c>
      <c r="I8" s="7">
        <f>'Refi &amp; 5-Year Hold'!B18</f>
        <v/>
      </c>
    </row>
    <row r="9">
      <c r="A9" s="4" t="inlineStr">
        <is>
          <t>Total Basis</t>
        </is>
      </c>
      <c r="B9" s="10">
        <f>B5+B6+B8</f>
        <v/>
      </c>
      <c r="C9" s="2" t="n"/>
      <c r="D9" s="2" t="n"/>
      <c r="E9" s="2" t="n"/>
      <c r="F9" s="2" t="n"/>
      <c r="G9" s="2" t="n"/>
      <c r="H9" s="6" t="inlineStr">
        <is>
          <t>5-year equity multiple</t>
        </is>
      </c>
      <c r="I9" s="11">
        <f>'BRRRR Snapshot'!B28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3" t="inlineStr">
        <is>
          <t>Initial Financing</t>
        </is>
      </c>
      <c r="B11" s="2" t="n"/>
      <c r="C11" s="2" t="n"/>
      <c r="D11" s="2" t="n"/>
      <c r="E11" s="2" t="n"/>
      <c r="F11" s="2" t="n"/>
      <c r="G11" s="2" t="n"/>
      <c r="H11" s="12" t="inlineStr">
        <is>
          <t>Scratch note</t>
        </is>
      </c>
      <c r="I11" s="2" t="n"/>
    </row>
    <row r="12">
      <c r="A12" s="4" t="inlineStr">
        <is>
          <t>Purchase Loan LTV</t>
        </is>
      </c>
      <c r="B12" s="13" t="n">
        <v>0.8</v>
      </c>
      <c r="C12" s="2" t="n"/>
      <c r="D12" s="2" t="n"/>
      <c r="E12" s="2" t="n"/>
      <c r="F12" s="2" t="n"/>
      <c r="G12" s="2" t="n"/>
      <c r="H12" s="14" t="inlineStr">
        <is>
          <t>Check the new payment, not just ARV.</t>
        </is>
      </c>
      <c r="I12" s="2" t="n"/>
    </row>
    <row r="13">
      <c r="A13" s="4" t="inlineStr">
        <is>
          <t>Rehab Draw Coverage</t>
        </is>
      </c>
      <c r="B13" s="13" t="n">
        <v>0.85</v>
      </c>
      <c r="C13" s="2" t="n"/>
      <c r="D13" s="2" t="n"/>
      <c r="E13" s="2" t="n"/>
      <c r="F13" s="2" t="n"/>
      <c r="G13" s="2" t="n"/>
      <c r="H13" s="14" t="inlineStr">
        <is>
          <t>If refi cash is light, the deal's probably not there.</t>
        </is>
      </c>
      <c r="I13" s="2" t="n"/>
    </row>
    <row r="14">
      <c r="A14" s="4" t="inlineStr">
        <is>
          <t>Purchase Loan Amount</t>
        </is>
      </c>
      <c r="B14" s="10">
        <f>B5*B12</f>
        <v/>
      </c>
      <c r="C14" s="2" t="n"/>
      <c r="D14" s="2" t="n"/>
      <c r="E14" s="2" t="n"/>
      <c r="F14" s="2" t="n"/>
      <c r="G14" s="2" t="n"/>
      <c r="H14" s="2" t="n"/>
      <c r="I14" s="2" t="n"/>
    </row>
    <row r="15">
      <c r="A15" s="4" t="inlineStr">
        <is>
          <t>Rehab Draw Amount</t>
        </is>
      </c>
      <c r="B15" s="10">
        <f>B8*B13</f>
        <v/>
      </c>
      <c r="C15" s="2" t="n"/>
      <c r="D15" s="2" t="n"/>
      <c r="E15" s="2" t="n"/>
      <c r="F15" s="2" t="n"/>
      <c r="G15" s="2" t="n"/>
      <c r="H15" s="2" t="n"/>
      <c r="I15" s="2" t="n"/>
    </row>
    <row r="16">
      <c r="A16" s="4" t="inlineStr">
        <is>
          <t>Total Initial Loan</t>
        </is>
      </c>
      <c r="B16" s="10">
        <f>B14+B15</f>
        <v/>
      </c>
      <c r="C16" s="2" t="n"/>
      <c r="D16" s="2" t="n"/>
      <c r="E16" s="2" t="n"/>
      <c r="F16" s="2" t="n"/>
      <c r="G16" s="2" t="n"/>
      <c r="H16" s="2" t="n"/>
      <c r="I16" s="2" t="n"/>
    </row>
    <row r="17">
      <c r="A17" s="4" t="inlineStr">
        <is>
          <t>Rate (interest only)</t>
        </is>
      </c>
      <c r="B17" s="15" t="n">
        <v>0.105</v>
      </c>
      <c r="C17" s="2" t="n"/>
      <c r="D17" s="2" t="n"/>
      <c r="E17" s="2" t="n"/>
      <c r="F17" s="2" t="n"/>
      <c r="G17" s="2" t="n"/>
      <c r="H17" s="2" t="n"/>
      <c r="I17" s="2" t="n"/>
    </row>
    <row r="18">
      <c r="A18" s="4" t="inlineStr">
        <is>
          <t>Points (%)</t>
        </is>
      </c>
      <c r="B18" s="15" t="n">
        <v>0.02</v>
      </c>
      <c r="C18" s="2" t="n"/>
      <c r="D18" s="2" t="n"/>
      <c r="E18" s="2" t="n"/>
      <c r="F18" s="2" t="n"/>
      <c r="G18" s="2" t="n"/>
      <c r="H18" s="2" t="n"/>
      <c r="I18" s="2" t="n"/>
    </row>
    <row r="19">
      <c r="A19" s="4" t="inlineStr">
        <is>
          <t>Monthly Interest Payment</t>
        </is>
      </c>
      <c r="B19" s="10">
        <f>B16*B17/12</f>
        <v/>
      </c>
      <c r="C19" s="2" t="n"/>
      <c r="D19" s="2" t="n"/>
      <c r="E19" s="2" t="n"/>
      <c r="F19" s="2" t="n"/>
      <c r="G19" s="2" t="n"/>
      <c r="H19" s="2" t="n"/>
      <c r="I19" s="2" t="n"/>
    </row>
    <row r="20">
      <c r="A20" s="4" t="inlineStr">
        <is>
          <t>Cash to Close</t>
        </is>
      </c>
      <c r="B20" s="10">
        <f>MAX(0,(B5-B14)+(B8-B15)+B6+(B16*B18))</f>
        <v/>
      </c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3" t="inlineStr">
        <is>
          <t>Refinance Assumptions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4" t="inlineStr">
        <is>
          <t>Refi LTV</t>
        </is>
      </c>
      <c r="B23" s="13" t="n">
        <v>0.75</v>
      </c>
      <c r="C23" s="2" t="n"/>
      <c r="D23" s="2" t="n"/>
      <c r="E23" s="2" t="n"/>
      <c r="F23" s="2" t="n"/>
      <c r="G23" s="2" t="n"/>
      <c r="H23" s="2" t="n"/>
      <c r="I23" s="2" t="n"/>
    </row>
    <row r="24">
      <c r="A24" s="4" t="inlineStr">
        <is>
          <t>Refi Loan Amount</t>
        </is>
      </c>
      <c r="B24" s="10">
        <f>B7*B23</f>
        <v/>
      </c>
      <c r="C24" s="2" t="n"/>
      <c r="D24" s="2" t="n"/>
      <c r="E24" s="2" t="n"/>
      <c r="F24" s="2" t="n"/>
      <c r="G24" s="2" t="n"/>
      <c r="H24" s="2" t="n"/>
      <c r="I24" s="2" t="n"/>
    </row>
    <row r="25">
      <c r="A25" s="4" t="inlineStr">
        <is>
          <t>Refi Rate</t>
        </is>
      </c>
      <c r="B25" s="15" t="n">
        <v>0.0725</v>
      </c>
      <c r="C25" s="2" t="n"/>
      <c r="D25" s="2" t="n"/>
      <c r="E25" s="2" t="n"/>
      <c r="F25" s="2" t="n"/>
      <c r="G25" s="2" t="n"/>
      <c r="H25" s="2" t="n"/>
      <c r="I25" s="2" t="n"/>
    </row>
    <row r="26">
      <c r="A26" s="4" t="inlineStr">
        <is>
          <t>Refi Term (years)</t>
        </is>
      </c>
      <c r="B26" s="16" t="n">
        <v>30</v>
      </c>
      <c r="C26" s="2" t="n"/>
      <c r="D26" s="2" t="n"/>
      <c r="E26" s="2" t="n"/>
      <c r="F26" s="2" t="n"/>
      <c r="G26" s="2" t="n"/>
      <c r="H26" s="2" t="n"/>
      <c r="I26" s="2" t="n"/>
    </row>
    <row r="27">
      <c r="A27" s="4" t="inlineStr">
        <is>
          <t>Refi Closing Costs</t>
        </is>
      </c>
      <c r="B27" s="8" t="n">
        <v>4500</v>
      </c>
      <c r="C27" s="2" t="n"/>
      <c r="D27" s="2" t="n"/>
      <c r="E27" s="2" t="n"/>
      <c r="F27" s="2" t="n"/>
      <c r="G27" s="2" t="n"/>
      <c r="H27" s="2" t="n"/>
      <c r="I27" s="2" t="n"/>
    </row>
    <row r="28">
      <c r="A28" s="4" t="inlineStr">
        <is>
          <t>Monthly P&amp;I After Refi</t>
        </is>
      </c>
      <c r="B28" s="10">
        <f>PMT(B25/12,B26*12,-B24)</f>
        <v/>
      </c>
      <c r="C28" s="2" t="n"/>
      <c r="D28" s="2" t="n"/>
      <c r="E28" s="2" t="n"/>
      <c r="F28" s="2" t="n"/>
      <c r="G28" s="2" t="n"/>
      <c r="H28" s="2" t="n"/>
      <c r="I28" s="2" t="n"/>
    </row>
    <row r="29">
      <c r="A29" s="4" t="inlineStr">
        <is>
          <t>Cash Out at Refi</t>
        </is>
      </c>
      <c r="B29" s="10">
        <f>B24-B16-B27</f>
        <v/>
      </c>
      <c r="C29" s="2" t="n"/>
      <c r="D29" s="2" t="n"/>
      <c r="E29" s="2" t="n"/>
      <c r="F29" s="2" t="n"/>
      <c r="G29" s="2" t="n"/>
      <c r="H29" s="2" t="n"/>
      <c r="I29" s="2" t="n"/>
    </row>
    <row r="30">
      <c r="A30" s="4" t="inlineStr">
        <is>
          <t>Cash Left in Deal</t>
        </is>
      </c>
      <c r="B30" s="10">
        <f>B20-B29</f>
        <v/>
      </c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3" t="inlineStr">
        <is>
          <t>Hold / Exit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4" t="inlineStr">
        <is>
          <t>Hold Period (years)</t>
        </is>
      </c>
      <c r="B33" s="16" t="n">
        <v>5</v>
      </c>
      <c r="C33" s="2" t="n"/>
      <c r="D33" s="2" t="n"/>
      <c r="E33" s="2" t="n"/>
      <c r="F33" s="2" t="n"/>
      <c r="G33" s="2" t="n"/>
      <c r="H33" s="2" t="n"/>
      <c r="I33" s="2" t="n"/>
    </row>
    <row r="34">
      <c r="A34" s="4" t="inlineStr">
        <is>
          <t>Annual Rent Growth</t>
        </is>
      </c>
      <c r="B34" s="13" t="n">
        <v>0.03</v>
      </c>
      <c r="C34" s="2" t="n"/>
      <c r="D34" s="2" t="n"/>
      <c r="E34" s="2" t="n"/>
      <c r="F34" s="2" t="n"/>
      <c r="G34" s="2" t="n"/>
      <c r="H34" s="2" t="n"/>
      <c r="I34" s="2" t="n"/>
    </row>
    <row r="35">
      <c r="A35" s="4" t="inlineStr">
        <is>
          <t>Annual Expense Growth</t>
        </is>
      </c>
      <c r="B35" s="13" t="n">
        <v>0.025</v>
      </c>
      <c r="C35" s="2" t="n"/>
      <c r="D35" s="2" t="n"/>
      <c r="E35" s="2" t="n"/>
      <c r="F35" s="2" t="n"/>
      <c r="G35" s="2" t="n"/>
      <c r="H35" s="2" t="n"/>
      <c r="I35" s="2" t="n"/>
    </row>
    <row r="36">
      <c r="A36" s="4" t="inlineStr">
        <is>
          <t>Exit Cap Rate</t>
        </is>
      </c>
      <c r="B36" s="15" t="n">
        <v>0.0675</v>
      </c>
      <c r="C36" s="2" t="n"/>
      <c r="D36" s="2" t="n"/>
      <c r="E36" s="2" t="n"/>
      <c r="F36" s="2" t="n"/>
      <c r="G36" s="2" t="n"/>
      <c r="H36" s="2" t="n"/>
      <c r="I36" s="2" t="n"/>
    </row>
    <row r="37">
      <c r="A37" s="4" t="inlineStr">
        <is>
          <t>Selling Costs (%)</t>
        </is>
      </c>
      <c r="B37" s="13" t="n">
        <v>0.04</v>
      </c>
      <c r="C37" s="2" t="n"/>
      <c r="D37" s="2" t="n"/>
      <c r="E37" s="2" t="n"/>
      <c r="F37" s="2" t="n"/>
      <c r="G37" s="2" t="n"/>
      <c r="H37" s="2" t="n"/>
      <c r="I37" s="2" t="n"/>
    </row>
  </sheetData>
  <dataValidations count="1">
    <dataValidation sqref="B4" showDropDown="0" showInputMessage="0" showErrorMessage="0" allowBlank="1" type="list">
      <formula1>"Single Family,Duplex,Triplex,Small Multifamily"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Rehab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Line Item</t>
        </is>
      </c>
      <c r="B2" s="3" t="inlineStr">
        <is>
          <t>Budget</t>
        </is>
      </c>
      <c r="C2" s="3" t="inlineStr">
        <is>
          <t>% of Rehab</t>
        </is>
      </c>
      <c r="D2" s="3" t="inlineStr">
        <is>
          <t>Draw Month</t>
        </is>
      </c>
      <c r="E2" s="3" t="inlineStr">
        <is>
          <t>Notes</t>
        </is>
      </c>
      <c r="F2" s="2" t="n"/>
      <c r="G2" s="3" t="inlineStr">
        <is>
          <t>Draw Schedule</t>
        </is>
      </c>
      <c r="H2" s="2" t="n"/>
      <c r="I2" s="2" t="n"/>
      <c r="J2" s="2" t="n"/>
      <c r="K2" s="2" t="n"/>
      <c r="L2" s="2" t="n"/>
    </row>
    <row r="3">
      <c r="A3" s="5" t="inlineStr">
        <is>
          <t>Demo / cleanout</t>
        </is>
      </c>
      <c r="B3" s="8" t="n">
        <v>4200</v>
      </c>
      <c r="C3" s="17">
        <f>IF($B$14=0,0,B3/$B$14)</f>
        <v/>
      </c>
      <c r="D3" s="16" t="n">
        <v>1</v>
      </c>
      <c r="E3" s="5" t="inlineStr"/>
      <c r="F3" s="2" t="n"/>
      <c r="G3" s="18" t="inlineStr">
        <is>
          <t>Month 1</t>
        </is>
      </c>
      <c r="H3" s="18" t="inlineStr">
        <is>
          <t>Month 2</t>
        </is>
      </c>
      <c r="I3" s="18" t="inlineStr">
        <is>
          <t>Month 3</t>
        </is>
      </c>
      <c r="J3" s="18" t="inlineStr">
        <is>
          <t>Month 4</t>
        </is>
      </c>
      <c r="K3" s="18" t="inlineStr">
        <is>
          <t>Month 5</t>
        </is>
      </c>
      <c r="L3" s="18" t="inlineStr">
        <is>
          <t>Month 6</t>
        </is>
      </c>
    </row>
    <row r="4">
      <c r="A4" s="5" t="inlineStr">
        <is>
          <t>Roof</t>
        </is>
      </c>
      <c r="B4" s="8" t="n">
        <v>12000</v>
      </c>
      <c r="C4" s="17">
        <f>IF($B$14=0,0,B4/$B$14)</f>
        <v/>
      </c>
      <c r="D4" s="16" t="n">
        <v>2</v>
      </c>
      <c r="E4" s="5" t="inlineStr"/>
      <c r="F4" s="2" t="n"/>
      <c r="G4" s="10">
        <f>SUMIF($D$3:$D$12,1,$B$3:$B$12)</f>
        <v/>
      </c>
      <c r="H4" s="10">
        <f>SUMIF($D$3:$D$12,2,$B$3:$B$12)</f>
        <v/>
      </c>
      <c r="I4" s="10">
        <f>SUMIF($D$3:$D$12,3,$B$3:$B$12)</f>
        <v/>
      </c>
      <c r="J4" s="10">
        <f>SUMIF($D$3:$D$12,4,$B$3:$B$12)</f>
        <v/>
      </c>
      <c r="K4" s="10">
        <f>SUMIF($D$3:$D$12,5,$B$3:$B$12)</f>
        <v/>
      </c>
      <c r="L4" s="10">
        <f>SUMIF($D$3:$D$12,6,$B$3:$B$12)</f>
        <v/>
      </c>
    </row>
    <row r="5">
      <c r="A5" s="5" t="inlineStr">
        <is>
          <t>HVAC / mechanical</t>
        </is>
      </c>
      <c r="B5" s="8" t="n">
        <v>7000</v>
      </c>
      <c r="C5" s="17">
        <f>IF($B$14=0,0,B5/$B$14)</f>
        <v/>
      </c>
      <c r="D5" s="16" t="n">
        <v>2</v>
      </c>
      <c r="E5" s="5" t="inlineStr"/>
      <c r="F5" s="2" t="n"/>
      <c r="G5" s="10">
        <f>SUM(G4:L4)</f>
        <v/>
      </c>
      <c r="H5" s="2" t="n"/>
      <c r="I5" s="2" t="n"/>
      <c r="J5" s="2" t="n"/>
      <c r="K5" s="2" t="n"/>
      <c r="L5" s="2" t="n"/>
    </row>
    <row r="6">
      <c r="A6" s="5" t="inlineStr">
        <is>
          <t>Kitchen</t>
        </is>
      </c>
      <c r="B6" s="8" t="n">
        <v>9500</v>
      </c>
      <c r="C6" s="17">
        <f>IF($B$14=0,0,B6/$B$14)</f>
        <v/>
      </c>
      <c r="D6" s="16" t="n">
        <v>3</v>
      </c>
      <c r="E6" s="5" t="inlineStr"/>
      <c r="F6" s="2" t="n"/>
      <c r="G6" s="2" t="n"/>
      <c r="H6" s="2" t="n"/>
      <c r="I6" s="2" t="n"/>
      <c r="J6" s="2" t="n"/>
      <c r="K6" s="2" t="n"/>
      <c r="L6" s="2" t="n"/>
    </row>
    <row r="7">
      <c r="A7" s="5" t="inlineStr">
        <is>
          <t>Bath</t>
        </is>
      </c>
      <c r="B7" s="8" t="n">
        <v>6200</v>
      </c>
      <c r="C7" s="17">
        <f>IF($B$14=0,0,B7/$B$14)</f>
        <v/>
      </c>
      <c r="D7" s="16" t="n">
        <v>3</v>
      </c>
      <c r="E7" s="5" t="inlineStr"/>
      <c r="F7" s="2" t="n"/>
      <c r="G7" s="2" t="n"/>
      <c r="H7" s="2" t="n"/>
      <c r="I7" s="2" t="n"/>
      <c r="J7" s="2" t="n"/>
      <c r="K7" s="2" t="n"/>
      <c r="L7" s="2" t="n"/>
    </row>
    <row r="8">
      <c r="A8" s="5" t="inlineStr">
        <is>
          <t>Flooring</t>
        </is>
      </c>
      <c r="B8" s="8" t="n">
        <v>5400</v>
      </c>
      <c r="C8" s="17">
        <f>IF($B$14=0,0,B8/$B$14)</f>
        <v/>
      </c>
      <c r="D8" s="16" t="n">
        <v>4</v>
      </c>
      <c r="E8" s="5" t="inlineStr"/>
      <c r="F8" s="2" t="n"/>
      <c r="G8" s="2" t="n"/>
      <c r="H8" s="2" t="n"/>
      <c r="I8" s="2" t="n"/>
      <c r="J8" s="2" t="n"/>
      <c r="K8" s="2" t="n"/>
      <c r="L8" s="2" t="n"/>
    </row>
    <row r="9">
      <c r="A9" s="5" t="inlineStr">
        <is>
          <t>Paint</t>
        </is>
      </c>
      <c r="B9" s="8" t="n">
        <v>3600</v>
      </c>
      <c r="C9" s="17">
        <f>IF($B$14=0,0,B9/$B$14)</f>
        <v/>
      </c>
      <c r="D9" s="16" t="n">
        <v>4</v>
      </c>
      <c r="E9" s="5" t="inlineStr"/>
      <c r="F9" s="2" t="n"/>
      <c r="G9" s="2" t="n"/>
      <c r="H9" s="2" t="n"/>
      <c r="I9" s="2" t="n"/>
      <c r="J9" s="2" t="n"/>
      <c r="K9" s="2" t="n"/>
      <c r="L9" s="2" t="n"/>
    </row>
    <row r="10">
      <c r="A10" s="5" t="inlineStr">
        <is>
          <t>Exterior / windows</t>
        </is>
      </c>
      <c r="B10" s="8" t="n">
        <v>4300</v>
      </c>
      <c r="C10" s="17">
        <f>IF($B$14=0,0,B10/$B$14)</f>
        <v/>
      </c>
      <c r="D10" s="16" t="n">
        <v>5</v>
      </c>
      <c r="E10" s="5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5" t="inlineStr">
        <is>
          <t>Landscaping</t>
        </is>
      </c>
      <c r="B11" s="8" t="n">
        <v>1800</v>
      </c>
      <c r="C11" s="17">
        <f>IF($B$14=0,0,B11/$B$14)</f>
        <v/>
      </c>
      <c r="D11" s="16" t="n">
        <v>5</v>
      </c>
      <c r="E11" s="5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5" t="inlineStr">
        <is>
          <t>Contingency</t>
        </is>
      </c>
      <c r="B12" s="8" t="n">
        <v>6000</v>
      </c>
      <c r="C12" s="17">
        <f>IF($B$14=0,0,B12/$B$14)</f>
        <v/>
      </c>
      <c r="D12" s="16" t="n">
        <v>6</v>
      </c>
      <c r="E12" s="5" t="inlineStr">
        <is>
          <t>Leave this in</t>
        </is>
      </c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12" t="inlineStr">
        <is>
          <t>Total Rehab</t>
        </is>
      </c>
      <c r="B14" s="10">
        <f>SUM(B3:B12)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12" t="inlineStr">
        <is>
          <t>Avg Monthly Draw</t>
        </is>
      </c>
      <c r="B15" s="10">
        <f>B14/6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dataValidations count="1">
    <dataValidation sqref="D3:D12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Stabilized Rental</t>
        </is>
      </c>
      <c r="B1" s="2" t="n"/>
    </row>
    <row r="2">
      <c r="A2" s="2" t="n"/>
      <c r="B2" s="2" t="n"/>
    </row>
    <row r="3">
      <c r="A3" s="4" t="inlineStr">
        <is>
          <t>Monthly Rent</t>
        </is>
      </c>
      <c r="B3" s="8" t="n">
        <v>2250</v>
      </c>
    </row>
    <row r="4">
      <c r="A4" s="4" t="inlineStr">
        <is>
          <t>Other Income</t>
        </is>
      </c>
      <c r="B4" s="8" t="n">
        <v>35</v>
      </c>
    </row>
    <row r="5">
      <c r="A5" s="4" t="inlineStr">
        <is>
          <t>Vacancy (%)</t>
        </is>
      </c>
      <c r="B5" s="13" t="n">
        <v>0.05</v>
      </c>
    </row>
    <row r="6">
      <c r="A6" s="4" t="inlineStr">
        <is>
          <t>Management (%)</t>
        </is>
      </c>
      <c r="B6" s="13" t="n">
        <v>0.08</v>
      </c>
    </row>
    <row r="7">
      <c r="A7" s="4" t="inlineStr">
        <is>
          <t>Maintenance Reserve (%)</t>
        </is>
      </c>
      <c r="B7" s="13" t="n">
        <v>0.07000000000000001</v>
      </c>
    </row>
    <row r="8">
      <c r="A8" s="4" t="inlineStr">
        <is>
          <t>CapEx Reserve (%)</t>
        </is>
      </c>
      <c r="B8" s="13" t="n">
        <v>0.05</v>
      </c>
    </row>
    <row r="9">
      <c r="A9" s="4" t="inlineStr">
        <is>
          <t>Property Tax (monthly)</t>
        </is>
      </c>
      <c r="B9" s="8" t="n">
        <v>210</v>
      </c>
    </row>
    <row r="10">
      <c r="A10" s="4" t="inlineStr">
        <is>
          <t>Insurance (monthly)</t>
        </is>
      </c>
      <c r="B10" s="8" t="n">
        <v>95</v>
      </c>
    </row>
    <row r="11">
      <c r="A11" s="4" t="inlineStr">
        <is>
          <t>HOA</t>
        </is>
      </c>
      <c r="B11" s="8" t="n">
        <v>0</v>
      </c>
    </row>
    <row r="12">
      <c r="A12" s="4" t="inlineStr">
        <is>
          <t>Utilities / lawn / misc</t>
        </is>
      </c>
      <c r="B12" s="8" t="n">
        <v>80</v>
      </c>
    </row>
    <row r="13">
      <c r="A13" s="2" t="n"/>
      <c r="B13" s="2" t="n"/>
    </row>
    <row r="14">
      <c r="A14" s="4" t="inlineStr">
        <is>
          <t>Annual Gross Scheduled Rent</t>
        </is>
      </c>
      <c r="B14" s="10">
        <f>B3*12</f>
        <v/>
      </c>
    </row>
    <row r="15">
      <c r="A15" s="4" t="inlineStr">
        <is>
          <t>Annual Other Income</t>
        </is>
      </c>
      <c r="B15" s="10">
        <f>B4*12</f>
        <v/>
      </c>
    </row>
    <row r="16">
      <c r="A16" s="4" t="inlineStr">
        <is>
          <t>Gross Income</t>
        </is>
      </c>
      <c r="B16" s="10">
        <f>B14+B15</f>
        <v/>
      </c>
    </row>
    <row r="17">
      <c r="A17" s="4" t="inlineStr">
        <is>
          <t>Vacancy Loss</t>
        </is>
      </c>
      <c r="B17" s="10">
        <f>B16*B5*-1</f>
        <v/>
      </c>
    </row>
    <row r="18">
      <c r="A18" s="4" t="inlineStr">
        <is>
          <t>Effective Gross Income</t>
        </is>
      </c>
      <c r="B18" s="10">
        <f>B16+B17</f>
        <v/>
      </c>
    </row>
    <row r="19">
      <c r="A19" s="4" t="inlineStr">
        <is>
          <t>Management Fee</t>
        </is>
      </c>
      <c r="B19" s="10">
        <f>B18*B6*-1</f>
        <v/>
      </c>
    </row>
    <row r="20">
      <c r="A20" s="4" t="inlineStr">
        <is>
          <t>Maintenance Reserve</t>
        </is>
      </c>
      <c r="B20" s="10">
        <f>B18*B7*-1</f>
        <v/>
      </c>
    </row>
    <row r="21">
      <c r="A21" s="4" t="inlineStr">
        <is>
          <t>CapEx Reserve</t>
        </is>
      </c>
      <c r="B21" s="10">
        <f>B18*B8*-1</f>
        <v/>
      </c>
    </row>
    <row r="22">
      <c r="A22" s="4" t="inlineStr">
        <is>
          <t>Fixed Annual Expenses</t>
        </is>
      </c>
      <c r="B22" s="10">
        <f>SUM(B9:B12)*12</f>
        <v/>
      </c>
    </row>
    <row r="23">
      <c r="A23" s="4" t="inlineStr">
        <is>
          <t>Total Operating Expenses</t>
        </is>
      </c>
      <c r="B23" s="10">
        <f>ABS(SUM(B19:B21))+B22</f>
        <v/>
      </c>
    </row>
    <row r="24">
      <c r="A24" s="4" t="inlineStr">
        <is>
          <t>Annual NOI</t>
        </is>
      </c>
      <c r="B24" s="10">
        <f>B18-B23</f>
        <v/>
      </c>
    </row>
    <row r="25">
      <c r="A25" s="4" t="inlineStr">
        <is>
          <t>Monthly NOI</t>
        </is>
      </c>
      <c r="B25" s="10">
        <f>B24/12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Refi &amp; 5-Year Hold</t>
        </is>
      </c>
      <c r="B1" s="2" t="n"/>
      <c r="C1" s="2" t="n"/>
      <c r="D1" s="2" t="n"/>
      <c r="E1" s="2" t="n"/>
      <c r="F1" s="2" t="n"/>
    </row>
    <row r="2">
      <c r="A2" s="3" t="inlineStr">
        <is>
          <t>Refi Math</t>
        </is>
      </c>
      <c r="B2" s="2" t="n"/>
      <c r="C2" s="2" t="n"/>
      <c r="D2" s="2" t="n"/>
      <c r="E2" s="2" t="n"/>
      <c r="F2" s="2" t="n"/>
    </row>
    <row r="3">
      <c r="A3" s="4" t="inlineStr">
        <is>
          <t>Refi loan amount</t>
        </is>
      </c>
      <c r="B3" s="10">
        <f>'Deal Setup'!B24</f>
        <v/>
      </c>
      <c r="C3" s="2" t="n"/>
      <c r="D3" s="2" t="n"/>
      <c r="E3" s="2" t="n"/>
      <c r="F3" s="2" t="n"/>
    </row>
    <row r="4">
      <c r="A4" s="4" t="inlineStr">
        <is>
          <t>Hard money payoff</t>
        </is>
      </c>
      <c r="B4" s="10">
        <f>'Deal Setup'!B16</f>
        <v/>
      </c>
      <c r="C4" s="2" t="n"/>
      <c r="D4" s="2" t="n"/>
      <c r="E4" s="2" t="n"/>
      <c r="F4" s="2" t="n"/>
    </row>
    <row r="5">
      <c r="A5" s="4" t="inlineStr">
        <is>
          <t>Refi closing costs</t>
        </is>
      </c>
      <c r="B5" s="10">
        <f>'Deal Setup'!B27</f>
        <v/>
      </c>
      <c r="C5" s="2" t="n"/>
      <c r="D5" s="2" t="n"/>
      <c r="E5" s="2" t="n"/>
      <c r="F5" s="2" t="n"/>
    </row>
    <row r="6">
      <c r="A6" s="4" t="inlineStr">
        <is>
          <t>Cash out at refi</t>
        </is>
      </c>
      <c r="B6" s="10">
        <f>B3-B4-B5</f>
        <v/>
      </c>
      <c r="C6" s="2" t="n"/>
      <c r="D6" s="2" t="n"/>
      <c r="E6" s="2" t="n"/>
      <c r="F6" s="2" t="n"/>
    </row>
    <row r="7">
      <c r="A7" s="4" t="inlineStr">
        <is>
          <t>Cash left in deal</t>
        </is>
      </c>
      <c r="B7" s="10">
        <f>'Deal Setup'!B20-B6</f>
        <v/>
      </c>
      <c r="C7" s="2" t="n"/>
      <c r="D7" s="2" t="n"/>
      <c r="E7" s="2" t="n"/>
      <c r="F7" s="2" t="n"/>
    </row>
    <row r="8">
      <c r="A8" s="4" t="inlineStr">
        <is>
          <t>Post-refi DSCR</t>
        </is>
      </c>
      <c r="B8" s="19">
        <f>IF('Deal Setup'!B28*12=0,0,'Stabilized Rental'!B24/('Deal Setup'!B28*12))</f>
        <v/>
      </c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3" t="inlineStr">
        <is>
          <t>Line Item</t>
        </is>
      </c>
      <c r="B11" s="3" t="inlineStr">
        <is>
          <t>Year 1</t>
        </is>
      </c>
      <c r="C11" s="3" t="inlineStr">
        <is>
          <t>Year 2</t>
        </is>
      </c>
      <c r="D11" s="3" t="inlineStr">
        <is>
          <t>Year 3</t>
        </is>
      </c>
      <c r="E11" s="3" t="inlineStr">
        <is>
          <t>Year 4</t>
        </is>
      </c>
      <c r="F11" s="3" t="inlineStr">
        <is>
          <t>Year 5</t>
        </is>
      </c>
    </row>
    <row r="12">
      <c r="A12" s="4" t="inlineStr">
        <is>
          <t>Gross income</t>
        </is>
      </c>
      <c r="B12" s="10">
        <f>'Stabilized Rental'!B16</f>
        <v/>
      </c>
      <c r="C12" s="10">
        <f>B12*(1+'Deal Setup'!$B$34)</f>
        <v/>
      </c>
      <c r="D12" s="10">
        <f>C12*(1+'Deal Setup'!$B$34)</f>
        <v/>
      </c>
      <c r="E12" s="10">
        <f>D12*(1+'Deal Setup'!$B$34)</f>
        <v/>
      </c>
      <c r="F12" s="10">
        <f>E12*(1+'Deal Setup'!$B$34)</f>
        <v/>
      </c>
    </row>
    <row r="13">
      <c r="A13" s="4" t="inlineStr">
        <is>
          <t>Vacancy loss</t>
        </is>
      </c>
      <c r="B13" s="10">
        <f>'Stabilized Rental'!B17</f>
        <v/>
      </c>
      <c r="C13" s="10">
        <f>C12*'Stabilized Rental'!$B$5*-1</f>
        <v/>
      </c>
      <c r="D13" s="10">
        <f>D12*'Stabilized Rental'!$B$5*-1</f>
        <v/>
      </c>
      <c r="E13" s="10">
        <f>E12*'Stabilized Rental'!$B$5*-1</f>
        <v/>
      </c>
      <c r="F13" s="10">
        <f>F12*'Stabilized Rental'!$B$5*-1</f>
        <v/>
      </c>
    </row>
    <row r="14">
      <c r="A14" s="4" t="inlineStr">
        <is>
          <t>Effective gross income</t>
        </is>
      </c>
      <c r="B14" s="10">
        <f>'Stabilized Rental'!B18</f>
        <v/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</row>
    <row r="15">
      <c r="A15" s="4" t="inlineStr">
        <is>
          <t>Operating expenses</t>
        </is>
      </c>
      <c r="B15" s="10">
        <f>'Stabilized Rental'!B23</f>
        <v/>
      </c>
      <c r="C15" s="10">
        <f>B15*(1+'Deal Setup'!$B$35)</f>
        <v/>
      </c>
      <c r="D15" s="10">
        <f>C15*(1+'Deal Setup'!$B$35)</f>
        <v/>
      </c>
      <c r="E15" s="10">
        <f>D15*(1+'Deal Setup'!$B$35)</f>
        <v/>
      </c>
      <c r="F15" s="10">
        <f>E15*(1+'Deal Setup'!$B$35)</f>
        <v/>
      </c>
    </row>
    <row r="16">
      <c r="A16" s="4" t="inlineStr">
        <is>
          <t>NOI</t>
        </is>
      </c>
      <c r="B16" s="10">
        <f>'Stabilized Rental'!B24</f>
        <v/>
      </c>
      <c r="C16" s="10">
        <f>C14-C15</f>
        <v/>
      </c>
      <c r="D16" s="10">
        <f>D14-D15</f>
        <v/>
      </c>
      <c r="E16" s="10">
        <f>E14-E15</f>
        <v/>
      </c>
      <c r="F16" s="10">
        <f>F14-F15</f>
        <v/>
      </c>
    </row>
    <row r="17">
      <c r="A17" s="4" t="inlineStr">
        <is>
          <t>Debt service</t>
        </is>
      </c>
      <c r="B17" s="10">
        <f>'Deal Setup'!B28*12</f>
        <v/>
      </c>
      <c r="C17" s="10">
        <f>'Deal Setup'!$B$28*12</f>
        <v/>
      </c>
      <c r="D17" s="10">
        <f>'Deal Setup'!$B$28*12</f>
        <v/>
      </c>
      <c r="E17" s="10">
        <f>'Deal Setup'!$B$28*12</f>
        <v/>
      </c>
      <c r="F17" s="10">
        <f>'Deal Setup'!$B$28*12</f>
        <v/>
      </c>
    </row>
    <row r="18">
      <c r="A18" s="4" t="inlineStr">
        <is>
          <t>Cash flow after debt</t>
        </is>
      </c>
      <c r="B18" s="10">
        <f>B16-B17</f>
        <v/>
      </c>
      <c r="C18" s="10">
        <f>C16-C17</f>
        <v/>
      </c>
      <c r="D18" s="10">
        <f>D16-D17</f>
        <v/>
      </c>
      <c r="E18" s="10">
        <f>E16-E17</f>
        <v/>
      </c>
      <c r="F18" s="10">
        <f>F16-F17</f>
        <v/>
      </c>
    </row>
    <row r="19">
      <c r="A19" s="4" t="inlineStr">
        <is>
          <t>DSCR</t>
        </is>
      </c>
      <c r="B19" s="19">
        <f>IF(B17=0,0,B16/B17)</f>
        <v/>
      </c>
      <c r="C19" s="19">
        <f>IF(C17=0,0,C16/C17)</f>
        <v/>
      </c>
      <c r="D19" s="19">
        <f>IF(D17=0,0,D16/D17)</f>
        <v/>
      </c>
      <c r="E19" s="19">
        <f>IF(E17=0,0,E16/E17)</f>
        <v/>
      </c>
      <c r="F19" s="19">
        <f>IF(F17=0,0,F16/F17)</f>
        <v/>
      </c>
    </row>
  </sheetData>
  <conditionalFormatting sqref="B19:F19">
    <cfRule type="cellIs" priority="1" operator="lessThan" dxfId="0">
      <formula>1.20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BRRRR Snapshot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Deal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6" t="inlineStr">
        <is>
          <t>Purchase price</t>
        </is>
      </c>
      <c r="B3" s="7">
        <f>'Deal Setup'!B5</f>
        <v/>
      </c>
      <c r="C3" s="2" t="n"/>
      <c r="D3" s="12" t="inlineStr">
        <is>
          <t>IRR Cash Flow</t>
        </is>
      </c>
      <c r="E3" s="2" t="n"/>
      <c r="F3" s="2" t="n"/>
      <c r="G3" s="2" t="n"/>
      <c r="H3" s="2" t="n"/>
      <c r="I3" s="2" t="n"/>
      <c r="J3" s="2" t="n"/>
    </row>
    <row r="4">
      <c r="A4" s="6" t="inlineStr">
        <is>
          <t>Rehab</t>
        </is>
      </c>
      <c r="B4" s="7">
        <f>'Deal Setup'!B8</f>
        <v/>
      </c>
      <c r="C4" s="2" t="n"/>
      <c r="D4" s="18" t="inlineStr">
        <is>
          <t>Initial</t>
        </is>
      </c>
      <c r="E4" s="18" t="inlineStr">
        <is>
          <t>Refi</t>
        </is>
      </c>
      <c r="F4" s="18" t="inlineStr">
        <is>
          <t>Year 1</t>
        </is>
      </c>
      <c r="G4" s="18" t="inlineStr">
        <is>
          <t>Year 2</t>
        </is>
      </c>
      <c r="H4" s="18" t="inlineStr">
        <is>
          <t>Year 3</t>
        </is>
      </c>
      <c r="I4" s="18" t="inlineStr">
        <is>
          <t>Year 4</t>
        </is>
      </c>
      <c r="J4" s="18" t="inlineStr">
        <is>
          <t>Year 5 + Sale</t>
        </is>
      </c>
    </row>
    <row r="5">
      <c r="A5" s="6" t="inlineStr">
        <is>
          <t>Total basis</t>
        </is>
      </c>
      <c r="B5" s="7">
        <f>'Deal Setup'!B9</f>
        <v/>
      </c>
      <c r="C5" s="2" t="n"/>
      <c r="D5" s="10">
        <f>-B11</f>
        <v/>
      </c>
      <c r="E5" s="10">
        <f>B12</f>
        <v/>
      </c>
      <c r="F5" s="10">
        <f>'Refi &amp; 5-Year Hold'!B18</f>
        <v/>
      </c>
      <c r="G5" s="10">
        <f>'Refi &amp; 5-Year Hold'!C18</f>
        <v/>
      </c>
      <c r="H5" s="10">
        <f>'Refi &amp; 5-Year Hold'!D18</f>
        <v/>
      </c>
      <c r="I5" s="10">
        <f>'Refi &amp; 5-Year Hold'!E18</f>
        <v/>
      </c>
      <c r="J5" s="10">
        <f>'Refi &amp; 5-Year Hold'!F18+B22</f>
        <v/>
      </c>
    </row>
    <row r="6">
      <c r="A6" s="6" t="inlineStr">
        <is>
          <t>ARV</t>
        </is>
      </c>
      <c r="B6" s="7">
        <f>'Deal Setup'!B7</f>
        <v/>
      </c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6" t="inlineStr">
        <is>
          <t>Equity created</t>
        </is>
      </c>
      <c r="B7" s="7">
        <f>B6-B5</f>
        <v/>
      </c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inlineStr">
        <is>
          <t>Refi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6" t="inlineStr">
        <is>
          <t>Initial cash in</t>
        </is>
      </c>
      <c r="B11" s="7">
        <f>'Deal Setup'!B20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6" t="inlineStr">
        <is>
          <t>Cash out at refi</t>
        </is>
      </c>
      <c r="B12" s="7">
        <f>'Refi &amp; 5-Year Hold'!B6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6" t="inlineStr">
        <is>
          <t>Cash left in deal</t>
        </is>
      </c>
      <c r="B13" s="7">
        <f>'Refi &amp; 5-Year Hold'!B7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6" t="inlineStr">
        <is>
          <t>Year 1 cash flow</t>
        </is>
      </c>
      <c r="B14" s="7">
        <f>'Refi &amp; 5-Year Hold'!B18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6" t="inlineStr">
        <is>
          <t>Cash-on-cash return</t>
        </is>
      </c>
      <c r="B15" s="20">
        <f>IF(B13&lt;=0,0,B14/B13)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inlineStr">
        <is>
          <t>Exit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6" t="inlineStr">
        <is>
          <t>Year 5 NOI</t>
        </is>
      </c>
      <c r="B18" s="7">
        <f>'Refi &amp; 5-Year Hold'!F16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6" t="inlineStr">
        <is>
          <t>Exit value</t>
        </is>
      </c>
      <c r="B19" s="7">
        <f>IF('Deal Setup'!B36=0,0,B18/'Deal Setup'!B36)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6" t="inlineStr">
        <is>
          <t>Selling costs</t>
        </is>
      </c>
      <c r="B20" s="7">
        <f>B19*'Deal Setup'!B37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6" t="inlineStr">
        <is>
          <t>Loan payoff</t>
        </is>
      </c>
      <c r="B21" s="7">
        <f>-FV('Deal Setup'!B25/12,'Deal Setup'!B33*12,'Deal Setup'!B28,'Deal Setup'!B24)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6" t="inlineStr">
        <is>
          <t>Net sale proceeds</t>
        </is>
      </c>
      <c r="B22" s="7">
        <f>B19-B20-B21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inlineStr">
        <is>
          <t>Return Math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6" t="inlineStr">
        <is>
          <t>5-year cash flow total</t>
        </is>
      </c>
      <c r="B26" s="7">
        <f>SUM('Refi &amp; 5-Year Hold'!B18:F18)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6" t="inlineStr">
        <is>
          <t>Total cash back</t>
        </is>
      </c>
      <c r="B27" s="7">
        <f>B12+B22+B26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6" t="inlineStr">
        <is>
          <t>5-year equity multiple</t>
        </is>
      </c>
      <c r="B28" s="11">
        <f>IF(B11=0,0,B27/B11)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6" t="inlineStr">
        <is>
          <t>Levered IRR</t>
        </is>
      </c>
      <c r="B29" s="21">
        <f>IRR(D5:J5)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</row>
  </sheetData>
  <conditionalFormatting sqref="B13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2026-04-09T06:17:14Z</dcterms:created>
  <dcterms:modified xmlns:dcterms="http://purl.org/dc/terms/" xmlns:xsi="http://www.w3.org/2001/XMLSchema-instance" xsi:type="dcterms:W3CDTF">2026-04-09T06:17:14Z</dcterms:modified>
</cp:coreProperties>
</file>