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real-estate\storage-deal-v1\"/>
    </mc:Choice>
  </mc:AlternateContent>
  <xr:revisionPtr revIDLastSave="0" documentId="8_{3AED1EF2-6EFC-49F8-B3D4-5C656EEA45F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Facility Overview" sheetId="1" r:id="rId1"/>
    <sheet name="Unit Mix &amp; Lease-Up" sheetId="2" r:id="rId2"/>
    <sheet name="Operating Costs" sheetId="3" r:id="rId3"/>
    <sheet name="5-Year Projection" sheetId="4" r:id="rId4"/>
    <sheet name="Returns &amp; Snapsho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B24" i="5" a="1"/>
  <c r="B24" i="5" s="1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B14" i="5"/>
  <c r="B3" i="5"/>
  <c r="E3" i="4"/>
  <c r="F3" i="4" s="1"/>
  <c r="D3" i="4"/>
  <c r="E14" i="3"/>
  <c r="F14" i="3" s="1"/>
  <c r="G14" i="3" s="1"/>
  <c r="H14" i="3" s="1"/>
  <c r="I14" i="3" s="1"/>
  <c r="F11" i="3"/>
  <c r="G11" i="3" s="1"/>
  <c r="H11" i="3" s="1"/>
  <c r="I11" i="3" s="1"/>
  <c r="E11" i="3"/>
  <c r="F10" i="3"/>
  <c r="G10" i="3" s="1"/>
  <c r="H10" i="3" s="1"/>
  <c r="I10" i="3" s="1"/>
  <c r="E10" i="3"/>
  <c r="E9" i="3"/>
  <c r="F9" i="3" s="1"/>
  <c r="G9" i="3" s="1"/>
  <c r="H9" i="3" s="1"/>
  <c r="I9" i="3" s="1"/>
  <c r="E8" i="3"/>
  <c r="F8" i="3" s="1"/>
  <c r="G8" i="3" s="1"/>
  <c r="H8" i="3" s="1"/>
  <c r="I8" i="3" s="1"/>
  <c r="E7" i="3"/>
  <c r="F7" i="3" s="1"/>
  <c r="G7" i="3" s="1"/>
  <c r="H7" i="3" s="1"/>
  <c r="I7" i="3" s="1"/>
  <c r="E6" i="3"/>
  <c r="F6" i="3" s="1"/>
  <c r="G6" i="3" s="1"/>
  <c r="H6" i="3" s="1"/>
  <c r="I6" i="3" s="1"/>
  <c r="F5" i="3"/>
  <c r="G5" i="3" s="1"/>
  <c r="H5" i="3" s="1"/>
  <c r="I5" i="3" s="1"/>
  <c r="E5" i="3"/>
  <c r="E4" i="3"/>
  <c r="F4" i="3" s="1"/>
  <c r="G4" i="3" s="1"/>
  <c r="H4" i="3" s="1"/>
  <c r="I4" i="3" s="1"/>
  <c r="E3" i="3"/>
  <c r="B17" i="2"/>
  <c r="D17" i="2" s="1"/>
  <c r="M8" i="2"/>
  <c r="K8" i="2"/>
  <c r="J8" i="2"/>
  <c r="L8" i="2" s="1"/>
  <c r="G8" i="2"/>
  <c r="E8" i="2"/>
  <c r="M7" i="2"/>
  <c r="K7" i="2"/>
  <c r="J7" i="2"/>
  <c r="L7" i="2" s="1"/>
  <c r="G7" i="2"/>
  <c r="E7" i="2"/>
  <c r="P6" i="2"/>
  <c r="M6" i="2"/>
  <c r="K6" i="2"/>
  <c r="J6" i="2"/>
  <c r="L6" i="2" s="1"/>
  <c r="G6" i="2"/>
  <c r="E6" i="2"/>
  <c r="M5" i="2"/>
  <c r="K5" i="2"/>
  <c r="J5" i="2"/>
  <c r="L5" i="2" s="1"/>
  <c r="G5" i="2"/>
  <c r="E5" i="2"/>
  <c r="M4" i="2"/>
  <c r="L4" i="2"/>
  <c r="K4" i="2"/>
  <c r="P4" i="2" s="1"/>
  <c r="J4" i="2"/>
  <c r="G4" i="2"/>
  <c r="E4" i="2"/>
  <c r="P3" i="2"/>
  <c r="M3" i="2"/>
  <c r="L3" i="2"/>
  <c r="K3" i="2"/>
  <c r="J3" i="2"/>
  <c r="G3" i="2"/>
  <c r="E3" i="2"/>
  <c r="B7" i="1" s="1"/>
  <c r="B23" i="1"/>
  <c r="B26" i="1" s="1"/>
  <c r="B22" i="1"/>
  <c r="B6" i="5" s="1"/>
  <c r="B17" i="1"/>
  <c r="B4" i="5" s="1"/>
  <c r="B10" i="1"/>
  <c r="B8" i="1"/>
  <c r="B6" i="1"/>
  <c r="B27" i="1" l="1"/>
  <c r="B17" i="5"/>
  <c r="P5" i="2"/>
  <c r="B5" i="5"/>
  <c r="B11" i="1"/>
  <c r="G27" i="2" s="1"/>
  <c r="C17" i="2"/>
  <c r="E17" i="2" s="1"/>
  <c r="F17" i="2" s="1"/>
  <c r="F3" i="3"/>
  <c r="G32" i="2" l="1"/>
  <c r="G25" i="2"/>
  <c r="G23" i="2"/>
  <c r="G19" i="2"/>
  <c r="G38" i="2"/>
  <c r="G36" i="2"/>
  <c r="G34" i="2"/>
  <c r="G30" i="2"/>
  <c r="G28" i="2"/>
  <c r="G21" i="2"/>
  <c r="G24" i="2"/>
  <c r="G20" i="2"/>
  <c r="B18" i="2"/>
  <c r="I17" i="2"/>
  <c r="G40" i="2"/>
  <c r="G26" i="2"/>
  <c r="G17" i="2"/>
  <c r="H17" i="2" s="1"/>
  <c r="G3" i="3"/>
  <c r="G39" i="2"/>
  <c r="G22" i="2"/>
  <c r="G37" i="2"/>
  <c r="G33" i="2"/>
  <c r="G18" i="2"/>
  <c r="G31" i="2"/>
  <c r="F11" i="4"/>
  <c r="E11" i="4"/>
  <c r="D11" i="4"/>
  <c r="C11" i="4"/>
  <c r="B11" i="4"/>
  <c r="G29" i="2"/>
  <c r="G35" i="2"/>
  <c r="J17" i="2" l="1"/>
  <c r="H3" i="3"/>
  <c r="D18" i="2"/>
  <c r="C18" i="2"/>
  <c r="E18" i="2" s="1"/>
  <c r="H18" i="2" l="1"/>
  <c r="B19" i="2"/>
  <c r="I18" i="2"/>
  <c r="F18" i="2"/>
  <c r="I3" i="3"/>
  <c r="L17" i="2"/>
  <c r="D19" i="2" l="1"/>
  <c r="C19" i="2"/>
  <c r="E19" i="2" s="1"/>
  <c r="J18" i="2"/>
  <c r="H19" i="2" l="1"/>
  <c r="B20" i="2"/>
  <c r="I19" i="2"/>
  <c r="F19" i="2"/>
  <c r="L18" i="2"/>
  <c r="D20" i="2" l="1"/>
  <c r="C20" i="2"/>
  <c r="E20" i="2" s="1"/>
  <c r="J19" i="2"/>
  <c r="H20" i="2" l="1"/>
  <c r="B21" i="2"/>
  <c r="I20" i="2"/>
  <c r="F20" i="2"/>
  <c r="L19" i="2"/>
  <c r="D21" i="2" l="1"/>
  <c r="C21" i="2"/>
  <c r="E21" i="2" s="1"/>
  <c r="J20" i="2"/>
  <c r="H21" i="2" l="1"/>
  <c r="B22" i="2"/>
  <c r="I21" i="2"/>
  <c r="F21" i="2"/>
  <c r="L20" i="2"/>
  <c r="D22" i="2" l="1"/>
  <c r="C22" i="2"/>
  <c r="E22" i="2" s="1"/>
  <c r="J21" i="2"/>
  <c r="I22" i="2" l="1"/>
  <c r="B23" i="2"/>
  <c r="H22" i="2"/>
  <c r="J22" i="2" s="1"/>
  <c r="F22" i="2"/>
  <c r="L21" i="2"/>
  <c r="D23" i="2" l="1"/>
  <c r="C23" i="2"/>
  <c r="E23" i="2" s="1"/>
  <c r="L22" i="2"/>
  <c r="H23" i="2" l="1"/>
  <c r="J23" i="2" s="1"/>
  <c r="B24" i="2"/>
  <c r="I23" i="2"/>
  <c r="F23" i="2"/>
  <c r="L23" i="2" l="1"/>
  <c r="D24" i="2"/>
  <c r="C24" i="2"/>
  <c r="E24" i="2" s="1"/>
  <c r="H24" i="2" l="1"/>
  <c r="B25" i="2"/>
  <c r="I24" i="2"/>
  <c r="F24" i="2"/>
  <c r="D25" i="2" l="1"/>
  <c r="C25" i="2"/>
  <c r="E25" i="2" s="1"/>
  <c r="J24" i="2"/>
  <c r="H25" i="2" l="1"/>
  <c r="B26" i="2"/>
  <c r="I25" i="2"/>
  <c r="F25" i="2"/>
  <c r="L24" i="2"/>
  <c r="D26" i="2" l="1"/>
  <c r="C26" i="2"/>
  <c r="E26" i="2" s="1"/>
  <c r="J25" i="2"/>
  <c r="H26" i="2" l="1"/>
  <c r="J26" i="2" s="1"/>
  <c r="B27" i="2"/>
  <c r="I26" i="2"/>
  <c r="F26" i="2"/>
  <c r="L25" i="2"/>
  <c r="L26" i="2" l="1"/>
  <c r="D27" i="2"/>
  <c r="C27" i="2"/>
  <c r="E27" i="2" s="1"/>
  <c r="H27" i="2" l="1"/>
  <c r="B28" i="2"/>
  <c r="I27" i="2"/>
  <c r="F27" i="2"/>
  <c r="D28" i="2" l="1"/>
  <c r="C28" i="2"/>
  <c r="E28" i="2" s="1"/>
  <c r="J27" i="2"/>
  <c r="B29" i="2" l="1"/>
  <c r="I28" i="2"/>
  <c r="B5" i="4" s="1"/>
  <c r="H28" i="2"/>
  <c r="F28" i="2"/>
  <c r="B3" i="4" s="1"/>
  <c r="L27" i="2"/>
  <c r="J28" i="2" l="1"/>
  <c r="B4" i="4"/>
  <c r="B6" i="4" s="1"/>
  <c r="D29" i="2"/>
  <c r="C29" i="2"/>
  <c r="E29" i="2" s="1"/>
  <c r="H29" i="2" l="1"/>
  <c r="B30" i="2"/>
  <c r="I29" i="2"/>
  <c r="F29" i="2"/>
  <c r="B8" i="4"/>
  <c r="B7" i="4"/>
  <c r="L28" i="2"/>
  <c r="P7" i="2" s="1"/>
  <c r="E13" i="3" l="1"/>
  <c r="E12" i="3"/>
  <c r="B9" i="4" s="1"/>
  <c r="B10" i="4" s="1"/>
  <c r="D30" i="2"/>
  <c r="C30" i="2"/>
  <c r="E30" i="2" s="1"/>
  <c r="J29" i="2"/>
  <c r="I30" i="2" l="1"/>
  <c r="B31" i="2"/>
  <c r="H30" i="2"/>
  <c r="F30" i="2"/>
  <c r="B18" i="1"/>
  <c r="B12" i="4"/>
  <c r="B7" i="5"/>
  <c r="B8" i="5" s="1"/>
  <c r="I3" i="1"/>
  <c r="B13" i="4"/>
  <c r="I4" i="1" s="1"/>
  <c r="L29" i="2"/>
  <c r="J30" i="2" l="1"/>
  <c r="D31" i="2"/>
  <c r="C31" i="2"/>
  <c r="E31" i="2" s="1"/>
  <c r="E5" i="5"/>
  <c r="I5" i="1"/>
  <c r="B9" i="5"/>
  <c r="H31" i="2" l="1"/>
  <c r="B32" i="2"/>
  <c r="I31" i="2"/>
  <c r="F31" i="2"/>
  <c r="L30" i="2"/>
  <c r="D32" i="2" l="1"/>
  <c r="C32" i="2"/>
  <c r="E32" i="2" s="1"/>
  <c r="J31" i="2"/>
  <c r="I32" i="2" l="1"/>
  <c r="H32" i="2"/>
  <c r="B33" i="2"/>
  <c r="F32" i="2"/>
  <c r="L31" i="2"/>
  <c r="D33" i="2" l="1"/>
  <c r="C33" i="2"/>
  <c r="E33" i="2" s="1"/>
  <c r="J32" i="2"/>
  <c r="H33" i="2" l="1"/>
  <c r="B34" i="2"/>
  <c r="I33" i="2"/>
  <c r="F33" i="2"/>
  <c r="L32" i="2"/>
  <c r="D34" i="2" l="1"/>
  <c r="C34" i="2"/>
  <c r="E34" i="2" s="1"/>
  <c r="J33" i="2"/>
  <c r="I34" i="2" l="1"/>
  <c r="H34" i="2"/>
  <c r="J34" i="2" s="1"/>
  <c r="B35" i="2"/>
  <c r="F34" i="2"/>
  <c r="L33" i="2"/>
  <c r="D35" i="2" l="1"/>
  <c r="C35" i="2"/>
  <c r="E35" i="2" s="1"/>
  <c r="L34" i="2"/>
  <c r="H35" i="2" l="1"/>
  <c r="B36" i="2"/>
  <c r="I35" i="2"/>
  <c r="F35" i="2"/>
  <c r="D36" i="2" l="1"/>
  <c r="C36" i="2"/>
  <c r="E36" i="2" s="1"/>
  <c r="J35" i="2"/>
  <c r="H36" i="2" l="1"/>
  <c r="I36" i="2"/>
  <c r="B37" i="2"/>
  <c r="F36" i="2"/>
  <c r="L35" i="2"/>
  <c r="D37" i="2" l="1"/>
  <c r="C37" i="2"/>
  <c r="E37" i="2" s="1"/>
  <c r="J36" i="2"/>
  <c r="H37" i="2" l="1"/>
  <c r="B38" i="2"/>
  <c r="I37" i="2"/>
  <c r="F37" i="2"/>
  <c r="L36" i="2"/>
  <c r="D38" i="2" l="1"/>
  <c r="C38" i="2"/>
  <c r="E38" i="2" s="1"/>
  <c r="J37" i="2"/>
  <c r="I38" i="2" l="1"/>
  <c r="B39" i="2"/>
  <c r="H38" i="2"/>
  <c r="J38" i="2" s="1"/>
  <c r="F38" i="2"/>
  <c r="L37" i="2"/>
  <c r="D39" i="2" l="1"/>
  <c r="C39" i="2"/>
  <c r="E39" i="2" s="1"/>
  <c r="L38" i="2"/>
  <c r="H39" i="2" l="1"/>
  <c r="B40" i="2"/>
  <c r="I39" i="2"/>
  <c r="F39" i="2"/>
  <c r="D40" i="2" l="1"/>
  <c r="C40" i="2"/>
  <c r="E40" i="2" s="1"/>
  <c r="J39" i="2"/>
  <c r="H40" i="2" l="1"/>
  <c r="I40" i="2"/>
  <c r="C5" i="4" s="1"/>
  <c r="D5" i="4" s="1"/>
  <c r="E5" i="4" s="1"/>
  <c r="F5" i="4" s="1"/>
  <c r="F40" i="2"/>
  <c r="C3" i="4" s="1"/>
  <c r="L39" i="2"/>
  <c r="J40" i="2" l="1"/>
  <c r="C4" i="4"/>
  <c r="D4" i="4" l="1"/>
  <c r="C6" i="4"/>
  <c r="L40" i="2"/>
  <c r="C7" i="4" l="1"/>
  <c r="C8" i="4" s="1"/>
  <c r="E4" i="4"/>
  <c r="D6" i="4"/>
  <c r="F12" i="3" l="1"/>
  <c r="C9" i="4" s="1"/>
  <c r="C10" i="4" s="1"/>
  <c r="F13" i="3"/>
  <c r="D7" i="4"/>
  <c r="D8" i="4" s="1"/>
  <c r="F4" i="4"/>
  <c r="F6" i="4" s="1"/>
  <c r="E6" i="4"/>
  <c r="G12" i="3" l="1"/>
  <c r="G13" i="3"/>
  <c r="C12" i="4"/>
  <c r="C13" i="4"/>
  <c r="E7" i="4"/>
  <c r="E8" i="4" s="1"/>
  <c r="F7" i="4"/>
  <c r="F8" i="4" s="1"/>
  <c r="I12" i="3" l="1"/>
  <c r="I13" i="3"/>
  <c r="H12" i="3"/>
  <c r="H13" i="3"/>
  <c r="F5" i="5"/>
  <c r="D9" i="4"/>
  <c r="D10" i="4" s="1"/>
  <c r="D12" i="4" l="1"/>
  <c r="B10" i="5"/>
  <c r="I6" i="1" s="1"/>
  <c r="D13" i="4"/>
  <c r="E9" i="4"/>
  <c r="E10" i="4" s="1"/>
  <c r="F9" i="4"/>
  <c r="F10" i="4" s="1"/>
  <c r="E12" i="4" l="1"/>
  <c r="H5" i="5" s="1"/>
  <c r="E13" i="4"/>
  <c r="F12" i="4"/>
  <c r="B13" i="5"/>
  <c r="B15" i="5" s="1"/>
  <c r="F13" i="4"/>
  <c r="G5" i="5"/>
  <c r="B21" i="5"/>
  <c r="B16" i="5" l="1"/>
  <c r="B18" i="5" s="1"/>
  <c r="I7" i="1" l="1"/>
  <c r="B22" i="5"/>
  <c r="B23" i="5" s="1"/>
  <c r="I8" i="1" s="1"/>
  <c r="I5" i="5"/>
  <c r="I9" i="1" s="1"/>
</calcChain>
</file>

<file path=xl/sharedStrings.xml><?xml version="1.0" encoding="utf-8"?>
<sst xmlns="http://schemas.openxmlformats.org/spreadsheetml/2006/main" count="172" uniqueCount="148">
  <si>
    <t>Storage deal scratch</t>
  </si>
  <si>
    <t>Property Details</t>
  </si>
  <si>
    <t>Check first</t>
  </si>
  <si>
    <t>Facility Name</t>
  </si>
  <si>
    <t>Northgate Storage</t>
  </si>
  <si>
    <t>Year 1 NOI</t>
  </si>
  <si>
    <t>Market</t>
  </si>
  <si>
    <t>Columbus, OH</t>
  </si>
  <si>
    <t>Year 1 DSCR</t>
  </si>
  <si>
    <t>Property Class</t>
  </si>
  <si>
    <t>Drive-Up + Climate</t>
  </si>
  <si>
    <t>Year 1 CF After Debt</t>
  </si>
  <si>
    <t>Total Units</t>
  </si>
  <si>
    <t>Stabilized Yield on Cost</t>
  </si>
  <si>
    <t>Total Rentable SqFt</t>
  </si>
  <si>
    <t>5-Year Sale Proceeds</t>
  </si>
  <si>
    <t>Current Occupancy</t>
  </si>
  <si>
    <t>Equity Multiple</t>
  </si>
  <si>
    <t>Stabilized Occupancy Target</t>
  </si>
  <si>
    <t>Levered IRR</t>
  </si>
  <si>
    <t>Avg Current Rent / Occupied Unit</t>
  </si>
  <si>
    <t>Avg Market Rent / Occupied Unit</t>
  </si>
  <si>
    <t>Acquisition</t>
  </si>
  <si>
    <t>Purchase Price</t>
  </si>
  <si>
    <t>Closing Costs</t>
  </si>
  <si>
    <t>Immediate CapEx</t>
  </si>
  <si>
    <t>Total Basis</t>
  </si>
  <si>
    <t>Going-In Cap Rate</t>
  </si>
  <si>
    <t>Financing</t>
  </si>
  <si>
    <t>Down Payment (%)</t>
  </si>
  <si>
    <t>Down Payment ($)</t>
  </si>
  <si>
    <t>Loan Amount</t>
  </si>
  <si>
    <t>Interest Rate</t>
  </si>
  <si>
    <t>Loan Term (years)</t>
  </si>
  <si>
    <t>Monthly Debt Service</t>
  </si>
  <si>
    <t>Annual Debt Service</t>
  </si>
  <si>
    <t>Lease-Up / Revenue Assumptions</t>
  </si>
  <si>
    <t>Monthly Move-Ins</t>
  </si>
  <si>
    <t>Monthly Move-Out Rate</t>
  </si>
  <si>
    <t>Annual Rent Growth</t>
  </si>
  <si>
    <t>Ancillary Income / Occupied Unit / Month</t>
  </si>
  <si>
    <t>Bad Debt / Promo Loss (%)</t>
  </si>
  <si>
    <t>Exit Cap Rate</t>
  </si>
  <si>
    <t>Selling Costs (%)</t>
  </si>
  <si>
    <t>Hold Period (years)</t>
  </si>
  <si>
    <t>Unit Mix</t>
  </si>
  <si>
    <t>Unit Type</t>
  </si>
  <si>
    <t>Size Label</t>
  </si>
  <si>
    <t>Units</t>
  </si>
  <si>
    <t>SqFt / Unit</t>
  </si>
  <si>
    <t>Total SqFt</t>
  </si>
  <si>
    <t>Current Occupied Units</t>
  </si>
  <si>
    <t>Current Occ %</t>
  </si>
  <si>
    <t>Current Avg Rent / Unit</t>
  </si>
  <si>
    <t>Market Rent / Unit</t>
  </si>
  <si>
    <t>Stabilized Occupied Units</t>
  </si>
  <si>
    <t>Current Monthly Gross</t>
  </si>
  <si>
    <t>Stabilized Monthly Gross</t>
  </si>
  <si>
    <t>Rent Lift %</t>
  </si>
  <si>
    <t>Unit Mix Summary</t>
  </si>
  <si>
    <t>5x5</t>
  </si>
  <si>
    <t>Small</t>
  </si>
  <si>
    <t>Current occupied units</t>
  </si>
  <si>
    <t>5x10</t>
  </si>
  <si>
    <t>Current monthly gross</t>
  </si>
  <si>
    <t>10x10</t>
  </si>
  <si>
    <t>Medium</t>
  </si>
  <si>
    <t>Stabilized monthly gross</t>
  </si>
  <si>
    <t>10x15</t>
  </si>
  <si>
    <t>Large</t>
  </si>
  <si>
    <t>Lease-up month hit</t>
  </si>
  <si>
    <t>10x20</t>
  </si>
  <si>
    <t>Avg month 1-12 EGI</t>
  </si>
  <si>
    <t>Parking / RV</t>
  </si>
  <si>
    <t>Parking</t>
  </si>
  <si>
    <t>24-Month Lease-Up</t>
  </si>
  <si>
    <t>Month #</t>
  </si>
  <si>
    <t>Beginning Occupied Units</t>
  </si>
  <si>
    <t>Move-Ins</t>
  </si>
  <si>
    <t>Move-Outs</t>
  </si>
  <si>
    <t>Ending Occupied Units</t>
  </si>
  <si>
    <t>Occupancy %</t>
  </si>
  <si>
    <t>Avg Rent / Occupied Unit</t>
  </si>
  <si>
    <t>Storage Rent Revenue</t>
  </si>
  <si>
    <t>Ancillary Income</t>
  </si>
  <si>
    <t>Gross Revenue</t>
  </si>
  <si>
    <t>Bad Debt / Promo Loss</t>
  </si>
  <si>
    <t>Effective Gross Revenue</t>
  </si>
  <si>
    <t>Operating Costs</t>
  </si>
  <si>
    <t>Expense Line</t>
  </si>
  <si>
    <t>Type</t>
  </si>
  <si>
    <t>Year 1 Basis</t>
  </si>
  <si>
    <t>Growth Rate</t>
  </si>
  <si>
    <t>Payroll / manager</t>
  </si>
  <si>
    <t>Fixed</t>
  </si>
  <si>
    <t>Property tax</t>
  </si>
  <si>
    <t>Insurance</t>
  </si>
  <si>
    <t>Utilities</t>
  </si>
  <si>
    <t>Repairs &amp; maintenance</t>
  </si>
  <si>
    <t>Marketing</t>
  </si>
  <si>
    <t>Software / admin</t>
  </si>
  <si>
    <t>Security / gate</t>
  </si>
  <si>
    <t>Snow / lawn</t>
  </si>
  <si>
    <t>Management fee</t>
  </si>
  <si>
    <t>% of EGI</t>
  </si>
  <si>
    <t>Replacement reserve</t>
  </si>
  <si>
    <t>Other</t>
  </si>
  <si>
    <t>5-Year Projection</t>
  </si>
  <si>
    <t>Line Item</t>
  </si>
  <si>
    <t>Year 1</t>
  </si>
  <si>
    <t>Year 2</t>
  </si>
  <si>
    <t>Year 3</t>
  </si>
  <si>
    <t>Year 4</t>
  </si>
  <si>
    <t>Year 5</t>
  </si>
  <si>
    <t>Storage rent</t>
  </si>
  <si>
    <t>Ancillary income</t>
  </si>
  <si>
    <t>Gross revenue</t>
  </si>
  <si>
    <t>Bad debt / promo loss</t>
  </si>
  <si>
    <t>Effective gross income</t>
  </si>
  <si>
    <t>Total operating expenses</t>
  </si>
  <si>
    <t>NOI</t>
  </si>
  <si>
    <t>Debt service</t>
  </si>
  <si>
    <t>Cash flow after debt</t>
  </si>
  <si>
    <t>DSCR</t>
  </si>
  <si>
    <t>Returns &amp; Snapshot</t>
  </si>
  <si>
    <t>Deal</t>
  </si>
  <si>
    <t>Purchase price</t>
  </si>
  <si>
    <t>IRR Cash Flow</t>
  </si>
  <si>
    <t>Total basis</t>
  </si>
  <si>
    <t>Initial</t>
  </si>
  <si>
    <t>Year 5 + Sale</t>
  </si>
  <si>
    <t>Loan amount</t>
  </si>
  <si>
    <t>Initial equity</t>
  </si>
  <si>
    <t>Year 1 cap rate</t>
  </si>
  <si>
    <t>Year 1 cash-on-cash</t>
  </si>
  <si>
    <t>Stabilized yield on cost</t>
  </si>
  <si>
    <t>Exit</t>
  </si>
  <si>
    <t>Year 5 NOI</t>
  </si>
  <si>
    <t>Exit cap rate</t>
  </si>
  <si>
    <t>Gross sale value</t>
  </si>
  <si>
    <t>Selling costs</t>
  </si>
  <si>
    <t>Loan payoff</t>
  </si>
  <si>
    <t>Net sale proceeds</t>
  </si>
  <si>
    <t>Return Math</t>
  </si>
  <si>
    <t>5-year cash flow total</t>
  </si>
  <si>
    <t>Total cash back</t>
  </si>
  <si>
    <t>Equity multiple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</si>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</sst>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"/>
    <numFmt numFmtId="166" formatCode="&quot;$&quot;#,##0"/>
    <numFmt numFmtId="167" formatCode="0.00\x"/>
  </numFmts>
  <fonts count="9" x14ac:knownFonts="1">
    <font>
      <sz val="11"/>
      <color theme="1"/>
      <name val="Calibri"/>
      <family val="2"/>
      <scheme val="minor"/>
    </font>
    <font>
      <b/>
      <sz val="14"/>
      <color rgb="FF333333"/>
      <name val="Calibri"/>
      <family val="2"/>
    </font>
    <font>
      <b/>
      <sz val="11"/>
      <color rgb="FF3D4A35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b/>
      <sz val="11"/>
      <color rgb="FF595959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5D4"/>
      </patternFill>
    </fill>
    <fill>
      <patternFill patternType="solid">
        <fgColor rgb="FFFFF2CC"/>
      </patternFill>
    </fill>
    <fill>
      <patternFill patternType="solid">
        <fgColor rgb="FFB8C4AC"/>
      </patternFill>
    </fill>
    <fill>
      <patternFill patternType="solid">
        <fgColor rgb="FFF3F3F3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166" fontId="3" fillId="5" borderId="1" xfId="0" applyNumberFormat="1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10" fontId="3" fillId="5" borderId="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7" fontId="3" fillId="5" borderId="1" xfId="0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vertical="center"/>
    </xf>
    <xf numFmtId="165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6" fontId="3" fillId="3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166" fontId="4" fillId="5" borderId="1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10" fontId="4" fillId="5" borderId="1" xfId="0" applyNumberFormat="1" applyFont="1" applyFill="1" applyBorder="1" applyAlignment="1">
      <alignment vertical="center"/>
    </xf>
    <xf numFmtId="167" fontId="4" fillId="5" borderId="1" xfId="0" applyNumberFormat="1" applyFont="1" applyFill="1" applyBorder="1" applyAlignment="1">
      <alignment vertical="center"/>
    </xf>
    <xf numFmtId="164" fontId="8" fillId="6" borderId="0" xfId="0" applyNumberFormat="1" applyFont="1" applyFill="1" applyAlignment="1">
      <alignment vertical="center"/>
    </xf>
    <xf numFmtId="10" fontId="6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B8C4A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tabSelected="1" workbookViewId="0">
      <selection activeCell="J19" sqref="J19"/>
    </sheetView>
  </sheetViews>
  <sheetFormatPr defaultRowHeight="15" x14ac:dyDescent="0.25"/>
  <cols>
    <col min="1" max="1" width="34" customWidth="1"/>
    <col min="2" max="2" width="17.85546875" bestFit="1" customWidth="1"/>
    <col min="8" max="8" width="24" customWidth="1"/>
    <col min="9" max="9" width="14" customWidth="1"/>
  </cols>
  <sheetData>
    <row r="1" spans="1:9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2"/>
      <c r="C2" s="2"/>
      <c r="D2" s="2"/>
      <c r="E2" s="2"/>
      <c r="F2" s="2"/>
      <c r="G2" s="2"/>
      <c r="H2" s="3" t="s">
        <v>2</v>
      </c>
      <c r="I2" s="2"/>
    </row>
    <row r="3" spans="1:9" x14ac:dyDescent="0.25">
      <c r="A3" s="4" t="s">
        <v>3</v>
      </c>
      <c r="B3" s="5" t="s">
        <v>4</v>
      </c>
      <c r="C3" s="2"/>
      <c r="D3" s="2"/>
      <c r="E3" s="2"/>
      <c r="F3" s="2"/>
      <c r="G3" s="2"/>
      <c r="H3" s="6" t="s">
        <v>5</v>
      </c>
      <c r="I3" s="7">
        <f>'5-Year Projection'!B10</f>
        <v>9591.5826640244341</v>
      </c>
    </row>
    <row r="4" spans="1:9" x14ac:dyDescent="0.25">
      <c r="A4" s="4" t="s">
        <v>6</v>
      </c>
      <c r="B4" s="5" t="s">
        <v>7</v>
      </c>
      <c r="C4" s="2"/>
      <c r="D4" s="2"/>
      <c r="E4" s="2"/>
      <c r="F4" s="2"/>
      <c r="G4" s="2"/>
      <c r="H4" s="6" t="s">
        <v>8</v>
      </c>
      <c r="I4" s="8">
        <f>'5-Year Projection'!B13</f>
        <v>6.6844105977274082E-2</v>
      </c>
    </row>
    <row r="5" spans="1:9" x14ac:dyDescent="0.25">
      <c r="A5" s="4" t="s">
        <v>9</v>
      </c>
      <c r="B5" s="5" t="s">
        <v>10</v>
      </c>
      <c r="C5" s="2"/>
      <c r="D5" s="2"/>
      <c r="E5" s="2"/>
      <c r="F5" s="2"/>
      <c r="G5" s="2"/>
      <c r="H5" s="6" t="s">
        <v>11</v>
      </c>
      <c r="I5" s="7">
        <f>'5-Year Projection'!B12</f>
        <v>-133900.24094246404</v>
      </c>
    </row>
    <row r="6" spans="1:9" x14ac:dyDescent="0.25">
      <c r="A6" s="4" t="s">
        <v>12</v>
      </c>
      <c r="B6" s="9">
        <f>SUM('Unit Mix &amp; Lease-Up'!C3:C8)</f>
        <v>219</v>
      </c>
      <c r="C6" s="2"/>
      <c r="D6" s="2"/>
      <c r="E6" s="2"/>
      <c r="F6" s="2"/>
      <c r="G6" s="2"/>
      <c r="H6" s="6" t="s">
        <v>13</v>
      </c>
      <c r="I6" s="10">
        <f>'Returns &amp; Snapshot'!B10</f>
        <v>2.0890628892603024E-2</v>
      </c>
    </row>
    <row r="7" spans="1:9" x14ac:dyDescent="0.25">
      <c r="A7" s="4" t="s">
        <v>14</v>
      </c>
      <c r="B7" s="9">
        <f>SUM('Unit Mix &amp; Lease-Up'!E3:E8)</f>
        <v>22150</v>
      </c>
      <c r="C7" s="2"/>
      <c r="D7" s="2"/>
      <c r="E7" s="2"/>
      <c r="F7" s="2"/>
      <c r="G7" s="2"/>
      <c r="H7" s="6" t="s">
        <v>15</v>
      </c>
      <c r="I7" s="7">
        <f>'Returns &amp; Snapshot'!B18</f>
        <v>-2431824.3276409279</v>
      </c>
    </row>
    <row r="8" spans="1:9" x14ac:dyDescent="0.25">
      <c r="A8" s="4" t="s">
        <v>16</v>
      </c>
      <c r="B8" s="11">
        <f>IF(B6=0,0,SUM('Unit Mix &amp; Lease-Up'!F3:F8)/B6)</f>
        <v>0.73972602739726023</v>
      </c>
      <c r="C8" s="2"/>
      <c r="D8" s="2"/>
      <c r="E8" s="2"/>
      <c r="F8" s="2"/>
      <c r="G8" s="2"/>
      <c r="H8" s="6" t="s">
        <v>17</v>
      </c>
      <c r="I8" s="12">
        <f>'Returns &amp; Snapshot'!B23</f>
        <v>-3.3875567312724089</v>
      </c>
    </row>
    <row r="9" spans="1:9" x14ac:dyDescent="0.25">
      <c r="A9" s="4" t="s">
        <v>18</v>
      </c>
      <c r="B9" s="13">
        <v>0.92</v>
      </c>
      <c r="C9" s="2"/>
      <c r="D9" s="2"/>
      <c r="E9" s="2"/>
      <c r="F9" s="2"/>
      <c r="G9" s="2"/>
      <c r="H9" s="6" t="s">
        <v>19</v>
      </c>
      <c r="I9" s="10">
        <f>'Returns &amp; Snapshot'!B24</f>
        <v>0.31562448651668418</v>
      </c>
    </row>
    <row r="10" spans="1:9" x14ac:dyDescent="0.25">
      <c r="A10" s="4" t="s">
        <v>20</v>
      </c>
      <c r="B10" s="14">
        <f>IF(SUM('Unit Mix &amp; Lease-Up'!F3:F8)=0,0,SUM('Unit Mix &amp; Lease-Up'!K3:K8)/SUM('Unit Mix &amp; Lease-Up'!F3:F8))</f>
        <v>79.222222222222229</v>
      </c>
      <c r="C10" s="2"/>
      <c r="D10" s="2"/>
      <c r="E10" s="2"/>
      <c r="F10" s="2"/>
      <c r="G10" s="2"/>
      <c r="H10" s="2"/>
      <c r="I10" s="2"/>
    </row>
    <row r="11" spans="1:9" x14ac:dyDescent="0.25">
      <c r="A11" s="4" t="s">
        <v>21</v>
      </c>
      <c r="B11" s="14">
        <f>IF(SUM('Unit Mix &amp; Lease-Up'!J3:J8)=0,0,SUM('Unit Mix &amp; Lease-Up'!L3:L8)/SUM('Unit Mix &amp; Lease-Up'!J3:J8))</f>
        <v>91.236453201970448</v>
      </c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3" t="s">
        <v>22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4" t="s">
        <v>23</v>
      </c>
      <c r="B14" s="16">
        <v>2450000</v>
      </c>
      <c r="C14" s="2"/>
      <c r="D14" s="2"/>
      <c r="E14" s="2"/>
      <c r="F14" s="2"/>
      <c r="G14" s="2"/>
      <c r="H14" s="2"/>
      <c r="I14" s="2"/>
    </row>
    <row r="15" spans="1:9" x14ac:dyDescent="0.25">
      <c r="A15" s="4" t="s">
        <v>24</v>
      </c>
      <c r="B15" s="16">
        <v>42000</v>
      </c>
      <c r="C15" s="2"/>
      <c r="D15" s="2"/>
      <c r="E15" s="2"/>
      <c r="F15" s="2"/>
      <c r="G15" s="2"/>
      <c r="H15" s="2"/>
      <c r="I15" s="2"/>
    </row>
    <row r="16" spans="1:9" x14ac:dyDescent="0.25">
      <c r="A16" s="4" t="s">
        <v>25</v>
      </c>
      <c r="B16" s="16">
        <v>85000</v>
      </c>
      <c r="C16" s="2"/>
      <c r="D16" s="2"/>
      <c r="E16" s="2"/>
      <c r="F16" s="2"/>
      <c r="G16" s="2"/>
      <c r="H16" s="2"/>
      <c r="I16" s="2"/>
    </row>
    <row r="17" spans="1:9" x14ac:dyDescent="0.25">
      <c r="A17" s="4" t="s">
        <v>26</v>
      </c>
      <c r="B17" s="17">
        <f>B14+B15+B16</f>
        <v>2577000</v>
      </c>
      <c r="C17" s="2"/>
      <c r="D17" s="2"/>
      <c r="E17" s="2"/>
      <c r="F17" s="2"/>
      <c r="G17" s="2"/>
      <c r="H17" s="2"/>
      <c r="I17" s="2"/>
    </row>
    <row r="18" spans="1:9" x14ac:dyDescent="0.25">
      <c r="A18" s="4" t="s">
        <v>27</v>
      </c>
      <c r="B18" s="18">
        <f>IF(B14=0,0,'5-Year Projection'!B10/B14)</f>
        <v>3.9149316996018096E-3</v>
      </c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3" t="s">
        <v>28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4" t="s">
        <v>29</v>
      </c>
      <c r="B21" s="28">
        <v>0.3</v>
      </c>
      <c r="C21" s="2"/>
      <c r="D21" s="2"/>
      <c r="E21" s="2"/>
      <c r="F21" s="2"/>
      <c r="G21" s="2"/>
      <c r="H21" s="2"/>
      <c r="I21" s="2"/>
    </row>
    <row r="22" spans="1:9" x14ac:dyDescent="0.25">
      <c r="A22" s="4" t="s">
        <v>30</v>
      </c>
      <c r="B22" s="17">
        <f>B14*B21</f>
        <v>735000</v>
      </c>
      <c r="C22" s="2"/>
      <c r="D22" s="2"/>
      <c r="E22" s="2"/>
      <c r="F22" s="2"/>
      <c r="G22" s="2"/>
      <c r="H22" s="2"/>
      <c r="I22" s="2"/>
    </row>
    <row r="23" spans="1:9" x14ac:dyDescent="0.25">
      <c r="A23" s="4" t="s">
        <v>31</v>
      </c>
      <c r="B23" s="17">
        <f>B14-B22</f>
        <v>1715000</v>
      </c>
      <c r="C23" s="2"/>
      <c r="D23" s="2"/>
      <c r="E23" s="2"/>
      <c r="F23" s="2"/>
      <c r="G23" s="2"/>
      <c r="H23" s="2"/>
      <c r="I23" s="2"/>
    </row>
    <row r="24" spans="1:9" x14ac:dyDescent="0.25">
      <c r="A24" s="4" t="s">
        <v>32</v>
      </c>
      <c r="B24" s="19">
        <v>6.8500000000000005E-2</v>
      </c>
      <c r="C24" s="2"/>
      <c r="D24" s="2"/>
      <c r="E24" s="2"/>
      <c r="F24" s="2"/>
      <c r="G24" s="2"/>
      <c r="H24" s="2"/>
      <c r="I24" s="2"/>
    </row>
    <row r="25" spans="1:9" x14ac:dyDescent="0.25">
      <c r="A25" s="4" t="s">
        <v>33</v>
      </c>
      <c r="B25" s="20">
        <v>25</v>
      </c>
      <c r="C25" s="2"/>
      <c r="D25" s="2"/>
      <c r="E25" s="2"/>
      <c r="F25" s="2"/>
      <c r="G25" s="2"/>
      <c r="H25" s="2"/>
      <c r="I25" s="2"/>
    </row>
    <row r="26" spans="1:9" x14ac:dyDescent="0.25">
      <c r="A26" s="4" t="s">
        <v>34</v>
      </c>
      <c r="B26" s="17">
        <f>IF(B23=0,0,PMT(B24/12,B25*12,-B23))</f>
        <v>11957.651967207372</v>
      </c>
      <c r="C26" s="2"/>
      <c r="D26" s="2"/>
      <c r="E26" s="2"/>
      <c r="F26" s="2"/>
      <c r="G26" s="2"/>
      <c r="H26" s="2"/>
      <c r="I26" s="2"/>
    </row>
    <row r="27" spans="1:9" x14ac:dyDescent="0.25">
      <c r="A27" s="4" t="s">
        <v>35</v>
      </c>
      <c r="B27" s="17">
        <f>B26*12</f>
        <v>143491.82360648847</v>
      </c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3" t="s">
        <v>36</v>
      </c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4" t="s">
        <v>37</v>
      </c>
      <c r="B30" s="20">
        <v>7</v>
      </c>
      <c r="C30" s="2"/>
      <c r="D30" s="2"/>
      <c r="E30" s="2"/>
      <c r="F30" s="2"/>
      <c r="G30" s="2"/>
      <c r="H30" s="2"/>
      <c r="I30" s="2"/>
    </row>
    <row r="31" spans="1:9" x14ac:dyDescent="0.25">
      <c r="A31" s="4" t="s">
        <v>38</v>
      </c>
      <c r="B31" s="19">
        <v>1.4999999999999999E-2</v>
      </c>
      <c r="C31" s="2"/>
      <c r="D31" s="2"/>
      <c r="E31" s="2"/>
      <c r="F31" s="2"/>
      <c r="G31" s="2"/>
      <c r="H31" s="2"/>
      <c r="I31" s="2"/>
    </row>
    <row r="32" spans="1:9" x14ac:dyDescent="0.25">
      <c r="A32" s="4" t="s">
        <v>39</v>
      </c>
      <c r="B32" s="13">
        <v>0.03</v>
      </c>
      <c r="C32" s="2"/>
      <c r="D32" s="2"/>
      <c r="E32" s="2"/>
      <c r="F32" s="2"/>
      <c r="G32" s="2"/>
      <c r="H32" s="2"/>
      <c r="I32" s="2"/>
    </row>
    <row r="33" spans="1:9" x14ac:dyDescent="0.25">
      <c r="A33" s="4" t="s">
        <v>40</v>
      </c>
      <c r="B33" s="21">
        <v>9</v>
      </c>
      <c r="C33" s="2"/>
      <c r="D33" s="2"/>
      <c r="E33" s="2"/>
      <c r="F33" s="2"/>
      <c r="G33" s="2"/>
      <c r="H33" s="2"/>
      <c r="I33" s="2"/>
    </row>
    <row r="34" spans="1:9" x14ac:dyDescent="0.25">
      <c r="A34" s="4" t="s">
        <v>41</v>
      </c>
      <c r="B34" s="19">
        <v>0.02</v>
      </c>
      <c r="C34" s="2"/>
      <c r="D34" s="2"/>
      <c r="E34" s="2"/>
      <c r="F34" s="2"/>
      <c r="G34" s="2"/>
      <c r="H34" s="2"/>
      <c r="I34" s="2"/>
    </row>
    <row r="35" spans="1:9" x14ac:dyDescent="0.25">
      <c r="A35" s="4" t="s">
        <v>42</v>
      </c>
      <c r="B35" s="19">
        <v>6.7500000000000004E-2</v>
      </c>
      <c r="C35" s="2"/>
      <c r="D35" s="2"/>
      <c r="E35" s="2"/>
      <c r="F35" s="2"/>
      <c r="G35" s="2"/>
      <c r="H35" s="2"/>
      <c r="I35" s="2"/>
    </row>
    <row r="36" spans="1:9" x14ac:dyDescent="0.25">
      <c r="A36" s="4" t="s">
        <v>43</v>
      </c>
      <c r="B36" s="13">
        <v>0.03</v>
      </c>
      <c r="C36" s="2"/>
      <c r="D36" s="2"/>
      <c r="E36" s="2"/>
      <c r="F36" s="2"/>
      <c r="G36" s="2"/>
      <c r="H36" s="2"/>
      <c r="I36" s="2"/>
    </row>
    <row r="37" spans="1:9" x14ac:dyDescent="0.25">
      <c r="A37" s="4" t="s">
        <v>44</v>
      </c>
      <c r="B37" s="20">
        <v>5</v>
      </c>
      <c r="C37" s="2"/>
      <c r="D37" s="2"/>
      <c r="E37" s="2"/>
      <c r="F37" s="2"/>
      <c r="G37" s="2"/>
      <c r="H37" s="2"/>
      <c r="I37" s="2"/>
    </row>
  </sheetData>
  <dataValidations count="1">
    <dataValidation type="list" allowBlank="1" sqref="B5" xr:uid="{00000000-0002-0000-0000-000000000000}">
      <formula1>"Drive-Up + Climate,Drive-Up Only,Climate-Controlled,Parking Heavy"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workbookViewId="0">
      <pane ySplit="2" topLeftCell="A3" activePane="bottomLeft" state="frozen"/>
      <selection pane="bottomLeft" activeCell="I22" sqref="I22"/>
    </sheetView>
  </sheetViews>
  <sheetFormatPr defaultRowHeight="15" x14ac:dyDescent="0.25"/>
  <cols>
    <col min="1" max="1" width="13" customWidth="1"/>
    <col min="2" max="2" width="14" customWidth="1"/>
    <col min="3" max="10" width="15" customWidth="1"/>
    <col min="11" max="11" width="21.5703125" bestFit="1" customWidth="1"/>
    <col min="12" max="12" width="23.5703125" bestFit="1" customWidth="1"/>
    <col min="13" max="13" width="10.42578125" bestFit="1" customWidth="1"/>
    <col min="14" max="14" width="15" customWidth="1"/>
    <col min="15" max="15" width="21" customWidth="1"/>
    <col min="16" max="16" width="14" customWidth="1"/>
  </cols>
  <sheetData>
    <row r="1" spans="1:16" ht="18.75" x14ac:dyDescent="0.25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2"/>
      <c r="O2" s="3" t="s">
        <v>59</v>
      </c>
      <c r="P2" s="2"/>
    </row>
    <row r="3" spans="1:16" x14ac:dyDescent="0.25">
      <c r="A3" s="5" t="s">
        <v>60</v>
      </c>
      <c r="B3" s="5" t="s">
        <v>61</v>
      </c>
      <c r="C3" s="20">
        <v>40</v>
      </c>
      <c r="D3" s="20">
        <v>25</v>
      </c>
      <c r="E3" s="9">
        <f t="shared" ref="E3:E8" si="0">C3*D3</f>
        <v>1000</v>
      </c>
      <c r="F3" s="20">
        <v>31</v>
      </c>
      <c r="G3" s="11">
        <f t="shared" ref="G3:G8" si="1">IF(C3=0,0,F3/C3)</f>
        <v>0.77500000000000002</v>
      </c>
      <c r="H3" s="21">
        <v>42</v>
      </c>
      <c r="I3" s="21">
        <v>48</v>
      </c>
      <c r="J3" s="9">
        <f>ROUND(C3*'Facility Overview'!$B$9,0)</f>
        <v>37</v>
      </c>
      <c r="K3" s="17">
        <f t="shared" ref="K3:K8" si="2">F3*H3</f>
        <v>1302</v>
      </c>
      <c r="L3" s="17">
        <f t="shared" ref="L3:L8" si="3">J3*I3</f>
        <v>1776</v>
      </c>
      <c r="M3" s="11">
        <f t="shared" ref="M3:M8" si="4">IF(H3=0,0,I3/H3-1)</f>
        <v>0.14285714285714279</v>
      </c>
      <c r="N3" s="2"/>
      <c r="O3" s="6" t="s">
        <v>62</v>
      </c>
      <c r="P3" s="22">
        <f>SUM(F3:F8)</f>
        <v>162</v>
      </c>
    </row>
    <row r="4" spans="1:16" x14ac:dyDescent="0.25">
      <c r="A4" s="5" t="s">
        <v>63</v>
      </c>
      <c r="B4" s="5" t="s">
        <v>61</v>
      </c>
      <c r="C4" s="20">
        <v>55</v>
      </c>
      <c r="D4" s="20">
        <v>50</v>
      </c>
      <c r="E4" s="9">
        <f t="shared" si="0"/>
        <v>2750</v>
      </c>
      <c r="F4" s="20">
        <v>44</v>
      </c>
      <c r="G4" s="11">
        <f t="shared" si="1"/>
        <v>0.8</v>
      </c>
      <c r="H4" s="21">
        <v>62</v>
      </c>
      <c r="I4" s="21">
        <v>69</v>
      </c>
      <c r="J4" s="9">
        <f>ROUND(C4*'Facility Overview'!$B$9,0)</f>
        <v>51</v>
      </c>
      <c r="K4" s="17">
        <f t="shared" si="2"/>
        <v>2728</v>
      </c>
      <c r="L4" s="17">
        <f t="shared" si="3"/>
        <v>3519</v>
      </c>
      <c r="M4" s="11">
        <f t="shared" si="4"/>
        <v>0.11290322580645151</v>
      </c>
      <c r="N4" s="2"/>
      <c r="O4" s="6" t="s">
        <v>64</v>
      </c>
      <c r="P4" s="23">
        <f>SUM(K3:K8)</f>
        <v>12834</v>
      </c>
    </row>
    <row r="5" spans="1:16" x14ac:dyDescent="0.25">
      <c r="A5" s="5" t="s">
        <v>65</v>
      </c>
      <c r="B5" s="5" t="s">
        <v>66</v>
      </c>
      <c r="C5" s="20">
        <v>64</v>
      </c>
      <c r="D5" s="20">
        <v>100</v>
      </c>
      <c r="E5" s="9">
        <f t="shared" si="0"/>
        <v>6400</v>
      </c>
      <c r="F5" s="20">
        <v>50</v>
      </c>
      <c r="G5" s="11">
        <f t="shared" si="1"/>
        <v>0.78125</v>
      </c>
      <c r="H5" s="21">
        <v>88</v>
      </c>
      <c r="I5" s="21">
        <v>97</v>
      </c>
      <c r="J5" s="9">
        <f>ROUND(C5*'Facility Overview'!$B$9,0)</f>
        <v>59</v>
      </c>
      <c r="K5" s="17">
        <f t="shared" si="2"/>
        <v>4400</v>
      </c>
      <c r="L5" s="17">
        <f t="shared" si="3"/>
        <v>5723</v>
      </c>
      <c r="M5" s="11">
        <f t="shared" si="4"/>
        <v>0.10227272727272729</v>
      </c>
      <c r="N5" s="2"/>
      <c r="O5" s="6" t="s">
        <v>67</v>
      </c>
      <c r="P5" s="23">
        <f>SUM(L3:L8)</f>
        <v>18521</v>
      </c>
    </row>
    <row r="6" spans="1:16" x14ac:dyDescent="0.25">
      <c r="A6" s="5" t="s">
        <v>68</v>
      </c>
      <c r="B6" s="5" t="s">
        <v>69</v>
      </c>
      <c r="C6" s="20">
        <v>28</v>
      </c>
      <c r="D6" s="20">
        <v>150</v>
      </c>
      <c r="E6" s="9">
        <f t="shared" si="0"/>
        <v>4200</v>
      </c>
      <c r="F6" s="20">
        <v>18</v>
      </c>
      <c r="G6" s="11">
        <f t="shared" si="1"/>
        <v>0.6428571428571429</v>
      </c>
      <c r="H6" s="21">
        <v>112</v>
      </c>
      <c r="I6" s="21">
        <v>126</v>
      </c>
      <c r="J6" s="9">
        <f>ROUND(C6*'Facility Overview'!$B$9,0)</f>
        <v>26</v>
      </c>
      <c r="K6" s="17">
        <f t="shared" si="2"/>
        <v>2016</v>
      </c>
      <c r="L6" s="17">
        <f t="shared" si="3"/>
        <v>3276</v>
      </c>
      <c r="M6" s="11">
        <f t="shared" si="4"/>
        <v>0.125</v>
      </c>
      <c r="N6" s="2"/>
      <c r="O6" s="6" t="s">
        <v>70</v>
      </c>
      <c r="P6" s="22" t="str">
        <f ca="1">IFERROR(_xludf.MINIFS(A17:A40,F17:F40,"&gt;="&amp;'Facility Overview'!$B$9),"")</f>
        <v/>
      </c>
    </row>
    <row r="7" spans="1:16" x14ac:dyDescent="0.25">
      <c r="A7" s="5" t="s">
        <v>71</v>
      </c>
      <c r="B7" s="5" t="s">
        <v>69</v>
      </c>
      <c r="C7" s="20">
        <v>18</v>
      </c>
      <c r="D7" s="20">
        <v>200</v>
      </c>
      <c r="E7" s="9">
        <f t="shared" si="0"/>
        <v>3600</v>
      </c>
      <c r="F7" s="20">
        <v>11</v>
      </c>
      <c r="G7" s="11">
        <f t="shared" si="1"/>
        <v>0.61111111111111116</v>
      </c>
      <c r="H7" s="21">
        <v>156</v>
      </c>
      <c r="I7" s="21">
        <v>176</v>
      </c>
      <c r="J7" s="9">
        <f>ROUND(C7*'Facility Overview'!$B$9,0)</f>
        <v>17</v>
      </c>
      <c r="K7" s="17">
        <f t="shared" si="2"/>
        <v>1716</v>
      </c>
      <c r="L7" s="17">
        <f t="shared" si="3"/>
        <v>2992</v>
      </c>
      <c r="M7" s="11">
        <f t="shared" si="4"/>
        <v>0.12820512820512819</v>
      </c>
      <c r="N7" s="2"/>
      <c r="O7" s="6" t="s">
        <v>72</v>
      </c>
      <c r="P7" s="23">
        <f>AVERAGE(L17:L28)</f>
        <v>17191.266545654391</v>
      </c>
    </row>
    <row r="8" spans="1:16" x14ac:dyDescent="0.25">
      <c r="A8" s="5" t="s">
        <v>73</v>
      </c>
      <c r="B8" s="5" t="s">
        <v>74</v>
      </c>
      <c r="C8" s="20">
        <v>14</v>
      </c>
      <c r="D8" s="20">
        <v>300</v>
      </c>
      <c r="E8" s="9">
        <f t="shared" si="0"/>
        <v>4200</v>
      </c>
      <c r="F8" s="20">
        <v>8</v>
      </c>
      <c r="G8" s="11">
        <f t="shared" si="1"/>
        <v>0.5714285714285714</v>
      </c>
      <c r="H8" s="21">
        <v>84</v>
      </c>
      <c r="I8" s="21">
        <v>95</v>
      </c>
      <c r="J8" s="9">
        <f>ROUND(C8*'Facility Overview'!$B$9,0)</f>
        <v>13</v>
      </c>
      <c r="K8" s="17">
        <f t="shared" si="2"/>
        <v>672</v>
      </c>
      <c r="L8" s="17">
        <f t="shared" si="3"/>
        <v>1235</v>
      </c>
      <c r="M8" s="11">
        <f t="shared" si="4"/>
        <v>0.13095238095238093</v>
      </c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8.75" x14ac:dyDescent="0.25">
      <c r="A15" s="1" t="s">
        <v>75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82</v>
      </c>
      <c r="H16" s="3" t="s">
        <v>83</v>
      </c>
      <c r="I16" s="3" t="s">
        <v>84</v>
      </c>
      <c r="J16" s="3" t="s">
        <v>85</v>
      </c>
      <c r="K16" s="3" t="s">
        <v>86</v>
      </c>
      <c r="L16" s="3" t="s">
        <v>87</v>
      </c>
      <c r="M16" s="2"/>
      <c r="N16" s="2"/>
      <c r="O16" s="2"/>
      <c r="P16" s="2"/>
    </row>
    <row r="17" spans="1:16" x14ac:dyDescent="0.25">
      <c r="A17" s="24">
        <v>1</v>
      </c>
      <c r="B17" s="9">
        <f>SUM(F3:F8)</f>
        <v>162</v>
      </c>
      <c r="C17" s="9">
        <f>MIN('Facility Overview'!$B$30,'Facility Overview'!$B$6-B17)</f>
        <v>7</v>
      </c>
      <c r="D17" s="9">
        <f>ROUND(B17*'Facility Overview'!$B$31,0)</f>
        <v>2</v>
      </c>
      <c r="E17" s="9">
        <f>MAX(0,MIN('Facility Overview'!$B$6,B17+C17-D17))</f>
        <v>167</v>
      </c>
      <c r="F17" s="11">
        <f>IF('Facility Overview'!$B$6=0,0,E17/'Facility Overview'!$B$6)</f>
        <v>0.76255707762557079</v>
      </c>
      <c r="G17" s="14">
        <f>('Facility Overview'!$B$10+(MIN(A17,24)/24)*('Facility Overview'!$B$11-'Facility Overview'!$B$10))*(1+'Facility Overview'!$B$32/12)^(A17-1)</f>
        <v>79.722815179711745</v>
      </c>
      <c r="H17" s="17">
        <f t="shared" ref="H17:H40" si="5">E17*G17</f>
        <v>13313.710135011861</v>
      </c>
      <c r="I17" s="17">
        <f>E17*'Facility Overview'!$B$33</f>
        <v>1503</v>
      </c>
      <c r="J17" s="17">
        <f t="shared" ref="J17:J40" si="6">H17+I17</f>
        <v>14816.710135011861</v>
      </c>
      <c r="K17" s="17">
        <f>J17*'Facility Overview'!$B$34*-1</f>
        <v>-296.3342027002372</v>
      </c>
      <c r="L17" s="17">
        <f t="shared" ref="L17:L40" si="7">J17+K17</f>
        <v>14520.375932311625</v>
      </c>
      <c r="M17" s="2"/>
      <c r="N17" s="2"/>
      <c r="O17" s="2"/>
      <c r="P17" s="2"/>
    </row>
    <row r="18" spans="1:16" x14ac:dyDescent="0.25">
      <c r="A18" s="24">
        <v>2</v>
      </c>
      <c r="B18" s="9">
        <f t="shared" ref="B18:B40" si="8">E17</f>
        <v>167</v>
      </c>
      <c r="C18" s="9">
        <f>MIN('Facility Overview'!$B$30,'Facility Overview'!$B$6-B18)</f>
        <v>7</v>
      </c>
      <c r="D18" s="9">
        <f>ROUND(B18*'Facility Overview'!$B$31,0)</f>
        <v>3</v>
      </c>
      <c r="E18" s="9">
        <f>MAX(0,MIN('Facility Overview'!$B$6,B18+C18-D18))</f>
        <v>171</v>
      </c>
      <c r="F18" s="11">
        <f>IF('Facility Overview'!$B$6=0,0,E18/'Facility Overview'!$B$6)</f>
        <v>0.78082191780821919</v>
      </c>
      <c r="G18" s="14">
        <f>('Facility Overview'!$B$10+(MIN(A18,24)/24)*('Facility Overview'!$B$11-'Facility Overview'!$B$10))*(1+'Facility Overview'!$B$32/12)^(A18-1)</f>
        <v>80.423966657544241</v>
      </c>
      <c r="H18" s="17">
        <f t="shared" si="5"/>
        <v>13752.498298440065</v>
      </c>
      <c r="I18" s="17">
        <f>E18*'Facility Overview'!$B$33</f>
        <v>1539</v>
      </c>
      <c r="J18" s="17">
        <f t="shared" si="6"/>
        <v>15291.498298440065</v>
      </c>
      <c r="K18" s="17">
        <f>J18*'Facility Overview'!$B$34*-1</f>
        <v>-305.82996596880133</v>
      </c>
      <c r="L18" s="17">
        <f t="shared" si="7"/>
        <v>14985.668332471263</v>
      </c>
      <c r="M18" s="2"/>
      <c r="N18" s="2"/>
      <c r="O18" s="2"/>
      <c r="P18" s="2"/>
    </row>
    <row r="19" spans="1:16" x14ac:dyDescent="0.25">
      <c r="A19" s="24">
        <v>3</v>
      </c>
      <c r="B19" s="9">
        <f t="shared" si="8"/>
        <v>171</v>
      </c>
      <c r="C19" s="9">
        <f>MIN('Facility Overview'!$B$30,'Facility Overview'!$B$6-B19)</f>
        <v>7</v>
      </c>
      <c r="D19" s="9">
        <f>ROUND(B19*'Facility Overview'!$B$31,0)</f>
        <v>3</v>
      </c>
      <c r="E19" s="9">
        <f>MAX(0,MIN('Facility Overview'!$B$6,B19+C19-D19))</f>
        <v>175</v>
      </c>
      <c r="F19" s="11">
        <f>IF('Facility Overview'!$B$6=0,0,E19/'Facility Overview'!$B$6)</f>
        <v>0.79908675799086759</v>
      </c>
      <c r="G19" s="14">
        <f>('Facility Overview'!$B$10+(MIN(A19,24)/24)*('Facility Overview'!$B$11-'Facility Overview'!$B$10))*(1+'Facility Overview'!$B$32/12)^(A19-1)</f>
        <v>81.128125625171037</v>
      </c>
      <c r="H19" s="17">
        <f t="shared" si="5"/>
        <v>14197.421984404931</v>
      </c>
      <c r="I19" s="17">
        <f>E19*'Facility Overview'!$B$33</f>
        <v>1575</v>
      </c>
      <c r="J19" s="17">
        <f t="shared" si="6"/>
        <v>15772.421984404931</v>
      </c>
      <c r="K19" s="17">
        <f>J19*'Facility Overview'!$B$34*-1</f>
        <v>-315.44843968809863</v>
      </c>
      <c r="L19" s="17">
        <f t="shared" si="7"/>
        <v>15456.973544716833</v>
      </c>
      <c r="M19" s="2"/>
      <c r="N19" s="2"/>
      <c r="O19" s="2"/>
      <c r="P19" s="2"/>
    </row>
    <row r="20" spans="1:16" x14ac:dyDescent="0.25">
      <c r="A20" s="24">
        <v>4</v>
      </c>
      <c r="B20" s="9">
        <f t="shared" si="8"/>
        <v>175</v>
      </c>
      <c r="C20" s="9">
        <f>MIN('Facility Overview'!$B$30,'Facility Overview'!$B$6-B20)</f>
        <v>7</v>
      </c>
      <c r="D20" s="9">
        <f>ROUND(B20*'Facility Overview'!$B$31,0)</f>
        <v>3</v>
      </c>
      <c r="E20" s="9">
        <f>MAX(0,MIN('Facility Overview'!$B$6,B20+C20-D20))</f>
        <v>179</v>
      </c>
      <c r="F20" s="11">
        <f>IF('Facility Overview'!$B$6=0,0,E20/'Facility Overview'!$B$6)</f>
        <v>0.81735159817351599</v>
      </c>
      <c r="G20" s="14">
        <f>('Facility Overview'!$B$10+(MIN(A20,24)/24)*('Facility Overview'!$B$11-'Facility Overview'!$B$10))*(1+'Facility Overview'!$B$32/12)^(A20-1)</f>
        <v>81.835302737844358</v>
      </c>
      <c r="H20" s="17">
        <f t="shared" si="5"/>
        <v>14648.519190074141</v>
      </c>
      <c r="I20" s="17">
        <f>E20*'Facility Overview'!$B$33</f>
        <v>1611</v>
      </c>
      <c r="J20" s="17">
        <f t="shared" si="6"/>
        <v>16259.519190074141</v>
      </c>
      <c r="K20" s="17">
        <f>J20*'Facility Overview'!$B$34*-1</f>
        <v>-325.19038380148282</v>
      </c>
      <c r="L20" s="17">
        <f t="shared" si="7"/>
        <v>15934.328806272659</v>
      </c>
      <c r="M20" s="2"/>
      <c r="N20" s="2"/>
      <c r="O20" s="2"/>
      <c r="P20" s="2"/>
    </row>
    <row r="21" spans="1:16" x14ac:dyDescent="0.25">
      <c r="A21" s="24">
        <v>5</v>
      </c>
      <c r="B21" s="9">
        <f t="shared" si="8"/>
        <v>179</v>
      </c>
      <c r="C21" s="9">
        <f>MIN('Facility Overview'!$B$30,'Facility Overview'!$B$6-B21)</f>
        <v>7</v>
      </c>
      <c r="D21" s="9">
        <f>ROUND(B21*'Facility Overview'!$B$31,0)</f>
        <v>3</v>
      </c>
      <c r="E21" s="9">
        <f>MAX(0,MIN('Facility Overview'!$B$6,B21+C21-D21))</f>
        <v>183</v>
      </c>
      <c r="F21" s="11">
        <f>IF('Facility Overview'!$B$6=0,0,E21/'Facility Overview'!$B$6)</f>
        <v>0.83561643835616439</v>
      </c>
      <c r="G21" s="14">
        <f>('Facility Overview'!$B$10+(MIN(A21,24)/24)*('Facility Overview'!$B$11-'Facility Overview'!$B$10))*(1+'Facility Overview'!$B$32/12)^(A21-1)</f>
        <v>82.5455086852959</v>
      </c>
      <c r="H21" s="17">
        <f t="shared" si="5"/>
        <v>15105.828089409149</v>
      </c>
      <c r="I21" s="17">
        <f>E21*'Facility Overview'!$B$33</f>
        <v>1647</v>
      </c>
      <c r="J21" s="17">
        <f t="shared" si="6"/>
        <v>16752.828089409151</v>
      </c>
      <c r="K21" s="17">
        <f>J21*'Facility Overview'!$B$34*-1</f>
        <v>-335.05656178818305</v>
      </c>
      <c r="L21" s="17">
        <f t="shared" si="7"/>
        <v>16417.771527620967</v>
      </c>
      <c r="M21" s="2"/>
      <c r="N21" s="2"/>
      <c r="O21" s="2"/>
      <c r="P21" s="2"/>
    </row>
    <row r="22" spans="1:16" x14ac:dyDescent="0.25">
      <c r="A22" s="24">
        <v>6</v>
      </c>
      <c r="B22" s="9">
        <f t="shared" si="8"/>
        <v>183</v>
      </c>
      <c r="C22" s="9">
        <f>MIN('Facility Overview'!$B$30,'Facility Overview'!$B$6-B22)</f>
        <v>7</v>
      </c>
      <c r="D22" s="9">
        <f>ROUND(B22*'Facility Overview'!$B$31,0)</f>
        <v>3</v>
      </c>
      <c r="E22" s="9">
        <f>MAX(0,MIN('Facility Overview'!$B$6,B22+C22-D22))</f>
        <v>187</v>
      </c>
      <c r="F22" s="11">
        <f>IF('Facility Overview'!$B$6=0,0,E22/'Facility Overview'!$B$6)</f>
        <v>0.85388127853881279</v>
      </c>
      <c r="G22" s="14">
        <f>('Facility Overview'!$B$10+(MIN(A22,24)/24)*('Facility Overview'!$B$11-'Facility Overview'!$B$10))*(1+'Facility Overview'!$B$32/12)^(A22-1)</f>
        <v>83.258754191842584</v>
      </c>
      <c r="H22" s="17">
        <f t="shared" si="5"/>
        <v>15569.387033874564</v>
      </c>
      <c r="I22" s="17">
        <f>E22*'Facility Overview'!$B$33</f>
        <v>1683</v>
      </c>
      <c r="J22" s="17">
        <f t="shared" si="6"/>
        <v>17252.387033874562</v>
      </c>
      <c r="K22" s="17">
        <f>J22*'Facility Overview'!$B$34*-1</f>
        <v>-345.04774067749122</v>
      </c>
      <c r="L22" s="17">
        <f t="shared" si="7"/>
        <v>16907.33929319707</v>
      </c>
      <c r="M22" s="2"/>
      <c r="N22" s="2"/>
      <c r="O22" s="2"/>
      <c r="P22" s="2"/>
    </row>
    <row r="23" spans="1:16" x14ac:dyDescent="0.25">
      <c r="A23" s="24">
        <v>7</v>
      </c>
      <c r="B23" s="9">
        <f t="shared" si="8"/>
        <v>187</v>
      </c>
      <c r="C23" s="9">
        <f>MIN('Facility Overview'!$B$30,'Facility Overview'!$B$6-B23)</f>
        <v>7</v>
      </c>
      <c r="D23" s="9">
        <f>ROUND(B23*'Facility Overview'!$B$31,0)</f>
        <v>3</v>
      </c>
      <c r="E23" s="9">
        <f>MAX(0,MIN('Facility Overview'!$B$6,B23+C23-D23))</f>
        <v>191</v>
      </c>
      <c r="F23" s="11">
        <f>IF('Facility Overview'!$B$6=0,0,E23/'Facility Overview'!$B$6)</f>
        <v>0.87214611872146119</v>
      </c>
      <c r="G23" s="14">
        <f>('Facility Overview'!$B$10+(MIN(A23,24)/24)*('Facility Overview'!$B$11-'Facility Overview'!$B$10))*(1+'Facility Overview'!$B$32/12)^(A23-1)</f>
        <v>83.975050016492702</v>
      </c>
      <c r="H23" s="17">
        <f t="shared" si="5"/>
        <v>16039.234553150107</v>
      </c>
      <c r="I23" s="17">
        <f>E23*'Facility Overview'!$B$33</f>
        <v>1719</v>
      </c>
      <c r="J23" s="17">
        <f t="shared" si="6"/>
        <v>17758.234553150105</v>
      </c>
      <c r="K23" s="17">
        <f>J23*'Facility Overview'!$B$34*-1</f>
        <v>-355.16469106300212</v>
      </c>
      <c r="L23" s="17">
        <f t="shared" si="7"/>
        <v>17403.069862087104</v>
      </c>
      <c r="M23" s="2"/>
      <c r="N23" s="2"/>
      <c r="O23" s="2"/>
      <c r="P23" s="2"/>
    </row>
    <row r="24" spans="1:16" x14ac:dyDescent="0.25">
      <c r="A24" s="24">
        <v>8</v>
      </c>
      <c r="B24" s="9">
        <f t="shared" si="8"/>
        <v>191</v>
      </c>
      <c r="C24" s="9">
        <f>MIN('Facility Overview'!$B$30,'Facility Overview'!$B$6-B24)</f>
        <v>7</v>
      </c>
      <c r="D24" s="9">
        <f>ROUND(B24*'Facility Overview'!$B$31,0)</f>
        <v>3</v>
      </c>
      <c r="E24" s="9">
        <f>MAX(0,MIN('Facility Overview'!$B$6,B24+C24-D24))</f>
        <v>195</v>
      </c>
      <c r="F24" s="11">
        <f>IF('Facility Overview'!$B$6=0,0,E24/'Facility Overview'!$B$6)</f>
        <v>0.8904109589041096</v>
      </c>
      <c r="G24" s="14">
        <f>('Facility Overview'!$B$10+(MIN(A24,24)/24)*('Facility Overview'!$B$11-'Facility Overview'!$B$10))*(1+'Facility Overview'!$B$32/12)^(A24-1)</f>
        <v>84.694406953052379</v>
      </c>
      <c r="H24" s="17">
        <f t="shared" si="5"/>
        <v>16515.409355845215</v>
      </c>
      <c r="I24" s="17">
        <f>E24*'Facility Overview'!$B$33</f>
        <v>1755</v>
      </c>
      <c r="J24" s="17">
        <f t="shared" si="6"/>
        <v>18270.409355845215</v>
      </c>
      <c r="K24" s="17">
        <f>J24*'Facility Overview'!$B$34*-1</f>
        <v>-365.40818711690429</v>
      </c>
      <c r="L24" s="17">
        <f t="shared" si="7"/>
        <v>17905.001168728311</v>
      </c>
      <c r="M24" s="2"/>
      <c r="N24" s="2"/>
      <c r="O24" s="2"/>
      <c r="P24" s="2"/>
    </row>
    <row r="25" spans="1:16" x14ac:dyDescent="0.25">
      <c r="A25" s="24">
        <v>9</v>
      </c>
      <c r="B25" s="9">
        <f t="shared" si="8"/>
        <v>195</v>
      </c>
      <c r="C25" s="9">
        <f>MIN('Facility Overview'!$B$30,'Facility Overview'!$B$6-B25)</f>
        <v>7</v>
      </c>
      <c r="D25" s="9">
        <f>ROUND(B25*'Facility Overview'!$B$31,0)</f>
        <v>3</v>
      </c>
      <c r="E25" s="9">
        <f>MAX(0,MIN('Facility Overview'!$B$6,B25+C25-D25))</f>
        <v>199</v>
      </c>
      <c r="F25" s="11">
        <f>IF('Facility Overview'!$B$6=0,0,E25/'Facility Overview'!$B$6)</f>
        <v>0.908675799086758</v>
      </c>
      <c r="G25" s="14">
        <f>('Facility Overview'!$B$10+(MIN(A25,24)/24)*('Facility Overview'!$B$11-'Facility Overview'!$B$10))*(1+'Facility Overview'!$B$32/12)^(A25-1)</f>
        <v>85.416835830232259</v>
      </c>
      <c r="H25" s="17">
        <f t="shared" si="5"/>
        <v>16997.950330216219</v>
      </c>
      <c r="I25" s="17">
        <f>E25*'Facility Overview'!$B$33</f>
        <v>1791</v>
      </c>
      <c r="J25" s="17">
        <f t="shared" si="6"/>
        <v>18788.950330216219</v>
      </c>
      <c r="K25" s="17">
        <f>J25*'Facility Overview'!$B$34*-1</f>
        <v>-375.77900660432437</v>
      </c>
      <c r="L25" s="17">
        <f t="shared" si="7"/>
        <v>18413.171323611896</v>
      </c>
      <c r="M25" s="2"/>
      <c r="N25" s="2"/>
      <c r="O25" s="2"/>
      <c r="P25" s="2"/>
    </row>
    <row r="26" spans="1:16" x14ac:dyDescent="0.25">
      <c r="A26" s="24">
        <v>10</v>
      </c>
      <c r="B26" s="9">
        <f t="shared" si="8"/>
        <v>199</v>
      </c>
      <c r="C26" s="9">
        <f>MIN('Facility Overview'!$B$30,'Facility Overview'!$B$6-B26)</f>
        <v>7</v>
      </c>
      <c r="D26" s="9">
        <f>ROUND(B26*'Facility Overview'!$B$31,0)</f>
        <v>3</v>
      </c>
      <c r="E26" s="9">
        <f>MAX(0,MIN('Facility Overview'!$B$6,B26+C26-D26))</f>
        <v>203</v>
      </c>
      <c r="F26" s="11">
        <f>IF('Facility Overview'!$B$6=0,0,E26/'Facility Overview'!$B$6)</f>
        <v>0.9269406392694064</v>
      </c>
      <c r="G26" s="14">
        <f>('Facility Overview'!$B$10+(MIN(A26,24)/24)*('Facility Overview'!$B$11-'Facility Overview'!$B$10))*(1+'Facility Overview'!$B$32/12)^(A26-1)</f>
        <v>86.142347511754579</v>
      </c>
      <c r="H26" s="17">
        <f t="shared" si="5"/>
        <v>17486.896544886178</v>
      </c>
      <c r="I26" s="17">
        <f>E26*'Facility Overview'!$B$33</f>
        <v>1827</v>
      </c>
      <c r="J26" s="17">
        <f t="shared" si="6"/>
        <v>19313.896544886178</v>
      </c>
      <c r="K26" s="17">
        <f>J26*'Facility Overview'!$B$34*-1</f>
        <v>-386.27793089772359</v>
      </c>
      <c r="L26" s="17">
        <f t="shared" si="7"/>
        <v>18927.618613988456</v>
      </c>
      <c r="M26" s="2"/>
      <c r="N26" s="2"/>
      <c r="O26" s="2"/>
      <c r="P26" s="2"/>
    </row>
    <row r="27" spans="1:16" x14ac:dyDescent="0.25">
      <c r="A27" s="24">
        <v>11</v>
      </c>
      <c r="B27" s="9">
        <f t="shared" si="8"/>
        <v>203</v>
      </c>
      <c r="C27" s="9">
        <f>MIN('Facility Overview'!$B$30,'Facility Overview'!$B$6-B27)</f>
        <v>7</v>
      </c>
      <c r="D27" s="9">
        <f>ROUND(B27*'Facility Overview'!$B$31,0)</f>
        <v>3</v>
      </c>
      <c r="E27" s="9">
        <f>MAX(0,MIN('Facility Overview'!$B$6,B27+C27-D27))</f>
        <v>207</v>
      </c>
      <c r="F27" s="11">
        <f>IF('Facility Overview'!$B$6=0,0,E27/'Facility Overview'!$B$6)</f>
        <v>0.9452054794520548</v>
      </c>
      <c r="G27" s="14">
        <f>('Facility Overview'!$B$10+(MIN(A27,24)/24)*('Facility Overview'!$B$11-'Facility Overview'!$B$10))*(1+'Facility Overview'!$B$32/12)^(A27-1)</f>
        <v>86.870952896460551</v>
      </c>
      <c r="H27" s="17">
        <f t="shared" si="5"/>
        <v>17982.287249567333</v>
      </c>
      <c r="I27" s="17">
        <f>E27*'Facility Overview'!$B$33</f>
        <v>1863</v>
      </c>
      <c r="J27" s="17">
        <f t="shared" si="6"/>
        <v>19845.287249567333</v>
      </c>
      <c r="K27" s="17">
        <f>J27*'Facility Overview'!$B$34*-1</f>
        <v>-396.90574499134664</v>
      </c>
      <c r="L27" s="17">
        <f t="shared" si="7"/>
        <v>19448.381504575987</v>
      </c>
      <c r="M27" s="2"/>
      <c r="N27" s="2"/>
      <c r="O27" s="2"/>
      <c r="P27" s="2"/>
    </row>
    <row r="28" spans="1:16" x14ac:dyDescent="0.25">
      <c r="A28" s="24">
        <v>12</v>
      </c>
      <c r="B28" s="9">
        <f t="shared" si="8"/>
        <v>207</v>
      </c>
      <c r="C28" s="9">
        <f>MIN('Facility Overview'!$B$30,'Facility Overview'!$B$6-B28)</f>
        <v>7</v>
      </c>
      <c r="D28" s="9">
        <f>ROUND(B28*'Facility Overview'!$B$31,0)</f>
        <v>3</v>
      </c>
      <c r="E28" s="9">
        <f>MAX(0,MIN('Facility Overview'!$B$6,B28+C28-D28))</f>
        <v>211</v>
      </c>
      <c r="F28" s="11">
        <f>IF('Facility Overview'!$B$6=0,0,E28/'Facility Overview'!$B$6)</f>
        <v>0.9634703196347032</v>
      </c>
      <c r="G28" s="14">
        <f>('Facility Overview'!$B$10+(MIN(A28,24)/24)*('Facility Overview'!$B$11-'Facility Overview'!$B$10))*(1+'Facility Overview'!$B$32/12)^(A28-1)</f>
        <v>87.602662918418119</v>
      </c>
      <c r="H28" s="17">
        <f t="shared" si="5"/>
        <v>18484.161875786223</v>
      </c>
      <c r="I28" s="17">
        <f>E28*'Facility Overview'!$B$33</f>
        <v>1899</v>
      </c>
      <c r="J28" s="17">
        <f t="shared" si="6"/>
        <v>20383.161875786223</v>
      </c>
      <c r="K28" s="17">
        <f>J28*'Facility Overview'!$B$34*-1</f>
        <v>-407.66323751572446</v>
      </c>
      <c r="L28" s="17">
        <f t="shared" si="7"/>
        <v>19975.498638270499</v>
      </c>
      <c r="M28" s="2"/>
      <c r="N28" s="2"/>
      <c r="O28" s="2"/>
      <c r="P28" s="2"/>
    </row>
    <row r="29" spans="1:16" x14ac:dyDescent="0.25">
      <c r="A29" s="24">
        <v>13</v>
      </c>
      <c r="B29" s="9">
        <f t="shared" si="8"/>
        <v>211</v>
      </c>
      <c r="C29" s="9">
        <f>MIN('Facility Overview'!$B$30,'Facility Overview'!$B$6-B29)</f>
        <v>7</v>
      </c>
      <c r="D29" s="9">
        <f>ROUND(B29*'Facility Overview'!$B$31,0)</f>
        <v>3</v>
      </c>
      <c r="E29" s="9">
        <f>MAX(0,MIN('Facility Overview'!$B$6,B29+C29-D29))</f>
        <v>215</v>
      </c>
      <c r="F29" s="11">
        <f>IF('Facility Overview'!$B$6=0,0,E29/'Facility Overview'!$B$6)</f>
        <v>0.9817351598173516</v>
      </c>
      <c r="G29" s="14">
        <f>('Facility Overview'!$B$10+(MIN(A29,24)/24)*('Facility Overview'!$B$11-'Facility Overview'!$B$10))*(1+'Facility Overview'!$B$32/12)^(A29-1)</f>
        <v>88.337488547029878</v>
      </c>
      <c r="H29" s="17">
        <f t="shared" si="5"/>
        <v>18992.560037611423</v>
      </c>
      <c r="I29" s="17">
        <f>E29*'Facility Overview'!$B$33</f>
        <v>1935</v>
      </c>
      <c r="J29" s="17">
        <f t="shared" si="6"/>
        <v>20927.560037611423</v>
      </c>
      <c r="K29" s="17">
        <f>J29*'Facility Overview'!$B$34*-1</f>
        <v>-418.55120075222845</v>
      </c>
      <c r="L29" s="17">
        <f t="shared" si="7"/>
        <v>20509.008836859193</v>
      </c>
      <c r="M29" s="2"/>
      <c r="N29" s="2"/>
      <c r="O29" s="2"/>
      <c r="P29" s="2"/>
    </row>
    <row r="30" spans="1:16" x14ac:dyDescent="0.25">
      <c r="A30" s="24">
        <v>14</v>
      </c>
      <c r="B30" s="9">
        <f t="shared" si="8"/>
        <v>215</v>
      </c>
      <c r="C30" s="9">
        <f>MIN('Facility Overview'!$B$30,'Facility Overview'!$B$6-B30)</f>
        <v>4</v>
      </c>
      <c r="D30" s="9">
        <f>ROUND(B30*'Facility Overview'!$B$31,0)</f>
        <v>3</v>
      </c>
      <c r="E30" s="9">
        <f>MAX(0,MIN('Facility Overview'!$B$6,B30+C30-D30))</f>
        <v>216</v>
      </c>
      <c r="F30" s="11">
        <f>IF('Facility Overview'!$B$6=0,0,E30/'Facility Overview'!$B$6)</f>
        <v>0.98630136986301364</v>
      </c>
      <c r="G30" s="14">
        <f>('Facility Overview'!$B$10+(MIN(A30,24)/24)*('Facility Overview'!$B$11-'Facility Overview'!$B$10))*(1+'Facility Overview'!$B$32/12)^(A30-1)</f>
        <v>89.075440787141474</v>
      </c>
      <c r="H30" s="17">
        <f t="shared" si="5"/>
        <v>19240.295210022559</v>
      </c>
      <c r="I30" s="17">
        <f>E30*'Facility Overview'!$B$33</f>
        <v>1944</v>
      </c>
      <c r="J30" s="17">
        <f t="shared" si="6"/>
        <v>21184.295210022559</v>
      </c>
      <c r="K30" s="17">
        <f>J30*'Facility Overview'!$B$34*-1</f>
        <v>-423.6859042004512</v>
      </c>
      <c r="L30" s="17">
        <f t="shared" si="7"/>
        <v>20760.609305822109</v>
      </c>
      <c r="M30" s="2"/>
      <c r="N30" s="2"/>
      <c r="O30" s="2"/>
      <c r="P30" s="2"/>
    </row>
    <row r="31" spans="1:16" x14ac:dyDescent="0.25">
      <c r="A31" s="24">
        <v>15</v>
      </c>
      <c r="B31" s="9">
        <f t="shared" si="8"/>
        <v>216</v>
      </c>
      <c r="C31" s="9">
        <f>MIN('Facility Overview'!$B$30,'Facility Overview'!$B$6-B31)</f>
        <v>3</v>
      </c>
      <c r="D31" s="9">
        <f>ROUND(B31*'Facility Overview'!$B$31,0)</f>
        <v>3</v>
      </c>
      <c r="E31" s="9">
        <f>MAX(0,MIN('Facility Overview'!$B$6,B31+C31-D31))</f>
        <v>216</v>
      </c>
      <c r="F31" s="11">
        <f>IF('Facility Overview'!$B$6=0,0,E31/'Facility Overview'!$B$6)</f>
        <v>0.98630136986301364</v>
      </c>
      <c r="G31" s="14">
        <f>('Facility Overview'!$B$10+(MIN(A31,24)/24)*('Facility Overview'!$B$11-'Facility Overview'!$B$10))*(1+'Facility Overview'!$B$32/12)^(A31-1)</f>
        <v>89.816530679150162</v>
      </c>
      <c r="H31" s="17">
        <f t="shared" si="5"/>
        <v>19400.370626696436</v>
      </c>
      <c r="I31" s="17">
        <f>E31*'Facility Overview'!$B$33</f>
        <v>1944</v>
      </c>
      <c r="J31" s="17">
        <f t="shared" si="6"/>
        <v>21344.370626696436</v>
      </c>
      <c r="K31" s="17">
        <f>J31*'Facility Overview'!$B$34*-1</f>
        <v>-426.88741253392874</v>
      </c>
      <c r="L31" s="17">
        <f t="shared" si="7"/>
        <v>20917.483214162508</v>
      </c>
      <c r="M31" s="2"/>
      <c r="N31" s="2"/>
      <c r="O31" s="2"/>
      <c r="P31" s="2"/>
    </row>
    <row r="32" spans="1:16" x14ac:dyDescent="0.25">
      <c r="A32" s="24">
        <v>16</v>
      </c>
      <c r="B32" s="9">
        <f t="shared" si="8"/>
        <v>216</v>
      </c>
      <c r="C32" s="9">
        <f>MIN('Facility Overview'!$B$30,'Facility Overview'!$B$6-B32)</f>
        <v>3</v>
      </c>
      <c r="D32" s="9">
        <f>ROUND(B32*'Facility Overview'!$B$31,0)</f>
        <v>3</v>
      </c>
      <c r="E32" s="9">
        <f>MAX(0,MIN('Facility Overview'!$B$6,B32+C32-D32))</f>
        <v>216</v>
      </c>
      <c r="F32" s="11">
        <f>IF('Facility Overview'!$B$6=0,0,E32/'Facility Overview'!$B$6)</f>
        <v>0.98630136986301364</v>
      </c>
      <c r="G32" s="14">
        <f>('Facility Overview'!$B$10+(MIN(A32,24)/24)*('Facility Overview'!$B$11-'Facility Overview'!$B$10))*(1+'Facility Overview'!$B$32/12)^(A32-1)</f>
        <v>90.560769299114</v>
      </c>
      <c r="H32" s="17">
        <f t="shared" si="5"/>
        <v>19561.126168608625</v>
      </c>
      <c r="I32" s="17">
        <f>E32*'Facility Overview'!$B$33</f>
        <v>1944</v>
      </c>
      <c r="J32" s="17">
        <f t="shared" si="6"/>
        <v>21505.126168608625</v>
      </c>
      <c r="K32" s="17">
        <f>J32*'Facility Overview'!$B$34*-1</f>
        <v>-430.10252337217253</v>
      </c>
      <c r="L32" s="17">
        <f t="shared" si="7"/>
        <v>21075.023645236452</v>
      </c>
      <c r="M32" s="2"/>
      <c r="N32" s="2"/>
      <c r="O32" s="2"/>
      <c r="P32" s="2"/>
    </row>
    <row r="33" spans="1:16" x14ac:dyDescent="0.25">
      <c r="A33" s="24">
        <v>17</v>
      </c>
      <c r="B33" s="9">
        <f t="shared" si="8"/>
        <v>216</v>
      </c>
      <c r="C33" s="9">
        <f>MIN('Facility Overview'!$B$30,'Facility Overview'!$B$6-B33)</f>
        <v>3</v>
      </c>
      <c r="D33" s="9">
        <f>ROUND(B33*'Facility Overview'!$B$31,0)</f>
        <v>3</v>
      </c>
      <c r="E33" s="9">
        <f>MAX(0,MIN('Facility Overview'!$B$6,B33+C33-D33))</f>
        <v>216</v>
      </c>
      <c r="F33" s="11">
        <f>IF('Facility Overview'!$B$6=0,0,E33/'Facility Overview'!$B$6)</f>
        <v>0.98630136986301364</v>
      </c>
      <c r="G33" s="14">
        <f>('Facility Overview'!$B$10+(MIN(A33,24)/24)*('Facility Overview'!$B$11-'Facility Overview'!$B$10))*(1+'Facility Overview'!$B$32/12)^(A33-1)</f>
        <v>91.308167758860947</v>
      </c>
      <c r="H33" s="17">
        <f t="shared" si="5"/>
        <v>19722.564235913964</v>
      </c>
      <c r="I33" s="17">
        <f>E33*'Facility Overview'!$B$33</f>
        <v>1944</v>
      </c>
      <c r="J33" s="17">
        <f t="shared" si="6"/>
        <v>21666.564235913964</v>
      </c>
      <c r="K33" s="17">
        <f>J33*'Facility Overview'!$B$34*-1</f>
        <v>-433.33128471827928</v>
      </c>
      <c r="L33" s="17">
        <f t="shared" si="7"/>
        <v>21233.232951195685</v>
      </c>
      <c r="M33" s="2"/>
      <c r="N33" s="2"/>
      <c r="O33" s="2"/>
      <c r="P33" s="2"/>
    </row>
    <row r="34" spans="1:16" x14ac:dyDescent="0.25">
      <c r="A34" s="24">
        <v>18</v>
      </c>
      <c r="B34" s="9">
        <f t="shared" si="8"/>
        <v>216</v>
      </c>
      <c r="C34" s="9">
        <f>MIN('Facility Overview'!$B$30,'Facility Overview'!$B$6-B34)</f>
        <v>3</v>
      </c>
      <c r="D34" s="9">
        <f>ROUND(B34*'Facility Overview'!$B$31,0)</f>
        <v>3</v>
      </c>
      <c r="E34" s="9">
        <f>MAX(0,MIN('Facility Overview'!$B$6,B34+C34-D34))</f>
        <v>216</v>
      </c>
      <c r="F34" s="11">
        <f>IF('Facility Overview'!$B$6=0,0,E34/'Facility Overview'!$B$6)</f>
        <v>0.98630136986301364</v>
      </c>
      <c r="G34" s="14">
        <f>('Facility Overview'!$B$10+(MIN(A34,24)/24)*('Facility Overview'!$B$11-'Facility Overview'!$B$10))*(1+'Facility Overview'!$B$32/12)^(A34-1)</f>
        <v>92.058737206098456</v>
      </c>
      <c r="H34" s="17">
        <f t="shared" si="5"/>
        <v>19884.687236517268</v>
      </c>
      <c r="I34" s="17">
        <f>E34*'Facility Overview'!$B$33</f>
        <v>1944</v>
      </c>
      <c r="J34" s="17">
        <f t="shared" si="6"/>
        <v>21828.687236517268</v>
      </c>
      <c r="K34" s="17">
        <f>J34*'Facility Overview'!$B$34*-1</f>
        <v>-436.57374473034537</v>
      </c>
      <c r="L34" s="17">
        <f t="shared" si="7"/>
        <v>21392.113491786924</v>
      </c>
      <c r="M34" s="2"/>
      <c r="N34" s="2"/>
      <c r="O34" s="2"/>
      <c r="P34" s="2"/>
    </row>
    <row r="35" spans="1:16" x14ac:dyDescent="0.25">
      <c r="A35" s="24">
        <v>19</v>
      </c>
      <c r="B35" s="9">
        <f t="shared" si="8"/>
        <v>216</v>
      </c>
      <c r="C35" s="9">
        <f>MIN('Facility Overview'!$B$30,'Facility Overview'!$B$6-B35)</f>
        <v>3</v>
      </c>
      <c r="D35" s="9">
        <f>ROUND(B35*'Facility Overview'!$B$31,0)</f>
        <v>3</v>
      </c>
      <c r="E35" s="9">
        <f>MAX(0,MIN('Facility Overview'!$B$6,B35+C35-D35))</f>
        <v>216</v>
      </c>
      <c r="F35" s="11">
        <f>IF('Facility Overview'!$B$6=0,0,E35/'Facility Overview'!$B$6)</f>
        <v>0.98630136986301364</v>
      </c>
      <c r="G35" s="14">
        <f>('Facility Overview'!$B$10+(MIN(A35,24)/24)*('Facility Overview'!$B$11-'Facility Overview'!$B$10))*(1+'Facility Overview'!$B$32/12)^(A35-1)</f>
        <v>92.812488824523683</v>
      </c>
      <c r="H35" s="17">
        <f t="shared" si="5"/>
        <v>20047.497586097117</v>
      </c>
      <c r="I35" s="17">
        <f>E35*'Facility Overview'!$B$33</f>
        <v>1944</v>
      </c>
      <c r="J35" s="17">
        <f t="shared" si="6"/>
        <v>21991.497586097117</v>
      </c>
      <c r="K35" s="17">
        <f>J35*'Facility Overview'!$B$34*-1</f>
        <v>-439.82995172194234</v>
      </c>
      <c r="L35" s="17">
        <f t="shared" si="7"/>
        <v>21551.667634375175</v>
      </c>
      <c r="M35" s="2"/>
      <c r="N35" s="2"/>
      <c r="O35" s="2"/>
      <c r="P35" s="2"/>
    </row>
    <row r="36" spans="1:16" x14ac:dyDescent="0.25">
      <c r="A36" s="24">
        <v>20</v>
      </c>
      <c r="B36" s="9">
        <f t="shared" si="8"/>
        <v>216</v>
      </c>
      <c r="C36" s="9">
        <f>MIN('Facility Overview'!$B$30,'Facility Overview'!$B$6-B36)</f>
        <v>3</v>
      </c>
      <c r="D36" s="9">
        <f>ROUND(B36*'Facility Overview'!$B$31,0)</f>
        <v>3</v>
      </c>
      <c r="E36" s="9">
        <f>MAX(0,MIN('Facility Overview'!$B$6,B36+C36-D36))</f>
        <v>216</v>
      </c>
      <c r="F36" s="11">
        <f>IF('Facility Overview'!$B$6=0,0,E36/'Facility Overview'!$B$6)</f>
        <v>0.98630136986301364</v>
      </c>
      <c r="G36" s="14">
        <f>('Facility Overview'!$B$10+(MIN(A36,24)/24)*('Facility Overview'!$B$11-'Facility Overview'!$B$10))*(1+'Facility Overview'!$B$32/12)^(A36-1)</f>
        <v>93.569433833933488</v>
      </c>
      <c r="H36" s="17">
        <f t="shared" si="5"/>
        <v>20210.997708129635</v>
      </c>
      <c r="I36" s="17">
        <f>E36*'Facility Overview'!$B$33</f>
        <v>1944</v>
      </c>
      <c r="J36" s="17">
        <f t="shared" si="6"/>
        <v>22154.997708129635</v>
      </c>
      <c r="K36" s="17">
        <f>J36*'Facility Overview'!$B$34*-1</f>
        <v>-443.09995416259272</v>
      </c>
      <c r="L36" s="17">
        <f t="shared" si="7"/>
        <v>21711.897753967041</v>
      </c>
      <c r="M36" s="2"/>
      <c r="N36" s="2"/>
      <c r="O36" s="2"/>
      <c r="P36" s="2"/>
    </row>
    <row r="37" spans="1:16" x14ac:dyDescent="0.25">
      <c r="A37" s="24">
        <v>21</v>
      </c>
      <c r="B37" s="9">
        <f t="shared" si="8"/>
        <v>216</v>
      </c>
      <c r="C37" s="9">
        <f>MIN('Facility Overview'!$B$30,'Facility Overview'!$B$6-B37)</f>
        <v>3</v>
      </c>
      <c r="D37" s="9">
        <f>ROUND(B37*'Facility Overview'!$B$31,0)</f>
        <v>3</v>
      </c>
      <c r="E37" s="9">
        <f>MAX(0,MIN('Facility Overview'!$B$6,B37+C37-D37))</f>
        <v>216</v>
      </c>
      <c r="F37" s="11">
        <f>IF('Facility Overview'!$B$6=0,0,E37/'Facility Overview'!$B$6)</f>
        <v>0.98630136986301364</v>
      </c>
      <c r="G37" s="14">
        <f>('Facility Overview'!$B$10+(MIN(A37,24)/24)*('Facility Overview'!$B$11-'Facility Overview'!$B$10))*(1+'Facility Overview'!$B$32/12)^(A37-1)</f>
        <v>94.32958349033521</v>
      </c>
      <c r="H37" s="17">
        <f t="shared" si="5"/>
        <v>20375.190033912404</v>
      </c>
      <c r="I37" s="17">
        <f>E37*'Facility Overview'!$B$33</f>
        <v>1944</v>
      </c>
      <c r="J37" s="17">
        <f t="shared" si="6"/>
        <v>22319.190033912404</v>
      </c>
      <c r="K37" s="17">
        <f>J37*'Facility Overview'!$B$34*-1</f>
        <v>-446.38380067824806</v>
      </c>
      <c r="L37" s="17">
        <f t="shared" si="7"/>
        <v>21872.806233234154</v>
      </c>
      <c r="M37" s="2"/>
      <c r="N37" s="2"/>
      <c r="O37" s="2"/>
      <c r="P37" s="2"/>
    </row>
    <row r="38" spans="1:16" x14ac:dyDescent="0.25">
      <c r="A38" s="24">
        <v>22</v>
      </c>
      <c r="B38" s="9">
        <f t="shared" si="8"/>
        <v>216</v>
      </c>
      <c r="C38" s="9">
        <f>MIN('Facility Overview'!$B$30,'Facility Overview'!$B$6-B38)</f>
        <v>3</v>
      </c>
      <c r="D38" s="9">
        <f>ROUND(B38*'Facility Overview'!$B$31,0)</f>
        <v>3</v>
      </c>
      <c r="E38" s="9">
        <f>MAX(0,MIN('Facility Overview'!$B$6,B38+C38-D38))</f>
        <v>216</v>
      </c>
      <c r="F38" s="11">
        <f>IF('Facility Overview'!$B$6=0,0,E38/'Facility Overview'!$B$6)</f>
        <v>0.98630136986301364</v>
      </c>
      <c r="G38" s="14">
        <f>('Facility Overview'!$B$10+(MIN(A38,24)/24)*('Facility Overview'!$B$11-'Facility Overview'!$B$10))*(1+'Facility Overview'!$B$32/12)^(A38-1)</f>
        <v>95.092949086057445</v>
      </c>
      <c r="H38" s="17">
        <f t="shared" si="5"/>
        <v>20540.077002588409</v>
      </c>
      <c r="I38" s="17">
        <f>E38*'Facility Overview'!$B$33</f>
        <v>1944</v>
      </c>
      <c r="J38" s="17">
        <f t="shared" si="6"/>
        <v>22484.077002588409</v>
      </c>
      <c r="K38" s="17">
        <f>J38*'Facility Overview'!$B$34*-1</f>
        <v>-449.6815400517682</v>
      </c>
      <c r="L38" s="17">
        <f t="shared" si="7"/>
        <v>22034.395462536639</v>
      </c>
      <c r="M38" s="2"/>
      <c r="N38" s="2"/>
      <c r="O38" s="2"/>
      <c r="P38" s="2"/>
    </row>
    <row r="39" spans="1:16" x14ac:dyDescent="0.25">
      <c r="A39" s="24">
        <v>23</v>
      </c>
      <c r="B39" s="9">
        <f t="shared" si="8"/>
        <v>216</v>
      </c>
      <c r="C39" s="9">
        <f>MIN('Facility Overview'!$B$30,'Facility Overview'!$B$6-B39)</f>
        <v>3</v>
      </c>
      <c r="D39" s="9">
        <f>ROUND(B39*'Facility Overview'!$B$31,0)</f>
        <v>3</v>
      </c>
      <c r="E39" s="9">
        <f>MAX(0,MIN('Facility Overview'!$B$6,B39+C39-D39))</f>
        <v>216</v>
      </c>
      <c r="F39" s="11">
        <f>IF('Facility Overview'!$B$6=0,0,E39/'Facility Overview'!$B$6)</f>
        <v>0.98630136986301364</v>
      </c>
      <c r="G39" s="14">
        <f>('Facility Overview'!$B$10+(MIN(A39,24)/24)*('Facility Overview'!$B$11-'Facility Overview'!$B$10))*(1+'Facility Overview'!$B$32/12)^(A39-1)</f>
        <v>95.859541949861466</v>
      </c>
      <c r="H39" s="17">
        <f t="shared" si="5"/>
        <v>20705.661061170078</v>
      </c>
      <c r="I39" s="17">
        <f>E39*'Facility Overview'!$B$33</f>
        <v>1944</v>
      </c>
      <c r="J39" s="17">
        <f t="shared" si="6"/>
        <v>22649.661061170078</v>
      </c>
      <c r="K39" s="17">
        <f>J39*'Facility Overview'!$B$34*-1</f>
        <v>-452.99322122340158</v>
      </c>
      <c r="L39" s="17">
        <f t="shared" si="7"/>
        <v>22196.667839946676</v>
      </c>
      <c r="M39" s="2"/>
      <c r="N39" s="2"/>
      <c r="O39" s="2"/>
      <c r="P39" s="2"/>
    </row>
    <row r="40" spans="1:16" x14ac:dyDescent="0.25">
      <c r="A40" s="24">
        <v>24</v>
      </c>
      <c r="B40" s="9">
        <f t="shared" si="8"/>
        <v>216</v>
      </c>
      <c r="C40" s="9">
        <f>MIN('Facility Overview'!$B$30,'Facility Overview'!$B$6-B40)</f>
        <v>3</v>
      </c>
      <c r="D40" s="9">
        <f>ROUND(B40*'Facility Overview'!$B$31,0)</f>
        <v>3</v>
      </c>
      <c r="E40" s="9">
        <f>MAX(0,MIN('Facility Overview'!$B$6,B40+C40-D40))</f>
        <v>216</v>
      </c>
      <c r="F40" s="11">
        <f>IF('Facility Overview'!$B$6=0,0,E40/'Facility Overview'!$B$6)</f>
        <v>0.98630136986301364</v>
      </c>
      <c r="G40" s="14">
        <f>('Facility Overview'!$B$10+(MIN(A40,24)/24)*('Facility Overview'!$B$11-'Facility Overview'!$B$10))*(1+'Facility Overview'!$B$32/12)^(A40-1)</f>
        <v>96.629373447052771</v>
      </c>
      <c r="H40" s="17">
        <f t="shared" si="5"/>
        <v>20871.944664563398</v>
      </c>
      <c r="I40" s="17">
        <f>E40*'Facility Overview'!$B$33</f>
        <v>1944</v>
      </c>
      <c r="J40" s="17">
        <f t="shared" si="6"/>
        <v>22815.944664563398</v>
      </c>
      <c r="K40" s="17">
        <f>J40*'Facility Overview'!$B$34*-1</f>
        <v>-456.31889329126795</v>
      </c>
      <c r="L40" s="17">
        <f t="shared" si="7"/>
        <v>22359.625771272131</v>
      </c>
      <c r="M40" s="2"/>
      <c r="N40" s="2"/>
      <c r="O40" s="2"/>
      <c r="P40" s="2"/>
    </row>
  </sheetData>
  <conditionalFormatting sqref="F17:F40">
    <cfRule type="cellIs" dxfId="4" priority="1" operator="lessThan">
      <formula>0.85</formula>
    </cfRule>
  </conditionalFormatting>
  <conditionalFormatting sqref="M3:M8">
    <cfRule type="cellIs" dxfId="3" priority="2" operator="greaterThan">
      <formula>0.15</formula>
    </cfRule>
  </conditionalFormatting>
  <pageMargins left="0.75" right="0.75" top="1" bottom="1" header="0.5" footer="0.5"/>
  <ignoredErrors>
    <ignoredError sqref="K17:K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workbookViewId="0">
      <selection activeCell="C4" sqref="C4"/>
    </sheetView>
  </sheetViews>
  <sheetFormatPr defaultRowHeight="15" x14ac:dyDescent="0.25"/>
  <cols>
    <col min="1" max="1" width="21.85546875" bestFit="1" customWidth="1"/>
    <col min="2" max="9" width="16" customWidth="1"/>
    <col min="11" max="11" width="28" customWidth="1"/>
  </cols>
  <sheetData>
    <row r="1" spans="1:11" ht="18.75" x14ac:dyDescent="0.25">
      <c r="A1" s="1" t="s">
        <v>88</v>
      </c>
      <c r="B1" s="2"/>
      <c r="C1" s="2"/>
      <c r="D1" s="2"/>
      <c r="E1" s="3" t="s">
        <v>147</v>
      </c>
      <c r="F1" s="2"/>
      <c r="G1" s="2"/>
      <c r="H1" s="2"/>
      <c r="I1" s="2"/>
      <c r="J1" s="2"/>
      <c r="K1" s="2"/>
    </row>
    <row r="2" spans="1:11" x14ac:dyDescent="0.25">
      <c r="A2" s="3" t="s">
        <v>89</v>
      </c>
      <c r="B2" s="3" t="s">
        <v>90</v>
      </c>
      <c r="C2" s="3" t="s">
        <v>91</v>
      </c>
      <c r="D2" s="3" t="s">
        <v>92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2"/>
      <c r="K2" s="2"/>
    </row>
    <row r="3" spans="1:11" x14ac:dyDescent="0.25">
      <c r="A3" s="5" t="s">
        <v>93</v>
      </c>
      <c r="B3" s="5" t="s">
        <v>94</v>
      </c>
      <c r="C3" s="16">
        <v>78000</v>
      </c>
      <c r="D3" s="13">
        <v>0.03</v>
      </c>
      <c r="E3" s="17">
        <f>IF($B3="% of EGI",'5-Year Projection'!B8*$C3,$C3)</f>
        <v>78000</v>
      </c>
      <c r="F3" s="17">
        <f>IF($B3="% of EGI",'5-Year Projection'!C8*$C3,E3*(1+$D3))</f>
        <v>80340</v>
      </c>
      <c r="G3" s="17">
        <f>IF($B3="% of EGI",'5-Year Projection'!D8*$C3,F3*(1+$D3))</f>
        <v>82750.2</v>
      </c>
      <c r="H3" s="17">
        <f>IF($B3="% of EGI",'5-Year Projection'!E8*$C3,G3*(1+$D3))</f>
        <v>85232.706000000006</v>
      </c>
      <c r="I3" s="17">
        <f>IF($B3="% of EGI",'5-Year Projection'!F8*$C3,H3*(1+$D3))</f>
        <v>87789.687180000008</v>
      </c>
      <c r="J3" s="2"/>
      <c r="K3" s="2"/>
    </row>
    <row r="4" spans="1:11" x14ac:dyDescent="0.25">
      <c r="A4" s="5" t="s">
        <v>95</v>
      </c>
      <c r="B4" s="5" t="s">
        <v>94</v>
      </c>
      <c r="C4" s="16">
        <v>26500</v>
      </c>
      <c r="D4" s="13">
        <v>0.02</v>
      </c>
      <c r="E4" s="17">
        <f>IF($B4="% of EGI",'5-Year Projection'!B8*$C4,$C4)</f>
        <v>26500</v>
      </c>
      <c r="F4" s="17">
        <f>IF($B4="% of EGI",'5-Year Projection'!C8*$C4,E4*(1+$D4))</f>
        <v>27030</v>
      </c>
      <c r="G4" s="17">
        <f>IF($B4="% of EGI",'5-Year Projection'!D8*$C4,F4*(1+$D4))</f>
        <v>27570.600000000002</v>
      </c>
      <c r="H4" s="17">
        <f>IF($B4="% of EGI",'5-Year Projection'!E8*$C4,G4*(1+$D4))</f>
        <v>28122.012000000002</v>
      </c>
      <c r="I4" s="17">
        <f>IF($B4="% of EGI",'5-Year Projection'!F8*$C4,H4*(1+$D4))</f>
        <v>28684.452240000002</v>
      </c>
      <c r="J4" s="2"/>
      <c r="K4" s="2"/>
    </row>
    <row r="5" spans="1:11" x14ac:dyDescent="0.25">
      <c r="A5" s="5" t="s">
        <v>96</v>
      </c>
      <c r="B5" s="5" t="s">
        <v>94</v>
      </c>
      <c r="C5" s="16">
        <v>11800</v>
      </c>
      <c r="D5" s="13">
        <v>0.03</v>
      </c>
      <c r="E5" s="17">
        <f>IF($B5="% of EGI",'5-Year Projection'!B8*$C5,$C5)</f>
        <v>11800</v>
      </c>
      <c r="F5" s="17">
        <f>IF($B5="% of EGI",'5-Year Projection'!C8*$C5,E5*(1+$D5))</f>
        <v>12154</v>
      </c>
      <c r="G5" s="17">
        <f>IF($B5="% of EGI",'5-Year Projection'!D8*$C5,F5*(1+$D5))</f>
        <v>12518.62</v>
      </c>
      <c r="H5" s="17">
        <f>IF($B5="% of EGI",'5-Year Projection'!E8*$C5,G5*(1+$D5))</f>
        <v>12894.178600000001</v>
      </c>
      <c r="I5" s="17">
        <f>IF($B5="% of EGI",'5-Year Projection'!F8*$C5,H5*(1+$D5))</f>
        <v>13281.003958000001</v>
      </c>
      <c r="J5" s="2"/>
      <c r="K5" s="2"/>
    </row>
    <row r="6" spans="1:11" x14ac:dyDescent="0.25">
      <c r="A6" s="5" t="s">
        <v>97</v>
      </c>
      <c r="B6" s="5" t="s">
        <v>94</v>
      </c>
      <c r="C6" s="16">
        <v>14200</v>
      </c>
      <c r="D6" s="13">
        <v>0.03</v>
      </c>
      <c r="E6" s="17">
        <f>IF($B6="% of EGI",'5-Year Projection'!B8*$C6,$C6)</f>
        <v>14200</v>
      </c>
      <c r="F6" s="17">
        <f>IF($B6="% of EGI",'5-Year Projection'!C8*$C6,E6*(1+$D6))</f>
        <v>14626</v>
      </c>
      <c r="G6" s="17">
        <f>IF($B6="% of EGI",'5-Year Projection'!D8*$C6,F6*(1+$D6))</f>
        <v>15064.78</v>
      </c>
      <c r="H6" s="17">
        <f>IF($B6="% of EGI",'5-Year Projection'!E8*$C6,G6*(1+$D6))</f>
        <v>15516.723400000001</v>
      </c>
      <c r="I6" s="17">
        <f>IF($B6="% of EGI",'5-Year Projection'!F8*$C6,H6*(1+$D6))</f>
        <v>15982.225102</v>
      </c>
      <c r="J6" s="2"/>
      <c r="K6" s="2"/>
    </row>
    <row r="7" spans="1:11" x14ac:dyDescent="0.25">
      <c r="A7" s="5" t="s">
        <v>98</v>
      </c>
      <c r="B7" s="5" t="s">
        <v>94</v>
      </c>
      <c r="C7" s="16">
        <v>21000</v>
      </c>
      <c r="D7" s="13">
        <v>0.03</v>
      </c>
      <c r="E7" s="17">
        <f>IF($B7="% of EGI",'5-Year Projection'!B8*$C7,$C7)</f>
        <v>21000</v>
      </c>
      <c r="F7" s="17">
        <f>IF($B7="% of EGI",'5-Year Projection'!C8*$C7,E7*(1+$D7))</f>
        <v>21630</v>
      </c>
      <c r="G7" s="17">
        <f>IF($B7="% of EGI",'5-Year Projection'!D8*$C7,F7*(1+$D7))</f>
        <v>22278.9</v>
      </c>
      <c r="H7" s="17">
        <f>IF($B7="% of EGI",'5-Year Projection'!E8*$C7,G7*(1+$D7))</f>
        <v>22947.267000000003</v>
      </c>
      <c r="I7" s="17">
        <f>IF($B7="% of EGI",'5-Year Projection'!F8*$C7,H7*(1+$D7))</f>
        <v>23635.685010000005</v>
      </c>
      <c r="J7" s="2"/>
      <c r="K7" s="2"/>
    </row>
    <row r="8" spans="1:11" x14ac:dyDescent="0.25">
      <c r="A8" s="5" t="s">
        <v>99</v>
      </c>
      <c r="B8" s="5" t="s">
        <v>94</v>
      </c>
      <c r="C8" s="16">
        <v>9000</v>
      </c>
      <c r="D8" s="13">
        <v>0.02</v>
      </c>
      <c r="E8" s="17">
        <f>IF($B8="% of EGI",'5-Year Projection'!B8*$C8,$C8)</f>
        <v>9000</v>
      </c>
      <c r="F8" s="17">
        <f>IF($B8="% of EGI",'5-Year Projection'!C8*$C8,E8*(1+$D8))</f>
        <v>9180</v>
      </c>
      <c r="G8" s="17">
        <f>IF($B8="% of EGI",'5-Year Projection'!D8*$C8,F8*(1+$D8))</f>
        <v>9363.6</v>
      </c>
      <c r="H8" s="17">
        <f>IF($B8="% of EGI",'5-Year Projection'!E8*$C8,G8*(1+$D8))</f>
        <v>9550.8720000000012</v>
      </c>
      <c r="I8" s="17">
        <f>IF($B8="% of EGI",'5-Year Projection'!F8*$C8,H8*(1+$D8))</f>
        <v>9741.8894400000008</v>
      </c>
      <c r="J8" s="2"/>
      <c r="K8" s="2"/>
    </row>
    <row r="9" spans="1:11" x14ac:dyDescent="0.25">
      <c r="A9" s="5" t="s">
        <v>100</v>
      </c>
      <c r="B9" s="5" t="s">
        <v>94</v>
      </c>
      <c r="C9" s="16">
        <v>6200</v>
      </c>
      <c r="D9" s="13">
        <v>0.03</v>
      </c>
      <c r="E9" s="17">
        <f>IF($B9="% of EGI",'5-Year Projection'!B8*$C9,$C9)</f>
        <v>6200</v>
      </c>
      <c r="F9" s="17">
        <f>IF($B9="% of EGI",'5-Year Projection'!C8*$C9,E9*(1+$D9))</f>
        <v>6386</v>
      </c>
      <c r="G9" s="17">
        <f>IF($B9="% of EGI",'5-Year Projection'!D8*$C9,F9*(1+$D9))</f>
        <v>6577.58</v>
      </c>
      <c r="H9" s="17">
        <f>IF($B9="% of EGI",'5-Year Projection'!E8*$C9,G9*(1+$D9))</f>
        <v>6774.9074000000001</v>
      </c>
      <c r="I9" s="17">
        <f>IF($B9="% of EGI",'5-Year Projection'!F8*$C9,H9*(1+$D9))</f>
        <v>6978.154622</v>
      </c>
      <c r="J9" s="2"/>
      <c r="K9" s="2"/>
    </row>
    <row r="10" spans="1:11" x14ac:dyDescent="0.25">
      <c r="A10" s="5" t="s">
        <v>101</v>
      </c>
      <c r="B10" s="5" t="s">
        <v>94</v>
      </c>
      <c r="C10" s="16">
        <v>5400</v>
      </c>
      <c r="D10" s="13">
        <v>0.03</v>
      </c>
      <c r="E10" s="17">
        <f>IF($B10="% of EGI",'5-Year Projection'!B8*$C10,$C10)</f>
        <v>5400</v>
      </c>
      <c r="F10" s="17">
        <f>IF($B10="% of EGI",'5-Year Projection'!C8*$C10,E10*(1+$D10))</f>
        <v>5562</v>
      </c>
      <c r="G10" s="17">
        <f>IF($B10="% of EGI",'5-Year Projection'!D8*$C10,F10*(1+$D10))</f>
        <v>5728.8600000000006</v>
      </c>
      <c r="H10" s="17">
        <f>IF($B10="% of EGI",'5-Year Projection'!E8*$C10,G10*(1+$D10))</f>
        <v>5900.7258000000011</v>
      </c>
      <c r="I10" s="17">
        <f>IF($B10="% of EGI",'5-Year Projection'!F8*$C10,H10*(1+$D10))</f>
        <v>6077.7475740000009</v>
      </c>
      <c r="J10" s="2"/>
      <c r="K10" s="2"/>
    </row>
    <row r="11" spans="1:11" x14ac:dyDescent="0.25">
      <c r="A11" s="5" t="s">
        <v>102</v>
      </c>
      <c r="B11" s="5" t="s">
        <v>94</v>
      </c>
      <c r="C11" s="16">
        <v>4600</v>
      </c>
      <c r="D11" s="13">
        <v>0.02</v>
      </c>
      <c r="E11" s="17">
        <f>IF($B11="% of EGI",'5-Year Projection'!B8*$C11,$C11)</f>
        <v>4600</v>
      </c>
      <c r="F11" s="17">
        <f>IF($B11="% of EGI",'5-Year Projection'!C8*$C11,E11*(1+$D11))</f>
        <v>4692</v>
      </c>
      <c r="G11" s="17">
        <f>IF($B11="% of EGI",'5-Year Projection'!D8*$C11,F11*(1+$D11))</f>
        <v>4785.84</v>
      </c>
      <c r="H11" s="17">
        <f>IF($B11="% of EGI",'5-Year Projection'!E8*$C11,G11*(1+$D11))</f>
        <v>4881.5568000000003</v>
      </c>
      <c r="I11" s="17">
        <f>IF($B11="% of EGI",'5-Year Projection'!F8*$C11,H11*(1+$D11))</f>
        <v>4979.1879360000003</v>
      </c>
      <c r="J11" s="2"/>
      <c r="K11" s="2"/>
    </row>
    <row r="12" spans="1:11" x14ac:dyDescent="0.25">
      <c r="A12" s="5" t="s">
        <v>103</v>
      </c>
      <c r="B12" s="5" t="s">
        <v>104</v>
      </c>
      <c r="C12" s="13">
        <v>0.05</v>
      </c>
      <c r="D12" s="13">
        <v>0</v>
      </c>
      <c r="E12" s="17">
        <f>IF($B12="% of EGI",'5-Year Projection'!B8*$C12,$C12)</f>
        <v>10314.759927392633</v>
      </c>
      <c r="F12" s="17">
        <f>IF($B12="% of EGI",'5-Year Projection'!C8*$C12,E12*(1+$D12))</f>
        <v>12880.726607019733</v>
      </c>
      <c r="G12" s="17">
        <f>IF($B12="% of EGI",'5-Year Projection'!D8*$C12,F12*(1+$D12))</f>
        <v>13267.148405230326</v>
      </c>
      <c r="H12" s="17">
        <f>IF($B12="% of EGI",'5-Year Projection'!E8*$C12,G12*(1+$D12))</f>
        <v>13665.162857387237</v>
      </c>
      <c r="I12" s="17">
        <f>IF($B12="% of EGI",'5-Year Projection'!F8*$C12,H12*(1+$D12))</f>
        <v>14075.117743108853</v>
      </c>
      <c r="J12" s="2"/>
      <c r="K12" s="2"/>
    </row>
    <row r="13" spans="1:11" x14ac:dyDescent="0.25">
      <c r="A13" s="5" t="s">
        <v>105</v>
      </c>
      <c r="B13" s="5" t="s">
        <v>104</v>
      </c>
      <c r="C13" s="13">
        <v>0.03</v>
      </c>
      <c r="D13" s="13">
        <v>0</v>
      </c>
      <c r="E13" s="17">
        <f>IF($B13="% of EGI",'5-Year Projection'!B8*$C13,$C13)</f>
        <v>6188.8559564355801</v>
      </c>
      <c r="F13" s="17">
        <f>IF($B13="% of EGI",'5-Year Projection'!C8*$C13,E13*(1+$D13))</f>
        <v>7728.4359642118388</v>
      </c>
      <c r="G13" s="17">
        <f>IF($B13="% of EGI",'5-Year Projection'!D8*$C13,F13*(1+$D13))</f>
        <v>7960.2890431381948</v>
      </c>
      <c r="H13" s="17">
        <f>IF($B13="% of EGI",'5-Year Projection'!E8*$C13,G13*(1+$D13))</f>
        <v>8199.0977144323406</v>
      </c>
      <c r="I13" s="17">
        <f>IF($B13="% of EGI",'5-Year Projection'!F8*$C13,H13*(1+$D13))</f>
        <v>8445.0706458653112</v>
      </c>
      <c r="J13" s="2"/>
      <c r="K13" s="2"/>
    </row>
    <row r="14" spans="1:11" x14ac:dyDescent="0.25">
      <c r="A14" s="5" t="s">
        <v>106</v>
      </c>
      <c r="B14" s="5" t="s">
        <v>94</v>
      </c>
      <c r="C14" s="16">
        <v>3500</v>
      </c>
      <c r="D14" s="13">
        <v>0.02</v>
      </c>
      <c r="E14" s="17">
        <f>IF($B14="% of EGI",'5-Year Projection'!B8*$C14,$C14)</f>
        <v>3500</v>
      </c>
      <c r="F14" s="17">
        <f>IF($B14="% of EGI",'5-Year Projection'!C8*$C14,E14*(1+$D14))</f>
        <v>3570</v>
      </c>
      <c r="G14" s="17">
        <f>IF($B14="% of EGI",'5-Year Projection'!D8*$C14,F14*(1+$D14))</f>
        <v>3641.4</v>
      </c>
      <c r="H14" s="17">
        <f>IF($B14="% of EGI",'5-Year Projection'!E8*$C14,G14*(1+$D14))</f>
        <v>3714.2280000000001</v>
      </c>
      <c r="I14" s="17">
        <f>IF($B14="% of EGI",'5-Year Projection'!F8*$C14,H14*(1+$D14))</f>
        <v>3788.5125600000001</v>
      </c>
      <c r="J14" s="2"/>
      <c r="K14" s="2"/>
    </row>
  </sheetData>
  <phoneticPr fontId="7" type="noConversion"/>
  <dataValidations count="1">
    <dataValidation type="list" sqref="B3:B14" xr:uid="{00000000-0002-0000-0200-000000000000}">
      <formula1>"Fixed,% of EGI"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activeCell="B2" sqref="B2:F2"/>
    </sheetView>
  </sheetViews>
  <sheetFormatPr defaultRowHeight="15" x14ac:dyDescent="0.25"/>
  <cols>
    <col min="1" max="1" width="26" customWidth="1"/>
    <col min="2" max="6" width="18" customWidth="1"/>
  </cols>
  <sheetData>
    <row r="1" spans="1:6" ht="18.75" x14ac:dyDescent="0.25">
      <c r="A1" s="1" t="s">
        <v>107</v>
      </c>
      <c r="B1" s="2"/>
      <c r="C1" s="2"/>
      <c r="D1" s="2"/>
      <c r="E1" s="2"/>
      <c r="F1" s="2"/>
    </row>
    <row r="2" spans="1:6" x14ac:dyDescent="0.25">
      <c r="A2" s="3" t="s">
        <v>108</v>
      </c>
      <c r="B2" s="3" t="s">
        <v>109</v>
      </c>
      <c r="C2" s="3" t="s">
        <v>110</v>
      </c>
      <c r="D2" s="3" t="s">
        <v>111</v>
      </c>
      <c r="E2" s="3" t="s">
        <v>112</v>
      </c>
      <c r="F2" s="3" t="s">
        <v>113</v>
      </c>
    </row>
    <row r="3" spans="1:6" x14ac:dyDescent="0.25">
      <c r="A3" s="4" t="s">
        <v>81</v>
      </c>
      <c r="B3" s="11">
        <f>AVERAGE('Unit Mix &amp; Lease-Up'!F17:F28)</f>
        <v>0.86301369863013699</v>
      </c>
      <c r="C3" s="11">
        <f>AVERAGE('Unit Mix &amp; Lease-Up'!F29:F40)</f>
        <v>0.98592085235920868</v>
      </c>
      <c r="D3" s="11">
        <f>'Facility Overview'!$B$9</f>
        <v>0.92</v>
      </c>
      <c r="E3" s="11">
        <f>D3</f>
        <v>0.92</v>
      </c>
      <c r="F3" s="11">
        <f>E3</f>
        <v>0.92</v>
      </c>
    </row>
    <row r="4" spans="1:6" x14ac:dyDescent="0.25">
      <c r="A4" s="4" t="s">
        <v>114</v>
      </c>
      <c r="B4" s="17">
        <f>SUM('Unit Mix &amp; Lease-Up'!H17:H28)</f>
        <v>190093.30464066597</v>
      </c>
      <c r="C4" s="17">
        <f>SUM('Unit Mix &amp; Lease-Up'!H29:H40)</f>
        <v>239552.97157183129</v>
      </c>
      <c r="D4" s="17">
        <f>C4*(1+'Facility Overview'!$B$32)</f>
        <v>246739.56071898623</v>
      </c>
      <c r="E4" s="17">
        <f>D4*(1+'Facility Overview'!$B$32)</f>
        <v>254141.74754055584</v>
      </c>
      <c r="F4" s="17">
        <f>E4*(1+'Facility Overview'!$B$32)</f>
        <v>261765.99996677251</v>
      </c>
    </row>
    <row r="5" spans="1:6" x14ac:dyDescent="0.25">
      <c r="A5" s="4" t="s">
        <v>115</v>
      </c>
      <c r="B5" s="17">
        <f>SUM('Unit Mix &amp; Lease-Up'!I17:I28)</f>
        <v>20412</v>
      </c>
      <c r="C5" s="17">
        <f>SUM('Unit Mix &amp; Lease-Up'!I29:I40)</f>
        <v>23319</v>
      </c>
      <c r="D5" s="17">
        <f>C5*(1+'Facility Overview'!$B$32)</f>
        <v>24018.57</v>
      </c>
      <c r="E5" s="17">
        <f>D5*(1+'Facility Overview'!$B$32)</f>
        <v>24739.127100000002</v>
      </c>
      <c r="F5" s="17">
        <f>E5*(1+'Facility Overview'!$B$32)</f>
        <v>25481.300913000003</v>
      </c>
    </row>
    <row r="6" spans="1:6" x14ac:dyDescent="0.25">
      <c r="A6" s="4" t="s">
        <v>116</v>
      </c>
      <c r="B6" s="17">
        <f>B4+B5</f>
        <v>210505.30464066597</v>
      </c>
      <c r="C6" s="17">
        <f>C4+C5</f>
        <v>262871.97157183127</v>
      </c>
      <c r="D6" s="17">
        <f>D4+D5</f>
        <v>270758.13071898621</v>
      </c>
      <c r="E6" s="17">
        <f>E4+E5</f>
        <v>278880.87464055582</v>
      </c>
      <c r="F6" s="17">
        <f>F4+F5</f>
        <v>287247.30087977252</v>
      </c>
    </row>
    <row r="7" spans="1:6" x14ac:dyDescent="0.25">
      <c r="A7" s="4" t="s">
        <v>117</v>
      </c>
      <c r="B7" s="17">
        <f>B6*'Facility Overview'!$B$34*-1</f>
        <v>-4210.1060928133193</v>
      </c>
      <c r="C7" s="17">
        <f>C6*'Facility Overview'!$B$34*-1</f>
        <v>-5257.4394314366255</v>
      </c>
      <c r="D7" s="17">
        <f>D6*'Facility Overview'!$B$34*-1</f>
        <v>-5415.1626143797248</v>
      </c>
      <c r="E7" s="17">
        <f>E6*'Facility Overview'!$B$34*-1</f>
        <v>-5577.6174928111168</v>
      </c>
      <c r="F7" s="17">
        <f>F6*'Facility Overview'!$B$34*-1</f>
        <v>-5744.9460175954509</v>
      </c>
    </row>
    <row r="8" spans="1:6" x14ac:dyDescent="0.25">
      <c r="A8" s="4" t="s">
        <v>118</v>
      </c>
      <c r="B8" s="17">
        <f>B6+B7</f>
        <v>206295.19854785266</v>
      </c>
      <c r="C8" s="17">
        <f>C6+C7</f>
        <v>257614.53214039464</v>
      </c>
      <c r="D8" s="17">
        <f>D6+D7</f>
        <v>265342.96810460649</v>
      </c>
      <c r="E8" s="17">
        <f>E6+E7</f>
        <v>273303.25714774471</v>
      </c>
      <c r="F8" s="17">
        <f>F6+F7</f>
        <v>281502.35486217705</v>
      </c>
    </row>
    <row r="9" spans="1:6" x14ac:dyDescent="0.25">
      <c r="A9" s="4" t="s">
        <v>119</v>
      </c>
      <c r="B9" s="17">
        <f>SUM('Operating Costs'!E3:E14)</f>
        <v>196703.61588382823</v>
      </c>
      <c r="C9" s="17">
        <f>SUM('Operating Costs'!F3:F14)</f>
        <v>205779.16257123157</v>
      </c>
      <c r="D9" s="17">
        <f>SUM('Operating Costs'!G3:G14)</f>
        <v>211507.8174483685</v>
      </c>
      <c r="E9" s="17">
        <f>SUM('Operating Costs'!H3:H14)</f>
        <v>217399.43757181958</v>
      </c>
      <c r="F9" s="17">
        <f>SUM('Operating Costs'!I3:I14)</f>
        <v>223458.73401097421</v>
      </c>
    </row>
    <row r="10" spans="1:6" x14ac:dyDescent="0.25">
      <c r="A10" s="4" t="s">
        <v>120</v>
      </c>
      <c r="B10" s="17">
        <f>B8-B9</f>
        <v>9591.5826640244341</v>
      </c>
      <c r="C10" s="17">
        <f>C8-C9</f>
        <v>51835.369569163071</v>
      </c>
      <c r="D10" s="17">
        <f>D8-D9</f>
        <v>53835.150656237995</v>
      </c>
      <c r="E10" s="17">
        <f>E8-E9</f>
        <v>55903.819575925125</v>
      </c>
      <c r="F10" s="17">
        <f>F8-F9</f>
        <v>58043.620851202839</v>
      </c>
    </row>
    <row r="11" spans="1:6" x14ac:dyDescent="0.25">
      <c r="A11" s="4" t="s">
        <v>121</v>
      </c>
      <c r="B11" s="17">
        <f>'Facility Overview'!$B$27</f>
        <v>143491.82360648847</v>
      </c>
      <c r="C11" s="17">
        <f>'Facility Overview'!$B$27</f>
        <v>143491.82360648847</v>
      </c>
      <c r="D11" s="17">
        <f>'Facility Overview'!$B$27</f>
        <v>143491.82360648847</v>
      </c>
      <c r="E11" s="17">
        <f>'Facility Overview'!$B$27</f>
        <v>143491.82360648847</v>
      </c>
      <c r="F11" s="17">
        <f>'Facility Overview'!$B$27</f>
        <v>143491.82360648847</v>
      </c>
    </row>
    <row r="12" spans="1:6" x14ac:dyDescent="0.25">
      <c r="A12" s="4" t="s">
        <v>122</v>
      </c>
      <c r="B12" s="17">
        <f>B10-B11</f>
        <v>-133900.24094246404</v>
      </c>
      <c r="C12" s="17">
        <f>C10-C11</f>
        <v>-91656.454037325399</v>
      </c>
      <c r="D12" s="17">
        <f>D10-D11</f>
        <v>-89656.672950250475</v>
      </c>
      <c r="E12" s="17">
        <f>E10-E11</f>
        <v>-87588.004030563345</v>
      </c>
      <c r="F12" s="17">
        <f>F10-F11</f>
        <v>-85448.202755285631</v>
      </c>
    </row>
    <row r="13" spans="1:6" x14ac:dyDescent="0.25">
      <c r="A13" s="4" t="s">
        <v>123</v>
      </c>
      <c r="B13" s="25">
        <f>IF(B11=0,0,B10/B11)</f>
        <v>6.6844105977274082E-2</v>
      </c>
      <c r="C13" s="25">
        <f>IF(C11=0,0,C10/C11)</f>
        <v>0.36124267060202836</v>
      </c>
      <c r="D13" s="25">
        <f>IF(D11=0,0,D10/D11)</f>
        <v>0.37517922138807952</v>
      </c>
      <c r="E13" s="25">
        <f>IF(E11=0,0,E10/E11)</f>
        <v>0.38959585411107178</v>
      </c>
      <c r="F13" s="25">
        <f>IF(F11=0,0,F10/F11)</f>
        <v>0.40450821093738054</v>
      </c>
    </row>
  </sheetData>
  <conditionalFormatting sqref="B3:F3">
    <cfRule type="cellIs" dxfId="2" priority="2" operator="lessThan">
      <formula>0.85</formula>
    </cfRule>
  </conditionalFormatting>
  <conditionalFormatting sqref="B13:F13">
    <cfRule type="cellIs" dxfId="1" priority="1" operator="lessThan">
      <formula>1.2</formula>
    </cfRule>
  </conditionalFormatting>
  <pageMargins left="0.75" right="0.75" top="1" bottom="1" header="0.5" footer="0.5"/>
  <ignoredErrors>
    <ignoredError sqref="B7:F7 B11:F1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showGridLines="0" workbookViewId="0">
      <selection activeCell="F21" sqref="F21"/>
    </sheetView>
  </sheetViews>
  <sheetFormatPr defaultRowHeight="15" x14ac:dyDescent="0.25"/>
  <cols>
    <col min="1" max="1" width="22" customWidth="1"/>
    <col min="2" max="2" width="14" customWidth="1"/>
    <col min="4" max="9" width="13" customWidth="1"/>
  </cols>
  <sheetData>
    <row r="1" spans="1:9" ht="18.75" x14ac:dyDescent="0.25">
      <c r="A1" s="1" t="s">
        <v>124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125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6" t="s">
        <v>126</v>
      </c>
      <c r="B3" s="23">
        <f>'Facility Overview'!B14</f>
        <v>2450000</v>
      </c>
      <c r="C3" s="2"/>
      <c r="D3" s="15" t="s">
        <v>127</v>
      </c>
      <c r="E3" s="2"/>
      <c r="F3" s="2"/>
      <c r="G3" s="2"/>
      <c r="H3" s="2"/>
      <c r="I3" s="2"/>
    </row>
    <row r="4" spans="1:9" x14ac:dyDescent="0.25">
      <c r="A4" s="6" t="s">
        <v>128</v>
      </c>
      <c r="B4" s="23">
        <f>'Facility Overview'!B17</f>
        <v>2577000</v>
      </c>
      <c r="C4" s="2"/>
      <c r="D4" s="3" t="s">
        <v>129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130</v>
      </c>
    </row>
    <row r="5" spans="1:9" x14ac:dyDescent="0.25">
      <c r="A5" s="6" t="s">
        <v>131</v>
      </c>
      <c r="B5" s="23">
        <f>'Facility Overview'!B23</f>
        <v>1715000</v>
      </c>
      <c r="C5" s="2"/>
      <c r="D5" s="17">
        <f>B6</f>
        <v>862000</v>
      </c>
      <c r="E5" s="17">
        <f>'5-Year Projection'!B12</f>
        <v>-133900.24094246404</v>
      </c>
      <c r="F5" s="17">
        <f>'5-Year Projection'!C12</f>
        <v>-91656.454037325399</v>
      </c>
      <c r="G5" s="17">
        <f>'5-Year Projection'!D12</f>
        <v>-89656.672950250475</v>
      </c>
      <c r="H5" s="17">
        <f>'5-Year Projection'!E12</f>
        <v>-87588.004030563345</v>
      </c>
      <c r="I5" s="17">
        <f>'5-Year Projection'!F12+B18</f>
        <v>-2517272.5303962133</v>
      </c>
    </row>
    <row r="6" spans="1:9" x14ac:dyDescent="0.25">
      <c r="A6" s="6" t="s">
        <v>132</v>
      </c>
      <c r="B6" s="23">
        <f>'Facility Overview'!B22+'Facility Overview'!B15+'Facility Overview'!B16</f>
        <v>862000</v>
      </c>
      <c r="C6" s="2"/>
      <c r="D6" s="2"/>
      <c r="E6" s="2"/>
      <c r="F6" s="2"/>
      <c r="G6" s="2"/>
      <c r="H6" s="2"/>
      <c r="I6" s="2"/>
    </row>
    <row r="7" spans="1:9" x14ac:dyDescent="0.25">
      <c r="A7" s="6" t="s">
        <v>5</v>
      </c>
      <c r="B7" s="23">
        <f>'5-Year Projection'!B10</f>
        <v>9591.5826640244341</v>
      </c>
      <c r="C7" s="2"/>
      <c r="D7" s="2"/>
      <c r="E7" s="2"/>
      <c r="F7" s="2"/>
      <c r="G7" s="2"/>
      <c r="H7" s="2"/>
      <c r="I7" s="2"/>
    </row>
    <row r="8" spans="1:9" x14ac:dyDescent="0.25">
      <c r="A8" s="6" t="s">
        <v>133</v>
      </c>
      <c r="B8" s="26">
        <f>IF(B3=0,0,B7/B3)</f>
        <v>3.9149316996018096E-3</v>
      </c>
      <c r="C8" s="2"/>
      <c r="D8" s="2"/>
      <c r="E8" s="2"/>
      <c r="F8" s="2"/>
      <c r="G8" s="2"/>
      <c r="H8" s="2"/>
      <c r="I8" s="2"/>
    </row>
    <row r="9" spans="1:9" x14ac:dyDescent="0.25">
      <c r="A9" s="6" t="s">
        <v>134</v>
      </c>
      <c r="B9" s="26">
        <f>IF(B6=0,0,'5-Year Projection'!B12/B6)</f>
        <v>-0.15533670642977265</v>
      </c>
      <c r="C9" s="2"/>
      <c r="D9" s="2"/>
      <c r="E9" s="2"/>
      <c r="F9" s="2"/>
      <c r="G9" s="2"/>
      <c r="H9" s="2"/>
      <c r="I9" s="2"/>
    </row>
    <row r="10" spans="1:9" x14ac:dyDescent="0.25">
      <c r="A10" s="6" t="s">
        <v>135</v>
      </c>
      <c r="B10" s="26">
        <f>IF(B4=0,0,'5-Year Projection'!D10/B4)</f>
        <v>2.0890628892603024E-2</v>
      </c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3" t="s">
        <v>136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6" t="s">
        <v>137</v>
      </c>
      <c r="B13" s="23">
        <f>'5-Year Projection'!F10</f>
        <v>58043.620851202839</v>
      </c>
      <c r="C13" s="2"/>
      <c r="D13" s="2"/>
      <c r="E13" s="2"/>
      <c r="F13" s="2"/>
      <c r="G13" s="2"/>
      <c r="H13" s="2"/>
      <c r="I13" s="2"/>
    </row>
    <row r="14" spans="1:9" x14ac:dyDescent="0.25">
      <c r="A14" s="6" t="s">
        <v>138</v>
      </c>
      <c r="B14" s="26">
        <f>'Facility Overview'!B35</f>
        <v>6.7500000000000004E-2</v>
      </c>
      <c r="C14" s="2"/>
      <c r="D14" s="2"/>
      <c r="E14" s="2"/>
      <c r="F14" s="2"/>
      <c r="G14" s="2"/>
      <c r="H14" s="2"/>
      <c r="I14" s="2"/>
    </row>
    <row r="15" spans="1:9" x14ac:dyDescent="0.25">
      <c r="A15" s="6" t="s">
        <v>139</v>
      </c>
      <c r="B15" s="23">
        <f>IF(B14=0,0,B13/B14)</f>
        <v>859905.4940918939</v>
      </c>
      <c r="C15" s="2"/>
      <c r="D15" s="2"/>
      <c r="E15" s="2"/>
      <c r="F15" s="2"/>
      <c r="G15" s="2"/>
      <c r="H15" s="2"/>
      <c r="I15" s="2"/>
    </row>
    <row r="16" spans="1:9" x14ac:dyDescent="0.25">
      <c r="A16" s="6" t="s">
        <v>140</v>
      </c>
      <c r="B16" s="23">
        <f>B15*'Facility Overview'!B36</f>
        <v>25797.164822756815</v>
      </c>
      <c r="C16" s="2"/>
      <c r="D16" s="2"/>
      <c r="E16" s="2"/>
      <c r="F16" s="2"/>
      <c r="G16" s="2"/>
      <c r="H16" s="2"/>
      <c r="I16" s="2"/>
    </row>
    <row r="17" spans="1:9" x14ac:dyDescent="0.25">
      <c r="A17" s="6" t="s">
        <v>141</v>
      </c>
      <c r="B17" s="23">
        <f>-FV('Facility Overview'!B24/12,'Facility Overview'!B37*12,'Facility Overview'!B26,'Facility Overview'!B23)</f>
        <v>3265932.6569100651</v>
      </c>
      <c r="C17" s="2"/>
      <c r="D17" s="2"/>
      <c r="E17" s="2"/>
      <c r="F17" s="2"/>
      <c r="G17" s="2"/>
      <c r="H17" s="2"/>
      <c r="I17" s="2"/>
    </row>
    <row r="18" spans="1:9" x14ac:dyDescent="0.25">
      <c r="A18" s="6" t="s">
        <v>142</v>
      </c>
      <c r="B18" s="23">
        <f>B15-B16-B17</f>
        <v>-2431824.3276409279</v>
      </c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3" t="s">
        <v>143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6" t="s">
        <v>144</v>
      </c>
      <c r="B21" s="23">
        <f>SUM('5-Year Projection'!B12:F12)</f>
        <v>-488249.57471588883</v>
      </c>
      <c r="C21" s="2"/>
      <c r="D21" s="2"/>
      <c r="E21" s="2"/>
      <c r="F21" s="2"/>
      <c r="G21" s="2"/>
      <c r="H21" s="2"/>
      <c r="I21" s="2"/>
    </row>
    <row r="22" spans="1:9" x14ac:dyDescent="0.25">
      <c r="A22" s="6" t="s">
        <v>145</v>
      </c>
      <c r="B22" s="23">
        <f>B21+B18</f>
        <v>-2920073.9023568165</v>
      </c>
      <c r="C22" s="2"/>
      <c r="D22" s="2"/>
      <c r="E22" s="2"/>
      <c r="F22" s="2"/>
      <c r="G22" s="2"/>
      <c r="H22" s="2"/>
      <c r="I22" s="2"/>
    </row>
    <row r="23" spans="1:9" x14ac:dyDescent="0.25">
      <c r="A23" s="6" t="s">
        <v>146</v>
      </c>
      <c r="B23" s="27">
        <f>IF(B6=0,0,B22/B6)</f>
        <v>-3.3875567312724089</v>
      </c>
      <c r="C23" s="2"/>
      <c r="D23" s="2"/>
      <c r="E23" s="2"/>
      <c r="F23" s="2"/>
      <c r="G23" s="2"/>
      <c r="H23" s="2"/>
      <c r="I23" s="2"/>
    </row>
    <row r="24" spans="1:9" x14ac:dyDescent="0.25">
      <c r="A24" s="6" t="s">
        <v>19</v>
      </c>
      <c r="B24" s="29">
        <f t="array" ref="B24">IRR(D5:I5)</f>
        <v>0.31562448651668418</v>
      </c>
      <c r="C24" s="2"/>
      <c r="D24" s="2"/>
      <c r="E24" s="2"/>
      <c r="F24" s="2"/>
      <c r="G24" s="2"/>
      <c r="H24" s="2"/>
      <c r="I24" s="2"/>
    </row>
  </sheetData>
  <conditionalFormatting sqref="B24">
    <cfRule type="cellIs" dxfId="0" priority="1" operator="lessThan">
      <formula>0.12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Facility Overview</vt:lpstr>
      <vt:lpstr>Unit Mix &amp; Lease-Up</vt:lpstr>
      <vt:lpstr>Operating Costs</vt:lpstr>
      <vt:lpstr>5-Year Projection</vt:lpstr>
      <vt:lpstr>Returns &amp;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Rhein Steven</dc:creator>
  <cp:lastModifiedBy>Frenzel, Tim</cp:lastModifiedBy>
  <dcterms:created xsi:type="dcterms:W3CDTF">2026-04-09T06:09:46Z</dcterms:created>
  <dcterms:modified xsi:type="dcterms:W3CDTF">2026-04-09T06:33:53Z</dcterms:modified>
</cp:coreProperties>
</file>