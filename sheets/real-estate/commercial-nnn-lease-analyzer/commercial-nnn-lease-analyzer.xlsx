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I:\My Drive\000_drive_drive\600_PROJECTS\modelstack\sheets\real-estate\commercial-nnn-lease-analyzer\"/>
    </mc:Choice>
  </mc:AlternateContent>
  <xr:revisionPtr revIDLastSave="0" documentId="13_ncr:1_{CB93FA82-5C83-4E10-AFCD-8CFA0575E840}" xr6:coauthVersionLast="47" xr6:coauthVersionMax="47" xr10:uidLastSave="{00000000-0000-0000-0000-000000000000}"/>
  <bookViews>
    <workbookView xWindow="-120" yWindow="-120" windowWidth="38640" windowHeight="15720" activeTab="2" xr2:uid="{00000000-000D-0000-FFFF-FFFF00000000}"/>
  </bookViews>
  <sheets>
    <sheet name="Property Overview" sheetId="1" r:id="rId1"/>
    <sheet name="Rent Roll" sheetId="2" r:id="rId2"/>
    <sheet name="NNN Breakdown" sheetId="3" r:id="rId3"/>
    <sheet name="10-Year Cash Flow" sheetId="4" r:id="rId4"/>
    <sheet name="Exit &amp; Retur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5" l="1"/>
  <c r="C36" i="5"/>
  <c r="D36" i="5"/>
  <c r="E36" i="5"/>
  <c r="F36" i="5"/>
  <c r="G36" i="5"/>
  <c r="H36" i="5"/>
  <c r="I36" i="5"/>
  <c r="J36" i="5"/>
  <c r="K36" i="5"/>
  <c r="L36" i="5"/>
  <c r="B37" i="5"/>
  <c r="C37" i="5"/>
  <c r="D37" i="5"/>
  <c r="E37" i="5"/>
  <c r="F37" i="5"/>
  <c r="G37" i="5"/>
  <c r="H37" i="5"/>
  <c r="I37" i="5"/>
  <c r="J37" i="5"/>
  <c r="K37" i="5"/>
  <c r="L37" i="5"/>
  <c r="B38" i="5"/>
  <c r="C38" i="5"/>
  <c r="D38" i="5"/>
  <c r="E38" i="5"/>
  <c r="F38" i="5"/>
  <c r="G38" i="5"/>
  <c r="H38" i="5"/>
  <c r="I38" i="5"/>
  <c r="J38" i="5"/>
  <c r="K38" i="5"/>
  <c r="L38" i="5"/>
  <c r="B39" i="5"/>
  <c r="C39" i="5"/>
  <c r="D39" i="5"/>
  <c r="E39" i="5"/>
  <c r="F39" i="5"/>
  <c r="G39" i="5"/>
  <c r="H39" i="5"/>
  <c r="I39" i="5"/>
  <c r="J39" i="5"/>
  <c r="K39" i="5"/>
  <c r="L39" i="5"/>
  <c r="B40" i="5"/>
  <c r="C40" i="5"/>
  <c r="D40" i="5"/>
  <c r="E40" i="5"/>
  <c r="F40" i="5"/>
  <c r="G40" i="5"/>
  <c r="H40" i="5"/>
  <c r="I40" i="5"/>
  <c r="J40" i="5"/>
  <c r="K40" i="5"/>
  <c r="L40" i="5"/>
  <c r="B41" i="5"/>
  <c r="C41" i="5"/>
  <c r="D41" i="5"/>
  <c r="E41" i="5"/>
  <c r="F41" i="5"/>
  <c r="G41" i="5"/>
  <c r="H41" i="5"/>
  <c r="I41" i="5"/>
  <c r="J41" i="5"/>
  <c r="K41" i="5"/>
  <c r="L41" i="5"/>
  <c r="B42" i="5"/>
  <c r="C42" i="5"/>
  <c r="D42" i="5"/>
  <c r="E42" i="5"/>
  <c r="F42" i="5"/>
  <c r="G42" i="5"/>
  <c r="H42" i="5"/>
  <c r="I42" i="5"/>
  <c r="J42" i="5"/>
  <c r="K42" i="5"/>
  <c r="L42" i="5"/>
  <c r="B6" i="5"/>
  <c r="J11" i="4"/>
  <c r="I11" i="4"/>
  <c r="H11" i="4"/>
  <c r="J10" i="4"/>
  <c r="I10" i="4"/>
  <c r="H10" i="4"/>
  <c r="J9" i="4"/>
  <c r="I9" i="4"/>
  <c r="H9" i="4"/>
  <c r="J8" i="4"/>
  <c r="I8" i="4"/>
  <c r="H8" i="4"/>
  <c r="J7" i="4"/>
  <c r="I7" i="4"/>
  <c r="H7" i="4"/>
  <c r="J6" i="4"/>
  <c r="I6" i="4"/>
  <c r="H6" i="4"/>
  <c r="J5" i="4"/>
  <c r="I5" i="4"/>
  <c r="H5" i="4"/>
  <c r="J4" i="4"/>
  <c r="I4" i="4"/>
  <c r="H4" i="4"/>
  <c r="J3" i="4"/>
  <c r="I3" i="4"/>
  <c r="H3" i="4"/>
  <c r="J2" i="4"/>
  <c r="I2" i="4"/>
  <c r="H2" i="4"/>
  <c r="F26" i="3"/>
  <c r="E26" i="3"/>
  <c r="D26" i="3"/>
  <c r="G26" i="3" s="1"/>
  <c r="H26" i="3" s="1"/>
  <c r="C26" i="3"/>
  <c r="B26" i="3"/>
  <c r="A26" i="3"/>
  <c r="F25" i="3"/>
  <c r="E25" i="3"/>
  <c r="D25" i="3"/>
  <c r="C25" i="3"/>
  <c r="B25" i="3"/>
  <c r="A25" i="3"/>
  <c r="F24" i="3"/>
  <c r="E24" i="3"/>
  <c r="D24" i="3"/>
  <c r="C24" i="3"/>
  <c r="B24" i="3"/>
  <c r="A24" i="3"/>
  <c r="F23" i="3"/>
  <c r="E23" i="3"/>
  <c r="D23" i="3"/>
  <c r="G23" i="3" s="1"/>
  <c r="H23" i="3" s="1"/>
  <c r="C23" i="3"/>
  <c r="B23" i="3"/>
  <c r="A23" i="3"/>
  <c r="F22" i="3"/>
  <c r="E22" i="3"/>
  <c r="D22" i="3"/>
  <c r="C22" i="3"/>
  <c r="B22" i="3"/>
  <c r="A22" i="3"/>
  <c r="F21" i="3"/>
  <c r="E21" i="3"/>
  <c r="D21" i="3"/>
  <c r="C21" i="3"/>
  <c r="B21" i="3"/>
  <c r="A21" i="3"/>
  <c r="L4" i="2" s="1"/>
  <c r="B17" i="3"/>
  <c r="B6" i="3"/>
  <c r="B11" i="2"/>
  <c r="B9" i="2"/>
  <c r="B12" i="2" s="1"/>
  <c r="M7" i="2"/>
  <c r="L7" i="2"/>
  <c r="J7" i="2"/>
  <c r="I7" i="2"/>
  <c r="G7" i="2"/>
  <c r="D7" i="2"/>
  <c r="M6" i="2"/>
  <c r="L6" i="2"/>
  <c r="J6" i="2"/>
  <c r="I6" i="2"/>
  <c r="G6" i="2"/>
  <c r="D6" i="2"/>
  <c r="J5" i="2"/>
  <c r="I5" i="2"/>
  <c r="G5" i="2"/>
  <c r="D5" i="2"/>
  <c r="J4" i="2"/>
  <c r="I4" i="2"/>
  <c r="G4" i="2"/>
  <c r="D4" i="2"/>
  <c r="J3" i="2"/>
  <c r="I3" i="2"/>
  <c r="G3" i="2"/>
  <c r="D3" i="2"/>
  <c r="J2" i="2"/>
  <c r="I2" i="2"/>
  <c r="G2" i="2"/>
  <c r="D2" i="2"/>
  <c r="B21" i="1"/>
  <c r="B13" i="5" s="1"/>
  <c r="B20" i="1"/>
  <c r="B16" i="1"/>
  <c r="B13" i="1"/>
  <c r="G22" i="3" l="1"/>
  <c r="H22" i="3" s="1"/>
  <c r="G24" i="3"/>
  <c r="H24" i="3" s="1"/>
  <c r="G21" i="3"/>
  <c r="G25" i="3"/>
  <c r="H25" i="3" s="1"/>
  <c r="M4" i="2"/>
  <c r="H21" i="3"/>
  <c r="L2" i="2" s="1"/>
  <c r="M2" i="2" s="1"/>
  <c r="B28" i="3"/>
  <c r="B13" i="2"/>
  <c r="C8" i="4" s="1"/>
  <c r="B25" i="1"/>
  <c r="B26" i="1" s="1"/>
  <c r="L3" i="2"/>
  <c r="M3" i="2" s="1"/>
  <c r="L5" i="2"/>
  <c r="M5" i="2" s="1"/>
  <c r="C2" i="4"/>
  <c r="B18" i="5"/>
  <c r="B10" i="2"/>
  <c r="C11" i="4" l="1"/>
  <c r="C10" i="4"/>
  <c r="C9" i="4"/>
  <c r="D8" i="4"/>
  <c r="E8" i="4" s="1"/>
  <c r="D10" i="4"/>
  <c r="D5" i="4"/>
  <c r="D2" i="4"/>
  <c r="E2" i="4" s="1"/>
  <c r="D9" i="4"/>
  <c r="D4" i="4"/>
  <c r="D7" i="4"/>
  <c r="D11" i="4"/>
  <c r="D6" i="4"/>
  <c r="D3" i="4"/>
  <c r="O8" i="4"/>
  <c r="O3" i="4"/>
  <c r="O10" i="4"/>
  <c r="O5" i="4"/>
  <c r="O7" i="4"/>
  <c r="O2" i="4"/>
  <c r="O9" i="4"/>
  <c r="O4" i="4"/>
  <c r="O11" i="4"/>
  <c r="O6" i="4"/>
  <c r="C5" i="4"/>
  <c r="C6" i="4"/>
  <c r="C4" i="4"/>
  <c r="B29" i="3"/>
  <c r="B30" i="3"/>
  <c r="C7" i="4"/>
  <c r="C3" i="4"/>
  <c r="E3" i="4" s="1"/>
  <c r="B14" i="5"/>
  <c r="E7" i="4" l="1"/>
  <c r="E6" i="4"/>
  <c r="E11" i="4"/>
  <c r="F2" i="4"/>
  <c r="G2" i="4" s="1"/>
  <c r="F8" i="4"/>
  <c r="G8" i="4" s="1"/>
  <c r="F7" i="4"/>
  <c r="G7" i="4" s="1"/>
  <c r="E9" i="4"/>
  <c r="E10" i="4"/>
  <c r="F11" i="4"/>
  <c r="G11" i="4" s="1"/>
  <c r="F3" i="4"/>
  <c r="G3" i="4" s="1"/>
  <c r="F6" i="4"/>
  <c r="G6" i="4" s="1"/>
  <c r="E4" i="4"/>
  <c r="E5" i="4"/>
  <c r="L6" i="4" l="1"/>
  <c r="K6" i="4"/>
  <c r="M6" i="4" s="1"/>
  <c r="N6" i="4" s="1"/>
  <c r="L11" i="4"/>
  <c r="K11" i="4"/>
  <c r="M11" i="4" s="1"/>
  <c r="N11" i="4" s="1"/>
  <c r="L7" i="4"/>
  <c r="K7" i="4"/>
  <c r="M7" i="4" s="1"/>
  <c r="N7" i="4" s="1"/>
  <c r="K8" i="4"/>
  <c r="M8" i="4" s="1"/>
  <c r="N8" i="4" s="1"/>
  <c r="L8" i="4"/>
  <c r="L2" i="4"/>
  <c r="K2" i="4"/>
  <c r="M2" i="4" s="1"/>
  <c r="N2" i="4" s="1"/>
  <c r="F10" i="4"/>
  <c r="G10" i="4" s="1"/>
  <c r="L3" i="4"/>
  <c r="K3" i="4"/>
  <c r="M3" i="4" s="1"/>
  <c r="N3" i="4" s="1"/>
  <c r="F4" i="4"/>
  <c r="G4" i="4" s="1"/>
  <c r="F9" i="4"/>
  <c r="G9" i="4"/>
  <c r="F5" i="4"/>
  <c r="G5" i="4" s="1"/>
  <c r="L5" i="4" l="1"/>
  <c r="K5" i="4"/>
  <c r="M5" i="4" s="1"/>
  <c r="N5" i="4" s="1"/>
  <c r="B17" i="4"/>
  <c r="S2" i="4"/>
  <c r="P2" i="4"/>
  <c r="B27" i="1"/>
  <c r="Q2" i="4"/>
  <c r="S3" i="4"/>
  <c r="P3" i="4"/>
  <c r="Q3" i="4"/>
  <c r="P8" i="4"/>
  <c r="S8" i="4"/>
  <c r="Q8" i="4"/>
  <c r="P7" i="4"/>
  <c r="S7" i="4"/>
  <c r="Q7" i="4"/>
  <c r="S11" i="4"/>
  <c r="B5" i="5"/>
  <c r="P11" i="4"/>
  <c r="B4" i="5"/>
  <c r="Q11" i="4"/>
  <c r="L4" i="4"/>
  <c r="K4" i="4"/>
  <c r="S6" i="4"/>
  <c r="P6" i="4"/>
  <c r="Q6" i="4"/>
  <c r="L10" i="4"/>
  <c r="K10" i="4"/>
  <c r="M10" i="4" s="1"/>
  <c r="N10" i="4" s="1"/>
  <c r="K9" i="4"/>
  <c r="L9" i="4"/>
  <c r="P10" i="4" l="1"/>
  <c r="S10" i="4"/>
  <c r="Q10" i="4"/>
  <c r="S5" i="4"/>
  <c r="P5" i="4"/>
  <c r="Q5" i="4"/>
  <c r="B33" i="5"/>
  <c r="C33" i="5" s="1"/>
  <c r="B30" i="5"/>
  <c r="C30" i="5" s="1"/>
  <c r="B32" i="5"/>
  <c r="C32" i="5" s="1"/>
  <c r="B29" i="5"/>
  <c r="C29" i="5" s="1"/>
  <c r="B7" i="5"/>
  <c r="B34" i="5"/>
  <c r="C34" i="5" s="1"/>
  <c r="B31" i="5"/>
  <c r="C31" i="5" s="1"/>
  <c r="B28" i="5"/>
  <c r="C28" i="5" s="1"/>
  <c r="R2" i="4"/>
  <c r="R11" i="4"/>
  <c r="R3" i="4"/>
  <c r="R7" i="4"/>
  <c r="M9" i="4"/>
  <c r="N9" i="4" s="1"/>
  <c r="R6" i="4"/>
  <c r="M4" i="4"/>
  <c r="N4" i="4" s="1"/>
  <c r="R8" i="4"/>
  <c r="B9" i="5" l="1"/>
  <c r="B8" i="5"/>
  <c r="B10" i="5"/>
  <c r="B15" i="5" s="1"/>
  <c r="S9" i="4"/>
  <c r="P9" i="4"/>
  <c r="Q9" i="4"/>
  <c r="R5" i="4"/>
  <c r="P4" i="4"/>
  <c r="S4" i="4"/>
  <c r="Q4" i="4"/>
  <c r="B13" i="4"/>
  <c r="R10" i="4"/>
  <c r="R9" i="4" l="1"/>
  <c r="B20" i="5"/>
  <c r="E32" i="5"/>
  <c r="E33" i="5"/>
  <c r="E34" i="5"/>
  <c r="R4" i="4"/>
  <c r="B15" i="4" s="1"/>
  <c r="B14" i="4"/>
  <c r="B16" i="4"/>
  <c r="E28" i="5" l="1"/>
  <c r="E31" i="5"/>
  <c r="B19" i="5"/>
  <c r="D30" i="5"/>
  <c r="D34" i="5"/>
  <c r="D33" i="5"/>
  <c r="D29" i="5"/>
  <c r="D31" i="5"/>
  <c r="D32" i="5"/>
  <c r="D28" i="5"/>
  <c r="B24" i="5"/>
  <c r="E30" i="5"/>
  <c r="E29" i="5"/>
  <c r="B21" i="5" l="1"/>
  <c r="B23" i="5" s="1"/>
  <c r="B22" i="5"/>
</calcChain>
</file>

<file path=xl/sharedStrings.xml><?xml version="1.0" encoding="utf-8"?>
<sst xmlns="http://schemas.openxmlformats.org/spreadsheetml/2006/main" count="163" uniqueCount="154">
  <si>
    <t>Property Overview</t>
  </si>
  <si>
    <t>Section A - Property Details</t>
  </si>
  <si>
    <t>Property Name</t>
  </si>
  <si>
    <t>Elm Street Retail Center</t>
  </si>
  <si>
    <t>Address</t>
  </si>
  <si>
    <t>2240 Elm Street, Suite A-D</t>
  </si>
  <si>
    <t>Property Type</t>
  </si>
  <si>
    <t>Retail Strip</t>
  </si>
  <si>
    <t>Total Square Feet (leasable)</t>
  </si>
  <si>
    <t>Number of Units / Suites</t>
  </si>
  <si>
    <t>Year Built</t>
  </si>
  <si>
    <t>Parking Spaces</t>
  </si>
  <si>
    <t>Section B - Acquisition</t>
  </si>
  <si>
    <t>Purchase Price</t>
  </si>
  <si>
    <t>Price per SqFt</t>
  </si>
  <si>
    <t>Closing Costs</t>
  </si>
  <si>
    <t>Immediate CapEx (deferred maint.)</t>
  </si>
  <si>
    <t>Total Basis</t>
  </si>
  <si>
    <t>Section C - Financing</t>
  </si>
  <si>
    <t>Down Payment (%)</t>
  </si>
  <si>
    <t>Down Payment ($)</t>
  </si>
  <si>
    <t>Loan Amount</t>
  </si>
  <si>
    <t>Interest Rate</t>
  </si>
  <si>
    <t>Loan Term (years)</t>
  </si>
  <si>
    <t>Balloon (years)</t>
  </si>
  <si>
    <t>Monthly Debt Service</t>
  </si>
  <si>
    <t>Annual Debt Service</t>
  </si>
  <si>
    <t>DSCR (Year 1 NOI / Annual DS)</t>
  </si>
  <si>
    <t>Section D - Hold &amp; Exit</t>
  </si>
  <si>
    <t>Hold Period (years)</t>
  </si>
  <si>
    <t>Exit Cap Rate</t>
  </si>
  <si>
    <t>Selling Costs (%)</t>
  </si>
  <si>
    <t>Annual Expense Growth</t>
  </si>
  <si>
    <t>General Vacancy / Credit Loss</t>
  </si>
  <si>
    <t>Reserves (% of EGI)</t>
  </si>
  <si>
    <t>Suite / Unit</t>
  </si>
  <si>
    <t>Tenant Name</t>
  </si>
  <si>
    <t>Square Feet</t>
  </si>
  <si>
    <t>% of Total SqFt</t>
  </si>
  <si>
    <t>Lease Start</t>
  </si>
  <si>
    <t>Lease End</t>
  </si>
  <si>
    <t>Remaining (mo)</t>
  </si>
  <si>
    <t>Base Rent ($/SF/yr)</t>
  </si>
  <si>
    <t>Base Rent (mo)</t>
  </si>
  <si>
    <t>Base Rent (annual)</t>
  </si>
  <si>
    <t>Annual Escalator (%)</t>
  </si>
  <si>
    <t>NNN (mo)</t>
  </si>
  <si>
    <t>Total Mo Rent+NNN</t>
  </si>
  <si>
    <t>Lease Type</t>
  </si>
  <si>
    <t>Status</t>
  </si>
  <si>
    <t>Notes</t>
  </si>
  <si>
    <t>Suite A</t>
  </si>
  <si>
    <t>Main Street Deli</t>
  </si>
  <si>
    <t>2020-01-01</t>
  </si>
  <si>
    <t>2029-12-31</t>
  </si>
  <si>
    <t>NNN</t>
  </si>
  <si>
    <t>Occupied</t>
  </si>
  <si>
    <t>Strong tenant</t>
  </si>
  <si>
    <t>Suite B</t>
  </si>
  <si>
    <t>State Farm Insurance</t>
  </si>
  <si>
    <t>2019-06-01</t>
  </si>
  <si>
    <t>2028-05-31</t>
  </si>
  <si>
    <t>Suite C</t>
  </si>
  <si>
    <t>Anytime Fitness</t>
  </si>
  <si>
    <t>2021-03-01</t>
  </si>
  <si>
    <t>2031-02-28</t>
  </si>
  <si>
    <t>Suite D</t>
  </si>
  <si>
    <t>(Vacant)</t>
  </si>
  <si>
    <t>Vacant</t>
  </si>
  <si>
    <t>Asking rate</t>
  </si>
  <si>
    <t>Total Occupied SqFt</t>
  </si>
  <si>
    <t>Occupancy Rate</t>
  </si>
  <si>
    <t>Total Base Rent (annual, occupied)</t>
  </si>
  <si>
    <t>Avg Rent / SqFt (occupied)</t>
  </si>
  <si>
    <t>Blended escalator (wt. by occupied base rent)</t>
  </si>
  <si>
    <t>NNN Breakdown</t>
  </si>
  <si>
    <t>Total property operating expenses (recoverable)</t>
  </si>
  <si>
    <t>Property Taxes (annual)</t>
  </si>
  <si>
    <t>Property Insurance (annual)</t>
  </si>
  <si>
    <t>CAM (annual)</t>
  </si>
  <si>
    <t>Total Recoverable Expenses</t>
  </si>
  <si>
    <t>Management Fee (% of EGI)</t>
  </si>
  <si>
    <t>CAM detail</t>
  </si>
  <si>
    <t>Landscaping / Lawn</t>
  </si>
  <si>
    <t>Snow Removal</t>
  </si>
  <si>
    <t>Parking Lot Maintenance</t>
  </si>
  <si>
    <t>Common Area Cleaning</t>
  </si>
  <si>
    <t>Exterior Lighting</t>
  </si>
  <si>
    <t>Trash / Waste Removal</t>
  </si>
  <si>
    <t>Miscellaneous</t>
  </si>
  <si>
    <t>CAM lines sum (check)</t>
  </si>
  <si>
    <t>Tenant NNN allocation</t>
  </si>
  <si>
    <t>Suite</t>
  </si>
  <si>
    <t>SqFt</t>
  </si>
  <si>
    <t>Pro-rata share</t>
  </si>
  <si>
    <t>Taxes share</t>
  </si>
  <si>
    <t>Insurance share</t>
  </si>
  <si>
    <t>CAM share</t>
  </si>
  <si>
    <t>Total NNN (annual)</t>
  </si>
  <si>
    <t>Total NNN (monthly)</t>
  </si>
  <si>
    <t>Total NNN recovered (annual)</t>
  </si>
  <si>
    <t>Unrecovered NNN (landlord)</t>
  </si>
  <si>
    <t>Recovery rate</t>
  </si>
  <si>
    <t>Year</t>
  </si>
  <si>
    <t>Calendar Yr</t>
  </si>
  <si>
    <t>Base Rent (gross)</t>
  </si>
  <si>
    <t>NNN Recovery</t>
  </si>
  <si>
    <t>Gross Potential Rent</t>
  </si>
  <si>
    <t>Vacancy / Credit Loss</t>
  </si>
  <si>
    <t>EGI</t>
  </si>
  <si>
    <t>Property Taxes</t>
  </si>
  <si>
    <t>Insurance</t>
  </si>
  <si>
    <t>CAM</t>
  </si>
  <si>
    <t>Management Fee</t>
  </si>
  <si>
    <t>Reserves</t>
  </si>
  <si>
    <t>Total Operating Expenses</t>
  </si>
  <si>
    <t>NOI</t>
  </si>
  <si>
    <t>Debt Service</t>
  </si>
  <si>
    <t>CF Before Tax</t>
  </si>
  <si>
    <t>DSCR</t>
  </si>
  <si>
    <t>Cash-on-Cash</t>
  </si>
  <si>
    <t>Cap Rate (on purchase)</t>
  </si>
  <si>
    <t>Total NOI (10 yr)</t>
  </si>
  <si>
    <t>Total CF (10 yr)</t>
  </si>
  <si>
    <t>Avg Cash-on-Cash</t>
  </si>
  <si>
    <t>Avg DSCR</t>
  </si>
  <si>
    <t>NOI growth Y10 vs Y1</t>
  </si>
  <si>
    <t>Exit &amp; Returns</t>
  </si>
  <si>
    <t>Section A - Exit valuation</t>
  </si>
  <si>
    <t>Year 10 NOI</t>
  </si>
  <si>
    <t>Year 11 projected NOI</t>
  </si>
  <si>
    <t>Exit cap rate</t>
  </si>
  <si>
    <t>Estimated sale price</t>
  </si>
  <si>
    <t>Sale price / SqFt</t>
  </si>
  <si>
    <t>Selling costs</t>
  </si>
  <si>
    <t>Net sale proceeds (before loan payoff)</t>
  </si>
  <si>
    <t>Section B - Loan payoff</t>
  </si>
  <si>
    <t>Original loan amount</t>
  </si>
  <si>
    <t>Remaining balance @ Year 10</t>
  </si>
  <si>
    <t>Net proceeds after loan payoff</t>
  </si>
  <si>
    <t>Section C - Total return</t>
  </si>
  <si>
    <t>Total cash invested (equity)</t>
  </si>
  <si>
    <t>Total CF received (10 yr)</t>
  </si>
  <si>
    <t>Net sale proceeds (after loan)</t>
  </si>
  <si>
    <t>Total return ($)</t>
  </si>
  <si>
    <t>Equity multiple</t>
  </si>
  <si>
    <t>Avg annual return (simple)</t>
  </si>
  <si>
    <t>IRR (cash-flow stream)</t>
  </si>
  <si>
    <t>Section D - Exit cap sensitivity</t>
  </si>
  <si>
    <t>Exit Cap</t>
  </si>
  <si>
    <t>Sale Price</t>
  </si>
  <si>
    <t>Net Proceeds</t>
  </si>
  <si>
    <t>Equity Multiple</t>
  </si>
  <si>
    <t>IRR (cash flows)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</si>
</sst>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&quot;$&quot;#,##0.00"/>
    <numFmt numFmtId="166" formatCode="0.0%"/>
  </numFmts>
  <fonts count="12" x14ac:knownFonts="1">
    <font>
      <sz val="11"/>
      <color theme="1"/>
      <name val="Calibri"/>
      <family val="2"/>
      <scheme val="minor"/>
    </font>
    <font>
      <b/>
      <sz val="14"/>
      <color rgb="FF263238"/>
      <name val="Calibri"/>
      <family val="2"/>
    </font>
    <font>
      <b/>
      <sz val="11"/>
      <color rgb="FF263238"/>
      <name val="Calibri"/>
      <family val="2"/>
    </font>
    <font>
      <sz val="11"/>
      <name val="Calibri"/>
      <family val="2"/>
    </font>
    <font>
      <i/>
      <sz val="9"/>
      <color rgb="FF546E7A"/>
      <name val="Calibri"/>
      <family val="2"/>
    </font>
    <font>
      <b/>
      <sz val="11"/>
      <color rgb="FFECEFF1"/>
      <name val="Calibri"/>
      <family val="2"/>
    </font>
    <font>
      <b/>
      <sz val="14"/>
      <name val="Calibri"/>
      <family val="2"/>
    </font>
    <font>
      <sz val="11"/>
      <color rgb="FF4472C4"/>
      <name val="Calibri"/>
      <family val="2"/>
    </font>
    <font>
      <sz val="9"/>
      <color rgb="FF546E7A"/>
      <name val="Calibri"/>
      <family val="2"/>
    </font>
    <font>
      <i/>
      <sz val="11"/>
      <color rgb="FF4472C4"/>
      <name val="Calibri"/>
      <family val="2"/>
    </font>
    <font>
      <b/>
      <sz val="11"/>
      <name val="Calibri"/>
      <family val="2"/>
    </font>
    <font>
      <b/>
      <sz val="11"/>
      <color rgb="FF4472C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37474F"/>
      </patternFill>
    </fill>
    <fill>
      <patternFill patternType="solid">
        <fgColor rgb="FF455A64"/>
      </patternFill>
    </fill>
    <fill>
      <patternFill patternType="solid">
        <fgColor rgb="FFFFF2CC"/>
        <bgColor rgb="FFFFF2CC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10" fontId="3" fillId="0" borderId="0" xfId="0" applyNumberFormat="1" applyFont="1"/>
    <xf numFmtId="0" fontId="6" fillId="0" borderId="0" xfId="0" applyFont="1"/>
    <xf numFmtId="0" fontId="5" fillId="3" borderId="1" xfId="0" applyFont="1" applyFill="1" applyBorder="1"/>
    <xf numFmtId="0" fontId="2" fillId="0" borderId="0" xfId="0" applyFont="1"/>
    <xf numFmtId="0" fontId="3" fillId="4" borderId="0" xfId="0" applyFont="1" applyFill="1"/>
    <xf numFmtId="1" fontId="3" fillId="4" borderId="0" xfId="0" applyNumberFormat="1" applyFont="1" applyFill="1"/>
    <xf numFmtId="164" fontId="3" fillId="4" borderId="0" xfId="0" applyNumberFormat="1" applyFont="1" applyFill="1"/>
    <xf numFmtId="165" fontId="7" fillId="0" borderId="0" xfId="0" applyNumberFormat="1" applyFont="1"/>
    <xf numFmtId="164" fontId="7" fillId="0" borderId="0" xfId="0" applyNumberFormat="1" applyFont="1"/>
    <xf numFmtId="166" fontId="3" fillId="4" borderId="0" xfId="0" applyNumberFormat="1" applyFont="1" applyFill="1"/>
    <xf numFmtId="10" fontId="3" fillId="4" borderId="0" xfId="0" applyNumberFormat="1" applyFont="1" applyFill="1"/>
    <xf numFmtId="2" fontId="7" fillId="0" borderId="0" xfId="0" applyNumberFormat="1" applyFont="1"/>
    <xf numFmtId="3" fontId="0" fillId="4" borderId="0" xfId="0" applyNumberFormat="1" applyFill="1"/>
    <xf numFmtId="166" fontId="7" fillId="0" borderId="0" xfId="0" applyNumberFormat="1" applyFont="1"/>
    <xf numFmtId="1" fontId="7" fillId="0" borderId="0" xfId="0" applyNumberFormat="1" applyFont="1"/>
    <xf numFmtId="165" fontId="0" fillId="4" borderId="0" xfId="0" applyNumberFormat="1" applyFill="1"/>
    <xf numFmtId="166" fontId="0" fillId="4" borderId="0" xfId="0" applyNumberFormat="1" applyFill="1"/>
    <xf numFmtId="0" fontId="0" fillId="4" borderId="0" xfId="0" applyFill="1"/>
    <xf numFmtId="3" fontId="7" fillId="0" borderId="0" xfId="0" applyNumberFormat="1" applyFont="1"/>
    <xf numFmtId="10" fontId="7" fillId="0" borderId="0" xfId="0" applyNumberFormat="1" applyFont="1"/>
    <xf numFmtId="0" fontId="7" fillId="0" borderId="0" xfId="0" applyFont="1"/>
    <xf numFmtId="0" fontId="8" fillId="0" borderId="0" xfId="0" applyFont="1"/>
    <xf numFmtId="164" fontId="9" fillId="0" borderId="0" xfId="0" applyNumberFormat="1" applyFont="1"/>
    <xf numFmtId="0" fontId="10" fillId="5" borderId="0" xfId="0" applyFont="1" applyFill="1"/>
    <xf numFmtId="166" fontId="11" fillId="5" borderId="0" xfId="0" applyNumberFormat="1" applyFont="1" applyFill="1"/>
  </cellXfs>
  <cellStyles count="1">
    <cellStyle name="Normal" xfId="0" builtinId="0"/>
  </cellStyles>
  <dxfs count="6">
    <dxf>
      <fill>
        <patternFill patternType="solid">
          <fgColor rgb="FFFFE082"/>
        </patternFill>
      </fill>
    </dxf>
    <dxf>
      <fill>
        <patternFill patternType="solid">
          <fgColor rgb="FFC8E6C9"/>
        </patternFill>
      </fill>
    </dxf>
    <dxf>
      <fill>
        <patternFill patternType="solid">
          <fgColor rgb="FFFFE082"/>
        </patternFill>
      </fill>
    </dxf>
    <dxf>
      <fill>
        <patternFill patternType="solid">
          <fgColor rgb="FFFFCDD2"/>
        </patternFill>
      </fill>
    </dxf>
    <dxf>
      <fill>
        <patternFill patternType="solid">
          <fgColor rgb="FFFFEBEE"/>
        </patternFill>
      </fill>
    </dxf>
    <dxf>
      <fill>
        <patternFill patternType="solid">
          <fgColor rgb="FFFFEBE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showGridLines="0" workbookViewId="0">
      <selection activeCell="C8" sqref="C8"/>
    </sheetView>
  </sheetViews>
  <sheetFormatPr defaultRowHeight="15" x14ac:dyDescent="0.25"/>
  <cols>
    <col min="1" max="1" width="38" customWidth="1"/>
    <col min="2" max="2" width="24.28515625" bestFit="1" customWidth="1"/>
  </cols>
  <sheetData>
    <row r="1" spans="1:2" ht="18.75" customHeight="1" x14ac:dyDescent="0.3">
      <c r="A1" s="1" t="s">
        <v>0</v>
      </c>
    </row>
    <row r="2" spans="1:2" x14ac:dyDescent="0.25">
      <c r="A2" s="2" t="s">
        <v>1</v>
      </c>
    </row>
    <row r="3" spans="1:2" x14ac:dyDescent="0.25">
      <c r="A3" s="3" t="s">
        <v>2</v>
      </c>
      <c r="B3" s="10" t="s">
        <v>3</v>
      </c>
    </row>
    <row r="4" spans="1:2" x14ac:dyDescent="0.25">
      <c r="A4" s="3" t="s">
        <v>4</v>
      </c>
      <c r="B4" s="10" t="s">
        <v>5</v>
      </c>
    </row>
    <row r="5" spans="1:2" x14ac:dyDescent="0.25">
      <c r="A5" s="3" t="s">
        <v>6</v>
      </c>
      <c r="B5" s="10" t="s">
        <v>7</v>
      </c>
    </row>
    <row r="6" spans="1:2" x14ac:dyDescent="0.25">
      <c r="A6" s="3" t="s">
        <v>8</v>
      </c>
      <c r="B6" s="11">
        <v>8400</v>
      </c>
    </row>
    <row r="7" spans="1:2" x14ac:dyDescent="0.25">
      <c r="A7" s="3" t="s">
        <v>9</v>
      </c>
      <c r="B7" s="11">
        <v>4</v>
      </c>
    </row>
    <row r="8" spans="1:2" x14ac:dyDescent="0.25">
      <c r="A8" s="3" t="s">
        <v>10</v>
      </c>
      <c r="B8" s="11">
        <v>2004</v>
      </c>
    </row>
    <row r="9" spans="1:2" x14ac:dyDescent="0.25">
      <c r="A9" s="3" t="s">
        <v>11</v>
      </c>
      <c r="B9" s="11">
        <v>32</v>
      </c>
    </row>
    <row r="11" spans="1:2" x14ac:dyDescent="0.25">
      <c r="A11" s="2" t="s">
        <v>12</v>
      </c>
    </row>
    <row r="12" spans="1:2" x14ac:dyDescent="0.25">
      <c r="A12" s="3" t="s">
        <v>13</v>
      </c>
      <c r="B12" s="12">
        <v>1650000</v>
      </c>
    </row>
    <row r="13" spans="1:2" x14ac:dyDescent="0.25">
      <c r="A13" s="3" t="s">
        <v>14</v>
      </c>
      <c r="B13" s="13">
        <f>IF(B6=0,0,B12/B6)</f>
        <v>196.42857142857142</v>
      </c>
    </row>
    <row r="14" spans="1:2" x14ac:dyDescent="0.25">
      <c r="A14" s="3" t="s">
        <v>15</v>
      </c>
      <c r="B14" s="12">
        <v>28000</v>
      </c>
    </row>
    <row r="15" spans="1:2" x14ac:dyDescent="0.25">
      <c r="A15" s="3" t="s">
        <v>16</v>
      </c>
      <c r="B15" s="12">
        <v>15000</v>
      </c>
    </row>
    <row r="16" spans="1:2" x14ac:dyDescent="0.25">
      <c r="A16" s="3" t="s">
        <v>17</v>
      </c>
      <c r="B16" s="14">
        <f>B12+B14+B15</f>
        <v>1693000</v>
      </c>
    </row>
    <row r="18" spans="1:2" x14ac:dyDescent="0.25">
      <c r="A18" s="2" t="s">
        <v>18</v>
      </c>
    </row>
    <row r="19" spans="1:2" x14ac:dyDescent="0.25">
      <c r="A19" s="3" t="s">
        <v>19</v>
      </c>
      <c r="B19" s="15">
        <v>0.3</v>
      </c>
    </row>
    <row r="20" spans="1:2" x14ac:dyDescent="0.25">
      <c r="A20" s="3" t="s">
        <v>20</v>
      </c>
      <c r="B20" s="14">
        <f>B12*B19</f>
        <v>495000</v>
      </c>
    </row>
    <row r="21" spans="1:2" x14ac:dyDescent="0.25">
      <c r="A21" s="3" t="s">
        <v>21</v>
      </c>
      <c r="B21" s="14">
        <f>B12-B20</f>
        <v>1155000</v>
      </c>
    </row>
    <row r="22" spans="1:2" x14ac:dyDescent="0.25">
      <c r="A22" s="3" t="s">
        <v>22</v>
      </c>
      <c r="B22" s="16">
        <v>6.7500000000000004E-2</v>
      </c>
    </row>
    <row r="23" spans="1:2" x14ac:dyDescent="0.25">
      <c r="A23" s="3" t="s">
        <v>23</v>
      </c>
      <c r="B23" s="11">
        <v>25</v>
      </c>
    </row>
    <row r="24" spans="1:2" x14ac:dyDescent="0.25">
      <c r="A24" s="3" t="s">
        <v>24</v>
      </c>
      <c r="B24" s="11">
        <v>10</v>
      </c>
    </row>
    <row r="25" spans="1:2" x14ac:dyDescent="0.25">
      <c r="A25" s="3" t="s">
        <v>25</v>
      </c>
      <c r="B25" s="14">
        <f>IF(B21=0,0,PMT(B22/12,B23*12,-B21))</f>
        <v>7980.0281162060701</v>
      </c>
    </row>
    <row r="26" spans="1:2" x14ac:dyDescent="0.25">
      <c r="A26" s="3" t="s">
        <v>26</v>
      </c>
      <c r="B26" s="14">
        <f>B25*12</f>
        <v>95760.337394472837</v>
      </c>
    </row>
    <row r="27" spans="1:2" x14ac:dyDescent="0.25">
      <c r="A27" s="3" t="s">
        <v>27</v>
      </c>
      <c r="B27" s="17">
        <f>IF('10-Year Cash Flow'!N2=0,0,IF(B26=0,0,'10-Year Cash Flow'!N2/B26))</f>
        <v>1.0334685809671358</v>
      </c>
    </row>
    <row r="29" spans="1:2" x14ac:dyDescent="0.25">
      <c r="A29" s="2" t="s">
        <v>28</v>
      </c>
    </row>
    <row r="30" spans="1:2" x14ac:dyDescent="0.25">
      <c r="A30" s="3" t="s">
        <v>29</v>
      </c>
      <c r="B30" s="11">
        <v>10</v>
      </c>
    </row>
    <row r="31" spans="1:2" x14ac:dyDescent="0.25">
      <c r="A31" s="3" t="s">
        <v>30</v>
      </c>
      <c r="B31" s="16">
        <v>7.2499999999999995E-2</v>
      </c>
    </row>
    <row r="32" spans="1:2" x14ac:dyDescent="0.25">
      <c r="A32" s="3" t="s">
        <v>31</v>
      </c>
      <c r="B32" s="15">
        <v>0.04</v>
      </c>
    </row>
    <row r="33" spans="1:2" x14ac:dyDescent="0.25">
      <c r="A33" s="3" t="s">
        <v>32</v>
      </c>
      <c r="B33" s="15">
        <v>2.5000000000000001E-2</v>
      </c>
    </row>
    <row r="34" spans="1:2" x14ac:dyDescent="0.25">
      <c r="A34" s="3" t="s">
        <v>33</v>
      </c>
      <c r="B34" s="15">
        <v>0.05</v>
      </c>
    </row>
    <row r="35" spans="1:2" x14ac:dyDescent="0.25">
      <c r="A35" s="3" t="s">
        <v>34</v>
      </c>
      <c r="B35" s="15">
        <v>0.04</v>
      </c>
    </row>
    <row r="36" spans="1:2" x14ac:dyDescent="0.25">
      <c r="A36" s="27"/>
    </row>
  </sheetData>
  <dataValidations count="1">
    <dataValidation type="list" allowBlank="1" sqref="B5" xr:uid="{00000000-0002-0000-0000-000000000000}">
      <formula1>"Retail Strip,Single Tenant Retail,Small Office,Mixed Use"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.42578125" bestFit="1" customWidth="1"/>
    <col min="2" max="2" width="22" customWidth="1"/>
    <col min="3" max="15" width="14" customWidth="1"/>
    <col min="16" max="16" width="28" customWidth="1"/>
  </cols>
  <sheetData>
    <row r="1" spans="1:16" x14ac:dyDescent="0.25">
      <c r="A1" s="5" t="s">
        <v>35</v>
      </c>
      <c r="B1" s="5" t="s">
        <v>36</v>
      </c>
      <c r="C1" s="5" t="s">
        <v>37</v>
      </c>
      <c r="D1" s="5" t="s">
        <v>38</v>
      </c>
      <c r="E1" s="5" t="s">
        <v>39</v>
      </c>
      <c r="F1" s="5" t="s">
        <v>40</v>
      </c>
      <c r="G1" s="5" t="s">
        <v>41</v>
      </c>
      <c r="H1" s="5" t="s">
        <v>42</v>
      </c>
      <c r="I1" s="5" t="s">
        <v>43</v>
      </c>
      <c r="J1" s="5" t="s">
        <v>44</v>
      </c>
      <c r="K1" s="5" t="s">
        <v>45</v>
      </c>
      <c r="L1" s="5" t="s">
        <v>46</v>
      </c>
      <c r="M1" s="5" t="s">
        <v>47</v>
      </c>
      <c r="N1" s="5" t="s">
        <v>48</v>
      </c>
      <c r="O1" s="5" t="s">
        <v>49</v>
      </c>
      <c r="P1" s="5" t="s">
        <v>50</v>
      </c>
    </row>
    <row r="2" spans="1:16" x14ac:dyDescent="0.25">
      <c r="A2" s="10" t="s">
        <v>51</v>
      </c>
      <c r="B2" s="10" t="s">
        <v>52</v>
      </c>
      <c r="C2" s="18">
        <v>2200</v>
      </c>
      <c r="D2" s="19">
        <f>IF(C2=0,0,C2/'Property Overview'!$B$6)</f>
        <v>0.26190476190476192</v>
      </c>
      <c r="E2" s="10" t="s">
        <v>53</v>
      </c>
      <c r="F2" s="10" t="s">
        <v>54</v>
      </c>
      <c r="G2" s="20">
        <f t="shared" ref="G2:G7" ca="1" si="0">IF(F2="","",IFERROR(MAX(0,DATEDIF(TODAY(),F2,"M")),""))</f>
        <v>44</v>
      </c>
      <c r="H2" s="21">
        <v>19</v>
      </c>
      <c r="I2" s="14">
        <f t="shared" ref="I2:I7" si="1">IF(C2=0,0,C2*H2/12)</f>
        <v>3483.3333333333335</v>
      </c>
      <c r="J2" s="14">
        <f t="shared" ref="J2:J7" si="2">IF(C2=0,0,C2*H2)</f>
        <v>41800</v>
      </c>
      <c r="K2" s="22">
        <v>2.5000000000000001E-2</v>
      </c>
      <c r="L2" s="14">
        <f>IF(A2="",0,IFERROR(INDEX('NNN Breakdown'!$H$21:$H$26,MATCH(A2,'NNN Breakdown'!$A$21:$A$26,0)),0))</f>
        <v>912.30158730158735</v>
      </c>
      <c r="M2" s="14">
        <f t="shared" ref="M2:M7" si="3">IF(C2=0,0,I2+L2)</f>
        <v>4395.6349206349205</v>
      </c>
      <c r="N2" s="10" t="s">
        <v>55</v>
      </c>
      <c r="O2" s="10" t="s">
        <v>56</v>
      </c>
      <c r="P2" s="10" t="s">
        <v>57</v>
      </c>
    </row>
    <row r="3" spans="1:16" x14ac:dyDescent="0.25">
      <c r="A3" s="10" t="s">
        <v>58</v>
      </c>
      <c r="B3" s="10" t="s">
        <v>59</v>
      </c>
      <c r="C3" s="18">
        <v>1800</v>
      </c>
      <c r="D3" s="19">
        <f>IF(C3=0,0,C3/'Property Overview'!$B$6)</f>
        <v>0.21428571428571427</v>
      </c>
      <c r="E3" s="10" t="s">
        <v>60</v>
      </c>
      <c r="F3" s="10" t="s">
        <v>61</v>
      </c>
      <c r="G3" s="20">
        <f t="shared" ca="1" si="0"/>
        <v>25</v>
      </c>
      <c r="H3" s="21">
        <v>18</v>
      </c>
      <c r="I3" s="14">
        <f t="shared" si="1"/>
        <v>2700</v>
      </c>
      <c r="J3" s="14">
        <f t="shared" si="2"/>
        <v>32400</v>
      </c>
      <c r="K3" s="22">
        <v>0.02</v>
      </c>
      <c r="L3" s="14">
        <f>IF(A3="",0,IFERROR(INDEX('NNN Breakdown'!$H$21:$H$26,MATCH(A3,'NNN Breakdown'!$A$21:$A$26,0)),0))</f>
        <v>746.42857142857144</v>
      </c>
      <c r="M3" s="14">
        <f t="shared" si="3"/>
        <v>3446.4285714285716</v>
      </c>
      <c r="N3" s="10" t="s">
        <v>55</v>
      </c>
      <c r="O3" s="10" t="s">
        <v>56</v>
      </c>
      <c r="P3" s="10"/>
    </row>
    <row r="4" spans="1:16" x14ac:dyDescent="0.25">
      <c r="A4" s="10" t="s">
        <v>62</v>
      </c>
      <c r="B4" s="10" t="s">
        <v>63</v>
      </c>
      <c r="C4" s="18">
        <v>3200</v>
      </c>
      <c r="D4" s="19">
        <f>IF(C4=0,0,C4/'Property Overview'!$B$6)</f>
        <v>0.38095238095238093</v>
      </c>
      <c r="E4" s="10" t="s">
        <v>64</v>
      </c>
      <c r="F4" s="10" t="s">
        <v>65</v>
      </c>
      <c r="G4" s="20">
        <f t="shared" ca="1" si="0"/>
        <v>58</v>
      </c>
      <c r="H4" s="21">
        <v>16.5</v>
      </c>
      <c r="I4" s="14">
        <f t="shared" si="1"/>
        <v>4400</v>
      </c>
      <c r="J4" s="14">
        <f t="shared" si="2"/>
        <v>52800</v>
      </c>
      <c r="K4" s="22">
        <v>0.03</v>
      </c>
      <c r="L4" s="14">
        <f>IF(A4="",0,IFERROR(INDEX('NNN Breakdown'!$H$21:$H$26,MATCH(A4,'NNN Breakdown'!$A$21:$A$26,0)),0))</f>
        <v>1326.984126984127</v>
      </c>
      <c r="M4" s="14">
        <f t="shared" si="3"/>
        <v>5726.9841269841272</v>
      </c>
      <c r="N4" s="10" t="s">
        <v>55</v>
      </c>
      <c r="O4" s="10" t="s">
        <v>56</v>
      </c>
      <c r="P4" s="10"/>
    </row>
    <row r="5" spans="1:16" x14ac:dyDescent="0.25">
      <c r="A5" s="10" t="s">
        <v>66</v>
      </c>
      <c r="B5" s="10" t="s">
        <v>67</v>
      </c>
      <c r="C5" s="18">
        <v>1200</v>
      </c>
      <c r="D5" s="19">
        <f>IF(C5=0,0,C5/'Property Overview'!$B$6)</f>
        <v>0.14285714285714285</v>
      </c>
      <c r="E5" s="10"/>
      <c r="F5" s="10"/>
      <c r="G5" s="20" t="str">
        <f t="shared" ca="1" si="0"/>
        <v/>
      </c>
      <c r="H5" s="21">
        <v>20</v>
      </c>
      <c r="I5" s="14">
        <f t="shared" si="1"/>
        <v>2000</v>
      </c>
      <c r="J5" s="14">
        <f t="shared" si="2"/>
        <v>24000</v>
      </c>
      <c r="K5" s="22">
        <v>0</v>
      </c>
      <c r="L5" s="14">
        <f>IF(A5="",0,IFERROR(INDEX('NNN Breakdown'!$H$21:$H$26,MATCH(A5,'NNN Breakdown'!$A$21:$A$26,0)),0))</f>
        <v>0</v>
      </c>
      <c r="M5" s="14">
        <f t="shared" si="3"/>
        <v>2000</v>
      </c>
      <c r="N5" s="10" t="s">
        <v>55</v>
      </c>
      <c r="O5" s="10" t="s">
        <v>68</v>
      </c>
      <c r="P5" s="10" t="s">
        <v>69</v>
      </c>
    </row>
    <row r="6" spans="1:16" x14ac:dyDescent="0.25">
      <c r="A6" s="10"/>
      <c r="B6" s="10"/>
      <c r="C6" s="23"/>
      <c r="D6" s="19">
        <f>IF(C6=0,0,C6/'Property Overview'!$B$6)</f>
        <v>0</v>
      </c>
      <c r="E6" s="10"/>
      <c r="F6" s="10"/>
      <c r="G6" s="20" t="str">
        <f t="shared" ca="1" si="0"/>
        <v/>
      </c>
      <c r="H6" s="21"/>
      <c r="I6" s="14">
        <f t="shared" si="1"/>
        <v>0</v>
      </c>
      <c r="J6" s="14">
        <f t="shared" si="2"/>
        <v>0</v>
      </c>
      <c r="K6" s="22"/>
      <c r="L6" s="14">
        <f>IF(A6="",0,IFERROR(INDEX('NNN Breakdown'!$H$21:$H$26,MATCH(A6,'NNN Breakdown'!$A$21:$A$26,0)),0))</f>
        <v>0</v>
      </c>
      <c r="M6" s="14">
        <f t="shared" si="3"/>
        <v>0</v>
      </c>
      <c r="N6" s="10" t="s">
        <v>55</v>
      </c>
      <c r="O6" s="10" t="s">
        <v>68</v>
      </c>
      <c r="P6" s="10"/>
    </row>
    <row r="7" spans="1:16" x14ac:dyDescent="0.25">
      <c r="A7" s="10"/>
      <c r="B7" s="10"/>
      <c r="C7" s="23"/>
      <c r="D7" s="19">
        <f>IF(C7=0,0,C7/'Property Overview'!$B$6)</f>
        <v>0</v>
      </c>
      <c r="E7" s="10"/>
      <c r="F7" s="10"/>
      <c r="G7" s="20" t="str">
        <f t="shared" ca="1" si="0"/>
        <v/>
      </c>
      <c r="H7" s="21"/>
      <c r="I7" s="14">
        <f t="shared" si="1"/>
        <v>0</v>
      </c>
      <c r="J7" s="14">
        <f t="shared" si="2"/>
        <v>0</v>
      </c>
      <c r="K7" s="22"/>
      <c r="L7" s="14">
        <f>IF(A7="",0,IFERROR(INDEX('NNN Breakdown'!$H$21:$H$26,MATCH(A7,'NNN Breakdown'!$A$21:$A$26,0)),0))</f>
        <v>0</v>
      </c>
      <c r="M7" s="14">
        <f t="shared" si="3"/>
        <v>0</v>
      </c>
      <c r="N7" s="10" t="s">
        <v>55</v>
      </c>
      <c r="O7" s="10" t="s">
        <v>68</v>
      </c>
      <c r="P7" s="10"/>
    </row>
    <row r="9" spans="1:16" x14ac:dyDescent="0.25">
      <c r="A9" s="3" t="s">
        <v>70</v>
      </c>
      <c r="B9" s="24">
        <f>SUMIFS(C2:C7,O2:O7,"Occupied")</f>
        <v>7200</v>
      </c>
    </row>
    <row r="10" spans="1:16" x14ac:dyDescent="0.25">
      <c r="A10" s="3" t="s">
        <v>71</v>
      </c>
      <c r="B10" s="19">
        <f>IF('Property Overview'!$B$6=0,0,B9/'Property Overview'!$B$6)</f>
        <v>0.8571428571428571</v>
      </c>
    </row>
    <row r="11" spans="1:16" x14ac:dyDescent="0.25">
      <c r="A11" s="3" t="s">
        <v>72</v>
      </c>
      <c r="B11" s="14">
        <f>SUMIFS(J2:J7,O2:O7,"Occupied")</f>
        <v>127000</v>
      </c>
    </row>
    <row r="12" spans="1:16" x14ac:dyDescent="0.25">
      <c r="A12" s="3" t="s">
        <v>73</v>
      </c>
      <c r="B12" s="13">
        <f>IF(B9=0,0,B11/B9)</f>
        <v>17.638888888888889</v>
      </c>
    </row>
    <row r="13" spans="1:16" x14ac:dyDescent="0.25">
      <c r="A13" s="3" t="s">
        <v>74</v>
      </c>
      <c r="B13" s="25">
        <f>IF(B11=0,0,SUMPRODUCT((O2:O7="Occupied")*J2:J7,K2:K7)/B11)</f>
        <v>2.5803149606299213E-2</v>
      </c>
    </row>
  </sheetData>
  <conditionalFormatting sqref="A2:M7">
    <cfRule type="expression" dxfId="5" priority="7">
      <formula>$O2="Vacant"</formula>
    </cfRule>
  </conditionalFormatting>
  <conditionalFormatting sqref="O2:O7">
    <cfRule type="expression" dxfId="4" priority="1">
      <formula>$O2="Vacant"</formula>
    </cfRule>
  </conditionalFormatting>
  <dataValidations count="2">
    <dataValidation type="list" allowBlank="1" sqref="N2:N7" xr:uid="{00000000-0002-0000-0100-000000000000}">
      <formula1>"NNN,Modified Gross,Gross"</formula1>
    </dataValidation>
    <dataValidation type="list" allowBlank="1" sqref="O2:O7" xr:uid="{00000000-0002-0000-0100-000001000000}">
      <formula1>"Occupied,Vacant,Month-to-Month,Expiring &lt; 12 mo"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tabSelected="1" workbookViewId="0"/>
  </sheetViews>
  <sheetFormatPr defaultRowHeight="15" x14ac:dyDescent="0.25"/>
  <cols>
    <col min="1" max="1" width="45" bestFit="1" customWidth="1"/>
    <col min="2" max="2" width="16" customWidth="1"/>
  </cols>
  <sheetData>
    <row r="1" spans="1:2" ht="18.75" customHeight="1" x14ac:dyDescent="0.3">
      <c r="A1" s="7" t="s">
        <v>75</v>
      </c>
    </row>
    <row r="2" spans="1:2" x14ac:dyDescent="0.25">
      <c r="A2" s="2" t="s">
        <v>76</v>
      </c>
    </row>
    <row r="3" spans="1:2" x14ac:dyDescent="0.25">
      <c r="A3" s="3" t="s">
        <v>77</v>
      </c>
      <c r="B3" s="12">
        <v>22400</v>
      </c>
    </row>
    <row r="4" spans="1:2" x14ac:dyDescent="0.25">
      <c r="A4" s="3" t="s">
        <v>78</v>
      </c>
      <c r="B4" s="12">
        <v>6800</v>
      </c>
    </row>
    <row r="5" spans="1:2" x14ac:dyDescent="0.25">
      <c r="A5" s="3" t="s">
        <v>79</v>
      </c>
      <c r="B5" s="12">
        <v>12600</v>
      </c>
    </row>
    <row r="6" spans="1:2" x14ac:dyDescent="0.25">
      <c r="A6" s="3" t="s">
        <v>80</v>
      </c>
      <c r="B6" s="14">
        <f>B3+B4+B5</f>
        <v>41800</v>
      </c>
    </row>
    <row r="7" spans="1:2" x14ac:dyDescent="0.25">
      <c r="A7" s="3" t="s">
        <v>81</v>
      </c>
      <c r="B7" s="16">
        <v>0.05</v>
      </c>
    </row>
    <row r="9" spans="1:2" x14ac:dyDescent="0.25">
      <c r="A9" s="2" t="s">
        <v>82</v>
      </c>
    </row>
    <row r="10" spans="1:2" x14ac:dyDescent="0.25">
      <c r="A10" s="3" t="s">
        <v>83</v>
      </c>
      <c r="B10" s="12">
        <v>3600</v>
      </c>
    </row>
    <row r="11" spans="1:2" x14ac:dyDescent="0.25">
      <c r="A11" s="3" t="s">
        <v>84</v>
      </c>
      <c r="B11" s="12">
        <v>1800</v>
      </c>
    </row>
    <row r="12" spans="1:2" x14ac:dyDescent="0.25">
      <c r="A12" s="3" t="s">
        <v>85</v>
      </c>
      <c r="B12" s="12">
        <v>1500</v>
      </c>
    </row>
    <row r="13" spans="1:2" x14ac:dyDescent="0.25">
      <c r="A13" s="3" t="s">
        <v>86</v>
      </c>
      <c r="B13" s="12">
        <v>2400</v>
      </c>
    </row>
    <row r="14" spans="1:2" x14ac:dyDescent="0.25">
      <c r="A14" s="3" t="s">
        <v>87</v>
      </c>
      <c r="B14" s="12">
        <v>600</v>
      </c>
    </row>
    <row r="15" spans="1:2" x14ac:dyDescent="0.25">
      <c r="A15" s="3" t="s">
        <v>88</v>
      </c>
      <c r="B15" s="12">
        <v>1800</v>
      </c>
    </row>
    <row r="16" spans="1:2" x14ac:dyDescent="0.25">
      <c r="A16" s="3" t="s">
        <v>89</v>
      </c>
      <c r="B16" s="12">
        <v>900</v>
      </c>
    </row>
    <row r="17" spans="1:8" x14ac:dyDescent="0.25">
      <c r="A17" s="3" t="s">
        <v>90</v>
      </c>
      <c r="B17" s="14">
        <f>SUM(B10:B16)</f>
        <v>12600</v>
      </c>
    </row>
    <row r="19" spans="1:8" x14ac:dyDescent="0.25">
      <c r="A19" s="2" t="s">
        <v>91</v>
      </c>
    </row>
    <row r="20" spans="1:8" x14ac:dyDescent="0.25">
      <c r="A20" s="2" t="s">
        <v>92</v>
      </c>
      <c r="B20" s="2" t="s">
        <v>93</v>
      </c>
      <c r="C20" s="2" t="s">
        <v>94</v>
      </c>
      <c r="D20" s="2" t="s">
        <v>95</v>
      </c>
      <c r="E20" s="2" t="s">
        <v>96</v>
      </c>
      <c r="F20" s="2" t="s">
        <v>97</v>
      </c>
      <c r="G20" s="2" t="s">
        <v>98</v>
      </c>
      <c r="H20" s="2" t="s">
        <v>99</v>
      </c>
    </row>
    <row r="21" spans="1:8" x14ac:dyDescent="0.25">
      <c r="A21" s="26" t="str">
        <f>'Rent Roll'!A2</f>
        <v>Suite A</v>
      </c>
      <c r="B21" s="24">
        <f>'Rent Roll'!C2</f>
        <v>2200</v>
      </c>
      <c r="C21" s="25">
        <f>IF('Rent Roll'!C2=0,0,'Rent Roll'!C2/'Property Overview'!$B$6)</f>
        <v>0.26190476190476192</v>
      </c>
      <c r="D21" s="14">
        <f>IF(OR('Rent Roll'!$O2&lt;&gt;"Occupied",'Rent Roll'!$C2=0),0,$B$3*('Rent Roll'!$C2/'Property Overview'!$B$6))</f>
        <v>5866.666666666667</v>
      </c>
      <c r="E21" s="14">
        <f>IF(OR('Rent Roll'!$O2&lt;&gt;"Occupied",'Rent Roll'!$C2=0),0,$B$4*('Rent Roll'!$C2/'Property Overview'!$B$6))</f>
        <v>1780.952380952381</v>
      </c>
      <c r="F21" s="14">
        <f>IF(OR('Rent Roll'!$O2&lt;&gt;"Occupied",'Rent Roll'!$C2=0),0,$B$5*('Rent Roll'!$C2/'Property Overview'!$B$6))</f>
        <v>3300</v>
      </c>
      <c r="G21" s="14">
        <f t="shared" ref="G21:G26" si="0">SUM(D21:F21)</f>
        <v>10947.619047619048</v>
      </c>
      <c r="H21" s="14">
        <f t="shared" ref="H21:H26" si="1">IF(G21=0,0,G21/12)</f>
        <v>912.30158730158735</v>
      </c>
    </row>
    <row r="22" spans="1:8" x14ac:dyDescent="0.25">
      <c r="A22" s="26" t="str">
        <f>'Rent Roll'!A3</f>
        <v>Suite B</v>
      </c>
      <c r="B22" s="24">
        <f>'Rent Roll'!C3</f>
        <v>1800</v>
      </c>
      <c r="C22" s="25">
        <f>IF('Rent Roll'!C3=0,0,'Rent Roll'!C3/'Property Overview'!$B$6)</f>
        <v>0.21428571428571427</v>
      </c>
      <c r="D22" s="14">
        <f>IF(OR('Rent Roll'!$O3&lt;&gt;"Occupied",'Rent Roll'!$C3=0),0,$B$3*('Rent Roll'!$C3/'Property Overview'!$B$6))</f>
        <v>4800</v>
      </c>
      <c r="E22" s="14">
        <f>IF(OR('Rent Roll'!$O3&lt;&gt;"Occupied",'Rent Roll'!$C3=0),0,$B$4*('Rent Roll'!$C3/'Property Overview'!$B$6))</f>
        <v>1457.1428571428571</v>
      </c>
      <c r="F22" s="14">
        <f>IF(OR('Rent Roll'!$O3&lt;&gt;"Occupied",'Rent Roll'!$C3=0),0,$B$5*('Rent Roll'!$C3/'Property Overview'!$B$6))</f>
        <v>2700</v>
      </c>
      <c r="G22" s="14">
        <f t="shared" si="0"/>
        <v>8957.1428571428569</v>
      </c>
      <c r="H22" s="14">
        <f t="shared" si="1"/>
        <v>746.42857142857144</v>
      </c>
    </row>
    <row r="23" spans="1:8" x14ac:dyDescent="0.25">
      <c r="A23" s="26" t="str">
        <f>'Rent Roll'!A4</f>
        <v>Suite C</v>
      </c>
      <c r="B23" s="24">
        <f>'Rent Roll'!C4</f>
        <v>3200</v>
      </c>
      <c r="C23" s="25">
        <f>IF('Rent Roll'!C4=0,0,'Rent Roll'!C4/'Property Overview'!$B$6)</f>
        <v>0.38095238095238093</v>
      </c>
      <c r="D23" s="14">
        <f>IF(OR('Rent Roll'!$O4&lt;&gt;"Occupied",'Rent Roll'!$C4=0),0,$B$3*('Rent Roll'!$C4/'Property Overview'!$B$6))</f>
        <v>8533.3333333333321</v>
      </c>
      <c r="E23" s="14">
        <f>IF(OR('Rent Roll'!$O4&lt;&gt;"Occupied",'Rent Roll'!$C4=0),0,$B$4*('Rent Roll'!$C4/'Property Overview'!$B$6))</f>
        <v>2590.4761904761904</v>
      </c>
      <c r="F23" s="14">
        <f>IF(OR('Rent Roll'!$O4&lt;&gt;"Occupied",'Rent Roll'!$C4=0),0,$B$5*('Rent Roll'!$C4/'Property Overview'!$B$6))</f>
        <v>4800</v>
      </c>
      <c r="G23" s="14">
        <f t="shared" si="0"/>
        <v>15923.809523809523</v>
      </c>
      <c r="H23" s="14">
        <f t="shared" si="1"/>
        <v>1326.984126984127</v>
      </c>
    </row>
    <row r="24" spans="1:8" x14ac:dyDescent="0.25">
      <c r="A24" s="26" t="str">
        <f>'Rent Roll'!A5</f>
        <v>Suite D</v>
      </c>
      <c r="B24" s="24">
        <f>'Rent Roll'!C5</f>
        <v>1200</v>
      </c>
      <c r="C24" s="25">
        <f>IF('Rent Roll'!C5=0,0,'Rent Roll'!C5/'Property Overview'!$B$6)</f>
        <v>0.14285714285714285</v>
      </c>
      <c r="D24" s="14">
        <f>IF(OR('Rent Roll'!$O5&lt;&gt;"Occupied",'Rent Roll'!$C5=0),0,$B$3*('Rent Roll'!$C5/'Property Overview'!$B$6))</f>
        <v>0</v>
      </c>
      <c r="E24" s="14">
        <f>IF(OR('Rent Roll'!$O5&lt;&gt;"Occupied",'Rent Roll'!$C5=0),0,$B$4*('Rent Roll'!$C5/'Property Overview'!$B$6))</f>
        <v>0</v>
      </c>
      <c r="F24" s="14">
        <f>IF(OR('Rent Roll'!$O5&lt;&gt;"Occupied",'Rent Roll'!$C5=0),0,$B$5*('Rent Roll'!$C5/'Property Overview'!$B$6))</f>
        <v>0</v>
      </c>
      <c r="G24" s="14">
        <f t="shared" si="0"/>
        <v>0</v>
      </c>
      <c r="H24" s="14">
        <f t="shared" si="1"/>
        <v>0</v>
      </c>
    </row>
    <row r="25" spans="1:8" x14ac:dyDescent="0.25">
      <c r="A25" s="26">
        <f>'Rent Roll'!A6</f>
        <v>0</v>
      </c>
      <c r="B25" s="24">
        <f>'Rent Roll'!C6</f>
        <v>0</v>
      </c>
      <c r="C25" s="25">
        <f>IF('Rent Roll'!C6=0,0,'Rent Roll'!C6/'Property Overview'!$B$6)</f>
        <v>0</v>
      </c>
      <c r="D25" s="14">
        <f>IF(OR('Rent Roll'!$O6&lt;&gt;"Occupied",'Rent Roll'!$C6=0),0,$B$3*('Rent Roll'!$C6/'Property Overview'!$B$6))</f>
        <v>0</v>
      </c>
      <c r="E25" s="14">
        <f>IF(OR('Rent Roll'!$O6&lt;&gt;"Occupied",'Rent Roll'!$C6=0),0,$B$4*('Rent Roll'!$C6/'Property Overview'!$B$6))</f>
        <v>0</v>
      </c>
      <c r="F25" s="14">
        <f>IF(OR('Rent Roll'!$O6&lt;&gt;"Occupied",'Rent Roll'!$C6=0),0,$B$5*('Rent Roll'!$C6/'Property Overview'!$B$6))</f>
        <v>0</v>
      </c>
      <c r="G25" s="14">
        <f t="shared" si="0"/>
        <v>0</v>
      </c>
      <c r="H25" s="14">
        <f t="shared" si="1"/>
        <v>0</v>
      </c>
    </row>
    <row r="26" spans="1:8" x14ac:dyDescent="0.25">
      <c r="A26" s="26">
        <f>'Rent Roll'!A7</f>
        <v>0</v>
      </c>
      <c r="B26" s="24">
        <f>'Rent Roll'!C7</f>
        <v>0</v>
      </c>
      <c r="C26" s="25">
        <f>IF('Rent Roll'!C7=0,0,'Rent Roll'!C7/'Property Overview'!$B$6)</f>
        <v>0</v>
      </c>
      <c r="D26" s="14">
        <f>IF(OR('Rent Roll'!$O7&lt;&gt;"Occupied",'Rent Roll'!$C7=0),0,$B$3*('Rent Roll'!$C7/'Property Overview'!$B$6))</f>
        <v>0</v>
      </c>
      <c r="E26" s="14">
        <f>IF(OR('Rent Roll'!$O7&lt;&gt;"Occupied",'Rent Roll'!$C7=0),0,$B$4*('Rent Roll'!$C7/'Property Overview'!$B$6))</f>
        <v>0</v>
      </c>
      <c r="F26" s="14">
        <f>IF(OR('Rent Roll'!$O7&lt;&gt;"Occupied",'Rent Roll'!$C7=0),0,$B$5*('Rent Roll'!$C7/'Property Overview'!$B$6))</f>
        <v>0</v>
      </c>
      <c r="G26" s="14">
        <f t="shared" si="0"/>
        <v>0</v>
      </c>
      <c r="H26" s="14">
        <f t="shared" si="1"/>
        <v>0</v>
      </c>
    </row>
    <row r="28" spans="1:8" x14ac:dyDescent="0.25">
      <c r="A28" s="3" t="s">
        <v>100</v>
      </c>
      <c r="B28" s="14">
        <f>SUM(G21:G26)</f>
        <v>35828.571428571428</v>
      </c>
    </row>
    <row r="29" spans="1:8" x14ac:dyDescent="0.25">
      <c r="A29" s="3" t="s">
        <v>101</v>
      </c>
      <c r="B29" s="14">
        <f>B6-B28</f>
        <v>5971.4285714285725</v>
      </c>
    </row>
    <row r="30" spans="1:8" x14ac:dyDescent="0.25">
      <c r="A30" s="29" t="s">
        <v>102</v>
      </c>
      <c r="B30" s="30">
        <f>IF(B6=0,0,B28/B6)</f>
        <v>0.8571428571428571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7"/>
  <sheetViews>
    <sheetView workbookViewId="0">
      <pane ySplit="1" topLeftCell="A2" activePane="bottomLeft" state="frozen"/>
      <selection pane="bottomLeft" activeCell="E14" sqref="E14"/>
    </sheetView>
  </sheetViews>
  <sheetFormatPr defaultRowHeight="15" x14ac:dyDescent="0.25"/>
  <cols>
    <col min="1" max="1" width="19.5703125" bestFit="1" customWidth="1"/>
    <col min="2" max="19" width="12" customWidth="1"/>
  </cols>
  <sheetData>
    <row r="1" spans="1:19" x14ac:dyDescent="0.25">
      <c r="A1" s="8" t="s">
        <v>103</v>
      </c>
      <c r="B1" s="8" t="s">
        <v>104</v>
      </c>
      <c r="C1" s="8" t="s">
        <v>105</v>
      </c>
      <c r="D1" s="8" t="s">
        <v>106</v>
      </c>
      <c r="E1" s="8" t="s">
        <v>107</v>
      </c>
      <c r="F1" s="8" t="s">
        <v>108</v>
      </c>
      <c r="G1" s="8" t="s">
        <v>109</v>
      </c>
      <c r="H1" s="8" t="s">
        <v>110</v>
      </c>
      <c r="I1" s="8" t="s">
        <v>111</v>
      </c>
      <c r="J1" s="8" t="s">
        <v>112</v>
      </c>
      <c r="K1" s="8" t="s">
        <v>113</v>
      </c>
      <c r="L1" s="8" t="s">
        <v>114</v>
      </c>
      <c r="M1" s="8" t="s">
        <v>115</v>
      </c>
      <c r="N1" s="8" t="s">
        <v>116</v>
      </c>
      <c r="O1" s="8" t="s">
        <v>117</v>
      </c>
      <c r="P1" s="8" t="s">
        <v>118</v>
      </c>
      <c r="Q1" s="8" t="s">
        <v>119</v>
      </c>
      <c r="R1" s="8" t="s">
        <v>120</v>
      </c>
      <c r="S1" s="8" t="s">
        <v>121</v>
      </c>
    </row>
    <row r="2" spans="1:19" x14ac:dyDescent="0.25">
      <c r="A2" s="3">
        <v>1</v>
      </c>
      <c r="B2" s="3">
        <v>2025</v>
      </c>
      <c r="C2" s="14">
        <f>IF(A2=1,'Rent Roll'!$B$11,'Rent Roll'!$B$11*POWER(1+'Rent Roll'!$B$13,A2-1))</f>
        <v>127000</v>
      </c>
      <c r="D2" s="14">
        <f>IF(A2=1,'NNN Breakdown'!$B$28,'NNN Breakdown'!$B$28*POWER(1+'Property Overview'!$B$33,A2-1))</f>
        <v>35828.571428571428</v>
      </c>
      <c r="E2" s="14">
        <f t="shared" ref="E2:E11" si="0">C2+D2</f>
        <v>162828.57142857142</v>
      </c>
      <c r="F2" s="14">
        <f>-E2*'Property Overview'!$B$34</f>
        <v>-8141.4285714285716</v>
      </c>
      <c r="G2" s="14">
        <f t="shared" ref="G2:G11" si="1">E2+F2</f>
        <v>154687.14285714284</v>
      </c>
      <c r="H2" s="14">
        <f>IF(A2=1,'NNN Breakdown'!$B$3,'NNN Breakdown'!$B$3*POWER(1+'Property Overview'!$B$33,A2-1))</f>
        <v>22400</v>
      </c>
      <c r="I2" s="14">
        <f>IF(A2=1,'NNN Breakdown'!$B$4,'NNN Breakdown'!$B$4*POWER(1+'Property Overview'!$B$33,A2-1))</f>
        <v>6800</v>
      </c>
      <c r="J2" s="14">
        <f>IF(A2=1,'NNN Breakdown'!$B$5,'NNN Breakdown'!$B$5*POWER(1+'Property Overview'!$B$33,A2-1))</f>
        <v>12600</v>
      </c>
      <c r="K2" s="14">
        <f>G2*'NNN Breakdown'!$B$7</f>
        <v>7734.3571428571422</v>
      </c>
      <c r="L2" s="14">
        <f>G2*'Property Overview'!$B$35</f>
        <v>6187.4857142857136</v>
      </c>
      <c r="M2" s="14">
        <f t="shared" ref="M2:M11" si="2">SUM(H2:L2)</f>
        <v>55721.842857142859</v>
      </c>
      <c r="N2" s="14">
        <f t="shared" ref="N2:N11" si="3">G2-M2</f>
        <v>98965.299999999988</v>
      </c>
      <c r="O2" s="14">
        <f>'Property Overview'!$B$26</f>
        <v>95760.337394472837</v>
      </c>
      <c r="P2" s="14">
        <f t="shared" ref="P2:P11" si="4">N2-O2</f>
        <v>3204.962605527151</v>
      </c>
      <c r="Q2" s="25">
        <f t="shared" ref="Q2:Q11" si="5">IF(O2=0,0,N2/O2)</f>
        <v>1.0334685809671358</v>
      </c>
      <c r="R2" s="25">
        <f>IF('Property Overview'!$B$20+'Property Overview'!$B$14+'Property Overview'!$B$15=0,0,P2/('Property Overview'!$B$20+'Property Overview'!$B$14+'Property Overview'!$B$15))</f>
        <v>5.9571795641768606E-3</v>
      </c>
      <c r="S2" s="25">
        <f>IF('Property Overview'!$B$12=0,0,N2/'Property Overview'!$B$12)</f>
        <v>5.997896969696969E-2</v>
      </c>
    </row>
    <row r="3" spans="1:19" x14ac:dyDescent="0.25">
      <c r="A3" s="3">
        <v>2</v>
      </c>
      <c r="B3" s="3">
        <v>2026</v>
      </c>
      <c r="C3" s="14">
        <f>IF(A3=1,'Rent Roll'!$B$11,'Rent Roll'!$B$11*POWER(1+'Rent Roll'!$B$13,A3-1))</f>
        <v>130276.99999999999</v>
      </c>
      <c r="D3" s="14">
        <f>IF(A3=1,'NNN Breakdown'!$B$28,'NNN Breakdown'!$B$28*POWER(1+'Property Overview'!$B$33,A3-1))</f>
        <v>36724.28571428571</v>
      </c>
      <c r="E3" s="14">
        <f t="shared" si="0"/>
        <v>167001.28571428568</v>
      </c>
      <c r="F3" s="14">
        <f>-E3*'Property Overview'!$B$34</f>
        <v>-8350.0642857142848</v>
      </c>
      <c r="G3" s="14">
        <f t="shared" si="1"/>
        <v>158651.22142857139</v>
      </c>
      <c r="H3" s="14">
        <f>IF(A3=1,'NNN Breakdown'!$B$3,'NNN Breakdown'!$B$3*POWER(1+'Property Overview'!$B$33,A3-1))</f>
        <v>22959.999999999996</v>
      </c>
      <c r="I3" s="14">
        <f>IF(A3=1,'NNN Breakdown'!$B$4,'NNN Breakdown'!$B$4*POWER(1+'Property Overview'!$B$33,A3-1))</f>
        <v>6969.9999999999991</v>
      </c>
      <c r="J3" s="14">
        <f>IF(A3=1,'NNN Breakdown'!$B$5,'NNN Breakdown'!$B$5*POWER(1+'Property Overview'!$B$33,A3-1))</f>
        <v>12914.999999999998</v>
      </c>
      <c r="K3" s="14">
        <f>G3*'NNN Breakdown'!$B$7</f>
        <v>7932.5610714285694</v>
      </c>
      <c r="L3" s="14">
        <f>G3*'Property Overview'!$B$35</f>
        <v>6346.0488571428559</v>
      </c>
      <c r="M3" s="14">
        <f t="shared" si="2"/>
        <v>57123.609928571423</v>
      </c>
      <c r="N3" s="14">
        <f t="shared" si="3"/>
        <v>101527.61149999997</v>
      </c>
      <c r="O3" s="14">
        <f>'Property Overview'!$B$26</f>
        <v>95760.337394472837</v>
      </c>
      <c r="P3" s="14">
        <f t="shared" si="4"/>
        <v>5767.2741055271326</v>
      </c>
      <c r="Q3" s="25">
        <f t="shared" si="5"/>
        <v>1.0602261255802552</v>
      </c>
      <c r="R3" s="25">
        <f>IF('Property Overview'!$B$20+'Property Overview'!$B$14+'Property Overview'!$B$15=0,0,P3/('Property Overview'!$B$20+'Property Overview'!$B$14+'Property Overview'!$B$15))</f>
        <v>1.0719840344845971E-2</v>
      </c>
      <c r="S3" s="25">
        <f>IF('Property Overview'!$B$12=0,0,N3/'Property Overview'!$B$12)</f>
        <v>6.153188575757574E-2</v>
      </c>
    </row>
    <row r="4" spans="1:19" x14ac:dyDescent="0.25">
      <c r="A4" s="3">
        <v>3</v>
      </c>
      <c r="B4" s="3">
        <v>2027</v>
      </c>
      <c r="C4" s="14">
        <f>IF(A4=1,'Rent Roll'!$B$11,'Rent Roll'!$B$11*POWER(1+'Rent Roll'!$B$13,A4-1))</f>
        <v>133638.55692125985</v>
      </c>
      <c r="D4" s="14">
        <f>IF(A4=1,'NNN Breakdown'!$B$28,'NNN Breakdown'!$B$28*POWER(1+'Property Overview'!$B$33,A4-1))</f>
        <v>37642.392857142855</v>
      </c>
      <c r="E4" s="14">
        <f t="shared" si="0"/>
        <v>171280.94977840269</v>
      </c>
      <c r="F4" s="14">
        <f>-E4*'Property Overview'!$B$34</f>
        <v>-8564.0474889201341</v>
      </c>
      <c r="G4" s="14">
        <f t="shared" si="1"/>
        <v>162716.90228948256</v>
      </c>
      <c r="H4" s="14">
        <f>IF(A4=1,'NNN Breakdown'!$B$3,'NNN Breakdown'!$B$3*POWER(1+'Property Overview'!$B$33,A4-1))</f>
        <v>23534</v>
      </c>
      <c r="I4" s="14">
        <f>IF(A4=1,'NNN Breakdown'!$B$4,'NNN Breakdown'!$B$4*POWER(1+'Property Overview'!$B$33,A4-1))</f>
        <v>7144.2499999999991</v>
      </c>
      <c r="J4" s="14">
        <f>IF(A4=1,'NNN Breakdown'!$B$5,'NNN Breakdown'!$B$5*POWER(1+'Property Overview'!$B$33,A4-1))</f>
        <v>13237.874999999998</v>
      </c>
      <c r="K4" s="14">
        <f>G4*'NNN Breakdown'!$B$7</f>
        <v>8135.8451144741284</v>
      </c>
      <c r="L4" s="14">
        <f>G4*'Property Overview'!$B$35</f>
        <v>6508.6760915793029</v>
      </c>
      <c r="M4" s="14">
        <f t="shared" si="2"/>
        <v>58560.646206053432</v>
      </c>
      <c r="N4" s="14">
        <f t="shared" si="3"/>
        <v>104156.25608342912</v>
      </c>
      <c r="O4" s="14">
        <f>'Property Overview'!$B$26</f>
        <v>95760.337394472837</v>
      </c>
      <c r="P4" s="14">
        <f t="shared" si="4"/>
        <v>8395.9186889562843</v>
      </c>
      <c r="Q4" s="25">
        <f t="shared" si="5"/>
        <v>1.08767636912525</v>
      </c>
      <c r="R4" s="25">
        <f>IF('Property Overview'!$B$20+'Property Overview'!$B$14+'Property Overview'!$B$15=0,0,P4/('Property Overview'!$B$20+'Property Overview'!$B$14+'Property Overview'!$B$15))</f>
        <v>1.5605796819621346E-2</v>
      </c>
      <c r="S4" s="25">
        <f>IF('Property Overview'!$B$12=0,0,N4/'Property Overview'!$B$12)</f>
        <v>6.3125003686926737E-2</v>
      </c>
    </row>
    <row r="5" spans="1:19" x14ac:dyDescent="0.25">
      <c r="A5" s="3">
        <v>4</v>
      </c>
      <c r="B5" s="3">
        <v>2028</v>
      </c>
      <c r="C5" s="14">
        <f>IF(A5=1,'Rent Roll'!$B$11,'Rent Roll'!$B$11*POWER(1+'Rent Roll'!$B$13,A5-1))</f>
        <v>137086.85259866901</v>
      </c>
      <c r="D5" s="14">
        <f>IF(A5=1,'NNN Breakdown'!$B$28,'NNN Breakdown'!$B$28*POWER(1+'Property Overview'!$B$33,A5-1))</f>
        <v>38583.452678571426</v>
      </c>
      <c r="E5" s="14">
        <f t="shared" si="0"/>
        <v>175670.30527724043</v>
      </c>
      <c r="F5" s="14">
        <f>-E5*'Property Overview'!$B$34</f>
        <v>-8783.515263862022</v>
      </c>
      <c r="G5" s="14">
        <f t="shared" si="1"/>
        <v>166886.7900133784</v>
      </c>
      <c r="H5" s="14">
        <f>IF(A5=1,'NNN Breakdown'!$B$3,'NNN Breakdown'!$B$3*POWER(1+'Property Overview'!$B$33,A5-1))</f>
        <v>24122.35</v>
      </c>
      <c r="I5" s="14">
        <f>IF(A5=1,'NNN Breakdown'!$B$4,'NNN Breakdown'!$B$4*POWER(1+'Property Overview'!$B$33,A5-1))</f>
        <v>7322.8562499999989</v>
      </c>
      <c r="J5" s="14">
        <f>IF(A5=1,'NNN Breakdown'!$B$5,'NNN Breakdown'!$B$5*POWER(1+'Property Overview'!$B$33,A5-1))</f>
        <v>13568.821874999998</v>
      </c>
      <c r="K5" s="14">
        <f>G5*'NNN Breakdown'!$B$7</f>
        <v>8344.3395006689207</v>
      </c>
      <c r="L5" s="14">
        <f>G5*'Property Overview'!$B$35</f>
        <v>6675.4716005351365</v>
      </c>
      <c r="M5" s="14">
        <f t="shared" si="2"/>
        <v>60033.839226204058</v>
      </c>
      <c r="N5" s="14">
        <f t="shared" si="3"/>
        <v>106852.95078717434</v>
      </c>
      <c r="O5" s="14">
        <f>'Property Overview'!$B$26</f>
        <v>95760.337394472837</v>
      </c>
      <c r="P5" s="14">
        <f t="shared" si="4"/>
        <v>11092.613392701503</v>
      </c>
      <c r="Q5" s="25">
        <f t="shared" si="5"/>
        <v>1.1158372421664187</v>
      </c>
      <c r="R5" s="25">
        <f>IF('Property Overview'!$B$20+'Property Overview'!$B$14+'Property Overview'!$B$15=0,0,P5/('Property Overview'!$B$20+'Property Overview'!$B$14+'Property Overview'!$B$15))</f>
        <v>2.0618240506880117E-2</v>
      </c>
      <c r="S5" s="25">
        <f>IF('Property Overview'!$B$12=0,0,N5/'Property Overview'!$B$12)</f>
        <v>6.4759364113438994E-2</v>
      </c>
    </row>
    <row r="6" spans="1:19" x14ac:dyDescent="0.25">
      <c r="A6" s="3">
        <v>5</v>
      </c>
      <c r="B6" s="3">
        <v>2029</v>
      </c>
      <c r="C6" s="14">
        <f>IF(A6=1,'Rent Roll'!$B$11,'Rent Roll'!$B$11*POWER(1+'Rent Roll'!$B$13,A6-1))</f>
        <v>140624.12516532917</v>
      </c>
      <c r="D6" s="14">
        <f>IF(A6=1,'NNN Breakdown'!$B$28,'NNN Breakdown'!$B$28*POWER(1+'Property Overview'!$B$33,A6-1))</f>
        <v>39548.038995535702</v>
      </c>
      <c r="E6" s="14">
        <f t="shared" si="0"/>
        <v>180172.16416086486</v>
      </c>
      <c r="F6" s="14">
        <f>-E6*'Property Overview'!$B$34</f>
        <v>-9008.6082080432443</v>
      </c>
      <c r="G6" s="14">
        <f t="shared" si="1"/>
        <v>171163.55595282163</v>
      </c>
      <c r="H6" s="14">
        <f>IF(A6=1,'NNN Breakdown'!$B$3,'NNN Breakdown'!$B$3*POWER(1+'Property Overview'!$B$33,A6-1))</f>
        <v>24725.408749999995</v>
      </c>
      <c r="I6" s="14">
        <f>IF(A6=1,'NNN Breakdown'!$B$4,'NNN Breakdown'!$B$4*POWER(1+'Property Overview'!$B$33,A6-1))</f>
        <v>7505.9276562499981</v>
      </c>
      <c r="J6" s="14">
        <f>IF(A6=1,'NNN Breakdown'!$B$5,'NNN Breakdown'!$B$5*POWER(1+'Property Overview'!$B$33,A6-1))</f>
        <v>13908.042421874998</v>
      </c>
      <c r="K6" s="14">
        <f>G6*'NNN Breakdown'!$B$7</f>
        <v>8558.1777976410813</v>
      </c>
      <c r="L6" s="14">
        <f>G6*'Property Overview'!$B$35</f>
        <v>6846.5422381128656</v>
      </c>
      <c r="M6" s="14">
        <f t="shared" si="2"/>
        <v>61544.098863878935</v>
      </c>
      <c r="N6" s="14">
        <f t="shared" si="3"/>
        <v>109619.4570889427</v>
      </c>
      <c r="O6" s="14">
        <f>'Property Overview'!$B$26</f>
        <v>95760.337394472837</v>
      </c>
      <c r="P6" s="14">
        <f t="shared" si="4"/>
        <v>13859.11969446986</v>
      </c>
      <c r="Q6" s="25">
        <f t="shared" si="5"/>
        <v>1.1447271393518481</v>
      </c>
      <c r="R6" s="25">
        <f>IF('Property Overview'!$B$20+'Property Overview'!$B$14+'Property Overview'!$B$15=0,0,P6/('Property Overview'!$B$20+'Property Overview'!$B$14+'Property Overview'!$B$15))</f>
        <v>2.5760445528754387E-2</v>
      </c>
      <c r="S6" s="25">
        <f>IF('Property Overview'!$B$12=0,0,N6/'Property Overview'!$B$12)</f>
        <v>6.6436034599359206E-2</v>
      </c>
    </row>
    <row r="7" spans="1:19" x14ac:dyDescent="0.25">
      <c r="A7" s="3">
        <v>6</v>
      </c>
      <c r="B7" s="3">
        <v>2030</v>
      </c>
      <c r="C7" s="14">
        <f>IF(A7=1,'Rent Roll'!$B$11,'Rent Roll'!$B$11*POWER(1+'Rent Roll'!$B$13,A7-1))</f>
        <v>144252.67050522511</v>
      </c>
      <c r="D7" s="14">
        <f>IF(A7=1,'NNN Breakdown'!$B$28,'NNN Breakdown'!$B$28*POWER(1+'Property Overview'!$B$33,A7-1))</f>
        <v>40536.739970424096</v>
      </c>
      <c r="E7" s="14">
        <f t="shared" si="0"/>
        <v>184789.4104756492</v>
      </c>
      <c r="F7" s="14">
        <f>-E7*'Property Overview'!$B$34</f>
        <v>-9239.4705237824601</v>
      </c>
      <c r="G7" s="14">
        <f t="shared" si="1"/>
        <v>175549.93995186675</v>
      </c>
      <c r="H7" s="14">
        <f>IF(A7=1,'NNN Breakdown'!$B$3,'NNN Breakdown'!$B$3*POWER(1+'Property Overview'!$B$33,A7-1))</f>
        <v>25343.543968749993</v>
      </c>
      <c r="I7" s="14">
        <f>IF(A7=1,'NNN Breakdown'!$B$4,'NNN Breakdown'!$B$4*POWER(1+'Property Overview'!$B$33,A7-1))</f>
        <v>7693.5758476562478</v>
      </c>
      <c r="J7" s="14">
        <f>IF(A7=1,'NNN Breakdown'!$B$5,'NNN Breakdown'!$B$5*POWER(1+'Property Overview'!$B$33,A7-1))</f>
        <v>14255.743482421871</v>
      </c>
      <c r="K7" s="14">
        <f>G7*'NNN Breakdown'!$B$7</f>
        <v>8777.4969975933382</v>
      </c>
      <c r="L7" s="14">
        <f>G7*'Property Overview'!$B$35</f>
        <v>7021.9975980746703</v>
      </c>
      <c r="M7" s="14">
        <f t="shared" si="2"/>
        <v>63092.357894496119</v>
      </c>
      <c r="N7" s="14">
        <f t="shared" si="3"/>
        <v>112457.58205737063</v>
      </c>
      <c r="O7" s="14">
        <f>'Property Overview'!$B$26</f>
        <v>95760.337394472837</v>
      </c>
      <c r="P7" s="14">
        <f t="shared" si="4"/>
        <v>16697.244662897792</v>
      </c>
      <c r="Q7" s="25">
        <f t="shared" si="5"/>
        <v>1.1743649314237017</v>
      </c>
      <c r="R7" s="25">
        <f>IF('Property Overview'!$B$20+'Property Overview'!$B$14+'Property Overview'!$B$15=0,0,P7/('Property Overview'!$B$20+'Property Overview'!$B$14+'Property Overview'!$B$15))</f>
        <v>3.1035770748880656E-2</v>
      </c>
      <c r="S7" s="25">
        <f>IF('Property Overview'!$B$12=0,0,N7/'Property Overview'!$B$12)</f>
        <v>6.8156110337800377E-2</v>
      </c>
    </row>
    <row r="8" spans="1:19" x14ac:dyDescent="0.25">
      <c r="A8" s="3">
        <v>7</v>
      </c>
      <c r="B8" s="3">
        <v>2031</v>
      </c>
      <c r="C8" s="14">
        <f>IF(A8=1,'Rent Roll'!$B$11,'Rent Roll'!$B$11*POWER(1+'Rent Roll'!$B$13,A8-1))</f>
        <v>147974.84374337961</v>
      </c>
      <c r="D8" s="14">
        <f>IF(A8=1,'NNN Breakdown'!$B$28,'NNN Breakdown'!$B$28*POWER(1+'Property Overview'!$B$33,A8-1))</f>
        <v>41550.158469684691</v>
      </c>
      <c r="E8" s="14">
        <f t="shared" si="0"/>
        <v>189525.00221306429</v>
      </c>
      <c r="F8" s="14">
        <f>-E8*'Property Overview'!$B$34</f>
        <v>-9476.2501106532145</v>
      </c>
      <c r="G8" s="14">
        <f t="shared" si="1"/>
        <v>180048.75210241106</v>
      </c>
      <c r="H8" s="14">
        <f>IF(A8=1,'NNN Breakdown'!$B$3,'NNN Breakdown'!$B$3*POWER(1+'Property Overview'!$B$33,A8-1))</f>
        <v>25977.13256796874</v>
      </c>
      <c r="I8" s="14">
        <f>IF(A8=1,'NNN Breakdown'!$B$4,'NNN Breakdown'!$B$4*POWER(1+'Property Overview'!$B$33,A8-1))</f>
        <v>7885.9152438476531</v>
      </c>
      <c r="J8" s="14">
        <f>IF(A8=1,'NNN Breakdown'!$B$5,'NNN Breakdown'!$B$5*POWER(1+'Property Overview'!$B$33,A8-1))</f>
        <v>14612.137069482416</v>
      </c>
      <c r="K8" s="14">
        <f>G8*'NNN Breakdown'!$B$7</f>
        <v>9002.4376051205527</v>
      </c>
      <c r="L8" s="14">
        <f>G8*'Property Overview'!$B$35</f>
        <v>7201.9500840964429</v>
      </c>
      <c r="M8" s="14">
        <f t="shared" si="2"/>
        <v>64679.572570515811</v>
      </c>
      <c r="N8" s="14">
        <f t="shared" si="3"/>
        <v>115369.17953189525</v>
      </c>
      <c r="O8" s="14">
        <f>'Property Overview'!$B$26</f>
        <v>95760.337394472837</v>
      </c>
      <c r="P8" s="14">
        <f t="shared" si="4"/>
        <v>19608.842137422413</v>
      </c>
      <c r="Q8" s="25">
        <f t="shared" si="5"/>
        <v>1.2047699775393044</v>
      </c>
      <c r="R8" s="25">
        <f>IF('Property Overview'!$B$20+'Property Overview'!$B$14+'Property Overview'!$B$15=0,0,P8/('Property Overview'!$B$20+'Property Overview'!$B$14+'Property Overview'!$B$15))</f>
        <v>3.6447661965469169E-2</v>
      </c>
      <c r="S8" s="25">
        <f>IF('Property Overview'!$B$12=0,0,N8/'Property Overview'!$B$12)</f>
        <v>6.9920714867815301E-2</v>
      </c>
    </row>
    <row r="9" spans="1:19" x14ac:dyDescent="0.25">
      <c r="A9" s="3">
        <v>8</v>
      </c>
      <c r="B9" s="3">
        <v>2032</v>
      </c>
      <c r="C9" s="14">
        <f>IF(A9=1,'Rent Roll'!$B$11,'Rent Roll'!$B$11*POWER(1+'Rent Roll'!$B$13,A9-1))</f>
        <v>151793.06077445878</v>
      </c>
      <c r="D9" s="14">
        <f>IF(A9=1,'NNN Breakdown'!$B$28,'NNN Breakdown'!$B$28*POWER(1+'Property Overview'!$B$33,A9-1))</f>
        <v>42588.912431426812</v>
      </c>
      <c r="E9" s="14">
        <f t="shared" si="0"/>
        <v>194381.97320588559</v>
      </c>
      <c r="F9" s="14">
        <f>-E9*'Property Overview'!$B$34</f>
        <v>-9719.0986602942794</v>
      </c>
      <c r="G9" s="14">
        <f t="shared" si="1"/>
        <v>184662.8745455913</v>
      </c>
      <c r="H9" s="14">
        <f>IF(A9=1,'NNN Breakdown'!$B$3,'NNN Breakdown'!$B$3*POWER(1+'Property Overview'!$B$33,A9-1))</f>
        <v>26626.56088216796</v>
      </c>
      <c r="I9" s="14">
        <f>IF(A9=1,'NNN Breakdown'!$B$4,'NNN Breakdown'!$B$4*POWER(1+'Property Overview'!$B$33,A9-1))</f>
        <v>8083.0631249438447</v>
      </c>
      <c r="J9" s="14">
        <f>IF(A9=1,'NNN Breakdown'!$B$5,'NNN Breakdown'!$B$5*POWER(1+'Property Overview'!$B$33,A9-1))</f>
        <v>14977.440496219477</v>
      </c>
      <c r="K9" s="14">
        <f>G9*'NNN Breakdown'!$B$7</f>
        <v>9233.1437272795647</v>
      </c>
      <c r="L9" s="14">
        <f>G9*'Property Overview'!$B$35</f>
        <v>7386.5149818236523</v>
      </c>
      <c r="M9" s="14">
        <f t="shared" si="2"/>
        <v>66306.723212434503</v>
      </c>
      <c r="N9" s="14">
        <f t="shared" si="3"/>
        <v>118356.1513331568</v>
      </c>
      <c r="O9" s="14">
        <f>'Property Overview'!$B$26</f>
        <v>95760.337394472837</v>
      </c>
      <c r="P9" s="14">
        <f t="shared" si="4"/>
        <v>22595.813938683961</v>
      </c>
      <c r="Q9" s="25">
        <f t="shared" si="5"/>
        <v>1.235962137911057</v>
      </c>
      <c r="R9" s="25">
        <f>IF('Property Overview'!$B$20+'Property Overview'!$B$14+'Property Overview'!$B$15=0,0,P9/('Property Overview'!$B$20+'Property Overview'!$B$14+'Property Overview'!$B$15))</f>
        <v>4.1999654161122606E-2</v>
      </c>
      <c r="S9" s="25">
        <f>IF('Property Overview'!$B$12=0,0,N9/'Property Overview'!$B$12)</f>
        <v>7.1731000807973816E-2</v>
      </c>
    </row>
    <row r="10" spans="1:19" x14ac:dyDescent="0.25">
      <c r="A10" s="3">
        <v>9</v>
      </c>
      <c r="B10" s="3">
        <v>2033</v>
      </c>
      <c r="C10" s="14">
        <f>IF(A10=1,'Rent Roll'!$B$11,'Rent Roll'!$B$11*POWER(1+'Rent Roll'!$B$13,A10-1))</f>
        <v>155709.79983082018</v>
      </c>
      <c r="D10" s="14">
        <f>IF(A10=1,'NNN Breakdown'!$B$28,'NNN Breakdown'!$B$28*POWER(1+'Property Overview'!$B$33,A10-1))</f>
        <v>43653.635242212476</v>
      </c>
      <c r="E10" s="14">
        <f t="shared" si="0"/>
        <v>199363.43507303266</v>
      </c>
      <c r="F10" s="14">
        <f>-E10*'Property Overview'!$B$34</f>
        <v>-9968.1717536516335</v>
      </c>
      <c r="G10" s="14">
        <f t="shared" si="1"/>
        <v>189395.26331938102</v>
      </c>
      <c r="H10" s="14">
        <f>IF(A10=1,'NNN Breakdown'!$B$3,'NNN Breakdown'!$B$3*POWER(1+'Property Overview'!$B$33,A10-1))</f>
        <v>27292.224904222156</v>
      </c>
      <c r="I10" s="14">
        <f>IF(A10=1,'NNN Breakdown'!$B$4,'NNN Breakdown'!$B$4*POWER(1+'Property Overview'!$B$33,A10-1))</f>
        <v>8285.1397030674398</v>
      </c>
      <c r="J10" s="14">
        <f>IF(A10=1,'NNN Breakdown'!$B$5,'NNN Breakdown'!$B$5*POWER(1+'Property Overview'!$B$33,A10-1))</f>
        <v>15351.876508624962</v>
      </c>
      <c r="K10" s="14">
        <f>G10*'NNN Breakdown'!$B$7</f>
        <v>9469.7631659690505</v>
      </c>
      <c r="L10" s="14">
        <f>G10*'Property Overview'!$B$35</f>
        <v>7575.810532775241</v>
      </c>
      <c r="M10" s="14">
        <f t="shared" si="2"/>
        <v>67974.81481465885</v>
      </c>
      <c r="N10" s="14">
        <f t="shared" si="3"/>
        <v>121420.44850472217</v>
      </c>
      <c r="O10" s="14">
        <f>'Property Overview'!$B$26</f>
        <v>95760.337394472837</v>
      </c>
      <c r="P10" s="14">
        <f t="shared" si="4"/>
        <v>25660.111110249331</v>
      </c>
      <c r="Q10" s="25">
        <f t="shared" si="5"/>
        <v>1.2679617867734287</v>
      </c>
      <c r="R10" s="25">
        <f>IF('Property Overview'!$B$20+'Property Overview'!$B$14+'Property Overview'!$B$15=0,0,P10/('Property Overview'!$B$20+'Property Overview'!$B$14+'Property Overview'!$B$15))</f>
        <v>4.7695373810872362E-2</v>
      </c>
      <c r="S10" s="25">
        <f>IF('Property Overview'!$B$12=0,0,N10/'Property Overview'!$B$12)</f>
        <v>7.3588150608922528E-2</v>
      </c>
    </row>
    <row r="11" spans="1:19" x14ac:dyDescent="0.25">
      <c r="A11" s="3">
        <v>10</v>
      </c>
      <c r="B11" s="3">
        <v>2034</v>
      </c>
      <c r="C11" s="14">
        <f>IF(A11=1,'Rent Roll'!$B$11,'Rent Roll'!$B$11*POWER(1+'Rent Roll'!$B$13,A11-1))</f>
        <v>159727.60309102174</v>
      </c>
      <c r="D11" s="14">
        <f>IF(A11=1,'NNN Breakdown'!$B$28,'NNN Breakdown'!$B$28*POWER(1+'Property Overview'!$B$33,A11-1))</f>
        <v>44744.976123267785</v>
      </c>
      <c r="E11" s="14">
        <f t="shared" si="0"/>
        <v>204472.57921428952</v>
      </c>
      <c r="F11" s="14">
        <f>-E11*'Property Overview'!$B$34</f>
        <v>-10223.628960714477</v>
      </c>
      <c r="G11" s="14">
        <f t="shared" si="1"/>
        <v>194248.95025357505</v>
      </c>
      <c r="H11" s="14">
        <f>IF(A11=1,'NNN Breakdown'!$B$3,'NNN Breakdown'!$B$3*POWER(1+'Property Overview'!$B$33,A11-1))</f>
        <v>27974.530526827704</v>
      </c>
      <c r="I11" s="14">
        <f>IF(A11=1,'NNN Breakdown'!$B$4,'NNN Breakdown'!$B$4*POWER(1+'Property Overview'!$B$33,A11-1))</f>
        <v>8492.2681956441247</v>
      </c>
      <c r="J11" s="14">
        <f>IF(A11=1,'NNN Breakdown'!$B$5,'NNN Breakdown'!$B$5*POWER(1+'Property Overview'!$B$33,A11-1))</f>
        <v>15735.673421340585</v>
      </c>
      <c r="K11" s="14">
        <f>G11*'NNN Breakdown'!$B$7</f>
        <v>9712.4475126787529</v>
      </c>
      <c r="L11" s="14">
        <f>G11*'Property Overview'!$B$35</f>
        <v>7769.958010143002</v>
      </c>
      <c r="M11" s="14">
        <f t="shared" si="2"/>
        <v>69684.877666634173</v>
      </c>
      <c r="N11" s="14">
        <f t="shared" si="3"/>
        <v>124564.07258694088</v>
      </c>
      <c r="O11" s="14">
        <f>'Property Overview'!$B$26</f>
        <v>95760.337394472837</v>
      </c>
      <c r="P11" s="14">
        <f t="shared" si="4"/>
        <v>28803.735192468041</v>
      </c>
      <c r="Q11" s="25">
        <f t="shared" si="5"/>
        <v>1.3007898256854988</v>
      </c>
      <c r="R11" s="25">
        <f>IF('Property Overview'!$B$20+'Property Overview'!$B$14+'Property Overview'!$B$15=0,0,P11/('Property Overview'!$B$20+'Property Overview'!$B$14+'Property Overview'!$B$15))</f>
        <v>5.3538541249940598E-2</v>
      </c>
      <c r="S11" s="25">
        <f>IF('Property Overview'!$B$12=0,0,N11/'Property Overview'!$B$12)</f>
        <v>7.549337732541872E-2</v>
      </c>
    </row>
    <row r="13" spans="1:19" x14ac:dyDescent="0.25">
      <c r="A13" s="3" t="s">
        <v>122</v>
      </c>
      <c r="B13" s="14">
        <f>SUM(N2:N11)</f>
        <v>1113289.0094736319</v>
      </c>
    </row>
    <row r="14" spans="1:19" x14ac:dyDescent="0.25">
      <c r="A14" s="3" t="s">
        <v>123</v>
      </c>
      <c r="B14" s="14">
        <f>SUM(P2:P11)</f>
        <v>155685.63552890345</v>
      </c>
    </row>
    <row r="15" spans="1:19" x14ac:dyDescent="0.25">
      <c r="A15" s="3" t="s">
        <v>124</v>
      </c>
      <c r="B15" s="25">
        <f>AVERAGE(R2:R11)</f>
        <v>2.8937850470056408E-2</v>
      </c>
    </row>
    <row r="16" spans="1:19" x14ac:dyDescent="0.25">
      <c r="A16" s="3" t="s">
        <v>125</v>
      </c>
      <c r="B16" s="17">
        <f>AVERAGE(Q2:Q11)</f>
        <v>1.1625784116523898</v>
      </c>
    </row>
    <row r="17" spans="1:2" x14ac:dyDescent="0.25">
      <c r="A17" s="3" t="s">
        <v>126</v>
      </c>
      <c r="B17" s="25">
        <f>IF(N2=0,0,N11/N2-1)</f>
        <v>0.25866412355584112</v>
      </c>
    </row>
  </sheetData>
  <conditionalFormatting sqref="Q2:Q11">
    <cfRule type="cellIs" dxfId="3" priority="1" operator="lessThan">
      <formula>1</formula>
    </cfRule>
    <cfRule type="expression" dxfId="2" priority="2">
      <formula>AND(Q2&gt;=1,Q2&lt;1.2)</formula>
    </cfRule>
  </conditionalFormatting>
  <conditionalFormatting sqref="R2:R11">
    <cfRule type="cellIs" dxfId="1" priority="21" operator="greaterThan">
      <formula>0.08</formula>
    </cfRule>
    <cfRule type="cellIs" dxfId="0" priority="22" operator="lessThan">
      <formula>0.05</formula>
    </cfRule>
  </conditionalFormatting>
  <pageMargins left="0.75" right="0.75" top="1" bottom="1" header="0.5" footer="0.5"/>
  <ignoredErrors>
    <ignoredError sqref="F2:F11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2"/>
  <sheetViews>
    <sheetView workbookViewId="0"/>
  </sheetViews>
  <sheetFormatPr defaultRowHeight="15" x14ac:dyDescent="0.25"/>
  <cols>
    <col min="1" max="1" width="47.42578125" bestFit="1" customWidth="1"/>
    <col min="2" max="2" width="10.140625" bestFit="1" customWidth="1"/>
    <col min="3" max="3" width="12.85546875" bestFit="1" customWidth="1"/>
    <col min="4" max="4" width="14.85546875" bestFit="1" customWidth="1"/>
    <col min="5" max="5" width="15" bestFit="1" customWidth="1"/>
    <col min="12" max="12" width="10.140625" bestFit="1" customWidth="1"/>
  </cols>
  <sheetData>
    <row r="1" spans="1:2" ht="18.75" customHeight="1" x14ac:dyDescent="0.3">
      <c r="A1" s="7" t="s">
        <v>127</v>
      </c>
    </row>
    <row r="3" spans="1:2" x14ac:dyDescent="0.25">
      <c r="A3" s="2" t="s">
        <v>128</v>
      </c>
    </row>
    <row r="4" spans="1:2" x14ac:dyDescent="0.25">
      <c r="A4" s="3" t="s">
        <v>129</v>
      </c>
      <c r="B4" s="14">
        <f>'10-Year Cash Flow'!N11</f>
        <v>124564.07258694088</v>
      </c>
    </row>
    <row r="5" spans="1:2" x14ac:dyDescent="0.25">
      <c r="A5" s="3" t="s">
        <v>130</v>
      </c>
      <c r="B5" s="14">
        <f>'10-Year Cash Flow'!N11*(1+'Rent Roll'!$B$13)</f>
        <v>127778.21798747162</v>
      </c>
    </row>
    <row r="6" spans="1:2" x14ac:dyDescent="0.25">
      <c r="A6" s="3" t="s">
        <v>131</v>
      </c>
      <c r="B6" s="25">
        <f>'Property Overview'!$B$31</f>
        <v>7.2499999999999995E-2</v>
      </c>
    </row>
    <row r="7" spans="1:2" x14ac:dyDescent="0.25">
      <c r="A7" s="3" t="s">
        <v>132</v>
      </c>
      <c r="B7" s="14">
        <f>B5/B6</f>
        <v>1762458.1791375398</v>
      </c>
    </row>
    <row r="8" spans="1:2" x14ac:dyDescent="0.25">
      <c r="A8" s="3" t="s">
        <v>133</v>
      </c>
      <c r="B8" s="13">
        <f>IF('Property Overview'!$B$6=0,0,B7/'Property Overview'!$B$6)</f>
        <v>209.81644989732618</v>
      </c>
    </row>
    <row r="9" spans="1:2" x14ac:dyDescent="0.25">
      <c r="A9" s="3" t="s">
        <v>134</v>
      </c>
      <c r="B9" s="14">
        <f>B7*'Property Overview'!$B$32</f>
        <v>70498.3271655016</v>
      </c>
    </row>
    <row r="10" spans="1:2" x14ac:dyDescent="0.25">
      <c r="A10" s="3" t="s">
        <v>135</v>
      </c>
      <c r="B10" s="14">
        <f>B7-B9</f>
        <v>1691959.8519720382</v>
      </c>
    </row>
    <row r="12" spans="1:2" x14ac:dyDescent="0.25">
      <c r="A12" s="2" t="s">
        <v>136</v>
      </c>
    </row>
    <row r="13" spans="1:2" x14ac:dyDescent="0.25">
      <c r="A13" s="3" t="s">
        <v>137</v>
      </c>
      <c r="B13" s="14">
        <f>'Property Overview'!$B$21</f>
        <v>1155000</v>
      </c>
    </row>
    <row r="14" spans="1:2" x14ac:dyDescent="0.25">
      <c r="A14" s="3" t="s">
        <v>138</v>
      </c>
      <c r="B14" s="14">
        <f>IF(B13=0,0,FV('Property Overview'!$B$22/12,'Property Overview'!$B$30*12,'Property Overview'!$B$25,-B13))</f>
        <v>901790.3476678282</v>
      </c>
    </row>
    <row r="15" spans="1:2" x14ac:dyDescent="0.25">
      <c r="A15" s="3" t="s">
        <v>139</v>
      </c>
      <c r="B15" s="14">
        <f>B10-B14</f>
        <v>790169.50430420996</v>
      </c>
    </row>
    <row r="17" spans="1:5" x14ac:dyDescent="0.25">
      <c r="A17" s="2" t="s">
        <v>140</v>
      </c>
    </row>
    <row r="18" spans="1:5" x14ac:dyDescent="0.25">
      <c r="A18" s="3" t="s">
        <v>141</v>
      </c>
      <c r="B18" s="14">
        <f>('Property Overview'!$B$20+'Property Overview'!$B$14+'Property Overview'!$B$15)</f>
        <v>538000</v>
      </c>
    </row>
    <row r="19" spans="1:5" x14ac:dyDescent="0.25">
      <c r="A19" s="3" t="s">
        <v>142</v>
      </c>
      <c r="B19" s="14">
        <f>'10-Year Cash Flow'!$B$14</f>
        <v>155685.63552890345</v>
      </c>
    </row>
    <row r="20" spans="1:5" x14ac:dyDescent="0.25">
      <c r="A20" s="3" t="s">
        <v>143</v>
      </c>
      <c r="B20" s="14">
        <f>B15</f>
        <v>790169.50430420996</v>
      </c>
    </row>
    <row r="21" spans="1:5" x14ac:dyDescent="0.25">
      <c r="A21" s="3" t="s">
        <v>144</v>
      </c>
      <c r="B21" s="14">
        <f>B19+B20-B18</f>
        <v>407855.13983311341</v>
      </c>
    </row>
    <row r="22" spans="1:5" x14ac:dyDescent="0.25">
      <c r="A22" s="3" t="s">
        <v>145</v>
      </c>
      <c r="B22" s="17">
        <f>IF(B18=0,0,(B19+B20)/B18)</f>
        <v>1.7580950554518837</v>
      </c>
    </row>
    <row r="23" spans="1:5" x14ac:dyDescent="0.25">
      <c r="A23" s="3" t="s">
        <v>146</v>
      </c>
      <c r="B23" s="25">
        <f>IF(OR(B18=0,'Property Overview'!$B$30=0),0,B21/B18/'Property Overview'!$B$30)</f>
        <v>7.5809505545188366E-2</v>
      </c>
    </row>
    <row r="24" spans="1:5" x14ac:dyDescent="0.25">
      <c r="A24" s="3" t="s">
        <v>147</v>
      </c>
      <c r="B24" s="25">
        <f>IF(Z2=0,0,IRR(Z2:Z12))</f>
        <v>0</v>
      </c>
    </row>
    <row r="26" spans="1:5" x14ac:dyDescent="0.25">
      <c r="A26" s="2" t="s">
        <v>148</v>
      </c>
    </row>
    <row r="27" spans="1:5" x14ac:dyDescent="0.25">
      <c r="A27" s="9" t="s">
        <v>149</v>
      </c>
      <c r="B27" s="2" t="s">
        <v>150</v>
      </c>
      <c r="C27" s="2" t="s">
        <v>151</v>
      </c>
      <c r="D27" s="2" t="s">
        <v>152</v>
      </c>
      <c r="E27" s="2" t="s">
        <v>153</v>
      </c>
    </row>
    <row r="28" spans="1:5" x14ac:dyDescent="0.25">
      <c r="A28" s="6">
        <v>0.06</v>
      </c>
      <c r="B28" s="14">
        <f t="shared" ref="B28:B34" si="0">$B$5/A28</f>
        <v>2129636.9664578605</v>
      </c>
      <c r="C28" s="14">
        <f>IF('Property Overview'!$B$20+'Property Overview'!$B$14+'Property Overview'!$B$15=0,0,B28*(1-'Property Overview'!$B$32)-FV('Property Overview'!$B$22/12,'Property Overview'!$B$30*12,'Property Overview'!$B$25,-'Property Overview'!$B$21))</f>
        <v>1142661.1401317178</v>
      </c>
      <c r="D28" s="17">
        <f>IF(('Property Overview'!$B$20+'Property Overview'!$B$14+'Property Overview'!$B$15)=0,0,('10-Year Cash Flow'!$B$14+C28)/('Property Overview'!$B$20+'Property Overview'!$B$14+'Property Overview'!$B$15))</f>
        <v>2.4132839696294077</v>
      </c>
      <c r="E28" s="25">
        <f>IF(OR('Property Overview'!$B$20+'Property Overview'!$B$14+'Property Overview'!$B$15=0,ISERROR(IRR(B36:L36))),0,IRR(B36:L36))</f>
        <v>9.6648935999084529E-2</v>
      </c>
    </row>
    <row r="29" spans="1:5" x14ac:dyDescent="0.25">
      <c r="A29" s="6">
        <v>6.5000000000000002E-2</v>
      </c>
      <c r="B29" s="14">
        <f t="shared" si="0"/>
        <v>1965818.7382687943</v>
      </c>
      <c r="C29" s="14">
        <f>IF('Property Overview'!$B$20+'Property Overview'!$B$14+'Property Overview'!$B$15=0,0,B29*(1-'Property Overview'!$B$32)-FV('Property Overview'!$B$22/12,'Property Overview'!$B$30*12,'Property Overview'!$B$25,-'Property Overview'!$B$21))</f>
        <v>985395.6410702141</v>
      </c>
      <c r="D29" s="17">
        <f>IF(('Property Overview'!$B$20+'Property Overview'!$B$14+'Property Overview'!$B$15)=0,0,('10-Year Cash Flow'!$B$14+C29)/('Property Overview'!$B$20+'Property Overview'!$B$14+'Property Overview'!$B$15))</f>
        <v>2.1209689156117428</v>
      </c>
      <c r="E29" s="25">
        <f>IF(OR('Property Overview'!$B$20+'Property Overview'!$B$14+'Property Overview'!$B$15=0,ISERROR(IRR(B37:L37))),0,IRR(B37:L37))</f>
        <v>8.2313344343357686E-2</v>
      </c>
    </row>
    <row r="30" spans="1:5" x14ac:dyDescent="0.25">
      <c r="A30" s="6">
        <v>7.0000000000000007E-2</v>
      </c>
      <c r="B30" s="14">
        <f t="shared" si="0"/>
        <v>1825403.1141067373</v>
      </c>
      <c r="C30" s="14">
        <f>IF('Property Overview'!$B$20+'Property Overview'!$B$14+'Property Overview'!$B$15=0,0,B30*(1-'Property Overview'!$B$32)-FV('Property Overview'!$B$22/12,'Property Overview'!$B$30*12,'Property Overview'!$B$25,-'Property Overview'!$B$21))</f>
        <v>850596.64187463955</v>
      </c>
      <c r="D30" s="17">
        <f>IF(('Property Overview'!$B$20+'Property Overview'!$B$14+'Property Overview'!$B$15)=0,0,('10-Year Cash Flow'!$B$14+C30)/('Property Overview'!$B$20+'Property Overview'!$B$14+'Property Overview'!$B$15))</f>
        <v>1.8704131550251728</v>
      </c>
      <c r="E30" s="25">
        <f>IF(OR('Property Overview'!$B$20+'Property Overview'!$B$14+'Property Overview'!$B$15=0,ISERROR(IRR(B38:L38))),0,IRR(B38:L38))</f>
        <v>6.8444619502178394E-2</v>
      </c>
    </row>
    <row r="31" spans="1:5" x14ac:dyDescent="0.25">
      <c r="A31" s="6">
        <v>7.2499999999999995E-2</v>
      </c>
      <c r="B31" s="14">
        <f t="shared" si="0"/>
        <v>1762458.1791375398</v>
      </c>
      <c r="C31" s="14">
        <f>IF('Property Overview'!$B$20+'Property Overview'!$B$14+'Property Overview'!$B$15=0,0,B31*(1-'Property Overview'!$B$32)-FV('Property Overview'!$B$22/12,'Property Overview'!$B$30*12,'Property Overview'!$B$25,-'Property Overview'!$B$21))</f>
        <v>790169.50430420996</v>
      </c>
      <c r="D31" s="17">
        <f>IF(('Property Overview'!$B$20+'Property Overview'!$B$14+'Property Overview'!$B$15)=0,0,('10-Year Cash Flow'!$B$14+C31)/('Property Overview'!$B$20+'Property Overview'!$B$14+'Property Overview'!$B$15))</f>
        <v>1.7580950554518837</v>
      </c>
      <c r="E31" s="25">
        <f>IF(OR('Property Overview'!$B$20+'Property Overview'!$B$14+'Property Overview'!$B$15=0,ISERROR(IRR(B39:L39))),0,IRR(B39:L39))</f>
        <v>6.1640024438625929E-2</v>
      </c>
    </row>
    <row r="32" spans="1:5" x14ac:dyDescent="0.25">
      <c r="A32" s="6">
        <v>7.4999999999999997E-2</v>
      </c>
      <c r="B32" s="14">
        <f t="shared" si="0"/>
        <v>1703709.5731662884</v>
      </c>
      <c r="C32" s="14">
        <f>IF('Property Overview'!$B$20+'Property Overview'!$B$14+'Property Overview'!$B$15=0,0,B32*(1-'Property Overview'!$B$32)-FV('Property Overview'!$B$22/12,'Property Overview'!$B$30*12,'Property Overview'!$B$25,-'Property Overview'!$B$21))</f>
        <v>733770.84257180872</v>
      </c>
      <c r="D32" s="17">
        <f>IF(('Property Overview'!$B$20+'Property Overview'!$B$14+'Property Overview'!$B$15)=0,0,('10-Year Cash Flow'!$B$14+C32)/('Property Overview'!$B$20+'Property Overview'!$B$14+'Property Overview'!$B$15))</f>
        <v>1.6532648291834799</v>
      </c>
      <c r="E32" s="25">
        <f>IF(OR('Property Overview'!$B$20+'Property Overview'!$B$14+'Property Overview'!$B$15=0,ISERROR(IRR(B40:L40))),0,IRR(B40:L40))</f>
        <v>5.4899835742205916E-2</v>
      </c>
    </row>
    <row r="33" spans="1:12" x14ac:dyDescent="0.25">
      <c r="A33" s="6">
        <v>0.08</v>
      </c>
      <c r="B33" s="14">
        <f t="shared" si="0"/>
        <v>1597227.7248433952</v>
      </c>
      <c r="C33" s="14">
        <f>IF('Property Overview'!$B$20+'Property Overview'!$B$14+'Property Overview'!$B$15=0,0,B33*(1-'Property Overview'!$B$32)-FV('Property Overview'!$B$22/12,'Property Overview'!$B$30*12,'Property Overview'!$B$25,-'Property Overview'!$B$21))</f>
        <v>631548.26818183111</v>
      </c>
      <c r="D33" s="17">
        <f>IF(('Property Overview'!$B$20+'Property Overview'!$B$14+'Property Overview'!$B$15)=0,0,('10-Year Cash Flow'!$B$14+C33)/('Property Overview'!$B$20+'Property Overview'!$B$14+'Property Overview'!$B$15))</f>
        <v>1.4632600440719974</v>
      </c>
      <c r="E33" s="25">
        <f>IF(OR('Property Overview'!$B$20+'Property Overview'!$B$14+'Property Overview'!$B$15=0,ISERROR(IRR(B41:L41))),0,IRR(B41:L41))</f>
        <v>4.1550147818418592E-2</v>
      </c>
    </row>
    <row r="34" spans="1:12" x14ac:dyDescent="0.25">
      <c r="A34" s="6">
        <v>8.5000000000000006E-2</v>
      </c>
      <c r="B34" s="14">
        <f t="shared" si="0"/>
        <v>1503273.1527937837</v>
      </c>
      <c r="C34" s="14">
        <f>IF('Property Overview'!$B$20+'Property Overview'!$B$14+'Property Overview'!$B$15=0,0,B34*(1-'Property Overview'!$B$32)-FV('Property Overview'!$B$22/12,'Property Overview'!$B$30*12,'Property Overview'!$B$25,-'Property Overview'!$B$21))</f>
        <v>541351.87901420402</v>
      </c>
      <c r="D34" s="17">
        <f>IF(('Property Overview'!$B$20+'Property Overview'!$B$14+'Property Overview'!$B$15)=0,0,('10-Year Cash Flow'!$B$14+C34)/('Property Overview'!$B$20+'Property Overview'!$B$14+'Property Overview'!$B$15))</f>
        <v>1.2956087630912778</v>
      </c>
      <c r="E34" s="25">
        <f>IF(OR('Property Overview'!$B$20+'Property Overview'!$B$14+'Property Overview'!$B$15=0,ISERROR(IRR(B42:L42))),0,IRR(B42:L42))</f>
        <v>2.8273300673784085E-2</v>
      </c>
    </row>
    <row r="35" spans="1:12" x14ac:dyDescent="0.25">
      <c r="A35" s="4"/>
    </row>
    <row r="36" spans="1:12" x14ac:dyDescent="0.25">
      <c r="B36" s="28">
        <f>-('Property Overview'!$B$20+'Property Overview'!$B$14+'Property Overview'!$B$15)</f>
        <v>-538000</v>
      </c>
      <c r="C36" s="28">
        <f>'10-Year Cash Flow'!P2</f>
        <v>3204.962605527151</v>
      </c>
      <c r="D36" s="28">
        <f>'10-Year Cash Flow'!P3</f>
        <v>5767.2741055271326</v>
      </c>
      <c r="E36" s="28">
        <f>'10-Year Cash Flow'!P4</f>
        <v>8395.9186889562843</v>
      </c>
      <c r="F36" s="28">
        <f>'10-Year Cash Flow'!P5</f>
        <v>11092.613392701503</v>
      </c>
      <c r="G36" s="28">
        <f>'10-Year Cash Flow'!P6</f>
        <v>13859.11969446986</v>
      </c>
      <c r="H36" s="28">
        <f>'10-Year Cash Flow'!P7</f>
        <v>16697.244662897792</v>
      </c>
      <c r="I36" s="28">
        <f>'10-Year Cash Flow'!P8</f>
        <v>19608.842137422413</v>
      </c>
      <c r="J36" s="28">
        <f>'10-Year Cash Flow'!P9</f>
        <v>22595.813938683961</v>
      </c>
      <c r="K36" s="28">
        <f>'10-Year Cash Flow'!P10</f>
        <v>25660.111110249331</v>
      </c>
      <c r="L36" s="28">
        <f>'10-Year Cash Flow'!P11+C28</f>
        <v>1171464.8753241859</v>
      </c>
    </row>
    <row r="37" spans="1:12" x14ac:dyDescent="0.25">
      <c r="B37" s="28">
        <f>-('Property Overview'!$B$20+'Property Overview'!$B$14+'Property Overview'!$B$15)</f>
        <v>-538000</v>
      </c>
      <c r="C37" s="28">
        <f>'10-Year Cash Flow'!P2</f>
        <v>3204.962605527151</v>
      </c>
      <c r="D37" s="28">
        <f>'10-Year Cash Flow'!P3</f>
        <v>5767.2741055271326</v>
      </c>
      <c r="E37" s="28">
        <f>'10-Year Cash Flow'!P4</f>
        <v>8395.9186889562843</v>
      </c>
      <c r="F37" s="28">
        <f>'10-Year Cash Flow'!P5</f>
        <v>11092.613392701503</v>
      </c>
      <c r="G37" s="28">
        <f>'10-Year Cash Flow'!P6</f>
        <v>13859.11969446986</v>
      </c>
      <c r="H37" s="28">
        <f>'10-Year Cash Flow'!P7</f>
        <v>16697.244662897792</v>
      </c>
      <c r="I37" s="28">
        <f>'10-Year Cash Flow'!P8</f>
        <v>19608.842137422413</v>
      </c>
      <c r="J37" s="28">
        <f>'10-Year Cash Flow'!P9</f>
        <v>22595.813938683961</v>
      </c>
      <c r="K37" s="28">
        <f>'10-Year Cash Flow'!P10</f>
        <v>25660.111110249331</v>
      </c>
      <c r="L37" s="28">
        <f>'10-Year Cash Flow'!P11+C29</f>
        <v>1014199.3762626821</v>
      </c>
    </row>
    <row r="38" spans="1:12" x14ac:dyDescent="0.25">
      <c r="B38" s="28">
        <f>-('Property Overview'!$B$20+'Property Overview'!$B$14+'Property Overview'!$B$15)</f>
        <v>-538000</v>
      </c>
      <c r="C38" s="28">
        <f>'10-Year Cash Flow'!P2</f>
        <v>3204.962605527151</v>
      </c>
      <c r="D38" s="28">
        <f>'10-Year Cash Flow'!P3</f>
        <v>5767.2741055271326</v>
      </c>
      <c r="E38" s="28">
        <f>'10-Year Cash Flow'!P4</f>
        <v>8395.9186889562843</v>
      </c>
      <c r="F38" s="28">
        <f>'10-Year Cash Flow'!P5</f>
        <v>11092.613392701503</v>
      </c>
      <c r="G38" s="28">
        <f>'10-Year Cash Flow'!P6</f>
        <v>13859.11969446986</v>
      </c>
      <c r="H38" s="28">
        <f>'10-Year Cash Flow'!P7</f>
        <v>16697.244662897792</v>
      </c>
      <c r="I38" s="28">
        <f>'10-Year Cash Flow'!P8</f>
        <v>19608.842137422413</v>
      </c>
      <c r="J38" s="28">
        <f>'10-Year Cash Flow'!P9</f>
        <v>22595.813938683961</v>
      </c>
      <c r="K38" s="28">
        <f>'10-Year Cash Flow'!P10</f>
        <v>25660.111110249331</v>
      </c>
      <c r="L38" s="28">
        <f>'10-Year Cash Flow'!P11+C30</f>
        <v>879400.37706710759</v>
      </c>
    </row>
    <row r="39" spans="1:12" x14ac:dyDescent="0.25">
      <c r="B39" s="28">
        <f>-('Property Overview'!$B$20+'Property Overview'!$B$14+'Property Overview'!$B$15)</f>
        <v>-538000</v>
      </c>
      <c r="C39" s="28">
        <f>'10-Year Cash Flow'!P2</f>
        <v>3204.962605527151</v>
      </c>
      <c r="D39" s="28">
        <f>'10-Year Cash Flow'!P3</f>
        <v>5767.2741055271326</v>
      </c>
      <c r="E39" s="28">
        <f>'10-Year Cash Flow'!P4</f>
        <v>8395.9186889562843</v>
      </c>
      <c r="F39" s="28">
        <f>'10-Year Cash Flow'!P5</f>
        <v>11092.613392701503</v>
      </c>
      <c r="G39" s="28">
        <f>'10-Year Cash Flow'!P6</f>
        <v>13859.11969446986</v>
      </c>
      <c r="H39" s="28">
        <f>'10-Year Cash Flow'!P7</f>
        <v>16697.244662897792</v>
      </c>
      <c r="I39" s="28">
        <f>'10-Year Cash Flow'!P8</f>
        <v>19608.842137422413</v>
      </c>
      <c r="J39" s="28">
        <f>'10-Year Cash Flow'!P9</f>
        <v>22595.813938683961</v>
      </c>
      <c r="K39" s="28">
        <f>'10-Year Cash Flow'!P10</f>
        <v>25660.111110249331</v>
      </c>
      <c r="L39" s="28">
        <f>'10-Year Cash Flow'!P11+C31</f>
        <v>818973.239496678</v>
      </c>
    </row>
    <row r="40" spans="1:12" x14ac:dyDescent="0.25">
      <c r="B40" s="28">
        <f>-('Property Overview'!$B$20+'Property Overview'!$B$14+'Property Overview'!$B$15)</f>
        <v>-538000</v>
      </c>
      <c r="C40" s="28">
        <f>'10-Year Cash Flow'!P2</f>
        <v>3204.962605527151</v>
      </c>
      <c r="D40" s="28">
        <f>'10-Year Cash Flow'!P3</f>
        <v>5767.2741055271326</v>
      </c>
      <c r="E40" s="28">
        <f>'10-Year Cash Flow'!P4</f>
        <v>8395.9186889562843</v>
      </c>
      <c r="F40" s="28">
        <f>'10-Year Cash Flow'!P5</f>
        <v>11092.613392701503</v>
      </c>
      <c r="G40" s="28">
        <f>'10-Year Cash Flow'!P6</f>
        <v>13859.11969446986</v>
      </c>
      <c r="H40" s="28">
        <f>'10-Year Cash Flow'!P7</f>
        <v>16697.244662897792</v>
      </c>
      <c r="I40" s="28">
        <f>'10-Year Cash Flow'!P8</f>
        <v>19608.842137422413</v>
      </c>
      <c r="J40" s="28">
        <f>'10-Year Cash Flow'!P9</f>
        <v>22595.813938683961</v>
      </c>
      <c r="K40" s="28">
        <f>'10-Year Cash Flow'!P10</f>
        <v>25660.111110249331</v>
      </c>
      <c r="L40" s="28">
        <f>'10-Year Cash Flow'!P11+C32</f>
        <v>762574.57776427676</v>
      </c>
    </row>
    <row r="41" spans="1:12" x14ac:dyDescent="0.25">
      <c r="B41" s="28">
        <f>-('Property Overview'!$B$20+'Property Overview'!$B$14+'Property Overview'!$B$15)</f>
        <v>-538000</v>
      </c>
      <c r="C41" s="28">
        <f>'10-Year Cash Flow'!P2</f>
        <v>3204.962605527151</v>
      </c>
      <c r="D41" s="28">
        <f>'10-Year Cash Flow'!P3</f>
        <v>5767.2741055271326</v>
      </c>
      <c r="E41" s="28">
        <f>'10-Year Cash Flow'!P4</f>
        <v>8395.9186889562843</v>
      </c>
      <c r="F41" s="28">
        <f>'10-Year Cash Flow'!P5</f>
        <v>11092.613392701503</v>
      </c>
      <c r="G41" s="28">
        <f>'10-Year Cash Flow'!P6</f>
        <v>13859.11969446986</v>
      </c>
      <c r="H41" s="28">
        <f>'10-Year Cash Flow'!P7</f>
        <v>16697.244662897792</v>
      </c>
      <c r="I41" s="28">
        <f>'10-Year Cash Flow'!P8</f>
        <v>19608.842137422413</v>
      </c>
      <c r="J41" s="28">
        <f>'10-Year Cash Flow'!P9</f>
        <v>22595.813938683961</v>
      </c>
      <c r="K41" s="28">
        <f>'10-Year Cash Flow'!P10</f>
        <v>25660.111110249331</v>
      </c>
      <c r="L41" s="28">
        <f>'10-Year Cash Flow'!P11+C33</f>
        <v>660352.00337429915</v>
      </c>
    </row>
    <row r="42" spans="1:12" x14ac:dyDescent="0.25">
      <c r="B42" s="28">
        <f>-('Property Overview'!$B$20+'Property Overview'!$B$14+'Property Overview'!$B$15)</f>
        <v>-538000</v>
      </c>
      <c r="C42" s="28">
        <f>'10-Year Cash Flow'!P2</f>
        <v>3204.962605527151</v>
      </c>
      <c r="D42" s="28">
        <f>'10-Year Cash Flow'!P3</f>
        <v>5767.2741055271326</v>
      </c>
      <c r="E42" s="28">
        <f>'10-Year Cash Flow'!P4</f>
        <v>8395.9186889562843</v>
      </c>
      <c r="F42" s="28">
        <f>'10-Year Cash Flow'!P5</f>
        <v>11092.613392701503</v>
      </c>
      <c r="G42" s="28">
        <f>'10-Year Cash Flow'!P6</f>
        <v>13859.11969446986</v>
      </c>
      <c r="H42" s="28">
        <f>'10-Year Cash Flow'!P7</f>
        <v>16697.244662897792</v>
      </c>
      <c r="I42" s="28">
        <f>'10-Year Cash Flow'!P8</f>
        <v>19608.842137422413</v>
      </c>
      <c r="J42" s="28">
        <f>'10-Year Cash Flow'!P9</f>
        <v>22595.813938683961</v>
      </c>
      <c r="K42" s="28">
        <f>'10-Year Cash Flow'!P10</f>
        <v>25660.111110249331</v>
      </c>
      <c r="L42" s="28">
        <f>'10-Year Cash Flow'!P11+C34</f>
        <v>570155.61420667206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Property Overview</vt:lpstr>
      <vt:lpstr>Rent Roll</vt:lpstr>
      <vt:lpstr>NNN Breakdown</vt:lpstr>
      <vt:lpstr>10-Year Cash Flow</vt:lpstr>
      <vt:lpstr>Exit &amp; 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Natalie Brooks</dc:creator>
  <cp:lastModifiedBy>Natalie Brooks</cp:lastModifiedBy>
  <dcterms:created xsi:type="dcterms:W3CDTF">2021-12-16T02:58:30Z</dcterms:created>
  <dcterms:modified xsi:type="dcterms:W3CDTF">2025-04-21T04:40:21Z</dcterms:modified>
  <cp:revision>1</cp:revision>
</cp:coreProperties>
</file>