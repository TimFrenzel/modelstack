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real-estate\duplex-house-hack\"/>
    </mc:Choice>
  </mc:AlternateContent>
  <xr:revisionPtr revIDLastSave="0" documentId="13_ncr:1_{2DF50404-92F9-4A72-A7C0-7D624C9F16F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Property &amp; Loan" sheetId="1" r:id="rId1"/>
    <sheet name="Unit Rent Roll" sheetId="2" r:id="rId2"/>
    <sheet name="Monthly Housing Cost" sheetId="3" r:id="rId3"/>
    <sheet name="Scenario Grid" sheetId="4" r:id="rId4"/>
    <sheet name="Snapsho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J9" i="4"/>
  <c r="J8" i="4"/>
  <c r="J7" i="4"/>
  <c r="J6" i="4"/>
  <c r="J5" i="4"/>
  <c r="J4" i="4"/>
  <c r="K13" i="3"/>
  <c r="J13" i="3"/>
  <c r="I13" i="3"/>
  <c r="H13" i="3"/>
  <c r="G13" i="3"/>
  <c r="F13" i="3"/>
  <c r="K12" i="3"/>
  <c r="J12" i="3"/>
  <c r="I12" i="3"/>
  <c r="H12" i="3"/>
  <c r="G12" i="3"/>
  <c r="F12" i="3"/>
  <c r="K11" i="3"/>
  <c r="J11" i="3"/>
  <c r="I11" i="3"/>
  <c r="H11" i="3"/>
  <c r="G11" i="3"/>
  <c r="F11" i="3"/>
  <c r="K10" i="3"/>
  <c r="J10" i="3"/>
  <c r="I10" i="3"/>
  <c r="H10" i="3"/>
  <c r="G10" i="3"/>
  <c r="F10" i="3"/>
  <c r="K9" i="3"/>
  <c r="J9" i="3"/>
  <c r="I9" i="3"/>
  <c r="H9" i="3"/>
  <c r="G9" i="3"/>
  <c r="F9" i="3"/>
  <c r="K8" i="3"/>
  <c r="J8" i="3"/>
  <c r="I8" i="3"/>
  <c r="H8" i="3"/>
  <c r="G8" i="3"/>
  <c r="F8" i="3"/>
  <c r="K7" i="3"/>
  <c r="J7" i="3"/>
  <c r="I7" i="3"/>
  <c r="H7" i="3"/>
  <c r="G7" i="3"/>
  <c r="F7" i="3"/>
  <c r="K6" i="3"/>
  <c r="J6" i="3"/>
  <c r="I6" i="3"/>
  <c r="H6" i="3"/>
  <c r="G6" i="3"/>
  <c r="F6" i="3"/>
  <c r="K5" i="3"/>
  <c r="J5" i="3"/>
  <c r="I5" i="3"/>
  <c r="H5" i="3"/>
  <c r="G5" i="3"/>
  <c r="F5" i="3"/>
  <c r="K4" i="3"/>
  <c r="J4" i="3"/>
  <c r="I4" i="3"/>
  <c r="H4" i="3"/>
  <c r="G4" i="3"/>
  <c r="F4" i="3"/>
  <c r="K3" i="3"/>
  <c r="J3" i="3"/>
  <c r="I3" i="3"/>
  <c r="H3" i="3"/>
  <c r="G3" i="3"/>
  <c r="F3" i="3"/>
  <c r="K2" i="3"/>
  <c r="J2" i="3"/>
  <c r="I2" i="3"/>
  <c r="H2" i="3"/>
  <c r="G2" i="3"/>
  <c r="F2" i="3"/>
  <c r="G4" i="2"/>
  <c r="G3" i="2"/>
  <c r="B8" i="2" s="1"/>
  <c r="G2" i="2"/>
  <c r="B4" i="1"/>
  <c r="B2" i="5" s="1"/>
  <c r="B7" i="1" l="1"/>
  <c r="E3" i="3" s="1"/>
  <c r="B10" i="3"/>
  <c r="B8" i="3"/>
  <c r="B6" i="3"/>
  <c r="B9" i="3"/>
  <c r="B4" i="3"/>
  <c r="B11" i="3"/>
  <c r="B9" i="2"/>
  <c r="B13" i="3"/>
  <c r="B2" i="3"/>
  <c r="B10" i="2"/>
  <c r="B5" i="3"/>
  <c r="E5" i="1"/>
  <c r="B3" i="3"/>
  <c r="B12" i="3"/>
  <c r="B7" i="3"/>
  <c r="F3" i="4"/>
  <c r="E8" i="3"/>
  <c r="D6" i="4"/>
  <c r="E10" i="3"/>
  <c r="E6" i="4"/>
  <c r="F6" i="4"/>
  <c r="D3" i="4"/>
  <c r="E4" i="4"/>
  <c r="E11" i="3"/>
  <c r="G4" i="4"/>
  <c r="E7" i="3"/>
  <c r="C4" i="4"/>
  <c r="D4" i="4"/>
  <c r="B3" i="5"/>
  <c r="E5" i="3"/>
  <c r="G3" i="4"/>
  <c r="D5" i="4"/>
  <c r="J3" i="4"/>
  <c r="E2" i="3"/>
  <c r="E13" i="3"/>
  <c r="C5" i="4"/>
  <c r="E4" i="3"/>
  <c r="E5" i="4"/>
  <c r="F5" i="4"/>
  <c r="E6" i="3"/>
  <c r="E7" i="4" l="1"/>
  <c r="E9" i="3"/>
  <c r="D7" i="4"/>
  <c r="G5" i="4"/>
  <c r="F7" i="4"/>
  <c r="C7" i="4"/>
  <c r="G6" i="4"/>
  <c r="C6" i="4"/>
  <c r="F4" i="4"/>
  <c r="E3" i="4"/>
  <c r="G7" i="4"/>
  <c r="E12" i="3"/>
  <c r="C3" i="4"/>
  <c r="C3" i="3"/>
  <c r="D3" i="3" s="1"/>
  <c r="L3" i="3" s="1"/>
  <c r="M3" i="3" s="1"/>
  <c r="C6" i="3"/>
  <c r="D6" i="3" s="1"/>
  <c r="L6" i="3" s="1"/>
  <c r="M6" i="3" s="1"/>
  <c r="C7" i="3"/>
  <c r="D7" i="3" s="1"/>
  <c r="L7" i="3" s="1"/>
  <c r="M7" i="3" s="1"/>
  <c r="C13" i="3"/>
  <c r="D13" i="3" s="1"/>
  <c r="L13" i="3" s="1"/>
  <c r="M13" i="3" s="1"/>
  <c r="C11" i="3"/>
  <c r="D11" i="3" s="1"/>
  <c r="L11" i="3" s="1"/>
  <c r="M11" i="3" s="1"/>
  <c r="C8" i="3"/>
  <c r="D8" i="3" s="1"/>
  <c r="L8" i="3" s="1"/>
  <c r="M8" i="3" s="1"/>
  <c r="C12" i="3"/>
  <c r="D12" i="3" s="1"/>
  <c r="L12" i="3" s="1"/>
  <c r="M12" i="3" s="1"/>
  <c r="C5" i="3"/>
  <c r="D5" i="3"/>
  <c r="L5" i="3" s="1"/>
  <c r="M5" i="3" s="1"/>
  <c r="C2" i="3"/>
  <c r="D2" i="3" s="1"/>
  <c r="C10" i="3"/>
  <c r="D10" i="3" s="1"/>
  <c r="L10" i="3" s="1"/>
  <c r="M10" i="3" s="1"/>
  <c r="C4" i="3"/>
  <c r="D4" i="3" s="1"/>
  <c r="L4" i="3" s="1"/>
  <c r="M4" i="3" s="1"/>
  <c r="C9" i="3"/>
  <c r="D9" i="3" s="1"/>
  <c r="L9" i="3" s="1"/>
  <c r="M9" i="3" s="1"/>
  <c r="B8" i="5" l="1"/>
  <c r="B4" i="5"/>
  <c r="J2" i="4"/>
  <c r="L2" i="3"/>
  <c r="E2" i="1"/>
  <c r="B5" i="5" l="1"/>
  <c r="M2" i="3"/>
  <c r="E3" i="1"/>
  <c r="B7" i="5" l="1"/>
  <c r="B6" i="5"/>
  <c r="E4" i="1"/>
</calcChain>
</file>

<file path=xl/sharedStrings.xml><?xml version="1.0" encoding="utf-8"?>
<sst xmlns="http://schemas.openxmlformats.org/spreadsheetml/2006/main" count="89" uniqueCount="77">
  <si>
    <t>Property Type</t>
  </si>
  <si>
    <t>Duplex</t>
  </si>
  <si>
    <t>Purchase Price</t>
  </si>
  <si>
    <t>Tenant rent offset</t>
  </si>
  <si>
    <t>Down Payment (%)</t>
  </si>
  <si>
    <t>Owner net housing cost</t>
  </si>
  <si>
    <t>Loan Amount</t>
  </si>
  <si>
    <t>Savings vs current rent</t>
  </si>
  <si>
    <t>Interest Rate</t>
  </si>
  <si>
    <t>Break-even occupancy</t>
  </si>
  <si>
    <t>Term (years)</t>
  </si>
  <si>
    <t>Monthly P&amp;I</t>
  </si>
  <si>
    <t>Property Tax (monthly)</t>
  </si>
  <si>
    <t>Insurance (monthly)</t>
  </si>
  <si>
    <t>PMI (monthly)</t>
  </si>
  <si>
    <t>Utilities / Common (monthly)</t>
  </si>
  <si>
    <t>Maintenance Reserve (monthly)</t>
  </si>
  <si>
    <t>CapEx Reserve (monthly)</t>
  </si>
  <si>
    <t>Current Rent Alternative</t>
  </si>
  <si>
    <t>Vacancy Assumption</t>
  </si>
  <si>
    <t>Annual Rent Growth</t>
  </si>
  <si>
    <t>Unit</t>
  </si>
  <si>
    <t>Status</t>
  </si>
  <si>
    <t>Bedrooms</t>
  </si>
  <si>
    <t>Market Rent</t>
  </si>
  <si>
    <t>In-Place Rent</t>
  </si>
  <si>
    <t>Utility Share</t>
  </si>
  <si>
    <t>Net Rent to Owner</t>
  </si>
  <si>
    <t>Unit 1</t>
  </si>
  <si>
    <t>Owner</t>
  </si>
  <si>
    <t>Unit 2</t>
  </si>
  <si>
    <t>Rented</t>
  </si>
  <si>
    <t>Unit 3</t>
  </si>
  <si>
    <t>Rent Roll Summary</t>
  </si>
  <si>
    <t>Gross potential tenant rent</t>
  </si>
  <si>
    <t>Effective tenant rent after vacancy</t>
  </si>
  <si>
    <t>Average rentable-unit rent</t>
  </si>
  <si>
    <t>Month</t>
  </si>
  <si>
    <t>Gross Tenant Rent</t>
  </si>
  <si>
    <t>Vacancy Loss</t>
  </si>
  <si>
    <t>Effective Tenant Rent</t>
  </si>
  <si>
    <t>Mortgage P&amp;I</t>
  </si>
  <si>
    <t>Tax</t>
  </si>
  <si>
    <t>Insurance</t>
  </si>
  <si>
    <t>PMI</t>
  </si>
  <si>
    <t>Utilities / Common</t>
  </si>
  <si>
    <t>Maintenance</t>
  </si>
  <si>
    <t>CapEx</t>
  </si>
  <si>
    <t>Owner Net Housing Cost</t>
  </si>
  <si>
    <t>Savings vs Current Rent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</si>
  <si>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</si>
  <si>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</si>
  <si>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</si>
  <si>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</si>
  <si>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</si>
  <si>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</si>
  <si>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</si>
  <si>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</si>
  <si>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</si>
  <si>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</si>
  <si>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</si>
  <si>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</si>
  <si>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Rent / occ grid</t>
  </si>
  <si>
    <t>Cost pieces</t>
  </si>
  <si>
    <t>Tenant Rent Offset</t>
  </si>
  <si>
    <t>Utilities</t>
  </si>
  <si>
    <t>What moves it</t>
  </si>
  <si>
    <t>Factor</t>
  </si>
  <si>
    <t>Monthly Impact</t>
  </si>
  <si>
    <t>Purchase price</t>
  </si>
  <si>
    <t>Loan amount</t>
  </si>
  <si>
    <t>Total monthly housing cost</t>
  </si>
  <si>
    <t>Year 1 average savings</t>
  </si>
  <si>
    <t>Worst-case housing cost</t>
  </si>
  <si>
    <t>Rate</t>
  </si>
  <si>
    <t>Tenant Rent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</si>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</sst>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b/>
      <sz val="11"/>
      <color rgb="FF404040"/>
      <name val="Calibri"/>
      <family val="2"/>
    </font>
    <font>
      <b/>
      <sz val="11"/>
      <color rgb="FF595959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DFD0"/>
      </patternFill>
    </fill>
    <fill>
      <patternFill patternType="solid">
        <fgColor rgb="FFEFE6D9"/>
      </patternFill>
    </fill>
    <fill>
      <patternFill patternType="solid">
        <fgColor rgb="FFF7F2E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5" fontId="1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0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</a:t>
            </a:r>
          </a:p>
        </c:rich>
      </c:tx>
      <c:layout>
        <c:manualLayout>
          <c:xMode val="edge"/>
          <c:yMode val="edge"/>
          <c:x val="0.39731028841280119"/>
          <c:y val="2.674307545367717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51749697635789"/>
          <c:y val="0.1451766953199618"/>
          <c:w val="0.72551432027019569"/>
          <c:h val="0.76619572983176532"/>
        </c:manualLayout>
      </c:layout>
      <c:barChart>
        <c:barDir val="bar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19-40D0-9028-852BD6B67549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19-40D0-9028-852BD6B67549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19-40D0-9028-852BD6B67549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19-40D0-9028-852BD6B67549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19-40D0-9028-852BD6B67549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C19-40D0-9028-852BD6B67549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C19-40D0-9028-852BD6B67549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C19-40D0-9028-852BD6B67549}"/>
              </c:ext>
            </c:extLst>
          </c:dPt>
          <c:cat>
            <c:strRef>
              <c:f>'Scenario Grid'!$I$2:$I$9</c:f>
              <c:strCache>
                <c:ptCount val="8"/>
                <c:pt idx="0">
                  <c:v>Tenant Rent Offset</c:v>
                </c:pt>
                <c:pt idx="1">
                  <c:v>Mortgage P&amp;I</c:v>
                </c:pt>
                <c:pt idx="2">
                  <c:v>Tax</c:v>
                </c:pt>
                <c:pt idx="3">
                  <c:v>Insurance</c:v>
                </c:pt>
                <c:pt idx="4">
                  <c:v>PMI</c:v>
                </c:pt>
                <c:pt idx="5">
                  <c:v>Utilities</c:v>
                </c:pt>
                <c:pt idx="6">
                  <c:v>Maintenance</c:v>
                </c:pt>
                <c:pt idx="7">
                  <c:v>CapEx</c:v>
                </c:pt>
              </c:strCache>
            </c:strRef>
          </c:cat>
          <c:val>
            <c:numRef>
              <c:f>'Scenario Grid'!$J$2:$J$9</c:f>
              <c:numCache>
                <c:formatCode>"$"#,##0</c:formatCode>
                <c:ptCount val="8"/>
                <c:pt idx="0">
                  <c:v>2555.5</c:v>
                </c:pt>
                <c:pt idx="1">
                  <c:v>-2619.2994774236108</c:v>
                </c:pt>
                <c:pt idx="2">
                  <c:v>-425</c:v>
                </c:pt>
                <c:pt idx="3">
                  <c:v>-155</c:v>
                </c:pt>
                <c:pt idx="4">
                  <c:v>-180</c:v>
                </c:pt>
                <c:pt idx="5">
                  <c:v>-140</c:v>
                </c:pt>
                <c:pt idx="6">
                  <c:v>-175</c:v>
                </c:pt>
                <c:pt idx="7">
                  <c:v>-125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E-4FEE-B6DF-ED1286AE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1"/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Big swings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7989827490899299E-2"/>
          <c:y val="0.16462962962962963"/>
          <c:w val="0.68642557480827371"/>
          <c:h val="0.7706944444444445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'Scenario Grid'!$J$14</c:f>
              <c:strCache>
                <c:ptCount val="1"/>
                <c:pt idx="0">
                  <c:v>Monthly Impact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solidFill>
                <a:schemeClr val="accent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934A-4228-B534-3D24D52BACC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Grid'!$I$15:$I$18</c:f>
              <c:strCache>
                <c:ptCount val="4"/>
                <c:pt idx="0">
                  <c:v>Rate</c:v>
                </c:pt>
                <c:pt idx="1">
                  <c:v>Tenant Rent</c:v>
                </c:pt>
                <c:pt idx="2">
                  <c:v>Tax</c:v>
                </c:pt>
                <c:pt idx="3">
                  <c:v>Maintenance</c:v>
                </c:pt>
              </c:strCache>
            </c:strRef>
          </c:cat>
          <c:val>
            <c:numRef>
              <c:f>'Scenario Grid'!$J$15:$J$18</c:f>
              <c:numCache>
                <c:formatCode>"$"#,##0</c:formatCode>
                <c:ptCount val="4"/>
                <c:pt idx="0">
                  <c:v>210</c:v>
                </c:pt>
                <c:pt idx="1">
                  <c:v>275</c:v>
                </c:pt>
                <c:pt idx="2">
                  <c:v>64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B-4678-9046-6D95AD38E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1190</xdr:colOff>
      <xdr:row>1</xdr:row>
      <xdr:rowOff>29766</xdr:rowOff>
    </xdr:from>
    <xdr:ext cx="4981575" cy="32754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438150</xdr:colOff>
      <xdr:row>19</xdr:row>
      <xdr:rowOff>161925</xdr:rowOff>
    </xdr:from>
    <xdr:ext cx="4991099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zoomScale="265" zoomScaleNormal="265" workbookViewId="0">
      <pane xSplit="1" ySplit="1" topLeftCell="B2" activePane="bottomRight" state="frozen"/>
      <selection activeCell="A17" sqref="A17"/>
      <selection pane="topRight" activeCell="A17" sqref="A17"/>
      <selection pane="bottomLeft" activeCell="A17" sqref="A17"/>
      <selection pane="bottomRight" activeCell="C5" sqref="C5"/>
    </sheetView>
  </sheetViews>
  <sheetFormatPr defaultRowHeight="15" x14ac:dyDescent="0.25"/>
  <cols>
    <col min="1" max="1" width="30.140625" bestFit="1" customWidth="1"/>
    <col min="2" max="2" width="10.85546875" customWidth="1"/>
    <col min="4" max="4" width="22.28515625" bestFit="1" customWidth="1"/>
    <col min="5" max="5" width="9.140625" customWidth="1"/>
  </cols>
  <sheetData>
    <row r="1" spans="1:5" x14ac:dyDescent="0.25">
      <c r="A1" s="2" t="s">
        <v>0</v>
      </c>
      <c r="B1" s="3" t="s">
        <v>1</v>
      </c>
      <c r="C1" s="1"/>
      <c r="D1" s="4" t="s">
        <v>76</v>
      </c>
      <c r="E1" s="1"/>
    </row>
    <row r="2" spans="1:5" x14ac:dyDescent="0.25">
      <c r="A2" s="2" t="s">
        <v>2</v>
      </c>
      <c r="B2" s="5">
        <v>425000</v>
      </c>
      <c r="C2" s="1"/>
      <c r="D2" s="6" t="s">
        <v>3</v>
      </c>
      <c r="E2" s="13">
        <f>'Monthly Housing Cost'!D2</f>
        <v>2555.5</v>
      </c>
    </row>
    <row r="3" spans="1:5" x14ac:dyDescent="0.25">
      <c r="A3" s="2" t="s">
        <v>4</v>
      </c>
      <c r="B3" s="8">
        <v>3.5000000000000003E-2</v>
      </c>
      <c r="C3" s="1"/>
      <c r="D3" s="6" t="s">
        <v>5</v>
      </c>
      <c r="E3" s="13">
        <f>'Monthly Housing Cost'!L2</f>
        <v>1263.7994774236108</v>
      </c>
    </row>
    <row r="4" spans="1:5" x14ac:dyDescent="0.25">
      <c r="A4" s="2" t="s">
        <v>6</v>
      </c>
      <c r="B4" s="9">
        <f>B2*(1-B3)</f>
        <v>410125</v>
      </c>
      <c r="C4" s="1"/>
      <c r="D4" s="6" t="s">
        <v>7</v>
      </c>
      <c r="E4" s="13">
        <f>'Monthly Housing Cost'!M2</f>
        <v>686.20052257638918</v>
      </c>
    </row>
    <row r="5" spans="1:5" x14ac:dyDescent="0.25">
      <c r="A5" s="2" t="s">
        <v>8</v>
      </c>
      <c r="B5" s="10">
        <v>6.6000000000000003E-2</v>
      </c>
      <c r="C5" s="1"/>
      <c r="D5" s="15" t="s">
        <v>9</v>
      </c>
      <c r="E5" s="16">
        <f>IF('Unit Rent Roll'!B8=0,0,('Property &amp; Loan'!B7+'Property &amp; Loan'!B8+'Property &amp; Loan'!B9+'Property &amp; Loan'!B10+'Property &amp; Loan'!B11+'Property &amp; Loan'!B12+'Property &amp; Loan'!B13)/'Unit Rent Roll'!B8)</f>
        <v>1.4198139321277363</v>
      </c>
    </row>
    <row r="6" spans="1:5" x14ac:dyDescent="0.25">
      <c r="A6" s="2" t="s">
        <v>10</v>
      </c>
      <c r="B6" s="11">
        <v>30</v>
      </c>
      <c r="C6" s="1"/>
      <c r="D6" s="1"/>
      <c r="E6" s="1"/>
    </row>
    <row r="7" spans="1:5" x14ac:dyDescent="0.25">
      <c r="A7" s="2" t="s">
        <v>11</v>
      </c>
      <c r="B7" s="9">
        <f>PMT(B5/12,B6*12,-B4)</f>
        <v>2619.2994774236108</v>
      </c>
      <c r="C7" s="1"/>
      <c r="D7" s="1"/>
      <c r="E7" s="1"/>
    </row>
    <row r="8" spans="1:5" x14ac:dyDescent="0.25">
      <c r="A8" s="2" t="s">
        <v>12</v>
      </c>
      <c r="B8" s="5">
        <v>425</v>
      </c>
      <c r="C8" s="1"/>
      <c r="D8" s="1"/>
      <c r="E8" s="1"/>
    </row>
    <row r="9" spans="1:5" x14ac:dyDescent="0.25">
      <c r="A9" s="2" t="s">
        <v>13</v>
      </c>
      <c r="B9" s="5">
        <v>155</v>
      </c>
      <c r="C9" s="1"/>
      <c r="D9" s="1"/>
      <c r="E9" s="1"/>
    </row>
    <row r="10" spans="1:5" x14ac:dyDescent="0.25">
      <c r="A10" s="2" t="s">
        <v>14</v>
      </c>
      <c r="B10" s="5">
        <v>180</v>
      </c>
      <c r="C10" s="1"/>
      <c r="D10" s="1"/>
      <c r="E10" s="1"/>
    </row>
    <row r="11" spans="1:5" x14ac:dyDescent="0.25">
      <c r="A11" s="2" t="s">
        <v>15</v>
      </c>
      <c r="B11" s="5">
        <v>140</v>
      </c>
      <c r="C11" s="1"/>
      <c r="D11" s="1"/>
      <c r="E11" s="1"/>
    </row>
    <row r="12" spans="1:5" x14ac:dyDescent="0.25">
      <c r="A12" s="2" t="s">
        <v>16</v>
      </c>
      <c r="B12" s="5">
        <v>175</v>
      </c>
      <c r="C12" s="1"/>
      <c r="D12" s="1"/>
      <c r="E12" s="1"/>
    </row>
    <row r="13" spans="1:5" x14ac:dyDescent="0.25">
      <c r="A13" s="2" t="s">
        <v>17</v>
      </c>
      <c r="B13" s="5">
        <v>125</v>
      </c>
      <c r="C13" s="1"/>
      <c r="D13" s="1"/>
      <c r="E13" s="1"/>
    </row>
    <row r="14" spans="1:5" x14ac:dyDescent="0.25">
      <c r="A14" s="2" t="s">
        <v>18</v>
      </c>
      <c r="B14" s="5">
        <v>1950</v>
      </c>
      <c r="C14" s="1"/>
      <c r="D14" s="1"/>
      <c r="E14" s="1"/>
    </row>
    <row r="15" spans="1:5" x14ac:dyDescent="0.25">
      <c r="A15" s="2" t="s">
        <v>19</v>
      </c>
      <c r="B15" s="8">
        <v>0.05</v>
      </c>
      <c r="C15" s="1"/>
      <c r="D15" s="1"/>
      <c r="E15" s="1"/>
    </row>
    <row r="16" spans="1:5" x14ac:dyDescent="0.25">
      <c r="A16" s="2" t="s">
        <v>20</v>
      </c>
      <c r="B16" s="8">
        <v>0.03</v>
      </c>
      <c r="C16" s="1"/>
      <c r="D16" s="1"/>
      <c r="E16" s="1"/>
    </row>
  </sheetData>
  <dataValidations count="1">
    <dataValidation type="list" sqref="B1" xr:uid="{00000000-0002-0000-0000-000000000000}">
      <formula1>"Duplex,Triplex"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zoomScale="220" zoomScaleNormal="220" workbookViewId="0">
      <pane xSplit="1" ySplit="1" topLeftCell="B2" activePane="bottomRight" state="frozen"/>
      <selection activeCell="A17" sqref="A17"/>
      <selection pane="topRight" activeCell="A17" sqref="A17"/>
      <selection pane="bottomLeft" activeCell="A17" sqref="A17"/>
      <selection pane="bottomRight" activeCell="A17" sqref="A17"/>
    </sheetView>
  </sheetViews>
  <sheetFormatPr defaultRowHeight="15" x14ac:dyDescent="0.25"/>
  <cols>
    <col min="1" max="1" width="32" bestFit="1" customWidth="1"/>
    <col min="2" max="2" width="10.85546875" customWidth="1"/>
    <col min="3" max="3" width="10" bestFit="1" customWidth="1"/>
    <col min="4" max="4" width="12" bestFit="1" customWidth="1"/>
    <col min="5" max="5" width="12.7109375" bestFit="1" customWidth="1"/>
    <col min="6" max="6" width="12" bestFit="1" customWidth="1"/>
    <col min="7" max="7" width="17.85546875" bestFit="1" customWidth="1"/>
  </cols>
  <sheetData>
    <row r="1" spans="1:7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</row>
    <row r="2" spans="1:7" x14ac:dyDescent="0.25">
      <c r="A2" s="3" t="s">
        <v>28</v>
      </c>
      <c r="B2" s="3" t="s">
        <v>29</v>
      </c>
      <c r="C2" s="11">
        <v>2</v>
      </c>
      <c r="D2" s="5">
        <v>0</v>
      </c>
      <c r="E2" s="5">
        <v>0</v>
      </c>
      <c r="F2" s="5">
        <v>0</v>
      </c>
      <c r="G2" s="9">
        <f>IF(B2="Owner",0,E2-F2)</f>
        <v>0</v>
      </c>
    </row>
    <row r="3" spans="1:7" x14ac:dyDescent="0.25">
      <c r="A3" s="3" t="s">
        <v>30</v>
      </c>
      <c r="B3" s="3" t="s">
        <v>31</v>
      </c>
      <c r="C3" s="11">
        <v>2</v>
      </c>
      <c r="D3" s="5">
        <v>1450</v>
      </c>
      <c r="E3" s="5">
        <v>1425</v>
      </c>
      <c r="F3" s="5">
        <v>35</v>
      </c>
      <c r="G3" s="9">
        <f>IF(B3="Owner",0,E3-F3)</f>
        <v>1390</v>
      </c>
    </row>
    <row r="4" spans="1:7" x14ac:dyDescent="0.25">
      <c r="A4" s="3" t="s">
        <v>32</v>
      </c>
      <c r="B4" s="3" t="s">
        <v>31</v>
      </c>
      <c r="C4" s="11">
        <v>1</v>
      </c>
      <c r="D4" s="5">
        <v>1350</v>
      </c>
      <c r="E4" s="5">
        <v>1325</v>
      </c>
      <c r="F4" s="5">
        <v>25</v>
      </c>
      <c r="G4" s="9">
        <f>IF(B4="Owner",0,E4-F4)</f>
        <v>1300</v>
      </c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4" t="s">
        <v>33</v>
      </c>
      <c r="B7" s="1"/>
      <c r="C7" s="1"/>
      <c r="D7" s="1"/>
      <c r="E7" s="1"/>
      <c r="F7" s="1"/>
      <c r="G7" s="1"/>
    </row>
    <row r="8" spans="1:7" x14ac:dyDescent="0.25">
      <c r="A8" s="2" t="s">
        <v>34</v>
      </c>
      <c r="B8" s="9">
        <f>SUMIF(B2:B4,"Rented",G2:G4)</f>
        <v>2690</v>
      </c>
      <c r="C8" s="1"/>
      <c r="D8" s="1"/>
      <c r="E8" s="1"/>
      <c r="F8" s="1"/>
      <c r="G8" s="1"/>
    </row>
    <row r="9" spans="1:7" x14ac:dyDescent="0.25">
      <c r="A9" s="2" t="s">
        <v>35</v>
      </c>
      <c r="B9" s="9">
        <f>B8*(1-'Property &amp; Loan'!B15)</f>
        <v>2555.5</v>
      </c>
      <c r="C9" s="1"/>
      <c r="D9" s="1"/>
      <c r="E9" s="1"/>
      <c r="F9" s="1"/>
      <c r="G9" s="1"/>
    </row>
    <row r="10" spans="1:7" x14ac:dyDescent="0.25">
      <c r="A10" s="2" t="s">
        <v>36</v>
      </c>
      <c r="B10" s="9">
        <f>IF(COUNTIF(B2:B4,"Rented")=0,0,B8/COUNTIF(B2:B4,"Rented"))</f>
        <v>1345</v>
      </c>
      <c r="C10" s="1"/>
      <c r="D10" s="1"/>
      <c r="E10" s="1"/>
      <c r="F10" s="1"/>
      <c r="G10" s="1"/>
    </row>
  </sheetData>
  <dataValidations count="1">
    <dataValidation type="list" sqref="B2:B4" xr:uid="{00000000-0002-0000-0100-000000000000}">
      <formula1>"Owner,Rented"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zoomScale="175" zoomScaleNormal="175" workbookViewId="0">
      <pane xSplit="1" ySplit="1" topLeftCell="B2" activePane="bottomRight" state="frozen"/>
      <selection activeCell="A17" sqref="A17"/>
      <selection pane="topRight" activeCell="A17" sqref="A17"/>
      <selection pane="bottomLeft" activeCell="A17" sqref="A17"/>
      <selection pane="bottomRight" activeCell="A17" sqref="A17"/>
    </sheetView>
  </sheetViews>
  <sheetFormatPr defaultRowHeight="15" x14ac:dyDescent="0.25"/>
  <cols>
    <col min="1" max="1" width="9.28515625" customWidth="1"/>
    <col min="2" max="2" width="10.85546875" customWidth="1"/>
    <col min="3" max="3" width="12.28515625" bestFit="1" customWidth="1"/>
    <col min="4" max="4" width="20.28515625" bestFit="1" customWidth="1"/>
    <col min="5" max="5" width="13.42578125" bestFit="1" customWidth="1"/>
    <col min="6" max="6" width="5" bestFit="1" customWidth="1"/>
    <col min="7" max="7" width="9.5703125" bestFit="1" customWidth="1"/>
    <col min="8" max="8" width="5" bestFit="1" customWidth="1"/>
    <col min="9" max="9" width="18.140625" bestFit="1" customWidth="1"/>
    <col min="10" max="10" width="12.7109375" bestFit="1" customWidth="1"/>
    <col min="11" max="11" width="6.28515625" bestFit="1" customWidth="1"/>
    <col min="12" max="12" width="23" bestFit="1" customWidth="1"/>
    <col min="13" max="13" width="22" bestFit="1" customWidth="1"/>
  </cols>
  <sheetData>
    <row r="1" spans="1:13" x14ac:dyDescent="0.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4" t="s">
        <v>49</v>
      </c>
    </row>
    <row r="2" spans="1:13" x14ac:dyDescent="0.25">
      <c r="A2" s="3" t="s">
        <v>50</v>
      </c>
      <c r="B2" s="9">
        <f>'Unit Rent Roll'!B8</f>
        <v>2690</v>
      </c>
      <c r="C2" s="9">
        <f>B2*'Property &amp; Loan'!$B$15*-1</f>
        <v>-134.5</v>
      </c>
      <c r="D2" s="9">
        <f t="shared" ref="D2:D13" si="0">B2+C2</f>
        <v>2555.5</v>
      </c>
      <c r="E2" s="9">
        <f>'Property &amp; Loan'!$B$7</f>
        <v>2619.2994774236108</v>
      </c>
      <c r="F2" s="9">
        <f>'Property &amp; Loan'!$B$8</f>
        <v>425</v>
      </c>
      <c r="G2" s="9">
        <f>'Property &amp; Loan'!$B$9</f>
        <v>155</v>
      </c>
      <c r="H2" s="9">
        <f>'Property &amp; Loan'!$B$10</f>
        <v>180</v>
      </c>
      <c r="I2" s="9">
        <f>'Property &amp; Loan'!$B$11</f>
        <v>140</v>
      </c>
      <c r="J2" s="9">
        <f>'Property &amp; Loan'!$B$12</f>
        <v>175</v>
      </c>
      <c r="K2" s="9">
        <f>'Property &amp; Loan'!$B$13</f>
        <v>125</v>
      </c>
      <c r="L2" s="9">
        <f t="shared" ref="L2:L13" si="1">SUM(E2:K2)-D2</f>
        <v>1263.7994774236108</v>
      </c>
      <c r="M2" s="9">
        <f>'Property &amp; Loan'!$B$14-L2</f>
        <v>686.20052257638918</v>
      </c>
    </row>
    <row r="3" spans="1:13" x14ac:dyDescent="0.25">
      <c r="A3" s="3" t="s">
        <v>51</v>
      </c>
      <c r="B3" s="9">
        <f>'Unit Rent Roll'!B8</f>
        <v>2690</v>
      </c>
      <c r="C3" s="9">
        <f>B3*'Property &amp; Loan'!$B$15*-1</f>
        <v>-134.5</v>
      </c>
      <c r="D3" s="9">
        <f t="shared" si="0"/>
        <v>2555.5</v>
      </c>
      <c r="E3" s="9">
        <f>'Property &amp; Loan'!$B$7</f>
        <v>2619.2994774236108</v>
      </c>
      <c r="F3" s="9">
        <f>'Property &amp; Loan'!$B$8</f>
        <v>425</v>
      </c>
      <c r="G3" s="9">
        <f>'Property &amp; Loan'!$B$9</f>
        <v>155</v>
      </c>
      <c r="H3" s="9">
        <f>'Property &amp; Loan'!$B$10</f>
        <v>180</v>
      </c>
      <c r="I3" s="9">
        <f>'Property &amp; Loan'!$B$11</f>
        <v>140</v>
      </c>
      <c r="J3" s="9">
        <f>'Property &amp; Loan'!$B$12</f>
        <v>175</v>
      </c>
      <c r="K3" s="9">
        <f>'Property &amp; Loan'!$B$13</f>
        <v>125</v>
      </c>
      <c r="L3" s="9">
        <f t="shared" si="1"/>
        <v>1263.7994774236108</v>
      </c>
      <c r="M3" s="9">
        <f>'Property &amp; Loan'!$B$14-L3</f>
        <v>686.20052257638918</v>
      </c>
    </row>
    <row r="4" spans="1:13" x14ac:dyDescent="0.25">
      <c r="A4" s="3" t="s">
        <v>52</v>
      </c>
      <c r="B4" s="9">
        <f>'Unit Rent Roll'!B8</f>
        <v>2690</v>
      </c>
      <c r="C4" s="9">
        <f>B4*'Property &amp; Loan'!$B$15*-1</f>
        <v>-134.5</v>
      </c>
      <c r="D4" s="9">
        <f t="shared" si="0"/>
        <v>2555.5</v>
      </c>
      <c r="E4" s="9">
        <f>'Property &amp; Loan'!$B$7</f>
        <v>2619.2994774236108</v>
      </c>
      <c r="F4" s="9">
        <f>'Property &amp; Loan'!$B$8</f>
        <v>425</v>
      </c>
      <c r="G4" s="9">
        <f>'Property &amp; Loan'!$B$9</f>
        <v>155</v>
      </c>
      <c r="H4" s="9">
        <f>'Property &amp; Loan'!$B$10</f>
        <v>180</v>
      </c>
      <c r="I4" s="9">
        <f>'Property &amp; Loan'!$B$11</f>
        <v>140</v>
      </c>
      <c r="J4" s="9">
        <f>'Property &amp; Loan'!$B$12</f>
        <v>175</v>
      </c>
      <c r="K4" s="9">
        <f>'Property &amp; Loan'!$B$13</f>
        <v>125</v>
      </c>
      <c r="L4" s="9">
        <f t="shared" si="1"/>
        <v>1263.7994774236108</v>
      </c>
      <c r="M4" s="9">
        <f>'Property &amp; Loan'!$B$14-L4</f>
        <v>686.20052257638918</v>
      </c>
    </row>
    <row r="5" spans="1:13" x14ac:dyDescent="0.25">
      <c r="A5" s="3" t="s">
        <v>53</v>
      </c>
      <c r="B5" s="9">
        <f>'Unit Rent Roll'!B8</f>
        <v>2690</v>
      </c>
      <c r="C5" s="9">
        <f>B5*'Property &amp; Loan'!$B$15*-1</f>
        <v>-134.5</v>
      </c>
      <c r="D5" s="9">
        <f t="shared" si="0"/>
        <v>2555.5</v>
      </c>
      <c r="E5" s="9">
        <f>'Property &amp; Loan'!$B$7</f>
        <v>2619.2994774236108</v>
      </c>
      <c r="F5" s="9">
        <f>'Property &amp; Loan'!$B$8</f>
        <v>425</v>
      </c>
      <c r="G5" s="9">
        <f>'Property &amp; Loan'!$B$9</f>
        <v>155</v>
      </c>
      <c r="H5" s="9">
        <f>'Property &amp; Loan'!$B$10</f>
        <v>180</v>
      </c>
      <c r="I5" s="9">
        <f>'Property &amp; Loan'!$B$11</f>
        <v>140</v>
      </c>
      <c r="J5" s="9">
        <f>'Property &amp; Loan'!$B$12</f>
        <v>175</v>
      </c>
      <c r="K5" s="9">
        <f>'Property &amp; Loan'!$B$13</f>
        <v>125</v>
      </c>
      <c r="L5" s="9">
        <f t="shared" si="1"/>
        <v>1263.7994774236108</v>
      </c>
      <c r="M5" s="9">
        <f>'Property &amp; Loan'!$B$14-L5</f>
        <v>686.20052257638918</v>
      </c>
    </row>
    <row r="6" spans="1:13" x14ac:dyDescent="0.25">
      <c r="A6" s="3" t="s">
        <v>54</v>
      </c>
      <c r="B6" s="9">
        <f>'Unit Rent Roll'!B8</f>
        <v>2690</v>
      </c>
      <c r="C6" s="9">
        <f>B6*'Property &amp; Loan'!$B$15*-1</f>
        <v>-134.5</v>
      </c>
      <c r="D6" s="9">
        <f t="shared" si="0"/>
        <v>2555.5</v>
      </c>
      <c r="E6" s="9">
        <f>'Property &amp; Loan'!$B$7</f>
        <v>2619.2994774236108</v>
      </c>
      <c r="F6" s="9">
        <f>'Property &amp; Loan'!$B$8</f>
        <v>425</v>
      </c>
      <c r="G6" s="9">
        <f>'Property &amp; Loan'!$B$9</f>
        <v>155</v>
      </c>
      <c r="H6" s="9">
        <f>'Property &amp; Loan'!$B$10</f>
        <v>180</v>
      </c>
      <c r="I6" s="9">
        <f>'Property &amp; Loan'!$B$11</f>
        <v>140</v>
      </c>
      <c r="J6" s="9">
        <f>'Property &amp; Loan'!$B$12</f>
        <v>175</v>
      </c>
      <c r="K6" s="9">
        <f>'Property &amp; Loan'!$B$13</f>
        <v>125</v>
      </c>
      <c r="L6" s="9">
        <f t="shared" si="1"/>
        <v>1263.7994774236108</v>
      </c>
      <c r="M6" s="9">
        <f>'Property &amp; Loan'!$B$14-L6</f>
        <v>686.20052257638918</v>
      </c>
    </row>
    <row r="7" spans="1:13" x14ac:dyDescent="0.25">
      <c r="A7" s="3" t="s">
        <v>55</v>
      </c>
      <c r="B7" s="9">
        <f>'Unit Rent Roll'!B8</f>
        <v>2690</v>
      </c>
      <c r="C7" s="9">
        <f>B7*'Property &amp; Loan'!$B$15*-1</f>
        <v>-134.5</v>
      </c>
      <c r="D7" s="9">
        <f t="shared" si="0"/>
        <v>2555.5</v>
      </c>
      <c r="E7" s="9">
        <f>'Property &amp; Loan'!$B$7</f>
        <v>2619.2994774236108</v>
      </c>
      <c r="F7" s="9">
        <f>'Property &amp; Loan'!$B$8</f>
        <v>425</v>
      </c>
      <c r="G7" s="9">
        <f>'Property &amp; Loan'!$B$9</f>
        <v>155</v>
      </c>
      <c r="H7" s="9">
        <f>'Property &amp; Loan'!$B$10</f>
        <v>180</v>
      </c>
      <c r="I7" s="9">
        <f>'Property &amp; Loan'!$B$11</f>
        <v>140</v>
      </c>
      <c r="J7" s="9">
        <f>'Property &amp; Loan'!$B$12</f>
        <v>175</v>
      </c>
      <c r="K7" s="9">
        <f>'Property &amp; Loan'!$B$13</f>
        <v>125</v>
      </c>
      <c r="L7" s="9">
        <f t="shared" si="1"/>
        <v>1263.7994774236108</v>
      </c>
      <c r="M7" s="9">
        <f>'Property &amp; Loan'!$B$14-L7</f>
        <v>686.20052257638918</v>
      </c>
    </row>
    <row r="8" spans="1:13" x14ac:dyDescent="0.25">
      <c r="A8" s="3" t="s">
        <v>56</v>
      </c>
      <c r="B8" s="9">
        <f>'Unit Rent Roll'!B8*(1+'Property &amp; Loan'!$B$16)</f>
        <v>2770.7000000000003</v>
      </c>
      <c r="C8" s="9">
        <f>B8*'Property &amp; Loan'!$B$15*-1</f>
        <v>-138.53500000000003</v>
      </c>
      <c r="D8" s="9">
        <f t="shared" si="0"/>
        <v>2632.1650000000004</v>
      </c>
      <c r="E8" s="9">
        <f>'Property &amp; Loan'!$B$7</f>
        <v>2619.2994774236108</v>
      </c>
      <c r="F8" s="9">
        <f>'Property &amp; Loan'!$B$8</f>
        <v>425</v>
      </c>
      <c r="G8" s="9">
        <f>'Property &amp; Loan'!$B$9</f>
        <v>155</v>
      </c>
      <c r="H8" s="9">
        <f>'Property &amp; Loan'!$B$10</f>
        <v>180</v>
      </c>
      <c r="I8" s="9">
        <f>'Property &amp; Loan'!$B$11</f>
        <v>140</v>
      </c>
      <c r="J8" s="9">
        <f>'Property &amp; Loan'!$B$12</f>
        <v>175</v>
      </c>
      <c r="K8" s="9">
        <f>'Property &amp; Loan'!$B$13</f>
        <v>125</v>
      </c>
      <c r="L8" s="9">
        <f t="shared" si="1"/>
        <v>1187.1344774236104</v>
      </c>
      <c r="M8" s="9">
        <f>'Property &amp; Loan'!$B$14-L8</f>
        <v>762.86552257638959</v>
      </c>
    </row>
    <row r="9" spans="1:13" x14ac:dyDescent="0.25">
      <c r="A9" s="3" t="s">
        <v>57</v>
      </c>
      <c r="B9" s="9">
        <f>'Unit Rent Roll'!B8*(1+'Property &amp; Loan'!$B$16)</f>
        <v>2770.7000000000003</v>
      </c>
      <c r="C9" s="9">
        <f>B9*'Property &amp; Loan'!$B$15*-1</f>
        <v>-138.53500000000003</v>
      </c>
      <c r="D9" s="9">
        <f t="shared" si="0"/>
        <v>2632.1650000000004</v>
      </c>
      <c r="E9" s="9">
        <f>'Property &amp; Loan'!$B$7</f>
        <v>2619.2994774236108</v>
      </c>
      <c r="F9" s="9">
        <f>'Property &amp; Loan'!$B$8</f>
        <v>425</v>
      </c>
      <c r="G9" s="9">
        <f>'Property &amp; Loan'!$B$9</f>
        <v>155</v>
      </c>
      <c r="H9" s="9">
        <f>'Property &amp; Loan'!$B$10</f>
        <v>180</v>
      </c>
      <c r="I9" s="9">
        <f>'Property &amp; Loan'!$B$11</f>
        <v>140</v>
      </c>
      <c r="J9" s="9">
        <f>'Property &amp; Loan'!$B$12</f>
        <v>175</v>
      </c>
      <c r="K9" s="9">
        <f>'Property &amp; Loan'!$B$13</f>
        <v>125</v>
      </c>
      <c r="L9" s="9">
        <f t="shared" si="1"/>
        <v>1187.1344774236104</v>
      </c>
      <c r="M9" s="9">
        <f>'Property &amp; Loan'!$B$14-L9</f>
        <v>762.86552257638959</v>
      </c>
    </row>
    <row r="10" spans="1:13" x14ac:dyDescent="0.25">
      <c r="A10" s="3" t="s">
        <v>58</v>
      </c>
      <c r="B10" s="9">
        <f>'Unit Rent Roll'!B8*(1+'Property &amp; Loan'!$B$16)</f>
        <v>2770.7000000000003</v>
      </c>
      <c r="C10" s="9">
        <f>B10*'Property &amp; Loan'!$B$15*-1</f>
        <v>-138.53500000000003</v>
      </c>
      <c r="D10" s="9">
        <f t="shared" si="0"/>
        <v>2632.1650000000004</v>
      </c>
      <c r="E10" s="9">
        <f>'Property &amp; Loan'!$B$7</f>
        <v>2619.2994774236108</v>
      </c>
      <c r="F10" s="9">
        <f>'Property &amp; Loan'!$B$8</f>
        <v>425</v>
      </c>
      <c r="G10" s="9">
        <f>'Property &amp; Loan'!$B$9</f>
        <v>155</v>
      </c>
      <c r="H10" s="9">
        <f>'Property &amp; Loan'!$B$10</f>
        <v>180</v>
      </c>
      <c r="I10" s="9">
        <f>'Property &amp; Loan'!$B$11</f>
        <v>140</v>
      </c>
      <c r="J10" s="9">
        <f>'Property &amp; Loan'!$B$12</f>
        <v>175</v>
      </c>
      <c r="K10" s="9">
        <f>'Property &amp; Loan'!$B$13</f>
        <v>125</v>
      </c>
      <c r="L10" s="9">
        <f t="shared" si="1"/>
        <v>1187.1344774236104</v>
      </c>
      <c r="M10" s="9">
        <f>'Property &amp; Loan'!$B$14-L10</f>
        <v>762.86552257638959</v>
      </c>
    </row>
    <row r="11" spans="1:13" x14ac:dyDescent="0.25">
      <c r="A11" s="3" t="s">
        <v>59</v>
      </c>
      <c r="B11" s="9">
        <f>'Unit Rent Roll'!B8*(1+'Property &amp; Loan'!$B$16)</f>
        <v>2770.7000000000003</v>
      </c>
      <c r="C11" s="9">
        <f>B11*'Property &amp; Loan'!$B$15*-1</f>
        <v>-138.53500000000003</v>
      </c>
      <c r="D11" s="9">
        <f t="shared" si="0"/>
        <v>2632.1650000000004</v>
      </c>
      <c r="E11" s="9">
        <f>'Property &amp; Loan'!$B$7</f>
        <v>2619.2994774236108</v>
      </c>
      <c r="F11" s="9">
        <f>'Property &amp; Loan'!$B$8</f>
        <v>425</v>
      </c>
      <c r="G11" s="9">
        <f>'Property &amp; Loan'!$B$9</f>
        <v>155</v>
      </c>
      <c r="H11" s="9">
        <f>'Property &amp; Loan'!$B$10</f>
        <v>180</v>
      </c>
      <c r="I11" s="9">
        <f>'Property &amp; Loan'!$B$11</f>
        <v>140</v>
      </c>
      <c r="J11" s="9">
        <f>'Property &amp; Loan'!$B$12</f>
        <v>175</v>
      </c>
      <c r="K11" s="9">
        <f>'Property &amp; Loan'!$B$13</f>
        <v>125</v>
      </c>
      <c r="L11" s="9">
        <f t="shared" si="1"/>
        <v>1187.1344774236104</v>
      </c>
      <c r="M11" s="9">
        <f>'Property &amp; Loan'!$B$14-L11</f>
        <v>762.86552257638959</v>
      </c>
    </row>
    <row r="12" spans="1:13" x14ac:dyDescent="0.25">
      <c r="A12" s="3" t="s">
        <v>60</v>
      </c>
      <c r="B12" s="9">
        <f>'Unit Rent Roll'!B8*(1+'Property &amp; Loan'!$B$16)</f>
        <v>2770.7000000000003</v>
      </c>
      <c r="C12" s="9">
        <f>B12*'Property &amp; Loan'!$B$15*-1</f>
        <v>-138.53500000000003</v>
      </c>
      <c r="D12" s="9">
        <f t="shared" si="0"/>
        <v>2632.1650000000004</v>
      </c>
      <c r="E12" s="9">
        <f>'Property &amp; Loan'!$B$7</f>
        <v>2619.2994774236108</v>
      </c>
      <c r="F12" s="9">
        <f>'Property &amp; Loan'!$B$8</f>
        <v>425</v>
      </c>
      <c r="G12" s="9">
        <f>'Property &amp; Loan'!$B$9</f>
        <v>155</v>
      </c>
      <c r="H12" s="9">
        <f>'Property &amp; Loan'!$B$10</f>
        <v>180</v>
      </c>
      <c r="I12" s="9">
        <f>'Property &amp; Loan'!$B$11</f>
        <v>140</v>
      </c>
      <c r="J12" s="9">
        <f>'Property &amp; Loan'!$B$12</f>
        <v>175</v>
      </c>
      <c r="K12" s="9">
        <f>'Property &amp; Loan'!$B$13</f>
        <v>125</v>
      </c>
      <c r="L12" s="9">
        <f t="shared" si="1"/>
        <v>1187.1344774236104</v>
      </c>
      <c r="M12" s="9">
        <f>'Property &amp; Loan'!$B$14-L12</f>
        <v>762.86552257638959</v>
      </c>
    </row>
    <row r="13" spans="1:13" x14ac:dyDescent="0.25">
      <c r="A13" s="3" t="s">
        <v>61</v>
      </c>
      <c r="B13" s="9">
        <f>'Unit Rent Roll'!B8*(1+'Property &amp; Loan'!$B$16)</f>
        <v>2770.7000000000003</v>
      </c>
      <c r="C13" s="9">
        <f>B13*'Property &amp; Loan'!$B$15*-1</f>
        <v>-138.53500000000003</v>
      </c>
      <c r="D13" s="9">
        <f t="shared" si="0"/>
        <v>2632.1650000000004</v>
      </c>
      <c r="E13" s="9">
        <f>'Property &amp; Loan'!$B$7</f>
        <v>2619.2994774236108</v>
      </c>
      <c r="F13" s="9">
        <f>'Property &amp; Loan'!$B$8</f>
        <v>425</v>
      </c>
      <c r="G13" s="9">
        <f>'Property &amp; Loan'!$B$9</f>
        <v>155</v>
      </c>
      <c r="H13" s="9">
        <f>'Property &amp; Loan'!$B$10</f>
        <v>180</v>
      </c>
      <c r="I13" s="9">
        <f>'Property &amp; Loan'!$B$11</f>
        <v>140</v>
      </c>
      <c r="J13" s="9">
        <f>'Property &amp; Loan'!$B$12</f>
        <v>175</v>
      </c>
      <c r="K13" s="9">
        <f>'Property &amp; Loan'!$B$13</f>
        <v>125</v>
      </c>
      <c r="L13" s="9">
        <f t="shared" si="1"/>
        <v>1187.1344774236104</v>
      </c>
      <c r="M13" s="9">
        <f>'Property &amp; Loan'!$B$14-L13</f>
        <v>762.86552257638959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abSelected="1" zoomScale="160" zoomScaleNormal="160" workbookViewId="0">
      <selection activeCell="E11" sqref="E11"/>
    </sheetView>
  </sheetViews>
  <sheetFormatPr defaultRowHeight="15" x14ac:dyDescent="0.25"/>
  <cols>
    <col min="1" max="1" width="13.7109375" bestFit="1" customWidth="1"/>
    <col min="2" max="2" width="10.85546875" customWidth="1"/>
    <col min="3" max="7" width="9" customWidth="1"/>
    <col min="8" max="8" width="4.5703125" customWidth="1"/>
    <col min="9" max="9" width="18" bestFit="1" customWidth="1"/>
    <col min="10" max="10" width="15.140625" bestFit="1" customWidth="1"/>
    <col min="11" max="11" width="6.7109375" customWidth="1"/>
  </cols>
  <sheetData>
    <row r="1" spans="1:10" x14ac:dyDescent="0.25">
      <c r="A1" s="12" t="s">
        <v>62</v>
      </c>
      <c r="B1" s="1"/>
      <c r="C1" s="1"/>
      <c r="D1" s="1"/>
      <c r="E1" s="1"/>
      <c r="F1" s="1"/>
      <c r="G1" s="1"/>
      <c r="H1" s="1"/>
      <c r="I1" s="12" t="s">
        <v>63</v>
      </c>
      <c r="J1" s="1"/>
    </row>
    <row r="2" spans="1:10" x14ac:dyDescent="0.25">
      <c r="A2" s="1"/>
      <c r="B2" s="1"/>
      <c r="C2" s="5">
        <v>1150</v>
      </c>
      <c r="D2" s="5">
        <v>1250</v>
      </c>
      <c r="E2" s="5">
        <v>1350</v>
      </c>
      <c r="F2" s="5">
        <v>1450</v>
      </c>
      <c r="G2" s="5">
        <v>1550</v>
      </c>
      <c r="H2" s="1"/>
      <c r="I2" s="3" t="s">
        <v>64</v>
      </c>
      <c r="J2" s="9">
        <f>'Monthly Housing Cost'!D2</f>
        <v>2555.5</v>
      </c>
    </row>
    <row r="3" spans="1:10" x14ac:dyDescent="0.25">
      <c r="A3" s="1"/>
      <c r="B3" s="8">
        <v>0.8</v>
      </c>
      <c r="C3" s="9">
        <f>('Property &amp; Loan'!$B$7+'Property &amp; Loan'!$B$8+'Property &amp; Loan'!$B$9+'Property &amp; Loan'!$B$10+'Property &amp; Loan'!$B$11+'Property &amp; Loan'!$B$12+'Property &amp; Loan'!$B$13)-((C$2*2)*$B3)</f>
        <v>1979.2994774236108</v>
      </c>
      <c r="D3" s="9">
        <f>('Property &amp; Loan'!$B$7+'Property &amp; Loan'!$B$8+'Property &amp; Loan'!$B$9+'Property &amp; Loan'!$B$10+'Property &amp; Loan'!$B$11+'Property &amp; Loan'!$B$12+'Property &amp; Loan'!$B$13)-((D$2*2)*$B3)</f>
        <v>1819.2994774236108</v>
      </c>
      <c r="E3" s="9">
        <f>('Property &amp; Loan'!$B$7+'Property &amp; Loan'!$B$8+'Property &amp; Loan'!$B$9+'Property &amp; Loan'!$B$10+'Property &amp; Loan'!$B$11+'Property &amp; Loan'!$B$12+'Property &amp; Loan'!$B$13)-((E$2*2)*$B3)</f>
        <v>1659.2994774236108</v>
      </c>
      <c r="F3" s="9">
        <f>('Property &amp; Loan'!$B$7+'Property &amp; Loan'!$B$8+'Property &amp; Loan'!$B$9+'Property &amp; Loan'!$B$10+'Property &amp; Loan'!$B$11+'Property &amp; Loan'!$B$12+'Property &amp; Loan'!$B$13)-((F$2*2)*$B3)</f>
        <v>1499.2994774236108</v>
      </c>
      <c r="G3" s="9">
        <f>('Property &amp; Loan'!$B$7+'Property &amp; Loan'!$B$8+'Property &amp; Loan'!$B$9+'Property &amp; Loan'!$B$10+'Property &amp; Loan'!$B$11+'Property &amp; Loan'!$B$12+'Property &amp; Loan'!$B$13)-((G$2*2)*$B3)</f>
        <v>1339.2994774236108</v>
      </c>
      <c r="H3" s="1"/>
      <c r="I3" s="3" t="s">
        <v>41</v>
      </c>
      <c r="J3" s="9">
        <f>'Property &amp; Loan'!B7*-1</f>
        <v>-2619.2994774236108</v>
      </c>
    </row>
    <row r="4" spans="1:10" x14ac:dyDescent="0.25">
      <c r="A4" s="1"/>
      <c r="B4" s="8">
        <v>0.85</v>
      </c>
      <c r="C4" s="9">
        <f>('Property &amp; Loan'!$B$7+'Property &amp; Loan'!$B$8+'Property &amp; Loan'!$B$9+'Property &amp; Loan'!$B$10+'Property &amp; Loan'!$B$11+'Property &amp; Loan'!$B$12+'Property &amp; Loan'!$B$13)-((C$2*2)*$B4)</f>
        <v>1864.2994774236108</v>
      </c>
      <c r="D4" s="9">
        <f>('Property &amp; Loan'!$B$7+'Property &amp; Loan'!$B$8+'Property &amp; Loan'!$B$9+'Property &amp; Loan'!$B$10+'Property &amp; Loan'!$B$11+'Property &amp; Loan'!$B$12+'Property &amp; Loan'!$B$13)-((D$2*2)*$B4)</f>
        <v>1694.2994774236108</v>
      </c>
      <c r="E4" s="9">
        <f>('Property &amp; Loan'!$B$7+'Property &amp; Loan'!$B$8+'Property &amp; Loan'!$B$9+'Property &amp; Loan'!$B$10+'Property &amp; Loan'!$B$11+'Property &amp; Loan'!$B$12+'Property &amp; Loan'!$B$13)-((E$2*2)*$B4)</f>
        <v>1524.2994774236108</v>
      </c>
      <c r="F4" s="9">
        <f>('Property &amp; Loan'!$B$7+'Property &amp; Loan'!$B$8+'Property &amp; Loan'!$B$9+'Property &amp; Loan'!$B$10+'Property &amp; Loan'!$B$11+'Property &amp; Loan'!$B$12+'Property &amp; Loan'!$B$13)-((F$2*2)*$B4)</f>
        <v>1354.2994774236108</v>
      </c>
      <c r="G4" s="9">
        <f>('Property &amp; Loan'!$B$7+'Property &amp; Loan'!$B$8+'Property &amp; Loan'!$B$9+'Property &amp; Loan'!$B$10+'Property &amp; Loan'!$B$11+'Property &amp; Loan'!$B$12+'Property &amp; Loan'!$B$13)-((G$2*2)*$B4)</f>
        <v>1184.2994774236108</v>
      </c>
      <c r="H4" s="1"/>
      <c r="I4" s="3" t="s">
        <v>42</v>
      </c>
      <c r="J4" s="9">
        <f>'Property &amp; Loan'!B8*-1</f>
        <v>-425</v>
      </c>
    </row>
    <row r="5" spans="1:10" x14ac:dyDescent="0.25">
      <c r="A5" s="1"/>
      <c r="B5" s="8">
        <v>0.9</v>
      </c>
      <c r="C5" s="9">
        <f>('Property &amp; Loan'!$B$7+'Property &amp; Loan'!$B$8+'Property &amp; Loan'!$B$9+'Property &amp; Loan'!$B$10+'Property &amp; Loan'!$B$11+'Property &amp; Loan'!$B$12+'Property &amp; Loan'!$B$13)-((C$2*2)*$B5)</f>
        <v>1749.2994774236108</v>
      </c>
      <c r="D5" s="9">
        <f>('Property &amp; Loan'!$B$7+'Property &amp; Loan'!$B$8+'Property &amp; Loan'!$B$9+'Property &amp; Loan'!$B$10+'Property &amp; Loan'!$B$11+'Property &amp; Loan'!$B$12+'Property &amp; Loan'!$B$13)-((D$2*2)*$B5)</f>
        <v>1569.2994774236108</v>
      </c>
      <c r="E5" s="9">
        <f>('Property &amp; Loan'!$B$7+'Property &amp; Loan'!$B$8+'Property &amp; Loan'!$B$9+'Property &amp; Loan'!$B$10+'Property &amp; Loan'!$B$11+'Property &amp; Loan'!$B$12+'Property &amp; Loan'!$B$13)-((E$2*2)*$B5)</f>
        <v>1389.2994774236108</v>
      </c>
      <c r="F5" s="9">
        <f>('Property &amp; Loan'!$B$7+'Property &amp; Loan'!$B$8+'Property &amp; Loan'!$B$9+'Property &amp; Loan'!$B$10+'Property &amp; Loan'!$B$11+'Property &amp; Loan'!$B$12+'Property &amp; Loan'!$B$13)-((F$2*2)*$B5)</f>
        <v>1209.2994774236108</v>
      </c>
      <c r="G5" s="9">
        <f>('Property &amp; Loan'!$B$7+'Property &amp; Loan'!$B$8+'Property &amp; Loan'!$B$9+'Property &amp; Loan'!$B$10+'Property &amp; Loan'!$B$11+'Property &amp; Loan'!$B$12+'Property &amp; Loan'!$B$13)-((G$2*2)*$B5)</f>
        <v>1029.2994774236108</v>
      </c>
      <c r="H5" s="1"/>
      <c r="I5" s="3" t="s">
        <v>43</v>
      </c>
      <c r="J5" s="9">
        <f>'Property &amp; Loan'!B9*-1</f>
        <v>-155</v>
      </c>
    </row>
    <row r="6" spans="1:10" x14ac:dyDescent="0.25">
      <c r="A6" s="1"/>
      <c r="B6" s="8">
        <v>0.95</v>
      </c>
      <c r="C6" s="9">
        <f>('Property &amp; Loan'!$B$7+'Property &amp; Loan'!$B$8+'Property &amp; Loan'!$B$9+'Property &amp; Loan'!$B$10+'Property &amp; Loan'!$B$11+'Property &amp; Loan'!$B$12+'Property &amp; Loan'!$B$13)-((C$2*2)*$B6)</f>
        <v>1634.2994774236108</v>
      </c>
      <c r="D6" s="9">
        <f>('Property &amp; Loan'!$B$7+'Property &amp; Loan'!$B$8+'Property &amp; Loan'!$B$9+'Property &amp; Loan'!$B$10+'Property &amp; Loan'!$B$11+'Property &amp; Loan'!$B$12+'Property &amp; Loan'!$B$13)-((D$2*2)*$B6)</f>
        <v>1444.2994774236108</v>
      </c>
      <c r="E6" s="9">
        <f>('Property &amp; Loan'!$B$7+'Property &amp; Loan'!$B$8+'Property &amp; Loan'!$B$9+'Property &amp; Loan'!$B$10+'Property &amp; Loan'!$B$11+'Property &amp; Loan'!$B$12+'Property &amp; Loan'!$B$13)-((E$2*2)*$B6)</f>
        <v>1254.2994774236108</v>
      </c>
      <c r="F6" s="9">
        <f>('Property &amp; Loan'!$B$7+'Property &amp; Loan'!$B$8+'Property &amp; Loan'!$B$9+'Property &amp; Loan'!$B$10+'Property &amp; Loan'!$B$11+'Property &amp; Loan'!$B$12+'Property &amp; Loan'!$B$13)-((F$2*2)*$B6)</f>
        <v>1064.2994774236108</v>
      </c>
      <c r="G6" s="9">
        <f>('Property &amp; Loan'!$B$7+'Property &amp; Loan'!$B$8+'Property &amp; Loan'!$B$9+'Property &amp; Loan'!$B$10+'Property &amp; Loan'!$B$11+'Property &amp; Loan'!$B$12+'Property &amp; Loan'!$B$13)-((G$2*2)*$B6)</f>
        <v>874.29947742361082</v>
      </c>
      <c r="H6" s="1"/>
      <c r="I6" s="3" t="s">
        <v>44</v>
      </c>
      <c r="J6" s="9">
        <f>'Property &amp; Loan'!B10*-1</f>
        <v>-180</v>
      </c>
    </row>
    <row r="7" spans="1:10" x14ac:dyDescent="0.25">
      <c r="A7" s="1"/>
      <c r="B7" s="8">
        <v>1</v>
      </c>
      <c r="C7" s="9">
        <f>('Property &amp; Loan'!$B$7+'Property &amp; Loan'!$B$8+'Property &amp; Loan'!$B$9+'Property &amp; Loan'!$B$10+'Property &amp; Loan'!$B$11+'Property &amp; Loan'!$B$12+'Property &amp; Loan'!$B$13)-((C$2*2)*$B7)</f>
        <v>1519.2994774236108</v>
      </c>
      <c r="D7" s="9">
        <f>('Property &amp; Loan'!$B$7+'Property &amp; Loan'!$B$8+'Property &amp; Loan'!$B$9+'Property &amp; Loan'!$B$10+'Property &amp; Loan'!$B$11+'Property &amp; Loan'!$B$12+'Property &amp; Loan'!$B$13)-((D$2*2)*$B7)</f>
        <v>1319.2994774236108</v>
      </c>
      <c r="E7" s="9">
        <f>('Property &amp; Loan'!$B$7+'Property &amp; Loan'!$B$8+'Property &amp; Loan'!$B$9+'Property &amp; Loan'!$B$10+'Property &amp; Loan'!$B$11+'Property &amp; Loan'!$B$12+'Property &amp; Loan'!$B$13)-((E$2*2)*$B7)</f>
        <v>1119.2994774236108</v>
      </c>
      <c r="F7" s="9">
        <f>('Property &amp; Loan'!$B$7+'Property &amp; Loan'!$B$8+'Property &amp; Loan'!$B$9+'Property &amp; Loan'!$B$10+'Property &amp; Loan'!$B$11+'Property &amp; Loan'!$B$12+'Property &amp; Loan'!$B$13)-((F$2*2)*$B7)</f>
        <v>919.29947742361082</v>
      </c>
      <c r="G7" s="9">
        <f>('Property &amp; Loan'!$B$7+'Property &amp; Loan'!$B$8+'Property &amp; Loan'!$B$9+'Property &amp; Loan'!$B$10+'Property &amp; Loan'!$B$11+'Property &amp; Loan'!$B$12+'Property &amp; Loan'!$B$13)-((G$2*2)*$B7)</f>
        <v>719.29947742361082</v>
      </c>
      <c r="H7" s="1"/>
      <c r="I7" s="3" t="s">
        <v>65</v>
      </c>
      <c r="J7" s="9">
        <f>'Property &amp; Loan'!B11*-1</f>
        <v>-140</v>
      </c>
    </row>
    <row r="8" spans="1:10" x14ac:dyDescent="0.25">
      <c r="A8" s="1"/>
      <c r="B8" s="1"/>
      <c r="C8" s="1"/>
      <c r="D8" s="1"/>
      <c r="E8" s="1"/>
      <c r="F8" s="1"/>
      <c r="G8" s="1"/>
      <c r="H8" s="1"/>
      <c r="I8" s="3" t="s">
        <v>46</v>
      </c>
      <c r="J8" s="9">
        <f>'Property &amp; Loan'!B12*-1</f>
        <v>-175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3" t="s">
        <v>47</v>
      </c>
      <c r="J9" s="9">
        <f>'Property &amp; Loan'!B13*-1</f>
        <v>-125</v>
      </c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2" t="s">
        <v>66</v>
      </c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4" t="s">
        <v>67</v>
      </c>
      <c r="J14" s="4" t="s">
        <v>68</v>
      </c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3" t="s">
        <v>74</v>
      </c>
      <c r="J15" s="5">
        <v>210</v>
      </c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3" t="s">
        <v>75</v>
      </c>
      <c r="J16" s="5">
        <v>275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3" t="s">
        <v>42</v>
      </c>
      <c r="J17" s="5">
        <v>64</v>
      </c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3" t="s">
        <v>46</v>
      </c>
      <c r="J18" s="5">
        <v>35</v>
      </c>
    </row>
  </sheetData>
  <conditionalFormatting sqref="C3:G7">
    <cfRule type="colorScale" priority="1">
      <colorScale>
        <cfvo type="min"/>
        <cfvo type="percentile" val="50"/>
        <cfvo type="max"/>
        <color rgb="FFB7C98F"/>
        <color rgb="FFEBD8B9"/>
        <color rgb="FFD9A89F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showGridLines="0" zoomScale="280" zoomScaleNormal="280" workbookViewId="0">
      <selection activeCell="B4" sqref="B4"/>
    </sheetView>
  </sheetViews>
  <sheetFormatPr defaultRowHeight="15" x14ac:dyDescent="0.25"/>
  <cols>
    <col min="1" max="1" width="25.140625" bestFit="1" customWidth="1"/>
    <col min="2" max="2" width="10.85546875" customWidth="1"/>
  </cols>
  <sheetData>
    <row r="1" spans="1:2" x14ac:dyDescent="0.25">
      <c r="A1" s="6" t="s">
        <v>69</v>
      </c>
      <c r="B1" s="7">
        <f>'Property &amp; Loan'!B2</f>
        <v>425000</v>
      </c>
    </row>
    <row r="2" spans="1:2" x14ac:dyDescent="0.25">
      <c r="A2" s="6" t="s">
        <v>70</v>
      </c>
      <c r="B2" s="7">
        <f>'Property &amp; Loan'!B4</f>
        <v>410125</v>
      </c>
    </row>
    <row r="3" spans="1:2" x14ac:dyDescent="0.25">
      <c r="A3" s="6" t="s">
        <v>71</v>
      </c>
      <c r="B3" s="7">
        <f>SUM('Property &amp; Loan'!B7:B13)</f>
        <v>3819.2994774236108</v>
      </c>
    </row>
    <row r="4" spans="1:2" x14ac:dyDescent="0.25">
      <c r="A4" s="6" t="s">
        <v>3</v>
      </c>
      <c r="B4" s="7">
        <f>'Monthly Housing Cost'!D2</f>
        <v>2555.5</v>
      </c>
    </row>
    <row r="5" spans="1:2" x14ac:dyDescent="0.25">
      <c r="A5" s="6" t="s">
        <v>5</v>
      </c>
      <c r="B5" s="7">
        <f>'Monthly Housing Cost'!L2</f>
        <v>1263.7994774236108</v>
      </c>
    </row>
    <row r="6" spans="1:2" x14ac:dyDescent="0.25">
      <c r="A6" s="6" t="s">
        <v>7</v>
      </c>
      <c r="B6" s="7">
        <f>'Monthly Housing Cost'!M2</f>
        <v>686.20052257638918</v>
      </c>
    </row>
    <row r="7" spans="1:2" x14ac:dyDescent="0.25">
      <c r="A7" s="6" t="s">
        <v>72</v>
      </c>
      <c r="B7" s="7">
        <f>AVERAGE('Monthly Housing Cost'!M2:M13)</f>
        <v>724.5330225763895</v>
      </c>
    </row>
    <row r="8" spans="1:2" x14ac:dyDescent="0.25">
      <c r="A8" s="6" t="s">
        <v>73</v>
      </c>
      <c r="B8" s="7">
        <f>MAX('Scenario Grid'!C3:G7)</f>
        <v>1979.2994774236108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&amp; Loan</vt:lpstr>
      <vt:lpstr>Unit Rent Roll</vt:lpstr>
      <vt:lpstr>Monthly Housing Cost</vt:lpstr>
      <vt:lpstr>Scenario Grid</vt:lpstr>
      <vt:lpstr>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Reed</dc:creator>
  <cp:lastModifiedBy>Frenzel, Tim</cp:lastModifiedBy>
  <cp:revision>1</cp:revision>
  <dcterms:created xsi:type="dcterms:W3CDTF">2024-07-07T16:02:40Z</dcterms:created>
  <dcterms:modified xsi:type="dcterms:W3CDTF">2026-04-09T17:34:41Z</dcterms:modified>
</cp:coreProperties>
</file>