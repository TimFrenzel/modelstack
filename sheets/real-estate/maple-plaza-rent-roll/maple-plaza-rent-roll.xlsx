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nter Overview" sheetId="1" state="visible" r:id="rId1"/>
    <sheet xmlns:r="http://schemas.openxmlformats.org/officeDocument/2006/relationships" name="Rent Roll" sheetId="2" state="visible" r:id="rId2"/>
    <sheet xmlns:r="http://schemas.openxmlformats.org/officeDocument/2006/relationships" name="Lease Rollover" sheetId="3" state="visible" r:id="rId3"/>
    <sheet xmlns:r="http://schemas.openxmlformats.org/officeDocument/2006/relationships" name="5-Year Pro Forma" sheetId="4" state="visible" r:id="rId4"/>
    <sheet xmlns:r="http://schemas.openxmlformats.org/officeDocument/2006/relationships" name="Exit &amp; Snapsho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.00"/>
    <numFmt numFmtId="166" formatCode="$#,##0"/>
    <numFmt numFmtId="167" formatCode="0.00x"/>
  </numFmts>
  <fonts count="7">
    <font>
      <name val="Calibri"/>
      <family val="2"/>
      <color theme="1"/>
      <sz val="11"/>
      <scheme val="minor"/>
    </font>
    <font>
      <name val="Calibri"/>
      <b val="1"/>
      <color rgb="00333333"/>
      <sz val="14"/>
    </font>
    <font>
      <name val="Calibri"/>
      <b val="1"/>
      <color rgb="00404040"/>
      <sz val="11"/>
    </font>
    <font>
      <name val="Calibri"/>
      <color rgb="00000000"/>
      <sz val="11"/>
    </font>
    <font>
      <name val="Calibri"/>
      <color rgb="004472C4"/>
      <sz val="11"/>
    </font>
    <font>
      <name val="Calibri"/>
      <color rgb="00808080"/>
      <sz val="9"/>
    </font>
    <font>
      <name val="Calibri"/>
      <b val="1"/>
      <color rgb="00595959"/>
      <sz val="11"/>
    </font>
  </fonts>
  <fills count="5">
    <fill>
      <patternFill/>
    </fill>
    <fill>
      <patternFill patternType="gray125"/>
    </fill>
    <fill>
      <patternFill patternType="solid">
        <fgColor rgb="00E8DFD0"/>
      </patternFill>
    </fill>
    <fill>
      <patternFill patternType="solid">
        <fgColor rgb="00FFF2CC"/>
      </patternFill>
    </fill>
    <fill>
      <patternFill patternType="solid">
        <fgColor rgb="00F3F3F3"/>
      </patternFill>
    </fill>
  </fills>
  <borders count="4">
    <border>
      <left/>
      <right/>
      <top/>
      <bottom/>
      <diagonal/>
    </border>
    <border>
      <left style="thin">
        <color rgb="00C4B8A8"/>
      </left>
      <right style="thin">
        <color rgb="00C4B8A8"/>
      </right>
      <top style="thin">
        <color rgb="00C4B8A8"/>
      </top>
      <bottom style="medium">
        <color rgb="00C4B8A8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>
        <color rgb="00808080"/>
      </top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left" vertical="center"/>
    </xf>
    <xf numFmtId="0" fontId="3" fillId="4" borderId="2" applyAlignment="1" pivotButton="0" quotePrefix="0" xfId="0">
      <alignment horizontal="left" vertical="center"/>
    </xf>
    <xf numFmtId="166" fontId="4" fillId="0" borderId="2" applyAlignment="1" pivotButton="0" quotePrefix="0" xfId="0">
      <alignment horizontal="left" vertical="center"/>
    </xf>
    <xf numFmtId="3" fontId="4" fillId="0" borderId="2" applyAlignment="1" pivotButton="0" quotePrefix="0" xfId="0">
      <alignment horizontal="left" vertical="center"/>
    </xf>
    <xf numFmtId="164" fontId="4" fillId="0" borderId="2" applyAlignment="1" pivotButton="0" quotePrefix="0" xfId="0">
      <alignment horizontal="left" vertical="center"/>
    </xf>
    <xf numFmtId="165" fontId="4" fillId="0" borderId="2" applyAlignment="1" pivotButton="0" quotePrefix="0" xfId="0">
      <alignment horizontal="left" vertical="center"/>
    </xf>
    <xf numFmtId="167" fontId="4" fillId="0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6" fontId="3" fillId="3" borderId="2" applyAlignment="1" pivotButton="0" quotePrefix="0" xfId="0">
      <alignment horizontal="left" vertical="center"/>
    </xf>
    <xf numFmtId="164" fontId="3" fillId="3" borderId="2" applyAlignment="1" pivotButton="0" quotePrefix="0" xfId="0">
      <alignment horizontal="left" vertical="center"/>
    </xf>
    <xf numFmtId="10" fontId="3" fillId="3" borderId="2" applyAlignment="1" pivotButton="0" quotePrefix="0" xfId="0">
      <alignment horizontal="left" vertical="center"/>
    </xf>
    <xf numFmtId="3" fontId="3" fillId="3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 wrapText="1"/>
    </xf>
    <xf numFmtId="165" fontId="3" fillId="3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6" fillId="0" borderId="3" applyAlignment="1" pivotButton="0" quotePrefix="0" xfId="0">
      <alignment horizontal="left" vertical="center"/>
    </xf>
    <xf numFmtId="166" fontId="4" fillId="0" borderId="3" applyAlignment="1" pivotButton="0" quotePrefix="0" xfId="0">
      <alignment horizontal="left" vertical="center"/>
    </xf>
    <xf numFmtId="2" fontId="4" fillId="0" borderId="2" applyAlignment="1" pivotButton="0" quotePrefix="0" xfId="0">
      <alignment horizontal="left" vertical="center"/>
    </xf>
    <xf numFmtId="10" fontId="4" fillId="0" borderId="2" applyAlignment="1" pivotButton="0" quotePrefix="0" xfId="0">
      <alignment horizontal="left" vertical="center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6" customWidth="1" min="3" max="3"/>
    <col width="26" customWidth="1" min="8" max="8"/>
    <col width="16" customWidth="1" min="9" max="9"/>
  </cols>
  <sheetData>
    <row r="1"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1" t="n"/>
      <c r="B2" s="2" t="inlineStr">
        <is>
          <t>Maple Plaza rent roll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3" t="inlineStr">
        <is>
          <t>Property</t>
        </is>
      </c>
      <c r="C4" s="1" t="n"/>
      <c r="D4" s="1" t="n"/>
      <c r="E4" s="1" t="n"/>
      <c r="F4" s="1" t="n"/>
      <c r="G4" s="1" t="n"/>
      <c r="H4" s="3" t="inlineStr">
        <is>
          <t>Back of envelope</t>
        </is>
      </c>
      <c r="I4" s="1" t="n"/>
    </row>
    <row r="5">
      <c r="A5" s="1" t="n"/>
      <c r="B5" s="4" t="inlineStr">
        <is>
          <t>Center Name</t>
        </is>
      </c>
      <c r="C5" s="5" t="inlineStr">
        <is>
          <t>Maple Plaza</t>
        </is>
      </c>
      <c r="D5" s="1" t="n"/>
      <c r="E5" s="1" t="n"/>
      <c r="F5" s="1" t="n"/>
      <c r="G5" s="1" t="n"/>
      <c r="H5" s="6" t="inlineStr">
        <is>
          <t>Year 1 NOI before TI / LC</t>
        </is>
      </c>
      <c r="I5" s="7">
        <f>'5-Year Pro Forma'!C12</f>
        <v/>
      </c>
    </row>
    <row r="6">
      <c r="A6" s="1" t="n"/>
      <c r="B6" s="4" t="inlineStr">
        <is>
          <t>Address</t>
        </is>
      </c>
      <c r="C6" s="5" t="inlineStr">
        <is>
          <t>910 Maple Ave</t>
        </is>
      </c>
      <c r="D6" s="1" t="n"/>
      <c r="E6" s="1" t="n"/>
      <c r="F6" s="1" t="n"/>
      <c r="G6" s="1" t="n"/>
      <c r="H6" s="6" t="inlineStr">
        <is>
          <t>Year 1 CF after debt</t>
        </is>
      </c>
      <c r="I6" s="7">
        <f>'5-Year Pro Forma'!C16</f>
        <v/>
      </c>
    </row>
    <row r="7">
      <c r="A7" s="1" t="n"/>
      <c r="B7" s="4" t="inlineStr">
        <is>
          <t>Total SqFt</t>
        </is>
      </c>
      <c r="C7" s="8">
        <f>SUM('Rent Roll'!D5:D10)</f>
        <v/>
      </c>
      <c r="D7" s="1" t="n"/>
      <c r="E7" s="1" t="n"/>
      <c r="F7" s="1" t="n"/>
      <c r="G7" s="1" t="n"/>
      <c r="H7" s="6" t="inlineStr">
        <is>
          <t>Blended occupancy</t>
        </is>
      </c>
      <c r="I7" s="9">
        <f>C9</f>
        <v/>
      </c>
    </row>
    <row r="8">
      <c r="A8" s="1" t="n"/>
      <c r="B8" s="4" t="inlineStr">
        <is>
          <t>Occupied SqFt</t>
        </is>
      </c>
      <c r="C8" s="8">
        <f>SUMIFS('Rent Roll'!D5:D10,'Rent Roll'!E5:E10,"Occupied")+SUMIFS('Rent Roll'!D5:D10,'Rent Roll'!E5:E10,"MTM")</f>
        <v/>
      </c>
      <c r="D8" s="1" t="n"/>
      <c r="E8" s="1" t="n"/>
      <c r="F8" s="1" t="n"/>
      <c r="G8" s="1" t="n"/>
      <c r="H8" s="6" t="inlineStr">
        <is>
          <t>Total TI / LC in hold</t>
        </is>
      </c>
      <c r="I8" s="7">
        <f>'Exit &amp; Snapshot'!C13</f>
        <v/>
      </c>
    </row>
    <row r="9">
      <c r="A9" s="1" t="n"/>
      <c r="B9" s="4" t="inlineStr">
        <is>
          <t>Current Occupancy</t>
        </is>
      </c>
      <c r="C9" s="9">
        <f>IF(C7=0,0,C8/C7)</f>
        <v/>
      </c>
      <c r="D9" s="1" t="n"/>
      <c r="E9" s="1" t="n"/>
      <c r="F9" s="1" t="n"/>
      <c r="G9" s="1" t="n"/>
      <c r="H9" s="6" t="inlineStr">
        <is>
          <t>Year 5 exit value</t>
        </is>
      </c>
      <c r="I9" s="7">
        <f>'Exit &amp; Snapshot'!C21</f>
        <v/>
      </c>
    </row>
    <row r="10">
      <c r="A10" s="1" t="n"/>
      <c r="B10" s="4" t="inlineStr">
        <is>
          <t>Avg In-Place Rent / SqFt</t>
        </is>
      </c>
      <c r="C10" s="10">
        <f>IF(C8=0,0,SUM('Rent Roll'!K5:K10)/C8)</f>
        <v/>
      </c>
      <c r="D10" s="1" t="n"/>
      <c r="E10" s="1" t="n"/>
      <c r="F10" s="1" t="n"/>
      <c r="G10" s="1" t="n"/>
      <c r="H10" s="6" t="inlineStr">
        <is>
          <t>5-year equity multiple</t>
        </is>
      </c>
      <c r="I10" s="11">
        <f>'Exit &amp; Snapshot'!C30</f>
        <v/>
      </c>
    </row>
    <row r="11">
      <c r="A11" s="1" t="n"/>
      <c r="B11" s="4" t="inlineStr">
        <is>
          <t>Avg Market Rent / SqFt</t>
        </is>
      </c>
      <c r="C11" s="10">
        <f>IF(C7=0,0,SUMPRODUCT('Rent Roll'!D5:D10,'Rent Roll'!H5:H10)/C7)</f>
        <v/>
      </c>
      <c r="D11" s="1" t="n"/>
      <c r="E11" s="1" t="n"/>
      <c r="F11" s="1" t="n"/>
      <c r="G11" s="1" t="n"/>
      <c r="H11" s="1" t="n"/>
      <c r="I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2" t="inlineStr">
        <is>
          <t>Keep this tab high level.</t>
        </is>
      </c>
      <c r="I12" s="1" t="n"/>
    </row>
    <row r="13">
      <c r="A13" s="1" t="n"/>
      <c r="B13" s="3" t="inlineStr">
        <is>
          <t>Acquisition</t>
        </is>
      </c>
      <c r="C13" s="1" t="n"/>
      <c r="D13" s="1" t="n"/>
      <c r="E13" s="1" t="n"/>
      <c r="F13" s="1" t="n"/>
      <c r="G13" s="1" t="n"/>
      <c r="H13" s="12" t="inlineStr">
        <is>
          <t>The rollover and exit tabs do the heavier lifting.</t>
        </is>
      </c>
      <c r="I13" s="1" t="n"/>
    </row>
    <row r="14">
      <c r="A14" s="1" t="n"/>
      <c r="B14" s="4" t="inlineStr">
        <is>
          <t>Purchase Price</t>
        </is>
      </c>
      <c r="C14" s="13" t="n">
        <v>3150000</v>
      </c>
      <c r="D14" s="1" t="n"/>
      <c r="E14" s="1" t="n"/>
      <c r="F14" s="1" t="n"/>
      <c r="G14" s="1" t="n"/>
      <c r="H14" s="1" t="n"/>
      <c r="I14" s="1" t="n"/>
    </row>
    <row r="15">
      <c r="A15" s="1" t="n"/>
      <c r="B15" s="4" t="inlineStr">
        <is>
          <t>Closing Costs</t>
        </is>
      </c>
      <c r="C15" s="13" t="n">
        <v>55000</v>
      </c>
      <c r="D15" s="1" t="n"/>
      <c r="E15" s="1" t="n"/>
      <c r="F15" s="1" t="n"/>
      <c r="G15" s="1" t="n"/>
      <c r="H15" s="1" t="n"/>
      <c r="I15" s="1" t="n"/>
    </row>
    <row r="16">
      <c r="A16" s="1" t="n"/>
      <c r="B16" s="4" t="inlineStr">
        <is>
          <t>Immediate CapEx</t>
        </is>
      </c>
      <c r="C16" s="13" t="n">
        <v>40000</v>
      </c>
      <c r="D16" s="1" t="n"/>
      <c r="E16" s="1" t="n"/>
      <c r="F16" s="1" t="n"/>
      <c r="G16" s="1" t="n"/>
      <c r="H16" s="1" t="n"/>
      <c r="I16" s="1" t="n"/>
    </row>
    <row r="17">
      <c r="A17" s="1" t="n"/>
      <c r="B17" s="4" t="inlineStr">
        <is>
          <t>Total Basis</t>
        </is>
      </c>
      <c r="C17" s="7">
        <f>C14+C15+C16</f>
        <v/>
      </c>
      <c r="D17" s="1" t="n"/>
      <c r="E17" s="1" t="n"/>
      <c r="F17" s="1" t="n"/>
      <c r="G17" s="1" t="n"/>
      <c r="H17" s="1" t="n"/>
      <c r="I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</row>
    <row r="19">
      <c r="A19" s="1" t="n"/>
      <c r="B19" s="3" t="inlineStr">
        <is>
          <t>Financing</t>
        </is>
      </c>
      <c r="C19" s="1" t="n"/>
      <c r="D19" s="1" t="n"/>
      <c r="E19" s="1" t="n"/>
      <c r="F19" s="1" t="n"/>
      <c r="G19" s="1" t="n"/>
      <c r="H19" s="1" t="n"/>
      <c r="I19" s="1" t="n"/>
    </row>
    <row r="20">
      <c r="A20" s="1" t="n"/>
      <c r="B20" s="4" t="inlineStr">
        <is>
          <t>Down Payment (%)</t>
        </is>
      </c>
      <c r="C20" s="14" t="n">
        <v>0.35</v>
      </c>
      <c r="D20" s="1" t="n"/>
      <c r="E20" s="1" t="n"/>
      <c r="F20" s="1" t="n"/>
      <c r="G20" s="1" t="n"/>
      <c r="H20" s="1" t="n"/>
      <c r="I20" s="1" t="n"/>
    </row>
    <row r="21">
      <c r="A21" s="1" t="n"/>
      <c r="B21" s="4" t="inlineStr">
        <is>
          <t>Loan Amount</t>
        </is>
      </c>
      <c r="C21" s="7">
        <f>C14*(1-C20)</f>
        <v/>
      </c>
      <c r="D21" s="1" t="n"/>
      <c r="E21" s="1" t="n"/>
      <c r="F21" s="1" t="n"/>
      <c r="G21" s="1" t="n"/>
      <c r="H21" s="1" t="n"/>
      <c r="I21" s="1" t="n"/>
    </row>
    <row r="22">
      <c r="A22" s="1" t="n"/>
      <c r="B22" s="4" t="inlineStr">
        <is>
          <t>Rate</t>
        </is>
      </c>
      <c r="C22" s="15" t="n">
        <v>0.0665</v>
      </c>
      <c r="D22" s="1" t="n"/>
      <c r="E22" s="1" t="n"/>
      <c r="F22" s="1" t="n"/>
      <c r="G22" s="1" t="n"/>
      <c r="H22" s="1" t="n"/>
      <c r="I22" s="1" t="n"/>
    </row>
    <row r="23">
      <c r="A23" s="1" t="n"/>
      <c r="B23" s="4" t="inlineStr">
        <is>
          <t>Amortization (years)</t>
        </is>
      </c>
      <c r="C23" s="16" t="n">
        <v>25</v>
      </c>
      <c r="D23" s="1" t="n"/>
      <c r="E23" s="1" t="n"/>
      <c r="F23" s="1" t="n"/>
      <c r="G23" s="1" t="n"/>
      <c r="H23" s="1" t="n"/>
      <c r="I23" s="1" t="n"/>
    </row>
    <row r="24">
      <c r="A24" s="1" t="n"/>
      <c r="B24" s="4" t="inlineStr">
        <is>
          <t>Monthly Debt Service</t>
        </is>
      </c>
      <c r="C24" s="7">
        <f>PMT(C22/12,C23*12,-C21)</f>
        <v/>
      </c>
      <c r="D24" s="1" t="n"/>
      <c r="E24" s="1" t="n"/>
      <c r="F24" s="1" t="n"/>
      <c r="G24" s="1" t="n"/>
      <c r="H24" s="1" t="n"/>
      <c r="I24" s="1" t="n"/>
    </row>
    <row r="25">
      <c r="A25" s="1" t="n"/>
      <c r="B25" s="4" t="inlineStr">
        <is>
          <t>Annual Debt Service</t>
        </is>
      </c>
      <c r="C25" s="7">
        <f>C24*12</f>
        <v/>
      </c>
      <c r="D25" s="1" t="n"/>
      <c r="E25" s="1" t="n"/>
      <c r="F25" s="1" t="n"/>
      <c r="G25" s="1" t="n"/>
      <c r="H25" s="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3" t="inlineStr">
        <is>
          <t>Leasing Assumptions</t>
        </is>
      </c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4" t="inlineStr">
        <is>
          <t>Market Rent Growth</t>
        </is>
      </c>
      <c r="C28" s="14" t="n">
        <v>0.025</v>
      </c>
      <c r="D28" s="1" t="n"/>
      <c r="E28" s="1" t="n"/>
      <c r="F28" s="1" t="n"/>
      <c r="G28" s="1" t="n"/>
      <c r="H28" s="1" t="n"/>
      <c r="I28" s="1" t="n"/>
    </row>
    <row r="29">
      <c r="A29" s="1" t="n"/>
      <c r="B29" s="4" t="inlineStr">
        <is>
          <t>General Credit Loss</t>
        </is>
      </c>
      <c r="C29" s="14" t="n">
        <v>0.02</v>
      </c>
      <c r="D29" s="1" t="n"/>
      <c r="E29" s="1" t="n"/>
      <c r="F29" s="1" t="n"/>
      <c r="G29" s="1" t="n"/>
      <c r="H29" s="1" t="n"/>
      <c r="I29" s="1" t="n"/>
    </row>
    <row r="30">
      <c r="A30" s="1" t="n"/>
      <c r="B30" s="4" t="inlineStr">
        <is>
          <t>Default Downtime (months)</t>
        </is>
      </c>
      <c r="C30" s="16" t="n">
        <v>4</v>
      </c>
      <c r="D30" s="1" t="n"/>
      <c r="E30" s="1" t="n"/>
      <c r="F30" s="1" t="n"/>
      <c r="G30" s="1" t="n"/>
      <c r="H30" s="1" t="n"/>
      <c r="I30" s="1" t="n"/>
    </row>
    <row r="31">
      <c r="A31" s="1" t="n"/>
      <c r="B31" s="4" t="inlineStr">
        <is>
          <t>Leasing Commission (%)</t>
        </is>
      </c>
      <c r="C31" s="14" t="n">
        <v>0.04</v>
      </c>
      <c r="D31" s="1" t="n"/>
      <c r="E31" s="1" t="n"/>
      <c r="F31" s="1" t="n"/>
      <c r="G31" s="1" t="n"/>
      <c r="H31" s="1" t="n"/>
      <c r="I31" s="1" t="n"/>
    </row>
    <row r="32">
      <c r="A32" s="1" t="n"/>
      <c r="B32" s="4" t="inlineStr">
        <is>
          <t>TI Allowance / SqFt</t>
        </is>
      </c>
      <c r="C32" s="13" t="n">
        <v>12</v>
      </c>
      <c r="D32" s="1" t="n"/>
      <c r="E32" s="1" t="n"/>
      <c r="F32" s="1" t="n"/>
      <c r="G32" s="1" t="n"/>
      <c r="H32" s="1" t="n"/>
      <c r="I32" s="1" t="n"/>
    </row>
    <row r="33">
      <c r="A33" s="1" t="n"/>
      <c r="B33" s="4" t="inlineStr">
        <is>
          <t>Hold Period (years)</t>
        </is>
      </c>
      <c r="C33" s="16" t="n">
        <v>5</v>
      </c>
      <c r="D33" s="1" t="n"/>
      <c r="E33" s="1" t="n"/>
      <c r="F33" s="1" t="n"/>
      <c r="G33" s="1" t="n"/>
      <c r="H33" s="1" t="n"/>
      <c r="I33" s="1" t="n"/>
    </row>
    <row r="34">
      <c r="A34" s="1" t="n"/>
      <c r="B34" s="4" t="inlineStr">
        <is>
          <t>Exit Cap Rate</t>
        </is>
      </c>
      <c r="C34" s="15" t="n">
        <v>0.07000000000000001</v>
      </c>
      <c r="D34" s="1" t="n"/>
      <c r="E34" s="1" t="n"/>
      <c r="F34" s="1" t="n"/>
      <c r="G34" s="1" t="n"/>
      <c r="H34" s="1" t="n"/>
      <c r="I34" s="1" t="n"/>
    </row>
    <row r="35">
      <c r="A35" s="1" t="n"/>
      <c r="B35" s="4" t="inlineStr">
        <is>
          <t>Selling Costs (%)</t>
        </is>
      </c>
      <c r="C35" s="14" t="n">
        <v>0.035</v>
      </c>
      <c r="D35" s="1" t="n"/>
      <c r="E35" s="1" t="n"/>
      <c r="F35" s="1" t="n"/>
      <c r="G35" s="1" t="n"/>
      <c r="H35" s="1" t="n"/>
      <c r="I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1" t="n"/>
      <c r="B37" s="3" t="inlineStr">
        <is>
          <t>Center Expenses</t>
        </is>
      </c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4" t="inlineStr">
        <is>
          <t>Property Tax</t>
        </is>
      </c>
      <c r="C38" s="13" t="n">
        <v>32000</v>
      </c>
      <c r="D38" s="1" t="n"/>
      <c r="E38" s="1" t="n"/>
      <c r="F38" s="1" t="n"/>
      <c r="G38" s="1" t="n"/>
      <c r="H38" s="1" t="n"/>
      <c r="I38" s="1" t="n"/>
    </row>
    <row r="39">
      <c r="A39" s="1" t="n"/>
      <c r="B39" s="4" t="inlineStr">
        <is>
          <t>Insurance</t>
        </is>
      </c>
      <c r="C39" s="13" t="n">
        <v>9000</v>
      </c>
      <c r="D39" s="1" t="n"/>
      <c r="E39" s="1" t="n"/>
      <c r="F39" s="1" t="n"/>
      <c r="G39" s="1" t="n"/>
      <c r="H39" s="1" t="n"/>
      <c r="I39" s="1" t="n"/>
    </row>
    <row r="40">
      <c r="A40" s="1" t="n"/>
      <c r="B40" s="4" t="inlineStr">
        <is>
          <t>Common Area Utilities</t>
        </is>
      </c>
      <c r="C40" s="13" t="n">
        <v>15000</v>
      </c>
      <c r="D40" s="1" t="n"/>
      <c r="E40" s="1" t="n"/>
      <c r="F40" s="1" t="n"/>
      <c r="G40" s="1" t="n"/>
      <c r="H40" s="1" t="n"/>
      <c r="I40" s="1" t="n"/>
    </row>
    <row r="41">
      <c r="A41" s="1" t="n"/>
      <c r="B41" s="4" t="inlineStr">
        <is>
          <t>Repairs &amp; Maintenance</t>
        </is>
      </c>
      <c r="C41" s="13" t="n">
        <v>18000</v>
      </c>
      <c r="D41" s="1" t="n"/>
      <c r="E41" s="1" t="n"/>
      <c r="F41" s="1" t="n"/>
      <c r="G41" s="1" t="n"/>
      <c r="H41" s="1" t="n"/>
      <c r="I41" s="1" t="n"/>
    </row>
    <row r="42">
      <c r="A42" s="1" t="n"/>
      <c r="B42" s="4" t="inlineStr">
        <is>
          <t>Admin / Marketing</t>
        </is>
      </c>
      <c r="C42" s="13" t="n">
        <v>8000</v>
      </c>
      <c r="D42" s="1" t="n"/>
      <c r="E42" s="1" t="n"/>
      <c r="F42" s="1" t="n"/>
      <c r="G42" s="1" t="n"/>
      <c r="H42" s="1" t="n"/>
      <c r="I42" s="1" t="n"/>
    </row>
    <row r="43">
      <c r="A43" s="1" t="n"/>
      <c r="B43" s="4" t="inlineStr">
        <is>
          <t>Nonrecoverable CAM</t>
        </is>
      </c>
      <c r="C43" s="13" t="n">
        <v>12000</v>
      </c>
      <c r="D43" s="1" t="n"/>
      <c r="E43" s="1" t="n"/>
      <c r="F43" s="1" t="n"/>
      <c r="G43" s="1" t="n"/>
      <c r="H43" s="1" t="n"/>
      <c r="I43" s="1" t="n"/>
    </row>
    <row r="44">
      <c r="A44" s="1" t="n"/>
      <c r="B44" s="4" t="inlineStr">
        <is>
          <t>Management Fee (%)</t>
        </is>
      </c>
      <c r="C44" s="14" t="n">
        <v>0.04</v>
      </c>
      <c r="D44" s="1" t="n"/>
      <c r="E44" s="1" t="n"/>
      <c r="F44" s="1" t="n"/>
      <c r="G44" s="1" t="n"/>
      <c r="H44" s="1" t="n"/>
      <c r="I44" s="1" t="n"/>
    </row>
    <row r="45">
      <c r="A45" s="1" t="n"/>
      <c r="B45" s="4" t="inlineStr">
        <is>
          <t>Annual Expense Growth</t>
        </is>
      </c>
      <c r="C45" s="14" t="n">
        <v>0.025</v>
      </c>
      <c r="D45" s="1" t="n"/>
      <c r="E45" s="1" t="n"/>
      <c r="F45" s="1" t="n"/>
      <c r="G45" s="1" t="n"/>
      <c r="H45" s="1" t="n"/>
      <c r="I45" s="1" t="n"/>
    </row>
  </sheetData>
  <conditionalFormatting sqref="C9">
    <cfRule type="cellIs" priority="1" operator="lessThan" dxfId="0">
      <formula>0.90</formula>
    </cfRule>
  </conditionalFormatting>
  <conditionalFormatting sqref="I7">
    <cfRule type="cellIs" priority="2" operator="lessThan" dxfId="0">
      <formula>0.90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2" max="2"/>
    <col width="18" customWidth="1" min="3" max="3"/>
    <col width="11" customWidth="1" min="4" max="4"/>
    <col width="12" customWidth="1" min="5" max="5"/>
    <col width="10" customWidth="1" min="6" max="6"/>
    <col width="16" customWidth="1" min="7" max="7"/>
    <col width="16" customWidth="1" min="8" max="8"/>
    <col width="15" customWidth="1" min="9" max="9"/>
    <col width="16" customWidth="1" min="10" max="10"/>
    <col width="18" customWidth="1" min="11" max="11"/>
    <col width="18" customWidth="1" min="12" max="12"/>
  </cols>
  <sheetData>
    <row r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2" t="inlineStr">
        <is>
          <t>Rent Roll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1" t="n"/>
      <c r="B4" s="17" t="inlineStr">
        <is>
          <t>Suite</t>
        </is>
      </c>
      <c r="C4" s="17" t="inlineStr">
        <is>
          <t>Tenant</t>
        </is>
      </c>
      <c r="D4" s="17" t="inlineStr">
        <is>
          <t>SqFt</t>
        </is>
      </c>
      <c r="E4" s="17" t="inlineStr">
        <is>
          <t>Status</t>
        </is>
      </c>
      <c r="F4" s="17" t="inlineStr">
        <is>
          <t>Roll Year</t>
        </is>
      </c>
      <c r="G4" s="17" t="inlineStr">
        <is>
          <t>In-Place Rent / SqFt</t>
        </is>
      </c>
      <c r="H4" s="17" t="inlineStr">
        <is>
          <t>Market Rent / SqFt</t>
        </is>
      </c>
      <c r="I4" s="17" t="inlineStr">
        <is>
          <t>In-Place Escalator</t>
        </is>
      </c>
      <c r="J4" s="17" t="inlineStr">
        <is>
          <t>CAM Recovery / SqFt</t>
        </is>
      </c>
      <c r="K4" s="17" t="inlineStr">
        <is>
          <t>Current Annual Base Rent</t>
        </is>
      </c>
      <c r="L4" s="17" t="inlineStr">
        <is>
          <t>Notes</t>
        </is>
      </c>
    </row>
    <row r="5">
      <c r="A5" s="1" t="n"/>
      <c r="B5" s="5" t="inlineStr">
        <is>
          <t>A</t>
        </is>
      </c>
      <c r="C5" s="5" t="inlineStr">
        <is>
          <t>A&amp;J Pizza</t>
        </is>
      </c>
      <c r="D5" s="16" t="n">
        <v>1800</v>
      </c>
      <c r="E5" s="5" t="inlineStr">
        <is>
          <t>Occupied</t>
        </is>
      </c>
      <c r="F5" s="16" t="n">
        <v>3</v>
      </c>
      <c r="G5" s="18" t="n">
        <v>24</v>
      </c>
      <c r="H5" s="18" t="n">
        <v>26</v>
      </c>
      <c r="I5" s="14" t="n">
        <v>0.025</v>
      </c>
      <c r="J5" s="18" t="n">
        <v>5.5</v>
      </c>
      <c r="K5" s="7">
        <f>IF(E5="Vacant",0,D5*G5)</f>
        <v/>
      </c>
      <c r="L5" s="5" t="inlineStr">
        <is>
          <t>doing fine</t>
        </is>
      </c>
    </row>
    <row r="6">
      <c r="A6" s="1" t="n"/>
      <c r="B6" s="5" t="inlineStr">
        <is>
          <t>B</t>
        </is>
      </c>
      <c r="C6" s="5" t="inlineStr">
        <is>
          <t>Nails by Ana</t>
        </is>
      </c>
      <c r="D6" s="16" t="n">
        <v>1200</v>
      </c>
      <c r="E6" s="5" t="inlineStr">
        <is>
          <t>Occupied</t>
        </is>
      </c>
      <c r="F6" s="16" t="n">
        <v>1</v>
      </c>
      <c r="G6" s="18" t="n">
        <v>22</v>
      </c>
      <c r="H6" s="18" t="n">
        <v>24</v>
      </c>
      <c r="I6" s="14" t="n">
        <v>0.02</v>
      </c>
      <c r="J6" s="18" t="n">
        <v>5.25</v>
      </c>
      <c r="K6" s="7">
        <f>IF(E6="Vacant",0,D6*G6)</f>
        <v/>
      </c>
      <c r="L6" s="5" t="inlineStr">
        <is>
          <t>roll soon</t>
        </is>
      </c>
    </row>
    <row r="7">
      <c r="A7" s="1" t="n"/>
      <c r="B7" s="5" t="inlineStr">
        <is>
          <t>C</t>
        </is>
      </c>
      <c r="C7" s="5" t="inlineStr">
        <is>
          <t>Town Wash</t>
        </is>
      </c>
      <c r="D7" s="16" t="n">
        <v>2200</v>
      </c>
      <c r="E7" s="5" t="inlineStr">
        <is>
          <t>Occupied</t>
        </is>
      </c>
      <c r="F7" s="16" t="n">
        <v>4</v>
      </c>
      <c r="G7" s="18" t="n">
        <v>18</v>
      </c>
      <c r="H7" s="18" t="n">
        <v>20</v>
      </c>
      <c r="I7" s="14" t="n">
        <v>0.02</v>
      </c>
      <c r="J7" s="18" t="n">
        <v>4.75</v>
      </c>
      <c r="K7" s="7">
        <f>IF(E7="Vacant",0,D7*G7)</f>
        <v/>
      </c>
      <c r="L7" s="5" t="inlineStr"/>
    </row>
    <row r="8">
      <c r="A8" s="1" t="n"/>
      <c r="B8" s="5" t="inlineStr">
        <is>
          <t>D</t>
        </is>
      </c>
      <c r="C8" s="5" t="inlineStr">
        <is>
          <t>Metro PCS</t>
        </is>
      </c>
      <c r="D8" s="16" t="n">
        <v>1000</v>
      </c>
      <c r="E8" s="5" t="inlineStr">
        <is>
          <t>Occupied</t>
        </is>
      </c>
      <c r="F8" s="16" t="n">
        <v>2</v>
      </c>
      <c r="G8" s="18" t="n">
        <v>28</v>
      </c>
      <c r="H8" s="18" t="n">
        <v>30</v>
      </c>
      <c r="I8" s="14" t="n">
        <v>0.03</v>
      </c>
      <c r="J8" s="18" t="n">
        <v>6</v>
      </c>
      <c r="K8" s="7">
        <f>IF(E8="Vacant",0,D8*G8)</f>
        <v/>
      </c>
      <c r="L8" s="5" t="inlineStr"/>
    </row>
    <row r="9">
      <c r="A9" s="1" t="n"/>
      <c r="B9" s="5" t="inlineStr">
        <is>
          <t>E</t>
        </is>
      </c>
      <c r="C9" s="5" t="inlineStr">
        <is>
          <t>Thread Local</t>
        </is>
      </c>
      <c r="D9" s="16" t="n">
        <v>1400</v>
      </c>
      <c r="E9" s="5" t="inlineStr">
        <is>
          <t>Occupied</t>
        </is>
      </c>
      <c r="F9" s="16" t="n">
        <v>5</v>
      </c>
      <c r="G9" s="18" t="n">
        <v>23</v>
      </c>
      <c r="H9" s="18" t="n">
        <v>25</v>
      </c>
      <c r="I9" s="14" t="n">
        <v>0.025</v>
      </c>
      <c r="J9" s="18" t="n">
        <v>5.25</v>
      </c>
      <c r="K9" s="7">
        <f>IF(E9="Vacant",0,D9*G9)</f>
        <v/>
      </c>
      <c r="L9" s="5" t="inlineStr"/>
    </row>
    <row r="10">
      <c r="A10" s="1" t="n"/>
      <c r="B10" s="5" t="inlineStr">
        <is>
          <t>F</t>
        </is>
      </c>
      <c r="C10" s="5" t="inlineStr">
        <is>
          <t>(Vacant)</t>
        </is>
      </c>
      <c r="D10" s="16" t="n">
        <v>1600</v>
      </c>
      <c r="E10" s="5" t="inlineStr">
        <is>
          <t>Vacant</t>
        </is>
      </c>
      <c r="F10" s="16" t="n">
        <v>1</v>
      </c>
      <c r="G10" s="18" t="n">
        <v>0</v>
      </c>
      <c r="H10" s="18" t="n">
        <v>24</v>
      </c>
      <c r="I10" s="14" t="n">
        <v>0</v>
      </c>
      <c r="J10" s="18" t="n">
        <v>5.25</v>
      </c>
      <c r="K10" s="7">
        <f>IF(E10="Vacant",0,D10*G10)</f>
        <v/>
      </c>
      <c r="L10" s="5" t="inlineStr">
        <is>
          <t>Former salon</t>
        </is>
      </c>
    </row>
  </sheetData>
  <dataValidations count="2">
    <dataValidation sqref="E5:E10" showDropDown="0" showInputMessage="0" showErrorMessage="0" allowBlank="0" type="list">
      <formula1>"Occupied,Vacant,MTM"</formula1>
    </dataValidation>
    <dataValidation sqref="F5:F10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2" max="2"/>
    <col width="10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2" t="inlineStr">
        <is>
          <t>Lease Rollover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1" t="n"/>
      <c r="B4" s="3" t="inlineStr">
        <is>
          <t>Base Rent by Suite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>
      <c r="A5" s="1" t="n"/>
      <c r="B5" s="17" t="inlineStr">
        <is>
          <t>Suite</t>
        </is>
      </c>
      <c r="C5" s="17" t="inlineStr">
        <is>
          <t>SqFt</t>
        </is>
      </c>
      <c r="D5" s="17" t="inlineStr">
        <is>
          <t>Status</t>
        </is>
      </c>
      <c r="E5" s="17" t="inlineStr">
        <is>
          <t>Roll Year</t>
        </is>
      </c>
      <c r="F5" s="17" t="inlineStr">
        <is>
          <t>In-Place Rent</t>
        </is>
      </c>
      <c r="G5" s="17" t="inlineStr">
        <is>
          <t>Market Rent</t>
        </is>
      </c>
      <c r="H5" s="17" t="inlineStr">
        <is>
          <t>Escalator</t>
        </is>
      </c>
      <c r="I5" s="17" t="inlineStr">
        <is>
          <t>Downtime</t>
        </is>
      </c>
      <c r="J5" s="17" t="inlineStr">
        <is>
          <t>Year 1</t>
        </is>
      </c>
      <c r="K5" s="17" t="inlineStr">
        <is>
          <t>Year 2</t>
        </is>
      </c>
      <c r="L5" s="17" t="inlineStr">
        <is>
          <t>Year 3</t>
        </is>
      </c>
      <c r="M5" s="17" t="inlineStr">
        <is>
          <t>Year 4</t>
        </is>
      </c>
      <c r="N5" s="17" t="inlineStr">
        <is>
          <t>Year 5</t>
        </is>
      </c>
    </row>
    <row r="6">
      <c r="A6" s="1" t="n"/>
      <c r="B6" s="19">
        <f>'Rent Roll'!B5</f>
        <v/>
      </c>
      <c r="C6" s="8">
        <f>'Rent Roll'!D5</f>
        <v/>
      </c>
      <c r="D6" s="19">
        <f>'Rent Roll'!E5</f>
        <v/>
      </c>
      <c r="E6" s="8">
        <f>'Rent Roll'!F5</f>
        <v/>
      </c>
      <c r="F6" s="10">
        <f>'Rent Roll'!G5</f>
        <v/>
      </c>
      <c r="G6" s="10">
        <f>'Rent Roll'!H5</f>
        <v/>
      </c>
      <c r="H6" s="9">
        <f>'Rent Roll'!I5</f>
        <v/>
      </c>
      <c r="I6" s="8">
        <f>'Center Overview'!$C$30</f>
        <v/>
      </c>
      <c r="J6" s="7">
        <f>IF($D6="Vacant",IF(1=1,$C6*$G6*(12-$I6)/12,$C6*$G6*(1+'Center Overview'!$C$28)^(1-1)),IF(1&lt;$E6,$C6*$F6*(1+$H6)^(1-1),IF(1=$E6,$C6*$G6*(1+'Center Overview'!$C$28)^(1-1)*(12-$I6)/12,$C6*$G6*(1+'Center Overview'!$C$28)^(1-1))))</f>
        <v/>
      </c>
      <c r="K6" s="7">
        <f>IF($D6="Vacant",IF(2=1,$C6*$G6*(12-$I6)/12,$C6*$G6*(1+'Center Overview'!$C$28)^(2-1)),IF(2&lt;$E6,$C6*$F6*(1+$H6)^(2-1),IF(2=$E6,$C6*$G6*(1+'Center Overview'!$C$28)^(2-1)*(12-$I6)/12,$C6*$G6*(1+'Center Overview'!$C$28)^(2-1))))</f>
        <v/>
      </c>
      <c r="L6" s="7">
        <f>IF($D6="Vacant",IF(3=1,$C6*$G6*(12-$I6)/12,$C6*$G6*(1+'Center Overview'!$C$28)^(3-1)),IF(3&lt;$E6,$C6*$F6*(1+$H6)^(3-1),IF(3=$E6,$C6*$G6*(1+'Center Overview'!$C$28)^(3-1)*(12-$I6)/12,$C6*$G6*(1+'Center Overview'!$C$28)^(3-1))))</f>
        <v/>
      </c>
      <c r="M6" s="7">
        <f>IF($D6="Vacant",IF(4=1,$C6*$G6*(12-$I6)/12,$C6*$G6*(1+'Center Overview'!$C$28)^(4-1)),IF(4&lt;$E6,$C6*$F6*(1+$H6)^(4-1),IF(4=$E6,$C6*$G6*(1+'Center Overview'!$C$28)^(4-1)*(12-$I6)/12,$C6*$G6*(1+'Center Overview'!$C$28)^(4-1))))</f>
        <v/>
      </c>
      <c r="N6" s="7">
        <f>IF($D6="Vacant",IF(5=1,$C6*$G6*(12-$I6)/12,$C6*$G6*(1+'Center Overview'!$C$28)^(5-1)),IF(5&lt;$E6,$C6*$F6*(1+$H6)^(5-1),IF(5=$E6,$C6*$G6*(1+'Center Overview'!$C$28)^(5-1)*(12-$I6)/12,$C6*$G6*(1+'Center Overview'!$C$28)^(5-1))))</f>
        <v/>
      </c>
    </row>
    <row r="7">
      <c r="A7" s="1" t="n"/>
      <c r="B7" s="19">
        <f>'Rent Roll'!B6</f>
        <v/>
      </c>
      <c r="C7" s="8">
        <f>'Rent Roll'!D6</f>
        <v/>
      </c>
      <c r="D7" s="19">
        <f>'Rent Roll'!E6</f>
        <v/>
      </c>
      <c r="E7" s="8">
        <f>'Rent Roll'!F6</f>
        <v/>
      </c>
      <c r="F7" s="10">
        <f>'Rent Roll'!G6</f>
        <v/>
      </c>
      <c r="G7" s="10">
        <f>'Rent Roll'!H6</f>
        <v/>
      </c>
      <c r="H7" s="9">
        <f>'Rent Roll'!I6</f>
        <v/>
      </c>
      <c r="I7" s="8">
        <f>'Center Overview'!$C$30</f>
        <v/>
      </c>
      <c r="J7" s="7">
        <f>IF($D7="Vacant",IF(1=1,$C7*$G7*(12-$I7)/12,$C7*$G7*(1+'Center Overview'!$C$28)^(1-1)),IF(1&lt;$E7,$C7*$F7*(1+$H7)^(1-1),IF(1=$E7,$C7*$G7*(1+'Center Overview'!$C$28)^(1-1)*(12-$I7)/12,$C7*$G7*(1+'Center Overview'!$C$28)^(1-1))))</f>
        <v/>
      </c>
      <c r="K7" s="7">
        <f>IF($D7="Vacant",IF(2=1,$C7*$G7*(12-$I7)/12,$C7*$G7*(1+'Center Overview'!$C$28)^(2-1)),IF(2&lt;$E7,$C7*$F7*(1+$H7)^(2-1),IF(2=$E7,$C7*$G7*(1+'Center Overview'!$C$28)^(2-1)*(12-$I7)/12,$C7*$G7*(1+'Center Overview'!$C$28)^(2-1))))</f>
        <v/>
      </c>
      <c r="L7" s="7">
        <f>IF($D7="Vacant",IF(3=1,$C7*$G7*(12-$I7)/12,$C7*$G7*(1+'Center Overview'!$C$28)^(3-1)),IF(3&lt;$E7,$C7*$F7*(1+$H7)^(3-1),IF(3=$E7,$C7*$G7*(1+'Center Overview'!$C$28)^(3-1)*(12-$I7)/12,$C7*$G7*(1+'Center Overview'!$C$28)^(3-1))))</f>
        <v/>
      </c>
      <c r="M7" s="7">
        <f>IF($D7="Vacant",IF(4=1,$C7*$G7*(12-$I7)/12,$C7*$G7*(1+'Center Overview'!$C$28)^(4-1)),IF(4&lt;$E7,$C7*$F7*(1+$H7)^(4-1),IF(4=$E7,$C7*$G7*(1+'Center Overview'!$C$28)^(4-1)*(12-$I7)/12,$C7*$G7*(1+'Center Overview'!$C$28)^(4-1))))</f>
        <v/>
      </c>
      <c r="N7" s="7">
        <f>IF($D7="Vacant",IF(5=1,$C7*$G7*(12-$I7)/12,$C7*$G7*(1+'Center Overview'!$C$28)^(5-1)),IF(5&lt;$E7,$C7*$F7*(1+$H7)^(5-1),IF(5=$E7,$C7*$G7*(1+'Center Overview'!$C$28)^(5-1)*(12-$I7)/12,$C7*$G7*(1+'Center Overview'!$C$28)^(5-1))))</f>
        <v/>
      </c>
    </row>
    <row r="8">
      <c r="A8" s="1" t="n"/>
      <c r="B8" s="19">
        <f>'Rent Roll'!B7</f>
        <v/>
      </c>
      <c r="C8" s="8">
        <f>'Rent Roll'!D7</f>
        <v/>
      </c>
      <c r="D8" s="19">
        <f>'Rent Roll'!E7</f>
        <v/>
      </c>
      <c r="E8" s="8">
        <f>'Rent Roll'!F7</f>
        <v/>
      </c>
      <c r="F8" s="10">
        <f>'Rent Roll'!G7</f>
        <v/>
      </c>
      <c r="G8" s="10">
        <f>'Rent Roll'!H7</f>
        <v/>
      </c>
      <c r="H8" s="9">
        <f>'Rent Roll'!I7</f>
        <v/>
      </c>
      <c r="I8" s="8">
        <f>'Center Overview'!$C$30</f>
        <v/>
      </c>
      <c r="J8" s="7">
        <f>IF($D8="Vacant",IF(1=1,$C8*$G8*(12-$I8)/12,$C8*$G8*(1+'Center Overview'!$C$28)^(1-1)),IF(1&lt;$E8,$C8*$F8*(1+$H8)^(1-1),IF(1=$E8,$C8*$G8*(1+'Center Overview'!$C$28)^(1-1)*(12-$I8)/12,$C8*$G8*(1+'Center Overview'!$C$28)^(1-1))))</f>
        <v/>
      </c>
      <c r="K8" s="7">
        <f>IF($D8="Vacant",IF(2=1,$C8*$G8*(12-$I8)/12,$C8*$G8*(1+'Center Overview'!$C$28)^(2-1)),IF(2&lt;$E8,$C8*$F8*(1+$H8)^(2-1),IF(2=$E8,$C8*$G8*(1+'Center Overview'!$C$28)^(2-1)*(12-$I8)/12,$C8*$G8*(1+'Center Overview'!$C$28)^(2-1))))</f>
        <v/>
      </c>
      <c r="L8" s="7">
        <f>IF($D8="Vacant",IF(3=1,$C8*$G8*(12-$I8)/12,$C8*$G8*(1+'Center Overview'!$C$28)^(3-1)),IF(3&lt;$E8,$C8*$F8*(1+$H8)^(3-1),IF(3=$E8,$C8*$G8*(1+'Center Overview'!$C$28)^(3-1)*(12-$I8)/12,$C8*$G8*(1+'Center Overview'!$C$28)^(3-1))))</f>
        <v/>
      </c>
      <c r="M8" s="7">
        <f>IF($D8="Vacant",IF(4=1,$C8*$G8*(12-$I8)/12,$C8*$G8*(1+'Center Overview'!$C$28)^(4-1)),IF(4&lt;$E8,$C8*$F8*(1+$H8)^(4-1),IF(4=$E8,$C8*$G8*(1+'Center Overview'!$C$28)^(4-1)*(12-$I8)/12,$C8*$G8*(1+'Center Overview'!$C$28)^(4-1))))</f>
        <v/>
      </c>
      <c r="N8" s="7">
        <f>IF($D8="Vacant",IF(5=1,$C8*$G8*(12-$I8)/12,$C8*$G8*(1+'Center Overview'!$C$28)^(5-1)),IF(5&lt;$E8,$C8*$F8*(1+$H8)^(5-1),IF(5=$E8,$C8*$G8*(1+'Center Overview'!$C$28)^(5-1)*(12-$I8)/12,$C8*$G8*(1+'Center Overview'!$C$28)^(5-1))))</f>
        <v/>
      </c>
    </row>
    <row r="9">
      <c r="A9" s="1" t="n"/>
      <c r="B9" s="19">
        <f>'Rent Roll'!B8</f>
        <v/>
      </c>
      <c r="C9" s="8">
        <f>'Rent Roll'!D8</f>
        <v/>
      </c>
      <c r="D9" s="19">
        <f>'Rent Roll'!E8</f>
        <v/>
      </c>
      <c r="E9" s="8">
        <f>'Rent Roll'!F8</f>
        <v/>
      </c>
      <c r="F9" s="10">
        <f>'Rent Roll'!G8</f>
        <v/>
      </c>
      <c r="G9" s="10">
        <f>'Rent Roll'!H8</f>
        <v/>
      </c>
      <c r="H9" s="9">
        <f>'Rent Roll'!I8</f>
        <v/>
      </c>
      <c r="I9" s="8">
        <f>'Center Overview'!$C$30</f>
        <v/>
      </c>
      <c r="J9" s="7">
        <f>IF($D9="Vacant",IF(1=1,$C9*$G9*(12-$I9)/12,$C9*$G9*(1+'Center Overview'!$C$28)^(1-1)),IF(1&lt;$E9,$C9*$F9*(1+$H9)^(1-1),IF(1=$E9,$C9*$G9*(1+'Center Overview'!$C$28)^(1-1)*(12-$I9)/12,$C9*$G9*(1+'Center Overview'!$C$28)^(1-1))))</f>
        <v/>
      </c>
      <c r="K9" s="7">
        <f>IF($D9="Vacant",IF(2=1,$C9*$G9*(12-$I9)/12,$C9*$G9*(1+'Center Overview'!$C$28)^(2-1)),IF(2&lt;$E9,$C9*$F9*(1+$H9)^(2-1),IF(2=$E9,$C9*$G9*(1+'Center Overview'!$C$28)^(2-1)*(12-$I9)/12,$C9*$G9*(1+'Center Overview'!$C$28)^(2-1))))</f>
        <v/>
      </c>
      <c r="L9" s="7">
        <f>IF($D9="Vacant",IF(3=1,$C9*$G9*(12-$I9)/12,$C9*$G9*(1+'Center Overview'!$C$28)^(3-1)),IF(3&lt;$E9,$C9*$F9*(1+$H9)^(3-1),IF(3=$E9,$C9*$G9*(1+'Center Overview'!$C$28)^(3-1)*(12-$I9)/12,$C9*$G9*(1+'Center Overview'!$C$28)^(3-1))))</f>
        <v/>
      </c>
      <c r="M9" s="7">
        <f>IF($D9="Vacant",IF(4=1,$C9*$G9*(12-$I9)/12,$C9*$G9*(1+'Center Overview'!$C$28)^(4-1)),IF(4&lt;$E9,$C9*$F9*(1+$H9)^(4-1),IF(4=$E9,$C9*$G9*(1+'Center Overview'!$C$28)^(4-1)*(12-$I9)/12,$C9*$G9*(1+'Center Overview'!$C$28)^(4-1))))</f>
        <v/>
      </c>
      <c r="N9" s="7">
        <f>IF($D9="Vacant",IF(5=1,$C9*$G9*(12-$I9)/12,$C9*$G9*(1+'Center Overview'!$C$28)^(5-1)),IF(5&lt;$E9,$C9*$F9*(1+$H9)^(5-1),IF(5=$E9,$C9*$G9*(1+'Center Overview'!$C$28)^(5-1)*(12-$I9)/12,$C9*$G9*(1+'Center Overview'!$C$28)^(5-1))))</f>
        <v/>
      </c>
    </row>
    <row r="10">
      <c r="A10" s="1" t="n"/>
      <c r="B10" s="19">
        <f>'Rent Roll'!B9</f>
        <v/>
      </c>
      <c r="C10" s="8">
        <f>'Rent Roll'!D9</f>
        <v/>
      </c>
      <c r="D10" s="19">
        <f>'Rent Roll'!E9</f>
        <v/>
      </c>
      <c r="E10" s="8">
        <f>'Rent Roll'!F9</f>
        <v/>
      </c>
      <c r="F10" s="10">
        <f>'Rent Roll'!G9</f>
        <v/>
      </c>
      <c r="G10" s="10">
        <f>'Rent Roll'!H9</f>
        <v/>
      </c>
      <c r="H10" s="9">
        <f>'Rent Roll'!I9</f>
        <v/>
      </c>
      <c r="I10" s="8">
        <f>'Center Overview'!$C$30</f>
        <v/>
      </c>
      <c r="J10" s="7">
        <f>IF($D10="Vacant",IF(1=1,$C10*$G10*(12-$I10)/12,$C10*$G10*(1+'Center Overview'!$C$28)^(1-1)),IF(1&lt;$E10,$C10*$F10*(1+$H10)^(1-1),IF(1=$E10,$C10*$G10*(1+'Center Overview'!$C$28)^(1-1)*(12-$I10)/12,$C10*$G10*(1+'Center Overview'!$C$28)^(1-1))))</f>
        <v/>
      </c>
      <c r="K10" s="7">
        <f>IF($D10="Vacant",IF(2=1,$C10*$G10*(12-$I10)/12,$C10*$G10*(1+'Center Overview'!$C$28)^(2-1)),IF(2&lt;$E10,$C10*$F10*(1+$H10)^(2-1),IF(2=$E10,$C10*$G10*(1+'Center Overview'!$C$28)^(2-1)*(12-$I10)/12,$C10*$G10*(1+'Center Overview'!$C$28)^(2-1))))</f>
        <v/>
      </c>
      <c r="L10" s="7">
        <f>IF($D10="Vacant",IF(3=1,$C10*$G10*(12-$I10)/12,$C10*$G10*(1+'Center Overview'!$C$28)^(3-1)),IF(3&lt;$E10,$C10*$F10*(1+$H10)^(3-1),IF(3=$E10,$C10*$G10*(1+'Center Overview'!$C$28)^(3-1)*(12-$I10)/12,$C10*$G10*(1+'Center Overview'!$C$28)^(3-1))))</f>
        <v/>
      </c>
      <c r="M10" s="7">
        <f>IF($D10="Vacant",IF(4=1,$C10*$G10*(12-$I10)/12,$C10*$G10*(1+'Center Overview'!$C$28)^(4-1)),IF(4&lt;$E10,$C10*$F10*(1+$H10)^(4-1),IF(4=$E10,$C10*$G10*(1+'Center Overview'!$C$28)^(4-1)*(12-$I10)/12,$C10*$G10*(1+'Center Overview'!$C$28)^(4-1))))</f>
        <v/>
      </c>
      <c r="N10" s="7">
        <f>IF($D10="Vacant",IF(5=1,$C10*$G10*(12-$I10)/12,$C10*$G10*(1+'Center Overview'!$C$28)^(5-1)),IF(5&lt;$E10,$C10*$F10*(1+$H10)^(5-1),IF(5=$E10,$C10*$G10*(1+'Center Overview'!$C$28)^(5-1)*(12-$I10)/12,$C10*$G10*(1+'Center Overview'!$C$28)^(5-1))))</f>
        <v/>
      </c>
    </row>
    <row r="11">
      <c r="A11" s="1" t="n"/>
      <c r="B11" s="19">
        <f>'Rent Roll'!B10</f>
        <v/>
      </c>
      <c r="C11" s="8">
        <f>'Rent Roll'!D10</f>
        <v/>
      </c>
      <c r="D11" s="19">
        <f>'Rent Roll'!E10</f>
        <v/>
      </c>
      <c r="E11" s="8">
        <f>'Rent Roll'!F10</f>
        <v/>
      </c>
      <c r="F11" s="10">
        <f>'Rent Roll'!G10</f>
        <v/>
      </c>
      <c r="G11" s="10">
        <f>'Rent Roll'!H10</f>
        <v/>
      </c>
      <c r="H11" s="9">
        <f>'Rent Roll'!I10</f>
        <v/>
      </c>
      <c r="I11" s="8">
        <f>'Center Overview'!$C$30</f>
        <v/>
      </c>
      <c r="J11" s="7">
        <f>IF($D11="Vacant",IF(1=1,$C11*$G11*(12-$I11)/12,$C11*$G11*(1+'Center Overview'!$C$28)^(1-1)),IF(1&lt;$E11,$C11*$F11*(1+$H11)^(1-1),IF(1=$E11,$C11*$G11*(1+'Center Overview'!$C$28)^(1-1)*(12-$I11)/12,$C11*$G11*(1+'Center Overview'!$C$28)^(1-1))))</f>
        <v/>
      </c>
      <c r="K11" s="7">
        <f>IF($D11="Vacant",IF(2=1,$C11*$G11*(12-$I11)/12,$C11*$G11*(1+'Center Overview'!$C$28)^(2-1)),IF(2&lt;$E11,$C11*$F11*(1+$H11)^(2-1),IF(2=$E11,$C11*$G11*(1+'Center Overview'!$C$28)^(2-1)*(12-$I11)/12,$C11*$G11*(1+'Center Overview'!$C$28)^(2-1))))</f>
        <v/>
      </c>
      <c r="L11" s="7">
        <f>IF($D11="Vacant",IF(3=1,$C11*$G11*(12-$I11)/12,$C11*$G11*(1+'Center Overview'!$C$28)^(3-1)),IF(3&lt;$E11,$C11*$F11*(1+$H11)^(3-1),IF(3=$E11,$C11*$G11*(1+'Center Overview'!$C$28)^(3-1)*(12-$I11)/12,$C11*$G11*(1+'Center Overview'!$C$28)^(3-1))))</f>
        <v/>
      </c>
      <c r="M11" s="7">
        <f>IF($D11="Vacant",IF(4=1,$C11*$G11*(12-$I11)/12,$C11*$G11*(1+'Center Overview'!$C$28)^(4-1)),IF(4&lt;$E11,$C11*$F11*(1+$H11)^(4-1),IF(4=$E11,$C11*$G11*(1+'Center Overview'!$C$28)^(4-1)*(12-$I11)/12,$C11*$G11*(1+'Center Overview'!$C$28)^(4-1))))</f>
        <v/>
      </c>
      <c r="N11" s="7">
        <f>IF($D11="Vacant",IF(5=1,$C11*$G11*(12-$I11)/12,$C11*$G11*(1+'Center Overview'!$C$28)^(5-1)),IF(5&lt;$E11,$C11*$F11*(1+$H11)^(5-1),IF(5=$E11,$C11*$G11*(1+'Center Overview'!$C$28)^(5-1)*(12-$I11)/12,$C11*$G11*(1+'Center Overview'!$C$28)^(5-1))))</f>
        <v/>
      </c>
    </row>
    <row r="12">
      <c r="A12" s="1" t="n"/>
      <c r="B12" s="20" t="inlineStr">
        <is>
          <t>Total Base Rent</t>
        </is>
      </c>
      <c r="C12" s="1" t="n"/>
      <c r="D12" s="1" t="n"/>
      <c r="E12" s="1" t="n"/>
      <c r="F12" s="1" t="n"/>
      <c r="G12" s="1" t="n"/>
      <c r="H12" s="1" t="n"/>
      <c r="I12" s="1" t="n"/>
      <c r="J12" s="21">
        <f>SUM(J6:J11)</f>
        <v/>
      </c>
      <c r="K12" s="21">
        <f>SUM(K6:K11)</f>
        <v/>
      </c>
      <c r="L12" s="21">
        <f>SUM(L6:L11)</f>
        <v/>
      </c>
      <c r="M12" s="21">
        <f>SUM(M6:M11)</f>
        <v/>
      </c>
      <c r="N12" s="21">
        <f>SUM(N6:N11)</f>
        <v/>
      </c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" t="n"/>
      <c r="B14" s="3" t="inlineStr">
        <is>
          <t>CAM Recovery by Suite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</row>
    <row r="15">
      <c r="A15" s="1" t="n"/>
      <c r="B15" s="17" t="inlineStr">
        <is>
          <t>Suite</t>
        </is>
      </c>
      <c r="C15" s="17" t="inlineStr">
        <is>
          <t>SqFt</t>
        </is>
      </c>
      <c r="D15" s="17" t="inlineStr">
        <is>
          <t>Status</t>
        </is>
      </c>
      <c r="E15" s="17" t="inlineStr">
        <is>
          <t>Roll Year</t>
        </is>
      </c>
      <c r="F15" s="17" t="inlineStr">
        <is>
          <t>CAM / SqFt</t>
        </is>
      </c>
      <c r="G15" s="17" t="inlineStr">
        <is>
          <t>Downtime</t>
        </is>
      </c>
      <c r="H15" s="17" t="inlineStr">
        <is>
          <t>Year 1</t>
        </is>
      </c>
      <c r="I15" s="17" t="inlineStr">
        <is>
          <t>Year 2</t>
        </is>
      </c>
      <c r="J15" s="17" t="inlineStr">
        <is>
          <t>Year 3</t>
        </is>
      </c>
      <c r="K15" s="17" t="inlineStr">
        <is>
          <t>Year 4</t>
        </is>
      </c>
      <c r="L15" s="17" t="inlineStr">
        <is>
          <t>Year 5</t>
        </is>
      </c>
      <c r="M15" s="1" t="n"/>
      <c r="N15" s="1" t="n"/>
    </row>
    <row r="16">
      <c r="A16" s="1" t="n"/>
      <c r="B16" s="19">
        <f>'Rent Roll'!B5</f>
        <v/>
      </c>
      <c r="C16" s="8">
        <f>'Rent Roll'!D5</f>
        <v/>
      </c>
      <c r="D16" s="19">
        <f>'Rent Roll'!E5</f>
        <v/>
      </c>
      <c r="E16" s="8">
        <f>'Rent Roll'!F5</f>
        <v/>
      </c>
      <c r="F16" s="10">
        <f>'Rent Roll'!J5</f>
        <v/>
      </c>
      <c r="G16" s="8">
        <f>'Center Overview'!$C$30</f>
        <v/>
      </c>
      <c r="H16" s="7">
        <f>IF($D16="Vacant",IF(1=1,$C16*$F16*(12-$G16)/12,$C16*$F16*(1+'Center Overview'!$C$45)^(1-1)),IF(1&lt;$E16,$C16*$F16*(1+'Center Overview'!$C$45)^(1-1),IF(1=$E16,$C16*$F16*(1+'Center Overview'!$C$45)^(1-1)*(12-$G16)/12,$C16*$F16*(1+'Center Overview'!$C$45)^(1-1))))</f>
        <v/>
      </c>
      <c r="I16" s="7">
        <f>IF($D16="Vacant",IF(2=1,$C16*$F16*(12-$G16)/12,$C16*$F16*(1+'Center Overview'!$C$45)^(2-1)),IF(2&lt;$E16,$C16*$F16*(1+'Center Overview'!$C$45)^(2-1),IF(2=$E16,$C16*$F16*(1+'Center Overview'!$C$45)^(2-1)*(12-$G16)/12,$C16*$F16*(1+'Center Overview'!$C$45)^(2-1))))</f>
        <v/>
      </c>
      <c r="J16" s="7">
        <f>IF($D16="Vacant",IF(3=1,$C16*$F16*(12-$G16)/12,$C16*$F16*(1+'Center Overview'!$C$45)^(3-1)),IF(3&lt;$E16,$C16*$F16*(1+'Center Overview'!$C$45)^(3-1),IF(3=$E16,$C16*$F16*(1+'Center Overview'!$C$45)^(3-1)*(12-$G16)/12,$C16*$F16*(1+'Center Overview'!$C$45)^(3-1))))</f>
        <v/>
      </c>
      <c r="K16" s="7">
        <f>IF($D16="Vacant",IF(4=1,$C16*$F16*(12-$G16)/12,$C16*$F16*(1+'Center Overview'!$C$45)^(4-1)),IF(4&lt;$E16,$C16*$F16*(1+'Center Overview'!$C$45)^(4-1),IF(4=$E16,$C16*$F16*(1+'Center Overview'!$C$45)^(4-1)*(12-$G16)/12,$C16*$F16*(1+'Center Overview'!$C$45)^(4-1))))</f>
        <v/>
      </c>
      <c r="L16" s="7">
        <f>IF($D16="Vacant",IF(5=1,$C16*$F16*(12-$G16)/12,$C16*$F16*(1+'Center Overview'!$C$45)^(5-1)),IF(5&lt;$E16,$C16*$F16*(1+'Center Overview'!$C$45)^(5-1),IF(5=$E16,$C16*$F16*(1+'Center Overview'!$C$45)^(5-1)*(12-$G16)/12,$C16*$F16*(1+'Center Overview'!$C$45)^(5-1))))</f>
        <v/>
      </c>
      <c r="M16" s="1" t="n"/>
      <c r="N16" s="1" t="n"/>
    </row>
    <row r="17">
      <c r="A17" s="1" t="n"/>
      <c r="B17" s="19">
        <f>'Rent Roll'!B6</f>
        <v/>
      </c>
      <c r="C17" s="8">
        <f>'Rent Roll'!D6</f>
        <v/>
      </c>
      <c r="D17" s="19">
        <f>'Rent Roll'!E6</f>
        <v/>
      </c>
      <c r="E17" s="8">
        <f>'Rent Roll'!F6</f>
        <v/>
      </c>
      <c r="F17" s="10">
        <f>'Rent Roll'!J6</f>
        <v/>
      </c>
      <c r="G17" s="8">
        <f>'Center Overview'!$C$30</f>
        <v/>
      </c>
      <c r="H17" s="7">
        <f>IF($D17="Vacant",IF(1=1,$C17*$F17*(12-$G17)/12,$C17*$F17*(1+'Center Overview'!$C$45)^(1-1)),IF(1&lt;$E17,$C17*$F17*(1+'Center Overview'!$C$45)^(1-1),IF(1=$E17,$C17*$F17*(1+'Center Overview'!$C$45)^(1-1)*(12-$G17)/12,$C17*$F17*(1+'Center Overview'!$C$45)^(1-1))))</f>
        <v/>
      </c>
      <c r="I17" s="7">
        <f>IF($D17="Vacant",IF(2=1,$C17*$F17*(12-$G17)/12,$C17*$F17*(1+'Center Overview'!$C$45)^(2-1)),IF(2&lt;$E17,$C17*$F17*(1+'Center Overview'!$C$45)^(2-1),IF(2=$E17,$C17*$F17*(1+'Center Overview'!$C$45)^(2-1)*(12-$G17)/12,$C17*$F17*(1+'Center Overview'!$C$45)^(2-1))))</f>
        <v/>
      </c>
      <c r="J17" s="7">
        <f>IF($D17="Vacant",IF(3=1,$C17*$F17*(12-$G17)/12,$C17*$F17*(1+'Center Overview'!$C$45)^(3-1)),IF(3&lt;$E17,$C17*$F17*(1+'Center Overview'!$C$45)^(3-1),IF(3=$E17,$C17*$F17*(1+'Center Overview'!$C$45)^(3-1)*(12-$G17)/12,$C17*$F17*(1+'Center Overview'!$C$45)^(3-1))))</f>
        <v/>
      </c>
      <c r="K17" s="7">
        <f>IF($D17="Vacant",IF(4=1,$C17*$F17*(12-$G17)/12,$C17*$F17*(1+'Center Overview'!$C$45)^(4-1)),IF(4&lt;$E17,$C17*$F17*(1+'Center Overview'!$C$45)^(4-1),IF(4=$E17,$C17*$F17*(1+'Center Overview'!$C$45)^(4-1)*(12-$G17)/12,$C17*$F17*(1+'Center Overview'!$C$45)^(4-1))))</f>
        <v/>
      </c>
      <c r="L17" s="7">
        <f>IF($D17="Vacant",IF(5=1,$C17*$F17*(12-$G17)/12,$C17*$F17*(1+'Center Overview'!$C$45)^(5-1)),IF(5&lt;$E17,$C17*$F17*(1+'Center Overview'!$C$45)^(5-1),IF(5=$E17,$C17*$F17*(1+'Center Overview'!$C$45)^(5-1)*(12-$G17)/12,$C17*$F17*(1+'Center Overview'!$C$45)^(5-1))))</f>
        <v/>
      </c>
      <c r="M17" s="1" t="n"/>
      <c r="N17" s="1" t="n"/>
    </row>
    <row r="18">
      <c r="A18" s="1" t="n"/>
      <c r="B18" s="19">
        <f>'Rent Roll'!B7</f>
        <v/>
      </c>
      <c r="C18" s="8">
        <f>'Rent Roll'!D7</f>
        <v/>
      </c>
      <c r="D18" s="19">
        <f>'Rent Roll'!E7</f>
        <v/>
      </c>
      <c r="E18" s="8">
        <f>'Rent Roll'!F7</f>
        <v/>
      </c>
      <c r="F18" s="10">
        <f>'Rent Roll'!J7</f>
        <v/>
      </c>
      <c r="G18" s="8">
        <f>'Center Overview'!$C$30</f>
        <v/>
      </c>
      <c r="H18" s="7">
        <f>IF($D18="Vacant",IF(1=1,$C18*$F18*(12-$G18)/12,$C18*$F18*(1+'Center Overview'!$C$45)^(1-1)),IF(1&lt;$E18,$C18*$F18*(1+'Center Overview'!$C$45)^(1-1),IF(1=$E18,$C18*$F18*(1+'Center Overview'!$C$45)^(1-1)*(12-$G18)/12,$C18*$F18*(1+'Center Overview'!$C$45)^(1-1))))</f>
        <v/>
      </c>
      <c r="I18" s="7">
        <f>IF($D18="Vacant",IF(2=1,$C18*$F18*(12-$G18)/12,$C18*$F18*(1+'Center Overview'!$C$45)^(2-1)),IF(2&lt;$E18,$C18*$F18*(1+'Center Overview'!$C$45)^(2-1),IF(2=$E18,$C18*$F18*(1+'Center Overview'!$C$45)^(2-1)*(12-$G18)/12,$C18*$F18*(1+'Center Overview'!$C$45)^(2-1))))</f>
        <v/>
      </c>
      <c r="J18" s="7">
        <f>IF($D18="Vacant",IF(3=1,$C18*$F18*(12-$G18)/12,$C18*$F18*(1+'Center Overview'!$C$45)^(3-1)),IF(3&lt;$E18,$C18*$F18*(1+'Center Overview'!$C$45)^(3-1),IF(3=$E18,$C18*$F18*(1+'Center Overview'!$C$45)^(3-1)*(12-$G18)/12,$C18*$F18*(1+'Center Overview'!$C$45)^(3-1))))</f>
        <v/>
      </c>
      <c r="K18" s="7">
        <f>IF($D18="Vacant",IF(4=1,$C18*$F18*(12-$G18)/12,$C18*$F18*(1+'Center Overview'!$C$45)^(4-1)),IF(4&lt;$E18,$C18*$F18*(1+'Center Overview'!$C$45)^(4-1),IF(4=$E18,$C18*$F18*(1+'Center Overview'!$C$45)^(4-1)*(12-$G18)/12,$C18*$F18*(1+'Center Overview'!$C$45)^(4-1))))</f>
        <v/>
      </c>
      <c r="L18" s="7">
        <f>IF($D18="Vacant",IF(5=1,$C18*$F18*(12-$G18)/12,$C18*$F18*(1+'Center Overview'!$C$45)^(5-1)),IF(5&lt;$E18,$C18*$F18*(1+'Center Overview'!$C$45)^(5-1),IF(5=$E18,$C18*$F18*(1+'Center Overview'!$C$45)^(5-1)*(12-$G18)/12,$C18*$F18*(1+'Center Overview'!$C$45)^(5-1))))</f>
        <v/>
      </c>
      <c r="M18" s="1" t="n"/>
      <c r="N18" s="1" t="n"/>
    </row>
    <row r="19">
      <c r="A19" s="1" t="n"/>
      <c r="B19" s="19">
        <f>'Rent Roll'!B8</f>
        <v/>
      </c>
      <c r="C19" s="8">
        <f>'Rent Roll'!D8</f>
        <v/>
      </c>
      <c r="D19" s="19">
        <f>'Rent Roll'!E8</f>
        <v/>
      </c>
      <c r="E19" s="8">
        <f>'Rent Roll'!F8</f>
        <v/>
      </c>
      <c r="F19" s="10">
        <f>'Rent Roll'!J8</f>
        <v/>
      </c>
      <c r="G19" s="8">
        <f>'Center Overview'!$C$30</f>
        <v/>
      </c>
      <c r="H19" s="7">
        <f>IF($D19="Vacant",IF(1=1,$C19*$F19*(12-$G19)/12,$C19*$F19*(1+'Center Overview'!$C$45)^(1-1)),IF(1&lt;$E19,$C19*$F19*(1+'Center Overview'!$C$45)^(1-1),IF(1=$E19,$C19*$F19*(1+'Center Overview'!$C$45)^(1-1)*(12-$G19)/12,$C19*$F19*(1+'Center Overview'!$C$45)^(1-1))))</f>
        <v/>
      </c>
      <c r="I19" s="7">
        <f>IF($D19="Vacant",IF(2=1,$C19*$F19*(12-$G19)/12,$C19*$F19*(1+'Center Overview'!$C$45)^(2-1)),IF(2&lt;$E19,$C19*$F19*(1+'Center Overview'!$C$45)^(2-1),IF(2=$E19,$C19*$F19*(1+'Center Overview'!$C$45)^(2-1)*(12-$G19)/12,$C19*$F19*(1+'Center Overview'!$C$45)^(2-1))))</f>
        <v/>
      </c>
      <c r="J19" s="7">
        <f>IF($D19="Vacant",IF(3=1,$C19*$F19*(12-$G19)/12,$C19*$F19*(1+'Center Overview'!$C$45)^(3-1)),IF(3&lt;$E19,$C19*$F19*(1+'Center Overview'!$C$45)^(3-1),IF(3=$E19,$C19*$F19*(1+'Center Overview'!$C$45)^(3-1)*(12-$G19)/12,$C19*$F19*(1+'Center Overview'!$C$45)^(3-1))))</f>
        <v/>
      </c>
      <c r="K19" s="7">
        <f>IF($D19="Vacant",IF(4=1,$C19*$F19*(12-$G19)/12,$C19*$F19*(1+'Center Overview'!$C$45)^(4-1)),IF(4&lt;$E19,$C19*$F19*(1+'Center Overview'!$C$45)^(4-1),IF(4=$E19,$C19*$F19*(1+'Center Overview'!$C$45)^(4-1)*(12-$G19)/12,$C19*$F19*(1+'Center Overview'!$C$45)^(4-1))))</f>
        <v/>
      </c>
      <c r="L19" s="7">
        <f>IF($D19="Vacant",IF(5=1,$C19*$F19*(12-$G19)/12,$C19*$F19*(1+'Center Overview'!$C$45)^(5-1)),IF(5&lt;$E19,$C19*$F19*(1+'Center Overview'!$C$45)^(5-1),IF(5=$E19,$C19*$F19*(1+'Center Overview'!$C$45)^(5-1)*(12-$G19)/12,$C19*$F19*(1+'Center Overview'!$C$45)^(5-1))))</f>
        <v/>
      </c>
      <c r="M19" s="1" t="n"/>
      <c r="N19" s="1" t="n"/>
    </row>
    <row r="20">
      <c r="A20" s="1" t="n"/>
      <c r="B20" s="19">
        <f>'Rent Roll'!B9</f>
        <v/>
      </c>
      <c r="C20" s="8">
        <f>'Rent Roll'!D9</f>
        <v/>
      </c>
      <c r="D20" s="19">
        <f>'Rent Roll'!E9</f>
        <v/>
      </c>
      <c r="E20" s="8">
        <f>'Rent Roll'!F9</f>
        <v/>
      </c>
      <c r="F20" s="10">
        <f>'Rent Roll'!J9</f>
        <v/>
      </c>
      <c r="G20" s="8">
        <f>'Center Overview'!$C$30</f>
        <v/>
      </c>
      <c r="H20" s="7">
        <f>IF($D20="Vacant",IF(1=1,$C20*$F20*(12-$G20)/12,$C20*$F20*(1+'Center Overview'!$C$45)^(1-1)),IF(1&lt;$E20,$C20*$F20*(1+'Center Overview'!$C$45)^(1-1),IF(1=$E20,$C20*$F20*(1+'Center Overview'!$C$45)^(1-1)*(12-$G20)/12,$C20*$F20*(1+'Center Overview'!$C$45)^(1-1))))</f>
        <v/>
      </c>
      <c r="I20" s="7">
        <f>IF($D20="Vacant",IF(2=1,$C20*$F20*(12-$G20)/12,$C20*$F20*(1+'Center Overview'!$C$45)^(2-1)),IF(2&lt;$E20,$C20*$F20*(1+'Center Overview'!$C$45)^(2-1),IF(2=$E20,$C20*$F20*(1+'Center Overview'!$C$45)^(2-1)*(12-$G20)/12,$C20*$F20*(1+'Center Overview'!$C$45)^(2-1))))</f>
        <v/>
      </c>
      <c r="J20" s="7">
        <f>IF($D20="Vacant",IF(3=1,$C20*$F20*(12-$G20)/12,$C20*$F20*(1+'Center Overview'!$C$45)^(3-1)),IF(3&lt;$E20,$C20*$F20*(1+'Center Overview'!$C$45)^(3-1),IF(3=$E20,$C20*$F20*(1+'Center Overview'!$C$45)^(3-1)*(12-$G20)/12,$C20*$F20*(1+'Center Overview'!$C$45)^(3-1))))</f>
        <v/>
      </c>
      <c r="K20" s="7">
        <f>IF($D20="Vacant",IF(4=1,$C20*$F20*(12-$G20)/12,$C20*$F20*(1+'Center Overview'!$C$45)^(4-1)),IF(4&lt;$E20,$C20*$F20*(1+'Center Overview'!$C$45)^(4-1),IF(4=$E20,$C20*$F20*(1+'Center Overview'!$C$45)^(4-1)*(12-$G20)/12,$C20*$F20*(1+'Center Overview'!$C$45)^(4-1))))</f>
        <v/>
      </c>
      <c r="L20" s="7">
        <f>IF($D20="Vacant",IF(5=1,$C20*$F20*(12-$G20)/12,$C20*$F20*(1+'Center Overview'!$C$45)^(5-1)),IF(5&lt;$E20,$C20*$F20*(1+'Center Overview'!$C$45)^(5-1),IF(5=$E20,$C20*$F20*(1+'Center Overview'!$C$45)^(5-1)*(12-$G20)/12,$C20*$F20*(1+'Center Overview'!$C$45)^(5-1))))</f>
        <v/>
      </c>
      <c r="M20" s="1" t="n"/>
      <c r="N20" s="1" t="n"/>
    </row>
    <row r="21">
      <c r="A21" s="1" t="n"/>
      <c r="B21" s="19">
        <f>'Rent Roll'!B10</f>
        <v/>
      </c>
      <c r="C21" s="8">
        <f>'Rent Roll'!D10</f>
        <v/>
      </c>
      <c r="D21" s="19">
        <f>'Rent Roll'!E10</f>
        <v/>
      </c>
      <c r="E21" s="8">
        <f>'Rent Roll'!F10</f>
        <v/>
      </c>
      <c r="F21" s="10">
        <f>'Rent Roll'!J10</f>
        <v/>
      </c>
      <c r="G21" s="8">
        <f>'Center Overview'!$C$30</f>
        <v/>
      </c>
      <c r="H21" s="7">
        <f>IF($D21="Vacant",IF(1=1,$C21*$F21*(12-$G21)/12,$C21*$F21*(1+'Center Overview'!$C$45)^(1-1)),IF(1&lt;$E21,$C21*$F21*(1+'Center Overview'!$C$45)^(1-1),IF(1=$E21,$C21*$F21*(1+'Center Overview'!$C$45)^(1-1)*(12-$G21)/12,$C21*$F21*(1+'Center Overview'!$C$45)^(1-1))))</f>
        <v/>
      </c>
      <c r="I21" s="7">
        <f>IF($D21="Vacant",IF(2=1,$C21*$F21*(12-$G21)/12,$C21*$F21*(1+'Center Overview'!$C$45)^(2-1)),IF(2&lt;$E21,$C21*$F21*(1+'Center Overview'!$C$45)^(2-1),IF(2=$E21,$C21*$F21*(1+'Center Overview'!$C$45)^(2-1)*(12-$G21)/12,$C21*$F21*(1+'Center Overview'!$C$45)^(2-1))))</f>
        <v/>
      </c>
      <c r="J21" s="7">
        <f>IF($D21="Vacant",IF(3=1,$C21*$F21*(12-$G21)/12,$C21*$F21*(1+'Center Overview'!$C$45)^(3-1)),IF(3&lt;$E21,$C21*$F21*(1+'Center Overview'!$C$45)^(3-1),IF(3=$E21,$C21*$F21*(1+'Center Overview'!$C$45)^(3-1)*(12-$G21)/12,$C21*$F21*(1+'Center Overview'!$C$45)^(3-1))))</f>
        <v/>
      </c>
      <c r="K21" s="7">
        <f>IF($D21="Vacant",IF(4=1,$C21*$F21*(12-$G21)/12,$C21*$F21*(1+'Center Overview'!$C$45)^(4-1)),IF(4&lt;$E21,$C21*$F21*(1+'Center Overview'!$C$45)^(4-1),IF(4=$E21,$C21*$F21*(1+'Center Overview'!$C$45)^(4-1)*(12-$G21)/12,$C21*$F21*(1+'Center Overview'!$C$45)^(4-1))))</f>
        <v/>
      </c>
      <c r="L21" s="7">
        <f>IF($D21="Vacant",IF(5=1,$C21*$F21*(12-$G21)/12,$C21*$F21*(1+'Center Overview'!$C$45)^(5-1)),IF(5&lt;$E21,$C21*$F21*(1+'Center Overview'!$C$45)^(5-1),IF(5=$E21,$C21*$F21*(1+'Center Overview'!$C$45)^(5-1)*(12-$G21)/12,$C21*$F21*(1+'Center Overview'!$C$45)^(5-1))))</f>
        <v/>
      </c>
      <c r="M21" s="1" t="n"/>
      <c r="N21" s="1" t="n"/>
    </row>
    <row r="22">
      <c r="A22" s="1" t="n"/>
      <c r="B22" s="20" t="inlineStr">
        <is>
          <t>Total CAM Recovery</t>
        </is>
      </c>
      <c r="C22" s="1" t="n"/>
      <c r="D22" s="1" t="n"/>
      <c r="E22" s="1" t="n"/>
      <c r="F22" s="1" t="n"/>
      <c r="G22" s="1" t="n"/>
      <c r="H22" s="21">
        <f>SUM(H16:H21)</f>
        <v/>
      </c>
      <c r="I22" s="21">
        <f>SUM(I16:I21)</f>
        <v/>
      </c>
      <c r="J22" s="21">
        <f>SUM(J16:J21)</f>
        <v/>
      </c>
      <c r="K22" s="21">
        <f>SUM(K16:K21)</f>
        <v/>
      </c>
      <c r="L22" s="21">
        <f>SUM(L16:L21)</f>
        <v/>
      </c>
      <c r="M22" s="1" t="n"/>
      <c r="N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</row>
    <row r="24">
      <c r="A24" s="1" t="n"/>
      <c r="B24" s="3" t="inlineStr">
        <is>
          <t>TI / LC Cost by Suite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</row>
    <row r="25">
      <c r="A25" s="1" t="n"/>
      <c r="B25" s="17" t="inlineStr">
        <is>
          <t>Suite</t>
        </is>
      </c>
      <c r="C25" s="17" t="inlineStr">
        <is>
          <t>SqFt</t>
        </is>
      </c>
      <c r="D25" s="17" t="inlineStr">
        <is>
          <t>Status</t>
        </is>
      </c>
      <c r="E25" s="17" t="inlineStr">
        <is>
          <t>Roll Year</t>
        </is>
      </c>
      <c r="F25" s="17" t="inlineStr">
        <is>
          <t>TI / SqFt</t>
        </is>
      </c>
      <c r="G25" s="17" t="inlineStr">
        <is>
          <t>LC %</t>
        </is>
      </c>
      <c r="H25" s="17" t="inlineStr">
        <is>
          <t>Year 1</t>
        </is>
      </c>
      <c r="I25" s="17" t="inlineStr">
        <is>
          <t>Year 2</t>
        </is>
      </c>
      <c r="J25" s="17" t="inlineStr">
        <is>
          <t>Year 3</t>
        </is>
      </c>
      <c r="K25" s="17" t="inlineStr">
        <is>
          <t>Year 4</t>
        </is>
      </c>
      <c r="L25" s="17" t="inlineStr">
        <is>
          <t>Year 5</t>
        </is>
      </c>
      <c r="M25" s="1" t="n"/>
      <c r="N25" s="1" t="n"/>
    </row>
    <row r="26">
      <c r="A26" s="1" t="n"/>
      <c r="B26" s="19">
        <f>'Rent Roll'!B5</f>
        <v/>
      </c>
      <c r="C26" s="8">
        <f>'Rent Roll'!D5</f>
        <v/>
      </c>
      <c r="D26" s="19">
        <f>'Rent Roll'!E5</f>
        <v/>
      </c>
      <c r="E26" s="8">
        <f>'Rent Roll'!F5</f>
        <v/>
      </c>
      <c r="F26" s="7">
        <f>'Center Overview'!$C$32</f>
        <v/>
      </c>
      <c r="G26" s="9">
        <f>'Center Overview'!$C$31</f>
        <v/>
      </c>
      <c r="H26" s="7">
        <f>IF(OR(AND($D26="Vacant",1=1),AND($D26&lt;&gt;"Vacant",1=$E26)),-($C26*$F26+(J6*$G26)),0)</f>
        <v/>
      </c>
      <c r="I26" s="7">
        <f>IF(OR(AND($D26="Vacant",2=1),AND($D26&lt;&gt;"Vacant",2=$E26)),-($C26*$F26+(K6*$G26)),0)</f>
        <v/>
      </c>
      <c r="J26" s="7">
        <f>IF(OR(AND($D26="Vacant",3=1),AND($D26&lt;&gt;"Vacant",3=$E26)),-($C26*$F26+(L6*$G26)),0)</f>
        <v/>
      </c>
      <c r="K26" s="7">
        <f>IF(OR(AND($D26="Vacant",4=1),AND($D26&lt;&gt;"Vacant",4=$E26)),-($C26*$F26+(M6*$G26)),0)</f>
        <v/>
      </c>
      <c r="L26" s="7">
        <f>IF(OR(AND($D26="Vacant",5=1),AND($D26&lt;&gt;"Vacant",5=$E26)),-($C26*$F26+(N6*$G26)),0)</f>
        <v/>
      </c>
      <c r="M26" s="1" t="n"/>
      <c r="N26" s="1" t="n"/>
    </row>
    <row r="27">
      <c r="A27" s="1" t="n"/>
      <c r="B27" s="19">
        <f>'Rent Roll'!B6</f>
        <v/>
      </c>
      <c r="C27" s="8">
        <f>'Rent Roll'!D6</f>
        <v/>
      </c>
      <c r="D27" s="19">
        <f>'Rent Roll'!E6</f>
        <v/>
      </c>
      <c r="E27" s="8">
        <f>'Rent Roll'!F6</f>
        <v/>
      </c>
      <c r="F27" s="7">
        <f>'Center Overview'!$C$32</f>
        <v/>
      </c>
      <c r="G27" s="9">
        <f>'Center Overview'!$C$31</f>
        <v/>
      </c>
      <c r="H27" s="7">
        <f>IF(OR(AND($D27="Vacant",1=1),AND($D27&lt;&gt;"Vacant",1=$E27)),-($C27*$F27+(J7*$G27)),0)</f>
        <v/>
      </c>
      <c r="I27" s="7">
        <f>IF(OR(AND($D27="Vacant",2=1),AND($D27&lt;&gt;"Vacant",2=$E27)),-($C27*$F27+(K7*$G27)),0)</f>
        <v/>
      </c>
      <c r="J27" s="7">
        <f>IF(OR(AND($D27="Vacant",3=1),AND($D27&lt;&gt;"Vacant",3=$E27)),-($C27*$F27+(L7*$G27)),0)</f>
        <v/>
      </c>
      <c r="K27" s="7">
        <f>IF(OR(AND($D27="Vacant",4=1),AND($D27&lt;&gt;"Vacant",4=$E27)),-($C27*$F27+(M7*$G27)),0)</f>
        <v/>
      </c>
      <c r="L27" s="7">
        <f>IF(OR(AND($D27="Vacant",5=1),AND($D27&lt;&gt;"Vacant",5=$E27)),-($C27*$F27+(N7*$G27)),0)</f>
        <v/>
      </c>
      <c r="M27" s="1" t="n"/>
      <c r="N27" s="1" t="n"/>
    </row>
    <row r="28">
      <c r="A28" s="1" t="n"/>
      <c r="B28" s="19">
        <f>'Rent Roll'!B7</f>
        <v/>
      </c>
      <c r="C28" s="8">
        <f>'Rent Roll'!D7</f>
        <v/>
      </c>
      <c r="D28" s="19">
        <f>'Rent Roll'!E7</f>
        <v/>
      </c>
      <c r="E28" s="8">
        <f>'Rent Roll'!F7</f>
        <v/>
      </c>
      <c r="F28" s="7">
        <f>'Center Overview'!$C$32</f>
        <v/>
      </c>
      <c r="G28" s="9">
        <f>'Center Overview'!$C$31</f>
        <v/>
      </c>
      <c r="H28" s="7">
        <f>IF(OR(AND($D28="Vacant",1=1),AND($D28&lt;&gt;"Vacant",1=$E28)),-($C28*$F28+(J8*$G28)),0)</f>
        <v/>
      </c>
      <c r="I28" s="7">
        <f>IF(OR(AND($D28="Vacant",2=1),AND($D28&lt;&gt;"Vacant",2=$E28)),-($C28*$F28+(K8*$G28)),0)</f>
        <v/>
      </c>
      <c r="J28" s="7">
        <f>IF(OR(AND($D28="Vacant",3=1),AND($D28&lt;&gt;"Vacant",3=$E28)),-($C28*$F28+(L8*$G28)),0)</f>
        <v/>
      </c>
      <c r="K28" s="7">
        <f>IF(OR(AND($D28="Vacant",4=1),AND($D28&lt;&gt;"Vacant",4=$E28)),-($C28*$F28+(M8*$G28)),0)</f>
        <v/>
      </c>
      <c r="L28" s="7">
        <f>IF(OR(AND($D28="Vacant",5=1),AND($D28&lt;&gt;"Vacant",5=$E28)),-($C28*$F28+(N8*$G28)),0)</f>
        <v/>
      </c>
      <c r="M28" s="1" t="n"/>
      <c r="N28" s="1" t="n"/>
    </row>
    <row r="29">
      <c r="A29" s="1" t="n"/>
      <c r="B29" s="19">
        <f>'Rent Roll'!B8</f>
        <v/>
      </c>
      <c r="C29" s="8">
        <f>'Rent Roll'!D8</f>
        <v/>
      </c>
      <c r="D29" s="19">
        <f>'Rent Roll'!E8</f>
        <v/>
      </c>
      <c r="E29" s="8">
        <f>'Rent Roll'!F8</f>
        <v/>
      </c>
      <c r="F29" s="7">
        <f>'Center Overview'!$C$32</f>
        <v/>
      </c>
      <c r="G29" s="9">
        <f>'Center Overview'!$C$31</f>
        <v/>
      </c>
      <c r="H29" s="7">
        <f>IF(OR(AND($D29="Vacant",1=1),AND($D29&lt;&gt;"Vacant",1=$E29)),-($C29*$F29+(J9*$G29)),0)</f>
        <v/>
      </c>
      <c r="I29" s="7">
        <f>IF(OR(AND($D29="Vacant",2=1),AND($D29&lt;&gt;"Vacant",2=$E29)),-($C29*$F29+(K9*$G29)),0)</f>
        <v/>
      </c>
      <c r="J29" s="7">
        <f>IF(OR(AND($D29="Vacant",3=1),AND($D29&lt;&gt;"Vacant",3=$E29)),-($C29*$F29+(L9*$G29)),0)</f>
        <v/>
      </c>
      <c r="K29" s="7">
        <f>IF(OR(AND($D29="Vacant",4=1),AND($D29&lt;&gt;"Vacant",4=$E29)),-($C29*$F29+(M9*$G29)),0)</f>
        <v/>
      </c>
      <c r="L29" s="7">
        <f>IF(OR(AND($D29="Vacant",5=1),AND($D29&lt;&gt;"Vacant",5=$E29)),-($C29*$F29+(N9*$G29)),0)</f>
        <v/>
      </c>
      <c r="M29" s="1" t="n"/>
      <c r="N29" s="1" t="n"/>
    </row>
    <row r="30">
      <c r="A30" s="1" t="n"/>
      <c r="B30" s="19">
        <f>'Rent Roll'!B9</f>
        <v/>
      </c>
      <c r="C30" s="8">
        <f>'Rent Roll'!D9</f>
        <v/>
      </c>
      <c r="D30" s="19">
        <f>'Rent Roll'!E9</f>
        <v/>
      </c>
      <c r="E30" s="8">
        <f>'Rent Roll'!F9</f>
        <v/>
      </c>
      <c r="F30" s="7">
        <f>'Center Overview'!$C$32</f>
        <v/>
      </c>
      <c r="G30" s="9">
        <f>'Center Overview'!$C$31</f>
        <v/>
      </c>
      <c r="H30" s="7">
        <f>IF(OR(AND($D30="Vacant",1=1),AND($D30&lt;&gt;"Vacant",1=$E30)),-($C30*$F30+(J10*$G30)),0)</f>
        <v/>
      </c>
      <c r="I30" s="7">
        <f>IF(OR(AND($D30="Vacant",2=1),AND($D30&lt;&gt;"Vacant",2=$E30)),-($C30*$F30+(K10*$G30)),0)</f>
        <v/>
      </c>
      <c r="J30" s="7">
        <f>IF(OR(AND($D30="Vacant",3=1),AND($D30&lt;&gt;"Vacant",3=$E30)),-($C30*$F30+(L10*$G30)),0)</f>
        <v/>
      </c>
      <c r="K30" s="7">
        <f>IF(OR(AND($D30="Vacant",4=1),AND($D30&lt;&gt;"Vacant",4=$E30)),-($C30*$F30+(M10*$G30)),0)</f>
        <v/>
      </c>
      <c r="L30" s="7">
        <f>IF(OR(AND($D30="Vacant",5=1),AND($D30&lt;&gt;"Vacant",5=$E30)),-($C30*$F30+(N10*$G30)),0)</f>
        <v/>
      </c>
      <c r="M30" s="1" t="n"/>
      <c r="N30" s="1" t="n"/>
    </row>
    <row r="31">
      <c r="A31" s="1" t="n"/>
      <c r="B31" s="19">
        <f>'Rent Roll'!B10</f>
        <v/>
      </c>
      <c r="C31" s="8">
        <f>'Rent Roll'!D10</f>
        <v/>
      </c>
      <c r="D31" s="19">
        <f>'Rent Roll'!E10</f>
        <v/>
      </c>
      <c r="E31" s="8">
        <f>'Rent Roll'!F10</f>
        <v/>
      </c>
      <c r="F31" s="7">
        <f>'Center Overview'!$C$32</f>
        <v/>
      </c>
      <c r="G31" s="9">
        <f>'Center Overview'!$C$31</f>
        <v/>
      </c>
      <c r="H31" s="7">
        <f>IF(OR(AND($D31="Vacant",1=1),AND($D31&lt;&gt;"Vacant",1=$E31)),-($C31*$F31+(J11*$G31)),0)</f>
        <v/>
      </c>
      <c r="I31" s="7">
        <f>IF(OR(AND($D31="Vacant",2=1),AND($D31&lt;&gt;"Vacant",2=$E31)),-($C31*$F31+(K11*$G31)),0)</f>
        <v/>
      </c>
      <c r="J31" s="7">
        <f>IF(OR(AND($D31="Vacant",3=1),AND($D31&lt;&gt;"Vacant",3=$E31)),-($C31*$F31+(L11*$G31)),0)</f>
        <v/>
      </c>
      <c r="K31" s="7">
        <f>IF(OR(AND($D31="Vacant",4=1),AND($D31&lt;&gt;"Vacant",4=$E31)),-($C31*$F31+(M11*$G31)),0)</f>
        <v/>
      </c>
      <c r="L31" s="7">
        <f>IF(OR(AND($D31="Vacant",5=1),AND($D31&lt;&gt;"Vacant",5=$E31)),-($C31*$F31+(N11*$G31)),0)</f>
        <v/>
      </c>
      <c r="M31" s="1" t="n"/>
      <c r="N31" s="1" t="n"/>
    </row>
    <row r="32">
      <c r="A32" s="1" t="n"/>
      <c r="B32" s="20" t="inlineStr">
        <is>
          <t>Total TI / LC</t>
        </is>
      </c>
      <c r="C32" s="1" t="n"/>
      <c r="D32" s="1" t="n"/>
      <c r="E32" s="1" t="n"/>
      <c r="F32" s="1" t="n"/>
      <c r="G32" s="1" t="n"/>
      <c r="H32" s="21">
        <f>SUM(H26:H31)</f>
        <v/>
      </c>
      <c r="I32" s="21">
        <f>SUM(I26:I31)</f>
        <v/>
      </c>
      <c r="J32" s="21">
        <f>SUM(J26:J31)</f>
        <v/>
      </c>
      <c r="K32" s="21">
        <f>SUM(K26:K31)</f>
        <v/>
      </c>
      <c r="L32" s="21">
        <f>SUM(L26:L31)</f>
        <v/>
      </c>
      <c r="M32" s="1" t="n"/>
      <c r="N32" s="1" t="n"/>
    </row>
  </sheetData>
  <conditionalFormatting sqref="H32:L32">
    <cfRule type="cellIs" priority="1" operator="lessThan" dxfId="0">
      <formula>-50000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5-Year Pro Forma</t>
        </is>
      </c>
      <c r="C2" s="1" t="n"/>
      <c r="D2" s="1" t="n"/>
      <c r="E2" s="1" t="n"/>
      <c r="F2" s="1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>
      <c r="A4" s="1" t="n"/>
      <c r="B4" s="17" t="inlineStr">
        <is>
          <t>Line Item</t>
        </is>
      </c>
      <c r="C4" s="17" t="inlineStr">
        <is>
          <t>Year 1</t>
        </is>
      </c>
      <c r="D4" s="17" t="inlineStr">
        <is>
          <t>Year 2</t>
        </is>
      </c>
      <c r="E4" s="17" t="inlineStr">
        <is>
          <t>Year 3</t>
        </is>
      </c>
      <c r="F4" s="17" t="inlineStr">
        <is>
          <t>Year 4</t>
        </is>
      </c>
      <c r="G4" s="17" t="inlineStr">
        <is>
          <t>Year 5</t>
        </is>
      </c>
    </row>
    <row r="5">
      <c r="A5" s="1" t="n"/>
      <c r="B5" s="4" t="inlineStr">
        <is>
          <t>Base rent</t>
        </is>
      </c>
      <c r="C5" s="7">
        <f>'Lease Rollover'!J12</f>
        <v/>
      </c>
      <c r="D5" s="7">
        <f>'Lease Rollover'!K12</f>
        <v/>
      </c>
      <c r="E5" s="7">
        <f>'Lease Rollover'!L12</f>
        <v/>
      </c>
      <c r="F5" s="7">
        <f>'Lease Rollover'!M12</f>
        <v/>
      </c>
      <c r="G5" s="7">
        <f>'Lease Rollover'!N12</f>
        <v/>
      </c>
    </row>
    <row r="6">
      <c r="A6" s="1" t="n"/>
      <c r="B6" s="4" t="inlineStr">
        <is>
          <t>CAM recoveries</t>
        </is>
      </c>
      <c r="C6" s="7">
        <f>'Lease Rollover'!H22</f>
        <v/>
      </c>
      <c r="D6" s="7">
        <f>'Lease Rollover'!I22</f>
        <v/>
      </c>
      <c r="E6" s="7">
        <f>'Lease Rollover'!J22</f>
        <v/>
      </c>
      <c r="F6" s="7">
        <f>'Lease Rollover'!K22</f>
        <v/>
      </c>
      <c r="G6" s="7">
        <f>'Lease Rollover'!L22</f>
        <v/>
      </c>
    </row>
    <row r="7">
      <c r="A7" s="1" t="n"/>
      <c r="B7" s="4" t="inlineStr">
        <is>
          <t>Potential gross income</t>
        </is>
      </c>
      <c r="C7" s="7">
        <f>C5+C6</f>
        <v/>
      </c>
      <c r="D7" s="7">
        <f>D5+D6</f>
        <v/>
      </c>
      <c r="E7" s="7">
        <f>E5+E6</f>
        <v/>
      </c>
      <c r="F7" s="7">
        <f>F5+F6</f>
        <v/>
      </c>
      <c r="G7" s="7">
        <f>G5+G6</f>
        <v/>
      </c>
    </row>
    <row r="8">
      <c r="A8" s="1" t="n"/>
      <c r="B8" s="4" t="inlineStr">
        <is>
          <t>General credit loss</t>
        </is>
      </c>
      <c r="C8" s="7">
        <f>C7*'Center Overview'!$C$29*-1</f>
        <v/>
      </c>
      <c r="D8" s="7">
        <f>D7*'Center Overview'!$C$29*-1</f>
        <v/>
      </c>
      <c r="E8" s="7">
        <f>E7*'Center Overview'!$C$29*-1</f>
        <v/>
      </c>
      <c r="F8" s="7">
        <f>F7*'Center Overview'!$C$29*-1</f>
        <v/>
      </c>
      <c r="G8" s="7">
        <f>G7*'Center Overview'!$C$29*-1</f>
        <v/>
      </c>
    </row>
    <row r="9">
      <c r="A9" s="1" t="n"/>
      <c r="B9" s="4" t="inlineStr">
        <is>
          <t>Effective gross income</t>
        </is>
      </c>
      <c r="C9" s="7">
        <f>C7+C8</f>
        <v/>
      </c>
      <c r="D9" s="7">
        <f>D7+D8</f>
        <v/>
      </c>
      <c r="E9" s="7">
        <f>E7+E8</f>
        <v/>
      </c>
      <c r="F9" s="7">
        <f>F7+F8</f>
        <v/>
      </c>
      <c r="G9" s="7">
        <f>G7+G8</f>
        <v/>
      </c>
    </row>
    <row r="10">
      <c r="A10" s="1" t="n"/>
      <c r="B10" s="4" t="inlineStr">
        <is>
          <t>Fixed operating expenses</t>
        </is>
      </c>
      <c r="C10" s="7">
        <f>SUM('Center Overview'!$C$38:$C$43)</f>
        <v/>
      </c>
      <c r="D10" s="7">
        <f>C10*(1+'Center Overview'!$C$45)</f>
        <v/>
      </c>
      <c r="E10" s="7">
        <f>D10*(1+'Center Overview'!$C$45)</f>
        <v/>
      </c>
      <c r="F10" s="7">
        <f>E10*(1+'Center Overview'!$C$45)</f>
        <v/>
      </c>
      <c r="G10" s="7">
        <f>F10*(1+'Center Overview'!$C$45)</f>
        <v/>
      </c>
    </row>
    <row r="11">
      <c r="A11" s="1" t="n"/>
      <c r="B11" s="4" t="inlineStr">
        <is>
          <t>Management fee</t>
        </is>
      </c>
      <c r="C11" s="7">
        <f>C9*'Center Overview'!$C$44</f>
        <v/>
      </c>
      <c r="D11" s="7">
        <f>D9*'Center Overview'!$C$44</f>
        <v/>
      </c>
      <c r="E11" s="7">
        <f>E9*'Center Overview'!$C$44</f>
        <v/>
      </c>
      <c r="F11" s="7">
        <f>F9*'Center Overview'!$C$44</f>
        <v/>
      </c>
      <c r="G11" s="7">
        <f>G9*'Center Overview'!$C$44</f>
        <v/>
      </c>
    </row>
    <row r="12">
      <c r="A12" s="1" t="n"/>
      <c r="B12" s="4" t="inlineStr">
        <is>
          <t>NOI before TI / LC</t>
        </is>
      </c>
      <c r="C12" s="7">
        <f>C9-C10-C11</f>
        <v/>
      </c>
      <c r="D12" s="7">
        <f>D9-D10-D11</f>
        <v/>
      </c>
      <c r="E12" s="7">
        <f>E9-E10-E11</f>
        <v/>
      </c>
      <c r="F12" s="7">
        <f>F9-F10-F11</f>
        <v/>
      </c>
      <c r="G12" s="7">
        <f>G9-G10-G11</f>
        <v/>
      </c>
    </row>
    <row r="13">
      <c r="A13" s="1" t="n"/>
      <c r="B13" s="4" t="inlineStr">
        <is>
          <t>TI / LC costs</t>
        </is>
      </c>
      <c r="C13" s="7">
        <f>ABS('Lease Rollover'!H32)</f>
        <v/>
      </c>
      <c r="D13" s="7">
        <f>ABS('Lease Rollover'!I32)</f>
        <v/>
      </c>
      <c r="E13" s="7">
        <f>ABS('Lease Rollover'!J32)</f>
        <v/>
      </c>
      <c r="F13" s="7">
        <f>ABS('Lease Rollover'!K32)</f>
        <v/>
      </c>
      <c r="G13" s="7">
        <f>ABS('Lease Rollover'!L32)</f>
        <v/>
      </c>
    </row>
    <row r="14">
      <c r="A14" s="1" t="n"/>
      <c r="B14" s="4" t="inlineStr">
        <is>
          <t>NOI after TI / LC</t>
        </is>
      </c>
      <c r="C14" s="7">
        <f>C12-C13</f>
        <v/>
      </c>
      <c r="D14" s="7">
        <f>D12-D13</f>
        <v/>
      </c>
      <c r="E14" s="7">
        <f>E12-E13</f>
        <v/>
      </c>
      <c r="F14" s="7">
        <f>F12-F13</f>
        <v/>
      </c>
      <c r="G14" s="7">
        <f>G12-G13</f>
        <v/>
      </c>
    </row>
    <row r="15">
      <c r="A15" s="1" t="n"/>
      <c r="B15" s="4" t="inlineStr">
        <is>
          <t>Debt service</t>
        </is>
      </c>
      <c r="C15" s="7">
        <f>'Center Overview'!$C$25</f>
        <v/>
      </c>
      <c r="D15" s="7">
        <f>'Center Overview'!$C$25</f>
        <v/>
      </c>
      <c r="E15" s="7">
        <f>'Center Overview'!$C$25</f>
        <v/>
      </c>
      <c r="F15" s="7">
        <f>'Center Overview'!$C$25</f>
        <v/>
      </c>
      <c r="G15" s="7">
        <f>'Center Overview'!$C$25</f>
        <v/>
      </c>
    </row>
    <row r="16">
      <c r="A16" s="1" t="n"/>
      <c r="B16" s="4" t="inlineStr">
        <is>
          <t>Cash flow after debt</t>
        </is>
      </c>
      <c r="C16" s="7">
        <f>C14-C15</f>
        <v/>
      </c>
      <c r="D16" s="7">
        <f>D14-D15</f>
        <v/>
      </c>
      <c r="E16" s="7">
        <f>E14-E15</f>
        <v/>
      </c>
      <c r="F16" s="7">
        <f>F14-F15</f>
        <v/>
      </c>
      <c r="G16" s="7">
        <f>G14-G15</f>
        <v/>
      </c>
    </row>
    <row r="17">
      <c r="A17" s="1" t="n"/>
      <c r="B17" s="4" t="inlineStr">
        <is>
          <t>DSCR</t>
        </is>
      </c>
      <c r="C17" s="22">
        <f>IF(C15=0,0,C12/C15)</f>
        <v/>
      </c>
      <c r="D17" s="22">
        <f>IF(D15=0,0,D12/D15)</f>
        <v/>
      </c>
      <c r="E17" s="22">
        <f>IF(E15=0,0,E12/E15)</f>
        <v/>
      </c>
      <c r="F17" s="22">
        <f>IF(F15=0,0,F12/F15)</f>
        <v/>
      </c>
      <c r="G17" s="22">
        <f>IF(G15=0,0,G12/G15)</f>
        <v/>
      </c>
    </row>
  </sheetData>
  <conditionalFormatting sqref="C17:G17">
    <cfRule type="cellIs" priority="1" operator="lessThan" dxfId="0">
      <formula>1.20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2" max="2"/>
    <col width="16" customWidth="1" min="3" max="3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2" t="inlineStr">
        <is>
          <t>Exit &amp; Snapshot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3" t="inlineStr">
        <is>
          <t>Deal</t>
        </is>
      </c>
      <c r="C4" s="1" t="n"/>
      <c r="D4" s="1" t="n"/>
      <c r="E4" s="1" t="n"/>
      <c r="F4" s="3" t="inlineStr">
        <is>
          <t>IRR Cash Flow</t>
        </is>
      </c>
      <c r="G4" s="1" t="n"/>
      <c r="H4" s="1" t="n"/>
      <c r="I4" s="1" t="n"/>
      <c r="J4" s="1" t="n"/>
      <c r="K4" s="1" t="n"/>
    </row>
    <row r="5">
      <c r="A5" s="1" t="n"/>
      <c r="B5" s="6" t="inlineStr">
        <is>
          <t>Purchase price</t>
        </is>
      </c>
      <c r="C5" s="7">
        <f>'Center Overview'!C14</f>
        <v/>
      </c>
      <c r="D5" s="1" t="n"/>
      <c r="E5" s="1" t="n"/>
      <c r="F5" s="17" t="inlineStr">
        <is>
          <t>Initial</t>
        </is>
      </c>
      <c r="G5" s="17" t="inlineStr">
        <is>
          <t>Year 1</t>
        </is>
      </c>
      <c r="H5" s="17" t="inlineStr">
        <is>
          <t>Year 2</t>
        </is>
      </c>
      <c r="I5" s="17" t="inlineStr">
        <is>
          <t>Year 3</t>
        </is>
      </c>
      <c r="J5" s="17" t="inlineStr">
        <is>
          <t>Year 4</t>
        </is>
      </c>
      <c r="K5" s="17" t="inlineStr">
        <is>
          <t>Year 5 + Sale</t>
        </is>
      </c>
    </row>
    <row r="6">
      <c r="A6" s="1" t="n"/>
      <c r="B6" s="6" t="inlineStr">
        <is>
          <t>Total basis</t>
        </is>
      </c>
      <c r="C6" s="7">
        <f>'Center Overview'!C17</f>
        <v/>
      </c>
      <c r="D6" s="1" t="n"/>
      <c r="E6" s="1" t="n"/>
      <c r="F6" s="7">
        <f>-C28</f>
        <v/>
      </c>
      <c r="G6" s="7">
        <f>'5-Year Pro Forma'!C16</f>
        <v/>
      </c>
      <c r="H6" s="7">
        <f>'5-Year Pro Forma'!D16</f>
        <v/>
      </c>
      <c r="I6" s="7">
        <f>'5-Year Pro Forma'!E16</f>
        <v/>
      </c>
      <c r="J6" s="7">
        <f>'5-Year Pro Forma'!F16</f>
        <v/>
      </c>
      <c r="K6" s="7">
        <f>'5-Year Pro Forma'!G16+C24</f>
        <v/>
      </c>
    </row>
    <row r="7">
      <c r="A7" s="1" t="n"/>
      <c r="B7" s="6" t="inlineStr">
        <is>
          <t>Loan amount</t>
        </is>
      </c>
      <c r="C7" s="7">
        <f>'Center Overview'!C21</f>
        <v/>
      </c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1" t="n"/>
      <c r="B8" s="6" t="inlineStr">
        <is>
          <t>Year 1 NOI before TI / LC</t>
        </is>
      </c>
      <c r="C8" s="7">
        <f>'5-Year Pro Forma'!C12</f>
        <v/>
      </c>
      <c r="D8" s="1" t="n"/>
      <c r="E8" s="1" t="n"/>
      <c r="F8" s="1" t="n"/>
      <c r="G8" s="1" t="n"/>
      <c r="H8" s="1" t="n"/>
      <c r="I8" s="1" t="n"/>
      <c r="J8" s="1" t="n"/>
      <c r="K8" s="1" t="n"/>
    </row>
    <row r="9">
      <c r="A9" s="1" t="n"/>
      <c r="B9" s="6" t="inlineStr">
        <is>
          <t>Year 1 cash flow after debt</t>
        </is>
      </c>
      <c r="C9" s="7">
        <f>'5-Year Pro Forma'!C16</f>
        <v/>
      </c>
      <c r="D9" s="1" t="n"/>
      <c r="E9" s="1" t="n"/>
      <c r="F9" s="1" t="n"/>
      <c r="G9" s="1" t="n"/>
      <c r="H9" s="1" t="n"/>
      <c r="I9" s="1" t="n"/>
      <c r="J9" s="1" t="n"/>
      <c r="K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>
      <c r="A12" s="1" t="n"/>
      <c r="B12" s="3" t="inlineStr">
        <is>
          <t>Hold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  <row r="13">
      <c r="A13" s="1" t="n"/>
      <c r="B13" s="6" t="inlineStr">
        <is>
          <t>Total TI / LC over 5 years</t>
        </is>
      </c>
      <c r="C13" s="7">
        <f>SUM('5-Year Pro Forma'!C13:G13)</f>
        <v/>
      </c>
      <c r="D13" s="1" t="n"/>
      <c r="E13" s="1" t="n"/>
      <c r="F13" s="1" t="n"/>
      <c r="G13" s="1" t="n"/>
      <c r="H13" s="1" t="n"/>
      <c r="I13" s="1" t="n"/>
      <c r="J13" s="1" t="n"/>
      <c r="K13" s="1" t="n"/>
    </row>
    <row r="14">
      <c r="A14" s="1" t="n"/>
      <c r="B14" s="6" t="inlineStr">
        <is>
          <t>Average annual cash flow</t>
        </is>
      </c>
      <c r="C14" s="7">
        <f>AVERAGE('5-Year Pro Forma'!C16:G16)</f>
        <v/>
      </c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1" t="n"/>
      <c r="B15" s="6" t="inlineStr">
        <is>
          <t>Current occupancy</t>
        </is>
      </c>
      <c r="C15" s="9">
        <f>'Center Overview'!C9</f>
        <v/>
      </c>
      <c r="D15" s="1" t="n"/>
      <c r="E15" s="1" t="n"/>
      <c r="F15" s="1" t="n"/>
      <c r="G15" s="1" t="n"/>
      <c r="H15" s="1" t="n"/>
      <c r="I15" s="1" t="n"/>
      <c r="J15" s="1" t="n"/>
      <c r="K15" s="1" t="n"/>
    </row>
    <row r="16">
      <c r="A16" s="1" t="n"/>
      <c r="B16" s="6" t="inlineStr">
        <is>
          <t>Blended market rent / SqFt</t>
        </is>
      </c>
      <c r="C16" s="10">
        <f>'Center Overview'!C11</f>
        <v/>
      </c>
      <c r="D16" s="1" t="n"/>
      <c r="E16" s="1" t="n"/>
      <c r="F16" s="1" t="n"/>
      <c r="G16" s="1" t="n"/>
      <c r="H16" s="1" t="n"/>
      <c r="I16" s="1" t="n"/>
      <c r="J16" s="1" t="n"/>
      <c r="K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>
      <c r="A19" s="1" t="n"/>
      <c r="B19" s="3" t="inlineStr">
        <is>
          <t>Sale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>
      <c r="A20" s="1" t="n"/>
      <c r="B20" s="6" t="inlineStr">
        <is>
          <t>Year 5 NOI before TI / LC</t>
        </is>
      </c>
      <c r="C20" s="7">
        <f>'5-Year Pro Forma'!G12</f>
        <v/>
      </c>
      <c r="D20" s="1" t="n"/>
      <c r="E20" s="1" t="n"/>
      <c r="F20" s="1" t="n"/>
      <c r="G20" s="1" t="n"/>
      <c r="H20" s="1" t="n"/>
      <c r="I20" s="1" t="n"/>
      <c r="J20" s="1" t="n"/>
      <c r="K20" s="1" t="n"/>
    </row>
    <row r="21">
      <c r="A21" s="1" t="n"/>
      <c r="B21" s="6" t="inlineStr">
        <is>
          <t>Exit value</t>
        </is>
      </c>
      <c r="C21" s="7">
        <f>IF('Center Overview'!C34=0,0,C20/'Center Overview'!C34)</f>
        <v/>
      </c>
      <c r="D21" s="1" t="n"/>
      <c r="E21" s="1" t="n"/>
      <c r="F21" s="1" t="n"/>
      <c r="G21" s="1" t="n"/>
      <c r="H21" s="1" t="n"/>
      <c r="I21" s="1" t="n"/>
      <c r="J21" s="1" t="n"/>
      <c r="K21" s="1" t="n"/>
    </row>
    <row r="22">
      <c r="A22" s="1" t="n"/>
      <c r="B22" s="6" t="inlineStr">
        <is>
          <t>Selling costs</t>
        </is>
      </c>
      <c r="C22" s="7">
        <f>C21*'Center Overview'!C35</f>
        <v/>
      </c>
      <c r="D22" s="1" t="n"/>
      <c r="E22" s="1" t="n"/>
      <c r="F22" s="1" t="n"/>
      <c r="G22" s="1" t="n"/>
      <c r="H22" s="1" t="n"/>
      <c r="I22" s="1" t="n"/>
      <c r="J22" s="1" t="n"/>
      <c r="K22" s="1" t="n"/>
    </row>
    <row r="23">
      <c r="A23" s="1" t="n"/>
      <c r="B23" s="6" t="inlineStr">
        <is>
          <t>Loan payoff</t>
        </is>
      </c>
      <c r="C23" s="7">
        <f>-FV('Center Overview'!C22/12,'Center Overview'!C33*12,'Center Overview'!C24,'Center Overview'!C21)</f>
        <v/>
      </c>
      <c r="D23" s="1" t="n"/>
      <c r="E23" s="1" t="n"/>
      <c r="F23" s="1" t="n"/>
      <c r="G23" s="1" t="n"/>
      <c r="H23" s="1" t="n"/>
      <c r="I23" s="1" t="n"/>
      <c r="J23" s="1" t="n"/>
      <c r="K23" s="1" t="n"/>
    </row>
    <row r="24">
      <c r="A24" s="1" t="n"/>
      <c r="B24" s="6" t="inlineStr">
        <is>
          <t>Net sale proceeds</t>
        </is>
      </c>
      <c r="C24" s="7">
        <f>C21-C22-C23</f>
        <v/>
      </c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>
      <c r="A27" s="1" t="n"/>
      <c r="B27" s="3" t="inlineStr">
        <is>
          <t>Returns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>
      <c r="A28" s="1" t="n"/>
      <c r="B28" s="6" t="inlineStr">
        <is>
          <t>Initial equity</t>
        </is>
      </c>
      <c r="C28" s="7">
        <f>'Center Overview'!C17-'Center Overview'!C21</f>
        <v/>
      </c>
      <c r="D28" s="1" t="n"/>
      <c r="E28" s="1" t="n"/>
      <c r="F28" s="1" t="n"/>
      <c r="G28" s="1" t="n"/>
      <c r="H28" s="1" t="n"/>
      <c r="I28" s="1" t="n"/>
      <c r="J28" s="1" t="n"/>
      <c r="K28" s="1" t="n"/>
    </row>
    <row r="29">
      <c r="A29" s="1" t="n"/>
      <c r="B29" s="6" t="inlineStr">
        <is>
          <t>Total cash back</t>
        </is>
      </c>
      <c r="C29" s="7">
        <f>SUM('5-Year Pro Forma'!C16:G16)+C24</f>
        <v/>
      </c>
      <c r="D29" s="1" t="n"/>
      <c r="E29" s="1" t="n"/>
      <c r="F29" s="1" t="n"/>
      <c r="G29" s="1" t="n"/>
      <c r="H29" s="1" t="n"/>
      <c r="I29" s="1" t="n"/>
      <c r="J29" s="1" t="n"/>
      <c r="K29" s="1" t="n"/>
    </row>
    <row r="30">
      <c r="A30" s="1" t="n"/>
      <c r="B30" s="6" t="inlineStr">
        <is>
          <t>5-year equity multiple</t>
        </is>
      </c>
      <c r="C30" s="11">
        <f>IF(C28=0,0,C29/C28)</f>
        <v/>
      </c>
      <c r="D30" s="1" t="n"/>
      <c r="E30" s="1" t="n"/>
      <c r="F30" s="1" t="n"/>
      <c r="G30" s="1" t="n"/>
      <c r="H30" s="1" t="n"/>
      <c r="I30" s="1" t="n"/>
      <c r="J30" s="1" t="n"/>
      <c r="K30" s="1" t="n"/>
    </row>
    <row r="31">
      <c r="A31" s="1" t="n"/>
      <c r="B31" s="6" t="inlineStr">
        <is>
          <t>Levered IRR</t>
        </is>
      </c>
      <c r="C31" s="23">
        <f>IRR(F6:K6)</f>
        <v/>
      </c>
      <c r="D31" s="1" t="n"/>
      <c r="E31" s="1" t="n"/>
      <c r="F31" s="1" t="n"/>
      <c r="G31" s="1" t="n"/>
      <c r="H31" s="1" t="n"/>
      <c r="I31" s="1" t="n"/>
      <c r="J31" s="1" t="n"/>
      <c r="K31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2026-04-09T06:29:29Z</dcterms:created>
  <dcterms:modified xmlns:dcterms="http://purl.org/dc/terms/" xmlns:xsi="http://www.w3.org/2001/XMLSchema-instance" xsi:type="dcterms:W3CDTF">2026-04-09T06:29:29Z</dcterms:modified>
</cp:coreProperties>
</file>