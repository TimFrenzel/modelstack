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000_drive_drive\300_WORK\xAI\002_xAI\project\excel-scraping\task_012\"/>
    </mc:Choice>
  </mc:AlternateContent>
  <xr:revisionPtr revIDLastSave="0" documentId="13_ncr:20001_{CFAEF7D6-8940-4941-ACDA-0063F05C8E77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Center Overview" sheetId="1" r:id="rId1"/>
    <sheet name="Rent Roll" sheetId="2" r:id="rId2"/>
    <sheet name="Lease Rollover" sheetId="3" r:id="rId3"/>
    <sheet name="5-Year Pro Forma" sheetId="4" r:id="rId4"/>
    <sheet name="Exit &amp; Snapshot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5" l="1"/>
  <c r="B5" i="5"/>
  <c r="B10" i="4"/>
  <c r="C10" i="4" s="1"/>
  <c r="D10" i="4" s="1"/>
  <c r="E10" i="4" s="1"/>
  <c r="F10" i="4" s="1"/>
  <c r="F31" i="3"/>
  <c r="E31" i="3"/>
  <c r="D31" i="3"/>
  <c r="C31" i="3"/>
  <c r="K31" i="3" s="1"/>
  <c r="B31" i="3"/>
  <c r="A31" i="3"/>
  <c r="F30" i="3"/>
  <c r="E30" i="3"/>
  <c r="D30" i="3"/>
  <c r="C30" i="3"/>
  <c r="I30" i="3" s="1"/>
  <c r="B30" i="3"/>
  <c r="A30" i="3"/>
  <c r="F29" i="3"/>
  <c r="E29" i="3"/>
  <c r="D29" i="3"/>
  <c r="C29" i="3"/>
  <c r="K29" i="3" s="1"/>
  <c r="B29" i="3"/>
  <c r="A29" i="3"/>
  <c r="F28" i="3"/>
  <c r="E28" i="3"/>
  <c r="D28" i="3"/>
  <c r="C28" i="3"/>
  <c r="K28" i="3" s="1"/>
  <c r="B28" i="3"/>
  <c r="A28" i="3"/>
  <c r="F27" i="3"/>
  <c r="E27" i="3"/>
  <c r="D27" i="3"/>
  <c r="C27" i="3"/>
  <c r="K27" i="3" s="1"/>
  <c r="B27" i="3"/>
  <c r="A27" i="3"/>
  <c r="F26" i="3"/>
  <c r="E26" i="3"/>
  <c r="D26" i="3"/>
  <c r="C26" i="3"/>
  <c r="K26" i="3" s="1"/>
  <c r="B26" i="3"/>
  <c r="A26" i="3"/>
  <c r="F21" i="3"/>
  <c r="E21" i="3"/>
  <c r="D21" i="3"/>
  <c r="C21" i="3"/>
  <c r="B21" i="3"/>
  <c r="A21" i="3"/>
  <c r="F20" i="3"/>
  <c r="E20" i="3"/>
  <c r="D20" i="3"/>
  <c r="C20" i="3"/>
  <c r="B20" i="3"/>
  <c r="A20" i="3"/>
  <c r="F19" i="3"/>
  <c r="E19" i="3"/>
  <c r="D19" i="3"/>
  <c r="C19" i="3"/>
  <c r="B19" i="3"/>
  <c r="A19" i="3"/>
  <c r="F18" i="3"/>
  <c r="E18" i="3"/>
  <c r="D18" i="3"/>
  <c r="C18" i="3"/>
  <c r="B18" i="3"/>
  <c r="A18" i="3"/>
  <c r="F17" i="3"/>
  <c r="E17" i="3"/>
  <c r="D17" i="3"/>
  <c r="C17" i="3"/>
  <c r="K17" i="3" s="1"/>
  <c r="B17" i="3"/>
  <c r="A17" i="3"/>
  <c r="F16" i="3"/>
  <c r="E16" i="3"/>
  <c r="D16" i="3"/>
  <c r="C16" i="3"/>
  <c r="B16" i="3"/>
  <c r="A16" i="3"/>
  <c r="H11" i="3"/>
  <c r="G11" i="3"/>
  <c r="F11" i="3"/>
  <c r="E11" i="3"/>
  <c r="D11" i="3"/>
  <c r="C11" i="3"/>
  <c r="B11" i="3"/>
  <c r="A11" i="3"/>
  <c r="L10" i="3"/>
  <c r="H10" i="3"/>
  <c r="G10" i="3"/>
  <c r="F10" i="3"/>
  <c r="E10" i="3"/>
  <c r="D10" i="3"/>
  <c r="C10" i="3"/>
  <c r="B10" i="3"/>
  <c r="A10" i="3"/>
  <c r="H9" i="3"/>
  <c r="G9" i="3"/>
  <c r="F9" i="3"/>
  <c r="E9" i="3"/>
  <c r="D9" i="3"/>
  <c r="C9" i="3"/>
  <c r="B9" i="3"/>
  <c r="A9" i="3"/>
  <c r="H8" i="3"/>
  <c r="G8" i="3"/>
  <c r="F8" i="3"/>
  <c r="E8" i="3"/>
  <c r="D8" i="3"/>
  <c r="C8" i="3"/>
  <c r="B8" i="3"/>
  <c r="A8" i="3"/>
  <c r="H7" i="3"/>
  <c r="G7" i="3"/>
  <c r="F7" i="3"/>
  <c r="E7" i="3"/>
  <c r="D7" i="3"/>
  <c r="C7" i="3"/>
  <c r="B7" i="3"/>
  <c r="A7" i="3"/>
  <c r="H6" i="3"/>
  <c r="G6" i="3"/>
  <c r="F6" i="3"/>
  <c r="E6" i="3"/>
  <c r="D6" i="3"/>
  <c r="C6" i="3"/>
  <c r="I6" i="3" s="1"/>
  <c r="B6" i="3"/>
  <c r="A6" i="3"/>
  <c r="J10" i="2"/>
  <c r="J9" i="2"/>
  <c r="J8" i="2"/>
  <c r="J7" i="2"/>
  <c r="J6" i="2"/>
  <c r="J5" i="2"/>
  <c r="B21" i="1"/>
  <c r="B7" i="5" s="1"/>
  <c r="B17" i="1"/>
  <c r="B6" i="5" s="1"/>
  <c r="B8" i="1"/>
  <c r="B10" i="1" s="1"/>
  <c r="B7" i="1"/>
  <c r="B11" i="1" s="1"/>
  <c r="B16" i="5" s="1"/>
  <c r="J11" i="3" l="1"/>
  <c r="K9" i="3"/>
  <c r="I29" i="3"/>
  <c r="H31" i="3"/>
  <c r="J29" i="3"/>
  <c r="I28" i="3"/>
  <c r="J7" i="3"/>
  <c r="I10" i="3"/>
  <c r="L7" i="3"/>
  <c r="I27" i="3"/>
  <c r="K19" i="3"/>
  <c r="H27" i="3"/>
  <c r="M7" i="3"/>
  <c r="J27" i="3"/>
  <c r="K16" i="3"/>
  <c r="K22" i="3" s="1"/>
  <c r="F6" i="4" s="1"/>
  <c r="K20" i="3"/>
  <c r="K7" i="3"/>
  <c r="M8" i="3"/>
  <c r="M10" i="3"/>
  <c r="K30" i="3" s="1"/>
  <c r="K32" i="3" s="1"/>
  <c r="F13" i="4" s="1"/>
  <c r="I7" i="3"/>
  <c r="G27" i="3" s="1"/>
  <c r="M6" i="3"/>
  <c r="J10" i="3"/>
  <c r="K21" i="3"/>
  <c r="K10" i="3"/>
  <c r="K18" i="3"/>
  <c r="I31" i="3"/>
  <c r="K8" i="3"/>
  <c r="M11" i="3"/>
  <c r="J31" i="3"/>
  <c r="B24" i="1"/>
  <c r="B23" i="5" s="1"/>
  <c r="B28" i="5"/>
  <c r="H16" i="3"/>
  <c r="H18" i="3"/>
  <c r="H20" i="3"/>
  <c r="L9" i="3"/>
  <c r="G26" i="3"/>
  <c r="G28" i="3"/>
  <c r="G30" i="3"/>
  <c r="B9" i="1"/>
  <c r="M9" i="3"/>
  <c r="I11" i="3"/>
  <c r="G31" i="3" s="1"/>
  <c r="H26" i="3"/>
  <c r="H28" i="3"/>
  <c r="H30" i="3"/>
  <c r="J6" i="3"/>
  <c r="K11" i="3"/>
  <c r="J26" i="3"/>
  <c r="J30" i="3"/>
  <c r="K6" i="3"/>
  <c r="L11" i="3"/>
  <c r="L6" i="3"/>
  <c r="I8" i="3"/>
  <c r="G17" i="3"/>
  <c r="G19" i="3"/>
  <c r="G21" i="3"/>
  <c r="J8" i="3"/>
  <c r="H17" i="3"/>
  <c r="H19" i="3"/>
  <c r="H21" i="3"/>
  <c r="I17" i="3"/>
  <c r="I19" i="3"/>
  <c r="I21" i="3"/>
  <c r="B25" i="1"/>
  <c r="L8" i="3"/>
  <c r="J28" i="3" s="1"/>
  <c r="J17" i="3"/>
  <c r="J19" i="3"/>
  <c r="J21" i="3"/>
  <c r="G29" i="3"/>
  <c r="G16" i="3"/>
  <c r="G18" i="3"/>
  <c r="G20" i="3"/>
  <c r="I9" i="3"/>
  <c r="I16" i="3"/>
  <c r="I18" i="3"/>
  <c r="I20" i="3"/>
  <c r="J9" i="3"/>
  <c r="H29" i="3" s="1"/>
  <c r="J16" i="3"/>
  <c r="J18" i="3"/>
  <c r="J20" i="3"/>
  <c r="J12" i="3" l="1"/>
  <c r="C5" i="4" s="1"/>
  <c r="M12" i="3"/>
  <c r="F5" i="4" s="1"/>
  <c r="F7" i="4" s="1"/>
  <c r="I22" i="3"/>
  <c r="D6" i="4" s="1"/>
  <c r="I12" i="3"/>
  <c r="B5" i="4" s="1"/>
  <c r="F8" i="4"/>
  <c r="F9" i="4" s="1"/>
  <c r="H32" i="3"/>
  <c r="C13" i="4" s="1"/>
  <c r="J22" i="3"/>
  <c r="E6" i="4" s="1"/>
  <c r="H22" i="3"/>
  <c r="C6" i="4" s="1"/>
  <c r="C7" i="4" s="1"/>
  <c r="L12" i="3"/>
  <c r="E5" i="4" s="1"/>
  <c r="G32" i="3"/>
  <c r="B13" i="4" s="1"/>
  <c r="H7" i="1"/>
  <c r="B15" i="5"/>
  <c r="K12" i="3"/>
  <c r="D5" i="4" s="1"/>
  <c r="I26" i="3"/>
  <c r="I32" i="3" s="1"/>
  <c r="D13" i="4" s="1"/>
  <c r="J32" i="3"/>
  <c r="E13" i="4" s="1"/>
  <c r="F15" i="4"/>
  <c r="E15" i="4"/>
  <c r="D15" i="4"/>
  <c r="C15" i="4"/>
  <c r="B15" i="4"/>
  <c r="G22" i="3"/>
  <c r="B6" i="4" s="1"/>
  <c r="B7" i="4" s="1"/>
  <c r="D7" i="4" l="1"/>
  <c r="B8" i="4"/>
  <c r="B9" i="4" s="1"/>
  <c r="C8" i="4"/>
  <c r="C9" i="4" s="1"/>
  <c r="E7" i="4"/>
  <c r="D8" i="4"/>
  <c r="D9" i="4" s="1"/>
  <c r="B13" i="5"/>
  <c r="H8" i="1" s="1"/>
  <c r="F11" i="4"/>
  <c r="F12" i="4" s="1"/>
  <c r="B20" i="5" l="1"/>
  <c r="B21" i="5" s="1"/>
  <c r="F14" i="4"/>
  <c r="F16" i="4" s="1"/>
  <c r="F17" i="4"/>
  <c r="B11" i="4"/>
  <c r="B12" i="4" s="1"/>
  <c r="D11" i="4"/>
  <c r="D12" i="4" s="1"/>
  <c r="C11" i="4"/>
  <c r="C12" i="4" s="1"/>
  <c r="E8" i="4"/>
  <c r="E9" i="4"/>
  <c r="C14" i="4" l="1"/>
  <c r="C16" i="4" s="1"/>
  <c r="G6" i="5" s="1"/>
  <c r="C17" i="4"/>
  <c r="B8" i="5"/>
  <c r="B14" i="4"/>
  <c r="B16" i="4" s="1"/>
  <c r="H5" i="1"/>
  <c r="B17" i="4"/>
  <c r="D14" i="4"/>
  <c r="D16" i="4" s="1"/>
  <c r="H6" i="5" s="1"/>
  <c r="D17" i="4"/>
  <c r="E11" i="4"/>
  <c r="E12" i="4" s="1"/>
  <c r="B22" i="5"/>
  <c r="B24" i="5" s="1"/>
  <c r="H9" i="1"/>
  <c r="J6" i="5" l="1"/>
  <c r="E14" i="4"/>
  <c r="E16" i="4" s="1"/>
  <c r="I6" i="5" s="1"/>
  <c r="E17" i="4"/>
  <c r="B14" i="5"/>
  <c r="B9" i="5"/>
  <c r="F6" i="5"/>
  <c r="H6" i="1"/>
  <c r="B31" i="5" l="1"/>
  <c r="B29" i="5"/>
  <c r="B30" i="5" s="1"/>
  <c r="H10" i="1" s="1"/>
</calcChain>
</file>

<file path=xl/sharedStrings.xml><?xml version="1.0" encoding="utf-8"?>
<sst xmlns="http://schemas.openxmlformats.org/spreadsheetml/2006/main" count="173" uniqueCount="135">
  <si>
    <t>Maple Plaza rent roll</t>
  </si>
  <si>
    <t>Property</t>
  </si>
  <si>
    <t>Back of envelope</t>
  </si>
  <si>
    <t>Center Name</t>
  </si>
  <si>
    <t>Maple Plaza</t>
  </si>
  <si>
    <t>Year 1 NOI before TI / LC</t>
  </si>
  <si>
    <t>Address</t>
  </si>
  <si>
    <t>910 Maple Ave</t>
  </si>
  <si>
    <t>Year 1 CF after debt</t>
  </si>
  <si>
    <t>Total SqFt</t>
  </si>
  <si>
    <t>Blended occupancy</t>
  </si>
  <si>
    <t>Occupied SqFt</t>
  </si>
  <si>
    <t>Total TI / LC in hold</t>
  </si>
  <si>
    <t>Current Occupancy</t>
  </si>
  <si>
    <t>Year 5 exit value</t>
  </si>
  <si>
    <t>Avg In-Place Rent / SqFt</t>
  </si>
  <si>
    <t>5-year equity multiple</t>
  </si>
  <si>
    <t>Avg Market Rent / SqFt</t>
  </si>
  <si>
    <t>Acquisition</t>
  </si>
  <si>
    <t>Purchase Price</t>
  </si>
  <si>
    <t>Closing Costs</t>
  </si>
  <si>
    <t>Immediate CapEx</t>
  </si>
  <si>
    <t>Total Basis</t>
  </si>
  <si>
    <t>Financing</t>
  </si>
  <si>
    <t>Down Payment (%)</t>
  </si>
  <si>
    <t>Loan Amount</t>
  </si>
  <si>
    <t>Rate</t>
  </si>
  <si>
    <t>Amortization (years)</t>
  </si>
  <si>
    <t>Monthly Debt Service</t>
  </si>
  <si>
    <t>Annual Debt Service</t>
  </si>
  <si>
    <t>Leasing Assumptions</t>
  </si>
  <si>
    <t>Market Rent Growth</t>
  </si>
  <si>
    <t>General Credit Loss</t>
  </si>
  <si>
    <t>Default Downtime (months)</t>
  </si>
  <si>
    <t>Leasing Commission (%)</t>
  </si>
  <si>
    <t>TI Allowance / SqFt</t>
  </si>
  <si>
    <t>Hold Period (years)</t>
  </si>
  <si>
    <t>Exit Cap Rate</t>
  </si>
  <si>
    <t>Selling Costs (%)</t>
  </si>
  <si>
    <t>Center Expenses</t>
  </si>
  <si>
    <t>Property Tax</t>
  </si>
  <si>
    <t>Insurance</t>
  </si>
  <si>
    <t>Common Area Utilities</t>
  </si>
  <si>
    <t>Repairs &amp; Maintenance</t>
  </si>
  <si>
    <t>Admin / Marketing</t>
  </si>
  <si>
    <t>Nonrecoverable CAM</t>
  </si>
  <si>
    <t>Management Fee (%)</t>
  </si>
  <si>
    <t>Annual Expense Growth</t>
  </si>
  <si>
    <t>Rent Roll</t>
  </si>
  <si>
    <t>Suite</t>
  </si>
  <si>
    <t>Tenant</t>
  </si>
  <si>
    <t>SqFt</t>
  </si>
  <si>
    <t>Status</t>
  </si>
  <si>
    <t>Roll Year</t>
  </si>
  <si>
    <t>In-Place Rent / SqFt</t>
  </si>
  <si>
    <t>Market Rent / SqFt</t>
  </si>
  <si>
    <t>In-Place Escalator</t>
  </si>
  <si>
    <t>CAM Recovery / SqFt</t>
  </si>
  <si>
    <t>Current Annual Base Rent</t>
  </si>
  <si>
    <t>Notes</t>
  </si>
  <si>
    <t>A</t>
  </si>
  <si>
    <t>A&amp;J Pizza</t>
  </si>
  <si>
    <t>Occupied</t>
  </si>
  <si>
    <t>doing fine</t>
  </si>
  <si>
    <t>B</t>
  </si>
  <si>
    <t>Nails by Ana</t>
  </si>
  <si>
    <t>roll soon</t>
  </si>
  <si>
    <t>C</t>
  </si>
  <si>
    <t>Town Wash</t>
  </si>
  <si>
    <t>D</t>
  </si>
  <si>
    <t>Metro PCS</t>
  </si>
  <si>
    <t>E</t>
  </si>
  <si>
    <t>Thread Local</t>
  </si>
  <si>
    <t>F</t>
  </si>
  <si>
    <t>(Vacant)</t>
  </si>
  <si>
    <t>Vacant</t>
  </si>
  <si>
    <t>Former salon</t>
  </si>
  <si>
    <t>Lease Rollover</t>
  </si>
  <si>
    <t>Base Rent by Suite</t>
  </si>
  <si>
    <t>In-Place Rent</t>
  </si>
  <si>
    <t>Market Rent</t>
  </si>
  <si>
    <t>Escalator</t>
  </si>
  <si>
    <t>Downtime</t>
  </si>
  <si>
    <t>Year 1</t>
  </si>
  <si>
    <t>Year 2</t>
  </si>
  <si>
    <t>Year 3</t>
  </si>
  <si>
    <t>Year 4</t>
  </si>
  <si>
    <t>Year 5</t>
  </si>
  <si>
    <t>Total Base Rent</t>
  </si>
  <si>
    <t>CAM Recovery by Suite</t>
  </si>
  <si>
    <t>CAM / SqFt</t>
  </si>
  <si>
    <t>Total CAM Recovery</t>
  </si>
  <si>
    <t>TI / LC Cost by Suite</t>
  </si>
  <si>
    <t>TI / SqFt</t>
  </si>
  <si>
    <t>LC %</t>
  </si>
  <si>
    <t>Total TI / LC</t>
  </si>
  <si>
    <t>5-Year Pro Forma</t>
  </si>
  <si>
    <t>Line Item</t>
  </si>
  <si>
    <t>Base rent</t>
  </si>
  <si>
    <t>CAM recoveries</t>
  </si>
  <si>
    <t>Potential gross income</t>
  </si>
  <si>
    <t>General credit loss</t>
  </si>
  <si>
    <t>Effective gross income</t>
  </si>
  <si>
    <t>Fixed operating expenses</t>
  </si>
  <si>
    <t>Management fee</t>
  </si>
  <si>
    <t>NOI before TI / LC</t>
  </si>
  <si>
    <t>TI / LC costs</t>
  </si>
  <si>
    <t>NOI after TI / LC</t>
  </si>
  <si>
    <t>Debt service</t>
  </si>
  <si>
    <t>Cash flow after debt</t>
  </si>
  <si>
    <t>DSCR</t>
  </si>
  <si>
    <t>Exit &amp; Snapshot</t>
  </si>
  <si>
    <t>Deal</t>
  </si>
  <si>
    <t>IRR Cash Flow</t>
  </si>
  <si>
    <t>Purchase price</t>
  </si>
  <si>
    <t>Initial</t>
  </si>
  <si>
    <t>Year 5 + Sale</t>
  </si>
  <si>
    <t>Total basis</t>
  </si>
  <si>
    <t>Loan amount</t>
  </si>
  <si>
    <t>Year 1 cash flow after debt</t>
  </si>
  <si>
    <t>Hold</t>
  </si>
  <si>
    <t>Total TI / LC over 5 years</t>
  </si>
  <si>
    <t>Average annual cash flow</t>
  </si>
  <si>
    <t>Current occupancy</t>
  </si>
  <si>
    <t>Blended market rent / SqFt</t>
  </si>
  <si>
    <t>Sale</t>
  </si>
  <si>
    <t>Year 5 NOI before TI / LC</t>
  </si>
  <si>
    <t>Exit value</t>
  </si>
  <si>
    <t>Selling costs</t>
  </si>
  <si>
    <t>Loan payoff</t>
  </si>
  <si>
    <t>Net sale proceeds</t>
  </si>
  <si>
    <t>Returns</t>
  </si>
  <si>
    <t>Initial equity</t>
  </si>
  <si>
    <t>Total cash back</t>
  </si>
  <si>
    <t>Levered 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</si>
</sst>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$#,##0.00"/>
    <numFmt numFmtId="166" formatCode="\$#,##0"/>
    <numFmt numFmtId="167" formatCode="0.00\x"/>
  </numFmts>
  <fonts count="10" x14ac:knownFonts="1">
    <font>
      <sz val="11"/>
      <color theme="1"/>
      <name val="Calibri"/>
      <family val="2"/>
      <scheme val="minor"/>
    </font>
    <font>
      <b/>
      <sz val="14"/>
      <color rgb="FF333333"/>
      <name val="Calibri"/>
      <family val="2"/>
    </font>
    <font>
      <b/>
      <sz val="11"/>
      <color rgb="FF404040"/>
      <name val="Calibri"/>
      <family val="2"/>
    </font>
    <font>
      <sz val="11"/>
      <color rgb="FF000000"/>
      <name val="Calibri"/>
      <family val="2"/>
    </font>
    <font>
      <sz val="11"/>
      <color rgb="FF4472C4"/>
      <name val="Calibri"/>
      <family val="2"/>
    </font>
    <font>
      <sz val="9"/>
      <color rgb="FF808080"/>
      <name val="Calibri"/>
      <family val="2"/>
    </font>
    <font>
      <b/>
      <sz val="11"/>
      <color rgb="FF595959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</font>
    <font>
      <b/>
      <sz val="11"/>
      <color rgb="FF4472C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8DFD0"/>
      </patternFill>
    </fill>
    <fill>
      <patternFill patternType="solid">
        <fgColor rgb="FFFFF2CC"/>
      </patternFill>
    </fill>
    <fill>
      <patternFill patternType="solid">
        <fgColor rgb="FFF3F3F3"/>
      </patternFill>
    </fill>
  </fills>
  <borders count="4">
    <border>
      <left/>
      <right/>
      <top/>
      <bottom/>
      <diagonal/>
    </border>
    <border>
      <left style="thin">
        <color rgb="FFC4B8A8"/>
      </left>
      <right style="thin">
        <color rgb="FFC4B8A8"/>
      </right>
      <top style="thin">
        <color rgb="FFC4B8A8"/>
      </top>
      <bottom style="medium">
        <color rgb="FFC4B8A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6" fontId="4" fillId="0" borderId="2" xfId="0" applyNumberFormat="1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left" vertical="center"/>
    </xf>
    <xf numFmtId="165" fontId="4" fillId="0" borderId="2" xfId="0" applyNumberFormat="1" applyFont="1" applyBorder="1" applyAlignment="1">
      <alignment horizontal="left" vertical="center"/>
    </xf>
    <xf numFmtId="167" fontId="4" fillId="0" borderId="2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3" fillId="3" borderId="2" xfId="0" applyNumberFormat="1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horizontal="left" vertical="center"/>
    </xf>
    <xf numFmtId="10" fontId="3" fillId="3" borderId="2" xfId="0" applyNumberFormat="1" applyFont="1" applyFill="1" applyBorder="1" applyAlignment="1">
      <alignment horizontal="left" vertical="center"/>
    </xf>
    <xf numFmtId="3" fontId="3" fillId="3" borderId="2" xfId="0" applyNumberFormat="1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165" fontId="3" fillId="3" borderId="2" xfId="0" applyNumberFormat="1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2" fontId="4" fillId="0" borderId="2" xfId="0" applyNumberFormat="1" applyFont="1" applyBorder="1" applyAlignment="1">
      <alignment horizontal="left" vertical="center"/>
    </xf>
    <xf numFmtId="10" fontId="4" fillId="0" borderId="2" xfId="0" applyNumberFormat="1" applyFont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3" fontId="4" fillId="0" borderId="3" xfId="0" applyNumberFormat="1" applyFont="1" applyBorder="1" applyAlignment="1">
      <alignment horizontal="left" vertical="center"/>
    </xf>
    <xf numFmtId="166" fontId="4" fillId="0" borderId="3" xfId="0" applyNumberFormat="1" applyFont="1" applyBorder="1" applyAlignment="1">
      <alignment horizontal="left" vertical="center"/>
    </xf>
    <xf numFmtId="164" fontId="4" fillId="0" borderId="3" xfId="0" applyNumberFormat="1" applyFont="1" applyBorder="1" applyAlignment="1">
      <alignment horizontal="left" vertical="center"/>
    </xf>
    <xf numFmtId="165" fontId="4" fillId="0" borderId="3" xfId="0" applyNumberFormat="1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166" fontId="9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4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G7" sqref="G7"/>
    </sheetView>
  </sheetViews>
  <sheetFormatPr defaultRowHeight="15" x14ac:dyDescent="0.25"/>
  <cols>
    <col min="1" max="1" width="30.140625" customWidth="1"/>
    <col min="2" max="2" width="16" customWidth="1"/>
    <col min="3" max="6" width="1.7109375" customWidth="1"/>
    <col min="7" max="7" width="26" customWidth="1"/>
    <col min="8" max="8" width="16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ht="18.75" x14ac:dyDescent="0.25">
      <c r="A2" s="2" t="s">
        <v>0</v>
      </c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3" t="s">
        <v>1</v>
      </c>
      <c r="B4" s="1"/>
      <c r="C4" s="1"/>
      <c r="D4" s="1"/>
      <c r="E4" s="1"/>
      <c r="F4" s="1"/>
      <c r="G4" s="3" t="s">
        <v>2</v>
      </c>
      <c r="H4" s="1"/>
    </row>
    <row r="5" spans="1:8" x14ac:dyDescent="0.25">
      <c r="A5" s="4" t="s">
        <v>3</v>
      </c>
      <c r="B5" s="5" t="s">
        <v>4</v>
      </c>
      <c r="C5" s="1"/>
      <c r="D5" s="1"/>
      <c r="E5" s="1"/>
      <c r="F5" s="1"/>
      <c r="G5" s="6" t="s">
        <v>5</v>
      </c>
      <c r="H5" s="7">
        <f>'5-Year Pro Forma'!B12</f>
        <v>123607.03999999999</v>
      </c>
    </row>
    <row r="6" spans="1:8" x14ac:dyDescent="0.25">
      <c r="A6" s="4" t="s">
        <v>6</v>
      </c>
      <c r="B6" s="5" t="s">
        <v>7</v>
      </c>
      <c r="C6" s="1"/>
      <c r="D6" s="1"/>
      <c r="E6" s="1"/>
      <c r="F6" s="1"/>
      <c r="G6" s="6" t="s">
        <v>8</v>
      </c>
      <c r="H6" s="7">
        <f>'5-Year Pro Forma'!B16</f>
        <v>-79993.636614832227</v>
      </c>
    </row>
    <row r="7" spans="1:8" x14ac:dyDescent="0.25">
      <c r="A7" s="4" t="s">
        <v>9</v>
      </c>
      <c r="B7" s="8">
        <f>SUM('Rent Roll'!C5:C10)</f>
        <v>9200</v>
      </c>
      <c r="C7" s="1"/>
      <c r="D7" s="1"/>
      <c r="E7" s="1"/>
      <c r="F7" s="1"/>
      <c r="G7" s="6" t="s">
        <v>10</v>
      </c>
      <c r="H7" s="9">
        <f>B9</f>
        <v>0.82608695652173914</v>
      </c>
    </row>
    <row r="8" spans="1:8" x14ac:dyDescent="0.25">
      <c r="A8" s="4" t="s">
        <v>11</v>
      </c>
      <c r="B8" s="8">
        <f>SUMIFS('Rent Roll'!C5:C10,'Rent Roll'!D5:D10,"Occupied")+SUMIFS('Rent Roll'!C5:C10,'Rent Roll'!D5:D10,"MTM")</f>
        <v>7600</v>
      </c>
      <c r="C8" s="1"/>
      <c r="D8" s="1"/>
      <c r="E8" s="1"/>
      <c r="F8" s="1"/>
      <c r="G8" s="6" t="s">
        <v>12</v>
      </c>
      <c r="H8" s="7">
        <f>'Exit &amp; Snapshot'!B13</f>
        <v>116616.95703125</v>
      </c>
    </row>
    <row r="9" spans="1:8" x14ac:dyDescent="0.25">
      <c r="A9" s="4" t="s">
        <v>13</v>
      </c>
      <c r="B9" s="9">
        <f>IF(B7=0,0,B8/B7)</f>
        <v>0.82608695652173914</v>
      </c>
      <c r="C9" s="1"/>
      <c r="D9" s="1"/>
      <c r="E9" s="1"/>
      <c r="F9" s="1"/>
      <c r="G9" s="6" t="s">
        <v>14</v>
      </c>
      <c r="H9" s="7">
        <f>'Exit &amp; Snapshot'!B21</f>
        <v>2334598.3241839283</v>
      </c>
    </row>
    <row r="10" spans="1:8" x14ac:dyDescent="0.25">
      <c r="A10" s="4" t="s">
        <v>15</v>
      </c>
      <c r="B10" s="10">
        <f>IF(B8=0,0,SUM('Rent Roll'!J5:J10)/B8)</f>
        <v>22.289473684210527</v>
      </c>
      <c r="C10" s="1"/>
      <c r="D10" s="1"/>
      <c r="E10" s="1"/>
      <c r="F10" s="1"/>
      <c r="G10" s="6" t="s">
        <v>16</v>
      </c>
      <c r="H10" s="11">
        <f>'Exit &amp; Snapshot'!B30</f>
        <v>-1.5246254838601103</v>
      </c>
    </row>
    <row r="11" spans="1:8" x14ac:dyDescent="0.25">
      <c r="A11" s="4" t="s">
        <v>17</v>
      </c>
      <c r="B11" s="10">
        <f>IF(B7=0,0,SUMPRODUCT('Rent Roll'!C5:C10,'Rent Roll'!G5:G10)/B7)</f>
        <v>24.239130434782609</v>
      </c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2"/>
      <c r="H12" s="1"/>
    </row>
    <row r="13" spans="1:8" x14ac:dyDescent="0.25">
      <c r="A13" s="3" t="s">
        <v>18</v>
      </c>
      <c r="B13" s="1"/>
      <c r="C13" s="1"/>
      <c r="D13" s="1"/>
      <c r="E13" s="1"/>
      <c r="F13" s="1"/>
      <c r="G13" s="12"/>
      <c r="H13" s="1"/>
    </row>
    <row r="14" spans="1:8" x14ac:dyDescent="0.25">
      <c r="A14" s="4" t="s">
        <v>19</v>
      </c>
      <c r="B14" s="13">
        <v>3150000</v>
      </c>
      <c r="C14" s="1"/>
      <c r="D14" s="1"/>
      <c r="E14" s="1"/>
      <c r="F14" s="1"/>
      <c r="G14" s="1"/>
      <c r="H14" s="1"/>
    </row>
    <row r="15" spans="1:8" x14ac:dyDescent="0.25">
      <c r="A15" s="4" t="s">
        <v>20</v>
      </c>
      <c r="B15" s="13">
        <v>55000</v>
      </c>
      <c r="C15" s="1"/>
      <c r="D15" s="1"/>
      <c r="E15" s="1"/>
      <c r="F15" s="1"/>
      <c r="G15" s="1"/>
      <c r="H15" s="1"/>
    </row>
    <row r="16" spans="1:8" x14ac:dyDescent="0.25">
      <c r="A16" s="4" t="s">
        <v>21</v>
      </c>
      <c r="B16" s="13">
        <v>40000</v>
      </c>
      <c r="C16" s="1"/>
      <c r="D16" s="1"/>
      <c r="E16" s="1"/>
      <c r="F16" s="1"/>
      <c r="G16" s="1"/>
      <c r="H16" s="1"/>
    </row>
    <row r="17" spans="1:8" x14ac:dyDescent="0.25">
      <c r="A17" s="4" t="s">
        <v>22</v>
      </c>
      <c r="B17" s="7">
        <f>B14+B15+B16</f>
        <v>3245000</v>
      </c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3" t="s">
        <v>23</v>
      </c>
      <c r="B19" s="1"/>
      <c r="C19" s="1"/>
      <c r="D19" s="1"/>
      <c r="E19" s="1"/>
      <c r="F19" s="1"/>
      <c r="G19" s="1"/>
      <c r="H19" s="1"/>
    </row>
    <row r="20" spans="1:8" x14ac:dyDescent="0.25">
      <c r="A20" s="4" t="s">
        <v>24</v>
      </c>
      <c r="B20" s="14">
        <v>0.35</v>
      </c>
      <c r="C20" s="1"/>
      <c r="D20" s="1"/>
      <c r="E20" s="1"/>
      <c r="F20" s="1"/>
      <c r="G20" s="1"/>
      <c r="H20" s="1"/>
    </row>
    <row r="21" spans="1:8" x14ac:dyDescent="0.25">
      <c r="A21" s="4" t="s">
        <v>25</v>
      </c>
      <c r="B21" s="7">
        <f>B14*(1-B20)</f>
        <v>2047500</v>
      </c>
      <c r="C21" s="1"/>
      <c r="D21" s="1"/>
      <c r="E21" s="1"/>
      <c r="F21" s="1"/>
      <c r="G21" s="1"/>
      <c r="H21" s="1"/>
    </row>
    <row r="22" spans="1:8" x14ac:dyDescent="0.25">
      <c r="A22" s="4" t="s">
        <v>26</v>
      </c>
      <c r="B22" s="15">
        <v>6.6500000000000004E-2</v>
      </c>
      <c r="C22" s="1"/>
      <c r="D22" s="1"/>
      <c r="E22" s="1"/>
      <c r="F22" s="1"/>
      <c r="G22" s="1"/>
      <c r="H22" s="1"/>
    </row>
    <row r="23" spans="1:8" x14ac:dyDescent="0.25">
      <c r="A23" s="4" t="s">
        <v>27</v>
      </c>
      <c r="B23" s="16">
        <v>25</v>
      </c>
      <c r="C23" s="1"/>
      <c r="D23" s="1"/>
      <c r="E23" s="1"/>
      <c r="F23" s="1"/>
      <c r="G23" s="1"/>
      <c r="H23" s="1"/>
    </row>
    <row r="24" spans="1:8" x14ac:dyDescent="0.25">
      <c r="A24" s="4" t="s">
        <v>28</v>
      </c>
      <c r="B24" s="7">
        <f>PMT(B22/12,B23*12,-B21)</f>
        <v>14017.389717902684</v>
      </c>
      <c r="C24" s="1"/>
      <c r="D24" s="1"/>
      <c r="E24" s="1"/>
      <c r="F24" s="1"/>
      <c r="G24" s="1"/>
      <c r="H24" s="1"/>
    </row>
    <row r="25" spans="1:8" x14ac:dyDescent="0.25">
      <c r="A25" s="4" t="s">
        <v>29</v>
      </c>
      <c r="B25" s="7">
        <f>B24*12</f>
        <v>168208.67661483222</v>
      </c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3" t="s">
        <v>30</v>
      </c>
      <c r="B27" s="1"/>
      <c r="C27" s="1"/>
      <c r="D27" s="1"/>
      <c r="E27" s="1"/>
      <c r="F27" s="1"/>
      <c r="G27" s="1"/>
      <c r="H27" s="1"/>
    </row>
    <row r="28" spans="1:8" x14ac:dyDescent="0.25">
      <c r="A28" s="4" t="s">
        <v>31</v>
      </c>
      <c r="B28" s="14">
        <v>2.5000000000000001E-2</v>
      </c>
      <c r="C28" s="1"/>
      <c r="D28" s="1"/>
      <c r="E28" s="1"/>
      <c r="F28" s="1"/>
      <c r="G28" s="1"/>
      <c r="H28" s="1"/>
    </row>
    <row r="29" spans="1:8" x14ac:dyDescent="0.25">
      <c r="A29" s="4" t="s">
        <v>32</v>
      </c>
      <c r="B29" s="14">
        <v>0.02</v>
      </c>
      <c r="C29" s="1"/>
      <c r="D29" s="1"/>
      <c r="E29" s="1"/>
      <c r="F29" s="1"/>
      <c r="G29" s="1"/>
      <c r="H29" s="1"/>
    </row>
    <row r="30" spans="1:8" x14ac:dyDescent="0.25">
      <c r="A30" s="4" t="s">
        <v>33</v>
      </c>
      <c r="B30" s="16">
        <v>4</v>
      </c>
      <c r="C30" s="1"/>
      <c r="D30" s="1"/>
      <c r="E30" s="1"/>
      <c r="F30" s="1"/>
      <c r="G30" s="1"/>
      <c r="H30" s="1"/>
    </row>
    <row r="31" spans="1:8" x14ac:dyDescent="0.25">
      <c r="A31" s="4" t="s">
        <v>34</v>
      </c>
      <c r="B31" s="14">
        <v>0.04</v>
      </c>
      <c r="C31" s="1"/>
      <c r="D31" s="1"/>
      <c r="E31" s="1"/>
      <c r="F31" s="1"/>
      <c r="G31" s="1"/>
      <c r="H31" s="1"/>
    </row>
    <row r="32" spans="1:8" x14ac:dyDescent="0.25">
      <c r="A32" s="4" t="s">
        <v>35</v>
      </c>
      <c r="B32" s="13">
        <v>12</v>
      </c>
      <c r="C32" s="1"/>
      <c r="D32" s="1"/>
      <c r="E32" s="1"/>
      <c r="F32" s="1"/>
      <c r="G32" s="1"/>
      <c r="H32" s="1"/>
    </row>
    <row r="33" spans="1:8" x14ac:dyDescent="0.25">
      <c r="A33" s="4" t="s">
        <v>36</v>
      </c>
      <c r="B33" s="16">
        <v>5</v>
      </c>
      <c r="C33" s="1"/>
      <c r="D33" s="1"/>
      <c r="E33" s="1"/>
      <c r="F33" s="1"/>
      <c r="G33" s="1"/>
      <c r="H33" s="1"/>
    </row>
    <row r="34" spans="1:8" x14ac:dyDescent="0.25">
      <c r="A34" s="4" t="s">
        <v>37</v>
      </c>
      <c r="B34" s="15">
        <v>7.0000000000000007E-2</v>
      </c>
      <c r="C34" s="1"/>
      <c r="D34" s="1"/>
      <c r="E34" s="1"/>
      <c r="F34" s="1"/>
      <c r="G34" s="1"/>
      <c r="H34" s="1"/>
    </row>
    <row r="35" spans="1:8" x14ac:dyDescent="0.25">
      <c r="A35" s="4" t="s">
        <v>38</v>
      </c>
      <c r="B35" s="14">
        <v>3.5000000000000003E-2</v>
      </c>
      <c r="C35" s="1"/>
      <c r="D35" s="1"/>
      <c r="E35" s="1"/>
      <c r="F35" s="1"/>
      <c r="G35" s="1"/>
      <c r="H35" s="1"/>
    </row>
    <row r="36" spans="1:8" x14ac:dyDescent="0.25">
      <c r="A36" s="1"/>
      <c r="B36" s="1"/>
      <c r="C36" s="1"/>
      <c r="D36" s="1"/>
      <c r="E36" s="1"/>
      <c r="F36" s="1"/>
      <c r="G36" s="1"/>
      <c r="H36" s="1"/>
    </row>
    <row r="37" spans="1:8" x14ac:dyDescent="0.25">
      <c r="A37" s="3" t="s">
        <v>39</v>
      </c>
      <c r="B37" s="1"/>
      <c r="C37" s="1"/>
      <c r="D37" s="1"/>
      <c r="E37" s="1"/>
      <c r="F37" s="1"/>
      <c r="G37" s="1"/>
      <c r="H37" s="1"/>
    </row>
    <row r="38" spans="1:8" x14ac:dyDescent="0.25">
      <c r="A38" s="4" t="s">
        <v>40</v>
      </c>
      <c r="B38" s="13">
        <v>32000</v>
      </c>
      <c r="C38" s="1"/>
      <c r="D38" s="1"/>
      <c r="E38" s="1"/>
      <c r="F38" s="1"/>
      <c r="G38" s="1"/>
      <c r="H38" s="1"/>
    </row>
    <row r="39" spans="1:8" x14ac:dyDescent="0.25">
      <c r="A39" s="4" t="s">
        <v>41</v>
      </c>
      <c r="B39" s="13">
        <v>9000</v>
      </c>
      <c r="C39" s="1"/>
      <c r="D39" s="1"/>
      <c r="E39" s="1"/>
      <c r="F39" s="1"/>
      <c r="G39" s="1"/>
      <c r="H39" s="1"/>
    </row>
    <row r="40" spans="1:8" x14ac:dyDescent="0.25">
      <c r="A40" s="4" t="s">
        <v>42</v>
      </c>
      <c r="B40" s="13">
        <v>15000</v>
      </c>
      <c r="C40" s="1"/>
      <c r="D40" s="1"/>
      <c r="E40" s="1"/>
      <c r="F40" s="1"/>
      <c r="G40" s="1"/>
      <c r="H40" s="1"/>
    </row>
    <row r="41" spans="1:8" x14ac:dyDescent="0.25">
      <c r="A41" s="4" t="s">
        <v>43</v>
      </c>
      <c r="B41" s="13">
        <v>18000</v>
      </c>
      <c r="C41" s="1"/>
      <c r="D41" s="1"/>
      <c r="E41" s="1"/>
      <c r="F41" s="1"/>
      <c r="G41" s="1"/>
      <c r="H41" s="1"/>
    </row>
    <row r="42" spans="1:8" x14ac:dyDescent="0.25">
      <c r="A42" s="4" t="s">
        <v>44</v>
      </c>
      <c r="B42" s="13">
        <v>8000</v>
      </c>
      <c r="C42" s="1"/>
      <c r="D42" s="1"/>
      <c r="E42" s="1"/>
      <c r="F42" s="1"/>
      <c r="G42" s="1"/>
      <c r="H42" s="1"/>
    </row>
    <row r="43" spans="1:8" x14ac:dyDescent="0.25">
      <c r="A43" s="4" t="s">
        <v>45</v>
      </c>
      <c r="B43" s="13">
        <v>12000</v>
      </c>
      <c r="C43" s="1"/>
      <c r="D43" s="1"/>
      <c r="E43" s="1"/>
      <c r="F43" s="1"/>
      <c r="G43" s="1"/>
      <c r="H43" s="1"/>
    </row>
    <row r="44" spans="1:8" x14ac:dyDescent="0.25">
      <c r="A44" s="4" t="s">
        <v>46</v>
      </c>
      <c r="B44" s="14">
        <v>0.04</v>
      </c>
      <c r="C44" s="1"/>
      <c r="D44" s="1"/>
      <c r="E44" s="1"/>
      <c r="F44" s="1"/>
      <c r="G44" s="1"/>
      <c r="H44" s="1"/>
    </row>
    <row r="45" spans="1:8" x14ac:dyDescent="0.25">
      <c r="A45" s="4" t="s">
        <v>47</v>
      </c>
      <c r="B45" s="14">
        <v>2.5000000000000001E-2</v>
      </c>
      <c r="C45" s="1"/>
      <c r="D45" s="1"/>
      <c r="E45" s="1"/>
      <c r="F45" s="1"/>
      <c r="G45" s="1"/>
      <c r="H45" s="1"/>
    </row>
  </sheetData>
  <conditionalFormatting sqref="B9">
    <cfRule type="cellIs" dxfId="3" priority="1" operator="lessThan">
      <formula>0.9</formula>
    </cfRule>
  </conditionalFormatting>
  <conditionalFormatting sqref="H7">
    <cfRule type="cellIs" dxfId="2" priority="2" operator="lessThan">
      <formula>0.9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G6" sqref="G6:G8"/>
    </sheetView>
  </sheetViews>
  <sheetFormatPr defaultRowHeight="15" x14ac:dyDescent="0.25"/>
  <cols>
    <col min="1" max="1" width="10" customWidth="1"/>
    <col min="2" max="2" width="18" customWidth="1"/>
    <col min="3" max="3" width="11" customWidth="1"/>
    <col min="4" max="4" width="12" customWidth="1"/>
    <col min="5" max="5" width="10" customWidth="1"/>
    <col min="6" max="7" width="16" customWidth="1"/>
    <col min="8" max="8" width="15" customWidth="1"/>
    <col min="9" max="9" width="16" customWidth="1"/>
    <col min="10" max="11" width="18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.75" x14ac:dyDescent="0.25">
      <c r="A2" s="2" t="s">
        <v>48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30" x14ac:dyDescent="0.25">
      <c r="A4" s="17" t="s">
        <v>49</v>
      </c>
      <c r="B4" s="17" t="s">
        <v>50</v>
      </c>
      <c r="C4" s="17" t="s">
        <v>51</v>
      </c>
      <c r="D4" s="17" t="s">
        <v>52</v>
      </c>
      <c r="E4" s="17" t="s">
        <v>53</v>
      </c>
      <c r="F4" s="17" t="s">
        <v>54</v>
      </c>
      <c r="G4" s="17" t="s">
        <v>55</v>
      </c>
      <c r="H4" s="17" t="s">
        <v>56</v>
      </c>
      <c r="I4" s="17" t="s">
        <v>57</v>
      </c>
      <c r="J4" s="17" t="s">
        <v>58</v>
      </c>
      <c r="K4" s="17" t="s">
        <v>59</v>
      </c>
    </row>
    <row r="5" spans="1:11" x14ac:dyDescent="0.25">
      <c r="A5" s="5" t="s">
        <v>60</v>
      </c>
      <c r="B5" s="5" t="s">
        <v>61</v>
      </c>
      <c r="C5" s="16">
        <v>1800</v>
      </c>
      <c r="D5" s="5" t="s">
        <v>62</v>
      </c>
      <c r="E5" s="16">
        <v>3</v>
      </c>
      <c r="F5" s="18">
        <v>24</v>
      </c>
      <c r="G5" s="18">
        <v>26</v>
      </c>
      <c r="H5" s="14">
        <v>2.5000000000000001E-2</v>
      </c>
      <c r="I5" s="18">
        <v>5.5</v>
      </c>
      <c r="J5" s="7">
        <f t="shared" ref="J5:J10" si="0">IF(D5="Vacant",0,C5*F5)</f>
        <v>43200</v>
      </c>
      <c r="K5" s="22" t="s">
        <v>63</v>
      </c>
    </row>
    <row r="6" spans="1:11" x14ac:dyDescent="0.25">
      <c r="A6" s="5" t="s">
        <v>64</v>
      </c>
      <c r="B6" s="5" t="s">
        <v>65</v>
      </c>
      <c r="C6" s="16">
        <v>1200</v>
      </c>
      <c r="D6" s="5" t="s">
        <v>62</v>
      </c>
      <c r="E6" s="16">
        <v>1</v>
      </c>
      <c r="F6" s="18">
        <v>22</v>
      </c>
      <c r="G6" s="18">
        <v>24</v>
      </c>
      <c r="H6" s="14">
        <v>0.02</v>
      </c>
      <c r="I6" s="18">
        <v>5.25</v>
      </c>
      <c r="J6" s="7">
        <f t="shared" si="0"/>
        <v>26400</v>
      </c>
      <c r="K6" s="5" t="s">
        <v>66</v>
      </c>
    </row>
    <row r="7" spans="1:11" x14ac:dyDescent="0.25">
      <c r="A7" s="5" t="s">
        <v>67</v>
      </c>
      <c r="B7" s="5" t="s">
        <v>68</v>
      </c>
      <c r="C7" s="16">
        <v>2200</v>
      </c>
      <c r="D7" s="5" t="s">
        <v>62</v>
      </c>
      <c r="E7" s="16">
        <v>4</v>
      </c>
      <c r="F7" s="18">
        <v>18</v>
      </c>
      <c r="G7" s="18">
        <v>20</v>
      </c>
      <c r="H7" s="14">
        <v>0.02</v>
      </c>
      <c r="I7" s="18">
        <v>4.75</v>
      </c>
      <c r="J7" s="7">
        <f t="shared" si="0"/>
        <v>39600</v>
      </c>
      <c r="K7" s="5"/>
    </row>
    <row r="8" spans="1:11" x14ac:dyDescent="0.25">
      <c r="A8" s="5" t="s">
        <v>69</v>
      </c>
      <c r="B8" s="5" t="s">
        <v>70</v>
      </c>
      <c r="C8" s="16">
        <v>1000</v>
      </c>
      <c r="D8" s="5" t="s">
        <v>62</v>
      </c>
      <c r="E8" s="16">
        <v>2</v>
      </c>
      <c r="F8" s="18">
        <v>28</v>
      </c>
      <c r="G8" s="18">
        <v>30</v>
      </c>
      <c r="H8" s="14">
        <v>0.03</v>
      </c>
      <c r="I8" s="18">
        <v>6</v>
      </c>
      <c r="J8" s="7">
        <f t="shared" si="0"/>
        <v>28000</v>
      </c>
      <c r="K8" s="5"/>
    </row>
    <row r="9" spans="1:11" x14ac:dyDescent="0.25">
      <c r="A9" s="5" t="s">
        <v>71</v>
      </c>
      <c r="B9" s="5" t="s">
        <v>72</v>
      </c>
      <c r="C9" s="16">
        <v>1400</v>
      </c>
      <c r="D9" s="5" t="s">
        <v>62</v>
      </c>
      <c r="E9" s="16">
        <v>5</v>
      </c>
      <c r="F9" s="18">
        <v>23</v>
      </c>
      <c r="G9" s="18">
        <v>25</v>
      </c>
      <c r="H9" s="14">
        <v>2.5000000000000001E-2</v>
      </c>
      <c r="I9" s="18">
        <v>5.25</v>
      </c>
      <c r="J9" s="7">
        <f t="shared" si="0"/>
        <v>32200</v>
      </c>
      <c r="K9" s="5"/>
    </row>
    <row r="10" spans="1:11" x14ac:dyDescent="0.25">
      <c r="A10" s="5" t="s">
        <v>73</v>
      </c>
      <c r="B10" s="5" t="s">
        <v>74</v>
      </c>
      <c r="C10" s="16">
        <v>1600</v>
      </c>
      <c r="D10" s="5" t="s">
        <v>75</v>
      </c>
      <c r="E10" s="16">
        <v>1</v>
      </c>
      <c r="F10" s="18">
        <v>0</v>
      </c>
      <c r="G10" s="18">
        <v>24</v>
      </c>
      <c r="H10" s="14">
        <v>0</v>
      </c>
      <c r="I10" s="18">
        <v>5.25</v>
      </c>
      <c r="J10" s="7">
        <f t="shared" si="0"/>
        <v>0</v>
      </c>
      <c r="K10" s="5" t="s">
        <v>76</v>
      </c>
    </row>
  </sheetData>
  <dataValidations count="2">
    <dataValidation type="list" sqref="D5:D10" xr:uid="{00000000-0002-0000-0100-000000000000}">
      <formula1>"Occupied,Vacant,MTM"</formula1>
    </dataValidation>
    <dataValidation type="whole" sqref="E5:E10" xr:uid="{00000000-0002-0000-0100-000001000000}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2"/>
  <sheetViews>
    <sheetView showGridLines="0" workbookViewId="0">
      <pane xSplit="1" ySplit="5" topLeftCell="B12" activePane="bottomRight" state="frozen"/>
      <selection pane="topRight"/>
      <selection pane="bottomLeft"/>
      <selection pane="bottomRight" activeCell="F19" sqref="F19"/>
    </sheetView>
  </sheetViews>
  <sheetFormatPr defaultRowHeight="15" x14ac:dyDescent="0.25"/>
  <cols>
    <col min="1" max="1" width="21.85546875" bestFit="1" customWidth="1"/>
    <col min="2" max="2" width="10" customWidth="1"/>
    <col min="3" max="3" width="12" customWidth="1"/>
    <col min="4" max="4" width="10" customWidth="1"/>
    <col min="5" max="6" width="14" customWidth="1"/>
    <col min="7" max="13" width="12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.75" x14ac:dyDescent="0.25">
      <c r="A2" s="2" t="s">
        <v>77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75" thickBot="1" x14ac:dyDescent="0.3">
      <c r="A4" s="3" t="s">
        <v>78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7" t="s">
        <v>49</v>
      </c>
      <c r="B5" s="17" t="s">
        <v>51</v>
      </c>
      <c r="C5" s="17" t="s">
        <v>52</v>
      </c>
      <c r="D5" s="17" t="s">
        <v>53</v>
      </c>
      <c r="E5" s="17" t="s">
        <v>79</v>
      </c>
      <c r="F5" s="17" t="s">
        <v>80</v>
      </c>
      <c r="G5" s="17" t="s">
        <v>81</v>
      </c>
      <c r="H5" s="17" t="s">
        <v>82</v>
      </c>
      <c r="I5" s="17" t="s">
        <v>83</v>
      </c>
      <c r="J5" s="17" t="s">
        <v>84</v>
      </c>
      <c r="K5" s="17" t="s">
        <v>85</v>
      </c>
      <c r="L5" s="17" t="s">
        <v>86</v>
      </c>
      <c r="M5" s="17" t="s">
        <v>87</v>
      </c>
    </row>
    <row r="6" spans="1:13" x14ac:dyDescent="0.25">
      <c r="A6" s="19" t="str">
        <f>'Rent Roll'!A5</f>
        <v>A</v>
      </c>
      <c r="B6" s="8">
        <f>'Rent Roll'!C5</f>
        <v>1800</v>
      </c>
      <c r="C6" s="19" t="str">
        <f>'Rent Roll'!D5</f>
        <v>Occupied</v>
      </c>
      <c r="D6" s="8">
        <f>'Rent Roll'!E5</f>
        <v>3</v>
      </c>
      <c r="E6" s="10">
        <f>'Rent Roll'!F5</f>
        <v>24</v>
      </c>
      <c r="F6" s="10">
        <f>'Rent Roll'!G5</f>
        <v>26</v>
      </c>
      <c r="G6" s="9">
        <f>'Rent Roll'!H5</f>
        <v>2.5000000000000001E-2</v>
      </c>
      <c r="H6" s="8">
        <f>'Center Overview'!$B$30</f>
        <v>4</v>
      </c>
      <c r="I6" s="7">
        <f>IF($C6="Vacant",IF(1=1,$B6*$F6*(12-$H6)/12,$B6*$F6*(1+'Center Overview'!$B$28)^(1-1)),IF(1&lt;$D6,$B6*$E6*(1+$G6)^(1-1),IF(1=$D6,$B6*$F6*(1+'Center Overview'!$B$28)^(1-1)*(12-$H6)/12,$B6*$F6*(1+'Center Overview'!$B$28)^(1-1))))</f>
        <v>43200</v>
      </c>
      <c r="J6" s="7">
        <f>IF($C6="Vacant",IF(2=1,$B6*$F6*(12-$H6)/12,$B6*$F6*(1+'Center Overview'!$B$28)^(2-1)),IF(2&lt;$D6,$B6*$E6*(1+$G6)^(2-1),IF(2=$D6,$B6*$F6*(1+'Center Overview'!$B$28)^(2-1)*(12-$H6)/12,$B6*$F6*(1+'Center Overview'!$B$28)^(2-1))))</f>
        <v>44279.999999999993</v>
      </c>
      <c r="K6" s="7">
        <f>IF($C6="Vacant",IF(3=1,$B6*$F6*(12-$H6)/12,$B6*$F6*(1+'Center Overview'!$B$28)^(3-1)),IF(3&lt;$D6,$B6*$E6*(1+$G6)^(3-1),IF(3=$D6,$B6*$F6*(1+'Center Overview'!$B$28)^(3-1)*(12-$H6)/12,$B6*$F6*(1+'Center Overview'!$B$28)^(3-1))))</f>
        <v>32779.499999999993</v>
      </c>
      <c r="L6" s="7">
        <f>IF($C6="Vacant",IF(4=1,$B6*$F6*(12-$H6)/12,$B6*$F6*(1+'Center Overview'!$B$28)^(4-1)),IF(4&lt;$D6,$B6*$E6*(1+$G6)^(4-1),IF(4=$D6,$B6*$F6*(1+'Center Overview'!$B$28)^(4-1)*(12-$H6)/12,$B6*$F6*(1+'Center Overview'!$B$28)^(4-1))))</f>
        <v>50398.481249999997</v>
      </c>
      <c r="M6" s="7">
        <f>IF($C6="Vacant",IF(5=1,$B6*$F6*(12-$H6)/12,$B6*$F6*(1+'Center Overview'!$B$28)^(5-1)),IF(5&lt;$D6,$B6*$E6*(1+$G6)^(5-1),IF(5=$D6,$B6*$F6*(1+'Center Overview'!$B$28)^(5-1)*(12-$H6)/12,$B6*$F6*(1+'Center Overview'!$B$28)^(5-1))))</f>
        <v>51658.443281249987</v>
      </c>
    </row>
    <row r="7" spans="1:13" x14ac:dyDescent="0.25">
      <c r="A7" s="19" t="str">
        <f>'Rent Roll'!A6</f>
        <v>B</v>
      </c>
      <c r="B7" s="8">
        <f>'Rent Roll'!C6</f>
        <v>1200</v>
      </c>
      <c r="C7" s="19" t="str">
        <f>'Rent Roll'!D6</f>
        <v>Occupied</v>
      </c>
      <c r="D7" s="8">
        <f>'Rent Roll'!E6</f>
        <v>1</v>
      </c>
      <c r="E7" s="10">
        <f>'Rent Roll'!F6</f>
        <v>22</v>
      </c>
      <c r="F7" s="10">
        <f>'Rent Roll'!G6</f>
        <v>24</v>
      </c>
      <c r="G7" s="9">
        <f>'Rent Roll'!H6</f>
        <v>0.02</v>
      </c>
      <c r="H7" s="8">
        <f>'Center Overview'!$B$30</f>
        <v>4</v>
      </c>
      <c r="I7" s="7">
        <f>IF($C7="Vacant",IF(1=1,$B7*$F7*(12-$H7)/12,$B7*$F7*(1+'Center Overview'!$B$28)^(1-1)),IF(1&lt;$D7,$B7*$E7*(1+$G7)^(1-1),IF(1=$D7,$B7*$F7*(1+'Center Overview'!$B$28)^(1-1)*(12-$H7)/12,$B7*$F7*(1+'Center Overview'!$B$28)^(1-1))))</f>
        <v>19200</v>
      </c>
      <c r="J7" s="7">
        <f>IF($C7="Vacant",IF(2=1,$B7*$F7*(12-$H7)/12,$B7*$F7*(1+'Center Overview'!$B$28)^(2-1)),IF(2&lt;$D7,$B7*$E7*(1+$G7)^(2-1),IF(2=$D7,$B7*$F7*(1+'Center Overview'!$B$28)^(2-1)*(12-$H7)/12,$B7*$F7*(1+'Center Overview'!$B$28)^(2-1))))</f>
        <v>29519.999999999996</v>
      </c>
      <c r="K7" s="7">
        <f>IF($C7="Vacant",IF(3=1,$B7*$F7*(12-$H7)/12,$B7*$F7*(1+'Center Overview'!$B$28)^(3-1)),IF(3&lt;$D7,$B7*$E7*(1+$G7)^(3-1),IF(3=$D7,$B7*$F7*(1+'Center Overview'!$B$28)^(3-1)*(12-$H7)/12,$B7*$F7*(1+'Center Overview'!$B$28)^(3-1))))</f>
        <v>30257.999999999996</v>
      </c>
      <c r="L7" s="7">
        <f>IF($C7="Vacant",IF(4=1,$B7*$F7*(12-$H7)/12,$B7*$F7*(1+'Center Overview'!$B$28)^(4-1)),IF(4&lt;$D7,$B7*$E7*(1+$G7)^(4-1),IF(4=$D7,$B7*$F7*(1+'Center Overview'!$B$28)^(4-1)*(12-$H7)/12,$B7*$F7*(1+'Center Overview'!$B$28)^(4-1))))</f>
        <v>31014.449999999997</v>
      </c>
      <c r="M7" s="7">
        <f>IF($C7="Vacant",IF(5=1,$B7*$F7*(12-$H7)/12,$B7*$F7*(1+'Center Overview'!$B$28)^(5-1)),IF(5&lt;$D7,$B7*$E7*(1+$G7)^(5-1),IF(5=$D7,$B7*$F7*(1+'Center Overview'!$B$28)^(5-1)*(12-$H7)/12,$B7*$F7*(1+'Center Overview'!$B$28)^(5-1))))</f>
        <v>31789.811249999992</v>
      </c>
    </row>
    <row r="8" spans="1:13" x14ac:dyDescent="0.25">
      <c r="A8" s="19" t="str">
        <f>'Rent Roll'!A7</f>
        <v>C</v>
      </c>
      <c r="B8" s="8">
        <f>'Rent Roll'!C7</f>
        <v>2200</v>
      </c>
      <c r="C8" s="19" t="str">
        <f>'Rent Roll'!D7</f>
        <v>Occupied</v>
      </c>
      <c r="D8" s="8">
        <f>'Rent Roll'!E7</f>
        <v>4</v>
      </c>
      <c r="E8" s="10">
        <f>'Rent Roll'!F7</f>
        <v>18</v>
      </c>
      <c r="F8" s="10">
        <f>'Rent Roll'!G7</f>
        <v>20</v>
      </c>
      <c r="G8" s="9">
        <f>'Rent Roll'!H7</f>
        <v>0.02</v>
      </c>
      <c r="H8" s="8">
        <f>'Center Overview'!$B$30</f>
        <v>4</v>
      </c>
      <c r="I8" s="7">
        <f>IF($C8="Vacant",IF(1=1,$B8*$F8*(12-$H8)/12,$B8*$F8*(1+'Center Overview'!$B$28)^(1-1)),IF(1&lt;$D8,$B8*$E8*(1+$G8)^(1-1),IF(1=$D8,$B8*$F8*(1+'Center Overview'!$B$28)^(1-1)*(12-$H8)/12,$B8*$F8*(1+'Center Overview'!$B$28)^(1-1))))</f>
        <v>39600</v>
      </c>
      <c r="J8" s="7">
        <f>IF($C8="Vacant",IF(2=1,$B8*$F8*(12-$H8)/12,$B8*$F8*(1+'Center Overview'!$B$28)^(2-1)),IF(2&lt;$D8,$B8*$E8*(1+$G8)^(2-1),IF(2=$D8,$B8*$F8*(1+'Center Overview'!$B$28)^(2-1)*(12-$H8)/12,$B8*$F8*(1+'Center Overview'!$B$28)^(2-1))))</f>
        <v>40392</v>
      </c>
      <c r="K8" s="7">
        <f>IF($C8="Vacant",IF(3=1,$B8*$F8*(12-$H8)/12,$B8*$F8*(1+'Center Overview'!$B$28)^(3-1)),IF(3&lt;$D8,$B8*$E8*(1+$G8)^(3-1),IF(3=$D8,$B8*$F8*(1+'Center Overview'!$B$28)^(3-1)*(12-$H8)/12,$B8*$F8*(1+'Center Overview'!$B$28)^(3-1))))</f>
        <v>41199.839999999997</v>
      </c>
      <c r="L8" s="7">
        <f>IF($C8="Vacant",IF(4=1,$B8*$F8*(12-$H8)/12,$B8*$F8*(1+'Center Overview'!$B$28)^(4-1)),IF(4&lt;$D8,$B8*$E8*(1+$G8)^(4-1),IF(4=$D8,$B8*$F8*(1+'Center Overview'!$B$28)^(4-1)*(12-$H8)/12,$B8*$F8*(1+'Center Overview'!$B$28)^(4-1))))</f>
        <v>31588.791666666661</v>
      </c>
      <c r="M8" s="7">
        <f>IF($C8="Vacant",IF(5=1,$B8*$F8*(12-$H8)/12,$B8*$F8*(1+'Center Overview'!$B$28)^(5-1)),IF(5&lt;$D8,$B8*$E8*(1+$G8)^(5-1),IF(5=$D8,$B8*$F8*(1+'Center Overview'!$B$28)^(5-1)*(12-$H8)/12,$B8*$F8*(1+'Center Overview'!$B$28)^(5-1))))</f>
        <v>48567.767187499987</v>
      </c>
    </row>
    <row r="9" spans="1:13" x14ac:dyDescent="0.25">
      <c r="A9" s="19" t="str">
        <f>'Rent Roll'!A8</f>
        <v>D</v>
      </c>
      <c r="B9" s="8">
        <f>'Rent Roll'!C8</f>
        <v>1000</v>
      </c>
      <c r="C9" s="19" t="str">
        <f>'Rent Roll'!D8</f>
        <v>Occupied</v>
      </c>
      <c r="D9" s="8">
        <f>'Rent Roll'!E8</f>
        <v>2</v>
      </c>
      <c r="E9" s="10">
        <f>'Rent Roll'!F8</f>
        <v>28</v>
      </c>
      <c r="F9" s="10">
        <f>'Rent Roll'!G8</f>
        <v>30</v>
      </c>
      <c r="G9" s="9">
        <f>'Rent Roll'!H8</f>
        <v>0.03</v>
      </c>
      <c r="H9" s="8">
        <f>'Center Overview'!$B$30</f>
        <v>4</v>
      </c>
      <c r="I9" s="7">
        <f>IF($C9="Vacant",IF(1=1,$B9*$F9*(12-$H9)/12,$B9*$F9*(1+'Center Overview'!$B$28)^(1-1)),IF(1&lt;$D9,$B9*$E9*(1+$G9)^(1-1),IF(1=$D9,$B9*$F9*(1+'Center Overview'!$B$28)^(1-1)*(12-$H9)/12,$B9*$F9*(1+'Center Overview'!$B$28)^(1-1))))</f>
        <v>28000</v>
      </c>
      <c r="J9" s="7">
        <f>IF($C9="Vacant",IF(2=1,$B9*$F9*(12-$H9)/12,$B9*$F9*(1+'Center Overview'!$B$28)^(2-1)),IF(2&lt;$D9,$B9*$E9*(1+$G9)^(2-1),IF(2=$D9,$B9*$F9*(1+'Center Overview'!$B$28)^(2-1)*(12-$H9)/12,$B9*$F9*(1+'Center Overview'!$B$28)^(2-1))))</f>
        <v>20499.999999999996</v>
      </c>
      <c r="K9" s="7">
        <f>IF($C9="Vacant",IF(3=1,$B9*$F9*(12-$H9)/12,$B9*$F9*(1+'Center Overview'!$B$28)^(3-1)),IF(3&lt;$D9,$B9*$E9*(1+$G9)^(3-1),IF(3=$D9,$B9*$F9*(1+'Center Overview'!$B$28)^(3-1)*(12-$H9)/12,$B9*$F9*(1+'Center Overview'!$B$28)^(3-1))))</f>
        <v>31518.749999999996</v>
      </c>
      <c r="L9" s="7">
        <f>IF($C9="Vacant",IF(4=1,$B9*$F9*(12-$H9)/12,$B9*$F9*(1+'Center Overview'!$B$28)^(4-1)),IF(4&lt;$D9,$B9*$E9*(1+$G9)^(4-1),IF(4=$D9,$B9*$F9*(1+'Center Overview'!$B$28)^(4-1)*(12-$H9)/12,$B9*$F9*(1+'Center Overview'!$B$28)^(4-1))))</f>
        <v>32306.718749999996</v>
      </c>
      <c r="M9" s="7">
        <f>IF($C9="Vacant",IF(5=1,$B9*$F9*(12-$H9)/12,$B9*$F9*(1+'Center Overview'!$B$28)^(5-1)),IF(5&lt;$D9,$B9*$E9*(1+$G9)^(5-1),IF(5=$D9,$B9*$F9*(1+'Center Overview'!$B$28)^(5-1)*(12-$H9)/12,$B9*$F9*(1+'Center Overview'!$B$28)^(5-1))))</f>
        <v>33114.386718749993</v>
      </c>
    </row>
    <row r="10" spans="1:13" x14ac:dyDescent="0.25">
      <c r="A10" s="19" t="str">
        <f>'Rent Roll'!A9</f>
        <v>E</v>
      </c>
      <c r="B10" s="8">
        <f>'Rent Roll'!C9</f>
        <v>1400</v>
      </c>
      <c r="C10" s="19" t="str">
        <f>'Rent Roll'!D9</f>
        <v>Occupied</v>
      </c>
      <c r="D10" s="8">
        <f>'Rent Roll'!E9</f>
        <v>5</v>
      </c>
      <c r="E10" s="10">
        <f>'Rent Roll'!F9</f>
        <v>23</v>
      </c>
      <c r="F10" s="10">
        <f>'Rent Roll'!G9</f>
        <v>25</v>
      </c>
      <c r="G10" s="9">
        <f>'Rent Roll'!H9</f>
        <v>2.5000000000000001E-2</v>
      </c>
      <c r="H10" s="8">
        <f>'Center Overview'!$B$30</f>
        <v>4</v>
      </c>
      <c r="I10" s="7">
        <f>IF($C10="Vacant",IF(1=1,$B10*$F10*(12-$H10)/12,$B10*$F10*(1+'Center Overview'!$B$28)^(1-1)),IF(1&lt;$D10,$B10*$E10*(1+$G10)^(1-1),IF(1=$D10,$B10*$F10*(1+'Center Overview'!$B$28)^(1-1)*(12-$H10)/12,$B10*$F10*(1+'Center Overview'!$B$28)^(1-1))))</f>
        <v>32200</v>
      </c>
      <c r="J10" s="7">
        <f>IF($C10="Vacant",IF(2=1,$B10*$F10*(12-$H10)/12,$B10*$F10*(1+'Center Overview'!$B$28)^(2-1)),IF(2&lt;$D10,$B10*$E10*(1+$G10)^(2-1),IF(2=$D10,$B10*$F10*(1+'Center Overview'!$B$28)^(2-1)*(12-$H10)/12,$B10*$F10*(1+'Center Overview'!$B$28)^(2-1))))</f>
        <v>33005</v>
      </c>
      <c r="K10" s="7">
        <f>IF($C10="Vacant",IF(3=1,$B10*$F10*(12-$H10)/12,$B10*$F10*(1+'Center Overview'!$B$28)^(3-1)),IF(3&lt;$D10,$B10*$E10*(1+$G10)^(3-1),IF(3=$D10,$B10*$F10*(1+'Center Overview'!$B$28)^(3-1)*(12-$H10)/12,$B10*$F10*(1+'Center Overview'!$B$28)^(3-1))))</f>
        <v>33830.125</v>
      </c>
      <c r="L10" s="7">
        <f>IF($C10="Vacant",IF(4=1,$B10*$F10*(12-$H10)/12,$B10*$F10*(1+'Center Overview'!$B$28)^(4-1)),IF(4&lt;$D10,$B10*$E10*(1+$G10)^(4-1),IF(4=$D10,$B10*$F10*(1+'Center Overview'!$B$28)^(4-1)*(12-$H10)/12,$B10*$F10*(1+'Center Overview'!$B$28)^(4-1))))</f>
        <v>34675.878124999996</v>
      </c>
      <c r="M10" s="7">
        <f>IF($C10="Vacant",IF(5=1,$B10*$F10*(12-$H10)/12,$B10*$F10*(1+'Center Overview'!$B$28)^(5-1)),IF(5&lt;$D10,$B10*$E10*(1+$G10)^(5-1),IF(5=$D10,$B10*$F10*(1+'Center Overview'!$B$28)^(5-1)*(12-$H10)/12,$B10*$F10*(1+'Center Overview'!$B$28)^(5-1))))</f>
        <v>25755.634114583328</v>
      </c>
    </row>
    <row r="11" spans="1:13" x14ac:dyDescent="0.25">
      <c r="A11" s="24" t="str">
        <f>'Rent Roll'!A10</f>
        <v>F</v>
      </c>
      <c r="B11" s="25">
        <f>'Rent Roll'!C10</f>
        <v>1600</v>
      </c>
      <c r="C11" s="24" t="str">
        <f>'Rent Roll'!D10</f>
        <v>Vacant</v>
      </c>
      <c r="D11" s="25">
        <f>'Rent Roll'!E10</f>
        <v>1</v>
      </c>
      <c r="E11" s="28">
        <f>'Rent Roll'!F10</f>
        <v>0</v>
      </c>
      <c r="F11" s="28">
        <f>'Rent Roll'!G10</f>
        <v>24</v>
      </c>
      <c r="G11" s="27">
        <f>'Rent Roll'!H10</f>
        <v>0</v>
      </c>
      <c r="H11" s="25">
        <f>'Center Overview'!$B$30</f>
        <v>4</v>
      </c>
      <c r="I11" s="26">
        <f>IF($C11="Vacant",IF(1=1,$B11*$F11*(12-$H11)/12,$B11*$F11*(1+'Center Overview'!$B$28)^(1-1)),IF(1&lt;$D11,$B11*$E11*(1+$G11)^(1-1),IF(1=$D11,$B11*$F11*(1+'Center Overview'!$B$28)^(1-1)*(12-$H11)/12,$B11*$F11*(1+'Center Overview'!$B$28)^(1-1))))</f>
        <v>25600</v>
      </c>
      <c r="J11" s="26">
        <f>IF($C11="Vacant",IF(2=1,$B11*$F11*(12-$H11)/12,$B11*$F11*(1+'Center Overview'!$B$28)^(2-1)),IF(2&lt;$D11,$B11*$E11*(1+$G11)^(2-1),IF(2=$D11,$B11*$F11*(1+'Center Overview'!$B$28)^(2-1)*(12-$H11)/12,$B11*$F11*(1+'Center Overview'!$B$28)^(2-1))))</f>
        <v>39360</v>
      </c>
      <c r="K11" s="26">
        <f>IF($C11="Vacant",IF(3=1,$B11*$F11*(12-$H11)/12,$B11*$F11*(1+'Center Overview'!$B$28)^(3-1)),IF(3&lt;$D11,$B11*$E11*(1+$G11)^(3-1),IF(3=$D11,$B11*$F11*(1+'Center Overview'!$B$28)^(3-1)*(12-$H11)/12,$B11*$F11*(1+'Center Overview'!$B$28)^(3-1))))</f>
        <v>40344</v>
      </c>
      <c r="L11" s="26">
        <f>IF($C11="Vacant",IF(4=1,$B11*$F11*(12-$H11)/12,$B11*$F11*(1+'Center Overview'!$B$28)^(4-1)),IF(4&lt;$D11,$B11*$E11*(1+$G11)^(4-1),IF(4=$D11,$B11*$F11*(1+'Center Overview'!$B$28)^(4-1)*(12-$H11)/12,$B11*$F11*(1+'Center Overview'!$B$28)^(4-1))))</f>
        <v>41352.6</v>
      </c>
      <c r="M11" s="26">
        <f>IF($C11="Vacant",IF(5=1,$B11*$F11*(12-$H11)/12,$B11*$F11*(1+'Center Overview'!$B$28)^(5-1)),IF(5&lt;$D11,$B11*$E11*(1+$G11)^(5-1),IF(5=$D11,$B11*$F11*(1+'Center Overview'!$B$28)^(5-1)*(12-$H11)/12,$B11*$F11*(1+'Center Overview'!$B$28)^(5-1))))</f>
        <v>42386.414999999994</v>
      </c>
    </row>
    <row r="12" spans="1:13" x14ac:dyDescent="0.25">
      <c r="A12" s="23" t="s">
        <v>88</v>
      </c>
      <c r="B12" s="1"/>
      <c r="C12" s="1"/>
      <c r="D12" s="1"/>
      <c r="E12" s="1"/>
      <c r="F12" s="1"/>
      <c r="G12" s="1"/>
      <c r="H12" s="29"/>
      <c r="I12" s="30">
        <f>SUM(I6:I11)</f>
        <v>187800</v>
      </c>
      <c r="J12" s="30">
        <f>SUM(J6:J11)</f>
        <v>207056.99999999997</v>
      </c>
      <c r="K12" s="30">
        <f>SUM(K6:K11)</f>
        <v>209930.21499999997</v>
      </c>
      <c r="L12" s="30">
        <f>SUM(L6:L11)</f>
        <v>221336.91979166665</v>
      </c>
      <c r="M12" s="30">
        <f>SUM(M6:M11)</f>
        <v>233272.4575520833</v>
      </c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5.75" thickBot="1" x14ac:dyDescent="0.3">
      <c r="A14" s="3" t="s">
        <v>89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17" t="s">
        <v>49</v>
      </c>
      <c r="B15" s="17" t="s">
        <v>51</v>
      </c>
      <c r="C15" s="17" t="s">
        <v>52</v>
      </c>
      <c r="D15" s="17" t="s">
        <v>53</v>
      </c>
      <c r="E15" s="17" t="s">
        <v>90</v>
      </c>
      <c r="F15" s="17" t="s">
        <v>82</v>
      </c>
      <c r="G15" s="17" t="s">
        <v>83</v>
      </c>
      <c r="H15" s="17" t="s">
        <v>84</v>
      </c>
      <c r="I15" s="17" t="s">
        <v>85</v>
      </c>
      <c r="J15" s="17" t="s">
        <v>86</v>
      </c>
      <c r="K15" s="17" t="s">
        <v>87</v>
      </c>
      <c r="L15" s="1"/>
      <c r="M15" s="1"/>
    </row>
    <row r="16" spans="1:13" x14ac:dyDescent="0.25">
      <c r="A16" s="19" t="str">
        <f>'Rent Roll'!A5</f>
        <v>A</v>
      </c>
      <c r="B16" s="8">
        <f>'Rent Roll'!C5</f>
        <v>1800</v>
      </c>
      <c r="C16" s="19" t="str">
        <f>'Rent Roll'!D5</f>
        <v>Occupied</v>
      </c>
      <c r="D16" s="8">
        <f>'Rent Roll'!E5</f>
        <v>3</v>
      </c>
      <c r="E16" s="10">
        <f>'Rent Roll'!I5</f>
        <v>5.5</v>
      </c>
      <c r="F16" s="8">
        <f>'Center Overview'!$B$30</f>
        <v>4</v>
      </c>
      <c r="G16" s="7">
        <f>IF($C16="Vacant",IF(1=1,$B16*$E16*(12-$F16)/12,$B16*$E16*(1+'Center Overview'!$B$45)^(1-1)),IF(1&lt;$D16,$B16*$E16*(1+'Center Overview'!$B$45)^(1-1),IF(1=$D16,$B16*$E16*(1+'Center Overview'!$B$45)^(1-1)*(12-$F16)/12,$B16*$E16*(1+'Center Overview'!$B$45)^(1-1))))</f>
        <v>9900</v>
      </c>
      <c r="H16" s="7">
        <f>IF($C16="Vacant",IF(2=1,$B16*$E16*(12-$F16)/12,$B16*$E16*(1+'Center Overview'!$B$45)^(2-1)),IF(2&lt;$D16,$B16*$E16*(1+'Center Overview'!$B$45)^(2-1),IF(2=$D16,$B16*$E16*(1+'Center Overview'!$B$45)^(2-1)*(12-$F16)/12,$B16*$E16*(1+'Center Overview'!$B$45)^(2-1))))</f>
        <v>10147.5</v>
      </c>
      <c r="I16" s="7">
        <f>IF($C16="Vacant",IF(3=1,$B16*$E16*(12-$F16)/12,$B16*$E16*(1+'Center Overview'!$B$45)^(3-1)),IF(3&lt;$D16,$B16*$E16*(1+'Center Overview'!$B$45)^(3-1),IF(3=$D16,$B16*$E16*(1+'Center Overview'!$B$45)^(3-1)*(12-$F16)/12,$B16*$E16*(1+'Center Overview'!$B$45)^(3-1))))</f>
        <v>6934.125</v>
      </c>
      <c r="J16" s="7">
        <f>IF($C16="Vacant",IF(4=1,$B16*$E16*(12-$F16)/12,$B16*$E16*(1+'Center Overview'!$B$45)^(4-1)),IF(4&lt;$D16,$B16*$E16*(1+'Center Overview'!$B$45)^(4-1),IF(4=$D16,$B16*$E16*(1+'Center Overview'!$B$45)^(4-1)*(12-$F16)/12,$B16*$E16*(1+'Center Overview'!$B$45)^(4-1))))</f>
        <v>10661.217187499999</v>
      </c>
      <c r="K16" s="7">
        <f>IF($C16="Vacant",IF(5=1,$B16*$E16*(12-$F16)/12,$B16*$E16*(1+'Center Overview'!$B$45)^(5-1)),IF(5&lt;$D16,$B16*$E16*(1+'Center Overview'!$B$45)^(5-1),IF(5=$D16,$B16*$E16*(1+'Center Overview'!$B$45)^(5-1)*(12-$F16)/12,$B16*$E16*(1+'Center Overview'!$B$45)^(5-1))))</f>
        <v>10927.747617187497</v>
      </c>
      <c r="L16" s="1"/>
      <c r="M16" s="1"/>
    </row>
    <row r="17" spans="1:13" x14ac:dyDescent="0.25">
      <c r="A17" s="19" t="str">
        <f>'Rent Roll'!A6</f>
        <v>B</v>
      </c>
      <c r="B17" s="8">
        <f>'Rent Roll'!C6</f>
        <v>1200</v>
      </c>
      <c r="C17" s="19" t="str">
        <f>'Rent Roll'!D6</f>
        <v>Occupied</v>
      </c>
      <c r="D17" s="8">
        <f>'Rent Roll'!E6</f>
        <v>1</v>
      </c>
      <c r="E17" s="10">
        <f>'Rent Roll'!I6</f>
        <v>5.25</v>
      </c>
      <c r="F17" s="8">
        <f>'Center Overview'!$B$30</f>
        <v>4</v>
      </c>
      <c r="G17" s="7">
        <f>IF($C17="Vacant",IF(1=1,$B17*$E17*(12-$F17)/12,$B17*$E17*(1+'Center Overview'!$B$45)^(1-1)),IF(1&lt;$D17,$B17*$E17*(1+'Center Overview'!$B$45)^(1-1),IF(1=$D17,$B17*$E17*(1+'Center Overview'!$B$45)^(1-1)*(12-$F17)/12,$B17*$E17*(1+'Center Overview'!$B$45)^(1-1))))</f>
        <v>4200</v>
      </c>
      <c r="H17" s="7">
        <f>IF($C17="Vacant",IF(2=1,$B17*$E17*(12-$F17)/12,$B17*$E17*(1+'Center Overview'!$B$45)^(2-1)),IF(2&lt;$D17,$B17*$E17*(1+'Center Overview'!$B$45)^(2-1),IF(2=$D17,$B17*$E17*(1+'Center Overview'!$B$45)^(2-1)*(12-$F17)/12,$B17*$E17*(1+'Center Overview'!$B$45)^(2-1))))</f>
        <v>6457.4999999999991</v>
      </c>
      <c r="I17" s="7">
        <f>IF($C17="Vacant",IF(3=1,$B17*$E17*(12-$F17)/12,$B17*$E17*(1+'Center Overview'!$B$45)^(3-1)),IF(3&lt;$D17,$B17*$E17*(1+'Center Overview'!$B$45)^(3-1),IF(3=$D17,$B17*$E17*(1+'Center Overview'!$B$45)^(3-1)*(12-$F17)/12,$B17*$E17*(1+'Center Overview'!$B$45)^(3-1))))</f>
        <v>6618.9374999999991</v>
      </c>
      <c r="J17" s="7">
        <f>IF($C17="Vacant",IF(4=1,$B17*$E17*(12-$F17)/12,$B17*$E17*(1+'Center Overview'!$B$45)^(4-1)),IF(4&lt;$D17,$B17*$E17*(1+'Center Overview'!$B$45)^(4-1),IF(4=$D17,$B17*$E17*(1+'Center Overview'!$B$45)^(4-1)*(12-$F17)/12,$B17*$E17*(1+'Center Overview'!$B$45)^(4-1))))</f>
        <v>6784.4109374999989</v>
      </c>
      <c r="K17" s="7">
        <f>IF($C17="Vacant",IF(5=1,$B17*$E17*(12-$F17)/12,$B17*$E17*(1+'Center Overview'!$B$45)^(5-1)),IF(5&lt;$D17,$B17*$E17*(1+'Center Overview'!$B$45)^(5-1),IF(5=$D17,$B17*$E17*(1+'Center Overview'!$B$45)^(5-1)*(12-$F17)/12,$B17*$E17*(1+'Center Overview'!$B$45)^(5-1))))</f>
        <v>6954.0212109374988</v>
      </c>
      <c r="L17" s="1"/>
      <c r="M17" s="1"/>
    </row>
    <row r="18" spans="1:13" x14ac:dyDescent="0.25">
      <c r="A18" s="19" t="str">
        <f>'Rent Roll'!A7</f>
        <v>C</v>
      </c>
      <c r="B18" s="8">
        <f>'Rent Roll'!C7</f>
        <v>2200</v>
      </c>
      <c r="C18" s="19" t="str">
        <f>'Rent Roll'!D7</f>
        <v>Occupied</v>
      </c>
      <c r="D18" s="8">
        <f>'Rent Roll'!E7</f>
        <v>4</v>
      </c>
      <c r="E18" s="10">
        <f>'Rent Roll'!I7</f>
        <v>4.75</v>
      </c>
      <c r="F18" s="8">
        <f>'Center Overview'!$B$30</f>
        <v>4</v>
      </c>
      <c r="G18" s="7">
        <f>IF($C18="Vacant",IF(1=1,$B18*$E18*(12-$F18)/12,$B18*$E18*(1+'Center Overview'!$B$45)^(1-1)),IF(1&lt;$D18,$B18*$E18*(1+'Center Overview'!$B$45)^(1-1),IF(1=$D18,$B18*$E18*(1+'Center Overview'!$B$45)^(1-1)*(12-$F18)/12,$B18*$E18*(1+'Center Overview'!$B$45)^(1-1))))</f>
        <v>10450</v>
      </c>
      <c r="H18" s="7">
        <f>IF($C18="Vacant",IF(2=1,$B18*$E18*(12-$F18)/12,$B18*$E18*(1+'Center Overview'!$B$45)^(2-1)),IF(2&lt;$D18,$B18*$E18*(1+'Center Overview'!$B$45)^(2-1),IF(2=$D18,$B18*$E18*(1+'Center Overview'!$B$45)^(2-1)*(12-$F18)/12,$B18*$E18*(1+'Center Overview'!$B$45)^(2-1))))</f>
        <v>10711.249999999998</v>
      </c>
      <c r="I18" s="7">
        <f>IF($C18="Vacant",IF(3=1,$B18*$E18*(12-$F18)/12,$B18*$E18*(1+'Center Overview'!$B$45)^(3-1)),IF(3&lt;$D18,$B18*$E18*(1+'Center Overview'!$B$45)^(3-1),IF(3=$D18,$B18*$E18*(1+'Center Overview'!$B$45)^(3-1)*(12-$F18)/12,$B18*$E18*(1+'Center Overview'!$B$45)^(3-1))))</f>
        <v>10979.03125</v>
      </c>
      <c r="J18" s="7">
        <f>IF($C18="Vacant",IF(4=1,$B18*$E18*(12-$F18)/12,$B18*$E18*(1+'Center Overview'!$B$45)^(4-1)),IF(4&lt;$D18,$B18*$E18*(1+'Center Overview'!$B$45)^(4-1),IF(4=$D18,$B18*$E18*(1+'Center Overview'!$B$45)^(4-1)*(12-$F18)/12,$B18*$E18*(1+'Center Overview'!$B$45)^(4-1))))</f>
        <v>7502.3380208333328</v>
      </c>
      <c r="K18" s="7">
        <f>IF($C18="Vacant",IF(5=1,$B18*$E18*(12-$F18)/12,$B18*$E18*(1+'Center Overview'!$B$45)^(5-1)),IF(5&lt;$D18,$B18*$E18*(1+'Center Overview'!$B$45)^(5-1),IF(5=$D18,$B18*$E18*(1+'Center Overview'!$B$45)^(5-1)*(12-$F18)/12,$B18*$E18*(1+'Center Overview'!$B$45)^(5-1))))</f>
        <v>11534.844707031247</v>
      </c>
      <c r="L18" s="1"/>
      <c r="M18" s="1"/>
    </row>
    <row r="19" spans="1:13" x14ac:dyDescent="0.25">
      <c r="A19" s="19" t="str">
        <f>'Rent Roll'!A8</f>
        <v>D</v>
      </c>
      <c r="B19" s="8">
        <f>'Rent Roll'!C8</f>
        <v>1000</v>
      </c>
      <c r="C19" s="19" t="str">
        <f>'Rent Roll'!D8</f>
        <v>Occupied</v>
      </c>
      <c r="D19" s="8">
        <f>'Rent Roll'!E8</f>
        <v>2</v>
      </c>
      <c r="E19" s="10">
        <f>'Rent Roll'!I8</f>
        <v>6</v>
      </c>
      <c r="F19" s="8">
        <f>'Center Overview'!$B$30</f>
        <v>4</v>
      </c>
      <c r="G19" s="7">
        <f>IF($C19="Vacant",IF(1=1,$B19*$E19*(12-$F19)/12,$B19*$E19*(1+'Center Overview'!$B$45)^(1-1)),IF(1&lt;$D19,$B19*$E19*(1+'Center Overview'!$B$45)^(1-1),IF(1=$D19,$B19*$E19*(1+'Center Overview'!$B$45)^(1-1)*(12-$F19)/12,$B19*$E19*(1+'Center Overview'!$B$45)^(1-1))))</f>
        <v>6000</v>
      </c>
      <c r="H19" s="7">
        <f>IF($C19="Vacant",IF(2=1,$B19*$E19*(12-$F19)/12,$B19*$E19*(1+'Center Overview'!$B$45)^(2-1)),IF(2&lt;$D19,$B19*$E19*(1+'Center Overview'!$B$45)^(2-1),IF(2=$D19,$B19*$E19*(1+'Center Overview'!$B$45)^(2-1)*(12-$F19)/12,$B19*$E19*(1+'Center Overview'!$B$45)^(2-1))))</f>
        <v>4099.9999999999991</v>
      </c>
      <c r="I19" s="7">
        <f>IF($C19="Vacant",IF(3=1,$B19*$E19*(12-$F19)/12,$B19*$E19*(1+'Center Overview'!$B$45)^(3-1)),IF(3&lt;$D19,$B19*$E19*(1+'Center Overview'!$B$45)^(3-1),IF(3=$D19,$B19*$E19*(1+'Center Overview'!$B$45)^(3-1)*(12-$F19)/12,$B19*$E19*(1+'Center Overview'!$B$45)^(3-1))))</f>
        <v>6303.7499999999991</v>
      </c>
      <c r="J19" s="7">
        <f>IF($C19="Vacant",IF(4=1,$B19*$E19*(12-$F19)/12,$B19*$E19*(1+'Center Overview'!$B$45)^(4-1)),IF(4&lt;$D19,$B19*$E19*(1+'Center Overview'!$B$45)^(4-1),IF(4=$D19,$B19*$E19*(1+'Center Overview'!$B$45)^(4-1)*(12-$F19)/12,$B19*$E19*(1+'Center Overview'!$B$45)^(4-1))))</f>
        <v>6461.3437499999991</v>
      </c>
      <c r="K19" s="7">
        <f>IF($C19="Vacant",IF(5=1,$B19*$E19*(12-$F19)/12,$B19*$E19*(1+'Center Overview'!$B$45)^(5-1)),IF(5&lt;$D19,$B19*$E19*(1+'Center Overview'!$B$45)^(5-1),IF(5=$D19,$B19*$E19*(1+'Center Overview'!$B$45)^(5-1)*(12-$F19)/12,$B19*$E19*(1+'Center Overview'!$B$45)^(5-1))))</f>
        <v>6622.8773437499985</v>
      </c>
      <c r="L19" s="1"/>
      <c r="M19" s="1"/>
    </row>
    <row r="20" spans="1:13" x14ac:dyDescent="0.25">
      <c r="A20" s="19" t="str">
        <f>'Rent Roll'!A9</f>
        <v>E</v>
      </c>
      <c r="B20" s="8">
        <f>'Rent Roll'!C9</f>
        <v>1400</v>
      </c>
      <c r="C20" s="19" t="str">
        <f>'Rent Roll'!D9</f>
        <v>Occupied</v>
      </c>
      <c r="D20" s="8">
        <f>'Rent Roll'!E9</f>
        <v>5</v>
      </c>
      <c r="E20" s="10">
        <f>'Rent Roll'!I9</f>
        <v>5.25</v>
      </c>
      <c r="F20" s="8">
        <f>'Center Overview'!$B$30</f>
        <v>4</v>
      </c>
      <c r="G20" s="7">
        <f>IF($C20="Vacant",IF(1=1,$B20*$E20*(12-$F20)/12,$B20*$E20*(1+'Center Overview'!$B$45)^(1-1)),IF(1&lt;$D20,$B20*$E20*(1+'Center Overview'!$B$45)^(1-1),IF(1=$D20,$B20*$E20*(1+'Center Overview'!$B$45)^(1-1)*(12-$F20)/12,$B20*$E20*(1+'Center Overview'!$B$45)^(1-1))))</f>
        <v>7350</v>
      </c>
      <c r="H20" s="7">
        <f>IF($C20="Vacant",IF(2=1,$B20*$E20*(12-$F20)/12,$B20*$E20*(1+'Center Overview'!$B$45)^(2-1)),IF(2&lt;$D20,$B20*$E20*(1+'Center Overview'!$B$45)^(2-1),IF(2=$D20,$B20*$E20*(1+'Center Overview'!$B$45)^(2-1)*(12-$F20)/12,$B20*$E20*(1+'Center Overview'!$B$45)^(2-1))))</f>
        <v>7533.7499999999991</v>
      </c>
      <c r="I20" s="7">
        <f>IF($C20="Vacant",IF(3=1,$B20*$E20*(12-$F20)/12,$B20*$E20*(1+'Center Overview'!$B$45)^(3-1)),IF(3&lt;$D20,$B20*$E20*(1+'Center Overview'!$B$45)^(3-1),IF(3=$D20,$B20*$E20*(1+'Center Overview'!$B$45)^(3-1)*(12-$F20)/12,$B20*$E20*(1+'Center Overview'!$B$45)^(3-1))))</f>
        <v>7722.0937499999991</v>
      </c>
      <c r="J20" s="7">
        <f>IF($C20="Vacant",IF(4=1,$B20*$E20*(12-$F20)/12,$B20*$E20*(1+'Center Overview'!$B$45)^(4-1)),IF(4&lt;$D20,$B20*$E20*(1+'Center Overview'!$B$45)^(4-1),IF(4=$D20,$B20*$E20*(1+'Center Overview'!$B$45)^(4-1)*(12-$F20)/12,$B20*$E20*(1+'Center Overview'!$B$45)^(4-1))))</f>
        <v>7915.1460937499987</v>
      </c>
      <c r="K20" s="7">
        <f>IF($C20="Vacant",IF(5=1,$B20*$E20*(12-$F20)/12,$B20*$E20*(1+'Center Overview'!$B$45)^(5-1)),IF(5&lt;$D20,$B20*$E20*(1+'Center Overview'!$B$45)^(5-1),IF(5=$D20,$B20*$E20*(1+'Center Overview'!$B$45)^(5-1)*(12-$F20)/12,$B20*$E20*(1+'Center Overview'!$B$45)^(5-1))))</f>
        <v>5408.6831640624987</v>
      </c>
      <c r="L20" s="1"/>
      <c r="M20" s="1"/>
    </row>
    <row r="21" spans="1:13" x14ac:dyDescent="0.25">
      <c r="A21" s="24" t="str">
        <f>'Rent Roll'!A10</f>
        <v>F</v>
      </c>
      <c r="B21" s="25">
        <f>'Rent Roll'!C10</f>
        <v>1600</v>
      </c>
      <c r="C21" s="24" t="str">
        <f>'Rent Roll'!D10</f>
        <v>Vacant</v>
      </c>
      <c r="D21" s="25">
        <f>'Rent Roll'!E10</f>
        <v>1</v>
      </c>
      <c r="E21" s="28">
        <f>'Rent Roll'!I10</f>
        <v>5.25</v>
      </c>
      <c r="F21" s="25">
        <f>'Center Overview'!$B$30</f>
        <v>4</v>
      </c>
      <c r="G21" s="26">
        <f>IF($C21="Vacant",IF(1=1,$B21*$E21*(12-$F21)/12,$B21*$E21*(1+'Center Overview'!$B$45)^(1-1)),IF(1&lt;$D21,$B21*$E21*(1+'Center Overview'!$B$45)^(1-1),IF(1=$D21,$B21*$E21*(1+'Center Overview'!$B$45)^(1-1)*(12-$F21)/12,$B21*$E21*(1+'Center Overview'!$B$45)^(1-1))))</f>
        <v>5600</v>
      </c>
      <c r="H21" s="26">
        <f>IF($C21="Vacant",IF(2=1,$B21*$E21*(12-$F21)/12,$B21*$E21*(1+'Center Overview'!$B$45)^(2-1)),IF(2&lt;$D21,$B21*$E21*(1+'Center Overview'!$B$45)^(2-1),IF(2=$D21,$B21*$E21*(1+'Center Overview'!$B$45)^(2-1)*(12-$F21)/12,$B21*$E21*(1+'Center Overview'!$B$45)^(2-1))))</f>
        <v>8610</v>
      </c>
      <c r="I21" s="26">
        <f>IF($C21="Vacant",IF(3=1,$B21*$E21*(12-$F21)/12,$B21*$E21*(1+'Center Overview'!$B$45)^(3-1)),IF(3&lt;$D21,$B21*$E21*(1+'Center Overview'!$B$45)^(3-1),IF(3=$D21,$B21*$E21*(1+'Center Overview'!$B$45)^(3-1)*(12-$F21)/12,$B21*$E21*(1+'Center Overview'!$B$45)^(3-1))))</f>
        <v>8825.25</v>
      </c>
      <c r="J21" s="26">
        <f>IF($C21="Vacant",IF(4=1,$B21*$E21*(12-$F21)/12,$B21*$E21*(1+'Center Overview'!$B$45)^(4-1)),IF(4&lt;$D21,$B21*$E21*(1+'Center Overview'!$B$45)^(4-1),IF(4=$D21,$B21*$E21*(1+'Center Overview'!$B$45)^(4-1)*(12-$F21)/12,$B21*$E21*(1+'Center Overview'!$B$45)^(4-1))))</f>
        <v>9045.8812499999985</v>
      </c>
      <c r="K21" s="26">
        <f>IF($C21="Vacant",IF(5=1,$B21*$E21*(12-$F21)/12,$B21*$E21*(1+'Center Overview'!$B$45)^(5-1)),IF(5&lt;$D21,$B21*$E21*(1+'Center Overview'!$B$45)^(5-1),IF(5=$D21,$B21*$E21*(1+'Center Overview'!$B$45)^(5-1)*(12-$F21)/12,$B21*$E21*(1+'Center Overview'!$B$45)^(5-1))))</f>
        <v>9272.0282812499972</v>
      </c>
      <c r="L21" s="1"/>
      <c r="M21" s="1"/>
    </row>
    <row r="22" spans="1:13" x14ac:dyDescent="0.25">
      <c r="A22" s="23" t="s">
        <v>91</v>
      </c>
      <c r="B22" s="1"/>
      <c r="C22" s="1"/>
      <c r="D22" s="1"/>
      <c r="E22" s="1"/>
      <c r="F22" s="29"/>
      <c r="G22" s="30">
        <f>SUM(G16:G21)</f>
        <v>43500</v>
      </c>
      <c r="H22" s="30">
        <f>SUM(H16:H21)</f>
        <v>47560</v>
      </c>
      <c r="I22" s="30">
        <f>SUM(I16:I21)</f>
        <v>47383.1875</v>
      </c>
      <c r="J22" s="30">
        <f>SUM(J16:J21)</f>
        <v>48370.337239583328</v>
      </c>
      <c r="K22" s="30">
        <f>SUM(K16:K21)</f>
        <v>50720.202324218728</v>
      </c>
      <c r="L22" s="1"/>
      <c r="M22" s="1"/>
    </row>
    <row r="23" spans="1:1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.75" thickBot="1" x14ac:dyDescent="0.3">
      <c r="A24" s="3" t="s">
        <v>92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7" t="s">
        <v>49</v>
      </c>
      <c r="B25" s="17" t="s">
        <v>51</v>
      </c>
      <c r="C25" s="17" t="s">
        <v>52</v>
      </c>
      <c r="D25" s="17" t="s">
        <v>53</v>
      </c>
      <c r="E25" s="17" t="s">
        <v>93</v>
      </c>
      <c r="F25" s="17" t="s">
        <v>94</v>
      </c>
      <c r="G25" s="17" t="s">
        <v>83</v>
      </c>
      <c r="H25" s="17" t="s">
        <v>84</v>
      </c>
      <c r="I25" s="17" t="s">
        <v>85</v>
      </c>
      <c r="J25" s="17" t="s">
        <v>86</v>
      </c>
      <c r="K25" s="17" t="s">
        <v>87</v>
      </c>
      <c r="L25" s="1"/>
      <c r="M25" s="1"/>
    </row>
    <row r="26" spans="1:13" x14ac:dyDescent="0.25">
      <c r="A26" s="19" t="str">
        <f>'Rent Roll'!A5</f>
        <v>A</v>
      </c>
      <c r="B26" s="8">
        <f>'Rent Roll'!C5</f>
        <v>1800</v>
      </c>
      <c r="C26" s="19" t="str">
        <f>'Rent Roll'!D5</f>
        <v>Occupied</v>
      </c>
      <c r="D26" s="8">
        <f>'Rent Roll'!E5</f>
        <v>3</v>
      </c>
      <c r="E26" s="7">
        <f>'Center Overview'!$B$32</f>
        <v>12</v>
      </c>
      <c r="F26" s="9">
        <f>'Center Overview'!$B$31</f>
        <v>0.04</v>
      </c>
      <c r="G26" s="7">
        <f t="shared" ref="G26:G31" si="0">IF(OR(AND($C26="Vacant",1=1),AND($C26&lt;&gt;"Vacant",1=$D26)),-($B26*$E26+(I6*$F26)),0)</f>
        <v>0</v>
      </c>
      <c r="H26" s="7">
        <f t="shared" ref="H26:H31" si="1">IF(OR(AND($C26="Vacant",2=1),AND($C26&lt;&gt;"Vacant",2=$D26)),-($B26*$E26+(J6*$F26)),0)</f>
        <v>0</v>
      </c>
      <c r="I26" s="7">
        <f t="shared" ref="I26:I31" si="2">IF(OR(AND($C26="Vacant",3=1),AND($C26&lt;&gt;"Vacant",3=$D26)),-($B26*$E26+(K6*$F26)),0)</f>
        <v>-22911.18</v>
      </c>
      <c r="J26" s="7">
        <f t="shared" ref="J26:J31" si="3">IF(OR(AND($C26="Vacant",4=1),AND($C26&lt;&gt;"Vacant",4=$D26)),-($B26*$E26+(L6*$F26)),0)</f>
        <v>0</v>
      </c>
      <c r="K26" s="7">
        <f t="shared" ref="K26:K31" si="4">IF(OR(AND($C26="Vacant",5=1),AND($C26&lt;&gt;"Vacant",5=$D26)),-($B26*$E26+(M6*$F26)),0)</f>
        <v>0</v>
      </c>
      <c r="L26" s="1"/>
      <c r="M26" s="1"/>
    </row>
    <row r="27" spans="1:13" x14ac:dyDescent="0.25">
      <c r="A27" s="19" t="str">
        <f>'Rent Roll'!A6</f>
        <v>B</v>
      </c>
      <c r="B27" s="8">
        <f>'Rent Roll'!C6</f>
        <v>1200</v>
      </c>
      <c r="C27" s="19" t="str">
        <f>'Rent Roll'!D6</f>
        <v>Occupied</v>
      </c>
      <c r="D27" s="8">
        <f>'Rent Roll'!E6</f>
        <v>1</v>
      </c>
      <c r="E27" s="7">
        <f>'Center Overview'!$B$32</f>
        <v>12</v>
      </c>
      <c r="F27" s="9">
        <f>'Center Overview'!$B$31</f>
        <v>0.04</v>
      </c>
      <c r="G27" s="7">
        <f t="shared" si="0"/>
        <v>-15168</v>
      </c>
      <c r="H27" s="7">
        <f t="shared" si="1"/>
        <v>0</v>
      </c>
      <c r="I27" s="7">
        <f t="shared" si="2"/>
        <v>0</v>
      </c>
      <c r="J27" s="7">
        <f t="shared" si="3"/>
        <v>0</v>
      </c>
      <c r="K27" s="7">
        <f t="shared" si="4"/>
        <v>0</v>
      </c>
      <c r="L27" s="1"/>
      <c r="M27" s="1"/>
    </row>
    <row r="28" spans="1:13" x14ac:dyDescent="0.25">
      <c r="A28" s="19" t="str">
        <f>'Rent Roll'!A7</f>
        <v>C</v>
      </c>
      <c r="B28" s="8">
        <f>'Rent Roll'!C7</f>
        <v>2200</v>
      </c>
      <c r="C28" s="19" t="str">
        <f>'Rent Roll'!D7</f>
        <v>Occupied</v>
      </c>
      <c r="D28" s="8">
        <f>'Rent Roll'!E7</f>
        <v>4</v>
      </c>
      <c r="E28" s="7">
        <f>'Center Overview'!$B$32</f>
        <v>12</v>
      </c>
      <c r="F28" s="9">
        <f>'Center Overview'!$B$31</f>
        <v>0.04</v>
      </c>
      <c r="G28" s="7">
        <f t="shared" si="0"/>
        <v>0</v>
      </c>
      <c r="H28" s="7">
        <f t="shared" si="1"/>
        <v>0</v>
      </c>
      <c r="I28" s="7">
        <f t="shared" si="2"/>
        <v>0</v>
      </c>
      <c r="J28" s="7">
        <f t="shared" si="3"/>
        <v>-27663.551666666666</v>
      </c>
      <c r="K28" s="7">
        <f t="shared" si="4"/>
        <v>0</v>
      </c>
      <c r="L28" s="1"/>
      <c r="M28" s="1"/>
    </row>
    <row r="29" spans="1:13" x14ac:dyDescent="0.25">
      <c r="A29" s="19" t="str">
        <f>'Rent Roll'!A8</f>
        <v>D</v>
      </c>
      <c r="B29" s="8">
        <f>'Rent Roll'!C8</f>
        <v>1000</v>
      </c>
      <c r="C29" s="19" t="str">
        <f>'Rent Roll'!D8</f>
        <v>Occupied</v>
      </c>
      <c r="D29" s="8">
        <f>'Rent Roll'!E8</f>
        <v>2</v>
      </c>
      <c r="E29" s="7">
        <f>'Center Overview'!$B$32</f>
        <v>12</v>
      </c>
      <c r="F29" s="9">
        <f>'Center Overview'!$B$31</f>
        <v>0.04</v>
      </c>
      <c r="G29" s="7">
        <f t="shared" si="0"/>
        <v>0</v>
      </c>
      <c r="H29" s="7">
        <f t="shared" si="1"/>
        <v>-12820</v>
      </c>
      <c r="I29" s="7">
        <f t="shared" si="2"/>
        <v>0</v>
      </c>
      <c r="J29" s="7">
        <f t="shared" si="3"/>
        <v>0</v>
      </c>
      <c r="K29" s="7">
        <f t="shared" si="4"/>
        <v>0</v>
      </c>
      <c r="L29" s="1"/>
      <c r="M29" s="1"/>
    </row>
    <row r="30" spans="1:13" x14ac:dyDescent="0.25">
      <c r="A30" s="19" t="str">
        <f>'Rent Roll'!A9</f>
        <v>E</v>
      </c>
      <c r="B30" s="8">
        <f>'Rent Roll'!C9</f>
        <v>1400</v>
      </c>
      <c r="C30" s="19" t="str">
        <f>'Rent Roll'!D9</f>
        <v>Occupied</v>
      </c>
      <c r="D30" s="8">
        <f>'Rent Roll'!E9</f>
        <v>5</v>
      </c>
      <c r="E30" s="7">
        <f>'Center Overview'!$B$32</f>
        <v>12</v>
      </c>
      <c r="F30" s="9">
        <f>'Center Overview'!$B$31</f>
        <v>0.04</v>
      </c>
      <c r="G30" s="7">
        <f t="shared" si="0"/>
        <v>0</v>
      </c>
      <c r="H30" s="7">
        <f t="shared" si="1"/>
        <v>0</v>
      </c>
      <c r="I30" s="7">
        <f t="shared" si="2"/>
        <v>0</v>
      </c>
      <c r="J30" s="7">
        <f t="shared" si="3"/>
        <v>0</v>
      </c>
      <c r="K30" s="7">
        <f t="shared" si="4"/>
        <v>-17830.225364583333</v>
      </c>
      <c r="L30" s="1"/>
      <c r="M30" s="1"/>
    </row>
    <row r="31" spans="1:13" x14ac:dyDescent="0.25">
      <c r="A31" s="24" t="str">
        <f>'Rent Roll'!A10</f>
        <v>F</v>
      </c>
      <c r="B31" s="25">
        <f>'Rent Roll'!C10</f>
        <v>1600</v>
      </c>
      <c r="C31" s="24" t="str">
        <f>'Rent Roll'!D10</f>
        <v>Vacant</v>
      </c>
      <c r="D31" s="25">
        <f>'Rent Roll'!E10</f>
        <v>1</v>
      </c>
      <c r="E31" s="26">
        <f>'Center Overview'!$B$32</f>
        <v>12</v>
      </c>
      <c r="F31" s="27">
        <f>'Center Overview'!$B$31</f>
        <v>0.04</v>
      </c>
      <c r="G31" s="26">
        <f t="shared" si="0"/>
        <v>-20224</v>
      </c>
      <c r="H31" s="26">
        <f t="shared" si="1"/>
        <v>0</v>
      </c>
      <c r="I31" s="26">
        <f t="shared" si="2"/>
        <v>0</v>
      </c>
      <c r="J31" s="26">
        <f t="shared" si="3"/>
        <v>0</v>
      </c>
      <c r="K31" s="26">
        <f t="shared" si="4"/>
        <v>0</v>
      </c>
      <c r="L31" s="1"/>
      <c r="M31" s="1"/>
    </row>
    <row r="32" spans="1:13" x14ac:dyDescent="0.25">
      <c r="A32" s="23" t="s">
        <v>95</v>
      </c>
      <c r="B32" s="1"/>
      <c r="C32" s="1"/>
      <c r="D32" s="1"/>
      <c r="E32" s="1"/>
      <c r="F32" s="29"/>
      <c r="G32" s="30">
        <f>SUM(G26:G31)</f>
        <v>-35392</v>
      </c>
      <c r="H32" s="30">
        <f>SUM(H26:H31)</f>
        <v>-12820</v>
      </c>
      <c r="I32" s="30">
        <f>SUM(I26:I31)</f>
        <v>-22911.18</v>
      </c>
      <c r="J32" s="30">
        <f>SUM(J26:J31)</f>
        <v>-27663.551666666666</v>
      </c>
      <c r="K32" s="30">
        <f>SUM(K26:K31)</f>
        <v>-17830.225364583333</v>
      </c>
      <c r="L32" s="1"/>
      <c r="M32" s="1"/>
    </row>
  </sheetData>
  <conditionalFormatting sqref="G32:K32">
    <cfRule type="cellIs" dxfId="1" priority="1" operator="lessThan">
      <formula>-50000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D15" sqref="D15"/>
    </sheetView>
  </sheetViews>
  <sheetFormatPr defaultRowHeight="15" x14ac:dyDescent="0.25"/>
  <cols>
    <col min="1" max="1" width="25" customWidth="1"/>
    <col min="2" max="6" width="14" customWidth="1"/>
  </cols>
  <sheetData>
    <row r="1" spans="1:6" x14ac:dyDescent="0.25">
      <c r="A1" s="1"/>
      <c r="B1" s="1"/>
      <c r="C1" s="1"/>
      <c r="D1" s="1"/>
      <c r="E1" s="1"/>
      <c r="F1" s="1"/>
    </row>
    <row r="2" spans="1:6" ht="18.75" x14ac:dyDescent="0.25">
      <c r="A2" s="2" t="s">
        <v>96</v>
      </c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17" t="s">
        <v>97</v>
      </c>
      <c r="B4" s="17" t="s">
        <v>83</v>
      </c>
      <c r="C4" s="17" t="s">
        <v>84</v>
      </c>
      <c r="D4" s="17" t="s">
        <v>85</v>
      </c>
      <c r="E4" s="17" t="s">
        <v>86</v>
      </c>
      <c r="F4" s="17" t="s">
        <v>87</v>
      </c>
    </row>
    <row r="5" spans="1:6" x14ac:dyDescent="0.25">
      <c r="A5" s="4" t="s">
        <v>98</v>
      </c>
      <c r="B5" s="7">
        <f>'Lease Rollover'!I12</f>
        <v>187800</v>
      </c>
      <c r="C5" s="7">
        <f>'Lease Rollover'!J12</f>
        <v>207056.99999999997</v>
      </c>
      <c r="D5" s="7">
        <f>'Lease Rollover'!K12</f>
        <v>209930.21499999997</v>
      </c>
      <c r="E5" s="7">
        <f>'Lease Rollover'!L12</f>
        <v>221336.91979166665</v>
      </c>
      <c r="F5" s="7">
        <f>'Lease Rollover'!M12</f>
        <v>233272.4575520833</v>
      </c>
    </row>
    <row r="6" spans="1:6" x14ac:dyDescent="0.25">
      <c r="A6" s="4" t="s">
        <v>99</v>
      </c>
      <c r="B6" s="7">
        <f>'Lease Rollover'!G22</f>
        <v>43500</v>
      </c>
      <c r="C6" s="7">
        <f>'Lease Rollover'!H22</f>
        <v>47560</v>
      </c>
      <c r="D6" s="7">
        <f>'Lease Rollover'!I22</f>
        <v>47383.1875</v>
      </c>
      <c r="E6" s="7">
        <f>'Lease Rollover'!J22</f>
        <v>48370.337239583328</v>
      </c>
      <c r="F6" s="7">
        <f>'Lease Rollover'!K22</f>
        <v>50720.202324218728</v>
      </c>
    </row>
    <row r="7" spans="1:6" x14ac:dyDescent="0.25">
      <c r="A7" s="4" t="s">
        <v>100</v>
      </c>
      <c r="B7" s="7">
        <f>B5+B6</f>
        <v>231300</v>
      </c>
      <c r="C7" s="7">
        <f>C5+C6</f>
        <v>254616.99999999997</v>
      </c>
      <c r="D7" s="7">
        <f>D5+D6</f>
        <v>257313.40249999997</v>
      </c>
      <c r="E7" s="7">
        <f>E5+E6</f>
        <v>269707.25703124999</v>
      </c>
      <c r="F7" s="7">
        <f>F5+F6</f>
        <v>283992.659876302</v>
      </c>
    </row>
    <row r="8" spans="1:6" x14ac:dyDescent="0.25">
      <c r="A8" s="4" t="s">
        <v>101</v>
      </c>
      <c r="B8" s="7">
        <f>B7*'Center Overview'!$B$29*-1</f>
        <v>-4626</v>
      </c>
      <c r="C8" s="7">
        <f>C7*'Center Overview'!$B$29*-1</f>
        <v>-5092.3399999999992</v>
      </c>
      <c r="D8" s="7">
        <f>D7*'Center Overview'!$B$29*-1</f>
        <v>-5146.2680499999997</v>
      </c>
      <c r="E8" s="7">
        <f>E7*'Center Overview'!$B$29*-1</f>
        <v>-5394.1451406249998</v>
      </c>
      <c r="F8" s="7">
        <f>F7*'Center Overview'!$B$29*-1</f>
        <v>-5679.8531975260403</v>
      </c>
    </row>
    <row r="9" spans="1:6" x14ac:dyDescent="0.25">
      <c r="A9" s="4" t="s">
        <v>102</v>
      </c>
      <c r="B9" s="7">
        <f>B7+B8</f>
        <v>226674</v>
      </c>
      <c r="C9" s="7">
        <f>C7+C8</f>
        <v>249524.65999999997</v>
      </c>
      <c r="D9" s="7">
        <f>D7+D8</f>
        <v>252167.13444999995</v>
      </c>
      <c r="E9" s="7">
        <f>E7+E8</f>
        <v>264313.11189062498</v>
      </c>
      <c r="F9" s="7">
        <f>F7+F8</f>
        <v>278312.80667877599</v>
      </c>
    </row>
    <row r="10" spans="1:6" x14ac:dyDescent="0.25">
      <c r="A10" s="4" t="s">
        <v>103</v>
      </c>
      <c r="B10" s="7">
        <f>SUM('Center Overview'!$B$38:$B$43)</f>
        <v>94000</v>
      </c>
      <c r="C10" s="7">
        <f>B10*(1+'Center Overview'!$B$45)</f>
        <v>96349.999999999985</v>
      </c>
      <c r="D10" s="7">
        <f>C10*(1+'Center Overview'!$B$45)</f>
        <v>98758.749999999971</v>
      </c>
      <c r="E10" s="7">
        <f>D10*(1+'Center Overview'!$B$45)</f>
        <v>101227.71874999996</v>
      </c>
      <c r="F10" s="7">
        <f>E10*(1+'Center Overview'!$B$45)</f>
        <v>103758.41171874995</v>
      </c>
    </row>
    <row r="11" spans="1:6" x14ac:dyDescent="0.25">
      <c r="A11" s="4" t="s">
        <v>104</v>
      </c>
      <c r="B11" s="7">
        <f>B9*'Center Overview'!$B$44</f>
        <v>9066.9600000000009</v>
      </c>
      <c r="C11" s="7">
        <f>C9*'Center Overview'!$B$44</f>
        <v>9980.9863999999998</v>
      </c>
      <c r="D11" s="7">
        <f>D9*'Center Overview'!$B$44</f>
        <v>10086.685377999998</v>
      </c>
      <c r="E11" s="7">
        <f>E9*'Center Overview'!$B$44</f>
        <v>10572.524475624999</v>
      </c>
      <c r="F11" s="7">
        <f>F9*'Center Overview'!$B$44</f>
        <v>11132.51226715104</v>
      </c>
    </row>
    <row r="12" spans="1:6" x14ac:dyDescent="0.25">
      <c r="A12" s="4" t="s">
        <v>105</v>
      </c>
      <c r="B12" s="7">
        <f>B9-B10-B11</f>
        <v>123607.03999999999</v>
      </c>
      <c r="C12" s="7">
        <f>C9-C10-C11</f>
        <v>143193.67359999998</v>
      </c>
      <c r="D12" s="7">
        <f>D9-D10-D11</f>
        <v>143321.69907199999</v>
      </c>
      <c r="E12" s="7">
        <f>E9-E10-E11</f>
        <v>152512.86866500005</v>
      </c>
      <c r="F12" s="7">
        <f>F9-F10-F11</f>
        <v>163421.88269287499</v>
      </c>
    </row>
    <row r="13" spans="1:6" x14ac:dyDescent="0.25">
      <c r="A13" s="4" t="s">
        <v>106</v>
      </c>
      <c r="B13" s="7">
        <f>ABS('Lease Rollover'!G32)</f>
        <v>35392</v>
      </c>
      <c r="C13" s="7">
        <f>ABS('Lease Rollover'!H32)</f>
        <v>12820</v>
      </c>
      <c r="D13" s="7">
        <f>ABS('Lease Rollover'!I32)</f>
        <v>22911.18</v>
      </c>
      <c r="E13" s="7">
        <f>ABS('Lease Rollover'!J32)</f>
        <v>27663.551666666666</v>
      </c>
      <c r="F13" s="7">
        <f>ABS('Lease Rollover'!K32)</f>
        <v>17830.225364583333</v>
      </c>
    </row>
    <row r="14" spans="1:6" x14ac:dyDescent="0.25">
      <c r="A14" s="4" t="s">
        <v>107</v>
      </c>
      <c r="B14" s="7">
        <f>B12-B13</f>
        <v>88215.039999999994</v>
      </c>
      <c r="C14" s="7">
        <f>C12-C13</f>
        <v>130373.67359999998</v>
      </c>
      <c r="D14" s="7">
        <f>D12-D13</f>
        <v>120410.519072</v>
      </c>
      <c r="E14" s="7">
        <f>E12-E13</f>
        <v>124849.31699833338</v>
      </c>
      <c r="F14" s="7">
        <f>F12-F13</f>
        <v>145591.65732829165</v>
      </c>
    </row>
    <row r="15" spans="1:6" x14ac:dyDescent="0.25">
      <c r="A15" s="4" t="s">
        <v>108</v>
      </c>
      <c r="B15" s="7">
        <f>'Center Overview'!$B$25</f>
        <v>168208.67661483222</v>
      </c>
      <c r="C15" s="7">
        <f>'Center Overview'!$B$25</f>
        <v>168208.67661483222</v>
      </c>
      <c r="D15" s="7">
        <f>'Center Overview'!$B$25</f>
        <v>168208.67661483222</v>
      </c>
      <c r="E15" s="7">
        <f>'Center Overview'!$B$25</f>
        <v>168208.67661483222</v>
      </c>
      <c r="F15" s="7">
        <f>'Center Overview'!$B$25</f>
        <v>168208.67661483222</v>
      </c>
    </row>
    <row r="16" spans="1:6" x14ac:dyDescent="0.25">
      <c r="A16" s="4" t="s">
        <v>109</v>
      </c>
      <c r="B16" s="7">
        <f>B14-B15</f>
        <v>-79993.636614832227</v>
      </c>
      <c r="C16" s="7">
        <f>C14-C15</f>
        <v>-37835.00301483224</v>
      </c>
      <c r="D16" s="7">
        <f>D14-D15</f>
        <v>-47798.157542832225</v>
      </c>
      <c r="E16" s="7">
        <f>E14-E15</f>
        <v>-43359.359616498841</v>
      </c>
      <c r="F16" s="7">
        <f>F14-F15</f>
        <v>-22617.01928654057</v>
      </c>
    </row>
    <row r="17" spans="1:6" x14ac:dyDescent="0.25">
      <c r="A17" s="4" t="s">
        <v>110</v>
      </c>
      <c r="B17" s="20">
        <f>IF(B15=0,0,B12/B15)</f>
        <v>0.73484342477194564</v>
      </c>
      <c r="C17" s="20">
        <f>IF(C15=0,0,C12/C15)</f>
        <v>0.8512858936990978</v>
      </c>
      <c r="D17" s="20">
        <f>IF(D15=0,0,D12/D15)</f>
        <v>0.85204700468680961</v>
      </c>
      <c r="E17" s="20">
        <f>IF(E15=0,0,E12/E15)</f>
        <v>0.90668847608989422</v>
      </c>
      <c r="F17" s="20">
        <f>IF(F15=0,0,F12/F15)</f>
        <v>0.97154252670973607</v>
      </c>
    </row>
  </sheetData>
  <conditionalFormatting sqref="B17:F17">
    <cfRule type="cellIs" dxfId="0" priority="1" operator="lessThan">
      <formula>1.2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31" sqref="B31"/>
    </sheetView>
  </sheetViews>
  <sheetFormatPr defaultRowHeight="15" x14ac:dyDescent="0.25"/>
  <cols>
    <col min="1" max="1" width="28" customWidth="1"/>
    <col min="2" max="2" width="16" customWidth="1"/>
    <col min="5" max="9" width="14" customWidth="1"/>
    <col min="10" max="10" width="16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8.75" x14ac:dyDescent="0.25">
      <c r="A2" s="2" t="s">
        <v>111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3" t="s">
        <v>112</v>
      </c>
      <c r="B4" s="1"/>
      <c r="C4" s="1"/>
      <c r="D4" s="1"/>
      <c r="E4" s="3" t="s">
        <v>113</v>
      </c>
      <c r="F4" s="1"/>
      <c r="G4" s="1"/>
      <c r="H4" s="1"/>
      <c r="I4" s="1"/>
      <c r="J4" s="1"/>
    </row>
    <row r="5" spans="1:10" x14ac:dyDescent="0.25">
      <c r="A5" s="6" t="s">
        <v>114</v>
      </c>
      <c r="B5" s="7">
        <f>'Center Overview'!B14</f>
        <v>3150000</v>
      </c>
      <c r="C5" s="1"/>
      <c r="D5" s="1"/>
      <c r="E5" s="17" t="s">
        <v>115</v>
      </c>
      <c r="F5" s="17" t="s">
        <v>83</v>
      </c>
      <c r="G5" s="17" t="s">
        <v>84</v>
      </c>
      <c r="H5" s="17" t="s">
        <v>85</v>
      </c>
      <c r="I5" s="17" t="s">
        <v>86</v>
      </c>
      <c r="J5" s="17" t="s">
        <v>116</v>
      </c>
    </row>
    <row r="6" spans="1:10" x14ac:dyDescent="0.25">
      <c r="A6" s="6" t="s">
        <v>117</v>
      </c>
      <c r="B6" s="7">
        <f>'Center Overview'!B17</f>
        <v>3245000</v>
      </c>
      <c r="C6" s="1"/>
      <c r="D6" s="1"/>
      <c r="E6" s="7">
        <f>+B28</f>
        <v>1197500</v>
      </c>
      <c r="F6" s="7">
        <f>'5-Year Pro Forma'!B16</f>
        <v>-79993.636614832227</v>
      </c>
      <c r="G6" s="7">
        <f>'5-Year Pro Forma'!C16</f>
        <v>-37835.00301483224</v>
      </c>
      <c r="H6" s="7">
        <f>'5-Year Pro Forma'!D16</f>
        <v>-47798.157542832225</v>
      </c>
      <c r="I6" s="7">
        <f>'5-Year Pro Forma'!E16</f>
        <v>-43359.359616498841</v>
      </c>
      <c r="J6" s="7">
        <f>'5-Year Pro Forma'!F16+B24</f>
        <v>-1616752.8601334866</v>
      </c>
    </row>
    <row r="7" spans="1:10" x14ac:dyDescent="0.25">
      <c r="A7" s="6" t="s">
        <v>118</v>
      </c>
      <c r="B7" s="7">
        <f>'Center Overview'!B21</f>
        <v>2047500</v>
      </c>
      <c r="C7" s="1"/>
      <c r="D7" s="1"/>
      <c r="E7" s="1"/>
      <c r="F7" s="1"/>
      <c r="G7" s="1"/>
      <c r="H7" s="1"/>
      <c r="I7" s="1"/>
      <c r="J7" s="1"/>
    </row>
    <row r="8" spans="1:10" x14ac:dyDescent="0.25">
      <c r="A8" s="6" t="s">
        <v>5</v>
      </c>
      <c r="B8" s="7">
        <f>'5-Year Pro Forma'!B12</f>
        <v>123607.03999999999</v>
      </c>
      <c r="C8" s="1"/>
      <c r="D8" s="1"/>
      <c r="E8" s="1"/>
      <c r="F8" s="1"/>
      <c r="G8" s="1"/>
      <c r="H8" s="1"/>
      <c r="I8" s="1"/>
      <c r="J8" s="1"/>
    </row>
    <row r="9" spans="1:10" x14ac:dyDescent="0.25">
      <c r="A9" s="6" t="s">
        <v>119</v>
      </c>
      <c r="B9" s="7">
        <f>'5-Year Pro Forma'!B16</f>
        <v>-79993.636614832227</v>
      </c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3" t="s">
        <v>120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6" t="s">
        <v>121</v>
      </c>
      <c r="B13" s="7">
        <f>SUM('5-Year Pro Forma'!B13:F13)</f>
        <v>116616.95703125</v>
      </c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6" t="s">
        <v>122</v>
      </c>
      <c r="B14" s="7">
        <f>AVERAGE('5-Year Pro Forma'!B16:F16)</f>
        <v>-46320.635215107221</v>
      </c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6" t="s">
        <v>123</v>
      </c>
      <c r="B15" s="9">
        <f>'Center Overview'!B9</f>
        <v>0.82608695652173914</v>
      </c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6" t="s">
        <v>124</v>
      </c>
      <c r="B16" s="10">
        <f>'Center Overview'!B11</f>
        <v>24.239130434782609</v>
      </c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3" t="s">
        <v>125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6" t="s">
        <v>126</v>
      </c>
      <c r="B20" s="7">
        <f>'5-Year Pro Forma'!F12</f>
        <v>163421.88269287499</v>
      </c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6" t="s">
        <v>127</v>
      </c>
      <c r="B21" s="7">
        <f>IF('Center Overview'!B34=0,0,B20/'Center Overview'!B34)</f>
        <v>2334598.3241839283</v>
      </c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6" t="s">
        <v>128</v>
      </c>
      <c r="B22" s="7">
        <f>B21*'Center Overview'!B35</f>
        <v>81710.941346437496</v>
      </c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6" t="s">
        <v>129</v>
      </c>
      <c r="B23" s="7">
        <f>-FV('Center Overview'!B22/12,'Center Overview'!B33*12,'Center Overview'!B24,'Center Overview'!B21)</f>
        <v>3847023.2236844366</v>
      </c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6" t="s">
        <v>130</v>
      </c>
      <c r="B24" s="7">
        <f>B21-B22-B23</f>
        <v>-1594135.840846946</v>
      </c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3" t="s">
        <v>131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5">
      <c r="A28" s="6" t="s">
        <v>132</v>
      </c>
      <c r="B28" s="7">
        <f>'Center Overview'!B17-'Center Overview'!B21</f>
        <v>1197500</v>
      </c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6" t="s">
        <v>133</v>
      </c>
      <c r="B29" s="7">
        <f>SUM('5-Year Pro Forma'!B16:F16)+B24</f>
        <v>-1825739.0169224821</v>
      </c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 s="6" t="s">
        <v>16</v>
      </c>
      <c r="B30" s="11">
        <f>IF(B28=0,0,B29/B28)</f>
        <v>-1.5246254838601103</v>
      </c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6" t="s">
        <v>134</v>
      </c>
      <c r="B31" s="21">
        <f>IRR(E6:J6)</f>
        <v>9.5135366767761687E-2</v>
      </c>
      <c r="C31" s="1"/>
      <c r="D31" s="1"/>
      <c r="E31" s="1"/>
      <c r="F31" s="1"/>
      <c r="G31" s="1"/>
      <c r="H31" s="1"/>
      <c r="I31" s="1"/>
      <c r="J3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Center Overview</vt:lpstr>
      <vt:lpstr>Rent Roll</vt:lpstr>
      <vt:lpstr>Lease Rollover</vt:lpstr>
      <vt:lpstr>5-Year Pro Forma</vt:lpstr>
      <vt:lpstr>Exit &amp; Snapshot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Shah</dc:creator>
  <cp:lastModifiedBy>Frenzel, Tim</cp:lastModifiedBy>
  <dcterms:created xsi:type="dcterms:W3CDTF">2026-04-09T06:29:29Z</dcterms:created>
  <dcterms:modified xsi:type="dcterms:W3CDTF">2026-04-09T06:56:06Z</dcterms:modified>
</cp:coreProperties>
</file>