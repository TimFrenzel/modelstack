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I:\My Drive\000_drive_drive\600_PROJECTS\modelstack\sheets\real-estate\rental-property-cash-flow-analyzer\"/>
    </mc:Choice>
  </mc:AlternateContent>
  <xr:revisionPtr revIDLastSave="0" documentId="13_ncr:1_{4A9C138C-B554-4859-90EB-FEBBBB761EE5}" xr6:coauthVersionLast="47" xr6:coauthVersionMax="47" xr10:uidLastSave="{00000000-0000-0000-0000-000000000000}"/>
  <bookViews>
    <workbookView xWindow="-120" yWindow="-120" windowWidth="38640" windowHeight="15720" activeTab="3" xr2:uid="{00000000-000D-0000-FFFF-FFFF00000000}"/>
  </bookViews>
  <sheets>
    <sheet name="Deal Inputs" sheetId="1" r:id="rId1"/>
    <sheet name="Monthly Cash Flow" sheetId="2" r:id="rId2"/>
    <sheet name="Annual Summary" sheetId="3" r:id="rId3"/>
    <sheet name="Deal Snapsho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" l="1"/>
  <c r="B21" i="4"/>
  <c r="B20" i="4"/>
  <c r="B19" i="4"/>
  <c r="B10" i="4"/>
  <c r="B9" i="4"/>
  <c r="B5" i="4"/>
  <c r="B4" i="4"/>
  <c r="L6" i="3"/>
  <c r="L5" i="3"/>
  <c r="L4" i="3"/>
  <c r="L3" i="3"/>
  <c r="L2" i="3"/>
  <c r="N61" i="2"/>
  <c r="M61" i="2"/>
  <c r="L61" i="2"/>
  <c r="H61" i="2"/>
  <c r="G61" i="2"/>
  <c r="D61" i="2"/>
  <c r="C61" i="2"/>
  <c r="B61" i="2"/>
  <c r="N60" i="2"/>
  <c r="M60" i="2"/>
  <c r="L60" i="2"/>
  <c r="H60" i="2"/>
  <c r="G60" i="2"/>
  <c r="E60" i="2"/>
  <c r="D60" i="2"/>
  <c r="C60" i="2"/>
  <c r="K60" i="2" s="1"/>
  <c r="B60" i="2"/>
  <c r="N59" i="2"/>
  <c r="M59" i="2"/>
  <c r="L59" i="2"/>
  <c r="J59" i="2"/>
  <c r="H59" i="2"/>
  <c r="G59" i="2"/>
  <c r="D59" i="2"/>
  <c r="C59" i="2"/>
  <c r="E59" i="2" s="1"/>
  <c r="F59" i="2" s="1"/>
  <c r="B59" i="2"/>
  <c r="N58" i="2"/>
  <c r="M58" i="2"/>
  <c r="L58" i="2"/>
  <c r="H58" i="2"/>
  <c r="G58" i="2"/>
  <c r="E58" i="2"/>
  <c r="D58" i="2"/>
  <c r="C58" i="2"/>
  <c r="K58" i="2" s="1"/>
  <c r="B58" i="2"/>
  <c r="N57" i="2"/>
  <c r="M57" i="2"/>
  <c r="L57" i="2"/>
  <c r="K57" i="2"/>
  <c r="J57" i="2"/>
  <c r="H57" i="2"/>
  <c r="G57" i="2"/>
  <c r="D57" i="2"/>
  <c r="C57" i="2"/>
  <c r="B57" i="2"/>
  <c r="N56" i="2"/>
  <c r="M56" i="2"/>
  <c r="L56" i="2"/>
  <c r="H56" i="2"/>
  <c r="G56" i="2"/>
  <c r="D56" i="2"/>
  <c r="C56" i="2"/>
  <c r="B56" i="2"/>
  <c r="N55" i="2"/>
  <c r="M55" i="2"/>
  <c r="L55" i="2"/>
  <c r="K55" i="2"/>
  <c r="H55" i="2"/>
  <c r="G55" i="2"/>
  <c r="O55" i="2" s="1"/>
  <c r="F55" i="2"/>
  <c r="I55" i="2" s="1"/>
  <c r="E55" i="2"/>
  <c r="D55" i="2"/>
  <c r="C55" i="2"/>
  <c r="J55" i="2" s="1"/>
  <c r="B55" i="2"/>
  <c r="N54" i="2"/>
  <c r="M54" i="2"/>
  <c r="L54" i="2"/>
  <c r="K54" i="2"/>
  <c r="J54" i="2"/>
  <c r="H54" i="2"/>
  <c r="G54" i="2"/>
  <c r="E54" i="2"/>
  <c r="D54" i="2"/>
  <c r="F54" i="2" s="1"/>
  <c r="C54" i="2"/>
  <c r="B54" i="2"/>
  <c r="N53" i="2"/>
  <c r="M53" i="2"/>
  <c r="L53" i="2"/>
  <c r="H53" i="2"/>
  <c r="G53" i="2"/>
  <c r="D53" i="2"/>
  <c r="C53" i="2"/>
  <c r="K53" i="2" s="1"/>
  <c r="B53" i="2"/>
  <c r="N52" i="2"/>
  <c r="M52" i="2"/>
  <c r="L52" i="2"/>
  <c r="K52" i="2"/>
  <c r="H52" i="2"/>
  <c r="G52" i="2"/>
  <c r="E52" i="2"/>
  <c r="D52" i="2"/>
  <c r="C52" i="2"/>
  <c r="J52" i="2" s="1"/>
  <c r="B52" i="2"/>
  <c r="N51" i="2"/>
  <c r="M51" i="2"/>
  <c r="L51" i="2"/>
  <c r="J51" i="2"/>
  <c r="H51" i="2"/>
  <c r="G51" i="2"/>
  <c r="E51" i="2"/>
  <c r="D51" i="2"/>
  <c r="C51" i="2"/>
  <c r="F51" i="2" s="1"/>
  <c r="B51" i="2"/>
  <c r="N50" i="2"/>
  <c r="M50" i="2"/>
  <c r="L50" i="2"/>
  <c r="J50" i="2"/>
  <c r="H50" i="2"/>
  <c r="G50" i="2"/>
  <c r="D50" i="2"/>
  <c r="C50" i="2"/>
  <c r="K50" i="2" s="1"/>
  <c r="B50" i="2"/>
  <c r="N49" i="2"/>
  <c r="M49" i="2"/>
  <c r="L49" i="2"/>
  <c r="H49" i="2"/>
  <c r="G49" i="2"/>
  <c r="D49" i="2"/>
  <c r="C49" i="2"/>
  <c r="B49" i="2"/>
  <c r="N48" i="2"/>
  <c r="M48" i="2"/>
  <c r="L48" i="2"/>
  <c r="J48" i="2"/>
  <c r="H48" i="2"/>
  <c r="G48" i="2"/>
  <c r="E48" i="2"/>
  <c r="D48" i="2"/>
  <c r="C48" i="2"/>
  <c r="K48" i="2" s="1"/>
  <c r="B48" i="2"/>
  <c r="N47" i="2"/>
  <c r="M47" i="2"/>
  <c r="L47" i="2"/>
  <c r="J47" i="2"/>
  <c r="H47" i="2"/>
  <c r="G47" i="2"/>
  <c r="D47" i="2"/>
  <c r="C47" i="2"/>
  <c r="E47" i="2" s="1"/>
  <c r="F47" i="2" s="1"/>
  <c r="B47" i="2"/>
  <c r="N46" i="2"/>
  <c r="M46" i="2"/>
  <c r="L46" i="2"/>
  <c r="H46" i="2"/>
  <c r="G46" i="2"/>
  <c r="E46" i="2"/>
  <c r="D46" i="2"/>
  <c r="C46" i="2"/>
  <c r="J46" i="2" s="1"/>
  <c r="B46" i="2"/>
  <c r="N45" i="2"/>
  <c r="M45" i="2"/>
  <c r="L45" i="2"/>
  <c r="K45" i="2"/>
  <c r="J45" i="2"/>
  <c r="H45" i="2"/>
  <c r="G45" i="2"/>
  <c r="D45" i="2"/>
  <c r="C45" i="2"/>
  <c r="B45" i="2"/>
  <c r="N44" i="2"/>
  <c r="M44" i="2"/>
  <c r="L44" i="2"/>
  <c r="H44" i="2"/>
  <c r="G44" i="2"/>
  <c r="D44" i="2"/>
  <c r="C44" i="2"/>
  <c r="B44" i="2"/>
  <c r="N43" i="2"/>
  <c r="M43" i="2"/>
  <c r="L43" i="2"/>
  <c r="K43" i="2"/>
  <c r="H43" i="2"/>
  <c r="G43" i="2"/>
  <c r="F43" i="2"/>
  <c r="I43" i="2" s="1"/>
  <c r="E43" i="2"/>
  <c r="D43" i="2"/>
  <c r="C43" i="2"/>
  <c r="J43" i="2" s="1"/>
  <c r="B43" i="2"/>
  <c r="N42" i="2"/>
  <c r="M42" i="2"/>
  <c r="L42" i="2"/>
  <c r="K42" i="2"/>
  <c r="J42" i="2"/>
  <c r="H42" i="2"/>
  <c r="G42" i="2"/>
  <c r="E42" i="2"/>
  <c r="D42" i="2"/>
  <c r="F42" i="2" s="1"/>
  <c r="C42" i="2"/>
  <c r="B42" i="2"/>
  <c r="N41" i="2"/>
  <c r="M41" i="2"/>
  <c r="L41" i="2"/>
  <c r="H41" i="2"/>
  <c r="G41" i="2"/>
  <c r="D41" i="2"/>
  <c r="C41" i="2"/>
  <c r="K41" i="2" s="1"/>
  <c r="B41" i="2"/>
  <c r="N40" i="2"/>
  <c r="M40" i="2"/>
  <c r="L40" i="2"/>
  <c r="K40" i="2"/>
  <c r="H40" i="2"/>
  <c r="G40" i="2"/>
  <c r="E40" i="2"/>
  <c r="D40" i="2"/>
  <c r="C40" i="2"/>
  <c r="J40" i="2" s="1"/>
  <c r="B40" i="2"/>
  <c r="N39" i="2"/>
  <c r="M39" i="2"/>
  <c r="L39" i="2"/>
  <c r="J39" i="2"/>
  <c r="H39" i="2"/>
  <c r="G39" i="2"/>
  <c r="E39" i="2"/>
  <c r="D39" i="2"/>
  <c r="C39" i="2"/>
  <c r="F39" i="2" s="1"/>
  <c r="B39" i="2"/>
  <c r="N38" i="2"/>
  <c r="M38" i="2"/>
  <c r="L38" i="2"/>
  <c r="J38" i="2"/>
  <c r="H38" i="2"/>
  <c r="G38" i="2"/>
  <c r="D38" i="2"/>
  <c r="C38" i="2"/>
  <c r="K38" i="2" s="1"/>
  <c r="B38" i="2"/>
  <c r="N37" i="2"/>
  <c r="M37" i="2"/>
  <c r="L37" i="2"/>
  <c r="H37" i="2"/>
  <c r="G37" i="2"/>
  <c r="D37" i="2"/>
  <c r="C37" i="2"/>
  <c r="B37" i="2"/>
  <c r="N36" i="2"/>
  <c r="M36" i="2"/>
  <c r="L36" i="2"/>
  <c r="J36" i="2"/>
  <c r="H36" i="2"/>
  <c r="G36" i="2"/>
  <c r="E36" i="2"/>
  <c r="D36" i="2"/>
  <c r="C36" i="2"/>
  <c r="K36" i="2" s="1"/>
  <c r="B36" i="2"/>
  <c r="N35" i="2"/>
  <c r="M35" i="2"/>
  <c r="L35" i="2"/>
  <c r="J35" i="2"/>
  <c r="H35" i="2"/>
  <c r="G35" i="2"/>
  <c r="D35" i="2"/>
  <c r="C35" i="2"/>
  <c r="E35" i="2" s="1"/>
  <c r="F35" i="2" s="1"/>
  <c r="B35" i="2"/>
  <c r="N34" i="2"/>
  <c r="M34" i="2"/>
  <c r="L34" i="2"/>
  <c r="H34" i="2"/>
  <c r="G34" i="2"/>
  <c r="E34" i="2"/>
  <c r="D34" i="2"/>
  <c r="C34" i="2"/>
  <c r="K34" i="2" s="1"/>
  <c r="B34" i="2"/>
  <c r="N33" i="2"/>
  <c r="M33" i="2"/>
  <c r="L33" i="2"/>
  <c r="K33" i="2"/>
  <c r="J33" i="2"/>
  <c r="H33" i="2"/>
  <c r="G33" i="2"/>
  <c r="D33" i="2"/>
  <c r="C33" i="2"/>
  <c r="B33" i="2"/>
  <c r="N32" i="2"/>
  <c r="M32" i="2"/>
  <c r="L32" i="2"/>
  <c r="H32" i="2"/>
  <c r="G32" i="2"/>
  <c r="D32" i="2"/>
  <c r="C32" i="2"/>
  <c r="B32" i="2"/>
  <c r="N31" i="2"/>
  <c r="M31" i="2"/>
  <c r="L31" i="2"/>
  <c r="K31" i="2"/>
  <c r="H31" i="2"/>
  <c r="G31" i="2"/>
  <c r="F31" i="2"/>
  <c r="I31" i="2" s="1"/>
  <c r="E31" i="2"/>
  <c r="D31" i="2"/>
  <c r="C31" i="2"/>
  <c r="J31" i="2" s="1"/>
  <c r="B31" i="2"/>
  <c r="N30" i="2"/>
  <c r="M30" i="2"/>
  <c r="L30" i="2"/>
  <c r="K30" i="2"/>
  <c r="J30" i="2"/>
  <c r="H30" i="2"/>
  <c r="G30" i="2"/>
  <c r="E30" i="2"/>
  <c r="D30" i="2"/>
  <c r="F30" i="2" s="1"/>
  <c r="C30" i="2"/>
  <c r="B30" i="2"/>
  <c r="N29" i="2"/>
  <c r="M29" i="2"/>
  <c r="L29" i="2"/>
  <c r="H29" i="2"/>
  <c r="G29" i="2"/>
  <c r="D29" i="2"/>
  <c r="C29" i="2"/>
  <c r="K29" i="2" s="1"/>
  <c r="B29" i="2"/>
  <c r="N28" i="2"/>
  <c r="M28" i="2"/>
  <c r="L28" i="2"/>
  <c r="K28" i="2"/>
  <c r="H28" i="2"/>
  <c r="G28" i="2"/>
  <c r="E28" i="2"/>
  <c r="D28" i="2"/>
  <c r="C28" i="2"/>
  <c r="J28" i="2" s="1"/>
  <c r="B28" i="2"/>
  <c r="N27" i="2"/>
  <c r="M27" i="2"/>
  <c r="L27" i="2"/>
  <c r="J27" i="2"/>
  <c r="H27" i="2"/>
  <c r="G27" i="2"/>
  <c r="E27" i="2"/>
  <c r="D27" i="2"/>
  <c r="C27" i="2"/>
  <c r="F27" i="2" s="1"/>
  <c r="B27" i="2"/>
  <c r="N26" i="2"/>
  <c r="M26" i="2"/>
  <c r="L26" i="2"/>
  <c r="J26" i="2"/>
  <c r="H26" i="2"/>
  <c r="G26" i="2"/>
  <c r="D26" i="2"/>
  <c r="C26" i="2"/>
  <c r="K26" i="2" s="1"/>
  <c r="B26" i="2"/>
  <c r="N25" i="2"/>
  <c r="M25" i="2"/>
  <c r="L25" i="2"/>
  <c r="H25" i="2"/>
  <c r="G25" i="2"/>
  <c r="D25" i="2"/>
  <c r="C25" i="2"/>
  <c r="B25" i="2"/>
  <c r="N24" i="2"/>
  <c r="M24" i="2"/>
  <c r="L24" i="2"/>
  <c r="J24" i="2"/>
  <c r="H24" i="2"/>
  <c r="G24" i="2"/>
  <c r="E24" i="2"/>
  <c r="D24" i="2"/>
  <c r="C24" i="2"/>
  <c r="K24" i="2" s="1"/>
  <c r="B24" i="2"/>
  <c r="N23" i="2"/>
  <c r="M23" i="2"/>
  <c r="L23" i="2"/>
  <c r="J23" i="2"/>
  <c r="H23" i="2"/>
  <c r="G23" i="2"/>
  <c r="D23" i="2"/>
  <c r="C23" i="2"/>
  <c r="E23" i="2" s="1"/>
  <c r="F23" i="2" s="1"/>
  <c r="B23" i="2"/>
  <c r="N22" i="2"/>
  <c r="M22" i="2"/>
  <c r="L22" i="2"/>
  <c r="H22" i="2"/>
  <c r="G22" i="2"/>
  <c r="D22" i="2"/>
  <c r="C22" i="2"/>
  <c r="J22" i="2" s="1"/>
  <c r="B22" i="2"/>
  <c r="N21" i="2"/>
  <c r="M21" i="2"/>
  <c r="L21" i="2"/>
  <c r="K21" i="2"/>
  <c r="J21" i="2"/>
  <c r="H21" i="2"/>
  <c r="G21" i="2"/>
  <c r="D21" i="2"/>
  <c r="C21" i="2"/>
  <c r="B21" i="2"/>
  <c r="N20" i="2"/>
  <c r="M20" i="2"/>
  <c r="L20" i="2"/>
  <c r="H20" i="2"/>
  <c r="G20" i="2"/>
  <c r="D20" i="2"/>
  <c r="C20" i="2"/>
  <c r="B20" i="2"/>
  <c r="N19" i="2"/>
  <c r="M19" i="2"/>
  <c r="L19" i="2"/>
  <c r="K19" i="2"/>
  <c r="H19" i="2"/>
  <c r="G19" i="2"/>
  <c r="O19" i="2" s="1"/>
  <c r="F19" i="2"/>
  <c r="I19" i="2" s="1"/>
  <c r="E19" i="2"/>
  <c r="D19" i="2"/>
  <c r="C19" i="2"/>
  <c r="J19" i="2" s="1"/>
  <c r="B19" i="2"/>
  <c r="N18" i="2"/>
  <c r="M18" i="2"/>
  <c r="L18" i="2"/>
  <c r="K18" i="2"/>
  <c r="J18" i="2"/>
  <c r="H18" i="2"/>
  <c r="G18" i="2"/>
  <c r="E18" i="2"/>
  <c r="D18" i="2"/>
  <c r="F18" i="2" s="1"/>
  <c r="C18" i="2"/>
  <c r="B18" i="2"/>
  <c r="N17" i="2"/>
  <c r="M17" i="2"/>
  <c r="L17" i="2"/>
  <c r="H17" i="2"/>
  <c r="G17" i="2"/>
  <c r="D17" i="2"/>
  <c r="C17" i="2"/>
  <c r="K17" i="2" s="1"/>
  <c r="B17" i="2"/>
  <c r="N16" i="2"/>
  <c r="M16" i="2"/>
  <c r="L16" i="2"/>
  <c r="K16" i="2"/>
  <c r="H16" i="2"/>
  <c r="G16" i="2"/>
  <c r="E16" i="2"/>
  <c r="D16" i="2"/>
  <c r="C16" i="2"/>
  <c r="J16" i="2" s="1"/>
  <c r="B16" i="2"/>
  <c r="N15" i="2"/>
  <c r="M15" i="2"/>
  <c r="L15" i="2"/>
  <c r="J15" i="2"/>
  <c r="H15" i="2"/>
  <c r="G15" i="2"/>
  <c r="E15" i="2"/>
  <c r="D15" i="2"/>
  <c r="C15" i="2"/>
  <c r="F15" i="2" s="1"/>
  <c r="B15" i="2"/>
  <c r="N14" i="2"/>
  <c r="M14" i="2"/>
  <c r="L14" i="2"/>
  <c r="J14" i="2"/>
  <c r="H14" i="2"/>
  <c r="G14" i="2"/>
  <c r="D14" i="2"/>
  <c r="C14" i="2"/>
  <c r="B3" i="3" s="1"/>
  <c r="N3" i="3" s="1"/>
  <c r="B14" i="2"/>
  <c r="N13" i="2"/>
  <c r="M13" i="2"/>
  <c r="L13" i="2"/>
  <c r="H13" i="2"/>
  <c r="G13" i="2"/>
  <c r="D13" i="2"/>
  <c r="C13" i="2"/>
  <c r="B13" i="2"/>
  <c r="N12" i="2"/>
  <c r="M12" i="2"/>
  <c r="L12" i="2"/>
  <c r="J12" i="2"/>
  <c r="H12" i="2"/>
  <c r="G12" i="2"/>
  <c r="E12" i="2"/>
  <c r="D12" i="2"/>
  <c r="F12" i="2" s="1"/>
  <c r="C12" i="2"/>
  <c r="K12" i="2" s="1"/>
  <c r="B12" i="2"/>
  <c r="N11" i="2"/>
  <c r="M11" i="2"/>
  <c r="L11" i="2"/>
  <c r="J11" i="2"/>
  <c r="H11" i="2"/>
  <c r="G11" i="2"/>
  <c r="D11" i="2"/>
  <c r="C11" i="2"/>
  <c r="E11" i="2" s="1"/>
  <c r="B11" i="2"/>
  <c r="N10" i="2"/>
  <c r="M10" i="2"/>
  <c r="L10" i="2"/>
  <c r="H10" i="2"/>
  <c r="G10" i="2"/>
  <c r="D10" i="2"/>
  <c r="C10" i="2"/>
  <c r="J10" i="2" s="1"/>
  <c r="B10" i="2"/>
  <c r="N9" i="2"/>
  <c r="M9" i="2"/>
  <c r="L9" i="2"/>
  <c r="K9" i="2"/>
  <c r="J9" i="2"/>
  <c r="H9" i="2"/>
  <c r="G9" i="2"/>
  <c r="D9" i="2"/>
  <c r="C9" i="2"/>
  <c r="B9" i="2"/>
  <c r="N8" i="2"/>
  <c r="M8" i="2"/>
  <c r="L8" i="2"/>
  <c r="H8" i="2"/>
  <c r="G8" i="2"/>
  <c r="D8" i="2"/>
  <c r="C8" i="2"/>
  <c r="B8" i="2"/>
  <c r="N7" i="2"/>
  <c r="M7" i="2"/>
  <c r="L7" i="2"/>
  <c r="K7" i="2"/>
  <c r="H7" i="2"/>
  <c r="G7" i="2"/>
  <c r="F7" i="2"/>
  <c r="I7" i="2" s="1"/>
  <c r="E7" i="2"/>
  <c r="D7" i="2"/>
  <c r="C7" i="2"/>
  <c r="J7" i="2" s="1"/>
  <c r="B7" i="2"/>
  <c r="N6" i="2"/>
  <c r="M6" i="2"/>
  <c r="L6" i="2"/>
  <c r="K6" i="2"/>
  <c r="J6" i="2"/>
  <c r="H6" i="2"/>
  <c r="G6" i="2"/>
  <c r="E6" i="2"/>
  <c r="D6" i="2"/>
  <c r="F6" i="2" s="1"/>
  <c r="C6" i="2"/>
  <c r="B6" i="2"/>
  <c r="N5" i="2"/>
  <c r="M5" i="2"/>
  <c r="L5" i="2"/>
  <c r="H5" i="2"/>
  <c r="G5" i="2"/>
  <c r="D5" i="2"/>
  <c r="C5" i="2"/>
  <c r="K5" i="2" s="1"/>
  <c r="B5" i="2"/>
  <c r="N4" i="2"/>
  <c r="M4" i="2"/>
  <c r="L4" i="2"/>
  <c r="K4" i="2"/>
  <c r="H4" i="2"/>
  <c r="G4" i="2"/>
  <c r="E4" i="2"/>
  <c r="D4" i="2"/>
  <c r="C4" i="2"/>
  <c r="J4" i="2" s="1"/>
  <c r="B4" i="2"/>
  <c r="N3" i="2"/>
  <c r="M3" i="2"/>
  <c r="L3" i="2"/>
  <c r="J3" i="2"/>
  <c r="H3" i="2"/>
  <c r="G3" i="2"/>
  <c r="E3" i="2"/>
  <c r="D3" i="2"/>
  <c r="C3" i="2"/>
  <c r="F3" i="2" s="1"/>
  <c r="B3" i="2"/>
  <c r="N2" i="2"/>
  <c r="M2" i="2"/>
  <c r="L2" i="2"/>
  <c r="J2" i="2"/>
  <c r="H2" i="2"/>
  <c r="G2" i="2"/>
  <c r="D2" i="2"/>
  <c r="C2" i="2"/>
  <c r="B2" i="3" s="1"/>
  <c r="N2" i="3" s="1"/>
  <c r="B2" i="2"/>
  <c r="B12" i="1"/>
  <c r="B15" i="1" s="1"/>
  <c r="B11" i="1"/>
  <c r="B7" i="1"/>
  <c r="I30" i="2" l="1"/>
  <c r="I15" i="2"/>
  <c r="F57" i="2"/>
  <c r="I6" i="2"/>
  <c r="M3" i="3"/>
  <c r="F21" i="2"/>
  <c r="F25" i="2"/>
  <c r="F20" i="2"/>
  <c r="I42" i="2"/>
  <c r="I47" i="2"/>
  <c r="I51" i="2"/>
  <c r="P51" i="2"/>
  <c r="R51" i="2" s="1"/>
  <c r="Q52" i="2"/>
  <c r="Q16" i="2"/>
  <c r="Q15" i="2"/>
  <c r="Q59" i="2"/>
  <c r="Q47" i="2"/>
  <c r="Q35" i="2"/>
  <c r="Q23" i="2"/>
  <c r="Q11" i="2"/>
  <c r="B11" i="4"/>
  <c r="M2" i="3"/>
  <c r="Q54" i="2"/>
  <c r="Q42" i="2"/>
  <c r="Q30" i="2"/>
  <c r="Q18" i="2"/>
  <c r="Q6" i="2"/>
  <c r="Q25" i="2"/>
  <c r="Q13" i="2"/>
  <c r="B24" i="4"/>
  <c r="Q61" i="2"/>
  <c r="Q49" i="2"/>
  <c r="Q37" i="2"/>
  <c r="G4" i="3"/>
  <c r="Q12" i="2"/>
  <c r="B23" i="4"/>
  <c r="G6" i="3"/>
  <c r="Q56" i="2"/>
  <c r="Q44" i="2"/>
  <c r="Q32" i="2"/>
  <c r="Q20" i="2"/>
  <c r="Q8" i="2"/>
  <c r="Q51" i="2"/>
  <c r="Q39" i="2"/>
  <c r="Q34" i="2"/>
  <c r="Q10" i="2"/>
  <c r="G5" i="3"/>
  <c r="G3" i="3"/>
  <c r="Q53" i="2"/>
  <c r="Q41" i="2"/>
  <c r="Q29" i="2"/>
  <c r="Q17" i="2"/>
  <c r="Q5" i="2"/>
  <c r="G2" i="3"/>
  <c r="Q60" i="2"/>
  <c r="Q48" i="2"/>
  <c r="Q36" i="2"/>
  <c r="Q24" i="2"/>
  <c r="Q55" i="2"/>
  <c r="Q43" i="2"/>
  <c r="Q31" i="2"/>
  <c r="Q19" i="2"/>
  <c r="Q7" i="2"/>
  <c r="Q40" i="2"/>
  <c r="Q28" i="2"/>
  <c r="Q4" i="2"/>
  <c r="Q22" i="2"/>
  <c r="Q50" i="2"/>
  <c r="Q38" i="2"/>
  <c r="Q26" i="2"/>
  <c r="Q14" i="2"/>
  <c r="Q2" i="2"/>
  <c r="M5" i="3"/>
  <c r="Q57" i="2"/>
  <c r="Q45" i="2"/>
  <c r="Q33" i="2"/>
  <c r="Q21" i="2"/>
  <c r="Q9" i="2"/>
  <c r="Q27" i="2"/>
  <c r="Q3" i="2"/>
  <c r="Q58" i="2"/>
  <c r="Q46" i="2"/>
  <c r="O54" i="2"/>
  <c r="P54" i="2" s="1"/>
  <c r="R54" i="2" s="1"/>
  <c r="O15" i="2"/>
  <c r="P15" i="2" s="1"/>
  <c r="R15" i="2" s="1"/>
  <c r="I35" i="2"/>
  <c r="I23" i="2"/>
  <c r="I27" i="2"/>
  <c r="P27" i="2"/>
  <c r="R27" i="2" s="1"/>
  <c r="O42" i="2"/>
  <c r="P42" i="2" s="1"/>
  <c r="R42" i="2" s="1"/>
  <c r="O43" i="2"/>
  <c r="P43" i="2" s="1"/>
  <c r="R43" i="2" s="1"/>
  <c r="M4" i="3"/>
  <c r="I18" i="2"/>
  <c r="O18" i="2" s="1"/>
  <c r="P18" i="2" s="1"/>
  <c r="R18" i="2" s="1"/>
  <c r="O51" i="2"/>
  <c r="F17" i="2"/>
  <c r="I39" i="2"/>
  <c r="O39" i="2" s="1"/>
  <c r="P39" i="2" s="1"/>
  <c r="R39" i="2" s="1"/>
  <c r="I12" i="2"/>
  <c r="O12" i="2" s="1"/>
  <c r="P12" i="2" s="1"/>
  <c r="R12" i="2" s="1"/>
  <c r="O30" i="2"/>
  <c r="P30" i="2" s="1"/>
  <c r="R30" i="2" s="1"/>
  <c r="O3" i="2"/>
  <c r="P3" i="2" s="1"/>
  <c r="R3" i="2" s="1"/>
  <c r="O7" i="2"/>
  <c r="P7" i="2" s="1"/>
  <c r="R7" i="2" s="1"/>
  <c r="O27" i="2"/>
  <c r="I54" i="2"/>
  <c r="I59" i="2"/>
  <c r="O59" i="2" s="1"/>
  <c r="P59" i="2" s="1"/>
  <c r="R59" i="2" s="1"/>
  <c r="O31" i="2"/>
  <c r="O6" i="2"/>
  <c r="P6" i="2" s="1"/>
  <c r="R6" i="2" s="1"/>
  <c r="I3" i="2"/>
  <c r="F11" i="2"/>
  <c r="K22" i="2"/>
  <c r="K3" i="2"/>
  <c r="F4" i="2"/>
  <c r="J8" i="2"/>
  <c r="E9" i="2"/>
  <c r="F9" i="2" s="1"/>
  <c r="K15" i="2"/>
  <c r="F16" i="2"/>
  <c r="J20" i="2"/>
  <c r="E21" i="2"/>
  <c r="K27" i="2"/>
  <c r="F28" i="2"/>
  <c r="J32" i="2"/>
  <c r="E33" i="2"/>
  <c r="F33" i="2" s="1"/>
  <c r="K39" i="2"/>
  <c r="F40" i="2"/>
  <c r="J44" i="2"/>
  <c r="E45" i="2"/>
  <c r="F45" i="2" s="1"/>
  <c r="K51" i="2"/>
  <c r="F52" i="2"/>
  <c r="J56" i="2"/>
  <c r="E57" i="2"/>
  <c r="B4" i="3"/>
  <c r="N4" i="3" s="1"/>
  <c r="K46" i="2"/>
  <c r="E2" i="2"/>
  <c r="K8" i="2"/>
  <c r="J13" i="2"/>
  <c r="E14" i="2"/>
  <c r="C3" i="3" s="1"/>
  <c r="P19" i="2"/>
  <c r="R19" i="2" s="1"/>
  <c r="K20" i="2"/>
  <c r="J25" i="2"/>
  <c r="E26" i="2"/>
  <c r="P31" i="2"/>
  <c r="R31" i="2" s="1"/>
  <c r="K32" i="2"/>
  <c r="J37" i="2"/>
  <c r="E38" i="2"/>
  <c r="K44" i="2"/>
  <c r="J49" i="2"/>
  <c r="E50" i="2"/>
  <c r="C6" i="3" s="1"/>
  <c r="P55" i="2"/>
  <c r="R55" i="2" s="1"/>
  <c r="K56" i="2"/>
  <c r="J61" i="2"/>
  <c r="B5" i="3"/>
  <c r="N5" i="3" s="1"/>
  <c r="M6" i="3"/>
  <c r="K10" i="2"/>
  <c r="F2" i="2"/>
  <c r="K13" i="2"/>
  <c r="K25" i="2"/>
  <c r="F26" i="2"/>
  <c r="K37" i="2"/>
  <c r="F38" i="2"/>
  <c r="K49" i="2"/>
  <c r="K61" i="2"/>
  <c r="B6" i="3"/>
  <c r="N6" i="3" s="1"/>
  <c r="E5" i="2"/>
  <c r="F5" i="2" s="1"/>
  <c r="K11" i="2"/>
  <c r="E17" i="2"/>
  <c r="K23" i="2"/>
  <c r="F24" i="2"/>
  <c r="E29" i="2"/>
  <c r="F29" i="2" s="1"/>
  <c r="K35" i="2"/>
  <c r="F36" i="2"/>
  <c r="E41" i="2"/>
  <c r="F41" i="2" s="1"/>
  <c r="K47" i="2"/>
  <c r="F48" i="2"/>
  <c r="E53" i="2"/>
  <c r="F53" i="2" s="1"/>
  <c r="K59" i="2"/>
  <c r="F60" i="2"/>
  <c r="B6" i="4"/>
  <c r="B8" i="4"/>
  <c r="F34" i="2"/>
  <c r="F46" i="2"/>
  <c r="F58" i="2"/>
  <c r="K2" i="2"/>
  <c r="E8" i="2"/>
  <c r="F8" i="2" s="1"/>
  <c r="K14" i="2"/>
  <c r="E20" i="2"/>
  <c r="E32" i="2"/>
  <c r="F32" i="2" s="1"/>
  <c r="E44" i="2"/>
  <c r="F44" i="2" s="1"/>
  <c r="E56" i="2"/>
  <c r="F56" i="2" s="1"/>
  <c r="E10" i="2"/>
  <c r="F10" i="2" s="1"/>
  <c r="E37" i="2"/>
  <c r="F37" i="2" s="1"/>
  <c r="E49" i="2"/>
  <c r="F49" i="2" s="1"/>
  <c r="J60" i="2"/>
  <c r="E61" i="2"/>
  <c r="F61" i="2" s="1"/>
  <c r="F22" i="2"/>
  <c r="E13" i="2"/>
  <c r="F13" i="2" s="1"/>
  <c r="E25" i="2"/>
  <c r="J5" i="2"/>
  <c r="J17" i="2"/>
  <c r="J29" i="2"/>
  <c r="J41" i="2"/>
  <c r="J53" i="2"/>
  <c r="E22" i="2"/>
  <c r="J34" i="2"/>
  <c r="J58" i="2"/>
  <c r="I13" i="2" l="1"/>
  <c r="O13" i="2" s="1"/>
  <c r="P13" i="2" s="1"/>
  <c r="R13" i="2" s="1"/>
  <c r="I33" i="2"/>
  <c r="O33" i="2" s="1"/>
  <c r="P33" i="2"/>
  <c r="R33" i="2" s="1"/>
  <c r="I49" i="2"/>
  <c r="O49" i="2" s="1"/>
  <c r="P49" i="2" s="1"/>
  <c r="R49" i="2" s="1"/>
  <c r="I29" i="2"/>
  <c r="O29" i="2" s="1"/>
  <c r="P29" i="2" s="1"/>
  <c r="R29" i="2" s="1"/>
  <c r="I10" i="2"/>
  <c r="O10" i="2" s="1"/>
  <c r="P10" i="2"/>
  <c r="R10" i="2" s="1"/>
  <c r="I5" i="2"/>
  <c r="O5" i="2" s="1"/>
  <c r="P5" i="2"/>
  <c r="R5" i="2" s="1"/>
  <c r="I61" i="2"/>
  <c r="O61" i="2" s="1"/>
  <c r="P61" i="2" s="1"/>
  <c r="R61" i="2" s="1"/>
  <c r="I37" i="2"/>
  <c r="O37" i="2" s="1"/>
  <c r="P37" i="2" s="1"/>
  <c r="R37" i="2" s="1"/>
  <c r="I9" i="2"/>
  <c r="O9" i="2" s="1"/>
  <c r="P9" i="2"/>
  <c r="R9" i="2" s="1"/>
  <c r="I8" i="2"/>
  <c r="O8" i="2" s="1"/>
  <c r="P8" i="2" s="1"/>
  <c r="R8" i="2" s="1"/>
  <c r="I56" i="2"/>
  <c r="O56" i="2" s="1"/>
  <c r="P56" i="2" s="1"/>
  <c r="R56" i="2" s="1"/>
  <c r="I44" i="2"/>
  <c r="O44" i="2" s="1"/>
  <c r="P44" i="2"/>
  <c r="R44" i="2" s="1"/>
  <c r="I45" i="2"/>
  <c r="O45" i="2" s="1"/>
  <c r="P45" i="2"/>
  <c r="R45" i="2" s="1"/>
  <c r="I32" i="2"/>
  <c r="O32" i="2" s="1"/>
  <c r="P32" i="2"/>
  <c r="R32" i="2" s="1"/>
  <c r="I57" i="2"/>
  <c r="O57" i="2" s="1"/>
  <c r="P57" i="2"/>
  <c r="R57" i="2" s="1"/>
  <c r="D4" i="3"/>
  <c r="I26" i="2"/>
  <c r="O26" i="2" s="1"/>
  <c r="E4" i="3" s="1"/>
  <c r="P26" i="2"/>
  <c r="R26" i="2" s="1"/>
  <c r="P4" i="2"/>
  <c r="R4" i="2" s="1"/>
  <c r="I4" i="2"/>
  <c r="O4" i="2" s="1"/>
  <c r="I17" i="2"/>
  <c r="O17" i="2" s="1"/>
  <c r="P17" i="2" s="1"/>
  <c r="R17" i="2" s="1"/>
  <c r="I24" i="2"/>
  <c r="O24" i="2" s="1"/>
  <c r="P24" i="2"/>
  <c r="R24" i="2" s="1"/>
  <c r="I21" i="2"/>
  <c r="O21" i="2" s="1"/>
  <c r="P21" i="2" s="1"/>
  <c r="R21" i="2" s="1"/>
  <c r="F14" i="2"/>
  <c r="C5" i="3"/>
  <c r="C2" i="3"/>
  <c r="I11" i="2"/>
  <c r="O11" i="2" s="1"/>
  <c r="P11" i="2" s="1"/>
  <c r="R11" i="2" s="1"/>
  <c r="O47" i="2"/>
  <c r="P47" i="2" s="1"/>
  <c r="R47" i="2" s="1"/>
  <c r="I60" i="2"/>
  <c r="O60" i="2" s="1"/>
  <c r="P60" i="2" s="1"/>
  <c r="R60" i="2" s="1"/>
  <c r="I2" i="2"/>
  <c r="O2" i="2" s="1"/>
  <c r="D2" i="3"/>
  <c r="P2" i="2"/>
  <c r="R2" i="2" s="1"/>
  <c r="I28" i="2"/>
  <c r="O28" i="2" s="1"/>
  <c r="P28" i="2" s="1"/>
  <c r="R28" i="2" s="1"/>
  <c r="I22" i="2"/>
  <c r="O22" i="2" s="1"/>
  <c r="P22" i="2"/>
  <c r="R22" i="2" s="1"/>
  <c r="O23" i="2"/>
  <c r="P23" i="2" s="1"/>
  <c r="R23" i="2" s="1"/>
  <c r="P20" i="2"/>
  <c r="R20" i="2" s="1"/>
  <c r="I20" i="2"/>
  <c r="O20" i="2" s="1"/>
  <c r="I53" i="2"/>
  <c r="O53" i="2" s="1"/>
  <c r="P53" i="2" s="1"/>
  <c r="R53" i="2" s="1"/>
  <c r="I36" i="2"/>
  <c r="O36" i="2" s="1"/>
  <c r="P36" i="2"/>
  <c r="R36" i="2" s="1"/>
  <c r="I34" i="2"/>
  <c r="O34" i="2" s="1"/>
  <c r="P34" i="2" s="1"/>
  <c r="R34" i="2" s="1"/>
  <c r="I48" i="2"/>
  <c r="O48" i="2" s="1"/>
  <c r="P48" i="2"/>
  <c r="R48" i="2" s="1"/>
  <c r="C4" i="3"/>
  <c r="O35" i="2"/>
  <c r="P35" i="2" s="1"/>
  <c r="R35" i="2" s="1"/>
  <c r="F50" i="2"/>
  <c r="I52" i="2"/>
  <c r="O52" i="2" s="1"/>
  <c r="P52" i="2" s="1"/>
  <c r="R52" i="2" s="1"/>
  <c r="I16" i="2"/>
  <c r="O16" i="2" s="1"/>
  <c r="P16" i="2" s="1"/>
  <c r="R16" i="2" s="1"/>
  <c r="I46" i="2"/>
  <c r="O46" i="2" s="1"/>
  <c r="P46" i="2"/>
  <c r="R46" i="2" s="1"/>
  <c r="D5" i="3"/>
  <c r="I38" i="2"/>
  <c r="O38" i="2" s="1"/>
  <c r="P38" i="2"/>
  <c r="R38" i="2" s="1"/>
  <c r="I25" i="2"/>
  <c r="O25" i="2" s="1"/>
  <c r="P25" i="2" s="1"/>
  <c r="R25" i="2" s="1"/>
  <c r="P40" i="2"/>
  <c r="R40" i="2" s="1"/>
  <c r="I40" i="2"/>
  <c r="O40" i="2" s="1"/>
  <c r="I58" i="2"/>
  <c r="O58" i="2" s="1"/>
  <c r="P58" i="2" s="1"/>
  <c r="R58" i="2" s="1"/>
  <c r="I41" i="2"/>
  <c r="O41" i="2" s="1"/>
  <c r="P41" i="2"/>
  <c r="R41" i="2" s="1"/>
  <c r="D6" i="3" l="1"/>
  <c r="I50" i="2"/>
  <c r="O50" i="2" s="1"/>
  <c r="E6" i="3" s="1"/>
  <c r="E5" i="3"/>
  <c r="F5" i="3" s="1"/>
  <c r="D3" i="3"/>
  <c r="I14" i="2"/>
  <c r="O14" i="2" s="1"/>
  <c r="E3" i="3" s="1"/>
  <c r="B13" i="4"/>
  <c r="F4" i="3"/>
  <c r="E2" i="3"/>
  <c r="F2" i="3" s="1"/>
  <c r="K5" i="3" l="1"/>
  <c r="J5" i="3"/>
  <c r="H5" i="3"/>
  <c r="I5" i="3" s="1"/>
  <c r="B14" i="4"/>
  <c r="J2" i="3"/>
  <c r="B16" i="4" s="1"/>
  <c r="H2" i="3"/>
  <c r="K2" i="3"/>
  <c r="P14" i="2"/>
  <c r="R14" i="2" s="1"/>
  <c r="F3" i="3"/>
  <c r="P50" i="2"/>
  <c r="R50" i="2" s="1"/>
  <c r="K4" i="3"/>
  <c r="J4" i="3"/>
  <c r="H4" i="3"/>
  <c r="I4" i="3" s="1"/>
  <c r="F6" i="3"/>
  <c r="H3" i="3" l="1"/>
  <c r="I3" i="3" s="1"/>
  <c r="J3" i="3"/>
  <c r="K3" i="3"/>
  <c r="B25" i="4"/>
  <c r="I2" i="3"/>
  <c r="B17" i="4" s="1"/>
  <c r="B15" i="4"/>
  <c r="J6" i="3"/>
  <c r="H6" i="3"/>
  <c r="I6" i="3" s="1"/>
  <c r="K6" i="3"/>
  <c r="B26" i="4" l="1"/>
  <c r="B27" i="4" s="1"/>
</calcChain>
</file>

<file path=xl/sharedStrings.xml><?xml version="1.0" encoding="utf-8"?>
<sst xmlns="http://schemas.openxmlformats.org/spreadsheetml/2006/main" count="94" uniqueCount="77">
  <si>
    <t>Deal Inputs</t>
  </si>
  <si>
    <t>Analysis start date</t>
  </si>
  <si>
    <t>Property address</t>
  </si>
  <si>
    <t>742 Evergreen Terrace</t>
  </si>
  <si>
    <t>Purchase price</t>
  </si>
  <si>
    <t>Closing costs (% of purchase)</t>
  </si>
  <si>
    <t>Estimated repairs</t>
  </si>
  <si>
    <t>Total cash invested</t>
  </si>
  <si>
    <t>Financing</t>
  </si>
  <si>
    <t>Down payment (%)</t>
  </si>
  <si>
    <t>Down payment ($)</t>
  </si>
  <si>
    <t>Loan amount</t>
  </si>
  <si>
    <t>Interest rate (annual)</t>
  </si>
  <si>
    <t>Loan term (years)</t>
  </si>
  <si>
    <t>Monthly P&amp;I</t>
  </si>
  <si>
    <t>Income assumptions</t>
  </si>
  <si>
    <t>Monthly gross rent</t>
  </si>
  <si>
    <t>Other income (monthly)</t>
  </si>
  <si>
    <t>Vacancy rate</t>
  </si>
  <si>
    <t>Annual rent growth</t>
  </si>
  <si>
    <t>Operating expenses (monthly)</t>
  </si>
  <si>
    <t>Property tax</t>
  </si>
  <si>
    <t>Insurance</t>
  </si>
  <si>
    <t>Property management (% of EGI)</t>
  </si>
  <si>
    <t>Maintenance reserve (% of gross rent)</t>
  </si>
  <si>
    <t>CapEx reserve (% of gross rent)</t>
  </si>
  <si>
    <t>HOA / condo fee</t>
  </si>
  <si>
    <t>Utilities (landlord-paid)</t>
  </si>
  <si>
    <t>Other expense</t>
  </si>
  <si>
    <t>Growth and exit</t>
  </si>
  <si>
    <t>Expense growth (annual)</t>
  </si>
  <si>
    <t>Appreciation (annual)</t>
  </si>
  <si>
    <t>Holding period (years, exit)</t>
  </si>
  <si>
    <t>Selling costs (% of sale)</t>
  </si>
  <si>
    <t>Figures are pre-tax and for planning only, not tax or legal advice. Monthly and annual projections cover 60 months (5 years). Holding period must stay between 1 and 5 years (validated on the input).</t>
  </si>
  <si>
    <t>Month #</t>
  </si>
  <si>
    <t>Date</t>
  </si>
  <si>
    <t>Gross rent</t>
  </si>
  <si>
    <t>Other income</t>
  </si>
  <si>
    <t>Vacancy loss</t>
  </si>
  <si>
    <t>Effective gross income</t>
  </si>
  <si>
    <t>Management fee</t>
  </si>
  <si>
    <t>Maintenance reserve</t>
  </si>
  <si>
    <t>CapEx reserve</t>
  </si>
  <si>
    <t>HOA</t>
  </si>
  <si>
    <t>Utilities</t>
  </si>
  <si>
    <t>Other</t>
  </si>
  <si>
    <t>Total OpEx</t>
  </si>
  <si>
    <t>NOI</t>
  </si>
  <si>
    <t>Debt service (P&amp;I)</t>
  </si>
  <si>
    <t>Cash flow (pre-tax)</t>
  </si>
  <si>
    <t>Year</t>
  </si>
  <si>
    <t>Gross rental income</t>
  </si>
  <si>
    <t>Total operating expenses</t>
  </si>
  <si>
    <t>Annual debt service</t>
  </si>
  <si>
    <t>Annual cash flow</t>
  </si>
  <si>
    <t>Cash-on-cash return</t>
  </si>
  <si>
    <t>Yield on cost (NOI / purchase)</t>
  </si>
  <si>
    <t>Cap rate (NOI / est. value)</t>
  </si>
  <si>
    <t>Est. property value</t>
  </si>
  <si>
    <t>Est. equity</t>
  </si>
  <si>
    <t>Gross rent multiplier</t>
  </si>
  <si>
    <t>Deal Snapshot</t>
  </si>
  <si>
    <t>Property and equity in</t>
  </si>
  <si>
    <t>Year 1 performance</t>
  </si>
  <si>
    <t>Annual cash flow (after debt)</t>
  </si>
  <si>
    <t>Exit at end of holding period</t>
  </si>
  <si>
    <t>Holding period (years)</t>
  </si>
  <si>
    <t>Estimated sale price</t>
  </si>
  <si>
    <t>Selling costs</t>
  </si>
  <si>
    <t>Net before loan payoff</t>
  </si>
  <si>
    <t>Loan payoff (remaining balance)</t>
  </si>
  <si>
    <t>Net sale proceeds to seller</t>
  </si>
  <si>
    <t>Cumulative operating cash (years 1 to hold, after debt)</t>
  </si>
  <si>
    <t>Total profit (ops + exit - initial cash)</t>
  </si>
  <si>
    <t>Simple annualized return on cash</t>
  </si>
  <si>
    <t>Annualized return = total profit / total cash invested / holding years. Exit sale, selling costs, and loan payoff all use the holding period in Deal Inputs.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</si>
</sst>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&quot;$&quot;#,##0"/>
    <numFmt numFmtId="166" formatCode="0.0%"/>
    <numFmt numFmtId="167" formatCode="0.000%"/>
    <numFmt numFmtId="168" formatCode="&quot;$&quot;#,##0.00"/>
    <numFmt numFmtId="169" formatCode="mmm\ yyyy"/>
  </numFmts>
  <fonts count="10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0"/>
      <color rgb="FF333333"/>
      <name val="Arial"/>
      <family val="2"/>
    </font>
    <font>
      <sz val="11"/>
      <color rgb="FF4472C4"/>
      <name val="Calibri"/>
      <family val="2"/>
    </font>
    <font>
      <sz val="11"/>
      <color theme="1"/>
      <name val="Arial"/>
      <family val="2"/>
    </font>
    <font>
      <sz val="11"/>
      <color rgb="FF4472C4"/>
      <name val="Arial"/>
      <family val="2"/>
    </font>
    <font>
      <b/>
      <sz val="11"/>
      <color theme="0"/>
      <name val="Arial"/>
      <family val="2"/>
    </font>
    <font>
      <sz val="8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5F5F5"/>
      </patternFill>
    </fill>
    <fill>
      <patternFill patternType="solid">
        <fgColor rgb="FFFFF2CC"/>
        <bgColor rgb="FFFFF2CC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5" fontId="4" fillId="0" borderId="0" xfId="0" applyNumberFormat="1" applyFont="1"/>
    <xf numFmtId="168" fontId="4" fillId="0" borderId="0" xfId="0" applyNumberFormat="1" applyFont="1"/>
    <xf numFmtId="169" fontId="4" fillId="3" borderId="0" xfId="0" applyNumberFormat="1" applyFont="1" applyFill="1"/>
    <xf numFmtId="165" fontId="4" fillId="3" borderId="0" xfId="0" applyNumberFormat="1" applyFont="1" applyFill="1"/>
    <xf numFmtId="168" fontId="4" fillId="3" borderId="0" xfId="0" applyNumberFormat="1" applyFont="1" applyFill="1"/>
    <xf numFmtId="169" fontId="4" fillId="0" borderId="0" xfId="0" applyNumberFormat="1" applyFont="1"/>
    <xf numFmtId="10" fontId="4" fillId="0" borderId="0" xfId="0" applyNumberFormat="1" applyFont="1"/>
    <xf numFmtId="2" fontId="4" fillId="0" borderId="0" xfId="0" applyNumberFormat="1" applyFont="1"/>
    <xf numFmtId="0" fontId="5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64" fontId="2" fillId="4" borderId="0" xfId="0" applyNumberFormat="1" applyFont="1" applyFill="1" applyAlignment="1">
      <alignment horizontal="right"/>
    </xf>
    <xf numFmtId="49" fontId="2" fillId="4" borderId="0" xfId="0" applyNumberFormat="1" applyFont="1" applyFill="1" applyAlignment="1">
      <alignment horizontal="right"/>
    </xf>
    <xf numFmtId="165" fontId="2" fillId="4" borderId="0" xfId="0" applyNumberFormat="1" applyFont="1" applyFill="1" applyAlignment="1">
      <alignment horizontal="right"/>
    </xf>
    <xf numFmtId="10" fontId="2" fillId="4" borderId="0" xfId="0" applyNumberFormat="1" applyFont="1" applyFill="1" applyAlignment="1">
      <alignment horizontal="right"/>
    </xf>
    <xf numFmtId="165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6" fontId="2" fillId="4" borderId="0" xfId="0" applyNumberFormat="1" applyFont="1" applyFill="1" applyAlignment="1">
      <alignment horizontal="right"/>
    </xf>
    <xf numFmtId="167" fontId="2" fillId="4" borderId="0" xfId="0" applyNumberFormat="1" applyFont="1" applyFill="1" applyAlignment="1">
      <alignment horizontal="right"/>
    </xf>
    <xf numFmtId="1" fontId="2" fillId="4" borderId="0" xfId="0" applyNumberFormat="1" applyFont="1" applyFill="1" applyAlignment="1">
      <alignment horizontal="right"/>
    </xf>
    <xf numFmtId="168" fontId="4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right"/>
    </xf>
    <xf numFmtId="0" fontId="0" fillId="0" borderId="1" xfId="0" applyBorder="1"/>
    <xf numFmtId="0" fontId="7" fillId="5" borderId="0" xfId="0" applyFont="1" applyFill="1" applyBorder="1"/>
    <xf numFmtId="0" fontId="5" fillId="0" borderId="0" xfId="0" applyFont="1" applyAlignment="1">
      <alignment horizontal="right"/>
    </xf>
    <xf numFmtId="49" fontId="6" fillId="0" borderId="2" xfId="0" applyNumberFormat="1" applyFont="1" applyBorder="1" applyAlignment="1">
      <alignment horizontal="right"/>
    </xf>
    <xf numFmtId="165" fontId="6" fillId="0" borderId="2" xfId="0" applyNumberFormat="1" applyFont="1" applyBorder="1" applyAlignment="1">
      <alignment horizontal="right"/>
    </xf>
    <xf numFmtId="167" fontId="6" fillId="0" borderId="2" xfId="0" applyNumberFormat="1" applyFont="1" applyBorder="1" applyAlignment="1">
      <alignment horizontal="right"/>
    </xf>
    <xf numFmtId="1" fontId="6" fillId="0" borderId="2" xfId="0" applyNumberFormat="1" applyFont="1" applyBorder="1" applyAlignment="1">
      <alignment horizontal="right"/>
    </xf>
    <xf numFmtId="168" fontId="6" fillId="0" borderId="2" xfId="0" applyNumberFormat="1" applyFont="1" applyBorder="1" applyAlignment="1">
      <alignment horizontal="right"/>
    </xf>
    <xf numFmtId="10" fontId="6" fillId="0" borderId="2" xfId="0" applyNumberFormat="1" applyFont="1" applyBorder="1" applyAlignment="1">
      <alignment horizontal="right"/>
    </xf>
    <xf numFmtId="0" fontId="1" fillId="0" borderId="2" xfId="0" applyFont="1" applyBorder="1" applyAlignment="1">
      <alignment horizontal="left"/>
    </xf>
    <xf numFmtId="0" fontId="5" fillId="0" borderId="2" xfId="0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0" fontId="8" fillId="0" borderId="0" xfId="0" applyFont="1"/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showGridLines="0" workbookViewId="0">
      <selection activeCell="C36" sqref="C36"/>
    </sheetView>
  </sheetViews>
  <sheetFormatPr defaultRowHeight="15" x14ac:dyDescent="0.25"/>
  <cols>
    <col min="1" max="1" width="28" customWidth="1"/>
    <col min="2" max="2" width="25.7109375" style="20" customWidth="1"/>
  </cols>
  <sheetData>
    <row r="1" spans="1:2" x14ac:dyDescent="0.25">
      <c r="A1" s="39" t="s">
        <v>0</v>
      </c>
      <c r="B1" s="40"/>
    </row>
    <row r="2" spans="1:2" x14ac:dyDescent="0.25">
      <c r="A2" s="1" t="s">
        <v>1</v>
      </c>
      <c r="B2" s="15">
        <v>45658</v>
      </c>
    </row>
    <row r="3" spans="1:2" x14ac:dyDescent="0.25">
      <c r="A3" s="1" t="s">
        <v>2</v>
      </c>
      <c r="B3" s="16" t="s">
        <v>3</v>
      </c>
    </row>
    <row r="4" spans="1:2" x14ac:dyDescent="0.25">
      <c r="A4" s="1" t="s">
        <v>4</v>
      </c>
      <c r="B4" s="17">
        <v>285000</v>
      </c>
    </row>
    <row r="5" spans="1:2" x14ac:dyDescent="0.25">
      <c r="A5" s="1" t="s">
        <v>5</v>
      </c>
      <c r="B5" s="18">
        <v>0.03</v>
      </c>
    </row>
    <row r="6" spans="1:2" x14ac:dyDescent="0.25">
      <c r="A6" s="1" t="s">
        <v>6</v>
      </c>
      <c r="B6" s="17">
        <v>12000</v>
      </c>
    </row>
    <row r="7" spans="1:2" x14ac:dyDescent="0.25">
      <c r="A7" s="1" t="s">
        <v>7</v>
      </c>
      <c r="B7" s="19">
        <f>B4*B5+B11+B6</f>
        <v>91800</v>
      </c>
    </row>
    <row r="9" spans="1:2" x14ac:dyDescent="0.25">
      <c r="A9" s="39" t="s">
        <v>8</v>
      </c>
      <c r="B9" s="40"/>
    </row>
    <row r="10" spans="1:2" x14ac:dyDescent="0.25">
      <c r="A10" s="1" t="s">
        <v>9</v>
      </c>
      <c r="B10" s="21">
        <v>0.25</v>
      </c>
    </row>
    <row r="11" spans="1:2" x14ac:dyDescent="0.25">
      <c r="A11" s="1" t="s">
        <v>10</v>
      </c>
      <c r="B11" s="19">
        <f>B4*B10</f>
        <v>71250</v>
      </c>
    </row>
    <row r="12" spans="1:2" x14ac:dyDescent="0.25">
      <c r="A12" s="1" t="s">
        <v>11</v>
      </c>
      <c r="B12" s="19">
        <f>B4-B11</f>
        <v>213750</v>
      </c>
    </row>
    <row r="13" spans="1:2" x14ac:dyDescent="0.25">
      <c r="A13" s="1" t="s">
        <v>12</v>
      </c>
      <c r="B13" s="22">
        <v>7.1249999999999994E-2</v>
      </c>
    </row>
    <row r="14" spans="1:2" x14ac:dyDescent="0.25">
      <c r="A14" s="1" t="s">
        <v>13</v>
      </c>
      <c r="B14" s="23">
        <v>30</v>
      </c>
    </row>
    <row r="15" spans="1:2" x14ac:dyDescent="0.25">
      <c r="A15" s="1" t="s">
        <v>14</v>
      </c>
      <c r="B15" s="24">
        <f>PMT(B13/12,B14*12,-B12)</f>
        <v>1440.0733435561735</v>
      </c>
    </row>
    <row r="17" spans="1:2" x14ac:dyDescent="0.25">
      <c r="A17" s="39" t="s">
        <v>15</v>
      </c>
      <c r="B17" s="40"/>
    </row>
    <row r="18" spans="1:2" x14ac:dyDescent="0.25">
      <c r="A18" s="1" t="s">
        <v>16</v>
      </c>
      <c r="B18" s="17">
        <v>2100</v>
      </c>
    </row>
    <row r="19" spans="1:2" x14ac:dyDescent="0.25">
      <c r="A19" s="1" t="s">
        <v>17</v>
      </c>
      <c r="B19" s="17">
        <v>75</v>
      </c>
    </row>
    <row r="20" spans="1:2" x14ac:dyDescent="0.25">
      <c r="A20" s="1" t="s">
        <v>18</v>
      </c>
      <c r="B20" s="21">
        <v>0.06</v>
      </c>
    </row>
    <row r="21" spans="1:2" x14ac:dyDescent="0.25">
      <c r="A21" s="1" t="s">
        <v>19</v>
      </c>
      <c r="B21" s="21">
        <v>0.03</v>
      </c>
    </row>
    <row r="23" spans="1:2" x14ac:dyDescent="0.25">
      <c r="A23" s="39" t="s">
        <v>20</v>
      </c>
      <c r="B23" s="40"/>
    </row>
    <row r="24" spans="1:2" x14ac:dyDescent="0.25">
      <c r="A24" s="1" t="s">
        <v>21</v>
      </c>
      <c r="B24" s="17">
        <v>240</v>
      </c>
    </row>
    <row r="25" spans="1:2" x14ac:dyDescent="0.25">
      <c r="A25" s="1" t="s">
        <v>22</v>
      </c>
      <c r="B25" s="17">
        <v>115</v>
      </c>
    </row>
    <row r="26" spans="1:2" x14ac:dyDescent="0.25">
      <c r="A26" s="1" t="s">
        <v>23</v>
      </c>
      <c r="B26" s="21">
        <v>0.1</v>
      </c>
    </row>
    <row r="27" spans="1:2" x14ac:dyDescent="0.25">
      <c r="A27" s="1" t="s">
        <v>24</v>
      </c>
      <c r="B27" s="21">
        <v>0.05</v>
      </c>
    </row>
    <row r="28" spans="1:2" x14ac:dyDescent="0.25">
      <c r="A28" s="1" t="s">
        <v>25</v>
      </c>
      <c r="B28" s="21">
        <v>0.05</v>
      </c>
    </row>
    <row r="29" spans="1:2" x14ac:dyDescent="0.25">
      <c r="A29" s="1" t="s">
        <v>26</v>
      </c>
      <c r="B29" s="17">
        <v>0</v>
      </c>
    </row>
    <row r="30" spans="1:2" x14ac:dyDescent="0.25">
      <c r="A30" s="1" t="s">
        <v>27</v>
      </c>
      <c r="B30" s="17">
        <v>0</v>
      </c>
    </row>
    <row r="31" spans="1:2" x14ac:dyDescent="0.25">
      <c r="A31" s="1" t="s">
        <v>28</v>
      </c>
      <c r="B31" s="17">
        <v>0</v>
      </c>
    </row>
    <row r="33" spans="1:2" x14ac:dyDescent="0.25">
      <c r="A33" s="25" t="s">
        <v>29</v>
      </c>
      <c r="B33" s="26"/>
    </row>
    <row r="34" spans="1:2" x14ac:dyDescent="0.25">
      <c r="A34" s="1" t="s">
        <v>30</v>
      </c>
      <c r="B34" s="21">
        <v>0.02</v>
      </c>
    </row>
    <row r="35" spans="1:2" x14ac:dyDescent="0.25">
      <c r="A35" s="1" t="s">
        <v>31</v>
      </c>
      <c r="B35" s="21">
        <v>0.03</v>
      </c>
    </row>
    <row r="36" spans="1:2" x14ac:dyDescent="0.25">
      <c r="A36" s="1" t="s">
        <v>32</v>
      </c>
      <c r="B36" s="23">
        <v>5</v>
      </c>
    </row>
    <row r="37" spans="1:2" x14ac:dyDescent="0.25">
      <c r="A37" s="1" t="s">
        <v>33</v>
      </c>
      <c r="B37" s="21">
        <v>0.06</v>
      </c>
    </row>
    <row r="39" spans="1:2" ht="40.5" customHeight="1" x14ac:dyDescent="0.25">
      <c r="A39" s="41" t="s">
        <v>34</v>
      </c>
      <c r="B39" s="41"/>
    </row>
    <row r="40" spans="1:2" x14ac:dyDescent="0.25">
      <c r="B40"/>
    </row>
    <row r="41" spans="1:2" ht="30" customHeight="1" x14ac:dyDescent="0.25">
      <c r="B41"/>
    </row>
  </sheetData>
  <mergeCells count="6">
    <mergeCell ref="A39:B39"/>
    <mergeCell ref="A33:B33"/>
    <mergeCell ref="A23:B23"/>
    <mergeCell ref="A1:B1"/>
    <mergeCell ref="A17:B17"/>
    <mergeCell ref="A9:B9"/>
  </mergeCells>
  <dataValidations count="1">
    <dataValidation type="whole" errorTitle="Holding period" error="Use a whole number from 1 to 5 so exit timing matches the 60-month model." sqref="B36" xr:uid="{00000000-0002-0000-0000-000000000000}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5" width="12" customWidth="1"/>
    <col min="6" max="6" width="14" customWidth="1"/>
    <col min="7" max="8" width="11" customWidth="1"/>
    <col min="9" max="9" width="12" customWidth="1"/>
    <col min="10" max="10" width="14" customWidth="1"/>
    <col min="11" max="11" width="12" customWidth="1"/>
    <col min="12" max="12" width="8" customWidth="1"/>
    <col min="13" max="14" width="10" customWidth="1"/>
    <col min="15" max="15" width="11" customWidth="1"/>
    <col min="16" max="16" width="10" customWidth="1"/>
    <col min="17" max="17" width="14" customWidth="1"/>
    <col min="18" max="18" width="20.85546875" customWidth="1"/>
  </cols>
  <sheetData>
    <row r="1" spans="1:18" s="14" customFormat="1" ht="26.25" customHeight="1" x14ac:dyDescent="0.25">
      <c r="A1" s="13" t="s">
        <v>35</v>
      </c>
      <c r="B1" s="13" t="s">
        <v>36</v>
      </c>
      <c r="C1" s="13" t="s">
        <v>37</v>
      </c>
      <c r="D1" s="13" t="s">
        <v>38</v>
      </c>
      <c r="E1" s="13" t="s">
        <v>39</v>
      </c>
      <c r="F1" s="13" t="s">
        <v>40</v>
      </c>
      <c r="G1" s="13" t="s">
        <v>21</v>
      </c>
      <c r="H1" s="13" t="s">
        <v>22</v>
      </c>
      <c r="I1" s="13" t="s">
        <v>41</v>
      </c>
      <c r="J1" s="13" t="s">
        <v>42</v>
      </c>
      <c r="K1" s="13" t="s">
        <v>43</v>
      </c>
      <c r="L1" s="13" t="s">
        <v>44</v>
      </c>
      <c r="M1" s="13" t="s">
        <v>45</v>
      </c>
      <c r="N1" s="13" t="s">
        <v>46</v>
      </c>
      <c r="O1" s="13" t="s">
        <v>47</v>
      </c>
      <c r="P1" s="13" t="s">
        <v>48</v>
      </c>
      <c r="Q1" s="13" t="s">
        <v>49</v>
      </c>
      <c r="R1" s="13" t="s">
        <v>50</v>
      </c>
    </row>
    <row r="2" spans="1:18" x14ac:dyDescent="0.25">
      <c r="A2" s="2">
        <v>1</v>
      </c>
      <c r="B2" s="6">
        <f>EDATE('Deal Inputs'!$B$2,A2-1)</f>
        <v>45658</v>
      </c>
      <c r="C2" s="7">
        <f>'Deal Inputs'!$B$18*(1+'Deal Inputs'!$B$21)^INT((A2-1)/12)</f>
        <v>2100</v>
      </c>
      <c r="D2" s="7">
        <f>'Deal Inputs'!$B$19</f>
        <v>75</v>
      </c>
      <c r="E2" s="7">
        <f>-C2*'Deal Inputs'!$B$20</f>
        <v>-126</v>
      </c>
      <c r="F2" s="7">
        <f t="shared" ref="F2:F33" si="0">C2+D2+E2</f>
        <v>2049</v>
      </c>
      <c r="G2" s="7">
        <f>'Deal Inputs'!$B$24*(1+'Deal Inputs'!$B$34)^INT((A2-1)/12)</f>
        <v>240</v>
      </c>
      <c r="H2" s="7">
        <f>'Deal Inputs'!$B$25*(1+'Deal Inputs'!$B$34)^INT((A2-1)/12)</f>
        <v>115</v>
      </c>
      <c r="I2" s="7">
        <f>F2*'Deal Inputs'!$B$26</f>
        <v>204.9</v>
      </c>
      <c r="J2" s="7">
        <f>C2*'Deal Inputs'!$B$27</f>
        <v>105</v>
      </c>
      <c r="K2" s="7">
        <f>C2*'Deal Inputs'!$B$28</f>
        <v>105</v>
      </c>
      <c r="L2" s="7">
        <f>'Deal Inputs'!$B$29</f>
        <v>0</v>
      </c>
      <c r="M2" s="7">
        <f>'Deal Inputs'!$B$30</f>
        <v>0</v>
      </c>
      <c r="N2" s="7">
        <f>'Deal Inputs'!$B$31</f>
        <v>0</v>
      </c>
      <c r="O2" s="7">
        <f t="shared" ref="O2:O33" si="1">SUM(G2:N2)</f>
        <v>769.9</v>
      </c>
      <c r="P2" s="7">
        <f t="shared" ref="P2:P33" si="2">F2-O2</f>
        <v>1279.0999999999999</v>
      </c>
      <c r="Q2" s="8">
        <f>'Deal Inputs'!$B$15</f>
        <v>1440.0733435561735</v>
      </c>
      <c r="R2" s="7">
        <f t="shared" ref="R2:R33" si="3">P2-Q2</f>
        <v>-160.97334355617363</v>
      </c>
    </row>
    <row r="3" spans="1:18" x14ac:dyDescent="0.25">
      <c r="A3" s="3">
        <v>2</v>
      </c>
      <c r="B3" s="9">
        <f>EDATE('Deal Inputs'!$B$2,A3-1)</f>
        <v>45689</v>
      </c>
      <c r="C3" s="4">
        <f>'Deal Inputs'!$B$18*(1+'Deal Inputs'!$B$21)^INT((A3-1)/12)</f>
        <v>2100</v>
      </c>
      <c r="D3" s="4">
        <f>'Deal Inputs'!$B$19</f>
        <v>75</v>
      </c>
      <c r="E3" s="4">
        <f>-C3*'Deal Inputs'!$B$20</f>
        <v>-126</v>
      </c>
      <c r="F3" s="4">
        <f t="shared" si="0"/>
        <v>2049</v>
      </c>
      <c r="G3" s="4">
        <f>'Deal Inputs'!$B$24*(1+'Deal Inputs'!$B$34)^INT((A3-1)/12)</f>
        <v>240</v>
      </c>
      <c r="H3" s="4">
        <f>'Deal Inputs'!$B$25*(1+'Deal Inputs'!$B$34)^INT((A3-1)/12)</f>
        <v>115</v>
      </c>
      <c r="I3" s="4">
        <f>F3*'Deal Inputs'!$B$26</f>
        <v>204.9</v>
      </c>
      <c r="J3" s="4">
        <f>C3*'Deal Inputs'!$B$27</f>
        <v>105</v>
      </c>
      <c r="K3" s="4">
        <f>C3*'Deal Inputs'!$B$28</f>
        <v>105</v>
      </c>
      <c r="L3" s="4">
        <f>'Deal Inputs'!$B$29</f>
        <v>0</v>
      </c>
      <c r="M3" s="4">
        <f>'Deal Inputs'!$B$30</f>
        <v>0</v>
      </c>
      <c r="N3" s="4">
        <f>'Deal Inputs'!$B$31</f>
        <v>0</v>
      </c>
      <c r="O3" s="4">
        <f t="shared" si="1"/>
        <v>769.9</v>
      </c>
      <c r="P3" s="4">
        <f t="shared" si="2"/>
        <v>1279.0999999999999</v>
      </c>
      <c r="Q3" s="5">
        <f>'Deal Inputs'!$B$15</f>
        <v>1440.0733435561735</v>
      </c>
      <c r="R3" s="4">
        <f t="shared" si="3"/>
        <v>-160.97334355617363</v>
      </c>
    </row>
    <row r="4" spans="1:18" x14ac:dyDescent="0.25">
      <c r="A4" s="2">
        <v>3</v>
      </c>
      <c r="B4" s="6">
        <f>EDATE('Deal Inputs'!$B$2,A4-1)</f>
        <v>45717</v>
      </c>
      <c r="C4" s="7">
        <f>'Deal Inputs'!$B$18*(1+'Deal Inputs'!$B$21)^INT((A4-1)/12)</f>
        <v>2100</v>
      </c>
      <c r="D4" s="7">
        <f>'Deal Inputs'!$B$19</f>
        <v>75</v>
      </c>
      <c r="E4" s="7">
        <f>-C4*'Deal Inputs'!$B$20</f>
        <v>-126</v>
      </c>
      <c r="F4" s="7">
        <f t="shared" si="0"/>
        <v>2049</v>
      </c>
      <c r="G4" s="7">
        <f>'Deal Inputs'!$B$24*(1+'Deal Inputs'!$B$34)^INT((A4-1)/12)</f>
        <v>240</v>
      </c>
      <c r="H4" s="7">
        <f>'Deal Inputs'!$B$25*(1+'Deal Inputs'!$B$34)^INT((A4-1)/12)</f>
        <v>115</v>
      </c>
      <c r="I4" s="7">
        <f>F4*'Deal Inputs'!$B$26</f>
        <v>204.9</v>
      </c>
      <c r="J4" s="7">
        <f>C4*'Deal Inputs'!$B$27</f>
        <v>105</v>
      </c>
      <c r="K4" s="7">
        <f>C4*'Deal Inputs'!$B$28</f>
        <v>105</v>
      </c>
      <c r="L4" s="7">
        <f>'Deal Inputs'!$B$29</f>
        <v>0</v>
      </c>
      <c r="M4" s="7">
        <f>'Deal Inputs'!$B$30</f>
        <v>0</v>
      </c>
      <c r="N4" s="7">
        <f>'Deal Inputs'!$B$31</f>
        <v>0</v>
      </c>
      <c r="O4" s="7">
        <f t="shared" si="1"/>
        <v>769.9</v>
      </c>
      <c r="P4" s="7">
        <f t="shared" si="2"/>
        <v>1279.0999999999999</v>
      </c>
      <c r="Q4" s="8">
        <f>'Deal Inputs'!$B$15</f>
        <v>1440.0733435561735</v>
      </c>
      <c r="R4" s="7">
        <f t="shared" si="3"/>
        <v>-160.97334355617363</v>
      </c>
    </row>
    <row r="5" spans="1:18" x14ac:dyDescent="0.25">
      <c r="A5" s="3">
        <v>4</v>
      </c>
      <c r="B5" s="9">
        <f>EDATE('Deal Inputs'!$B$2,A5-1)</f>
        <v>45748</v>
      </c>
      <c r="C5" s="4">
        <f>'Deal Inputs'!$B$18*(1+'Deal Inputs'!$B$21)^INT((A5-1)/12)</f>
        <v>2100</v>
      </c>
      <c r="D5" s="4">
        <f>'Deal Inputs'!$B$19</f>
        <v>75</v>
      </c>
      <c r="E5" s="4">
        <f>-C5*'Deal Inputs'!$B$20</f>
        <v>-126</v>
      </c>
      <c r="F5" s="4">
        <f t="shared" si="0"/>
        <v>2049</v>
      </c>
      <c r="G5" s="4">
        <f>'Deal Inputs'!$B$24*(1+'Deal Inputs'!$B$34)^INT((A5-1)/12)</f>
        <v>240</v>
      </c>
      <c r="H5" s="4">
        <f>'Deal Inputs'!$B$25*(1+'Deal Inputs'!$B$34)^INT((A5-1)/12)</f>
        <v>115</v>
      </c>
      <c r="I5" s="4">
        <f>F5*'Deal Inputs'!$B$26</f>
        <v>204.9</v>
      </c>
      <c r="J5" s="4">
        <f>C5*'Deal Inputs'!$B$27</f>
        <v>105</v>
      </c>
      <c r="K5" s="4">
        <f>C5*'Deal Inputs'!$B$28</f>
        <v>105</v>
      </c>
      <c r="L5" s="4">
        <f>'Deal Inputs'!$B$29</f>
        <v>0</v>
      </c>
      <c r="M5" s="4">
        <f>'Deal Inputs'!$B$30</f>
        <v>0</v>
      </c>
      <c r="N5" s="4">
        <f>'Deal Inputs'!$B$31</f>
        <v>0</v>
      </c>
      <c r="O5" s="4">
        <f t="shared" si="1"/>
        <v>769.9</v>
      </c>
      <c r="P5" s="4">
        <f t="shared" si="2"/>
        <v>1279.0999999999999</v>
      </c>
      <c r="Q5" s="5">
        <f>'Deal Inputs'!$B$15</f>
        <v>1440.0733435561735</v>
      </c>
      <c r="R5" s="4">
        <f t="shared" si="3"/>
        <v>-160.97334355617363</v>
      </c>
    </row>
    <row r="6" spans="1:18" x14ac:dyDescent="0.25">
      <c r="A6" s="2">
        <v>5</v>
      </c>
      <c r="B6" s="6">
        <f>EDATE('Deal Inputs'!$B$2,A6-1)</f>
        <v>45778</v>
      </c>
      <c r="C6" s="7">
        <f>'Deal Inputs'!$B$18*(1+'Deal Inputs'!$B$21)^INT((A6-1)/12)</f>
        <v>2100</v>
      </c>
      <c r="D6" s="7">
        <f>'Deal Inputs'!$B$19</f>
        <v>75</v>
      </c>
      <c r="E6" s="7">
        <f>-C6*'Deal Inputs'!$B$20</f>
        <v>-126</v>
      </c>
      <c r="F6" s="7">
        <f t="shared" si="0"/>
        <v>2049</v>
      </c>
      <c r="G6" s="7">
        <f>'Deal Inputs'!$B$24*(1+'Deal Inputs'!$B$34)^INT((A6-1)/12)</f>
        <v>240</v>
      </c>
      <c r="H6" s="7">
        <f>'Deal Inputs'!$B$25*(1+'Deal Inputs'!$B$34)^INT((A6-1)/12)</f>
        <v>115</v>
      </c>
      <c r="I6" s="7">
        <f>F6*'Deal Inputs'!$B$26</f>
        <v>204.9</v>
      </c>
      <c r="J6" s="7">
        <f>C6*'Deal Inputs'!$B$27</f>
        <v>105</v>
      </c>
      <c r="K6" s="7">
        <f>C6*'Deal Inputs'!$B$28</f>
        <v>105</v>
      </c>
      <c r="L6" s="7">
        <f>'Deal Inputs'!$B$29</f>
        <v>0</v>
      </c>
      <c r="M6" s="7">
        <f>'Deal Inputs'!$B$30</f>
        <v>0</v>
      </c>
      <c r="N6" s="7">
        <f>'Deal Inputs'!$B$31</f>
        <v>0</v>
      </c>
      <c r="O6" s="7">
        <f t="shared" si="1"/>
        <v>769.9</v>
      </c>
      <c r="P6" s="7">
        <f t="shared" si="2"/>
        <v>1279.0999999999999</v>
      </c>
      <c r="Q6" s="8">
        <f>'Deal Inputs'!$B$15</f>
        <v>1440.0733435561735</v>
      </c>
      <c r="R6" s="7">
        <f t="shared" si="3"/>
        <v>-160.97334355617363</v>
      </c>
    </row>
    <row r="7" spans="1:18" x14ac:dyDescent="0.25">
      <c r="A7" s="3">
        <v>6</v>
      </c>
      <c r="B7" s="9">
        <f>EDATE('Deal Inputs'!$B$2,A7-1)</f>
        <v>45809</v>
      </c>
      <c r="C7" s="4">
        <f>'Deal Inputs'!$B$18*(1+'Deal Inputs'!$B$21)^INT((A7-1)/12)</f>
        <v>2100</v>
      </c>
      <c r="D7" s="4">
        <f>'Deal Inputs'!$B$19</f>
        <v>75</v>
      </c>
      <c r="E7" s="4">
        <f>-C7*'Deal Inputs'!$B$20</f>
        <v>-126</v>
      </c>
      <c r="F7" s="4">
        <f t="shared" si="0"/>
        <v>2049</v>
      </c>
      <c r="G7" s="4">
        <f>'Deal Inputs'!$B$24*(1+'Deal Inputs'!$B$34)^INT((A7-1)/12)</f>
        <v>240</v>
      </c>
      <c r="H7" s="4">
        <f>'Deal Inputs'!$B$25*(1+'Deal Inputs'!$B$34)^INT((A7-1)/12)</f>
        <v>115</v>
      </c>
      <c r="I7" s="4">
        <f>F7*'Deal Inputs'!$B$26</f>
        <v>204.9</v>
      </c>
      <c r="J7" s="4">
        <f>C7*'Deal Inputs'!$B$27</f>
        <v>105</v>
      </c>
      <c r="K7" s="4">
        <f>C7*'Deal Inputs'!$B$28</f>
        <v>105</v>
      </c>
      <c r="L7" s="4">
        <f>'Deal Inputs'!$B$29</f>
        <v>0</v>
      </c>
      <c r="M7" s="4">
        <f>'Deal Inputs'!$B$30</f>
        <v>0</v>
      </c>
      <c r="N7" s="4">
        <f>'Deal Inputs'!$B$31</f>
        <v>0</v>
      </c>
      <c r="O7" s="4">
        <f t="shared" si="1"/>
        <v>769.9</v>
      </c>
      <c r="P7" s="4">
        <f t="shared" si="2"/>
        <v>1279.0999999999999</v>
      </c>
      <c r="Q7" s="5">
        <f>'Deal Inputs'!$B$15</f>
        <v>1440.0733435561735</v>
      </c>
      <c r="R7" s="4">
        <f t="shared" si="3"/>
        <v>-160.97334355617363</v>
      </c>
    </row>
    <row r="8" spans="1:18" x14ac:dyDescent="0.25">
      <c r="A8" s="2">
        <v>7</v>
      </c>
      <c r="B8" s="6">
        <f>EDATE('Deal Inputs'!$B$2,A8-1)</f>
        <v>45839</v>
      </c>
      <c r="C8" s="7">
        <f>'Deal Inputs'!$B$18*(1+'Deal Inputs'!$B$21)^INT((A8-1)/12)</f>
        <v>2100</v>
      </c>
      <c r="D8" s="7">
        <f>'Deal Inputs'!$B$19</f>
        <v>75</v>
      </c>
      <c r="E8" s="7">
        <f>-C8*'Deal Inputs'!$B$20</f>
        <v>-126</v>
      </c>
      <c r="F8" s="7">
        <f t="shared" si="0"/>
        <v>2049</v>
      </c>
      <c r="G8" s="7">
        <f>'Deal Inputs'!$B$24*(1+'Deal Inputs'!$B$34)^INT((A8-1)/12)</f>
        <v>240</v>
      </c>
      <c r="H8" s="7">
        <f>'Deal Inputs'!$B$25*(1+'Deal Inputs'!$B$34)^INT((A8-1)/12)</f>
        <v>115</v>
      </c>
      <c r="I8" s="7">
        <f>F8*'Deal Inputs'!$B$26</f>
        <v>204.9</v>
      </c>
      <c r="J8" s="7">
        <f>C8*'Deal Inputs'!$B$27</f>
        <v>105</v>
      </c>
      <c r="K8" s="7">
        <f>C8*'Deal Inputs'!$B$28</f>
        <v>105</v>
      </c>
      <c r="L8" s="7">
        <f>'Deal Inputs'!$B$29</f>
        <v>0</v>
      </c>
      <c r="M8" s="7">
        <f>'Deal Inputs'!$B$30</f>
        <v>0</v>
      </c>
      <c r="N8" s="7">
        <f>'Deal Inputs'!$B$31</f>
        <v>0</v>
      </c>
      <c r="O8" s="7">
        <f t="shared" si="1"/>
        <v>769.9</v>
      </c>
      <c r="P8" s="7">
        <f t="shared" si="2"/>
        <v>1279.0999999999999</v>
      </c>
      <c r="Q8" s="8">
        <f>'Deal Inputs'!$B$15</f>
        <v>1440.0733435561735</v>
      </c>
      <c r="R8" s="7">
        <f t="shared" si="3"/>
        <v>-160.97334355617363</v>
      </c>
    </row>
    <row r="9" spans="1:18" x14ac:dyDescent="0.25">
      <c r="A9" s="3">
        <v>8</v>
      </c>
      <c r="B9" s="9">
        <f>EDATE('Deal Inputs'!$B$2,A9-1)</f>
        <v>45870</v>
      </c>
      <c r="C9" s="4">
        <f>'Deal Inputs'!$B$18*(1+'Deal Inputs'!$B$21)^INT((A9-1)/12)</f>
        <v>2100</v>
      </c>
      <c r="D9" s="4">
        <f>'Deal Inputs'!$B$19</f>
        <v>75</v>
      </c>
      <c r="E9" s="4">
        <f>-C9*'Deal Inputs'!$B$20</f>
        <v>-126</v>
      </c>
      <c r="F9" s="4">
        <f t="shared" si="0"/>
        <v>2049</v>
      </c>
      <c r="G9" s="4">
        <f>'Deal Inputs'!$B$24*(1+'Deal Inputs'!$B$34)^INT((A9-1)/12)</f>
        <v>240</v>
      </c>
      <c r="H9" s="4">
        <f>'Deal Inputs'!$B$25*(1+'Deal Inputs'!$B$34)^INT((A9-1)/12)</f>
        <v>115</v>
      </c>
      <c r="I9" s="4">
        <f>F9*'Deal Inputs'!$B$26</f>
        <v>204.9</v>
      </c>
      <c r="J9" s="4">
        <f>C9*'Deal Inputs'!$B$27</f>
        <v>105</v>
      </c>
      <c r="K9" s="4">
        <f>C9*'Deal Inputs'!$B$28</f>
        <v>105</v>
      </c>
      <c r="L9" s="4">
        <f>'Deal Inputs'!$B$29</f>
        <v>0</v>
      </c>
      <c r="M9" s="4">
        <f>'Deal Inputs'!$B$30</f>
        <v>0</v>
      </c>
      <c r="N9" s="4">
        <f>'Deal Inputs'!$B$31</f>
        <v>0</v>
      </c>
      <c r="O9" s="4">
        <f t="shared" si="1"/>
        <v>769.9</v>
      </c>
      <c r="P9" s="4">
        <f t="shared" si="2"/>
        <v>1279.0999999999999</v>
      </c>
      <c r="Q9" s="5">
        <f>'Deal Inputs'!$B$15</f>
        <v>1440.0733435561735</v>
      </c>
      <c r="R9" s="4">
        <f t="shared" si="3"/>
        <v>-160.97334355617363</v>
      </c>
    </row>
    <row r="10" spans="1:18" x14ac:dyDescent="0.25">
      <c r="A10" s="2">
        <v>9</v>
      </c>
      <c r="B10" s="6">
        <f>EDATE('Deal Inputs'!$B$2,A10-1)</f>
        <v>45901</v>
      </c>
      <c r="C10" s="7">
        <f>'Deal Inputs'!$B$18*(1+'Deal Inputs'!$B$21)^INT((A10-1)/12)</f>
        <v>2100</v>
      </c>
      <c r="D10" s="7">
        <f>'Deal Inputs'!$B$19</f>
        <v>75</v>
      </c>
      <c r="E10" s="7">
        <f>-C10*'Deal Inputs'!$B$20</f>
        <v>-126</v>
      </c>
      <c r="F10" s="7">
        <f t="shared" si="0"/>
        <v>2049</v>
      </c>
      <c r="G10" s="7">
        <f>'Deal Inputs'!$B$24*(1+'Deal Inputs'!$B$34)^INT((A10-1)/12)</f>
        <v>240</v>
      </c>
      <c r="H10" s="7">
        <f>'Deal Inputs'!$B$25*(1+'Deal Inputs'!$B$34)^INT((A10-1)/12)</f>
        <v>115</v>
      </c>
      <c r="I10" s="7">
        <f>F10*'Deal Inputs'!$B$26</f>
        <v>204.9</v>
      </c>
      <c r="J10" s="7">
        <f>C10*'Deal Inputs'!$B$27</f>
        <v>105</v>
      </c>
      <c r="K10" s="7">
        <f>C10*'Deal Inputs'!$B$28</f>
        <v>105</v>
      </c>
      <c r="L10" s="7">
        <f>'Deal Inputs'!$B$29</f>
        <v>0</v>
      </c>
      <c r="M10" s="7">
        <f>'Deal Inputs'!$B$30</f>
        <v>0</v>
      </c>
      <c r="N10" s="7">
        <f>'Deal Inputs'!$B$31</f>
        <v>0</v>
      </c>
      <c r="O10" s="7">
        <f t="shared" si="1"/>
        <v>769.9</v>
      </c>
      <c r="P10" s="7">
        <f t="shared" si="2"/>
        <v>1279.0999999999999</v>
      </c>
      <c r="Q10" s="8">
        <f>'Deal Inputs'!$B$15</f>
        <v>1440.0733435561735</v>
      </c>
      <c r="R10" s="7">
        <f t="shared" si="3"/>
        <v>-160.97334355617363</v>
      </c>
    </row>
    <row r="11" spans="1:18" x14ac:dyDescent="0.25">
      <c r="A11" s="3">
        <v>10</v>
      </c>
      <c r="B11" s="9">
        <f>EDATE('Deal Inputs'!$B$2,A11-1)</f>
        <v>45931</v>
      </c>
      <c r="C11" s="4">
        <f>'Deal Inputs'!$B$18*(1+'Deal Inputs'!$B$21)^INT((A11-1)/12)</f>
        <v>2100</v>
      </c>
      <c r="D11" s="4">
        <f>'Deal Inputs'!$B$19</f>
        <v>75</v>
      </c>
      <c r="E11" s="4">
        <f>-C11*'Deal Inputs'!$B$20</f>
        <v>-126</v>
      </c>
      <c r="F11" s="4">
        <f t="shared" si="0"/>
        <v>2049</v>
      </c>
      <c r="G11" s="4">
        <f>'Deal Inputs'!$B$24*(1+'Deal Inputs'!$B$34)^INT((A11-1)/12)</f>
        <v>240</v>
      </c>
      <c r="H11" s="4">
        <f>'Deal Inputs'!$B$25*(1+'Deal Inputs'!$B$34)^INT((A11-1)/12)</f>
        <v>115</v>
      </c>
      <c r="I11" s="4">
        <f>F11*'Deal Inputs'!$B$26</f>
        <v>204.9</v>
      </c>
      <c r="J11" s="4">
        <f>C11*'Deal Inputs'!$B$27</f>
        <v>105</v>
      </c>
      <c r="K11" s="4">
        <f>C11*'Deal Inputs'!$B$28</f>
        <v>105</v>
      </c>
      <c r="L11" s="4">
        <f>'Deal Inputs'!$B$29</f>
        <v>0</v>
      </c>
      <c r="M11" s="4">
        <f>'Deal Inputs'!$B$30</f>
        <v>0</v>
      </c>
      <c r="N11" s="4">
        <f>'Deal Inputs'!$B$31</f>
        <v>0</v>
      </c>
      <c r="O11" s="4">
        <f t="shared" si="1"/>
        <v>769.9</v>
      </c>
      <c r="P11" s="4">
        <f t="shared" si="2"/>
        <v>1279.0999999999999</v>
      </c>
      <c r="Q11" s="5">
        <f>'Deal Inputs'!$B$15</f>
        <v>1440.0733435561735</v>
      </c>
      <c r="R11" s="4">
        <f t="shared" si="3"/>
        <v>-160.97334355617363</v>
      </c>
    </row>
    <row r="12" spans="1:18" x14ac:dyDescent="0.25">
      <c r="A12" s="2">
        <v>11</v>
      </c>
      <c r="B12" s="6">
        <f>EDATE('Deal Inputs'!$B$2,A12-1)</f>
        <v>45962</v>
      </c>
      <c r="C12" s="7">
        <f>'Deal Inputs'!$B$18*(1+'Deal Inputs'!$B$21)^INT((A12-1)/12)</f>
        <v>2100</v>
      </c>
      <c r="D12" s="7">
        <f>'Deal Inputs'!$B$19</f>
        <v>75</v>
      </c>
      <c r="E12" s="7">
        <f>-C12*'Deal Inputs'!$B$20</f>
        <v>-126</v>
      </c>
      <c r="F12" s="7">
        <f t="shared" si="0"/>
        <v>2049</v>
      </c>
      <c r="G12" s="7">
        <f>'Deal Inputs'!$B$24*(1+'Deal Inputs'!$B$34)^INT((A12-1)/12)</f>
        <v>240</v>
      </c>
      <c r="H12" s="7">
        <f>'Deal Inputs'!$B$25*(1+'Deal Inputs'!$B$34)^INT((A12-1)/12)</f>
        <v>115</v>
      </c>
      <c r="I12" s="7">
        <f>F12*'Deal Inputs'!$B$26</f>
        <v>204.9</v>
      </c>
      <c r="J12" s="7">
        <f>C12*'Deal Inputs'!$B$27</f>
        <v>105</v>
      </c>
      <c r="K12" s="7">
        <f>C12*'Deal Inputs'!$B$28</f>
        <v>105</v>
      </c>
      <c r="L12" s="7">
        <f>'Deal Inputs'!$B$29</f>
        <v>0</v>
      </c>
      <c r="M12" s="7">
        <f>'Deal Inputs'!$B$30</f>
        <v>0</v>
      </c>
      <c r="N12" s="7">
        <f>'Deal Inputs'!$B$31</f>
        <v>0</v>
      </c>
      <c r="O12" s="7">
        <f t="shared" si="1"/>
        <v>769.9</v>
      </c>
      <c r="P12" s="7">
        <f t="shared" si="2"/>
        <v>1279.0999999999999</v>
      </c>
      <c r="Q12" s="8">
        <f>'Deal Inputs'!$B$15</f>
        <v>1440.0733435561735</v>
      </c>
      <c r="R12" s="7">
        <f t="shared" si="3"/>
        <v>-160.97334355617363</v>
      </c>
    </row>
    <row r="13" spans="1:18" x14ac:dyDescent="0.25">
      <c r="A13" s="3">
        <v>12</v>
      </c>
      <c r="B13" s="9">
        <f>EDATE('Deal Inputs'!$B$2,A13-1)</f>
        <v>45992</v>
      </c>
      <c r="C13" s="4">
        <f>'Deal Inputs'!$B$18*(1+'Deal Inputs'!$B$21)^INT((A13-1)/12)</f>
        <v>2100</v>
      </c>
      <c r="D13" s="4">
        <f>'Deal Inputs'!$B$19</f>
        <v>75</v>
      </c>
      <c r="E13" s="4">
        <f>-C13*'Deal Inputs'!$B$20</f>
        <v>-126</v>
      </c>
      <c r="F13" s="4">
        <f t="shared" si="0"/>
        <v>2049</v>
      </c>
      <c r="G13" s="4">
        <f>'Deal Inputs'!$B$24*(1+'Deal Inputs'!$B$34)^INT((A13-1)/12)</f>
        <v>240</v>
      </c>
      <c r="H13" s="4">
        <f>'Deal Inputs'!$B$25*(1+'Deal Inputs'!$B$34)^INT((A13-1)/12)</f>
        <v>115</v>
      </c>
      <c r="I13" s="4">
        <f>F13*'Deal Inputs'!$B$26</f>
        <v>204.9</v>
      </c>
      <c r="J13" s="4">
        <f>C13*'Deal Inputs'!$B$27</f>
        <v>105</v>
      </c>
      <c r="K13" s="4">
        <f>C13*'Deal Inputs'!$B$28</f>
        <v>105</v>
      </c>
      <c r="L13" s="4">
        <f>'Deal Inputs'!$B$29</f>
        <v>0</v>
      </c>
      <c r="M13" s="4">
        <f>'Deal Inputs'!$B$30</f>
        <v>0</v>
      </c>
      <c r="N13" s="4">
        <f>'Deal Inputs'!$B$31</f>
        <v>0</v>
      </c>
      <c r="O13" s="4">
        <f t="shared" si="1"/>
        <v>769.9</v>
      </c>
      <c r="P13" s="4">
        <f t="shared" si="2"/>
        <v>1279.0999999999999</v>
      </c>
      <c r="Q13" s="5">
        <f>'Deal Inputs'!$B$15</f>
        <v>1440.0733435561735</v>
      </c>
      <c r="R13" s="4">
        <f t="shared" si="3"/>
        <v>-160.97334355617363</v>
      </c>
    </row>
    <row r="14" spans="1:18" x14ac:dyDescent="0.25">
      <c r="A14" s="2">
        <v>13</v>
      </c>
      <c r="B14" s="6">
        <f>EDATE('Deal Inputs'!$B$2,A14-1)</f>
        <v>46023</v>
      </c>
      <c r="C14" s="7">
        <f>'Deal Inputs'!$B$18*(1+'Deal Inputs'!$B$21)^INT((A14-1)/12)</f>
        <v>2163</v>
      </c>
      <c r="D14" s="7">
        <f>'Deal Inputs'!$B$19</f>
        <v>75</v>
      </c>
      <c r="E14" s="7">
        <f>-C14*'Deal Inputs'!$B$20</f>
        <v>-129.78</v>
      </c>
      <c r="F14" s="7">
        <f t="shared" si="0"/>
        <v>2108.2199999999998</v>
      </c>
      <c r="G14" s="7">
        <f>'Deal Inputs'!$B$24*(1+'Deal Inputs'!$B$34)^INT((A14-1)/12)</f>
        <v>244.8</v>
      </c>
      <c r="H14" s="7">
        <f>'Deal Inputs'!$B$25*(1+'Deal Inputs'!$B$34)^INT((A14-1)/12)</f>
        <v>117.3</v>
      </c>
      <c r="I14" s="7">
        <f>F14*'Deal Inputs'!$B$26</f>
        <v>210.822</v>
      </c>
      <c r="J14" s="7">
        <f>C14*'Deal Inputs'!$B$27</f>
        <v>108.15</v>
      </c>
      <c r="K14" s="7">
        <f>C14*'Deal Inputs'!$B$28</f>
        <v>108.15</v>
      </c>
      <c r="L14" s="7">
        <f>'Deal Inputs'!$B$29</f>
        <v>0</v>
      </c>
      <c r="M14" s="7">
        <f>'Deal Inputs'!$B$30</f>
        <v>0</v>
      </c>
      <c r="N14" s="7">
        <f>'Deal Inputs'!$B$31</f>
        <v>0</v>
      </c>
      <c r="O14" s="7">
        <f t="shared" si="1"/>
        <v>789.22199999999998</v>
      </c>
      <c r="P14" s="7">
        <f t="shared" si="2"/>
        <v>1318.9979999999998</v>
      </c>
      <c r="Q14" s="8">
        <f>'Deal Inputs'!$B$15</f>
        <v>1440.0733435561735</v>
      </c>
      <c r="R14" s="7">
        <f t="shared" si="3"/>
        <v>-121.07534355617372</v>
      </c>
    </row>
    <row r="15" spans="1:18" x14ac:dyDescent="0.25">
      <c r="A15" s="3">
        <v>14</v>
      </c>
      <c r="B15" s="9">
        <f>EDATE('Deal Inputs'!$B$2,A15-1)</f>
        <v>46054</v>
      </c>
      <c r="C15" s="4">
        <f>'Deal Inputs'!$B$18*(1+'Deal Inputs'!$B$21)^INT((A15-1)/12)</f>
        <v>2163</v>
      </c>
      <c r="D15" s="4">
        <f>'Deal Inputs'!$B$19</f>
        <v>75</v>
      </c>
      <c r="E15" s="4">
        <f>-C15*'Deal Inputs'!$B$20</f>
        <v>-129.78</v>
      </c>
      <c r="F15" s="4">
        <f t="shared" si="0"/>
        <v>2108.2199999999998</v>
      </c>
      <c r="G15" s="4">
        <f>'Deal Inputs'!$B$24*(1+'Deal Inputs'!$B$34)^INT((A15-1)/12)</f>
        <v>244.8</v>
      </c>
      <c r="H15" s="4">
        <f>'Deal Inputs'!$B$25*(1+'Deal Inputs'!$B$34)^INT((A15-1)/12)</f>
        <v>117.3</v>
      </c>
      <c r="I15" s="4">
        <f>F15*'Deal Inputs'!$B$26</f>
        <v>210.822</v>
      </c>
      <c r="J15" s="4">
        <f>C15*'Deal Inputs'!$B$27</f>
        <v>108.15</v>
      </c>
      <c r="K15" s="4">
        <f>C15*'Deal Inputs'!$B$28</f>
        <v>108.15</v>
      </c>
      <c r="L15" s="4">
        <f>'Deal Inputs'!$B$29</f>
        <v>0</v>
      </c>
      <c r="M15" s="4">
        <f>'Deal Inputs'!$B$30</f>
        <v>0</v>
      </c>
      <c r="N15" s="4">
        <f>'Deal Inputs'!$B$31</f>
        <v>0</v>
      </c>
      <c r="O15" s="4">
        <f t="shared" si="1"/>
        <v>789.22199999999998</v>
      </c>
      <c r="P15" s="4">
        <f t="shared" si="2"/>
        <v>1318.9979999999998</v>
      </c>
      <c r="Q15" s="5">
        <f>'Deal Inputs'!$B$15</f>
        <v>1440.0733435561735</v>
      </c>
      <c r="R15" s="4">
        <f t="shared" si="3"/>
        <v>-121.07534355617372</v>
      </c>
    </row>
    <row r="16" spans="1:18" x14ac:dyDescent="0.25">
      <c r="A16" s="2">
        <v>15</v>
      </c>
      <c r="B16" s="6">
        <f>EDATE('Deal Inputs'!$B$2,A16-1)</f>
        <v>46082</v>
      </c>
      <c r="C16" s="7">
        <f>'Deal Inputs'!$B$18*(1+'Deal Inputs'!$B$21)^INT((A16-1)/12)</f>
        <v>2163</v>
      </c>
      <c r="D16" s="7">
        <f>'Deal Inputs'!$B$19</f>
        <v>75</v>
      </c>
      <c r="E16" s="7">
        <f>-C16*'Deal Inputs'!$B$20</f>
        <v>-129.78</v>
      </c>
      <c r="F16" s="7">
        <f t="shared" si="0"/>
        <v>2108.2199999999998</v>
      </c>
      <c r="G16" s="7">
        <f>'Deal Inputs'!$B$24*(1+'Deal Inputs'!$B$34)^INT((A16-1)/12)</f>
        <v>244.8</v>
      </c>
      <c r="H16" s="7">
        <f>'Deal Inputs'!$B$25*(1+'Deal Inputs'!$B$34)^INT((A16-1)/12)</f>
        <v>117.3</v>
      </c>
      <c r="I16" s="7">
        <f>F16*'Deal Inputs'!$B$26</f>
        <v>210.822</v>
      </c>
      <c r="J16" s="7">
        <f>C16*'Deal Inputs'!$B$27</f>
        <v>108.15</v>
      </c>
      <c r="K16" s="7">
        <f>C16*'Deal Inputs'!$B$28</f>
        <v>108.15</v>
      </c>
      <c r="L16" s="7">
        <f>'Deal Inputs'!$B$29</f>
        <v>0</v>
      </c>
      <c r="M16" s="7">
        <f>'Deal Inputs'!$B$30</f>
        <v>0</v>
      </c>
      <c r="N16" s="7">
        <f>'Deal Inputs'!$B$31</f>
        <v>0</v>
      </c>
      <c r="O16" s="7">
        <f t="shared" si="1"/>
        <v>789.22199999999998</v>
      </c>
      <c r="P16" s="7">
        <f t="shared" si="2"/>
        <v>1318.9979999999998</v>
      </c>
      <c r="Q16" s="8">
        <f>'Deal Inputs'!$B$15</f>
        <v>1440.0733435561735</v>
      </c>
      <c r="R16" s="7">
        <f t="shared" si="3"/>
        <v>-121.07534355617372</v>
      </c>
    </row>
    <row r="17" spans="1:18" x14ac:dyDescent="0.25">
      <c r="A17" s="3">
        <v>16</v>
      </c>
      <c r="B17" s="9">
        <f>EDATE('Deal Inputs'!$B$2,A17-1)</f>
        <v>46113</v>
      </c>
      <c r="C17" s="4">
        <f>'Deal Inputs'!$B$18*(1+'Deal Inputs'!$B$21)^INT((A17-1)/12)</f>
        <v>2163</v>
      </c>
      <c r="D17" s="4">
        <f>'Deal Inputs'!$B$19</f>
        <v>75</v>
      </c>
      <c r="E17" s="4">
        <f>-C17*'Deal Inputs'!$B$20</f>
        <v>-129.78</v>
      </c>
      <c r="F17" s="4">
        <f t="shared" si="0"/>
        <v>2108.2199999999998</v>
      </c>
      <c r="G17" s="4">
        <f>'Deal Inputs'!$B$24*(1+'Deal Inputs'!$B$34)^INT((A17-1)/12)</f>
        <v>244.8</v>
      </c>
      <c r="H17" s="4">
        <f>'Deal Inputs'!$B$25*(1+'Deal Inputs'!$B$34)^INT((A17-1)/12)</f>
        <v>117.3</v>
      </c>
      <c r="I17" s="4">
        <f>F17*'Deal Inputs'!$B$26</f>
        <v>210.822</v>
      </c>
      <c r="J17" s="4">
        <f>C17*'Deal Inputs'!$B$27</f>
        <v>108.15</v>
      </c>
      <c r="K17" s="4">
        <f>C17*'Deal Inputs'!$B$28</f>
        <v>108.15</v>
      </c>
      <c r="L17" s="4">
        <f>'Deal Inputs'!$B$29</f>
        <v>0</v>
      </c>
      <c r="M17" s="4">
        <f>'Deal Inputs'!$B$30</f>
        <v>0</v>
      </c>
      <c r="N17" s="4">
        <f>'Deal Inputs'!$B$31</f>
        <v>0</v>
      </c>
      <c r="O17" s="4">
        <f t="shared" si="1"/>
        <v>789.22199999999998</v>
      </c>
      <c r="P17" s="4">
        <f t="shared" si="2"/>
        <v>1318.9979999999998</v>
      </c>
      <c r="Q17" s="5">
        <f>'Deal Inputs'!$B$15</f>
        <v>1440.0733435561735</v>
      </c>
      <c r="R17" s="4">
        <f t="shared" si="3"/>
        <v>-121.07534355617372</v>
      </c>
    </row>
    <row r="18" spans="1:18" x14ac:dyDescent="0.25">
      <c r="A18" s="2">
        <v>17</v>
      </c>
      <c r="B18" s="6">
        <f>EDATE('Deal Inputs'!$B$2,A18-1)</f>
        <v>46143</v>
      </c>
      <c r="C18" s="7">
        <f>'Deal Inputs'!$B$18*(1+'Deal Inputs'!$B$21)^INT((A18-1)/12)</f>
        <v>2163</v>
      </c>
      <c r="D18" s="7">
        <f>'Deal Inputs'!$B$19</f>
        <v>75</v>
      </c>
      <c r="E18" s="7">
        <f>-C18*'Deal Inputs'!$B$20</f>
        <v>-129.78</v>
      </c>
      <c r="F18" s="7">
        <f t="shared" si="0"/>
        <v>2108.2199999999998</v>
      </c>
      <c r="G18" s="7">
        <f>'Deal Inputs'!$B$24*(1+'Deal Inputs'!$B$34)^INT((A18-1)/12)</f>
        <v>244.8</v>
      </c>
      <c r="H18" s="7">
        <f>'Deal Inputs'!$B$25*(1+'Deal Inputs'!$B$34)^INT((A18-1)/12)</f>
        <v>117.3</v>
      </c>
      <c r="I18" s="7">
        <f>F18*'Deal Inputs'!$B$26</f>
        <v>210.822</v>
      </c>
      <c r="J18" s="7">
        <f>C18*'Deal Inputs'!$B$27</f>
        <v>108.15</v>
      </c>
      <c r="K18" s="7">
        <f>C18*'Deal Inputs'!$B$28</f>
        <v>108.15</v>
      </c>
      <c r="L18" s="7">
        <f>'Deal Inputs'!$B$29</f>
        <v>0</v>
      </c>
      <c r="M18" s="7">
        <f>'Deal Inputs'!$B$30</f>
        <v>0</v>
      </c>
      <c r="N18" s="7">
        <f>'Deal Inputs'!$B$31</f>
        <v>0</v>
      </c>
      <c r="O18" s="7">
        <f t="shared" si="1"/>
        <v>789.22199999999998</v>
      </c>
      <c r="P18" s="7">
        <f t="shared" si="2"/>
        <v>1318.9979999999998</v>
      </c>
      <c r="Q18" s="8">
        <f>'Deal Inputs'!$B$15</f>
        <v>1440.0733435561735</v>
      </c>
      <c r="R18" s="7">
        <f t="shared" si="3"/>
        <v>-121.07534355617372</v>
      </c>
    </row>
    <row r="19" spans="1:18" x14ac:dyDescent="0.25">
      <c r="A19" s="3">
        <v>18</v>
      </c>
      <c r="B19" s="9">
        <f>EDATE('Deal Inputs'!$B$2,A19-1)</f>
        <v>46174</v>
      </c>
      <c r="C19" s="4">
        <f>'Deal Inputs'!$B$18*(1+'Deal Inputs'!$B$21)^INT((A19-1)/12)</f>
        <v>2163</v>
      </c>
      <c r="D19" s="4">
        <f>'Deal Inputs'!$B$19</f>
        <v>75</v>
      </c>
      <c r="E19" s="4">
        <f>-C19*'Deal Inputs'!$B$20</f>
        <v>-129.78</v>
      </c>
      <c r="F19" s="4">
        <f t="shared" si="0"/>
        <v>2108.2199999999998</v>
      </c>
      <c r="G19" s="4">
        <f>'Deal Inputs'!$B$24*(1+'Deal Inputs'!$B$34)^INT((A19-1)/12)</f>
        <v>244.8</v>
      </c>
      <c r="H19" s="4">
        <f>'Deal Inputs'!$B$25*(1+'Deal Inputs'!$B$34)^INT((A19-1)/12)</f>
        <v>117.3</v>
      </c>
      <c r="I19" s="4">
        <f>F19*'Deal Inputs'!$B$26</f>
        <v>210.822</v>
      </c>
      <c r="J19" s="4">
        <f>C19*'Deal Inputs'!$B$27</f>
        <v>108.15</v>
      </c>
      <c r="K19" s="4">
        <f>C19*'Deal Inputs'!$B$28</f>
        <v>108.15</v>
      </c>
      <c r="L19" s="4">
        <f>'Deal Inputs'!$B$29</f>
        <v>0</v>
      </c>
      <c r="M19" s="4">
        <f>'Deal Inputs'!$B$30</f>
        <v>0</v>
      </c>
      <c r="N19" s="4">
        <f>'Deal Inputs'!$B$31</f>
        <v>0</v>
      </c>
      <c r="O19" s="4">
        <f t="shared" si="1"/>
        <v>789.22199999999998</v>
      </c>
      <c r="P19" s="4">
        <f t="shared" si="2"/>
        <v>1318.9979999999998</v>
      </c>
      <c r="Q19" s="5">
        <f>'Deal Inputs'!$B$15</f>
        <v>1440.0733435561735</v>
      </c>
      <c r="R19" s="4">
        <f t="shared" si="3"/>
        <v>-121.07534355617372</v>
      </c>
    </row>
    <row r="20" spans="1:18" x14ac:dyDescent="0.25">
      <c r="A20" s="2">
        <v>19</v>
      </c>
      <c r="B20" s="6">
        <f>EDATE('Deal Inputs'!$B$2,A20-1)</f>
        <v>46204</v>
      </c>
      <c r="C20" s="7">
        <f>'Deal Inputs'!$B$18*(1+'Deal Inputs'!$B$21)^INT((A20-1)/12)</f>
        <v>2163</v>
      </c>
      <c r="D20" s="7">
        <f>'Deal Inputs'!$B$19</f>
        <v>75</v>
      </c>
      <c r="E20" s="7">
        <f>-C20*'Deal Inputs'!$B$20</f>
        <v>-129.78</v>
      </c>
      <c r="F20" s="7">
        <f t="shared" si="0"/>
        <v>2108.2199999999998</v>
      </c>
      <c r="G20" s="7">
        <f>'Deal Inputs'!$B$24*(1+'Deal Inputs'!$B$34)^INT((A20-1)/12)</f>
        <v>244.8</v>
      </c>
      <c r="H20" s="7">
        <f>'Deal Inputs'!$B$25*(1+'Deal Inputs'!$B$34)^INT((A20-1)/12)</f>
        <v>117.3</v>
      </c>
      <c r="I20" s="7">
        <f>F20*'Deal Inputs'!$B$26</f>
        <v>210.822</v>
      </c>
      <c r="J20" s="7">
        <f>C20*'Deal Inputs'!$B$27</f>
        <v>108.15</v>
      </c>
      <c r="K20" s="7">
        <f>C20*'Deal Inputs'!$B$28</f>
        <v>108.15</v>
      </c>
      <c r="L20" s="7">
        <f>'Deal Inputs'!$B$29</f>
        <v>0</v>
      </c>
      <c r="M20" s="7">
        <f>'Deal Inputs'!$B$30</f>
        <v>0</v>
      </c>
      <c r="N20" s="7">
        <f>'Deal Inputs'!$B$31</f>
        <v>0</v>
      </c>
      <c r="O20" s="7">
        <f t="shared" si="1"/>
        <v>789.22199999999998</v>
      </c>
      <c r="P20" s="7">
        <f t="shared" si="2"/>
        <v>1318.9979999999998</v>
      </c>
      <c r="Q20" s="8">
        <f>'Deal Inputs'!$B$15</f>
        <v>1440.0733435561735</v>
      </c>
      <c r="R20" s="7">
        <f t="shared" si="3"/>
        <v>-121.07534355617372</v>
      </c>
    </row>
    <row r="21" spans="1:18" x14ac:dyDescent="0.25">
      <c r="A21" s="3">
        <v>20</v>
      </c>
      <c r="B21" s="9">
        <f>EDATE('Deal Inputs'!$B$2,A21-1)</f>
        <v>46235</v>
      </c>
      <c r="C21" s="4">
        <f>'Deal Inputs'!$B$18*(1+'Deal Inputs'!$B$21)^INT((A21-1)/12)</f>
        <v>2163</v>
      </c>
      <c r="D21" s="4">
        <f>'Deal Inputs'!$B$19</f>
        <v>75</v>
      </c>
      <c r="E21" s="4">
        <f>-C21*'Deal Inputs'!$B$20</f>
        <v>-129.78</v>
      </c>
      <c r="F21" s="4">
        <f t="shared" si="0"/>
        <v>2108.2199999999998</v>
      </c>
      <c r="G21" s="4">
        <f>'Deal Inputs'!$B$24*(1+'Deal Inputs'!$B$34)^INT((A21-1)/12)</f>
        <v>244.8</v>
      </c>
      <c r="H21" s="4">
        <f>'Deal Inputs'!$B$25*(1+'Deal Inputs'!$B$34)^INT((A21-1)/12)</f>
        <v>117.3</v>
      </c>
      <c r="I21" s="4">
        <f>F21*'Deal Inputs'!$B$26</f>
        <v>210.822</v>
      </c>
      <c r="J21" s="4">
        <f>C21*'Deal Inputs'!$B$27</f>
        <v>108.15</v>
      </c>
      <c r="K21" s="4">
        <f>C21*'Deal Inputs'!$B$28</f>
        <v>108.15</v>
      </c>
      <c r="L21" s="4">
        <f>'Deal Inputs'!$B$29</f>
        <v>0</v>
      </c>
      <c r="M21" s="4">
        <f>'Deal Inputs'!$B$30</f>
        <v>0</v>
      </c>
      <c r="N21" s="4">
        <f>'Deal Inputs'!$B$31</f>
        <v>0</v>
      </c>
      <c r="O21" s="4">
        <f t="shared" si="1"/>
        <v>789.22199999999998</v>
      </c>
      <c r="P21" s="4">
        <f t="shared" si="2"/>
        <v>1318.9979999999998</v>
      </c>
      <c r="Q21" s="5">
        <f>'Deal Inputs'!$B$15</f>
        <v>1440.0733435561735</v>
      </c>
      <c r="R21" s="4">
        <f t="shared" si="3"/>
        <v>-121.07534355617372</v>
      </c>
    </row>
    <row r="22" spans="1:18" x14ac:dyDescent="0.25">
      <c r="A22" s="2">
        <v>21</v>
      </c>
      <c r="B22" s="6">
        <f>EDATE('Deal Inputs'!$B$2,A22-1)</f>
        <v>46266</v>
      </c>
      <c r="C22" s="7">
        <f>'Deal Inputs'!$B$18*(1+'Deal Inputs'!$B$21)^INT((A22-1)/12)</f>
        <v>2163</v>
      </c>
      <c r="D22" s="7">
        <f>'Deal Inputs'!$B$19</f>
        <v>75</v>
      </c>
      <c r="E22" s="7">
        <f>-C22*'Deal Inputs'!$B$20</f>
        <v>-129.78</v>
      </c>
      <c r="F22" s="7">
        <f t="shared" si="0"/>
        <v>2108.2199999999998</v>
      </c>
      <c r="G22" s="7">
        <f>'Deal Inputs'!$B$24*(1+'Deal Inputs'!$B$34)^INT((A22-1)/12)</f>
        <v>244.8</v>
      </c>
      <c r="H22" s="7">
        <f>'Deal Inputs'!$B$25*(1+'Deal Inputs'!$B$34)^INT((A22-1)/12)</f>
        <v>117.3</v>
      </c>
      <c r="I22" s="7">
        <f>F22*'Deal Inputs'!$B$26</f>
        <v>210.822</v>
      </c>
      <c r="J22" s="7">
        <f>C22*'Deal Inputs'!$B$27</f>
        <v>108.15</v>
      </c>
      <c r="K22" s="7">
        <f>C22*'Deal Inputs'!$B$28</f>
        <v>108.15</v>
      </c>
      <c r="L22" s="7">
        <f>'Deal Inputs'!$B$29</f>
        <v>0</v>
      </c>
      <c r="M22" s="7">
        <f>'Deal Inputs'!$B$30</f>
        <v>0</v>
      </c>
      <c r="N22" s="7">
        <f>'Deal Inputs'!$B$31</f>
        <v>0</v>
      </c>
      <c r="O22" s="7">
        <f t="shared" si="1"/>
        <v>789.22199999999998</v>
      </c>
      <c r="P22" s="7">
        <f t="shared" si="2"/>
        <v>1318.9979999999998</v>
      </c>
      <c r="Q22" s="8">
        <f>'Deal Inputs'!$B$15</f>
        <v>1440.0733435561735</v>
      </c>
      <c r="R22" s="7">
        <f t="shared" si="3"/>
        <v>-121.07534355617372</v>
      </c>
    </row>
    <row r="23" spans="1:18" x14ac:dyDescent="0.25">
      <c r="A23" s="3">
        <v>22</v>
      </c>
      <c r="B23" s="9">
        <f>EDATE('Deal Inputs'!$B$2,A23-1)</f>
        <v>46296</v>
      </c>
      <c r="C23" s="4">
        <f>'Deal Inputs'!$B$18*(1+'Deal Inputs'!$B$21)^INT((A23-1)/12)</f>
        <v>2163</v>
      </c>
      <c r="D23" s="4">
        <f>'Deal Inputs'!$B$19</f>
        <v>75</v>
      </c>
      <c r="E23" s="4">
        <f>-C23*'Deal Inputs'!$B$20</f>
        <v>-129.78</v>
      </c>
      <c r="F23" s="4">
        <f t="shared" si="0"/>
        <v>2108.2199999999998</v>
      </c>
      <c r="G23" s="4">
        <f>'Deal Inputs'!$B$24*(1+'Deal Inputs'!$B$34)^INT((A23-1)/12)</f>
        <v>244.8</v>
      </c>
      <c r="H23" s="4">
        <f>'Deal Inputs'!$B$25*(1+'Deal Inputs'!$B$34)^INT((A23-1)/12)</f>
        <v>117.3</v>
      </c>
      <c r="I23" s="4">
        <f>F23*'Deal Inputs'!$B$26</f>
        <v>210.822</v>
      </c>
      <c r="J23" s="4">
        <f>C23*'Deal Inputs'!$B$27</f>
        <v>108.15</v>
      </c>
      <c r="K23" s="4">
        <f>C23*'Deal Inputs'!$B$28</f>
        <v>108.15</v>
      </c>
      <c r="L23" s="4">
        <f>'Deal Inputs'!$B$29</f>
        <v>0</v>
      </c>
      <c r="M23" s="4">
        <f>'Deal Inputs'!$B$30</f>
        <v>0</v>
      </c>
      <c r="N23" s="4">
        <f>'Deal Inputs'!$B$31</f>
        <v>0</v>
      </c>
      <c r="O23" s="4">
        <f t="shared" si="1"/>
        <v>789.22199999999998</v>
      </c>
      <c r="P23" s="4">
        <f t="shared" si="2"/>
        <v>1318.9979999999998</v>
      </c>
      <c r="Q23" s="5">
        <f>'Deal Inputs'!$B$15</f>
        <v>1440.0733435561735</v>
      </c>
      <c r="R23" s="4">
        <f t="shared" si="3"/>
        <v>-121.07534355617372</v>
      </c>
    </row>
    <row r="24" spans="1:18" x14ac:dyDescent="0.25">
      <c r="A24" s="2">
        <v>23</v>
      </c>
      <c r="B24" s="6">
        <f>EDATE('Deal Inputs'!$B$2,A24-1)</f>
        <v>46327</v>
      </c>
      <c r="C24" s="7">
        <f>'Deal Inputs'!$B$18*(1+'Deal Inputs'!$B$21)^INT((A24-1)/12)</f>
        <v>2163</v>
      </c>
      <c r="D24" s="7">
        <f>'Deal Inputs'!$B$19</f>
        <v>75</v>
      </c>
      <c r="E24" s="7">
        <f>-C24*'Deal Inputs'!$B$20</f>
        <v>-129.78</v>
      </c>
      <c r="F24" s="7">
        <f t="shared" si="0"/>
        <v>2108.2199999999998</v>
      </c>
      <c r="G24" s="7">
        <f>'Deal Inputs'!$B$24*(1+'Deal Inputs'!$B$34)^INT((A24-1)/12)</f>
        <v>244.8</v>
      </c>
      <c r="H24" s="7">
        <f>'Deal Inputs'!$B$25*(1+'Deal Inputs'!$B$34)^INT((A24-1)/12)</f>
        <v>117.3</v>
      </c>
      <c r="I24" s="7">
        <f>F24*'Deal Inputs'!$B$26</f>
        <v>210.822</v>
      </c>
      <c r="J24" s="7">
        <f>C24*'Deal Inputs'!$B$27</f>
        <v>108.15</v>
      </c>
      <c r="K24" s="7">
        <f>C24*'Deal Inputs'!$B$28</f>
        <v>108.15</v>
      </c>
      <c r="L24" s="7">
        <f>'Deal Inputs'!$B$29</f>
        <v>0</v>
      </c>
      <c r="M24" s="7">
        <f>'Deal Inputs'!$B$30</f>
        <v>0</v>
      </c>
      <c r="N24" s="7">
        <f>'Deal Inputs'!$B$31</f>
        <v>0</v>
      </c>
      <c r="O24" s="7">
        <f t="shared" si="1"/>
        <v>789.22199999999998</v>
      </c>
      <c r="P24" s="7">
        <f t="shared" si="2"/>
        <v>1318.9979999999998</v>
      </c>
      <c r="Q24" s="8">
        <f>'Deal Inputs'!$B$15</f>
        <v>1440.0733435561735</v>
      </c>
      <c r="R24" s="7">
        <f t="shared" si="3"/>
        <v>-121.07534355617372</v>
      </c>
    </row>
    <row r="25" spans="1:18" x14ac:dyDescent="0.25">
      <c r="A25" s="3">
        <v>24</v>
      </c>
      <c r="B25" s="9">
        <f>EDATE('Deal Inputs'!$B$2,A25-1)</f>
        <v>46357</v>
      </c>
      <c r="C25" s="4">
        <f>'Deal Inputs'!$B$18*(1+'Deal Inputs'!$B$21)^INT((A25-1)/12)</f>
        <v>2163</v>
      </c>
      <c r="D25" s="4">
        <f>'Deal Inputs'!$B$19</f>
        <v>75</v>
      </c>
      <c r="E25" s="4">
        <f>-C25*'Deal Inputs'!$B$20</f>
        <v>-129.78</v>
      </c>
      <c r="F25" s="4">
        <f t="shared" si="0"/>
        <v>2108.2199999999998</v>
      </c>
      <c r="G25" s="4">
        <f>'Deal Inputs'!$B$24*(1+'Deal Inputs'!$B$34)^INT((A25-1)/12)</f>
        <v>244.8</v>
      </c>
      <c r="H25" s="4">
        <f>'Deal Inputs'!$B$25*(1+'Deal Inputs'!$B$34)^INT((A25-1)/12)</f>
        <v>117.3</v>
      </c>
      <c r="I25" s="4">
        <f>F25*'Deal Inputs'!$B$26</f>
        <v>210.822</v>
      </c>
      <c r="J25" s="4">
        <f>C25*'Deal Inputs'!$B$27</f>
        <v>108.15</v>
      </c>
      <c r="K25" s="4">
        <f>C25*'Deal Inputs'!$B$28</f>
        <v>108.15</v>
      </c>
      <c r="L25" s="4">
        <f>'Deal Inputs'!$B$29</f>
        <v>0</v>
      </c>
      <c r="M25" s="4">
        <f>'Deal Inputs'!$B$30</f>
        <v>0</v>
      </c>
      <c r="N25" s="4">
        <f>'Deal Inputs'!$B$31</f>
        <v>0</v>
      </c>
      <c r="O25" s="4">
        <f t="shared" si="1"/>
        <v>789.22199999999998</v>
      </c>
      <c r="P25" s="4">
        <f t="shared" si="2"/>
        <v>1318.9979999999998</v>
      </c>
      <c r="Q25" s="5">
        <f>'Deal Inputs'!$B$15</f>
        <v>1440.0733435561735</v>
      </c>
      <c r="R25" s="4">
        <f t="shared" si="3"/>
        <v>-121.07534355617372</v>
      </c>
    </row>
    <row r="26" spans="1:18" x14ac:dyDescent="0.25">
      <c r="A26" s="2">
        <v>25</v>
      </c>
      <c r="B26" s="6">
        <f>EDATE('Deal Inputs'!$B$2,A26-1)</f>
        <v>46388</v>
      </c>
      <c r="C26" s="7">
        <f>'Deal Inputs'!$B$18*(1+'Deal Inputs'!$B$21)^INT((A26-1)/12)</f>
        <v>2227.89</v>
      </c>
      <c r="D26" s="7">
        <f>'Deal Inputs'!$B$19</f>
        <v>75</v>
      </c>
      <c r="E26" s="7">
        <f>-C26*'Deal Inputs'!$B$20</f>
        <v>-133.67339999999999</v>
      </c>
      <c r="F26" s="7">
        <f t="shared" si="0"/>
        <v>2169.2165999999997</v>
      </c>
      <c r="G26" s="7">
        <f>'Deal Inputs'!$B$24*(1+'Deal Inputs'!$B$34)^INT((A26-1)/12)</f>
        <v>249.696</v>
      </c>
      <c r="H26" s="7">
        <f>'Deal Inputs'!$B$25*(1+'Deal Inputs'!$B$34)^INT((A26-1)/12)</f>
        <v>119.646</v>
      </c>
      <c r="I26" s="7">
        <f>F26*'Deal Inputs'!$B$26</f>
        <v>216.92165999999997</v>
      </c>
      <c r="J26" s="7">
        <f>C26*'Deal Inputs'!$B$27</f>
        <v>111.39449999999999</v>
      </c>
      <c r="K26" s="7">
        <f>C26*'Deal Inputs'!$B$28</f>
        <v>111.39449999999999</v>
      </c>
      <c r="L26" s="7">
        <f>'Deal Inputs'!$B$29</f>
        <v>0</v>
      </c>
      <c r="M26" s="7">
        <f>'Deal Inputs'!$B$30</f>
        <v>0</v>
      </c>
      <c r="N26" s="7">
        <f>'Deal Inputs'!$B$31</f>
        <v>0</v>
      </c>
      <c r="O26" s="7">
        <f t="shared" si="1"/>
        <v>809.05265999999995</v>
      </c>
      <c r="P26" s="7">
        <f t="shared" si="2"/>
        <v>1360.1639399999999</v>
      </c>
      <c r="Q26" s="8">
        <f>'Deal Inputs'!$B$15</f>
        <v>1440.0733435561735</v>
      </c>
      <c r="R26" s="7">
        <f t="shared" si="3"/>
        <v>-79.909403556173629</v>
      </c>
    </row>
    <row r="27" spans="1:18" x14ac:dyDescent="0.25">
      <c r="A27" s="3">
        <v>26</v>
      </c>
      <c r="B27" s="9">
        <f>EDATE('Deal Inputs'!$B$2,A27-1)</f>
        <v>46419</v>
      </c>
      <c r="C27" s="4">
        <f>'Deal Inputs'!$B$18*(1+'Deal Inputs'!$B$21)^INT((A27-1)/12)</f>
        <v>2227.89</v>
      </c>
      <c r="D27" s="4">
        <f>'Deal Inputs'!$B$19</f>
        <v>75</v>
      </c>
      <c r="E27" s="4">
        <f>-C27*'Deal Inputs'!$B$20</f>
        <v>-133.67339999999999</v>
      </c>
      <c r="F27" s="4">
        <f t="shared" si="0"/>
        <v>2169.2165999999997</v>
      </c>
      <c r="G27" s="4">
        <f>'Deal Inputs'!$B$24*(1+'Deal Inputs'!$B$34)^INT((A27-1)/12)</f>
        <v>249.696</v>
      </c>
      <c r="H27" s="4">
        <f>'Deal Inputs'!$B$25*(1+'Deal Inputs'!$B$34)^INT((A27-1)/12)</f>
        <v>119.646</v>
      </c>
      <c r="I27" s="4">
        <f>F27*'Deal Inputs'!$B$26</f>
        <v>216.92165999999997</v>
      </c>
      <c r="J27" s="4">
        <f>C27*'Deal Inputs'!$B$27</f>
        <v>111.39449999999999</v>
      </c>
      <c r="K27" s="4">
        <f>C27*'Deal Inputs'!$B$28</f>
        <v>111.39449999999999</v>
      </c>
      <c r="L27" s="4">
        <f>'Deal Inputs'!$B$29</f>
        <v>0</v>
      </c>
      <c r="M27" s="4">
        <f>'Deal Inputs'!$B$30</f>
        <v>0</v>
      </c>
      <c r="N27" s="4">
        <f>'Deal Inputs'!$B$31</f>
        <v>0</v>
      </c>
      <c r="O27" s="4">
        <f t="shared" si="1"/>
        <v>809.05265999999995</v>
      </c>
      <c r="P27" s="4">
        <f t="shared" si="2"/>
        <v>1360.1639399999999</v>
      </c>
      <c r="Q27" s="5">
        <f>'Deal Inputs'!$B$15</f>
        <v>1440.0733435561735</v>
      </c>
      <c r="R27" s="4">
        <f t="shared" si="3"/>
        <v>-79.909403556173629</v>
      </c>
    </row>
    <row r="28" spans="1:18" x14ac:dyDescent="0.25">
      <c r="A28" s="2">
        <v>27</v>
      </c>
      <c r="B28" s="6">
        <f>EDATE('Deal Inputs'!$B$2,A28-1)</f>
        <v>46447</v>
      </c>
      <c r="C28" s="7">
        <f>'Deal Inputs'!$B$18*(1+'Deal Inputs'!$B$21)^INT((A28-1)/12)</f>
        <v>2227.89</v>
      </c>
      <c r="D28" s="7">
        <f>'Deal Inputs'!$B$19</f>
        <v>75</v>
      </c>
      <c r="E28" s="7">
        <f>-C28*'Deal Inputs'!$B$20</f>
        <v>-133.67339999999999</v>
      </c>
      <c r="F28" s="7">
        <f t="shared" si="0"/>
        <v>2169.2165999999997</v>
      </c>
      <c r="G28" s="7">
        <f>'Deal Inputs'!$B$24*(1+'Deal Inputs'!$B$34)^INT((A28-1)/12)</f>
        <v>249.696</v>
      </c>
      <c r="H28" s="7">
        <f>'Deal Inputs'!$B$25*(1+'Deal Inputs'!$B$34)^INT((A28-1)/12)</f>
        <v>119.646</v>
      </c>
      <c r="I28" s="7">
        <f>F28*'Deal Inputs'!$B$26</f>
        <v>216.92165999999997</v>
      </c>
      <c r="J28" s="7">
        <f>C28*'Deal Inputs'!$B$27</f>
        <v>111.39449999999999</v>
      </c>
      <c r="K28" s="7">
        <f>C28*'Deal Inputs'!$B$28</f>
        <v>111.39449999999999</v>
      </c>
      <c r="L28" s="7">
        <f>'Deal Inputs'!$B$29</f>
        <v>0</v>
      </c>
      <c r="M28" s="7">
        <f>'Deal Inputs'!$B$30</f>
        <v>0</v>
      </c>
      <c r="N28" s="7">
        <f>'Deal Inputs'!$B$31</f>
        <v>0</v>
      </c>
      <c r="O28" s="7">
        <f t="shared" si="1"/>
        <v>809.05265999999995</v>
      </c>
      <c r="P28" s="7">
        <f t="shared" si="2"/>
        <v>1360.1639399999999</v>
      </c>
      <c r="Q28" s="8">
        <f>'Deal Inputs'!$B$15</f>
        <v>1440.0733435561735</v>
      </c>
      <c r="R28" s="7">
        <f t="shared" si="3"/>
        <v>-79.909403556173629</v>
      </c>
    </row>
    <row r="29" spans="1:18" x14ac:dyDescent="0.25">
      <c r="A29" s="3">
        <v>28</v>
      </c>
      <c r="B29" s="9">
        <f>EDATE('Deal Inputs'!$B$2,A29-1)</f>
        <v>46478</v>
      </c>
      <c r="C29" s="4">
        <f>'Deal Inputs'!$B$18*(1+'Deal Inputs'!$B$21)^INT((A29-1)/12)</f>
        <v>2227.89</v>
      </c>
      <c r="D29" s="4">
        <f>'Deal Inputs'!$B$19</f>
        <v>75</v>
      </c>
      <c r="E29" s="4">
        <f>-C29*'Deal Inputs'!$B$20</f>
        <v>-133.67339999999999</v>
      </c>
      <c r="F29" s="4">
        <f t="shared" si="0"/>
        <v>2169.2165999999997</v>
      </c>
      <c r="G29" s="4">
        <f>'Deal Inputs'!$B$24*(1+'Deal Inputs'!$B$34)^INT((A29-1)/12)</f>
        <v>249.696</v>
      </c>
      <c r="H29" s="4">
        <f>'Deal Inputs'!$B$25*(1+'Deal Inputs'!$B$34)^INT((A29-1)/12)</f>
        <v>119.646</v>
      </c>
      <c r="I29" s="4">
        <f>F29*'Deal Inputs'!$B$26</f>
        <v>216.92165999999997</v>
      </c>
      <c r="J29" s="4">
        <f>C29*'Deal Inputs'!$B$27</f>
        <v>111.39449999999999</v>
      </c>
      <c r="K29" s="4">
        <f>C29*'Deal Inputs'!$B$28</f>
        <v>111.39449999999999</v>
      </c>
      <c r="L29" s="4">
        <f>'Deal Inputs'!$B$29</f>
        <v>0</v>
      </c>
      <c r="M29" s="4">
        <f>'Deal Inputs'!$B$30</f>
        <v>0</v>
      </c>
      <c r="N29" s="4">
        <f>'Deal Inputs'!$B$31</f>
        <v>0</v>
      </c>
      <c r="O29" s="4">
        <f t="shared" si="1"/>
        <v>809.05265999999995</v>
      </c>
      <c r="P29" s="4">
        <f t="shared" si="2"/>
        <v>1360.1639399999999</v>
      </c>
      <c r="Q29" s="5">
        <f>'Deal Inputs'!$B$15</f>
        <v>1440.0733435561735</v>
      </c>
      <c r="R29" s="4">
        <f t="shared" si="3"/>
        <v>-79.909403556173629</v>
      </c>
    </row>
    <row r="30" spans="1:18" x14ac:dyDescent="0.25">
      <c r="A30" s="2">
        <v>29</v>
      </c>
      <c r="B30" s="6">
        <f>EDATE('Deal Inputs'!$B$2,A30-1)</f>
        <v>46508</v>
      </c>
      <c r="C30" s="7">
        <f>'Deal Inputs'!$B$18*(1+'Deal Inputs'!$B$21)^INT((A30-1)/12)</f>
        <v>2227.89</v>
      </c>
      <c r="D30" s="7">
        <f>'Deal Inputs'!$B$19</f>
        <v>75</v>
      </c>
      <c r="E30" s="7">
        <f>-C30*'Deal Inputs'!$B$20</f>
        <v>-133.67339999999999</v>
      </c>
      <c r="F30" s="7">
        <f t="shared" si="0"/>
        <v>2169.2165999999997</v>
      </c>
      <c r="G30" s="7">
        <f>'Deal Inputs'!$B$24*(1+'Deal Inputs'!$B$34)^INT((A30-1)/12)</f>
        <v>249.696</v>
      </c>
      <c r="H30" s="7">
        <f>'Deal Inputs'!$B$25*(1+'Deal Inputs'!$B$34)^INT((A30-1)/12)</f>
        <v>119.646</v>
      </c>
      <c r="I30" s="7">
        <f>F30*'Deal Inputs'!$B$26</f>
        <v>216.92165999999997</v>
      </c>
      <c r="J30" s="7">
        <f>C30*'Deal Inputs'!$B$27</f>
        <v>111.39449999999999</v>
      </c>
      <c r="K30" s="7">
        <f>C30*'Deal Inputs'!$B$28</f>
        <v>111.39449999999999</v>
      </c>
      <c r="L30" s="7">
        <f>'Deal Inputs'!$B$29</f>
        <v>0</v>
      </c>
      <c r="M30" s="7">
        <f>'Deal Inputs'!$B$30</f>
        <v>0</v>
      </c>
      <c r="N30" s="7">
        <f>'Deal Inputs'!$B$31</f>
        <v>0</v>
      </c>
      <c r="O30" s="7">
        <f t="shared" si="1"/>
        <v>809.05265999999995</v>
      </c>
      <c r="P30" s="7">
        <f t="shared" si="2"/>
        <v>1360.1639399999999</v>
      </c>
      <c r="Q30" s="8">
        <f>'Deal Inputs'!$B$15</f>
        <v>1440.0733435561735</v>
      </c>
      <c r="R30" s="7">
        <f t="shared" si="3"/>
        <v>-79.909403556173629</v>
      </c>
    </row>
    <row r="31" spans="1:18" x14ac:dyDescent="0.25">
      <c r="A31" s="3">
        <v>30</v>
      </c>
      <c r="B31" s="9">
        <f>EDATE('Deal Inputs'!$B$2,A31-1)</f>
        <v>46539</v>
      </c>
      <c r="C31" s="4">
        <f>'Deal Inputs'!$B$18*(1+'Deal Inputs'!$B$21)^INT((A31-1)/12)</f>
        <v>2227.89</v>
      </c>
      <c r="D31" s="4">
        <f>'Deal Inputs'!$B$19</f>
        <v>75</v>
      </c>
      <c r="E31" s="4">
        <f>-C31*'Deal Inputs'!$B$20</f>
        <v>-133.67339999999999</v>
      </c>
      <c r="F31" s="4">
        <f t="shared" si="0"/>
        <v>2169.2165999999997</v>
      </c>
      <c r="G31" s="4">
        <f>'Deal Inputs'!$B$24*(1+'Deal Inputs'!$B$34)^INT((A31-1)/12)</f>
        <v>249.696</v>
      </c>
      <c r="H31" s="4">
        <f>'Deal Inputs'!$B$25*(1+'Deal Inputs'!$B$34)^INT((A31-1)/12)</f>
        <v>119.646</v>
      </c>
      <c r="I31" s="4">
        <f>F31*'Deal Inputs'!$B$26</f>
        <v>216.92165999999997</v>
      </c>
      <c r="J31" s="4">
        <f>C31*'Deal Inputs'!$B$27</f>
        <v>111.39449999999999</v>
      </c>
      <c r="K31" s="4">
        <f>C31*'Deal Inputs'!$B$28</f>
        <v>111.39449999999999</v>
      </c>
      <c r="L31" s="4">
        <f>'Deal Inputs'!$B$29</f>
        <v>0</v>
      </c>
      <c r="M31" s="4">
        <f>'Deal Inputs'!$B$30</f>
        <v>0</v>
      </c>
      <c r="N31" s="4">
        <f>'Deal Inputs'!$B$31</f>
        <v>0</v>
      </c>
      <c r="O31" s="4">
        <f t="shared" si="1"/>
        <v>809.05265999999995</v>
      </c>
      <c r="P31" s="4">
        <f t="shared" si="2"/>
        <v>1360.1639399999999</v>
      </c>
      <c r="Q31" s="5">
        <f>'Deal Inputs'!$B$15</f>
        <v>1440.0733435561735</v>
      </c>
      <c r="R31" s="4">
        <f t="shared" si="3"/>
        <v>-79.909403556173629</v>
      </c>
    </row>
    <row r="32" spans="1:18" x14ac:dyDescent="0.25">
      <c r="A32" s="2">
        <v>31</v>
      </c>
      <c r="B32" s="6">
        <f>EDATE('Deal Inputs'!$B$2,A32-1)</f>
        <v>46569</v>
      </c>
      <c r="C32" s="7">
        <f>'Deal Inputs'!$B$18*(1+'Deal Inputs'!$B$21)^INT((A32-1)/12)</f>
        <v>2227.89</v>
      </c>
      <c r="D32" s="7">
        <f>'Deal Inputs'!$B$19</f>
        <v>75</v>
      </c>
      <c r="E32" s="7">
        <f>-C32*'Deal Inputs'!$B$20</f>
        <v>-133.67339999999999</v>
      </c>
      <c r="F32" s="7">
        <f t="shared" si="0"/>
        <v>2169.2165999999997</v>
      </c>
      <c r="G32" s="7">
        <f>'Deal Inputs'!$B$24*(1+'Deal Inputs'!$B$34)^INT((A32-1)/12)</f>
        <v>249.696</v>
      </c>
      <c r="H32" s="7">
        <f>'Deal Inputs'!$B$25*(1+'Deal Inputs'!$B$34)^INT((A32-1)/12)</f>
        <v>119.646</v>
      </c>
      <c r="I32" s="7">
        <f>F32*'Deal Inputs'!$B$26</f>
        <v>216.92165999999997</v>
      </c>
      <c r="J32" s="7">
        <f>C32*'Deal Inputs'!$B$27</f>
        <v>111.39449999999999</v>
      </c>
      <c r="K32" s="7">
        <f>C32*'Deal Inputs'!$B$28</f>
        <v>111.39449999999999</v>
      </c>
      <c r="L32" s="7">
        <f>'Deal Inputs'!$B$29</f>
        <v>0</v>
      </c>
      <c r="M32" s="7">
        <f>'Deal Inputs'!$B$30</f>
        <v>0</v>
      </c>
      <c r="N32" s="7">
        <f>'Deal Inputs'!$B$31</f>
        <v>0</v>
      </c>
      <c r="O32" s="7">
        <f t="shared" si="1"/>
        <v>809.05265999999995</v>
      </c>
      <c r="P32" s="7">
        <f t="shared" si="2"/>
        <v>1360.1639399999999</v>
      </c>
      <c r="Q32" s="8">
        <f>'Deal Inputs'!$B$15</f>
        <v>1440.0733435561735</v>
      </c>
      <c r="R32" s="7">
        <f t="shared" si="3"/>
        <v>-79.909403556173629</v>
      </c>
    </row>
    <row r="33" spans="1:18" x14ac:dyDescent="0.25">
      <c r="A33" s="3">
        <v>32</v>
      </c>
      <c r="B33" s="9">
        <f>EDATE('Deal Inputs'!$B$2,A33-1)</f>
        <v>46600</v>
      </c>
      <c r="C33" s="4">
        <f>'Deal Inputs'!$B$18*(1+'Deal Inputs'!$B$21)^INT((A33-1)/12)</f>
        <v>2227.89</v>
      </c>
      <c r="D33" s="4">
        <f>'Deal Inputs'!$B$19</f>
        <v>75</v>
      </c>
      <c r="E33" s="4">
        <f>-C33*'Deal Inputs'!$B$20</f>
        <v>-133.67339999999999</v>
      </c>
      <c r="F33" s="4">
        <f t="shared" si="0"/>
        <v>2169.2165999999997</v>
      </c>
      <c r="G33" s="4">
        <f>'Deal Inputs'!$B$24*(1+'Deal Inputs'!$B$34)^INT((A33-1)/12)</f>
        <v>249.696</v>
      </c>
      <c r="H33" s="4">
        <f>'Deal Inputs'!$B$25*(1+'Deal Inputs'!$B$34)^INT((A33-1)/12)</f>
        <v>119.646</v>
      </c>
      <c r="I33" s="4">
        <f>F33*'Deal Inputs'!$B$26</f>
        <v>216.92165999999997</v>
      </c>
      <c r="J33" s="4">
        <f>C33*'Deal Inputs'!$B$27</f>
        <v>111.39449999999999</v>
      </c>
      <c r="K33" s="4">
        <f>C33*'Deal Inputs'!$B$28</f>
        <v>111.39449999999999</v>
      </c>
      <c r="L33" s="4">
        <f>'Deal Inputs'!$B$29</f>
        <v>0</v>
      </c>
      <c r="M33" s="4">
        <f>'Deal Inputs'!$B$30</f>
        <v>0</v>
      </c>
      <c r="N33" s="4">
        <f>'Deal Inputs'!$B$31</f>
        <v>0</v>
      </c>
      <c r="O33" s="4">
        <f t="shared" si="1"/>
        <v>809.05265999999995</v>
      </c>
      <c r="P33" s="4">
        <f t="shared" si="2"/>
        <v>1360.1639399999999</v>
      </c>
      <c r="Q33" s="5">
        <f>'Deal Inputs'!$B$15</f>
        <v>1440.0733435561735</v>
      </c>
      <c r="R33" s="4">
        <f t="shared" si="3"/>
        <v>-79.909403556173629</v>
      </c>
    </row>
    <row r="34" spans="1:18" x14ac:dyDescent="0.25">
      <c r="A34" s="2">
        <v>33</v>
      </c>
      <c r="B34" s="6">
        <f>EDATE('Deal Inputs'!$B$2,A34-1)</f>
        <v>46631</v>
      </c>
      <c r="C34" s="7">
        <f>'Deal Inputs'!$B$18*(1+'Deal Inputs'!$B$21)^INT((A34-1)/12)</f>
        <v>2227.89</v>
      </c>
      <c r="D34" s="7">
        <f>'Deal Inputs'!$B$19</f>
        <v>75</v>
      </c>
      <c r="E34" s="7">
        <f>-C34*'Deal Inputs'!$B$20</f>
        <v>-133.67339999999999</v>
      </c>
      <c r="F34" s="7">
        <f t="shared" ref="F34:F61" si="4">C34+D34+E34</f>
        <v>2169.2165999999997</v>
      </c>
      <c r="G34" s="7">
        <f>'Deal Inputs'!$B$24*(1+'Deal Inputs'!$B$34)^INT((A34-1)/12)</f>
        <v>249.696</v>
      </c>
      <c r="H34" s="7">
        <f>'Deal Inputs'!$B$25*(1+'Deal Inputs'!$B$34)^INT((A34-1)/12)</f>
        <v>119.646</v>
      </c>
      <c r="I34" s="7">
        <f>F34*'Deal Inputs'!$B$26</f>
        <v>216.92165999999997</v>
      </c>
      <c r="J34" s="7">
        <f>C34*'Deal Inputs'!$B$27</f>
        <v>111.39449999999999</v>
      </c>
      <c r="K34" s="7">
        <f>C34*'Deal Inputs'!$B$28</f>
        <v>111.39449999999999</v>
      </c>
      <c r="L34" s="7">
        <f>'Deal Inputs'!$B$29</f>
        <v>0</v>
      </c>
      <c r="M34" s="7">
        <f>'Deal Inputs'!$B$30</f>
        <v>0</v>
      </c>
      <c r="N34" s="7">
        <f>'Deal Inputs'!$B$31</f>
        <v>0</v>
      </c>
      <c r="O34" s="7">
        <f t="shared" ref="O34:O61" si="5">SUM(G34:N34)</f>
        <v>809.05265999999995</v>
      </c>
      <c r="P34" s="7">
        <f t="shared" ref="P34:P61" si="6">F34-O34</f>
        <v>1360.1639399999999</v>
      </c>
      <c r="Q34" s="8">
        <f>'Deal Inputs'!$B$15</f>
        <v>1440.0733435561735</v>
      </c>
      <c r="R34" s="7">
        <f t="shared" ref="R34:R61" si="7">P34-Q34</f>
        <v>-79.909403556173629</v>
      </c>
    </row>
    <row r="35" spans="1:18" x14ac:dyDescent="0.25">
      <c r="A35" s="3">
        <v>34</v>
      </c>
      <c r="B35" s="9">
        <f>EDATE('Deal Inputs'!$B$2,A35-1)</f>
        <v>46661</v>
      </c>
      <c r="C35" s="4">
        <f>'Deal Inputs'!$B$18*(1+'Deal Inputs'!$B$21)^INT((A35-1)/12)</f>
        <v>2227.89</v>
      </c>
      <c r="D35" s="4">
        <f>'Deal Inputs'!$B$19</f>
        <v>75</v>
      </c>
      <c r="E35" s="4">
        <f>-C35*'Deal Inputs'!$B$20</f>
        <v>-133.67339999999999</v>
      </c>
      <c r="F35" s="4">
        <f t="shared" si="4"/>
        <v>2169.2165999999997</v>
      </c>
      <c r="G35" s="4">
        <f>'Deal Inputs'!$B$24*(1+'Deal Inputs'!$B$34)^INT((A35-1)/12)</f>
        <v>249.696</v>
      </c>
      <c r="H35" s="4">
        <f>'Deal Inputs'!$B$25*(1+'Deal Inputs'!$B$34)^INT((A35-1)/12)</f>
        <v>119.646</v>
      </c>
      <c r="I35" s="4">
        <f>F35*'Deal Inputs'!$B$26</f>
        <v>216.92165999999997</v>
      </c>
      <c r="J35" s="4">
        <f>C35*'Deal Inputs'!$B$27</f>
        <v>111.39449999999999</v>
      </c>
      <c r="K35" s="4">
        <f>C35*'Deal Inputs'!$B$28</f>
        <v>111.39449999999999</v>
      </c>
      <c r="L35" s="4">
        <f>'Deal Inputs'!$B$29</f>
        <v>0</v>
      </c>
      <c r="M35" s="4">
        <f>'Deal Inputs'!$B$30</f>
        <v>0</v>
      </c>
      <c r="N35" s="4">
        <f>'Deal Inputs'!$B$31</f>
        <v>0</v>
      </c>
      <c r="O35" s="4">
        <f t="shared" si="5"/>
        <v>809.05265999999995</v>
      </c>
      <c r="P35" s="4">
        <f t="shared" si="6"/>
        <v>1360.1639399999999</v>
      </c>
      <c r="Q35" s="5">
        <f>'Deal Inputs'!$B$15</f>
        <v>1440.0733435561735</v>
      </c>
      <c r="R35" s="4">
        <f t="shared" si="7"/>
        <v>-79.909403556173629</v>
      </c>
    </row>
    <row r="36" spans="1:18" x14ac:dyDescent="0.25">
      <c r="A36" s="2">
        <v>35</v>
      </c>
      <c r="B36" s="6">
        <f>EDATE('Deal Inputs'!$B$2,A36-1)</f>
        <v>46692</v>
      </c>
      <c r="C36" s="7">
        <f>'Deal Inputs'!$B$18*(1+'Deal Inputs'!$B$21)^INT((A36-1)/12)</f>
        <v>2227.89</v>
      </c>
      <c r="D36" s="7">
        <f>'Deal Inputs'!$B$19</f>
        <v>75</v>
      </c>
      <c r="E36" s="7">
        <f>-C36*'Deal Inputs'!$B$20</f>
        <v>-133.67339999999999</v>
      </c>
      <c r="F36" s="7">
        <f t="shared" si="4"/>
        <v>2169.2165999999997</v>
      </c>
      <c r="G36" s="7">
        <f>'Deal Inputs'!$B$24*(1+'Deal Inputs'!$B$34)^INT((A36-1)/12)</f>
        <v>249.696</v>
      </c>
      <c r="H36" s="7">
        <f>'Deal Inputs'!$B$25*(1+'Deal Inputs'!$B$34)^INT((A36-1)/12)</f>
        <v>119.646</v>
      </c>
      <c r="I36" s="7">
        <f>F36*'Deal Inputs'!$B$26</f>
        <v>216.92165999999997</v>
      </c>
      <c r="J36" s="7">
        <f>C36*'Deal Inputs'!$B$27</f>
        <v>111.39449999999999</v>
      </c>
      <c r="K36" s="7">
        <f>C36*'Deal Inputs'!$B$28</f>
        <v>111.39449999999999</v>
      </c>
      <c r="L36" s="7">
        <f>'Deal Inputs'!$B$29</f>
        <v>0</v>
      </c>
      <c r="M36" s="7">
        <f>'Deal Inputs'!$B$30</f>
        <v>0</v>
      </c>
      <c r="N36" s="7">
        <f>'Deal Inputs'!$B$31</f>
        <v>0</v>
      </c>
      <c r="O36" s="7">
        <f t="shared" si="5"/>
        <v>809.05265999999995</v>
      </c>
      <c r="P36" s="7">
        <f t="shared" si="6"/>
        <v>1360.1639399999999</v>
      </c>
      <c r="Q36" s="8">
        <f>'Deal Inputs'!$B$15</f>
        <v>1440.0733435561735</v>
      </c>
      <c r="R36" s="7">
        <f t="shared" si="7"/>
        <v>-79.909403556173629</v>
      </c>
    </row>
    <row r="37" spans="1:18" x14ac:dyDescent="0.25">
      <c r="A37" s="3">
        <v>36</v>
      </c>
      <c r="B37" s="9">
        <f>EDATE('Deal Inputs'!$B$2,A37-1)</f>
        <v>46722</v>
      </c>
      <c r="C37" s="4">
        <f>'Deal Inputs'!$B$18*(1+'Deal Inputs'!$B$21)^INT((A37-1)/12)</f>
        <v>2227.89</v>
      </c>
      <c r="D37" s="4">
        <f>'Deal Inputs'!$B$19</f>
        <v>75</v>
      </c>
      <c r="E37" s="4">
        <f>-C37*'Deal Inputs'!$B$20</f>
        <v>-133.67339999999999</v>
      </c>
      <c r="F37" s="4">
        <f t="shared" si="4"/>
        <v>2169.2165999999997</v>
      </c>
      <c r="G37" s="4">
        <f>'Deal Inputs'!$B$24*(1+'Deal Inputs'!$B$34)^INT((A37-1)/12)</f>
        <v>249.696</v>
      </c>
      <c r="H37" s="4">
        <f>'Deal Inputs'!$B$25*(1+'Deal Inputs'!$B$34)^INT((A37-1)/12)</f>
        <v>119.646</v>
      </c>
      <c r="I37" s="4">
        <f>F37*'Deal Inputs'!$B$26</f>
        <v>216.92165999999997</v>
      </c>
      <c r="J37" s="4">
        <f>C37*'Deal Inputs'!$B$27</f>
        <v>111.39449999999999</v>
      </c>
      <c r="K37" s="4">
        <f>C37*'Deal Inputs'!$B$28</f>
        <v>111.39449999999999</v>
      </c>
      <c r="L37" s="4">
        <f>'Deal Inputs'!$B$29</f>
        <v>0</v>
      </c>
      <c r="M37" s="4">
        <f>'Deal Inputs'!$B$30</f>
        <v>0</v>
      </c>
      <c r="N37" s="4">
        <f>'Deal Inputs'!$B$31</f>
        <v>0</v>
      </c>
      <c r="O37" s="4">
        <f t="shared" si="5"/>
        <v>809.05265999999995</v>
      </c>
      <c r="P37" s="4">
        <f t="shared" si="6"/>
        <v>1360.1639399999999</v>
      </c>
      <c r="Q37" s="5">
        <f>'Deal Inputs'!$B$15</f>
        <v>1440.0733435561735</v>
      </c>
      <c r="R37" s="4">
        <f t="shared" si="7"/>
        <v>-79.909403556173629</v>
      </c>
    </row>
    <row r="38" spans="1:18" x14ac:dyDescent="0.25">
      <c r="A38" s="2">
        <v>37</v>
      </c>
      <c r="B38" s="6">
        <f>EDATE('Deal Inputs'!$B$2,A38-1)</f>
        <v>46753</v>
      </c>
      <c r="C38" s="7">
        <f>'Deal Inputs'!$B$18*(1+'Deal Inputs'!$B$21)^INT((A38-1)/12)</f>
        <v>2294.7267000000002</v>
      </c>
      <c r="D38" s="7">
        <f>'Deal Inputs'!$B$19</f>
        <v>75</v>
      </c>
      <c r="E38" s="7">
        <f>-C38*'Deal Inputs'!$B$20</f>
        <v>-137.68360200000001</v>
      </c>
      <c r="F38" s="7">
        <f t="shared" si="4"/>
        <v>2232.0430980000001</v>
      </c>
      <c r="G38" s="7">
        <f>'Deal Inputs'!$B$24*(1+'Deal Inputs'!$B$34)^INT((A38-1)/12)</f>
        <v>254.68991999999997</v>
      </c>
      <c r="H38" s="7">
        <f>'Deal Inputs'!$B$25*(1+'Deal Inputs'!$B$34)^INT((A38-1)/12)</f>
        <v>122.03891999999999</v>
      </c>
      <c r="I38" s="7">
        <f>F38*'Deal Inputs'!$B$26</f>
        <v>223.20430980000003</v>
      </c>
      <c r="J38" s="7">
        <f>C38*'Deal Inputs'!$B$27</f>
        <v>114.73633500000001</v>
      </c>
      <c r="K38" s="7">
        <f>C38*'Deal Inputs'!$B$28</f>
        <v>114.73633500000001</v>
      </c>
      <c r="L38" s="7">
        <f>'Deal Inputs'!$B$29</f>
        <v>0</v>
      </c>
      <c r="M38" s="7">
        <f>'Deal Inputs'!$B$30</f>
        <v>0</v>
      </c>
      <c r="N38" s="7">
        <f>'Deal Inputs'!$B$31</f>
        <v>0</v>
      </c>
      <c r="O38" s="7">
        <f t="shared" si="5"/>
        <v>829.40581980000013</v>
      </c>
      <c r="P38" s="7">
        <f t="shared" si="6"/>
        <v>1402.6372781999999</v>
      </c>
      <c r="Q38" s="8">
        <f>'Deal Inputs'!$B$15</f>
        <v>1440.0733435561735</v>
      </c>
      <c r="R38" s="7">
        <f t="shared" si="7"/>
        <v>-37.436065356173685</v>
      </c>
    </row>
    <row r="39" spans="1:18" x14ac:dyDescent="0.25">
      <c r="A39" s="3">
        <v>38</v>
      </c>
      <c r="B39" s="9">
        <f>EDATE('Deal Inputs'!$B$2,A39-1)</f>
        <v>46784</v>
      </c>
      <c r="C39" s="4">
        <f>'Deal Inputs'!$B$18*(1+'Deal Inputs'!$B$21)^INT((A39-1)/12)</f>
        <v>2294.7267000000002</v>
      </c>
      <c r="D39" s="4">
        <f>'Deal Inputs'!$B$19</f>
        <v>75</v>
      </c>
      <c r="E39" s="4">
        <f>-C39*'Deal Inputs'!$B$20</f>
        <v>-137.68360200000001</v>
      </c>
      <c r="F39" s="4">
        <f t="shared" si="4"/>
        <v>2232.0430980000001</v>
      </c>
      <c r="G39" s="4">
        <f>'Deal Inputs'!$B$24*(1+'Deal Inputs'!$B$34)^INT((A39-1)/12)</f>
        <v>254.68991999999997</v>
      </c>
      <c r="H39" s="4">
        <f>'Deal Inputs'!$B$25*(1+'Deal Inputs'!$B$34)^INT((A39-1)/12)</f>
        <v>122.03891999999999</v>
      </c>
      <c r="I39" s="4">
        <f>F39*'Deal Inputs'!$B$26</f>
        <v>223.20430980000003</v>
      </c>
      <c r="J39" s="4">
        <f>C39*'Deal Inputs'!$B$27</f>
        <v>114.73633500000001</v>
      </c>
      <c r="K39" s="4">
        <f>C39*'Deal Inputs'!$B$28</f>
        <v>114.73633500000001</v>
      </c>
      <c r="L39" s="4">
        <f>'Deal Inputs'!$B$29</f>
        <v>0</v>
      </c>
      <c r="M39" s="4">
        <f>'Deal Inputs'!$B$30</f>
        <v>0</v>
      </c>
      <c r="N39" s="4">
        <f>'Deal Inputs'!$B$31</f>
        <v>0</v>
      </c>
      <c r="O39" s="4">
        <f t="shared" si="5"/>
        <v>829.40581980000013</v>
      </c>
      <c r="P39" s="4">
        <f t="shared" si="6"/>
        <v>1402.6372781999999</v>
      </c>
      <c r="Q39" s="5">
        <f>'Deal Inputs'!$B$15</f>
        <v>1440.0733435561735</v>
      </c>
      <c r="R39" s="4">
        <f t="shared" si="7"/>
        <v>-37.436065356173685</v>
      </c>
    </row>
    <row r="40" spans="1:18" x14ac:dyDescent="0.25">
      <c r="A40" s="2">
        <v>39</v>
      </c>
      <c r="B40" s="6">
        <f>EDATE('Deal Inputs'!$B$2,A40-1)</f>
        <v>46813</v>
      </c>
      <c r="C40" s="7">
        <f>'Deal Inputs'!$B$18*(1+'Deal Inputs'!$B$21)^INT((A40-1)/12)</f>
        <v>2294.7267000000002</v>
      </c>
      <c r="D40" s="7">
        <f>'Deal Inputs'!$B$19</f>
        <v>75</v>
      </c>
      <c r="E40" s="7">
        <f>-C40*'Deal Inputs'!$B$20</f>
        <v>-137.68360200000001</v>
      </c>
      <c r="F40" s="7">
        <f t="shared" si="4"/>
        <v>2232.0430980000001</v>
      </c>
      <c r="G40" s="7">
        <f>'Deal Inputs'!$B$24*(1+'Deal Inputs'!$B$34)^INT((A40-1)/12)</f>
        <v>254.68991999999997</v>
      </c>
      <c r="H40" s="7">
        <f>'Deal Inputs'!$B$25*(1+'Deal Inputs'!$B$34)^INT((A40-1)/12)</f>
        <v>122.03891999999999</v>
      </c>
      <c r="I40" s="7">
        <f>F40*'Deal Inputs'!$B$26</f>
        <v>223.20430980000003</v>
      </c>
      <c r="J40" s="7">
        <f>C40*'Deal Inputs'!$B$27</f>
        <v>114.73633500000001</v>
      </c>
      <c r="K40" s="7">
        <f>C40*'Deal Inputs'!$B$28</f>
        <v>114.73633500000001</v>
      </c>
      <c r="L40" s="7">
        <f>'Deal Inputs'!$B$29</f>
        <v>0</v>
      </c>
      <c r="M40" s="7">
        <f>'Deal Inputs'!$B$30</f>
        <v>0</v>
      </c>
      <c r="N40" s="7">
        <f>'Deal Inputs'!$B$31</f>
        <v>0</v>
      </c>
      <c r="O40" s="7">
        <f t="shared" si="5"/>
        <v>829.40581980000013</v>
      </c>
      <c r="P40" s="7">
        <f t="shared" si="6"/>
        <v>1402.6372781999999</v>
      </c>
      <c r="Q40" s="8">
        <f>'Deal Inputs'!$B$15</f>
        <v>1440.0733435561735</v>
      </c>
      <c r="R40" s="7">
        <f t="shared" si="7"/>
        <v>-37.436065356173685</v>
      </c>
    </row>
    <row r="41" spans="1:18" x14ac:dyDescent="0.25">
      <c r="A41" s="3">
        <v>40</v>
      </c>
      <c r="B41" s="9">
        <f>EDATE('Deal Inputs'!$B$2,A41-1)</f>
        <v>46844</v>
      </c>
      <c r="C41" s="4">
        <f>'Deal Inputs'!$B$18*(1+'Deal Inputs'!$B$21)^INT((A41-1)/12)</f>
        <v>2294.7267000000002</v>
      </c>
      <c r="D41" s="4">
        <f>'Deal Inputs'!$B$19</f>
        <v>75</v>
      </c>
      <c r="E41" s="4">
        <f>-C41*'Deal Inputs'!$B$20</f>
        <v>-137.68360200000001</v>
      </c>
      <c r="F41" s="4">
        <f t="shared" si="4"/>
        <v>2232.0430980000001</v>
      </c>
      <c r="G41" s="4">
        <f>'Deal Inputs'!$B$24*(1+'Deal Inputs'!$B$34)^INT((A41-1)/12)</f>
        <v>254.68991999999997</v>
      </c>
      <c r="H41" s="4">
        <f>'Deal Inputs'!$B$25*(1+'Deal Inputs'!$B$34)^INT((A41-1)/12)</f>
        <v>122.03891999999999</v>
      </c>
      <c r="I41" s="4">
        <f>F41*'Deal Inputs'!$B$26</f>
        <v>223.20430980000003</v>
      </c>
      <c r="J41" s="4">
        <f>C41*'Deal Inputs'!$B$27</f>
        <v>114.73633500000001</v>
      </c>
      <c r="K41" s="4">
        <f>C41*'Deal Inputs'!$B$28</f>
        <v>114.73633500000001</v>
      </c>
      <c r="L41" s="4">
        <f>'Deal Inputs'!$B$29</f>
        <v>0</v>
      </c>
      <c r="M41" s="4">
        <f>'Deal Inputs'!$B$30</f>
        <v>0</v>
      </c>
      <c r="N41" s="4">
        <f>'Deal Inputs'!$B$31</f>
        <v>0</v>
      </c>
      <c r="O41" s="4">
        <f t="shared" si="5"/>
        <v>829.40581980000013</v>
      </c>
      <c r="P41" s="4">
        <f t="shared" si="6"/>
        <v>1402.6372781999999</v>
      </c>
      <c r="Q41" s="5">
        <f>'Deal Inputs'!$B$15</f>
        <v>1440.0733435561735</v>
      </c>
      <c r="R41" s="4">
        <f t="shared" si="7"/>
        <v>-37.436065356173685</v>
      </c>
    </row>
    <row r="42" spans="1:18" x14ac:dyDescent="0.25">
      <c r="A42" s="2">
        <v>41</v>
      </c>
      <c r="B42" s="6">
        <f>EDATE('Deal Inputs'!$B$2,A42-1)</f>
        <v>46874</v>
      </c>
      <c r="C42" s="7">
        <f>'Deal Inputs'!$B$18*(1+'Deal Inputs'!$B$21)^INT((A42-1)/12)</f>
        <v>2294.7267000000002</v>
      </c>
      <c r="D42" s="7">
        <f>'Deal Inputs'!$B$19</f>
        <v>75</v>
      </c>
      <c r="E42" s="7">
        <f>-C42*'Deal Inputs'!$B$20</f>
        <v>-137.68360200000001</v>
      </c>
      <c r="F42" s="7">
        <f t="shared" si="4"/>
        <v>2232.0430980000001</v>
      </c>
      <c r="G42" s="7">
        <f>'Deal Inputs'!$B$24*(1+'Deal Inputs'!$B$34)^INT((A42-1)/12)</f>
        <v>254.68991999999997</v>
      </c>
      <c r="H42" s="7">
        <f>'Deal Inputs'!$B$25*(1+'Deal Inputs'!$B$34)^INT((A42-1)/12)</f>
        <v>122.03891999999999</v>
      </c>
      <c r="I42" s="7">
        <f>F42*'Deal Inputs'!$B$26</f>
        <v>223.20430980000003</v>
      </c>
      <c r="J42" s="7">
        <f>C42*'Deal Inputs'!$B$27</f>
        <v>114.73633500000001</v>
      </c>
      <c r="K42" s="7">
        <f>C42*'Deal Inputs'!$B$28</f>
        <v>114.73633500000001</v>
      </c>
      <c r="L42" s="7">
        <f>'Deal Inputs'!$B$29</f>
        <v>0</v>
      </c>
      <c r="M42" s="7">
        <f>'Deal Inputs'!$B$30</f>
        <v>0</v>
      </c>
      <c r="N42" s="7">
        <f>'Deal Inputs'!$B$31</f>
        <v>0</v>
      </c>
      <c r="O42" s="7">
        <f t="shared" si="5"/>
        <v>829.40581980000013</v>
      </c>
      <c r="P42" s="7">
        <f t="shared" si="6"/>
        <v>1402.6372781999999</v>
      </c>
      <c r="Q42" s="8">
        <f>'Deal Inputs'!$B$15</f>
        <v>1440.0733435561735</v>
      </c>
      <c r="R42" s="7">
        <f t="shared" si="7"/>
        <v>-37.436065356173685</v>
      </c>
    </row>
    <row r="43" spans="1:18" x14ac:dyDescent="0.25">
      <c r="A43" s="3">
        <v>42</v>
      </c>
      <c r="B43" s="9">
        <f>EDATE('Deal Inputs'!$B$2,A43-1)</f>
        <v>46905</v>
      </c>
      <c r="C43" s="4">
        <f>'Deal Inputs'!$B$18*(1+'Deal Inputs'!$B$21)^INT((A43-1)/12)</f>
        <v>2294.7267000000002</v>
      </c>
      <c r="D43" s="4">
        <f>'Deal Inputs'!$B$19</f>
        <v>75</v>
      </c>
      <c r="E43" s="4">
        <f>-C43*'Deal Inputs'!$B$20</f>
        <v>-137.68360200000001</v>
      </c>
      <c r="F43" s="4">
        <f t="shared" si="4"/>
        <v>2232.0430980000001</v>
      </c>
      <c r="G43" s="4">
        <f>'Deal Inputs'!$B$24*(1+'Deal Inputs'!$B$34)^INT((A43-1)/12)</f>
        <v>254.68991999999997</v>
      </c>
      <c r="H43" s="4">
        <f>'Deal Inputs'!$B$25*(1+'Deal Inputs'!$B$34)^INT((A43-1)/12)</f>
        <v>122.03891999999999</v>
      </c>
      <c r="I43" s="4">
        <f>F43*'Deal Inputs'!$B$26</f>
        <v>223.20430980000003</v>
      </c>
      <c r="J43" s="4">
        <f>C43*'Deal Inputs'!$B$27</f>
        <v>114.73633500000001</v>
      </c>
      <c r="K43" s="4">
        <f>C43*'Deal Inputs'!$B$28</f>
        <v>114.73633500000001</v>
      </c>
      <c r="L43" s="4">
        <f>'Deal Inputs'!$B$29</f>
        <v>0</v>
      </c>
      <c r="M43" s="4">
        <f>'Deal Inputs'!$B$30</f>
        <v>0</v>
      </c>
      <c r="N43" s="4">
        <f>'Deal Inputs'!$B$31</f>
        <v>0</v>
      </c>
      <c r="O43" s="4">
        <f t="shared" si="5"/>
        <v>829.40581980000013</v>
      </c>
      <c r="P43" s="4">
        <f t="shared" si="6"/>
        <v>1402.6372781999999</v>
      </c>
      <c r="Q43" s="5">
        <f>'Deal Inputs'!$B$15</f>
        <v>1440.0733435561735</v>
      </c>
      <c r="R43" s="4">
        <f t="shared" si="7"/>
        <v>-37.436065356173685</v>
      </c>
    </row>
    <row r="44" spans="1:18" x14ac:dyDescent="0.25">
      <c r="A44" s="2">
        <v>43</v>
      </c>
      <c r="B44" s="6">
        <f>EDATE('Deal Inputs'!$B$2,A44-1)</f>
        <v>46935</v>
      </c>
      <c r="C44" s="7">
        <f>'Deal Inputs'!$B$18*(1+'Deal Inputs'!$B$21)^INT((A44-1)/12)</f>
        <v>2294.7267000000002</v>
      </c>
      <c r="D44" s="7">
        <f>'Deal Inputs'!$B$19</f>
        <v>75</v>
      </c>
      <c r="E44" s="7">
        <f>-C44*'Deal Inputs'!$B$20</f>
        <v>-137.68360200000001</v>
      </c>
      <c r="F44" s="7">
        <f t="shared" si="4"/>
        <v>2232.0430980000001</v>
      </c>
      <c r="G44" s="7">
        <f>'Deal Inputs'!$B$24*(1+'Deal Inputs'!$B$34)^INT((A44-1)/12)</f>
        <v>254.68991999999997</v>
      </c>
      <c r="H44" s="7">
        <f>'Deal Inputs'!$B$25*(1+'Deal Inputs'!$B$34)^INT((A44-1)/12)</f>
        <v>122.03891999999999</v>
      </c>
      <c r="I44" s="7">
        <f>F44*'Deal Inputs'!$B$26</f>
        <v>223.20430980000003</v>
      </c>
      <c r="J44" s="7">
        <f>C44*'Deal Inputs'!$B$27</f>
        <v>114.73633500000001</v>
      </c>
      <c r="K44" s="7">
        <f>C44*'Deal Inputs'!$B$28</f>
        <v>114.73633500000001</v>
      </c>
      <c r="L44" s="7">
        <f>'Deal Inputs'!$B$29</f>
        <v>0</v>
      </c>
      <c r="M44" s="7">
        <f>'Deal Inputs'!$B$30</f>
        <v>0</v>
      </c>
      <c r="N44" s="7">
        <f>'Deal Inputs'!$B$31</f>
        <v>0</v>
      </c>
      <c r="O44" s="7">
        <f t="shared" si="5"/>
        <v>829.40581980000013</v>
      </c>
      <c r="P44" s="7">
        <f t="shared" si="6"/>
        <v>1402.6372781999999</v>
      </c>
      <c r="Q44" s="8">
        <f>'Deal Inputs'!$B$15</f>
        <v>1440.0733435561735</v>
      </c>
      <c r="R44" s="7">
        <f t="shared" si="7"/>
        <v>-37.436065356173685</v>
      </c>
    </row>
    <row r="45" spans="1:18" x14ac:dyDescent="0.25">
      <c r="A45" s="3">
        <v>44</v>
      </c>
      <c r="B45" s="9">
        <f>EDATE('Deal Inputs'!$B$2,A45-1)</f>
        <v>46966</v>
      </c>
      <c r="C45" s="4">
        <f>'Deal Inputs'!$B$18*(1+'Deal Inputs'!$B$21)^INT((A45-1)/12)</f>
        <v>2294.7267000000002</v>
      </c>
      <c r="D45" s="4">
        <f>'Deal Inputs'!$B$19</f>
        <v>75</v>
      </c>
      <c r="E45" s="4">
        <f>-C45*'Deal Inputs'!$B$20</f>
        <v>-137.68360200000001</v>
      </c>
      <c r="F45" s="4">
        <f t="shared" si="4"/>
        <v>2232.0430980000001</v>
      </c>
      <c r="G45" s="4">
        <f>'Deal Inputs'!$B$24*(1+'Deal Inputs'!$B$34)^INT((A45-1)/12)</f>
        <v>254.68991999999997</v>
      </c>
      <c r="H45" s="4">
        <f>'Deal Inputs'!$B$25*(1+'Deal Inputs'!$B$34)^INT((A45-1)/12)</f>
        <v>122.03891999999999</v>
      </c>
      <c r="I45" s="4">
        <f>F45*'Deal Inputs'!$B$26</f>
        <v>223.20430980000003</v>
      </c>
      <c r="J45" s="4">
        <f>C45*'Deal Inputs'!$B$27</f>
        <v>114.73633500000001</v>
      </c>
      <c r="K45" s="4">
        <f>C45*'Deal Inputs'!$B$28</f>
        <v>114.73633500000001</v>
      </c>
      <c r="L45" s="4">
        <f>'Deal Inputs'!$B$29</f>
        <v>0</v>
      </c>
      <c r="M45" s="4">
        <f>'Deal Inputs'!$B$30</f>
        <v>0</v>
      </c>
      <c r="N45" s="4">
        <f>'Deal Inputs'!$B$31</f>
        <v>0</v>
      </c>
      <c r="O45" s="4">
        <f t="shared" si="5"/>
        <v>829.40581980000013</v>
      </c>
      <c r="P45" s="4">
        <f t="shared" si="6"/>
        <v>1402.6372781999999</v>
      </c>
      <c r="Q45" s="5">
        <f>'Deal Inputs'!$B$15</f>
        <v>1440.0733435561735</v>
      </c>
      <c r="R45" s="4">
        <f t="shared" si="7"/>
        <v>-37.436065356173685</v>
      </c>
    </row>
    <row r="46" spans="1:18" x14ac:dyDescent="0.25">
      <c r="A46" s="2">
        <v>45</v>
      </c>
      <c r="B46" s="6">
        <f>EDATE('Deal Inputs'!$B$2,A46-1)</f>
        <v>46997</v>
      </c>
      <c r="C46" s="7">
        <f>'Deal Inputs'!$B$18*(1+'Deal Inputs'!$B$21)^INT((A46-1)/12)</f>
        <v>2294.7267000000002</v>
      </c>
      <c r="D46" s="7">
        <f>'Deal Inputs'!$B$19</f>
        <v>75</v>
      </c>
      <c r="E46" s="7">
        <f>-C46*'Deal Inputs'!$B$20</f>
        <v>-137.68360200000001</v>
      </c>
      <c r="F46" s="7">
        <f t="shared" si="4"/>
        <v>2232.0430980000001</v>
      </c>
      <c r="G46" s="7">
        <f>'Deal Inputs'!$B$24*(1+'Deal Inputs'!$B$34)^INT((A46-1)/12)</f>
        <v>254.68991999999997</v>
      </c>
      <c r="H46" s="7">
        <f>'Deal Inputs'!$B$25*(1+'Deal Inputs'!$B$34)^INT((A46-1)/12)</f>
        <v>122.03891999999999</v>
      </c>
      <c r="I46" s="7">
        <f>F46*'Deal Inputs'!$B$26</f>
        <v>223.20430980000003</v>
      </c>
      <c r="J46" s="7">
        <f>C46*'Deal Inputs'!$B$27</f>
        <v>114.73633500000001</v>
      </c>
      <c r="K46" s="7">
        <f>C46*'Deal Inputs'!$B$28</f>
        <v>114.73633500000001</v>
      </c>
      <c r="L46" s="7">
        <f>'Deal Inputs'!$B$29</f>
        <v>0</v>
      </c>
      <c r="M46" s="7">
        <f>'Deal Inputs'!$B$30</f>
        <v>0</v>
      </c>
      <c r="N46" s="7">
        <f>'Deal Inputs'!$B$31</f>
        <v>0</v>
      </c>
      <c r="O46" s="7">
        <f t="shared" si="5"/>
        <v>829.40581980000013</v>
      </c>
      <c r="P46" s="7">
        <f t="shared" si="6"/>
        <v>1402.6372781999999</v>
      </c>
      <c r="Q46" s="8">
        <f>'Deal Inputs'!$B$15</f>
        <v>1440.0733435561735</v>
      </c>
      <c r="R46" s="7">
        <f t="shared" si="7"/>
        <v>-37.436065356173685</v>
      </c>
    </row>
    <row r="47" spans="1:18" x14ac:dyDescent="0.25">
      <c r="A47" s="3">
        <v>46</v>
      </c>
      <c r="B47" s="9">
        <f>EDATE('Deal Inputs'!$B$2,A47-1)</f>
        <v>47027</v>
      </c>
      <c r="C47" s="4">
        <f>'Deal Inputs'!$B$18*(1+'Deal Inputs'!$B$21)^INT((A47-1)/12)</f>
        <v>2294.7267000000002</v>
      </c>
      <c r="D47" s="4">
        <f>'Deal Inputs'!$B$19</f>
        <v>75</v>
      </c>
      <c r="E47" s="4">
        <f>-C47*'Deal Inputs'!$B$20</f>
        <v>-137.68360200000001</v>
      </c>
      <c r="F47" s="4">
        <f t="shared" si="4"/>
        <v>2232.0430980000001</v>
      </c>
      <c r="G47" s="4">
        <f>'Deal Inputs'!$B$24*(1+'Deal Inputs'!$B$34)^INT((A47-1)/12)</f>
        <v>254.68991999999997</v>
      </c>
      <c r="H47" s="4">
        <f>'Deal Inputs'!$B$25*(1+'Deal Inputs'!$B$34)^INT((A47-1)/12)</f>
        <v>122.03891999999999</v>
      </c>
      <c r="I47" s="4">
        <f>F47*'Deal Inputs'!$B$26</f>
        <v>223.20430980000003</v>
      </c>
      <c r="J47" s="4">
        <f>C47*'Deal Inputs'!$B$27</f>
        <v>114.73633500000001</v>
      </c>
      <c r="K47" s="4">
        <f>C47*'Deal Inputs'!$B$28</f>
        <v>114.73633500000001</v>
      </c>
      <c r="L47" s="4">
        <f>'Deal Inputs'!$B$29</f>
        <v>0</v>
      </c>
      <c r="M47" s="4">
        <f>'Deal Inputs'!$B$30</f>
        <v>0</v>
      </c>
      <c r="N47" s="4">
        <f>'Deal Inputs'!$B$31</f>
        <v>0</v>
      </c>
      <c r="O47" s="4">
        <f t="shared" si="5"/>
        <v>829.40581980000013</v>
      </c>
      <c r="P47" s="4">
        <f t="shared" si="6"/>
        <v>1402.6372781999999</v>
      </c>
      <c r="Q47" s="5">
        <f>'Deal Inputs'!$B$15</f>
        <v>1440.0733435561735</v>
      </c>
      <c r="R47" s="4">
        <f t="shared" si="7"/>
        <v>-37.436065356173685</v>
      </c>
    </row>
    <row r="48" spans="1:18" x14ac:dyDescent="0.25">
      <c r="A48" s="2">
        <v>47</v>
      </c>
      <c r="B48" s="6">
        <f>EDATE('Deal Inputs'!$B$2,A48-1)</f>
        <v>47058</v>
      </c>
      <c r="C48" s="7">
        <f>'Deal Inputs'!$B$18*(1+'Deal Inputs'!$B$21)^INT((A48-1)/12)</f>
        <v>2294.7267000000002</v>
      </c>
      <c r="D48" s="7">
        <f>'Deal Inputs'!$B$19</f>
        <v>75</v>
      </c>
      <c r="E48" s="7">
        <f>-C48*'Deal Inputs'!$B$20</f>
        <v>-137.68360200000001</v>
      </c>
      <c r="F48" s="7">
        <f t="shared" si="4"/>
        <v>2232.0430980000001</v>
      </c>
      <c r="G48" s="7">
        <f>'Deal Inputs'!$B$24*(1+'Deal Inputs'!$B$34)^INT((A48-1)/12)</f>
        <v>254.68991999999997</v>
      </c>
      <c r="H48" s="7">
        <f>'Deal Inputs'!$B$25*(1+'Deal Inputs'!$B$34)^INT((A48-1)/12)</f>
        <v>122.03891999999999</v>
      </c>
      <c r="I48" s="7">
        <f>F48*'Deal Inputs'!$B$26</f>
        <v>223.20430980000003</v>
      </c>
      <c r="J48" s="7">
        <f>C48*'Deal Inputs'!$B$27</f>
        <v>114.73633500000001</v>
      </c>
      <c r="K48" s="7">
        <f>C48*'Deal Inputs'!$B$28</f>
        <v>114.73633500000001</v>
      </c>
      <c r="L48" s="7">
        <f>'Deal Inputs'!$B$29</f>
        <v>0</v>
      </c>
      <c r="M48" s="7">
        <f>'Deal Inputs'!$B$30</f>
        <v>0</v>
      </c>
      <c r="N48" s="7">
        <f>'Deal Inputs'!$B$31</f>
        <v>0</v>
      </c>
      <c r="O48" s="7">
        <f t="shared" si="5"/>
        <v>829.40581980000013</v>
      </c>
      <c r="P48" s="7">
        <f t="shared" si="6"/>
        <v>1402.6372781999999</v>
      </c>
      <c r="Q48" s="8">
        <f>'Deal Inputs'!$B$15</f>
        <v>1440.0733435561735</v>
      </c>
      <c r="R48" s="7">
        <f t="shared" si="7"/>
        <v>-37.436065356173685</v>
      </c>
    </row>
    <row r="49" spans="1:18" x14ac:dyDescent="0.25">
      <c r="A49" s="3">
        <v>48</v>
      </c>
      <c r="B49" s="9">
        <f>EDATE('Deal Inputs'!$B$2,A49-1)</f>
        <v>47088</v>
      </c>
      <c r="C49" s="4">
        <f>'Deal Inputs'!$B$18*(1+'Deal Inputs'!$B$21)^INT((A49-1)/12)</f>
        <v>2294.7267000000002</v>
      </c>
      <c r="D49" s="4">
        <f>'Deal Inputs'!$B$19</f>
        <v>75</v>
      </c>
      <c r="E49" s="4">
        <f>-C49*'Deal Inputs'!$B$20</f>
        <v>-137.68360200000001</v>
      </c>
      <c r="F49" s="4">
        <f t="shared" si="4"/>
        <v>2232.0430980000001</v>
      </c>
      <c r="G49" s="4">
        <f>'Deal Inputs'!$B$24*(1+'Deal Inputs'!$B$34)^INT((A49-1)/12)</f>
        <v>254.68991999999997</v>
      </c>
      <c r="H49" s="4">
        <f>'Deal Inputs'!$B$25*(1+'Deal Inputs'!$B$34)^INT((A49-1)/12)</f>
        <v>122.03891999999999</v>
      </c>
      <c r="I49" s="4">
        <f>F49*'Deal Inputs'!$B$26</f>
        <v>223.20430980000003</v>
      </c>
      <c r="J49" s="4">
        <f>C49*'Deal Inputs'!$B$27</f>
        <v>114.73633500000001</v>
      </c>
      <c r="K49" s="4">
        <f>C49*'Deal Inputs'!$B$28</f>
        <v>114.73633500000001</v>
      </c>
      <c r="L49" s="4">
        <f>'Deal Inputs'!$B$29</f>
        <v>0</v>
      </c>
      <c r="M49" s="4">
        <f>'Deal Inputs'!$B$30</f>
        <v>0</v>
      </c>
      <c r="N49" s="4">
        <f>'Deal Inputs'!$B$31</f>
        <v>0</v>
      </c>
      <c r="O49" s="4">
        <f t="shared" si="5"/>
        <v>829.40581980000013</v>
      </c>
      <c r="P49" s="4">
        <f t="shared" si="6"/>
        <v>1402.6372781999999</v>
      </c>
      <c r="Q49" s="5">
        <f>'Deal Inputs'!$B$15</f>
        <v>1440.0733435561735</v>
      </c>
      <c r="R49" s="4">
        <f t="shared" si="7"/>
        <v>-37.436065356173685</v>
      </c>
    </row>
    <row r="50" spans="1:18" x14ac:dyDescent="0.25">
      <c r="A50" s="2">
        <v>49</v>
      </c>
      <c r="B50" s="6">
        <f>EDATE('Deal Inputs'!$B$2,A50-1)</f>
        <v>47119</v>
      </c>
      <c r="C50" s="7">
        <f>'Deal Inputs'!$B$18*(1+'Deal Inputs'!$B$21)^INT((A50-1)/12)</f>
        <v>2363.5685009999997</v>
      </c>
      <c r="D50" s="7">
        <f>'Deal Inputs'!$B$19</f>
        <v>75</v>
      </c>
      <c r="E50" s="7">
        <f>-C50*'Deal Inputs'!$B$20</f>
        <v>-141.81411005999999</v>
      </c>
      <c r="F50" s="7">
        <f t="shared" si="4"/>
        <v>2296.7543909399997</v>
      </c>
      <c r="G50" s="7">
        <f>'Deal Inputs'!$B$24*(1+'Deal Inputs'!$B$34)^INT((A50-1)/12)</f>
        <v>259.7837184</v>
      </c>
      <c r="H50" s="7">
        <f>'Deal Inputs'!$B$25*(1+'Deal Inputs'!$B$34)^INT((A50-1)/12)</f>
        <v>124.4796984</v>
      </c>
      <c r="I50" s="7">
        <f>F50*'Deal Inputs'!$B$26</f>
        <v>229.67543909399998</v>
      </c>
      <c r="J50" s="7">
        <f>C50*'Deal Inputs'!$B$27</f>
        <v>118.17842504999999</v>
      </c>
      <c r="K50" s="7">
        <f>C50*'Deal Inputs'!$B$28</f>
        <v>118.17842504999999</v>
      </c>
      <c r="L50" s="7">
        <f>'Deal Inputs'!$B$29</f>
        <v>0</v>
      </c>
      <c r="M50" s="7">
        <f>'Deal Inputs'!$B$30</f>
        <v>0</v>
      </c>
      <c r="N50" s="7">
        <f>'Deal Inputs'!$B$31</f>
        <v>0</v>
      </c>
      <c r="O50" s="7">
        <f t="shared" si="5"/>
        <v>850.29570599399995</v>
      </c>
      <c r="P50" s="7">
        <f t="shared" si="6"/>
        <v>1446.4586849459997</v>
      </c>
      <c r="Q50" s="8">
        <f>'Deal Inputs'!$B$15</f>
        <v>1440.0733435561735</v>
      </c>
      <c r="R50" s="7">
        <f t="shared" si="7"/>
        <v>6.3853413898261806</v>
      </c>
    </row>
    <row r="51" spans="1:18" x14ac:dyDescent="0.25">
      <c r="A51" s="3">
        <v>50</v>
      </c>
      <c r="B51" s="9">
        <f>EDATE('Deal Inputs'!$B$2,A51-1)</f>
        <v>47150</v>
      </c>
      <c r="C51" s="4">
        <f>'Deal Inputs'!$B$18*(1+'Deal Inputs'!$B$21)^INT((A51-1)/12)</f>
        <v>2363.5685009999997</v>
      </c>
      <c r="D51" s="4">
        <f>'Deal Inputs'!$B$19</f>
        <v>75</v>
      </c>
      <c r="E51" s="4">
        <f>-C51*'Deal Inputs'!$B$20</f>
        <v>-141.81411005999999</v>
      </c>
      <c r="F51" s="4">
        <f t="shared" si="4"/>
        <v>2296.7543909399997</v>
      </c>
      <c r="G51" s="4">
        <f>'Deal Inputs'!$B$24*(1+'Deal Inputs'!$B$34)^INT((A51-1)/12)</f>
        <v>259.7837184</v>
      </c>
      <c r="H51" s="4">
        <f>'Deal Inputs'!$B$25*(1+'Deal Inputs'!$B$34)^INT((A51-1)/12)</f>
        <v>124.4796984</v>
      </c>
      <c r="I51" s="4">
        <f>F51*'Deal Inputs'!$B$26</f>
        <v>229.67543909399998</v>
      </c>
      <c r="J51" s="4">
        <f>C51*'Deal Inputs'!$B$27</f>
        <v>118.17842504999999</v>
      </c>
      <c r="K51" s="4">
        <f>C51*'Deal Inputs'!$B$28</f>
        <v>118.17842504999999</v>
      </c>
      <c r="L51" s="4">
        <f>'Deal Inputs'!$B$29</f>
        <v>0</v>
      </c>
      <c r="M51" s="4">
        <f>'Deal Inputs'!$B$30</f>
        <v>0</v>
      </c>
      <c r="N51" s="4">
        <f>'Deal Inputs'!$B$31</f>
        <v>0</v>
      </c>
      <c r="O51" s="4">
        <f t="shared" si="5"/>
        <v>850.29570599399995</v>
      </c>
      <c r="P51" s="4">
        <f t="shared" si="6"/>
        <v>1446.4586849459997</v>
      </c>
      <c r="Q51" s="5">
        <f>'Deal Inputs'!$B$15</f>
        <v>1440.0733435561735</v>
      </c>
      <c r="R51" s="4">
        <f t="shared" si="7"/>
        <v>6.3853413898261806</v>
      </c>
    </row>
    <row r="52" spans="1:18" x14ac:dyDescent="0.25">
      <c r="A52" s="2">
        <v>51</v>
      </c>
      <c r="B52" s="6">
        <f>EDATE('Deal Inputs'!$B$2,A52-1)</f>
        <v>47178</v>
      </c>
      <c r="C52" s="7">
        <f>'Deal Inputs'!$B$18*(1+'Deal Inputs'!$B$21)^INT((A52-1)/12)</f>
        <v>2363.5685009999997</v>
      </c>
      <c r="D52" s="7">
        <f>'Deal Inputs'!$B$19</f>
        <v>75</v>
      </c>
      <c r="E52" s="7">
        <f>-C52*'Deal Inputs'!$B$20</f>
        <v>-141.81411005999999</v>
      </c>
      <c r="F52" s="7">
        <f t="shared" si="4"/>
        <v>2296.7543909399997</v>
      </c>
      <c r="G52" s="7">
        <f>'Deal Inputs'!$B$24*(1+'Deal Inputs'!$B$34)^INT((A52-1)/12)</f>
        <v>259.7837184</v>
      </c>
      <c r="H52" s="7">
        <f>'Deal Inputs'!$B$25*(1+'Deal Inputs'!$B$34)^INT((A52-1)/12)</f>
        <v>124.4796984</v>
      </c>
      <c r="I52" s="7">
        <f>F52*'Deal Inputs'!$B$26</f>
        <v>229.67543909399998</v>
      </c>
      <c r="J52" s="7">
        <f>C52*'Deal Inputs'!$B$27</f>
        <v>118.17842504999999</v>
      </c>
      <c r="K52" s="7">
        <f>C52*'Deal Inputs'!$B$28</f>
        <v>118.17842504999999</v>
      </c>
      <c r="L52" s="7">
        <f>'Deal Inputs'!$B$29</f>
        <v>0</v>
      </c>
      <c r="M52" s="7">
        <f>'Deal Inputs'!$B$30</f>
        <v>0</v>
      </c>
      <c r="N52" s="7">
        <f>'Deal Inputs'!$B$31</f>
        <v>0</v>
      </c>
      <c r="O52" s="7">
        <f t="shared" si="5"/>
        <v>850.29570599399995</v>
      </c>
      <c r="P52" s="7">
        <f t="shared" si="6"/>
        <v>1446.4586849459997</v>
      </c>
      <c r="Q52" s="8">
        <f>'Deal Inputs'!$B$15</f>
        <v>1440.0733435561735</v>
      </c>
      <c r="R52" s="7">
        <f t="shared" si="7"/>
        <v>6.3853413898261806</v>
      </c>
    </row>
    <row r="53" spans="1:18" x14ac:dyDescent="0.25">
      <c r="A53" s="3">
        <v>52</v>
      </c>
      <c r="B53" s="9">
        <f>EDATE('Deal Inputs'!$B$2,A53-1)</f>
        <v>47209</v>
      </c>
      <c r="C53" s="4">
        <f>'Deal Inputs'!$B$18*(1+'Deal Inputs'!$B$21)^INT((A53-1)/12)</f>
        <v>2363.5685009999997</v>
      </c>
      <c r="D53" s="4">
        <f>'Deal Inputs'!$B$19</f>
        <v>75</v>
      </c>
      <c r="E53" s="4">
        <f>-C53*'Deal Inputs'!$B$20</f>
        <v>-141.81411005999999</v>
      </c>
      <c r="F53" s="4">
        <f t="shared" si="4"/>
        <v>2296.7543909399997</v>
      </c>
      <c r="G53" s="4">
        <f>'Deal Inputs'!$B$24*(1+'Deal Inputs'!$B$34)^INT((A53-1)/12)</f>
        <v>259.7837184</v>
      </c>
      <c r="H53" s="4">
        <f>'Deal Inputs'!$B$25*(1+'Deal Inputs'!$B$34)^INT((A53-1)/12)</f>
        <v>124.4796984</v>
      </c>
      <c r="I53" s="4">
        <f>F53*'Deal Inputs'!$B$26</f>
        <v>229.67543909399998</v>
      </c>
      <c r="J53" s="4">
        <f>C53*'Deal Inputs'!$B$27</f>
        <v>118.17842504999999</v>
      </c>
      <c r="K53" s="4">
        <f>C53*'Deal Inputs'!$B$28</f>
        <v>118.17842504999999</v>
      </c>
      <c r="L53" s="4">
        <f>'Deal Inputs'!$B$29</f>
        <v>0</v>
      </c>
      <c r="M53" s="4">
        <f>'Deal Inputs'!$B$30</f>
        <v>0</v>
      </c>
      <c r="N53" s="4">
        <f>'Deal Inputs'!$B$31</f>
        <v>0</v>
      </c>
      <c r="O53" s="4">
        <f t="shared" si="5"/>
        <v>850.29570599399995</v>
      </c>
      <c r="P53" s="4">
        <f t="shared" si="6"/>
        <v>1446.4586849459997</v>
      </c>
      <c r="Q53" s="5">
        <f>'Deal Inputs'!$B$15</f>
        <v>1440.0733435561735</v>
      </c>
      <c r="R53" s="4">
        <f t="shared" si="7"/>
        <v>6.3853413898261806</v>
      </c>
    </row>
    <row r="54" spans="1:18" x14ac:dyDescent="0.25">
      <c r="A54" s="2">
        <v>53</v>
      </c>
      <c r="B54" s="6">
        <f>EDATE('Deal Inputs'!$B$2,A54-1)</f>
        <v>47239</v>
      </c>
      <c r="C54" s="7">
        <f>'Deal Inputs'!$B$18*(1+'Deal Inputs'!$B$21)^INT((A54-1)/12)</f>
        <v>2363.5685009999997</v>
      </c>
      <c r="D54" s="7">
        <f>'Deal Inputs'!$B$19</f>
        <v>75</v>
      </c>
      <c r="E54" s="7">
        <f>-C54*'Deal Inputs'!$B$20</f>
        <v>-141.81411005999999</v>
      </c>
      <c r="F54" s="7">
        <f t="shared" si="4"/>
        <v>2296.7543909399997</v>
      </c>
      <c r="G54" s="7">
        <f>'Deal Inputs'!$B$24*(1+'Deal Inputs'!$B$34)^INT((A54-1)/12)</f>
        <v>259.7837184</v>
      </c>
      <c r="H54" s="7">
        <f>'Deal Inputs'!$B$25*(1+'Deal Inputs'!$B$34)^INT((A54-1)/12)</f>
        <v>124.4796984</v>
      </c>
      <c r="I54" s="7">
        <f>F54*'Deal Inputs'!$B$26</f>
        <v>229.67543909399998</v>
      </c>
      <c r="J54" s="7">
        <f>C54*'Deal Inputs'!$B$27</f>
        <v>118.17842504999999</v>
      </c>
      <c r="K54" s="7">
        <f>C54*'Deal Inputs'!$B$28</f>
        <v>118.17842504999999</v>
      </c>
      <c r="L54" s="7">
        <f>'Deal Inputs'!$B$29</f>
        <v>0</v>
      </c>
      <c r="M54" s="7">
        <f>'Deal Inputs'!$B$30</f>
        <v>0</v>
      </c>
      <c r="N54" s="7">
        <f>'Deal Inputs'!$B$31</f>
        <v>0</v>
      </c>
      <c r="O54" s="7">
        <f t="shared" si="5"/>
        <v>850.29570599399995</v>
      </c>
      <c r="P54" s="7">
        <f t="shared" si="6"/>
        <v>1446.4586849459997</v>
      </c>
      <c r="Q54" s="8">
        <f>'Deal Inputs'!$B$15</f>
        <v>1440.0733435561735</v>
      </c>
      <c r="R54" s="7">
        <f t="shared" si="7"/>
        <v>6.3853413898261806</v>
      </c>
    </row>
    <row r="55" spans="1:18" x14ac:dyDescent="0.25">
      <c r="A55" s="3">
        <v>54</v>
      </c>
      <c r="B55" s="9">
        <f>EDATE('Deal Inputs'!$B$2,A55-1)</f>
        <v>47270</v>
      </c>
      <c r="C55" s="4">
        <f>'Deal Inputs'!$B$18*(1+'Deal Inputs'!$B$21)^INT((A55-1)/12)</f>
        <v>2363.5685009999997</v>
      </c>
      <c r="D55" s="4">
        <f>'Deal Inputs'!$B$19</f>
        <v>75</v>
      </c>
      <c r="E55" s="4">
        <f>-C55*'Deal Inputs'!$B$20</f>
        <v>-141.81411005999999</v>
      </c>
      <c r="F55" s="4">
        <f t="shared" si="4"/>
        <v>2296.7543909399997</v>
      </c>
      <c r="G55" s="4">
        <f>'Deal Inputs'!$B$24*(1+'Deal Inputs'!$B$34)^INT((A55-1)/12)</f>
        <v>259.7837184</v>
      </c>
      <c r="H55" s="4">
        <f>'Deal Inputs'!$B$25*(1+'Deal Inputs'!$B$34)^INT((A55-1)/12)</f>
        <v>124.4796984</v>
      </c>
      <c r="I55" s="4">
        <f>F55*'Deal Inputs'!$B$26</f>
        <v>229.67543909399998</v>
      </c>
      <c r="J55" s="4">
        <f>C55*'Deal Inputs'!$B$27</f>
        <v>118.17842504999999</v>
      </c>
      <c r="K55" s="4">
        <f>C55*'Deal Inputs'!$B$28</f>
        <v>118.17842504999999</v>
      </c>
      <c r="L55" s="4">
        <f>'Deal Inputs'!$B$29</f>
        <v>0</v>
      </c>
      <c r="M55" s="4">
        <f>'Deal Inputs'!$B$30</f>
        <v>0</v>
      </c>
      <c r="N55" s="4">
        <f>'Deal Inputs'!$B$31</f>
        <v>0</v>
      </c>
      <c r="O55" s="4">
        <f t="shared" si="5"/>
        <v>850.29570599399995</v>
      </c>
      <c r="P55" s="4">
        <f t="shared" si="6"/>
        <v>1446.4586849459997</v>
      </c>
      <c r="Q55" s="5">
        <f>'Deal Inputs'!$B$15</f>
        <v>1440.0733435561735</v>
      </c>
      <c r="R55" s="4">
        <f t="shared" si="7"/>
        <v>6.3853413898261806</v>
      </c>
    </row>
    <row r="56" spans="1:18" x14ac:dyDescent="0.25">
      <c r="A56" s="2">
        <v>55</v>
      </c>
      <c r="B56" s="6">
        <f>EDATE('Deal Inputs'!$B$2,A56-1)</f>
        <v>47300</v>
      </c>
      <c r="C56" s="7">
        <f>'Deal Inputs'!$B$18*(1+'Deal Inputs'!$B$21)^INT((A56-1)/12)</f>
        <v>2363.5685009999997</v>
      </c>
      <c r="D56" s="7">
        <f>'Deal Inputs'!$B$19</f>
        <v>75</v>
      </c>
      <c r="E56" s="7">
        <f>-C56*'Deal Inputs'!$B$20</f>
        <v>-141.81411005999999</v>
      </c>
      <c r="F56" s="7">
        <f t="shared" si="4"/>
        <v>2296.7543909399997</v>
      </c>
      <c r="G56" s="7">
        <f>'Deal Inputs'!$B$24*(1+'Deal Inputs'!$B$34)^INT((A56-1)/12)</f>
        <v>259.7837184</v>
      </c>
      <c r="H56" s="7">
        <f>'Deal Inputs'!$B$25*(1+'Deal Inputs'!$B$34)^INT((A56-1)/12)</f>
        <v>124.4796984</v>
      </c>
      <c r="I56" s="7">
        <f>F56*'Deal Inputs'!$B$26</f>
        <v>229.67543909399998</v>
      </c>
      <c r="J56" s="7">
        <f>C56*'Deal Inputs'!$B$27</f>
        <v>118.17842504999999</v>
      </c>
      <c r="K56" s="7">
        <f>C56*'Deal Inputs'!$B$28</f>
        <v>118.17842504999999</v>
      </c>
      <c r="L56" s="7">
        <f>'Deal Inputs'!$B$29</f>
        <v>0</v>
      </c>
      <c r="M56" s="7">
        <f>'Deal Inputs'!$B$30</f>
        <v>0</v>
      </c>
      <c r="N56" s="7">
        <f>'Deal Inputs'!$B$31</f>
        <v>0</v>
      </c>
      <c r="O56" s="7">
        <f t="shared" si="5"/>
        <v>850.29570599399995</v>
      </c>
      <c r="P56" s="7">
        <f t="shared" si="6"/>
        <v>1446.4586849459997</v>
      </c>
      <c r="Q56" s="8">
        <f>'Deal Inputs'!$B$15</f>
        <v>1440.0733435561735</v>
      </c>
      <c r="R56" s="7">
        <f t="shared" si="7"/>
        <v>6.3853413898261806</v>
      </c>
    </row>
    <row r="57" spans="1:18" x14ac:dyDescent="0.25">
      <c r="A57" s="3">
        <v>56</v>
      </c>
      <c r="B57" s="9">
        <f>EDATE('Deal Inputs'!$B$2,A57-1)</f>
        <v>47331</v>
      </c>
      <c r="C57" s="4">
        <f>'Deal Inputs'!$B$18*(1+'Deal Inputs'!$B$21)^INT((A57-1)/12)</f>
        <v>2363.5685009999997</v>
      </c>
      <c r="D57" s="4">
        <f>'Deal Inputs'!$B$19</f>
        <v>75</v>
      </c>
      <c r="E57" s="4">
        <f>-C57*'Deal Inputs'!$B$20</f>
        <v>-141.81411005999999</v>
      </c>
      <c r="F57" s="4">
        <f t="shared" si="4"/>
        <v>2296.7543909399997</v>
      </c>
      <c r="G57" s="4">
        <f>'Deal Inputs'!$B$24*(1+'Deal Inputs'!$B$34)^INT((A57-1)/12)</f>
        <v>259.7837184</v>
      </c>
      <c r="H57" s="4">
        <f>'Deal Inputs'!$B$25*(1+'Deal Inputs'!$B$34)^INT((A57-1)/12)</f>
        <v>124.4796984</v>
      </c>
      <c r="I57" s="4">
        <f>F57*'Deal Inputs'!$B$26</f>
        <v>229.67543909399998</v>
      </c>
      <c r="J57" s="4">
        <f>C57*'Deal Inputs'!$B$27</f>
        <v>118.17842504999999</v>
      </c>
      <c r="K57" s="4">
        <f>C57*'Deal Inputs'!$B$28</f>
        <v>118.17842504999999</v>
      </c>
      <c r="L57" s="4">
        <f>'Deal Inputs'!$B$29</f>
        <v>0</v>
      </c>
      <c r="M57" s="4">
        <f>'Deal Inputs'!$B$30</f>
        <v>0</v>
      </c>
      <c r="N57" s="4">
        <f>'Deal Inputs'!$B$31</f>
        <v>0</v>
      </c>
      <c r="O57" s="4">
        <f t="shared" si="5"/>
        <v>850.29570599399995</v>
      </c>
      <c r="P57" s="4">
        <f t="shared" si="6"/>
        <v>1446.4586849459997</v>
      </c>
      <c r="Q57" s="5">
        <f>'Deal Inputs'!$B$15</f>
        <v>1440.0733435561735</v>
      </c>
      <c r="R57" s="4">
        <f t="shared" si="7"/>
        <v>6.3853413898261806</v>
      </c>
    </row>
    <row r="58" spans="1:18" x14ac:dyDescent="0.25">
      <c r="A58" s="2">
        <v>57</v>
      </c>
      <c r="B58" s="6">
        <f>EDATE('Deal Inputs'!$B$2,A58-1)</f>
        <v>47362</v>
      </c>
      <c r="C58" s="7">
        <f>'Deal Inputs'!$B$18*(1+'Deal Inputs'!$B$21)^INT((A58-1)/12)</f>
        <v>2363.5685009999997</v>
      </c>
      <c r="D58" s="7">
        <f>'Deal Inputs'!$B$19</f>
        <v>75</v>
      </c>
      <c r="E58" s="7">
        <f>-C58*'Deal Inputs'!$B$20</f>
        <v>-141.81411005999999</v>
      </c>
      <c r="F58" s="7">
        <f t="shared" si="4"/>
        <v>2296.7543909399997</v>
      </c>
      <c r="G58" s="7">
        <f>'Deal Inputs'!$B$24*(1+'Deal Inputs'!$B$34)^INT((A58-1)/12)</f>
        <v>259.7837184</v>
      </c>
      <c r="H58" s="7">
        <f>'Deal Inputs'!$B$25*(1+'Deal Inputs'!$B$34)^INT((A58-1)/12)</f>
        <v>124.4796984</v>
      </c>
      <c r="I58" s="7">
        <f>F58*'Deal Inputs'!$B$26</f>
        <v>229.67543909399998</v>
      </c>
      <c r="J58" s="7">
        <f>C58*'Deal Inputs'!$B$27</f>
        <v>118.17842504999999</v>
      </c>
      <c r="K58" s="7">
        <f>C58*'Deal Inputs'!$B$28</f>
        <v>118.17842504999999</v>
      </c>
      <c r="L58" s="7">
        <f>'Deal Inputs'!$B$29</f>
        <v>0</v>
      </c>
      <c r="M58" s="7">
        <f>'Deal Inputs'!$B$30</f>
        <v>0</v>
      </c>
      <c r="N58" s="7">
        <f>'Deal Inputs'!$B$31</f>
        <v>0</v>
      </c>
      <c r="O58" s="7">
        <f t="shared" si="5"/>
        <v>850.29570599399995</v>
      </c>
      <c r="P58" s="7">
        <f t="shared" si="6"/>
        <v>1446.4586849459997</v>
      </c>
      <c r="Q58" s="8">
        <f>'Deal Inputs'!$B$15</f>
        <v>1440.0733435561735</v>
      </c>
      <c r="R58" s="7">
        <f t="shared" si="7"/>
        <v>6.3853413898261806</v>
      </c>
    </row>
    <row r="59" spans="1:18" x14ac:dyDescent="0.25">
      <c r="A59" s="3">
        <v>58</v>
      </c>
      <c r="B59" s="9">
        <f>EDATE('Deal Inputs'!$B$2,A59-1)</f>
        <v>47392</v>
      </c>
      <c r="C59" s="4">
        <f>'Deal Inputs'!$B$18*(1+'Deal Inputs'!$B$21)^INT((A59-1)/12)</f>
        <v>2363.5685009999997</v>
      </c>
      <c r="D59" s="4">
        <f>'Deal Inputs'!$B$19</f>
        <v>75</v>
      </c>
      <c r="E59" s="4">
        <f>-C59*'Deal Inputs'!$B$20</f>
        <v>-141.81411005999999</v>
      </c>
      <c r="F59" s="4">
        <f t="shared" si="4"/>
        <v>2296.7543909399997</v>
      </c>
      <c r="G59" s="4">
        <f>'Deal Inputs'!$B$24*(1+'Deal Inputs'!$B$34)^INT((A59-1)/12)</f>
        <v>259.7837184</v>
      </c>
      <c r="H59" s="4">
        <f>'Deal Inputs'!$B$25*(1+'Deal Inputs'!$B$34)^INT((A59-1)/12)</f>
        <v>124.4796984</v>
      </c>
      <c r="I59" s="4">
        <f>F59*'Deal Inputs'!$B$26</f>
        <v>229.67543909399998</v>
      </c>
      <c r="J59" s="4">
        <f>C59*'Deal Inputs'!$B$27</f>
        <v>118.17842504999999</v>
      </c>
      <c r="K59" s="4">
        <f>C59*'Deal Inputs'!$B$28</f>
        <v>118.17842504999999</v>
      </c>
      <c r="L59" s="4">
        <f>'Deal Inputs'!$B$29</f>
        <v>0</v>
      </c>
      <c r="M59" s="4">
        <f>'Deal Inputs'!$B$30</f>
        <v>0</v>
      </c>
      <c r="N59" s="4">
        <f>'Deal Inputs'!$B$31</f>
        <v>0</v>
      </c>
      <c r="O59" s="4">
        <f t="shared" si="5"/>
        <v>850.29570599399995</v>
      </c>
      <c r="P59" s="4">
        <f t="shared" si="6"/>
        <v>1446.4586849459997</v>
      </c>
      <c r="Q59" s="5">
        <f>'Deal Inputs'!$B$15</f>
        <v>1440.0733435561735</v>
      </c>
      <c r="R59" s="4">
        <f t="shared" si="7"/>
        <v>6.3853413898261806</v>
      </c>
    </row>
    <row r="60" spans="1:18" x14ac:dyDescent="0.25">
      <c r="A60" s="2">
        <v>59</v>
      </c>
      <c r="B60" s="6">
        <f>EDATE('Deal Inputs'!$B$2,A60-1)</f>
        <v>47423</v>
      </c>
      <c r="C60" s="7">
        <f>'Deal Inputs'!$B$18*(1+'Deal Inputs'!$B$21)^INT((A60-1)/12)</f>
        <v>2363.5685009999997</v>
      </c>
      <c r="D60" s="7">
        <f>'Deal Inputs'!$B$19</f>
        <v>75</v>
      </c>
      <c r="E60" s="7">
        <f>-C60*'Deal Inputs'!$B$20</f>
        <v>-141.81411005999999</v>
      </c>
      <c r="F60" s="7">
        <f t="shared" si="4"/>
        <v>2296.7543909399997</v>
      </c>
      <c r="G60" s="7">
        <f>'Deal Inputs'!$B$24*(1+'Deal Inputs'!$B$34)^INT((A60-1)/12)</f>
        <v>259.7837184</v>
      </c>
      <c r="H60" s="7">
        <f>'Deal Inputs'!$B$25*(1+'Deal Inputs'!$B$34)^INT((A60-1)/12)</f>
        <v>124.4796984</v>
      </c>
      <c r="I60" s="7">
        <f>F60*'Deal Inputs'!$B$26</f>
        <v>229.67543909399998</v>
      </c>
      <c r="J60" s="7">
        <f>C60*'Deal Inputs'!$B$27</f>
        <v>118.17842504999999</v>
      </c>
      <c r="K60" s="7">
        <f>C60*'Deal Inputs'!$B$28</f>
        <v>118.17842504999999</v>
      </c>
      <c r="L60" s="7">
        <f>'Deal Inputs'!$B$29</f>
        <v>0</v>
      </c>
      <c r="M60" s="7">
        <f>'Deal Inputs'!$B$30</f>
        <v>0</v>
      </c>
      <c r="N60" s="7">
        <f>'Deal Inputs'!$B$31</f>
        <v>0</v>
      </c>
      <c r="O60" s="7">
        <f t="shared" si="5"/>
        <v>850.29570599399995</v>
      </c>
      <c r="P60" s="7">
        <f t="shared" si="6"/>
        <v>1446.4586849459997</v>
      </c>
      <c r="Q60" s="8">
        <f>'Deal Inputs'!$B$15</f>
        <v>1440.0733435561735</v>
      </c>
      <c r="R60" s="7">
        <f t="shared" si="7"/>
        <v>6.3853413898261806</v>
      </c>
    </row>
    <row r="61" spans="1:18" x14ac:dyDescent="0.25">
      <c r="A61" s="3">
        <v>60</v>
      </c>
      <c r="B61" s="9">
        <f>EDATE('Deal Inputs'!$B$2,A61-1)</f>
        <v>47453</v>
      </c>
      <c r="C61" s="4">
        <f>'Deal Inputs'!$B$18*(1+'Deal Inputs'!$B$21)^INT((A61-1)/12)</f>
        <v>2363.5685009999997</v>
      </c>
      <c r="D61" s="4">
        <f>'Deal Inputs'!$B$19</f>
        <v>75</v>
      </c>
      <c r="E61" s="4">
        <f>-C61*'Deal Inputs'!$B$20</f>
        <v>-141.81411005999999</v>
      </c>
      <c r="F61" s="4">
        <f t="shared" si="4"/>
        <v>2296.7543909399997</v>
      </c>
      <c r="G61" s="4">
        <f>'Deal Inputs'!$B$24*(1+'Deal Inputs'!$B$34)^INT((A61-1)/12)</f>
        <v>259.7837184</v>
      </c>
      <c r="H61" s="4">
        <f>'Deal Inputs'!$B$25*(1+'Deal Inputs'!$B$34)^INT((A61-1)/12)</f>
        <v>124.4796984</v>
      </c>
      <c r="I61" s="4">
        <f>F61*'Deal Inputs'!$B$26</f>
        <v>229.67543909399998</v>
      </c>
      <c r="J61" s="4">
        <f>C61*'Deal Inputs'!$B$27</f>
        <v>118.17842504999999</v>
      </c>
      <c r="K61" s="4">
        <f>C61*'Deal Inputs'!$B$28</f>
        <v>118.17842504999999</v>
      </c>
      <c r="L61" s="4">
        <f>'Deal Inputs'!$B$29</f>
        <v>0</v>
      </c>
      <c r="M61" s="4">
        <f>'Deal Inputs'!$B$30</f>
        <v>0</v>
      </c>
      <c r="N61" s="4">
        <f>'Deal Inputs'!$B$31</f>
        <v>0</v>
      </c>
      <c r="O61" s="4">
        <f t="shared" si="5"/>
        <v>850.29570599399995</v>
      </c>
      <c r="P61" s="4">
        <f t="shared" si="6"/>
        <v>1446.4586849459997</v>
      </c>
      <c r="Q61" s="5">
        <f>'Deal Inputs'!$B$15</f>
        <v>1440.0733435561735</v>
      </c>
      <c r="R61" s="4">
        <f t="shared" si="7"/>
        <v>6.3853413898261806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"/>
  <sheetViews>
    <sheetView workbookViewId="0">
      <pane ySplit="1" topLeftCell="A2" activePane="bottomLeft" state="frozen"/>
      <selection pane="bottomLeft" activeCell="D5" sqref="D5"/>
    </sheetView>
  </sheetViews>
  <sheetFormatPr defaultRowHeight="15" x14ac:dyDescent="0.25"/>
  <cols>
    <col min="1" max="9" width="14" customWidth="1"/>
    <col min="10" max="10" width="18.28515625" customWidth="1"/>
    <col min="11" max="14" width="14" customWidth="1"/>
  </cols>
  <sheetData>
    <row r="1" spans="1:14" s="14" customFormat="1" ht="39" customHeight="1" x14ac:dyDescent="0.25">
      <c r="A1" s="13" t="s">
        <v>51</v>
      </c>
      <c r="B1" s="13" t="s">
        <v>52</v>
      </c>
      <c r="C1" s="13" t="s">
        <v>39</v>
      </c>
      <c r="D1" s="13" t="s">
        <v>40</v>
      </c>
      <c r="E1" s="13" t="s">
        <v>53</v>
      </c>
      <c r="F1" s="13" t="s">
        <v>48</v>
      </c>
      <c r="G1" s="13" t="s">
        <v>54</v>
      </c>
      <c r="H1" s="13" t="s">
        <v>55</v>
      </c>
      <c r="I1" s="13" t="s">
        <v>56</v>
      </c>
      <c r="J1" s="13" t="s">
        <v>57</v>
      </c>
      <c r="K1" s="13" t="s">
        <v>58</v>
      </c>
      <c r="L1" s="13" t="s">
        <v>59</v>
      </c>
      <c r="M1" s="13" t="s">
        <v>60</v>
      </c>
      <c r="N1" s="13" t="s">
        <v>61</v>
      </c>
    </row>
    <row r="2" spans="1:14" x14ac:dyDescent="0.25">
      <c r="A2" s="3">
        <v>1</v>
      </c>
      <c r="B2" s="4">
        <f>SUMIFS('Monthly Cash Flow'!$C:$C,'Monthly Cash Flow'!$A:$A,"&gt;="&amp;(12*(A2-1)+1),'Monthly Cash Flow'!$A:$A,"&lt;="&amp;(12*A2))</f>
        <v>25200</v>
      </c>
      <c r="C2" s="4">
        <f>SUMIFS('Monthly Cash Flow'!$E:$E,'Monthly Cash Flow'!$A:$A,"&gt;="&amp;(12*(A2-1)+1),'Monthly Cash Flow'!$A:$A,"&lt;="&amp;(12*A2))</f>
        <v>-1512</v>
      </c>
      <c r="D2" s="4">
        <f>SUMIFS('Monthly Cash Flow'!$F:$F,'Monthly Cash Flow'!$A:$A,"&gt;="&amp;(12*(A2-1)+1),'Monthly Cash Flow'!$A:$A,"&lt;="&amp;(12*A2))</f>
        <v>24588</v>
      </c>
      <c r="E2" s="4">
        <f>SUMIFS('Monthly Cash Flow'!$O:$O,'Monthly Cash Flow'!$A:$A,"&gt;="&amp;(12*(A2-1)+1),'Monthly Cash Flow'!$A:$A,"&lt;="&amp;(12*A2))</f>
        <v>9238.7999999999975</v>
      </c>
      <c r="F2" s="4">
        <f>D2-E2</f>
        <v>15349.200000000003</v>
      </c>
      <c r="G2" s="4">
        <f>12*'Deal Inputs'!$B$15</f>
        <v>17280.880122674083</v>
      </c>
      <c r="H2" s="4">
        <f>F2-G2</f>
        <v>-1931.6801226740808</v>
      </c>
      <c r="I2" s="10">
        <f>IF('Deal Inputs'!$B$7=0,"",H2/'Deal Inputs'!$B$7)</f>
        <v>-2.1042267131525936E-2</v>
      </c>
      <c r="J2" s="10">
        <f>IF('Deal Inputs'!$B$4=0,"",F2/'Deal Inputs'!$B$4)</f>
        <v>5.3856842105263168E-2</v>
      </c>
      <c r="K2" s="10">
        <f>IF(L2=0,"",F2/L2)</f>
        <v>5.2288196218702107E-2</v>
      </c>
      <c r="L2" s="4">
        <f>'Deal Inputs'!$B$4*(1+'Deal Inputs'!$B$35)^A2</f>
        <v>293550</v>
      </c>
      <c r="M2" s="4">
        <f>L2+FV('Deal Inputs'!$B$13/12,12*A2,'Deal Inputs'!$B$15,-'Deal Inputs'!$B$12)</f>
        <v>505180.47950776282</v>
      </c>
      <c r="N2" s="11">
        <f>IF(B2=0,"",L2/B2)</f>
        <v>11.648809523809524</v>
      </c>
    </row>
    <row r="3" spans="1:14" x14ac:dyDescent="0.25">
      <c r="A3" s="3">
        <v>2</v>
      </c>
      <c r="B3" s="4">
        <f>SUMIFS('Monthly Cash Flow'!$C:$C,'Monthly Cash Flow'!$A:$A,"&gt;="&amp;(12*(A3-1)+1),'Monthly Cash Flow'!$A:$A,"&lt;="&amp;(12*A3))</f>
        <v>25956</v>
      </c>
      <c r="C3" s="4">
        <f>SUMIFS('Monthly Cash Flow'!$E:$E,'Monthly Cash Flow'!$A:$A,"&gt;="&amp;(12*(A3-1)+1),'Monthly Cash Flow'!$A:$A,"&lt;="&amp;(12*A3))</f>
        <v>-1557.36</v>
      </c>
      <c r="D3" s="4">
        <f>SUMIFS('Monthly Cash Flow'!$F:$F,'Monthly Cash Flow'!$A:$A,"&gt;="&amp;(12*(A3-1)+1),'Monthly Cash Flow'!$A:$A,"&lt;="&amp;(12*A3))</f>
        <v>25298.640000000003</v>
      </c>
      <c r="E3" s="4">
        <f>SUMIFS('Monthly Cash Flow'!$O:$O,'Monthly Cash Flow'!$A:$A,"&gt;="&amp;(12*(A3-1)+1),'Monthly Cash Flow'!$A:$A,"&lt;="&amp;(12*A3))</f>
        <v>9470.6639999999989</v>
      </c>
      <c r="F3" s="4">
        <f>D3-E3</f>
        <v>15827.976000000004</v>
      </c>
      <c r="G3" s="4">
        <f>12*'Deal Inputs'!$B$15</f>
        <v>17280.880122674083</v>
      </c>
      <c r="H3" s="4">
        <f>F3-G3</f>
        <v>-1452.9041226740792</v>
      </c>
      <c r="I3" s="10">
        <f>IF('Deal Inputs'!$B$7=0,"",H3/'Deal Inputs'!$B$7)</f>
        <v>-1.582684229492461E-2</v>
      </c>
      <c r="J3" s="10">
        <f>IF('Deal Inputs'!$B$4=0,"",F3/'Deal Inputs'!$B$4)</f>
        <v>5.553675789473686E-2</v>
      </c>
      <c r="K3" s="10">
        <f>IF(L3=0,"",F3/L3)</f>
        <v>5.2348720798130695E-2</v>
      </c>
      <c r="L3" s="4">
        <f>'Deal Inputs'!$B$4*(1+'Deal Inputs'!$B$35)^A3</f>
        <v>302356.5</v>
      </c>
      <c r="M3" s="4">
        <f>L3+FV('Deal Inputs'!$B$13/12,12*A3,'Deal Inputs'!$B$15,-'Deal Inputs'!$B$12)</f>
        <v>511711.41264837864</v>
      </c>
      <c r="N3" s="11">
        <f>IF(B3=0,"",L3/B3)</f>
        <v>11.648809523809524</v>
      </c>
    </row>
    <row r="4" spans="1:14" x14ac:dyDescent="0.25">
      <c r="A4" s="3">
        <v>3</v>
      </c>
      <c r="B4" s="4">
        <f>SUMIFS('Monthly Cash Flow'!$C:$C,'Monthly Cash Flow'!$A:$A,"&gt;="&amp;(12*(A4-1)+1),'Monthly Cash Flow'!$A:$A,"&lt;="&amp;(12*A4))</f>
        <v>26734.679999999997</v>
      </c>
      <c r="C4" s="4">
        <f>SUMIFS('Monthly Cash Flow'!$E:$E,'Monthly Cash Flow'!$A:$A,"&gt;="&amp;(12*(A4-1)+1),'Monthly Cash Flow'!$A:$A,"&lt;="&amp;(12*A4))</f>
        <v>-1604.0807999999995</v>
      </c>
      <c r="D4" s="4">
        <f>SUMIFS('Monthly Cash Flow'!$F:$F,'Monthly Cash Flow'!$A:$A,"&gt;="&amp;(12*(A4-1)+1),'Monthly Cash Flow'!$A:$A,"&lt;="&amp;(12*A4))</f>
        <v>26030.599199999997</v>
      </c>
      <c r="E4" s="4">
        <f>SUMIFS('Monthly Cash Flow'!$O:$O,'Monthly Cash Flow'!$A:$A,"&gt;="&amp;(12*(A4-1)+1),'Monthly Cash Flow'!$A:$A,"&lt;="&amp;(12*A4))</f>
        <v>9708.6319199999998</v>
      </c>
      <c r="F4" s="4">
        <f>D4-E4</f>
        <v>16321.967279999997</v>
      </c>
      <c r="G4" s="4">
        <f>12*'Deal Inputs'!$B$15</f>
        <v>17280.880122674083</v>
      </c>
      <c r="H4" s="4">
        <f>F4-G4</f>
        <v>-958.91284267408628</v>
      </c>
      <c r="I4" s="10">
        <f>IF('Deal Inputs'!$B$7=0,"",H4/'Deal Inputs'!$B$7)</f>
        <v>-1.0445673667473707E-2</v>
      </c>
      <c r="J4" s="10">
        <f>IF('Deal Inputs'!$B$4=0,"",F4/'Deal Inputs'!$B$4)</f>
        <v>5.727006063157894E-2</v>
      </c>
      <c r="K4" s="10">
        <f>IF(L4=0,"",F4/L4)</f>
        <v>5.2410218317639208E-2</v>
      </c>
      <c r="L4" s="4">
        <f>'Deal Inputs'!$B$4*(1+'Deal Inputs'!$B$35)^A4</f>
        <v>311427.19500000001</v>
      </c>
      <c r="M4" s="4">
        <f>L4+FV('Deal Inputs'!$B$13/12,12*A4,'Deal Inputs'!$B$15,-'Deal Inputs'!$B$12)</f>
        <v>518339.0057531654</v>
      </c>
      <c r="N4" s="11">
        <f>IF(B4=0,"",L4/B4)</f>
        <v>11.648809523809526</v>
      </c>
    </row>
    <row r="5" spans="1:14" x14ac:dyDescent="0.25">
      <c r="A5" s="3">
        <v>4</v>
      </c>
      <c r="B5" s="4">
        <f>SUMIFS('Monthly Cash Flow'!$C:$C,'Monthly Cash Flow'!$A:$A,"&gt;="&amp;(12*(A5-1)+1),'Monthly Cash Flow'!$A:$A,"&lt;="&amp;(12*A5))</f>
        <v>27536.720399999995</v>
      </c>
      <c r="C5" s="4">
        <f>SUMIFS('Monthly Cash Flow'!$E:$E,'Monthly Cash Flow'!$A:$A,"&gt;="&amp;(12*(A5-1)+1),'Monthly Cash Flow'!$A:$A,"&lt;="&amp;(12*A5))</f>
        <v>-1652.2032240000005</v>
      </c>
      <c r="D5" s="4">
        <f>SUMIFS('Monthly Cash Flow'!$F:$F,'Monthly Cash Flow'!$A:$A,"&gt;="&amp;(12*(A5-1)+1),'Monthly Cash Flow'!$A:$A,"&lt;="&amp;(12*A5))</f>
        <v>26784.517176000008</v>
      </c>
      <c r="E5" s="4">
        <f>SUMIFS('Monthly Cash Flow'!$O:$O,'Monthly Cash Flow'!$A:$A,"&gt;="&amp;(12*(A5-1)+1),'Monthly Cash Flow'!$A:$A,"&lt;="&amp;(12*A5))</f>
        <v>9952.8698376000011</v>
      </c>
      <c r="F5" s="4">
        <f>D5-E5</f>
        <v>16831.647338400006</v>
      </c>
      <c r="G5" s="4">
        <f>12*'Deal Inputs'!$B$15</f>
        <v>17280.880122674083</v>
      </c>
      <c r="H5" s="4">
        <f>F5-G5</f>
        <v>-449.23278427407786</v>
      </c>
      <c r="I5" s="10">
        <f>IF('Deal Inputs'!$B$7=0,"",H5/'Deal Inputs'!$B$7)</f>
        <v>-4.8936033145324381E-3</v>
      </c>
      <c r="J5" s="10">
        <f>IF('Deal Inputs'!$B$4=0,"",F5/'Deal Inputs'!$B$4)</f>
        <v>5.9058411713684228E-2</v>
      </c>
      <c r="K5" s="10">
        <f>IF(L5=0,"",F5/L5)</f>
        <v>5.2472633878080648E-2</v>
      </c>
      <c r="L5" s="4">
        <f>'Deal Inputs'!$B$4*(1+'Deal Inputs'!$B$35)^A5</f>
        <v>320770.01084999996</v>
      </c>
      <c r="M5" s="4">
        <f>L5+FV('Deal Inputs'!$B$13/12,12*A5,'Deal Inputs'!$B$15,-'Deal Inputs'!$B$12)</f>
        <v>525058.85016825458</v>
      </c>
      <c r="N5" s="11">
        <f>IF(B5=0,"",L5/B5)</f>
        <v>11.648809523809526</v>
      </c>
    </row>
    <row r="6" spans="1:14" x14ac:dyDescent="0.25">
      <c r="A6" s="3">
        <v>5</v>
      </c>
      <c r="B6" s="4">
        <f>SUMIFS('Monthly Cash Flow'!$C:$C,'Monthly Cash Flow'!$A:$A,"&gt;="&amp;(12*(A6-1)+1),'Monthly Cash Flow'!$A:$A,"&lt;="&amp;(12*A6))</f>
        <v>28362.822012000004</v>
      </c>
      <c r="C6" s="4">
        <f>SUMIFS('Monthly Cash Flow'!$E:$E,'Monthly Cash Flow'!$A:$A,"&gt;="&amp;(12*(A6-1)+1),'Monthly Cash Flow'!$A:$A,"&lt;="&amp;(12*A6))</f>
        <v>-1701.7693207200002</v>
      </c>
      <c r="D6" s="4">
        <f>SUMIFS('Monthly Cash Flow'!$F:$F,'Monthly Cash Flow'!$A:$A,"&gt;="&amp;(12*(A6-1)+1),'Monthly Cash Flow'!$A:$A,"&lt;="&amp;(12*A6))</f>
        <v>27561.052691280001</v>
      </c>
      <c r="E6" s="4">
        <f>SUMIFS('Monthly Cash Flow'!$O:$O,'Monthly Cash Flow'!$A:$A,"&gt;="&amp;(12*(A6-1)+1),'Monthly Cash Flow'!$A:$A,"&lt;="&amp;(12*A6))</f>
        <v>10203.548471927999</v>
      </c>
      <c r="F6" s="4">
        <f>D6-E6</f>
        <v>17357.504219352002</v>
      </c>
      <c r="G6" s="4">
        <f>12*'Deal Inputs'!$B$15</f>
        <v>17280.880122674083</v>
      </c>
      <c r="H6" s="4">
        <f>F6-G6</f>
        <v>76.624096677918715</v>
      </c>
      <c r="I6" s="10">
        <f>IF('Deal Inputs'!$B$7=0,"",H6/'Deal Inputs'!$B$7)</f>
        <v>8.3468514899693593E-4</v>
      </c>
      <c r="J6" s="10">
        <f>IF('Deal Inputs'!$B$4=0,"",F6/'Deal Inputs'!$B$4)</f>
        <v>6.0903523576673689E-2</v>
      </c>
      <c r="K6" s="10">
        <f>IF(L6=0,"",F6/L6)</f>
        <v>5.2535914437186769E-2</v>
      </c>
      <c r="L6" s="4">
        <f>'Deal Inputs'!$B$4*(1+'Deal Inputs'!$B$35)^A6</f>
        <v>330393.11117549997</v>
      </c>
      <c r="M6" s="4">
        <f>L6+FV('Deal Inputs'!$B$13/12,12*A6,'Deal Inputs'!$B$15,-'Deal Inputs'!$B$12)</f>
        <v>531865.86690680403</v>
      </c>
      <c r="N6" s="11">
        <f>IF(B6=0,"",L6/B6)</f>
        <v>11.648809523809522</v>
      </c>
    </row>
  </sheetData>
  <pageMargins left="0.75" right="0.75" top="1" bottom="1" header="0.5" footer="0.5"/>
  <ignoredErrors>
    <ignoredError sqref="G2:G6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9"/>
  <sheetViews>
    <sheetView showGridLines="0" tabSelected="1" zoomScaleNormal="100" workbookViewId="0">
      <selection activeCell="B10" sqref="B10"/>
    </sheetView>
  </sheetViews>
  <sheetFormatPr defaultRowHeight="14.25" x14ac:dyDescent="0.2"/>
  <cols>
    <col min="1" max="1" width="32" style="12" customWidth="1"/>
    <col min="2" max="2" width="25.85546875" style="28" customWidth="1"/>
    <col min="3" max="16384" width="9.140625" style="12"/>
  </cols>
  <sheetData>
    <row r="1" spans="1:2" ht="15" x14ac:dyDescent="0.25">
      <c r="A1" s="27" t="s">
        <v>62</v>
      </c>
    </row>
    <row r="3" spans="1:2" ht="16.5" customHeight="1" x14ac:dyDescent="0.25">
      <c r="A3" s="35" t="s">
        <v>63</v>
      </c>
      <c r="B3" s="36"/>
    </row>
    <row r="4" spans="1:2" ht="16.5" customHeight="1" x14ac:dyDescent="0.2">
      <c r="A4" s="37" t="s">
        <v>2</v>
      </c>
      <c r="B4" s="29" t="str">
        <f>'Deal Inputs'!B3</f>
        <v>742 Evergreen Terrace</v>
      </c>
    </row>
    <row r="5" spans="1:2" ht="16.5" customHeight="1" x14ac:dyDescent="0.2">
      <c r="A5" s="37" t="s">
        <v>4</v>
      </c>
      <c r="B5" s="30">
        <f>'Deal Inputs'!B4</f>
        <v>285000</v>
      </c>
    </row>
    <row r="6" spans="1:2" ht="16.5" customHeight="1" x14ac:dyDescent="0.2">
      <c r="A6" s="37" t="s">
        <v>7</v>
      </c>
      <c r="B6" s="30">
        <f>'Deal Inputs'!B7</f>
        <v>91800</v>
      </c>
    </row>
    <row r="7" spans="1:2" ht="16.5" customHeight="1" x14ac:dyDescent="0.25">
      <c r="A7" s="35" t="s">
        <v>8</v>
      </c>
      <c r="B7" s="36"/>
    </row>
    <row r="8" spans="1:2" ht="16.5" customHeight="1" x14ac:dyDescent="0.2">
      <c r="A8" s="37" t="s">
        <v>11</v>
      </c>
      <c r="B8" s="30">
        <f>'Deal Inputs'!B12</f>
        <v>213750</v>
      </c>
    </row>
    <row r="9" spans="1:2" ht="16.5" customHeight="1" x14ac:dyDescent="0.2">
      <c r="A9" s="37" t="s">
        <v>12</v>
      </c>
      <c r="B9" s="31">
        <f>'Deal Inputs'!B13</f>
        <v>7.1249999999999994E-2</v>
      </c>
    </row>
    <row r="10" spans="1:2" ht="16.5" customHeight="1" x14ac:dyDescent="0.2">
      <c r="A10" s="37" t="s">
        <v>13</v>
      </c>
      <c r="B10" s="32">
        <f>'Deal Inputs'!B14</f>
        <v>30</v>
      </c>
    </row>
    <row r="11" spans="1:2" ht="16.5" customHeight="1" x14ac:dyDescent="0.2">
      <c r="A11" s="37" t="s">
        <v>14</v>
      </c>
      <c r="B11" s="33">
        <f>'Deal Inputs'!B15</f>
        <v>1440.0733435561735</v>
      </c>
    </row>
    <row r="12" spans="1:2" ht="16.5" customHeight="1" x14ac:dyDescent="0.25">
      <c r="A12" s="35" t="s">
        <v>64</v>
      </c>
      <c r="B12" s="36"/>
    </row>
    <row r="13" spans="1:2" ht="16.5" customHeight="1" x14ac:dyDescent="0.2">
      <c r="A13" s="37" t="s">
        <v>40</v>
      </c>
      <c r="B13" s="30">
        <f>'Annual Summary'!D2</f>
        <v>24588</v>
      </c>
    </row>
    <row r="14" spans="1:2" ht="16.5" customHeight="1" x14ac:dyDescent="0.2">
      <c r="A14" s="37" t="s">
        <v>48</v>
      </c>
      <c r="B14" s="30">
        <f>'Annual Summary'!F2</f>
        <v>15349.200000000003</v>
      </c>
    </row>
    <row r="15" spans="1:2" ht="16.5" customHeight="1" x14ac:dyDescent="0.2">
      <c r="A15" s="37" t="s">
        <v>65</v>
      </c>
      <c r="B15" s="30">
        <f>'Annual Summary'!H2</f>
        <v>-1931.6801226740808</v>
      </c>
    </row>
    <row r="16" spans="1:2" ht="16.5" customHeight="1" x14ac:dyDescent="0.2">
      <c r="A16" s="37" t="s">
        <v>57</v>
      </c>
      <c r="B16" s="34">
        <f>'Annual Summary'!J2</f>
        <v>5.3856842105263168E-2</v>
      </c>
    </row>
    <row r="17" spans="1:2" ht="16.5" customHeight="1" x14ac:dyDescent="0.2">
      <c r="A17" s="37" t="s">
        <v>56</v>
      </c>
      <c r="B17" s="34">
        <f>'Annual Summary'!I2</f>
        <v>-2.1042267131525936E-2</v>
      </c>
    </row>
    <row r="18" spans="1:2" ht="16.5" customHeight="1" x14ac:dyDescent="0.25">
      <c r="A18" s="35" t="s">
        <v>66</v>
      </c>
      <c r="B18" s="36"/>
    </row>
    <row r="19" spans="1:2" ht="16.5" customHeight="1" x14ac:dyDescent="0.2">
      <c r="A19" s="37" t="s">
        <v>67</v>
      </c>
      <c r="B19" s="32">
        <f>'Deal Inputs'!B36</f>
        <v>5</v>
      </c>
    </row>
    <row r="20" spans="1:2" ht="16.5" customHeight="1" x14ac:dyDescent="0.2">
      <c r="A20" s="37" t="s">
        <v>68</v>
      </c>
      <c r="B20" s="30">
        <f>'Deal Inputs'!B4*(1+'Deal Inputs'!B35)^'Deal Inputs'!B36</f>
        <v>330393.11117549997</v>
      </c>
    </row>
    <row r="21" spans="1:2" ht="16.5" customHeight="1" x14ac:dyDescent="0.2">
      <c r="A21" s="37" t="s">
        <v>69</v>
      </c>
      <c r="B21" s="30">
        <f>('Deal Inputs'!B4*(1+'Deal Inputs'!B35)^'Deal Inputs'!B36)*'Deal Inputs'!B37</f>
        <v>19823.586670529996</v>
      </c>
    </row>
    <row r="22" spans="1:2" ht="16.5" customHeight="1" x14ac:dyDescent="0.2">
      <c r="A22" s="37" t="s">
        <v>70</v>
      </c>
      <c r="B22" s="30">
        <f>('Deal Inputs'!B4*(1+'Deal Inputs'!B35)^'Deal Inputs'!B36)-(('Deal Inputs'!B4*(1+'Deal Inputs'!B35)^'Deal Inputs'!B36)*'Deal Inputs'!B37)</f>
        <v>310569.52450497</v>
      </c>
    </row>
    <row r="23" spans="1:2" ht="16.5" customHeight="1" x14ac:dyDescent="0.2">
      <c r="A23" s="37" t="s">
        <v>71</v>
      </c>
      <c r="B23" s="30">
        <f>-FV('Deal Inputs'!B13/12,12*'Deal Inputs'!B36,'Deal Inputs'!B15,-'Deal Inputs'!B12)</f>
        <v>-201472.75573130406</v>
      </c>
    </row>
    <row r="24" spans="1:2" ht="16.5" customHeight="1" x14ac:dyDescent="0.2">
      <c r="A24" s="37" t="s">
        <v>72</v>
      </c>
      <c r="B24" s="30">
        <f>(('Deal Inputs'!B4*(1+'Deal Inputs'!B35)^'Deal Inputs'!B36)-(('Deal Inputs'!B4*(1+'Deal Inputs'!B35)^'Deal Inputs'!B36)*'Deal Inputs'!B37))+FV('Deal Inputs'!B13/12,12*'Deal Inputs'!B36,'Deal Inputs'!B15,-'Deal Inputs'!B12)</f>
        <v>512042.28023627406</v>
      </c>
    </row>
    <row r="25" spans="1:2" ht="16.5" customHeight="1" x14ac:dyDescent="0.2">
      <c r="A25" s="37" t="s">
        <v>73</v>
      </c>
      <c r="B25" s="30">
        <f>SUMIFS('Annual Summary'!$H:$H,'Annual Summary'!$A:$A,"&lt;="&amp;'Deal Inputs'!$B$36)</f>
        <v>-4716.1057756184055</v>
      </c>
    </row>
    <row r="26" spans="1:2" ht="16.5" customHeight="1" x14ac:dyDescent="0.2">
      <c r="A26" s="37" t="s">
        <v>74</v>
      </c>
      <c r="B26" s="30">
        <f>SUMIFS('Annual Summary'!$H:$H,'Annual Summary'!$A:$A,"&lt;="&amp;'Deal Inputs'!$B$36)+((('Deal Inputs'!B4*(1+'Deal Inputs'!B35)^'Deal Inputs'!B36)-(('Deal Inputs'!B4*(1+'Deal Inputs'!B35)^'Deal Inputs'!B36)*'Deal Inputs'!B37))+FV('Deal Inputs'!B13/12,12*'Deal Inputs'!B36,'Deal Inputs'!B15,-'Deal Inputs'!B12))-'Deal Inputs'!B7</f>
        <v>415526.17446065566</v>
      </c>
    </row>
    <row r="27" spans="1:2" ht="16.5" customHeight="1" x14ac:dyDescent="0.2">
      <c r="A27" s="37" t="s">
        <v>75</v>
      </c>
      <c r="B27" s="34">
        <f>IF('Deal Inputs'!B7=0,"",IF('Deal Inputs'!B36=0,"",B26/'Deal Inputs'!B7/'Deal Inputs'!B36))</f>
        <v>0.90528578313868346</v>
      </c>
    </row>
    <row r="29" spans="1:2" x14ac:dyDescent="0.2">
      <c r="A29" s="38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Deal Inputs</vt:lpstr>
      <vt:lpstr>Monthly Cash Flow</vt:lpstr>
      <vt:lpstr>Annual Summary</vt:lpstr>
      <vt:lpstr>Deal Snapshot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Rental Property Cash Flow Analyzer</dc:title>
  <dc:subject>Real Estate Investing, Rental Property Analysis</dc:subject>
  <dc:creator>Tim Frenzel</dc:creator>
  <dc:description>Single-property residential rental cash flow and exit snapshot</dc:description>
  <cp:lastModifiedBy>Frenzel, Tim</cp:lastModifiedBy>
  <dcterms:created xsi:type="dcterms:W3CDTF">2026-04-07T19:33:27Z</dcterms:created>
  <dcterms:modified xsi:type="dcterms:W3CDTF">2026-04-08T09:48:50Z</dcterms:modified>
</cp:coreProperties>
</file>