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My Drive\000_drive_drive\600_PROJECTS\modelstack\sheets\real-estate\fix-and-flip-deal-analyzer\"/>
    </mc:Choice>
  </mc:AlternateContent>
  <xr:revisionPtr revIDLastSave="0" documentId="13_ncr:1_{34EC8FDB-957F-4D9C-8FA5-E45CCCE6C29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eal Inputs" sheetId="1" r:id="rId1"/>
    <sheet name="Rehab Budget" sheetId="2" r:id="rId2"/>
    <sheet name="Holding Costs" sheetId="3" r:id="rId3"/>
    <sheet name="Profit Analysis" sheetId="4" r:id="rId4"/>
    <sheet name="Timelin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3" i="5" s="1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C23" i="4"/>
  <c r="C20" i="4"/>
  <c r="C21" i="4" s="1"/>
  <c r="C11" i="4"/>
  <c r="C4" i="4"/>
  <c r="C3" i="4"/>
  <c r="C2" i="4"/>
  <c r="C9" i="3"/>
  <c r="D9" i="3" s="1"/>
  <c r="C8" i="3"/>
  <c r="D8" i="3" s="1"/>
  <c r="C7" i="3"/>
  <c r="D7" i="3" s="1"/>
  <c r="D6" i="3"/>
  <c r="C6" i="3"/>
  <c r="C5" i="3"/>
  <c r="D5" i="3" s="1"/>
  <c r="C4" i="3"/>
  <c r="D4" i="3" s="1"/>
  <c r="C3" i="3"/>
  <c r="D3" i="3" s="1"/>
  <c r="C2" i="3"/>
  <c r="C18" i="2"/>
  <c r="C17" i="2"/>
  <c r="D16" i="2"/>
  <c r="C16" i="2"/>
  <c r="F15" i="2"/>
  <c r="E15" i="2"/>
  <c r="E14" i="2"/>
  <c r="E13" i="2"/>
  <c r="F12" i="2"/>
  <c r="E12" i="2"/>
  <c r="F11" i="2"/>
  <c r="E11" i="2"/>
  <c r="F10" i="2"/>
  <c r="E10" i="2"/>
  <c r="F9" i="2"/>
  <c r="E9" i="2"/>
  <c r="E8" i="2"/>
  <c r="E7" i="2"/>
  <c r="F6" i="2"/>
  <c r="E6" i="2"/>
  <c r="F5" i="2"/>
  <c r="E5" i="2"/>
  <c r="F4" i="2"/>
  <c r="E4" i="2"/>
  <c r="F3" i="2"/>
  <c r="E3" i="2"/>
  <c r="E16" i="2" s="1"/>
  <c r="E2" i="2"/>
  <c r="B28" i="1"/>
  <c r="B31" i="1" s="1"/>
  <c r="C7" i="4" s="1"/>
  <c r="B24" i="1"/>
  <c r="B9" i="1"/>
  <c r="B10" i="1" s="1"/>
  <c r="F7" i="2" l="1"/>
  <c r="F13" i="2"/>
  <c r="B13" i="1"/>
  <c r="B15" i="1"/>
  <c r="B2" i="3" s="1"/>
  <c r="F2" i="2"/>
  <c r="F8" i="2"/>
  <c r="F14" i="2"/>
  <c r="D29" i="4" l="1"/>
  <c r="D33" i="4"/>
  <c r="C5" i="4"/>
  <c r="B10" i="3"/>
  <c r="D2" i="3"/>
  <c r="D10" i="3" s="1"/>
  <c r="G31" i="4" s="1"/>
  <c r="G30" i="4" l="1"/>
  <c r="G29" i="4"/>
  <c r="D30" i="4"/>
  <c r="C32" i="4"/>
  <c r="E30" i="4"/>
  <c r="C30" i="4"/>
  <c r="C31" i="4"/>
  <c r="G33" i="4"/>
  <c r="E33" i="4"/>
  <c r="D32" i="4"/>
  <c r="C33" i="4"/>
  <c r="G32" i="4"/>
  <c r="D31" i="4"/>
  <c r="F33" i="4"/>
  <c r="F32" i="4"/>
  <c r="E29" i="4"/>
  <c r="F31" i="4"/>
  <c r="C6" i="4"/>
  <c r="C8" i="4" s="1"/>
  <c r="C24" i="4"/>
  <c r="E31" i="4"/>
  <c r="F30" i="4"/>
  <c r="E32" i="4"/>
  <c r="F29" i="4"/>
  <c r="C29" i="4"/>
  <c r="C12" i="4" l="1"/>
  <c r="C13" i="4" s="1"/>
  <c r="C17" i="4" l="1"/>
  <c r="C25" i="4"/>
  <c r="C15" i="4"/>
  <c r="C16" i="4" s="1"/>
  <c r="C14" i="4"/>
</calcChain>
</file>

<file path=xl/sharedStrings.xml><?xml version="1.0" encoding="utf-8"?>
<sst xmlns="http://schemas.openxmlformats.org/spreadsheetml/2006/main" count="185" uniqueCount="161">
  <si>
    <t>Property Address</t>
  </si>
  <si>
    <t>1847 Maple Drive</t>
  </si>
  <si>
    <t>Purchase Price</t>
  </si>
  <si>
    <t>Closing Costs (buy side)</t>
  </si>
  <si>
    <t>Earnest Money</t>
  </si>
  <si>
    <t>Financing Type</t>
  </si>
  <si>
    <t>Hard Money</t>
  </si>
  <si>
    <t>Loan-to-Cost (%)</t>
  </si>
  <si>
    <t>Loan Amount</t>
  </si>
  <si>
    <t>Cash Out of Pocket</t>
  </si>
  <si>
    <t>Interest Rate (annual)</t>
  </si>
  <si>
    <t>Points (origination)</t>
  </si>
  <si>
    <t>Point Cost ($)</t>
  </si>
  <si>
    <t>Estimated Hold Period (months)</t>
  </si>
  <si>
    <t>Monthly Interest Cost</t>
  </si>
  <si>
    <t>Estimated ARV</t>
  </si>
  <si>
    <t>Comp 1 (notes)</t>
  </si>
  <si>
    <t>-</t>
  </si>
  <si>
    <t>Comp 2</t>
  </si>
  <si>
    <t>Comp 3</t>
  </si>
  <si>
    <t>Avg Comp Price / SqFt</t>
  </si>
  <si>
    <t>Subject Property SqFt</t>
  </si>
  <si>
    <t>ARV per SqFt</t>
  </si>
  <si>
    <t>Agent Commission (%)</t>
  </si>
  <si>
    <t>Agent Commission ($)</t>
  </si>
  <si>
    <t>Seller Closing Costs</t>
  </si>
  <si>
    <t>Staging / Marketing</t>
  </si>
  <si>
    <t>Total Selling Costs</t>
  </si>
  <si>
    <t>Category</t>
  </si>
  <si>
    <t>Description</t>
  </si>
  <si>
    <t>Est. Cost</t>
  </si>
  <si>
    <t>Actual Cost</t>
  </si>
  <si>
    <t>Variance</t>
  </si>
  <si>
    <t>% of Budget</t>
  </si>
  <si>
    <t>Status</t>
  </si>
  <si>
    <t>Notes</t>
  </si>
  <si>
    <t>Kitchen (cabinets, counters, appliances)</t>
  </si>
  <si>
    <t>Full kitchen refresh</t>
  </si>
  <si>
    <t>Bathrooms (2 full, 1 half)</t>
  </si>
  <si>
    <t>Fixtures + tile</t>
  </si>
  <si>
    <t>Flooring (LVP throughout)</t>
  </si>
  <si>
    <t>Main level</t>
  </si>
  <si>
    <t>Interior Paint</t>
  </si>
  <si>
    <t>Whole house</t>
  </si>
  <si>
    <t>Exterior Paint / Siding</t>
  </si>
  <si>
    <t>Touch-ups</t>
  </si>
  <si>
    <t>Roof</t>
  </si>
  <si>
    <t>Not needed</t>
  </si>
  <si>
    <t>HVAC</t>
  </si>
  <si>
    <t>No change</t>
  </si>
  <si>
    <t>Electrical (panel upgrade, fixtures)</t>
  </si>
  <si>
    <t>Panel + LED</t>
  </si>
  <si>
    <t>Plumbing (2 fixtures + water heater)</t>
  </si>
  <si>
    <t>HW heater</t>
  </si>
  <si>
    <t>Windows (6 replaced)</t>
  </si>
  <si>
    <t>Efficiency</t>
  </si>
  <si>
    <t>Landscaping / Curb Appeal</t>
  </si>
  <si>
    <t>Mulch + beds</t>
  </si>
  <si>
    <t>Permits &amp; Inspections</t>
  </si>
  <si>
    <t>Permit fees</t>
  </si>
  <si>
    <t>Dumpster &amp; Cleanup</t>
  </si>
  <si>
    <t>3 pulls</t>
  </si>
  <si>
    <t>Contingency (10-15%)</t>
  </si>
  <si>
    <t>Buffer</t>
  </si>
  <si>
    <t>Total Estimated</t>
  </si>
  <si>
    <t>Budget Remaining</t>
  </si>
  <si>
    <t>% Complete (by cost)</t>
  </si>
  <si>
    <t>Cost Category</t>
  </si>
  <si>
    <t>Monthly Cost</t>
  </si>
  <si>
    <t>Months</t>
  </si>
  <si>
    <t>Total</t>
  </si>
  <si>
    <t>Loan Interest</t>
  </si>
  <si>
    <t>Property Tax</t>
  </si>
  <si>
    <t>Insurance (vacant/builder)</t>
  </si>
  <si>
    <t>Utilities</t>
  </si>
  <si>
    <t>Lawn / Snow / Maintenance</t>
  </si>
  <si>
    <t>HOA</t>
  </si>
  <si>
    <t>Security / Monitoring</t>
  </si>
  <si>
    <t>Other</t>
  </si>
  <si>
    <t>TOTALS</t>
  </si>
  <si>
    <t>Line</t>
  </si>
  <si>
    <t>Label</t>
  </si>
  <si>
    <t>Amount</t>
  </si>
  <si>
    <t>Closing Costs (buy)</t>
  </si>
  <si>
    <t>Rehab Budget (est.)</t>
  </si>
  <si>
    <t>Loan Points / Origination</t>
  </si>
  <si>
    <t>Holding Costs</t>
  </si>
  <si>
    <t>Selling Costs</t>
  </si>
  <si>
    <t>Total Project Cost</t>
  </si>
  <si>
    <t>After-Repair Value</t>
  </si>
  <si>
    <t>Net Profit</t>
  </si>
  <si>
    <t>ROI (on total project cost)</t>
  </si>
  <si>
    <t>ROI (on cash invested)</t>
  </si>
  <si>
    <t>Annualized ROI (cash)</t>
  </si>
  <si>
    <t>Profit per Month</t>
  </si>
  <si>
    <t>70% Rule Max Offer</t>
  </si>
  <si>
    <t>Passes 70% rule?</t>
  </si>
  <si>
    <t>Target Profit Margin (input)</t>
  </si>
  <si>
    <t>Target Profit ($)</t>
  </si>
  <si>
    <t>MAO (simple)</t>
  </si>
  <si>
    <t>Actual Profit Margin</t>
  </si>
  <si>
    <t>Sensitivity: Net Profit</t>
  </si>
  <si>
    <t>ARV -10%</t>
  </si>
  <si>
    <t>ARV -5%</t>
  </si>
  <si>
    <t>ARV (base)</t>
  </si>
  <si>
    <t>ARV +5%</t>
  </si>
  <si>
    <t>ARV +10%</t>
  </si>
  <si>
    <t>Rehab +20%</t>
  </si>
  <si>
    <t>Rehab +10%</t>
  </si>
  <si>
    <t>Rehab (base)</t>
  </si>
  <si>
    <t>Rehab -10%</t>
  </si>
  <si>
    <t>Rehab -20%</t>
  </si>
  <si>
    <t>Week #</t>
  </si>
  <si>
    <t>Date Range (fill in)</t>
  </si>
  <si>
    <t>Phase</t>
  </si>
  <si>
    <t>Key Tasks</t>
  </si>
  <si>
    <t>Est. Spend Week</t>
  </si>
  <si>
    <t>Cumulative Spend</t>
  </si>
  <si>
    <t>Close / acquisition</t>
  </si>
  <si>
    <t>Acquisition</t>
  </si>
  <si>
    <t>Close on property</t>
  </si>
  <si>
    <t>Demo start</t>
  </si>
  <si>
    <t>Demo</t>
  </si>
  <si>
    <t>Kitchen + bath demo</t>
  </si>
  <si>
    <t>Demo cont.</t>
  </si>
  <si>
    <t>Debris out</t>
  </si>
  <si>
    <t>Rough-in</t>
  </si>
  <si>
    <t>Rough-In</t>
  </si>
  <si>
    <t>Electrical/plumbing rough</t>
  </si>
  <si>
    <t>Inspect rough</t>
  </si>
  <si>
    <t>Drywall</t>
  </si>
  <si>
    <t>Hang + mud</t>
  </si>
  <si>
    <t>Paint</t>
  </si>
  <si>
    <t>Finishes</t>
  </si>
  <si>
    <t>Interior paint</t>
  </si>
  <si>
    <t>Flooring</t>
  </si>
  <si>
    <t>LVP install</t>
  </si>
  <si>
    <t>Kitchen</t>
  </si>
  <si>
    <t>Cabinets + counters</t>
  </si>
  <si>
    <t>Baths</t>
  </si>
  <si>
    <t>Punch list</t>
  </si>
  <si>
    <t>Punch List</t>
  </si>
  <si>
    <t>Listing prep</t>
  </si>
  <si>
    <t>Listing</t>
  </si>
  <si>
    <t>Clean + stage</t>
  </si>
  <si>
    <t>Live</t>
  </si>
  <si>
    <t>Photos + listing</t>
  </si>
  <si>
    <t>On market</t>
  </si>
  <si>
    <t>Under Contract</t>
  </si>
  <si>
    <t>Showings</t>
  </si>
  <si>
    <t>Price tweak</t>
  </si>
  <si>
    <t>UC</t>
  </si>
  <si>
    <t>Inspection response</t>
  </si>
  <si>
    <t>Appraisal</t>
  </si>
  <si>
    <t>Closing</t>
  </si>
  <si>
    <t>Title + walkthrough</t>
  </si>
  <si>
    <t>Final walk</t>
  </si>
  <si>
    <t>Closed</t>
  </si>
  <si>
    <t>Recording</t>
  </si>
  <si>
    <t>In Progress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</si>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</sst>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rgb="FF3E2723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0"/>
      <color rgb="FF616161"/>
      <name val="Calibri"/>
      <family val="2"/>
    </font>
    <font>
      <sz val="11"/>
      <color rgb="FF4472C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7CCC8"/>
      </patternFill>
    </fill>
    <fill>
      <patternFill patternType="solid">
        <fgColor rgb="FF424242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3" fillId="0" borderId="0" xfId="0" applyFont="1"/>
    <xf numFmtId="0" fontId="4" fillId="3" borderId="1" xfId="0" applyFont="1" applyFill="1" applyBorder="1"/>
    <xf numFmtId="0" fontId="1" fillId="2" borderId="0" xfId="0" applyFont="1" applyFill="1"/>
    <xf numFmtId="0" fontId="5" fillId="0" borderId="0" xfId="0" applyFont="1"/>
    <xf numFmtId="0" fontId="2" fillId="4" borderId="0" xfId="0" applyFont="1" applyFill="1"/>
    <xf numFmtId="164" fontId="2" fillId="4" borderId="0" xfId="0" applyNumberFormat="1" applyFont="1" applyFill="1"/>
    <xf numFmtId="165" fontId="2" fillId="4" borderId="0" xfId="0" applyNumberFormat="1" applyFont="1" applyFill="1"/>
    <xf numFmtId="164" fontId="6" fillId="0" borderId="0" xfId="0" applyNumberFormat="1" applyFont="1"/>
    <xf numFmtId="1" fontId="2" fillId="4" borderId="0" xfId="0" applyNumberFormat="1" applyFont="1" applyFill="1"/>
    <xf numFmtId="166" fontId="2" fillId="4" borderId="0" xfId="0" applyNumberFormat="1" applyFont="1" applyFill="1"/>
    <xf numFmtId="3" fontId="2" fillId="4" borderId="0" xfId="0" applyNumberFormat="1" applyFont="1" applyFill="1"/>
    <xf numFmtId="166" fontId="6" fillId="4" borderId="0" xfId="0" applyNumberFormat="1" applyFont="1" applyFill="1"/>
    <xf numFmtId="165" fontId="0" fillId="4" borderId="0" xfId="0" applyNumberFormat="1" applyFill="1"/>
    <xf numFmtId="164" fontId="0" fillId="4" borderId="0" xfId="0" applyNumberFormat="1" applyFill="1"/>
    <xf numFmtId="165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3" fillId="4" borderId="0" xfId="0" applyFont="1" applyFill="1"/>
    <xf numFmtId="164" fontId="3" fillId="4" borderId="0" xfId="0" applyNumberFormat="1" applyFont="1" applyFill="1"/>
  </cellXfs>
  <cellStyles count="1">
    <cellStyle name="Normal" xfId="0" builtinId="0"/>
  </cellStyles>
  <dxfs count="6"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showGridLines="0" tabSelected="1" workbookViewId="0">
      <selection activeCell="B2" sqref="B2"/>
    </sheetView>
  </sheetViews>
  <sheetFormatPr defaultRowHeight="15" x14ac:dyDescent="0.25"/>
  <cols>
    <col min="1" max="1" width="32" customWidth="1"/>
    <col min="2" max="2" width="18" customWidth="1"/>
  </cols>
  <sheetData>
    <row r="1" spans="1:2" x14ac:dyDescent="0.25">
      <c r="A1" s="3" t="s">
        <v>0</v>
      </c>
      <c r="B1" s="20" t="s">
        <v>1</v>
      </c>
    </row>
    <row r="2" spans="1:2" x14ac:dyDescent="0.25">
      <c r="A2" s="3" t="s">
        <v>2</v>
      </c>
      <c r="B2" s="21">
        <v>195000</v>
      </c>
    </row>
    <row r="3" spans="1:2" x14ac:dyDescent="0.25">
      <c r="A3" s="3" t="s">
        <v>3</v>
      </c>
      <c r="B3" s="21">
        <v>3500</v>
      </c>
    </row>
    <row r="4" spans="1:2" x14ac:dyDescent="0.25">
      <c r="A4" s="3" t="s">
        <v>4</v>
      </c>
      <c r="B4" s="21">
        <v>5000</v>
      </c>
    </row>
    <row r="7" spans="1:2" x14ac:dyDescent="0.25">
      <c r="A7" s="1" t="s">
        <v>5</v>
      </c>
      <c r="B7" s="7" t="s">
        <v>6</v>
      </c>
    </row>
    <row r="8" spans="1:2" x14ac:dyDescent="0.25">
      <c r="A8" s="1" t="s">
        <v>7</v>
      </c>
      <c r="B8" s="9">
        <v>0.85</v>
      </c>
    </row>
    <row r="9" spans="1:2" x14ac:dyDescent="0.25">
      <c r="A9" s="1" t="s">
        <v>8</v>
      </c>
      <c r="B9" s="10">
        <f>IF(B7="Cash",0,MIN((B2+'Rehab Budget'!$C$16)*B8,B2+'Rehab Budget'!$C$16))</f>
        <v>223380</v>
      </c>
    </row>
    <row r="10" spans="1:2" x14ac:dyDescent="0.25">
      <c r="A10" s="1" t="s">
        <v>9</v>
      </c>
      <c r="B10" s="10">
        <f>IF(B7="Cash",B2+B3+'Rehab Budget'!$C$16,B2+B3+'Rehab Budget'!$C$16-B9)</f>
        <v>42920</v>
      </c>
    </row>
    <row r="11" spans="1:2" x14ac:dyDescent="0.25">
      <c r="A11" s="1" t="s">
        <v>10</v>
      </c>
      <c r="B11" s="9">
        <v>0.12</v>
      </c>
    </row>
    <row r="12" spans="1:2" x14ac:dyDescent="0.25">
      <c r="A12" s="1" t="s">
        <v>11</v>
      </c>
      <c r="B12" s="7">
        <v>2</v>
      </c>
    </row>
    <row r="13" spans="1:2" x14ac:dyDescent="0.25">
      <c r="A13" s="1" t="s">
        <v>12</v>
      </c>
      <c r="B13" s="10">
        <f>B9*B12/100</f>
        <v>4467.6000000000004</v>
      </c>
    </row>
    <row r="14" spans="1:2" x14ac:dyDescent="0.25">
      <c r="A14" s="1" t="s">
        <v>13</v>
      </c>
      <c r="B14" s="11">
        <v>5</v>
      </c>
    </row>
    <row r="15" spans="1:2" x14ac:dyDescent="0.25">
      <c r="A15" s="1" t="s">
        <v>14</v>
      </c>
      <c r="B15" s="10">
        <f>B9*B11/12</f>
        <v>2233.7999999999997</v>
      </c>
    </row>
    <row r="18" spans="1:2" x14ac:dyDescent="0.25">
      <c r="A18" s="1" t="s">
        <v>15</v>
      </c>
      <c r="B18" s="8">
        <v>315000</v>
      </c>
    </row>
    <row r="19" spans="1:2" x14ac:dyDescent="0.25">
      <c r="A19" s="1" t="s">
        <v>16</v>
      </c>
      <c r="B19" s="7" t="s">
        <v>17</v>
      </c>
    </row>
    <row r="20" spans="1:2" x14ac:dyDescent="0.25">
      <c r="A20" s="1" t="s">
        <v>18</v>
      </c>
      <c r="B20" s="7" t="s">
        <v>17</v>
      </c>
    </row>
    <row r="21" spans="1:2" x14ac:dyDescent="0.25">
      <c r="A21" s="1" t="s">
        <v>19</v>
      </c>
      <c r="B21" s="7" t="s">
        <v>17</v>
      </c>
    </row>
    <row r="22" spans="1:2" x14ac:dyDescent="0.25">
      <c r="A22" s="1" t="s">
        <v>20</v>
      </c>
      <c r="B22" s="12">
        <v>185</v>
      </c>
    </row>
    <row r="23" spans="1:2" x14ac:dyDescent="0.25">
      <c r="A23" s="1" t="s">
        <v>21</v>
      </c>
      <c r="B23" s="13">
        <v>1700</v>
      </c>
    </row>
    <row r="24" spans="1:2" x14ac:dyDescent="0.25">
      <c r="A24" s="1" t="s">
        <v>22</v>
      </c>
      <c r="B24" s="14">
        <f>B18/B23</f>
        <v>185.29411764705881</v>
      </c>
    </row>
    <row r="27" spans="1:2" x14ac:dyDescent="0.25">
      <c r="A27" s="1" t="s">
        <v>23</v>
      </c>
      <c r="B27" s="15">
        <v>0.05</v>
      </c>
    </row>
    <row r="28" spans="1:2" x14ac:dyDescent="0.25">
      <c r="A28" s="1" t="s">
        <v>24</v>
      </c>
      <c r="B28" s="10">
        <f>B18*B27</f>
        <v>15750</v>
      </c>
    </row>
    <row r="29" spans="1:2" x14ac:dyDescent="0.25">
      <c r="A29" s="1" t="s">
        <v>25</v>
      </c>
      <c r="B29" s="16">
        <v>3000</v>
      </c>
    </row>
    <row r="30" spans="1:2" x14ac:dyDescent="0.25">
      <c r="A30" s="1" t="s">
        <v>26</v>
      </c>
      <c r="B30" s="16">
        <v>1500</v>
      </c>
    </row>
    <row r="31" spans="1:2" x14ac:dyDescent="0.25">
      <c r="A31" s="1" t="s">
        <v>27</v>
      </c>
      <c r="B31" s="10">
        <f>B28+B29+B30</f>
        <v>20250</v>
      </c>
    </row>
  </sheetData>
  <dataValidations count="1">
    <dataValidation type="list" allowBlank="1" sqref="B7" xr:uid="{00000000-0002-0000-0000-000000000000}">
      <formula1>"Cash,Hard Money,Conventional,Private Lender"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37" bestFit="1" customWidth="1"/>
    <col min="2" max="2" width="20" bestFit="1" customWidth="1"/>
    <col min="3" max="8" width="18" customWidth="1"/>
  </cols>
  <sheetData>
    <row r="1" spans="1:8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 x14ac:dyDescent="0.25">
      <c r="A2" s="7" t="s">
        <v>36</v>
      </c>
      <c r="B2" s="7" t="s">
        <v>37</v>
      </c>
      <c r="C2" s="8">
        <v>18000</v>
      </c>
      <c r="D2" s="8"/>
      <c r="E2" s="10">
        <f t="shared" ref="E2:E15" si="0">D2-C2</f>
        <v>-18000</v>
      </c>
      <c r="F2" s="17">
        <f t="shared" ref="F2:F15" si="1">IF($C$16=0,0,C2/$C$16)</f>
        <v>0.26548672566371684</v>
      </c>
      <c r="G2" s="7"/>
      <c r="H2" s="7"/>
    </row>
    <row r="3" spans="1:8" x14ac:dyDescent="0.25">
      <c r="A3" s="7" t="s">
        <v>38</v>
      </c>
      <c r="B3" s="7" t="s">
        <v>39</v>
      </c>
      <c r="C3" s="8">
        <v>12000</v>
      </c>
      <c r="D3" s="8"/>
      <c r="E3" s="10">
        <f t="shared" si="0"/>
        <v>-12000</v>
      </c>
      <c r="F3" s="17">
        <f t="shared" si="1"/>
        <v>0.17699115044247787</v>
      </c>
      <c r="G3" s="7"/>
      <c r="H3" s="7"/>
    </row>
    <row r="4" spans="1:8" x14ac:dyDescent="0.25">
      <c r="A4" s="7" t="s">
        <v>40</v>
      </c>
      <c r="B4" s="7" t="s">
        <v>41</v>
      </c>
      <c r="C4" s="8">
        <v>6500</v>
      </c>
      <c r="D4" s="8"/>
      <c r="E4" s="10">
        <f t="shared" si="0"/>
        <v>-6500</v>
      </c>
      <c r="F4" s="17">
        <f t="shared" si="1"/>
        <v>9.5870206489675522E-2</v>
      </c>
      <c r="G4" s="7"/>
      <c r="H4" s="7"/>
    </row>
    <row r="5" spans="1:8" x14ac:dyDescent="0.25">
      <c r="A5" s="7" t="s">
        <v>42</v>
      </c>
      <c r="B5" s="7" t="s">
        <v>43</v>
      </c>
      <c r="C5" s="8">
        <v>4200</v>
      </c>
      <c r="D5" s="8"/>
      <c r="E5" s="10">
        <f t="shared" si="0"/>
        <v>-4200</v>
      </c>
      <c r="F5" s="17">
        <f t="shared" si="1"/>
        <v>6.1946902654867256E-2</v>
      </c>
      <c r="G5" s="7"/>
      <c r="H5" s="7"/>
    </row>
    <row r="6" spans="1:8" x14ac:dyDescent="0.25">
      <c r="A6" s="7" t="s">
        <v>44</v>
      </c>
      <c r="B6" s="7" t="s">
        <v>45</v>
      </c>
      <c r="C6" s="8">
        <v>3800</v>
      </c>
      <c r="D6" s="8"/>
      <c r="E6" s="10">
        <f t="shared" si="0"/>
        <v>-3800</v>
      </c>
      <c r="F6" s="17">
        <f t="shared" si="1"/>
        <v>5.6047197640117993E-2</v>
      </c>
      <c r="G6" s="7"/>
      <c r="H6" s="7"/>
    </row>
    <row r="7" spans="1:8" x14ac:dyDescent="0.25">
      <c r="A7" s="7" t="s">
        <v>46</v>
      </c>
      <c r="B7" s="7" t="s">
        <v>47</v>
      </c>
      <c r="C7" s="8">
        <v>0</v>
      </c>
      <c r="D7" s="8"/>
      <c r="E7" s="10">
        <f t="shared" si="0"/>
        <v>0</v>
      </c>
      <c r="F7" s="17">
        <f t="shared" si="1"/>
        <v>0</v>
      </c>
      <c r="G7" s="7"/>
      <c r="H7" s="7"/>
    </row>
    <row r="8" spans="1:8" x14ac:dyDescent="0.25">
      <c r="A8" s="7" t="s">
        <v>48</v>
      </c>
      <c r="B8" s="7" t="s">
        <v>49</v>
      </c>
      <c r="C8" s="8">
        <v>0</v>
      </c>
      <c r="D8" s="8"/>
      <c r="E8" s="10">
        <f t="shared" si="0"/>
        <v>0</v>
      </c>
      <c r="F8" s="17">
        <f t="shared" si="1"/>
        <v>0</v>
      </c>
      <c r="G8" s="7"/>
      <c r="H8" s="7"/>
    </row>
    <row r="9" spans="1:8" x14ac:dyDescent="0.25">
      <c r="A9" s="7" t="s">
        <v>50</v>
      </c>
      <c r="B9" s="7" t="s">
        <v>51</v>
      </c>
      <c r="C9" s="8">
        <v>3200</v>
      </c>
      <c r="D9" s="8"/>
      <c r="E9" s="10">
        <f t="shared" si="0"/>
        <v>-3200</v>
      </c>
      <c r="F9" s="17">
        <f t="shared" si="1"/>
        <v>4.71976401179941E-2</v>
      </c>
      <c r="G9" s="7"/>
      <c r="H9" s="7"/>
    </row>
    <row r="10" spans="1:8" x14ac:dyDescent="0.25">
      <c r="A10" s="7" t="s">
        <v>52</v>
      </c>
      <c r="B10" s="7" t="s">
        <v>53</v>
      </c>
      <c r="C10" s="8">
        <v>4500</v>
      </c>
      <c r="D10" s="8"/>
      <c r="E10" s="10">
        <f t="shared" si="0"/>
        <v>-4500</v>
      </c>
      <c r="F10" s="17">
        <f t="shared" si="1"/>
        <v>6.637168141592921E-2</v>
      </c>
      <c r="G10" s="7"/>
      <c r="H10" s="7"/>
    </row>
    <row r="11" spans="1:8" x14ac:dyDescent="0.25">
      <c r="A11" s="7" t="s">
        <v>54</v>
      </c>
      <c r="B11" s="7" t="s">
        <v>55</v>
      </c>
      <c r="C11" s="8">
        <v>4800</v>
      </c>
      <c r="D11" s="8"/>
      <c r="E11" s="10">
        <f t="shared" si="0"/>
        <v>-4800</v>
      </c>
      <c r="F11" s="17">
        <f t="shared" si="1"/>
        <v>7.0796460176991149E-2</v>
      </c>
      <c r="G11" s="7"/>
      <c r="H11" s="7"/>
    </row>
    <row r="12" spans="1:8" x14ac:dyDescent="0.25">
      <c r="A12" s="7" t="s">
        <v>56</v>
      </c>
      <c r="B12" s="7" t="s">
        <v>57</v>
      </c>
      <c r="C12" s="8">
        <v>2500</v>
      </c>
      <c r="D12" s="8"/>
      <c r="E12" s="10">
        <f t="shared" si="0"/>
        <v>-2500</v>
      </c>
      <c r="F12" s="17">
        <f t="shared" si="1"/>
        <v>3.687315634218289E-2</v>
      </c>
      <c r="G12" s="7"/>
      <c r="H12" s="7"/>
    </row>
    <row r="13" spans="1:8" x14ac:dyDescent="0.25">
      <c r="A13" s="7" t="s">
        <v>58</v>
      </c>
      <c r="B13" s="7" t="s">
        <v>59</v>
      </c>
      <c r="C13" s="8">
        <v>1200</v>
      </c>
      <c r="D13" s="8"/>
      <c r="E13" s="10">
        <f t="shared" si="0"/>
        <v>-1200</v>
      </c>
      <c r="F13" s="17">
        <f t="shared" si="1"/>
        <v>1.7699115044247787E-2</v>
      </c>
      <c r="G13" s="7"/>
      <c r="H13" s="7"/>
    </row>
    <row r="14" spans="1:8" x14ac:dyDescent="0.25">
      <c r="A14" s="7" t="s">
        <v>60</v>
      </c>
      <c r="B14" s="7" t="s">
        <v>61</v>
      </c>
      <c r="C14" s="8">
        <v>900</v>
      </c>
      <c r="D14" s="8"/>
      <c r="E14" s="10">
        <f t="shared" si="0"/>
        <v>-900</v>
      </c>
      <c r="F14" s="17">
        <f t="shared" si="1"/>
        <v>1.3274336283185841E-2</v>
      </c>
      <c r="G14" s="7"/>
      <c r="H14" s="7"/>
    </row>
    <row r="15" spans="1:8" x14ac:dyDescent="0.25">
      <c r="A15" s="7" t="s">
        <v>62</v>
      </c>
      <c r="B15" s="7" t="s">
        <v>63</v>
      </c>
      <c r="C15" s="8">
        <v>6200</v>
      </c>
      <c r="D15" s="8"/>
      <c r="E15" s="10">
        <f t="shared" si="0"/>
        <v>-6200</v>
      </c>
      <c r="F15" s="17">
        <f t="shared" si="1"/>
        <v>9.1445427728613568E-2</v>
      </c>
      <c r="G15" s="7"/>
      <c r="H15" s="7"/>
    </row>
    <row r="16" spans="1:8" x14ac:dyDescent="0.25">
      <c r="B16" s="3" t="s">
        <v>64</v>
      </c>
      <c r="C16" s="10">
        <f>SUM(C2:C15)</f>
        <v>67800</v>
      </c>
      <c r="D16" s="10">
        <f>SUM(D2:D15)</f>
        <v>0</v>
      </c>
      <c r="E16" s="10">
        <f>SUM(E2:E15)</f>
        <v>-67800</v>
      </c>
    </row>
    <row r="17" spans="2:3" x14ac:dyDescent="0.25">
      <c r="B17" s="1" t="s">
        <v>65</v>
      </c>
      <c r="C17" s="10">
        <f>C16-D16</f>
        <v>67800</v>
      </c>
    </row>
    <row r="18" spans="2:3" x14ac:dyDescent="0.25">
      <c r="B18" s="1" t="s">
        <v>66</v>
      </c>
      <c r="C18" s="17">
        <f>IF(C16=0,0,D16/C16)</f>
        <v>0</v>
      </c>
    </row>
  </sheetData>
  <conditionalFormatting sqref="E2:E15">
    <cfRule type="expression" dxfId="5" priority="1">
      <formula>D2&gt;C2</formula>
    </cfRule>
  </conditionalFormatting>
  <dataValidations count="1">
    <dataValidation type="list" allowBlank="1" sqref="G2:G15" xr:uid="{00000000-0002-0000-0100-000000000000}">
      <formula1>"Not Started,In Progress,Complete,Skipped"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5" x14ac:dyDescent="0.25"/>
  <cols>
    <col min="1" max="1" width="26" bestFit="1" customWidth="1"/>
    <col min="2" max="4" width="22" customWidth="1"/>
  </cols>
  <sheetData>
    <row r="1" spans="1:4" x14ac:dyDescent="0.25">
      <c r="A1" s="2" t="s">
        <v>67</v>
      </c>
      <c r="B1" s="2" t="s">
        <v>68</v>
      </c>
      <c r="C1" s="2" t="s">
        <v>69</v>
      </c>
      <c r="D1" s="2" t="s">
        <v>70</v>
      </c>
    </row>
    <row r="2" spans="1:4" x14ac:dyDescent="0.25">
      <c r="A2" s="1" t="s">
        <v>71</v>
      </c>
      <c r="B2" s="18">
        <f>'Deal Inputs'!$B$15</f>
        <v>2233.7999999999997</v>
      </c>
      <c r="C2" s="19">
        <f>'Deal Inputs'!$B$14</f>
        <v>5</v>
      </c>
      <c r="D2" s="10">
        <f t="shared" ref="D2:D9" si="0">B2*C2</f>
        <v>11168.999999999998</v>
      </c>
    </row>
    <row r="3" spans="1:4" x14ac:dyDescent="0.25">
      <c r="A3" s="1" t="s">
        <v>72</v>
      </c>
      <c r="B3" s="12">
        <v>320</v>
      </c>
      <c r="C3" s="19">
        <f>'Deal Inputs'!$B$14</f>
        <v>5</v>
      </c>
      <c r="D3" s="10">
        <f t="shared" si="0"/>
        <v>1600</v>
      </c>
    </row>
    <row r="4" spans="1:4" x14ac:dyDescent="0.25">
      <c r="A4" s="1" t="s">
        <v>73</v>
      </c>
      <c r="B4" s="12">
        <v>175</v>
      </c>
      <c r="C4" s="19">
        <f>'Deal Inputs'!$B$14</f>
        <v>5</v>
      </c>
      <c r="D4" s="10">
        <f t="shared" si="0"/>
        <v>875</v>
      </c>
    </row>
    <row r="5" spans="1:4" x14ac:dyDescent="0.25">
      <c r="A5" s="1" t="s">
        <v>74</v>
      </c>
      <c r="B5" s="12">
        <v>280</v>
      </c>
      <c r="C5" s="19">
        <f>'Deal Inputs'!$B$14</f>
        <v>5</v>
      </c>
      <c r="D5" s="10">
        <f t="shared" si="0"/>
        <v>1400</v>
      </c>
    </row>
    <row r="6" spans="1:4" x14ac:dyDescent="0.25">
      <c r="A6" s="1" t="s">
        <v>75</v>
      </c>
      <c r="B6" s="12">
        <v>100</v>
      </c>
      <c r="C6" s="19">
        <f>'Deal Inputs'!$B$14</f>
        <v>5</v>
      </c>
      <c r="D6" s="10">
        <f t="shared" si="0"/>
        <v>500</v>
      </c>
    </row>
    <row r="7" spans="1:4" x14ac:dyDescent="0.25">
      <c r="A7" s="1" t="s">
        <v>76</v>
      </c>
      <c r="B7" s="12">
        <v>0</v>
      </c>
      <c r="C7" s="19">
        <f>'Deal Inputs'!$B$14</f>
        <v>5</v>
      </c>
      <c r="D7" s="10">
        <f t="shared" si="0"/>
        <v>0</v>
      </c>
    </row>
    <row r="8" spans="1:4" x14ac:dyDescent="0.25">
      <c r="A8" s="1" t="s">
        <v>77</v>
      </c>
      <c r="B8" s="12">
        <v>0</v>
      </c>
      <c r="C8" s="19">
        <f>'Deal Inputs'!$B$14</f>
        <v>5</v>
      </c>
      <c r="D8" s="10">
        <f t="shared" si="0"/>
        <v>0</v>
      </c>
    </row>
    <row r="9" spans="1:4" x14ac:dyDescent="0.25">
      <c r="A9" s="1" t="s">
        <v>78</v>
      </c>
      <c r="B9" s="12">
        <v>0</v>
      </c>
      <c r="C9" s="19">
        <f>'Deal Inputs'!$B$14</f>
        <v>5</v>
      </c>
      <c r="D9" s="10">
        <f t="shared" si="0"/>
        <v>0</v>
      </c>
    </row>
    <row r="10" spans="1:4" x14ac:dyDescent="0.25">
      <c r="A10" s="3" t="s">
        <v>79</v>
      </c>
      <c r="B10" s="18">
        <f>SUM(B2:B9)</f>
        <v>3108.7999999999997</v>
      </c>
      <c r="D10" s="10">
        <f>SUM(D2:D9)</f>
        <v>15543.999999999998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showGridLines="0" workbookViewId="0">
      <selection activeCell="D21" sqref="D21"/>
    </sheetView>
  </sheetViews>
  <sheetFormatPr defaultRowHeight="15" x14ac:dyDescent="0.25"/>
  <cols>
    <col min="1" max="1" width="4.7109375" bestFit="1" customWidth="1"/>
    <col min="2" max="2" width="25.7109375" bestFit="1" customWidth="1"/>
    <col min="3" max="7" width="20" customWidth="1"/>
  </cols>
  <sheetData>
    <row r="1" spans="1:3" x14ac:dyDescent="0.25">
      <c r="A1" s="4" t="s">
        <v>80</v>
      </c>
      <c r="B1" s="4" t="s">
        <v>81</v>
      </c>
      <c r="C1" s="4" t="s">
        <v>82</v>
      </c>
    </row>
    <row r="2" spans="1:3" x14ac:dyDescent="0.25">
      <c r="A2" s="1">
        <v>1</v>
      </c>
      <c r="B2" s="1" t="s">
        <v>2</v>
      </c>
      <c r="C2" s="10">
        <f>'Deal Inputs'!$B$2</f>
        <v>195000</v>
      </c>
    </row>
    <row r="3" spans="1:3" x14ac:dyDescent="0.25">
      <c r="A3" s="1">
        <v>2</v>
      </c>
      <c r="B3" s="1" t="s">
        <v>83</v>
      </c>
      <c r="C3" s="10">
        <f>'Deal Inputs'!$B$3</f>
        <v>3500</v>
      </c>
    </row>
    <row r="4" spans="1:3" x14ac:dyDescent="0.25">
      <c r="A4" s="1">
        <v>3</v>
      </c>
      <c r="B4" s="1" t="s">
        <v>84</v>
      </c>
      <c r="C4" s="10">
        <f>'Rehab Budget'!$C$16</f>
        <v>67800</v>
      </c>
    </row>
    <row r="5" spans="1:3" x14ac:dyDescent="0.25">
      <c r="A5" s="1">
        <v>4</v>
      </c>
      <c r="B5" s="1" t="s">
        <v>85</v>
      </c>
      <c r="C5" s="10">
        <f>'Deal Inputs'!$B$13</f>
        <v>4467.6000000000004</v>
      </c>
    </row>
    <row r="6" spans="1:3" x14ac:dyDescent="0.25">
      <c r="A6" s="1">
        <v>5</v>
      </c>
      <c r="B6" s="1" t="s">
        <v>86</v>
      </c>
      <c r="C6" s="10">
        <f>'Holding Costs'!$D$10</f>
        <v>15543.999999999998</v>
      </c>
    </row>
    <row r="7" spans="1:3" x14ac:dyDescent="0.25">
      <c r="A7" s="1">
        <v>6</v>
      </c>
      <c r="B7" s="1" t="s">
        <v>87</v>
      </c>
      <c r="C7" s="10">
        <f>'Deal Inputs'!$B$31</f>
        <v>20250</v>
      </c>
    </row>
    <row r="8" spans="1:3" x14ac:dyDescent="0.25">
      <c r="B8" s="3" t="s">
        <v>88</v>
      </c>
      <c r="C8" s="10">
        <f>SUM(C2:C7)</f>
        <v>306561.59999999998</v>
      </c>
    </row>
    <row r="11" spans="1:3" x14ac:dyDescent="0.25">
      <c r="B11" s="1" t="s">
        <v>89</v>
      </c>
      <c r="C11" s="10">
        <f>'Deal Inputs'!$B$18</f>
        <v>315000</v>
      </c>
    </row>
    <row r="12" spans="1:3" x14ac:dyDescent="0.25">
      <c r="B12" s="1" t="s">
        <v>88</v>
      </c>
      <c r="C12" s="10">
        <f>C8</f>
        <v>306561.59999999998</v>
      </c>
    </row>
    <row r="13" spans="1:3" x14ac:dyDescent="0.25">
      <c r="B13" s="1" t="s">
        <v>90</v>
      </c>
      <c r="C13" s="10">
        <f>C11-C12</f>
        <v>8438.4000000000233</v>
      </c>
    </row>
    <row r="14" spans="1:3" x14ac:dyDescent="0.25">
      <c r="B14" s="1" t="s">
        <v>91</v>
      </c>
      <c r="C14" s="17">
        <f>IF(C8=0,0,C13/C8)</f>
        <v>2.7525952369768503E-2</v>
      </c>
    </row>
    <row r="15" spans="1:3" x14ac:dyDescent="0.25">
      <c r="B15" s="1" t="s">
        <v>92</v>
      </c>
      <c r="C15" s="17">
        <f>IF('Deal Inputs'!$B$10=0,0,C13/'Deal Inputs'!$B$10)</f>
        <v>0.19660764212488405</v>
      </c>
    </row>
    <row r="16" spans="1:3" x14ac:dyDescent="0.25">
      <c r="B16" s="1" t="s">
        <v>93</v>
      </c>
      <c r="C16" s="17">
        <f>IF(OR('Deal Inputs'!$B$10=0,'Deal Inputs'!$B$14=0),0,C15*(12/'Deal Inputs'!$B$14))</f>
        <v>0.47185834109972169</v>
      </c>
    </row>
    <row r="17" spans="2:7" x14ac:dyDescent="0.25">
      <c r="B17" s="1" t="s">
        <v>94</v>
      </c>
      <c r="C17" s="10">
        <f>IF('Deal Inputs'!$B$14=0,0,C13/'Deal Inputs'!$B$14)</f>
        <v>1687.6800000000046</v>
      </c>
    </row>
    <row r="20" spans="2:7" x14ac:dyDescent="0.25">
      <c r="B20" t="s">
        <v>95</v>
      </c>
      <c r="C20" s="10">
        <f>'Deal Inputs'!$B$18*0.7-'Rehab Budget'!$C$16</f>
        <v>152700</v>
      </c>
    </row>
    <row r="21" spans="2:7" x14ac:dyDescent="0.25">
      <c r="B21" t="s">
        <v>96</v>
      </c>
      <c r="C21" s="19" t="str">
        <f>IF('Deal Inputs'!$B$2&lt;=C20,"PASS","FAIL")</f>
        <v>FAIL</v>
      </c>
    </row>
    <row r="22" spans="2:7" x14ac:dyDescent="0.25">
      <c r="B22" s="1" t="s">
        <v>97</v>
      </c>
      <c r="C22" s="15">
        <v>0.15</v>
      </c>
    </row>
    <row r="23" spans="2:7" x14ac:dyDescent="0.25">
      <c r="B23" t="s">
        <v>98</v>
      </c>
      <c r="C23" s="10">
        <f>'Deal Inputs'!$B$18*C22</f>
        <v>47250</v>
      </c>
    </row>
    <row r="24" spans="2:7" x14ac:dyDescent="0.25">
      <c r="B24" t="s">
        <v>99</v>
      </c>
      <c r="C24" s="10">
        <f>'Deal Inputs'!$B$18-'Rehab Budget'!$C$16-C23-'Deal Inputs'!$B$31-'Holding Costs'!$D$10</f>
        <v>164156</v>
      </c>
    </row>
    <row r="25" spans="2:7" x14ac:dyDescent="0.25">
      <c r="B25" t="s">
        <v>100</v>
      </c>
      <c r="C25" s="17">
        <f>IF('Deal Inputs'!$B$18=0,0,C13/'Deal Inputs'!$B$18)</f>
        <v>2.6788571428571502E-2</v>
      </c>
    </row>
    <row r="27" spans="2:7" x14ac:dyDescent="0.25">
      <c r="B27" s="3" t="s">
        <v>101</v>
      </c>
    </row>
    <row r="28" spans="2:7" x14ac:dyDescent="0.25">
      <c r="C28" s="5" t="s">
        <v>102</v>
      </c>
      <c r="D28" s="5" t="s">
        <v>103</v>
      </c>
      <c r="E28" s="5" t="s">
        <v>104</v>
      </c>
      <c r="F28" s="5" t="s">
        <v>105</v>
      </c>
      <c r="G28" s="5" t="s">
        <v>106</v>
      </c>
    </row>
    <row r="29" spans="2:7" x14ac:dyDescent="0.25">
      <c r="B29" s="1" t="s">
        <v>107</v>
      </c>
      <c r="C29" s="10">
        <f>'Deal Inputs'!$B$18*(1+-0.1)-('Deal Inputs'!$B$2+'Deal Inputs'!$B$3+'Rehab Budget'!$C$16*(1+0.2)+'Deal Inputs'!$B$13+'Holding Costs'!$D$10+'Deal Inputs'!$B$31)</f>
        <v>-36621.599999999977</v>
      </c>
      <c r="D29" s="10">
        <f>'Deal Inputs'!$B$18*(1+-0.05)-('Deal Inputs'!$B$2+'Deal Inputs'!$B$3+'Rehab Budget'!$C$16*(1+0.2)+'Deal Inputs'!$B$13+'Holding Costs'!$D$10+'Deal Inputs'!$B$31)</f>
        <v>-20871.599999999977</v>
      </c>
      <c r="E29" s="10">
        <f>'Deal Inputs'!$B$18*(1+0)-('Deal Inputs'!$B$2+'Deal Inputs'!$B$3+'Rehab Budget'!$C$16*(1+0.2)+'Deal Inputs'!$B$13+'Holding Costs'!$D$10+'Deal Inputs'!$B$31)</f>
        <v>-5121.5999999999767</v>
      </c>
      <c r="F29" s="10">
        <f>'Deal Inputs'!$B$18*(1+0.05)-('Deal Inputs'!$B$2+'Deal Inputs'!$B$3+'Rehab Budget'!$C$16*(1+0.2)+'Deal Inputs'!$B$13+'Holding Costs'!$D$10+'Deal Inputs'!$B$31)</f>
        <v>10628.400000000023</v>
      </c>
      <c r="G29" s="10">
        <f>'Deal Inputs'!$B$18*(1+0.1)-('Deal Inputs'!$B$2+'Deal Inputs'!$B$3+'Rehab Budget'!$C$16*(1+0.2)+'Deal Inputs'!$B$13+'Holding Costs'!$D$10+'Deal Inputs'!$B$31)</f>
        <v>26378.400000000023</v>
      </c>
    </row>
    <row r="30" spans="2:7" x14ac:dyDescent="0.25">
      <c r="B30" s="1" t="s">
        <v>108</v>
      </c>
      <c r="C30" s="10">
        <f>'Deal Inputs'!$B$18*(1+-0.1)-('Deal Inputs'!$B$2+'Deal Inputs'!$B$3+'Rehab Budget'!$C$16*(1+0.1)+'Deal Inputs'!$B$13+'Holding Costs'!$D$10+'Deal Inputs'!$B$31)</f>
        <v>-29841.599999999977</v>
      </c>
      <c r="D30" s="10">
        <f>'Deal Inputs'!$B$18*(1+-0.05)-('Deal Inputs'!$B$2+'Deal Inputs'!$B$3+'Rehab Budget'!$C$16*(1+0.1)+'Deal Inputs'!$B$13+'Holding Costs'!$D$10+'Deal Inputs'!$B$31)</f>
        <v>-14091.599999999977</v>
      </c>
      <c r="E30" s="10">
        <f>'Deal Inputs'!$B$18*(1+0)-('Deal Inputs'!$B$2+'Deal Inputs'!$B$3+'Rehab Budget'!$C$16*(1+0.1)+'Deal Inputs'!$B$13+'Holding Costs'!$D$10+'Deal Inputs'!$B$31)</f>
        <v>1658.4000000000233</v>
      </c>
      <c r="F30" s="10">
        <f>'Deal Inputs'!$B$18*(1+0.05)-('Deal Inputs'!$B$2+'Deal Inputs'!$B$3+'Rehab Budget'!$C$16*(1+0.1)+'Deal Inputs'!$B$13+'Holding Costs'!$D$10+'Deal Inputs'!$B$31)</f>
        <v>17408.400000000023</v>
      </c>
      <c r="G30" s="10">
        <f>'Deal Inputs'!$B$18*(1+0.1)-('Deal Inputs'!$B$2+'Deal Inputs'!$B$3+'Rehab Budget'!$C$16*(1+0.1)+'Deal Inputs'!$B$13+'Holding Costs'!$D$10+'Deal Inputs'!$B$31)</f>
        <v>33158.400000000023</v>
      </c>
    </row>
    <row r="31" spans="2:7" x14ac:dyDescent="0.25">
      <c r="B31" s="1" t="s">
        <v>109</v>
      </c>
      <c r="C31" s="10">
        <f>'Deal Inputs'!$B$18*(1+-0.1)-('Deal Inputs'!$B$2+'Deal Inputs'!$B$3+'Rehab Budget'!$C$16*(1+0)+'Deal Inputs'!$B$13+'Holding Costs'!$D$10+'Deal Inputs'!$B$31)</f>
        <v>-23061.599999999977</v>
      </c>
      <c r="D31" s="10">
        <f>'Deal Inputs'!$B$18*(1+-0.05)-('Deal Inputs'!$B$2+'Deal Inputs'!$B$3+'Rehab Budget'!$C$16*(1+0)+'Deal Inputs'!$B$13+'Holding Costs'!$D$10+'Deal Inputs'!$B$31)</f>
        <v>-7311.5999999999767</v>
      </c>
      <c r="E31" s="10">
        <f>'Deal Inputs'!$B$18*(1+0)-('Deal Inputs'!$B$2+'Deal Inputs'!$B$3+'Rehab Budget'!$C$16*(1+0)+'Deal Inputs'!$B$13+'Holding Costs'!$D$10+'Deal Inputs'!$B$31)</f>
        <v>8438.4000000000233</v>
      </c>
      <c r="F31" s="10">
        <f>'Deal Inputs'!$B$18*(1+0.05)-('Deal Inputs'!$B$2+'Deal Inputs'!$B$3+'Rehab Budget'!$C$16*(1+0)+'Deal Inputs'!$B$13+'Holding Costs'!$D$10+'Deal Inputs'!$B$31)</f>
        <v>24188.400000000023</v>
      </c>
      <c r="G31" s="10">
        <f>'Deal Inputs'!$B$18*(1+0.1)-('Deal Inputs'!$B$2+'Deal Inputs'!$B$3+'Rehab Budget'!$C$16*(1+0)+'Deal Inputs'!$B$13+'Holding Costs'!$D$10+'Deal Inputs'!$B$31)</f>
        <v>39938.400000000023</v>
      </c>
    </row>
    <row r="32" spans="2:7" x14ac:dyDescent="0.25">
      <c r="B32" s="1" t="s">
        <v>110</v>
      </c>
      <c r="C32" s="10">
        <f>'Deal Inputs'!$B$18*(1+-0.1)-('Deal Inputs'!$B$2+'Deal Inputs'!$B$3+'Rehab Budget'!$C$16*(1+-0.1)+'Deal Inputs'!$B$13+'Holding Costs'!$D$10+'Deal Inputs'!$B$31)</f>
        <v>-16281.599999999977</v>
      </c>
      <c r="D32" s="10">
        <f>'Deal Inputs'!$B$18*(1+-0.05)-('Deal Inputs'!$B$2+'Deal Inputs'!$B$3+'Rehab Budget'!$C$16*(1+-0.1)+'Deal Inputs'!$B$13+'Holding Costs'!$D$10+'Deal Inputs'!$B$31)</f>
        <v>-531.59999999997672</v>
      </c>
      <c r="E32" s="10">
        <f>'Deal Inputs'!$B$18*(1+0)-('Deal Inputs'!$B$2+'Deal Inputs'!$B$3+'Rehab Budget'!$C$16*(1+-0.1)+'Deal Inputs'!$B$13+'Holding Costs'!$D$10+'Deal Inputs'!$B$31)</f>
        <v>15218.400000000023</v>
      </c>
      <c r="F32" s="10">
        <f>'Deal Inputs'!$B$18*(1+0.05)-('Deal Inputs'!$B$2+'Deal Inputs'!$B$3+'Rehab Budget'!$C$16*(1+-0.1)+'Deal Inputs'!$B$13+'Holding Costs'!$D$10+'Deal Inputs'!$B$31)</f>
        <v>30968.400000000023</v>
      </c>
      <c r="G32" s="10">
        <f>'Deal Inputs'!$B$18*(1+0.1)-('Deal Inputs'!$B$2+'Deal Inputs'!$B$3+'Rehab Budget'!$C$16*(1+-0.1)+'Deal Inputs'!$B$13+'Holding Costs'!$D$10+'Deal Inputs'!$B$31)</f>
        <v>46718.400000000023</v>
      </c>
    </row>
    <row r="33" spans="2:7" x14ac:dyDescent="0.25">
      <c r="B33" s="1" t="s">
        <v>111</v>
      </c>
      <c r="C33" s="10">
        <f>'Deal Inputs'!$B$18*(1+-0.1)-('Deal Inputs'!$B$2+'Deal Inputs'!$B$3+'Rehab Budget'!$C$16*(1+-0.2)+'Deal Inputs'!$B$13+'Holding Costs'!$D$10+'Deal Inputs'!$B$31)</f>
        <v>-9501.5999999999767</v>
      </c>
      <c r="D33" s="10">
        <f>'Deal Inputs'!$B$18*(1+-0.05)-('Deal Inputs'!$B$2+'Deal Inputs'!$B$3+'Rehab Budget'!$C$16*(1+-0.2)+'Deal Inputs'!$B$13+'Holding Costs'!$D$10+'Deal Inputs'!$B$31)</f>
        <v>6248.4000000000233</v>
      </c>
      <c r="E33" s="10">
        <f>'Deal Inputs'!$B$18*(1+0)-('Deal Inputs'!$B$2+'Deal Inputs'!$B$3+'Rehab Budget'!$C$16*(1+-0.2)+'Deal Inputs'!$B$13+'Holding Costs'!$D$10+'Deal Inputs'!$B$31)</f>
        <v>21998.400000000023</v>
      </c>
      <c r="F33" s="10">
        <f>'Deal Inputs'!$B$18*(1+0.05)-('Deal Inputs'!$B$2+'Deal Inputs'!$B$3+'Rehab Budget'!$C$16*(1+-0.2)+'Deal Inputs'!$B$13+'Holding Costs'!$D$10+'Deal Inputs'!$B$31)</f>
        <v>37748.400000000023</v>
      </c>
      <c r="G33" s="10">
        <f>'Deal Inputs'!$B$18*(1+0.1)-('Deal Inputs'!$B$2+'Deal Inputs'!$B$3+'Rehab Budget'!$C$16*(1+-0.2)+'Deal Inputs'!$B$13+'Holding Costs'!$D$10+'Deal Inputs'!$B$31)</f>
        <v>53498.400000000023</v>
      </c>
    </row>
    <row r="34" spans="2:7" x14ac:dyDescent="0.25">
      <c r="B34" s="6"/>
    </row>
  </sheetData>
  <conditionalFormatting sqref="C21">
    <cfRule type="expression" dxfId="4" priority="4">
      <formula>C21="PASS"</formula>
    </cfRule>
    <cfRule type="expression" dxfId="3" priority="5">
      <formula>C21="FAIL"</formula>
    </cfRule>
  </conditionalFormatting>
  <conditionalFormatting sqref="C29:G33">
    <cfRule type="expression" dxfId="2" priority="1">
      <formula>C29&lt;=0</formula>
    </cfRule>
    <cfRule type="expression" dxfId="1" priority="2">
      <formula>AND(C29&gt;0,C29&lt;=$C$23)</formula>
    </cfRule>
    <cfRule type="expression" dxfId="0" priority="3">
      <formula>C29&gt;$C$23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J7" sqref="J7"/>
    </sheetView>
  </sheetViews>
  <sheetFormatPr defaultRowHeight="15" x14ac:dyDescent="0.25"/>
  <cols>
    <col min="1" max="1" width="7.7109375" bestFit="1" customWidth="1"/>
    <col min="2" max="7" width="22" customWidth="1"/>
  </cols>
  <sheetData>
    <row r="1" spans="1:7" x14ac:dyDescent="0.25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34</v>
      </c>
    </row>
    <row r="2" spans="1:7" x14ac:dyDescent="0.25">
      <c r="A2" s="1">
        <v>1</v>
      </c>
      <c r="B2" s="7" t="s">
        <v>118</v>
      </c>
      <c r="C2" s="7" t="s">
        <v>119</v>
      </c>
      <c r="D2" s="7" t="s">
        <v>120</v>
      </c>
      <c r="E2" s="8">
        <v>3500</v>
      </c>
      <c r="F2" s="10">
        <f>E2</f>
        <v>3500</v>
      </c>
      <c r="G2" s="7" t="s">
        <v>159</v>
      </c>
    </row>
    <row r="3" spans="1:7" x14ac:dyDescent="0.25">
      <c r="A3" s="1">
        <v>2</v>
      </c>
      <c r="B3" s="7" t="s">
        <v>121</v>
      </c>
      <c r="C3" s="7" t="s">
        <v>122</v>
      </c>
      <c r="D3" s="7" t="s">
        <v>123</v>
      </c>
      <c r="E3" s="8">
        <v>4000</v>
      </c>
      <c r="F3" s="10">
        <f t="shared" ref="F3:F21" si="0">F2+E3</f>
        <v>7500</v>
      </c>
      <c r="G3" s="7"/>
    </row>
    <row r="4" spans="1:7" x14ac:dyDescent="0.25">
      <c r="A4" s="1">
        <v>3</v>
      </c>
      <c r="B4" s="7" t="s">
        <v>124</v>
      </c>
      <c r="C4" s="7" t="s">
        <v>122</v>
      </c>
      <c r="D4" s="7" t="s">
        <v>125</v>
      </c>
      <c r="E4" s="8">
        <v>1200</v>
      </c>
      <c r="F4" s="10">
        <f t="shared" si="0"/>
        <v>8700</v>
      </c>
      <c r="G4" s="7"/>
    </row>
    <row r="5" spans="1:7" x14ac:dyDescent="0.25">
      <c r="A5" s="1">
        <v>4</v>
      </c>
      <c r="B5" s="7" t="s">
        <v>126</v>
      </c>
      <c r="C5" s="7" t="s">
        <v>127</v>
      </c>
      <c r="D5" s="7" t="s">
        <v>128</v>
      </c>
      <c r="E5" s="8">
        <v>5500</v>
      </c>
      <c r="F5" s="10">
        <f t="shared" si="0"/>
        <v>14200</v>
      </c>
      <c r="G5" s="7" t="s">
        <v>160</v>
      </c>
    </row>
    <row r="6" spans="1:7" x14ac:dyDescent="0.25">
      <c r="A6" s="1">
        <v>5</v>
      </c>
      <c r="B6" s="7" t="s">
        <v>126</v>
      </c>
      <c r="C6" s="7" t="s">
        <v>127</v>
      </c>
      <c r="D6" s="7" t="s">
        <v>129</v>
      </c>
      <c r="E6" s="8">
        <v>800</v>
      </c>
      <c r="F6" s="10">
        <f t="shared" si="0"/>
        <v>15000</v>
      </c>
      <c r="G6" s="7"/>
    </row>
    <row r="7" spans="1:7" x14ac:dyDescent="0.25">
      <c r="A7" s="1">
        <v>6</v>
      </c>
      <c r="B7" s="7" t="s">
        <v>130</v>
      </c>
      <c r="C7" s="7" t="s">
        <v>127</v>
      </c>
      <c r="D7" s="7" t="s">
        <v>131</v>
      </c>
      <c r="E7" s="8">
        <v>6200</v>
      </c>
      <c r="F7" s="10">
        <f t="shared" si="0"/>
        <v>21200</v>
      </c>
      <c r="G7" s="7"/>
    </row>
    <row r="8" spans="1:7" x14ac:dyDescent="0.25">
      <c r="A8" s="1">
        <v>7</v>
      </c>
      <c r="B8" s="7" t="s">
        <v>132</v>
      </c>
      <c r="C8" s="7" t="s">
        <v>133</v>
      </c>
      <c r="D8" s="7" t="s">
        <v>134</v>
      </c>
      <c r="E8" s="8">
        <v>4200</v>
      </c>
      <c r="F8" s="10">
        <f t="shared" si="0"/>
        <v>25400</v>
      </c>
      <c r="G8" s="7"/>
    </row>
    <row r="9" spans="1:7" x14ac:dyDescent="0.25">
      <c r="A9" s="1">
        <v>8</v>
      </c>
      <c r="B9" s="7" t="s">
        <v>135</v>
      </c>
      <c r="C9" s="7" t="s">
        <v>133</v>
      </c>
      <c r="D9" s="7" t="s">
        <v>136</v>
      </c>
      <c r="E9" s="8">
        <v>6500</v>
      </c>
      <c r="F9" s="10">
        <f t="shared" si="0"/>
        <v>31900</v>
      </c>
      <c r="G9" s="7"/>
    </row>
    <row r="10" spans="1:7" x14ac:dyDescent="0.25">
      <c r="A10" s="1">
        <v>9</v>
      </c>
      <c r="B10" s="7" t="s">
        <v>137</v>
      </c>
      <c r="C10" s="7" t="s">
        <v>133</v>
      </c>
      <c r="D10" s="7" t="s">
        <v>138</v>
      </c>
      <c r="E10" s="8">
        <v>12000</v>
      </c>
      <c r="F10" s="10">
        <f t="shared" si="0"/>
        <v>43900</v>
      </c>
      <c r="G10" s="7"/>
    </row>
    <row r="11" spans="1:7" x14ac:dyDescent="0.25">
      <c r="A11" s="1">
        <v>10</v>
      </c>
      <c r="B11" s="7" t="s">
        <v>139</v>
      </c>
      <c r="C11" s="7" t="s">
        <v>133</v>
      </c>
      <c r="D11" s="7" t="s">
        <v>39</v>
      </c>
      <c r="E11" s="8">
        <v>9000</v>
      </c>
      <c r="F11" s="10">
        <f t="shared" si="0"/>
        <v>52900</v>
      </c>
      <c r="G11" s="7"/>
    </row>
    <row r="12" spans="1:7" x14ac:dyDescent="0.25">
      <c r="A12" s="1">
        <v>11</v>
      </c>
      <c r="B12" s="7" t="s">
        <v>140</v>
      </c>
      <c r="C12" s="7" t="s">
        <v>141</v>
      </c>
      <c r="D12" s="7" t="s">
        <v>45</v>
      </c>
      <c r="E12" s="8">
        <v>1500</v>
      </c>
      <c r="F12" s="10">
        <f t="shared" si="0"/>
        <v>54400</v>
      </c>
      <c r="G12" s="7"/>
    </row>
    <row r="13" spans="1:7" x14ac:dyDescent="0.25">
      <c r="A13" s="1">
        <v>12</v>
      </c>
      <c r="B13" s="7" t="s">
        <v>142</v>
      </c>
      <c r="C13" s="7" t="s">
        <v>143</v>
      </c>
      <c r="D13" s="7" t="s">
        <v>144</v>
      </c>
      <c r="E13" s="8">
        <v>1800</v>
      </c>
      <c r="F13" s="10">
        <f t="shared" si="0"/>
        <v>56200</v>
      </c>
      <c r="G13" s="7"/>
    </row>
    <row r="14" spans="1:7" x14ac:dyDescent="0.25">
      <c r="A14" s="1">
        <v>13</v>
      </c>
      <c r="B14" s="7" t="s">
        <v>145</v>
      </c>
      <c r="C14" s="7" t="s">
        <v>143</v>
      </c>
      <c r="D14" s="7" t="s">
        <v>146</v>
      </c>
      <c r="E14" s="8">
        <v>600</v>
      </c>
      <c r="F14" s="10">
        <f t="shared" si="0"/>
        <v>56800</v>
      </c>
      <c r="G14" s="7"/>
    </row>
    <row r="15" spans="1:7" x14ac:dyDescent="0.25">
      <c r="A15" s="1">
        <v>14</v>
      </c>
      <c r="B15" s="7" t="s">
        <v>147</v>
      </c>
      <c r="C15" s="7" t="s">
        <v>148</v>
      </c>
      <c r="D15" s="7" t="s">
        <v>149</v>
      </c>
      <c r="E15" s="8">
        <v>0</v>
      </c>
      <c r="F15" s="10">
        <f t="shared" si="0"/>
        <v>56800</v>
      </c>
      <c r="G15" s="7"/>
    </row>
    <row r="16" spans="1:7" x14ac:dyDescent="0.25">
      <c r="A16" s="1">
        <v>15</v>
      </c>
      <c r="B16" s="7" t="s">
        <v>147</v>
      </c>
      <c r="C16" s="7" t="s">
        <v>148</v>
      </c>
      <c r="D16" s="7" t="s">
        <v>150</v>
      </c>
      <c r="E16" s="8">
        <v>0</v>
      </c>
      <c r="F16" s="10">
        <f t="shared" si="0"/>
        <v>56800</v>
      </c>
      <c r="G16" s="7"/>
    </row>
    <row r="17" spans="1:7" x14ac:dyDescent="0.25">
      <c r="A17" s="1">
        <v>16</v>
      </c>
      <c r="B17" s="7" t="s">
        <v>151</v>
      </c>
      <c r="C17" s="7" t="s">
        <v>148</v>
      </c>
      <c r="D17" s="7" t="s">
        <v>152</v>
      </c>
      <c r="E17" s="8">
        <v>900</v>
      </c>
      <c r="F17" s="10">
        <f t="shared" si="0"/>
        <v>57700</v>
      </c>
      <c r="G17" s="7"/>
    </row>
    <row r="18" spans="1:7" x14ac:dyDescent="0.25">
      <c r="A18" s="1">
        <v>17</v>
      </c>
      <c r="B18" s="7" t="s">
        <v>151</v>
      </c>
      <c r="C18" s="7" t="s">
        <v>148</v>
      </c>
      <c r="D18" s="7" t="s">
        <v>153</v>
      </c>
      <c r="E18" s="8">
        <v>0</v>
      </c>
      <c r="F18" s="10">
        <f t="shared" si="0"/>
        <v>57700</v>
      </c>
      <c r="G18" s="7"/>
    </row>
    <row r="19" spans="1:7" x14ac:dyDescent="0.25">
      <c r="A19" s="1">
        <v>18</v>
      </c>
      <c r="B19" s="7" t="s">
        <v>151</v>
      </c>
      <c r="C19" s="7" t="s">
        <v>154</v>
      </c>
      <c r="D19" s="7" t="s">
        <v>155</v>
      </c>
      <c r="E19" s="8">
        <v>500</v>
      </c>
      <c r="F19" s="10">
        <f t="shared" si="0"/>
        <v>58200</v>
      </c>
      <c r="G19" s="7"/>
    </row>
    <row r="20" spans="1:7" x14ac:dyDescent="0.25">
      <c r="A20" s="1">
        <v>19</v>
      </c>
      <c r="B20" s="7" t="s">
        <v>154</v>
      </c>
      <c r="C20" s="7" t="s">
        <v>154</v>
      </c>
      <c r="D20" s="7" t="s">
        <v>156</v>
      </c>
      <c r="E20" s="8">
        <v>0</v>
      </c>
      <c r="F20" s="10">
        <f t="shared" si="0"/>
        <v>58200</v>
      </c>
      <c r="G20" s="7"/>
    </row>
    <row r="21" spans="1:7" x14ac:dyDescent="0.25">
      <c r="A21" s="1">
        <v>20</v>
      </c>
      <c r="B21" s="7" t="s">
        <v>157</v>
      </c>
      <c r="C21" s="7" t="s">
        <v>154</v>
      </c>
      <c r="D21" s="7" t="s">
        <v>158</v>
      </c>
      <c r="E21" s="8">
        <v>300</v>
      </c>
      <c r="F21" s="10">
        <f t="shared" si="0"/>
        <v>58500</v>
      </c>
      <c r="G21" s="7"/>
    </row>
  </sheetData>
  <dataValidations count="1">
    <dataValidation type="list" allowBlank="1" sqref="G2:G21" xr:uid="{00000000-0002-0000-0400-000000000000}">
      <formula1>"Planned,In Progress,Done,Delayed"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Deal Inputs</vt:lpstr>
      <vt:lpstr>Rehab Budget</vt:lpstr>
      <vt:lpstr>Holding Costs</vt:lpstr>
      <vt:lpstr>Profit Analysis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Marcus Bennett</dc:creator>
  <cp:lastModifiedBy>Marcus Bennett</cp:lastModifiedBy>
  <dcterms:created xsi:type="dcterms:W3CDTF">2022-09-10T00:14:19Z</dcterms:created>
  <dcterms:modified xsi:type="dcterms:W3CDTF">2024-10-25T18:55:53Z</dcterms:modified>
  <cp:revision>1</cp:revision>
</cp:coreProperties>
</file>