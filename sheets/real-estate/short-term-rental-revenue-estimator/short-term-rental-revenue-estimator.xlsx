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My Drive\000_drive_drive\600_PROJECTS\modelstack\sheets\real-estate\short-term-rental-revenue-estimator\"/>
    </mc:Choice>
  </mc:AlternateContent>
  <xr:revisionPtr revIDLastSave="0" documentId="13_ncr:1_{E5A08615-2D6C-4808-8410-419EE8F81AB9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Property &amp; Assumptions" sheetId="1" r:id="rId1"/>
    <sheet name="Monthly Revenue" sheetId="2" r:id="rId2"/>
    <sheet name="Monthly Expenses" sheetId="3" r:id="rId3"/>
    <sheet name="Annual Summary &amp; Comparison" sheetId="4" r:id="rId4"/>
    <sheet name="Scenario Plann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5" l="1"/>
  <c r="N20" i="5"/>
  <c r="Q16" i="5"/>
  <c r="R16" i="5" s="1"/>
  <c r="T16" i="5" s="1"/>
  <c r="U16" i="5" s="1"/>
  <c r="P16" i="5"/>
  <c r="D16" i="5"/>
  <c r="E16" i="5" s="1"/>
  <c r="G16" i="5" s="1"/>
  <c r="C16" i="5"/>
  <c r="Q15" i="5"/>
  <c r="R15" i="5" s="1"/>
  <c r="T15" i="5" s="1"/>
  <c r="P15" i="5"/>
  <c r="S15" i="5" s="1"/>
  <c r="D15" i="5"/>
  <c r="E15" i="5" s="1"/>
  <c r="G15" i="5" s="1"/>
  <c r="C15" i="5"/>
  <c r="Q14" i="5"/>
  <c r="R14" i="5" s="1"/>
  <c r="T14" i="5" s="1"/>
  <c r="P14" i="5"/>
  <c r="S14" i="5" s="1"/>
  <c r="W14" i="5" s="1"/>
  <c r="D14" i="5"/>
  <c r="E14" i="5" s="1"/>
  <c r="G14" i="5" s="1"/>
  <c r="C14" i="5"/>
  <c r="Q13" i="5"/>
  <c r="R13" i="5" s="1"/>
  <c r="T13" i="5" s="1"/>
  <c r="P13" i="5"/>
  <c r="S13" i="5" s="1"/>
  <c r="D13" i="5"/>
  <c r="E13" i="5" s="1"/>
  <c r="G13" i="5" s="1"/>
  <c r="C13" i="5"/>
  <c r="R12" i="5"/>
  <c r="T12" i="5" s="1"/>
  <c r="Q12" i="5"/>
  <c r="P12" i="5"/>
  <c r="D12" i="5"/>
  <c r="E12" i="5" s="1"/>
  <c r="G12" i="5" s="1"/>
  <c r="C12" i="5"/>
  <c r="F12" i="5" s="1"/>
  <c r="Q11" i="5"/>
  <c r="R11" i="5" s="1"/>
  <c r="T11" i="5" s="1"/>
  <c r="P11" i="5"/>
  <c r="S11" i="5" s="1"/>
  <c r="E11" i="5"/>
  <c r="G11" i="5" s="1"/>
  <c r="H11" i="5" s="1"/>
  <c r="D11" i="5"/>
  <c r="C11" i="5"/>
  <c r="Q10" i="5"/>
  <c r="R10" i="5" s="1"/>
  <c r="T10" i="5" s="1"/>
  <c r="U10" i="5" s="1"/>
  <c r="P10" i="5"/>
  <c r="S10" i="5" s="1"/>
  <c r="V10" i="5" s="1"/>
  <c r="D10" i="5"/>
  <c r="E10" i="5" s="1"/>
  <c r="G10" i="5" s="1"/>
  <c r="C10" i="5"/>
  <c r="Q9" i="5"/>
  <c r="R9" i="5" s="1"/>
  <c r="T9" i="5" s="1"/>
  <c r="P9" i="5"/>
  <c r="S9" i="5" s="1"/>
  <c r="D9" i="5"/>
  <c r="E9" i="5" s="1"/>
  <c r="G9" i="5" s="1"/>
  <c r="C9" i="5"/>
  <c r="Q8" i="5"/>
  <c r="R8" i="5" s="1"/>
  <c r="T8" i="5" s="1"/>
  <c r="P8" i="5"/>
  <c r="D8" i="5"/>
  <c r="E8" i="5" s="1"/>
  <c r="G8" i="5" s="1"/>
  <c r="C8" i="5"/>
  <c r="Q7" i="5"/>
  <c r="P7" i="5"/>
  <c r="D7" i="5"/>
  <c r="E7" i="5" s="1"/>
  <c r="G7" i="5" s="1"/>
  <c r="C7" i="5"/>
  <c r="R6" i="5"/>
  <c r="T6" i="5" s="1"/>
  <c r="Q6" i="5"/>
  <c r="P6" i="5"/>
  <c r="D6" i="5"/>
  <c r="C6" i="5"/>
  <c r="Q5" i="5"/>
  <c r="R5" i="5" s="1"/>
  <c r="P5" i="5"/>
  <c r="S5" i="5" s="1"/>
  <c r="E5" i="5"/>
  <c r="F5" i="5" s="1"/>
  <c r="J5" i="5" s="1"/>
  <c r="D5" i="5"/>
  <c r="C5" i="5"/>
  <c r="B23" i="4"/>
  <c r="B22" i="4"/>
  <c r="B18" i="4"/>
  <c r="B24" i="4" s="1"/>
  <c r="N13" i="3"/>
  <c r="K13" i="3"/>
  <c r="J13" i="3"/>
  <c r="I13" i="3"/>
  <c r="H13" i="3"/>
  <c r="G13" i="3"/>
  <c r="F13" i="3"/>
  <c r="E13" i="3"/>
  <c r="N12" i="3"/>
  <c r="K12" i="3"/>
  <c r="J12" i="3"/>
  <c r="I12" i="3"/>
  <c r="H12" i="3"/>
  <c r="G12" i="3"/>
  <c r="F12" i="3"/>
  <c r="E12" i="3"/>
  <c r="O11" i="3"/>
  <c r="N11" i="3"/>
  <c r="K11" i="3"/>
  <c r="J11" i="3"/>
  <c r="I11" i="3"/>
  <c r="H11" i="3"/>
  <c r="G11" i="3"/>
  <c r="F11" i="3"/>
  <c r="E11" i="3"/>
  <c r="N10" i="3"/>
  <c r="K10" i="3"/>
  <c r="J10" i="3"/>
  <c r="I10" i="3"/>
  <c r="H10" i="3"/>
  <c r="G10" i="3"/>
  <c r="F10" i="3"/>
  <c r="E10" i="3"/>
  <c r="N9" i="3"/>
  <c r="K9" i="3"/>
  <c r="J9" i="3"/>
  <c r="I9" i="3"/>
  <c r="H9" i="3"/>
  <c r="G9" i="3"/>
  <c r="F9" i="3"/>
  <c r="E9" i="3"/>
  <c r="A9" i="3"/>
  <c r="N8" i="3"/>
  <c r="K8" i="3"/>
  <c r="J8" i="3"/>
  <c r="I8" i="3"/>
  <c r="H8" i="3"/>
  <c r="G8" i="3"/>
  <c r="F8" i="3"/>
  <c r="E8" i="3"/>
  <c r="N7" i="3"/>
  <c r="K7" i="3"/>
  <c r="J7" i="3"/>
  <c r="I7" i="3"/>
  <c r="H7" i="3"/>
  <c r="G7" i="3"/>
  <c r="F7" i="3"/>
  <c r="E7" i="3"/>
  <c r="N6" i="3"/>
  <c r="K6" i="3"/>
  <c r="J6" i="3"/>
  <c r="I6" i="3"/>
  <c r="H6" i="3"/>
  <c r="G6" i="3"/>
  <c r="F6" i="3"/>
  <c r="E6" i="3"/>
  <c r="N5" i="3"/>
  <c r="K5" i="3"/>
  <c r="J5" i="3"/>
  <c r="I5" i="3"/>
  <c r="H5" i="3"/>
  <c r="G5" i="3"/>
  <c r="F5" i="3"/>
  <c r="E5" i="3"/>
  <c r="N4" i="3"/>
  <c r="K4" i="3"/>
  <c r="J4" i="3"/>
  <c r="I4" i="3"/>
  <c r="H4" i="3"/>
  <c r="G4" i="3"/>
  <c r="F4" i="3"/>
  <c r="E4" i="3"/>
  <c r="N3" i="3"/>
  <c r="K3" i="3"/>
  <c r="J3" i="3"/>
  <c r="I3" i="3"/>
  <c r="H3" i="3"/>
  <c r="G3" i="3"/>
  <c r="F3" i="3"/>
  <c r="E3" i="3"/>
  <c r="N2" i="3"/>
  <c r="K2" i="3"/>
  <c r="J2" i="3"/>
  <c r="I2" i="3"/>
  <c r="H2" i="3"/>
  <c r="G2" i="3"/>
  <c r="F2" i="3"/>
  <c r="F14" i="3" s="1"/>
  <c r="E2" i="3"/>
  <c r="D13" i="2"/>
  <c r="E13" i="2" s="1"/>
  <c r="G13" i="2" s="1"/>
  <c r="C13" i="2"/>
  <c r="A13" i="2"/>
  <c r="A13" i="3" s="1"/>
  <c r="E12" i="2"/>
  <c r="G12" i="2" s="1"/>
  <c r="D12" i="2"/>
  <c r="C12" i="2"/>
  <c r="A12" i="2"/>
  <c r="A12" i="3" s="1"/>
  <c r="D11" i="2"/>
  <c r="E11" i="2" s="1"/>
  <c r="G11" i="2" s="1"/>
  <c r="C11" i="2"/>
  <c r="F11" i="2" s="1"/>
  <c r="A11" i="2"/>
  <c r="A11" i="3" s="1"/>
  <c r="D10" i="2"/>
  <c r="E10" i="2" s="1"/>
  <c r="C10" i="2"/>
  <c r="A10" i="2"/>
  <c r="A10" i="3" s="1"/>
  <c r="D9" i="2"/>
  <c r="E9" i="2" s="1"/>
  <c r="G9" i="2" s="1"/>
  <c r="H9" i="2" s="1"/>
  <c r="C9" i="2"/>
  <c r="F9" i="2" s="1"/>
  <c r="A9" i="2"/>
  <c r="D8" i="2"/>
  <c r="E8" i="2" s="1"/>
  <c r="G8" i="2" s="1"/>
  <c r="C8" i="2"/>
  <c r="A8" i="2"/>
  <c r="A8" i="3" s="1"/>
  <c r="D7" i="2"/>
  <c r="E7" i="2" s="1"/>
  <c r="G7" i="2" s="1"/>
  <c r="C7" i="2"/>
  <c r="A7" i="2"/>
  <c r="A7" i="3" s="1"/>
  <c r="D6" i="2"/>
  <c r="E6" i="2" s="1"/>
  <c r="C6" i="2"/>
  <c r="A6" i="2"/>
  <c r="A6" i="3" s="1"/>
  <c r="D5" i="2"/>
  <c r="E5" i="2" s="1"/>
  <c r="G5" i="2" s="1"/>
  <c r="C5" i="2"/>
  <c r="F5" i="2" s="1"/>
  <c r="A5" i="2"/>
  <c r="A5" i="3" s="1"/>
  <c r="D4" i="2"/>
  <c r="E4" i="2" s="1"/>
  <c r="C4" i="2"/>
  <c r="A4" i="2"/>
  <c r="A4" i="3" s="1"/>
  <c r="D3" i="2"/>
  <c r="E3" i="2" s="1"/>
  <c r="C3" i="2"/>
  <c r="A3" i="2"/>
  <c r="A3" i="3" s="1"/>
  <c r="E2" i="2"/>
  <c r="D2" i="2"/>
  <c r="C2" i="2"/>
  <c r="A2" i="2"/>
  <c r="A2" i="3" s="1"/>
  <c r="B9" i="1"/>
  <c r="B8" i="4" s="1"/>
  <c r="S16" i="5" l="1"/>
  <c r="V16" i="5" s="1"/>
  <c r="I9" i="2"/>
  <c r="J9" i="2"/>
  <c r="S8" i="5"/>
  <c r="W8" i="5" s="1"/>
  <c r="J14" i="3"/>
  <c r="F11" i="5"/>
  <c r="G14" i="3"/>
  <c r="H14" i="3"/>
  <c r="G5" i="5"/>
  <c r="H5" i="5" s="1"/>
  <c r="AA20" i="5"/>
  <c r="N14" i="3"/>
  <c r="O3" i="3"/>
  <c r="K14" i="3"/>
  <c r="I14" i="3"/>
  <c r="O6" i="3"/>
  <c r="E16" i="2"/>
  <c r="B43" i="4" s="1"/>
  <c r="O2" i="3"/>
  <c r="B20" i="5"/>
  <c r="S6" i="5"/>
  <c r="W6" i="5" s="1"/>
  <c r="S12" i="5"/>
  <c r="W12" i="5" s="1"/>
  <c r="F7" i="2"/>
  <c r="I7" i="2" s="1"/>
  <c r="K7" i="2" s="1"/>
  <c r="F13" i="2"/>
  <c r="F9" i="5"/>
  <c r="F15" i="5"/>
  <c r="J15" i="5" s="1"/>
  <c r="E14" i="3"/>
  <c r="O8" i="3"/>
  <c r="B19" i="4"/>
  <c r="B20" i="4"/>
  <c r="B21" i="4" s="1"/>
  <c r="J12" i="5"/>
  <c r="W15" i="5"/>
  <c r="U15" i="5"/>
  <c r="V15" i="5" s="1"/>
  <c r="X15" i="5" s="1"/>
  <c r="B7" i="3"/>
  <c r="C7" i="3"/>
  <c r="H7" i="2"/>
  <c r="C13" i="3"/>
  <c r="B13" i="3"/>
  <c r="H13" i="2"/>
  <c r="W5" i="5"/>
  <c r="H10" i="5"/>
  <c r="H16" i="5"/>
  <c r="T5" i="5"/>
  <c r="H8" i="5"/>
  <c r="U11" i="5"/>
  <c r="Y11" i="5"/>
  <c r="H14" i="5"/>
  <c r="G10" i="2"/>
  <c r="F10" i="2"/>
  <c r="G4" i="2"/>
  <c r="F4" i="2"/>
  <c r="H12" i="5"/>
  <c r="I12" i="5" s="1"/>
  <c r="H7" i="5"/>
  <c r="H12" i="2"/>
  <c r="C12" i="3"/>
  <c r="B12" i="3"/>
  <c r="W13" i="5"/>
  <c r="J13" i="2"/>
  <c r="I13" i="2"/>
  <c r="W11" i="5"/>
  <c r="V11" i="5"/>
  <c r="X11" i="5" s="1"/>
  <c r="U8" i="5"/>
  <c r="V8" i="5" s="1"/>
  <c r="X8" i="5" s="1"/>
  <c r="U14" i="5"/>
  <c r="V14" i="5" s="1"/>
  <c r="X14" i="5" s="1"/>
  <c r="X16" i="5"/>
  <c r="H13" i="5"/>
  <c r="U9" i="5"/>
  <c r="V9" i="5" s="1"/>
  <c r="X9" i="5" s="1"/>
  <c r="Y9" i="5" s="1"/>
  <c r="U13" i="5"/>
  <c r="V13" i="5" s="1"/>
  <c r="X13" i="5" s="1"/>
  <c r="J11" i="2"/>
  <c r="J5" i="2"/>
  <c r="B11" i="3"/>
  <c r="H11" i="2"/>
  <c r="I11" i="2" s="1"/>
  <c r="K11" i="2" s="1"/>
  <c r="C11" i="3"/>
  <c r="W9" i="5"/>
  <c r="G6" i="2"/>
  <c r="F6" i="2"/>
  <c r="J7" i="2"/>
  <c r="F3" i="2"/>
  <c r="G3" i="2"/>
  <c r="H8" i="2"/>
  <c r="C8" i="3"/>
  <c r="B8" i="3"/>
  <c r="C5" i="3"/>
  <c r="B5" i="3"/>
  <c r="H5" i="2"/>
  <c r="I5" i="2" s="1"/>
  <c r="K5" i="2" s="1"/>
  <c r="U6" i="5"/>
  <c r="V6" i="5" s="1"/>
  <c r="J9" i="5"/>
  <c r="I9" i="5"/>
  <c r="K9" i="5" s="1"/>
  <c r="U12" i="5"/>
  <c r="F7" i="5"/>
  <c r="H9" i="5"/>
  <c r="F13" i="5"/>
  <c r="H15" i="5"/>
  <c r="F12" i="2"/>
  <c r="O4" i="3"/>
  <c r="B9" i="3"/>
  <c r="B25" i="4"/>
  <c r="R7" i="5"/>
  <c r="T7" i="5" s="1"/>
  <c r="F8" i="5"/>
  <c r="F14" i="5"/>
  <c r="W10" i="5"/>
  <c r="X10" i="5" s="1"/>
  <c r="W16" i="5"/>
  <c r="C9" i="3"/>
  <c r="O9" i="3"/>
  <c r="B26" i="4"/>
  <c r="O7" i="3"/>
  <c r="E6" i="5"/>
  <c r="G6" i="5" s="1"/>
  <c r="E14" i="2"/>
  <c r="O12" i="3"/>
  <c r="O5" i="3"/>
  <c r="O10" i="3"/>
  <c r="F10" i="5"/>
  <c r="F16" i="5"/>
  <c r="F2" i="2"/>
  <c r="F8" i="2"/>
  <c r="G2" i="2"/>
  <c r="E15" i="2"/>
  <c r="O13" i="3"/>
  <c r="I5" i="5"/>
  <c r="K5" i="5" s="1"/>
  <c r="L5" i="5" s="1"/>
  <c r="X6" i="5" l="1"/>
  <c r="K13" i="2"/>
  <c r="S7" i="5"/>
  <c r="I11" i="5"/>
  <c r="K11" i="5" s="1"/>
  <c r="J11" i="5"/>
  <c r="O14" i="3"/>
  <c r="B37" i="4" s="1"/>
  <c r="V12" i="5"/>
  <c r="X12" i="5" s="1"/>
  <c r="Y12" i="5" s="1"/>
  <c r="Z12" i="5" s="1"/>
  <c r="I15" i="5"/>
  <c r="K15" i="5" s="1"/>
  <c r="L15" i="5" s="1"/>
  <c r="M15" i="5" s="1"/>
  <c r="K12" i="5"/>
  <c r="L12" i="5" s="1"/>
  <c r="M12" i="5" s="1"/>
  <c r="K9" i="2"/>
  <c r="Y10" i="5"/>
  <c r="Z10" i="5" s="1"/>
  <c r="Y8" i="5"/>
  <c r="Z8" i="5" s="1"/>
  <c r="Y6" i="5"/>
  <c r="Z6" i="5" s="1"/>
  <c r="D5" i="3"/>
  <c r="M5" i="3"/>
  <c r="L5" i="3"/>
  <c r="P5" i="3" s="1"/>
  <c r="Q5" i="3" s="1"/>
  <c r="Y13" i="5"/>
  <c r="Z13" i="5" s="1"/>
  <c r="Y15" i="5"/>
  <c r="Z15" i="5" s="1"/>
  <c r="Y14" i="5"/>
  <c r="Z14" i="5" s="1"/>
  <c r="J16" i="5"/>
  <c r="I16" i="5"/>
  <c r="K16" i="5" s="1"/>
  <c r="M11" i="3"/>
  <c r="L11" i="3"/>
  <c r="D11" i="3"/>
  <c r="J10" i="2"/>
  <c r="U5" i="5"/>
  <c r="V5" i="5" s="1"/>
  <c r="X5" i="5" s="1"/>
  <c r="Y5" i="5" s="1"/>
  <c r="C6" i="3"/>
  <c r="B6" i="3"/>
  <c r="H6" i="2"/>
  <c r="I6" i="2" s="1"/>
  <c r="W7" i="5"/>
  <c r="V7" i="5"/>
  <c r="X7" i="5" s="1"/>
  <c r="Y7" i="5" s="1"/>
  <c r="Z9" i="5"/>
  <c r="J6" i="2"/>
  <c r="AA21" i="5"/>
  <c r="J7" i="5"/>
  <c r="I7" i="5"/>
  <c r="K7" i="5" s="1"/>
  <c r="U7" i="5"/>
  <c r="H2" i="2"/>
  <c r="I2" i="2" s="1"/>
  <c r="C2" i="3"/>
  <c r="B2" i="3"/>
  <c r="D7" i="3"/>
  <c r="M7" i="3"/>
  <c r="L7" i="3"/>
  <c r="J4" i="2"/>
  <c r="C10" i="3"/>
  <c r="H10" i="2"/>
  <c r="I10" i="2" s="1"/>
  <c r="B10" i="3"/>
  <c r="J14" i="5"/>
  <c r="I14" i="5"/>
  <c r="K14" i="5" s="1"/>
  <c r="H6" i="5"/>
  <c r="Y16" i="5"/>
  <c r="Z16" i="5" s="1"/>
  <c r="Z11" i="5"/>
  <c r="D13" i="3"/>
  <c r="M13" i="3"/>
  <c r="L13" i="3"/>
  <c r="J10" i="5"/>
  <c r="I10" i="5"/>
  <c r="J12" i="2"/>
  <c r="I12" i="2"/>
  <c r="K12" i="2" s="1"/>
  <c r="H4" i="2"/>
  <c r="I4" i="2" s="1"/>
  <c r="K4" i="2" s="1"/>
  <c r="B4" i="3"/>
  <c r="C4" i="3"/>
  <c r="J13" i="5"/>
  <c r="I13" i="5"/>
  <c r="K13" i="5" s="1"/>
  <c r="M5" i="5"/>
  <c r="L9" i="5"/>
  <c r="M9" i="5" s="1"/>
  <c r="J8" i="5"/>
  <c r="I8" i="5"/>
  <c r="I8" i="2"/>
  <c r="J8" i="2"/>
  <c r="C31" i="4"/>
  <c r="B27" i="4"/>
  <c r="H3" i="2"/>
  <c r="I3" i="2" s="1"/>
  <c r="K3" i="2" s="1"/>
  <c r="C3" i="3"/>
  <c r="B3" i="3"/>
  <c r="N21" i="5"/>
  <c r="F14" i="2"/>
  <c r="E17" i="2" s="1"/>
  <c r="J2" i="2"/>
  <c r="J3" i="2"/>
  <c r="AA19" i="5"/>
  <c r="F6" i="5"/>
  <c r="B19" i="5" s="1"/>
  <c r="L9" i="3" l="1"/>
  <c r="D9" i="3"/>
  <c r="M9" i="3"/>
  <c r="K6" i="2"/>
  <c r="P7" i="3"/>
  <c r="Q7" i="3" s="1"/>
  <c r="C14" i="3"/>
  <c r="L11" i="5"/>
  <c r="M11" i="5"/>
  <c r="K10" i="2"/>
  <c r="D10" i="3" s="1"/>
  <c r="B13" i="4"/>
  <c r="P13" i="3"/>
  <c r="Q13" i="3" s="1"/>
  <c r="K10" i="5"/>
  <c r="L10" i="5" s="1"/>
  <c r="M10" i="5" s="1"/>
  <c r="K8" i="5"/>
  <c r="P11" i="3"/>
  <c r="Q11" i="3" s="1"/>
  <c r="N19" i="5"/>
  <c r="B40" i="4"/>
  <c r="M6" i="3"/>
  <c r="L6" i="3"/>
  <c r="D6" i="3"/>
  <c r="P6" i="3" s="1"/>
  <c r="Q6" i="3" s="1"/>
  <c r="I14" i="2"/>
  <c r="B3" i="4" s="1"/>
  <c r="K2" i="2"/>
  <c r="M4" i="3"/>
  <c r="L4" i="3"/>
  <c r="D4" i="3"/>
  <c r="P4" i="3" s="1"/>
  <c r="Q4" i="3" s="1"/>
  <c r="AA23" i="5"/>
  <c r="L14" i="5"/>
  <c r="M14" i="5" s="1"/>
  <c r="D3" i="3"/>
  <c r="M3" i="3"/>
  <c r="L3" i="3"/>
  <c r="L16" i="5"/>
  <c r="M16" i="5" s="1"/>
  <c r="J14" i="2"/>
  <c r="B4" i="4" s="1"/>
  <c r="L7" i="5"/>
  <c r="M7" i="5" s="1"/>
  <c r="Z7" i="5"/>
  <c r="K8" i="2"/>
  <c r="AA22" i="5"/>
  <c r="Z5" i="5"/>
  <c r="AA24" i="5" s="1"/>
  <c r="L13" i="5"/>
  <c r="M13" i="5" s="1"/>
  <c r="D12" i="3"/>
  <c r="M12" i="3"/>
  <c r="L12" i="3"/>
  <c r="L8" i="5"/>
  <c r="M8" i="5" s="1"/>
  <c r="B14" i="3"/>
  <c r="I6" i="5"/>
  <c r="K6" i="5" s="1"/>
  <c r="J6" i="5"/>
  <c r="B21" i="5"/>
  <c r="B36" i="4"/>
  <c r="C30" i="4"/>
  <c r="B28" i="4"/>
  <c r="C32" i="4" s="1"/>
  <c r="C33" i="4"/>
  <c r="P3" i="3" l="1"/>
  <c r="Q3" i="3" s="1"/>
  <c r="L10" i="3"/>
  <c r="P10" i="3" s="1"/>
  <c r="Q10" i="3" s="1"/>
  <c r="P9" i="3"/>
  <c r="Q9" i="3" s="1"/>
  <c r="M10" i="3"/>
  <c r="D8" i="3"/>
  <c r="M8" i="3"/>
  <c r="L8" i="3"/>
  <c r="B22" i="5"/>
  <c r="L6" i="5"/>
  <c r="B23" i="5" s="1"/>
  <c r="K14" i="2"/>
  <c r="D2" i="3"/>
  <c r="L2" i="3"/>
  <c r="M2" i="3"/>
  <c r="P12" i="3"/>
  <c r="Q12" i="3" s="1"/>
  <c r="B12" i="4"/>
  <c r="L14" i="3" l="1"/>
  <c r="B5" i="4"/>
  <c r="N22" i="5"/>
  <c r="M6" i="5"/>
  <c r="B24" i="5" s="1"/>
  <c r="B25" i="5" s="1"/>
  <c r="P8" i="3"/>
  <c r="Q8" i="3" s="1"/>
  <c r="D14" i="3"/>
  <c r="P2" i="3"/>
  <c r="M14" i="3"/>
  <c r="P14" i="3" l="1"/>
  <c r="Q2" i="3"/>
  <c r="Q14" i="3" s="1"/>
  <c r="N24" i="5" s="1"/>
  <c r="B38" i="4"/>
  <c r="B39" i="4" s="1"/>
  <c r="B41" i="4" s="1"/>
  <c r="B42" i="4" s="1"/>
  <c r="B6" i="4" l="1"/>
  <c r="B7" i="4" s="1"/>
  <c r="N23" i="5"/>
  <c r="B15" i="4"/>
  <c r="B9" i="4" l="1"/>
  <c r="D31" i="4"/>
  <c r="B31" i="4"/>
  <c r="B11" i="4"/>
  <c r="D30" i="4" l="1"/>
  <c r="B30" i="4"/>
  <c r="B14" i="4"/>
  <c r="B10" i="4"/>
  <c r="N25" i="5" l="1"/>
  <c r="B32" i="4"/>
  <c r="D32" i="4"/>
  <c r="D33" i="4"/>
  <c r="B33" i="4"/>
</calcChain>
</file>

<file path=xl/sharedStrings.xml><?xml version="1.0" encoding="utf-8"?>
<sst xmlns="http://schemas.openxmlformats.org/spreadsheetml/2006/main" count="156" uniqueCount="131">
  <si>
    <t>Property Name / Address</t>
  </si>
  <si>
    <t>Lake House on Cedar Rd</t>
  </si>
  <si>
    <t>Property Type</t>
  </si>
  <si>
    <t>Entire Home</t>
  </si>
  <si>
    <t>Bedrooms</t>
  </si>
  <si>
    <t>Max Guests</t>
  </si>
  <si>
    <t>Purchase Price</t>
  </si>
  <si>
    <t>Down Payment (%)</t>
  </si>
  <si>
    <t>Mortgage Rate</t>
  </si>
  <si>
    <t>Loan Term (years)</t>
  </si>
  <si>
    <t>Monthly Mortgage (P&amp;I)</t>
  </si>
  <si>
    <t>Month</t>
  </si>
  <si>
    <t>Nightly Rate</t>
  </si>
  <si>
    <t>Occupancy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</si>
  <si>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</si>
  <si>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</si>
  <si>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</si>
  <si>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</si>
  <si>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</si>
  <si>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</si>
  <si>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</si>
  <si>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</si>
  <si>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</si>
  <si>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</si>
  <si>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</si>
  <si>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</si>
  <si>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Platform Fee (% of booking)</t>
  </si>
  <si>
    <t>Cleaning Fee Charged to Guest</t>
  </si>
  <si>
    <t>Cleaning Cost (your cost)</t>
  </si>
  <si>
    <t>Average Stay Length (nights)</t>
  </si>
  <si>
    <t>Property Management (%)</t>
  </si>
  <si>
    <t>Supplies per Turnover</t>
  </si>
  <si>
    <t>Property Tax (monthly)</t>
  </si>
  <si>
    <t>Insurance (STR)</t>
  </si>
  <si>
    <t>HOA</t>
  </si>
  <si>
    <t>Utilities</t>
  </si>
  <si>
    <t>Internet / Streaming</t>
  </si>
  <si>
    <t>Lawn / Pool / Maintenance</t>
  </si>
  <si>
    <t>Pest Control</t>
  </si>
  <si>
    <t>Maint Reserve (% net rev)</t>
  </si>
  <si>
    <t>CapEx Reserve (% net rev)</t>
  </si>
  <si>
    <t>Other (monthly)</t>
  </si>
  <si>
    <t>Comparable Long-Term Rent (monthly)</t>
  </si>
  <si>
    <t>LTR Vacancy Rate</t>
  </si>
  <si>
    <t>LTR Management Fee (%)</t>
  </si>
  <si>
    <t>Est. STR hours / year (for $/hr)</t>
  </si>
  <si>
    <t>Est. LTR hours / year (for $/hr)</t>
  </si>
  <si>
    <t>Days</t>
  </si>
  <si>
    <t>Nightly</t>
  </si>
  <si>
    <t>Occ %</t>
  </si>
  <si>
    <t>Occ Nights</t>
  </si>
  <si>
    <t>Gross Book</t>
  </si>
  <si>
    <t>Turnovers</t>
  </si>
  <si>
    <t>Clean Rev</t>
  </si>
  <si>
    <t>Tot Gross</t>
  </si>
  <si>
    <t>Platform</t>
  </si>
  <si>
    <t>Net Rev</t>
  </si>
  <si>
    <t>Annual</t>
  </si>
  <si>
    <t>Avg occ nights / mo</t>
  </si>
  <si>
    <t>Annual occupancy</t>
  </si>
  <si>
    <t>Blended nightly (gross book / occ nights)</t>
  </si>
  <si>
    <t>Cleaning</t>
  </si>
  <si>
    <t>Supplies</t>
  </si>
  <si>
    <t>Mgmt</t>
  </si>
  <si>
    <t>Tax</t>
  </si>
  <si>
    <t>Ins</t>
  </si>
  <si>
    <t>Util</t>
  </si>
  <si>
    <t>Internet</t>
  </si>
  <si>
    <t>Lawn</t>
  </si>
  <si>
    <t>Pest</t>
  </si>
  <si>
    <t>MaintR</t>
  </si>
  <si>
    <t>CapR</t>
  </si>
  <si>
    <t>Other</t>
  </si>
  <si>
    <t>Mortg</t>
  </si>
  <si>
    <t>Tot</t>
  </si>
  <si>
    <t>NetCF</t>
  </si>
  <si>
    <t>STR (annual)</t>
  </si>
  <si>
    <t>Gross revenue (total gross)</t>
  </si>
  <si>
    <t>Platform fees (abs)</t>
  </si>
  <si>
    <t>Net revenue</t>
  </si>
  <si>
    <t>Operating expenses (ex-mortgage)</t>
  </si>
  <si>
    <t>NOI (net rev - opex ex loan)</t>
  </si>
  <si>
    <t>Mortgage (annual P&amp;I)</t>
  </si>
  <si>
    <t>Cash flow after debt</t>
  </si>
  <si>
    <t>Cash-on-cash return</t>
  </si>
  <si>
    <t>Cap rate (NOI / price)</t>
  </si>
  <si>
    <t>RevPAN (gross / 365)</t>
  </si>
  <si>
    <t>Revenue per occupied night (gross book)</t>
  </si>
  <si>
    <t>Avg monthly cash flow</t>
  </si>
  <si>
    <t>Expense ratio (total exp / gross)</t>
  </si>
  <si>
    <t>LTR (annual)</t>
  </si>
  <si>
    <t>Gross rent</t>
  </si>
  <si>
    <t>Vacancy loss</t>
  </si>
  <si>
    <t>Effective gross income</t>
  </si>
  <si>
    <t>Management fee</t>
  </si>
  <si>
    <t>Property tax</t>
  </si>
  <si>
    <t>Insurance (LTR est.)</t>
  </si>
  <si>
    <t>Maintenance (5% of gross rent)</t>
  </si>
  <si>
    <t>NOI</t>
  </si>
  <si>
    <t>Compare (STR vs LTR)</t>
  </si>
  <si>
    <t>Annual cash flow after debt</t>
  </si>
  <si>
    <t>Cash-on-cash</t>
  </si>
  <si>
    <t>Break-even vs LTR cash flow</t>
  </si>
  <si>
    <t>LTR annual cash flow (target)</t>
  </si>
  <si>
    <t>STR fixed costs (annual)</t>
  </si>
  <si>
    <t>STR variable costs (annual)</t>
  </si>
  <si>
    <t>Variable cost per occupied night</t>
  </si>
  <si>
    <t>Break-even occupied nights (approx.)</t>
  </si>
  <si>
    <t>Break-even occupancy (approx.)</t>
  </si>
  <si>
    <t>Current annual occupancy</t>
  </si>
  <si>
    <t>Scenario Planner</t>
  </si>
  <si>
    <t>Conservative (-15% rate, -10 pts occ)</t>
  </si>
  <si>
    <t>Base (actuals)</t>
  </si>
  <si>
    <t>Optimistic (+10% rate, +5 pts occ)</t>
  </si>
  <si>
    <t>Rate</t>
  </si>
  <si>
    <t>Occ</t>
  </si>
  <si>
    <t>OccN</t>
  </si>
  <si>
    <t>GrossBk</t>
  </si>
  <si>
    <t>Turns</t>
  </si>
  <si>
    <t>Clean$</t>
  </si>
  <si>
    <t>TotG</t>
  </si>
  <si>
    <t>Plat</t>
  </si>
  <si>
    <t>NetRev</t>
  </si>
  <si>
    <t>Expense</t>
  </si>
  <si>
    <t>Avg nightly (gross book / occ nights)</t>
  </si>
  <si>
    <t>Avg occupancy (simple average of months)</t>
  </si>
  <si>
    <t>Gross booking revenue (annual)</t>
  </si>
  <si>
    <t>Net revenue (annual)</t>
  </si>
  <si>
    <t>Total expenses (annual)</t>
  </si>
  <si>
    <t>Cash flow (annual)</t>
  </si>
  <si>
    <t>You need Base case or better to beat long-term rent at your current LTR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</si>
</sst>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1B3330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i/>
      <sz val="10"/>
      <color rgb="FF616161"/>
      <name val="Calibri"/>
      <family val="2"/>
    </font>
    <font>
      <b/>
      <sz val="14"/>
      <name val="Calibri"/>
      <family val="2"/>
    </font>
    <font>
      <sz val="11"/>
      <color rgb="FF4472C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2DFD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" fontId="1" fillId="0" borderId="0" xfId="0" applyNumberFormat="1" applyFont="1"/>
    <xf numFmtId="0" fontId="5" fillId="0" borderId="0" xfId="0" applyFont="1"/>
    <xf numFmtId="0" fontId="6" fillId="0" borderId="0" xfId="0" applyFont="1"/>
    <xf numFmtId="1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4" fontId="7" fillId="0" borderId="0" xfId="0" applyNumberFormat="1" applyFont="1"/>
    <xf numFmtId="166" fontId="0" fillId="3" borderId="0" xfId="0" applyNumberFormat="1" applyFill="1"/>
    <xf numFmtId="165" fontId="0" fillId="3" borderId="0" xfId="0" applyNumberFormat="1" applyFill="1"/>
    <xf numFmtId="166" fontId="1" fillId="3" borderId="0" xfId="0" applyNumberFormat="1" applyFont="1" applyFill="1"/>
    <xf numFmtId="2" fontId="1" fillId="3" borderId="0" xfId="0" applyNumberFormat="1" applyFont="1" applyFill="1"/>
    <xf numFmtId="164" fontId="0" fillId="3" borderId="0" xfId="0" applyNumberFormat="1" applyFill="1"/>
    <xf numFmtId="1" fontId="0" fillId="3" borderId="0" xfId="0" applyNumberFormat="1" applyFill="1"/>
    <xf numFmtId="0" fontId="7" fillId="0" borderId="0" xfId="0" applyFont="1"/>
    <xf numFmtId="166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7"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>
      <selection activeCell="B5" sqref="B5"/>
    </sheetView>
  </sheetViews>
  <sheetFormatPr defaultRowHeight="15" x14ac:dyDescent="0.25"/>
  <cols>
    <col min="1" max="1" width="34" customWidth="1"/>
    <col min="2" max="2" width="22.42578125" bestFit="1" customWidth="1"/>
    <col min="3" max="3" width="10.42578125" bestFit="1" customWidth="1"/>
  </cols>
  <sheetData>
    <row r="1" spans="1:3" x14ac:dyDescent="0.25">
      <c r="A1" s="3" t="s">
        <v>0</v>
      </c>
      <c r="B1" s="22" t="s">
        <v>1</v>
      </c>
    </row>
    <row r="2" spans="1:3" x14ac:dyDescent="0.25">
      <c r="A2" s="3" t="s">
        <v>2</v>
      </c>
      <c r="B2" s="22" t="s">
        <v>3</v>
      </c>
    </row>
    <row r="3" spans="1:3" x14ac:dyDescent="0.25">
      <c r="A3" s="1" t="s">
        <v>4</v>
      </c>
      <c r="B3" s="8">
        <v>3</v>
      </c>
    </row>
    <row r="4" spans="1:3" x14ac:dyDescent="0.25">
      <c r="A4" s="1" t="s">
        <v>5</v>
      </c>
      <c r="B4" s="8">
        <v>8</v>
      </c>
    </row>
    <row r="5" spans="1:3" x14ac:dyDescent="0.25">
      <c r="A5" s="1" t="s">
        <v>6</v>
      </c>
      <c r="B5" s="9">
        <v>340000</v>
      </c>
    </row>
    <row r="6" spans="1:3" x14ac:dyDescent="0.25">
      <c r="A6" s="1" t="s">
        <v>7</v>
      </c>
      <c r="B6" s="10">
        <v>0.2</v>
      </c>
    </row>
    <row r="7" spans="1:3" x14ac:dyDescent="0.25">
      <c r="A7" s="1" t="s">
        <v>8</v>
      </c>
      <c r="B7" s="10">
        <v>7.0000000000000007E-2</v>
      </c>
    </row>
    <row r="8" spans="1:3" x14ac:dyDescent="0.25">
      <c r="A8" s="1" t="s">
        <v>9</v>
      </c>
      <c r="B8" s="8">
        <v>30</v>
      </c>
    </row>
    <row r="9" spans="1:3" x14ac:dyDescent="0.25">
      <c r="A9" s="1" t="s">
        <v>10</v>
      </c>
      <c r="B9" s="11">
        <f>IF(B5=0,0,PMT(B7/12,B8*12,-(B5*(1-B6))))</f>
        <v>1809.6227868873782</v>
      </c>
    </row>
    <row r="11" spans="1:3" x14ac:dyDescent="0.25">
      <c r="A11" s="2" t="s">
        <v>11</v>
      </c>
      <c r="B11" s="2" t="s">
        <v>12</v>
      </c>
      <c r="C11" s="2" t="s">
        <v>13</v>
      </c>
    </row>
    <row r="12" spans="1:3" x14ac:dyDescent="0.25">
      <c r="A12" s="1" t="s">
        <v>14</v>
      </c>
      <c r="B12" s="12">
        <v>135</v>
      </c>
      <c r="C12" s="13">
        <v>0.35</v>
      </c>
    </row>
    <row r="13" spans="1:3" x14ac:dyDescent="0.25">
      <c r="A13" s="1" t="s">
        <v>15</v>
      </c>
      <c r="B13" s="12">
        <v>135</v>
      </c>
      <c r="C13" s="13">
        <v>0.38</v>
      </c>
    </row>
    <row r="14" spans="1:3" x14ac:dyDescent="0.25">
      <c r="A14" s="1" t="s">
        <v>16</v>
      </c>
      <c r="B14" s="12">
        <v>155</v>
      </c>
      <c r="C14" s="13">
        <v>0.52</v>
      </c>
    </row>
    <row r="15" spans="1:3" x14ac:dyDescent="0.25">
      <c r="A15" s="1" t="s">
        <v>17</v>
      </c>
      <c r="B15" s="12">
        <v>165</v>
      </c>
      <c r="C15" s="13">
        <v>0.55000000000000004</v>
      </c>
    </row>
    <row r="16" spans="1:3" x14ac:dyDescent="0.25">
      <c r="A16" s="1" t="s">
        <v>18</v>
      </c>
      <c r="B16" s="12">
        <v>195</v>
      </c>
      <c r="C16" s="13">
        <v>0.72</v>
      </c>
    </row>
    <row r="17" spans="1:3" x14ac:dyDescent="0.25">
      <c r="A17" s="1" t="s">
        <v>19</v>
      </c>
      <c r="B17" s="12">
        <v>245</v>
      </c>
      <c r="C17" s="13">
        <v>0.88</v>
      </c>
    </row>
    <row r="18" spans="1:3" x14ac:dyDescent="0.25">
      <c r="A18" s="1" t="s">
        <v>20</v>
      </c>
      <c r="B18" s="12">
        <v>265</v>
      </c>
      <c r="C18" s="13">
        <v>0.92</v>
      </c>
    </row>
    <row r="19" spans="1:3" x14ac:dyDescent="0.25">
      <c r="A19" s="1" t="s">
        <v>21</v>
      </c>
      <c r="B19" s="12">
        <v>255</v>
      </c>
      <c r="C19" s="13">
        <v>0.9</v>
      </c>
    </row>
    <row r="20" spans="1:3" x14ac:dyDescent="0.25">
      <c r="A20" s="1" t="s">
        <v>22</v>
      </c>
      <c r="B20" s="12">
        <v>195</v>
      </c>
      <c r="C20" s="13">
        <v>0.68</v>
      </c>
    </row>
    <row r="21" spans="1:3" x14ac:dyDescent="0.25">
      <c r="A21" s="1" t="s">
        <v>23</v>
      </c>
      <c r="B21" s="12">
        <v>175</v>
      </c>
      <c r="C21" s="13">
        <v>0.57999999999999996</v>
      </c>
    </row>
    <row r="22" spans="1:3" x14ac:dyDescent="0.25">
      <c r="A22" s="1" t="s">
        <v>24</v>
      </c>
      <c r="B22" s="12">
        <v>145</v>
      </c>
      <c r="C22" s="13">
        <v>0.4</v>
      </c>
    </row>
    <row r="23" spans="1:3" x14ac:dyDescent="0.25">
      <c r="A23" s="1" t="s">
        <v>25</v>
      </c>
      <c r="B23" s="12">
        <v>165</v>
      </c>
      <c r="C23" s="13">
        <v>0.55000000000000004</v>
      </c>
    </row>
    <row r="26" spans="1:3" x14ac:dyDescent="0.25">
      <c r="A26" s="1" t="s">
        <v>26</v>
      </c>
      <c r="B26" s="10">
        <v>0.03</v>
      </c>
    </row>
    <row r="27" spans="1:3" x14ac:dyDescent="0.25">
      <c r="A27" s="1" t="s">
        <v>27</v>
      </c>
      <c r="B27" s="14">
        <v>150</v>
      </c>
    </row>
    <row r="28" spans="1:3" x14ac:dyDescent="0.25">
      <c r="A28" s="1" t="s">
        <v>28</v>
      </c>
      <c r="B28" s="14">
        <v>120</v>
      </c>
    </row>
    <row r="29" spans="1:3" x14ac:dyDescent="0.25">
      <c r="A29" s="1" t="s">
        <v>29</v>
      </c>
      <c r="B29" s="15">
        <v>3.5</v>
      </c>
    </row>
    <row r="30" spans="1:3" x14ac:dyDescent="0.25">
      <c r="A30" s="1" t="s">
        <v>30</v>
      </c>
      <c r="B30" s="10">
        <v>0.2</v>
      </c>
    </row>
    <row r="31" spans="1:3" x14ac:dyDescent="0.25">
      <c r="A31" s="1" t="s">
        <v>31</v>
      </c>
      <c r="B31" s="14">
        <v>25</v>
      </c>
    </row>
    <row r="34" spans="1:2" x14ac:dyDescent="0.25">
      <c r="A34" s="1" t="s">
        <v>32</v>
      </c>
      <c r="B34" s="9">
        <v>350</v>
      </c>
    </row>
    <row r="35" spans="1:2" x14ac:dyDescent="0.25">
      <c r="A35" s="1" t="s">
        <v>33</v>
      </c>
      <c r="B35" s="9">
        <v>210</v>
      </c>
    </row>
    <row r="36" spans="1:2" x14ac:dyDescent="0.25">
      <c r="A36" s="1" t="s">
        <v>34</v>
      </c>
      <c r="B36" s="9">
        <v>0</v>
      </c>
    </row>
    <row r="37" spans="1:2" x14ac:dyDescent="0.25">
      <c r="A37" s="1" t="s">
        <v>35</v>
      </c>
      <c r="B37" s="9">
        <v>320</v>
      </c>
    </row>
    <row r="38" spans="1:2" x14ac:dyDescent="0.25">
      <c r="A38" s="1" t="s">
        <v>36</v>
      </c>
      <c r="B38" s="9">
        <v>95</v>
      </c>
    </row>
    <row r="39" spans="1:2" x14ac:dyDescent="0.25">
      <c r="A39" s="1" t="s">
        <v>37</v>
      </c>
      <c r="B39" s="9">
        <v>150</v>
      </c>
    </row>
    <row r="40" spans="1:2" x14ac:dyDescent="0.25">
      <c r="A40" s="1" t="s">
        <v>38</v>
      </c>
      <c r="B40" s="9">
        <v>35</v>
      </c>
    </row>
    <row r="41" spans="1:2" x14ac:dyDescent="0.25">
      <c r="A41" s="1" t="s">
        <v>39</v>
      </c>
      <c r="B41" s="10">
        <v>0.05</v>
      </c>
    </row>
    <row r="42" spans="1:2" x14ac:dyDescent="0.25">
      <c r="A42" s="1" t="s">
        <v>40</v>
      </c>
      <c r="B42" s="10">
        <v>0.03</v>
      </c>
    </row>
    <row r="43" spans="1:2" x14ac:dyDescent="0.25">
      <c r="A43" s="1" t="s">
        <v>41</v>
      </c>
      <c r="B43" s="9">
        <v>0</v>
      </c>
    </row>
    <row r="46" spans="1:2" x14ac:dyDescent="0.25">
      <c r="A46" s="1" t="s">
        <v>42</v>
      </c>
      <c r="B46" s="16">
        <v>1850</v>
      </c>
    </row>
    <row r="47" spans="1:2" x14ac:dyDescent="0.25">
      <c r="A47" s="1" t="s">
        <v>43</v>
      </c>
      <c r="B47" s="13">
        <v>0.05</v>
      </c>
    </row>
    <row r="48" spans="1:2" x14ac:dyDescent="0.25">
      <c r="A48" s="1" t="s">
        <v>44</v>
      </c>
      <c r="B48" s="13">
        <v>0.08</v>
      </c>
    </row>
    <row r="50" spans="1:2" x14ac:dyDescent="0.25">
      <c r="A50" s="1" t="s">
        <v>45</v>
      </c>
      <c r="B50" s="17">
        <v>200</v>
      </c>
    </row>
    <row r="51" spans="1:2" x14ac:dyDescent="0.25">
      <c r="A51" s="1" t="s">
        <v>46</v>
      </c>
      <c r="B51" s="17">
        <v>12</v>
      </c>
    </row>
  </sheetData>
  <dataValidations count="1">
    <dataValidation type="list" allowBlank="1" sqref="B2" xr:uid="{00000000-0002-0000-0000-000000000000}">
      <formula1>"Entire Home,Private Room,Guest Suite"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26.85546875" customWidth="1"/>
    <col min="2" max="2" width="5.140625" bestFit="1" customWidth="1"/>
    <col min="3" max="11" width="14.7109375" customWidth="1"/>
  </cols>
  <sheetData>
    <row r="1" spans="1:11" x14ac:dyDescent="0.25">
      <c r="A1" s="2" t="s">
        <v>11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</row>
    <row r="2" spans="1:11" x14ac:dyDescent="0.25">
      <c r="A2" s="18" t="str">
        <f>'Property &amp; Assumptions'!A12</f>
        <v>January</v>
      </c>
      <c r="B2" s="1">
        <v>31</v>
      </c>
      <c r="C2" s="19">
        <f>'Property &amp; Assumptions'!B12</f>
        <v>135</v>
      </c>
      <c r="D2" s="20">
        <f>'Property &amp; Assumptions'!C12</f>
        <v>0.35</v>
      </c>
      <c r="E2" s="18">
        <f t="shared" ref="E2:E13" si="0">B2*D2</f>
        <v>10.85</v>
      </c>
      <c r="F2" s="19">
        <f t="shared" ref="F2:F13" si="1">C2*E2</f>
        <v>1464.75</v>
      </c>
      <c r="G2" s="18">
        <f>ROUND(E2/'Property &amp; Assumptions'!$B$29,0)</f>
        <v>3</v>
      </c>
      <c r="H2" s="19">
        <f>G2*'Property &amp; Assumptions'!$B$27</f>
        <v>450</v>
      </c>
      <c r="I2" s="19">
        <f t="shared" ref="I2:I13" si="2">F2+H2</f>
        <v>1914.75</v>
      </c>
      <c r="J2" s="19">
        <f>-F2*'Property &amp; Assumptions'!$B$26</f>
        <v>-43.942499999999995</v>
      </c>
      <c r="K2" s="19">
        <f t="shared" ref="K2:K13" si="3">I2+J2</f>
        <v>1870.8074999999999</v>
      </c>
    </row>
    <row r="3" spans="1:11" x14ac:dyDescent="0.25">
      <c r="A3" s="18" t="str">
        <f>'Property &amp; Assumptions'!A13</f>
        <v>February</v>
      </c>
      <c r="B3" s="1">
        <v>28</v>
      </c>
      <c r="C3" s="19">
        <f>'Property &amp; Assumptions'!B13</f>
        <v>135</v>
      </c>
      <c r="D3" s="20">
        <f>'Property &amp; Assumptions'!C13</f>
        <v>0.38</v>
      </c>
      <c r="E3" s="18">
        <f t="shared" si="0"/>
        <v>10.64</v>
      </c>
      <c r="F3" s="19">
        <f t="shared" si="1"/>
        <v>1436.4</v>
      </c>
      <c r="G3" s="18">
        <f>ROUND(E3/'Property &amp; Assumptions'!$B$29,0)</f>
        <v>3</v>
      </c>
      <c r="H3" s="19">
        <f>G3*'Property &amp; Assumptions'!$B$27</f>
        <v>450</v>
      </c>
      <c r="I3" s="19">
        <f t="shared" si="2"/>
        <v>1886.4</v>
      </c>
      <c r="J3" s="19">
        <f>-F3*'Property &amp; Assumptions'!$B$26</f>
        <v>-43.091999999999999</v>
      </c>
      <c r="K3" s="19">
        <f t="shared" si="3"/>
        <v>1843.308</v>
      </c>
    </row>
    <row r="4" spans="1:11" x14ac:dyDescent="0.25">
      <c r="A4" s="18" t="str">
        <f>'Property &amp; Assumptions'!A14</f>
        <v>March</v>
      </c>
      <c r="B4" s="1">
        <v>31</v>
      </c>
      <c r="C4" s="19">
        <f>'Property &amp; Assumptions'!B14</f>
        <v>155</v>
      </c>
      <c r="D4" s="20">
        <f>'Property &amp; Assumptions'!C14</f>
        <v>0.52</v>
      </c>
      <c r="E4" s="18">
        <f t="shared" si="0"/>
        <v>16.12</v>
      </c>
      <c r="F4" s="19">
        <f t="shared" si="1"/>
        <v>2498.6000000000004</v>
      </c>
      <c r="G4" s="18">
        <f>ROUND(E4/'Property &amp; Assumptions'!$B$29,0)</f>
        <v>5</v>
      </c>
      <c r="H4" s="19">
        <f>G4*'Property &amp; Assumptions'!$B$27</f>
        <v>750</v>
      </c>
      <c r="I4" s="19">
        <f t="shared" si="2"/>
        <v>3248.6000000000004</v>
      </c>
      <c r="J4" s="19">
        <f>-F4*'Property &amp; Assumptions'!$B$26</f>
        <v>-74.958000000000013</v>
      </c>
      <c r="K4" s="19">
        <f t="shared" si="3"/>
        <v>3173.6420000000003</v>
      </c>
    </row>
    <row r="5" spans="1:11" x14ac:dyDescent="0.25">
      <c r="A5" s="18" t="str">
        <f>'Property &amp; Assumptions'!A15</f>
        <v>April</v>
      </c>
      <c r="B5" s="1">
        <v>30</v>
      </c>
      <c r="C5" s="19">
        <f>'Property &amp; Assumptions'!B15</f>
        <v>165</v>
      </c>
      <c r="D5" s="20">
        <f>'Property &amp; Assumptions'!C15</f>
        <v>0.55000000000000004</v>
      </c>
      <c r="E5" s="18">
        <f t="shared" si="0"/>
        <v>16.5</v>
      </c>
      <c r="F5" s="19">
        <f t="shared" si="1"/>
        <v>2722.5</v>
      </c>
      <c r="G5" s="18">
        <f>ROUND(E5/'Property &amp; Assumptions'!$B$29,0)</f>
        <v>5</v>
      </c>
      <c r="H5" s="19">
        <f>G5*'Property &amp; Assumptions'!$B$27</f>
        <v>750</v>
      </c>
      <c r="I5" s="19">
        <f t="shared" si="2"/>
        <v>3472.5</v>
      </c>
      <c r="J5" s="19">
        <f>-F5*'Property &amp; Assumptions'!$B$26</f>
        <v>-81.674999999999997</v>
      </c>
      <c r="K5" s="19">
        <f t="shared" si="3"/>
        <v>3390.8249999999998</v>
      </c>
    </row>
    <row r="6" spans="1:11" x14ac:dyDescent="0.25">
      <c r="A6" s="18" t="str">
        <f>'Property &amp; Assumptions'!A16</f>
        <v>May</v>
      </c>
      <c r="B6" s="1">
        <v>31</v>
      </c>
      <c r="C6" s="19">
        <f>'Property &amp; Assumptions'!B16</f>
        <v>195</v>
      </c>
      <c r="D6" s="20">
        <f>'Property &amp; Assumptions'!C16</f>
        <v>0.72</v>
      </c>
      <c r="E6" s="18">
        <f t="shared" si="0"/>
        <v>22.32</v>
      </c>
      <c r="F6" s="19">
        <f t="shared" si="1"/>
        <v>4352.3999999999996</v>
      </c>
      <c r="G6" s="18">
        <f>ROUND(E6/'Property &amp; Assumptions'!$B$29,0)</f>
        <v>6</v>
      </c>
      <c r="H6" s="19">
        <f>G6*'Property &amp; Assumptions'!$B$27</f>
        <v>900</v>
      </c>
      <c r="I6" s="19">
        <f t="shared" si="2"/>
        <v>5252.4</v>
      </c>
      <c r="J6" s="19">
        <f>-F6*'Property &amp; Assumptions'!$B$26</f>
        <v>-130.57199999999997</v>
      </c>
      <c r="K6" s="19">
        <f t="shared" si="3"/>
        <v>5121.8279999999995</v>
      </c>
    </row>
    <row r="7" spans="1:11" x14ac:dyDescent="0.25">
      <c r="A7" s="18" t="str">
        <f>'Property &amp; Assumptions'!A17</f>
        <v>June</v>
      </c>
      <c r="B7" s="1">
        <v>30</v>
      </c>
      <c r="C7" s="19">
        <f>'Property &amp; Assumptions'!B17</f>
        <v>245</v>
      </c>
      <c r="D7" s="20">
        <f>'Property &amp; Assumptions'!C17</f>
        <v>0.88</v>
      </c>
      <c r="E7" s="18">
        <f t="shared" si="0"/>
        <v>26.4</v>
      </c>
      <c r="F7" s="19">
        <f t="shared" si="1"/>
        <v>6468</v>
      </c>
      <c r="G7" s="18">
        <f>ROUND(E7/'Property &amp; Assumptions'!$B$29,0)</f>
        <v>8</v>
      </c>
      <c r="H7" s="19">
        <f>G7*'Property &amp; Assumptions'!$B$27</f>
        <v>1200</v>
      </c>
      <c r="I7" s="19">
        <f t="shared" si="2"/>
        <v>7668</v>
      </c>
      <c r="J7" s="19">
        <f>-F7*'Property &amp; Assumptions'!$B$26</f>
        <v>-194.04</v>
      </c>
      <c r="K7" s="19">
        <f t="shared" si="3"/>
        <v>7473.96</v>
      </c>
    </row>
    <row r="8" spans="1:11" x14ac:dyDescent="0.25">
      <c r="A8" s="18" t="str">
        <f>'Property &amp; Assumptions'!A18</f>
        <v>July</v>
      </c>
      <c r="B8" s="1">
        <v>31</v>
      </c>
      <c r="C8" s="19">
        <f>'Property &amp; Assumptions'!B18</f>
        <v>265</v>
      </c>
      <c r="D8" s="20">
        <f>'Property &amp; Assumptions'!C18</f>
        <v>0.92</v>
      </c>
      <c r="E8" s="18">
        <f t="shared" si="0"/>
        <v>28.52</v>
      </c>
      <c r="F8" s="19">
        <f t="shared" si="1"/>
        <v>7557.8</v>
      </c>
      <c r="G8" s="18">
        <f>ROUND(E8/'Property &amp; Assumptions'!$B$29,0)</f>
        <v>8</v>
      </c>
      <c r="H8" s="19">
        <f>G8*'Property &amp; Assumptions'!$B$27</f>
        <v>1200</v>
      </c>
      <c r="I8" s="19">
        <f t="shared" si="2"/>
        <v>8757.7999999999993</v>
      </c>
      <c r="J8" s="19">
        <f>-F8*'Property &amp; Assumptions'!$B$26</f>
        <v>-226.73400000000001</v>
      </c>
      <c r="K8" s="19">
        <f t="shared" si="3"/>
        <v>8531.0659999999989</v>
      </c>
    </row>
    <row r="9" spans="1:11" x14ac:dyDescent="0.25">
      <c r="A9" s="18" t="str">
        <f>'Property &amp; Assumptions'!A19</f>
        <v>August</v>
      </c>
      <c r="B9" s="1">
        <v>31</v>
      </c>
      <c r="C9" s="19">
        <f>'Property &amp; Assumptions'!B19</f>
        <v>255</v>
      </c>
      <c r="D9" s="20">
        <f>'Property &amp; Assumptions'!C19</f>
        <v>0.9</v>
      </c>
      <c r="E9" s="18">
        <f t="shared" si="0"/>
        <v>27.900000000000002</v>
      </c>
      <c r="F9" s="19">
        <f t="shared" si="1"/>
        <v>7114.5000000000009</v>
      </c>
      <c r="G9" s="18">
        <f>ROUND(E9/'Property &amp; Assumptions'!$B$29,0)</f>
        <v>8</v>
      </c>
      <c r="H9" s="19">
        <f>G9*'Property &amp; Assumptions'!$B$27</f>
        <v>1200</v>
      </c>
      <c r="I9" s="19">
        <f t="shared" si="2"/>
        <v>8314.5</v>
      </c>
      <c r="J9" s="19">
        <f>-F9*'Property &amp; Assumptions'!$B$26</f>
        <v>-213.43500000000003</v>
      </c>
      <c r="K9" s="19">
        <f t="shared" si="3"/>
        <v>8101.0649999999996</v>
      </c>
    </row>
    <row r="10" spans="1:11" x14ac:dyDescent="0.25">
      <c r="A10" s="18" t="str">
        <f>'Property &amp; Assumptions'!A20</f>
        <v>September</v>
      </c>
      <c r="B10" s="1">
        <v>30</v>
      </c>
      <c r="C10" s="19">
        <f>'Property &amp; Assumptions'!B20</f>
        <v>195</v>
      </c>
      <c r="D10" s="20">
        <f>'Property &amp; Assumptions'!C20</f>
        <v>0.68</v>
      </c>
      <c r="E10" s="18">
        <f t="shared" si="0"/>
        <v>20.400000000000002</v>
      </c>
      <c r="F10" s="19">
        <f t="shared" si="1"/>
        <v>3978.0000000000005</v>
      </c>
      <c r="G10" s="18">
        <f>ROUND(E10/'Property &amp; Assumptions'!$B$29,0)</f>
        <v>6</v>
      </c>
      <c r="H10" s="19">
        <f>G10*'Property &amp; Assumptions'!$B$27</f>
        <v>900</v>
      </c>
      <c r="I10" s="19">
        <f t="shared" si="2"/>
        <v>4878</v>
      </c>
      <c r="J10" s="19">
        <f>-F10*'Property &amp; Assumptions'!$B$26</f>
        <v>-119.34</v>
      </c>
      <c r="K10" s="19">
        <f t="shared" si="3"/>
        <v>4758.66</v>
      </c>
    </row>
    <row r="11" spans="1:11" x14ac:dyDescent="0.25">
      <c r="A11" s="18" t="str">
        <f>'Property &amp; Assumptions'!A21</f>
        <v>October</v>
      </c>
      <c r="B11" s="1">
        <v>31</v>
      </c>
      <c r="C11" s="19">
        <f>'Property &amp; Assumptions'!B21</f>
        <v>175</v>
      </c>
      <c r="D11" s="20">
        <f>'Property &amp; Assumptions'!C21</f>
        <v>0.57999999999999996</v>
      </c>
      <c r="E11" s="18">
        <f t="shared" si="0"/>
        <v>17.98</v>
      </c>
      <c r="F11" s="19">
        <f t="shared" si="1"/>
        <v>3146.5</v>
      </c>
      <c r="G11" s="18">
        <f>ROUND(E11/'Property &amp; Assumptions'!$B$29,0)</f>
        <v>5</v>
      </c>
      <c r="H11" s="19">
        <f>G11*'Property &amp; Assumptions'!$B$27</f>
        <v>750</v>
      </c>
      <c r="I11" s="19">
        <f t="shared" si="2"/>
        <v>3896.5</v>
      </c>
      <c r="J11" s="19">
        <f>-F11*'Property &amp; Assumptions'!$B$26</f>
        <v>-94.394999999999996</v>
      </c>
      <c r="K11" s="19">
        <f t="shared" si="3"/>
        <v>3802.105</v>
      </c>
    </row>
    <row r="12" spans="1:11" x14ac:dyDescent="0.25">
      <c r="A12" s="18" t="str">
        <f>'Property &amp; Assumptions'!A22</f>
        <v>November</v>
      </c>
      <c r="B12" s="1">
        <v>30</v>
      </c>
      <c r="C12" s="19">
        <f>'Property &amp; Assumptions'!B22</f>
        <v>145</v>
      </c>
      <c r="D12" s="20">
        <f>'Property &amp; Assumptions'!C22</f>
        <v>0.4</v>
      </c>
      <c r="E12" s="18">
        <f t="shared" si="0"/>
        <v>12</v>
      </c>
      <c r="F12" s="19">
        <f t="shared" si="1"/>
        <v>1740</v>
      </c>
      <c r="G12" s="18">
        <f>ROUND(E12/'Property &amp; Assumptions'!$B$29,0)</f>
        <v>3</v>
      </c>
      <c r="H12" s="19">
        <f>G12*'Property &amp; Assumptions'!$B$27</f>
        <v>450</v>
      </c>
      <c r="I12" s="19">
        <f t="shared" si="2"/>
        <v>2190</v>
      </c>
      <c r="J12" s="19">
        <f>-F12*'Property &amp; Assumptions'!$B$26</f>
        <v>-52.199999999999996</v>
      </c>
      <c r="K12" s="19">
        <f t="shared" si="3"/>
        <v>2137.8000000000002</v>
      </c>
    </row>
    <row r="13" spans="1:11" x14ac:dyDescent="0.25">
      <c r="A13" s="18" t="str">
        <f>'Property &amp; Assumptions'!A23</f>
        <v>December</v>
      </c>
      <c r="B13" s="1">
        <v>31</v>
      </c>
      <c r="C13" s="19">
        <f>'Property &amp; Assumptions'!B23</f>
        <v>165</v>
      </c>
      <c r="D13" s="20">
        <f>'Property &amp; Assumptions'!C23</f>
        <v>0.55000000000000004</v>
      </c>
      <c r="E13" s="18">
        <f t="shared" si="0"/>
        <v>17.05</v>
      </c>
      <c r="F13" s="19">
        <f t="shared" si="1"/>
        <v>2813.25</v>
      </c>
      <c r="G13" s="18">
        <f>ROUND(E13/'Property &amp; Assumptions'!$B$29,0)</f>
        <v>5</v>
      </c>
      <c r="H13" s="19">
        <f>G13*'Property &amp; Assumptions'!$B$27</f>
        <v>750</v>
      </c>
      <c r="I13" s="19">
        <f t="shared" si="2"/>
        <v>3563.25</v>
      </c>
      <c r="J13" s="19">
        <f>-F13*'Property &amp; Assumptions'!$B$26</f>
        <v>-84.397499999999994</v>
      </c>
      <c r="K13" s="19">
        <f t="shared" si="3"/>
        <v>3478.8525</v>
      </c>
    </row>
    <row r="14" spans="1:11" x14ac:dyDescent="0.25">
      <c r="A14" s="3" t="s">
        <v>57</v>
      </c>
      <c r="E14" s="21">
        <f>SUM(E2:E13)</f>
        <v>226.68000000000004</v>
      </c>
      <c r="F14" s="19">
        <f>SUM(F2:F13)</f>
        <v>45292.700000000004</v>
      </c>
      <c r="I14" s="19">
        <f>SUM(I2:I13)</f>
        <v>55042.7</v>
      </c>
      <c r="J14" s="19">
        <f>SUM(J2:J13)</f>
        <v>-1358.7810000000002</v>
      </c>
      <c r="K14" s="19">
        <f>SUM(K2:K13)</f>
        <v>53683.919000000009</v>
      </c>
    </row>
    <row r="15" spans="1:11" x14ac:dyDescent="0.25">
      <c r="A15" t="s">
        <v>58</v>
      </c>
      <c r="E15" s="18">
        <f>AVERAGE(E2:E13)</f>
        <v>18.890000000000004</v>
      </c>
    </row>
    <row r="16" spans="1:11" x14ac:dyDescent="0.25">
      <c r="A16" t="s">
        <v>59</v>
      </c>
      <c r="E16" s="20">
        <f>SUM(E2:E13)/365</f>
        <v>0.62104109589041101</v>
      </c>
    </row>
    <row r="17" spans="1:5" x14ac:dyDescent="0.25">
      <c r="A17" t="s">
        <v>60</v>
      </c>
      <c r="E17" s="19">
        <f>IF(E14=0,0,F14/E14)</f>
        <v>199.80898182459853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"/>
  <sheetViews>
    <sheetView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10.85546875" bestFit="1" customWidth="1"/>
    <col min="2" max="17" width="12" customWidth="1"/>
  </cols>
  <sheetData>
    <row r="1" spans="1:17" x14ac:dyDescent="0.25">
      <c r="A1" s="2" t="s">
        <v>11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34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</row>
    <row r="2" spans="1:17" x14ac:dyDescent="0.25">
      <c r="A2" s="18" t="str">
        <f>'Monthly Revenue'!A2</f>
        <v>January</v>
      </c>
      <c r="B2" s="19">
        <f>'Monthly Revenue'!G2*'Property &amp; Assumptions'!$B$28</f>
        <v>360</v>
      </c>
      <c r="C2" s="19">
        <f>'Monthly Revenue'!G2*'Property &amp; Assumptions'!$B$31</f>
        <v>75</v>
      </c>
      <c r="D2" s="19">
        <f>'Monthly Revenue'!K2*'Property &amp; Assumptions'!$B$30</f>
        <v>374.16149999999999</v>
      </c>
      <c r="E2" s="19">
        <f>'Property &amp; Assumptions'!$B$34</f>
        <v>350</v>
      </c>
      <c r="F2" s="19">
        <f>'Property &amp; Assumptions'!$B$35</f>
        <v>210</v>
      </c>
      <c r="G2" s="19">
        <f>'Property &amp; Assumptions'!$B$36</f>
        <v>0</v>
      </c>
      <c r="H2" s="19">
        <f>'Property &amp; Assumptions'!$B$37</f>
        <v>320</v>
      </c>
      <c r="I2" s="19">
        <f>'Property &amp; Assumptions'!$B$38</f>
        <v>95</v>
      </c>
      <c r="J2" s="19">
        <f>'Property &amp; Assumptions'!$B$39</f>
        <v>150</v>
      </c>
      <c r="K2" s="19">
        <f>'Property &amp; Assumptions'!$B$40</f>
        <v>35</v>
      </c>
      <c r="L2" s="19">
        <f>'Monthly Revenue'!K2*'Property &amp; Assumptions'!$B$41</f>
        <v>93.540374999999997</v>
      </c>
      <c r="M2" s="19">
        <f>'Monthly Revenue'!K2*'Property &amp; Assumptions'!$B$42</f>
        <v>56.124224999999996</v>
      </c>
      <c r="N2" s="19">
        <f>'Property &amp; Assumptions'!$B$43</f>
        <v>0</v>
      </c>
      <c r="O2" s="19">
        <f>'Property &amp; Assumptions'!$B$9</f>
        <v>1809.6227868873782</v>
      </c>
      <c r="P2" s="19">
        <f t="shared" ref="P2:P13" si="0">SUM(B2:O2)</f>
        <v>3928.4488868873777</v>
      </c>
      <c r="Q2" s="19">
        <f>'Monthly Revenue'!K2-P2</f>
        <v>-2057.6413868873778</v>
      </c>
    </row>
    <row r="3" spans="1:17" x14ac:dyDescent="0.25">
      <c r="A3" s="18" t="str">
        <f>'Monthly Revenue'!A3</f>
        <v>February</v>
      </c>
      <c r="B3" s="19">
        <f>'Monthly Revenue'!G3*'Property &amp; Assumptions'!$B$28</f>
        <v>360</v>
      </c>
      <c r="C3" s="19">
        <f>'Monthly Revenue'!G3*'Property &amp; Assumptions'!$B$31</f>
        <v>75</v>
      </c>
      <c r="D3" s="19">
        <f>'Monthly Revenue'!K3*'Property &amp; Assumptions'!$B$30</f>
        <v>368.66160000000002</v>
      </c>
      <c r="E3" s="19">
        <f>'Property &amp; Assumptions'!$B$34</f>
        <v>350</v>
      </c>
      <c r="F3" s="19">
        <f>'Property &amp; Assumptions'!$B$35</f>
        <v>210</v>
      </c>
      <c r="G3" s="19">
        <f>'Property &amp; Assumptions'!$B$36</f>
        <v>0</v>
      </c>
      <c r="H3" s="19">
        <f>'Property &amp; Assumptions'!$B$37</f>
        <v>320</v>
      </c>
      <c r="I3" s="19">
        <f>'Property &amp; Assumptions'!$B$38</f>
        <v>95</v>
      </c>
      <c r="J3" s="19">
        <f>'Property &amp; Assumptions'!$B$39</f>
        <v>150</v>
      </c>
      <c r="K3" s="19">
        <f>'Property &amp; Assumptions'!$B$40</f>
        <v>35</v>
      </c>
      <c r="L3" s="19">
        <f>'Monthly Revenue'!K3*'Property &amp; Assumptions'!$B$41</f>
        <v>92.165400000000005</v>
      </c>
      <c r="M3" s="19">
        <f>'Monthly Revenue'!K3*'Property &amp; Assumptions'!$B$42</f>
        <v>55.299239999999998</v>
      </c>
      <c r="N3" s="19">
        <f>'Property &amp; Assumptions'!$B$43</f>
        <v>0</v>
      </c>
      <c r="O3" s="19">
        <f>'Property &amp; Assumptions'!$B$9</f>
        <v>1809.6227868873782</v>
      </c>
      <c r="P3" s="19">
        <f t="shared" si="0"/>
        <v>3920.749026887378</v>
      </c>
      <c r="Q3" s="19">
        <f>'Monthly Revenue'!K3-P3</f>
        <v>-2077.441026887378</v>
      </c>
    </row>
    <row r="4" spans="1:17" x14ac:dyDescent="0.25">
      <c r="A4" s="18" t="str">
        <f>'Monthly Revenue'!A4</f>
        <v>March</v>
      </c>
      <c r="B4" s="19">
        <f>'Monthly Revenue'!G4*'Property &amp; Assumptions'!$B$28</f>
        <v>600</v>
      </c>
      <c r="C4" s="19">
        <f>'Monthly Revenue'!G4*'Property &amp; Assumptions'!$B$31</f>
        <v>125</v>
      </c>
      <c r="D4" s="19">
        <f>'Monthly Revenue'!K4*'Property &amp; Assumptions'!$B$30</f>
        <v>634.72840000000008</v>
      </c>
      <c r="E4" s="19">
        <f>'Property &amp; Assumptions'!$B$34</f>
        <v>350</v>
      </c>
      <c r="F4" s="19">
        <f>'Property &amp; Assumptions'!$B$35</f>
        <v>210</v>
      </c>
      <c r="G4" s="19">
        <f>'Property &amp; Assumptions'!$B$36</f>
        <v>0</v>
      </c>
      <c r="H4" s="19">
        <f>'Property &amp; Assumptions'!$B$37</f>
        <v>320</v>
      </c>
      <c r="I4" s="19">
        <f>'Property &amp; Assumptions'!$B$38</f>
        <v>95</v>
      </c>
      <c r="J4" s="19">
        <f>'Property &amp; Assumptions'!$B$39</f>
        <v>150</v>
      </c>
      <c r="K4" s="19">
        <f>'Property &amp; Assumptions'!$B$40</f>
        <v>35</v>
      </c>
      <c r="L4" s="19">
        <f>'Monthly Revenue'!K4*'Property &amp; Assumptions'!$B$41</f>
        <v>158.68210000000002</v>
      </c>
      <c r="M4" s="19">
        <f>'Monthly Revenue'!K4*'Property &amp; Assumptions'!$B$42</f>
        <v>95.20926</v>
      </c>
      <c r="N4" s="19">
        <f>'Property &amp; Assumptions'!$B$43</f>
        <v>0</v>
      </c>
      <c r="O4" s="19">
        <f>'Property &amp; Assumptions'!$B$9</f>
        <v>1809.6227868873782</v>
      </c>
      <c r="P4" s="19">
        <f t="shared" si="0"/>
        <v>4583.242546887378</v>
      </c>
      <c r="Q4" s="19">
        <f>'Monthly Revenue'!K4-P4</f>
        <v>-1409.6005468873777</v>
      </c>
    </row>
    <row r="5" spans="1:17" x14ac:dyDescent="0.25">
      <c r="A5" s="18" t="str">
        <f>'Monthly Revenue'!A5</f>
        <v>April</v>
      </c>
      <c r="B5" s="19">
        <f>'Monthly Revenue'!G5*'Property &amp; Assumptions'!$B$28</f>
        <v>600</v>
      </c>
      <c r="C5" s="19">
        <f>'Monthly Revenue'!G5*'Property &amp; Assumptions'!$B$31</f>
        <v>125</v>
      </c>
      <c r="D5" s="19">
        <f>'Monthly Revenue'!K5*'Property &amp; Assumptions'!$B$30</f>
        <v>678.16499999999996</v>
      </c>
      <c r="E5" s="19">
        <f>'Property &amp; Assumptions'!$B$34</f>
        <v>350</v>
      </c>
      <c r="F5" s="19">
        <f>'Property &amp; Assumptions'!$B$35</f>
        <v>210</v>
      </c>
      <c r="G5" s="19">
        <f>'Property &amp; Assumptions'!$B$36</f>
        <v>0</v>
      </c>
      <c r="H5" s="19">
        <f>'Property &amp; Assumptions'!$B$37</f>
        <v>320</v>
      </c>
      <c r="I5" s="19">
        <f>'Property &amp; Assumptions'!$B$38</f>
        <v>95</v>
      </c>
      <c r="J5" s="19">
        <f>'Property &amp; Assumptions'!$B$39</f>
        <v>150</v>
      </c>
      <c r="K5" s="19">
        <f>'Property &amp; Assumptions'!$B$40</f>
        <v>35</v>
      </c>
      <c r="L5" s="19">
        <f>'Monthly Revenue'!K5*'Property &amp; Assumptions'!$B$41</f>
        <v>169.54124999999999</v>
      </c>
      <c r="M5" s="19">
        <f>'Monthly Revenue'!K5*'Property &amp; Assumptions'!$B$42</f>
        <v>101.72474999999999</v>
      </c>
      <c r="N5" s="19">
        <f>'Property &amp; Assumptions'!$B$43</f>
        <v>0</v>
      </c>
      <c r="O5" s="19">
        <f>'Property &amp; Assumptions'!$B$9</f>
        <v>1809.6227868873782</v>
      </c>
      <c r="P5" s="19">
        <f t="shared" si="0"/>
        <v>4644.053786887378</v>
      </c>
      <c r="Q5" s="19">
        <f>'Monthly Revenue'!K5-P5</f>
        <v>-1253.2287868873782</v>
      </c>
    </row>
    <row r="6" spans="1:17" x14ac:dyDescent="0.25">
      <c r="A6" s="18" t="str">
        <f>'Monthly Revenue'!A6</f>
        <v>May</v>
      </c>
      <c r="B6" s="19">
        <f>'Monthly Revenue'!G6*'Property &amp; Assumptions'!$B$28</f>
        <v>720</v>
      </c>
      <c r="C6" s="19">
        <f>'Monthly Revenue'!G6*'Property &amp; Assumptions'!$B$31</f>
        <v>150</v>
      </c>
      <c r="D6" s="19">
        <f>'Monthly Revenue'!K6*'Property &amp; Assumptions'!$B$30</f>
        <v>1024.3655999999999</v>
      </c>
      <c r="E6" s="19">
        <f>'Property &amp; Assumptions'!$B$34</f>
        <v>350</v>
      </c>
      <c r="F6" s="19">
        <f>'Property &amp; Assumptions'!$B$35</f>
        <v>210</v>
      </c>
      <c r="G6" s="19">
        <f>'Property &amp; Assumptions'!$B$36</f>
        <v>0</v>
      </c>
      <c r="H6" s="19">
        <f>'Property &amp; Assumptions'!$B$37</f>
        <v>320</v>
      </c>
      <c r="I6" s="19">
        <f>'Property &amp; Assumptions'!$B$38</f>
        <v>95</v>
      </c>
      <c r="J6" s="19">
        <f>'Property &amp; Assumptions'!$B$39</f>
        <v>150</v>
      </c>
      <c r="K6" s="19">
        <f>'Property &amp; Assumptions'!$B$40</f>
        <v>35</v>
      </c>
      <c r="L6" s="19">
        <f>'Monthly Revenue'!K6*'Property &amp; Assumptions'!$B$41</f>
        <v>256.09139999999996</v>
      </c>
      <c r="M6" s="19">
        <f>'Monthly Revenue'!K6*'Property &amp; Assumptions'!$B$42</f>
        <v>153.65483999999998</v>
      </c>
      <c r="N6" s="19">
        <f>'Property &amp; Assumptions'!$B$43</f>
        <v>0</v>
      </c>
      <c r="O6" s="19">
        <f>'Property &amp; Assumptions'!$B$9</f>
        <v>1809.6227868873782</v>
      </c>
      <c r="P6" s="19">
        <f t="shared" si="0"/>
        <v>5273.734626887378</v>
      </c>
      <c r="Q6" s="19">
        <f>'Monthly Revenue'!K6-P6</f>
        <v>-151.90662688737848</v>
      </c>
    </row>
    <row r="7" spans="1:17" x14ac:dyDescent="0.25">
      <c r="A7" s="18" t="str">
        <f>'Monthly Revenue'!A7</f>
        <v>June</v>
      </c>
      <c r="B7" s="19">
        <f>'Monthly Revenue'!G7*'Property &amp; Assumptions'!$B$28</f>
        <v>960</v>
      </c>
      <c r="C7" s="19">
        <f>'Monthly Revenue'!G7*'Property &amp; Assumptions'!$B$31</f>
        <v>200</v>
      </c>
      <c r="D7" s="19">
        <f>'Monthly Revenue'!K7*'Property &amp; Assumptions'!$B$30</f>
        <v>1494.7920000000001</v>
      </c>
      <c r="E7" s="19">
        <f>'Property &amp; Assumptions'!$B$34</f>
        <v>350</v>
      </c>
      <c r="F7" s="19">
        <f>'Property &amp; Assumptions'!$B$35</f>
        <v>210</v>
      </c>
      <c r="G7" s="19">
        <f>'Property &amp; Assumptions'!$B$36</f>
        <v>0</v>
      </c>
      <c r="H7" s="19">
        <f>'Property &amp; Assumptions'!$B$37</f>
        <v>320</v>
      </c>
      <c r="I7" s="19">
        <f>'Property &amp; Assumptions'!$B$38</f>
        <v>95</v>
      </c>
      <c r="J7" s="19">
        <f>'Property &amp; Assumptions'!$B$39</f>
        <v>150</v>
      </c>
      <c r="K7" s="19">
        <f>'Property &amp; Assumptions'!$B$40</f>
        <v>35</v>
      </c>
      <c r="L7" s="19">
        <f>'Monthly Revenue'!K7*'Property &amp; Assumptions'!$B$41</f>
        <v>373.69800000000004</v>
      </c>
      <c r="M7" s="19">
        <f>'Monthly Revenue'!K7*'Property &amp; Assumptions'!$B$42</f>
        <v>224.21879999999999</v>
      </c>
      <c r="N7" s="19">
        <f>'Property &amp; Assumptions'!$B$43</f>
        <v>0</v>
      </c>
      <c r="O7" s="19">
        <f>'Property &amp; Assumptions'!$B$9</f>
        <v>1809.6227868873782</v>
      </c>
      <c r="P7" s="19">
        <f t="shared" si="0"/>
        <v>6222.3315868873788</v>
      </c>
      <c r="Q7" s="19">
        <f>'Monthly Revenue'!K7-P7</f>
        <v>1251.6284131126213</v>
      </c>
    </row>
    <row r="8" spans="1:17" x14ac:dyDescent="0.25">
      <c r="A8" s="18" t="str">
        <f>'Monthly Revenue'!A8</f>
        <v>July</v>
      </c>
      <c r="B8" s="19">
        <f>'Monthly Revenue'!G8*'Property &amp; Assumptions'!$B$28</f>
        <v>960</v>
      </c>
      <c r="C8" s="19">
        <f>'Monthly Revenue'!G8*'Property &amp; Assumptions'!$B$31</f>
        <v>200</v>
      </c>
      <c r="D8" s="19">
        <f>'Monthly Revenue'!K8*'Property &amp; Assumptions'!$B$30</f>
        <v>1706.2131999999999</v>
      </c>
      <c r="E8" s="19">
        <f>'Property &amp; Assumptions'!$B$34</f>
        <v>350</v>
      </c>
      <c r="F8" s="19">
        <f>'Property &amp; Assumptions'!$B$35</f>
        <v>210</v>
      </c>
      <c r="G8" s="19">
        <f>'Property &amp; Assumptions'!$B$36</f>
        <v>0</v>
      </c>
      <c r="H8" s="19">
        <f>'Property &amp; Assumptions'!$B$37</f>
        <v>320</v>
      </c>
      <c r="I8" s="19">
        <f>'Property &amp; Assumptions'!$B$38</f>
        <v>95</v>
      </c>
      <c r="J8" s="19">
        <f>'Property &amp; Assumptions'!$B$39</f>
        <v>150</v>
      </c>
      <c r="K8" s="19">
        <f>'Property &amp; Assumptions'!$B$40</f>
        <v>35</v>
      </c>
      <c r="L8" s="19">
        <f>'Monthly Revenue'!K8*'Property &amp; Assumptions'!$B$41</f>
        <v>426.55329999999998</v>
      </c>
      <c r="M8" s="19">
        <f>'Monthly Revenue'!K8*'Property &amp; Assumptions'!$B$42</f>
        <v>255.93197999999995</v>
      </c>
      <c r="N8" s="19">
        <f>'Property &amp; Assumptions'!$B$43</f>
        <v>0</v>
      </c>
      <c r="O8" s="19">
        <f>'Property &amp; Assumptions'!$B$9</f>
        <v>1809.6227868873782</v>
      </c>
      <c r="P8" s="19">
        <f t="shared" si="0"/>
        <v>6518.3212668873784</v>
      </c>
      <c r="Q8" s="19">
        <f>'Monthly Revenue'!K8-P8</f>
        <v>2012.7447331126205</v>
      </c>
    </row>
    <row r="9" spans="1:17" x14ac:dyDescent="0.25">
      <c r="A9" s="18" t="str">
        <f>'Monthly Revenue'!A9</f>
        <v>August</v>
      </c>
      <c r="B9" s="19">
        <f>'Monthly Revenue'!G9*'Property &amp; Assumptions'!$B$28</f>
        <v>960</v>
      </c>
      <c r="C9" s="19">
        <f>'Monthly Revenue'!G9*'Property &amp; Assumptions'!$B$31</f>
        <v>200</v>
      </c>
      <c r="D9" s="19">
        <f>'Monthly Revenue'!K9*'Property &amp; Assumptions'!$B$30</f>
        <v>1620.213</v>
      </c>
      <c r="E9" s="19">
        <f>'Property &amp; Assumptions'!$B$34</f>
        <v>350</v>
      </c>
      <c r="F9" s="19">
        <f>'Property &amp; Assumptions'!$B$35</f>
        <v>210</v>
      </c>
      <c r="G9" s="19">
        <f>'Property &amp; Assumptions'!$B$36</f>
        <v>0</v>
      </c>
      <c r="H9" s="19">
        <f>'Property &amp; Assumptions'!$B$37</f>
        <v>320</v>
      </c>
      <c r="I9" s="19">
        <f>'Property &amp; Assumptions'!$B$38</f>
        <v>95</v>
      </c>
      <c r="J9" s="19">
        <f>'Property &amp; Assumptions'!$B$39</f>
        <v>150</v>
      </c>
      <c r="K9" s="19">
        <f>'Property &amp; Assumptions'!$B$40</f>
        <v>35</v>
      </c>
      <c r="L9" s="19">
        <f>'Monthly Revenue'!K9*'Property &amp; Assumptions'!$B$41</f>
        <v>405.05324999999999</v>
      </c>
      <c r="M9" s="19">
        <f>'Monthly Revenue'!K9*'Property &amp; Assumptions'!$B$42</f>
        <v>243.03194999999997</v>
      </c>
      <c r="N9" s="19">
        <f>'Property &amp; Assumptions'!$B$43</f>
        <v>0</v>
      </c>
      <c r="O9" s="19">
        <f>'Property &amp; Assumptions'!$B$9</f>
        <v>1809.6227868873782</v>
      </c>
      <c r="P9" s="19">
        <f t="shared" si="0"/>
        <v>6397.9209868873777</v>
      </c>
      <c r="Q9" s="19">
        <f>'Monthly Revenue'!K9-P9</f>
        <v>1703.1440131126219</v>
      </c>
    </row>
    <row r="10" spans="1:17" x14ac:dyDescent="0.25">
      <c r="A10" s="18" t="str">
        <f>'Monthly Revenue'!A10</f>
        <v>September</v>
      </c>
      <c r="B10" s="19">
        <f>'Monthly Revenue'!G10*'Property &amp; Assumptions'!$B$28</f>
        <v>720</v>
      </c>
      <c r="C10" s="19">
        <f>'Monthly Revenue'!G10*'Property &amp; Assumptions'!$B$31</f>
        <v>150</v>
      </c>
      <c r="D10" s="19">
        <f>'Monthly Revenue'!K10*'Property &amp; Assumptions'!$B$30</f>
        <v>951.73199999999997</v>
      </c>
      <c r="E10" s="19">
        <f>'Property &amp; Assumptions'!$B$34</f>
        <v>350</v>
      </c>
      <c r="F10" s="19">
        <f>'Property &amp; Assumptions'!$B$35</f>
        <v>210</v>
      </c>
      <c r="G10" s="19">
        <f>'Property &amp; Assumptions'!$B$36</f>
        <v>0</v>
      </c>
      <c r="H10" s="19">
        <f>'Property &amp; Assumptions'!$B$37</f>
        <v>320</v>
      </c>
      <c r="I10" s="19">
        <f>'Property &amp; Assumptions'!$B$38</f>
        <v>95</v>
      </c>
      <c r="J10" s="19">
        <f>'Property &amp; Assumptions'!$B$39</f>
        <v>150</v>
      </c>
      <c r="K10" s="19">
        <f>'Property &amp; Assumptions'!$B$40</f>
        <v>35</v>
      </c>
      <c r="L10" s="19">
        <f>'Monthly Revenue'!K10*'Property &amp; Assumptions'!$B$41</f>
        <v>237.93299999999999</v>
      </c>
      <c r="M10" s="19">
        <f>'Monthly Revenue'!K10*'Property &amp; Assumptions'!$B$42</f>
        <v>142.75979999999998</v>
      </c>
      <c r="N10" s="19">
        <f>'Property &amp; Assumptions'!$B$43</f>
        <v>0</v>
      </c>
      <c r="O10" s="19">
        <f>'Property &amp; Assumptions'!$B$9</f>
        <v>1809.6227868873782</v>
      </c>
      <c r="P10" s="19">
        <f t="shared" si="0"/>
        <v>5172.0475868873782</v>
      </c>
      <c r="Q10" s="19">
        <f>'Monthly Revenue'!K10-P10</f>
        <v>-413.38758688737835</v>
      </c>
    </row>
    <row r="11" spans="1:17" x14ac:dyDescent="0.25">
      <c r="A11" s="18" t="str">
        <f>'Monthly Revenue'!A11</f>
        <v>October</v>
      </c>
      <c r="B11" s="19">
        <f>'Monthly Revenue'!G11*'Property &amp; Assumptions'!$B$28</f>
        <v>600</v>
      </c>
      <c r="C11" s="19">
        <f>'Monthly Revenue'!G11*'Property &amp; Assumptions'!$B$31</f>
        <v>125</v>
      </c>
      <c r="D11" s="19">
        <f>'Monthly Revenue'!K11*'Property &amp; Assumptions'!$B$30</f>
        <v>760.42100000000005</v>
      </c>
      <c r="E11" s="19">
        <f>'Property &amp; Assumptions'!$B$34</f>
        <v>350</v>
      </c>
      <c r="F11" s="19">
        <f>'Property &amp; Assumptions'!$B$35</f>
        <v>210</v>
      </c>
      <c r="G11" s="19">
        <f>'Property &amp; Assumptions'!$B$36</f>
        <v>0</v>
      </c>
      <c r="H11" s="19">
        <f>'Property &amp; Assumptions'!$B$37</f>
        <v>320</v>
      </c>
      <c r="I11" s="19">
        <f>'Property &amp; Assumptions'!$B$38</f>
        <v>95</v>
      </c>
      <c r="J11" s="19">
        <f>'Property &amp; Assumptions'!$B$39</f>
        <v>150</v>
      </c>
      <c r="K11" s="19">
        <f>'Property &amp; Assumptions'!$B$40</f>
        <v>35</v>
      </c>
      <c r="L11" s="19">
        <f>'Monthly Revenue'!K11*'Property &amp; Assumptions'!$B$41</f>
        <v>190.10525000000001</v>
      </c>
      <c r="M11" s="19">
        <f>'Monthly Revenue'!K11*'Property &amp; Assumptions'!$B$42</f>
        <v>114.06314999999999</v>
      </c>
      <c r="N11" s="19">
        <f>'Property &amp; Assumptions'!$B$43</f>
        <v>0</v>
      </c>
      <c r="O11" s="19">
        <f>'Property &amp; Assumptions'!$B$9</f>
        <v>1809.6227868873782</v>
      </c>
      <c r="P11" s="19">
        <f t="shared" si="0"/>
        <v>4759.2121868873783</v>
      </c>
      <c r="Q11" s="19">
        <f>'Monthly Revenue'!K11-P11</f>
        <v>-957.10718688737825</v>
      </c>
    </row>
    <row r="12" spans="1:17" x14ac:dyDescent="0.25">
      <c r="A12" s="18" t="str">
        <f>'Monthly Revenue'!A12</f>
        <v>November</v>
      </c>
      <c r="B12" s="19">
        <f>'Monthly Revenue'!G12*'Property &amp; Assumptions'!$B$28</f>
        <v>360</v>
      </c>
      <c r="C12" s="19">
        <f>'Monthly Revenue'!G12*'Property &amp; Assumptions'!$B$31</f>
        <v>75</v>
      </c>
      <c r="D12" s="19">
        <f>'Monthly Revenue'!K12*'Property &amp; Assumptions'!$B$30</f>
        <v>427.56000000000006</v>
      </c>
      <c r="E12" s="19">
        <f>'Property &amp; Assumptions'!$B$34</f>
        <v>350</v>
      </c>
      <c r="F12" s="19">
        <f>'Property &amp; Assumptions'!$B$35</f>
        <v>210</v>
      </c>
      <c r="G12" s="19">
        <f>'Property &amp; Assumptions'!$B$36</f>
        <v>0</v>
      </c>
      <c r="H12" s="19">
        <f>'Property &amp; Assumptions'!$B$37</f>
        <v>320</v>
      </c>
      <c r="I12" s="19">
        <f>'Property &amp; Assumptions'!$B$38</f>
        <v>95</v>
      </c>
      <c r="J12" s="19">
        <f>'Property &amp; Assumptions'!$B$39</f>
        <v>150</v>
      </c>
      <c r="K12" s="19">
        <f>'Property &amp; Assumptions'!$B$40</f>
        <v>35</v>
      </c>
      <c r="L12" s="19">
        <f>'Monthly Revenue'!K12*'Property &amp; Assumptions'!$B$41</f>
        <v>106.89000000000001</v>
      </c>
      <c r="M12" s="19">
        <f>'Monthly Revenue'!K12*'Property &amp; Assumptions'!$B$42</f>
        <v>64.134</v>
      </c>
      <c r="N12" s="19">
        <f>'Property &amp; Assumptions'!$B$43</f>
        <v>0</v>
      </c>
      <c r="O12" s="19">
        <f>'Property &amp; Assumptions'!$B$9</f>
        <v>1809.6227868873782</v>
      </c>
      <c r="P12" s="19">
        <f t="shared" si="0"/>
        <v>4003.2067868873783</v>
      </c>
      <c r="Q12" s="19">
        <f>'Monthly Revenue'!K12-P12</f>
        <v>-1865.4067868873781</v>
      </c>
    </row>
    <row r="13" spans="1:17" x14ac:dyDescent="0.25">
      <c r="A13" s="18" t="str">
        <f>'Monthly Revenue'!A13</f>
        <v>December</v>
      </c>
      <c r="B13" s="19">
        <f>'Monthly Revenue'!G13*'Property &amp; Assumptions'!$B$28</f>
        <v>600</v>
      </c>
      <c r="C13" s="19">
        <f>'Monthly Revenue'!G13*'Property &amp; Assumptions'!$B$31</f>
        <v>125</v>
      </c>
      <c r="D13" s="19">
        <f>'Monthly Revenue'!K13*'Property &amp; Assumptions'!$B$30</f>
        <v>695.77050000000008</v>
      </c>
      <c r="E13" s="19">
        <f>'Property &amp; Assumptions'!$B$34</f>
        <v>350</v>
      </c>
      <c r="F13" s="19">
        <f>'Property &amp; Assumptions'!$B$35</f>
        <v>210</v>
      </c>
      <c r="G13" s="19">
        <f>'Property &amp; Assumptions'!$B$36</f>
        <v>0</v>
      </c>
      <c r="H13" s="19">
        <f>'Property &amp; Assumptions'!$B$37</f>
        <v>320</v>
      </c>
      <c r="I13" s="19">
        <f>'Property &amp; Assumptions'!$B$38</f>
        <v>95</v>
      </c>
      <c r="J13" s="19">
        <f>'Property &amp; Assumptions'!$B$39</f>
        <v>150</v>
      </c>
      <c r="K13" s="19">
        <f>'Property &amp; Assumptions'!$B$40</f>
        <v>35</v>
      </c>
      <c r="L13" s="19">
        <f>'Monthly Revenue'!K13*'Property &amp; Assumptions'!$B$41</f>
        <v>173.94262500000002</v>
      </c>
      <c r="M13" s="19">
        <f>'Monthly Revenue'!K13*'Property &amp; Assumptions'!$B$42</f>
        <v>104.36557499999999</v>
      </c>
      <c r="N13" s="19">
        <f>'Property &amp; Assumptions'!$B$43</f>
        <v>0</v>
      </c>
      <c r="O13" s="19">
        <f>'Property &amp; Assumptions'!$B$9</f>
        <v>1809.6227868873782</v>
      </c>
      <c r="P13" s="19">
        <f t="shared" si="0"/>
        <v>4668.7014868873785</v>
      </c>
      <c r="Q13" s="19">
        <f>'Monthly Revenue'!K13-P13</f>
        <v>-1189.8489868873785</v>
      </c>
    </row>
    <row r="14" spans="1:17" x14ac:dyDescent="0.25">
      <c r="A14" s="3" t="s">
        <v>57</v>
      </c>
      <c r="B14" s="19">
        <f t="shared" ref="B14:Q14" si="1">SUM(B2:B13)</f>
        <v>7800</v>
      </c>
      <c r="C14" s="19">
        <f t="shared" si="1"/>
        <v>1625</v>
      </c>
      <c r="D14" s="19">
        <f t="shared" si="1"/>
        <v>10736.783799999999</v>
      </c>
      <c r="E14" s="19">
        <f t="shared" si="1"/>
        <v>4200</v>
      </c>
      <c r="F14" s="19">
        <f t="shared" si="1"/>
        <v>2520</v>
      </c>
      <c r="G14" s="19">
        <f t="shared" si="1"/>
        <v>0</v>
      </c>
      <c r="H14" s="19">
        <f t="shared" si="1"/>
        <v>3840</v>
      </c>
      <c r="I14" s="19">
        <f t="shared" si="1"/>
        <v>1140</v>
      </c>
      <c r="J14" s="19">
        <f t="shared" si="1"/>
        <v>1800</v>
      </c>
      <c r="K14" s="19">
        <f t="shared" si="1"/>
        <v>420</v>
      </c>
      <c r="L14" s="19">
        <f t="shared" si="1"/>
        <v>2684.1959499999998</v>
      </c>
      <c r="M14" s="19">
        <f t="shared" si="1"/>
        <v>1610.51757</v>
      </c>
      <c r="N14" s="19">
        <f t="shared" si="1"/>
        <v>0</v>
      </c>
      <c r="O14" s="19">
        <f t="shared" si="1"/>
        <v>21715.473442648537</v>
      </c>
      <c r="P14" s="19">
        <f t="shared" si="1"/>
        <v>60091.970762648547</v>
      </c>
      <c r="Q14" s="19">
        <f t="shared" si="1"/>
        <v>-6408.0517626485398</v>
      </c>
    </row>
  </sheetData>
  <conditionalFormatting sqref="Q2:Q13">
    <cfRule type="cellIs" dxfId="6" priority="1" operator="lessThan">
      <formula>0</formula>
    </cfRule>
    <cfRule type="cellIs" dxfId="5" priority="2" operator="greater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showGridLines="0" workbookViewId="0">
      <selection activeCell="F31" sqref="F31"/>
    </sheetView>
  </sheetViews>
  <sheetFormatPr defaultRowHeight="15" x14ac:dyDescent="0.25"/>
  <cols>
    <col min="1" max="1" width="71.85546875" bestFit="1" customWidth="1"/>
  </cols>
  <sheetData>
    <row r="1" spans="1:2" ht="15.75" x14ac:dyDescent="0.25">
      <c r="A1" s="4" t="s">
        <v>76</v>
      </c>
    </row>
    <row r="3" spans="1:2" x14ac:dyDescent="0.25">
      <c r="A3" s="1" t="s">
        <v>77</v>
      </c>
      <c r="B3" s="11">
        <f>'Monthly Revenue'!$I$14</f>
        <v>55042.7</v>
      </c>
    </row>
    <row r="4" spans="1:2" x14ac:dyDescent="0.25">
      <c r="A4" s="1" t="s">
        <v>78</v>
      </c>
      <c r="B4" s="11">
        <f>-'Monthly Revenue'!$J$14</f>
        <v>1358.7810000000002</v>
      </c>
    </row>
    <row r="5" spans="1:2" x14ac:dyDescent="0.25">
      <c r="A5" s="1" t="s">
        <v>79</v>
      </c>
      <c r="B5" s="11">
        <f>'Monthly Revenue'!$K$14</f>
        <v>53683.919000000009</v>
      </c>
    </row>
    <row r="6" spans="1:2" x14ac:dyDescent="0.25">
      <c r="A6" s="1" t="s">
        <v>80</v>
      </c>
      <c r="B6" s="11">
        <f>'Monthly Expenses'!$P$14-'Property &amp; Assumptions'!$B$9*12</f>
        <v>38376.497320000009</v>
      </c>
    </row>
    <row r="7" spans="1:2" x14ac:dyDescent="0.25">
      <c r="A7" s="1" t="s">
        <v>81</v>
      </c>
      <c r="B7" s="11">
        <f>B5-B6</f>
        <v>15307.421679999999</v>
      </c>
    </row>
    <row r="8" spans="1:2" x14ac:dyDescent="0.25">
      <c r="A8" s="1" t="s">
        <v>82</v>
      </c>
      <c r="B8" s="11">
        <f>'Property &amp; Assumptions'!$B$9*12</f>
        <v>21715.473442648537</v>
      </c>
    </row>
    <row r="9" spans="1:2" x14ac:dyDescent="0.25">
      <c r="A9" s="1" t="s">
        <v>83</v>
      </c>
      <c r="B9" s="11">
        <f>B7-B8</f>
        <v>-6408.051762648538</v>
      </c>
    </row>
    <row r="10" spans="1:2" x14ac:dyDescent="0.25">
      <c r="A10" s="1" t="s">
        <v>84</v>
      </c>
      <c r="B10" s="20">
        <f>IF('Property &amp; Assumptions'!$B$5*'Property &amp; Assumptions'!$B$6=0,0,B9/('Property &amp; Assumptions'!$B$5*'Property &amp; Assumptions'!$B$6))</f>
        <v>-9.423605533306674E-2</v>
      </c>
    </row>
    <row r="11" spans="1:2" x14ac:dyDescent="0.25">
      <c r="A11" s="1" t="s">
        <v>85</v>
      </c>
      <c r="B11" s="20">
        <f>IF('Property &amp; Assumptions'!$B$5=0,0,B7/'Property &amp; Assumptions'!$B$5)</f>
        <v>4.5021828470588235E-2</v>
      </c>
    </row>
    <row r="12" spans="1:2" x14ac:dyDescent="0.25">
      <c r="A12" s="1" t="s">
        <v>86</v>
      </c>
      <c r="B12" s="11">
        <f>IF(B3=0,0,B3/365)</f>
        <v>150.80191780821917</v>
      </c>
    </row>
    <row r="13" spans="1:2" x14ac:dyDescent="0.25">
      <c r="A13" s="1" t="s">
        <v>87</v>
      </c>
      <c r="B13" s="11">
        <f>IF('Monthly Revenue'!$E$14=0,0,'Monthly Revenue'!$F$14/'Monthly Revenue'!$E$14)</f>
        <v>199.80898182459853</v>
      </c>
    </row>
    <row r="14" spans="1:2" x14ac:dyDescent="0.25">
      <c r="A14" s="1" t="s">
        <v>88</v>
      </c>
      <c r="B14" s="11">
        <f>B9/12</f>
        <v>-534.00431355404487</v>
      </c>
    </row>
    <row r="15" spans="1:2" x14ac:dyDescent="0.25">
      <c r="A15" s="1" t="s">
        <v>89</v>
      </c>
      <c r="B15" s="20">
        <f>IF(B3=0,0,'Monthly Expenses'!$P$14/B3)</f>
        <v>1.0917337042450417</v>
      </c>
    </row>
    <row r="17" spans="1:4" ht="15.75" x14ac:dyDescent="0.25">
      <c r="A17" s="4" t="s">
        <v>90</v>
      </c>
    </row>
    <row r="18" spans="1:4" x14ac:dyDescent="0.25">
      <c r="A18" s="1" t="s">
        <v>91</v>
      </c>
      <c r="B18" s="11">
        <f>'Property &amp; Assumptions'!$B$46*12</f>
        <v>22200</v>
      </c>
    </row>
    <row r="19" spans="1:4" x14ac:dyDescent="0.25">
      <c r="A19" s="1" t="s">
        <v>92</v>
      </c>
      <c r="B19" s="11">
        <f>B18*'Property &amp; Assumptions'!$B$47</f>
        <v>1110</v>
      </c>
    </row>
    <row r="20" spans="1:4" x14ac:dyDescent="0.25">
      <c r="A20" s="1" t="s">
        <v>93</v>
      </c>
      <c r="B20" s="11">
        <f>B18-B19</f>
        <v>21090</v>
      </c>
    </row>
    <row r="21" spans="1:4" x14ac:dyDescent="0.25">
      <c r="A21" s="1" t="s">
        <v>94</v>
      </c>
      <c r="B21" s="11">
        <f>B20*'Property &amp; Assumptions'!$B$48</f>
        <v>1687.2</v>
      </c>
    </row>
    <row r="22" spans="1:4" x14ac:dyDescent="0.25">
      <c r="A22" s="1" t="s">
        <v>95</v>
      </c>
      <c r="B22" s="11">
        <f>'Property &amp; Assumptions'!$B$34*12</f>
        <v>4200</v>
      </c>
    </row>
    <row r="23" spans="1:4" x14ac:dyDescent="0.25">
      <c r="A23" s="1" t="s">
        <v>96</v>
      </c>
      <c r="B23" s="11">
        <f>'Property &amp; Assumptions'!$B$35*12*0.7</f>
        <v>1764</v>
      </c>
    </row>
    <row r="24" spans="1:4" x14ac:dyDescent="0.25">
      <c r="A24" s="1" t="s">
        <v>97</v>
      </c>
      <c r="B24" s="11">
        <f>B18*0.05</f>
        <v>1110</v>
      </c>
    </row>
    <row r="25" spans="1:4" x14ac:dyDescent="0.25">
      <c r="A25" s="1" t="s">
        <v>98</v>
      </c>
      <c r="B25" s="11">
        <f>B20-B21-B22-B23-B24</f>
        <v>12328.8</v>
      </c>
    </row>
    <row r="26" spans="1:4" x14ac:dyDescent="0.25">
      <c r="A26" s="1" t="s">
        <v>82</v>
      </c>
      <c r="B26" s="11">
        <f>'Property &amp; Assumptions'!$B$9*12</f>
        <v>21715.473442648537</v>
      </c>
    </row>
    <row r="27" spans="1:4" x14ac:dyDescent="0.25">
      <c r="A27" s="1" t="s">
        <v>83</v>
      </c>
      <c r="B27" s="11">
        <f>B25-B26</f>
        <v>-9386.6734426485382</v>
      </c>
    </row>
    <row r="28" spans="1:4" x14ac:dyDescent="0.25">
      <c r="A28" s="1" t="s">
        <v>84</v>
      </c>
      <c r="B28" s="20">
        <f>IF('Property &amp; Assumptions'!$B$5*'Property &amp; Assumptions'!$B$6=0,0,B27/('Property &amp; Assumptions'!$B$5*'Property &amp; Assumptions'!$B$6))</f>
        <v>-0.13803931533306674</v>
      </c>
    </row>
    <row r="29" spans="1:4" ht="15.75" x14ac:dyDescent="0.25">
      <c r="A29" s="4" t="s">
        <v>99</v>
      </c>
    </row>
    <row r="30" spans="1:4" x14ac:dyDescent="0.25">
      <c r="A30" s="1" t="s">
        <v>100</v>
      </c>
      <c r="B30" s="11">
        <f>B9</f>
        <v>-6408.051762648538</v>
      </c>
      <c r="C30" s="11">
        <f>B27</f>
        <v>-9386.6734426485382</v>
      </c>
      <c r="D30" s="11">
        <f>B9-B27</f>
        <v>2978.6216800000002</v>
      </c>
    </row>
    <row r="31" spans="1:4" x14ac:dyDescent="0.25">
      <c r="A31" s="1" t="s">
        <v>98</v>
      </c>
      <c r="B31" s="11">
        <f>B7</f>
        <v>15307.421679999999</v>
      </c>
      <c r="C31" s="11">
        <f>B25</f>
        <v>12328.8</v>
      </c>
      <c r="D31" s="11">
        <f>B7-B25</f>
        <v>2978.6216800000002</v>
      </c>
    </row>
    <row r="32" spans="1:4" x14ac:dyDescent="0.25">
      <c r="A32" s="1" t="s">
        <v>101</v>
      </c>
      <c r="B32" s="20">
        <f>B10</f>
        <v>-9.423605533306674E-2</v>
      </c>
      <c r="C32" s="20">
        <f>B28</f>
        <v>-0.13803931533306674</v>
      </c>
      <c r="D32" s="20">
        <f>B10-B28</f>
        <v>4.3803259999999997E-2</v>
      </c>
    </row>
    <row r="33" spans="1:4" x14ac:dyDescent="0.25">
      <c r="A33" s="1" t="s">
        <v>88</v>
      </c>
      <c r="B33" s="11">
        <f>B14</f>
        <v>-534.00431355404487</v>
      </c>
      <c r="C33" s="11">
        <f>B27/12</f>
        <v>-782.22278688737822</v>
      </c>
      <c r="D33" s="11">
        <f>B14-C33</f>
        <v>248.21847333333335</v>
      </c>
    </row>
    <row r="35" spans="1:4" ht="15.75" x14ac:dyDescent="0.25">
      <c r="A35" s="4" t="s">
        <v>102</v>
      </c>
    </row>
    <row r="36" spans="1:4" x14ac:dyDescent="0.25">
      <c r="A36" s="1" t="s">
        <v>103</v>
      </c>
      <c r="B36" s="11">
        <f>B27</f>
        <v>-9386.6734426485382</v>
      </c>
    </row>
    <row r="37" spans="1:4" x14ac:dyDescent="0.25">
      <c r="A37" s="1" t="s">
        <v>104</v>
      </c>
      <c r="B37" s="11">
        <f>'Monthly Expenses'!$E$14+'Monthly Expenses'!$F$14+'Monthly Expenses'!$G$14+'Monthly Expenses'!$H$14+'Monthly Expenses'!$I$14+'Monthly Expenses'!$J$14+'Monthly Expenses'!$K$14+'Monthly Expenses'!$N$14+'Monthly Expenses'!$O$14</f>
        <v>35635.473442648537</v>
      </c>
    </row>
    <row r="38" spans="1:4" x14ac:dyDescent="0.25">
      <c r="A38" s="1" t="s">
        <v>105</v>
      </c>
      <c r="B38" s="11">
        <f>'Monthly Expenses'!$B$14+'Monthly Expenses'!$C$14+'Monthly Expenses'!$D$14+'Monthly Expenses'!$L$14+'Monthly Expenses'!$M$14</f>
        <v>24456.497319999999</v>
      </c>
    </row>
    <row r="39" spans="1:4" x14ac:dyDescent="0.25">
      <c r="A39" s="1" t="s">
        <v>106</v>
      </c>
      <c r="B39" s="11">
        <f>IF('Monthly Revenue'!$E$14=0,0,B38/'Monthly Revenue'!$E$14)</f>
        <v>107.88996523733896</v>
      </c>
    </row>
    <row r="40" spans="1:4" x14ac:dyDescent="0.25">
      <c r="A40" s="1" t="s">
        <v>60</v>
      </c>
      <c r="B40" s="11">
        <f>'Monthly Revenue'!$E$17</f>
        <v>199.80898182459853</v>
      </c>
    </row>
    <row r="41" spans="1:4" x14ac:dyDescent="0.25">
      <c r="A41" s="1" t="s">
        <v>107</v>
      </c>
      <c r="B41" s="21">
        <f>IF(B40-B39&lt;=0,"n/a",(B36+B37)/(B40-B39))</f>
        <v>285.56441283378797</v>
      </c>
    </row>
    <row r="42" spans="1:4" x14ac:dyDescent="0.25">
      <c r="A42" s="1" t="s">
        <v>108</v>
      </c>
      <c r="B42" s="20">
        <f>IF(B41="n/a","n/a",B41/365)</f>
        <v>0.78236825433914514</v>
      </c>
    </row>
    <row r="43" spans="1:4" x14ac:dyDescent="0.25">
      <c r="A43" s="1" t="s">
        <v>109</v>
      </c>
      <c r="B43" s="20">
        <f>'Monthly Revenue'!$E$16</f>
        <v>0.62104109589041101</v>
      </c>
    </row>
    <row r="44" spans="1:4" x14ac:dyDescent="0.25">
      <c r="A44" s="6"/>
    </row>
  </sheetData>
  <conditionalFormatting sqref="B30:B33">
    <cfRule type="expression" dxfId="4" priority="1">
      <formula>B30&gt;C30</formula>
    </cfRule>
  </conditionalFormatting>
  <conditionalFormatting sqref="B43">
    <cfRule type="expression" dxfId="3" priority="11">
      <formula>AND(ISNUMBER(B42),B43&gt;B42)</formula>
    </cfRule>
    <cfRule type="expression" dxfId="2" priority="12">
      <formula>AND(ISNUMBER(B42),B43&lt;=B42,B43&gt;=B42-0.05)</formula>
    </cfRule>
    <cfRule type="expression" dxfId="1" priority="13">
      <formula>AND(ISNUMBER(B42),B43&lt;B42-0.05)</formula>
    </cfRule>
  </conditionalFormatting>
  <conditionalFormatting sqref="C30:C33">
    <cfRule type="expression" dxfId="0" priority="2">
      <formula>C30&gt;B30</formula>
    </cfRule>
  </conditionalFormatting>
  <pageMargins left="0.75" right="0.75" top="1" bottom="1" header="0.5" footer="0.5"/>
  <ignoredErrors>
    <ignoredError sqref="B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7"/>
  <sheetViews>
    <sheetView workbookViewId="0">
      <selection activeCell="P4" sqref="P4"/>
    </sheetView>
  </sheetViews>
  <sheetFormatPr defaultRowHeight="15" x14ac:dyDescent="0.25"/>
  <cols>
    <col min="1" max="1" width="42" customWidth="1"/>
    <col min="2" max="27" width="11" customWidth="1"/>
  </cols>
  <sheetData>
    <row r="1" spans="1:26" ht="18.75" x14ac:dyDescent="0.3">
      <c r="A1" s="7" t="s">
        <v>110</v>
      </c>
    </row>
    <row r="2" spans="1:26" x14ac:dyDescent="0.25">
      <c r="B2" s="2" t="s">
        <v>111</v>
      </c>
      <c r="C2" s="2"/>
      <c r="D2" s="2"/>
      <c r="N2" s="2" t="s">
        <v>112</v>
      </c>
      <c r="O2" s="2" t="s">
        <v>113</v>
      </c>
      <c r="P2" s="2"/>
      <c r="Q2" s="2"/>
    </row>
    <row r="4" spans="1:26" x14ac:dyDescent="0.25">
      <c r="B4" s="2" t="s">
        <v>47</v>
      </c>
      <c r="C4" s="2" t="s">
        <v>114</v>
      </c>
      <c r="D4" s="2" t="s">
        <v>115</v>
      </c>
      <c r="E4" s="2" t="s">
        <v>116</v>
      </c>
      <c r="F4" s="2" t="s">
        <v>117</v>
      </c>
      <c r="G4" s="2" t="s">
        <v>118</v>
      </c>
      <c r="H4" s="2" t="s">
        <v>119</v>
      </c>
      <c r="I4" s="2" t="s">
        <v>120</v>
      </c>
      <c r="J4" s="2" t="s">
        <v>121</v>
      </c>
      <c r="K4" s="2" t="s">
        <v>122</v>
      </c>
      <c r="L4" s="2" t="s">
        <v>123</v>
      </c>
      <c r="M4" s="2" t="s">
        <v>75</v>
      </c>
      <c r="O4" s="2" t="s">
        <v>47</v>
      </c>
      <c r="P4" s="2" t="s">
        <v>114</v>
      </c>
      <c r="Q4" s="2" t="s">
        <v>115</v>
      </c>
      <c r="R4" s="2" t="s">
        <v>116</v>
      </c>
      <c r="S4" s="2" t="s">
        <v>117</v>
      </c>
      <c r="T4" s="2" t="s">
        <v>118</v>
      </c>
      <c r="U4" s="2" t="s">
        <v>119</v>
      </c>
      <c r="V4" s="2" t="s">
        <v>120</v>
      </c>
      <c r="W4" s="2" t="s">
        <v>121</v>
      </c>
      <c r="X4" s="2" t="s">
        <v>122</v>
      </c>
      <c r="Y4" s="2" t="s">
        <v>123</v>
      </c>
      <c r="Z4" s="2" t="s">
        <v>75</v>
      </c>
    </row>
    <row r="5" spans="1:26" x14ac:dyDescent="0.25">
      <c r="B5" s="5">
        <v>31</v>
      </c>
      <c r="C5" s="19">
        <f>'Property &amp; Assumptions'!$B$12*0.85</f>
        <v>114.75</v>
      </c>
      <c r="D5" s="20">
        <f>MAX(0,'Property &amp; Assumptions'!$C$12-0.1)</f>
        <v>0.24999999999999997</v>
      </c>
      <c r="E5" s="19">
        <f t="shared" ref="E5:E16" si="0">B5*D5</f>
        <v>7.7499999999999991</v>
      </c>
      <c r="F5" s="19">
        <f t="shared" ref="F5:F16" si="1">C5*E5</f>
        <v>889.31249999999989</v>
      </c>
      <c r="G5" s="19">
        <f>ROUND(E5/'Property &amp; Assumptions'!$B$29,0)</f>
        <v>2</v>
      </c>
      <c r="H5" s="19">
        <f>G5*'Property &amp; Assumptions'!$B$27</f>
        <v>300</v>
      </c>
      <c r="I5" s="19">
        <f t="shared" ref="I5:I16" si="2">F5+H5</f>
        <v>1189.3125</v>
      </c>
      <c r="J5" s="19">
        <f>-F5*'Property &amp; Assumptions'!$B$26</f>
        <v>-26.679374999999997</v>
      </c>
      <c r="K5" s="19">
        <f t="shared" ref="K5:K16" si="3">I5+J5</f>
        <v>1162.6331250000001</v>
      </c>
      <c r="L5" s="19">
        <f>G5*'Property &amp; Assumptions'!$B$28+G5*'Property &amp; Assumptions'!$B$31+K5*'Property &amp; Assumptions'!$B$30+K5*'Property &amp; Assumptions'!$B$41+K5*'Property &amp; Assumptions'!$B$42+SUM('Monthly Expenses'!E2:K2)+'Monthly Expenses'!N2+'Monthly Expenses'!O2</f>
        <v>3585.1600618873781</v>
      </c>
      <c r="M5" s="19">
        <f t="shared" ref="M5:M16" si="4">K5-L5</f>
        <v>-2422.5269368873778</v>
      </c>
      <c r="O5" s="5">
        <v>31</v>
      </c>
      <c r="P5" s="19">
        <f>'Property &amp; Assumptions'!$B$12*1.1</f>
        <v>148.5</v>
      </c>
      <c r="Q5" s="20">
        <f>MIN(1,'Property &amp; Assumptions'!$C$12+0.05)</f>
        <v>0.39999999999999997</v>
      </c>
      <c r="R5" s="19">
        <f t="shared" ref="R5:R16" si="5">O5*Q5</f>
        <v>12.399999999999999</v>
      </c>
      <c r="S5" s="19">
        <f t="shared" ref="S5:S16" si="6">P5*R5</f>
        <v>1841.3999999999999</v>
      </c>
      <c r="T5" s="19">
        <f>ROUND(R5/'Property &amp; Assumptions'!$B$29,0)</f>
        <v>4</v>
      </c>
      <c r="U5" s="19">
        <f>T5*'Property &amp; Assumptions'!$B$27</f>
        <v>600</v>
      </c>
      <c r="V5" s="19">
        <f t="shared" ref="V5:V16" si="7">S5+U5</f>
        <v>2441.3999999999996</v>
      </c>
      <c r="W5" s="19">
        <f>-S5*'Property &amp; Assumptions'!$B$26</f>
        <v>-55.241999999999997</v>
      </c>
      <c r="X5" s="19">
        <f t="shared" ref="X5:X16" si="8">V5+W5</f>
        <v>2386.1579999999994</v>
      </c>
      <c r="Y5" s="19">
        <f>T5*'Property &amp; Assumptions'!$B$28+T5*'Property &amp; Assumptions'!$B$31+X5*'Property &amp; Assumptions'!$B$30+X5*'Property &amp; Assumptions'!$B$41+X5*'Property &amp; Assumptions'!$B$42+SUM('Monthly Expenses'!E2:K2)+'Monthly Expenses'!N2+'Monthly Expenses'!O2</f>
        <v>4217.7470268873785</v>
      </c>
      <c r="Z5" s="19">
        <f t="shared" ref="Z5:Z16" si="9">X5-Y5</f>
        <v>-1831.5890268873791</v>
      </c>
    </row>
    <row r="6" spans="1:26" x14ac:dyDescent="0.25">
      <c r="B6" s="5">
        <v>28</v>
      </c>
      <c r="C6" s="19">
        <f>'Property &amp; Assumptions'!$B$13*0.85</f>
        <v>114.75</v>
      </c>
      <c r="D6" s="20">
        <f>MAX(0,'Property &amp; Assumptions'!$C$13-0.1)</f>
        <v>0.28000000000000003</v>
      </c>
      <c r="E6" s="19">
        <f t="shared" si="0"/>
        <v>7.8400000000000007</v>
      </c>
      <c r="F6" s="19">
        <f t="shared" si="1"/>
        <v>899.6400000000001</v>
      </c>
      <c r="G6" s="19">
        <f>ROUND(E6/'Property &amp; Assumptions'!$B$29,0)</f>
        <v>2</v>
      </c>
      <c r="H6" s="19">
        <f>G6*'Property &amp; Assumptions'!$B$27</f>
        <v>300</v>
      </c>
      <c r="I6" s="19">
        <f t="shared" si="2"/>
        <v>1199.6400000000001</v>
      </c>
      <c r="J6" s="19">
        <f>-F6*'Property &amp; Assumptions'!$B$26</f>
        <v>-26.9892</v>
      </c>
      <c r="K6" s="19">
        <f t="shared" si="3"/>
        <v>1172.6508000000001</v>
      </c>
      <c r="L6" s="19">
        <f>G6*'Property &amp; Assumptions'!$B$28+G6*'Property &amp; Assumptions'!$B$31+K6*'Property &amp; Assumptions'!$B$30+K6*'Property &amp; Assumptions'!$B$41+K6*'Property &amp; Assumptions'!$B$42+SUM('Monthly Expenses'!E3:K3)+'Monthly Expenses'!N3+'Monthly Expenses'!O3</f>
        <v>3587.9650108873784</v>
      </c>
      <c r="M6" s="19">
        <f t="shared" si="4"/>
        <v>-2415.3142108873781</v>
      </c>
      <c r="O6" s="5">
        <v>28</v>
      </c>
      <c r="P6" s="19">
        <f>'Property &amp; Assumptions'!$B$13*1.1</f>
        <v>148.5</v>
      </c>
      <c r="Q6" s="20">
        <f>MIN(1,'Property &amp; Assumptions'!$C$13+0.05)</f>
        <v>0.43</v>
      </c>
      <c r="R6" s="19">
        <f t="shared" si="5"/>
        <v>12.04</v>
      </c>
      <c r="S6" s="19">
        <f t="shared" si="6"/>
        <v>1787.9399999999998</v>
      </c>
      <c r="T6" s="19">
        <f>ROUND(R6/'Property &amp; Assumptions'!$B$29,0)</f>
        <v>3</v>
      </c>
      <c r="U6" s="19">
        <f>T6*'Property &amp; Assumptions'!$B$27</f>
        <v>450</v>
      </c>
      <c r="V6" s="19">
        <f t="shared" si="7"/>
        <v>2237.9399999999996</v>
      </c>
      <c r="W6" s="19">
        <f>-S6*'Property &amp; Assumptions'!$B$26</f>
        <v>-53.638199999999991</v>
      </c>
      <c r="X6" s="19">
        <f t="shared" si="8"/>
        <v>2184.3017999999997</v>
      </c>
      <c r="Y6" s="19">
        <f>T6*'Property &amp; Assumptions'!$B$28+T6*'Property &amp; Assumptions'!$B$31+X6*'Property &amp; Assumptions'!$B$30+X6*'Property &amp; Assumptions'!$B$41+X6*'Property &amp; Assumptions'!$B$42+SUM('Monthly Expenses'!E3:K3)+'Monthly Expenses'!N3+'Monthly Expenses'!O3</f>
        <v>4016.2272908873783</v>
      </c>
      <c r="Z6" s="19">
        <f t="shared" si="9"/>
        <v>-1831.9254908873786</v>
      </c>
    </row>
    <row r="7" spans="1:26" x14ac:dyDescent="0.25">
      <c r="B7" s="5">
        <v>31</v>
      </c>
      <c r="C7" s="19">
        <f>'Property &amp; Assumptions'!$B$14*0.85</f>
        <v>131.75</v>
      </c>
      <c r="D7" s="20">
        <f>MAX(0,'Property &amp; Assumptions'!$C$14-0.1)</f>
        <v>0.42000000000000004</v>
      </c>
      <c r="E7" s="19">
        <f t="shared" si="0"/>
        <v>13.020000000000001</v>
      </c>
      <c r="F7" s="19">
        <f t="shared" si="1"/>
        <v>1715.3850000000002</v>
      </c>
      <c r="G7" s="19">
        <f>ROUND(E7/'Property &amp; Assumptions'!$B$29,0)</f>
        <v>4</v>
      </c>
      <c r="H7" s="19">
        <f>G7*'Property &amp; Assumptions'!$B$27</f>
        <v>600</v>
      </c>
      <c r="I7" s="19">
        <f t="shared" si="2"/>
        <v>2315.3850000000002</v>
      </c>
      <c r="J7" s="19">
        <f>-F7*'Property &amp; Assumptions'!$B$26</f>
        <v>-51.461550000000003</v>
      </c>
      <c r="K7" s="19">
        <f t="shared" si="3"/>
        <v>2263.9234500000002</v>
      </c>
      <c r="L7" s="19">
        <f>G7*'Property &amp; Assumptions'!$B$28+G7*'Property &amp; Assumptions'!$B$31+K7*'Property &amp; Assumptions'!$B$30+K7*'Property &amp; Assumptions'!$B$41+K7*'Property &amp; Assumptions'!$B$42+SUM('Monthly Expenses'!E4:K4)+'Monthly Expenses'!N4+'Monthly Expenses'!O4</f>
        <v>4183.5213528873783</v>
      </c>
      <c r="M7" s="19">
        <f t="shared" si="4"/>
        <v>-1919.597902887378</v>
      </c>
      <c r="O7" s="5">
        <v>31</v>
      </c>
      <c r="P7" s="19">
        <f>'Property &amp; Assumptions'!$B$14*1.1</f>
        <v>170.5</v>
      </c>
      <c r="Q7" s="20">
        <f>MIN(1,'Property &amp; Assumptions'!$C$14+0.05)</f>
        <v>0.57000000000000006</v>
      </c>
      <c r="R7" s="19">
        <f t="shared" si="5"/>
        <v>17.670000000000002</v>
      </c>
      <c r="S7" s="19">
        <f t="shared" si="6"/>
        <v>3012.7350000000001</v>
      </c>
      <c r="T7" s="19">
        <f>ROUND(R7/'Property &amp; Assumptions'!$B$29,0)</f>
        <v>5</v>
      </c>
      <c r="U7" s="19">
        <f>T7*'Property &amp; Assumptions'!$B$27</f>
        <v>750</v>
      </c>
      <c r="V7" s="19">
        <f t="shared" si="7"/>
        <v>3762.7350000000001</v>
      </c>
      <c r="W7" s="19">
        <f>-S7*'Property &amp; Assumptions'!$B$26</f>
        <v>-90.382050000000007</v>
      </c>
      <c r="X7" s="19">
        <f t="shared" si="8"/>
        <v>3672.35295</v>
      </c>
      <c r="Y7" s="19">
        <f>T7*'Property &amp; Assumptions'!$B$28+T7*'Property &amp; Assumptions'!$B$31+X7*'Property &amp; Assumptions'!$B$30+X7*'Property &amp; Assumptions'!$B$41+X7*'Property &amp; Assumptions'!$B$42+SUM('Monthly Expenses'!E4:K4)+'Monthly Expenses'!N4+'Monthly Expenses'!O4</f>
        <v>4722.8816128873777</v>
      </c>
      <c r="Z7" s="19">
        <f t="shared" si="9"/>
        <v>-1050.5286628873778</v>
      </c>
    </row>
    <row r="8" spans="1:26" x14ac:dyDescent="0.25">
      <c r="B8" s="5">
        <v>30</v>
      </c>
      <c r="C8" s="19">
        <f>'Property &amp; Assumptions'!$B$15*0.85</f>
        <v>140.25</v>
      </c>
      <c r="D8" s="20">
        <f>MAX(0,'Property &amp; Assumptions'!$C$15-0.1)</f>
        <v>0.45000000000000007</v>
      </c>
      <c r="E8" s="19">
        <f t="shared" si="0"/>
        <v>13.500000000000002</v>
      </c>
      <c r="F8" s="19">
        <f t="shared" si="1"/>
        <v>1893.3750000000002</v>
      </c>
      <c r="G8" s="19">
        <f>ROUND(E8/'Property &amp; Assumptions'!$B$29,0)</f>
        <v>4</v>
      </c>
      <c r="H8" s="19">
        <f>G8*'Property &amp; Assumptions'!$B$27</f>
        <v>600</v>
      </c>
      <c r="I8" s="19">
        <f t="shared" si="2"/>
        <v>2493.375</v>
      </c>
      <c r="J8" s="19">
        <f>-F8*'Property &amp; Assumptions'!$B$26</f>
        <v>-56.801250000000003</v>
      </c>
      <c r="K8" s="19">
        <f t="shared" si="3"/>
        <v>2436.57375</v>
      </c>
      <c r="L8" s="19">
        <f>G8*'Property &amp; Assumptions'!$B$28+G8*'Property &amp; Assumptions'!$B$31+K8*'Property &amp; Assumptions'!$B$30+K8*'Property &amp; Assumptions'!$B$41+K8*'Property &amp; Assumptions'!$B$42+SUM('Monthly Expenses'!E5:K5)+'Monthly Expenses'!N5+'Monthly Expenses'!O5</f>
        <v>4231.8634368873782</v>
      </c>
      <c r="M8" s="19">
        <f t="shared" si="4"/>
        <v>-1795.2896868873781</v>
      </c>
      <c r="O8" s="5">
        <v>30</v>
      </c>
      <c r="P8" s="19">
        <f>'Property &amp; Assumptions'!$B$15*1.1</f>
        <v>181.50000000000003</v>
      </c>
      <c r="Q8" s="20">
        <f>MIN(1,'Property &amp; Assumptions'!$C$15+0.05)</f>
        <v>0.60000000000000009</v>
      </c>
      <c r="R8" s="19">
        <f t="shared" si="5"/>
        <v>18.000000000000004</v>
      </c>
      <c r="S8" s="19">
        <f t="shared" si="6"/>
        <v>3267.0000000000014</v>
      </c>
      <c r="T8" s="19">
        <f>ROUND(R8/'Property &amp; Assumptions'!$B$29,0)</f>
        <v>5</v>
      </c>
      <c r="U8" s="19">
        <f>T8*'Property &amp; Assumptions'!$B$27</f>
        <v>750</v>
      </c>
      <c r="V8" s="19">
        <f t="shared" si="7"/>
        <v>4017.0000000000014</v>
      </c>
      <c r="W8" s="19">
        <f>-S8*'Property &amp; Assumptions'!$B$26</f>
        <v>-98.010000000000034</v>
      </c>
      <c r="X8" s="19">
        <f t="shared" si="8"/>
        <v>3918.9900000000011</v>
      </c>
      <c r="Y8" s="19">
        <f>T8*'Property &amp; Assumptions'!$B$28+T8*'Property &amp; Assumptions'!$B$31+X8*'Property &amp; Assumptions'!$B$30+X8*'Property &amp; Assumptions'!$B$41+X8*'Property &amp; Assumptions'!$B$42+SUM('Monthly Expenses'!E5:K5)+'Monthly Expenses'!N5+'Monthly Expenses'!O5</f>
        <v>4791.9399868873788</v>
      </c>
      <c r="Z8" s="19">
        <f t="shared" si="9"/>
        <v>-872.94998688737769</v>
      </c>
    </row>
    <row r="9" spans="1:26" x14ac:dyDescent="0.25">
      <c r="B9" s="5">
        <v>31</v>
      </c>
      <c r="C9" s="19">
        <f>'Property &amp; Assumptions'!$B$16*0.85</f>
        <v>165.75</v>
      </c>
      <c r="D9" s="20">
        <f>MAX(0,'Property &amp; Assumptions'!$C$16-0.1)</f>
        <v>0.62</v>
      </c>
      <c r="E9" s="19">
        <f t="shared" si="0"/>
        <v>19.22</v>
      </c>
      <c r="F9" s="19">
        <f t="shared" si="1"/>
        <v>3185.7149999999997</v>
      </c>
      <c r="G9" s="19">
        <f>ROUND(E9/'Property &amp; Assumptions'!$B$29,0)</f>
        <v>5</v>
      </c>
      <c r="H9" s="19">
        <f>G9*'Property &amp; Assumptions'!$B$27</f>
        <v>750</v>
      </c>
      <c r="I9" s="19">
        <f t="shared" si="2"/>
        <v>3935.7149999999997</v>
      </c>
      <c r="J9" s="19">
        <f>-F9*'Property &amp; Assumptions'!$B$26</f>
        <v>-95.571449999999984</v>
      </c>
      <c r="K9" s="19">
        <f t="shared" si="3"/>
        <v>3840.1435499999998</v>
      </c>
      <c r="L9" s="19">
        <f>G9*'Property &amp; Assumptions'!$B$28+G9*'Property &amp; Assumptions'!$B$31+K9*'Property &amp; Assumptions'!$B$30+K9*'Property &amp; Assumptions'!$B$41+K9*'Property &amp; Assumptions'!$B$42+SUM('Monthly Expenses'!E6:K6)+'Monthly Expenses'!N6+'Monthly Expenses'!O6</f>
        <v>4769.8629808873784</v>
      </c>
      <c r="M9" s="19">
        <f t="shared" si="4"/>
        <v>-929.71943088737862</v>
      </c>
      <c r="O9" s="5">
        <v>31</v>
      </c>
      <c r="P9" s="19">
        <f>'Property &amp; Assumptions'!$B$16*1.1</f>
        <v>214.50000000000003</v>
      </c>
      <c r="Q9" s="20">
        <f>MIN(1,'Property &amp; Assumptions'!$C$16+0.05)</f>
        <v>0.77</v>
      </c>
      <c r="R9" s="19">
        <f t="shared" si="5"/>
        <v>23.87</v>
      </c>
      <c r="S9" s="19">
        <f t="shared" si="6"/>
        <v>5120.1150000000007</v>
      </c>
      <c r="T9" s="19">
        <f>ROUND(R9/'Property &amp; Assumptions'!$B$29,0)</f>
        <v>7</v>
      </c>
      <c r="U9" s="19">
        <f>T9*'Property &amp; Assumptions'!$B$27</f>
        <v>1050</v>
      </c>
      <c r="V9" s="19">
        <f t="shared" si="7"/>
        <v>6170.1150000000007</v>
      </c>
      <c r="W9" s="19">
        <f>-S9*'Property &amp; Assumptions'!$B$26</f>
        <v>-153.60345000000001</v>
      </c>
      <c r="X9" s="19">
        <f t="shared" si="8"/>
        <v>6016.5115500000011</v>
      </c>
      <c r="Y9" s="19">
        <f>T9*'Property &amp; Assumptions'!$B$28+T9*'Property &amp; Assumptions'!$B$31+X9*'Property &amp; Assumptions'!$B$30+X9*'Property &amp; Assumptions'!$B$41+X9*'Property &amp; Assumptions'!$B$42+SUM('Monthly Expenses'!E6:K6)+'Monthly Expenses'!N6+'Monthly Expenses'!O6</f>
        <v>5669.2460208873781</v>
      </c>
      <c r="Z9" s="19">
        <f t="shared" si="9"/>
        <v>347.26552911262297</v>
      </c>
    </row>
    <row r="10" spans="1:26" x14ac:dyDescent="0.25">
      <c r="B10" s="5">
        <v>30</v>
      </c>
      <c r="C10" s="19">
        <f>'Property &amp; Assumptions'!$B$17*0.85</f>
        <v>208.25</v>
      </c>
      <c r="D10" s="20">
        <f>MAX(0,'Property &amp; Assumptions'!$C$17-0.1)</f>
        <v>0.78</v>
      </c>
      <c r="E10" s="19">
        <f t="shared" si="0"/>
        <v>23.400000000000002</v>
      </c>
      <c r="F10" s="19">
        <f t="shared" si="1"/>
        <v>4873.05</v>
      </c>
      <c r="G10" s="19">
        <f>ROUND(E10/'Property &amp; Assumptions'!$B$29,0)</f>
        <v>7</v>
      </c>
      <c r="H10" s="19">
        <f>G10*'Property &amp; Assumptions'!$B$27</f>
        <v>1050</v>
      </c>
      <c r="I10" s="19">
        <f t="shared" si="2"/>
        <v>5923.05</v>
      </c>
      <c r="J10" s="19">
        <f>-F10*'Property &amp; Assumptions'!$B$26</f>
        <v>-146.19149999999999</v>
      </c>
      <c r="K10" s="19">
        <f t="shared" si="3"/>
        <v>5776.8585000000003</v>
      </c>
      <c r="L10" s="19">
        <f>G10*'Property &amp; Assumptions'!$B$28+G10*'Property &amp; Assumptions'!$B$31+K10*'Property &amp; Assumptions'!$B$30+K10*'Property &amp; Assumptions'!$B$41+K10*'Property &amp; Assumptions'!$B$42+SUM('Monthly Expenses'!E7:K7)+'Monthly Expenses'!N7+'Monthly Expenses'!O7</f>
        <v>5602.1431668873784</v>
      </c>
      <c r="M10" s="19">
        <f t="shared" si="4"/>
        <v>174.71533311262192</v>
      </c>
      <c r="O10" s="5">
        <v>30</v>
      </c>
      <c r="P10" s="19">
        <f>'Property &amp; Assumptions'!$B$17*1.1</f>
        <v>269.5</v>
      </c>
      <c r="Q10" s="20">
        <f>MIN(1,'Property &amp; Assumptions'!$C$17+0.05)</f>
        <v>0.93</v>
      </c>
      <c r="R10" s="19">
        <f t="shared" si="5"/>
        <v>27.900000000000002</v>
      </c>
      <c r="S10" s="19">
        <f t="shared" si="6"/>
        <v>7519.05</v>
      </c>
      <c r="T10" s="19">
        <f>ROUND(R10/'Property &amp; Assumptions'!$B$29,0)</f>
        <v>8</v>
      </c>
      <c r="U10" s="19">
        <f>T10*'Property &amp; Assumptions'!$B$27</f>
        <v>1200</v>
      </c>
      <c r="V10" s="19">
        <f t="shared" si="7"/>
        <v>8719.0499999999993</v>
      </c>
      <c r="W10" s="19">
        <f>-S10*'Property &amp; Assumptions'!$B$26</f>
        <v>-225.57149999999999</v>
      </c>
      <c r="X10" s="19">
        <f t="shared" si="8"/>
        <v>8493.4784999999993</v>
      </c>
      <c r="Y10" s="19">
        <f>T10*'Property &amp; Assumptions'!$B$28+T10*'Property &amp; Assumptions'!$B$31+X10*'Property &amp; Assumptions'!$B$30+X10*'Property &amp; Assumptions'!$B$41+X10*'Property &amp; Assumptions'!$B$42+SUM('Monthly Expenses'!E7:K7)+'Monthly Expenses'!N7+'Monthly Expenses'!O7</f>
        <v>6507.796766887378</v>
      </c>
      <c r="Z10" s="19">
        <f t="shared" si="9"/>
        <v>1985.6817331126213</v>
      </c>
    </row>
    <row r="11" spans="1:26" x14ac:dyDescent="0.25">
      <c r="B11" s="5">
        <v>31</v>
      </c>
      <c r="C11" s="19">
        <f>'Property &amp; Assumptions'!$B$18*0.85</f>
        <v>225.25</v>
      </c>
      <c r="D11" s="20">
        <f>MAX(0,'Property &amp; Assumptions'!$C$18-0.1)</f>
        <v>0.82000000000000006</v>
      </c>
      <c r="E11" s="19">
        <f t="shared" si="0"/>
        <v>25.42</v>
      </c>
      <c r="F11" s="19">
        <f t="shared" si="1"/>
        <v>5725.8550000000005</v>
      </c>
      <c r="G11" s="19">
        <f>ROUND(E11/'Property &amp; Assumptions'!$B$29,0)</f>
        <v>7</v>
      </c>
      <c r="H11" s="19">
        <f>G11*'Property &amp; Assumptions'!$B$27</f>
        <v>1050</v>
      </c>
      <c r="I11" s="19">
        <f t="shared" si="2"/>
        <v>6775.8550000000005</v>
      </c>
      <c r="J11" s="19">
        <f>-F11*'Property &amp; Assumptions'!$B$26</f>
        <v>-171.77565000000001</v>
      </c>
      <c r="K11" s="19">
        <f t="shared" si="3"/>
        <v>6604.0793500000009</v>
      </c>
      <c r="L11" s="19">
        <f>G11*'Property &amp; Assumptions'!$B$28+G11*'Property &amp; Assumptions'!$B$31+K11*'Property &amp; Assumptions'!$B$30+K11*'Property &amp; Assumptions'!$B$41+K11*'Property &amp; Assumptions'!$B$42+SUM('Monthly Expenses'!E8:K8)+'Monthly Expenses'!N8+'Monthly Expenses'!O8</f>
        <v>5833.7650048873784</v>
      </c>
      <c r="M11" s="19">
        <f t="shared" si="4"/>
        <v>770.3143451126225</v>
      </c>
      <c r="O11" s="5">
        <v>31</v>
      </c>
      <c r="P11" s="19">
        <f>'Property &amp; Assumptions'!$B$18*1.1</f>
        <v>291.5</v>
      </c>
      <c r="Q11" s="20">
        <f>MIN(1,'Property &amp; Assumptions'!$C$18+0.05)</f>
        <v>0.97000000000000008</v>
      </c>
      <c r="R11" s="19">
        <f t="shared" si="5"/>
        <v>30.070000000000004</v>
      </c>
      <c r="S11" s="19">
        <f t="shared" si="6"/>
        <v>8765.4050000000007</v>
      </c>
      <c r="T11" s="19">
        <f>ROUND(R11/'Property &amp; Assumptions'!$B$29,0)</f>
        <v>9</v>
      </c>
      <c r="U11" s="19">
        <f>T11*'Property &amp; Assumptions'!$B$27</f>
        <v>1350</v>
      </c>
      <c r="V11" s="19">
        <f t="shared" si="7"/>
        <v>10115.405000000001</v>
      </c>
      <c r="W11" s="19">
        <f>-S11*'Property &amp; Assumptions'!$B$26</f>
        <v>-262.96215000000001</v>
      </c>
      <c r="X11" s="19">
        <f t="shared" si="8"/>
        <v>9852.4428500000013</v>
      </c>
      <c r="Y11" s="19">
        <f>T11*'Property &amp; Assumptions'!$B$28+T11*'Property &amp; Assumptions'!$B$31+X11*'Property &amp; Assumptions'!$B$30+X11*'Property &amp; Assumptions'!$B$41+X11*'Property &amp; Assumptions'!$B$42+SUM('Monthly Expenses'!E8:K8)+'Monthly Expenses'!N8+'Monthly Expenses'!O8</f>
        <v>7033.3067848873789</v>
      </c>
      <c r="Z11" s="19">
        <f t="shared" si="9"/>
        <v>2819.1360651126224</v>
      </c>
    </row>
    <row r="12" spans="1:26" x14ac:dyDescent="0.25">
      <c r="B12" s="5">
        <v>31</v>
      </c>
      <c r="C12" s="19">
        <f>'Property &amp; Assumptions'!$B$19*0.85</f>
        <v>216.75</v>
      </c>
      <c r="D12" s="20">
        <f>MAX(0,'Property &amp; Assumptions'!$C$19-0.1)</f>
        <v>0.8</v>
      </c>
      <c r="E12" s="19">
        <f t="shared" si="0"/>
        <v>24.8</v>
      </c>
      <c r="F12" s="19">
        <f t="shared" si="1"/>
        <v>5375.4000000000005</v>
      </c>
      <c r="G12" s="19">
        <f>ROUND(E12/'Property &amp; Assumptions'!$B$29,0)</f>
        <v>7</v>
      </c>
      <c r="H12" s="19">
        <f>G12*'Property &amp; Assumptions'!$B$27</f>
        <v>1050</v>
      </c>
      <c r="I12" s="19">
        <f t="shared" si="2"/>
        <v>6425.4000000000005</v>
      </c>
      <c r="J12" s="19">
        <f>-F12*'Property &amp; Assumptions'!$B$26</f>
        <v>-161.262</v>
      </c>
      <c r="K12" s="19">
        <f t="shared" si="3"/>
        <v>6264.1380000000008</v>
      </c>
      <c r="L12" s="19">
        <f>G12*'Property &amp; Assumptions'!$B$28+G12*'Property &amp; Assumptions'!$B$31+K12*'Property &amp; Assumptions'!$B$30+K12*'Property &amp; Assumptions'!$B$41+K12*'Property &amp; Assumptions'!$B$42+SUM('Monthly Expenses'!E9:K9)+'Monthly Expenses'!N9+'Monthly Expenses'!O9</f>
        <v>5738.5814268873792</v>
      </c>
      <c r="M12" s="19">
        <f t="shared" si="4"/>
        <v>525.55657311262166</v>
      </c>
      <c r="O12" s="5">
        <v>31</v>
      </c>
      <c r="P12" s="19">
        <f>'Property &amp; Assumptions'!$B$19*1.1</f>
        <v>280.5</v>
      </c>
      <c r="Q12" s="20">
        <f>MIN(1,'Property &amp; Assumptions'!$C$19+0.05)</f>
        <v>0.95000000000000007</v>
      </c>
      <c r="R12" s="19">
        <f t="shared" si="5"/>
        <v>29.450000000000003</v>
      </c>
      <c r="S12" s="19">
        <f t="shared" si="6"/>
        <v>8260.7250000000004</v>
      </c>
      <c r="T12" s="19">
        <f>ROUND(R12/'Property &amp; Assumptions'!$B$29,0)</f>
        <v>8</v>
      </c>
      <c r="U12" s="19">
        <f>T12*'Property &amp; Assumptions'!$B$27</f>
        <v>1200</v>
      </c>
      <c r="V12" s="19">
        <f t="shared" si="7"/>
        <v>9460.7250000000004</v>
      </c>
      <c r="W12" s="19">
        <f>-S12*'Property &amp; Assumptions'!$B$26</f>
        <v>-247.82175000000001</v>
      </c>
      <c r="X12" s="19">
        <f t="shared" si="8"/>
        <v>9212.9032500000012</v>
      </c>
      <c r="Y12" s="19">
        <f>T12*'Property &amp; Assumptions'!$B$28+T12*'Property &amp; Assumptions'!$B$31+X12*'Property &amp; Assumptions'!$B$30+X12*'Property &amp; Assumptions'!$B$41+X12*'Property &amp; Assumptions'!$B$42+SUM('Monthly Expenses'!E9:K9)+'Monthly Expenses'!N9+'Monthly Expenses'!O9</f>
        <v>6709.2356968873783</v>
      </c>
      <c r="Z12" s="19">
        <f t="shared" si="9"/>
        <v>2503.667553112623</v>
      </c>
    </row>
    <row r="13" spans="1:26" x14ac:dyDescent="0.25">
      <c r="B13" s="5">
        <v>30</v>
      </c>
      <c r="C13" s="19">
        <f>'Property &amp; Assumptions'!$B$20*0.85</f>
        <v>165.75</v>
      </c>
      <c r="D13" s="20">
        <f>MAX(0,'Property &amp; Assumptions'!$C$20-0.1)</f>
        <v>0.58000000000000007</v>
      </c>
      <c r="E13" s="19">
        <f t="shared" si="0"/>
        <v>17.400000000000002</v>
      </c>
      <c r="F13" s="19">
        <f t="shared" si="1"/>
        <v>2884.05</v>
      </c>
      <c r="G13" s="19">
        <f>ROUND(E13/'Property &amp; Assumptions'!$B$29,0)</f>
        <v>5</v>
      </c>
      <c r="H13" s="19">
        <f>G13*'Property &amp; Assumptions'!$B$27</f>
        <v>750</v>
      </c>
      <c r="I13" s="19">
        <f t="shared" si="2"/>
        <v>3634.05</v>
      </c>
      <c r="J13" s="19">
        <f>-F13*'Property &amp; Assumptions'!$B$26</f>
        <v>-86.521500000000003</v>
      </c>
      <c r="K13" s="19">
        <f t="shared" si="3"/>
        <v>3547.5285000000003</v>
      </c>
      <c r="L13" s="19">
        <f>G13*'Property &amp; Assumptions'!$B$28+G13*'Property &amp; Assumptions'!$B$31+K13*'Property &amp; Assumptions'!$B$30+K13*'Property &amp; Assumptions'!$B$41+K13*'Property &amp; Assumptions'!$B$42+SUM('Monthly Expenses'!E10:K10)+'Monthly Expenses'!N10+'Monthly Expenses'!O10</f>
        <v>4687.930766887378</v>
      </c>
      <c r="M13" s="19">
        <f t="shared" si="4"/>
        <v>-1140.4022668873777</v>
      </c>
      <c r="O13" s="5">
        <v>30</v>
      </c>
      <c r="P13" s="19">
        <f>'Property &amp; Assumptions'!$B$20*1.1</f>
        <v>214.50000000000003</v>
      </c>
      <c r="Q13" s="20">
        <f>MIN(1,'Property &amp; Assumptions'!$C$20+0.05)</f>
        <v>0.73000000000000009</v>
      </c>
      <c r="R13" s="19">
        <f t="shared" si="5"/>
        <v>21.900000000000002</v>
      </c>
      <c r="S13" s="19">
        <f t="shared" si="6"/>
        <v>4697.5500000000011</v>
      </c>
      <c r="T13" s="19">
        <f>ROUND(R13/'Property &amp; Assumptions'!$B$29,0)</f>
        <v>6</v>
      </c>
      <c r="U13" s="19">
        <f>T13*'Property &amp; Assumptions'!$B$27</f>
        <v>900</v>
      </c>
      <c r="V13" s="19">
        <f t="shared" si="7"/>
        <v>5597.5500000000011</v>
      </c>
      <c r="W13" s="19">
        <f>-S13*'Property &amp; Assumptions'!$B$26</f>
        <v>-140.92650000000003</v>
      </c>
      <c r="X13" s="19">
        <f t="shared" si="8"/>
        <v>5456.6235000000015</v>
      </c>
      <c r="Y13" s="19">
        <f>T13*'Property &amp; Assumptions'!$B$28+T13*'Property &amp; Assumptions'!$B$31+X13*'Property &amp; Assumptions'!$B$30+X13*'Property &amp; Assumptions'!$B$41+X13*'Property &amp; Assumptions'!$B$42+SUM('Monthly Expenses'!E10:K10)+'Monthly Expenses'!N10+'Monthly Expenses'!O10</f>
        <v>5367.4773668873786</v>
      </c>
      <c r="Z13" s="19">
        <f t="shared" si="9"/>
        <v>89.14613311262292</v>
      </c>
    </row>
    <row r="14" spans="1:26" x14ac:dyDescent="0.25">
      <c r="B14" s="5">
        <v>31</v>
      </c>
      <c r="C14" s="19">
        <f>'Property &amp; Assumptions'!$B$21*0.85</f>
        <v>148.75</v>
      </c>
      <c r="D14" s="20">
        <f>MAX(0,'Property &amp; Assumptions'!$C$21-0.1)</f>
        <v>0.48</v>
      </c>
      <c r="E14" s="19">
        <f t="shared" si="0"/>
        <v>14.879999999999999</v>
      </c>
      <c r="F14" s="19">
        <f t="shared" si="1"/>
        <v>2213.3999999999996</v>
      </c>
      <c r="G14" s="19">
        <f>ROUND(E14/'Property &amp; Assumptions'!$B$29,0)</f>
        <v>4</v>
      </c>
      <c r="H14" s="19">
        <f>G14*'Property &amp; Assumptions'!$B$27</f>
        <v>600</v>
      </c>
      <c r="I14" s="19">
        <f t="shared" si="2"/>
        <v>2813.3999999999996</v>
      </c>
      <c r="J14" s="19">
        <f>-F14*'Property &amp; Assumptions'!$B$26</f>
        <v>-66.401999999999987</v>
      </c>
      <c r="K14" s="19">
        <f t="shared" si="3"/>
        <v>2746.9979999999996</v>
      </c>
      <c r="L14" s="19">
        <f>G14*'Property &amp; Assumptions'!$B$28+G14*'Property &amp; Assumptions'!$B$31+K14*'Property &amp; Assumptions'!$B$30+K14*'Property &amp; Assumptions'!$B$41+K14*'Property &amp; Assumptions'!$B$42+SUM('Monthly Expenses'!E11:K11)+'Monthly Expenses'!N11+'Monthly Expenses'!O11</f>
        <v>4318.7822268873779</v>
      </c>
      <c r="M14" s="19">
        <f t="shared" si="4"/>
        <v>-1571.7842268873783</v>
      </c>
      <c r="O14" s="5">
        <v>31</v>
      </c>
      <c r="P14" s="19">
        <f>'Property &amp; Assumptions'!$B$21*1.1</f>
        <v>192.50000000000003</v>
      </c>
      <c r="Q14" s="20">
        <f>MIN(1,'Property &amp; Assumptions'!$C$21+0.05)</f>
        <v>0.63</v>
      </c>
      <c r="R14" s="19">
        <f t="shared" si="5"/>
        <v>19.53</v>
      </c>
      <c r="S14" s="19">
        <f t="shared" si="6"/>
        <v>3759.525000000001</v>
      </c>
      <c r="T14" s="19">
        <f>ROUND(R14/'Property &amp; Assumptions'!$B$29,0)</f>
        <v>6</v>
      </c>
      <c r="U14" s="19">
        <f>T14*'Property &amp; Assumptions'!$B$27</f>
        <v>900</v>
      </c>
      <c r="V14" s="19">
        <f t="shared" si="7"/>
        <v>4659.5250000000015</v>
      </c>
      <c r="W14" s="19">
        <f>-S14*'Property &amp; Assumptions'!$B$26</f>
        <v>-112.78575000000002</v>
      </c>
      <c r="X14" s="19">
        <f t="shared" si="8"/>
        <v>4546.7392500000014</v>
      </c>
      <c r="Y14" s="19">
        <f>T14*'Property &amp; Assumptions'!$B$28+T14*'Property &amp; Assumptions'!$B$31+X14*'Property &amp; Assumptions'!$B$30+X14*'Property &amp; Assumptions'!$B$41+X14*'Property &amp; Assumptions'!$B$42+SUM('Monthly Expenses'!E11:K11)+'Monthly Expenses'!N11+'Monthly Expenses'!O11</f>
        <v>5112.7097768873782</v>
      </c>
      <c r="Z14" s="19">
        <f t="shared" si="9"/>
        <v>-565.97052688737676</v>
      </c>
    </row>
    <row r="15" spans="1:26" x14ac:dyDescent="0.25">
      <c r="B15" s="5">
        <v>30</v>
      </c>
      <c r="C15" s="19">
        <f>'Property &amp; Assumptions'!$B$22*0.85</f>
        <v>123.25</v>
      </c>
      <c r="D15" s="20">
        <f>MAX(0,'Property &amp; Assumptions'!$C$22-0.1)</f>
        <v>0.30000000000000004</v>
      </c>
      <c r="E15" s="19">
        <f t="shared" si="0"/>
        <v>9.0000000000000018</v>
      </c>
      <c r="F15" s="19">
        <f t="shared" si="1"/>
        <v>1109.2500000000002</v>
      </c>
      <c r="G15" s="19">
        <f>ROUND(E15/'Property &amp; Assumptions'!$B$29,0)</f>
        <v>3</v>
      </c>
      <c r="H15" s="19">
        <f>G15*'Property &amp; Assumptions'!$B$27</f>
        <v>450</v>
      </c>
      <c r="I15" s="19">
        <f t="shared" si="2"/>
        <v>1559.2500000000002</v>
      </c>
      <c r="J15" s="19">
        <f>-F15*'Property &amp; Assumptions'!$B$26</f>
        <v>-33.277500000000003</v>
      </c>
      <c r="K15" s="19">
        <f t="shared" si="3"/>
        <v>1525.9725000000003</v>
      </c>
      <c r="L15" s="19">
        <f>G15*'Property &amp; Assumptions'!$B$28+G15*'Property &amp; Assumptions'!$B$31+K15*'Property &amp; Assumptions'!$B$30+K15*'Property &amp; Assumptions'!$B$41+K15*'Property &amp; Assumptions'!$B$42+SUM('Monthly Expenses'!E12:K12)+'Monthly Expenses'!N12+'Monthly Expenses'!O12</f>
        <v>3831.8950868873781</v>
      </c>
      <c r="M15" s="19">
        <f t="shared" si="4"/>
        <v>-2305.9225868873777</v>
      </c>
      <c r="O15" s="5">
        <v>30</v>
      </c>
      <c r="P15" s="19">
        <f>'Property &amp; Assumptions'!$B$22*1.1</f>
        <v>159.5</v>
      </c>
      <c r="Q15" s="20">
        <f>MIN(1,'Property &amp; Assumptions'!$C$22+0.05)</f>
        <v>0.45</v>
      </c>
      <c r="R15" s="19">
        <f t="shared" si="5"/>
        <v>13.5</v>
      </c>
      <c r="S15" s="19">
        <f t="shared" si="6"/>
        <v>2153.25</v>
      </c>
      <c r="T15" s="19">
        <f>ROUND(R15/'Property &amp; Assumptions'!$B$29,0)</f>
        <v>4</v>
      </c>
      <c r="U15" s="19">
        <f>T15*'Property &amp; Assumptions'!$B$27</f>
        <v>600</v>
      </c>
      <c r="V15" s="19">
        <f t="shared" si="7"/>
        <v>2753.25</v>
      </c>
      <c r="W15" s="19">
        <f>-S15*'Property &amp; Assumptions'!$B$26</f>
        <v>-64.597499999999997</v>
      </c>
      <c r="X15" s="19">
        <f t="shared" si="8"/>
        <v>2688.6525000000001</v>
      </c>
      <c r="Y15" s="19">
        <f>T15*'Property &amp; Assumptions'!$B$28+T15*'Property &amp; Assumptions'!$B$31+X15*'Property &amp; Assumptions'!$B$30+X15*'Property &amp; Assumptions'!$B$41+X15*'Property &amp; Assumptions'!$B$42+SUM('Monthly Expenses'!E12:K12)+'Monthly Expenses'!N12+'Monthly Expenses'!O12</f>
        <v>4302.4454868873781</v>
      </c>
      <c r="Z15" s="19">
        <f t="shared" si="9"/>
        <v>-1613.792986887378</v>
      </c>
    </row>
    <row r="16" spans="1:26" x14ac:dyDescent="0.25">
      <c r="B16" s="5">
        <v>31</v>
      </c>
      <c r="C16" s="19">
        <f>'Property &amp; Assumptions'!$B$23*0.85</f>
        <v>140.25</v>
      </c>
      <c r="D16" s="20">
        <f>MAX(0,'Property &amp; Assumptions'!$C$23-0.1)</f>
        <v>0.45000000000000007</v>
      </c>
      <c r="E16" s="19">
        <f t="shared" si="0"/>
        <v>13.950000000000003</v>
      </c>
      <c r="F16" s="19">
        <f t="shared" si="1"/>
        <v>1956.4875000000004</v>
      </c>
      <c r="G16" s="19">
        <f>ROUND(E16/'Property &amp; Assumptions'!$B$29,0)</f>
        <v>4</v>
      </c>
      <c r="H16" s="19">
        <f>G16*'Property &amp; Assumptions'!$B$27</f>
        <v>600</v>
      </c>
      <c r="I16" s="19">
        <f t="shared" si="2"/>
        <v>2556.4875000000002</v>
      </c>
      <c r="J16" s="19">
        <f>-F16*'Property &amp; Assumptions'!$B$26</f>
        <v>-58.694625000000009</v>
      </c>
      <c r="K16" s="19">
        <f t="shared" si="3"/>
        <v>2497.7928750000001</v>
      </c>
      <c r="L16" s="19">
        <f>G16*'Property &amp; Assumptions'!$B$28+G16*'Property &amp; Assumptions'!$B$31+K16*'Property &amp; Assumptions'!$B$30+K16*'Property &amp; Assumptions'!$B$41+K16*'Property &amp; Assumptions'!$B$42+SUM('Monthly Expenses'!E13:K13)+'Monthly Expenses'!N13+'Monthly Expenses'!O13</f>
        <v>4249.0047918873779</v>
      </c>
      <c r="M16" s="19">
        <f t="shared" si="4"/>
        <v>-1751.2119168873778</v>
      </c>
      <c r="O16" s="5">
        <v>31</v>
      </c>
      <c r="P16" s="19">
        <f>'Property &amp; Assumptions'!$B$23*1.1</f>
        <v>181.50000000000003</v>
      </c>
      <c r="Q16" s="20">
        <f>MIN(1,'Property &amp; Assumptions'!$C$23+0.05)</f>
        <v>0.60000000000000009</v>
      </c>
      <c r="R16" s="19">
        <f t="shared" si="5"/>
        <v>18.600000000000001</v>
      </c>
      <c r="S16" s="19">
        <f t="shared" si="6"/>
        <v>3375.900000000001</v>
      </c>
      <c r="T16" s="19">
        <f>ROUND(R16/'Property &amp; Assumptions'!$B$29,0)</f>
        <v>5</v>
      </c>
      <c r="U16" s="19">
        <f>T16*'Property &amp; Assumptions'!$B$27</f>
        <v>750</v>
      </c>
      <c r="V16" s="19">
        <f t="shared" si="7"/>
        <v>4125.9000000000015</v>
      </c>
      <c r="W16" s="19">
        <f>-S16*'Property &amp; Assumptions'!$B$26</f>
        <v>-101.27700000000003</v>
      </c>
      <c r="X16" s="19">
        <f t="shared" si="8"/>
        <v>4024.6230000000014</v>
      </c>
      <c r="Y16" s="19">
        <f>T16*'Property &amp; Assumptions'!$B$28+T16*'Property &amp; Assumptions'!$B$31+X16*'Property &amp; Assumptions'!$B$30+X16*'Property &amp; Assumptions'!$B$41+X16*'Property &amp; Assumptions'!$B$42+SUM('Monthly Expenses'!E13:K13)+'Monthly Expenses'!N13+'Monthly Expenses'!O13</f>
        <v>4821.5172268873785</v>
      </c>
      <c r="Z16" s="19">
        <f t="shared" si="9"/>
        <v>-796.89422688737704</v>
      </c>
    </row>
    <row r="19" spans="1:27" x14ac:dyDescent="0.25">
      <c r="A19" s="1" t="s">
        <v>124</v>
      </c>
      <c r="B19" s="19">
        <f>IF(SUM(E5:E16)=0,0,SUM(F5:F16)/SUM(E5:E16))</f>
        <v>172.05237143758544</v>
      </c>
      <c r="N19" s="19">
        <f>'Monthly Revenue'!$E$17</f>
        <v>199.80898182459853</v>
      </c>
      <c r="AA19" s="19">
        <f>IF(SUM(R5:R16)=0,0,SUM(S5:S16)/SUM(R5:R16))</f>
        <v>218.67715265586085</v>
      </c>
    </row>
    <row r="20" spans="1:27" x14ac:dyDescent="0.25">
      <c r="A20" s="1" t="s">
        <v>125</v>
      </c>
      <c r="B20" s="20">
        <f>AVERAGE(D5:D16)</f>
        <v>0.51916666666666667</v>
      </c>
      <c r="N20" s="20">
        <f>AVERAGE('Property &amp; Assumptions'!$C$12:$C$23)</f>
        <v>0.61916666666666675</v>
      </c>
      <c r="AA20" s="20">
        <f>AVERAGE(Q5:Q16)</f>
        <v>0.6691666666666668</v>
      </c>
    </row>
    <row r="21" spans="1:27" x14ac:dyDescent="0.25">
      <c r="A21" s="1" t="s">
        <v>126</v>
      </c>
      <c r="B21" s="19">
        <f>SUM(F5:F16)</f>
        <v>32720.920000000002</v>
      </c>
      <c r="N21" s="19">
        <f>SUM('Monthly Revenue'!$F$2:$F$13)</f>
        <v>45292.700000000004</v>
      </c>
      <c r="AA21" s="19">
        <f>SUM(S5:S16)</f>
        <v>53560.595000000008</v>
      </c>
    </row>
    <row r="22" spans="1:27" x14ac:dyDescent="0.25">
      <c r="A22" s="1" t="s">
        <v>127</v>
      </c>
      <c r="B22" s="19">
        <f>SUM(K5:K16)</f>
        <v>39839.292399999998</v>
      </c>
      <c r="N22" s="19">
        <f>'Monthly Revenue'!$K$14</f>
        <v>53683.919000000009</v>
      </c>
      <c r="AA22" s="19">
        <f>SUM(X5:X16)</f>
        <v>62453.777150000002</v>
      </c>
    </row>
    <row r="23" spans="1:27" x14ac:dyDescent="0.25">
      <c r="A23" s="1" t="s">
        <v>128</v>
      </c>
      <c r="B23" s="19">
        <f>SUM(L5:L16)</f>
        <v>54620.475314648538</v>
      </c>
      <c r="N23" s="19">
        <f>'Monthly Expenses'!$P$14</f>
        <v>60091.970762648547</v>
      </c>
      <c r="AA23" s="19">
        <f>SUM(Y5:Y16)</f>
        <v>63272.531044648538</v>
      </c>
    </row>
    <row r="24" spans="1:27" x14ac:dyDescent="0.25">
      <c r="A24" s="1" t="s">
        <v>129</v>
      </c>
      <c r="B24" s="19">
        <f>SUM(M5:M16)</f>
        <v>-14781.182914648536</v>
      </c>
      <c r="N24" s="19">
        <f>'Monthly Expenses'!$Q$14</f>
        <v>-6408.0517626485398</v>
      </c>
      <c r="AA24" s="19">
        <f>SUM(Z5:Z16)</f>
        <v>-818.75389464853288</v>
      </c>
    </row>
    <row r="25" spans="1:27" x14ac:dyDescent="0.25">
      <c r="A25" s="1" t="s">
        <v>101</v>
      </c>
      <c r="B25" s="20">
        <f>IF('Property &amp; Assumptions'!$B$5*'Property &amp; Assumptions'!$B$6=0,0,B24/('Property &amp; Assumptions'!$B$5*'Property &amp; Assumptions'!$B$6))</f>
        <v>-0.21737033698012553</v>
      </c>
      <c r="N25" s="20">
        <f>'Annual Summary &amp; Comparison'!$B$10</f>
        <v>-9.423605533306674E-2</v>
      </c>
      <c r="AA25" s="20">
        <f>IF('Property &amp; Assumptions'!$B$5*'Property &amp; Assumptions'!$B$6=0,0,Z24/('Property &amp; Assumptions'!$B$5*'Property &amp; Assumptions'!$B$6))</f>
        <v>0</v>
      </c>
    </row>
    <row r="27" spans="1:27" x14ac:dyDescent="0.25">
      <c r="A27" s="6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Property &amp; Assumptions</vt:lpstr>
      <vt:lpstr>Monthly Revenue</vt:lpstr>
      <vt:lpstr>Monthly Expenses</vt:lpstr>
      <vt:lpstr>Annual Summary &amp; Comparison</vt:lpstr>
      <vt:lpstr>Scenario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Maya Patel</dc:creator>
  <cp:lastModifiedBy>Maya Patel</cp:lastModifiedBy>
  <dcterms:created xsi:type="dcterms:W3CDTF">2023-03-08T22:40:49Z</dcterms:created>
  <dcterms:modified xsi:type="dcterms:W3CDTF">2024-10-03T18:07:40Z</dcterms:modified>
  <cp:revision>1</cp:revision>
</cp:coreProperties>
</file>