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28"/>
  <workbookPr/>
  <mc:AlternateContent xmlns:mc="http://schemas.openxmlformats.org/markup-compatibility/2006">
    <mc:Choice Requires="x15">
      <x15ac:absPath xmlns:x15ac="http://schemas.microsoft.com/office/spreadsheetml/2010/11/ac" url="/Users/michaelshpan/Downloads/"/>
    </mc:Choice>
  </mc:AlternateContent>
  <xr:revisionPtr revIDLastSave="0" documentId="13_ncr:1_{A2CE4A16-D6C8-7740-BCCE-4DAEEA65F6B0}" xr6:coauthVersionLast="47" xr6:coauthVersionMax="47" xr10:uidLastSave="{00000000-0000-0000-0000-000000000000}"/>
  <bookViews>
    <workbookView xWindow="32560" yWindow="-1580" windowWidth="31040" windowHeight="15760" xr2:uid="{00000000-000D-0000-FFFF-FFFF00000000}"/>
  </bookViews>
  <sheets>
    <sheet name="Formulas" sheetId="1" r:id="rId1"/>
    <sheet name="Data" sheetId="2" r:id="rId2"/>
  </sheets>
  <definedNames>
    <definedName name="_xlcn.WorksheetConnection_ftk.xlsxTable21" hidden="1">Table2</definedName>
    <definedName name="Alpha">_xlfn.LAMBDA(_xlpm.ts,(1+INTERCEPT(_xlfn.CHOOSECOLS(_xlpm.ts,1),_xlfn.CHOOSECOLS(_xlpm.ts,2)))^12-1)</definedName>
    <definedName name="ANNRET">_xlfn.LAMBDA(_xlpm.ts,GEOMEAN(1+_xlpm.ts)^12-1)</definedName>
    <definedName name="AVGNEG">_xlfn.LAMBDA(_xlpm.ts,AVERAGEIF(_xlpm.ts,"&lt;0") )</definedName>
    <definedName name="AVGPOS">_xlfn.LAMBDA(_xlpm.ts,AVERAGEIF(_xlpm.ts,"&gt;0") )</definedName>
    <definedName name="AVGRET">_xlfn.LAMBDA(_xlpm.ts,AVERAGE(_xlpm.ts) )</definedName>
    <definedName name="Benchmark">Data!$C:$C</definedName>
    <definedName name="BESTPERIOD">_xlfn.LAMBDA(_xlpm.ts, MAX(_xlpm.ts) )</definedName>
    <definedName name="Beta">_xlfn.LAMBDA(_xlpm.ts,SLOPE(_xlfn.CHOOSECOLS(_xlpm.ts,1),_xlfn.CHOOSECOLS(_xlpm.ts,2)))</definedName>
    <definedName name="CalendarYear">_xlfn.LAMBDA(_xlpm.ts,_xlpm.dates,_xlpm.func,     _xlfn.LET(         _xlpm.start, MIN(YEAR(_xlpm.dates)),         _xlpm.end, MAX(YEAR(_xlpm.dates)),         _xlpm.years, _xlfn.SEQUENCE(_xlpm.end - _xlpm.start + 1,, _xlpm.start),         _xlfn.HSTACK(             _xlpm.years,             _xlfn.MAP(_xlpm.years,                 _xlfn.LAMBDA(_xlpm.y,                     _xlfn.LET(                         _xlpm.n, _xlfn.SEQUENCE(ROWS(_xlpm.ts)),                         _xlpm.d, IF(YEAR(_xlpm.dates) = _xlpm.y, _xlpm.n, 0),                         _xlpm.func(_xlfn.CHOOSEROWS(_xlpm.ts, _xlfn._xlws.FILTER(_xlpm.d, _xlpm.d &gt; 0)))                     )                 )             )         )     ) )</definedName>
    <definedName name="CUMRET">_xlfn.LAMBDA(_xlpm.ts, FVSCHEDULE(1, _xlpm.ts) - 1 )</definedName>
    <definedName name="Cumulative">_xlfn.LAMBDA(_xlpm.ts,_xlpm.func,     _xlfn.LET(         _xlpm.n, ROWS(_xlpm.ts),         _xlpm.i, _xlfn.SEQUENCE(_xlpm.n),         _xlfn.MAP(_xlpm.i,             _xlfn.LAMBDA(_xlpm.j,                 _xlpm.func(_xlfn.CHOOSEROWS(_xlpm.ts, _xlfn.SEQUENCE(_xlpm.j, , 1)))             )         )     ) )</definedName>
    <definedName name="DownCapture">_xlfn.LAMBDA(_xlpm.fund,_xlpm.market,_xlfn.LET(_xlpm.downmarket,_xlpm.market&lt;0,Returns(IF(_xlpm.downmarket,_xlpm.fund,NA()))/Returns(IF(_xlpm.downmarket,_xlpm.market,NA()))))</definedName>
    <definedName name="Fund">Data!$B:$B</definedName>
    <definedName name="GROWTHOF">_xlfn.LAMBDA(_xlpm.ts,_xlpm.init, IF(_xlfn.ISOMITTED(_xlpm.init), 100, _xlpm.init) * (CUMRET(_xlpm.ts) + 1))</definedName>
    <definedName name="KendallTau">_xlfn.LAMBDA(_xlpm.x,_xlpm.y,_xlpm.variant,     _xlfn.LET(         _xlpm.V, IF(_xlfn.ISOMITTED(_xlpm.variant), "B", _xlpm.variant),         _xlpm.N, COUNT(_xlpm.x),         _xlpm.M, MIN(COUNT(_xlfn.UNIQUE(_xlpm.x)), COUNT(_xlfn.UNIQUE(_xlpm.y))),         _xlpm.N_0, _xlpm.N * (_xlpm.N - 1),         _xlpm.CD, _xlfn.MAKEARRAY(             _xlpm.N, _xlpm.N,             _xlfn.LAMBDA(_xlpm.i,_xlpm.j,                 IF(_xlpm.i &gt; _xlpm.j,                     _xlfn.SWITCH(TRUE,                         SIGN((INDEX(_xlpm.x,_xlpm.i) - INDEX(_xlpm.x,_xlpm.j)) * (INDEX(_xlpm.y,_xlpm.i) - INDEX(_xlpm.y,_xlpm.j))) =  1, "C",                         SIGN((INDEX(_xlpm.x,_xlpm.i) - INDEX(_xlpm.x,_xlpm.j)) * (INDEX(_xlpm.y,_xlpm.i) - INDEX(_xlpm.y,_xlpm.j))) = -1, "D",                         AND(INDEX(_xlpm.x,_xlpm.i) = INDEX(_xlpm.x,_xlpm.j), INDEX(_xlpm.y,_xlpm.i) &lt;&gt; INDEX(_xlpm.y,_xlpm.j)), "T",                         AND(INDEX(_xlpm.y,_xlpm.i) = INDEX(_xlpm.y,_xlpm.j), INDEX(_xlpm.x,_xlpm.i) &lt;&gt; INDEX(_xlpm.x,_xlpm.j)), "U",                     ), 0                 )             )         ),         _xlpm.N_C, SUM(IF(_xlpm.CD = "C", 1)),         _xlpm.N_D, SUM(IF(_xlpm.CD = "D", 1)),         _xlpm.N_1, SUM(IF(_xlpm.CD = "T", 1)),         _xlpm.N_2, SUM(IF(_xlpm.CD = "U", 1)),         _xlpm.B, (_xlpm.N_C - _xlpm.N_D) / SQRT((_xlpm.N_C + _xlpm.N_D + _xlpm.N_1) * (_xlpm.N_C + _xlpm.N_D + _xlpm.N_2)),         _xlpm.C, 2 * (_xlpm.N_C - _xlpm.N_D) / (_xlpm.N^2 * (_xlpm.M - 1) / _xlpm.M),         IF(_xlpm.V = "B", _xlpm.B, _xlpm.C)     ) )</definedName>
    <definedName name="MAXCONSECGAINPER">_xlfn.LAMBDA(_xlpm.ts,MAX(_xlfn.SCAN(0,SIGN(_xlpm.ts)&gt;0,_xlfn.LAMBDA(_xlpm.x,_xlpm.y,IF(_xlpm.y,_xlpm.x+_xlpm.y,0)))))</definedName>
    <definedName name="MAXCONSECGAINRET">_xlfn.LAMBDA(_xlpm.ts,MAX(_xlfn.SCAN(1,_xlpm.ts,_xlfn.LAMBDA(_xlpm.x,_xlpm.y,IF(_xlpm.y&gt;0,_xlpm.x*(1+_xlpm.y),1))))-1)</definedName>
    <definedName name="MAXCONSECLOSSPER">_xlfn.LAMBDA(_xlpm.ts,MAX(_xlfn.SCAN(0,SIGN(_xlpm.ts)&lt;0,_xlfn.LAMBDA(_xlpm.x,_xlpm.y,IF(_xlpm.y,_xlpm.x+_xlpm.y,0)))))</definedName>
    <definedName name="MAXCONSECLOSSRET">_xlfn.LAMBDA(_xlpm.ts,MIN(_xlfn.SCAN(1,_xlpm.ts,_xlfn.LAMBDA(_xlpm.x,_xlpm.y,IF(_xlpm.y&lt;0,_xlpm.x*(1+_xlpm.y),1))))-1)</definedName>
    <definedName name="PER">_xlfn.LAMBDA(_xlpm.ts, COUNT(_xlpm.ts))</definedName>
    <definedName name="PERNEG">_xlfn.LAMBDA(_xlpm.ts, COUNTIF(_xlpm.ts, "&lt;0"))</definedName>
    <definedName name="PERPOS">_xlfn.LAMBDA(_xlpm.ts, COUNTIF(_xlpm.ts, "&gt;0"))</definedName>
    <definedName name="Returns">_xlfn.LAMBDA(_xlpm.x,_xlfn.LET(_xlpm.n,COUNT(_xlpm.x),POWER(FVSCHEDULE(1,IFERROR(_xlpm.x,0)),12/IF(_xlpm.n&lt;12,12,_xlpm.n))-1))</definedName>
    <definedName name="Rfr">Data!$D:$D</definedName>
    <definedName name="Rolling">_xlfn.LAMBDA(_xlpm.ts,_xlpm.n,_xlpm.func,     _xlfn.LET(         _xlpm.i, _xlfn.SEQUENCE(ROWS(_xlpm.ts)),         _xlfn.MAP(_xlpm.i,             _xlfn.LAMBDA(_xlpm.j,                 IF(_xlpm.j&lt;_xlpm.n, NA(),                     _xlpm.func(_xlfn.CHOOSEROWS(_xlpm.ts,_xlfn.SEQUENCE(_xlpm.n, , _xlpm.j-_xlpm.n+1)))                 )             )         )     ) )</definedName>
    <definedName name="SortinoMar">_xlfn.LAMBDA(_xlpm.fund,_xlpm.mar,_xlfn.LET(_xlpm.hurdle,_xlpm.mar/12,(Returns(_xlpm.fund)-_xlpm.mar)/SQRT(SUM(IF(_xlpm.fund&lt;_xlpm.hurdle,(_xlpm.fund-_xlpm.hurdle)^2)/COUNT(_xlpm.fund)*12))))</definedName>
    <definedName name="SortinoRfr">_xlfn.LAMBDA(_xlpm.fund,_xlpm.rfr,(Returns(_xlpm.fund)-Returns(_xlpm.rfr))/SQRT(SUM(IF(_xlpm.fund&lt;_xlpm.rfr,_xlpm.fund-_xlpm.rfr,0)^2)/COUNT(_xlpm.fund)*12))</definedName>
    <definedName name="Trailing">_xlfn.LAMBDA(_xlpm.ts,_xlpm.func,     _xlfn.LET(         _xlpm.n, ROWS(_xlpm.ts),         _xlpm.i, _xlfn.SEQUENCE(_xlpm.n),         _xlfn.MAP(_xlpm.i,             _xlfn.LAMBDA(_xlpm.j,                 _xlpm.func(_xlfn.CHOOSEROWS(_xlpm.ts,_xlfn.SEQUENCE(_xlpm.j, , _xlpm.n-_xlpm.j+1)))             )         )     ) )</definedName>
    <definedName name="Underwater">_xlfn.LAMBDA(_xlpm.x,VAMI(_xlpm.x)/_xlfn.SCAN(1000,VAMI(_xlpm.x),_xleta.MAX)-1)</definedName>
    <definedName name="UpCapture">_xlfn.LAMBDA(_xlpm.fund,_xlpm.market,_xlfn.LET(_xlpm.upmarket,_xlpm.market&gt;0,Returns(IF(_xlpm.upmarket,_xlpm.fund,NA()))/Returns(IF(_xlpm.upmarket,_xlpm.market,NA()))))</definedName>
    <definedName name="VAMI">_xlfn.LAMBDA(_xlpm.x,_xlfn.VSTACK(1000,_xlfn.SCAN(1000,_xlpm.x,_xlfn.LAMBDA(_xlpm.x,_xlpm.y,_xlpm.x*(1+_xlpm.y)))))</definedName>
    <definedName name="WORSTPERIOD">_xlfn.LAMBDA(_xlpm.ts, MIN(_xlpm.ts) )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2" name="Data" connection="WorksheetConnection_ftk.xlsx!Table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5" i="1" l="1"/>
  <c r="C1" i="1"/>
  <c r="Z5" i="1"/>
  <c r="W5" i="1"/>
  <c r="V5" i="1"/>
  <c r="S7" i="1"/>
  <c r="R7" i="1"/>
  <c r="N5" i="1"/>
  <c r="M5" i="1"/>
  <c r="K5" i="1"/>
  <c r="J5" i="1"/>
  <c r="G5" i="1"/>
  <c r="F5" i="1"/>
  <c r="C5" i="1"/>
  <c r="B5" i="1"/>
  <c r="H8" i="1" a="1"/>
  <c r="H8" i="1"/>
  <c r="G8" i="1" a="1"/>
  <c r="G8" i="1"/>
  <c r="F8" i="1" a="1"/>
  <c r="F8" i="1"/>
  <c r="G2" i="1"/>
  <c r="A2" i="2" a="1"/>
  <c r="B3" i="2"/>
  <c r="C3" i="2"/>
  <c r="B4" i="2"/>
  <c r="C4" i="2"/>
  <c r="B5" i="2"/>
  <c r="C5" i="2"/>
  <c r="B6" i="2"/>
  <c r="C6" i="2"/>
  <c r="B7" i="2"/>
  <c r="C7" i="2"/>
  <c r="B8" i="2"/>
  <c r="C8" i="2"/>
  <c r="B9" i="2"/>
  <c r="C9" i="2"/>
  <c r="B10" i="2"/>
  <c r="C10" i="2"/>
  <c r="B11" i="2"/>
  <c r="C11" i="2"/>
  <c r="B12" i="2"/>
  <c r="C12" i="2"/>
  <c r="B13" i="2"/>
  <c r="C13" i="2"/>
  <c r="B14" i="2"/>
  <c r="C14" i="2"/>
  <c r="B15" i="2"/>
  <c r="C15" i="2"/>
  <c r="B16" i="2"/>
  <c r="C16" i="2"/>
  <c r="B17" i="2"/>
  <c r="C17" i="2"/>
  <c r="B18" i="2"/>
  <c r="C18" i="2"/>
  <c r="B19" i="2"/>
  <c r="C19" i="2"/>
  <c r="B20" i="2"/>
  <c r="C20" i="2"/>
  <c r="B21" i="2"/>
  <c r="C21" i="2"/>
  <c r="B22" i="2"/>
  <c r="C22" i="2"/>
  <c r="B23" i="2"/>
  <c r="C23" i="2"/>
  <c r="B24" i="2"/>
  <c r="C24" i="2"/>
  <c r="B25" i="2"/>
  <c r="C25" i="2"/>
  <c r="B26" i="2"/>
  <c r="C26" i="2"/>
  <c r="B27" i="2"/>
  <c r="C27" i="2"/>
  <c r="B28" i="2"/>
  <c r="C28" i="2"/>
  <c r="B29" i="2"/>
  <c r="C29" i="2"/>
  <c r="B30" i="2"/>
  <c r="C30" i="2"/>
  <c r="B31" i="2"/>
  <c r="C31" i="2"/>
  <c r="B32" i="2"/>
  <c r="C32" i="2"/>
  <c r="B33" i="2"/>
  <c r="C33" i="2"/>
  <c r="B34" i="2"/>
  <c r="C34" i="2"/>
  <c r="B35" i="2"/>
  <c r="C35" i="2"/>
  <c r="B36" i="2"/>
  <c r="C36" i="2"/>
  <c r="B37" i="2"/>
  <c r="C37" i="2"/>
  <c r="B38" i="2"/>
  <c r="C38" i="2"/>
  <c r="B39" i="2"/>
  <c r="C39" i="2"/>
  <c r="B40" i="2"/>
  <c r="C40" i="2"/>
  <c r="B41" i="2"/>
  <c r="C41" i="2"/>
  <c r="B42" i="2"/>
  <c r="C42" i="2"/>
  <c r="B43" i="2"/>
  <c r="C43" i="2"/>
  <c r="B44" i="2"/>
  <c r="C44" i="2"/>
  <c r="B45" i="2"/>
  <c r="C45" i="2"/>
  <c r="B46" i="2"/>
  <c r="C46" i="2"/>
  <c r="B47" i="2"/>
  <c r="C47" i="2"/>
  <c r="B48" i="2"/>
  <c r="C48" i="2"/>
  <c r="B49" i="2"/>
  <c r="C49" i="2"/>
  <c r="B50" i="2"/>
  <c r="C50" i="2"/>
  <c r="B51" i="2"/>
  <c r="C51" i="2"/>
  <c r="B52" i="2"/>
  <c r="C52" i="2"/>
  <c r="B53" i="2"/>
  <c r="C53" i="2"/>
  <c r="B54" i="2"/>
  <c r="C54" i="2"/>
  <c r="B55" i="2"/>
  <c r="C55" i="2"/>
  <c r="B56" i="2"/>
  <c r="C56" i="2"/>
  <c r="B57" i="2"/>
  <c r="C57" i="2"/>
  <c r="B58" i="2"/>
  <c r="C58" i="2"/>
  <c r="B59" i="2"/>
  <c r="C59" i="2"/>
  <c r="B60" i="2"/>
  <c r="C60" i="2"/>
  <c r="B61" i="2"/>
  <c r="C61" i="2"/>
  <c r="B62" i="2"/>
  <c r="C62" i="2"/>
  <c r="B63" i="2"/>
  <c r="C63" i="2"/>
  <c r="B64" i="2"/>
  <c r="C64" i="2"/>
  <c r="B65" i="2"/>
  <c r="C65" i="2"/>
  <c r="B66" i="2"/>
  <c r="C66" i="2"/>
  <c r="B67" i="2"/>
  <c r="C67" i="2"/>
  <c r="B68" i="2"/>
  <c r="C68" i="2"/>
  <c r="B69" i="2"/>
  <c r="C69" i="2"/>
  <c r="B70" i="2"/>
  <c r="C70" i="2"/>
  <c r="B71" i="2"/>
  <c r="C71" i="2"/>
  <c r="B72" i="2"/>
  <c r="C72" i="2"/>
  <c r="B73" i="2"/>
  <c r="C73" i="2"/>
  <c r="B74" i="2"/>
  <c r="C74" i="2"/>
  <c r="B75" i="2"/>
  <c r="C75" i="2"/>
  <c r="B76" i="2"/>
  <c r="C76" i="2"/>
  <c r="B77" i="2"/>
  <c r="C77" i="2"/>
  <c r="B78" i="2"/>
  <c r="C78" i="2"/>
  <c r="B79" i="2"/>
  <c r="C79" i="2"/>
  <c r="B80" i="2"/>
  <c r="C80" i="2"/>
  <c r="B81" i="2"/>
  <c r="C81" i="2"/>
  <c r="B82" i="2"/>
  <c r="C82" i="2"/>
  <c r="B83" i="2"/>
  <c r="C83" i="2"/>
  <c r="B84" i="2"/>
  <c r="C84" i="2"/>
  <c r="B85" i="2"/>
  <c r="C85" i="2"/>
  <c r="B86" i="2"/>
  <c r="C86" i="2"/>
  <c r="B87" i="2"/>
  <c r="C87" i="2"/>
  <c r="B88" i="2"/>
  <c r="C88" i="2"/>
  <c r="B89" i="2"/>
  <c r="C89" i="2"/>
  <c r="B90" i="2"/>
  <c r="C90" i="2"/>
  <c r="B91" i="2"/>
  <c r="C91" i="2"/>
  <c r="B92" i="2"/>
  <c r="C92" i="2"/>
  <c r="B93" i="2"/>
  <c r="C93" i="2"/>
  <c r="B94" i="2"/>
  <c r="C94" i="2"/>
  <c r="B95" i="2"/>
  <c r="C95" i="2"/>
  <c r="B96" i="2"/>
  <c r="C96" i="2"/>
  <c r="B97" i="2"/>
  <c r="C97" i="2"/>
  <c r="B98" i="2"/>
  <c r="C98" i="2"/>
  <c r="B99" i="2"/>
  <c r="C99" i="2"/>
  <c r="B100" i="2"/>
  <c r="C100" i="2"/>
  <c r="B101" i="2"/>
  <c r="C101" i="2"/>
  <c r="B102" i="2"/>
  <c r="C102" i="2"/>
  <c r="B103" i="2"/>
  <c r="C103" i="2"/>
  <c r="B104" i="2"/>
  <c r="C104" i="2"/>
  <c r="B105" i="2"/>
  <c r="C105" i="2"/>
  <c r="B106" i="2"/>
  <c r="C106" i="2"/>
  <c r="B107" i="2"/>
  <c r="C107" i="2"/>
  <c r="B108" i="2"/>
  <c r="C108" i="2"/>
  <c r="B109" i="2"/>
  <c r="C109" i="2"/>
  <c r="B110" i="2"/>
  <c r="C110" i="2"/>
  <c r="B111" i="2"/>
  <c r="C111" i="2"/>
  <c r="B112" i="2"/>
  <c r="C112" i="2"/>
  <c r="B113" i="2"/>
  <c r="C113" i="2"/>
  <c r="B114" i="2"/>
  <c r="C114" i="2"/>
  <c r="B115" i="2"/>
  <c r="C115" i="2"/>
  <c r="B116" i="2"/>
  <c r="C116" i="2"/>
  <c r="B117" i="2"/>
  <c r="C117" i="2"/>
  <c r="B118" i="2"/>
  <c r="C118" i="2"/>
  <c r="B119" i="2"/>
  <c r="C119" i="2"/>
  <c r="B120" i="2"/>
  <c r="C120" i="2"/>
  <c r="B121" i="2"/>
  <c r="C121" i="2"/>
  <c r="B122" i="2"/>
  <c r="C122" i="2"/>
  <c r="B123" i="2"/>
  <c r="C123" i="2"/>
  <c r="B124" i="2"/>
  <c r="C124" i="2"/>
  <c r="B125" i="2"/>
  <c r="C125" i="2"/>
  <c r="B126" i="2"/>
  <c r="C126" i="2"/>
  <c r="B127" i="2"/>
  <c r="C127" i="2"/>
  <c r="B128" i="2"/>
  <c r="C128" i="2"/>
  <c r="B129" i="2"/>
  <c r="C129" i="2"/>
  <c r="B130" i="2"/>
  <c r="C130" i="2"/>
  <c r="B131" i="2"/>
  <c r="C131" i="2"/>
  <c r="B132" i="2"/>
  <c r="C132" i="2"/>
  <c r="B133" i="2"/>
  <c r="C133" i="2"/>
  <c r="A2" i="2"/>
  <c r="C2" i="2"/>
  <c r="B2" i="2"/>
  <c r="X8" i="1" a="1"/>
  <c r="X8" i="1"/>
  <c r="A7" i="1" a="1"/>
  <c r="A7" i="1"/>
  <c r="V8" i="1" a="1"/>
  <c r="V8" i="1"/>
  <c r="AN9" i="1"/>
  <c r="AN10" i="1"/>
  <c r="W8" i="1" a="1"/>
  <c r="W8" i="1"/>
  <c r="Q13" i="1"/>
  <c r="R8" i="1" a="1"/>
  <c r="R8" i="1"/>
  <c r="AM11" i="1"/>
  <c r="AM9" i="1"/>
  <c r="AM10" i="1"/>
  <c r="AF8" i="1" a="1"/>
  <c r="AF8" i="1"/>
  <c r="AI8" i="1" a="1"/>
  <c r="AI8" i="1"/>
  <c r="AH8" i="1" a="1"/>
  <c r="AH8" i="1"/>
  <c r="AD8" i="1" a="1"/>
  <c r="AD8" i="1"/>
  <c r="S18" i="1" a="1"/>
  <c r="S18" i="1"/>
  <c r="S23" i="1" a="1"/>
  <c r="S23" i="1"/>
  <c r="AA8" i="1" a="1"/>
  <c r="AA8" i="1"/>
  <c r="AB8" i="1" a="1"/>
  <c r="AB8" i="1"/>
  <c r="T23" i="1" a="1"/>
  <c r="T23" i="1"/>
  <c r="R20" i="1"/>
  <c r="R23" i="1" a="1"/>
  <c r="R23" i="1"/>
  <c r="Z8" i="1" a="1"/>
  <c r="R24" i="1" a="1"/>
  <c r="R24" i="1"/>
  <c r="S24" i="1" a="1"/>
  <c r="S24" i="1"/>
  <c r="S17" i="1" a="1"/>
  <c r="S17" i="1"/>
  <c r="R17" i="1" a="1"/>
  <c r="R17" i="1"/>
  <c r="R18" i="1" a="1"/>
  <c r="R18" i="1"/>
  <c r="J7" i="1" a="1"/>
  <c r="J7" i="1"/>
  <c r="M7" i="1" a="1"/>
  <c r="M7" i="1"/>
  <c r="S20" i="1"/>
  <c r="K7" i="1" a="1"/>
  <c r="K7" i="1"/>
  <c r="N7" i="1" a="1"/>
  <c r="N7" i="1"/>
  <c r="Z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71FC56-49A8-47B5-BE78-53028BA4C373}" keepAlive="1" name="Query - Data" description="Connection to the 'Data' query in the workbook." type="5" refreshedVersion="0" background="1">
    <dbPr connection="Provider=Microsoft.Mashup.OleDb.1;Data Source=$Workbook$;Location=Data;Extended Properties=&quot;&quot;" command="SELECT * FROM [Data]"/>
  </connection>
  <connection id="2" xr16:uid="{C99B5483-B7C6-42BF-B801-A5150889A3F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7FAF5CC5-82D7-4BEA-B859-49D10C6F36F7}" name="WorksheetConnection_ftk.xlsx!Table2" type="102" refreshedVersion="8" minRefreshableVersion="5">
    <extLst>
      <ext xmlns:x15="http://schemas.microsoft.com/office/spreadsheetml/2010/11/main" uri="{DE250136-89BD-433C-8126-D09CA5730AF9}">
        <x15:connection id="Table2">
          <x15:rangePr sourceName="_xlcn.WorksheetConnection_ftk.xlsxTable21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<sst xmlns="http://schemas.openxmlformats.org/spreadsheetml/2006/main" count="2031" uniqueCount="529">
  <si>
    <t>VAMI</t>
  </si>
  <si>
    <t>Underwater</t>
  </si>
  <si>
    <t>Fund</t>
  </si>
  <si>
    <t>Benchmark</t>
  </si>
  <si>
    <t>Maximum Drawdown</t>
  </si>
  <si>
    <t>Statistics</t>
  </si>
  <si>
    <t>Market Capture</t>
  </si>
  <si>
    <t>Return (Static)</t>
  </si>
  <si>
    <t>Return (Dynamic)</t>
  </si>
  <si>
    <t>Sortino Ratio</t>
  </si>
  <si>
    <t>#</t>
  </si>
  <si>
    <t>Note: Returns are annualized for period longer than 12 months</t>
  </si>
  <si>
    <t>Rfr</t>
  </si>
  <si>
    <t>Trailing Returns</t>
  </si>
  <si>
    <t>Months:</t>
  </si>
  <si>
    <t>MAR:</t>
  </si>
  <si>
    <t>Up market:</t>
  </si>
  <si>
    <t>Down market:</t>
  </si>
  <si>
    <t>Rolling Returns</t>
  </si>
  <si>
    <t>Rolling Beta</t>
  </si>
  <si>
    <t>Rolling Volatility</t>
  </si>
  <si>
    <t>Rolling Alpha</t>
  </si>
  <si>
    <t>Alpha</t>
  </si>
  <si>
    <t>Jensen's Alpha</t>
  </si>
  <si>
    <t>VAR</t>
  </si>
  <si>
    <t>Gaussian</t>
  </si>
  <si>
    <t>CVaR/ETL/ES</t>
  </si>
  <si>
    <t>Date</t>
  </si>
  <si>
    <t>year_month</t>
  </si>
  <si>
    <t>DOXGX</t>
  </si>
  <si>
    <t>source</t>
  </si>
  <si>
    <t>VFIAX</t>
  </si>
  <si>
    <t>198502</t>
  </si>
  <si>
    <t>yfinance</t>
  </si>
  <si>
    <t>198503</t>
  </si>
  <si>
    <t>198504</t>
  </si>
  <si>
    <t>198505</t>
  </si>
  <si>
    <t>198506</t>
  </si>
  <si>
    <t>198507</t>
  </si>
  <si>
    <t>198508</t>
  </si>
  <si>
    <t>198509</t>
  </si>
  <si>
    <t>198510</t>
  </si>
  <si>
    <t>198511</t>
  </si>
  <si>
    <t>198512</t>
  </si>
  <si>
    <t>198601</t>
  </si>
  <si>
    <t>198602</t>
  </si>
  <si>
    <t>198603</t>
  </si>
  <si>
    <t>198604</t>
  </si>
  <si>
    <t>198605</t>
  </si>
  <si>
    <t>198606</t>
  </si>
  <si>
    <t>198607</t>
  </si>
  <si>
    <t>198608</t>
  </si>
  <si>
    <t>198609</t>
  </si>
  <si>
    <t>198610</t>
  </si>
  <si>
    <t>198611</t>
  </si>
  <si>
    <t>198612</t>
  </si>
  <si>
    <t>198701</t>
  </si>
  <si>
    <t>198702</t>
  </si>
  <si>
    <t>198703</t>
  </si>
  <si>
    <t>198704</t>
  </si>
  <si>
    <t>198705</t>
  </si>
  <si>
    <t>198706</t>
  </si>
  <si>
    <t>198707</t>
  </si>
  <si>
    <t>198708</t>
  </si>
  <si>
    <t>198709</t>
  </si>
  <si>
    <t>198710</t>
  </si>
  <si>
    <t>198711</t>
  </si>
  <si>
    <t>198712</t>
  </si>
  <si>
    <t>198801</t>
  </si>
  <si>
    <t>198802</t>
  </si>
  <si>
    <t>198803</t>
  </si>
  <si>
    <t>198804</t>
  </si>
  <si>
    <t>198805</t>
  </si>
  <si>
    <t>198806</t>
  </si>
  <si>
    <t>198807</t>
  </si>
  <si>
    <t>198808</t>
  </si>
  <si>
    <t>198809</t>
  </si>
  <si>
    <t>198810</t>
  </si>
  <si>
    <t>198811</t>
  </si>
  <si>
    <t>198812</t>
  </si>
  <si>
    <t>198901</t>
  </si>
  <si>
    <t>198902</t>
  </si>
  <si>
    <t>198903</t>
  </si>
  <si>
    <t>198904</t>
  </si>
  <si>
    <t>198905</t>
  </si>
  <si>
    <t>198906</t>
  </si>
  <si>
    <t>198907</t>
  </si>
  <si>
    <t>198908</t>
  </si>
  <si>
    <t>198909</t>
  </si>
  <si>
    <t>198910</t>
  </si>
  <si>
    <t>198911</t>
  </si>
  <si>
    <t>198912</t>
  </si>
  <si>
    <t>199001</t>
  </si>
  <si>
    <t>199002</t>
  </si>
  <si>
    <t>199003</t>
  </si>
  <si>
    <t>199004</t>
  </si>
  <si>
    <t>199005</t>
  </si>
  <si>
    <t>199006</t>
  </si>
  <si>
    <t>199007</t>
  </si>
  <si>
    <t>199008</t>
  </si>
  <si>
    <t>199009</t>
  </si>
  <si>
    <t>199010</t>
  </si>
  <si>
    <t>199011</t>
  </si>
  <si>
    <t>199012</t>
  </si>
  <si>
    <t>199101</t>
  </si>
  <si>
    <t>199102</t>
  </si>
  <si>
    <t>199103</t>
  </si>
  <si>
    <t>199104</t>
  </si>
  <si>
    <t>199105</t>
  </si>
  <si>
    <t>199106</t>
  </si>
  <si>
    <t>199107</t>
  </si>
  <si>
    <t>199108</t>
  </si>
  <si>
    <t>199109</t>
  </si>
  <si>
    <t>199110</t>
  </si>
  <si>
    <t>199111</t>
  </si>
  <si>
    <t>199112</t>
  </si>
  <si>
    <t>199201</t>
  </si>
  <si>
    <t>199202</t>
  </si>
  <si>
    <t>199203</t>
  </si>
  <si>
    <t>199204</t>
  </si>
  <si>
    <t>199205</t>
  </si>
  <si>
    <t>199206</t>
  </si>
  <si>
    <t>199207</t>
  </si>
  <si>
    <t>199208</t>
  </si>
  <si>
    <t>199209</t>
  </si>
  <si>
    <t>199210</t>
  </si>
  <si>
    <t>199211</t>
  </si>
  <si>
    <t>199212</t>
  </si>
  <si>
    <t>199301</t>
  </si>
  <si>
    <t>199302</t>
  </si>
  <si>
    <t>199303</t>
  </si>
  <si>
    <t>199304</t>
  </si>
  <si>
    <t>199305</t>
  </si>
  <si>
    <t>199306</t>
  </si>
  <si>
    <t>199307</t>
  </si>
  <si>
    <t>199308</t>
  </si>
  <si>
    <t>199309</t>
  </si>
  <si>
    <t>199310</t>
  </si>
  <si>
    <t>199311</t>
  </si>
  <si>
    <t>199312</t>
  </si>
  <si>
    <t>199401</t>
  </si>
  <si>
    <t>199402</t>
  </si>
  <si>
    <t>199403</t>
  </si>
  <si>
    <t>199404</t>
  </si>
  <si>
    <t>199405</t>
  </si>
  <si>
    <t>199406</t>
  </si>
  <si>
    <t>199407</t>
  </si>
  <si>
    <t>199408</t>
  </si>
  <si>
    <t>199409</t>
  </si>
  <si>
    <t>199410</t>
  </si>
  <si>
    <t>199411</t>
  </si>
  <si>
    <t>199412</t>
  </si>
  <si>
    <t>199501</t>
  </si>
  <si>
    <t>199502</t>
  </si>
  <si>
    <t>199503</t>
  </si>
  <si>
    <t>199504</t>
  </si>
  <si>
    <t>199505</t>
  </si>
  <si>
    <t>199506</t>
  </si>
  <si>
    <t>199507</t>
  </si>
  <si>
    <t>199508</t>
  </si>
  <si>
    <t>199509</t>
  </si>
  <si>
    <t>199510</t>
  </si>
  <si>
    <t>199511</t>
  </si>
  <si>
    <t>199512</t>
  </si>
  <si>
    <t>199601</t>
  </si>
  <si>
    <t>199602</t>
  </si>
  <si>
    <t>199603</t>
  </si>
  <si>
    <t>199604</t>
  </si>
  <si>
    <t>199605</t>
  </si>
  <si>
    <t>199606</t>
  </si>
  <si>
    <t>199607</t>
  </si>
  <si>
    <t>199608</t>
  </si>
  <si>
    <t>199609</t>
  </si>
  <si>
    <t>199610</t>
  </si>
  <si>
    <t>199611</t>
  </si>
  <si>
    <t>199612</t>
  </si>
  <si>
    <t>199701</t>
  </si>
  <si>
    <t>199702</t>
  </si>
  <si>
    <t>199703</t>
  </si>
  <si>
    <t>199704</t>
  </si>
  <si>
    <t>199705</t>
  </si>
  <si>
    <t>199706</t>
  </si>
  <si>
    <t>199707</t>
  </si>
  <si>
    <t>199708</t>
  </si>
  <si>
    <t>199709</t>
  </si>
  <si>
    <t>199710</t>
  </si>
  <si>
    <t>199711</t>
  </si>
  <si>
    <t>199712</t>
  </si>
  <si>
    <t>199801</t>
  </si>
  <si>
    <t>199802</t>
  </si>
  <si>
    <t>199803</t>
  </si>
  <si>
    <t>199804</t>
  </si>
  <si>
    <t>199805</t>
  </si>
  <si>
    <t>199806</t>
  </si>
  <si>
    <t>199807</t>
  </si>
  <si>
    <t>199808</t>
  </si>
  <si>
    <t>199809</t>
  </si>
  <si>
    <t>199810</t>
  </si>
  <si>
    <t>199811</t>
  </si>
  <si>
    <t>199812</t>
  </si>
  <si>
    <t>199901</t>
  </si>
  <si>
    <t>199902</t>
  </si>
  <si>
    <t>199903</t>
  </si>
  <si>
    <t>199904</t>
  </si>
  <si>
    <t>199905</t>
  </si>
  <si>
    <t>199906</t>
  </si>
  <si>
    <t>199907</t>
  </si>
  <si>
    <t>199908</t>
  </si>
  <si>
    <t>199909</t>
  </si>
  <si>
    <t>199910</t>
  </si>
  <si>
    <t>199911</t>
  </si>
  <si>
    <t>199912</t>
  </si>
  <si>
    <t>200001</t>
  </si>
  <si>
    <t>200002</t>
  </si>
  <si>
    <t>200003</t>
  </si>
  <si>
    <t>200004</t>
  </si>
  <si>
    <t>200005</t>
  </si>
  <si>
    <t>200006</t>
  </si>
  <si>
    <t>200007</t>
  </si>
  <si>
    <t>200008</t>
  </si>
  <si>
    <t>200009</t>
  </si>
  <si>
    <t>200010</t>
  </si>
  <si>
    <t>200011</t>
  </si>
  <si>
    <t>200012</t>
  </si>
  <si>
    <t>200101</t>
  </si>
  <si>
    <t>200102</t>
  </si>
  <si>
    <t>200103</t>
  </si>
  <si>
    <t>200104</t>
  </si>
  <si>
    <t>200105</t>
  </si>
  <si>
    <t>200106</t>
  </si>
  <si>
    <t>200107</t>
  </si>
  <si>
    <t>200108</t>
  </si>
  <si>
    <t>200109</t>
  </si>
  <si>
    <t>200110</t>
  </si>
  <si>
    <t>200111</t>
  </si>
  <si>
    <t>200112</t>
  </si>
  <si>
    <t>200201</t>
  </si>
  <si>
    <t>200202</t>
  </si>
  <si>
    <t>200203</t>
  </si>
  <si>
    <t>200204</t>
  </si>
  <si>
    <t>200205</t>
  </si>
  <si>
    <t>200206</t>
  </si>
  <si>
    <t>200207</t>
  </si>
  <si>
    <t>200208</t>
  </si>
  <si>
    <t>200209</t>
  </si>
  <si>
    <t>200210</t>
  </si>
  <si>
    <t>200211</t>
  </si>
  <si>
    <t>200212</t>
  </si>
  <si>
    <t>200301</t>
  </si>
  <si>
    <t>200302</t>
  </si>
  <si>
    <t>200303</t>
  </si>
  <si>
    <t>200304</t>
  </si>
  <si>
    <t>200305</t>
  </si>
  <si>
    <t>200306</t>
  </si>
  <si>
    <t>200307</t>
  </si>
  <si>
    <t>200308</t>
  </si>
  <si>
    <t>200309</t>
  </si>
  <si>
    <t>200310</t>
  </si>
  <si>
    <t>200311</t>
  </si>
  <si>
    <t>200312</t>
  </si>
  <si>
    <t>200401</t>
  </si>
  <si>
    <t>200402</t>
  </si>
  <si>
    <t>200403</t>
  </si>
  <si>
    <t>200404</t>
  </si>
  <si>
    <t>200405</t>
  </si>
  <si>
    <t>200406</t>
  </si>
  <si>
    <t>200407</t>
  </si>
  <si>
    <t>200408</t>
  </si>
  <si>
    <t>200409</t>
  </si>
  <si>
    <t>200410</t>
  </si>
  <si>
    <t>200411</t>
  </si>
  <si>
    <t>200412</t>
  </si>
  <si>
    <t>200501</t>
  </si>
  <si>
    <t>200502</t>
  </si>
  <si>
    <t>200503</t>
  </si>
  <si>
    <t>200504</t>
  </si>
  <si>
    <t>200505</t>
  </si>
  <si>
    <t>200506</t>
  </si>
  <si>
    <t>200507</t>
  </si>
  <si>
    <t>200508</t>
  </si>
  <si>
    <t>200509</t>
  </si>
  <si>
    <t>200510</t>
  </si>
  <si>
    <t>200511</t>
  </si>
  <si>
    <t>200512</t>
  </si>
  <si>
    <t>200601</t>
  </si>
  <si>
    <t>200602</t>
  </si>
  <si>
    <t>200603</t>
  </si>
  <si>
    <t>200604</t>
  </si>
  <si>
    <t>200605</t>
  </si>
  <si>
    <t>200606</t>
  </si>
  <si>
    <t>200607</t>
  </si>
  <si>
    <t>200608</t>
  </si>
  <si>
    <t>200609</t>
  </si>
  <si>
    <t>200610</t>
  </si>
  <si>
    <t>200611</t>
  </si>
  <si>
    <t>200612</t>
  </si>
  <si>
    <t>200701</t>
  </si>
  <si>
    <t>200702</t>
  </si>
  <si>
    <t>200703</t>
  </si>
  <si>
    <t>200704</t>
  </si>
  <si>
    <t>200705</t>
  </si>
  <si>
    <t>200706</t>
  </si>
  <si>
    <t>200707</t>
  </si>
  <si>
    <t>200708</t>
  </si>
  <si>
    <t>200709</t>
  </si>
  <si>
    <t>200710</t>
  </si>
  <si>
    <t>200711</t>
  </si>
  <si>
    <t>200712</t>
  </si>
  <si>
    <t>200801</t>
  </si>
  <si>
    <t>200802</t>
  </si>
  <si>
    <t>200803</t>
  </si>
  <si>
    <t>200804</t>
  </si>
  <si>
    <t>200805</t>
  </si>
  <si>
    <t>200806</t>
  </si>
  <si>
    <t>200807</t>
  </si>
  <si>
    <t>200808</t>
  </si>
  <si>
    <t>200809</t>
  </si>
  <si>
    <t>200810</t>
  </si>
  <si>
    <t>200811</t>
  </si>
  <si>
    <t>200812</t>
  </si>
  <si>
    <t>200901</t>
  </si>
  <si>
    <t>200902</t>
  </si>
  <si>
    <t>200903</t>
  </si>
  <si>
    <t>200904</t>
  </si>
  <si>
    <t>200905</t>
  </si>
  <si>
    <t>200906</t>
  </si>
  <si>
    <t>200907</t>
  </si>
  <si>
    <t>200908</t>
  </si>
  <si>
    <t>200909</t>
  </si>
  <si>
    <t>200910</t>
  </si>
  <si>
    <t>200911</t>
  </si>
  <si>
    <t>200912</t>
  </si>
  <si>
    <t>201001</t>
  </si>
  <si>
    <t>201002</t>
  </si>
  <si>
    <t>201003</t>
  </si>
  <si>
    <t>201004</t>
  </si>
  <si>
    <t>201005</t>
  </si>
  <si>
    <t>201006</t>
  </si>
  <si>
    <t>201007</t>
  </si>
  <si>
    <t>201008</t>
  </si>
  <si>
    <t>201009</t>
  </si>
  <si>
    <t>201010</t>
  </si>
  <si>
    <t>201011</t>
  </si>
  <si>
    <t>201012</t>
  </si>
  <si>
    <t>201101</t>
  </si>
  <si>
    <t>201102</t>
  </si>
  <si>
    <t>201103</t>
  </si>
  <si>
    <t>201104</t>
  </si>
  <si>
    <t>201105</t>
  </si>
  <si>
    <t>201106</t>
  </si>
  <si>
    <t>201107</t>
  </si>
  <si>
    <t>201108</t>
  </si>
  <si>
    <t>201109</t>
  </si>
  <si>
    <t>201110</t>
  </si>
  <si>
    <t>201111</t>
  </si>
  <si>
    <t>201112</t>
  </si>
  <si>
    <t>201201</t>
  </si>
  <si>
    <t>201202</t>
  </si>
  <si>
    <t>201203</t>
  </si>
  <si>
    <t>201204</t>
  </si>
  <si>
    <t>201205</t>
  </si>
  <si>
    <t>201206</t>
  </si>
  <si>
    <t>201207</t>
  </si>
  <si>
    <t>201208</t>
  </si>
  <si>
    <t>201209</t>
  </si>
  <si>
    <t>201210</t>
  </si>
  <si>
    <t>201211</t>
  </si>
  <si>
    <t>201212</t>
  </si>
  <si>
    <t>201301</t>
  </si>
  <si>
    <t>201302</t>
  </si>
  <si>
    <t>201303</t>
  </si>
  <si>
    <t>201304</t>
  </si>
  <si>
    <t>201305</t>
  </si>
  <si>
    <t>201306</t>
  </si>
  <si>
    <t>201307</t>
  </si>
  <si>
    <t>201308</t>
  </si>
  <si>
    <t>201309</t>
  </si>
  <si>
    <t>201310</t>
  </si>
  <si>
    <t>201311</t>
  </si>
  <si>
    <t>201312</t>
  </si>
  <si>
    <t>201401</t>
  </si>
  <si>
    <t>201402</t>
  </si>
  <si>
    <t>201403</t>
  </si>
  <si>
    <t>201404</t>
  </si>
  <si>
    <t>201405</t>
  </si>
  <si>
    <t>201406</t>
  </si>
  <si>
    <t>201407</t>
  </si>
  <si>
    <t>201408</t>
  </si>
  <si>
    <t>201409</t>
  </si>
  <si>
    <t>201410</t>
  </si>
  <si>
    <t>201411</t>
  </si>
  <si>
    <t>201412</t>
  </si>
  <si>
    <t>201501</t>
  </si>
  <si>
    <t>201502</t>
  </si>
  <si>
    <t>201503</t>
  </si>
  <si>
    <t>201504</t>
  </si>
  <si>
    <t>201505</t>
  </si>
  <si>
    <t>201506</t>
  </si>
  <si>
    <t>201507</t>
  </si>
  <si>
    <t>201508</t>
  </si>
  <si>
    <t>201509</t>
  </si>
  <si>
    <t>201510</t>
  </si>
  <si>
    <t>201511</t>
  </si>
  <si>
    <t>201512</t>
  </si>
  <si>
    <t>201601</t>
  </si>
  <si>
    <t>201602</t>
  </si>
  <si>
    <t>201603</t>
  </si>
  <si>
    <t>201604</t>
  </si>
  <si>
    <t>201605</t>
  </si>
  <si>
    <t>201606</t>
  </si>
  <si>
    <t>201607</t>
  </si>
  <si>
    <t>201608</t>
  </si>
  <si>
    <t>201609</t>
  </si>
  <si>
    <t>201610</t>
  </si>
  <si>
    <t>201611</t>
  </si>
  <si>
    <t>201612</t>
  </si>
  <si>
    <t>201701</t>
  </si>
  <si>
    <t>201702</t>
  </si>
  <si>
    <t>201703</t>
  </si>
  <si>
    <t>201704</t>
  </si>
  <si>
    <t>201705</t>
  </si>
  <si>
    <t>201706</t>
  </si>
  <si>
    <t>201707</t>
  </si>
  <si>
    <t>201708</t>
  </si>
  <si>
    <t>201709</t>
  </si>
  <si>
    <t>201710</t>
  </si>
  <si>
    <t>201711</t>
  </si>
  <si>
    <t>201712</t>
  </si>
  <si>
    <t>201801</t>
  </si>
  <si>
    <t>201802</t>
  </si>
  <si>
    <t>201803</t>
  </si>
  <si>
    <t>201804</t>
  </si>
  <si>
    <t>201805</t>
  </si>
  <si>
    <t>201806</t>
  </si>
  <si>
    <t>201807</t>
  </si>
  <si>
    <t>201808</t>
  </si>
  <si>
    <t>201809</t>
  </si>
  <si>
    <t>201810</t>
  </si>
  <si>
    <t>201811</t>
  </si>
  <si>
    <t>201812</t>
  </si>
  <si>
    <t>201901</t>
  </si>
  <si>
    <t>201902</t>
  </si>
  <si>
    <t>201903</t>
  </si>
  <si>
    <t>201904</t>
  </si>
  <si>
    <t>201905</t>
  </si>
  <si>
    <t>201906</t>
  </si>
  <si>
    <t>201907</t>
  </si>
  <si>
    <t>201908</t>
  </si>
  <si>
    <t>201909</t>
  </si>
  <si>
    <t>201910</t>
  </si>
  <si>
    <t>201911</t>
  </si>
  <si>
    <t>201912</t>
  </si>
  <si>
    <t>202001</t>
  </si>
  <si>
    <t>202002</t>
  </si>
  <si>
    <t>202003</t>
  </si>
  <si>
    <t>202004</t>
  </si>
  <si>
    <t>202005</t>
  </si>
  <si>
    <t>202006</t>
  </si>
  <si>
    <t>202007</t>
  </si>
  <si>
    <t>202008</t>
  </si>
  <si>
    <t>202009</t>
  </si>
  <si>
    <t>202010</t>
  </si>
  <si>
    <t>202011</t>
  </si>
  <si>
    <t>202012</t>
  </si>
  <si>
    <t>202101</t>
  </si>
  <si>
    <t>202102</t>
  </si>
  <si>
    <t>202103</t>
  </si>
  <si>
    <t>202104</t>
  </si>
  <si>
    <t>202105</t>
  </si>
  <si>
    <t>202106</t>
  </si>
  <si>
    <t>202107</t>
  </si>
  <si>
    <t>202108</t>
  </si>
  <si>
    <t>202109</t>
  </si>
  <si>
    <t>202110</t>
  </si>
  <si>
    <t>202111</t>
  </si>
  <si>
    <t>202112</t>
  </si>
  <si>
    <t>202201</t>
  </si>
  <si>
    <t>202202</t>
  </si>
  <si>
    <t>202203</t>
  </si>
  <si>
    <t>202204</t>
  </si>
  <si>
    <t>202205</t>
  </si>
  <si>
    <t>202206</t>
  </si>
  <si>
    <t>202207</t>
  </si>
  <si>
    <t>202208</t>
  </si>
  <si>
    <t>202209</t>
  </si>
  <si>
    <t>202210</t>
  </si>
  <si>
    <t>202211</t>
  </si>
  <si>
    <t>202212</t>
  </si>
  <si>
    <t>202301</t>
  </si>
  <si>
    <t>202302</t>
  </si>
  <si>
    <t>202303</t>
  </si>
  <si>
    <t>202304</t>
  </si>
  <si>
    <t>202305</t>
  </si>
  <si>
    <t>202306</t>
  </si>
  <si>
    <t>202307</t>
  </si>
  <si>
    <t>202308</t>
  </si>
  <si>
    <t>202309</t>
  </si>
  <si>
    <t>202310</t>
  </si>
  <si>
    <t>202311</t>
  </si>
  <si>
    <t>202312</t>
  </si>
  <si>
    <t>202401</t>
  </si>
  <si>
    <t>202402</t>
  </si>
  <si>
    <t>202403</t>
  </si>
  <si>
    <t>202404</t>
  </si>
  <si>
    <t>202405</t>
  </si>
  <si>
    <t>202406</t>
  </si>
  <si>
    <t>202407</t>
  </si>
  <si>
    <t>202408</t>
  </si>
  <si>
    <t>202409</t>
  </si>
  <si>
    <t>202410</t>
  </si>
  <si>
    <t>202411</t>
  </si>
  <si>
    <t>202412</t>
  </si>
  <si>
    <t>202501</t>
  </si>
  <si>
    <t>202502</t>
  </si>
  <si>
    <t>202503</t>
  </si>
  <si>
    <t>202504</t>
  </si>
  <si>
    <t>202505</t>
  </si>
  <si>
    <t>202506</t>
  </si>
  <si>
    <t>202507</t>
  </si>
  <si>
    <t>202508</t>
  </si>
  <si>
    <t>202509</t>
  </si>
  <si>
    <t>202510</t>
  </si>
  <si>
    <t>202511</t>
  </si>
  <si>
    <t>202512</t>
  </si>
  <si>
    <t>202601</t>
  </si>
  <si>
    <t>202602</t>
  </si>
  <si>
    <t>202603</t>
  </si>
  <si>
    <t>Start Date</t>
  </si>
  <si>
    <t>End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</si>
</sst>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9"/>
      <color theme="6" tint="-0.249977111117893"/>
      <name val="Calibri"/>
      <family val="2"/>
      <scheme val="minor"/>
    </font>
    <font>
      <sz val="9"/>
      <color theme="6" tint="-0.249977111117893"/>
      <name val="Calibri"/>
      <family val="2"/>
      <scheme val="minor"/>
    </font>
    <font>
      <sz val="11"/>
      <color theme="8"/>
      <name val="Calibri"/>
      <family val="2"/>
      <scheme val="minor"/>
    </font>
    <font>
      <sz val="9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/>
      </top>
      <bottom style="thin">
        <color theme="6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6">
    <xf numFmtId="0" fontId="0" fillId="0" borderId="0" xfId="0"/>
    <xf numFmtId="10" fontId="2" fillId="0" borderId="0" xfId="1" applyNumberFormat="1" applyFont="1"/>
    <xf numFmtId="0" fontId="2" fillId="0" borderId="0" xfId="0" applyFont="1"/>
    <xf numFmtId="10" fontId="2" fillId="0" borderId="0" xfId="0" applyNumberFormat="1" applyFont="1"/>
    <xf numFmtId="2" fontId="2" fillId="0" borderId="0" xfId="0" applyNumberFormat="1" applyFont="1"/>
    <xf numFmtId="2" fontId="2" fillId="0" borderId="0" xfId="1" applyNumberFormat="1" applyFont="1"/>
    <xf numFmtId="0" fontId="3" fillId="0" borderId="0" xfId="0" applyFont="1"/>
    <xf numFmtId="9" fontId="2" fillId="2" borderId="0" xfId="0" applyNumberFormat="1" applyFont="1" applyFill="1"/>
    <xf numFmtId="0" fontId="2" fillId="2" borderId="0" xfId="1" applyNumberFormat="1" applyFont="1" applyFill="1"/>
    <xf numFmtId="10" fontId="3" fillId="0" borderId="0" xfId="1" applyNumberFormat="1" applyFont="1"/>
    <xf numFmtId="2" fontId="3" fillId="0" borderId="0" xfId="0" applyNumberFormat="1" applyFont="1"/>
    <xf numFmtId="10" fontId="3" fillId="0" borderId="0" xfId="0" applyNumberFormat="1" applyFont="1"/>
    <xf numFmtId="9" fontId="2" fillId="0" borderId="0" xfId="0" applyNumberFormat="1" applyFont="1"/>
    <xf numFmtId="14" fontId="2" fillId="0" borderId="0" xfId="1" applyNumberFormat="1" applyFont="1"/>
    <xf numFmtId="14" fontId="5" fillId="0" borderId="1" xfId="1" applyNumberFormat="1" applyFont="1" applyBorder="1"/>
    <xf numFmtId="10" fontId="5" fillId="0" borderId="1" xfId="1" applyNumberFormat="1" applyFont="1" applyBorder="1"/>
    <xf numFmtId="10" fontId="6" fillId="3" borderId="0" xfId="1" applyNumberFormat="1" applyFont="1" applyFill="1"/>
    <xf numFmtId="0" fontId="2" fillId="4" borderId="0" xfId="0" applyFont="1" applyFill="1"/>
    <xf numFmtId="10" fontId="2" fillId="4" borderId="0" xfId="1" applyNumberFormat="1" applyFont="1" applyFill="1"/>
    <xf numFmtId="2" fontId="2" fillId="4" borderId="0" xfId="0" applyNumberFormat="1" applyFont="1" applyFill="1"/>
    <xf numFmtId="10" fontId="1" fillId="2" borderId="0" xfId="1" applyNumberFormat="1" applyFont="1" applyFill="1"/>
    <xf numFmtId="10" fontId="7" fillId="2" borderId="0" xfId="1" applyNumberFormat="1" applyFont="1" applyFill="1"/>
    <xf numFmtId="0" fontId="1" fillId="2" borderId="0" xfId="0" applyFont="1" applyFill="1"/>
    <xf numFmtId="14" fontId="7" fillId="2" borderId="0" xfId="1" applyNumberFormat="1" applyFont="1" applyFill="1"/>
    <xf numFmtId="0" fontId="7" fillId="2" borderId="0" xfId="0" applyFont="1" applyFill="1"/>
    <xf numFmtId="43" fontId="8" fillId="4" borderId="0" xfId="2" applyFont="1" applyFill="1"/>
  </cellXfs>
  <cellStyles count="3">
    <cellStyle name="Comma" xfId="2" builtinId="3"/>
    <cellStyle name="Normal" xfId="0" builtinId="0"/>
    <cellStyle name="Percent" xfId="1" builtinId="5"/>
  </cellStyles>
  <dxfs count="0"/>
  <tableStyles count="1" defaultTableStyle="TableStyleMedium2" defaultPivotStyle="PivotStyleLight16">
    <tableStyle name="Invisible" pivot="0" table="0" count="0" xr9:uid="{522CE4C7-36A7-47A1-824F-C9C8F1BD96F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theme" Target="theme/theme1.xml"/><Relationship Id="rId21" Type="http://schemas.openxmlformats.org/officeDocument/2006/relationships/customXml" Target="../customXml/item12.xml"/><Relationship Id="rId7" Type="http://schemas.openxmlformats.org/officeDocument/2006/relationships/sheetMetadata" Target="metadata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styles" Target="styles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28" Type="http://schemas.microsoft.com/office/2023/09/relationships/Python" Target="python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connections" Target="connections.xml"/><Relationship Id="rId9" Type="http://schemas.openxmlformats.org/officeDocument/2006/relationships/calcChain" Target="calcChain.xml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VAMI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Formulas!$J$6</c:f>
              <c:strCache>
                <c:ptCount val="1"/>
                <c:pt idx="0">
                  <c:v>Fund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Formulas!$J$7:$J$139</c:f>
              <c:numCache>
                <c:formatCode>0.00</c:formatCode>
                <c:ptCount val="133"/>
                <c:pt idx="0">
                  <c:v>1000</c:v>
                </c:pt>
                <c:pt idx="1">
                  <c:v>945.39656148318761</c:v>
                </c:pt>
                <c:pt idx="2">
                  <c:v>1004.9165400025772</c:v>
                </c:pt>
                <c:pt idx="3">
                  <c:v>987.98840191139664</c:v>
                </c:pt>
                <c:pt idx="4">
                  <c:v>1014.5719546991128</c:v>
                </c:pt>
                <c:pt idx="5">
                  <c:v>1028.1637035361109</c:v>
                </c:pt>
                <c:pt idx="6">
                  <c:v>1013.3385889241022</c:v>
                </c:pt>
                <c:pt idx="7">
                  <c:v>1024.7932064336503</c:v>
                </c:pt>
                <c:pt idx="8">
                  <c:v>953.54125989158035</c:v>
                </c:pt>
                <c:pt idx="9">
                  <c:v>913.61420257837051</c:v>
                </c:pt>
                <c:pt idx="10">
                  <c:v>985.93728048258538</c:v>
                </c:pt>
                <c:pt idx="11">
                  <c:v>981.09776178743732</c:v>
                </c:pt>
                <c:pt idx="12">
                  <c:v>954.56130253157141</c:v>
                </c:pt>
                <c:pt idx="13">
                  <c:v>889.05724768609616</c:v>
                </c:pt>
                <c:pt idx="14">
                  <c:v>882.95812435303435</c:v>
                </c:pt>
                <c:pt idx="15">
                  <c:v>944.98104321414985</c:v>
                </c:pt>
                <c:pt idx="16">
                  <c:v>965.001399607032</c:v>
                </c:pt>
                <c:pt idx="17">
                  <c:v>987.07106070181067</c:v>
                </c:pt>
                <c:pt idx="18">
                  <c:v>960.85495229709784</c:v>
                </c:pt>
                <c:pt idx="19">
                  <c:v>1012.2776184762189</c:v>
                </c:pt>
                <c:pt idx="20">
                  <c:v>1033.0398260459458</c:v>
                </c:pt>
                <c:pt idx="21">
                  <c:v>1045.2895321958745</c:v>
                </c:pt>
                <c:pt idx="22">
                  <c:v>1042.5681037612385</c:v>
                </c:pt>
                <c:pt idx="23">
                  <c:v>1142.8638018543461</c:v>
                </c:pt>
                <c:pt idx="24">
                  <c:v>1157.9793178810669</c:v>
                </c:pt>
                <c:pt idx="25">
                  <c:v>1184.3682955380143</c:v>
                </c:pt>
                <c:pt idx="26">
                  <c:v>1219.8653442114714</c:v>
                </c:pt>
                <c:pt idx="27">
                  <c:v>1215.3641405388266</c:v>
                </c:pt>
                <c:pt idx="28">
                  <c:v>1220.2879920504931</c:v>
                </c:pt>
                <c:pt idx="29">
                  <c:v>1219.2642886055066</c:v>
                </c:pt>
                <c:pt idx="30">
                  <c:v>1236.6669152427803</c:v>
                </c:pt>
                <c:pt idx="31">
                  <c:v>1259.0012573859999</c:v>
                </c:pt>
                <c:pt idx="32">
                  <c:v>1245.7238476908697</c:v>
                </c:pt>
                <c:pt idx="33">
                  <c:v>1295.4576413286366</c:v>
                </c:pt>
                <c:pt idx="34">
                  <c:v>1303.5306917584287</c:v>
                </c:pt>
                <c:pt idx="35">
                  <c:v>1337.3836004207731</c:v>
                </c:pt>
                <c:pt idx="36">
                  <c:v>1369.7184479532266</c:v>
                </c:pt>
                <c:pt idx="37">
                  <c:v>1447.7536739602053</c:v>
                </c:pt>
                <c:pt idx="38">
                  <c:v>1391.385313381257</c:v>
                </c:pt>
                <c:pt idx="39">
                  <c:v>1345.909568604714</c:v>
                </c:pt>
                <c:pt idx="40">
                  <c:v>1355.5346491966511</c:v>
                </c:pt>
                <c:pt idx="41">
                  <c:v>1362.8434798790911</c:v>
                </c:pt>
                <c:pt idx="42">
                  <c:v>1383.0576953031075</c:v>
                </c:pt>
                <c:pt idx="43">
                  <c:v>1446.5632591481378</c:v>
                </c:pt>
                <c:pt idx="44">
                  <c:v>1470.4067003503649</c:v>
                </c:pt>
                <c:pt idx="45">
                  <c:v>1472.8101555220014</c:v>
                </c:pt>
                <c:pt idx="46">
                  <c:v>1386.5597600909496</c:v>
                </c:pt>
                <c:pt idx="47">
                  <c:v>1425.2536960543268</c:v>
                </c:pt>
                <c:pt idx="48">
                  <c:v>1273.0950093042084</c:v>
                </c:pt>
                <c:pt idx="49">
                  <c:v>1381.4671200977734</c:v>
                </c:pt>
                <c:pt idx="50">
                  <c:v>1407.1043831424713</c:v>
                </c:pt>
                <c:pt idx="51">
                  <c:v>1404.0500527441513</c:v>
                </c:pt>
                <c:pt idx="52">
                  <c:v>1470.1696651412585</c:v>
                </c:pt>
                <c:pt idx="53">
                  <c:v>1361.4274241677301</c:v>
                </c:pt>
                <c:pt idx="54">
                  <c:v>1440.4036100890655</c:v>
                </c:pt>
                <c:pt idx="55">
                  <c:v>1470.9637822240986</c:v>
                </c:pt>
                <c:pt idx="56">
                  <c:v>1397.1316083034883</c:v>
                </c:pt>
                <c:pt idx="57">
                  <c:v>1443.3967853114045</c:v>
                </c:pt>
                <c:pt idx="58">
                  <c:v>1477.274330919701</c:v>
                </c:pt>
                <c:pt idx="59">
                  <c:v>1536.8137338291617</c:v>
                </c:pt>
                <c:pt idx="60">
                  <c:v>1588.1187743637167</c:v>
                </c:pt>
                <c:pt idx="61">
                  <c:v>1536.3967681440977</c:v>
                </c:pt>
                <c:pt idx="62">
                  <c:v>1400.1018190727518</c:v>
                </c:pt>
                <c:pt idx="63">
                  <c:v>1125.8005120598614</c:v>
                </c:pt>
                <c:pt idx="64">
                  <c:v>1284.521634299208</c:v>
                </c:pt>
                <c:pt idx="65">
                  <c:v>1326.6919067887175</c:v>
                </c:pt>
                <c:pt idx="66">
                  <c:v>1351.2143554122379</c:v>
                </c:pt>
                <c:pt idx="67">
                  <c:v>1385.600777292583</c:v>
                </c:pt>
                <c:pt idx="68">
                  <c:v>1455.8130174589935</c:v>
                </c:pt>
                <c:pt idx="69">
                  <c:v>1408.8849072199102</c:v>
                </c:pt>
                <c:pt idx="70">
                  <c:v>1381.906833015478</c:v>
                </c:pt>
                <c:pt idx="71">
                  <c:v>1634.9432534667635</c:v>
                </c:pt>
                <c:pt idx="72">
                  <c:v>1701.7826990375313</c:v>
                </c:pt>
                <c:pt idx="73">
                  <c:v>1697.9789224561473</c:v>
                </c:pt>
                <c:pt idx="74">
                  <c:v>1859.7155512433912</c:v>
                </c:pt>
                <c:pt idx="75">
                  <c:v>1971.8266729555266</c:v>
                </c:pt>
                <c:pt idx="76">
                  <c:v>2079.7251618689593</c:v>
                </c:pt>
                <c:pt idx="77">
                  <c:v>2150.2950736118078</c:v>
                </c:pt>
                <c:pt idx="78">
                  <c:v>2146.0005590623214</c:v>
                </c:pt>
                <c:pt idx="79">
                  <c:v>2132.1119347963977</c:v>
                </c:pt>
                <c:pt idx="80">
                  <c:v>2196.1659303737715</c:v>
                </c:pt>
                <c:pt idx="81">
                  <c:v>2118.1409140153964</c:v>
                </c:pt>
                <c:pt idx="82">
                  <c:v>2213.0048645565153</c:v>
                </c:pt>
                <c:pt idx="83">
                  <c:v>2125.0482751449113</c:v>
                </c:pt>
                <c:pt idx="84">
                  <c:v>2240.6233388095716</c:v>
                </c:pt>
                <c:pt idx="85">
                  <c:v>2268.4834160133291</c:v>
                </c:pt>
                <c:pt idx="86">
                  <c:v>2229.1927307246765</c:v>
                </c:pt>
                <c:pt idx="87">
                  <c:v>2263.7092550775792</c:v>
                </c:pt>
                <c:pt idx="88">
                  <c:v>2093.6024651557295</c:v>
                </c:pt>
                <c:pt idx="89">
                  <c:v>2185.9869991254909</c:v>
                </c:pt>
                <c:pt idx="90">
                  <c:v>1982.7866650018336</c:v>
                </c:pt>
                <c:pt idx="91">
                  <c:v>2085.3847206079631</c:v>
                </c:pt>
                <c:pt idx="92">
                  <c:v>2033.7227828030609</c:v>
                </c:pt>
                <c:pt idx="93">
                  <c:v>1840.1902104952567</c:v>
                </c:pt>
                <c:pt idx="94">
                  <c:v>2050.5613812428519</c:v>
                </c:pt>
                <c:pt idx="95">
                  <c:v>2179.7278211155863</c:v>
                </c:pt>
                <c:pt idx="96">
                  <c:v>2077.9766367149905</c:v>
                </c:pt>
                <c:pt idx="97">
                  <c:v>2215.630858861688</c:v>
                </c:pt>
                <c:pt idx="98">
                  <c:v>2143.3896700200398</c:v>
                </c:pt>
                <c:pt idx="99">
                  <c:v>2108.3981588083011</c:v>
                </c:pt>
                <c:pt idx="100">
                  <c:v>2132.55304776925</c:v>
                </c:pt>
                <c:pt idx="101">
                  <c:v>2082.0927536732238</c:v>
                </c:pt>
                <c:pt idx="102">
                  <c:v>2225.7639150957048</c:v>
                </c:pt>
                <c:pt idx="103">
                  <c:v>2335.5613446472753</c:v>
                </c:pt>
                <c:pt idx="104">
                  <c:v>2280.7566338808183</c:v>
                </c:pt>
                <c:pt idx="105">
                  <c:v>2222.0587176181207</c:v>
                </c:pt>
                <c:pt idx="106">
                  <c:v>2144.6847096211072</c:v>
                </c:pt>
                <c:pt idx="107">
                  <c:v>2305.2143921842007</c:v>
                </c:pt>
                <c:pt idx="108">
                  <c:v>2439.7726847284675</c:v>
                </c:pt>
                <c:pt idx="109">
                  <c:v>2442.4814340333387</c:v>
                </c:pt>
                <c:pt idx="110">
                  <c:v>2508.292532135345</c:v>
                </c:pt>
                <c:pt idx="111">
                  <c:v>2646.23387162771</c:v>
                </c:pt>
                <c:pt idx="112">
                  <c:v>2556.7073625066409</c:v>
                </c:pt>
                <c:pt idx="113">
                  <c:v>2643.149205845858</c:v>
                </c:pt>
                <c:pt idx="114">
                  <c:v>2646.5744968481849</c:v>
                </c:pt>
                <c:pt idx="115">
                  <c:v>2763.0175762185881</c:v>
                </c:pt>
                <c:pt idx="116">
                  <c:v>2817.9339039501992</c:v>
                </c:pt>
                <c:pt idx="117">
                  <c:v>2835.9927588728233</c:v>
                </c:pt>
                <c:pt idx="118">
                  <c:v>2828.5483710421227</c:v>
                </c:pt>
                <c:pt idx="119">
                  <c:v>2977.6506906080649</c:v>
                </c:pt>
                <c:pt idx="120">
                  <c:v>2791.369750300848</c:v>
                </c:pt>
                <c:pt idx="121">
                  <c:v>2963.0671610071181</c:v>
                </c:pt>
                <c:pt idx="122">
                  <c:v>2987.1710576405762</c:v>
                </c:pt>
                <c:pt idx="123">
                  <c:v>2890.6813419609766</c:v>
                </c:pt>
                <c:pt idx="124">
                  <c:v>2790.3403987273405</c:v>
                </c:pt>
                <c:pt idx="125">
                  <c:v>2896.7324612831881</c:v>
                </c:pt>
                <c:pt idx="126">
                  <c:v>3001.0383479630113</c:v>
                </c:pt>
                <c:pt idx="127">
                  <c:v>2966.2645301894445</c:v>
                </c:pt>
                <c:pt idx="128">
                  <c:v>3088.3264923560123</c:v>
                </c:pt>
                <c:pt idx="129">
                  <c:v>3085.8673648761273</c:v>
                </c:pt>
                <c:pt idx="130">
                  <c:v>3066.8105795685051</c:v>
                </c:pt>
                <c:pt idx="131">
                  <c:v>3105.8107010092599</c:v>
                </c:pt>
                <c:pt idx="132">
                  <c:v>3160.7650585628303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AB-1842-86AD-147A5D527F20}"/>
            </c:ext>
          </c:extLst>
        </c:ser>
        <c:ser>
          <c:idx val="1"/>
          <c:order val="1"/>
          <c:tx>
            <c:strRef>
              <c:f>Formulas!$K$6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Formulas!$K$7:$K$139</c:f>
              <c:numCache>
                <c:formatCode>0.00</c:formatCode>
                <c:ptCount val="133"/>
                <c:pt idx="0">
                  <c:v>1000</c:v>
                </c:pt>
                <c:pt idx="1">
                  <c:v>969.9826374924254</c:v>
                </c:pt>
                <c:pt idx="2">
                  <c:v>1025.6991147427352</c:v>
                </c:pt>
                <c:pt idx="3">
                  <c:v>1009.5371390280677</c:v>
                </c:pt>
                <c:pt idx="4">
                  <c:v>1019.1713979452957</c:v>
                </c:pt>
                <c:pt idx="5">
                  <c:v>1032.2465270835671</c:v>
                </c:pt>
                <c:pt idx="6">
                  <c:v>1012.4962134296413</c:v>
                </c:pt>
                <c:pt idx="7">
                  <c:v>1033.6652121199068</c:v>
                </c:pt>
                <c:pt idx="8">
                  <c:v>971.27512901631724</c:v>
                </c:pt>
                <c:pt idx="9">
                  <c:v>947.28179197022553</c:v>
                </c:pt>
                <c:pt idx="10">
                  <c:v>1027.1221708745957</c:v>
                </c:pt>
                <c:pt idx="11">
                  <c:v>1030.2237330366565</c:v>
                </c:pt>
                <c:pt idx="12">
                  <c:v>1013.8171686624121</c:v>
                </c:pt>
                <c:pt idx="13">
                  <c:v>963.47055611694827</c:v>
                </c:pt>
                <c:pt idx="14">
                  <c:v>962.12582830545148</c:v>
                </c:pt>
                <c:pt idx="15">
                  <c:v>1027.3451304460687</c:v>
                </c:pt>
                <c:pt idx="16">
                  <c:v>1031.3931913636056</c:v>
                </c:pt>
                <c:pt idx="17">
                  <c:v>1050.4551148242895</c:v>
                </c:pt>
                <c:pt idx="18">
                  <c:v>1051.582438763583</c:v>
                </c:pt>
                <c:pt idx="19">
                  <c:v>1090.3211612196023</c:v>
                </c:pt>
                <c:pt idx="20">
                  <c:v>1091.8584282448799</c:v>
                </c:pt>
                <c:pt idx="21">
                  <c:v>1092.0736528217742</c:v>
                </c:pt>
                <c:pt idx="22">
                  <c:v>1072.2046629382971</c:v>
                </c:pt>
                <c:pt idx="23">
                  <c:v>1111.9426427052513</c:v>
                </c:pt>
                <c:pt idx="24">
                  <c:v>1133.9528968885625</c:v>
                </c:pt>
                <c:pt idx="25">
                  <c:v>1155.399056924678</c:v>
                </c:pt>
                <c:pt idx="26">
                  <c:v>1201.2959214229638</c:v>
                </c:pt>
                <c:pt idx="27">
                  <c:v>1202.6635439471981</c:v>
                </c:pt>
                <c:pt idx="28">
                  <c:v>1214.9462455019525</c:v>
                </c:pt>
                <c:pt idx="29">
                  <c:v>1232.1212209815064</c:v>
                </c:pt>
                <c:pt idx="30">
                  <c:v>1239.8030579989525</c:v>
                </c:pt>
                <c:pt idx="31">
                  <c:v>1265.318599080887</c:v>
                </c:pt>
                <c:pt idx="32">
                  <c:v>1269.1877838491616</c:v>
                </c:pt>
                <c:pt idx="33">
                  <c:v>1295.4038793002551</c:v>
                </c:pt>
                <c:pt idx="34">
                  <c:v>1325.5711363269427</c:v>
                </c:pt>
                <c:pt idx="35">
                  <c:v>1366.2495424822184</c:v>
                </c:pt>
                <c:pt idx="36">
                  <c:v>1381.4802881089249</c:v>
                </c:pt>
                <c:pt idx="37">
                  <c:v>1460.4885323393812</c:v>
                </c:pt>
                <c:pt idx="38">
                  <c:v>1406.7248573793613</c:v>
                </c:pt>
                <c:pt idx="39">
                  <c:v>1370.7910498223391</c:v>
                </c:pt>
                <c:pt idx="40">
                  <c:v>1375.990169065999</c:v>
                </c:pt>
                <c:pt idx="41">
                  <c:v>1409.2015832480336</c:v>
                </c:pt>
                <c:pt idx="42">
                  <c:v>1417.7750798341701</c:v>
                </c:pt>
                <c:pt idx="43">
                  <c:v>1470.5458297296104</c:v>
                </c:pt>
                <c:pt idx="44">
                  <c:v>1518.4125565515963</c:v>
                </c:pt>
                <c:pt idx="45">
                  <c:v>1526.9839085120545</c:v>
                </c:pt>
                <c:pt idx="46">
                  <c:v>1422.5646848004876</c:v>
                </c:pt>
                <c:pt idx="47">
                  <c:v>1451.587782647076</c:v>
                </c:pt>
                <c:pt idx="48">
                  <c:v>1320.8014316069434</c:v>
                </c:pt>
                <c:pt idx="49">
                  <c:v>1426.5603992909694</c:v>
                </c:pt>
                <c:pt idx="50">
                  <c:v>1472.439450752719</c:v>
                </c:pt>
                <c:pt idx="51">
                  <c:v>1501.1085626057984</c:v>
                </c:pt>
                <c:pt idx="52">
                  <c:v>1561.8677226460436</c:v>
                </c:pt>
                <c:pt idx="53">
                  <c:v>1462.6602239073832</c:v>
                </c:pt>
                <c:pt idx="54">
                  <c:v>1565.6258099853462</c:v>
                </c:pt>
                <c:pt idx="55">
                  <c:v>1588.0525216256626</c:v>
                </c:pt>
                <c:pt idx="56">
                  <c:v>1563.013092431208</c:v>
                </c:pt>
                <c:pt idx="57">
                  <c:v>1592.2113526675641</c:v>
                </c:pt>
                <c:pt idx="58">
                  <c:v>1626.779498320522</c:v>
                </c:pt>
                <c:pt idx="59">
                  <c:v>1685.8515107289347</c:v>
                </c:pt>
                <c:pt idx="60">
                  <c:v>1736.6096883105656</c:v>
                </c:pt>
                <c:pt idx="61">
                  <c:v>1735.9501596085356</c:v>
                </c:pt>
                <c:pt idx="62">
                  <c:v>1593.0464594022576</c:v>
                </c:pt>
                <c:pt idx="63">
                  <c:v>1396.5539320027383</c:v>
                </c:pt>
                <c:pt idx="64">
                  <c:v>1575.6388671225193</c:v>
                </c:pt>
                <c:pt idx="65">
                  <c:v>1650.7640211803189</c:v>
                </c:pt>
                <c:pt idx="66">
                  <c:v>1683.2777111229559</c:v>
                </c:pt>
                <c:pt idx="67">
                  <c:v>1778.2182079548027</c:v>
                </c:pt>
                <c:pt idx="68">
                  <c:v>1910.0243870865968</c:v>
                </c:pt>
                <c:pt idx="69">
                  <c:v>1833.5945790438068</c:v>
                </c:pt>
                <c:pt idx="70">
                  <c:v>1784.8608517201415</c:v>
                </c:pt>
                <c:pt idx="71">
                  <c:v>1980.2421022770229</c:v>
                </c:pt>
                <c:pt idx="72">
                  <c:v>2056.2533310883487</c:v>
                </c:pt>
                <c:pt idx="73">
                  <c:v>2035.5384474816665</c:v>
                </c:pt>
                <c:pt idx="74">
                  <c:v>2091.8605077932089</c:v>
                </c:pt>
                <c:pt idx="75">
                  <c:v>2183.2631826581614</c:v>
                </c:pt>
                <c:pt idx="76">
                  <c:v>2299.7862304610453</c:v>
                </c:pt>
                <c:pt idx="77">
                  <c:v>2315.8545970355162</c:v>
                </c:pt>
                <c:pt idx="78">
                  <c:v>2369.92487122282</c:v>
                </c:pt>
                <c:pt idx="79">
                  <c:v>2426.0750952876788</c:v>
                </c:pt>
                <c:pt idx="80">
                  <c:v>2499.8147057762453</c:v>
                </c:pt>
                <c:pt idx="81">
                  <c:v>2383.6692233141612</c:v>
                </c:pt>
                <c:pt idx="82">
                  <c:v>2550.6506258947193</c:v>
                </c:pt>
                <c:pt idx="83">
                  <c:v>2532.8889828319652</c:v>
                </c:pt>
                <c:pt idx="84">
                  <c:v>2646.0086057294657</c:v>
                </c:pt>
                <c:pt idx="85">
                  <c:v>2509.0873937694737</c:v>
                </c:pt>
                <c:pt idx="86">
                  <c:v>2433.9283607588372</c:v>
                </c:pt>
                <c:pt idx="87">
                  <c:v>2524.0057612469304</c:v>
                </c:pt>
                <c:pt idx="88">
                  <c:v>2303.922680587435</c:v>
                </c:pt>
                <c:pt idx="89">
                  <c:v>2308.1374649740601</c:v>
                </c:pt>
                <c:pt idx="90">
                  <c:v>2117.6609821910811</c:v>
                </c:pt>
                <c:pt idx="91">
                  <c:v>2312.9208277582748</c:v>
                </c:pt>
                <c:pt idx="92">
                  <c:v>2218.5509112548134</c:v>
                </c:pt>
                <c:pt idx="93">
                  <c:v>2014.3115413674827</c:v>
                </c:pt>
                <c:pt idx="94">
                  <c:v>2177.3546426612584</c:v>
                </c:pt>
                <c:pt idx="95">
                  <c:v>2299.0336806141445</c:v>
                </c:pt>
                <c:pt idx="96">
                  <c:v>2166.4736565246394</c:v>
                </c:pt>
                <c:pt idx="97">
                  <c:v>2302.5852912179857</c:v>
                </c:pt>
                <c:pt idx="98">
                  <c:v>2246.3627828363524</c:v>
                </c:pt>
                <c:pt idx="99">
                  <c:v>2328.4915055354595</c:v>
                </c:pt>
                <c:pt idx="100">
                  <c:v>2364.7692059004917</c:v>
                </c:pt>
                <c:pt idx="101">
                  <c:v>2374.9687278353426</c:v>
                </c:pt>
                <c:pt idx="102">
                  <c:v>2531.8087163618479</c:v>
                </c:pt>
                <c:pt idx="103">
                  <c:v>2613.0220138226259</c:v>
                </c:pt>
                <c:pt idx="104">
                  <c:v>2571.4844430165253</c:v>
                </c:pt>
                <c:pt idx="105">
                  <c:v>2448.8150989166711</c:v>
                </c:pt>
                <c:pt idx="106">
                  <c:v>2397.3090005317722</c:v>
                </c:pt>
                <c:pt idx="107">
                  <c:v>2616.2973322228449</c:v>
                </c:pt>
                <c:pt idx="108">
                  <c:v>2735.1000405012533</c:v>
                </c:pt>
                <c:pt idx="109">
                  <c:v>2780.9548176156532</c:v>
                </c:pt>
                <c:pt idx="110">
                  <c:v>2929.4255088660957</c:v>
                </c:pt>
                <c:pt idx="111">
                  <c:v>3023.6447523849697</c:v>
                </c:pt>
                <c:pt idx="112">
                  <c:v>2900.1106282602918</c:v>
                </c:pt>
                <c:pt idx="113">
                  <c:v>3043.8808327938204</c:v>
                </c:pt>
                <c:pt idx="114">
                  <c:v>3153.0966056953421</c:v>
                </c:pt>
                <c:pt idx="115">
                  <c:v>3191.4698108514281</c:v>
                </c:pt>
                <c:pt idx="116">
                  <c:v>3268.8067943611927</c:v>
                </c:pt>
                <c:pt idx="117">
                  <c:v>3338.5279419317762</c:v>
                </c:pt>
                <c:pt idx="118">
                  <c:v>3308.3260573187204</c:v>
                </c:pt>
                <c:pt idx="119">
                  <c:v>3502.4459697801526</c:v>
                </c:pt>
                <c:pt idx="120">
                  <c:v>3419.0538209675196</c:v>
                </c:pt>
                <c:pt idx="121">
                  <c:v>3514.2289886309331</c:v>
                </c:pt>
                <c:pt idx="122">
                  <c:v>3468.3641684523732</c:v>
                </c:pt>
                <c:pt idx="123">
                  <c:v>3273.0473335956813</c:v>
                </c:pt>
                <c:pt idx="124">
                  <c:v>3250.8686738556285</c:v>
                </c:pt>
                <c:pt idx="125">
                  <c:v>3455.4863511079097</c:v>
                </c:pt>
                <c:pt idx="126">
                  <c:v>3631.1996933290206</c:v>
                </c:pt>
                <c:pt idx="127">
                  <c:v>3712.4167630852071</c:v>
                </c:pt>
                <c:pt idx="128">
                  <c:v>3787.7729313739205</c:v>
                </c:pt>
                <c:pt idx="129">
                  <c:v>3925.9613304190489</c:v>
                </c:pt>
                <c:pt idx="130">
                  <c:v>4017.8458285190945</c:v>
                </c:pt>
                <c:pt idx="131">
                  <c:v>4027.681745139414</c:v>
                </c:pt>
                <c:pt idx="132">
                  <c:v>4030.0330845388326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AB-1842-86AD-147A5D527F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238144"/>
        <c:axId val="383647200"/>
      </c:lineChart>
      <c:catAx>
        <c:axId val="562381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647200"/>
        <c:crosses val="autoZero"/>
        <c:auto val="1"/>
        <c:lblAlgn val="ctr"/>
        <c:lblOffset val="100"/>
        <c:noMultiLvlLbl val="0"/>
      </c:catAx>
      <c:valAx>
        <c:axId val="383647200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38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Underwater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Formulas!$M$6</c:f>
              <c:strCache>
                <c:ptCount val="1"/>
                <c:pt idx="0">
                  <c:v>Fund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Formulas!$M$7:$M$139</c:f>
              <c:numCache>
                <c:formatCode>0.00%</c:formatCode>
                <c:ptCount val="133"/>
                <c:pt idx="0">
                  <c:v>0</c:v>
                </c:pt>
                <c:pt idx="1">
                  <c:v>-5.4603438516812375E-2</c:v>
                </c:pt>
                <c:pt idx="2">
                  <c:v>0</c:v>
                </c:pt>
                <c:pt idx="3">
                  <c:v>-1.6845317414257321E-2</c:v>
                </c:pt>
                <c:pt idx="4">
                  <c:v>0</c:v>
                </c:pt>
                <c:pt idx="5">
                  <c:v>0</c:v>
                </c:pt>
                <c:pt idx="6">
                  <c:v>-1.4419021563415901E-2</c:v>
                </c:pt>
                <c:pt idx="7">
                  <c:v>-3.2781716480251299E-3</c:v>
                </c:pt>
                <c:pt idx="8">
                  <c:v>-7.2578368004905691E-2</c:v>
                </c:pt>
                <c:pt idx="9">
                  <c:v>-0.11141173391336046</c:v>
                </c:pt>
                <c:pt idx="10">
                  <c:v>-4.1069746878146351E-2</c:v>
                </c:pt>
                <c:pt idx="11">
                  <c:v>-4.5776700331671027E-2</c:v>
                </c:pt>
                <c:pt idx="12">
                  <c:v>-7.1586266614355742E-2</c:v>
                </c:pt>
                <c:pt idx="13">
                  <c:v>-0.13529601888453469</c:v>
                </c:pt>
                <c:pt idx="14">
                  <c:v>-0.14122807358757994</c:v>
                </c:pt>
                <c:pt idx="15">
                  <c:v>-8.0904101200883871E-2</c:v>
                </c:pt>
                <c:pt idx="16">
                  <c:v>-6.1432147149182548E-2</c:v>
                </c:pt>
                <c:pt idx="17">
                  <c:v>-3.9967023435054538E-2</c:v>
                </c:pt>
                <c:pt idx="18">
                  <c:v>-6.5465013992928922E-2</c:v>
                </c:pt>
                <c:pt idx="19">
                  <c:v>-1.5450929657656487E-2</c:v>
                </c:pt>
                <c:pt idx="20">
                  <c:v>0</c:v>
                </c:pt>
                <c:pt idx="21">
                  <c:v>0</c:v>
                </c:pt>
                <c:pt idx="22">
                  <c:v>-2.6035163950403062E-3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-3.6899184766613358E-3</c:v>
                </c:pt>
                <c:pt idx="28">
                  <c:v>0</c:v>
                </c:pt>
                <c:pt idx="29">
                  <c:v>-8.3890315372714408E-4</c:v>
                </c:pt>
                <c:pt idx="30">
                  <c:v>0</c:v>
                </c:pt>
                <c:pt idx="31">
                  <c:v>0</c:v>
                </c:pt>
                <c:pt idx="32">
                  <c:v>-1.0545986048256628E-2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-3.8935049237179609E-2</c:v>
                </c:pt>
                <c:pt idx="39">
                  <c:v>-7.0346293839410934E-2</c:v>
                </c:pt>
                <c:pt idx="40">
                  <c:v>-6.3698007763500986E-2</c:v>
                </c:pt>
                <c:pt idx="41">
                  <c:v>-5.8649613955977564E-2</c:v>
                </c:pt>
                <c:pt idx="42">
                  <c:v>-4.4687145210364099E-2</c:v>
                </c:pt>
                <c:pt idx="43">
                  <c:v>-8.2224955355236773E-4</c:v>
                </c:pt>
                <c:pt idx="44">
                  <c:v>0</c:v>
                </c:pt>
                <c:pt idx="45">
                  <c:v>0</c:v>
                </c:pt>
                <c:pt idx="46">
                  <c:v>-5.8561787551283273E-2</c:v>
                </c:pt>
                <c:pt idx="47">
                  <c:v>-3.228960588665919E-2</c:v>
                </c:pt>
                <c:pt idx="48">
                  <c:v>-0.13560141846456031</c:v>
                </c:pt>
                <c:pt idx="49">
                  <c:v>-6.2019558380797313E-2</c:v>
                </c:pt>
                <c:pt idx="50">
                  <c:v>-4.4612519905012693E-2</c:v>
                </c:pt>
                <c:pt idx="51">
                  <c:v>-4.668633124238597E-2</c:v>
                </c:pt>
                <c:pt idx="52">
                  <c:v>-1.7928246697939132E-3</c:v>
                </c:pt>
                <c:pt idx="53">
                  <c:v>-7.5625993571991956E-2</c:v>
                </c:pt>
                <c:pt idx="54">
                  <c:v>-2.2003206123636598E-2</c:v>
                </c:pt>
                <c:pt idx="55">
                  <c:v>-1.2536397111196917E-3</c:v>
                </c:pt>
                <c:pt idx="56">
                  <c:v>-5.1383776065619724E-2</c:v>
                </c:pt>
                <c:pt idx="57">
                  <c:v>-1.9970917568919111E-2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-3.2568096955054027E-2</c:v>
                </c:pt>
                <c:pt idx="62">
                  <c:v>-0.118389731502478</c:v>
                </c:pt>
                <c:pt idx="63">
                  <c:v>-0.2911106333901784</c:v>
                </c:pt>
                <c:pt idx="64">
                  <c:v>-0.19116777974376986</c:v>
                </c:pt>
                <c:pt idx="65">
                  <c:v>-0.16461417860873817</c:v>
                </c:pt>
                <c:pt idx="66">
                  <c:v>-0.1491729855321402</c:v>
                </c:pt>
                <c:pt idx="67">
                  <c:v>-0.12752068695382879</c:v>
                </c:pt>
                <c:pt idx="68">
                  <c:v>-8.3309736677429469E-2</c:v>
                </c:pt>
                <c:pt idx="69">
                  <c:v>-0.11285923322430147</c:v>
                </c:pt>
                <c:pt idx="70">
                  <c:v>-0.12984667436530872</c:v>
                </c:pt>
                <c:pt idx="71">
                  <c:v>0</c:v>
                </c:pt>
                <c:pt idx="72">
                  <c:v>0</c:v>
                </c:pt>
                <c:pt idx="73">
                  <c:v>-2.2351717311118735E-3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-1.9971745283651199E-3</c:v>
                </c:pt>
                <c:pt idx="79">
                  <c:v>-8.4561133207026185E-3</c:v>
                </c:pt>
                <c:pt idx="80">
                  <c:v>0</c:v>
                </c:pt>
                <c:pt idx="81">
                  <c:v>-3.5527832974394546E-2</c:v>
                </c:pt>
                <c:pt idx="82">
                  <c:v>0</c:v>
                </c:pt>
                <c:pt idx="83">
                  <c:v>-3.9745321314162751E-2</c:v>
                </c:pt>
                <c:pt idx="84">
                  <c:v>0</c:v>
                </c:pt>
                <c:pt idx="85">
                  <c:v>0</c:v>
                </c:pt>
                <c:pt idx="86">
                  <c:v>-1.7320243565061122E-2</c:v>
                </c:pt>
                <c:pt idx="87">
                  <c:v>-2.1045606514241699E-3</c:v>
                </c:pt>
                <c:pt idx="88">
                  <c:v>-7.7091571233497636E-2</c:v>
                </c:pt>
                <c:pt idx="89">
                  <c:v>-3.6366330168205008E-2</c:v>
                </c:pt>
                <c:pt idx="90">
                  <c:v>-0.12594174107456502</c:v>
                </c:pt>
                <c:pt idx="91">
                  <c:v>-8.071414325221149E-2</c:v>
                </c:pt>
                <c:pt idx="92">
                  <c:v>-0.10348792129273776</c:v>
                </c:pt>
                <c:pt idx="93">
                  <c:v>-0.18880155900401607</c:v>
                </c:pt>
                <c:pt idx="94">
                  <c:v>-9.6065077325298232E-2</c:v>
                </c:pt>
                <c:pt idx="95">
                  <c:v>-3.9125520720677542E-2</c:v>
                </c:pt>
                <c:pt idx="96">
                  <c:v>-8.3979798112493342E-2</c:v>
                </c:pt>
                <c:pt idx="97">
                  <c:v>-2.3298630608693194E-2</c:v>
                </c:pt>
                <c:pt idx="98">
                  <c:v>-5.5144218868979467E-2</c:v>
                </c:pt>
                <c:pt idx="99">
                  <c:v>-7.0569286984854651E-2</c:v>
                </c:pt>
                <c:pt idx="100">
                  <c:v>-5.9921252800236635E-2</c:v>
                </c:pt>
                <c:pt idx="101">
                  <c:v>-8.2165318478576888E-2</c:v>
                </c:pt>
                <c:pt idx="102">
                  <c:v>-1.8831744863579525E-2</c:v>
                </c:pt>
                <c:pt idx="103">
                  <c:v>0</c:v>
                </c:pt>
                <c:pt idx="104">
                  <c:v>-2.3465327036714556E-2</c:v>
                </c:pt>
                <c:pt idx="105">
                  <c:v>-4.8597579031389615E-2</c:v>
                </c:pt>
                <c:pt idx="106">
                  <c:v>-8.1726234878662485E-2</c:v>
                </c:pt>
                <c:pt idx="107">
                  <c:v>-1.2993429837595438E-2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-3.383166925680714E-2</c:v>
                </c:pt>
                <c:pt idx="113">
                  <c:v>-1.1656814671314741E-3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-2.6249671503602023E-3</c:v>
                </c:pt>
                <c:pt idx="119">
                  <c:v>0</c:v>
                </c:pt>
                <c:pt idx="120">
                  <c:v>-6.2559702148668239E-2</c:v>
                </c:pt>
                <c:pt idx="121">
                  <c:v>-4.8976629955103101E-3</c:v>
                </c:pt>
                <c:pt idx="122">
                  <c:v>0</c:v>
                </c:pt>
                <c:pt idx="123">
                  <c:v>-3.2301369361757315E-2</c:v>
                </c:pt>
                <c:pt idx="124">
                  <c:v>-6.5891994504226004E-2</c:v>
                </c:pt>
                <c:pt idx="125">
                  <c:v>-3.0275667048281218E-2</c:v>
                </c:pt>
                <c:pt idx="126">
                  <c:v>0</c:v>
                </c:pt>
                <c:pt idx="127">
                  <c:v>-1.1587262054538527E-2</c:v>
                </c:pt>
                <c:pt idx="128">
                  <c:v>0</c:v>
                </c:pt>
                <c:pt idx="129">
                  <c:v>-7.9626538384836021E-4</c:v>
                </c:pt>
                <c:pt idx="130">
                  <c:v>-6.9668517369396721E-3</c:v>
                </c:pt>
                <c:pt idx="131">
                  <c:v>0</c:v>
                </c:pt>
                <c:pt idx="13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39-6343-8803-F8E9E1AECD2C}"/>
            </c:ext>
          </c:extLst>
        </c:ser>
        <c:ser>
          <c:idx val="1"/>
          <c:order val="1"/>
          <c:tx>
            <c:strRef>
              <c:f>Formulas!$N$6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Formulas!$N$7:$N$139</c:f>
              <c:numCache>
                <c:formatCode>0.00%</c:formatCode>
                <c:ptCount val="133"/>
                <c:pt idx="0">
                  <c:v>0</c:v>
                </c:pt>
                <c:pt idx="1">
                  <c:v>-3.0017362507574585E-2</c:v>
                </c:pt>
                <c:pt idx="2">
                  <c:v>0</c:v>
                </c:pt>
                <c:pt idx="3">
                  <c:v>-1.5757033892655037E-2</c:v>
                </c:pt>
                <c:pt idx="4">
                  <c:v>-6.3641634311801809E-3</c:v>
                </c:pt>
                <c:pt idx="5">
                  <c:v>0</c:v>
                </c:pt>
                <c:pt idx="6">
                  <c:v>-1.9133330203325416E-2</c:v>
                </c:pt>
                <c:pt idx="7">
                  <c:v>0</c:v>
                </c:pt>
                <c:pt idx="8">
                  <c:v>-6.0358114379834737E-2</c:v>
                </c:pt>
                <c:pt idx="9">
                  <c:v>-8.3570017774440286E-2</c:v>
                </c:pt>
                <c:pt idx="10">
                  <c:v>-6.3299423919783715E-3</c:v>
                </c:pt>
                <c:pt idx="11">
                  <c:v>-3.329394317326595E-3</c:v>
                </c:pt>
                <c:pt idx="12">
                  <c:v>-1.9201616949833356E-2</c:v>
                </c:pt>
                <c:pt idx="13">
                  <c:v>-6.7908501882344319E-2</c:v>
                </c:pt>
                <c:pt idx="14">
                  <c:v>-6.9209433553188537E-2</c:v>
                </c:pt>
                <c:pt idx="15">
                  <c:v>-6.1142443411407177E-3</c:v>
                </c:pt>
                <c:pt idx="16">
                  <c:v>-2.1980238182162104E-3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-1.8193818550734431E-2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-3.6812117157744684E-2</c:v>
                </c:pt>
                <c:pt idx="39">
                  <c:v>-6.1416081352837826E-2</c:v>
                </c:pt>
                <c:pt idx="40">
                  <c:v>-5.7856231940441538E-2</c:v>
                </c:pt>
                <c:pt idx="41">
                  <c:v>-3.5116297016860032E-2</c:v>
                </c:pt>
                <c:pt idx="42">
                  <c:v>-2.9246003347108473E-2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-6.8382661486797613E-2</c:v>
                </c:pt>
                <c:pt idx="47">
                  <c:v>-4.9375848327338989E-2</c:v>
                </c:pt>
                <c:pt idx="48">
                  <c:v>-0.13502596573268566</c:v>
                </c:pt>
                <c:pt idx="49">
                  <c:v>-6.5765925011574744E-2</c:v>
                </c:pt>
                <c:pt idx="50">
                  <c:v>-3.5720388050772267E-2</c:v>
                </c:pt>
                <c:pt idx="51">
                  <c:v>-1.6945395273660679E-2</c:v>
                </c:pt>
                <c:pt idx="52">
                  <c:v>0</c:v>
                </c:pt>
                <c:pt idx="53">
                  <c:v>-6.3518502431555324E-2</c:v>
                </c:pt>
                <c:pt idx="54">
                  <c:v>0</c:v>
                </c:pt>
                <c:pt idx="55">
                  <c:v>0</c:v>
                </c:pt>
                <c:pt idx="56">
                  <c:v>-1.5767381023911065E-2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-3.7977946712464128E-4</c:v>
                </c:pt>
                <c:pt idx="62">
                  <c:v>-8.2668679021347224E-2</c:v>
                </c:pt>
                <c:pt idx="63">
                  <c:v>-0.19581588113713988</c:v>
                </c:pt>
                <c:pt idx="64">
                  <c:v>-9.2692573507777931E-2</c:v>
                </c:pt>
                <c:pt idx="65">
                  <c:v>-4.9432908101394002E-2</c:v>
                </c:pt>
                <c:pt idx="66">
                  <c:v>-3.071039943321574E-2</c:v>
                </c:pt>
                <c:pt idx="67">
                  <c:v>0</c:v>
                </c:pt>
                <c:pt idx="68">
                  <c:v>0</c:v>
                </c:pt>
                <c:pt idx="69">
                  <c:v>-4.0015095388059474E-2</c:v>
                </c:pt>
                <c:pt idx="70">
                  <c:v>-6.5529810097016639E-2</c:v>
                </c:pt>
                <c:pt idx="71">
                  <c:v>0</c:v>
                </c:pt>
                <c:pt idx="72">
                  <c:v>0</c:v>
                </c:pt>
                <c:pt idx="73">
                  <c:v>-1.0074091209237412E-2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-4.6461636613989943E-2</c:v>
                </c:pt>
                <c:pt idx="82">
                  <c:v>0</c:v>
                </c:pt>
                <c:pt idx="83">
                  <c:v>-6.9635734829515128E-3</c:v>
                </c:pt>
                <c:pt idx="84">
                  <c:v>0</c:v>
                </c:pt>
                <c:pt idx="85">
                  <c:v>-5.1746321483427282E-2</c:v>
                </c:pt>
                <c:pt idx="86">
                  <c:v>-8.015100348177473E-2</c:v>
                </c:pt>
                <c:pt idx="87">
                  <c:v>-4.6108256873526265E-2</c:v>
                </c:pt>
                <c:pt idx="88">
                  <c:v>-0.12928375380235113</c:v>
                </c:pt>
                <c:pt idx="89">
                  <c:v>-0.12769086994796808</c:v>
                </c:pt>
                <c:pt idx="90">
                  <c:v>-0.1996772128383637</c:v>
                </c:pt>
                <c:pt idx="91">
                  <c:v>-0.12588310455602747</c:v>
                </c:pt>
                <c:pt idx="92">
                  <c:v>-0.16154811195589758</c:v>
                </c:pt>
                <c:pt idx="93">
                  <c:v>-0.23873583139304766</c:v>
                </c:pt>
                <c:pt idx="94">
                  <c:v>-0.17711732382631695</c:v>
                </c:pt>
                <c:pt idx="95">
                  <c:v>-0.13113144241632779</c:v>
                </c:pt>
                <c:pt idx="96">
                  <c:v>-0.18122955011048636</c:v>
                </c:pt>
                <c:pt idx="97">
                  <c:v>-0.12978919031777036</c:v>
                </c:pt>
                <c:pt idx="98">
                  <c:v>-0.15103723473451702</c:v>
                </c:pt>
                <c:pt idx="99">
                  <c:v>-0.11999851380168558</c:v>
                </c:pt>
                <c:pt idx="100">
                  <c:v>-0.10628816520853324</c:v>
                </c:pt>
                <c:pt idx="101">
                  <c:v>-0.10243348313653777</c:v>
                </c:pt>
                <c:pt idx="102">
                  <c:v>-4.315930383610167E-2</c:v>
                </c:pt>
                <c:pt idx="103">
                  <c:v>-1.2466547476608025E-2</c:v>
                </c:pt>
                <c:pt idx="104">
                  <c:v>-2.8164746914114858E-2</c:v>
                </c:pt>
                <c:pt idx="105">
                  <c:v>-7.4524892468530446E-2</c:v>
                </c:pt>
                <c:pt idx="106">
                  <c:v>-9.3990474807670088E-2</c:v>
                </c:pt>
                <c:pt idx="107">
                  <c:v>-1.1228713860675366E-2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-4.0856031128404746E-2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-9.0464675265171657E-3</c:v>
                </c:pt>
                <c:pt idx="119">
                  <c:v>0</c:v>
                </c:pt>
                <c:pt idx="120">
                  <c:v>-2.3809688866625822E-2</c:v>
                </c:pt>
                <c:pt idx="121">
                  <c:v>0</c:v>
                </c:pt>
                <c:pt idx="122">
                  <c:v>-1.3051175756315203E-2</c:v>
                </c:pt>
                <c:pt idx="123">
                  <c:v>-6.8630034017564401E-2</c:v>
                </c:pt>
                <c:pt idx="124">
                  <c:v>-7.4941136626928806E-2</c:v>
                </c:pt>
                <c:pt idx="125">
                  <c:v>-1.6715654475865094E-2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39-6343-8803-F8E9E1AECD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238144"/>
        <c:axId val="383647200"/>
      </c:lineChart>
      <c:catAx>
        <c:axId val="56238144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647200"/>
        <c:crosses val="autoZero"/>
        <c:auto val="1"/>
        <c:lblAlgn val="ctr"/>
        <c:lblOffset val="100"/>
        <c:noMultiLvlLbl val="0"/>
      </c:catAx>
      <c:valAx>
        <c:axId val="383647200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38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12M Rolling Vol &amp; Beta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Formulas!$AD$4</c:f>
              <c:strCache>
                <c:ptCount val="1"/>
                <c:pt idx="0">
                  <c:v>Rolling Volatility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Formulas!$AD$7:$AD$139</c:f>
              <c:numCache>
                <c:formatCode>0.00%</c:formatCode>
                <c:ptCount val="133"/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0.1548233933554079</c:v>
                </c:pt>
                <c:pt idx="13">
                  <c:v>0.16045698604121444</c:v>
                </c:pt>
                <c:pt idx="14">
                  <c:v>0.14283579821390527</c:v>
                </c:pt>
                <c:pt idx="15">
                  <c:v>0.1633262268008161</c:v>
                </c:pt>
                <c:pt idx="16">
                  <c:v>0.16229233927381917</c:v>
                </c:pt>
                <c:pt idx="17">
                  <c:v>0.16361799009789796</c:v>
                </c:pt>
                <c:pt idx="18">
                  <c:v>0.16503720937956687</c:v>
                </c:pt>
                <c:pt idx="19">
                  <c:v>0.17427640233679778</c:v>
                </c:pt>
                <c:pt idx="20">
                  <c:v>0.15746326239471076</c:v>
                </c:pt>
                <c:pt idx="21">
                  <c:v>0.14791176230359435</c:v>
                </c:pt>
                <c:pt idx="22">
                  <c:v>0.12884914980782361</c:v>
                </c:pt>
                <c:pt idx="23">
                  <c:v>0.15675912199972525</c:v>
                </c:pt>
                <c:pt idx="24">
                  <c:v>0.15037533895348687</c:v>
                </c:pt>
                <c:pt idx="25">
                  <c:v>0.11779626755631871</c:v>
                </c:pt>
                <c:pt idx="26">
                  <c:v>0.11267872721923593</c:v>
                </c:pt>
                <c:pt idx="27">
                  <c:v>0.1063521195248802</c:v>
                </c:pt>
                <c:pt idx="28">
                  <c:v>0.10779649059614467</c:v>
                </c:pt>
                <c:pt idx="29">
                  <c:v>0.10974043766263955</c:v>
                </c:pt>
                <c:pt idx="30">
                  <c:v>9.8602406033429846E-2</c:v>
                </c:pt>
                <c:pt idx="31">
                  <c:v>9.2254437169192557E-2</c:v>
                </c:pt>
                <c:pt idx="32">
                  <c:v>9.6692096511173983E-2</c:v>
                </c:pt>
                <c:pt idx="33">
                  <c:v>9.9396056589510923E-2</c:v>
                </c:pt>
                <c:pt idx="34">
                  <c:v>9.77380480911378E-2</c:v>
                </c:pt>
                <c:pt idx="35">
                  <c:v>5.1736623008007632E-2</c:v>
                </c:pt>
                <c:pt idx="36">
                  <c:v>5.2869699603004396E-2</c:v>
                </c:pt>
                <c:pt idx="37">
                  <c:v>6.7855769373657907E-2</c:v>
                </c:pt>
                <c:pt idx="38">
                  <c:v>8.6077503743955744E-2</c:v>
                </c:pt>
                <c:pt idx="39">
                  <c:v>9.5908787699610282E-2</c:v>
                </c:pt>
                <c:pt idx="40">
                  <c:v>9.5788267423290829E-2</c:v>
                </c:pt>
                <c:pt idx="41">
                  <c:v>9.5281014573196557E-2</c:v>
                </c:pt>
                <c:pt idx="42">
                  <c:v>9.5312157446578741E-2</c:v>
                </c:pt>
                <c:pt idx="43">
                  <c:v>0.10182227320855478</c:v>
                </c:pt>
                <c:pt idx="44">
                  <c:v>9.8826984432916348E-2</c:v>
                </c:pt>
                <c:pt idx="45">
                  <c:v>9.5347052774027746E-2</c:v>
                </c:pt>
                <c:pt idx="46">
                  <c:v>0.11822350252492633</c:v>
                </c:pt>
                <c:pt idx="47">
                  <c:v>0.11860099782341789</c:v>
                </c:pt>
                <c:pt idx="48">
                  <c:v>0.16117315215592459</c:v>
                </c:pt>
                <c:pt idx="49">
                  <c:v>0.17486951094152114</c:v>
                </c:pt>
                <c:pt idx="50">
                  <c:v>0.17129076028934778</c:v>
                </c:pt>
                <c:pt idx="51">
                  <c:v>0.16720351696649638</c:v>
                </c:pt>
                <c:pt idx="52">
                  <c:v>0.17254673516452362</c:v>
                </c:pt>
                <c:pt idx="53">
                  <c:v>0.19108541105150323</c:v>
                </c:pt>
                <c:pt idx="54">
                  <c:v>0.19912030961105345</c:v>
                </c:pt>
                <c:pt idx="55">
                  <c:v>0.19506573951362249</c:v>
                </c:pt>
                <c:pt idx="56">
                  <c:v>0.2012897033748659</c:v>
                </c:pt>
                <c:pt idx="57">
                  <c:v>0.20446164979382325</c:v>
                </c:pt>
                <c:pt idx="58">
                  <c:v>0.1950945378754495</c:v>
                </c:pt>
                <c:pt idx="59">
                  <c:v>0.19694390269901604</c:v>
                </c:pt>
                <c:pt idx="60">
                  <c:v>0.15294939115526113</c:v>
                </c:pt>
                <c:pt idx="61">
                  <c:v>0.14280228850793344</c:v>
                </c:pt>
                <c:pt idx="62">
                  <c:v>0.1726935174928822</c:v>
                </c:pt>
                <c:pt idx="63">
                  <c:v>0.26190459289049595</c:v>
                </c:pt>
                <c:pt idx="64">
                  <c:v>0.30035187057728968</c:v>
                </c:pt>
                <c:pt idx="65">
                  <c:v>0.29350690543167418</c:v>
                </c:pt>
                <c:pt idx="66">
                  <c:v>0.28778530705829108</c:v>
                </c:pt>
                <c:pt idx="67">
                  <c:v>0.28818806402265906</c:v>
                </c:pt>
                <c:pt idx="68">
                  <c:v>0.2872897973917653</c:v>
                </c:pt>
                <c:pt idx="69">
                  <c:v>0.28818890245003492</c:v>
                </c:pt>
                <c:pt idx="70">
                  <c:v>0.28777056918734906</c:v>
                </c:pt>
                <c:pt idx="71">
                  <c:v>0.34124671449839938</c:v>
                </c:pt>
                <c:pt idx="72">
                  <c:v>0.3418962860789318</c:v>
                </c:pt>
                <c:pt idx="73">
                  <c:v>0.33907939130245046</c:v>
                </c:pt>
                <c:pt idx="74">
                  <c:v>0.32871663744107937</c:v>
                </c:pt>
                <c:pt idx="75">
                  <c:v>0.22006684877452021</c:v>
                </c:pt>
                <c:pt idx="76">
                  <c:v>0.1966147303118026</c:v>
                </c:pt>
                <c:pt idx="77">
                  <c:v>0.19655963339714311</c:v>
                </c:pt>
                <c:pt idx="78">
                  <c:v>0.20031283956144255</c:v>
                </c:pt>
                <c:pt idx="79">
                  <c:v>0.2054457779855228</c:v>
                </c:pt>
                <c:pt idx="80">
                  <c:v>0.20510001173301745</c:v>
                </c:pt>
                <c:pt idx="81">
                  <c:v>0.20632391709020478</c:v>
                </c:pt>
                <c:pt idx="82">
                  <c:v>0.19736911346645983</c:v>
                </c:pt>
                <c:pt idx="83">
                  <c:v>0.14041204833963636</c:v>
                </c:pt>
                <c:pt idx="84">
                  <c:v>0.142933342276305</c:v>
                </c:pt>
                <c:pt idx="85">
                  <c:v>0.14073727673514655</c:v>
                </c:pt>
                <c:pt idx="86">
                  <c:v>0.12356206461092858</c:v>
                </c:pt>
                <c:pt idx="87">
                  <c:v>0.11369209896877645</c:v>
                </c:pt>
                <c:pt idx="88">
                  <c:v>0.13305472266914034</c:v>
                </c:pt>
                <c:pt idx="89">
                  <c:v>0.13614223894326621</c:v>
                </c:pt>
                <c:pt idx="90">
                  <c:v>0.16618927674517581</c:v>
                </c:pt>
                <c:pt idx="91">
                  <c:v>0.17573719165126631</c:v>
                </c:pt>
                <c:pt idx="92">
                  <c:v>0.17383519105506862</c:v>
                </c:pt>
                <c:pt idx="93">
                  <c:v>0.19421560464780382</c:v>
                </c:pt>
                <c:pt idx="94">
                  <c:v>0.22559560138267803</c:v>
                </c:pt>
                <c:pt idx="95">
                  <c:v>0.23134763851925833</c:v>
                </c:pt>
                <c:pt idx="96">
                  <c:v>0.22948782495957579</c:v>
                </c:pt>
                <c:pt idx="97">
                  <c:v>0.23982987382809717</c:v>
                </c:pt>
                <c:pt idx="98">
                  <c:v>0.24153177958263355</c:v>
                </c:pt>
                <c:pt idx="99">
                  <c:v>0.24125305225258484</c:v>
                </c:pt>
                <c:pt idx="100">
                  <c:v>0.22847441628511944</c:v>
                </c:pt>
                <c:pt idx="101">
                  <c:v>0.22537020531719951</c:v>
                </c:pt>
                <c:pt idx="102">
                  <c:v>0.21195113964238765</c:v>
                </c:pt>
                <c:pt idx="103">
                  <c:v>0.21146276523930208</c:v>
                </c:pt>
                <c:pt idx="104">
                  <c:v>0.21122408088586433</c:v>
                </c:pt>
                <c:pt idx="105">
                  <c:v>0.18251382251839621</c:v>
                </c:pt>
                <c:pt idx="106">
                  <c:v>0.15462880376262372</c:v>
                </c:pt>
                <c:pt idx="107">
                  <c:v>0.15987623761350941</c:v>
                </c:pt>
                <c:pt idx="108">
                  <c:v>0.15686281231716356</c:v>
                </c:pt>
                <c:pt idx="109">
                  <c:v>0.14655670131663909</c:v>
                </c:pt>
                <c:pt idx="110">
                  <c:v>0.14008834046684943</c:v>
                </c:pt>
                <c:pt idx="111">
                  <c:v>0.14143776016865614</c:v>
                </c:pt>
                <c:pt idx="112">
                  <c:v>0.15128275415977616</c:v>
                </c:pt>
                <c:pt idx="113">
                  <c:v>0.14561863315871287</c:v>
                </c:pt>
                <c:pt idx="114">
                  <c:v>0.13667497765428324</c:v>
                </c:pt>
                <c:pt idx="115">
                  <c:v>0.13532120865517311</c:v>
                </c:pt>
                <c:pt idx="116">
                  <c:v>0.12873404213092585</c:v>
                </c:pt>
                <c:pt idx="117">
                  <c:v>0.12045722369911988</c:v>
                </c:pt>
                <c:pt idx="118">
                  <c:v>0.10779362714888018</c:v>
                </c:pt>
                <c:pt idx="119">
                  <c:v>9.8195061020366889E-2</c:v>
                </c:pt>
                <c:pt idx="120">
                  <c:v>0.12103493655636406</c:v>
                </c:pt>
                <c:pt idx="121">
                  <c:v>0.12993471534382961</c:v>
                </c:pt>
                <c:pt idx="122">
                  <c:v>0.12970623062274944</c:v>
                </c:pt>
                <c:pt idx="123">
                  <c:v>0.12994580274694972</c:v>
                </c:pt>
                <c:pt idx="124">
                  <c:v>0.1302577815137429</c:v>
                </c:pt>
                <c:pt idx="125">
                  <c:v>0.13126044088828354</c:v>
                </c:pt>
                <c:pt idx="126">
                  <c:v>0.13379872233633719</c:v>
                </c:pt>
                <c:pt idx="127">
                  <c:v>0.1304454445792628</c:v>
                </c:pt>
                <c:pt idx="128">
                  <c:v>0.13448282440128126</c:v>
                </c:pt>
                <c:pt idx="129">
                  <c:v>0.13478927240433383</c:v>
                </c:pt>
                <c:pt idx="130">
                  <c:v>0.13513388310701097</c:v>
                </c:pt>
                <c:pt idx="131">
                  <c:v>0.12614196915807327</c:v>
                </c:pt>
                <c:pt idx="132">
                  <c:v>0.10332370262304796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19-8046-A8EF-29CFAFE700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238144"/>
        <c:axId val="383647200"/>
      </c:lineChart>
      <c:lineChart>
        <c:grouping val="standard"/>
        <c:varyColors val="0"/>
        <c:ser>
          <c:idx val="2"/>
          <c:order val="1"/>
          <c:tx>
            <c:strRef>
              <c:f>Formulas!$AF$4</c:f>
              <c:strCache>
                <c:ptCount val="1"/>
                <c:pt idx="0">
                  <c:v>Rolling Beta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Formulas!$AF$7:$AF$139</c:f>
              <c:numCache>
                <c:formatCode>0.00</c:formatCode>
                <c:ptCount val="133"/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1.1029702852627812</c:v>
                </c:pt>
                <c:pt idx="13">
                  <c:v>1.099911704543135</c:v>
                </c:pt>
                <c:pt idx="14">
                  <c:v>1.0827295470248441</c:v>
                </c:pt>
                <c:pt idx="15">
                  <c:v>1.0930713504143037</c:v>
                </c:pt>
                <c:pt idx="16">
                  <c:v>1.0869380732523368</c:v>
                </c:pt>
                <c:pt idx="17">
                  <c:v>1.0909730733395004</c:v>
                </c:pt>
                <c:pt idx="18">
                  <c:v>1.1079214795014645</c:v>
                </c:pt>
                <c:pt idx="19">
                  <c:v>1.1433062298647914</c:v>
                </c:pt>
                <c:pt idx="20">
                  <c:v>1.1535042700222227</c:v>
                </c:pt>
                <c:pt idx="21">
                  <c:v>1.1162647019439156</c:v>
                </c:pt>
                <c:pt idx="22">
                  <c:v>1.1834388387048931</c:v>
                </c:pt>
                <c:pt idx="23">
                  <c:v>1.333788346129047</c:v>
                </c:pt>
                <c:pt idx="24">
                  <c:v>1.2878013950669152</c:v>
                </c:pt>
                <c:pt idx="25">
                  <c:v>1.1829516114724072</c:v>
                </c:pt>
                <c:pt idx="26">
                  <c:v>1.0636136665775828</c:v>
                </c:pt>
                <c:pt idx="27">
                  <c:v>1.2494506040055071</c:v>
                </c:pt>
                <c:pt idx="28">
                  <c:v>1.2956869874574892</c:v>
                </c:pt>
                <c:pt idx="29">
                  <c:v>1.2965790981453809</c:v>
                </c:pt>
                <c:pt idx="30">
                  <c:v>1.1755516909508408</c:v>
                </c:pt>
                <c:pt idx="31">
                  <c:v>1.1023921970961488</c:v>
                </c:pt>
                <c:pt idx="32">
                  <c:v>1.2217436889183249</c:v>
                </c:pt>
                <c:pt idx="33">
                  <c:v>1.3119519246869389</c:v>
                </c:pt>
                <c:pt idx="34">
                  <c:v>1.7233284963495983</c:v>
                </c:pt>
                <c:pt idx="35">
                  <c:v>0.95666054015054669</c:v>
                </c:pt>
                <c:pt idx="36">
                  <c:v>0.89677596129639225</c:v>
                </c:pt>
                <c:pt idx="37">
                  <c:v>0.98039929575414175</c:v>
                </c:pt>
                <c:pt idx="38">
                  <c:v>1.0174035509694532</c:v>
                </c:pt>
                <c:pt idx="39">
                  <c:v>1.0377122911437151</c:v>
                </c:pt>
                <c:pt idx="40">
                  <c:v>1.0311903887872915</c:v>
                </c:pt>
                <c:pt idx="41">
                  <c:v>1.003675670411226</c:v>
                </c:pt>
                <c:pt idx="42">
                  <c:v>1.0028859040770899</c:v>
                </c:pt>
                <c:pt idx="43">
                  <c:v>1.0381961999676226</c:v>
                </c:pt>
                <c:pt idx="44">
                  <c:v>0.98183869407553015</c:v>
                </c:pt>
                <c:pt idx="45">
                  <c:v>0.96771952968368458</c:v>
                </c:pt>
                <c:pt idx="46">
                  <c:v>0.92875987834476637</c:v>
                </c:pt>
                <c:pt idx="47">
                  <c:v>0.94332018114945748</c:v>
                </c:pt>
                <c:pt idx="48">
                  <c:v>1.0254146740726005</c:v>
                </c:pt>
                <c:pt idx="49">
                  <c:v>1.0412308946555344</c:v>
                </c:pt>
                <c:pt idx="50">
                  <c:v>1.0283152877798127</c:v>
                </c:pt>
                <c:pt idx="51">
                  <c:v>1.0141113845573078</c:v>
                </c:pt>
                <c:pt idx="52">
                  <c:v>1.0286092492249255</c:v>
                </c:pt>
                <c:pt idx="53">
                  <c:v>1.0499110024793583</c:v>
                </c:pt>
                <c:pt idx="54">
                  <c:v>1.0278666395504763</c:v>
                </c:pt>
                <c:pt idx="55">
                  <c:v>1.0186161375958622</c:v>
                </c:pt>
                <c:pt idx="56">
                  <c:v>1.0468327916006821</c:v>
                </c:pt>
                <c:pt idx="57">
                  <c:v>1.0554445518948097</c:v>
                </c:pt>
                <c:pt idx="58">
                  <c:v>1.1148610716090797</c:v>
                </c:pt>
                <c:pt idx="59">
                  <c:v>1.1175568415919463</c:v>
                </c:pt>
                <c:pt idx="60">
                  <c:v>1.1311314966211261</c:v>
                </c:pt>
                <c:pt idx="61">
                  <c:v>1.1571001739855258</c:v>
                </c:pt>
                <c:pt idx="62">
                  <c:v>1.0955430216464659</c:v>
                </c:pt>
                <c:pt idx="63">
                  <c:v>1.2830960346123124</c:v>
                </c:pt>
                <c:pt idx="64">
                  <c:v>1.2453304036620476</c:v>
                </c:pt>
                <c:pt idx="65">
                  <c:v>1.2597710839677512</c:v>
                </c:pt>
                <c:pt idx="66">
                  <c:v>1.2856396266640555</c:v>
                </c:pt>
                <c:pt idx="67">
                  <c:v>1.2505448454239874</c:v>
                </c:pt>
                <c:pt idx="68">
                  <c:v>1.2103941884294507</c:v>
                </c:pt>
                <c:pt idx="69">
                  <c:v>1.1742513332909725</c:v>
                </c:pt>
                <c:pt idx="70">
                  <c:v>1.1526486441296542</c:v>
                </c:pt>
                <c:pt idx="71">
                  <c:v>1.2553200220007625</c:v>
                </c:pt>
                <c:pt idx="72">
                  <c:v>1.2551258668079637</c:v>
                </c:pt>
                <c:pt idx="73">
                  <c:v>1.2407439694836164</c:v>
                </c:pt>
                <c:pt idx="74">
                  <c:v>1.2861621090980979</c:v>
                </c:pt>
                <c:pt idx="75">
                  <c:v>1.0955217708264517</c:v>
                </c:pt>
                <c:pt idx="76">
                  <c:v>1.1146898552368543</c:v>
                </c:pt>
                <c:pt idx="77">
                  <c:v>1.1156049187463981</c:v>
                </c:pt>
                <c:pt idx="78">
                  <c:v>1.121038560968155</c:v>
                </c:pt>
                <c:pt idx="79">
                  <c:v>1.1968374261179555</c:v>
                </c:pt>
                <c:pt idx="80">
                  <c:v>1.3231778452841332</c:v>
                </c:pt>
                <c:pt idx="81">
                  <c:v>1.2972205409289905</c:v>
                </c:pt>
                <c:pt idx="82">
                  <c:v>1.2049320284702019</c:v>
                </c:pt>
                <c:pt idx="83">
                  <c:v>0.91617604959229781</c:v>
                </c:pt>
                <c:pt idx="84">
                  <c:v>0.93341505060802665</c:v>
                </c:pt>
                <c:pt idx="85">
                  <c:v>0.68069937993071494</c:v>
                </c:pt>
                <c:pt idx="86">
                  <c:v>0.65269911343678688</c:v>
                </c:pt>
                <c:pt idx="87">
                  <c:v>0.58552512687303326</c:v>
                </c:pt>
                <c:pt idx="88">
                  <c:v>0.65040930140226538</c:v>
                </c:pt>
                <c:pt idx="89">
                  <c:v>0.6447497518743609</c:v>
                </c:pt>
                <c:pt idx="90">
                  <c:v>0.77044167056202995</c:v>
                </c:pt>
                <c:pt idx="91">
                  <c:v>0.73788427309421223</c:v>
                </c:pt>
                <c:pt idx="92">
                  <c:v>0.72762014311097845</c:v>
                </c:pt>
                <c:pt idx="93">
                  <c:v>0.77929785806846197</c:v>
                </c:pt>
                <c:pt idx="94">
                  <c:v>0.90188570124501821</c:v>
                </c:pt>
                <c:pt idx="95">
                  <c:v>0.90971724473897919</c:v>
                </c:pt>
                <c:pt idx="96">
                  <c:v>0.90808443054418975</c:v>
                </c:pt>
                <c:pt idx="97">
                  <c:v>0.95388539041257325</c:v>
                </c:pt>
                <c:pt idx="98">
                  <c:v>0.96247857332892073</c:v>
                </c:pt>
                <c:pt idx="99">
                  <c:v>0.93773613781609799</c:v>
                </c:pt>
                <c:pt idx="100">
                  <c:v>0.94921381915861291</c:v>
                </c:pt>
                <c:pt idx="101">
                  <c:v>0.95148340616388105</c:v>
                </c:pt>
                <c:pt idx="102">
                  <c:v>0.94600354728923208</c:v>
                </c:pt>
                <c:pt idx="103">
                  <c:v>1.0363840334276857</c:v>
                </c:pt>
                <c:pt idx="104">
                  <c:v>1.0745021571670275</c:v>
                </c:pt>
                <c:pt idx="105">
                  <c:v>1.0276310418522248</c:v>
                </c:pt>
                <c:pt idx="106">
                  <c:v>0.93118502552827509</c:v>
                </c:pt>
                <c:pt idx="107">
                  <c:v>0.88358250714099185</c:v>
                </c:pt>
                <c:pt idx="108">
                  <c:v>0.94821871143969949</c:v>
                </c:pt>
                <c:pt idx="109">
                  <c:v>0.91809012345902896</c:v>
                </c:pt>
                <c:pt idx="110">
                  <c:v>0.8792127831586839</c:v>
                </c:pt>
                <c:pt idx="111">
                  <c:v>0.93191304041049838</c:v>
                </c:pt>
                <c:pt idx="112">
                  <c:v>0.91598978054772762</c:v>
                </c:pt>
                <c:pt idx="113">
                  <c:v>0.87918460174865343</c:v>
                </c:pt>
                <c:pt idx="114">
                  <c:v>0.82992534633770765</c:v>
                </c:pt>
                <c:pt idx="115">
                  <c:v>0.8027079873024906</c:v>
                </c:pt>
                <c:pt idx="116">
                  <c:v>0.77961732433622899</c:v>
                </c:pt>
                <c:pt idx="117">
                  <c:v>0.8380723235918438</c:v>
                </c:pt>
                <c:pt idx="118">
                  <c:v>0.75473606242889291</c:v>
                </c:pt>
                <c:pt idx="119">
                  <c:v>0.75310764700254096</c:v>
                </c:pt>
                <c:pt idx="120">
                  <c:v>0.89702036906845617</c:v>
                </c:pt>
                <c:pt idx="121">
                  <c:v>0.92507728450282778</c:v>
                </c:pt>
                <c:pt idx="122">
                  <c:v>0.94448152446058942</c:v>
                </c:pt>
                <c:pt idx="123">
                  <c:v>0.81720396020875219</c:v>
                </c:pt>
                <c:pt idx="124">
                  <c:v>0.85024875720978144</c:v>
                </c:pt>
                <c:pt idx="125">
                  <c:v>0.81474679904738601</c:v>
                </c:pt>
                <c:pt idx="126">
                  <c:v>0.84718744438097515</c:v>
                </c:pt>
                <c:pt idx="127">
                  <c:v>0.82977506040642202</c:v>
                </c:pt>
                <c:pt idx="128">
                  <c:v>0.84135887725601255</c:v>
                </c:pt>
                <c:pt idx="129">
                  <c:v>0.80162937520025979</c:v>
                </c:pt>
                <c:pt idx="130">
                  <c:v>0.80702470185353414</c:v>
                </c:pt>
                <c:pt idx="131">
                  <c:v>0.74987515199813781</c:v>
                </c:pt>
                <c:pt idx="132">
                  <c:v>0.58591894842297876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19-8046-A8EF-29CFAFE700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581680"/>
        <c:axId val="682573616"/>
      </c:lineChart>
      <c:catAx>
        <c:axId val="56238144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647200"/>
        <c:crosses val="autoZero"/>
        <c:auto val="1"/>
        <c:lblAlgn val="ctr"/>
        <c:lblOffset val="100"/>
        <c:noMultiLvlLbl val="0"/>
      </c:catAx>
      <c:valAx>
        <c:axId val="383647200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38144"/>
        <c:crosses val="autoZero"/>
        <c:crossBetween val="between"/>
      </c:valAx>
      <c:valAx>
        <c:axId val="682573616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81680"/>
        <c:crosses val="max"/>
        <c:crossBetween val="between"/>
      </c:valAx>
      <c:catAx>
        <c:axId val="26581680"/>
        <c:scaling>
          <c:orientation val="minMax"/>
        </c:scaling>
        <c:delete val="1"/>
        <c:axPos val="b"/>
        <c:majorTickMark val="out"/>
        <c:minorTickMark val="none"/>
        <c:tickLblPos val="nextTo"/>
        <c:crossAx val="6825736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12M Rolling Alpha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Formulas!$AH$6</c:f>
              <c:strCache>
                <c:ptCount val="1"/>
                <c:pt idx="0">
                  <c:v>Alpha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Formulas!$AH$7:$AH$139</c:f>
              <c:numCache>
                <c:formatCode>0.00%</c:formatCode>
                <c:ptCount val="133"/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-5.8289328858154521E-2</c:v>
                </c:pt>
                <c:pt idx="13">
                  <c:v>-5.1019119550890446E-2</c:v>
                </c:pt>
                <c:pt idx="14">
                  <c:v>-5.6789670237038736E-2</c:v>
                </c:pt>
                <c:pt idx="15">
                  <c:v>-6.0240266894829642E-2</c:v>
                </c:pt>
                <c:pt idx="16">
                  <c:v>-5.973374849748847E-2</c:v>
                </c:pt>
                <c:pt idx="17">
                  <c:v>-5.668632593934253E-2</c:v>
                </c:pt>
                <c:pt idx="18">
                  <c:v>-8.9323942566579717E-2</c:v>
                </c:pt>
                <c:pt idx="19">
                  <c:v>-6.8625072813814136E-2</c:v>
                </c:pt>
                <c:pt idx="20">
                  <c:v>-5.148433715276568E-2</c:v>
                </c:pt>
                <c:pt idx="21">
                  <c:v>-2.1921561850175242E-2</c:v>
                </c:pt>
                <c:pt idx="22">
                  <c:v>7.3108039133391589E-3</c:v>
                </c:pt>
                <c:pt idx="23">
                  <c:v>5.7289422239596766E-2</c:v>
                </c:pt>
                <c:pt idx="24">
                  <c:v>5.5215003432957044E-2</c:v>
                </c:pt>
                <c:pt idx="25">
                  <c:v>7.9196893503039378E-2</c:v>
                </c:pt>
                <c:pt idx="26">
                  <c:v>9.5699267667037402E-2</c:v>
                </c:pt>
                <c:pt idx="27">
                  <c:v>6.0506887316671421E-2</c:v>
                </c:pt>
                <c:pt idx="28">
                  <c:v>2.653098548737165E-2</c:v>
                </c:pt>
                <c:pt idx="29">
                  <c:v>8.0194476493717914E-3</c:v>
                </c:pt>
                <c:pt idx="30">
                  <c:v>6.4214377242489684E-2</c:v>
                </c:pt>
                <c:pt idx="31">
                  <c:v>5.8634877293795906E-2</c:v>
                </c:pt>
                <c:pt idx="32">
                  <c:v>6.0154883159631023E-3</c:v>
                </c:pt>
                <c:pt idx="33">
                  <c:v>-6.5453861642844613E-3</c:v>
                </c:pt>
                <c:pt idx="34">
                  <c:v>-0.13180898983900902</c:v>
                </c:pt>
                <c:pt idx="35">
                  <c:v>-3.924433689739526E-2</c:v>
                </c:pt>
                <c:pt idx="36">
                  <c:v>-8.7461551727719966E-3</c:v>
                </c:pt>
                <c:pt idx="37">
                  <c:v>-2.8454451808292425E-2</c:v>
                </c:pt>
                <c:pt idx="38">
                  <c:v>-2.8305861049891079E-2</c:v>
                </c:pt>
                <c:pt idx="39">
                  <c:v>-3.27624351372926E-2</c:v>
                </c:pt>
                <c:pt idx="40">
                  <c:v>-2.2431196042425716E-2</c:v>
                </c:pt>
                <c:pt idx="41">
                  <c:v>-2.269820760114416E-2</c:v>
                </c:pt>
                <c:pt idx="42">
                  <c:v>-2.1895195961782576E-2</c:v>
                </c:pt>
                <c:pt idx="43">
                  <c:v>-1.6296642732922417E-2</c:v>
                </c:pt>
                <c:pt idx="44">
                  <c:v>-9.5752978167278346E-3</c:v>
                </c:pt>
                <c:pt idx="45">
                  <c:v>-3.0346342553350558E-2</c:v>
                </c:pt>
                <c:pt idx="46">
                  <c:v>-3.8244591757760071E-3</c:v>
                </c:pt>
                <c:pt idx="47">
                  <c:v>6.6965005849215498E-3</c:v>
                </c:pt>
                <c:pt idx="48">
                  <c:v>-2.5669501924360127E-2</c:v>
                </c:pt>
                <c:pt idx="49">
                  <c:v>-2.0909625605471605E-2</c:v>
                </c:pt>
                <c:pt idx="50">
                  <c:v>-3.4140456821415643E-2</c:v>
                </c:pt>
                <c:pt idx="51">
                  <c:v>-4.7913557017265407E-2</c:v>
                </c:pt>
                <c:pt idx="52">
                  <c:v>-4.7230973555324351E-2</c:v>
                </c:pt>
                <c:pt idx="53">
                  <c:v>-3.7914511142412288E-2</c:v>
                </c:pt>
                <c:pt idx="54">
                  <c:v>-5.8725927391498844E-2</c:v>
                </c:pt>
                <c:pt idx="55">
                  <c:v>-5.9010712407299826E-2</c:v>
                </c:pt>
                <c:pt idx="56">
                  <c:v>-7.6576211406700678E-2</c:v>
                </c:pt>
                <c:pt idx="57">
                  <c:v>-6.033516461943822E-2</c:v>
                </c:pt>
                <c:pt idx="58">
                  <c:v>-8.0783855469465649E-2</c:v>
                </c:pt>
                <c:pt idx="59">
                  <c:v>-8.612317431782357E-2</c:v>
                </c:pt>
                <c:pt idx="60">
                  <c:v>-8.4331846468572169E-2</c:v>
                </c:pt>
                <c:pt idx="61">
                  <c:v>-0.11340672922924799</c:v>
                </c:pt>
                <c:pt idx="62">
                  <c:v>-8.5514340402116917E-2</c:v>
                </c:pt>
                <c:pt idx="63">
                  <c:v>-0.11033819370116693</c:v>
                </c:pt>
                <c:pt idx="64">
                  <c:v>-0.12585115675369984</c:v>
                </c:pt>
                <c:pt idx="65">
                  <c:v>-0.1552543804035823</c:v>
                </c:pt>
                <c:pt idx="66">
                  <c:v>-0.13631029679510176</c:v>
                </c:pt>
                <c:pt idx="67">
                  <c:v>-0.17488990270654825</c:v>
                </c:pt>
                <c:pt idx="68">
                  <c:v>-0.17692948912938022</c:v>
                </c:pt>
                <c:pt idx="69">
                  <c:v>-0.16702493859949019</c:v>
                </c:pt>
                <c:pt idx="70">
                  <c:v>-0.15281219557818682</c:v>
                </c:pt>
                <c:pt idx="71">
                  <c:v>-0.11900102475549224</c:v>
                </c:pt>
                <c:pt idx="72">
                  <c:v>-0.1215376283466777</c:v>
                </c:pt>
                <c:pt idx="73">
                  <c:v>-8.049610299704979E-2</c:v>
                </c:pt>
                <c:pt idx="74">
                  <c:v>-4.8711272914962023E-2</c:v>
                </c:pt>
                <c:pt idx="75">
                  <c:v>8.3942780840325693E-2</c:v>
                </c:pt>
                <c:pt idx="76">
                  <c:v>7.1305488586592247E-2</c:v>
                </c:pt>
                <c:pt idx="77">
                  <c:v>0.12149807304071225</c:v>
                </c:pt>
                <c:pt idx="78">
                  <c:v>9.2419553743077643E-2</c:v>
                </c:pt>
                <c:pt idx="79">
                  <c:v>7.1123739273439401E-2</c:v>
                </c:pt>
                <c:pt idx="80">
                  <c:v>6.7175765582641267E-2</c:v>
                </c:pt>
                <c:pt idx="81">
                  <c:v>8.0354589431641088E-2</c:v>
                </c:pt>
                <c:pt idx="82">
                  <c:v>5.1494575167102097E-2</c:v>
                </c:pt>
                <c:pt idx="83">
                  <c:v>4.191077473325544E-2</c:v>
                </c:pt>
                <c:pt idx="84">
                  <c:v>4.5308375899814513E-2</c:v>
                </c:pt>
                <c:pt idx="85">
                  <c:v>0.16446176548767566</c:v>
                </c:pt>
                <c:pt idx="86">
                  <c:v>8.7733078505617845E-2</c:v>
                </c:pt>
                <c:pt idx="87">
                  <c:v>5.569871898270029E-2</c:v>
                </c:pt>
                <c:pt idx="88">
                  <c:v>5.8847321419903675E-3</c:v>
                </c:pt>
                <c:pt idx="89">
                  <c:v>1.9641818935262512E-2</c:v>
                </c:pt>
                <c:pt idx="90">
                  <c:v>9.0246010465440119E-3</c:v>
                </c:pt>
                <c:pt idx="91">
                  <c:v>1.3568178066619474E-2</c:v>
                </c:pt>
                <c:pt idx="92">
                  <c:v>1.0225256687826256E-2</c:v>
                </c:pt>
                <c:pt idx="93">
                  <c:v>-8.7244787787323919E-3</c:v>
                </c:pt>
                <c:pt idx="94">
                  <c:v>7.0998633936271149E-2</c:v>
                </c:pt>
                <c:pt idx="95">
                  <c:v>0.12170889264266127</c:v>
                </c:pt>
                <c:pt idx="96">
                  <c:v>0.11255483612879691</c:v>
                </c:pt>
                <c:pt idx="97">
                  <c:v>6.1285036141380367E-2</c:v>
                </c:pt>
                <c:pt idx="98">
                  <c:v>4.0248502803280184E-2</c:v>
                </c:pt>
                <c:pt idx="99">
                  <c:v>6.8219098197668249E-3</c:v>
                </c:pt>
                <c:pt idx="100">
                  <c:v>-3.5237385436888147E-3</c:v>
                </c:pt>
                <c:pt idx="101">
                  <c:v>-7.134616826636242E-2</c:v>
                </c:pt>
                <c:pt idx="102">
                  <c:v>-5.0868419570171519E-2</c:v>
                </c:pt>
                <c:pt idx="103">
                  <c:v>-1.0168016499120025E-2</c:v>
                </c:pt>
                <c:pt idx="104">
                  <c:v>-4.0216359579921535E-2</c:v>
                </c:pt>
                <c:pt idx="105">
                  <c:v>-9.3969228667815097E-3</c:v>
                </c:pt>
                <c:pt idx="106">
                  <c:v>-4.2650248066183893E-2</c:v>
                </c:pt>
                <c:pt idx="107">
                  <c:v>-5.6397626113489752E-2</c:v>
                </c:pt>
                <c:pt idx="108">
                  <c:v>-5.8159125044223825E-2</c:v>
                </c:pt>
                <c:pt idx="109">
                  <c:v>-7.2690354644198596E-2</c:v>
                </c:pt>
                <c:pt idx="110">
                  <c:v>-7.3734774135871262E-2</c:v>
                </c:pt>
                <c:pt idx="111">
                  <c:v>-1.5412935546709083E-2</c:v>
                </c:pt>
                <c:pt idx="112">
                  <c:v>-4.7676086558597897E-3</c:v>
                </c:pt>
                <c:pt idx="113">
                  <c:v>2.1051806181169974E-2</c:v>
                </c:pt>
                <c:pt idx="114">
                  <c:v>-8.9199739301830672E-3</c:v>
                </c:pt>
                <c:pt idx="115">
                  <c:v>8.0100469738320079E-3</c:v>
                </c:pt>
                <c:pt idx="116">
                  <c:v>2.5199914208740903E-2</c:v>
                </c:pt>
                <c:pt idx="117">
                  <c:v>-1.5378869488261837E-2</c:v>
                </c:pt>
                <c:pt idx="118">
                  <c:v>3.4905559079593917E-2</c:v>
                </c:pt>
                <c:pt idx="119">
                  <c:v>3.8015638361757365E-2</c:v>
                </c:pt>
                <c:pt idx="120">
                  <c:v>-6.2721453468520316E-2</c:v>
                </c:pt>
                <c:pt idx="121">
                  <c:v>-2.070928830907981E-2</c:v>
                </c:pt>
                <c:pt idx="122">
                  <c:v>1.8501048896957695E-2</c:v>
                </c:pt>
                <c:pt idx="123">
                  <c:v>2.5943759965584734E-2</c:v>
                </c:pt>
                <c:pt idx="124">
                  <c:v>-7.0557682654349696E-3</c:v>
                </c:pt>
                <c:pt idx="125">
                  <c:v>-9.3264413823571646E-3</c:v>
                </c:pt>
                <c:pt idx="126">
                  <c:v>8.3456082868023085E-3</c:v>
                </c:pt>
                <c:pt idx="127">
                  <c:v>-5.1861484803127911E-2</c:v>
                </c:pt>
                <c:pt idx="128">
                  <c:v>-2.9976852396473186E-2</c:v>
                </c:pt>
                <c:pt idx="129">
                  <c:v>-4.271901808913614E-2</c:v>
                </c:pt>
                <c:pt idx="130">
                  <c:v>-7.1763182436890394E-2</c:v>
                </c:pt>
                <c:pt idx="131">
                  <c:v>-5.8825881943191605E-2</c:v>
                </c:pt>
                <c:pt idx="132">
                  <c:v>2.9938961620177507E-2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9C-6949-9685-A9B39191BD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238144"/>
        <c:axId val="383647200"/>
      </c:lineChart>
      <c:catAx>
        <c:axId val="56238144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647200"/>
        <c:crosses val="autoZero"/>
        <c:auto val="1"/>
        <c:lblAlgn val="ctr"/>
        <c:lblOffset val="100"/>
        <c:noMultiLvlLbl val="0"/>
      </c:catAx>
      <c:valAx>
        <c:axId val="383647200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38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7</xdr:col>
      <xdr:colOff>533400</xdr:colOff>
      <xdr:row>2</xdr:row>
      <xdr:rowOff>2743200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B62C364-7ACF-8146-9EF6-F4327838AD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</xdr:row>
      <xdr:rowOff>0</xdr:rowOff>
    </xdr:from>
    <xdr:to>
      <xdr:col>14</xdr:col>
      <xdr:colOff>533400</xdr:colOff>
      <xdr:row>2</xdr:row>
      <xdr:rowOff>2743200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E207DD6-0679-D54E-9F03-B0FF4906C9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2</xdr:row>
      <xdr:rowOff>0</xdr:rowOff>
    </xdr:from>
    <xdr:to>
      <xdr:col>21</xdr:col>
      <xdr:colOff>533400</xdr:colOff>
      <xdr:row>2</xdr:row>
      <xdr:rowOff>2743200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BBB814F-D131-2347-BC3F-F6BEA27DA5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0</xdr:colOff>
      <xdr:row>2</xdr:row>
      <xdr:rowOff>0</xdr:rowOff>
    </xdr:from>
    <xdr:to>
      <xdr:col>28</xdr:col>
      <xdr:colOff>533400</xdr:colOff>
      <xdr:row>2</xdr:row>
      <xdr:rowOff>2743200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3AB1DED-04C8-DE4C-8534-64D4FA0177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39"/>
  <sheetViews>
    <sheetView tabSelected="1" workbookViewId="0">
      <pane ySplit="6" topLeftCell="A7" activePane="bottomLeft" state="frozen"/>
      <selection pane="bottomLeft" activeCell="B4" sqref="B4"/>
    </sheetView>
  </sheetViews>
  <sheetFormatPr baseColWidth="10" defaultColWidth="8.83203125" defaultRowHeight="12" x14ac:dyDescent="0.15"/>
  <cols>
    <col min="1" max="1" width="4" style="2" customWidth="1"/>
    <col min="2" max="4" width="8.83203125" style="1"/>
    <col min="5" max="5" width="8.83203125" style="2"/>
    <col min="6" max="8" width="8.83203125" style="1"/>
    <col min="9" max="9" width="8.83203125" style="2"/>
    <col min="10" max="11" width="8.83203125" style="4"/>
    <col min="12" max="12" width="8.83203125" style="2"/>
    <col min="13" max="15" width="8.83203125" style="1"/>
    <col min="16" max="17" width="8.83203125" style="2"/>
    <col min="18" max="20" width="8.83203125" style="1"/>
    <col min="21" max="21" width="8.83203125" style="2"/>
    <col min="22" max="31" width="8.83203125" style="1"/>
    <col min="32" max="32" width="8.83203125" style="4"/>
    <col min="33" max="33" width="8.83203125" style="2"/>
    <col min="34" max="35" width="8.83203125" style="1"/>
    <col min="36" max="38" width="8.83203125" style="2"/>
    <col min="39" max="39" width="8.83203125" style="1"/>
    <col min="40" max="41" width="8.83203125" style="2"/>
    <col min="42" max="42" width="8.83203125" style="1"/>
    <col min="43" max="16384" width="8.83203125" style="2"/>
  </cols>
  <sheetData>
    <row r="1" spans="1:42" s="17" customFormat="1" ht="15" x14ac:dyDescent="0.2">
      <c r="B1" s="20" t="s">
        <v>2</v>
      </c>
      <c r="C1" s="21" t="str">
        <f>Data!G1</f>
        <v>DOXGX</v>
      </c>
      <c r="D1" s="20"/>
      <c r="E1" s="22" t="s">
        <v>527</v>
      </c>
      <c r="F1" s="23">
        <v>42005</v>
      </c>
      <c r="G1" s="18"/>
      <c r="H1" s="18"/>
      <c r="J1" s="19"/>
      <c r="K1" s="19"/>
      <c r="M1" s="18"/>
      <c r="N1" s="18"/>
      <c r="O1" s="18"/>
      <c r="R1" s="18"/>
      <c r="S1" s="18"/>
      <c r="T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9"/>
      <c r="AH1" s="18"/>
      <c r="AI1" s="18"/>
      <c r="AM1" s="18"/>
      <c r="AP1" s="18"/>
    </row>
    <row r="2" spans="1:42" s="17" customFormat="1" ht="15" x14ac:dyDescent="0.2">
      <c r="B2" s="20" t="s">
        <v>3</v>
      </c>
      <c r="C2" s="24" t="s">
        <v>31</v>
      </c>
      <c r="D2" s="20"/>
      <c r="E2" s="22" t="s">
        <v>528</v>
      </c>
      <c r="F2" s="23">
        <v>46022</v>
      </c>
      <c r="G2" s="25">
        <f>ROUNDUP((YEARFRAC($F$1, $F$2, 1) * 12),0)</f>
        <v>132</v>
      </c>
      <c r="H2" s="18"/>
      <c r="J2" s="19"/>
      <c r="K2" s="19"/>
      <c r="M2" s="18"/>
      <c r="N2" s="18"/>
      <c r="O2" s="18"/>
      <c r="R2" s="18"/>
      <c r="S2" s="18"/>
      <c r="T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9"/>
      <c r="AH2" s="18"/>
      <c r="AI2" s="18"/>
      <c r="AM2" s="18"/>
      <c r="AP2" s="18"/>
    </row>
    <row r="3" spans="1:42" s="17" customFormat="1" ht="233" customHeight="1" x14ac:dyDescent="0.15">
      <c r="B3" s="18"/>
      <c r="C3" s="18"/>
      <c r="D3" s="18"/>
      <c r="F3" s="18"/>
      <c r="G3" s="18"/>
      <c r="H3" s="18"/>
      <c r="J3" s="19"/>
      <c r="K3" s="19"/>
      <c r="M3" s="18"/>
      <c r="N3" s="18"/>
      <c r="O3" s="18"/>
      <c r="R3" s="18"/>
      <c r="S3" s="18"/>
      <c r="T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9"/>
      <c r="AH3" s="18"/>
      <c r="AI3" s="18"/>
      <c r="AM3" s="18"/>
      <c r="AP3" s="18"/>
    </row>
    <row r="4" spans="1:42" s="6" customFormat="1" x14ac:dyDescent="0.15">
      <c r="B4" s="9" t="s">
        <v>7</v>
      </c>
      <c r="C4" s="9"/>
      <c r="D4" s="9"/>
      <c r="F4" s="9" t="s">
        <v>8</v>
      </c>
      <c r="G4" s="9"/>
      <c r="H4" s="9"/>
      <c r="J4" s="10" t="s">
        <v>0</v>
      </c>
      <c r="K4" s="10"/>
      <c r="M4" s="9" t="s">
        <v>1</v>
      </c>
      <c r="N4" s="9"/>
      <c r="O4" s="9"/>
      <c r="P4" s="11" t="s">
        <v>5</v>
      </c>
      <c r="R4" s="9"/>
      <c r="S4" s="9"/>
      <c r="T4" s="9"/>
      <c r="V4" s="9" t="s">
        <v>13</v>
      </c>
      <c r="W4" s="9"/>
      <c r="X4" s="9"/>
      <c r="Y4" s="9"/>
      <c r="Z4" s="9" t="s">
        <v>18</v>
      </c>
      <c r="AA4" s="9"/>
      <c r="AB4" s="9"/>
      <c r="AC4" s="9"/>
      <c r="AD4" s="9" t="s">
        <v>20</v>
      </c>
      <c r="AE4" s="9"/>
      <c r="AF4" s="10" t="s">
        <v>19</v>
      </c>
      <c r="AH4" s="9" t="s">
        <v>21</v>
      </c>
      <c r="AI4" s="9"/>
      <c r="AM4" s="9"/>
      <c r="AP4" s="9"/>
    </row>
    <row r="5" spans="1:42" s="6" customFormat="1" x14ac:dyDescent="0.15">
      <c r="B5" s="9" t="str">
        <f>$C$1</f>
        <v>DOXGX</v>
      </c>
      <c r="C5" s="9" t="str">
        <f>$C$2</f>
        <v>VFIAX</v>
      </c>
      <c r="D5" s="9"/>
      <c r="F5" s="9" t="str">
        <f>$C$1</f>
        <v>DOXGX</v>
      </c>
      <c r="G5" s="9" t="str">
        <f>$C$2</f>
        <v>VFIAX</v>
      </c>
      <c r="H5" s="9"/>
      <c r="J5" s="9" t="str">
        <f>$C$1</f>
        <v>DOXGX</v>
      </c>
      <c r="K5" s="9" t="str">
        <f>$C$2</f>
        <v>VFIAX</v>
      </c>
      <c r="M5" s="9" t="str">
        <f>$C$1</f>
        <v>DOXGX</v>
      </c>
      <c r="N5" s="9" t="str">
        <f>$C$2</f>
        <v>VFIAX</v>
      </c>
      <c r="O5" s="9"/>
      <c r="P5" s="11"/>
      <c r="R5" s="9"/>
      <c r="S5" s="9"/>
      <c r="T5" s="9"/>
      <c r="V5" s="9" t="str">
        <f>$C$1</f>
        <v>DOXGX</v>
      </c>
      <c r="W5" s="9" t="str">
        <f>$C$2</f>
        <v>VFIAX</v>
      </c>
      <c r="X5" s="9"/>
      <c r="Y5" s="9"/>
      <c r="Z5" s="9" t="str">
        <f>$C$1</f>
        <v>DOXGX</v>
      </c>
      <c r="AA5" s="9" t="str">
        <f>$C$2</f>
        <v>VFIAX</v>
      </c>
      <c r="AB5" s="9"/>
      <c r="AC5" s="9"/>
      <c r="AD5" s="9"/>
      <c r="AE5" s="9"/>
      <c r="AF5" s="10"/>
      <c r="AH5" s="9"/>
      <c r="AI5" s="9"/>
      <c r="AM5" s="9"/>
      <c r="AP5" s="9"/>
    </row>
    <row r="6" spans="1:42" x14ac:dyDescent="0.15">
      <c r="A6" s="2" t="s">
        <v>10</v>
      </c>
      <c r="B6" s="1" t="s">
        <v>2</v>
      </c>
      <c r="C6" s="1" t="s">
        <v>3</v>
      </c>
      <c r="D6" s="1" t="s">
        <v>12</v>
      </c>
      <c r="F6" s="1" t="s">
        <v>2</v>
      </c>
      <c r="G6" s="1" t="s">
        <v>3</v>
      </c>
      <c r="H6" s="1" t="s">
        <v>12</v>
      </c>
      <c r="I6" s="1"/>
      <c r="J6" s="5" t="s">
        <v>2</v>
      </c>
      <c r="K6" s="5" t="s">
        <v>3</v>
      </c>
      <c r="M6" s="1" t="s">
        <v>2</v>
      </c>
      <c r="N6" s="1" t="s">
        <v>3</v>
      </c>
      <c r="R6" s="1" t="s">
        <v>2</v>
      </c>
      <c r="S6" s="1" t="s">
        <v>3</v>
      </c>
      <c r="T6" s="1" t="s">
        <v>12</v>
      </c>
      <c r="Z6" s="1" t="s">
        <v>14</v>
      </c>
      <c r="AA6" s="8">
        <v>12</v>
      </c>
      <c r="AH6" s="1" t="s">
        <v>22</v>
      </c>
      <c r="AI6" s="1" t="s">
        <v>23</v>
      </c>
    </row>
    <row r="7" spans="1:42" x14ac:dyDescent="0.15">
      <c r="A7" s="2" cm="1">
        <f t="array" ref="A7:A139">_xlfn.SEQUENCE(COUNT($B:$B)+1,,0)</f>
        <v>0</v>
      </c>
      <c r="J7" s="4" cm="1">
        <f t="array" ref="J7:J139">VAMI(_xlfn.ANCHORARRAY(F$8))</f>
        <v>1000</v>
      </c>
      <c r="K7" s="4" cm="1">
        <f t="array" ref="K7:K139">VAMI(_xlfn.ANCHORARRAY(G$8))</f>
        <v>1000</v>
      </c>
      <c r="M7" s="1" cm="1">
        <f t="array" ref="M7:M139">Underwater(_xlfn.ANCHORARRAY(F$8))</f>
        <v>0</v>
      </c>
      <c r="N7" s="1" cm="1">
        <f t="array" ref="N7:N139">Underwater(_xlfn.ANCHORARRAY(G$8))</f>
        <v>0</v>
      </c>
      <c r="P7" s="6" t="s">
        <v>13</v>
      </c>
      <c r="R7" s="9" t="str">
        <f>$C$1</f>
        <v>DOXGX</v>
      </c>
      <c r="S7" s="9" t="str">
        <f>$C$2</f>
        <v>VFIAX</v>
      </c>
    </row>
    <row r="8" spans="1:42" x14ac:dyDescent="0.15">
      <c r="A8" s="2">
        <v>1</v>
      </c>
      <c r="B8" s="1">
        <v>-5.4603438516812368E-2</v>
      </c>
      <c r="C8" s="1">
        <v>-3.0017362507574589E-2</v>
      </c>
      <c r="D8" s="1">
        <v>1.5E-5</v>
      </c>
      <c r="F8" s="1" cm="1">
        <f t="array" ref="F8:F139">B$8:B$139</f>
        <v>-5.4603438516812368E-2</v>
      </c>
      <c r="G8" s="1" cm="1">
        <f t="array" ref="G8:G139">C$8:C$139</f>
        <v>-3.0017362507574589E-2</v>
      </c>
      <c r="H8" s="1" cm="1">
        <f t="array" ref="H8:H139">D$8:D$139</f>
        <v>1.5E-5</v>
      </c>
      <c r="J8" s="4">
        <v>945.39656148318761</v>
      </c>
      <c r="K8" s="4">
        <v>969.9826374924254</v>
      </c>
      <c r="M8" s="1">
        <v>-5.4603438516812375E-2</v>
      </c>
      <c r="N8" s="1">
        <v>-3.0017362507574585E-2</v>
      </c>
      <c r="P8" s="2" t="s">
        <v>14</v>
      </c>
      <c r="Q8" s="2">
        <v>3</v>
      </c>
      <c r="R8" s="1" cm="1">
        <f t="array" ref="R8:T13">_xlfn.CHOOSEROWS(_xlfn.HSTACK(_xlfn.ANCHORARRAY(V8),_xlfn.ANCHORARRAY(W8),_xlfn.ANCHORARRAY(X8)),$Q$8:$Q$13)</f>
        <v>2.4271196662307037E-2</v>
      </c>
      <c r="S8" s="1">
        <v>2.6508603972590805E-2</v>
      </c>
      <c r="T8" s="1">
        <v>4.5000675003681323E-5</v>
      </c>
      <c r="U8" s="3"/>
      <c r="V8" s="1" cm="1">
        <f t="array" ref="V8:V139">Trailing(_xlfn.ANCHORARRAY(F$8), Returns)</f>
        <v>1.7694046045920508E-2</v>
      </c>
      <c r="W8" s="1" cm="1">
        <f t="array" ref="W8:W139">Trailing(_xlfn.ANCHORARRAY(G$8), Returns)</f>
        <v>5.8379473558356487E-4</v>
      </c>
      <c r="X8" s="1" cm="1">
        <f t="array" ref="X8:X139">Trailing(_xlfn.ANCHORARRAY(H$8), Returns)</f>
        <v>1.5000000000098268E-5</v>
      </c>
      <c r="Z8" s="1" t="e" cm="1">
        <f t="array" ref="Z8:Z139">Rolling(_xlfn.ANCHORARRAY(F$8),$AA$6,Returns)</f>
        <v>#N/A</v>
      </c>
      <c r="AA8" s="1" t="e" cm="1">
        <f t="array" ref="AA8:AA139">Rolling(_xlfn.ANCHORARRAY(G$8),$AA$6,Returns)</f>
        <v>#N/A</v>
      </c>
      <c r="AB8" s="1" t="e" cm="1">
        <f t="array" ref="AB8:AB139">Rolling(_xlfn.ANCHORARRAY(H$8),$AA$6,Returns)</f>
        <v>#N/A</v>
      </c>
      <c r="AD8" s="1" t="e" cm="1">
        <f t="array" ref="AD8:AD139">Rolling(_xlfn.ANCHORARRAY($F$8),$AA$6,_xleta.STDEV)*SQRT(12)</f>
        <v>#N/A</v>
      </c>
      <c r="AF8" s="5" t="e" cm="1">
        <f t="array" ref="AF8:AF139">Rolling(_xlfn.HSTACK(_xlfn.ANCHORARRAY($F$8),_xlfn.ANCHORARRAY($G$8)),$AA$6,Beta)</f>
        <v>#N/A</v>
      </c>
      <c r="AH8" s="1" t="e" cm="1">
        <f t="array" ref="AH8:AH139">Rolling(_xlfn.HSTACK(_xlfn.ANCHORARRAY($F$8),_xlfn.ANCHORARRAY($G$8)),$AA$6,Alpha)</f>
        <v>#N/A</v>
      </c>
      <c r="AI8" s="1" t="e" cm="1">
        <f t="array" ref="AI8:AI139">Rolling(_xlfn.HSTACK(_xlfn.ANCHORARRAY($F$8)-_xlfn.ANCHORARRAY($H$8),_xlfn.ANCHORARRAY($G$8)-_xlfn.ANCHORARRAY($H$8)),$AA$6,Alpha)</f>
        <v>#N/A</v>
      </c>
      <c r="AK8" s="2" t="s">
        <v>24</v>
      </c>
    </row>
    <row r="9" spans="1:42" x14ac:dyDescent="0.15">
      <c r="A9" s="2">
        <v>2</v>
      </c>
      <c r="B9" s="1">
        <v>6.2957684578428763E-2</v>
      </c>
      <c r="C9" s="1">
        <v>5.7440695427648743E-2</v>
      </c>
      <c r="D9" s="1">
        <v>1.5E-5</v>
      </c>
      <c r="F9" s="1">
        <v>6.2957684578428763E-2</v>
      </c>
      <c r="G9" s="1">
        <v>5.7440695427648743E-2</v>
      </c>
      <c r="H9" s="1">
        <v>1.5E-5</v>
      </c>
      <c r="J9" s="4">
        <v>1004.9165400025772</v>
      </c>
      <c r="K9" s="4">
        <v>1025.6991147427352</v>
      </c>
      <c r="M9" s="1">
        <v>0</v>
      </c>
      <c r="N9" s="1">
        <v>0</v>
      </c>
      <c r="Q9" s="2">
        <v>9</v>
      </c>
      <c r="R9" s="1">
        <v>9.3432545705170789E-2</v>
      </c>
      <c r="S9" s="1">
        <v>0.23127858346965824</v>
      </c>
      <c r="T9" s="1">
        <v>1.3500810028443944E-4</v>
      </c>
      <c r="U9" s="3"/>
      <c r="V9" s="1">
        <v>3.0635892422004263E-2</v>
      </c>
      <c r="W9" s="1">
        <v>3.0332811511162294E-3</v>
      </c>
      <c r="X9" s="1">
        <v>3.0000225000215153E-5</v>
      </c>
      <c r="Z9" s="1" t="e">
        <v>#N/A</v>
      </c>
      <c r="AA9" s="1" t="e">
        <v>#N/A</v>
      </c>
      <c r="AB9" s="1" t="e">
        <v>#N/A</v>
      </c>
      <c r="AD9" s="1" t="e">
        <v>#N/A</v>
      </c>
      <c r="AF9" s="4" t="e">
        <v>#N/A</v>
      </c>
      <c r="AH9" s="1" t="e">
        <v>#N/A</v>
      </c>
      <c r="AI9" s="1" t="e">
        <v>#N/A</v>
      </c>
      <c r="AK9" s="2" t="s">
        <v>25</v>
      </c>
      <c r="AL9" s="12">
        <v>0.95</v>
      </c>
      <c r="AM9" s="1">
        <f>AVERAGE(_xlfn.ANCHORARRAY(F$8))-_xlfn.NORM.S.INV($AL$9)*STDEV(_xlfn.ANCHORARRAY(F$8))</f>
        <v>-7.1580331991781571E-2</v>
      </c>
      <c r="AN9" s="1">
        <f>AVERAGE(_xlfn.ANCHORARRAY(G$8))-_xlfn.NORM.S.INV($AL$9)*STDEV(_xlfn.ANCHORARRAY(G$8))</f>
        <v>-5.9635440920646772E-2</v>
      </c>
      <c r="AO9" s="1"/>
    </row>
    <row r="10" spans="1:42" x14ac:dyDescent="0.15">
      <c r="A10" s="2">
        <v>3</v>
      </c>
      <c r="B10" s="1">
        <v>-1.6845317414257321E-2</v>
      </c>
      <c r="C10" s="1">
        <v>-1.575703389265504E-2</v>
      </c>
      <c r="D10" s="1">
        <v>1.5E-5</v>
      </c>
      <c r="F10" s="1">
        <v>-1.6845317414257321E-2</v>
      </c>
      <c r="G10" s="1">
        <v>-1.575703389265504E-2</v>
      </c>
      <c r="H10" s="1">
        <v>1.5E-5</v>
      </c>
      <c r="J10" s="4">
        <v>987.98840191139664</v>
      </c>
      <c r="K10" s="4">
        <v>1009.5371390280677</v>
      </c>
      <c r="M10" s="1">
        <v>-1.6845317414257321E-2</v>
      </c>
      <c r="N10" s="1">
        <v>-1.5757033892655037E-2</v>
      </c>
      <c r="Q10" s="2">
        <v>12</v>
      </c>
      <c r="R10" s="1">
        <v>0.13233478231329632</v>
      </c>
      <c r="S10" s="1">
        <v>0.17869834625721581</v>
      </c>
      <c r="T10" s="1">
        <v>1.800148507435928E-4</v>
      </c>
      <c r="U10" s="3"/>
      <c r="V10" s="1">
        <v>2.4271196662307037E-2</v>
      </c>
      <c r="W10" s="1">
        <v>2.6508603972590805E-2</v>
      </c>
      <c r="X10" s="1">
        <v>4.5000675003681323E-5</v>
      </c>
      <c r="Z10" s="1" t="e">
        <v>#N/A</v>
      </c>
      <c r="AA10" s="1" t="e">
        <v>#N/A</v>
      </c>
      <c r="AB10" s="1" t="e">
        <v>#N/A</v>
      </c>
      <c r="AD10" s="1" t="e">
        <v>#N/A</v>
      </c>
      <c r="AF10" s="4" t="e">
        <v>#N/A</v>
      </c>
      <c r="AH10" s="1" t="e">
        <v>#N/A</v>
      </c>
      <c r="AI10" s="1" t="e">
        <v>#N/A</v>
      </c>
      <c r="AK10" s="2" t="s">
        <v>26</v>
      </c>
      <c r="AL10" s="12">
        <v>0.95</v>
      </c>
      <c r="AM10" s="1">
        <f>AVERAGEIF(_xlfn.ANCHORARRAY(F$8),"&lt;="&amp;AM9)</f>
        <v>-0.10408765544243523</v>
      </c>
      <c r="AN10" s="1">
        <f>AVERAGEIF(_xlfn.ANCHORARRAY(G$8),"&lt;="&amp;AN9)</f>
        <v>-8.3311310009724401E-2</v>
      </c>
      <c r="AO10" s="1"/>
    </row>
    <row r="11" spans="1:42" x14ac:dyDescent="0.15">
      <c r="A11" s="2">
        <v>4</v>
      </c>
      <c r="B11" s="1">
        <v>2.6906745804188281E-2</v>
      </c>
      <c r="C11" s="1">
        <v>9.5432436755158445E-3</v>
      </c>
      <c r="D11" s="1">
        <v>1.5E-5</v>
      </c>
      <c r="F11" s="1">
        <v>2.6906745804188281E-2</v>
      </c>
      <c r="G11" s="1">
        <v>9.5432436755158445E-3</v>
      </c>
      <c r="H11" s="1">
        <v>1.5E-5</v>
      </c>
      <c r="J11" s="4">
        <v>1014.5719546991128</v>
      </c>
      <c r="K11" s="4">
        <v>1019.1713979452957</v>
      </c>
      <c r="M11" s="1">
        <v>0</v>
      </c>
      <c r="N11" s="1">
        <v>-6.3641634311801809E-3</v>
      </c>
      <c r="Q11" s="2">
        <v>36</v>
      </c>
      <c r="R11" s="1">
        <v>0.15005122553555927</v>
      </c>
      <c r="S11" s="1">
        <v>0.22984883190621552</v>
      </c>
      <c r="T11" s="1">
        <v>1.800148507435928E-4</v>
      </c>
      <c r="U11" s="3"/>
      <c r="V11" s="1">
        <v>2.3455604964731647E-2</v>
      </c>
      <c r="W11" s="1">
        <v>6.3958467826380261E-2</v>
      </c>
      <c r="X11" s="1">
        <v>6.0001350013827448E-5</v>
      </c>
      <c r="Z11" s="1" t="e">
        <v>#N/A</v>
      </c>
      <c r="AA11" s="1" t="e">
        <v>#N/A</v>
      </c>
      <c r="AB11" s="1" t="e">
        <v>#N/A</v>
      </c>
      <c r="AD11" s="1" t="e">
        <v>#N/A</v>
      </c>
      <c r="AF11" s="4" t="e">
        <v>#N/A</v>
      </c>
      <c r="AH11" s="1" t="e">
        <v>#N/A</v>
      </c>
      <c r="AI11" s="1" t="e">
        <v>#N/A</v>
      </c>
      <c r="AM11" s="1">
        <f>AVERAGE(_xlfn.ANCHORARRAY(F$8))-_xlfn.NORM.S.DIST(_xlfn.NORM.S.INV($AL$10),FALSE)/(1-$AL$10)*STDEV(_xlfn.ANCHORARRAY(F$8))</f>
        <v>-9.2301180875356117E-2</v>
      </c>
    </row>
    <row r="12" spans="1:42" x14ac:dyDescent="0.15">
      <c r="A12" s="2">
        <v>5</v>
      </c>
      <c r="B12" s="1">
        <v>1.339653513390182E-2</v>
      </c>
      <c r="C12" s="1">
        <v>1.282917590174892E-2</v>
      </c>
      <c r="D12" s="1">
        <v>1.5E-5</v>
      </c>
      <c r="F12" s="1">
        <v>1.339653513390182E-2</v>
      </c>
      <c r="G12" s="1">
        <v>1.282917590174892E-2</v>
      </c>
      <c r="H12" s="1">
        <v>1.5E-5</v>
      </c>
      <c r="J12" s="4">
        <v>1028.1637035361109</v>
      </c>
      <c r="K12" s="4">
        <v>1032.2465270835671</v>
      </c>
      <c r="M12" s="1">
        <v>0</v>
      </c>
      <c r="N12" s="1">
        <v>0</v>
      </c>
      <c r="Q12" s="2">
        <v>60</v>
      </c>
      <c r="R12" s="1">
        <v>0.13182067335223735</v>
      </c>
      <c r="S12" s="1">
        <v>0.14405366977378264</v>
      </c>
      <c r="T12" s="1">
        <v>1.800148507435928E-4</v>
      </c>
      <c r="U12" s="3"/>
      <c r="V12" s="1">
        <v>6.5570864093150716E-2</v>
      </c>
      <c r="W12" s="1">
        <v>8.5555136107528407E-2</v>
      </c>
      <c r="X12" s="1">
        <v>7.5002250034206241E-5</v>
      </c>
      <c r="Z12" s="1" t="e">
        <v>#N/A</v>
      </c>
      <c r="AA12" s="1" t="e">
        <v>#N/A</v>
      </c>
      <c r="AB12" s="1" t="e">
        <v>#N/A</v>
      </c>
      <c r="AD12" s="1" t="e">
        <v>#N/A</v>
      </c>
      <c r="AF12" s="4" t="e">
        <v>#N/A</v>
      </c>
      <c r="AH12" s="1" t="e">
        <v>#N/A</v>
      </c>
      <c r="AI12" s="1" t="e">
        <v>#N/A</v>
      </c>
    </row>
    <row r="13" spans="1:42" x14ac:dyDescent="0.15">
      <c r="A13" s="2">
        <v>6</v>
      </c>
      <c r="B13" s="1">
        <v>-1.44190215634159E-2</v>
      </c>
      <c r="C13" s="1">
        <v>-1.9133330203325419E-2</v>
      </c>
      <c r="D13" s="1">
        <v>1.5E-5</v>
      </c>
      <c r="F13" s="1">
        <v>-1.44190215634159E-2</v>
      </c>
      <c r="G13" s="1">
        <v>-1.9133330203325419E-2</v>
      </c>
      <c r="H13" s="1">
        <v>1.5E-5</v>
      </c>
      <c r="J13" s="4">
        <v>1013.3385889241022</v>
      </c>
      <c r="K13" s="4">
        <v>1012.4962134296413</v>
      </c>
      <c r="M13" s="1">
        <v>-1.4419021563415901E-2</v>
      </c>
      <c r="N13" s="1">
        <v>-1.9133330203325416E-2</v>
      </c>
      <c r="Q13" s="2">
        <f>COUNT(_xlfn.ANCHORARRAY(F$8))</f>
        <v>132</v>
      </c>
      <c r="R13" s="1">
        <v>0.11028802553729622</v>
      </c>
      <c r="S13" s="1">
        <v>0.13508414017547787</v>
      </c>
      <c r="T13" s="1">
        <v>1.8001485074381485E-4</v>
      </c>
      <c r="U13" s="3"/>
      <c r="V13" s="1">
        <v>5.3223815253222506E-2</v>
      </c>
      <c r="W13" s="1">
        <v>0.10983515776962638</v>
      </c>
      <c r="X13" s="1">
        <v>9.0003375068148372E-5</v>
      </c>
      <c r="Z13" s="1" t="e">
        <v>#N/A</v>
      </c>
      <c r="AA13" s="1" t="e">
        <v>#N/A</v>
      </c>
      <c r="AB13" s="1" t="e">
        <v>#N/A</v>
      </c>
      <c r="AD13" s="1" t="e">
        <v>#N/A</v>
      </c>
      <c r="AF13" s="4" t="e">
        <v>#N/A</v>
      </c>
      <c r="AH13" s="1" t="e">
        <v>#N/A</v>
      </c>
      <c r="AI13" s="1" t="e">
        <v>#N/A</v>
      </c>
    </row>
    <row r="14" spans="1:42" x14ac:dyDescent="0.15">
      <c r="A14" s="2">
        <v>7</v>
      </c>
      <c r="B14" s="1">
        <v>1.130384023143738E-2</v>
      </c>
      <c r="C14" s="1">
        <v>2.0907731218627879E-2</v>
      </c>
      <c r="D14" s="1">
        <v>1.5E-5</v>
      </c>
      <c r="F14" s="1">
        <v>1.130384023143738E-2</v>
      </c>
      <c r="G14" s="1">
        <v>2.0907731218627879E-2</v>
      </c>
      <c r="H14" s="1">
        <v>1.5E-5</v>
      </c>
      <c r="J14" s="4">
        <v>1024.7932064336503</v>
      </c>
      <c r="K14" s="4">
        <v>1033.6652121199068</v>
      </c>
      <c r="M14" s="1">
        <v>-3.2781716480251299E-3</v>
      </c>
      <c r="N14" s="1">
        <v>0</v>
      </c>
      <c r="P14" s="2" t="s">
        <v>11</v>
      </c>
      <c r="V14" s="1">
        <v>9.114842354570829E-2</v>
      </c>
      <c r="W14" s="1">
        <v>0.16627087334514012</v>
      </c>
      <c r="X14" s="1">
        <v>1.0500472511876247E-4</v>
      </c>
      <c r="Z14" s="1" t="e">
        <v>#N/A</v>
      </c>
      <c r="AA14" s="1" t="e">
        <v>#N/A</v>
      </c>
      <c r="AB14" s="1" t="e">
        <v>#N/A</v>
      </c>
      <c r="AD14" s="1" t="e">
        <v>#N/A</v>
      </c>
      <c r="AF14" s="4" t="e">
        <v>#N/A</v>
      </c>
      <c r="AH14" s="1" t="e">
        <v>#N/A</v>
      </c>
      <c r="AI14" s="1" t="e">
        <v>#N/A</v>
      </c>
    </row>
    <row r="15" spans="1:42" x14ac:dyDescent="0.15">
      <c r="A15" s="2">
        <v>8</v>
      </c>
      <c r="B15" s="1">
        <v>-6.9528121473435123E-2</v>
      </c>
      <c r="C15" s="1">
        <v>-6.0358114379834737E-2</v>
      </c>
      <c r="D15" s="1">
        <v>1.5E-5</v>
      </c>
      <c r="F15" s="1">
        <v>-6.9528121473435123E-2</v>
      </c>
      <c r="G15" s="1">
        <v>-6.0358114379834737E-2</v>
      </c>
      <c r="H15" s="1">
        <v>1.5E-5</v>
      </c>
      <c r="J15" s="4">
        <v>953.54125989158035</v>
      </c>
      <c r="K15" s="4">
        <v>971.27512901631724</v>
      </c>
      <c r="M15" s="1">
        <v>-7.2578368004905691E-2</v>
      </c>
      <c r="N15" s="1">
        <v>-6.0358114379834737E-2</v>
      </c>
      <c r="V15" s="1">
        <v>0.13275249858563476</v>
      </c>
      <c r="W15" s="1">
        <v>0.23967883321447481</v>
      </c>
      <c r="X15" s="1">
        <v>1.2000630018982328E-4</v>
      </c>
      <c r="Z15" s="1" t="e">
        <v>#N/A</v>
      </c>
      <c r="AA15" s="1" t="e">
        <v>#N/A</v>
      </c>
      <c r="AB15" s="1" t="e">
        <v>#N/A</v>
      </c>
      <c r="AD15" s="1" t="e">
        <v>#N/A</v>
      </c>
      <c r="AF15" s="4" t="e">
        <v>#N/A</v>
      </c>
      <c r="AH15" s="1" t="e">
        <v>#N/A</v>
      </c>
      <c r="AI15" s="1" t="e">
        <v>#N/A</v>
      </c>
    </row>
    <row r="16" spans="1:42" x14ac:dyDescent="0.15">
      <c r="A16" s="2">
        <v>9</v>
      </c>
      <c r="B16" s="1">
        <v>-4.1872396080427247E-2</v>
      </c>
      <c r="C16" s="1">
        <v>-2.4702925390863831E-2</v>
      </c>
      <c r="D16" s="1">
        <v>1.5E-5</v>
      </c>
      <c r="F16" s="1">
        <v>-4.1872396080427247E-2</v>
      </c>
      <c r="G16" s="1">
        <v>-2.4702925390863831E-2</v>
      </c>
      <c r="H16" s="1">
        <v>1.5E-5</v>
      </c>
      <c r="J16" s="4">
        <v>913.61420257837051</v>
      </c>
      <c r="K16" s="4">
        <v>947.28179197022553</v>
      </c>
      <c r="M16" s="1">
        <v>-0.11141173391336046</v>
      </c>
      <c r="N16" s="1">
        <v>-8.3570017774440286E-2</v>
      </c>
      <c r="P16" s="6" t="s">
        <v>6</v>
      </c>
      <c r="V16" s="1">
        <v>9.3432545705170789E-2</v>
      </c>
      <c r="W16" s="1">
        <v>0.23127858346965824</v>
      </c>
      <c r="X16" s="1">
        <v>1.3500810028443944E-4</v>
      </c>
      <c r="Z16" s="1" t="e">
        <v>#N/A</v>
      </c>
      <c r="AA16" s="1" t="e">
        <v>#N/A</v>
      </c>
      <c r="AB16" s="1" t="e">
        <v>#N/A</v>
      </c>
      <c r="AD16" s="1" t="e">
        <v>#N/A</v>
      </c>
      <c r="AF16" s="4" t="e">
        <v>#N/A</v>
      </c>
      <c r="AH16" s="1" t="e">
        <v>#N/A</v>
      </c>
      <c r="AI16" s="1" t="e">
        <v>#N/A</v>
      </c>
    </row>
    <row r="17" spans="1:35" x14ac:dyDescent="0.15">
      <c r="A17" s="2">
        <v>10</v>
      </c>
      <c r="B17" s="1">
        <v>7.9161507888239058E-2</v>
      </c>
      <c r="C17" s="1">
        <v>8.4283662560759698E-2</v>
      </c>
      <c r="D17" s="1">
        <v>1.5E-5</v>
      </c>
      <c r="F17" s="1">
        <v>7.9161507888239058E-2</v>
      </c>
      <c r="G17" s="1">
        <v>8.4283662560759698E-2</v>
      </c>
      <c r="H17" s="1">
        <v>1.5E-5</v>
      </c>
      <c r="J17" s="4">
        <v>985.93728048258538</v>
      </c>
      <c r="K17" s="4">
        <v>1027.1221708745957</v>
      </c>
      <c r="M17" s="1">
        <v>-4.1069746878146351E-2</v>
      </c>
      <c r="N17" s="1">
        <v>-6.3299423919783715E-3</v>
      </c>
      <c r="P17" s="2" t="s">
        <v>16</v>
      </c>
      <c r="R17" s="1" cm="1">
        <f t="array" ref="R17">UpCapture(_xlfn.ANCHORARRAY(F$8),_xlfn.ANCHORARRAY($G$8))</f>
        <v>0.9714806279685817</v>
      </c>
      <c r="S17" s="1" cm="1">
        <f t="array" ref="S17">UpCapture(_xlfn.ANCHORARRAY(G$8),_xlfn.ANCHORARRAY($G$8))</f>
        <v>1</v>
      </c>
      <c r="V17" s="1">
        <v>5.8113177174181629E-2</v>
      </c>
      <c r="W17" s="1">
        <v>0.16194058317038951</v>
      </c>
      <c r="X17" s="1">
        <v>1.5001012540594161E-4</v>
      </c>
      <c r="Z17" s="1" t="e">
        <v>#N/A</v>
      </c>
      <c r="AA17" s="1" t="e">
        <v>#N/A</v>
      </c>
      <c r="AB17" s="1" t="e">
        <v>#N/A</v>
      </c>
      <c r="AD17" s="1" t="e">
        <v>#N/A</v>
      </c>
      <c r="AF17" s="4" t="e">
        <v>#N/A</v>
      </c>
      <c r="AH17" s="1" t="e">
        <v>#N/A</v>
      </c>
      <c r="AI17" s="1" t="e">
        <v>#N/A</v>
      </c>
    </row>
    <row r="18" spans="1:35" x14ac:dyDescent="0.15">
      <c r="A18" s="2">
        <v>11</v>
      </c>
      <c r="B18" s="1">
        <v>-4.908546203648223E-3</v>
      </c>
      <c r="C18" s="1">
        <v>3.019662363455744E-3</v>
      </c>
      <c r="D18" s="1">
        <v>1.5E-5</v>
      </c>
      <c r="F18" s="1">
        <v>-4.908546203648223E-3</v>
      </c>
      <c r="G18" s="1">
        <v>3.019662363455744E-3</v>
      </c>
      <c r="H18" s="1">
        <v>1.5E-5</v>
      </c>
      <c r="J18" s="4">
        <v>981.09776178743732</v>
      </c>
      <c r="K18" s="4">
        <v>1030.2237330366565</v>
      </c>
      <c r="M18" s="1">
        <v>-4.5776700331671027E-2</v>
      </c>
      <c r="N18" s="1">
        <v>-3.329394317326595E-3</v>
      </c>
      <c r="P18" s="2" t="s">
        <v>17</v>
      </c>
      <c r="R18" s="1" cm="1">
        <f t="array" ref="R18">DownCapture(_xlfn.ANCHORARRAY(F$8),_xlfn.ANCHORARRAY($G$8))</f>
        <v>1.0799883597299544</v>
      </c>
      <c r="S18" s="1" cm="1">
        <f t="array" ref="S18">DownCapture(_xlfn.ANCHORARRAY(G$8),_xlfn.ANCHORARRAY($G$8))</f>
        <v>1</v>
      </c>
      <c r="V18" s="1">
        <v>6.6720694069086539E-2</v>
      </c>
      <c r="W18" s="1">
        <v>0.14677589240103739</v>
      </c>
      <c r="X18" s="1">
        <v>1.6501237555788251E-4</v>
      </c>
      <c r="Z18" s="1" t="e">
        <v>#N/A</v>
      </c>
      <c r="AA18" s="1" t="e">
        <v>#N/A</v>
      </c>
      <c r="AB18" s="1" t="e">
        <v>#N/A</v>
      </c>
      <c r="AD18" s="1" t="e">
        <v>#N/A</v>
      </c>
      <c r="AF18" s="4" t="e">
        <v>#N/A</v>
      </c>
      <c r="AH18" s="1" t="e">
        <v>#N/A</v>
      </c>
      <c r="AI18" s="1" t="e">
        <v>#N/A</v>
      </c>
    </row>
    <row r="19" spans="1:35" x14ac:dyDescent="0.15">
      <c r="A19" s="2">
        <v>12</v>
      </c>
      <c r="B19" s="1">
        <v>-2.7047721735211971E-2</v>
      </c>
      <c r="C19" s="1">
        <v>-1.5925244049547319E-2</v>
      </c>
      <c r="D19" s="1">
        <v>1.5E-5</v>
      </c>
      <c r="F19" s="1">
        <v>-2.7047721735211971E-2</v>
      </c>
      <c r="G19" s="1">
        <v>-1.5925244049547319E-2</v>
      </c>
      <c r="H19" s="1">
        <v>1.5E-5</v>
      </c>
      <c r="J19" s="4">
        <v>954.56130253157141</v>
      </c>
      <c r="K19" s="4">
        <v>1013.8171686624121</v>
      </c>
      <c r="M19" s="1">
        <v>-7.1586266614355742E-2</v>
      </c>
      <c r="N19" s="1">
        <v>-1.9201616949833356E-2</v>
      </c>
      <c r="V19" s="1">
        <v>0.13233478231329632</v>
      </c>
      <c r="W19" s="1">
        <v>0.17869834625721581</v>
      </c>
      <c r="X19" s="1">
        <v>1.800148507435928E-4</v>
      </c>
      <c r="Z19" s="1">
        <v>-4.5438697468428435E-2</v>
      </c>
      <c r="AA19" s="1">
        <v>1.3817168662412449E-2</v>
      </c>
      <c r="AB19" s="1">
        <v>1.800148507435928E-4</v>
      </c>
      <c r="AD19" s="1">
        <v>0.1548233933554079</v>
      </c>
      <c r="AF19" s="4">
        <v>1.1029702852627812</v>
      </c>
      <c r="AH19" s="1">
        <v>-5.8289328858154521E-2</v>
      </c>
      <c r="AI19" s="1">
        <v>-5.8271786855881191E-2</v>
      </c>
    </row>
    <row r="20" spans="1:35" x14ac:dyDescent="0.15">
      <c r="A20" s="2">
        <v>13</v>
      </c>
      <c r="B20" s="1">
        <v>-6.8622156242614696E-2</v>
      </c>
      <c r="C20" s="1">
        <v>-4.9660445790130958E-2</v>
      </c>
      <c r="D20" s="1">
        <v>1.5E-5</v>
      </c>
      <c r="F20" s="1">
        <v>-6.8622156242614696E-2</v>
      </c>
      <c r="G20" s="1">
        <v>-4.9660445790130958E-2</v>
      </c>
      <c r="H20" s="1">
        <v>1.5E-5</v>
      </c>
      <c r="J20" s="4">
        <v>889.05724768609616</v>
      </c>
      <c r="K20" s="4">
        <v>963.47055611694827</v>
      </c>
      <c r="M20" s="1">
        <v>-0.13529601888453469</v>
      </c>
      <c r="N20" s="1">
        <v>-6.7908501882344319E-2</v>
      </c>
      <c r="P20" s="6" t="s">
        <v>4</v>
      </c>
      <c r="R20" s="1">
        <f>MIN(Underwater(_xlfn.ANCHORARRAY(F$8)))</f>
        <v>-0.2911106333901784</v>
      </c>
      <c r="S20" s="1">
        <f>MIN(Underwater(_xlfn.ANCHORARRAY(G$8)))</f>
        <v>-0.23873583139304766</v>
      </c>
      <c r="V20" s="1">
        <v>5.6634382452767973E-2</v>
      </c>
      <c r="W20" s="1">
        <v>0.13828153983425318</v>
      </c>
      <c r="X20" s="1">
        <v>1.800148507435928E-4</v>
      </c>
      <c r="Z20" s="1">
        <v>-5.9593313634125344E-2</v>
      </c>
      <c r="AA20" s="1">
        <v>-6.7136061242409895E-3</v>
      </c>
      <c r="AB20" s="1">
        <v>1.800148507435928E-4</v>
      </c>
      <c r="AD20" s="1">
        <v>0.16045698604121444</v>
      </c>
      <c r="AF20" s="4">
        <v>1.099911704543135</v>
      </c>
      <c r="AH20" s="1">
        <v>-5.1019119550890446E-2</v>
      </c>
      <c r="AI20" s="1">
        <v>-5.1001978196144715E-2</v>
      </c>
    </row>
    <row r="21" spans="1:35" x14ac:dyDescent="0.15">
      <c r="A21" s="2">
        <v>14</v>
      </c>
      <c r="B21" s="1">
        <v>-6.860214400068898E-3</v>
      </c>
      <c r="C21" s="1">
        <v>-1.3957124096416469E-3</v>
      </c>
      <c r="D21" s="1">
        <v>1.5E-5</v>
      </c>
      <c r="F21" s="1">
        <v>-6.860214400068898E-3</v>
      </c>
      <c r="G21" s="1">
        <v>-1.3957124096416469E-3</v>
      </c>
      <c r="H21" s="1">
        <v>1.5E-5</v>
      </c>
      <c r="J21" s="4">
        <v>882.95812435303435</v>
      </c>
      <c r="K21" s="4">
        <v>962.12582830545148</v>
      </c>
      <c r="M21" s="1">
        <v>-0.14122807358757994</v>
      </c>
      <c r="N21" s="1">
        <v>-6.9209433553188537E-2</v>
      </c>
      <c r="V21" s="1">
        <v>9.9863538100249505E-2</v>
      </c>
      <c r="W21" s="1">
        <v>0.18428820816776281</v>
      </c>
      <c r="X21" s="1">
        <v>1.800148507435928E-4</v>
      </c>
      <c r="Z21" s="1">
        <v>-0.12136173582059873</v>
      </c>
      <c r="AA21" s="1">
        <v>-6.1980443897749482E-2</v>
      </c>
      <c r="AB21" s="1">
        <v>1.800148507435928E-4</v>
      </c>
      <c r="AD21" s="1">
        <v>0.14283579821390527</v>
      </c>
      <c r="AF21" s="4">
        <v>1.0827295470248441</v>
      </c>
      <c r="AH21" s="1">
        <v>-5.6789670237038736E-2</v>
      </c>
      <c r="AI21" s="1">
        <v>-5.6775555895158258E-2</v>
      </c>
    </row>
    <row r="22" spans="1:35" x14ac:dyDescent="0.15">
      <c r="A22" s="2">
        <v>15</v>
      </c>
      <c r="B22" s="1">
        <v>7.0244462506714234E-2</v>
      </c>
      <c r="C22" s="1">
        <v>6.7786665966015125E-2</v>
      </c>
      <c r="D22" s="1">
        <v>1.5E-5</v>
      </c>
      <c r="F22" s="1">
        <v>7.0244462506714234E-2</v>
      </c>
      <c r="G22" s="1">
        <v>6.7786665966015125E-2</v>
      </c>
      <c r="H22" s="1">
        <v>1.5E-5</v>
      </c>
      <c r="J22" s="4">
        <v>944.98104321414985</v>
      </c>
      <c r="K22" s="4">
        <v>1027.3451304460687</v>
      </c>
      <c r="M22" s="1">
        <v>-8.0904101200883871E-2</v>
      </c>
      <c r="N22" s="1">
        <v>-6.1142443411407177E-3</v>
      </c>
      <c r="P22" s="6" t="s">
        <v>9</v>
      </c>
      <c r="V22" s="1">
        <v>9.061050965741102E-2</v>
      </c>
      <c r="W22" s="1">
        <v>0.16252654110914544</v>
      </c>
      <c r="X22" s="1">
        <v>1.800148507435928E-4</v>
      </c>
      <c r="Z22" s="1">
        <v>-4.3530226280028228E-2</v>
      </c>
      <c r="AA22" s="1">
        <v>1.7639758587927101E-2</v>
      </c>
      <c r="AB22" s="1">
        <v>1.800148507435928E-4</v>
      </c>
      <c r="AD22" s="1">
        <v>0.1633262268008161</v>
      </c>
      <c r="AF22" s="4">
        <v>1.0930713504143037</v>
      </c>
      <c r="AH22" s="1">
        <v>-6.0240266894829642E-2</v>
      </c>
      <c r="AI22" s="1">
        <v>-6.0224441399863271E-2</v>
      </c>
    </row>
    <row r="23" spans="1:35" x14ac:dyDescent="0.15">
      <c r="A23" s="2">
        <v>16</v>
      </c>
      <c r="B23" s="1">
        <v>2.118598731334043E-2</v>
      </c>
      <c r="C23" s="1">
        <v>3.940312556676373E-3</v>
      </c>
      <c r="D23" s="1">
        <v>1.5E-5</v>
      </c>
      <c r="F23" s="1">
        <v>2.118598731334043E-2</v>
      </c>
      <c r="G23" s="1">
        <v>3.940312556676373E-3</v>
      </c>
      <c r="H23" s="1">
        <v>1.5E-5</v>
      </c>
      <c r="J23" s="4">
        <v>965.001399607032</v>
      </c>
      <c r="K23" s="4">
        <v>1031.3931913636056</v>
      </c>
      <c r="M23" s="1">
        <v>-6.1432147149182548E-2</v>
      </c>
      <c r="N23" s="1">
        <v>-2.1980238182162104E-3</v>
      </c>
      <c r="P23" s="2" t="s">
        <v>15</v>
      </c>
      <c r="Q23" s="7">
        <v>0.05</v>
      </c>
      <c r="R23" s="1" cm="1">
        <f t="array" ref="R23">SortinoMar(_xlfn.ANCHORARRAY(F$8),$Q23)</f>
        <v>0.51962080947677691</v>
      </c>
      <c r="S23" s="1" cm="1">
        <f t="array" ref="S23">SortinoMar(_xlfn.ANCHORARRAY(G$8),$Q23)</f>
        <v>0.85434110678573905</v>
      </c>
      <c r="T23" s="1" cm="1">
        <f t="array" ref="T23">SortinoMar(_xlfn.ANCHORARRAY(H$8),$Q23)</f>
        <v>-3.464100582530663</v>
      </c>
      <c r="U23" s="4"/>
      <c r="V23" s="1">
        <v>8.9923609097642965E-2</v>
      </c>
      <c r="W23" s="1">
        <v>0.17000985446612393</v>
      </c>
      <c r="X23" s="1">
        <v>1.800148507435928E-4</v>
      </c>
      <c r="Z23" s="1">
        <v>-4.8858589932915586E-2</v>
      </c>
      <c r="AA23" s="1">
        <v>1.1991892083068834E-2</v>
      </c>
      <c r="AB23" s="1">
        <v>1.800148507435928E-4</v>
      </c>
      <c r="AD23" s="1">
        <v>0.16229233927381917</v>
      </c>
      <c r="AF23" s="4">
        <v>1.0869380732523368</v>
      </c>
      <c r="AH23" s="1">
        <v>-5.973374849748847E-2</v>
      </c>
      <c r="AI23" s="1">
        <v>-5.9718958585435522E-2</v>
      </c>
    </row>
    <row r="24" spans="1:35" x14ac:dyDescent="0.15">
      <c r="A24" s="2">
        <v>17</v>
      </c>
      <c r="B24" s="1">
        <v>2.2870081954042609E-2</v>
      </c>
      <c r="C24" s="1">
        <v>1.848172318791641E-2</v>
      </c>
      <c r="D24" s="1">
        <v>1.5E-5</v>
      </c>
      <c r="F24" s="1">
        <v>2.2870081954042609E-2</v>
      </c>
      <c r="G24" s="1">
        <v>1.848172318791641E-2</v>
      </c>
      <c r="H24" s="1">
        <v>1.5E-5</v>
      </c>
      <c r="J24" s="4">
        <v>987.07106070181067</v>
      </c>
      <c r="K24" s="4">
        <v>1050.4551148242895</v>
      </c>
      <c r="M24" s="1">
        <v>-3.9967023435054538E-2</v>
      </c>
      <c r="N24" s="1">
        <v>0</v>
      </c>
      <c r="P24" s="2" t="s">
        <v>12</v>
      </c>
      <c r="R24" s="1" cm="1">
        <f t="array" ref="R24">SortinoRfr(_xlfn.ANCHORARRAY(F$8),_xlfn.ANCHORARRAY($H$8))</f>
        <v>1.0062067865882944</v>
      </c>
      <c r="S24" s="1" cm="1">
        <f t="array" ref="S24">SortinoRfr(_xlfn.ANCHORARRAY(G$8),_xlfn.ANCHORARRAY($H$8))</f>
        <v>1.449468605000477</v>
      </c>
      <c r="V24" s="1">
        <v>9.9586951354220465E-2</v>
      </c>
      <c r="W24" s="1">
        <v>0.17901273758290603</v>
      </c>
      <c r="X24" s="1">
        <v>1.8001485074381485E-4</v>
      </c>
      <c r="Z24" s="1">
        <v>-3.9967023435054427E-2</v>
      </c>
      <c r="AA24" s="1">
        <v>1.7639766531516443E-2</v>
      </c>
      <c r="AB24" s="1">
        <v>1.800148507435928E-4</v>
      </c>
      <c r="AD24" s="1">
        <v>0.16361799009789796</v>
      </c>
      <c r="AF24" s="4">
        <v>1.0909730733395004</v>
      </c>
      <c r="AH24" s="1">
        <v>-5.668632593934253E-2</v>
      </c>
      <c r="AI24" s="1">
        <v>-5.6670803614555121E-2</v>
      </c>
    </row>
    <row r="25" spans="1:35" x14ac:dyDescent="0.15">
      <c r="A25" s="2">
        <v>18</v>
      </c>
      <c r="B25" s="1">
        <v>-2.6559494496853239E-2</v>
      </c>
      <c r="C25" s="1">
        <v>1.073176686356758E-3</v>
      </c>
      <c r="D25" s="1">
        <v>1.5E-5</v>
      </c>
      <c r="F25" s="1">
        <v>-2.6559494496853239E-2</v>
      </c>
      <c r="G25" s="1">
        <v>1.073176686356758E-3</v>
      </c>
      <c r="H25" s="1">
        <v>1.5E-5</v>
      </c>
      <c r="J25" s="4">
        <v>960.85495229709784</v>
      </c>
      <c r="K25" s="4">
        <v>1051.582438763583</v>
      </c>
      <c r="M25" s="1">
        <v>-6.5465013992928922E-2</v>
      </c>
      <c r="N25" s="1">
        <v>0</v>
      </c>
      <c r="V25" s="1">
        <v>0.12565523386622157</v>
      </c>
      <c r="W25" s="1">
        <v>0.17773493133702445</v>
      </c>
      <c r="X25" s="1">
        <v>1.8001485074381485E-4</v>
      </c>
      <c r="Z25" s="1">
        <v>-5.1792793840732099E-2</v>
      </c>
      <c r="AA25" s="1">
        <v>3.8603823713616592E-2</v>
      </c>
      <c r="AB25" s="1">
        <v>1.800148507435928E-4</v>
      </c>
      <c r="AD25" s="1">
        <v>0.16503720937956687</v>
      </c>
      <c r="AF25" s="4">
        <v>1.1079214795014645</v>
      </c>
      <c r="AH25" s="1">
        <v>-8.9323942566579717E-2</v>
      </c>
      <c r="AI25" s="1">
        <v>-8.9306113255953723E-2</v>
      </c>
    </row>
    <row r="26" spans="1:35" x14ac:dyDescent="0.15">
      <c r="A26" s="2">
        <v>19</v>
      </c>
      <c r="B26" s="1">
        <v>5.3517615802661789E-2</v>
      </c>
      <c r="C26" s="1">
        <v>3.6838502648985923E-2</v>
      </c>
      <c r="D26" s="1">
        <v>1.5E-5</v>
      </c>
      <c r="F26" s="1">
        <v>5.3517615802661789E-2</v>
      </c>
      <c r="G26" s="1">
        <v>3.6838502648985923E-2</v>
      </c>
      <c r="H26" s="1">
        <v>1.5E-5</v>
      </c>
      <c r="J26" s="4">
        <v>1012.2776184762189</v>
      </c>
      <c r="K26" s="4">
        <v>1090.3211612196023</v>
      </c>
      <c r="M26" s="1">
        <v>-1.5450929657656487E-2</v>
      </c>
      <c r="N26" s="1">
        <v>0</v>
      </c>
      <c r="V26" s="1">
        <v>0.11957985467552645</v>
      </c>
      <c r="W26" s="1">
        <v>0.19392611564031959</v>
      </c>
      <c r="X26" s="1">
        <v>1.800148507435928E-4</v>
      </c>
      <c r="Z26" s="1">
        <v>-1.2212793643496478E-2</v>
      </c>
      <c r="AA26" s="1">
        <v>5.4810734109453474E-2</v>
      </c>
      <c r="AB26" s="1">
        <v>1.800148507435928E-4</v>
      </c>
      <c r="AD26" s="1">
        <v>0.17427640233679778</v>
      </c>
      <c r="AF26" s="4">
        <v>1.1433062298647914</v>
      </c>
      <c r="AH26" s="1">
        <v>-6.8625072813814136E-2</v>
      </c>
      <c r="AI26" s="1">
        <v>-6.860090484020287E-2</v>
      </c>
    </row>
    <row r="27" spans="1:35" x14ac:dyDescent="0.15">
      <c r="A27" s="2">
        <v>20</v>
      </c>
      <c r="B27" s="1">
        <v>2.0510388840741411E-2</v>
      </c>
      <c r="C27" s="1">
        <v>1.409921296545269E-3</v>
      </c>
      <c r="D27" s="1">
        <v>1.5E-5</v>
      </c>
      <c r="F27" s="1">
        <v>2.0510388840741411E-2</v>
      </c>
      <c r="G27" s="1">
        <v>1.409921296545269E-3</v>
      </c>
      <c r="H27" s="1">
        <v>1.5E-5</v>
      </c>
      <c r="J27" s="4">
        <v>1033.0398260459458</v>
      </c>
      <c r="K27" s="4">
        <v>1091.8584282448799</v>
      </c>
      <c r="M27" s="1">
        <v>0</v>
      </c>
      <c r="N27" s="1">
        <v>0</v>
      </c>
      <c r="V27" s="1">
        <v>0.13570808152491809</v>
      </c>
      <c r="W27" s="1">
        <v>0.21825002215604083</v>
      </c>
      <c r="X27" s="1">
        <v>1.8001485074381485E-4</v>
      </c>
      <c r="Z27" s="1">
        <v>8.3371920543222844E-2</v>
      </c>
      <c r="AA27" s="1">
        <v>0.12414947693624834</v>
      </c>
      <c r="AB27" s="1">
        <v>1.800148507435928E-4</v>
      </c>
      <c r="AD27" s="1">
        <v>0.15746326239471076</v>
      </c>
      <c r="AF27" s="4">
        <v>1.1535042700222227</v>
      </c>
      <c r="AH27" s="1">
        <v>-5.148433715276568E-2</v>
      </c>
      <c r="AI27" s="1">
        <v>-5.1458012905916117E-2</v>
      </c>
    </row>
    <row r="28" spans="1:35" x14ac:dyDescent="0.15">
      <c r="A28" s="2">
        <v>21</v>
      </c>
      <c r="B28" s="1">
        <v>1.1857922454757251E-2</v>
      </c>
      <c r="C28" s="1">
        <v>1.971176585964241E-4</v>
      </c>
      <c r="D28" s="1">
        <v>1.5E-5</v>
      </c>
      <c r="F28" s="1">
        <v>1.1857922454757251E-2</v>
      </c>
      <c r="G28" s="1">
        <v>1.971176585964241E-4</v>
      </c>
      <c r="H28" s="1">
        <v>1.5E-5</v>
      </c>
      <c r="J28" s="4">
        <v>1045.2895321958745</v>
      </c>
      <c r="K28" s="4">
        <v>1092.0736528217742</v>
      </c>
      <c r="M28" s="1">
        <v>0</v>
      </c>
      <c r="N28" s="1">
        <v>0</v>
      </c>
      <c r="V28" s="1">
        <v>0.10686259046330204</v>
      </c>
      <c r="W28" s="1">
        <v>0.17842413007020808</v>
      </c>
      <c r="X28" s="1">
        <v>1.8001485074381485E-4</v>
      </c>
      <c r="Z28" s="1">
        <v>0.14412574722010052</v>
      </c>
      <c r="AA28" s="1">
        <v>0.15284982998607011</v>
      </c>
      <c r="AB28" s="1">
        <v>1.800148507435928E-4</v>
      </c>
      <c r="AD28" s="1">
        <v>0.14791176230359435</v>
      </c>
      <c r="AF28" s="4">
        <v>1.1162647019439156</v>
      </c>
      <c r="AH28" s="1">
        <v>-2.1921561850175242E-2</v>
      </c>
      <c r="AI28" s="1">
        <v>-2.1901054930091979E-2</v>
      </c>
    </row>
    <row r="29" spans="1:35" x14ac:dyDescent="0.15">
      <c r="A29" s="2">
        <v>22</v>
      </c>
      <c r="B29" s="1">
        <v>-2.6035163950403062E-3</v>
      </c>
      <c r="C29" s="1">
        <v>-1.8193818550734431E-2</v>
      </c>
      <c r="D29" s="1">
        <v>1.5E-5</v>
      </c>
      <c r="F29" s="1">
        <v>-2.6035163950403062E-3</v>
      </c>
      <c r="G29" s="1">
        <v>-1.8193818550734431E-2</v>
      </c>
      <c r="H29" s="1">
        <v>1.5E-5</v>
      </c>
      <c r="J29" s="4">
        <v>1042.5681037612385</v>
      </c>
      <c r="K29" s="4">
        <v>1072.2046629382971</v>
      </c>
      <c r="M29" s="1">
        <v>-2.6035163950403062E-3</v>
      </c>
      <c r="N29" s="1">
        <v>-1.8193818550734431E-2</v>
      </c>
      <c r="V29" s="1">
        <v>0.13441324722973791</v>
      </c>
      <c r="W29" s="1">
        <v>0.19003495882971011</v>
      </c>
      <c r="X29" s="1">
        <v>1.8001485074381485E-4</v>
      </c>
      <c r="Z29" s="1">
        <v>5.7438565717825574E-2</v>
      </c>
      <c r="AA29" s="1">
        <v>4.3892044531873342E-2</v>
      </c>
      <c r="AB29" s="1">
        <v>1.800148507435928E-4</v>
      </c>
      <c r="AD29" s="1">
        <v>0.12884914980782361</v>
      </c>
      <c r="AF29" s="4">
        <v>1.1834388387048931</v>
      </c>
      <c r="AH29" s="1">
        <v>7.3108039133391589E-3</v>
      </c>
      <c r="AI29" s="1">
        <v>7.3440446189119157E-3</v>
      </c>
    </row>
    <row r="30" spans="1:35" x14ac:dyDescent="0.15">
      <c r="A30" s="2">
        <v>23</v>
      </c>
      <c r="B30" s="1">
        <v>9.6200620114191171E-2</v>
      </c>
      <c r="C30" s="1">
        <v>3.7061935226111682E-2</v>
      </c>
      <c r="D30" s="1">
        <v>1.5E-5</v>
      </c>
      <c r="F30" s="1">
        <v>9.6200620114191171E-2</v>
      </c>
      <c r="G30" s="1">
        <v>3.7061935226111682E-2</v>
      </c>
      <c r="H30" s="1">
        <v>1.5E-5</v>
      </c>
      <c r="J30" s="4">
        <v>1142.8638018543461</v>
      </c>
      <c r="K30" s="4">
        <v>1111.9426427052513</v>
      </c>
      <c r="M30" s="1">
        <v>0</v>
      </c>
      <c r="N30" s="1">
        <v>0</v>
      </c>
      <c r="V30" s="1">
        <v>0.14396939507230755</v>
      </c>
      <c r="W30" s="1">
        <v>0.21355602932272744</v>
      </c>
      <c r="X30" s="1">
        <v>1.8001485074381485E-4</v>
      </c>
      <c r="Z30" s="1">
        <v>0.16488269198799466</v>
      </c>
      <c r="AA30" s="1">
        <v>7.9321517305491085E-2</v>
      </c>
      <c r="AB30" s="1">
        <v>1.800148507435928E-4</v>
      </c>
      <c r="AD30" s="1">
        <v>0.15675912199972525</v>
      </c>
      <c r="AF30" s="4">
        <v>1.333788346129047</v>
      </c>
      <c r="AH30" s="1">
        <v>5.7289422239596766E-2</v>
      </c>
      <c r="AI30" s="1">
        <v>5.7352653714030755E-2</v>
      </c>
    </row>
    <row r="31" spans="1:35" x14ac:dyDescent="0.15">
      <c r="A31" s="2">
        <v>24</v>
      </c>
      <c r="B31" s="1">
        <v>1.3225999460473981E-2</v>
      </c>
      <c r="C31" s="1">
        <v>1.9794415051627379E-2</v>
      </c>
      <c r="D31" s="1">
        <v>1.5E-5</v>
      </c>
      <c r="F31" s="1">
        <v>1.3225999460473981E-2</v>
      </c>
      <c r="G31" s="1">
        <v>1.9794415051627379E-2</v>
      </c>
      <c r="H31" s="1">
        <v>1.5E-5</v>
      </c>
      <c r="J31" s="4">
        <v>1157.9793178810669</v>
      </c>
      <c r="K31" s="4">
        <v>1133.9528968885625</v>
      </c>
      <c r="M31" s="1">
        <v>0</v>
      </c>
      <c r="N31" s="1">
        <v>0</v>
      </c>
      <c r="V31" s="1">
        <v>0.13820745414927593</v>
      </c>
      <c r="W31" s="1">
        <v>0.21385747695370982</v>
      </c>
      <c r="X31" s="1">
        <v>1.8001485074381485E-4</v>
      </c>
      <c r="Z31" s="1">
        <v>0.21310104946640385</v>
      </c>
      <c r="AA31" s="1">
        <v>0.11849841563114683</v>
      </c>
      <c r="AB31" s="1">
        <v>1.800148507435928E-4</v>
      </c>
      <c r="AD31" s="1">
        <v>0.15037533895348687</v>
      </c>
      <c r="AF31" s="4">
        <v>1.2878013950669152</v>
      </c>
      <c r="AH31" s="1">
        <v>5.5215003432957044E-2</v>
      </c>
      <c r="AI31" s="1">
        <v>5.5269425062701494E-2</v>
      </c>
    </row>
    <row r="32" spans="1:35" x14ac:dyDescent="0.15">
      <c r="A32" s="2">
        <v>25</v>
      </c>
      <c r="B32" s="1">
        <v>2.2788816043135759E-2</v>
      </c>
      <c r="C32" s="1">
        <v>1.8912743284982492E-2</v>
      </c>
      <c r="D32" s="1">
        <v>1.5E-5</v>
      </c>
      <c r="F32" s="1">
        <v>2.2788816043135759E-2</v>
      </c>
      <c r="G32" s="1">
        <v>1.8912743284982492E-2</v>
      </c>
      <c r="H32" s="1">
        <v>1.5E-5</v>
      </c>
      <c r="J32" s="4">
        <v>1184.3682955380143</v>
      </c>
      <c r="K32" s="4">
        <v>1155.399056924678</v>
      </c>
      <c r="M32" s="1">
        <v>0</v>
      </c>
      <c r="N32" s="1">
        <v>0</v>
      </c>
      <c r="V32" s="1">
        <v>0.16358691503104028</v>
      </c>
      <c r="W32" s="1">
        <v>0.23043400856404572</v>
      </c>
      <c r="X32" s="1">
        <v>1.8001485074381485E-4</v>
      </c>
      <c r="Z32" s="1">
        <v>0.332162016136204</v>
      </c>
      <c r="AA32" s="1">
        <v>0.19920536189632476</v>
      </c>
      <c r="AB32" s="1">
        <v>1.800148507435928E-4</v>
      </c>
      <c r="AD32" s="1">
        <v>0.11779626755631871</v>
      </c>
      <c r="AF32" s="4">
        <v>1.1829516114724072</v>
      </c>
      <c r="AH32" s="1">
        <v>7.9196893503039378E-2</v>
      </c>
      <c r="AI32" s="1">
        <v>7.9232208368319013E-2</v>
      </c>
    </row>
    <row r="33" spans="1:35" x14ac:dyDescent="0.15">
      <c r="A33" s="2">
        <v>26</v>
      </c>
      <c r="B33" s="1">
        <v>2.9971292550795781E-2</v>
      </c>
      <c r="C33" s="1">
        <v>3.9723820288073863E-2</v>
      </c>
      <c r="D33" s="1">
        <v>1.5E-5</v>
      </c>
      <c r="F33" s="1">
        <v>2.9971292550795781E-2</v>
      </c>
      <c r="G33" s="1">
        <v>3.9723820288073863E-2</v>
      </c>
      <c r="H33" s="1">
        <v>1.5E-5</v>
      </c>
      <c r="J33" s="4">
        <v>1219.8653442114714</v>
      </c>
      <c r="K33" s="4">
        <v>1201.2959214229638</v>
      </c>
      <c r="M33" s="1">
        <v>0</v>
      </c>
      <c r="N33" s="1">
        <v>0</v>
      </c>
      <c r="V33" s="1">
        <v>0.19601424098723275</v>
      </c>
      <c r="W33" s="1">
        <v>0.27091342469736457</v>
      </c>
      <c r="X33" s="1">
        <v>1.8001485074381485E-4</v>
      </c>
      <c r="Z33" s="1">
        <v>0.38156647587935977</v>
      </c>
      <c r="AA33" s="1">
        <v>0.24858504582373753</v>
      </c>
      <c r="AB33" s="1">
        <v>1.800148507435928E-4</v>
      </c>
      <c r="AD33" s="1">
        <v>0.11267872721923593</v>
      </c>
      <c r="AF33" s="4">
        <v>1.0636136665775828</v>
      </c>
      <c r="AH33" s="1">
        <v>9.5699267667037402E-2</v>
      </c>
      <c r="AI33" s="1">
        <v>9.5711718802335977E-2</v>
      </c>
    </row>
    <row r="34" spans="1:35" x14ac:dyDescent="0.15">
      <c r="A34" s="2">
        <v>27</v>
      </c>
      <c r="B34" s="1">
        <v>-3.6899184766613362E-3</v>
      </c>
      <c r="C34" s="1">
        <v>1.138455978951791E-3</v>
      </c>
      <c r="D34" s="1">
        <v>1.5E-5</v>
      </c>
      <c r="F34" s="1">
        <v>-3.6899184766613362E-3</v>
      </c>
      <c r="G34" s="1">
        <v>1.138455978951791E-3</v>
      </c>
      <c r="H34" s="1">
        <v>1.5E-5</v>
      </c>
      <c r="J34" s="4">
        <v>1215.3641405388266</v>
      </c>
      <c r="K34" s="4">
        <v>1202.6635439471981</v>
      </c>
      <c r="M34" s="1">
        <v>-3.6899184766613358E-3</v>
      </c>
      <c r="N34" s="1">
        <v>0</v>
      </c>
      <c r="V34" s="1">
        <v>0.16954329732981721</v>
      </c>
      <c r="W34" s="1">
        <v>0.24783372402644899</v>
      </c>
      <c r="X34" s="1">
        <v>1.8001485074381485E-4</v>
      </c>
      <c r="Z34" s="1">
        <v>0.2861254194105598</v>
      </c>
      <c r="AA34" s="1">
        <v>0.17065191463457574</v>
      </c>
      <c r="AB34" s="1">
        <v>1.800148507435928E-4</v>
      </c>
      <c r="AD34" s="1">
        <v>0.1063521195248802</v>
      </c>
      <c r="AF34" s="4">
        <v>1.2494506040055071</v>
      </c>
      <c r="AH34" s="1">
        <v>6.0506887316671421E-2</v>
      </c>
      <c r="AI34" s="1">
        <v>6.0554273674309433E-2</v>
      </c>
    </row>
    <row r="35" spans="1:35" x14ac:dyDescent="0.15">
      <c r="A35" s="2">
        <v>28</v>
      </c>
      <c r="B35" s="1">
        <v>4.0513384815545894E-3</v>
      </c>
      <c r="C35" s="1">
        <v>1.021291583716089E-2</v>
      </c>
      <c r="D35" s="1">
        <v>1.5E-5</v>
      </c>
      <c r="F35" s="1">
        <v>4.0513384815545894E-3</v>
      </c>
      <c r="G35" s="1">
        <v>1.021291583716089E-2</v>
      </c>
      <c r="H35" s="1">
        <v>1.5E-5</v>
      </c>
      <c r="J35" s="4">
        <v>1220.2879920504931</v>
      </c>
      <c r="K35" s="4">
        <v>1214.9462455019525</v>
      </c>
      <c r="M35" s="1">
        <v>0</v>
      </c>
      <c r="N35" s="1">
        <v>0</v>
      </c>
      <c r="V35" s="1">
        <v>0.15009643730043498</v>
      </c>
      <c r="W35" s="1">
        <v>0.21234123184456211</v>
      </c>
      <c r="X35" s="1">
        <v>1.800148507435928E-4</v>
      </c>
      <c r="Z35" s="1">
        <v>0.26454530796268161</v>
      </c>
      <c r="AA35" s="1">
        <v>0.1779661293824053</v>
      </c>
      <c r="AB35" s="1">
        <v>1.800148507435928E-4</v>
      </c>
      <c r="AD35" s="1">
        <v>0.10779649059614467</v>
      </c>
      <c r="AF35" s="4">
        <v>1.2956869874574892</v>
      </c>
      <c r="AH35" s="1">
        <v>2.653098548737165E-2</v>
      </c>
      <c r="AI35" s="1">
        <v>2.6585503457820847E-2</v>
      </c>
    </row>
    <row r="36" spans="1:35" x14ac:dyDescent="0.15">
      <c r="A36" s="2">
        <v>29</v>
      </c>
      <c r="B36" s="1">
        <v>-8.3890315372703306E-4</v>
      </c>
      <c r="C36" s="1">
        <v>1.413640771609459E-2</v>
      </c>
      <c r="D36" s="1">
        <v>1.5E-5</v>
      </c>
      <c r="F36" s="1">
        <v>-8.3890315372703306E-4</v>
      </c>
      <c r="G36" s="1">
        <v>1.413640771609459E-2</v>
      </c>
      <c r="H36" s="1">
        <v>1.5E-5</v>
      </c>
      <c r="J36" s="4">
        <v>1219.2642886055066</v>
      </c>
      <c r="K36" s="4">
        <v>1232.1212209815064</v>
      </c>
      <c r="M36" s="1">
        <v>-8.3890315372714408E-4</v>
      </c>
      <c r="N36" s="1">
        <v>0</v>
      </c>
      <c r="V36" s="1">
        <v>0.13337284116625936</v>
      </c>
      <c r="W36" s="1">
        <v>0.19635922843920728</v>
      </c>
      <c r="X36" s="1">
        <v>1.8001485074381485E-4</v>
      </c>
      <c r="Z36" s="1">
        <v>0.23523456126715558</v>
      </c>
      <c r="AA36" s="1">
        <v>0.17294037945410468</v>
      </c>
      <c r="AB36" s="1">
        <v>1.800148507435928E-4</v>
      </c>
      <c r="AD36" s="1">
        <v>0.10974043766263955</v>
      </c>
      <c r="AF36" s="4">
        <v>1.2965790981453809</v>
      </c>
      <c r="AH36" s="1">
        <v>8.0194476493717914E-3</v>
      </c>
      <c r="AI36" s="1">
        <v>8.0732255073110437E-3</v>
      </c>
    </row>
    <row r="37" spans="1:35" x14ac:dyDescent="0.15">
      <c r="A37" s="2">
        <v>30</v>
      </c>
      <c r="B37" s="1">
        <v>1.427305531697098E-2</v>
      </c>
      <c r="C37" s="1">
        <v>6.2346438699649731E-3</v>
      </c>
      <c r="D37" s="1">
        <v>1.5E-5</v>
      </c>
      <c r="F37" s="1">
        <v>1.427305531697098E-2</v>
      </c>
      <c r="G37" s="1">
        <v>6.2346438699649731E-3</v>
      </c>
      <c r="H37" s="1">
        <v>1.5E-5</v>
      </c>
      <c r="J37" s="4">
        <v>1236.6669152427803</v>
      </c>
      <c r="K37" s="4">
        <v>1239.8030579989525</v>
      </c>
      <c r="M37" s="1">
        <v>0</v>
      </c>
      <c r="N37" s="1">
        <v>0</v>
      </c>
      <c r="V37" s="1">
        <v>0.15060232536393059</v>
      </c>
      <c r="W37" s="1">
        <v>0.20434548356523807</v>
      </c>
      <c r="X37" s="1">
        <v>1.800148507435928E-4</v>
      </c>
      <c r="Z37" s="1">
        <v>0.28704848977080699</v>
      </c>
      <c r="AA37" s="1">
        <v>0.17898798258429771</v>
      </c>
      <c r="AB37" s="1">
        <v>1.800148507435928E-4</v>
      </c>
      <c r="AD37" s="1">
        <v>9.8602406033429846E-2</v>
      </c>
      <c r="AF37" s="4">
        <v>1.1755516909508408</v>
      </c>
      <c r="AH37" s="1">
        <v>6.4214377242489684E-2</v>
      </c>
      <c r="AI37" s="1">
        <v>6.4247832199374022E-2</v>
      </c>
    </row>
    <row r="38" spans="1:35" x14ac:dyDescent="0.15">
      <c r="A38" s="2">
        <v>31</v>
      </c>
      <c r="B38" s="1">
        <v>1.806011131043728E-2</v>
      </c>
      <c r="C38" s="1">
        <v>2.0580317912037401E-2</v>
      </c>
      <c r="D38" s="1">
        <v>1.5E-5</v>
      </c>
      <c r="F38" s="1">
        <v>1.806011131043728E-2</v>
      </c>
      <c r="G38" s="1">
        <v>2.0580317912037401E-2</v>
      </c>
      <c r="H38" s="1">
        <v>1.5E-5</v>
      </c>
      <c r="J38" s="4">
        <v>1259.0012573859999</v>
      </c>
      <c r="K38" s="4">
        <v>1265.318599080887</v>
      </c>
      <c r="M38" s="1">
        <v>0</v>
      </c>
      <c r="N38" s="1">
        <v>0</v>
      </c>
      <c r="V38" s="1">
        <v>0.17537812488841809</v>
      </c>
      <c r="W38" s="1">
        <v>0.22714830363517624</v>
      </c>
      <c r="X38" s="1">
        <v>1.800148507435928E-4</v>
      </c>
      <c r="Z38" s="1">
        <v>0.24373120022269656</v>
      </c>
      <c r="AA38" s="1">
        <v>0.1605008176357301</v>
      </c>
      <c r="AB38" s="1">
        <v>1.800148507435928E-4</v>
      </c>
      <c r="AD38" s="1">
        <v>9.2254437169192557E-2</v>
      </c>
      <c r="AF38" s="4">
        <v>1.1023921970961488</v>
      </c>
      <c r="AH38" s="1">
        <v>5.8634877293795906E-2</v>
      </c>
      <c r="AI38" s="1">
        <v>5.8654296301461573E-2</v>
      </c>
    </row>
    <row r="39" spans="1:35" x14ac:dyDescent="0.15">
      <c r="A39" s="2">
        <v>32</v>
      </c>
      <c r="B39" s="1">
        <v>-1.0545986048256521E-2</v>
      </c>
      <c r="C39" s="1">
        <v>3.0578739386943892E-3</v>
      </c>
      <c r="D39" s="1">
        <v>1.5E-5</v>
      </c>
      <c r="F39" s="1">
        <v>-1.0545986048256521E-2</v>
      </c>
      <c r="G39" s="1">
        <v>3.0578739386943892E-3</v>
      </c>
      <c r="H39" s="1">
        <v>1.5E-5</v>
      </c>
      <c r="J39" s="4">
        <v>1245.7238476908697</v>
      </c>
      <c r="K39" s="4">
        <v>1269.1877838491616</v>
      </c>
      <c r="M39" s="1">
        <v>-1.0545986048256628E-2</v>
      </c>
      <c r="N39" s="1">
        <v>0</v>
      </c>
      <c r="V39" s="1">
        <v>0.15900321241149484</v>
      </c>
      <c r="W39" s="1">
        <v>0.22129321347303699</v>
      </c>
      <c r="X39" s="1">
        <v>1.800148507435928E-4</v>
      </c>
      <c r="Z39" s="1">
        <v>0.20588172525641313</v>
      </c>
      <c r="AA39" s="1">
        <v>0.16241057541620307</v>
      </c>
      <c r="AB39" s="1">
        <v>1.800148507435928E-4</v>
      </c>
      <c r="AD39" s="1">
        <v>9.6692096511173983E-2</v>
      </c>
      <c r="AF39" s="4">
        <v>1.2217436889183249</v>
      </c>
      <c r="AH39" s="1">
        <v>6.0154883159631023E-3</v>
      </c>
      <c r="AI39" s="1">
        <v>6.0556229517003679E-3</v>
      </c>
    </row>
    <row r="40" spans="1:35" x14ac:dyDescent="0.15">
      <c r="A40" s="2">
        <v>33</v>
      </c>
      <c r="B40" s="1">
        <v>3.992361046146442E-2</v>
      </c>
      <c r="C40" s="1">
        <v>2.0655805062656629E-2</v>
      </c>
      <c r="D40" s="1">
        <v>1.5E-5</v>
      </c>
      <c r="F40" s="1">
        <v>3.992361046146442E-2</v>
      </c>
      <c r="G40" s="1">
        <v>2.0655805062656629E-2</v>
      </c>
      <c r="H40" s="1">
        <v>1.5E-5</v>
      </c>
      <c r="J40" s="4">
        <v>1295.4576413286366</v>
      </c>
      <c r="K40" s="4">
        <v>1295.4038793002551</v>
      </c>
      <c r="M40" s="1">
        <v>0</v>
      </c>
      <c r="N40" s="1">
        <v>0</v>
      </c>
      <c r="V40" s="1">
        <v>0.1586217265157106</v>
      </c>
      <c r="W40" s="1">
        <v>0.220760669049473</v>
      </c>
      <c r="X40" s="1">
        <v>1.800148507435928E-4</v>
      </c>
      <c r="Z40" s="1">
        <v>0.23932901021904063</v>
      </c>
      <c r="AA40" s="1">
        <v>0.18618728320484856</v>
      </c>
      <c r="AB40" s="1">
        <v>1.800148507435928E-4</v>
      </c>
      <c r="AD40" s="1">
        <v>9.9396056589510923E-2</v>
      </c>
      <c r="AF40" s="4">
        <v>1.3119519246869389</v>
      </c>
      <c r="AH40" s="1">
        <v>-6.5453861642844613E-3</v>
      </c>
      <c r="AI40" s="1">
        <v>-6.4895703772516189E-3</v>
      </c>
    </row>
    <row r="41" spans="1:35" x14ac:dyDescent="0.15">
      <c r="A41" s="2">
        <v>34</v>
      </c>
      <c r="B41" s="1">
        <v>6.2318135091721238E-3</v>
      </c>
      <c r="C41" s="1">
        <v>2.32879162311781E-2</v>
      </c>
      <c r="D41" s="1">
        <v>1.5E-5</v>
      </c>
      <c r="F41" s="1">
        <v>6.2318135091721238E-3</v>
      </c>
      <c r="G41" s="1">
        <v>2.32879162311781E-2</v>
      </c>
      <c r="H41" s="1">
        <v>1.5E-5</v>
      </c>
      <c r="J41" s="4">
        <v>1303.5306917584287</v>
      </c>
      <c r="K41" s="4">
        <v>1325.5711363269427</v>
      </c>
      <c r="M41" s="1">
        <v>0</v>
      </c>
      <c r="N41" s="1">
        <v>0</v>
      </c>
      <c r="V41" s="1">
        <v>0.14693294840868854</v>
      </c>
      <c r="W41" s="1">
        <v>0.22909826533714517</v>
      </c>
      <c r="X41" s="1">
        <v>1.800148507435928E-4</v>
      </c>
      <c r="Z41" s="1">
        <v>0.25030747349331373</v>
      </c>
      <c r="AA41" s="1">
        <v>0.23630420771936711</v>
      </c>
      <c r="AB41" s="1">
        <v>1.800148507435928E-4</v>
      </c>
      <c r="AD41" s="1">
        <v>9.77380480911378E-2</v>
      </c>
      <c r="AF41" s="4">
        <v>1.7233284963495983</v>
      </c>
      <c r="AH41" s="1">
        <v>-0.13180898983900902</v>
      </c>
      <c r="AI41" s="1">
        <v>-0.13169460591764715</v>
      </c>
    </row>
    <row r="42" spans="1:35" x14ac:dyDescent="0.15">
      <c r="A42" s="2">
        <v>35</v>
      </c>
      <c r="B42" s="1">
        <v>2.5970166162085251E-2</v>
      </c>
      <c r="C42" s="1">
        <v>3.0687456176808899E-2</v>
      </c>
      <c r="D42" s="1">
        <v>1.5E-5</v>
      </c>
      <c r="F42" s="1">
        <v>2.5970166162085251E-2</v>
      </c>
      <c r="G42" s="1">
        <v>3.0687456176808899E-2</v>
      </c>
      <c r="H42" s="1">
        <v>1.5E-5</v>
      </c>
      <c r="J42" s="4">
        <v>1337.3836004207731</v>
      </c>
      <c r="K42" s="4">
        <v>1366.2495424822184</v>
      </c>
      <c r="M42" s="1">
        <v>0</v>
      </c>
      <c r="N42" s="1">
        <v>0</v>
      </c>
      <c r="V42" s="1">
        <v>0.12953860283715724</v>
      </c>
      <c r="W42" s="1">
        <v>0.21156336328772518</v>
      </c>
      <c r="X42" s="1">
        <v>1.800148507435928E-4</v>
      </c>
      <c r="Z42" s="1">
        <v>0.17020383203213751</v>
      </c>
      <c r="AA42" s="1">
        <v>0.2287050518705378</v>
      </c>
      <c r="AB42" s="1">
        <v>1.800148507435928E-4</v>
      </c>
      <c r="AD42" s="1">
        <v>5.1736623008007632E-2</v>
      </c>
      <c r="AF42" s="4">
        <v>0.95666054015054669</v>
      </c>
      <c r="AH42" s="1">
        <v>-3.924433689739526E-2</v>
      </c>
      <c r="AI42" s="1">
        <v>-3.9251856870979873E-2</v>
      </c>
    </row>
    <row r="43" spans="1:35" x14ac:dyDescent="0.15">
      <c r="A43" s="2">
        <v>36</v>
      </c>
      <c r="B43" s="1">
        <v>2.417769106954815E-2</v>
      </c>
      <c r="C43" s="1">
        <v>1.114785048640177E-2</v>
      </c>
      <c r="D43" s="1">
        <v>1.5E-5</v>
      </c>
      <c r="F43" s="1">
        <v>2.417769106954815E-2</v>
      </c>
      <c r="G43" s="1">
        <v>1.114785048640177E-2</v>
      </c>
      <c r="H43" s="1">
        <v>1.5E-5</v>
      </c>
      <c r="J43" s="4">
        <v>1369.7184479532266</v>
      </c>
      <c r="K43" s="4">
        <v>1381.4802881089249</v>
      </c>
      <c r="M43" s="1">
        <v>0</v>
      </c>
      <c r="N43" s="1">
        <v>0</v>
      </c>
      <c r="V43" s="1">
        <v>0.15005122553555927</v>
      </c>
      <c r="W43" s="1">
        <v>0.22984883190621552</v>
      </c>
      <c r="X43" s="1">
        <v>1.800148507435928E-4</v>
      </c>
      <c r="Z43" s="1">
        <v>0.18285225547863093</v>
      </c>
      <c r="AA43" s="1">
        <v>0.21828718979381789</v>
      </c>
      <c r="AB43" s="1">
        <v>1.800148507435928E-4</v>
      </c>
      <c r="AD43" s="1">
        <v>5.2869699603004396E-2</v>
      </c>
      <c r="AF43" s="4">
        <v>0.89677596129639225</v>
      </c>
      <c r="AH43" s="1">
        <v>-8.7461551727719966E-3</v>
      </c>
      <c r="AI43" s="1">
        <v>-8.7645863239851352E-3</v>
      </c>
    </row>
    <row r="44" spans="1:35" x14ac:dyDescent="0.15">
      <c r="A44" s="2">
        <v>37</v>
      </c>
      <c r="B44" s="1">
        <v>5.6971727382066677E-2</v>
      </c>
      <c r="C44" s="1">
        <v>5.7191003672306229E-2</v>
      </c>
      <c r="D44" s="1">
        <v>1.5E-5</v>
      </c>
      <c r="F44" s="1">
        <v>5.6971727382066677E-2</v>
      </c>
      <c r="G44" s="1">
        <v>5.7191003672306229E-2</v>
      </c>
      <c r="H44" s="1">
        <v>1.5E-5</v>
      </c>
      <c r="J44" s="4">
        <v>1447.7536739602053</v>
      </c>
      <c r="K44" s="4">
        <v>1460.4885323393812</v>
      </c>
      <c r="M44" s="1">
        <v>0</v>
      </c>
      <c r="N44" s="1">
        <v>0</v>
      </c>
      <c r="V44" s="1">
        <v>0.12808723758059859</v>
      </c>
      <c r="W44" s="1">
        <v>0.19966050235829758</v>
      </c>
      <c r="X44" s="1">
        <v>1.800148507435928E-4</v>
      </c>
      <c r="Z44" s="1">
        <v>0.2223846918348531</v>
      </c>
      <c r="AA44" s="1">
        <v>0.26405549977404297</v>
      </c>
      <c r="AB44" s="1">
        <v>1.800148507435928E-4</v>
      </c>
      <c r="AD44" s="1">
        <v>6.7855769373657907E-2</v>
      </c>
      <c r="AF44" s="4">
        <v>0.98039929575414175</v>
      </c>
      <c r="AH44" s="1">
        <v>-2.8454451808292425E-2</v>
      </c>
      <c r="AI44" s="1">
        <v>-2.8457887794240078E-2</v>
      </c>
    </row>
    <row r="45" spans="1:35" x14ac:dyDescent="0.15">
      <c r="A45" s="2">
        <v>38</v>
      </c>
      <c r="B45" s="1">
        <v>-3.8935049237179609E-2</v>
      </c>
      <c r="C45" s="1">
        <v>-3.6812117157744677E-2</v>
      </c>
      <c r="D45" s="1">
        <v>1.5E-5</v>
      </c>
      <c r="F45" s="1">
        <v>-3.8935049237179609E-2</v>
      </c>
      <c r="G45" s="1">
        <v>-3.6812117157744677E-2</v>
      </c>
      <c r="H45" s="1">
        <v>1.5E-5</v>
      </c>
      <c r="J45" s="4">
        <v>1391.385313381257</v>
      </c>
      <c r="K45" s="4">
        <v>1406.7248573793613</v>
      </c>
      <c r="M45" s="1">
        <v>-3.8935049237179609E-2</v>
      </c>
      <c r="N45" s="1">
        <v>-3.6812117157744684E-2</v>
      </c>
      <c r="V45" s="1">
        <v>0.14641796112057337</v>
      </c>
      <c r="W45" s="1">
        <v>0.21460653252451101</v>
      </c>
      <c r="X45" s="1">
        <v>1.800148507435928E-4</v>
      </c>
      <c r="Z45" s="1">
        <v>0.14060565781599221</v>
      </c>
      <c r="AA45" s="1">
        <v>0.17100610456835796</v>
      </c>
      <c r="AB45" s="1">
        <v>1.800148507435928E-4</v>
      </c>
      <c r="AD45" s="1">
        <v>8.6077503743955744E-2</v>
      </c>
      <c r="AF45" s="4">
        <v>1.0174035509694532</v>
      </c>
      <c r="AH45" s="1">
        <v>-2.8305861049891079E-2</v>
      </c>
      <c r="AI45" s="1">
        <v>-2.830280978589661E-2</v>
      </c>
    </row>
    <row r="46" spans="1:35" x14ac:dyDescent="0.15">
      <c r="A46" s="2">
        <v>39</v>
      </c>
      <c r="B46" s="1">
        <v>-3.2683789557926723E-2</v>
      </c>
      <c r="C46" s="1">
        <v>-2.554430411073039E-2</v>
      </c>
      <c r="D46" s="1">
        <v>1.5E-5</v>
      </c>
      <c r="F46" s="1">
        <v>-3.2683789557926723E-2</v>
      </c>
      <c r="G46" s="1">
        <v>-2.554430411073039E-2</v>
      </c>
      <c r="H46" s="1">
        <v>1.5E-5</v>
      </c>
      <c r="J46" s="4">
        <v>1345.909568604714</v>
      </c>
      <c r="K46" s="4">
        <v>1370.7910498223391</v>
      </c>
      <c r="M46" s="1">
        <v>-7.0346293839410934E-2</v>
      </c>
      <c r="N46" s="1">
        <v>-6.1416081352837826E-2</v>
      </c>
      <c r="V46" s="1">
        <v>0.18109817895331082</v>
      </c>
      <c r="W46" s="1">
        <v>0.23785956122137497</v>
      </c>
      <c r="X46" s="1">
        <v>1.800148507435928E-4</v>
      </c>
      <c r="Z46" s="1">
        <v>0.10741260475894165</v>
      </c>
      <c r="AA46" s="1">
        <v>0.13979596099116698</v>
      </c>
      <c r="AB46" s="1">
        <v>1.800148507435928E-4</v>
      </c>
      <c r="AD46" s="1">
        <v>9.5908787699610282E-2</v>
      </c>
      <c r="AF46" s="4">
        <v>1.0377122911437151</v>
      </c>
      <c r="AH46" s="1">
        <v>-3.27624351372926E-2</v>
      </c>
      <c r="AI46" s="1">
        <v>-3.2755851051162632E-2</v>
      </c>
    </row>
    <row r="47" spans="1:35" x14ac:dyDescent="0.15">
      <c r="A47" s="2">
        <v>40</v>
      </c>
      <c r="B47" s="1">
        <v>7.1513575774004856E-3</v>
      </c>
      <c r="C47" s="1">
        <v>3.7927875618488649E-3</v>
      </c>
      <c r="D47" s="1">
        <v>1.5E-5</v>
      </c>
      <c r="F47" s="1">
        <v>7.1513575774004856E-3</v>
      </c>
      <c r="G47" s="1">
        <v>3.7927875618488649E-3</v>
      </c>
      <c r="H47" s="1">
        <v>1.5E-5</v>
      </c>
      <c r="J47" s="4">
        <v>1355.5346491966511</v>
      </c>
      <c r="K47" s="4">
        <v>1375.990169065999</v>
      </c>
      <c r="M47" s="1">
        <v>-6.3698007763500986E-2</v>
      </c>
      <c r="N47" s="1">
        <v>-5.7856231940441538E-2</v>
      </c>
      <c r="V47" s="1">
        <v>0.14143224900170792</v>
      </c>
      <c r="W47" s="1">
        <v>0.19611176914366224</v>
      </c>
      <c r="X47" s="1">
        <v>1.800148507435928E-4</v>
      </c>
      <c r="Z47" s="1">
        <v>0.11083175285442115</v>
      </c>
      <c r="AA47" s="1">
        <v>0.13255230357744097</v>
      </c>
      <c r="AB47" s="1">
        <v>1.800148507435928E-4</v>
      </c>
      <c r="AD47" s="1">
        <v>9.5788267423290829E-2</v>
      </c>
      <c r="AF47" s="4">
        <v>1.0311903887872915</v>
      </c>
      <c r="AH47" s="1">
        <v>-2.2431196042425716E-2</v>
      </c>
      <c r="AI47" s="1">
        <v>-2.2425697307270509E-2</v>
      </c>
    </row>
    <row r="48" spans="1:35" x14ac:dyDescent="0.15">
      <c r="A48" s="2">
        <v>41</v>
      </c>
      <c r="B48" s="1">
        <v>5.3918434964177484E-3</v>
      </c>
      <c r="C48" s="1">
        <v>2.413637461129392E-2</v>
      </c>
      <c r="D48" s="1">
        <v>1.5E-5</v>
      </c>
      <c r="F48" s="1">
        <v>5.3918434964177484E-3</v>
      </c>
      <c r="G48" s="1">
        <v>2.413637461129392E-2</v>
      </c>
      <c r="H48" s="1">
        <v>1.5E-5</v>
      </c>
      <c r="J48" s="4">
        <v>1362.8434798790911</v>
      </c>
      <c r="K48" s="4">
        <v>1409.2015832480336</v>
      </c>
      <c r="M48" s="1">
        <v>-5.8649613955977564E-2</v>
      </c>
      <c r="N48" s="1">
        <v>-3.5116297016860032E-2</v>
      </c>
      <c r="V48" s="1">
        <v>0.12943255304494894</v>
      </c>
      <c r="W48" s="1">
        <v>0.17646729054734767</v>
      </c>
      <c r="X48" s="1">
        <v>1.800148507435928E-4</v>
      </c>
      <c r="Z48" s="1">
        <v>0.11775887526222739</v>
      </c>
      <c r="AA48" s="1">
        <v>0.14371991915329985</v>
      </c>
      <c r="AB48" s="1">
        <v>1.800148507435928E-4</v>
      </c>
      <c r="AD48" s="1">
        <v>9.5281014573196557E-2</v>
      </c>
      <c r="AF48" s="4">
        <v>1.003675670411226</v>
      </c>
      <c r="AH48" s="1">
        <v>-2.269820760114416E-2</v>
      </c>
      <c r="AI48" s="1">
        <v>-2.2697559759537245E-2</v>
      </c>
    </row>
    <row r="49" spans="1:35" x14ac:dyDescent="0.15">
      <c r="A49" s="2">
        <v>42</v>
      </c>
      <c r="B49" s="1">
        <v>1.483238223791461E-2</v>
      </c>
      <c r="C49" s="1">
        <v>6.0839390815725647E-3</v>
      </c>
      <c r="D49" s="1">
        <v>1.5E-5</v>
      </c>
      <c r="F49" s="1">
        <v>1.483238223791461E-2</v>
      </c>
      <c r="G49" s="1">
        <v>6.0839390815725647E-3</v>
      </c>
      <c r="H49" s="1">
        <v>1.5E-5</v>
      </c>
      <c r="J49" s="4">
        <v>1383.0576953031075</v>
      </c>
      <c r="K49" s="4">
        <v>1417.7750798341701</v>
      </c>
      <c r="M49" s="1">
        <v>-4.4687145210364099E-2</v>
      </c>
      <c r="N49" s="1">
        <v>-2.9246003347108473E-2</v>
      </c>
      <c r="V49" s="1">
        <v>0.14251465359635374</v>
      </c>
      <c r="W49" s="1">
        <v>0.20183121320266939</v>
      </c>
      <c r="X49" s="1">
        <v>1.800148507435928E-4</v>
      </c>
      <c r="Z49" s="1">
        <v>0.11837527005530646</v>
      </c>
      <c r="AA49" s="1">
        <v>0.14354862305507265</v>
      </c>
      <c r="AB49" s="1">
        <v>1.800148507435928E-4</v>
      </c>
      <c r="AD49" s="1">
        <v>9.5312157446578741E-2</v>
      </c>
      <c r="AF49" s="4">
        <v>1.0028859040770899</v>
      </c>
      <c r="AH49" s="1">
        <v>-2.1895195961782576E-2</v>
      </c>
      <c r="AI49" s="1">
        <v>-2.1894686934441077E-2</v>
      </c>
    </row>
    <row r="50" spans="1:35" x14ac:dyDescent="0.15">
      <c r="A50" s="2">
        <v>43</v>
      </c>
      <c r="B50" s="1">
        <v>4.5916785728242981E-2</v>
      </c>
      <c r="C50" s="1">
        <v>3.7220819187774527E-2</v>
      </c>
      <c r="D50" s="1">
        <v>1.5E-5</v>
      </c>
      <c r="F50" s="1">
        <v>4.5916785728242981E-2</v>
      </c>
      <c r="G50" s="1">
        <v>3.7220819187774527E-2</v>
      </c>
      <c r="H50" s="1">
        <v>1.5E-5</v>
      </c>
      <c r="J50" s="4">
        <v>1446.5632591481378</v>
      </c>
      <c r="K50" s="4">
        <v>1470.5458297296104</v>
      </c>
      <c r="M50" s="1">
        <v>-8.2224955355236773E-4</v>
      </c>
      <c r="N50" s="1">
        <v>0</v>
      </c>
      <c r="V50" s="1">
        <v>0.10838726621002004</v>
      </c>
      <c r="W50" s="1">
        <v>0.16828280190717226</v>
      </c>
      <c r="X50" s="1">
        <v>1.800148507435928E-4</v>
      </c>
      <c r="Z50" s="1">
        <v>0.14897681845970734</v>
      </c>
      <c r="AA50" s="1">
        <v>0.16219411521951721</v>
      </c>
      <c r="AB50" s="1">
        <v>1.800148507435928E-4</v>
      </c>
      <c r="AD50" s="1">
        <v>0.10182227320855478</v>
      </c>
      <c r="AF50" s="4">
        <v>1.0381961999676226</v>
      </c>
      <c r="AH50" s="1">
        <v>-1.6296642732922417E-2</v>
      </c>
      <c r="AI50" s="1">
        <v>-1.6289870173233578E-2</v>
      </c>
    </row>
    <row r="51" spans="1:35" x14ac:dyDescent="0.15">
      <c r="A51" s="2">
        <v>44</v>
      </c>
      <c r="B51" s="1">
        <v>1.6482819573523599E-2</v>
      </c>
      <c r="C51" s="1">
        <v>3.2550312852736463E-2</v>
      </c>
      <c r="D51" s="1">
        <v>1.5E-5</v>
      </c>
      <c r="F51" s="1">
        <v>1.6482819573523599E-2</v>
      </c>
      <c r="G51" s="1">
        <v>3.2550312852736463E-2</v>
      </c>
      <c r="H51" s="1">
        <v>1.5E-5</v>
      </c>
      <c r="J51" s="4">
        <v>1470.4067003503649</v>
      </c>
      <c r="K51" s="4">
        <v>1518.4125565515963</v>
      </c>
      <c r="M51" s="1">
        <v>0</v>
      </c>
      <c r="N51" s="1">
        <v>0</v>
      </c>
      <c r="V51" s="1">
        <v>0.11889765123245688</v>
      </c>
      <c r="W51" s="1">
        <v>0.16474078973428408</v>
      </c>
      <c r="X51" s="1">
        <v>1.800148507435928E-4</v>
      </c>
      <c r="Z51" s="1">
        <v>0.18036329084971547</v>
      </c>
      <c r="AA51" s="1">
        <v>0.19636556219174417</v>
      </c>
      <c r="AB51" s="1">
        <v>1.800148507435928E-4</v>
      </c>
      <c r="AD51" s="1">
        <v>9.8826984432916348E-2</v>
      </c>
      <c r="AF51" s="4">
        <v>0.98183869407553015</v>
      </c>
      <c r="AH51" s="1">
        <v>-9.5752978167278346E-3</v>
      </c>
      <c r="AI51" s="1">
        <v>-9.5785381419620785E-3</v>
      </c>
    </row>
    <row r="52" spans="1:35" x14ac:dyDescent="0.15">
      <c r="A52" s="2">
        <v>45</v>
      </c>
      <c r="B52" s="1">
        <v>1.6345512918731759E-3</v>
      </c>
      <c r="C52" s="1">
        <v>5.6449427551654718E-3</v>
      </c>
      <c r="D52" s="1">
        <v>1.5E-5</v>
      </c>
      <c r="F52" s="1">
        <v>1.6345512918731759E-3</v>
      </c>
      <c r="G52" s="1">
        <v>5.6449427551654718E-3</v>
      </c>
      <c r="H52" s="1">
        <v>1.5E-5</v>
      </c>
      <c r="J52" s="4">
        <v>1472.8101555220014</v>
      </c>
      <c r="K52" s="4">
        <v>1526.9839085120545</v>
      </c>
      <c r="M52" s="1">
        <v>0</v>
      </c>
      <c r="N52" s="1">
        <v>0</v>
      </c>
      <c r="V52" s="1">
        <v>9.3097963353256707E-2</v>
      </c>
      <c r="W52" s="1">
        <v>0.13289990026271292</v>
      </c>
      <c r="X52" s="1">
        <v>1.800148507435928E-4</v>
      </c>
      <c r="Z52" s="1">
        <v>0.13690336799547542</v>
      </c>
      <c r="AA52" s="1">
        <v>0.17877052316447695</v>
      </c>
      <c r="AB52" s="1">
        <v>1.800148507435928E-4</v>
      </c>
      <c r="AD52" s="1">
        <v>9.5347052774027746E-2</v>
      </c>
      <c r="AF52" s="4">
        <v>0.96771952968368458</v>
      </c>
      <c r="AH52" s="1">
        <v>-3.0346342553350558E-2</v>
      </c>
      <c r="AI52" s="1">
        <v>-3.0351991183230953E-2</v>
      </c>
    </row>
    <row r="53" spans="1:35" x14ac:dyDescent="0.15">
      <c r="A53" s="2">
        <v>46</v>
      </c>
      <c r="B53" s="1">
        <v>-5.8561787551283162E-2</v>
      </c>
      <c r="C53" s="1">
        <v>-6.8382661486797613E-2</v>
      </c>
      <c r="D53" s="1">
        <v>1.5E-5</v>
      </c>
      <c r="F53" s="1">
        <v>-5.8561787551283162E-2</v>
      </c>
      <c r="G53" s="1">
        <v>-6.8382661486797613E-2</v>
      </c>
      <c r="H53" s="1">
        <v>1.5E-5</v>
      </c>
      <c r="J53" s="4">
        <v>1386.5597600909496</v>
      </c>
      <c r="K53" s="4">
        <v>1422.5646848004876</v>
      </c>
      <c r="M53" s="1">
        <v>-5.8561787551283273E-2</v>
      </c>
      <c r="N53" s="1">
        <v>-6.8382661486797613E-2</v>
      </c>
      <c r="V53" s="1">
        <v>9.5366514158703009E-2</v>
      </c>
      <c r="W53" s="1">
        <v>0.14059286038352892</v>
      </c>
      <c r="X53" s="1">
        <v>1.800148507435928E-4</v>
      </c>
      <c r="Z53" s="1">
        <v>6.3695522366655544E-2</v>
      </c>
      <c r="AA53" s="1">
        <v>7.3171137946098197E-2</v>
      </c>
      <c r="AB53" s="1">
        <v>1.800148507435928E-4</v>
      </c>
      <c r="AD53" s="1">
        <v>0.11822350252492633</v>
      </c>
      <c r="AF53" s="4">
        <v>0.92875987834476637</v>
      </c>
      <c r="AH53" s="1">
        <v>-3.8244591757760071E-3</v>
      </c>
      <c r="AI53" s="1">
        <v>-3.8372373603118293E-3</v>
      </c>
    </row>
    <row r="54" spans="1:35" x14ac:dyDescent="0.15">
      <c r="A54" s="2">
        <v>47</v>
      </c>
      <c r="B54" s="1">
        <v>2.7906432219581449E-2</v>
      </c>
      <c r="C54" s="1">
        <v>2.0401953005503511E-2</v>
      </c>
      <c r="D54" s="1">
        <v>1.5E-5</v>
      </c>
      <c r="F54" s="1">
        <v>2.7906432219581449E-2</v>
      </c>
      <c r="G54" s="1">
        <v>2.0401953005503511E-2</v>
      </c>
      <c r="H54" s="1">
        <v>1.5E-5</v>
      </c>
      <c r="J54" s="4">
        <v>1425.2536960543268</v>
      </c>
      <c r="K54" s="4">
        <v>1451.587782647076</v>
      </c>
      <c r="M54" s="1">
        <v>-3.228960588665919E-2</v>
      </c>
      <c r="N54" s="1">
        <v>-4.9375848327338989E-2</v>
      </c>
      <c r="V54" s="1">
        <v>8.837964336213866E-2</v>
      </c>
      <c r="W54" s="1">
        <v>0.12860728288385981</v>
      </c>
      <c r="X54" s="1">
        <v>1.800148507435928E-4</v>
      </c>
      <c r="Z54" s="1">
        <v>6.5702985744634512E-2</v>
      </c>
      <c r="AA54" s="1">
        <v>6.2461678859788483E-2</v>
      </c>
      <c r="AB54" s="1">
        <v>1.800148507435928E-4</v>
      </c>
      <c r="AD54" s="1">
        <v>0.11860099782341789</v>
      </c>
      <c r="AF54" s="4">
        <v>0.94332018114945748</v>
      </c>
      <c r="AH54" s="1">
        <v>6.6965005849215498E-3</v>
      </c>
      <c r="AI54" s="1">
        <v>6.6862356561203651E-3</v>
      </c>
    </row>
    <row r="55" spans="1:35" x14ac:dyDescent="0.15">
      <c r="A55" s="2">
        <v>48</v>
      </c>
      <c r="B55" s="1">
        <v>-0.106759019233807</v>
      </c>
      <c r="C55" s="1">
        <v>-9.0098823235914893E-2</v>
      </c>
      <c r="D55" s="1">
        <v>1.5E-5</v>
      </c>
      <c r="F55" s="1">
        <v>-0.106759019233807</v>
      </c>
      <c r="G55" s="1">
        <v>-9.0098823235914893E-2</v>
      </c>
      <c r="H55" s="1">
        <v>1.5E-5</v>
      </c>
      <c r="J55" s="4">
        <v>1273.0950093042084</v>
      </c>
      <c r="K55" s="4">
        <v>1320.8014316069434</v>
      </c>
      <c r="M55" s="1">
        <v>-0.13560141846456031</v>
      </c>
      <c r="N55" s="1">
        <v>-0.13502596573268566</v>
      </c>
      <c r="V55" s="1">
        <v>8.9822676074702956E-2</v>
      </c>
      <c r="W55" s="1">
        <v>0.11091118599279381</v>
      </c>
      <c r="X55" s="1">
        <v>1.800148507435928E-4</v>
      </c>
      <c r="Z55" s="1">
        <v>-7.0542554780803957E-2</v>
      </c>
      <c r="AA55" s="1">
        <v>-4.3923070798964292E-2</v>
      </c>
      <c r="AB55" s="1">
        <v>1.800148507435928E-4</v>
      </c>
      <c r="AD55" s="1">
        <v>0.16117315215592459</v>
      </c>
      <c r="AF55" s="4">
        <v>1.0254146740726005</v>
      </c>
      <c r="AH55" s="1">
        <v>-2.5669501924360127E-2</v>
      </c>
      <c r="AI55" s="1">
        <v>-2.5665035032887973E-2</v>
      </c>
    </row>
    <row r="56" spans="1:35" x14ac:dyDescent="0.15">
      <c r="A56" s="2">
        <v>49</v>
      </c>
      <c r="B56" s="1">
        <v>8.5124919979691294E-2</v>
      </c>
      <c r="C56" s="1">
        <v>8.0071814849076217E-2</v>
      </c>
      <c r="D56" s="1">
        <v>1.5E-5</v>
      </c>
      <c r="F56" s="1">
        <v>8.5124919979691294E-2</v>
      </c>
      <c r="G56" s="1">
        <v>8.0071814849076217E-2</v>
      </c>
      <c r="H56" s="1">
        <v>1.5E-5</v>
      </c>
      <c r="J56" s="4">
        <v>1381.4671200977734</v>
      </c>
      <c r="K56" s="4">
        <v>1426.5603992909694</v>
      </c>
      <c r="M56" s="1">
        <v>-6.2019558380797313E-2</v>
      </c>
      <c r="N56" s="1">
        <v>-6.5765925011574744E-2</v>
      </c>
      <c r="V56" s="1">
        <v>0.10211304404187027</v>
      </c>
      <c r="W56" s="1">
        <v>0.12045410220637676</v>
      </c>
      <c r="X56" s="1">
        <v>1.800148507435928E-4</v>
      </c>
      <c r="Z56" s="1">
        <v>-4.578579564651386E-2</v>
      </c>
      <c r="AA56" s="1">
        <v>-2.3230674049912969E-2</v>
      </c>
      <c r="AB56" s="1">
        <v>1.800148507435928E-4</v>
      </c>
      <c r="AD56" s="1">
        <v>0.17486951094152114</v>
      </c>
      <c r="AF56" s="4">
        <v>1.0412308946555344</v>
      </c>
      <c r="AH56" s="1">
        <v>-2.0909625605471605E-2</v>
      </c>
      <c r="AI56" s="1">
        <v>-2.0902346394733429E-2</v>
      </c>
    </row>
    <row r="57" spans="1:35" x14ac:dyDescent="0.15">
      <c r="A57" s="2">
        <v>50</v>
      </c>
      <c r="B57" s="1">
        <v>1.8557997270961749E-2</v>
      </c>
      <c r="C57" s="1">
        <v>3.2160609171930199E-2</v>
      </c>
      <c r="D57" s="1">
        <v>1.5E-5</v>
      </c>
      <c r="F57" s="1">
        <v>1.8557997270961749E-2</v>
      </c>
      <c r="G57" s="1">
        <v>3.2160609171930199E-2</v>
      </c>
      <c r="H57" s="1">
        <v>1.5E-5</v>
      </c>
      <c r="J57" s="4">
        <v>1407.1043831424713</v>
      </c>
      <c r="K57" s="4">
        <v>1472.439450752719</v>
      </c>
      <c r="M57" s="1">
        <v>-4.4612519905012693E-2</v>
      </c>
      <c r="N57" s="1">
        <v>-3.5720388050772267E-2</v>
      </c>
      <c r="V57" s="1">
        <v>8.9317205608547834E-2</v>
      </c>
      <c r="W57" s="1">
        <v>0.11603504606330706</v>
      </c>
      <c r="X57" s="1">
        <v>1.800148507435928E-4</v>
      </c>
      <c r="Z57" s="1">
        <v>1.1297423948664953E-2</v>
      </c>
      <c r="AA57" s="1">
        <v>4.6714603092874674E-2</v>
      </c>
      <c r="AB57" s="1">
        <v>1.800148507435928E-4</v>
      </c>
      <c r="AD57" s="1">
        <v>0.17129076028934778</v>
      </c>
      <c r="AF57" s="4">
        <v>1.0283152877798127</v>
      </c>
      <c r="AH57" s="1">
        <v>-3.4140456821415643E-2</v>
      </c>
      <c r="AI57" s="1">
        <v>-3.4135519792777069E-2</v>
      </c>
    </row>
    <row r="58" spans="1:35" x14ac:dyDescent="0.15">
      <c r="A58" s="2">
        <v>51</v>
      </c>
      <c r="B58" s="1">
        <v>-2.1706494805301402E-3</v>
      </c>
      <c r="C58" s="1">
        <v>1.9470486095997771E-2</v>
      </c>
      <c r="D58" s="1">
        <v>1.5E-5</v>
      </c>
      <c r="F58" s="1">
        <v>-2.1706494805301402E-3</v>
      </c>
      <c r="G58" s="1">
        <v>1.9470486095997771E-2</v>
      </c>
      <c r="H58" s="1">
        <v>1.5E-5</v>
      </c>
      <c r="J58" s="4">
        <v>1404.0500527441513</v>
      </c>
      <c r="K58" s="4">
        <v>1501.1085626057984</v>
      </c>
      <c r="M58" s="1">
        <v>-4.668633124238597E-2</v>
      </c>
      <c r="N58" s="1">
        <v>-1.6945395273660679E-2</v>
      </c>
      <c r="V58" s="1">
        <v>9.8760174796687306E-2</v>
      </c>
      <c r="W58" s="1">
        <v>0.13151885058291923</v>
      </c>
      <c r="X58" s="1">
        <v>1.800148507435928E-4</v>
      </c>
      <c r="Z58" s="1">
        <v>4.319791276891749E-2</v>
      </c>
      <c r="AA58" s="1">
        <v>9.5067379379482508E-2</v>
      </c>
      <c r="AB58" s="1">
        <v>1.800148507435928E-4</v>
      </c>
      <c r="AD58" s="1">
        <v>0.16720351696649638</v>
      </c>
      <c r="AF58" s="4">
        <v>1.0141113845573078</v>
      </c>
      <c r="AH58" s="1">
        <v>-4.7913557017265407E-2</v>
      </c>
      <c r="AI58" s="1">
        <v>-4.7911128752772814E-2</v>
      </c>
    </row>
    <row r="59" spans="1:35" x14ac:dyDescent="0.15">
      <c r="A59" s="2">
        <v>52</v>
      </c>
      <c r="B59" s="1">
        <v>4.7092062186728567E-2</v>
      </c>
      <c r="C59" s="1">
        <v>4.0476193097434887E-2</v>
      </c>
      <c r="D59" s="1">
        <v>1.5E-5</v>
      </c>
      <c r="F59" s="1">
        <v>4.7092062186728567E-2</v>
      </c>
      <c r="G59" s="1">
        <v>4.0476193097434887E-2</v>
      </c>
      <c r="H59" s="1">
        <v>1.5E-5</v>
      </c>
      <c r="J59" s="4">
        <v>1470.1696651412585</v>
      </c>
      <c r="K59" s="4">
        <v>1561.8677226460436</v>
      </c>
      <c r="M59" s="1">
        <v>-1.7928246697939132E-3</v>
      </c>
      <c r="N59" s="1">
        <v>0</v>
      </c>
      <c r="V59" s="1">
        <v>8.7654250339027406E-2</v>
      </c>
      <c r="W59" s="1">
        <v>0.11650769720117204</v>
      </c>
      <c r="X59" s="1">
        <v>1.800148507435928E-4</v>
      </c>
      <c r="Z59" s="1">
        <v>8.45681193118486E-2</v>
      </c>
      <c r="AA59" s="1">
        <v>0.13508639651562016</v>
      </c>
      <c r="AB59" s="1">
        <v>1.800148507435928E-4</v>
      </c>
      <c r="AD59" s="1">
        <v>0.17254673516452362</v>
      </c>
      <c r="AF59" s="4">
        <v>1.0286092492249255</v>
      </c>
      <c r="AH59" s="1">
        <v>-4.7230973555324351E-2</v>
      </c>
      <c r="AI59" s="1">
        <v>-4.722604728027191E-2</v>
      </c>
    </row>
    <row r="60" spans="1:35" x14ac:dyDescent="0.15">
      <c r="A60" s="2">
        <v>53</v>
      </c>
      <c r="B60" s="1">
        <v>-7.3965776571155217E-2</v>
      </c>
      <c r="C60" s="1">
        <v>-6.3518502431555324E-2</v>
      </c>
      <c r="D60" s="1">
        <v>1.5E-5</v>
      </c>
      <c r="F60" s="1">
        <v>-7.3965776571155217E-2</v>
      </c>
      <c r="G60" s="1">
        <v>-6.3518502431555324E-2</v>
      </c>
      <c r="H60" s="1">
        <v>1.5E-5</v>
      </c>
      <c r="J60" s="4">
        <v>1361.4274241677301</v>
      </c>
      <c r="K60" s="4">
        <v>1462.6602239073832</v>
      </c>
      <c r="M60" s="1">
        <v>-7.5625993571991956E-2</v>
      </c>
      <c r="N60" s="1">
        <v>-6.3518502431555324E-2</v>
      </c>
      <c r="V60" s="1">
        <v>9.3233557636432707E-2</v>
      </c>
      <c r="W60" s="1">
        <v>0.12176756000454403</v>
      </c>
      <c r="X60" s="1">
        <v>1.800148507435928E-4</v>
      </c>
      <c r="Z60" s="1">
        <v>-1.0390450057308209E-3</v>
      </c>
      <c r="AA60" s="1">
        <v>3.7935410586279694E-2</v>
      </c>
      <c r="AB60" s="1">
        <v>1.800148507435928E-4</v>
      </c>
      <c r="AD60" s="1">
        <v>0.19108541105150323</v>
      </c>
      <c r="AF60" s="4">
        <v>1.0499110024793583</v>
      </c>
      <c r="AH60" s="1">
        <v>-3.7914511142412288E-2</v>
      </c>
      <c r="AI60" s="1">
        <v>-3.7905839864257995E-2</v>
      </c>
    </row>
    <row r="61" spans="1:35" x14ac:dyDescent="0.15">
      <c r="A61" s="2">
        <v>54</v>
      </c>
      <c r="B61" s="1">
        <v>5.8009839172745707E-2</v>
      </c>
      <c r="C61" s="1">
        <v>7.0396107308434486E-2</v>
      </c>
      <c r="D61" s="1">
        <v>1.5E-5</v>
      </c>
      <c r="F61" s="1">
        <v>5.8009839172745707E-2</v>
      </c>
      <c r="G61" s="1">
        <v>7.0396107308434486E-2</v>
      </c>
      <c r="H61" s="1">
        <v>1.5E-5</v>
      </c>
      <c r="J61" s="4">
        <v>1440.4036100890655</v>
      </c>
      <c r="K61" s="4">
        <v>1565.6258099853462</v>
      </c>
      <c r="M61" s="1">
        <v>-2.2003206123636598E-2</v>
      </c>
      <c r="N61" s="1">
        <v>0</v>
      </c>
      <c r="V61" s="1">
        <v>8.9856751350522623E-2</v>
      </c>
      <c r="W61" s="1">
        <v>0.12522318971035817</v>
      </c>
      <c r="X61" s="1">
        <v>1.800148507435928E-4</v>
      </c>
      <c r="Z61" s="1">
        <v>4.1463139954830419E-2</v>
      </c>
      <c r="AA61" s="1">
        <v>0.1042836288027218</v>
      </c>
      <c r="AB61" s="1">
        <v>1.800148507435928E-4</v>
      </c>
      <c r="AD61" s="1">
        <v>0.19912030961105345</v>
      </c>
      <c r="AF61" s="4">
        <v>1.0278666395504763</v>
      </c>
      <c r="AH61" s="1">
        <v>-5.8725927391498844E-2</v>
      </c>
      <c r="AI61" s="1">
        <v>-5.872118208214161E-2</v>
      </c>
    </row>
    <row r="62" spans="1:35" x14ac:dyDescent="0.15">
      <c r="A62" s="2">
        <v>55</v>
      </c>
      <c r="B62" s="1">
        <v>2.1216395127712451E-2</v>
      </c>
      <c r="C62" s="1">
        <v>1.432443914585591E-2</v>
      </c>
      <c r="D62" s="1">
        <v>1.5E-5</v>
      </c>
      <c r="F62" s="1">
        <v>2.1216395127712451E-2</v>
      </c>
      <c r="G62" s="1">
        <v>1.432443914585591E-2</v>
      </c>
      <c r="H62" s="1">
        <v>1.5E-5</v>
      </c>
      <c r="J62" s="4">
        <v>1470.9637822240986</v>
      </c>
      <c r="K62" s="4">
        <v>1588.0525216256626</v>
      </c>
      <c r="M62" s="1">
        <v>-1.2536397111196917E-3</v>
      </c>
      <c r="N62" s="1">
        <v>0</v>
      </c>
      <c r="V62" s="1">
        <v>8.7678497740242056E-2</v>
      </c>
      <c r="W62" s="1">
        <v>0.12848024662289625</v>
      </c>
      <c r="X62" s="1">
        <v>1.800148507435928E-4</v>
      </c>
      <c r="Z62" s="1">
        <v>1.6867926737147876E-2</v>
      </c>
      <c r="AA62" s="1">
        <v>7.990685466610592E-2</v>
      </c>
      <c r="AB62" s="1">
        <v>1.800148507435928E-4</v>
      </c>
      <c r="AD62" s="1">
        <v>0.19506573951362249</v>
      </c>
      <c r="AF62" s="4">
        <v>1.0186161375958622</v>
      </c>
      <c r="AH62" s="1">
        <v>-5.9010712407299826E-2</v>
      </c>
      <c r="AI62" s="1">
        <v>-5.9007543214125158E-2</v>
      </c>
    </row>
    <row r="63" spans="1:35" x14ac:dyDescent="0.15">
      <c r="A63" s="2">
        <v>56</v>
      </c>
      <c r="B63" s="1">
        <v>-5.019306036820026E-2</v>
      </c>
      <c r="C63" s="1">
        <v>-1.5767381023911179E-2</v>
      </c>
      <c r="D63" s="1">
        <v>1.5E-5</v>
      </c>
      <c r="F63" s="1">
        <v>-5.019306036820026E-2</v>
      </c>
      <c r="G63" s="1">
        <v>-1.5767381023911179E-2</v>
      </c>
      <c r="H63" s="1">
        <v>1.5E-5</v>
      </c>
      <c r="J63" s="4">
        <v>1397.1316083034883</v>
      </c>
      <c r="K63" s="4">
        <v>1563.013092431208</v>
      </c>
      <c r="M63" s="1">
        <v>-5.1383776065619724E-2</v>
      </c>
      <c r="N63" s="1">
        <v>-1.5767381023911065E-2</v>
      </c>
      <c r="V63" s="1">
        <v>9.3841006977672281E-2</v>
      </c>
      <c r="W63" s="1">
        <v>0.12772843345040585</v>
      </c>
      <c r="X63" s="1">
        <v>1.800148507435928E-4</v>
      </c>
      <c r="Z63" s="1">
        <v>-4.9833214191296049E-2</v>
      </c>
      <c r="AA63" s="1">
        <v>2.937313425601662E-2</v>
      </c>
      <c r="AB63" s="1">
        <v>1.800148507435928E-4</v>
      </c>
      <c r="AD63" s="1">
        <v>0.2012897033748659</v>
      </c>
      <c r="AF63" s="4">
        <v>1.0468327916006821</v>
      </c>
      <c r="AH63" s="1">
        <v>-7.6576211406700678E-2</v>
      </c>
      <c r="AI63" s="1">
        <v>-7.6568375151994217E-2</v>
      </c>
    </row>
    <row r="64" spans="1:35" x14ac:dyDescent="0.15">
      <c r="A64" s="2">
        <v>57</v>
      </c>
      <c r="B64" s="1">
        <v>3.3114401487269518E-2</v>
      </c>
      <c r="C64" s="1">
        <v>1.8680752181633679E-2</v>
      </c>
      <c r="D64" s="1">
        <v>1.5E-5</v>
      </c>
      <c r="F64" s="1">
        <v>3.3114401487269518E-2</v>
      </c>
      <c r="G64" s="1">
        <v>1.8680752181633679E-2</v>
      </c>
      <c r="H64" s="1">
        <v>1.5E-5</v>
      </c>
      <c r="J64" s="4">
        <v>1443.3967853114045</v>
      </c>
      <c r="K64" s="4">
        <v>1592.2113526675641</v>
      </c>
      <c r="M64" s="1">
        <v>-1.9970917568919111E-2</v>
      </c>
      <c r="N64" s="1">
        <v>0</v>
      </c>
      <c r="V64" s="1">
        <v>0.10443912948197531</v>
      </c>
      <c r="W64" s="1">
        <v>0.13773897525850765</v>
      </c>
      <c r="X64" s="1">
        <v>1.800148507435928E-4</v>
      </c>
      <c r="Z64" s="1">
        <v>-1.9970917568919E-2</v>
      </c>
      <c r="AA64" s="1">
        <v>4.2716523593931965E-2</v>
      </c>
      <c r="AB64" s="1">
        <v>1.800148507435928E-4</v>
      </c>
      <c r="AD64" s="1">
        <v>0.20446164979382325</v>
      </c>
      <c r="AF64" s="4">
        <v>1.0554445518948097</v>
      </c>
      <c r="AH64" s="1">
        <v>-6.033516461943822E-2</v>
      </c>
      <c r="AI64" s="1">
        <v>-6.0325737942866886E-2</v>
      </c>
    </row>
    <row r="65" spans="1:35" x14ac:dyDescent="0.15">
      <c r="A65" s="2">
        <v>58</v>
      </c>
      <c r="B65" s="1">
        <v>2.3470708784339989E-2</v>
      </c>
      <c r="C65" s="1">
        <v>2.171077702406965E-2</v>
      </c>
      <c r="D65" s="1">
        <v>1.5E-5</v>
      </c>
      <c r="F65" s="1">
        <v>2.3470708784339989E-2</v>
      </c>
      <c r="G65" s="1">
        <v>2.171077702406965E-2</v>
      </c>
      <c r="H65" s="1">
        <v>1.5E-5</v>
      </c>
      <c r="J65" s="4">
        <v>1477.274330919701</v>
      </c>
      <c r="K65" s="4">
        <v>1626.779498320522</v>
      </c>
      <c r="M65" s="1">
        <v>0</v>
      </c>
      <c r="N65" s="1">
        <v>0</v>
      </c>
      <c r="V65" s="1">
        <v>0.11598338704952726</v>
      </c>
      <c r="W65" s="1">
        <v>0.14529970739865061</v>
      </c>
      <c r="X65" s="1">
        <v>1.800148507435928E-4</v>
      </c>
      <c r="Z65" s="1">
        <v>6.5424205605679076E-2</v>
      </c>
      <c r="AA65" s="1">
        <v>0.14355397382065282</v>
      </c>
      <c r="AB65" s="1">
        <v>1.800148507435928E-4</v>
      </c>
      <c r="AD65" s="1">
        <v>0.1950945378754495</v>
      </c>
      <c r="AF65" s="4">
        <v>1.1148610716090797</v>
      </c>
      <c r="AH65" s="1">
        <v>-8.0783855469465649E-2</v>
      </c>
      <c r="AI65" s="1">
        <v>-8.0764716626177568E-2</v>
      </c>
    </row>
    <row r="66" spans="1:35" x14ac:dyDescent="0.15">
      <c r="A66" s="2">
        <v>59</v>
      </c>
      <c r="B66" s="1">
        <v>4.0303552064289587E-2</v>
      </c>
      <c r="C66" s="1">
        <v>3.6312242974169788E-2</v>
      </c>
      <c r="D66" s="1">
        <v>1.5E-5</v>
      </c>
      <c r="F66" s="1">
        <v>4.0303552064289587E-2</v>
      </c>
      <c r="G66" s="1">
        <v>3.6312242974169788E-2</v>
      </c>
      <c r="H66" s="1">
        <v>1.5E-5</v>
      </c>
      <c r="J66" s="4">
        <v>1536.8137338291617</v>
      </c>
      <c r="K66" s="4">
        <v>1685.8515107289347</v>
      </c>
      <c r="M66" s="1">
        <v>0</v>
      </c>
      <c r="N66" s="1">
        <v>0</v>
      </c>
      <c r="V66" s="1">
        <v>0.13471491542791414</v>
      </c>
      <c r="W66" s="1">
        <v>0.14903004120586139</v>
      </c>
      <c r="X66" s="1">
        <v>1.800148507435928E-4</v>
      </c>
      <c r="Z66" s="1">
        <v>7.8273810538908251E-2</v>
      </c>
      <c r="AA66" s="1">
        <v>0.1613844721499802</v>
      </c>
      <c r="AB66" s="1">
        <v>1.800148507435928E-4</v>
      </c>
      <c r="AD66" s="1">
        <v>0.19694390269901604</v>
      </c>
      <c r="AF66" s="4">
        <v>1.1175568415919463</v>
      </c>
      <c r="AH66" s="1">
        <v>-8.612317431782357E-2</v>
      </c>
      <c r="AI66" s="1">
        <v>-8.610369060660461E-2</v>
      </c>
    </row>
    <row r="67" spans="1:35" x14ac:dyDescent="0.15">
      <c r="A67" s="2">
        <v>60</v>
      </c>
      <c r="B67" s="1">
        <v>3.338403308429716E-2</v>
      </c>
      <c r="C67" s="1">
        <v>3.0108332352286379E-2</v>
      </c>
      <c r="D67" s="1">
        <v>1.5E-5</v>
      </c>
      <c r="F67" s="1">
        <v>3.338403308429716E-2</v>
      </c>
      <c r="G67" s="1">
        <v>3.0108332352286379E-2</v>
      </c>
      <c r="H67" s="1">
        <v>1.5E-5</v>
      </c>
      <c r="J67" s="4">
        <v>1588.1187743637167</v>
      </c>
      <c r="K67" s="4">
        <v>1736.6096883105656</v>
      </c>
      <c r="M67" s="1">
        <v>0</v>
      </c>
      <c r="N67" s="1">
        <v>0</v>
      </c>
      <c r="V67" s="1">
        <v>0.13182067335223735</v>
      </c>
      <c r="W67" s="1">
        <v>0.14405366977378264</v>
      </c>
      <c r="X67" s="1">
        <v>1.800148507435928E-4</v>
      </c>
      <c r="Z67" s="1">
        <v>0.24744717617868939</v>
      </c>
      <c r="AA67" s="1">
        <v>0.31481511660517492</v>
      </c>
      <c r="AB67" s="1">
        <v>1.800148507435928E-4</v>
      </c>
      <c r="AD67" s="1">
        <v>0.15294939115526113</v>
      </c>
      <c r="AF67" s="4">
        <v>1.1311314966211261</v>
      </c>
      <c r="AH67" s="1">
        <v>-8.4331846468572169E-2</v>
      </c>
      <c r="AI67" s="1">
        <v>-8.431007384035738E-2</v>
      </c>
    </row>
    <row r="68" spans="1:35" x14ac:dyDescent="0.15">
      <c r="A68" s="2">
        <v>61</v>
      </c>
      <c r="B68" s="1">
        <v>-3.2568096955054027E-2</v>
      </c>
      <c r="C68" s="1">
        <v>-3.7977946712464128E-4</v>
      </c>
      <c r="D68" s="1">
        <v>1.5E-5</v>
      </c>
      <c r="F68" s="1">
        <v>-3.2568096955054027E-2</v>
      </c>
      <c r="G68" s="1">
        <v>-3.7977946712464128E-4</v>
      </c>
      <c r="H68" s="1">
        <v>1.5E-5</v>
      </c>
      <c r="J68" s="4">
        <v>1536.3967681440977</v>
      </c>
      <c r="K68" s="4">
        <v>1735.9501596085356</v>
      </c>
      <c r="M68" s="1">
        <v>-3.2568096955054027E-2</v>
      </c>
      <c r="N68" s="1">
        <v>-3.7977946712464128E-4</v>
      </c>
      <c r="V68" s="1">
        <v>0.13846386926353738</v>
      </c>
      <c r="W68" s="1">
        <v>0.15002238200161822</v>
      </c>
      <c r="X68" s="1">
        <v>1.800148507435928E-4</v>
      </c>
      <c r="Z68" s="1">
        <v>0.1121486322710008</v>
      </c>
      <c r="AA68" s="1">
        <v>0.21687813601957506</v>
      </c>
      <c r="AB68" s="1">
        <v>1.800148507435928E-4</v>
      </c>
      <c r="AD68" s="1">
        <v>0.14280228850793344</v>
      </c>
      <c r="AF68" s="4">
        <v>1.1571001739855258</v>
      </c>
      <c r="AH68" s="1">
        <v>-0.11340672922924799</v>
      </c>
      <c r="AI68" s="1">
        <v>-0.11338140503799121</v>
      </c>
    </row>
    <row r="69" spans="1:35" x14ac:dyDescent="0.15">
      <c r="A69" s="2">
        <v>62</v>
      </c>
      <c r="B69" s="1">
        <v>-8.8710775691089538E-2</v>
      </c>
      <c r="C69" s="1">
        <v>-8.2320163061883944E-2</v>
      </c>
      <c r="D69" s="1">
        <v>1.5E-5</v>
      </c>
      <c r="F69" s="1">
        <v>-8.8710775691089538E-2</v>
      </c>
      <c r="G69" s="1">
        <v>-8.2320163061883944E-2</v>
      </c>
      <c r="H69" s="1">
        <v>1.5E-5</v>
      </c>
      <c r="J69" s="4">
        <v>1400.1018190727518</v>
      </c>
      <c r="K69" s="4">
        <v>1593.0464594022576</v>
      </c>
      <c r="M69" s="1">
        <v>-0.118389731502478</v>
      </c>
      <c r="N69" s="1">
        <v>-8.2668679021347224E-2</v>
      </c>
      <c r="V69" s="1">
        <v>0.17366604141141107</v>
      </c>
      <c r="W69" s="1">
        <v>0.17073576692198</v>
      </c>
      <c r="X69" s="1">
        <v>1.800148507435928E-4</v>
      </c>
      <c r="Z69" s="1">
        <v>-4.9765775400977263E-3</v>
      </c>
      <c r="AA69" s="1">
        <v>8.1909655835344042E-2</v>
      </c>
      <c r="AB69" s="1">
        <v>1.800148507435928E-4</v>
      </c>
      <c r="AD69" s="1">
        <v>0.1726935174928822</v>
      </c>
      <c r="AF69" s="4">
        <v>1.0955430216464659</v>
      </c>
      <c r="AH69" s="1">
        <v>-8.5514340402116917E-2</v>
      </c>
      <c r="AI69" s="1">
        <v>-8.549849559035716E-2</v>
      </c>
    </row>
    <row r="70" spans="1:35" x14ac:dyDescent="0.15">
      <c r="A70" s="2">
        <v>63</v>
      </c>
      <c r="B70" s="1">
        <v>-0.19591525650223959</v>
      </c>
      <c r="C70" s="1">
        <v>-0.1233438775371606</v>
      </c>
      <c r="D70" s="1">
        <v>1.5E-5</v>
      </c>
      <c r="F70" s="1">
        <v>-0.19591525650223959</v>
      </c>
      <c r="G70" s="1">
        <v>-0.1233438775371606</v>
      </c>
      <c r="H70" s="1">
        <v>1.5E-5</v>
      </c>
      <c r="J70" s="4">
        <v>1125.8005120598614</v>
      </c>
      <c r="K70" s="4">
        <v>1396.5539320027383</v>
      </c>
      <c r="M70" s="1">
        <v>-0.2911106333901784</v>
      </c>
      <c r="N70" s="1">
        <v>-0.19581588113713988</v>
      </c>
      <c r="V70" s="1">
        <v>0.16638325460268777</v>
      </c>
      <c r="W70" s="1">
        <v>0.16183342267478951</v>
      </c>
      <c r="X70" s="1">
        <v>1.800148507435928E-4</v>
      </c>
      <c r="Z70" s="1">
        <v>-0.19817636852793397</v>
      </c>
      <c r="AA70" s="1">
        <v>-6.9651611620656029E-2</v>
      </c>
      <c r="AB70" s="1">
        <v>1.800148507435928E-4</v>
      </c>
      <c r="AD70" s="1">
        <v>0.26190459289049595</v>
      </c>
      <c r="AF70" s="4">
        <v>1.2830960346123124</v>
      </c>
      <c r="AH70" s="1">
        <v>-0.11033819370116693</v>
      </c>
      <c r="AI70" s="1">
        <v>-0.11029241402306489</v>
      </c>
    </row>
    <row r="71" spans="1:35" x14ac:dyDescent="0.15">
      <c r="A71" s="2">
        <v>64</v>
      </c>
      <c r="B71" s="1">
        <v>0.14098512173256769</v>
      </c>
      <c r="C71" s="1">
        <v>0.12823345451683549</v>
      </c>
      <c r="D71" s="1">
        <v>1.5E-5</v>
      </c>
      <c r="F71" s="1">
        <v>0.14098512173256769</v>
      </c>
      <c r="G71" s="1">
        <v>0.12823345451683549</v>
      </c>
      <c r="H71" s="1">
        <v>1.5E-5</v>
      </c>
      <c r="J71" s="4">
        <v>1284.521634299208</v>
      </c>
      <c r="K71" s="4">
        <v>1575.6388671225193</v>
      </c>
      <c r="M71" s="1">
        <v>-0.19116777974376986</v>
      </c>
      <c r="N71" s="1">
        <v>-9.2692573507777931E-2</v>
      </c>
      <c r="V71" s="1">
        <v>0.15645500687548974</v>
      </c>
      <c r="W71" s="1">
        <v>0.15027205376437158</v>
      </c>
      <c r="X71" s="1">
        <v>1.800148507435928E-4</v>
      </c>
      <c r="Z71" s="1">
        <v>-0.12627660279210895</v>
      </c>
      <c r="AA71" s="1">
        <v>8.8171003707948614E-3</v>
      </c>
      <c r="AB71" s="1">
        <v>1.800148507435928E-4</v>
      </c>
      <c r="AD71" s="1">
        <v>0.30035187057728968</v>
      </c>
      <c r="AF71" s="4">
        <v>1.2453304036620476</v>
      </c>
      <c r="AH71" s="1">
        <v>-0.12585115675369984</v>
      </c>
      <c r="AI71" s="1">
        <v>-0.12581211889037347</v>
      </c>
    </row>
    <row r="72" spans="1:35" x14ac:dyDescent="0.15">
      <c r="A72" s="2">
        <v>65</v>
      </c>
      <c r="B72" s="1">
        <v>3.2829554102851821E-2</v>
      </c>
      <c r="C72" s="1">
        <v>4.7679170414852479E-2</v>
      </c>
      <c r="D72" s="1">
        <v>1.5E-5</v>
      </c>
      <c r="F72" s="1">
        <v>3.2829554102851821E-2</v>
      </c>
      <c r="G72" s="1">
        <v>4.7679170414852479E-2</v>
      </c>
      <c r="H72" s="1">
        <v>1.5E-5</v>
      </c>
      <c r="J72" s="4">
        <v>1326.6919067887175</v>
      </c>
      <c r="K72" s="4">
        <v>1650.7640211803189</v>
      </c>
      <c r="M72" s="1">
        <v>-0.16461417860873817</v>
      </c>
      <c r="N72" s="1">
        <v>-4.9432908101394002E-2</v>
      </c>
      <c r="V72" s="1">
        <v>0.1644497619617542</v>
      </c>
      <c r="W72" s="1">
        <v>0.16304949066861196</v>
      </c>
      <c r="X72" s="1">
        <v>1.800148507435928E-4</v>
      </c>
      <c r="Z72" s="1">
        <v>-2.5514042660222835E-2</v>
      </c>
      <c r="AA72" s="1">
        <v>0.12860389186658194</v>
      </c>
      <c r="AB72" s="1">
        <v>1.800148507435928E-4</v>
      </c>
      <c r="AD72" s="1">
        <v>0.29350690543167418</v>
      </c>
      <c r="AF72" s="4">
        <v>1.2597710839677512</v>
      </c>
      <c r="AH72" s="1">
        <v>-0.1552543804035823</v>
      </c>
      <c r="AI72" s="1">
        <v>-0.15521432096391341</v>
      </c>
    </row>
    <row r="73" spans="1:35" x14ac:dyDescent="0.15">
      <c r="A73" s="2">
        <v>66</v>
      </c>
      <c r="B73" s="1">
        <v>1.8483906096086411E-2</v>
      </c>
      <c r="C73" s="1">
        <v>1.9696146466403611E-2</v>
      </c>
      <c r="D73" s="1">
        <v>1.5E-5</v>
      </c>
      <c r="F73" s="1">
        <v>1.8483906096086411E-2</v>
      </c>
      <c r="G73" s="1">
        <v>1.9696146466403611E-2</v>
      </c>
      <c r="H73" s="1">
        <v>1.5E-5</v>
      </c>
      <c r="J73" s="4">
        <v>1351.2143554122379</v>
      </c>
      <c r="K73" s="4">
        <v>1683.2777111229559</v>
      </c>
      <c r="M73" s="1">
        <v>-0.1491729855321402</v>
      </c>
      <c r="N73" s="1">
        <v>-3.071039943321574E-2</v>
      </c>
      <c r="V73" s="1">
        <v>0.16708709361894836</v>
      </c>
      <c r="W73" s="1">
        <v>0.17202501137770909</v>
      </c>
      <c r="X73" s="1">
        <v>1.800148507435928E-4</v>
      </c>
      <c r="Z73" s="1">
        <v>-6.191962728509981E-2</v>
      </c>
      <c r="AA73" s="1">
        <v>7.5146884004620995E-2</v>
      </c>
      <c r="AB73" s="1">
        <v>1.800148507435928E-4</v>
      </c>
      <c r="AD73" s="1">
        <v>0.28778530705829108</v>
      </c>
      <c r="AF73" s="4">
        <v>1.2856396266640555</v>
      </c>
      <c r="AH73" s="1">
        <v>-0.13631029679510176</v>
      </c>
      <c r="AI73" s="1">
        <v>-0.13626534339088436</v>
      </c>
    </row>
    <row r="74" spans="1:35" x14ac:dyDescent="0.15">
      <c r="A74" s="2">
        <v>67</v>
      </c>
      <c r="B74" s="1">
        <v>2.5448532087164018E-2</v>
      </c>
      <c r="C74" s="1">
        <v>5.6402158838371193E-2</v>
      </c>
      <c r="D74" s="1">
        <v>1.5E-5</v>
      </c>
      <c r="F74" s="1">
        <v>2.5448532087164018E-2</v>
      </c>
      <c r="G74" s="1">
        <v>5.6402158838371193E-2</v>
      </c>
      <c r="H74" s="1">
        <v>1.5E-5</v>
      </c>
      <c r="J74" s="4">
        <v>1385.600777292583</v>
      </c>
      <c r="K74" s="4">
        <v>1778.2182079548027</v>
      </c>
      <c r="M74" s="1">
        <v>-0.12752068695382879</v>
      </c>
      <c r="N74" s="1">
        <v>0</v>
      </c>
      <c r="V74" s="1">
        <v>0.16822461478146145</v>
      </c>
      <c r="W74" s="1">
        <v>0.17334337459098137</v>
      </c>
      <c r="X74" s="1">
        <v>1.800148507435928E-4</v>
      </c>
      <c r="Z74" s="1">
        <v>-5.8032023604583372E-2</v>
      </c>
      <c r="AA74" s="1">
        <v>0.11974773109800574</v>
      </c>
      <c r="AB74" s="1">
        <v>1.800148507435928E-4</v>
      </c>
      <c r="AD74" s="1">
        <v>0.28818806402265906</v>
      </c>
      <c r="AF74" s="4">
        <v>1.2505448454239874</v>
      </c>
      <c r="AH74" s="1">
        <v>-0.17488990270654825</v>
      </c>
      <c r="AI74" s="1">
        <v>-0.17485209012379144</v>
      </c>
    </row>
    <row r="75" spans="1:35" x14ac:dyDescent="0.15">
      <c r="A75" s="2">
        <v>68</v>
      </c>
      <c r="B75" s="1">
        <v>5.0672777698351767E-2</v>
      </c>
      <c r="C75" s="1">
        <v>7.4122612479257777E-2</v>
      </c>
      <c r="D75" s="1">
        <v>1.5E-5</v>
      </c>
      <c r="F75" s="1">
        <v>5.0672777698351767E-2</v>
      </c>
      <c r="G75" s="1">
        <v>7.4122612479257777E-2</v>
      </c>
      <c r="H75" s="1">
        <v>1.5E-5</v>
      </c>
      <c r="J75" s="4">
        <v>1455.8130174589935</v>
      </c>
      <c r="K75" s="4">
        <v>1910.0243870865968</v>
      </c>
      <c r="M75" s="1">
        <v>-8.3309736677429469E-2</v>
      </c>
      <c r="N75" s="1">
        <v>0</v>
      </c>
      <c r="V75" s="1">
        <v>0.17221955868244665</v>
      </c>
      <c r="W75" s="1">
        <v>0.18024962017186663</v>
      </c>
      <c r="X75" s="1">
        <v>1.800148507435928E-4</v>
      </c>
      <c r="Z75" s="1">
        <v>4.2001346764146907E-2</v>
      </c>
      <c r="AA75" s="1">
        <v>0.22201432370321705</v>
      </c>
      <c r="AB75" s="1">
        <v>1.800148507435928E-4</v>
      </c>
      <c r="AD75" s="1">
        <v>0.2872897973917653</v>
      </c>
      <c r="AF75" s="4">
        <v>1.2103941884294507</v>
      </c>
      <c r="AH75" s="1">
        <v>-0.17692948912938022</v>
      </c>
      <c r="AI75" s="1">
        <v>-0.17689780820380274</v>
      </c>
    </row>
    <row r="76" spans="1:35" x14ac:dyDescent="0.15">
      <c r="A76" s="2">
        <v>69</v>
      </c>
      <c r="B76" s="1">
        <v>-3.2234984628034542E-2</v>
      </c>
      <c r="C76" s="1">
        <v>-4.0015095388059467E-2</v>
      </c>
      <c r="D76" s="1">
        <v>1.5E-5</v>
      </c>
      <c r="F76" s="1">
        <v>-3.2234984628034542E-2</v>
      </c>
      <c r="G76" s="1">
        <v>-4.0015095388059467E-2</v>
      </c>
      <c r="H76" s="1">
        <v>1.5E-5</v>
      </c>
      <c r="J76" s="4">
        <v>1408.8849072199102</v>
      </c>
      <c r="K76" s="4">
        <v>1833.5945790438068</v>
      </c>
      <c r="M76" s="1">
        <v>-0.11285923322430147</v>
      </c>
      <c r="N76" s="1">
        <v>-4.0015095388059474E-2</v>
      </c>
      <c r="V76" s="1">
        <v>0.19665943507841521</v>
      </c>
      <c r="W76" s="1">
        <v>0.20238523536043052</v>
      </c>
      <c r="X76" s="1">
        <v>1.8001485074381485E-4</v>
      </c>
      <c r="Z76" s="1">
        <v>-2.3910180792074298E-2</v>
      </c>
      <c r="AA76" s="1">
        <v>0.15160250300428579</v>
      </c>
      <c r="AB76" s="1">
        <v>1.800148507435928E-4</v>
      </c>
      <c r="AD76" s="1">
        <v>0.28818890245003492</v>
      </c>
      <c r="AF76" s="4">
        <v>1.1742513332909725</v>
      </c>
      <c r="AH76" s="1">
        <v>-0.16702493859949019</v>
      </c>
      <c r="AI76" s="1">
        <v>-0.1669984108166761</v>
      </c>
    </row>
    <row r="77" spans="1:35" x14ac:dyDescent="0.15">
      <c r="A77" s="2">
        <v>70</v>
      </c>
      <c r="B77" s="1">
        <v>-1.9148529497463929E-2</v>
      </c>
      <c r="C77" s="1">
        <v>-2.6578245747802761E-2</v>
      </c>
      <c r="D77" s="1">
        <v>1.5E-5</v>
      </c>
      <c r="F77" s="1">
        <v>-1.9148529497463929E-2</v>
      </c>
      <c r="G77" s="1">
        <v>-2.6578245747802761E-2</v>
      </c>
      <c r="H77" s="1">
        <v>1.5E-5</v>
      </c>
      <c r="J77" s="4">
        <v>1381.906833015478</v>
      </c>
      <c r="K77" s="4">
        <v>1784.8608517201415</v>
      </c>
      <c r="M77" s="1">
        <v>-0.12984667436530872</v>
      </c>
      <c r="N77" s="1">
        <v>-6.5529810097016639E-2</v>
      </c>
      <c r="V77" s="1">
        <v>0.14980112890878616</v>
      </c>
      <c r="W77" s="1">
        <v>0.17246384048133079</v>
      </c>
      <c r="X77" s="1">
        <v>1.8001485074381485E-4</v>
      </c>
      <c r="Z77" s="1">
        <v>-6.4556390040873879E-2</v>
      </c>
      <c r="AA77" s="1">
        <v>9.7174419497431108E-2</v>
      </c>
      <c r="AB77" s="1">
        <v>1.800148507435928E-4</v>
      </c>
      <c r="AD77" s="1">
        <v>0.28777056918734906</v>
      </c>
      <c r="AF77" s="4">
        <v>1.1526486441296542</v>
      </c>
      <c r="AH77" s="1">
        <v>-0.15281219557818682</v>
      </c>
      <c r="AI77" s="1">
        <v>-0.15278859338346673</v>
      </c>
    </row>
    <row r="78" spans="1:35" x14ac:dyDescent="0.15">
      <c r="A78" s="2">
        <v>71</v>
      </c>
      <c r="B78" s="1">
        <v>0.1831067148710244</v>
      </c>
      <c r="C78" s="1">
        <v>0.10946581654731501</v>
      </c>
      <c r="D78" s="1">
        <v>1.5E-5</v>
      </c>
      <c r="F78" s="1">
        <v>0.1831067148710244</v>
      </c>
      <c r="G78" s="1">
        <v>0.10946581654731501</v>
      </c>
      <c r="H78" s="1">
        <v>1.5E-5</v>
      </c>
      <c r="J78" s="4">
        <v>1634.9432534667635</v>
      </c>
      <c r="K78" s="4">
        <v>1980.2421022770229</v>
      </c>
      <c r="M78" s="1">
        <v>0</v>
      </c>
      <c r="N78" s="1">
        <v>0</v>
      </c>
      <c r="V78" s="1">
        <v>0.12966643463550898</v>
      </c>
      <c r="W78" s="1">
        <v>0.15297664830671232</v>
      </c>
      <c r="X78" s="1">
        <v>1.8001485074381485E-4</v>
      </c>
      <c r="Z78" s="1">
        <v>6.3852578537998639E-2</v>
      </c>
      <c r="AA78" s="1">
        <v>0.17462427128045155</v>
      </c>
      <c r="AB78" s="1">
        <v>1.800148507435928E-4</v>
      </c>
      <c r="AD78" s="1">
        <v>0.34124671449839938</v>
      </c>
      <c r="AF78" s="4">
        <v>1.2553200220007625</v>
      </c>
      <c r="AH78" s="1">
        <v>-0.11900102475549224</v>
      </c>
      <c r="AI78" s="1">
        <v>-0.11896010552955394</v>
      </c>
    </row>
    <row r="79" spans="1:35" x14ac:dyDescent="0.15">
      <c r="A79" s="2">
        <v>72</v>
      </c>
      <c r="B79" s="1">
        <v>4.0881813744324307E-2</v>
      </c>
      <c r="C79" s="1">
        <v>3.8384816040383463E-2</v>
      </c>
      <c r="D79" s="1">
        <v>1.5E-5</v>
      </c>
      <c r="F79" s="1">
        <v>4.0881813744324307E-2</v>
      </c>
      <c r="G79" s="1">
        <v>3.8384816040383463E-2</v>
      </c>
      <c r="H79" s="1">
        <v>1.5E-5</v>
      </c>
      <c r="J79" s="4">
        <v>1701.7826990375313</v>
      </c>
      <c r="K79" s="4">
        <v>2056.2533310883487</v>
      </c>
      <c r="M79" s="1">
        <v>0</v>
      </c>
      <c r="N79" s="1">
        <v>0</v>
      </c>
      <c r="V79" s="1">
        <v>0.12154887988559349</v>
      </c>
      <c r="W79" s="1">
        <v>0.15062657059114359</v>
      </c>
      <c r="X79" s="1">
        <v>1.8001485074381485E-4</v>
      </c>
      <c r="Z79" s="1">
        <v>7.1571425581411052E-2</v>
      </c>
      <c r="AA79" s="1">
        <v>0.18406187926357997</v>
      </c>
      <c r="AB79" s="1">
        <v>1.800148507435928E-4</v>
      </c>
      <c r="AD79" s="1">
        <v>0.3418962860789318</v>
      </c>
      <c r="AF79" s="4">
        <v>1.2551258668079637</v>
      </c>
      <c r="AH79" s="1">
        <v>-0.1215376283466777</v>
      </c>
      <c r="AI79" s="1">
        <v>-0.1214968481666665</v>
      </c>
    </row>
    <row r="80" spans="1:35" x14ac:dyDescent="0.15">
      <c r="A80" s="2">
        <v>73</v>
      </c>
      <c r="B80" s="1">
        <v>-2.2351717311118739E-3</v>
      </c>
      <c r="C80" s="1">
        <v>-1.0074091209237411E-2</v>
      </c>
      <c r="D80" s="1">
        <v>1.5E-5</v>
      </c>
      <c r="F80" s="1">
        <v>-2.2351717311118739E-3</v>
      </c>
      <c r="G80" s="1">
        <v>-1.0074091209237411E-2</v>
      </c>
      <c r="H80" s="1">
        <v>1.5E-5</v>
      </c>
      <c r="J80" s="4">
        <v>1697.9789224561473</v>
      </c>
      <c r="K80" s="4">
        <v>2035.5384474816665</v>
      </c>
      <c r="M80" s="1">
        <v>-2.2351717311118735E-3</v>
      </c>
      <c r="N80" s="1">
        <v>-1.0074091209237412E-2</v>
      </c>
      <c r="V80" s="1">
        <v>0.12584903923298629</v>
      </c>
      <c r="W80" s="1">
        <v>0.154030847785674</v>
      </c>
      <c r="X80" s="1">
        <v>1.8001485074381485E-4</v>
      </c>
      <c r="Z80" s="1">
        <v>0.10516954842806259</v>
      </c>
      <c r="AA80" s="1">
        <v>0.17257885326655309</v>
      </c>
      <c r="AB80" s="1">
        <v>1.800148507435928E-4</v>
      </c>
      <c r="AD80" s="1">
        <v>0.33907939130245046</v>
      </c>
      <c r="AF80" s="4">
        <v>1.2407439694836164</v>
      </c>
      <c r="AH80" s="1">
        <v>-8.049610299704979E-2</v>
      </c>
      <c r="AI80" s="1">
        <v>-8.0455976856986133E-2</v>
      </c>
    </row>
    <row r="81" spans="1:35" x14ac:dyDescent="0.15">
      <c r="A81" s="2">
        <v>74</v>
      </c>
      <c r="B81" s="1">
        <v>9.5252436086362025E-2</v>
      </c>
      <c r="C81" s="1">
        <v>2.7669366983081641E-2</v>
      </c>
      <c r="D81" s="1">
        <v>1.5E-5</v>
      </c>
      <c r="F81" s="1">
        <v>9.5252436086362025E-2</v>
      </c>
      <c r="G81" s="1">
        <v>2.7669366983081641E-2</v>
      </c>
      <c r="H81" s="1">
        <v>1.5E-5</v>
      </c>
      <c r="J81" s="4">
        <v>1859.7155512433912</v>
      </c>
      <c r="K81" s="4">
        <v>2091.8605077932089</v>
      </c>
      <c r="M81" s="1">
        <v>0</v>
      </c>
      <c r="N81" s="1">
        <v>0</v>
      </c>
      <c r="V81" s="1">
        <v>0.13127242068899858</v>
      </c>
      <c r="W81" s="1">
        <v>0.15848025422174294</v>
      </c>
      <c r="X81" s="1">
        <v>1.8001485074381485E-4</v>
      </c>
      <c r="Z81" s="1">
        <v>0.32827164846841517</v>
      </c>
      <c r="AA81" s="1">
        <v>0.31311958634157855</v>
      </c>
      <c r="AB81" s="1">
        <v>1.800148507435928E-4</v>
      </c>
      <c r="AD81" s="1">
        <v>0.32871663744107937</v>
      </c>
      <c r="AF81" s="4">
        <v>1.2861621090980979</v>
      </c>
      <c r="AH81" s="1">
        <v>-4.8711272914962023E-2</v>
      </c>
      <c r="AI81" s="1">
        <v>-4.8662067309124923E-2</v>
      </c>
    </row>
    <row r="82" spans="1:35" x14ac:dyDescent="0.15">
      <c r="A82" s="2">
        <v>75</v>
      </c>
      <c r="B82" s="1">
        <v>6.0284015820149861E-2</v>
      </c>
      <c r="C82" s="1">
        <v>4.369444067825401E-2</v>
      </c>
      <c r="D82" s="1">
        <v>1.5E-5</v>
      </c>
      <c r="F82" s="1">
        <v>6.0284015820149861E-2</v>
      </c>
      <c r="G82" s="1">
        <v>4.369444067825401E-2</v>
      </c>
      <c r="H82" s="1">
        <v>1.5E-5</v>
      </c>
      <c r="J82" s="4">
        <v>1971.8266729555266</v>
      </c>
      <c r="K82" s="4">
        <v>2183.2631826581614</v>
      </c>
      <c r="M82" s="1">
        <v>0</v>
      </c>
      <c r="N82" s="1">
        <v>0</v>
      </c>
      <c r="V82" s="1">
        <v>0.13361357285210529</v>
      </c>
      <c r="W82" s="1">
        <v>0.16019038845158939</v>
      </c>
      <c r="X82" s="1">
        <v>1.8001485074381485E-4</v>
      </c>
      <c r="Z82" s="1">
        <v>0.75148852024210111</v>
      </c>
      <c r="AA82" s="1">
        <v>0.56332178273075151</v>
      </c>
      <c r="AB82" s="1">
        <v>1.800148507435928E-4</v>
      </c>
      <c r="AD82" s="1">
        <v>0.22006684877452021</v>
      </c>
      <c r="AF82" s="4">
        <v>1.0955217708264517</v>
      </c>
      <c r="AH82" s="1">
        <v>8.3942780840325693E-2</v>
      </c>
      <c r="AI82" s="1">
        <v>8.3961293440881102E-2</v>
      </c>
    </row>
    <row r="83" spans="1:35" x14ac:dyDescent="0.15">
      <c r="A83" s="2">
        <v>76</v>
      </c>
      <c r="B83" s="1">
        <v>5.4720067637438863E-2</v>
      </c>
      <c r="C83" s="1">
        <v>5.3371049687658267E-2</v>
      </c>
      <c r="D83" s="1">
        <v>1.5E-5</v>
      </c>
      <c r="F83" s="1">
        <v>5.4720067637438863E-2</v>
      </c>
      <c r="G83" s="1">
        <v>5.3371049687658267E-2</v>
      </c>
      <c r="H83" s="1">
        <v>1.5E-5</v>
      </c>
      <c r="J83" s="4">
        <v>2079.7251618689593</v>
      </c>
      <c r="K83" s="4">
        <v>2299.7862304610453</v>
      </c>
      <c r="M83" s="1">
        <v>0</v>
      </c>
      <c r="N83" s="1">
        <v>0</v>
      </c>
      <c r="V83" s="1">
        <v>0.13758105876502547</v>
      </c>
      <c r="W83" s="1">
        <v>0.16131321412296562</v>
      </c>
      <c r="X83" s="1">
        <v>1.8001485074381485E-4</v>
      </c>
      <c r="Z83" s="1">
        <v>0.61906588907207261</v>
      </c>
      <c r="AA83" s="1">
        <v>0.4595896803821462</v>
      </c>
      <c r="AB83" s="1">
        <v>1.800148507435928E-4</v>
      </c>
      <c r="AD83" s="1">
        <v>0.1966147303118026</v>
      </c>
      <c r="AF83" s="4">
        <v>1.1146898552368543</v>
      </c>
      <c r="AH83" s="1">
        <v>7.1305488586592247E-2</v>
      </c>
      <c r="AI83" s="1">
        <v>7.1327478430561531E-2</v>
      </c>
    </row>
    <row r="84" spans="1:35" x14ac:dyDescent="0.15">
      <c r="A84" s="2">
        <v>77</v>
      </c>
      <c r="B84" s="1">
        <v>3.393232578838945E-2</v>
      </c>
      <c r="C84" s="1">
        <v>6.9868957217165129E-3</v>
      </c>
      <c r="D84" s="1">
        <v>1.5E-5</v>
      </c>
      <c r="F84" s="1">
        <v>3.393232578838945E-2</v>
      </c>
      <c r="G84" s="1">
        <v>6.9868957217165129E-3</v>
      </c>
      <c r="H84" s="1">
        <v>1.5E-5</v>
      </c>
      <c r="J84" s="4">
        <v>2150.2950736118078</v>
      </c>
      <c r="K84" s="4">
        <v>2315.8545970355162</v>
      </c>
      <c r="M84" s="1">
        <v>0</v>
      </c>
      <c r="N84" s="1">
        <v>0</v>
      </c>
      <c r="V84" s="1">
        <v>0.12660041505584685</v>
      </c>
      <c r="W84" s="1">
        <v>0.15619262486936436</v>
      </c>
      <c r="X84" s="1">
        <v>1.8001485074381485E-4</v>
      </c>
      <c r="Z84" s="1">
        <v>0.62079459640078505</v>
      </c>
      <c r="AA84" s="1">
        <v>0.40289863803770598</v>
      </c>
      <c r="AB84" s="1">
        <v>1.800148507435928E-4</v>
      </c>
      <c r="AD84" s="1">
        <v>0.19655963339714311</v>
      </c>
      <c r="AF84" s="4">
        <v>1.1156049187463981</v>
      </c>
      <c r="AH84" s="1">
        <v>0.12149807304071225</v>
      </c>
      <c r="AI84" s="1">
        <v>0.12152118844930704</v>
      </c>
    </row>
    <row r="85" spans="1:35" x14ac:dyDescent="0.15">
      <c r="A85" s="2">
        <v>78</v>
      </c>
      <c r="B85" s="1">
        <v>-1.9971745283650089E-3</v>
      </c>
      <c r="C85" s="1">
        <v>2.3347870914053988E-2</v>
      </c>
      <c r="D85" s="1">
        <v>1.5E-5</v>
      </c>
      <c r="F85" s="1">
        <v>-1.9971745283650089E-3</v>
      </c>
      <c r="G85" s="1">
        <v>2.3347870914053988E-2</v>
      </c>
      <c r="H85" s="1">
        <v>1.5E-5</v>
      </c>
      <c r="J85" s="4">
        <v>2146.0005590623214</v>
      </c>
      <c r="K85" s="4">
        <v>2369.92487122282</v>
      </c>
      <c r="M85" s="1">
        <v>-1.9971745283651199E-3</v>
      </c>
      <c r="N85" s="1">
        <v>0</v>
      </c>
      <c r="V85" s="1">
        <v>0.12851912980762203</v>
      </c>
      <c r="W85" s="1">
        <v>0.15657128625217953</v>
      </c>
      <c r="X85" s="1">
        <v>1.8001485074381485E-4</v>
      </c>
      <c r="Z85" s="1">
        <v>0.58820142079352378</v>
      </c>
      <c r="AA85" s="1">
        <v>0.40792268296702217</v>
      </c>
      <c r="AB85" s="1">
        <v>1.800148507435928E-4</v>
      </c>
      <c r="AD85" s="1">
        <v>0.20031283956144255</v>
      </c>
      <c r="AF85" s="4">
        <v>1.121038560968155</v>
      </c>
      <c r="AH85" s="1">
        <v>9.2419553743077643E-2</v>
      </c>
      <c r="AI85" s="1">
        <v>9.2443179781439344E-2</v>
      </c>
    </row>
    <row r="86" spans="1:35" x14ac:dyDescent="0.15">
      <c r="A86" s="2">
        <v>79</v>
      </c>
      <c r="B86" s="1">
        <v>-6.4718642347382227E-3</v>
      </c>
      <c r="C86" s="1">
        <v>2.3692828724940499E-2</v>
      </c>
      <c r="D86" s="1">
        <v>1.5E-5</v>
      </c>
      <c r="F86" s="1">
        <v>-6.4718642347382227E-3</v>
      </c>
      <c r="G86" s="1">
        <v>2.3692828724940499E-2</v>
      </c>
      <c r="H86" s="1">
        <v>1.5E-5</v>
      </c>
      <c r="J86" s="4">
        <v>2132.1119347963977</v>
      </c>
      <c r="K86" s="4">
        <v>2426.0750952876788</v>
      </c>
      <c r="M86" s="1">
        <v>-8.4561133207026185E-3</v>
      </c>
      <c r="N86" s="1">
        <v>0</v>
      </c>
      <c r="V86" s="1">
        <v>0.1364863156677969</v>
      </c>
      <c r="W86" s="1">
        <v>0.16643496800267821</v>
      </c>
      <c r="X86" s="1">
        <v>1.8001485074381485E-4</v>
      </c>
      <c r="Z86" s="1">
        <v>0.53876352390799864</v>
      </c>
      <c r="AA86" s="1">
        <v>0.36432923947955786</v>
      </c>
      <c r="AB86" s="1">
        <v>1.800148507435928E-4</v>
      </c>
      <c r="AD86" s="1">
        <v>0.2054457779855228</v>
      </c>
      <c r="AF86" s="4">
        <v>1.1968374261179555</v>
      </c>
      <c r="AH86" s="1">
        <v>7.1123739273439401E-2</v>
      </c>
      <c r="AI86" s="1">
        <v>7.1161473912697115E-2</v>
      </c>
    </row>
    <row r="87" spans="1:35" x14ac:dyDescent="0.15">
      <c r="A87" s="2">
        <v>80</v>
      </c>
      <c r="B87" s="1">
        <v>3.004251068248465E-2</v>
      </c>
      <c r="C87" s="1">
        <v>3.0394611705052199E-2</v>
      </c>
      <c r="D87" s="1">
        <v>1.5E-5</v>
      </c>
      <c r="F87" s="1">
        <v>3.004251068248465E-2</v>
      </c>
      <c r="G87" s="1">
        <v>3.0394611705052199E-2</v>
      </c>
      <c r="H87" s="1">
        <v>1.5E-5</v>
      </c>
      <c r="J87" s="4">
        <v>2196.1659303737715</v>
      </c>
      <c r="K87" s="4">
        <v>2499.8147057762453</v>
      </c>
      <c r="M87" s="1">
        <v>0</v>
      </c>
      <c r="N87" s="1">
        <v>0</v>
      </c>
      <c r="V87" s="1">
        <v>0.12166640811994789</v>
      </c>
      <c r="W87" s="1">
        <v>0.15278855002777592</v>
      </c>
      <c r="X87" s="1">
        <v>1.8001485074381485E-4</v>
      </c>
      <c r="Z87" s="1">
        <v>0.50854945246128236</v>
      </c>
      <c r="AA87" s="1">
        <v>0.30878680014618509</v>
      </c>
      <c r="AB87" s="1">
        <v>1.800148507435928E-4</v>
      </c>
      <c r="AD87" s="1">
        <v>0.20510001173301745</v>
      </c>
      <c r="AF87" s="4">
        <v>1.3231778452841332</v>
      </c>
      <c r="AH87" s="1">
        <v>6.7175765582641267E-2</v>
      </c>
      <c r="AI87" s="1">
        <v>6.7237511544596673E-2</v>
      </c>
    </row>
    <row r="88" spans="1:35" x14ac:dyDescent="0.15">
      <c r="A88" s="2">
        <v>81</v>
      </c>
      <c r="B88" s="1">
        <v>-3.5527832974394553E-2</v>
      </c>
      <c r="C88" s="1">
        <v>-4.6461636613990047E-2</v>
      </c>
      <c r="D88" s="1">
        <v>1.5E-5</v>
      </c>
      <c r="F88" s="1">
        <v>-3.5527832974394553E-2</v>
      </c>
      <c r="G88" s="1">
        <v>-4.6461636613990047E-2</v>
      </c>
      <c r="H88" s="1">
        <v>1.5E-5</v>
      </c>
      <c r="J88" s="4">
        <v>2118.1409140153964</v>
      </c>
      <c r="K88" s="4">
        <v>2383.6692233141612</v>
      </c>
      <c r="M88" s="1">
        <v>-3.5527832974394546E-2</v>
      </c>
      <c r="N88" s="1">
        <v>-4.6461636613989943E-2</v>
      </c>
      <c r="V88" s="1">
        <v>0.1277396069623411</v>
      </c>
      <c r="W88" s="1">
        <v>0.15755123748500877</v>
      </c>
      <c r="X88" s="1">
        <v>1.8001485074381485E-4</v>
      </c>
      <c r="Z88" s="1">
        <v>0.50341656948758828</v>
      </c>
      <c r="AA88" s="1">
        <v>0.2999979660483123</v>
      </c>
      <c r="AB88" s="1">
        <v>1.800148507435928E-4</v>
      </c>
      <c r="AD88" s="1">
        <v>0.20632391709020478</v>
      </c>
      <c r="AF88" s="4">
        <v>1.2972205409289905</v>
      </c>
      <c r="AH88" s="1">
        <v>8.0354589431641088E-2</v>
      </c>
      <c r="AI88" s="1">
        <v>8.0412018402534091E-2</v>
      </c>
    </row>
    <row r="89" spans="1:35" x14ac:dyDescent="0.15">
      <c r="A89" s="2">
        <v>82</v>
      </c>
      <c r="B89" s="1">
        <v>4.4786420919127323E-2</v>
      </c>
      <c r="C89" s="1">
        <v>7.0052254292394478E-2</v>
      </c>
      <c r="D89" s="1">
        <v>1.5E-5</v>
      </c>
      <c r="F89" s="1">
        <v>4.4786420919127323E-2</v>
      </c>
      <c r="G89" s="1">
        <v>7.0052254292394478E-2</v>
      </c>
      <c r="H89" s="1">
        <v>1.5E-5</v>
      </c>
      <c r="J89" s="4">
        <v>2213.0048645565153</v>
      </c>
      <c r="K89" s="4">
        <v>2550.6506258947193</v>
      </c>
      <c r="M89" s="1">
        <v>0</v>
      </c>
      <c r="N89" s="1">
        <v>0</v>
      </c>
      <c r="V89" s="1">
        <v>0.12572946654787853</v>
      </c>
      <c r="W89" s="1">
        <v>0.15875308242368824</v>
      </c>
      <c r="X89" s="1">
        <v>1.8001485074381485E-4</v>
      </c>
      <c r="Z89" s="1">
        <v>0.6014139388308013</v>
      </c>
      <c r="AA89" s="1">
        <v>0.42904732513829025</v>
      </c>
      <c r="AB89" s="1">
        <v>1.800148507435928E-4</v>
      </c>
      <c r="AD89" s="1">
        <v>0.19736911346645983</v>
      </c>
      <c r="AF89" s="4">
        <v>1.2049320284702019</v>
      </c>
      <c r="AH89" s="1">
        <v>5.1494575167102097E-2</v>
      </c>
      <c r="AI89" s="1">
        <v>5.1533201140692819E-2</v>
      </c>
    </row>
    <row r="90" spans="1:35" x14ac:dyDescent="0.15">
      <c r="A90" s="2">
        <v>83</v>
      </c>
      <c r="B90" s="1">
        <v>-3.9745321314162863E-2</v>
      </c>
      <c r="C90" s="1">
        <v>-6.9635734829515128E-3</v>
      </c>
      <c r="D90" s="1">
        <v>1.5E-5</v>
      </c>
      <c r="F90" s="1">
        <v>-3.9745321314162863E-2</v>
      </c>
      <c r="G90" s="1">
        <v>-6.9635734829515128E-3</v>
      </c>
      <c r="H90" s="1">
        <v>1.5E-5</v>
      </c>
      <c r="J90" s="4">
        <v>2125.0482751449113</v>
      </c>
      <c r="K90" s="4">
        <v>2532.8889828319652</v>
      </c>
      <c r="M90" s="1">
        <v>-3.9745321314162751E-2</v>
      </c>
      <c r="N90" s="1">
        <v>-6.9635734829515128E-3</v>
      </c>
      <c r="V90" s="1">
        <v>0.12711677921831233</v>
      </c>
      <c r="W90" s="1">
        <v>0.16200363435124099</v>
      </c>
      <c r="X90" s="1">
        <v>1.8001485074381485E-4</v>
      </c>
      <c r="Z90" s="1">
        <v>0.29976882722927556</v>
      </c>
      <c r="AA90" s="1">
        <v>0.27908046188871016</v>
      </c>
      <c r="AB90" s="1">
        <v>1.800148507435928E-4</v>
      </c>
      <c r="AD90" s="1">
        <v>0.14041204833963636</v>
      </c>
      <c r="AF90" s="4">
        <v>0.91617604959229781</v>
      </c>
      <c r="AH90" s="1">
        <v>4.191077473325544E-2</v>
      </c>
      <c r="AI90" s="1">
        <v>4.1895107861513958E-2</v>
      </c>
    </row>
    <row r="91" spans="1:35" x14ac:dyDescent="0.15">
      <c r="A91" s="2">
        <v>84</v>
      </c>
      <c r="B91" s="1">
        <v>5.4387029704903611E-2</v>
      </c>
      <c r="C91" s="1">
        <v>4.4660316209762962E-2</v>
      </c>
      <c r="D91" s="1">
        <v>1.5E-5</v>
      </c>
      <c r="F91" s="1">
        <v>5.4387029704903611E-2</v>
      </c>
      <c r="G91" s="1">
        <v>4.4660316209762962E-2</v>
      </c>
      <c r="H91" s="1">
        <v>1.5E-5</v>
      </c>
      <c r="J91" s="4">
        <v>2240.6233388095716</v>
      </c>
      <c r="K91" s="4">
        <v>2646.0086057294657</v>
      </c>
      <c r="M91" s="1">
        <v>0</v>
      </c>
      <c r="N91" s="1">
        <v>0</v>
      </c>
      <c r="V91" s="1">
        <v>0.13872477978546693</v>
      </c>
      <c r="W91" s="1">
        <v>0.17276272614655164</v>
      </c>
      <c r="X91" s="1">
        <v>1.8001485074381485E-4</v>
      </c>
      <c r="Z91" s="1">
        <v>0.31663304608560772</v>
      </c>
      <c r="AA91" s="1">
        <v>0.2868106111852311</v>
      </c>
      <c r="AB91" s="1">
        <v>1.800148507435928E-4</v>
      </c>
      <c r="AD91" s="1">
        <v>0.142933342276305</v>
      </c>
      <c r="AF91" s="4">
        <v>0.93341505060802665</v>
      </c>
      <c r="AH91" s="1">
        <v>4.5308375899814513E-2</v>
      </c>
      <c r="AI91" s="1">
        <v>4.5295893820726629E-2</v>
      </c>
    </row>
    <row r="92" spans="1:35" x14ac:dyDescent="0.15">
      <c r="A92" s="2">
        <v>85</v>
      </c>
      <c r="B92" s="1">
        <v>1.2434074358325329E-2</v>
      </c>
      <c r="C92" s="1">
        <v>-5.1746321483427171E-2</v>
      </c>
      <c r="D92" s="1">
        <v>1.5E-5</v>
      </c>
      <c r="F92" s="1">
        <v>1.2434074358325329E-2</v>
      </c>
      <c r="G92" s="1">
        <v>-5.1746321483427171E-2</v>
      </c>
      <c r="H92" s="1">
        <v>1.5E-5</v>
      </c>
      <c r="J92" s="4">
        <v>2268.4834160133291</v>
      </c>
      <c r="K92" s="4">
        <v>2509.0873937694737</v>
      </c>
      <c r="M92" s="1">
        <v>0</v>
      </c>
      <c r="N92" s="1">
        <v>-5.1746321483427282E-2</v>
      </c>
      <c r="V92" s="1">
        <v>0.11900736975661297</v>
      </c>
      <c r="W92" s="1">
        <v>0.15506617700808767</v>
      </c>
      <c r="X92" s="1">
        <v>1.8001485074381485E-4</v>
      </c>
      <c r="Z92" s="1">
        <v>0.33599032709542676</v>
      </c>
      <c r="AA92" s="1">
        <v>0.23264062974279565</v>
      </c>
      <c r="AB92" s="1">
        <v>1.800148507435928E-4</v>
      </c>
      <c r="AD92" s="1">
        <v>0.14073727673514655</v>
      </c>
      <c r="AF92" s="4">
        <v>0.68069937993071494</v>
      </c>
      <c r="AH92" s="1">
        <v>0.16446176548767566</v>
      </c>
      <c r="AI92" s="1">
        <v>0.16439568461524234</v>
      </c>
    </row>
    <row r="93" spans="1:35" x14ac:dyDescent="0.15">
      <c r="A93" s="2">
        <v>86</v>
      </c>
      <c r="B93" s="1">
        <v>-1.7320243565061011E-2</v>
      </c>
      <c r="C93" s="1">
        <v>-2.9954729037047542E-2</v>
      </c>
      <c r="D93" s="1">
        <v>1.5E-5</v>
      </c>
      <c r="F93" s="1">
        <v>-1.7320243565061011E-2</v>
      </c>
      <c r="G93" s="1">
        <v>-2.9954729037047542E-2</v>
      </c>
      <c r="H93" s="1">
        <v>1.5E-5</v>
      </c>
      <c r="J93" s="4">
        <v>2229.1927307246765</v>
      </c>
      <c r="K93" s="4">
        <v>2433.9283607588372</v>
      </c>
      <c r="M93" s="1">
        <v>-1.7320243565061122E-2</v>
      </c>
      <c r="N93" s="1">
        <v>-8.015100348177473E-2</v>
      </c>
      <c r="V93" s="1">
        <v>0.12184553492663319</v>
      </c>
      <c r="W93" s="1">
        <v>0.15638587913586366</v>
      </c>
      <c r="X93" s="1">
        <v>1.8001485074381485E-4</v>
      </c>
      <c r="Z93" s="1">
        <v>0.19867402799006273</v>
      </c>
      <c r="AA93" s="1">
        <v>0.1635232615613027</v>
      </c>
      <c r="AB93" s="1">
        <v>1.800148507435928E-4</v>
      </c>
      <c r="AD93" s="1">
        <v>0.12356206461092858</v>
      </c>
      <c r="AF93" s="4">
        <v>0.65269911343678688</v>
      </c>
      <c r="AH93" s="1">
        <v>8.7733078505617845E-2</v>
      </c>
      <c r="AI93" s="1">
        <v>8.7665556575474479E-2</v>
      </c>
    </row>
    <row r="94" spans="1:35" x14ac:dyDescent="0.15">
      <c r="A94" s="2">
        <v>87</v>
      </c>
      <c r="B94" s="1">
        <v>1.5483867266013361E-2</v>
      </c>
      <c r="C94" s="1">
        <v>3.7009059896902403E-2</v>
      </c>
      <c r="D94" s="1">
        <v>1.5E-5</v>
      </c>
      <c r="F94" s="1">
        <v>1.5483867266013361E-2</v>
      </c>
      <c r="G94" s="1">
        <v>3.7009059896902403E-2</v>
      </c>
      <c r="H94" s="1">
        <v>1.5E-5</v>
      </c>
      <c r="J94" s="4">
        <v>2263.7092550775792</v>
      </c>
      <c r="K94" s="4">
        <v>2524.0057612469304</v>
      </c>
      <c r="M94" s="1">
        <v>-2.1045606514241699E-3</v>
      </c>
      <c r="N94" s="1">
        <v>-4.6108256873526265E-2</v>
      </c>
      <c r="V94" s="1">
        <v>0.11107710712864693</v>
      </c>
      <c r="W94" s="1">
        <v>0.14323198275863303</v>
      </c>
      <c r="X94" s="1">
        <v>1.8001485074381485E-4</v>
      </c>
      <c r="Z94" s="1">
        <v>0.14802649042400673</v>
      </c>
      <c r="AA94" s="1">
        <v>0.15607031772225866</v>
      </c>
      <c r="AB94" s="1">
        <v>1.800148507435928E-4</v>
      </c>
      <c r="AD94" s="1">
        <v>0.11369209896877645</v>
      </c>
      <c r="AF94" s="4">
        <v>0.58552512687303326</v>
      </c>
      <c r="AH94" s="1">
        <v>5.569871898270029E-2</v>
      </c>
      <c r="AI94" s="1">
        <v>5.5620315698079015E-2</v>
      </c>
    </row>
    <row r="95" spans="1:35" x14ac:dyDescent="0.15">
      <c r="A95" s="2">
        <v>88</v>
      </c>
      <c r="B95" s="1">
        <v>-7.5145158125008327E-2</v>
      </c>
      <c r="C95" s="1">
        <v>-8.7195950198928229E-2</v>
      </c>
      <c r="D95" s="1">
        <v>1.5E-5</v>
      </c>
      <c r="F95" s="1">
        <v>-7.5145158125008327E-2</v>
      </c>
      <c r="G95" s="1">
        <v>-8.7195950198928229E-2</v>
      </c>
      <c r="H95" s="1">
        <v>1.5E-5</v>
      </c>
      <c r="J95" s="4">
        <v>2093.6024651557295</v>
      </c>
      <c r="K95" s="4">
        <v>2303.922680587435</v>
      </c>
      <c r="M95" s="1">
        <v>-7.7091571233497636E-2</v>
      </c>
      <c r="N95" s="1">
        <v>-0.12928375380235113</v>
      </c>
      <c r="V95" s="1">
        <v>0.10999520132308782</v>
      </c>
      <c r="W95" s="1">
        <v>0.14237084964173197</v>
      </c>
      <c r="X95" s="1">
        <v>1.8001485074381485E-4</v>
      </c>
      <c r="Z95" s="1">
        <v>6.672662109977745E-3</v>
      </c>
      <c r="AA95" s="1">
        <v>1.7986237466776078E-3</v>
      </c>
      <c r="AB95" s="1">
        <v>1.800148507435928E-4</v>
      </c>
      <c r="AD95" s="1">
        <v>0.13305472266914034</v>
      </c>
      <c r="AF95" s="4">
        <v>0.65040930140226538</v>
      </c>
      <c r="AH95" s="1">
        <v>5.8847321419903675E-3</v>
      </c>
      <c r="AI95" s="1">
        <v>5.821468277177333E-3</v>
      </c>
    </row>
    <row r="96" spans="1:35" x14ac:dyDescent="0.15">
      <c r="A96" s="2">
        <v>89</v>
      </c>
      <c r="B96" s="1">
        <v>4.4127065910236851E-2</v>
      </c>
      <c r="C96" s="1">
        <v>1.8293948933869599E-3</v>
      </c>
      <c r="D96" s="1">
        <v>1.5E-5</v>
      </c>
      <c r="F96" s="1">
        <v>4.4127065910236851E-2</v>
      </c>
      <c r="G96" s="1">
        <v>1.8293948933869599E-3</v>
      </c>
      <c r="H96" s="1">
        <v>1.5E-5</v>
      </c>
      <c r="J96" s="4">
        <v>2185.9869991254909</v>
      </c>
      <c r="K96" s="4">
        <v>2308.1374649740601</v>
      </c>
      <c r="M96" s="1">
        <v>-3.6366330168205008E-2</v>
      </c>
      <c r="N96" s="1">
        <v>-0.12769086994796808</v>
      </c>
      <c r="V96" s="1">
        <v>0.11114102970651718</v>
      </c>
      <c r="W96" s="1">
        <v>0.14560068552658212</v>
      </c>
      <c r="X96" s="1">
        <v>1.8001485074381485E-4</v>
      </c>
      <c r="Z96" s="1">
        <v>1.6598617534723914E-2</v>
      </c>
      <c r="AA96" s="1">
        <v>-3.3323042264117309E-3</v>
      </c>
      <c r="AB96" s="1">
        <v>1.800148507435928E-4</v>
      </c>
      <c r="AD96" s="1">
        <v>0.13614223894326621</v>
      </c>
      <c r="AF96" s="4">
        <v>0.6447497518743609</v>
      </c>
      <c r="AH96" s="1">
        <v>1.9641818935262512E-2</v>
      </c>
      <c r="AI96" s="1">
        <v>1.9576725400371142E-2</v>
      </c>
    </row>
    <row r="97" spans="1:35" x14ac:dyDescent="0.15">
      <c r="A97" s="2">
        <v>90</v>
      </c>
      <c r="B97" s="1">
        <v>-9.2955874945710115E-2</v>
      </c>
      <c r="C97" s="1">
        <v>-8.25238902246751E-2</v>
      </c>
      <c r="D97" s="1">
        <v>1.5E-5</v>
      </c>
      <c r="F97" s="1">
        <v>-9.2955874945710115E-2</v>
      </c>
      <c r="G97" s="1">
        <v>-8.25238902246751E-2</v>
      </c>
      <c r="H97" s="1">
        <v>1.5E-5</v>
      </c>
      <c r="J97" s="4">
        <v>1982.7866650018336</v>
      </c>
      <c r="K97" s="4">
        <v>2117.6609821910811</v>
      </c>
      <c r="M97" s="1">
        <v>-0.12594174107456502</v>
      </c>
      <c r="N97" s="1">
        <v>-0.1996772128383637</v>
      </c>
      <c r="V97" s="1">
        <v>0.11650392917693297</v>
      </c>
      <c r="W97" s="1">
        <v>0.14945904767528573</v>
      </c>
      <c r="X97" s="1">
        <v>1.8001485074381485E-4</v>
      </c>
      <c r="Z97" s="1">
        <v>-7.605491684112331E-2</v>
      </c>
      <c r="AA97" s="1">
        <v>-0.10644383376658584</v>
      </c>
      <c r="AB97" s="1">
        <v>1.800148507435928E-4</v>
      </c>
      <c r="AD97" s="1">
        <v>0.16618927674517581</v>
      </c>
      <c r="AF97" s="4">
        <v>0.77044167056202995</v>
      </c>
      <c r="AH97" s="1">
        <v>9.0246010465440119E-3</v>
      </c>
      <c r="AI97" s="1">
        <v>8.9829396378486859E-3</v>
      </c>
    </row>
    <row r="98" spans="1:35" x14ac:dyDescent="0.15">
      <c r="A98" s="2">
        <v>91</v>
      </c>
      <c r="B98" s="1">
        <v>5.1744374428720707E-2</v>
      </c>
      <c r="C98" s="1">
        <v>9.2205431940840743E-2</v>
      </c>
      <c r="D98" s="1">
        <v>1.5E-5</v>
      </c>
      <c r="F98" s="1">
        <v>5.1744374428720707E-2</v>
      </c>
      <c r="G98" s="1">
        <v>9.2205431940840743E-2</v>
      </c>
      <c r="H98" s="1">
        <v>1.5E-5</v>
      </c>
      <c r="J98" s="4">
        <v>2085.3847206079631</v>
      </c>
      <c r="K98" s="4">
        <v>2312.9208277582748</v>
      </c>
      <c r="M98" s="1">
        <v>-8.071414325221149E-2</v>
      </c>
      <c r="N98" s="1">
        <v>-0.12588310455602747</v>
      </c>
      <c r="V98" s="1">
        <v>0.11731987853935943</v>
      </c>
      <c r="W98" s="1">
        <v>0.14861929757826187</v>
      </c>
      <c r="X98" s="1">
        <v>1.8001485074381485E-4</v>
      </c>
      <c r="Z98" s="1">
        <v>-2.1915929190132855E-2</v>
      </c>
      <c r="AA98" s="1">
        <v>-4.6640875935452297E-2</v>
      </c>
      <c r="AB98" s="1">
        <v>1.800148507435928E-4</v>
      </c>
      <c r="AD98" s="1">
        <v>0.17573719165126631</v>
      </c>
      <c r="AF98" s="4">
        <v>0.73788427309421223</v>
      </c>
      <c r="AH98" s="1">
        <v>1.3568178066619474E-2</v>
      </c>
      <c r="AI98" s="1">
        <v>1.3520411786264397E-2</v>
      </c>
    </row>
    <row r="99" spans="1:35" x14ac:dyDescent="0.15">
      <c r="A99" s="2">
        <v>92</v>
      </c>
      <c r="B99" s="1">
        <v>-2.477333668669102E-2</v>
      </c>
      <c r="C99" s="1">
        <v>-4.080118755942308E-2</v>
      </c>
      <c r="D99" s="1">
        <v>1.5E-5</v>
      </c>
      <c r="F99" s="1">
        <v>-2.477333668669102E-2</v>
      </c>
      <c r="G99" s="1">
        <v>-4.080118755942308E-2</v>
      </c>
      <c r="H99" s="1">
        <v>1.5E-5</v>
      </c>
      <c r="J99" s="4">
        <v>2033.7227828030609</v>
      </c>
      <c r="K99" s="4">
        <v>2218.5509112548134</v>
      </c>
      <c r="M99" s="1">
        <v>-0.10348792129273776</v>
      </c>
      <c r="N99" s="1">
        <v>-0.16154811195589758</v>
      </c>
      <c r="V99" s="1">
        <v>0.11675644769002202</v>
      </c>
      <c r="W99" s="1">
        <v>0.15046400844021357</v>
      </c>
      <c r="X99" s="1">
        <v>1.8001485074381485E-4</v>
      </c>
      <c r="Z99" s="1">
        <v>-7.3966700477437808E-2</v>
      </c>
      <c r="AA99" s="1">
        <v>-0.11251385707569617</v>
      </c>
      <c r="AB99" s="1">
        <v>1.800148507435928E-4</v>
      </c>
      <c r="AD99" s="1">
        <v>0.17383519105506862</v>
      </c>
      <c r="AF99" s="4">
        <v>0.72762014311097845</v>
      </c>
      <c r="AH99" s="1">
        <v>1.0225256687826256E-2</v>
      </c>
      <c r="AI99" s="1">
        <v>1.0175770069354773E-2</v>
      </c>
    </row>
    <row r="100" spans="1:35" x14ac:dyDescent="0.15">
      <c r="A100" s="2">
        <v>93</v>
      </c>
      <c r="B100" s="1">
        <v>-9.5161727028036824E-2</v>
      </c>
      <c r="C100" s="1">
        <v>-9.2059807530769144E-2</v>
      </c>
      <c r="D100" s="1">
        <v>1.5E-5</v>
      </c>
      <c r="F100" s="1">
        <v>-9.5161727028036824E-2</v>
      </c>
      <c r="G100" s="1">
        <v>-9.2059807530769144E-2</v>
      </c>
      <c r="H100" s="1">
        <v>1.5E-5</v>
      </c>
      <c r="J100" s="4">
        <v>1840.1902104952567</v>
      </c>
      <c r="K100" s="4">
        <v>2014.3115413674827</v>
      </c>
      <c r="M100" s="1">
        <v>-0.18880155900401607</v>
      </c>
      <c r="N100" s="1">
        <v>-0.23873583139304766</v>
      </c>
      <c r="V100" s="1">
        <v>0.11645727437170428</v>
      </c>
      <c r="W100" s="1">
        <v>0.14929264122058794</v>
      </c>
      <c r="X100" s="1">
        <v>1.8001485074381485E-4</v>
      </c>
      <c r="Z100" s="1">
        <v>-0.13122389623890707</v>
      </c>
      <c r="AA100" s="1">
        <v>-0.15495341313889932</v>
      </c>
      <c r="AB100" s="1">
        <v>1.800148507435928E-4</v>
      </c>
      <c r="AD100" s="1">
        <v>0.19421560464780382</v>
      </c>
      <c r="AF100" s="4">
        <v>0.77929785806846197</v>
      </c>
      <c r="AH100" s="1">
        <v>-8.7244787787323919E-3</v>
      </c>
      <c r="AI100" s="1">
        <v>-8.7638866210160149E-3</v>
      </c>
    </row>
    <row r="101" spans="1:35" x14ac:dyDescent="0.15">
      <c r="A101" s="2">
        <v>94</v>
      </c>
      <c r="B101" s="1">
        <v>0.1143203401190669</v>
      </c>
      <c r="C101" s="1">
        <v>8.0942345781868763E-2</v>
      </c>
      <c r="D101" s="1">
        <v>1.5E-5</v>
      </c>
      <c r="F101" s="1">
        <v>0.1143203401190669</v>
      </c>
      <c r="G101" s="1">
        <v>8.0942345781868763E-2</v>
      </c>
      <c r="H101" s="1">
        <v>1.5E-5</v>
      </c>
      <c r="J101" s="4">
        <v>2050.5613812428519</v>
      </c>
      <c r="K101" s="4">
        <v>2177.3546426612584</v>
      </c>
      <c r="M101" s="1">
        <v>-9.6065077325298232E-2</v>
      </c>
      <c r="N101" s="1">
        <v>-0.17711732382631695</v>
      </c>
      <c r="V101" s="1">
        <v>0.11042907753683107</v>
      </c>
      <c r="W101" s="1">
        <v>0.14380797760679265</v>
      </c>
      <c r="X101" s="1">
        <v>1.8001485074381485E-4</v>
      </c>
      <c r="Z101" s="1">
        <v>-7.3404033545229841E-2</v>
      </c>
      <c r="AA101" s="1">
        <v>-0.14635324001009176</v>
      </c>
      <c r="AB101" s="1">
        <v>1.800148507435928E-4</v>
      </c>
      <c r="AD101" s="1">
        <v>0.22559560138267803</v>
      </c>
      <c r="AF101" s="4">
        <v>0.90188570124501821</v>
      </c>
      <c r="AH101" s="1">
        <v>7.0998633936271149E-2</v>
      </c>
      <c r="AI101" s="1">
        <v>7.0979827443077737E-2</v>
      </c>
    </row>
    <row r="102" spans="1:35" x14ac:dyDescent="0.15">
      <c r="A102" s="2">
        <v>95</v>
      </c>
      <c r="B102" s="1">
        <v>6.2990769773712429E-2</v>
      </c>
      <c r="C102" s="1">
        <v>5.5883885688077228E-2</v>
      </c>
      <c r="D102" s="1">
        <v>1.5E-5</v>
      </c>
      <c r="F102" s="1">
        <v>6.2990769773712429E-2</v>
      </c>
      <c r="G102" s="1">
        <v>5.5883885688077228E-2</v>
      </c>
      <c r="H102" s="1">
        <v>1.5E-5</v>
      </c>
      <c r="J102" s="4">
        <v>2179.7278211155863</v>
      </c>
      <c r="K102" s="4">
        <v>2299.0336806141445</v>
      </c>
      <c r="M102" s="1">
        <v>-3.9125520720677542E-2</v>
      </c>
      <c r="N102" s="1">
        <v>-0.13113144241632779</v>
      </c>
      <c r="V102" s="1">
        <v>0.10365509736286249</v>
      </c>
      <c r="W102" s="1">
        <v>0.13679281836026469</v>
      </c>
      <c r="X102" s="1">
        <v>1.8001485074381485E-4</v>
      </c>
      <c r="Z102" s="1">
        <v>2.5730966496253282E-2</v>
      </c>
      <c r="AA102" s="1">
        <v>-9.2327497889920229E-2</v>
      </c>
      <c r="AB102" s="1">
        <v>1.800148507435928E-4</v>
      </c>
      <c r="AD102" s="1">
        <v>0.23134763851925833</v>
      </c>
      <c r="AF102" s="4">
        <v>0.90971724473897919</v>
      </c>
      <c r="AH102" s="1">
        <v>0.12170889264266127</v>
      </c>
      <c r="AI102" s="1">
        <v>0.12169083763869137</v>
      </c>
    </row>
    <row r="103" spans="1:35" x14ac:dyDescent="0.15">
      <c r="A103" s="2">
        <v>96</v>
      </c>
      <c r="B103" s="1">
        <v>-4.6680683438962263E-2</v>
      </c>
      <c r="C103" s="1">
        <v>-5.7659017876629859E-2</v>
      </c>
      <c r="D103" s="1">
        <v>1.5E-5</v>
      </c>
      <c r="F103" s="1">
        <v>-4.6680683438962263E-2</v>
      </c>
      <c r="G103" s="1">
        <v>-5.7659017876629859E-2</v>
      </c>
      <c r="H103" s="1">
        <v>1.5E-5</v>
      </c>
      <c r="J103" s="4">
        <v>2077.9766367149905</v>
      </c>
      <c r="K103" s="4">
        <v>2166.4736565246394</v>
      </c>
      <c r="M103" s="1">
        <v>-8.3979798112493342E-2</v>
      </c>
      <c r="N103" s="1">
        <v>-0.18122955011048636</v>
      </c>
      <c r="V103" s="1">
        <v>0.11018438306074807</v>
      </c>
      <c r="W103" s="1">
        <v>0.14319545687649771</v>
      </c>
      <c r="X103" s="1">
        <v>1.8001485074381485E-4</v>
      </c>
      <c r="Z103" s="1">
        <v>-7.258993480849607E-2</v>
      </c>
      <c r="AA103" s="1">
        <v>-0.18122955011048625</v>
      </c>
      <c r="AB103" s="1">
        <v>1.800148507435928E-4</v>
      </c>
      <c r="AD103" s="1">
        <v>0.22948782495957579</v>
      </c>
      <c r="AF103" s="4">
        <v>0.90808443054418975</v>
      </c>
      <c r="AH103" s="1">
        <v>0.11255483612879691</v>
      </c>
      <c r="AI103" s="1">
        <v>0.11253659214700207</v>
      </c>
    </row>
    <row r="104" spans="1:35" x14ac:dyDescent="0.15">
      <c r="A104" s="2">
        <v>97</v>
      </c>
      <c r="B104" s="1">
        <v>6.6244355068549199E-2</v>
      </c>
      <c r="C104" s="1">
        <v>6.2826351145986559E-2</v>
      </c>
      <c r="D104" s="1">
        <v>1.5E-5</v>
      </c>
      <c r="F104" s="1">
        <v>6.6244355068549199E-2</v>
      </c>
      <c r="G104" s="1">
        <v>6.2826351145986559E-2</v>
      </c>
      <c r="H104" s="1">
        <v>1.5E-5</v>
      </c>
      <c r="J104" s="4">
        <v>2215.630858861688</v>
      </c>
      <c r="K104" s="4">
        <v>2302.5852912179857</v>
      </c>
      <c r="M104" s="1">
        <v>-2.3298630608693194E-2</v>
      </c>
      <c r="N104" s="1">
        <v>-0.12978919031777036</v>
      </c>
      <c r="V104" s="1">
        <v>0.11227113464327654</v>
      </c>
      <c r="W104" s="1">
        <v>0.14318610723156433</v>
      </c>
      <c r="X104" s="1">
        <v>1.8001485074381485E-4</v>
      </c>
      <c r="Z104" s="1">
        <v>-2.3298630608693194E-2</v>
      </c>
      <c r="AA104" s="1">
        <v>-8.2301677918541483E-2</v>
      </c>
      <c r="AB104" s="1">
        <v>1.800148507435928E-4</v>
      </c>
      <c r="AD104" s="1">
        <v>0.23982987382809717</v>
      </c>
      <c r="AF104" s="4">
        <v>0.95388539041257325</v>
      </c>
      <c r="AH104" s="1">
        <v>6.1285036141380367E-2</v>
      </c>
      <c r="AI104" s="1">
        <v>6.1276270397687016E-2</v>
      </c>
    </row>
    <row r="105" spans="1:35" x14ac:dyDescent="0.15">
      <c r="A105" s="2">
        <v>98</v>
      </c>
      <c r="B105" s="1">
        <v>-3.2605245838994601E-2</v>
      </c>
      <c r="C105" s="1">
        <v>-2.4417123046892138E-2</v>
      </c>
      <c r="D105" s="1">
        <v>1.5E-5</v>
      </c>
      <c r="F105" s="1">
        <v>-3.2605245838994601E-2</v>
      </c>
      <c r="G105" s="1">
        <v>-2.4417123046892138E-2</v>
      </c>
      <c r="H105" s="1">
        <v>1.5E-5</v>
      </c>
      <c r="J105" s="4">
        <v>2143.3896700200398</v>
      </c>
      <c r="K105" s="4">
        <v>2246.3627828363524</v>
      </c>
      <c r="M105" s="1">
        <v>-5.5144218868979467E-2</v>
      </c>
      <c r="N105" s="1">
        <v>-0.15103723473451702</v>
      </c>
      <c r="V105" s="1">
        <v>0.11455772385318919</v>
      </c>
      <c r="W105" s="1">
        <v>0.1458593018104688</v>
      </c>
      <c r="X105" s="1">
        <v>1.8001485074381485E-4</v>
      </c>
      <c r="Z105" s="1">
        <v>-3.8490642608879799E-2</v>
      </c>
      <c r="AA105" s="1">
        <v>-7.706290002060967E-2</v>
      </c>
      <c r="AB105" s="1">
        <v>1.800148507435928E-4</v>
      </c>
      <c r="AD105" s="1">
        <v>0.24153177958263355</v>
      </c>
      <c r="AF105" s="4">
        <v>0.96247857332892073</v>
      </c>
      <c r="AH105" s="1">
        <v>4.0248502803280184E-2</v>
      </c>
      <c r="AI105" s="1">
        <v>4.0241500200107749E-2</v>
      </c>
    </row>
    <row r="106" spans="1:35" x14ac:dyDescent="0.15">
      <c r="A106" s="2">
        <v>99</v>
      </c>
      <c r="B106" s="1">
        <v>-1.6325314851130979E-2</v>
      </c>
      <c r="C106" s="1">
        <v>3.6560756493395852E-2</v>
      </c>
      <c r="D106" s="1">
        <v>1.5E-5</v>
      </c>
      <c r="F106" s="1">
        <v>-1.6325314851130979E-2</v>
      </c>
      <c r="G106" s="1">
        <v>3.6560756493395852E-2</v>
      </c>
      <c r="H106" s="1">
        <v>1.5E-5</v>
      </c>
      <c r="J106" s="4">
        <v>2108.3981588083011</v>
      </c>
      <c r="K106" s="4">
        <v>2328.4915055354595</v>
      </c>
      <c r="M106" s="1">
        <v>-7.0569286984854651E-2</v>
      </c>
      <c r="N106" s="1">
        <v>-0.11999851380168558</v>
      </c>
      <c r="V106" s="1">
        <v>0.11417604809571347</v>
      </c>
      <c r="W106" s="1">
        <v>0.14748196612815279</v>
      </c>
      <c r="X106" s="1">
        <v>1.8001485074381485E-4</v>
      </c>
      <c r="Z106" s="1">
        <v>-6.8609118384311274E-2</v>
      </c>
      <c r="AA106" s="1">
        <v>-7.7461889633279601E-2</v>
      </c>
      <c r="AB106" s="1">
        <v>1.800148507435928E-4</v>
      </c>
      <c r="AD106" s="1">
        <v>0.24125305225258484</v>
      </c>
      <c r="AF106" s="4">
        <v>0.93773613781609799</v>
      </c>
      <c r="AH106" s="1">
        <v>6.8219098197668249E-3</v>
      </c>
      <c r="AI106" s="1">
        <v>6.8106323171981398E-3</v>
      </c>
    </row>
    <row r="107" spans="1:35" x14ac:dyDescent="0.15">
      <c r="A107" s="2">
        <v>100</v>
      </c>
      <c r="B107" s="1">
        <v>1.1456512072938629E-2</v>
      </c>
      <c r="C107" s="1">
        <v>1.5579915270805159E-2</v>
      </c>
      <c r="D107" s="1">
        <v>1.5E-5</v>
      </c>
      <c r="F107" s="1">
        <v>1.1456512072938629E-2</v>
      </c>
      <c r="G107" s="1">
        <v>1.5579915270805159E-2</v>
      </c>
      <c r="H107" s="1">
        <v>1.5E-5</v>
      </c>
      <c r="J107" s="4">
        <v>2132.55304776925</v>
      </c>
      <c r="K107" s="4">
        <v>2364.7692059004917</v>
      </c>
      <c r="M107" s="1">
        <v>-5.9921252800236635E-2</v>
      </c>
      <c r="N107" s="1">
        <v>-0.10628816520853324</v>
      </c>
      <c r="V107" s="1">
        <v>0.11821278252332545</v>
      </c>
      <c r="W107" s="1">
        <v>0.14871932522188192</v>
      </c>
      <c r="X107" s="1">
        <v>1.8001485074381485E-4</v>
      </c>
      <c r="Z107" s="1">
        <v>1.8604574298025867E-2</v>
      </c>
      <c r="AA107" s="1">
        <v>2.6409968453256605E-2</v>
      </c>
      <c r="AB107" s="1">
        <v>1.800148507435928E-4</v>
      </c>
      <c r="AD107" s="1">
        <v>0.22847441628511944</v>
      </c>
      <c r="AF107" s="4">
        <v>0.94921381915861291</v>
      </c>
      <c r="AH107" s="1">
        <v>-3.5237385436888147E-3</v>
      </c>
      <c r="AI107" s="1">
        <v>-3.5328504857679022E-3</v>
      </c>
    </row>
    <row r="108" spans="1:35" x14ac:dyDescent="0.15">
      <c r="A108" s="2">
        <v>101</v>
      </c>
      <c r="B108" s="1">
        <v>-2.3661917413407511E-2</v>
      </c>
      <c r="C108" s="1">
        <v>4.3131151697177739E-3</v>
      </c>
      <c r="D108" s="1">
        <v>1.5E-5</v>
      </c>
      <c r="F108" s="1">
        <v>-2.3661917413407511E-2</v>
      </c>
      <c r="G108" s="1">
        <v>4.3131151697177739E-3</v>
      </c>
      <c r="H108" s="1">
        <v>1.5E-5</v>
      </c>
      <c r="J108" s="4">
        <v>2082.0927536732238</v>
      </c>
      <c r="K108" s="4">
        <v>2374.9687278353426</v>
      </c>
      <c r="M108" s="1">
        <v>-8.2165318478576888E-2</v>
      </c>
      <c r="N108" s="1">
        <v>-0.10243348313653777</v>
      </c>
      <c r="V108" s="1">
        <v>0.11557033389512839</v>
      </c>
      <c r="W108" s="1">
        <v>0.14755971357085995</v>
      </c>
      <c r="X108" s="1">
        <v>1.8001485074381485E-4</v>
      </c>
      <c r="Z108" s="1">
        <v>-4.7527384880985513E-2</v>
      </c>
      <c r="AA108" s="1">
        <v>2.8954628515608594E-2</v>
      </c>
      <c r="AB108" s="1">
        <v>1.800148507435928E-4</v>
      </c>
      <c r="AD108" s="1">
        <v>0.22537020531719951</v>
      </c>
      <c r="AF108" s="4">
        <v>0.95148340616388105</v>
      </c>
      <c r="AH108" s="1">
        <v>-7.134616826636242E-2</v>
      </c>
      <c r="AI108" s="1">
        <v>-7.1354328334019446E-2</v>
      </c>
    </row>
    <row r="109" spans="1:35" x14ac:dyDescent="0.15">
      <c r="A109" s="2">
        <v>102</v>
      </c>
      <c r="B109" s="1">
        <v>6.9003247414898494E-2</v>
      </c>
      <c r="C109" s="1">
        <v>6.603875945324833E-2</v>
      </c>
      <c r="D109" s="1">
        <v>1.5E-5</v>
      </c>
      <c r="F109" s="1">
        <v>6.9003247414898494E-2</v>
      </c>
      <c r="G109" s="1">
        <v>6.603875945324833E-2</v>
      </c>
      <c r="H109" s="1">
        <v>1.5E-5</v>
      </c>
      <c r="J109" s="4">
        <v>2225.7639150957048</v>
      </c>
      <c r="K109" s="4">
        <v>2531.8087163618479</v>
      </c>
      <c r="M109" s="1">
        <v>-1.8831744863579525E-2</v>
      </c>
      <c r="N109" s="1">
        <v>-4.315930383610167E-2</v>
      </c>
      <c r="V109" s="1">
        <v>0.11672392430411072</v>
      </c>
      <c r="W109" s="1">
        <v>0.1487621211108261</v>
      </c>
      <c r="X109" s="1">
        <v>1.8001485074381485E-4</v>
      </c>
      <c r="Z109" s="1">
        <v>0.12254331461001922</v>
      </c>
      <c r="AA109" s="1">
        <v>0.19556847751062567</v>
      </c>
      <c r="AB109" s="1">
        <v>1.800148507435928E-4</v>
      </c>
      <c r="AD109" s="1">
        <v>0.21195113964238765</v>
      </c>
      <c r="AF109" s="4">
        <v>0.94600354728923208</v>
      </c>
      <c r="AH109" s="1">
        <v>-5.0868419570171519E-2</v>
      </c>
      <c r="AI109" s="1">
        <v>-5.087768470365106E-2</v>
      </c>
    </row>
    <row r="110" spans="1:35" x14ac:dyDescent="0.15">
      <c r="A110" s="2">
        <v>103</v>
      </c>
      <c r="B110" s="1">
        <v>4.9330222674065283E-2</v>
      </c>
      <c r="C110" s="1">
        <v>3.2077185348140969E-2</v>
      </c>
      <c r="D110" s="1">
        <v>1.5E-5</v>
      </c>
      <c r="F110" s="1">
        <v>4.9330222674065283E-2</v>
      </c>
      <c r="G110" s="1">
        <v>3.2077185348140969E-2</v>
      </c>
      <c r="H110" s="1">
        <v>1.5E-5</v>
      </c>
      <c r="J110" s="4">
        <v>2335.5613446472753</v>
      </c>
      <c r="K110" s="4">
        <v>2613.0220138226259</v>
      </c>
      <c r="M110" s="1">
        <v>0</v>
      </c>
      <c r="N110" s="1">
        <v>-1.2466547476608025E-2</v>
      </c>
      <c r="V110" s="1">
        <v>0.1173710149138758</v>
      </c>
      <c r="W110" s="1">
        <v>0.14804741778543296</v>
      </c>
      <c r="X110" s="1">
        <v>1.8001485074381485E-4</v>
      </c>
      <c r="Z110" s="1">
        <v>0.11996665246802807</v>
      </c>
      <c r="AA110" s="1">
        <v>0.12974987403923111</v>
      </c>
      <c r="AB110" s="1">
        <v>1.800148507435928E-4</v>
      </c>
      <c r="AD110" s="1">
        <v>0.21146276523930208</v>
      </c>
      <c r="AF110" s="4">
        <v>1.0363840334276857</v>
      </c>
      <c r="AH110" s="1">
        <v>-1.0168016499120025E-2</v>
      </c>
      <c r="AI110" s="1">
        <v>-1.0161528421887556E-2</v>
      </c>
    </row>
    <row r="111" spans="1:35" x14ac:dyDescent="0.15">
      <c r="A111" s="2">
        <v>104</v>
      </c>
      <c r="B111" s="1">
        <v>-2.346532703671456E-2</v>
      </c>
      <c r="C111" s="1">
        <v>-1.5896372317711349E-2</v>
      </c>
      <c r="D111" s="1">
        <v>1.5E-5</v>
      </c>
      <c r="F111" s="1">
        <v>-2.346532703671456E-2</v>
      </c>
      <c r="G111" s="1">
        <v>-1.5896372317711349E-2</v>
      </c>
      <c r="H111" s="1">
        <v>1.5E-5</v>
      </c>
      <c r="J111" s="4">
        <v>2280.7566338808183</v>
      </c>
      <c r="K111" s="4">
        <v>2571.4844430165253</v>
      </c>
      <c r="M111" s="1">
        <v>-2.3465327036714556E-2</v>
      </c>
      <c r="N111" s="1">
        <v>-2.8164746914114858E-2</v>
      </c>
      <c r="V111" s="1">
        <v>0.11607121953486299</v>
      </c>
      <c r="W111" s="1">
        <v>0.1483829002434438</v>
      </c>
      <c r="X111" s="1">
        <v>1.8001485074381485E-4</v>
      </c>
      <c r="Z111" s="1">
        <v>0.12146879268238875</v>
      </c>
      <c r="AA111" s="1">
        <v>0.15908290856489438</v>
      </c>
      <c r="AB111" s="1">
        <v>1.800148507435928E-4</v>
      </c>
      <c r="AD111" s="1">
        <v>0.21122408088586433</v>
      </c>
      <c r="AF111" s="4">
        <v>1.0745021571670275</v>
      </c>
      <c r="AH111" s="1">
        <v>-4.0216359579921535E-2</v>
      </c>
      <c r="AI111" s="1">
        <v>-4.0203444326593285E-2</v>
      </c>
    </row>
    <row r="112" spans="1:35" x14ac:dyDescent="0.15">
      <c r="A112" s="2">
        <v>105</v>
      </c>
      <c r="B112" s="1">
        <v>-2.57361593914649E-2</v>
      </c>
      <c r="C112" s="1">
        <v>-4.7703708429188363E-2</v>
      </c>
      <c r="D112" s="1">
        <v>1.5E-5</v>
      </c>
      <c r="F112" s="1">
        <v>-2.57361593914649E-2</v>
      </c>
      <c r="G112" s="1">
        <v>-4.7703708429188363E-2</v>
      </c>
      <c r="H112" s="1">
        <v>1.5E-5</v>
      </c>
      <c r="J112" s="4">
        <v>2222.0587176181207</v>
      </c>
      <c r="K112" s="4">
        <v>2448.8150989166711</v>
      </c>
      <c r="M112" s="1">
        <v>-4.8597579031389615E-2</v>
      </c>
      <c r="N112" s="1">
        <v>-7.4524892468530446E-2</v>
      </c>
      <c r="V112" s="1">
        <v>0.11541987034368839</v>
      </c>
      <c r="W112" s="1">
        <v>0.14820331395674313</v>
      </c>
      <c r="X112" s="1">
        <v>1.8001485074381485E-4</v>
      </c>
      <c r="Z112" s="1">
        <v>0.20751578013236394</v>
      </c>
      <c r="AA112" s="1">
        <v>0.21570822021613001</v>
      </c>
      <c r="AB112" s="1">
        <v>1.800148507435928E-4</v>
      </c>
      <c r="AD112" s="1">
        <v>0.18251382251839621</v>
      </c>
      <c r="AF112" s="4">
        <v>1.0276310418522248</v>
      </c>
      <c r="AH112" s="1">
        <v>-9.3969228667815097E-3</v>
      </c>
      <c r="AI112" s="1">
        <v>-9.3919921265486206E-3</v>
      </c>
    </row>
    <row r="113" spans="1:35" x14ac:dyDescent="0.15">
      <c r="A113" s="2">
        <v>106</v>
      </c>
      <c r="B113" s="1">
        <v>-3.4820865615987302E-2</v>
      </c>
      <c r="C113" s="1">
        <v>-2.1033069588506152E-2</v>
      </c>
      <c r="D113" s="1">
        <v>1.5E-5</v>
      </c>
      <c r="F113" s="1">
        <v>-3.4820865615987302E-2</v>
      </c>
      <c r="G113" s="1">
        <v>-2.1033069588506152E-2</v>
      </c>
      <c r="H113" s="1">
        <v>1.5E-5</v>
      </c>
      <c r="J113" s="4">
        <v>2144.6847096211072</v>
      </c>
      <c r="K113" s="4">
        <v>2397.3090005317722</v>
      </c>
      <c r="M113" s="1">
        <v>-8.1726234878662485E-2</v>
      </c>
      <c r="N113" s="1">
        <v>-9.3990474807670088E-2</v>
      </c>
      <c r="V113" s="1">
        <v>0.11380482030743577</v>
      </c>
      <c r="W113" s="1">
        <v>0.14685502488946622</v>
      </c>
      <c r="X113" s="1">
        <v>1.8001485074381485E-4</v>
      </c>
      <c r="Z113" s="1">
        <v>4.5901248916141224E-2</v>
      </c>
      <c r="AA113" s="1">
        <v>0.10101907771977614</v>
      </c>
      <c r="AB113" s="1">
        <v>1.800148507435928E-4</v>
      </c>
      <c r="AD113" s="1">
        <v>0.15462880376262372</v>
      </c>
      <c r="AF113" s="4">
        <v>0.93118502552827509</v>
      </c>
      <c r="AH113" s="1">
        <v>-4.2650248066183893E-2</v>
      </c>
      <c r="AI113" s="1">
        <v>-4.2662149548627237E-2</v>
      </c>
    </row>
    <row r="114" spans="1:35" x14ac:dyDescent="0.15">
      <c r="A114" s="2">
        <v>107</v>
      </c>
      <c r="B114" s="1">
        <v>7.4850014942967391E-2</v>
      </c>
      <c r="C114" s="1">
        <v>9.1347561637860064E-2</v>
      </c>
      <c r="D114" s="1">
        <v>1.5E-5</v>
      </c>
      <c r="F114" s="1">
        <v>7.4850014942967391E-2</v>
      </c>
      <c r="G114" s="1">
        <v>9.1347561637860064E-2</v>
      </c>
      <c r="H114" s="1">
        <v>1.5E-5</v>
      </c>
      <c r="J114" s="4">
        <v>2305.2143921842007</v>
      </c>
      <c r="K114" s="4">
        <v>2616.2973322228449</v>
      </c>
      <c r="M114" s="1">
        <v>-1.2993429837595438E-2</v>
      </c>
      <c r="N114" s="1">
        <v>-1.1228713860675366E-2</v>
      </c>
      <c r="V114" s="1">
        <v>0.11637462416486843</v>
      </c>
      <c r="W114" s="1">
        <v>0.15040222354165267</v>
      </c>
      <c r="X114" s="1">
        <v>1.8001485074381485E-4</v>
      </c>
      <c r="Z114" s="1">
        <v>5.7569835028480565E-2</v>
      </c>
      <c r="AA114" s="1">
        <v>0.13799869670632625</v>
      </c>
      <c r="AB114" s="1">
        <v>1.800148507435928E-4</v>
      </c>
      <c r="AD114" s="1">
        <v>0.15987623761350941</v>
      </c>
      <c r="AF114" s="4">
        <v>0.88358250714099185</v>
      </c>
      <c r="AH114" s="1">
        <v>-5.6397626113489752E-2</v>
      </c>
      <c r="AI114" s="1">
        <v>-5.6417495135703155E-2</v>
      </c>
    </row>
    <row r="115" spans="1:35" x14ac:dyDescent="0.15">
      <c r="A115" s="2">
        <v>108</v>
      </c>
      <c r="B115" s="1">
        <v>5.8371270368814621E-2</v>
      </c>
      <c r="C115" s="1">
        <v>4.540871819697645E-2</v>
      </c>
      <c r="D115" s="1">
        <v>1.5E-5</v>
      </c>
      <c r="F115" s="1">
        <v>5.8371270368814621E-2</v>
      </c>
      <c r="G115" s="1">
        <v>4.540871819697645E-2</v>
      </c>
      <c r="H115" s="1">
        <v>1.5E-5</v>
      </c>
      <c r="J115" s="4">
        <v>2439.7726847284675</v>
      </c>
      <c r="K115" s="4">
        <v>2735.1000405012533</v>
      </c>
      <c r="M115" s="1">
        <v>0</v>
      </c>
      <c r="N115" s="1">
        <v>0</v>
      </c>
      <c r="V115" s="1">
        <v>0.11803294596465541</v>
      </c>
      <c r="W115" s="1">
        <v>0.15130502350421549</v>
      </c>
      <c r="X115" s="1">
        <v>1.8001485074381485E-4</v>
      </c>
      <c r="Z115" s="1">
        <v>0.17410977660722327</v>
      </c>
      <c r="AA115" s="1">
        <v>0.26246632737218656</v>
      </c>
      <c r="AB115" s="1">
        <v>1.800148507435928E-4</v>
      </c>
      <c r="AD115" s="1">
        <v>0.15686281231716356</v>
      </c>
      <c r="AF115" s="4">
        <v>0.94821871143969949</v>
      </c>
      <c r="AH115" s="1">
        <v>-5.8159125044223825E-2</v>
      </c>
      <c r="AI115" s="1">
        <v>-5.8167947501568729E-2</v>
      </c>
    </row>
    <row r="116" spans="1:35" x14ac:dyDescent="0.15">
      <c r="A116" s="2">
        <v>109</v>
      </c>
      <c r="B116" s="1">
        <v>1.1102465905230561E-3</v>
      </c>
      <c r="C116" s="1">
        <v>1.6765301610684791E-2</v>
      </c>
      <c r="D116" s="1">
        <v>1.5E-5</v>
      </c>
      <c r="F116" s="1">
        <v>1.1102465905230561E-3</v>
      </c>
      <c r="G116" s="1">
        <v>1.6765301610684791E-2</v>
      </c>
      <c r="H116" s="1">
        <v>1.5E-5</v>
      </c>
      <c r="J116" s="4">
        <v>2442.4814340333387</v>
      </c>
      <c r="K116" s="4">
        <v>2780.9548176156532</v>
      </c>
      <c r="M116" s="1">
        <v>0</v>
      </c>
      <c r="N116" s="1">
        <v>0</v>
      </c>
      <c r="V116" s="1">
        <v>0.11850590982206377</v>
      </c>
      <c r="W116" s="1">
        <v>0.15230166656916744</v>
      </c>
      <c r="X116" s="1">
        <v>1.8001485074381485E-4</v>
      </c>
      <c r="Z116" s="1">
        <v>0.10238644865607127</v>
      </c>
      <c r="AA116" s="1">
        <v>0.20775322774020966</v>
      </c>
      <c r="AB116" s="1">
        <v>1.800148507435928E-4</v>
      </c>
      <c r="AD116" s="1">
        <v>0.14655670131663909</v>
      </c>
      <c r="AF116" s="4">
        <v>0.91809012345902896</v>
      </c>
      <c r="AH116" s="1">
        <v>-7.2690354644198596E-2</v>
      </c>
      <c r="AI116" s="1">
        <v>-7.270411285213163E-2</v>
      </c>
    </row>
    <row r="117" spans="1:35" x14ac:dyDescent="0.15">
      <c r="A117" s="2">
        <v>110</v>
      </c>
      <c r="B117" s="1">
        <v>2.694435961109054E-2</v>
      </c>
      <c r="C117" s="1">
        <v>5.338838671882451E-2</v>
      </c>
      <c r="D117" s="1">
        <v>1.5E-5</v>
      </c>
      <c r="F117" s="1">
        <v>2.694435961109054E-2</v>
      </c>
      <c r="G117" s="1">
        <v>5.338838671882451E-2</v>
      </c>
      <c r="H117" s="1">
        <v>1.5E-5</v>
      </c>
      <c r="J117" s="4">
        <v>2508.292532135345</v>
      </c>
      <c r="K117" s="4">
        <v>2929.4255088660957</v>
      </c>
      <c r="M117" s="1">
        <v>0</v>
      </c>
      <c r="N117" s="1">
        <v>0</v>
      </c>
      <c r="V117" s="1">
        <v>0.12862004150316331</v>
      </c>
      <c r="W117" s="1">
        <v>0.15539543102747588</v>
      </c>
      <c r="X117" s="1">
        <v>1.8001485074381485E-4</v>
      </c>
      <c r="Z117" s="1">
        <v>0.17024569410745172</v>
      </c>
      <c r="AA117" s="1">
        <v>0.30407498345715966</v>
      </c>
      <c r="AB117" s="1">
        <v>1.800148507435928E-4</v>
      </c>
      <c r="AD117" s="1">
        <v>0.14008834046684943</v>
      </c>
      <c r="AF117" s="4">
        <v>0.8792127831586839</v>
      </c>
      <c r="AH117" s="1">
        <v>-7.3734774135871262E-2</v>
      </c>
      <c r="AI117" s="1">
        <v>-7.3755041465801807E-2</v>
      </c>
    </row>
    <row r="118" spans="1:35" x14ac:dyDescent="0.15">
      <c r="A118" s="2">
        <v>111</v>
      </c>
      <c r="B118" s="1">
        <v>5.499411959534628E-2</v>
      </c>
      <c r="C118" s="1">
        <v>3.2163044676750907E-2</v>
      </c>
      <c r="D118" s="1">
        <v>1.5E-5</v>
      </c>
      <c r="F118" s="1">
        <v>5.499411959534628E-2</v>
      </c>
      <c r="G118" s="1">
        <v>3.2163044676750907E-2</v>
      </c>
      <c r="H118" s="1">
        <v>1.5E-5</v>
      </c>
      <c r="J118" s="4">
        <v>2646.23387162771</v>
      </c>
      <c r="K118" s="4">
        <v>3023.6447523849697</v>
      </c>
      <c r="M118" s="1">
        <v>0</v>
      </c>
      <c r="N118" s="1">
        <v>0</v>
      </c>
      <c r="V118" s="1">
        <v>0.1270727724115277</v>
      </c>
      <c r="W118" s="1">
        <v>0.15160469045254099</v>
      </c>
      <c r="X118" s="1">
        <v>1.8001485074381485E-4</v>
      </c>
      <c r="Z118" s="1">
        <v>0.25509209945592137</v>
      </c>
      <c r="AA118" s="1">
        <v>0.29854231600026937</v>
      </c>
      <c r="AB118" s="1">
        <v>1.800148507435928E-4</v>
      </c>
      <c r="AD118" s="1">
        <v>0.14143776016865614</v>
      </c>
      <c r="AF118" s="4">
        <v>0.93191304041049838</v>
      </c>
      <c r="AH118" s="1">
        <v>-1.5412935546709083E-2</v>
      </c>
      <c r="AI118" s="1">
        <v>-1.5425017865367208E-2</v>
      </c>
    </row>
    <row r="119" spans="1:35" x14ac:dyDescent="0.15">
      <c r="A119" s="2">
        <v>112</v>
      </c>
      <c r="B119" s="1">
        <v>-3.383166925680714E-2</v>
      </c>
      <c r="C119" s="1">
        <v>-4.0856031128404642E-2</v>
      </c>
      <c r="D119" s="1">
        <v>1.5E-5</v>
      </c>
      <c r="F119" s="1">
        <v>-3.383166925680714E-2</v>
      </c>
      <c r="G119" s="1">
        <v>-4.0856031128404642E-2</v>
      </c>
      <c r="H119" s="1">
        <v>1.5E-5</v>
      </c>
      <c r="J119" s="4">
        <v>2556.7073625066409</v>
      </c>
      <c r="K119" s="4">
        <v>2900.1106282602918</v>
      </c>
      <c r="M119" s="1">
        <v>-3.383166925680714E-2</v>
      </c>
      <c r="N119" s="1">
        <v>-4.0856031128404746E-2</v>
      </c>
      <c r="V119" s="1">
        <v>0.127292514788927</v>
      </c>
      <c r="W119" s="1">
        <v>0.15017849781879611</v>
      </c>
      <c r="X119" s="1">
        <v>1.8001485074381485E-4</v>
      </c>
      <c r="Z119" s="1">
        <v>0.19889508267148415</v>
      </c>
      <c r="AA119" s="1">
        <v>0.2263821014854368</v>
      </c>
      <c r="AB119" s="1">
        <v>1.800148507435928E-4</v>
      </c>
      <c r="AD119" s="1">
        <v>0.15128275415977616</v>
      </c>
      <c r="AF119" s="4">
        <v>0.91598978054772762</v>
      </c>
      <c r="AH119" s="1">
        <v>-4.7676086558597897E-3</v>
      </c>
      <c r="AI119" s="1">
        <v>-4.7826642907257133E-3</v>
      </c>
    </row>
    <row r="120" spans="1:35" x14ac:dyDescent="0.15">
      <c r="A120" s="2">
        <v>113</v>
      </c>
      <c r="B120" s="1">
        <v>3.380983080303257E-2</v>
      </c>
      <c r="C120" s="1">
        <v>4.9574041463298579E-2</v>
      </c>
      <c r="D120" s="1">
        <v>1.5E-5</v>
      </c>
      <c r="F120" s="1">
        <v>3.380983080303257E-2</v>
      </c>
      <c r="G120" s="1">
        <v>4.9574041463298579E-2</v>
      </c>
      <c r="H120" s="1">
        <v>1.5E-5</v>
      </c>
      <c r="J120" s="4">
        <v>2643.149205845858</v>
      </c>
      <c r="K120" s="4">
        <v>3043.8808327938204</v>
      </c>
      <c r="M120" s="1">
        <v>-1.1656814671314741E-3</v>
      </c>
      <c r="N120" s="1">
        <v>0</v>
      </c>
      <c r="V120" s="1">
        <v>0.12852838358477903</v>
      </c>
      <c r="W120" s="1">
        <v>0.14892711300540706</v>
      </c>
      <c r="X120" s="1">
        <v>1.8001485074381485E-4</v>
      </c>
      <c r="Z120" s="1">
        <v>0.26946755910985165</v>
      </c>
      <c r="AA120" s="1">
        <v>0.28165091064931858</v>
      </c>
      <c r="AB120" s="1">
        <v>1.800148507435928E-4</v>
      </c>
      <c r="AD120" s="1">
        <v>0.14561863315871287</v>
      </c>
      <c r="AF120" s="4">
        <v>0.87918460174865343</v>
      </c>
      <c r="AH120" s="1">
        <v>2.1051806181169974E-2</v>
      </c>
      <c r="AI120" s="1">
        <v>2.1029640337285604E-2</v>
      </c>
    </row>
    <row r="121" spans="1:35" x14ac:dyDescent="0.15">
      <c r="A121" s="2">
        <v>114</v>
      </c>
      <c r="B121" s="1">
        <v>1.295912843191527E-3</v>
      </c>
      <c r="C121" s="1">
        <v>3.5880436489124312E-2</v>
      </c>
      <c r="D121" s="1">
        <v>1.5E-5</v>
      </c>
      <c r="F121" s="1">
        <v>1.295912843191527E-3</v>
      </c>
      <c r="G121" s="1">
        <v>3.5880436489124312E-2</v>
      </c>
      <c r="H121" s="1">
        <v>1.5E-5</v>
      </c>
      <c r="J121" s="4">
        <v>2646.5744968481849</v>
      </c>
      <c r="K121" s="4">
        <v>3153.0966056953421</v>
      </c>
      <c r="M121" s="1">
        <v>0</v>
      </c>
      <c r="N121" s="1">
        <v>0</v>
      </c>
      <c r="V121" s="1">
        <v>0.13353568872600619</v>
      </c>
      <c r="W121" s="1">
        <v>0.1519069500115322</v>
      </c>
      <c r="X121" s="1">
        <v>1.8001485074381485E-4</v>
      </c>
      <c r="Z121" s="1">
        <v>0.18906343970195327</v>
      </c>
      <c r="AA121" s="1">
        <v>0.24539290244101486</v>
      </c>
      <c r="AB121" s="1">
        <v>1.800148507435928E-4</v>
      </c>
      <c r="AD121" s="1">
        <v>0.13667497765428324</v>
      </c>
      <c r="AF121" s="4">
        <v>0.82992534633770765</v>
      </c>
      <c r="AH121" s="1">
        <v>-8.9199739301830672E-3</v>
      </c>
      <c r="AI121" s="1">
        <v>-8.9503365330207973E-3</v>
      </c>
    </row>
    <row r="122" spans="1:35" x14ac:dyDescent="0.15">
      <c r="A122" s="2">
        <v>115</v>
      </c>
      <c r="B122" s="1">
        <v>4.3997657919350397E-2</v>
      </c>
      <c r="C122" s="1">
        <v>1.2170006173224611E-2</v>
      </c>
      <c r="D122" s="1">
        <v>1.5E-5</v>
      </c>
      <c r="F122" s="1">
        <v>4.3997657919350397E-2</v>
      </c>
      <c r="G122" s="1">
        <v>1.2170006173224611E-2</v>
      </c>
      <c r="H122" s="1">
        <v>1.5E-5</v>
      </c>
      <c r="J122" s="4">
        <v>2763.0175762185881</v>
      </c>
      <c r="K122" s="4">
        <v>3191.4698108514281</v>
      </c>
      <c r="M122" s="1">
        <v>0</v>
      </c>
      <c r="N122" s="1">
        <v>0</v>
      </c>
      <c r="V122" s="1">
        <v>0.12912483912333172</v>
      </c>
      <c r="W122" s="1">
        <v>0.15062006207694312</v>
      </c>
      <c r="X122" s="1">
        <v>1.8001485074381485E-4</v>
      </c>
      <c r="Z122" s="1">
        <v>0.18302076824099345</v>
      </c>
      <c r="AA122" s="1">
        <v>0.22137119165811492</v>
      </c>
      <c r="AB122" s="1">
        <v>1.800148507435928E-4</v>
      </c>
      <c r="AD122" s="1">
        <v>0.13532120865517311</v>
      </c>
      <c r="AF122" s="4">
        <v>0.8027079873024906</v>
      </c>
      <c r="AH122" s="1">
        <v>8.0100469738320079E-3</v>
      </c>
      <c r="AI122" s="1">
        <v>7.9742743276784989E-3</v>
      </c>
    </row>
    <row r="123" spans="1:35" x14ac:dyDescent="0.15">
      <c r="A123" s="2">
        <v>116</v>
      </c>
      <c r="B123" s="1">
        <v>1.9875489828323319E-2</v>
      </c>
      <c r="C123" s="1">
        <v>2.4232403279143892E-2</v>
      </c>
      <c r="D123" s="1">
        <v>1.5E-5</v>
      </c>
      <c r="F123" s="1">
        <v>1.9875489828323319E-2</v>
      </c>
      <c r="G123" s="1">
        <v>2.4232403279143892E-2</v>
      </c>
      <c r="H123" s="1">
        <v>1.5E-5</v>
      </c>
      <c r="J123" s="4">
        <v>2817.9339039501992</v>
      </c>
      <c r="K123" s="4">
        <v>3268.8067943611927</v>
      </c>
      <c r="M123" s="1">
        <v>0</v>
      </c>
      <c r="N123" s="1">
        <v>0</v>
      </c>
      <c r="V123" s="1">
        <v>0.13058495164328621</v>
      </c>
      <c r="W123" s="1">
        <v>0.1514084587776281</v>
      </c>
      <c r="X123" s="1">
        <v>1.8001485074381485E-4</v>
      </c>
      <c r="Z123" s="1">
        <v>0.23552590490785863</v>
      </c>
      <c r="AA123" s="1">
        <v>0.27117502236438251</v>
      </c>
      <c r="AB123" s="1">
        <v>1.800148507435928E-4</v>
      </c>
      <c r="AD123" s="1">
        <v>0.12873404213092585</v>
      </c>
      <c r="AF123" s="4">
        <v>0.77961732433622899</v>
      </c>
      <c r="AH123" s="1">
        <v>2.5199914208740903E-2</v>
      </c>
      <c r="AI123" s="1">
        <v>2.5159330668943269E-2</v>
      </c>
    </row>
    <row r="124" spans="1:35" x14ac:dyDescent="0.15">
      <c r="A124" s="2">
        <v>117</v>
      </c>
      <c r="B124" s="1">
        <v>6.4085445358774704E-3</v>
      </c>
      <c r="C124" s="1">
        <v>2.1329234780977261E-2</v>
      </c>
      <c r="D124" s="1">
        <v>1.5E-5</v>
      </c>
      <c r="F124" s="1">
        <v>6.4085445358774704E-3</v>
      </c>
      <c r="G124" s="1">
        <v>2.1329234780977261E-2</v>
      </c>
      <c r="H124" s="1">
        <v>1.5E-5</v>
      </c>
      <c r="J124" s="4">
        <v>2835.9927588728233</v>
      </c>
      <c r="K124" s="4">
        <v>3338.5279419317762</v>
      </c>
      <c r="M124" s="1">
        <v>0</v>
      </c>
      <c r="N124" s="1">
        <v>0</v>
      </c>
      <c r="V124" s="1">
        <v>0.13183064391550081</v>
      </c>
      <c r="W124" s="1">
        <v>0.15048578188753092</v>
      </c>
      <c r="X124" s="1">
        <v>1.8001485074381485E-4</v>
      </c>
      <c r="Z124" s="1">
        <v>0.27629064722141772</v>
      </c>
      <c r="AA124" s="1">
        <v>0.36332381461087193</v>
      </c>
      <c r="AB124" s="1">
        <v>1.800148507435928E-4</v>
      </c>
      <c r="AD124" s="1">
        <v>0.12045722369911988</v>
      </c>
      <c r="AF124" s="4">
        <v>0.8380723235918438</v>
      </c>
      <c r="AH124" s="1">
        <v>-1.5378869488261837E-2</v>
      </c>
      <c r="AI124" s="1">
        <v>-1.5407604927211271E-2</v>
      </c>
    </row>
    <row r="125" spans="1:35" x14ac:dyDescent="0.15">
      <c r="A125" s="2">
        <v>118</v>
      </c>
      <c r="B125" s="1">
        <v>-2.6249671503602019E-3</v>
      </c>
      <c r="C125" s="1">
        <v>-9.0464675265171657E-3</v>
      </c>
      <c r="D125" s="1">
        <v>1.5E-5</v>
      </c>
      <c r="F125" s="1">
        <v>-2.6249671503602019E-3</v>
      </c>
      <c r="G125" s="1">
        <v>-9.0464675265171657E-3</v>
      </c>
      <c r="H125" s="1">
        <v>1.5E-5</v>
      </c>
      <c r="J125" s="4">
        <v>2828.5483710421227</v>
      </c>
      <c r="K125" s="4">
        <v>3308.3260573187204</v>
      </c>
      <c r="M125" s="1">
        <v>-2.6249671503602023E-3</v>
      </c>
      <c r="N125" s="1">
        <v>-9.0464675265171657E-3</v>
      </c>
      <c r="V125" s="1">
        <v>0.1384761664386549</v>
      </c>
      <c r="W125" s="1">
        <v>0.15681001850587939</v>
      </c>
      <c r="X125" s="1">
        <v>1.8001485074381485E-4</v>
      </c>
      <c r="Z125" s="1">
        <v>0.31886442718278696</v>
      </c>
      <c r="AA125" s="1">
        <v>0.38001653378219769</v>
      </c>
      <c r="AB125" s="1">
        <v>1.800148507435928E-4</v>
      </c>
      <c r="AD125" s="1">
        <v>0.10779362714888018</v>
      </c>
      <c r="AF125" s="4">
        <v>0.75473606242889291</v>
      </c>
      <c r="AH125" s="1">
        <v>3.4905559079593917E-2</v>
      </c>
      <c r="AI125" s="1">
        <v>3.4860001941687146E-2</v>
      </c>
    </row>
    <row r="126" spans="1:35" x14ac:dyDescent="0.15">
      <c r="A126" s="2">
        <v>119</v>
      </c>
      <c r="B126" s="1">
        <v>5.2713370961730677E-2</v>
      </c>
      <c r="C126" s="1">
        <v>5.8676173115403067E-2</v>
      </c>
      <c r="D126" s="1">
        <v>1.5E-5</v>
      </c>
      <c r="F126" s="1">
        <v>5.2713370961730677E-2</v>
      </c>
      <c r="G126" s="1">
        <v>5.8676173115403067E-2</v>
      </c>
      <c r="H126" s="1">
        <v>1.5E-5</v>
      </c>
      <c r="J126" s="4">
        <v>2977.6506906080649</v>
      </c>
      <c r="K126" s="4">
        <v>3502.4459697801526</v>
      </c>
      <c r="M126" s="1">
        <v>0</v>
      </c>
      <c r="N126" s="1">
        <v>0</v>
      </c>
      <c r="V126" s="1">
        <v>0.13644692680018267</v>
      </c>
      <c r="W126" s="1">
        <v>0.15523213274207182</v>
      </c>
      <c r="X126" s="1">
        <v>1.8001485074381485E-4</v>
      </c>
      <c r="Z126" s="1">
        <v>0.29170228188048397</v>
      </c>
      <c r="AA126" s="1">
        <v>0.33870333720992751</v>
      </c>
      <c r="AB126" s="1">
        <v>1.800148507435928E-4</v>
      </c>
      <c r="AD126" s="1">
        <v>9.8195061020366889E-2</v>
      </c>
      <c r="AF126" s="4">
        <v>0.75310764700254096</v>
      </c>
      <c r="AH126" s="1">
        <v>3.8015638361757365E-2</v>
      </c>
      <c r="AI126" s="1">
        <v>3.7969652439888479E-2</v>
      </c>
    </row>
    <row r="127" spans="1:35" x14ac:dyDescent="0.15">
      <c r="A127" s="2">
        <v>120</v>
      </c>
      <c r="B127" s="1">
        <v>-6.2559702148668239E-2</v>
      </c>
      <c r="C127" s="1">
        <v>-2.3809688866625819E-2</v>
      </c>
      <c r="D127" s="1">
        <v>1.5E-5</v>
      </c>
      <c r="F127" s="1">
        <v>-6.2559702148668239E-2</v>
      </c>
      <c r="G127" s="1">
        <v>-2.3809688866625819E-2</v>
      </c>
      <c r="H127" s="1">
        <v>1.5E-5</v>
      </c>
      <c r="J127" s="4">
        <v>2791.369750300848</v>
      </c>
      <c r="K127" s="4">
        <v>3419.0538209675196</v>
      </c>
      <c r="M127" s="1">
        <v>-6.2559702148668239E-2</v>
      </c>
      <c r="N127" s="1">
        <v>-2.3809688866625822E-2</v>
      </c>
      <c r="V127" s="1">
        <v>0.12719444320321793</v>
      </c>
      <c r="W127" s="1">
        <v>0.14798152017757871</v>
      </c>
      <c r="X127" s="1">
        <v>1.8001485074381485E-4</v>
      </c>
      <c r="Z127" s="1">
        <v>0.14411058365116158</v>
      </c>
      <c r="AA127" s="1">
        <v>0.25006536153643566</v>
      </c>
      <c r="AB127" s="1">
        <v>1.800148507435928E-4</v>
      </c>
      <c r="AD127" s="1">
        <v>0.12103493655636406</v>
      </c>
      <c r="AF127" s="4">
        <v>0.89702036906845617</v>
      </c>
      <c r="AH127" s="1">
        <v>-6.2721453468520316E-2</v>
      </c>
      <c r="AI127" s="1">
        <v>-6.2738921062155617E-2</v>
      </c>
    </row>
    <row r="128" spans="1:35" x14ac:dyDescent="0.15">
      <c r="A128" s="2">
        <v>121</v>
      </c>
      <c r="B128" s="1">
        <v>6.1510092200348858E-2</v>
      </c>
      <c r="C128" s="1">
        <v>2.7836697708514269E-2</v>
      </c>
      <c r="D128" s="1">
        <v>1.5E-5</v>
      </c>
      <c r="F128" s="1">
        <v>6.1510092200348858E-2</v>
      </c>
      <c r="G128" s="1">
        <v>2.7836697708514269E-2</v>
      </c>
      <c r="H128" s="1">
        <v>1.5E-5</v>
      </c>
      <c r="J128" s="4">
        <v>2963.0671610071181</v>
      </c>
      <c r="K128" s="4">
        <v>3514.2289886309331</v>
      </c>
      <c r="M128" s="1">
        <v>-4.8976629955103101E-3</v>
      </c>
      <c r="N128" s="1">
        <v>0</v>
      </c>
      <c r="V128" s="1">
        <v>0.1230215555742884</v>
      </c>
      <c r="W128" s="1">
        <v>0.14484881326009935</v>
      </c>
      <c r="X128" s="1">
        <v>1.8001485074381485E-4</v>
      </c>
      <c r="Z128" s="1">
        <v>0.21313804875647402</v>
      </c>
      <c r="AA128" s="1">
        <v>0.26367712498255447</v>
      </c>
      <c r="AB128" s="1">
        <v>1.800148507435928E-4</v>
      </c>
      <c r="AD128" s="1">
        <v>0.12993471534382961</v>
      </c>
      <c r="AF128" s="4">
        <v>0.92507728450282778</v>
      </c>
      <c r="AH128" s="1">
        <v>-2.070928830907981E-2</v>
      </c>
      <c r="AI128" s="1">
        <v>-2.0722518080011798E-2</v>
      </c>
    </row>
    <row r="129" spans="1:35" x14ac:dyDescent="0.15">
      <c r="A129" s="2">
        <v>122</v>
      </c>
      <c r="B129" s="1">
        <v>8.1347790393200281E-3</v>
      </c>
      <c r="C129" s="1">
        <v>-1.305117575631509E-2</v>
      </c>
      <c r="D129" s="1">
        <v>1.5E-5</v>
      </c>
      <c r="F129" s="1">
        <v>8.1347790393200281E-3</v>
      </c>
      <c r="G129" s="1">
        <v>-1.305117575631509E-2</v>
      </c>
      <c r="H129" s="1">
        <v>1.5E-5</v>
      </c>
      <c r="J129" s="4">
        <v>2987.1710576405762</v>
      </c>
      <c r="K129" s="4">
        <v>3468.3641684523732</v>
      </c>
      <c r="M129" s="1">
        <v>0</v>
      </c>
      <c r="N129" s="1">
        <v>-1.3051175756315203E-2</v>
      </c>
      <c r="V129" s="1">
        <v>0.12141117111570243</v>
      </c>
      <c r="W129" s="1">
        <v>0.1439193179391578</v>
      </c>
      <c r="X129" s="1">
        <v>1.8001485074381485E-4</v>
      </c>
      <c r="Z129" s="1">
        <v>0.19091813230315524</v>
      </c>
      <c r="AA129" s="1">
        <v>0.18397418127040432</v>
      </c>
      <c r="AB129" s="1">
        <v>1.800148507435928E-4</v>
      </c>
      <c r="AD129" s="1">
        <v>0.12970623062274944</v>
      </c>
      <c r="AF129" s="4">
        <v>0.94448152446058942</v>
      </c>
      <c r="AH129" s="1">
        <v>1.8501048896957695E-2</v>
      </c>
      <c r="AI129" s="1">
        <v>1.8490886267862772E-2</v>
      </c>
    </row>
    <row r="130" spans="1:35" x14ac:dyDescent="0.15">
      <c r="A130" s="2">
        <v>123</v>
      </c>
      <c r="B130" s="1">
        <v>-3.2301369361757433E-2</v>
      </c>
      <c r="C130" s="1">
        <v>-5.6313819821245843E-2</v>
      </c>
      <c r="D130" s="1">
        <v>1.5E-5</v>
      </c>
      <c r="F130" s="1">
        <v>-3.2301369361757433E-2</v>
      </c>
      <c r="G130" s="1">
        <v>-5.6313819821245843E-2</v>
      </c>
      <c r="H130" s="1">
        <v>1.5E-5</v>
      </c>
      <c r="J130" s="4">
        <v>2890.6813419609766</v>
      </c>
      <c r="K130" s="4">
        <v>3273.0473335956813</v>
      </c>
      <c r="M130" s="1">
        <v>-3.2301369361757315E-2</v>
      </c>
      <c r="N130" s="1">
        <v>-6.8630034017564401E-2</v>
      </c>
      <c r="V130" s="1">
        <v>0.12872522679499343</v>
      </c>
      <c r="W130" s="1">
        <v>0.15172610825603261</v>
      </c>
      <c r="X130" s="1">
        <v>1.8001485074381485E-4</v>
      </c>
      <c r="Z130" s="1">
        <v>9.2375610846106238E-2</v>
      </c>
      <c r="AA130" s="1">
        <v>8.2484088454501281E-2</v>
      </c>
      <c r="AB130" s="1">
        <v>1.800148507435928E-4</v>
      </c>
      <c r="AD130" s="1">
        <v>0.12994580274694972</v>
      </c>
      <c r="AF130" s="4">
        <v>0.81720396020875219</v>
      </c>
      <c r="AH130" s="1">
        <v>2.5943759965584734E-2</v>
      </c>
      <c r="AI130" s="1">
        <v>2.591007552464597E-2</v>
      </c>
    </row>
    <row r="131" spans="1:35" x14ac:dyDescent="0.15">
      <c r="A131" s="2">
        <v>124</v>
      </c>
      <c r="B131" s="1">
        <v>-3.4711865945613707E-2</v>
      </c>
      <c r="C131" s="1">
        <v>-6.7761500154316368E-3</v>
      </c>
      <c r="D131" s="1">
        <v>1.5E-5</v>
      </c>
      <c r="F131" s="1">
        <v>-3.4711865945613707E-2</v>
      </c>
      <c r="G131" s="1">
        <v>-6.7761500154316368E-3</v>
      </c>
      <c r="H131" s="1">
        <v>1.5E-5</v>
      </c>
      <c r="J131" s="4">
        <v>2790.3403987273405</v>
      </c>
      <c r="K131" s="4">
        <v>3250.8686738556285</v>
      </c>
      <c r="M131" s="1">
        <v>-6.5891994504226004E-2</v>
      </c>
      <c r="N131" s="1">
        <v>-7.4941136626928806E-2</v>
      </c>
      <c r="V131" s="1">
        <v>0.12296544532790676</v>
      </c>
      <c r="W131" s="1">
        <v>0.14763344051126648</v>
      </c>
      <c r="X131" s="1">
        <v>1.8001485074381485E-4</v>
      </c>
      <c r="Z131" s="1">
        <v>9.1380437060126773E-2</v>
      </c>
      <c r="AA131" s="1">
        <v>0.1209464363798245</v>
      </c>
      <c r="AB131" s="1">
        <v>1.800148507435928E-4</v>
      </c>
      <c r="AD131" s="1">
        <v>0.1302577815137429</v>
      </c>
      <c r="AF131" s="4">
        <v>0.85024875720978144</v>
      </c>
      <c r="AH131" s="1">
        <v>-7.0557682654349696E-3</v>
      </c>
      <c r="AI131" s="1">
        <v>-7.0825487660350905E-3</v>
      </c>
    </row>
    <row r="132" spans="1:35" x14ac:dyDescent="0.15">
      <c r="A132" s="2">
        <v>125</v>
      </c>
      <c r="B132" s="1">
        <v>3.8128703796989287E-2</v>
      </c>
      <c r="C132" s="1">
        <v>6.2942461778869196E-2</v>
      </c>
      <c r="D132" s="1">
        <v>1.5E-5</v>
      </c>
      <c r="F132" s="1">
        <v>3.8128703796989287E-2</v>
      </c>
      <c r="G132" s="1">
        <v>6.2942461778869196E-2</v>
      </c>
      <c r="H132" s="1">
        <v>1.5E-5</v>
      </c>
      <c r="J132" s="4">
        <v>2896.7324612831881</v>
      </c>
      <c r="K132" s="4">
        <v>3455.4863511079097</v>
      </c>
      <c r="M132" s="1">
        <v>-3.0275667048281218E-2</v>
      </c>
      <c r="N132" s="1">
        <v>-1.6715654475865094E-2</v>
      </c>
      <c r="V132" s="1">
        <v>0.11418927548150126</v>
      </c>
      <c r="W132" s="1">
        <v>0.13953890302612759</v>
      </c>
      <c r="X132" s="1">
        <v>1.8001485074381485E-4</v>
      </c>
      <c r="Z132" s="1">
        <v>9.5939818636224139E-2</v>
      </c>
      <c r="AA132" s="1">
        <v>0.13522392660040428</v>
      </c>
      <c r="AB132" s="1">
        <v>1.800148507435928E-4</v>
      </c>
      <c r="AD132" s="1">
        <v>0.13126044088828354</v>
      </c>
      <c r="AF132" s="4">
        <v>0.81474679904738601</v>
      </c>
      <c r="AH132" s="1">
        <v>-9.3264413823571646E-3</v>
      </c>
      <c r="AI132" s="1">
        <v>-9.3595012624411167E-3</v>
      </c>
    </row>
    <row r="133" spans="1:35" x14ac:dyDescent="0.15">
      <c r="A133" s="2">
        <v>126</v>
      </c>
      <c r="B133" s="1">
        <v>3.6008118828349867E-2</v>
      </c>
      <c r="C133" s="1">
        <v>5.0850538641188159E-2</v>
      </c>
      <c r="D133" s="1">
        <v>1.5E-5</v>
      </c>
      <c r="F133" s="1">
        <v>3.6008118828349867E-2</v>
      </c>
      <c r="G133" s="1">
        <v>5.0850538641188159E-2</v>
      </c>
      <c r="H133" s="1">
        <v>1.5E-5</v>
      </c>
      <c r="J133" s="4">
        <v>3001.0383479630113</v>
      </c>
      <c r="K133" s="4">
        <v>3631.1996933290206</v>
      </c>
      <c r="M133" s="1">
        <v>0</v>
      </c>
      <c r="N133" s="1">
        <v>0</v>
      </c>
      <c r="V133" s="1">
        <v>0.11442591654201295</v>
      </c>
      <c r="W133" s="1">
        <v>0.14060371380461323</v>
      </c>
      <c r="X133" s="1">
        <v>1.8001485074381485E-4</v>
      </c>
      <c r="Z133" s="1">
        <v>0.13393307142381961</v>
      </c>
      <c r="AA133" s="1">
        <v>0.15162969849071417</v>
      </c>
      <c r="AB133" s="1">
        <v>1.800148507435928E-4</v>
      </c>
      <c r="AD133" s="1">
        <v>0.13379872233633719</v>
      </c>
      <c r="AF133" s="4">
        <v>0.84718744438097515</v>
      </c>
      <c r="AH133" s="1">
        <v>8.3456082868023085E-3</v>
      </c>
      <c r="AI133" s="1">
        <v>8.3178920221591568E-3</v>
      </c>
    </row>
    <row r="134" spans="1:35" x14ac:dyDescent="0.15">
      <c r="A134" s="2">
        <v>127</v>
      </c>
      <c r="B134" s="1">
        <v>-1.1587262054538529E-2</v>
      </c>
      <c r="C134" s="1">
        <v>2.2366456437356689E-2</v>
      </c>
      <c r="D134" s="1">
        <v>1.5E-5</v>
      </c>
      <c r="F134" s="1">
        <v>-1.1587262054538529E-2</v>
      </c>
      <c r="G134" s="1">
        <v>2.2366456437356689E-2</v>
      </c>
      <c r="H134" s="1">
        <v>1.5E-5</v>
      </c>
      <c r="J134" s="4">
        <v>2966.2645301894445</v>
      </c>
      <c r="K134" s="4">
        <v>3712.4167630852071</v>
      </c>
      <c r="M134" s="1">
        <v>-1.1587262054538527E-2</v>
      </c>
      <c r="N134" s="1">
        <v>0</v>
      </c>
      <c r="V134" s="1">
        <v>0.11194861808853962</v>
      </c>
      <c r="W134" s="1">
        <v>0.13734479150850665</v>
      </c>
      <c r="X134" s="1">
        <v>1.8001485074381485E-4</v>
      </c>
      <c r="Z134" s="1">
        <v>7.3559775992817267E-2</v>
      </c>
      <c r="AA134" s="1">
        <v>0.16323104497573149</v>
      </c>
      <c r="AB134" s="1">
        <v>1.800148507435928E-4</v>
      </c>
      <c r="AD134" s="1">
        <v>0.1304454445792628</v>
      </c>
      <c r="AF134" s="4">
        <v>0.82977506040642202</v>
      </c>
      <c r="AH134" s="1">
        <v>-5.1861484803127911E-2</v>
      </c>
      <c r="AI134" s="1">
        <v>-5.189066503290618E-2</v>
      </c>
    </row>
    <row r="135" spans="1:35" x14ac:dyDescent="0.15">
      <c r="A135" s="2">
        <v>128</v>
      </c>
      <c r="B135" s="1">
        <v>4.1150059586483323E-2</v>
      </c>
      <c r="C135" s="1">
        <v>2.0298412893192671E-2</v>
      </c>
      <c r="D135" s="1">
        <v>1.5E-5</v>
      </c>
      <c r="F135" s="1">
        <v>4.1150059586483323E-2</v>
      </c>
      <c r="G135" s="1">
        <v>2.0298412893192671E-2</v>
      </c>
      <c r="H135" s="1">
        <v>1.5E-5</v>
      </c>
      <c r="J135" s="4">
        <v>3088.3264923560123</v>
      </c>
      <c r="K135" s="4">
        <v>3787.7729313739205</v>
      </c>
      <c r="M135" s="1">
        <v>0</v>
      </c>
      <c r="N135" s="1">
        <v>0</v>
      </c>
      <c r="V135" s="1">
        <v>0.11241414551125728</v>
      </c>
      <c r="W135" s="1">
        <v>0.1375605034881151</v>
      </c>
      <c r="X135" s="1">
        <v>1.8001485074381485E-4</v>
      </c>
      <c r="Z135" s="1">
        <v>9.5954198225435494E-2</v>
      </c>
      <c r="AA135" s="1">
        <v>0.1587631725154155</v>
      </c>
      <c r="AB135" s="1">
        <v>1.800148507435928E-4</v>
      </c>
      <c r="AD135" s="1">
        <v>0.13448282440128126</v>
      </c>
      <c r="AF135" s="4">
        <v>0.84135887725601255</v>
      </c>
      <c r="AH135" s="1">
        <v>-2.9976852396473186E-2</v>
      </c>
      <c r="AI135" s="1">
        <v>-3.0004621775692297E-2</v>
      </c>
    </row>
    <row r="136" spans="1:35" x14ac:dyDescent="0.15">
      <c r="A136" s="2">
        <v>129</v>
      </c>
      <c r="B136" s="1">
        <v>-7.9626538384836021E-4</v>
      </c>
      <c r="C136" s="1">
        <v>3.6482756899317133E-2</v>
      </c>
      <c r="D136" s="1">
        <v>1.5E-5</v>
      </c>
      <c r="F136" s="1">
        <v>-7.9626538384836021E-4</v>
      </c>
      <c r="G136" s="1">
        <v>3.6482756899317133E-2</v>
      </c>
      <c r="H136" s="1">
        <v>1.5E-5</v>
      </c>
      <c r="J136" s="4">
        <v>3085.8673648761273</v>
      </c>
      <c r="K136" s="4">
        <v>3925.9613304190489</v>
      </c>
      <c r="M136" s="1">
        <v>-7.9626538384836021E-4</v>
      </c>
      <c r="N136" s="1">
        <v>0</v>
      </c>
      <c r="V136" s="1">
        <v>0.11424450107231188</v>
      </c>
      <c r="W136" s="1">
        <v>0.13742902915066479</v>
      </c>
      <c r="X136" s="1">
        <v>1.8001485074381485E-4</v>
      </c>
      <c r="Z136" s="1">
        <v>8.8108337096959755E-2</v>
      </c>
      <c r="AA136" s="1">
        <v>0.17595581007699024</v>
      </c>
      <c r="AB136" s="1">
        <v>1.800148507435928E-4</v>
      </c>
      <c r="AD136" s="1">
        <v>0.13478927240433383</v>
      </c>
      <c r="AF136" s="4">
        <v>0.80162937520025979</v>
      </c>
      <c r="AH136" s="1">
        <v>-4.271901808913614E-2</v>
      </c>
      <c r="AI136" s="1">
        <v>-4.2753323467315862E-2</v>
      </c>
    </row>
    <row r="137" spans="1:35" x14ac:dyDescent="0.15">
      <c r="A137" s="2">
        <v>130</v>
      </c>
      <c r="B137" s="1">
        <v>-6.1755036929097562E-3</v>
      </c>
      <c r="C137" s="1">
        <v>2.340433090568372E-2</v>
      </c>
      <c r="D137" s="1">
        <v>1.5E-5</v>
      </c>
      <c r="F137" s="1">
        <v>-6.1755036929097562E-3</v>
      </c>
      <c r="G137" s="1">
        <v>2.340433090568372E-2</v>
      </c>
      <c r="H137" s="1">
        <v>1.5E-5</v>
      </c>
      <c r="J137" s="4">
        <v>3066.8105795685051</v>
      </c>
      <c r="K137" s="4">
        <v>4017.8458285190945</v>
      </c>
      <c r="M137" s="1">
        <v>-6.9668517369396721E-3</v>
      </c>
      <c r="N137" s="1">
        <v>0</v>
      </c>
      <c r="V137" s="1">
        <v>0.11157315852359706</v>
      </c>
      <c r="W137" s="1">
        <v>0.134638229144739</v>
      </c>
      <c r="X137" s="1">
        <v>1.8001485074381485E-4</v>
      </c>
      <c r="Z137" s="1">
        <v>8.4234800778252295E-2</v>
      </c>
      <c r="AA137" s="1">
        <v>0.21446488614106363</v>
      </c>
      <c r="AB137" s="1">
        <v>1.800148507435928E-4</v>
      </c>
      <c r="AD137" s="1">
        <v>0.13513388310701097</v>
      </c>
      <c r="AF137" s="4">
        <v>0.80702470185353414</v>
      </c>
      <c r="AH137" s="1">
        <v>-7.1763182436890394E-2</v>
      </c>
      <c r="AI137" s="1">
        <v>-7.1795625448322298E-2</v>
      </c>
    </row>
    <row r="138" spans="1:35" x14ac:dyDescent="0.15">
      <c r="A138" s="2">
        <v>131</v>
      </c>
      <c r="B138" s="1">
        <v>1.271683412747393E-2</v>
      </c>
      <c r="C138" s="1">
        <v>2.4480572525962252E-3</v>
      </c>
      <c r="D138" s="1">
        <v>1.5E-5</v>
      </c>
      <c r="F138" s="1">
        <v>1.271683412747393E-2</v>
      </c>
      <c r="G138" s="1">
        <v>2.4480572525962252E-3</v>
      </c>
      <c r="H138" s="1">
        <v>1.5E-5</v>
      </c>
      <c r="J138" s="4">
        <v>3105.8107010092599</v>
      </c>
      <c r="K138" s="4">
        <v>4027.681745139414</v>
      </c>
      <c r="M138" s="1">
        <v>0</v>
      </c>
      <c r="N138" s="1">
        <v>0</v>
      </c>
      <c r="V138" s="1">
        <v>0.11690522705348005</v>
      </c>
      <c r="W138" s="1">
        <v>0.13935897759908356</v>
      </c>
      <c r="X138" s="1">
        <v>1.8001485074381485E-4</v>
      </c>
      <c r="Z138" s="1">
        <v>4.304064637448235E-2</v>
      </c>
      <c r="AA138" s="1">
        <v>0.14996256327466795</v>
      </c>
      <c r="AB138" s="1">
        <v>1.800148507435928E-4</v>
      </c>
      <c r="AD138" s="1">
        <v>0.12614196915807327</v>
      </c>
      <c r="AF138" s="4">
        <v>0.74987515199813781</v>
      </c>
      <c r="AH138" s="1">
        <v>-5.8825881943191605E-2</v>
      </c>
      <c r="AI138" s="1">
        <v>-5.8868469672019086E-2</v>
      </c>
    </row>
    <row r="139" spans="1:35" x14ac:dyDescent="0.15">
      <c r="A139" s="2">
        <v>132</v>
      </c>
      <c r="B139" s="1">
        <v>1.7694046045920508E-2</v>
      </c>
      <c r="C139" s="1">
        <v>5.8379473558356487E-4</v>
      </c>
      <c r="D139" s="1">
        <v>1.5E-5</v>
      </c>
      <c r="F139" s="1">
        <v>1.7694046045920508E-2</v>
      </c>
      <c r="G139" s="1">
        <v>5.8379473558356487E-4</v>
      </c>
      <c r="H139" s="1">
        <v>1.5E-5</v>
      </c>
      <c r="J139" s="4">
        <v>3160.7650585628303</v>
      </c>
      <c r="K139" s="4">
        <v>4030.0330845388326</v>
      </c>
      <c r="M139" s="1">
        <v>0</v>
      </c>
      <c r="N139" s="1">
        <v>0</v>
      </c>
      <c r="V139" s="1">
        <v>0.11028802553729622</v>
      </c>
      <c r="W139" s="1">
        <v>0.13508414017547787</v>
      </c>
      <c r="X139" s="1">
        <v>1.8001485074381485E-4</v>
      </c>
      <c r="Z139" s="1">
        <v>0.13233478231329632</v>
      </c>
      <c r="AA139" s="1">
        <v>0.17869834625721581</v>
      </c>
      <c r="AB139" s="1">
        <v>1.800148507435928E-4</v>
      </c>
      <c r="AD139" s="1">
        <v>0.10332370262304796</v>
      </c>
      <c r="AF139" s="4">
        <v>0.58591894842297876</v>
      </c>
      <c r="AH139" s="1">
        <v>2.9938961620177507E-2</v>
      </c>
      <c r="AI139" s="1">
        <v>2.9862386634125659E-2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CC437-EAEE-4AD9-8676-8DF1908199F5}">
  <dimension ref="A1:S49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8.83203125" defaultRowHeight="15" x14ac:dyDescent="0.2"/>
  <cols>
    <col min="1" max="1" width="11" style="1" customWidth="1"/>
    <col min="2" max="5" width="8.83203125" style="1"/>
    <col min="13" max="14" width="8.83203125" style="1"/>
    <col min="20" max="16384" width="8.83203125" style="1"/>
  </cols>
  <sheetData>
    <row r="1" spans="1:12" s="9" customFormat="1" x14ac:dyDescent="0.2">
      <c r="A1" s="14" t="s">
        <v>27</v>
      </c>
      <c r="B1" s="15" t="s">
        <v>2</v>
      </c>
      <c r="C1" s="15" t="s">
        <v>3</v>
      </c>
      <c r="D1" s="15" t="s">
        <v>12</v>
      </c>
      <c r="F1" t="s">
        <v>28</v>
      </c>
      <c r="G1" t="s">
        <v>29</v>
      </c>
      <c r="H1" t="s">
        <v>30</v>
      </c>
      <c r="I1"/>
      <c r="J1" t="s">
        <v>28</v>
      </c>
      <c r="K1" t="s">
        <v>31</v>
      </c>
      <c r="L1" t="s">
        <v>30</v>
      </c>
    </row>
    <row r="2" spans="1:12" x14ac:dyDescent="0.2">
      <c r="A2" s="13" t="str" cm="1">
        <f t="array" ref="A2:A133">TEXT(EOMONTH(Formulas!$F$1, _xlfn.SEQUENCE(Formulas!$G$2, 1, 0, 1)), "yyyymm")</f>
        <v>201501</v>
      </c>
      <c r="B2" s="16">
        <f>_xlfn.XLOOKUP($A2,$F:$F,$G:$G)</f>
        <v>-5.4603438516812368E-2</v>
      </c>
      <c r="C2" s="16">
        <f>_xlfn.XLOOKUP($A2,$J:$J,$K:$K)</f>
        <v>-3.0017362507574589E-2</v>
      </c>
      <c r="D2" s="16">
        <v>1.5E-5</v>
      </c>
      <c r="F2" t="s">
        <v>32</v>
      </c>
      <c r="G2">
        <v>-3.3833629559914868E-2</v>
      </c>
      <c r="H2" t="s">
        <v>33</v>
      </c>
      <c r="J2" t="s">
        <v>32</v>
      </c>
      <c r="K2">
        <v>1.380956740606409E-2</v>
      </c>
      <c r="L2" t="s">
        <v>33</v>
      </c>
    </row>
    <row r="3" spans="1:12" x14ac:dyDescent="0.2">
      <c r="A3" s="13" t="str">
        <v>201502</v>
      </c>
      <c r="B3" s="16">
        <f>_xlfn.XLOOKUP($A3,$F:$F,$G:$G)</f>
        <v>6.2957684578428763E-2</v>
      </c>
      <c r="C3" s="16">
        <f>_xlfn.XLOOKUP($A3,$J:$J,$K:$K)</f>
        <v>5.7440695427648743E-2</v>
      </c>
      <c r="D3" s="16">
        <v>1.5E-5</v>
      </c>
      <c r="F3" t="s">
        <v>34</v>
      </c>
      <c r="G3">
        <v>1.1969893620929369E-2</v>
      </c>
      <c r="H3" t="s">
        <v>33</v>
      </c>
      <c r="J3" t="s">
        <v>34</v>
      </c>
      <c r="K3">
        <v>-1.4334230580281829E-8</v>
      </c>
      <c r="L3" t="s">
        <v>33</v>
      </c>
    </row>
    <row r="4" spans="1:12" x14ac:dyDescent="0.2">
      <c r="A4" s="13" t="str">
        <v>201503</v>
      </c>
      <c r="B4" s="16">
        <f>_xlfn.XLOOKUP($A4,$F:$F,$G:$G)</f>
        <v>-1.6845317414257321E-2</v>
      </c>
      <c r="C4" s="16">
        <f>_xlfn.XLOOKUP($A4,$J:$J,$K:$K)</f>
        <v>-1.575703389265504E-2</v>
      </c>
      <c r="D4" s="16">
        <v>1.5E-5</v>
      </c>
      <c r="F4" t="s">
        <v>35</v>
      </c>
      <c r="G4">
        <v>4.7637529847752713E-3</v>
      </c>
      <c r="H4" t="s">
        <v>33</v>
      </c>
      <c r="J4" t="s">
        <v>35</v>
      </c>
      <c r="K4">
        <v>-2.842319827389916E-3</v>
      </c>
      <c r="L4" t="s">
        <v>33</v>
      </c>
    </row>
    <row r="5" spans="1:12" x14ac:dyDescent="0.2">
      <c r="A5" s="13" t="str">
        <v>201504</v>
      </c>
      <c r="B5" s="16">
        <f>_xlfn.XLOOKUP($A5,$F:$F,$G:$G)</f>
        <v>2.6906745804188281E-2</v>
      </c>
      <c r="C5" s="16">
        <f>_xlfn.XLOOKUP($A5,$J:$J,$K:$K)</f>
        <v>9.5432436755158445E-3</v>
      </c>
      <c r="D5" s="16">
        <v>1.5E-5</v>
      </c>
      <c r="F5" t="s">
        <v>36</v>
      </c>
      <c r="G5">
        <v>4.7032017253432652E-2</v>
      </c>
      <c r="H5" t="s">
        <v>33</v>
      </c>
      <c r="J5" t="s">
        <v>36</v>
      </c>
      <c r="K5">
        <v>6.03325655008915E-2</v>
      </c>
      <c r="L5" t="s">
        <v>33</v>
      </c>
    </row>
    <row r="6" spans="1:12" x14ac:dyDescent="0.2">
      <c r="A6" s="13" t="str">
        <v>201505</v>
      </c>
      <c r="B6" s="16">
        <f>_xlfn.XLOOKUP($A6,$F:$F,$G:$G)</f>
        <v>1.339653513390182E-2</v>
      </c>
      <c r="C6" s="16">
        <f>_xlfn.XLOOKUP($A6,$J:$J,$K:$K)</f>
        <v>1.282917590174892E-2</v>
      </c>
      <c r="D6" s="16">
        <v>1.5E-5</v>
      </c>
      <c r="F6" t="s">
        <v>37</v>
      </c>
      <c r="G6">
        <v>2.5252102500559429E-2</v>
      </c>
      <c r="H6" t="s">
        <v>33</v>
      </c>
      <c r="J6" t="s">
        <v>37</v>
      </c>
      <c r="K6">
        <v>1.433689041324859E-2</v>
      </c>
      <c r="L6" t="s">
        <v>33</v>
      </c>
    </row>
    <row r="7" spans="1:12" x14ac:dyDescent="0.2">
      <c r="A7" s="13" t="str">
        <v>201506</v>
      </c>
      <c r="B7" s="16">
        <f>_xlfn.XLOOKUP($A7,$F:$F,$G:$G)</f>
        <v>-1.44190215634159E-2</v>
      </c>
      <c r="C7" s="16">
        <f>_xlfn.XLOOKUP($A7,$J:$J,$K:$K)</f>
        <v>-1.9133330203325419E-2</v>
      </c>
      <c r="D7" s="16">
        <v>1.5E-5</v>
      </c>
      <c r="F7" t="s">
        <v>38</v>
      </c>
      <c r="G7">
        <v>1.967311077012179E-2</v>
      </c>
      <c r="H7" t="s">
        <v>33</v>
      </c>
      <c r="J7" t="s">
        <v>38</v>
      </c>
      <c r="K7">
        <v>-2.2261459972682252E-3</v>
      </c>
      <c r="L7" t="s">
        <v>33</v>
      </c>
    </row>
    <row r="8" spans="1:12" x14ac:dyDescent="0.2">
      <c r="A8" s="13" t="str">
        <v>201507</v>
      </c>
      <c r="B8" s="16">
        <f>_xlfn.XLOOKUP($A8,$F:$F,$G:$G)</f>
        <v>1.130384023143738E-2</v>
      </c>
      <c r="C8" s="16">
        <f>_xlfn.XLOOKUP($A8,$J:$J,$K:$K)</f>
        <v>2.0907731218627879E-2</v>
      </c>
      <c r="D8" s="16">
        <v>1.5E-5</v>
      </c>
      <c r="F8" t="s">
        <v>39</v>
      </c>
      <c r="G8">
        <v>-1.6029396804890909E-2</v>
      </c>
      <c r="H8" t="s">
        <v>33</v>
      </c>
      <c r="J8" t="s">
        <v>39</v>
      </c>
      <c r="K8">
        <v>-6.693423451655911E-3</v>
      </c>
      <c r="L8" t="s">
        <v>33</v>
      </c>
    </row>
    <row r="9" spans="1:12" x14ac:dyDescent="0.2">
      <c r="A9" s="13" t="str">
        <v>201508</v>
      </c>
      <c r="B9" s="16">
        <f>_xlfn.XLOOKUP($A9,$F:$F,$G:$G)</f>
        <v>-6.9528121473435123E-2</v>
      </c>
      <c r="C9" s="16">
        <f>_xlfn.XLOOKUP($A9,$J:$J,$K:$K)</f>
        <v>-6.0358114379834737E-2</v>
      </c>
      <c r="D9" s="16">
        <v>1.5E-5</v>
      </c>
      <c r="F9" t="s">
        <v>40</v>
      </c>
      <c r="G9">
        <v>-1.515012313208941E-2</v>
      </c>
      <c r="H9" t="s">
        <v>33</v>
      </c>
      <c r="J9" t="s">
        <v>40</v>
      </c>
      <c r="K9">
        <v>-3.144658854077631E-2</v>
      </c>
      <c r="L9" t="s">
        <v>33</v>
      </c>
    </row>
    <row r="10" spans="1:12" x14ac:dyDescent="0.2">
      <c r="A10" s="13" t="str">
        <v>201509</v>
      </c>
      <c r="B10" s="16">
        <f>_xlfn.XLOOKUP($A10,$F:$F,$G:$G)</f>
        <v>-4.1872396080427247E-2</v>
      </c>
      <c r="C10" s="16">
        <f>_xlfn.XLOOKUP($A10,$J:$J,$K:$K)</f>
        <v>-2.4702925390863831E-2</v>
      </c>
      <c r="D10" s="16">
        <v>1.5E-5</v>
      </c>
      <c r="F10" t="s">
        <v>41</v>
      </c>
      <c r="G10">
        <v>4.9304682473267247E-2</v>
      </c>
      <c r="H10" t="s">
        <v>33</v>
      </c>
      <c r="J10" t="s">
        <v>41</v>
      </c>
      <c r="K10">
        <v>4.3966350372107048E-2</v>
      </c>
      <c r="L10" t="s">
        <v>33</v>
      </c>
    </row>
    <row r="11" spans="1:12" x14ac:dyDescent="0.2">
      <c r="A11" s="13" t="str">
        <v>201510</v>
      </c>
      <c r="B11" s="16">
        <f>_xlfn.XLOOKUP($A11,$F:$F,$G:$G)</f>
        <v>7.9161507888239058E-2</v>
      </c>
      <c r="C11" s="16">
        <f>_xlfn.XLOOKUP($A11,$J:$J,$K:$K)</f>
        <v>8.4283662560759698E-2</v>
      </c>
      <c r="D11" s="16">
        <v>1.5E-5</v>
      </c>
      <c r="F11" t="s">
        <v>42</v>
      </c>
      <c r="G11">
        <v>6.1512712887165533E-2</v>
      </c>
      <c r="H11" t="s">
        <v>33</v>
      </c>
      <c r="J11" t="s">
        <v>42</v>
      </c>
      <c r="K11">
        <v>6.9444496666754452E-2</v>
      </c>
      <c r="L11" t="s">
        <v>33</v>
      </c>
    </row>
    <row r="12" spans="1:12" x14ac:dyDescent="0.2">
      <c r="A12" s="13" t="str">
        <v>201511</v>
      </c>
      <c r="B12" s="16">
        <f>_xlfn.XLOOKUP($A12,$F:$F,$G:$G)</f>
        <v>-4.908546203648223E-3</v>
      </c>
      <c r="C12" s="16">
        <f>_xlfn.XLOOKUP($A12,$J:$J,$K:$K)</f>
        <v>3.019662363455744E-3</v>
      </c>
      <c r="D12" s="16">
        <v>1.5E-5</v>
      </c>
      <c r="F12" t="s">
        <v>43</v>
      </c>
      <c r="G12">
        <v>6.066012077023597E-2</v>
      </c>
      <c r="H12" t="s">
        <v>33</v>
      </c>
      <c r="J12" t="s">
        <v>43</v>
      </c>
      <c r="K12">
        <v>-2.136577503914372E-2</v>
      </c>
      <c r="L12" t="s">
        <v>33</v>
      </c>
    </row>
    <row r="13" spans="1:12" x14ac:dyDescent="0.2">
      <c r="A13" s="13" t="str">
        <v>201512</v>
      </c>
      <c r="B13" s="16">
        <f>_xlfn.XLOOKUP($A13,$F:$F,$G:$G)</f>
        <v>-2.7047721735211971E-2</v>
      </c>
      <c r="C13" s="16">
        <f>_xlfn.XLOOKUP($A13,$J:$J,$K:$K)</f>
        <v>-1.5925244049547319E-2</v>
      </c>
      <c r="D13" s="16">
        <v>1.5E-5</v>
      </c>
      <c r="F13" t="s">
        <v>44</v>
      </c>
      <c r="G13">
        <v>1.2961414521320821E-2</v>
      </c>
      <c r="H13" t="s">
        <v>33</v>
      </c>
      <c r="J13" t="s">
        <v>44</v>
      </c>
      <c r="K13">
        <v>4.3497339045368566E-3</v>
      </c>
      <c r="L13" t="s">
        <v>33</v>
      </c>
    </row>
    <row r="14" spans="1:12" x14ac:dyDescent="0.2">
      <c r="A14" s="13" t="str">
        <v>201601</v>
      </c>
      <c r="B14" s="16">
        <f>_xlfn.XLOOKUP($A14,$F:$F,$G:$G)</f>
        <v>-6.8622156242614696E-2</v>
      </c>
      <c r="C14" s="16">
        <f>_xlfn.XLOOKUP($A14,$J:$J,$K:$K)</f>
        <v>-4.9660445790130958E-2</v>
      </c>
      <c r="D14" s="16">
        <v>1.5E-5</v>
      </c>
      <c r="F14" t="s">
        <v>45</v>
      </c>
      <c r="G14">
        <v>-1.9551653963333689E-2</v>
      </c>
      <c r="H14" t="s">
        <v>33</v>
      </c>
      <c r="J14" t="s">
        <v>45</v>
      </c>
      <c r="K14">
        <v>7.5790384947393097E-2</v>
      </c>
      <c r="L14" t="s">
        <v>33</v>
      </c>
    </row>
    <row r="15" spans="1:12" x14ac:dyDescent="0.2">
      <c r="A15" s="13" t="str">
        <v>201602</v>
      </c>
      <c r="B15" s="16">
        <f>_xlfn.XLOOKUP($A15,$F:$F,$G:$G)</f>
        <v>-6.860214400068898E-3</v>
      </c>
      <c r="C15" s="16">
        <f>_xlfn.XLOOKUP($A15,$J:$J,$K:$K)</f>
        <v>-1.3957124096416469E-3</v>
      </c>
      <c r="D15" s="16">
        <v>1.5E-5</v>
      </c>
      <c r="F15" t="s">
        <v>46</v>
      </c>
      <c r="G15">
        <v>0.14846528738768061</v>
      </c>
      <c r="H15" t="s">
        <v>33</v>
      </c>
      <c r="J15" t="s">
        <v>46</v>
      </c>
      <c r="K15">
        <v>5.4750414525826407E-2</v>
      </c>
      <c r="L15" t="s">
        <v>33</v>
      </c>
    </row>
    <row r="16" spans="1:12" x14ac:dyDescent="0.2">
      <c r="A16" s="13" t="str">
        <v>201603</v>
      </c>
      <c r="B16" s="16">
        <f>_xlfn.XLOOKUP($A16,$F:$F,$G:$G)</f>
        <v>7.0244462506714234E-2</v>
      </c>
      <c r="C16" s="16">
        <f>_xlfn.XLOOKUP($A16,$J:$J,$K:$K)</f>
        <v>6.7786665966015125E-2</v>
      </c>
      <c r="D16" s="16">
        <v>1.5E-5</v>
      </c>
      <c r="F16" t="s">
        <v>47</v>
      </c>
      <c r="G16">
        <v>-1.389370244890353E-2</v>
      </c>
      <c r="H16" t="s">
        <v>33</v>
      </c>
      <c r="J16" t="s">
        <v>47</v>
      </c>
      <c r="K16">
        <v>-1.3451205815228739E-2</v>
      </c>
      <c r="L16" t="s">
        <v>33</v>
      </c>
    </row>
    <row r="17" spans="1:12" x14ac:dyDescent="0.2">
      <c r="A17" s="13" t="str">
        <v>201604</v>
      </c>
      <c r="B17" s="16">
        <f>_xlfn.XLOOKUP($A17,$F:$F,$G:$G)</f>
        <v>2.118598731334043E-2</v>
      </c>
      <c r="C17" s="16">
        <f>_xlfn.XLOOKUP($A17,$J:$J,$K:$K)</f>
        <v>3.940312556676373E-3</v>
      </c>
      <c r="D17" s="16">
        <v>1.5E-5</v>
      </c>
      <c r="F17" t="s">
        <v>48</v>
      </c>
      <c r="G17">
        <v>2.9131560575341501E-2</v>
      </c>
      <c r="H17" t="s">
        <v>33</v>
      </c>
      <c r="J17" t="s">
        <v>48</v>
      </c>
      <c r="K17">
        <v>5.4538356617426009E-2</v>
      </c>
      <c r="L17" t="s">
        <v>33</v>
      </c>
    </row>
    <row r="18" spans="1:12" x14ac:dyDescent="0.2">
      <c r="A18" s="13" t="str">
        <v>201605</v>
      </c>
      <c r="B18" s="16">
        <f>_xlfn.XLOOKUP($A18,$F:$F,$G:$G)</f>
        <v>2.2870081954042609E-2</v>
      </c>
      <c r="C18" s="16">
        <f>_xlfn.XLOOKUP($A18,$J:$J,$K:$K)</f>
        <v>1.848172318791641E-2</v>
      </c>
      <c r="D18" s="16">
        <v>1.5E-5</v>
      </c>
      <c r="F18" t="s">
        <v>49</v>
      </c>
      <c r="G18">
        <v>1.3118190913516511E-2</v>
      </c>
      <c r="H18" t="s">
        <v>33</v>
      </c>
      <c r="J18" t="s">
        <v>49</v>
      </c>
      <c r="K18">
        <v>1.662358562381927E-2</v>
      </c>
      <c r="L18" t="s">
        <v>33</v>
      </c>
    </row>
    <row r="19" spans="1:12" x14ac:dyDescent="0.2">
      <c r="A19" s="13" t="str">
        <v>201606</v>
      </c>
      <c r="B19" s="16">
        <f>_xlfn.XLOOKUP($A19,$F:$F,$G:$G)</f>
        <v>-2.6559494496853239E-2</v>
      </c>
      <c r="C19" s="16">
        <f>_xlfn.XLOOKUP($A19,$J:$J,$K:$K)</f>
        <v>1.073176686356758E-3</v>
      </c>
      <c r="D19" s="16">
        <v>1.5E-5</v>
      </c>
      <c r="F19" t="s">
        <v>50</v>
      </c>
      <c r="G19">
        <v>-6.1779267011351953E-2</v>
      </c>
      <c r="H19" t="s">
        <v>33</v>
      </c>
      <c r="J19" t="s">
        <v>50</v>
      </c>
      <c r="K19">
        <v>-5.7425006805481238E-2</v>
      </c>
      <c r="L19" t="s">
        <v>33</v>
      </c>
    </row>
    <row r="20" spans="1:12" x14ac:dyDescent="0.2">
      <c r="A20" s="13" t="str">
        <v>201607</v>
      </c>
      <c r="B20" s="16">
        <f>_xlfn.XLOOKUP($A20,$F:$F,$G:$G)</f>
        <v>5.3517615802661789E-2</v>
      </c>
      <c r="C20" s="16">
        <f>_xlfn.XLOOKUP($A20,$J:$J,$K:$K)</f>
        <v>3.6838502648985923E-2</v>
      </c>
      <c r="D20" s="16">
        <v>1.5E-5</v>
      </c>
      <c r="F20" t="s">
        <v>51</v>
      </c>
      <c r="G20">
        <v>7.3232414336833029E-2</v>
      </c>
      <c r="H20" t="s">
        <v>33</v>
      </c>
      <c r="J20" t="s">
        <v>51</v>
      </c>
      <c r="K20">
        <v>7.4505240286695917E-2</v>
      </c>
      <c r="L20" t="s">
        <v>33</v>
      </c>
    </row>
    <row r="21" spans="1:12" x14ac:dyDescent="0.2">
      <c r="A21" s="13" t="str">
        <v>201608</v>
      </c>
      <c r="B21" s="16">
        <f>_xlfn.XLOOKUP($A21,$F:$F,$G:$G)</f>
        <v>2.0510388840741411E-2</v>
      </c>
      <c r="C21" s="16">
        <f>_xlfn.XLOOKUP($A21,$J:$J,$K:$K)</f>
        <v>1.409921296545269E-3</v>
      </c>
      <c r="D21" s="16">
        <v>1.5E-5</v>
      </c>
      <c r="F21" t="s">
        <v>52</v>
      </c>
      <c r="G21">
        <v>-6.5841364276082781E-2</v>
      </c>
      <c r="H21" t="s">
        <v>33</v>
      </c>
      <c r="J21" t="s">
        <v>52</v>
      </c>
      <c r="K21">
        <v>-8.3062528177132E-2</v>
      </c>
      <c r="L21" t="s">
        <v>33</v>
      </c>
    </row>
    <row r="22" spans="1:12" x14ac:dyDescent="0.2">
      <c r="A22" s="13" t="str">
        <v>201609</v>
      </c>
      <c r="B22" s="16">
        <f>_xlfn.XLOOKUP($A22,$F:$F,$G:$G)</f>
        <v>1.1857922454757251E-2</v>
      </c>
      <c r="C22" s="16">
        <f>_xlfn.XLOOKUP($A22,$J:$J,$K:$K)</f>
        <v>1.971176585964241E-4</v>
      </c>
      <c r="D22" s="16">
        <v>1.5E-5</v>
      </c>
      <c r="F22" t="s">
        <v>53</v>
      </c>
      <c r="G22">
        <v>5.5789068169907592E-2</v>
      </c>
      <c r="H22" t="s">
        <v>33</v>
      </c>
      <c r="J22" t="s">
        <v>53</v>
      </c>
      <c r="K22">
        <v>5.6326859494753023E-2</v>
      </c>
      <c r="L22" t="s">
        <v>33</v>
      </c>
    </row>
    <row r="23" spans="1:12" x14ac:dyDescent="0.2">
      <c r="A23" s="13" t="str">
        <v>201610</v>
      </c>
      <c r="B23" s="16">
        <f>_xlfn.XLOOKUP($A23,$F:$F,$G:$G)</f>
        <v>-2.6035163950403062E-3</v>
      </c>
      <c r="C23" s="16">
        <f>_xlfn.XLOOKUP($A23,$J:$J,$K:$K)</f>
        <v>-1.8193818550734431E-2</v>
      </c>
      <c r="D23" s="16">
        <v>1.5E-5</v>
      </c>
      <c r="F23" t="s">
        <v>54</v>
      </c>
      <c r="G23">
        <v>-1.1993706236994471E-2</v>
      </c>
      <c r="H23" t="s">
        <v>33</v>
      </c>
      <c r="J23" t="s">
        <v>54</v>
      </c>
      <c r="K23">
        <v>2.553512304189676E-2</v>
      </c>
      <c r="L23" t="s">
        <v>33</v>
      </c>
    </row>
    <row r="24" spans="1:12" x14ac:dyDescent="0.2">
      <c r="A24" s="13" t="str">
        <v>201611</v>
      </c>
      <c r="B24" s="16">
        <f>_xlfn.XLOOKUP($A24,$F:$F,$G:$G)</f>
        <v>9.6200620114191171E-2</v>
      </c>
      <c r="C24" s="16">
        <f>_xlfn.XLOOKUP($A24,$J:$J,$K:$K)</f>
        <v>3.7061935226111682E-2</v>
      </c>
      <c r="D24" s="16">
        <v>1.5E-5</v>
      </c>
      <c r="F24" t="s">
        <v>55</v>
      </c>
      <c r="G24">
        <v>3.1741327464835933E-2</v>
      </c>
      <c r="H24" t="s">
        <v>33</v>
      </c>
      <c r="J24" t="s">
        <v>55</v>
      </c>
      <c r="K24">
        <v>-9.8498684027194527E-2</v>
      </c>
      <c r="L24" t="s">
        <v>33</v>
      </c>
    </row>
    <row r="25" spans="1:12" x14ac:dyDescent="0.2">
      <c r="A25" s="13" t="str">
        <v>201612</v>
      </c>
      <c r="B25" s="16">
        <f>_xlfn.XLOOKUP($A25,$F:$F,$G:$G)</f>
        <v>1.3225999460473981E-2</v>
      </c>
      <c r="C25" s="16">
        <f>_xlfn.XLOOKUP($A25,$J:$J,$K:$K)</f>
        <v>1.9794415051627379E-2</v>
      </c>
      <c r="D25" s="16">
        <v>1.5E-5</v>
      </c>
      <c r="F25" t="s">
        <v>56</v>
      </c>
      <c r="G25">
        <v>0.13801288216944041</v>
      </c>
      <c r="H25" t="s">
        <v>33</v>
      </c>
      <c r="J25" t="s">
        <v>56</v>
      </c>
      <c r="K25">
        <v>0.13267405243597569</v>
      </c>
      <c r="L25" t="s">
        <v>33</v>
      </c>
    </row>
    <row r="26" spans="1:12" x14ac:dyDescent="0.2">
      <c r="A26" s="13" t="str">
        <v>201701</v>
      </c>
      <c r="B26" s="16">
        <f>_xlfn.XLOOKUP($A26,$F:$F,$G:$G)</f>
        <v>2.2788816043135759E-2</v>
      </c>
      <c r="C26" s="16">
        <f>_xlfn.XLOOKUP($A26,$J:$J,$K:$K)</f>
        <v>1.8912743284982492E-2</v>
      </c>
      <c r="D26" s="16">
        <v>1.5E-5</v>
      </c>
      <c r="F26" t="s">
        <v>57</v>
      </c>
      <c r="G26">
        <v>2.9397406267532181E-2</v>
      </c>
      <c r="H26" t="s">
        <v>33</v>
      </c>
      <c r="J26" t="s">
        <v>57</v>
      </c>
      <c r="K26">
        <v>3.9650787983384277E-2</v>
      </c>
      <c r="L26" t="s">
        <v>33</v>
      </c>
    </row>
    <row r="27" spans="1:12" x14ac:dyDescent="0.2">
      <c r="A27" s="13" t="str">
        <v>201702</v>
      </c>
      <c r="B27" s="16">
        <f>_xlfn.XLOOKUP($A27,$F:$F,$G:$G)</f>
        <v>2.9971292550795781E-2</v>
      </c>
      <c r="C27" s="16">
        <f>_xlfn.XLOOKUP($A27,$J:$J,$K:$K)</f>
        <v>3.9723820288073863E-2</v>
      </c>
      <c r="D27" s="16">
        <v>1.5E-5</v>
      </c>
      <c r="F27" t="s">
        <v>58</v>
      </c>
      <c r="G27">
        <v>2.6163683443150679E-2</v>
      </c>
      <c r="H27" t="s">
        <v>33</v>
      </c>
      <c r="J27" t="s">
        <v>58</v>
      </c>
      <c r="K27">
        <v>2.8691371302918659E-2</v>
      </c>
      <c r="L27" t="s">
        <v>33</v>
      </c>
    </row>
    <row r="28" spans="1:12" x14ac:dyDescent="0.2">
      <c r="A28" s="13" t="str">
        <v>201703</v>
      </c>
      <c r="B28" s="16">
        <f>_xlfn.XLOOKUP($A28,$F:$F,$G:$G)</f>
        <v>-3.6899184766613362E-3</v>
      </c>
      <c r="C28" s="16">
        <f>_xlfn.XLOOKUP($A28,$J:$J,$K:$K)</f>
        <v>1.138455978951791E-3</v>
      </c>
      <c r="D28" s="16">
        <v>1.5E-5</v>
      </c>
      <c r="F28" t="s">
        <v>59</v>
      </c>
      <c r="G28">
        <v>1.60672951306462E-3</v>
      </c>
      <c r="H28" t="s">
        <v>33</v>
      </c>
      <c r="J28" t="s">
        <v>59</v>
      </c>
      <c r="K28">
        <v>-9.924675393341742E-3</v>
      </c>
      <c r="L28" t="s">
        <v>33</v>
      </c>
    </row>
    <row r="29" spans="1:12" x14ac:dyDescent="0.2">
      <c r="A29" s="13" t="str">
        <v>201704</v>
      </c>
      <c r="B29" s="16">
        <f>_xlfn.XLOOKUP($A29,$F:$F,$G:$G)</f>
        <v>4.0513384815545894E-3</v>
      </c>
      <c r="C29" s="16">
        <f>_xlfn.XLOOKUP($A29,$J:$J,$K:$K)</f>
        <v>1.021291583716089E-2</v>
      </c>
      <c r="D29" s="16">
        <v>1.5E-5</v>
      </c>
      <c r="F29" t="s">
        <v>60</v>
      </c>
      <c r="G29">
        <v>8.6964206111297404E-3</v>
      </c>
      <c r="H29" t="s">
        <v>33</v>
      </c>
      <c r="J29" t="s">
        <v>60</v>
      </c>
      <c r="K29">
        <v>1.036983179730133E-2</v>
      </c>
      <c r="L29" t="s">
        <v>33</v>
      </c>
    </row>
    <row r="30" spans="1:12" x14ac:dyDescent="0.2">
      <c r="A30" s="13" t="str">
        <v>201705</v>
      </c>
      <c r="B30" s="16">
        <f>_xlfn.XLOOKUP($A30,$F:$F,$G:$G)</f>
        <v>-8.3890315372703306E-4</v>
      </c>
      <c r="C30" s="16">
        <f>_xlfn.XLOOKUP($A30,$J:$J,$K:$K)</f>
        <v>1.413640771609459E-2</v>
      </c>
      <c r="D30" s="16">
        <v>1.5E-5</v>
      </c>
      <c r="F30" t="s">
        <v>61</v>
      </c>
      <c r="G30">
        <v>5.7294752376552571E-2</v>
      </c>
      <c r="H30" t="s">
        <v>33</v>
      </c>
      <c r="J30" t="s">
        <v>61</v>
      </c>
      <c r="K30">
        <v>5.0290829235328793E-2</v>
      </c>
      <c r="L30" t="s">
        <v>33</v>
      </c>
    </row>
    <row r="31" spans="1:12" x14ac:dyDescent="0.2">
      <c r="A31" s="13" t="str">
        <v>201706</v>
      </c>
      <c r="B31" s="16">
        <f>_xlfn.XLOOKUP($A31,$F:$F,$G:$G)</f>
        <v>1.427305531697098E-2</v>
      </c>
      <c r="C31" s="16">
        <f>_xlfn.XLOOKUP($A31,$J:$J,$K:$K)</f>
        <v>6.2346438699649731E-3</v>
      </c>
      <c r="D31" s="16">
        <v>1.5E-5</v>
      </c>
      <c r="F31" t="s">
        <v>62</v>
      </c>
      <c r="G31">
        <v>4.9496276329715323E-2</v>
      </c>
      <c r="H31" t="s">
        <v>33</v>
      </c>
      <c r="J31" t="s">
        <v>62</v>
      </c>
      <c r="K31">
        <v>4.9148098869652213E-2</v>
      </c>
      <c r="L31" t="s">
        <v>33</v>
      </c>
    </row>
    <row r="32" spans="1:12" x14ac:dyDescent="0.2">
      <c r="A32" s="13" t="str">
        <v>201707</v>
      </c>
      <c r="B32" s="16">
        <f>_xlfn.XLOOKUP($A32,$F:$F,$G:$G)</f>
        <v>1.806011131043728E-2</v>
      </c>
      <c r="C32" s="16">
        <f>_xlfn.XLOOKUP($A32,$J:$J,$K:$K)</f>
        <v>2.0580317912037401E-2</v>
      </c>
      <c r="D32" s="16">
        <v>1.5E-5</v>
      </c>
      <c r="F32" t="s">
        <v>63</v>
      </c>
      <c r="G32">
        <v>3.1795354438207468E-2</v>
      </c>
      <c r="H32" t="s">
        <v>33</v>
      </c>
      <c r="J32" t="s">
        <v>63</v>
      </c>
      <c r="K32">
        <v>3.8413476722424462E-2</v>
      </c>
      <c r="L32" t="s">
        <v>33</v>
      </c>
    </row>
    <row r="33" spans="1:12" x14ac:dyDescent="0.2">
      <c r="A33" s="13" t="str">
        <v>201708</v>
      </c>
      <c r="B33" s="16">
        <f>_xlfn.XLOOKUP($A33,$F:$F,$G:$G)</f>
        <v>-1.0545986048256521E-2</v>
      </c>
      <c r="C33" s="16">
        <f>_xlfn.XLOOKUP($A33,$J:$J,$K:$K)</f>
        <v>3.0578739386943892E-3</v>
      </c>
      <c r="D33" s="16">
        <v>1.5E-5</v>
      </c>
      <c r="F33" t="s">
        <v>64</v>
      </c>
      <c r="G33">
        <v>6.6650943933845852E-3</v>
      </c>
      <c r="H33" t="s">
        <v>33</v>
      </c>
      <c r="J33" t="s">
        <v>64</v>
      </c>
      <c r="K33">
        <v>-2.2857101555157411E-2</v>
      </c>
      <c r="L33" t="s">
        <v>33</v>
      </c>
    </row>
    <row r="34" spans="1:12" x14ac:dyDescent="0.2">
      <c r="A34" s="13" t="str">
        <v>201709</v>
      </c>
      <c r="B34" s="16">
        <f>_xlfn.XLOOKUP($A34,$F:$F,$G:$G)</f>
        <v>3.992361046146442E-2</v>
      </c>
      <c r="C34" s="16">
        <f>_xlfn.XLOOKUP($A34,$J:$J,$K:$K)</f>
        <v>2.0655805062656629E-2</v>
      </c>
      <c r="D34" s="16">
        <v>1.5E-5</v>
      </c>
      <c r="F34" t="s">
        <v>65</v>
      </c>
      <c r="G34">
        <v>-0.198611287756397</v>
      </c>
      <c r="H34" t="s">
        <v>33</v>
      </c>
      <c r="J34" t="s">
        <v>65</v>
      </c>
      <c r="K34">
        <v>-0.21727019991917229</v>
      </c>
      <c r="L34" t="s">
        <v>33</v>
      </c>
    </row>
    <row r="35" spans="1:12" x14ac:dyDescent="0.2">
      <c r="A35" s="13" t="str">
        <v>201710</v>
      </c>
      <c r="B35" s="16">
        <f>_xlfn.XLOOKUP($A35,$F:$F,$G:$G)</f>
        <v>6.2318135091721238E-3</v>
      </c>
      <c r="C35" s="16">
        <f>_xlfn.XLOOKUP($A35,$J:$J,$K:$K)</f>
        <v>2.32879162311781E-2</v>
      </c>
      <c r="D35" s="16">
        <v>1.5E-5</v>
      </c>
      <c r="F35" t="s">
        <v>66</v>
      </c>
      <c r="G35">
        <v>-0.1229541694834483</v>
      </c>
      <c r="H35" t="s">
        <v>33</v>
      </c>
      <c r="J35" t="s">
        <v>66</v>
      </c>
      <c r="K35">
        <v>-8.1850594196773208E-2</v>
      </c>
      <c r="L35" t="s">
        <v>33</v>
      </c>
    </row>
    <row r="36" spans="1:12" x14ac:dyDescent="0.2">
      <c r="A36" s="13" t="str">
        <v>201711</v>
      </c>
      <c r="B36" s="16">
        <f>_xlfn.XLOOKUP($A36,$F:$F,$G:$G)</f>
        <v>2.5970166162085251E-2</v>
      </c>
      <c r="C36" s="16">
        <f>_xlfn.XLOOKUP($A36,$J:$J,$K:$K)</f>
        <v>3.0687456176808899E-2</v>
      </c>
      <c r="D36" s="16">
        <v>1.5E-5</v>
      </c>
      <c r="F36" t="s">
        <v>67</v>
      </c>
      <c r="G36">
        <v>0.13823113130244891</v>
      </c>
      <c r="H36" t="s">
        <v>33</v>
      </c>
      <c r="J36" t="s">
        <v>67</v>
      </c>
      <c r="K36">
        <v>7.5366079109628004E-2</v>
      </c>
      <c r="L36" t="s">
        <v>33</v>
      </c>
    </row>
    <row r="37" spans="1:12" x14ac:dyDescent="0.2">
      <c r="A37" s="13" t="str">
        <v>201712</v>
      </c>
      <c r="B37" s="16">
        <f>_xlfn.XLOOKUP($A37,$F:$F,$G:$G)</f>
        <v>2.417769106954815E-2</v>
      </c>
      <c r="C37" s="16">
        <f>_xlfn.XLOOKUP($A37,$J:$J,$K:$K)</f>
        <v>1.114785048640177E-2</v>
      </c>
      <c r="D37" s="16">
        <v>1.5E-5</v>
      </c>
      <c r="F37" t="s">
        <v>68</v>
      </c>
      <c r="G37">
        <v>4.1286205016124011E-2</v>
      </c>
      <c r="H37" t="s">
        <v>33</v>
      </c>
      <c r="J37" t="s">
        <v>68</v>
      </c>
      <c r="K37">
        <v>4.1784996694831822E-2</v>
      </c>
      <c r="L37" t="s">
        <v>33</v>
      </c>
    </row>
    <row r="38" spans="1:12" x14ac:dyDescent="0.2">
      <c r="A38" s="13" t="str">
        <v>201801</v>
      </c>
      <c r="B38" s="16">
        <f>_xlfn.XLOOKUP($A38,$F:$F,$G:$G)</f>
        <v>5.6971727382066677E-2</v>
      </c>
      <c r="C38" s="16">
        <f>_xlfn.XLOOKUP($A38,$J:$J,$K:$K)</f>
        <v>5.7191003672306229E-2</v>
      </c>
      <c r="D38" s="16">
        <v>1.5E-5</v>
      </c>
      <c r="F38" t="s">
        <v>69</v>
      </c>
      <c r="G38">
        <v>4.83720130533003E-2</v>
      </c>
      <c r="H38" t="s">
        <v>33</v>
      </c>
      <c r="J38" t="s">
        <v>69</v>
      </c>
      <c r="K38">
        <v>4.590035648488433E-2</v>
      </c>
      <c r="L38" t="s">
        <v>33</v>
      </c>
    </row>
    <row r="39" spans="1:12" x14ac:dyDescent="0.2">
      <c r="A39" s="13" t="str">
        <v>201802</v>
      </c>
      <c r="B39" s="16">
        <f>_xlfn.XLOOKUP($A39,$F:$F,$G:$G)</f>
        <v>-3.8935049237179609E-2</v>
      </c>
      <c r="C39" s="16">
        <f>_xlfn.XLOOKUP($A39,$J:$J,$K:$K)</f>
        <v>-3.6812117157744677E-2</v>
      </c>
      <c r="D39" s="16">
        <v>1.5E-5</v>
      </c>
      <c r="F39" t="s">
        <v>70</v>
      </c>
      <c r="G39">
        <v>-3.696331419549026E-2</v>
      </c>
      <c r="H39" t="s">
        <v>33</v>
      </c>
      <c r="J39" t="s">
        <v>70</v>
      </c>
      <c r="K39">
        <v>-3.038258723759113E-2</v>
      </c>
      <c r="L39" t="s">
        <v>33</v>
      </c>
    </row>
    <row r="40" spans="1:12" x14ac:dyDescent="0.2">
      <c r="A40" s="13" t="str">
        <v>201803</v>
      </c>
      <c r="B40" s="16">
        <f>_xlfn.XLOOKUP($A40,$F:$F,$G:$G)</f>
        <v>-3.2683789557926723E-2</v>
      </c>
      <c r="C40" s="16">
        <f>_xlfn.XLOOKUP($A40,$J:$J,$K:$K)</f>
        <v>-2.554430411073039E-2</v>
      </c>
      <c r="D40" s="16">
        <v>1.5E-5</v>
      </c>
      <c r="F40" t="s">
        <v>71</v>
      </c>
      <c r="G40">
        <v>1.047097879441505E-2</v>
      </c>
      <c r="H40" t="s">
        <v>33</v>
      </c>
      <c r="J40" t="s">
        <v>71</v>
      </c>
      <c r="K40">
        <v>1.012856361936465E-2</v>
      </c>
      <c r="L40" t="s">
        <v>33</v>
      </c>
    </row>
    <row r="41" spans="1:12" x14ac:dyDescent="0.2">
      <c r="A41" s="13" t="str">
        <v>201804</v>
      </c>
      <c r="B41" s="16">
        <f>_xlfn.XLOOKUP($A41,$F:$F,$G:$G)</f>
        <v>7.1513575774004856E-3</v>
      </c>
      <c r="C41" s="16">
        <f>_xlfn.XLOOKUP($A41,$J:$J,$K:$K)</f>
        <v>3.7927875618488649E-3</v>
      </c>
      <c r="D41" s="16">
        <v>1.5E-5</v>
      </c>
      <c r="F41" t="s">
        <v>72</v>
      </c>
      <c r="G41">
        <v>9.2110632021724648E-3</v>
      </c>
      <c r="H41" t="s">
        <v>33</v>
      </c>
      <c r="J41" t="s">
        <v>72</v>
      </c>
      <c r="K41">
        <v>8.0986919398817747E-3</v>
      </c>
      <c r="L41" t="s">
        <v>33</v>
      </c>
    </row>
    <row r="42" spans="1:12" x14ac:dyDescent="0.2">
      <c r="A42" s="13" t="str">
        <v>201805</v>
      </c>
      <c r="B42" s="16">
        <f>_xlfn.XLOOKUP($A42,$F:$F,$G:$G)</f>
        <v>5.3918434964177484E-3</v>
      </c>
      <c r="C42" s="16">
        <f>_xlfn.XLOOKUP($A42,$J:$J,$K:$K)</f>
        <v>2.413637461129392E-2</v>
      </c>
      <c r="D42" s="16">
        <v>1.5E-5</v>
      </c>
      <c r="F42" t="s">
        <v>73</v>
      </c>
      <c r="G42">
        <v>5.6165282954654172E-2</v>
      </c>
      <c r="H42" t="s">
        <v>33</v>
      </c>
      <c r="J42" t="s">
        <v>73</v>
      </c>
      <c r="K42">
        <v>4.5524110813601748E-2</v>
      </c>
      <c r="L42" t="s">
        <v>33</v>
      </c>
    </row>
    <row r="43" spans="1:12" x14ac:dyDescent="0.2">
      <c r="A43" s="13" t="str">
        <v>201806</v>
      </c>
      <c r="B43" s="16">
        <f>_xlfn.XLOOKUP($A43,$F:$F,$G:$G)</f>
        <v>1.483238223791461E-2</v>
      </c>
      <c r="C43" s="16">
        <f>_xlfn.XLOOKUP($A43,$J:$J,$K:$K)</f>
        <v>6.0839390815725647E-3</v>
      </c>
      <c r="D43" s="16">
        <v>1.5E-5</v>
      </c>
      <c r="F43" t="s">
        <v>74</v>
      </c>
      <c r="G43">
        <v>-1.7410212700514242E-2</v>
      </c>
      <c r="H43" t="s">
        <v>33</v>
      </c>
      <c r="J43" t="s">
        <v>74</v>
      </c>
      <c r="K43">
        <v>-3.6832553545037561E-3</v>
      </c>
      <c r="L43" t="s">
        <v>33</v>
      </c>
    </row>
    <row r="44" spans="1:12" x14ac:dyDescent="0.2">
      <c r="A44" s="13" t="str">
        <v>201807</v>
      </c>
      <c r="B44" s="16">
        <f>_xlfn.XLOOKUP($A44,$F:$F,$G:$G)</f>
        <v>4.5916785728242981E-2</v>
      </c>
      <c r="C44" s="16">
        <f>_xlfn.XLOOKUP($A44,$J:$J,$K:$K)</f>
        <v>3.7220819187774527E-2</v>
      </c>
      <c r="D44" s="16">
        <v>1.5E-5</v>
      </c>
      <c r="F44" t="s">
        <v>75</v>
      </c>
      <c r="G44">
        <v>-3.4329952946785092E-2</v>
      </c>
      <c r="H44" t="s">
        <v>33</v>
      </c>
      <c r="J44" t="s">
        <v>75</v>
      </c>
      <c r="K44">
        <v>-3.4011094352767168E-2</v>
      </c>
      <c r="L44" t="s">
        <v>33</v>
      </c>
    </row>
    <row r="45" spans="1:12" x14ac:dyDescent="0.2">
      <c r="A45" s="13" t="str">
        <v>201808</v>
      </c>
      <c r="B45" s="16">
        <f>_xlfn.XLOOKUP($A45,$F:$F,$G:$G)</f>
        <v>1.6482819573523599E-2</v>
      </c>
      <c r="C45" s="16">
        <f>_xlfn.XLOOKUP($A45,$J:$J,$K:$K)</f>
        <v>3.2550312852736463E-2</v>
      </c>
      <c r="D45" s="16">
        <v>1.5E-5</v>
      </c>
      <c r="F45" t="s">
        <v>76</v>
      </c>
      <c r="G45">
        <v>2.9805042509047249E-2</v>
      </c>
      <c r="H45" t="s">
        <v>33</v>
      </c>
      <c r="J45" t="s">
        <v>76</v>
      </c>
      <c r="K45">
        <v>4.2479921195038177E-2</v>
      </c>
      <c r="L45" t="s">
        <v>33</v>
      </c>
    </row>
    <row r="46" spans="1:12" x14ac:dyDescent="0.2">
      <c r="A46" s="13" t="str">
        <v>201809</v>
      </c>
      <c r="B46" s="16">
        <f>_xlfn.XLOOKUP($A46,$F:$F,$G:$G)</f>
        <v>1.6345512918731759E-3</v>
      </c>
      <c r="C46" s="16">
        <f>_xlfn.XLOOKUP($A46,$J:$J,$K:$K)</f>
        <v>5.6449427551654718E-3</v>
      </c>
      <c r="D46" s="16">
        <v>1.5E-5</v>
      </c>
      <c r="F46" t="s">
        <v>77</v>
      </c>
      <c r="G46">
        <v>2.1318564600561359E-2</v>
      </c>
      <c r="H46" t="s">
        <v>33</v>
      </c>
      <c r="J46" t="s">
        <v>77</v>
      </c>
      <c r="K46">
        <v>2.734662918414044E-2</v>
      </c>
      <c r="L46" t="s">
        <v>33</v>
      </c>
    </row>
    <row r="47" spans="1:12" x14ac:dyDescent="0.2">
      <c r="A47" s="13" t="str">
        <v>201810</v>
      </c>
      <c r="B47" s="16">
        <f>_xlfn.XLOOKUP($A47,$F:$F,$G:$G)</f>
        <v>-5.8561787551283162E-2</v>
      </c>
      <c r="C47" s="16">
        <f>_xlfn.XLOOKUP($A47,$J:$J,$K:$K)</f>
        <v>-6.8382661486797613E-2</v>
      </c>
      <c r="D47" s="16">
        <v>1.5E-5</v>
      </c>
      <c r="F47" t="s">
        <v>78</v>
      </c>
      <c r="G47">
        <v>-1.0678441055101739E-2</v>
      </c>
      <c r="H47" t="s">
        <v>33</v>
      </c>
      <c r="J47" t="s">
        <v>78</v>
      </c>
      <c r="K47">
        <v>-1.4748196354823381E-2</v>
      </c>
      <c r="L47" t="s">
        <v>33</v>
      </c>
    </row>
    <row r="48" spans="1:12" x14ac:dyDescent="0.2">
      <c r="A48" s="13" t="str">
        <v>201811</v>
      </c>
      <c r="B48" s="16">
        <f>_xlfn.XLOOKUP($A48,$F:$F,$G:$G)</f>
        <v>2.7906432219581449E-2</v>
      </c>
      <c r="C48" s="16">
        <f>_xlfn.XLOOKUP($A48,$J:$J,$K:$K)</f>
        <v>2.0401953005503511E-2</v>
      </c>
      <c r="D48" s="16">
        <v>1.5E-5</v>
      </c>
      <c r="F48" t="s">
        <v>79</v>
      </c>
      <c r="G48">
        <v>1.7489834672242521E-2</v>
      </c>
      <c r="H48" t="s">
        <v>33</v>
      </c>
      <c r="J48" t="s">
        <v>79</v>
      </c>
      <c r="K48">
        <v>1.7524677846789238E-2</v>
      </c>
      <c r="L48" t="s">
        <v>33</v>
      </c>
    </row>
    <row r="49" spans="1:12" x14ac:dyDescent="0.2">
      <c r="A49" s="13" t="str">
        <v>201812</v>
      </c>
      <c r="B49" s="16">
        <f>_xlfn.XLOOKUP($A49,$F:$F,$G:$G)</f>
        <v>-0.106759019233807</v>
      </c>
      <c r="C49" s="16">
        <f>_xlfn.XLOOKUP($A49,$J:$J,$K:$K)</f>
        <v>-9.0098823235914893E-2</v>
      </c>
      <c r="D49" s="16">
        <v>1.5E-5</v>
      </c>
      <c r="F49" t="s">
        <v>80</v>
      </c>
      <c r="G49">
        <v>7.5415158068880883E-2</v>
      </c>
      <c r="H49" t="s">
        <v>33</v>
      </c>
      <c r="J49" t="s">
        <v>80</v>
      </c>
      <c r="K49">
        <v>7.3215590462639479E-2</v>
      </c>
      <c r="L49" t="s">
        <v>33</v>
      </c>
    </row>
    <row r="50" spans="1:12" x14ac:dyDescent="0.2">
      <c r="A50" s="13" t="str">
        <v>201901</v>
      </c>
      <c r="B50" s="16">
        <f>_xlfn.XLOOKUP($A50,$F:$F,$G:$G)</f>
        <v>8.5124919979691294E-2</v>
      </c>
      <c r="C50" s="16">
        <f>_xlfn.XLOOKUP($A50,$J:$J,$K:$K)</f>
        <v>8.0071814849076217E-2</v>
      </c>
      <c r="D50" s="16">
        <v>1.5E-5</v>
      </c>
      <c r="F50" t="s">
        <v>81</v>
      </c>
      <c r="G50">
        <v>-3.0337508173633121E-2</v>
      </c>
      <c r="H50" t="s">
        <v>33</v>
      </c>
      <c r="J50" t="s">
        <v>81</v>
      </c>
      <c r="K50">
        <v>-2.4682869779613981E-2</v>
      </c>
      <c r="L50" t="s">
        <v>33</v>
      </c>
    </row>
    <row r="51" spans="1:12" x14ac:dyDescent="0.2">
      <c r="A51" s="13" t="str">
        <v>201902</v>
      </c>
      <c r="B51" s="16">
        <f>_xlfn.XLOOKUP($A51,$F:$F,$G:$G)</f>
        <v>1.8557997270961749E-2</v>
      </c>
      <c r="C51" s="16">
        <f>_xlfn.XLOOKUP($A51,$J:$J,$K:$K)</f>
        <v>3.2160609171930199E-2</v>
      </c>
      <c r="D51" s="16">
        <v>1.5E-5</v>
      </c>
      <c r="F51" t="s">
        <v>82</v>
      </c>
      <c r="G51">
        <v>1.3358881120622451E-2</v>
      </c>
      <c r="H51" t="s">
        <v>33</v>
      </c>
      <c r="J51" t="s">
        <v>82</v>
      </c>
      <c r="K51">
        <v>2.2495570861720719E-2</v>
      </c>
      <c r="L51" t="s">
        <v>33</v>
      </c>
    </row>
    <row r="52" spans="1:12" x14ac:dyDescent="0.2">
      <c r="A52" s="13" t="str">
        <v>201903</v>
      </c>
      <c r="B52" s="16">
        <f>_xlfn.XLOOKUP($A52,$F:$F,$G:$G)</f>
        <v>-2.1706494805301402E-3</v>
      </c>
      <c r="C52" s="16">
        <f>_xlfn.XLOOKUP($A52,$J:$J,$K:$K)</f>
        <v>1.9470486095997771E-2</v>
      </c>
      <c r="D52" s="16">
        <v>1.5E-5</v>
      </c>
      <c r="F52" t="s">
        <v>83</v>
      </c>
      <c r="G52">
        <v>4.244362276988678E-2</v>
      </c>
      <c r="H52" t="s">
        <v>33</v>
      </c>
      <c r="J52" t="s">
        <v>83</v>
      </c>
      <c r="K52">
        <v>5.1844112142809262E-2</v>
      </c>
      <c r="L52" t="s">
        <v>33</v>
      </c>
    </row>
    <row r="53" spans="1:12" x14ac:dyDescent="0.2">
      <c r="A53" s="13" t="str">
        <v>201904</v>
      </c>
      <c r="B53" s="16">
        <f>_xlfn.XLOOKUP($A53,$F:$F,$G:$G)</f>
        <v>4.7092062186728567E-2</v>
      </c>
      <c r="C53" s="16">
        <f>_xlfn.XLOOKUP($A53,$J:$J,$K:$K)</f>
        <v>4.0476193097434887E-2</v>
      </c>
      <c r="D53" s="16">
        <v>1.5E-5</v>
      </c>
      <c r="F53" t="s">
        <v>84</v>
      </c>
      <c r="G53">
        <v>3.5029442626558487E-2</v>
      </c>
      <c r="H53" t="s">
        <v>33</v>
      </c>
      <c r="J53" t="s">
        <v>84</v>
      </c>
      <c r="K53">
        <v>4.0357301990646022E-2</v>
      </c>
      <c r="L53" t="s">
        <v>33</v>
      </c>
    </row>
    <row r="54" spans="1:12" x14ac:dyDescent="0.2">
      <c r="A54" s="13" t="str">
        <v>201905</v>
      </c>
      <c r="B54" s="16">
        <f>_xlfn.XLOOKUP($A54,$F:$F,$G:$G)</f>
        <v>-7.3965776571155217E-2</v>
      </c>
      <c r="C54" s="16">
        <f>_xlfn.XLOOKUP($A54,$J:$J,$K:$K)</f>
        <v>-6.3518502431555324E-2</v>
      </c>
      <c r="D54" s="16">
        <v>1.5E-5</v>
      </c>
      <c r="F54" t="s">
        <v>85</v>
      </c>
      <c r="G54">
        <v>-1.080673495698525E-2</v>
      </c>
      <c r="H54" t="s">
        <v>33</v>
      </c>
      <c r="J54" t="s">
        <v>85</v>
      </c>
      <c r="K54">
        <v>-5.7233896974551168E-3</v>
      </c>
      <c r="L54" t="s">
        <v>33</v>
      </c>
    </row>
    <row r="55" spans="1:12" x14ac:dyDescent="0.2">
      <c r="A55" s="13" t="str">
        <v>201906</v>
      </c>
      <c r="B55" s="16">
        <f>_xlfn.XLOOKUP($A55,$F:$F,$G:$G)</f>
        <v>5.8009839172745707E-2</v>
      </c>
      <c r="C55" s="16">
        <f>_xlfn.XLOOKUP($A55,$J:$J,$K:$K)</f>
        <v>7.0396107308434486E-2</v>
      </c>
      <c r="D55" s="16">
        <v>1.5E-5</v>
      </c>
      <c r="F55" t="s">
        <v>86</v>
      </c>
      <c r="G55">
        <v>8.4269438597844415E-2</v>
      </c>
      <c r="H55" t="s">
        <v>33</v>
      </c>
      <c r="J55" t="s">
        <v>86</v>
      </c>
      <c r="K55">
        <v>9.0061087916317728E-2</v>
      </c>
      <c r="L55" t="s">
        <v>33</v>
      </c>
    </row>
    <row r="56" spans="1:12" x14ac:dyDescent="0.2">
      <c r="A56" s="13" t="str">
        <v>201907</v>
      </c>
      <c r="B56" s="16">
        <f>_xlfn.XLOOKUP($A56,$F:$F,$G:$G)</f>
        <v>2.1216395127712451E-2</v>
      </c>
      <c r="C56" s="16">
        <f>_xlfn.XLOOKUP($A56,$J:$J,$K:$K)</f>
        <v>1.432443914585591E-2</v>
      </c>
      <c r="D56" s="16">
        <v>1.5E-5</v>
      </c>
      <c r="F56" t="s">
        <v>87</v>
      </c>
      <c r="G56">
        <v>3.013860773938792E-2</v>
      </c>
      <c r="H56" t="s">
        <v>33</v>
      </c>
      <c r="J56" t="s">
        <v>87</v>
      </c>
      <c r="K56">
        <v>1.8589586292753649E-2</v>
      </c>
      <c r="L56" t="s">
        <v>33</v>
      </c>
    </row>
    <row r="57" spans="1:12" x14ac:dyDescent="0.2">
      <c r="A57" s="13" t="str">
        <v>201908</v>
      </c>
      <c r="B57" s="16">
        <f>_xlfn.XLOOKUP($A57,$F:$F,$G:$G)</f>
        <v>-5.019306036820026E-2</v>
      </c>
      <c r="C57" s="16">
        <f>_xlfn.XLOOKUP($A57,$J:$J,$K:$K)</f>
        <v>-1.5767381023911179E-2</v>
      </c>
      <c r="D57" s="16">
        <v>1.5E-5</v>
      </c>
      <c r="F57" t="s">
        <v>88</v>
      </c>
      <c r="G57">
        <v>-1.759988072095808E-2</v>
      </c>
      <c r="H57" t="s">
        <v>33</v>
      </c>
      <c r="J57" t="s">
        <v>88</v>
      </c>
      <c r="K57">
        <v>-4.0556110361444908E-3</v>
      </c>
      <c r="L57" t="s">
        <v>33</v>
      </c>
    </row>
    <row r="58" spans="1:12" x14ac:dyDescent="0.2">
      <c r="A58" s="13" t="str">
        <v>201909</v>
      </c>
      <c r="B58" s="16">
        <f>_xlfn.XLOOKUP($A58,$F:$F,$G:$G)</f>
        <v>3.3114401487269518E-2</v>
      </c>
      <c r="C58" s="16">
        <f>_xlfn.XLOOKUP($A58,$J:$J,$K:$K)</f>
        <v>1.8680752181633679E-2</v>
      </c>
      <c r="D58" s="16">
        <v>1.5E-5</v>
      </c>
      <c r="F58" t="s">
        <v>89</v>
      </c>
      <c r="G58">
        <v>-2.0848149379538609E-2</v>
      </c>
      <c r="H58" t="s">
        <v>33</v>
      </c>
      <c r="J58" t="s">
        <v>89</v>
      </c>
      <c r="K58">
        <v>-2.339179003549785E-2</v>
      </c>
      <c r="L58" t="s">
        <v>33</v>
      </c>
    </row>
    <row r="59" spans="1:12" x14ac:dyDescent="0.2">
      <c r="A59" s="13" t="str">
        <v>201910</v>
      </c>
      <c r="B59" s="16">
        <f>_xlfn.XLOOKUP($A59,$F:$F,$G:$G)</f>
        <v>2.3470708784339989E-2</v>
      </c>
      <c r="C59" s="16">
        <f>_xlfn.XLOOKUP($A59,$J:$J,$K:$K)</f>
        <v>2.171077702406965E-2</v>
      </c>
      <c r="D59" s="16">
        <v>1.5E-5</v>
      </c>
      <c r="F59" t="s">
        <v>90</v>
      </c>
      <c r="G59">
        <v>1.8190133362111949E-2</v>
      </c>
      <c r="H59" t="s">
        <v>33</v>
      </c>
      <c r="J59" t="s">
        <v>90</v>
      </c>
      <c r="K59">
        <v>2.035928964401101E-2</v>
      </c>
      <c r="L59" t="s">
        <v>33</v>
      </c>
    </row>
    <row r="60" spans="1:12" x14ac:dyDescent="0.2">
      <c r="A60" s="13" t="str">
        <v>201911</v>
      </c>
      <c r="B60" s="16">
        <f>_xlfn.XLOOKUP($A60,$F:$F,$G:$G)</f>
        <v>4.0303552064289587E-2</v>
      </c>
      <c r="C60" s="16">
        <f>_xlfn.XLOOKUP($A60,$J:$J,$K:$K)</f>
        <v>3.6312242974169788E-2</v>
      </c>
      <c r="D60" s="16">
        <v>1.5E-5</v>
      </c>
      <c r="F60" t="s">
        <v>91</v>
      </c>
      <c r="G60">
        <v>2.794496142556158E-2</v>
      </c>
      <c r="H60" t="s">
        <v>33</v>
      </c>
      <c r="J60" t="s">
        <v>91</v>
      </c>
      <c r="K60">
        <v>2.3474105505028708E-2</v>
      </c>
      <c r="L60" t="s">
        <v>33</v>
      </c>
    </row>
    <row r="61" spans="1:12" x14ac:dyDescent="0.2">
      <c r="A61" s="13" t="str">
        <v>201912</v>
      </c>
      <c r="B61" s="16">
        <f>_xlfn.XLOOKUP($A61,$F:$F,$G:$G)</f>
        <v>3.338403308429716E-2</v>
      </c>
      <c r="C61" s="16">
        <f>_xlfn.XLOOKUP($A61,$J:$J,$K:$K)</f>
        <v>3.0108332352286379E-2</v>
      </c>
      <c r="D61" s="16">
        <v>1.5E-5</v>
      </c>
      <c r="F61" t="s">
        <v>92</v>
      </c>
      <c r="G61">
        <v>-5.3559319907539593E-2</v>
      </c>
      <c r="H61" t="s">
        <v>33</v>
      </c>
      <c r="J61" t="s">
        <v>92</v>
      </c>
      <c r="K61">
        <v>-6.7181934301023594E-2</v>
      </c>
      <c r="L61" t="s">
        <v>33</v>
      </c>
    </row>
    <row r="62" spans="1:12" x14ac:dyDescent="0.2">
      <c r="A62" s="13" t="str">
        <v>202001</v>
      </c>
      <c r="B62" s="16">
        <f>_xlfn.XLOOKUP($A62,$F:$F,$G:$G)</f>
        <v>-3.2568096955054027E-2</v>
      </c>
      <c r="C62" s="16">
        <f>_xlfn.XLOOKUP($A62,$J:$J,$K:$K)</f>
        <v>-3.7977946712464128E-4</v>
      </c>
      <c r="D62" s="16">
        <v>1.5E-5</v>
      </c>
      <c r="F62" t="s">
        <v>93</v>
      </c>
      <c r="G62">
        <v>1.8625167196459461E-2</v>
      </c>
      <c r="H62" t="s">
        <v>33</v>
      </c>
      <c r="J62" t="s">
        <v>93</v>
      </c>
      <c r="K62">
        <v>1.274702156075946E-2</v>
      </c>
      <c r="L62" t="s">
        <v>33</v>
      </c>
    </row>
    <row r="63" spans="1:12" x14ac:dyDescent="0.2">
      <c r="A63" s="13" t="str">
        <v>202002</v>
      </c>
      <c r="B63" s="16">
        <f>_xlfn.XLOOKUP($A63,$F:$F,$G:$G)</f>
        <v>-8.8710775691089538E-2</v>
      </c>
      <c r="C63" s="16">
        <f>_xlfn.XLOOKUP($A63,$J:$J,$K:$K)</f>
        <v>-8.2320163061883944E-2</v>
      </c>
      <c r="D63" s="16">
        <v>1.5E-5</v>
      </c>
      <c r="F63" t="s">
        <v>94</v>
      </c>
      <c r="G63">
        <v>1.999022530322847E-2</v>
      </c>
      <c r="H63" t="s">
        <v>33</v>
      </c>
      <c r="J63" t="s">
        <v>94</v>
      </c>
      <c r="K63">
        <v>2.6117066190577631E-2</v>
      </c>
      <c r="L63" t="s">
        <v>33</v>
      </c>
    </row>
    <row r="64" spans="1:12" x14ac:dyDescent="0.2">
      <c r="A64" s="13" t="str">
        <v>202003</v>
      </c>
      <c r="B64" s="16">
        <f>_xlfn.XLOOKUP($A64,$F:$F,$G:$G)</f>
        <v>-0.19591525650223959</v>
      </c>
      <c r="C64" s="16">
        <f>_xlfn.XLOOKUP($A64,$J:$J,$K:$K)</f>
        <v>-0.1233438775371606</v>
      </c>
      <c r="D64" s="16">
        <v>1.5E-5</v>
      </c>
      <c r="F64" t="s">
        <v>95</v>
      </c>
      <c r="G64">
        <v>-2.984331522739048E-2</v>
      </c>
      <c r="H64" t="s">
        <v>33</v>
      </c>
      <c r="J64" t="s">
        <v>95</v>
      </c>
      <c r="K64">
        <v>-2.5015483217158629E-2</v>
      </c>
      <c r="L64" t="s">
        <v>33</v>
      </c>
    </row>
    <row r="65" spans="1:12" x14ac:dyDescent="0.2">
      <c r="A65" s="13" t="str">
        <v>202004</v>
      </c>
      <c r="B65" s="16">
        <f>_xlfn.XLOOKUP($A65,$F:$F,$G:$G)</f>
        <v>0.14098512173256769</v>
      </c>
      <c r="C65" s="16">
        <f>_xlfn.XLOOKUP($A65,$J:$J,$K:$K)</f>
        <v>0.12823345451683549</v>
      </c>
      <c r="D65" s="16">
        <v>1.5E-5</v>
      </c>
      <c r="F65" t="s">
        <v>96</v>
      </c>
      <c r="G65">
        <v>9.2283911741779523E-2</v>
      </c>
      <c r="H65" t="s">
        <v>33</v>
      </c>
      <c r="J65" t="s">
        <v>96</v>
      </c>
      <c r="K65">
        <v>9.6927507217958286E-2</v>
      </c>
      <c r="L65" t="s">
        <v>33</v>
      </c>
    </row>
    <row r="66" spans="1:12" x14ac:dyDescent="0.2">
      <c r="A66" s="13" t="str">
        <v>202005</v>
      </c>
      <c r="B66" s="16">
        <f>_xlfn.XLOOKUP($A66,$F:$F,$G:$G)</f>
        <v>3.2829554102851821E-2</v>
      </c>
      <c r="C66" s="16">
        <f>_xlfn.XLOOKUP($A66,$J:$J,$K:$K)</f>
        <v>4.7679170414852479E-2</v>
      </c>
      <c r="D66" s="16">
        <v>1.5E-5</v>
      </c>
      <c r="F66" t="s">
        <v>97</v>
      </c>
      <c r="G66">
        <v>-1.43082755134265E-2</v>
      </c>
      <c r="H66" t="s">
        <v>33</v>
      </c>
      <c r="J66" t="s">
        <v>97</v>
      </c>
      <c r="K66">
        <v>-6.6416355852750852E-3</v>
      </c>
      <c r="L66" t="s">
        <v>33</v>
      </c>
    </row>
    <row r="67" spans="1:12" x14ac:dyDescent="0.2">
      <c r="A67" s="13" t="str">
        <v>202006</v>
      </c>
      <c r="B67" s="16">
        <f>_xlfn.XLOOKUP($A67,$F:$F,$G:$G)</f>
        <v>1.8483906096086411E-2</v>
      </c>
      <c r="C67" s="16">
        <f>_xlfn.XLOOKUP($A67,$J:$J,$K:$K)</f>
        <v>1.9696146466403611E-2</v>
      </c>
      <c r="D67" s="16">
        <v>1.5E-5</v>
      </c>
      <c r="F67" t="s">
        <v>98</v>
      </c>
      <c r="G67">
        <v>-1.2296195249041131E-2</v>
      </c>
      <c r="H67" t="s">
        <v>33</v>
      </c>
      <c r="J67" t="s">
        <v>98</v>
      </c>
      <c r="K67">
        <v>-3.5068013530470399E-3</v>
      </c>
      <c r="L67" t="s">
        <v>33</v>
      </c>
    </row>
    <row r="68" spans="1:12" x14ac:dyDescent="0.2">
      <c r="A68" s="13" t="str">
        <v>202007</v>
      </c>
      <c r="B68" s="16">
        <f>_xlfn.XLOOKUP($A68,$F:$F,$G:$G)</f>
        <v>2.5448532087164018E-2</v>
      </c>
      <c r="C68" s="16">
        <f>_xlfn.XLOOKUP($A68,$J:$J,$K:$K)</f>
        <v>5.6402158838371193E-2</v>
      </c>
      <c r="D68" s="16">
        <v>1.5E-5</v>
      </c>
      <c r="F68" t="s">
        <v>99</v>
      </c>
      <c r="G68">
        <v>-9.8728682281763125E-2</v>
      </c>
      <c r="H68" t="s">
        <v>33</v>
      </c>
      <c r="J68" t="s">
        <v>99</v>
      </c>
      <c r="K68">
        <v>-9.032252651550321E-2</v>
      </c>
      <c r="L68" t="s">
        <v>33</v>
      </c>
    </row>
    <row r="69" spans="1:12" x14ac:dyDescent="0.2">
      <c r="A69" s="13" t="str">
        <v>202008</v>
      </c>
      <c r="B69" s="16">
        <f>_xlfn.XLOOKUP($A69,$F:$F,$G:$G)</f>
        <v>5.0672777698351767E-2</v>
      </c>
      <c r="C69" s="16">
        <f>_xlfn.XLOOKUP($A69,$J:$J,$K:$K)</f>
        <v>7.4122612479257777E-2</v>
      </c>
      <c r="D69" s="16">
        <v>1.5E-5</v>
      </c>
      <c r="F69" t="s">
        <v>100</v>
      </c>
      <c r="G69">
        <v>-5.6608172216152441E-2</v>
      </c>
      <c r="H69" t="s">
        <v>33</v>
      </c>
      <c r="J69" t="s">
        <v>100</v>
      </c>
      <c r="K69">
        <v>-4.9000668617302678E-2</v>
      </c>
      <c r="L69" t="s">
        <v>33</v>
      </c>
    </row>
    <row r="70" spans="1:12" x14ac:dyDescent="0.2">
      <c r="A70" s="13" t="str">
        <v>202009</v>
      </c>
      <c r="B70" s="16">
        <f>_xlfn.XLOOKUP($A70,$F:$F,$G:$G)</f>
        <v>-3.2234984628034542E-2</v>
      </c>
      <c r="C70" s="16">
        <f>_xlfn.XLOOKUP($A70,$J:$J,$K:$K)</f>
        <v>-4.0015095388059467E-2</v>
      </c>
      <c r="D70" s="16">
        <v>1.5E-5</v>
      </c>
      <c r="F70" t="s">
        <v>101</v>
      </c>
      <c r="G70">
        <v>-2.0094596626069269E-2</v>
      </c>
      <c r="H70" t="s">
        <v>33</v>
      </c>
      <c r="J70" t="s">
        <v>101</v>
      </c>
      <c r="K70">
        <v>-4.0927330536756354E-3</v>
      </c>
      <c r="L70" t="s">
        <v>33</v>
      </c>
    </row>
    <row r="71" spans="1:12" x14ac:dyDescent="0.2">
      <c r="A71" s="13" t="str">
        <v>202010</v>
      </c>
      <c r="B71" s="16">
        <f>_xlfn.XLOOKUP($A71,$F:$F,$G:$G)</f>
        <v>-1.9148529497463929E-2</v>
      </c>
      <c r="C71" s="16">
        <f>_xlfn.XLOOKUP($A71,$J:$J,$K:$K)</f>
        <v>-2.6578245747802761E-2</v>
      </c>
      <c r="D71" s="16">
        <v>1.5E-5</v>
      </c>
      <c r="F71" t="s">
        <v>102</v>
      </c>
      <c r="G71">
        <v>8.5171297072429875E-2</v>
      </c>
      <c r="H71" t="s">
        <v>33</v>
      </c>
      <c r="J71" t="s">
        <v>102</v>
      </c>
      <c r="K71">
        <v>6.4383531220748802E-2</v>
      </c>
      <c r="L71" t="s">
        <v>33</v>
      </c>
    </row>
    <row r="72" spans="1:12" x14ac:dyDescent="0.2">
      <c r="A72" s="13" t="str">
        <v>202011</v>
      </c>
      <c r="B72" s="16">
        <f>_xlfn.XLOOKUP($A72,$F:$F,$G:$G)</f>
        <v>0.1831067148710244</v>
      </c>
      <c r="C72" s="16">
        <f>_xlfn.XLOOKUP($A72,$J:$J,$K:$K)</f>
        <v>0.10946581654731501</v>
      </c>
      <c r="D72" s="16">
        <v>1.5E-5</v>
      </c>
      <c r="F72" t="s">
        <v>103</v>
      </c>
      <c r="G72">
        <v>3.5159416958286283E-2</v>
      </c>
      <c r="H72" t="s">
        <v>33</v>
      </c>
      <c r="J72" t="s">
        <v>103</v>
      </c>
      <c r="K72">
        <v>2.702702218385156E-2</v>
      </c>
      <c r="L72" t="s">
        <v>33</v>
      </c>
    </row>
    <row r="73" spans="1:12" x14ac:dyDescent="0.2">
      <c r="A73" s="13" t="str">
        <v>202012</v>
      </c>
      <c r="B73" s="16">
        <f>_xlfn.XLOOKUP($A73,$F:$F,$G:$G)</f>
        <v>4.0881813744324307E-2</v>
      </c>
      <c r="C73" s="16">
        <f>_xlfn.XLOOKUP($A73,$J:$J,$K:$K)</f>
        <v>3.8384816040383463E-2</v>
      </c>
      <c r="D73" s="16">
        <v>1.5E-5</v>
      </c>
      <c r="F73" t="s">
        <v>104</v>
      </c>
      <c r="G73">
        <v>5.6467556084762727E-2</v>
      </c>
      <c r="H73" t="s">
        <v>33</v>
      </c>
      <c r="J73" t="s">
        <v>104</v>
      </c>
      <c r="K73">
        <v>4.3533889659636671E-2</v>
      </c>
      <c r="L73" t="s">
        <v>33</v>
      </c>
    </row>
    <row r="74" spans="1:12" x14ac:dyDescent="0.2">
      <c r="A74" s="13" t="str">
        <v>202101</v>
      </c>
      <c r="B74" s="16">
        <f>_xlfn.XLOOKUP($A74,$F:$F,$G:$G)</f>
        <v>-2.2351717311118739E-3</v>
      </c>
      <c r="C74" s="16">
        <f>_xlfn.XLOOKUP($A74,$J:$J,$K:$K)</f>
        <v>-1.0074091209237411E-2</v>
      </c>
      <c r="D74" s="16">
        <v>1.5E-5</v>
      </c>
      <c r="F74" t="s">
        <v>105</v>
      </c>
      <c r="G74">
        <v>6.6372573960908676E-2</v>
      </c>
      <c r="H74" t="s">
        <v>33</v>
      </c>
      <c r="J74" t="s">
        <v>105</v>
      </c>
      <c r="K74">
        <v>7.1165638141544862E-2</v>
      </c>
      <c r="L74" t="s">
        <v>33</v>
      </c>
    </row>
    <row r="75" spans="1:12" x14ac:dyDescent="0.2">
      <c r="A75" s="13" t="str">
        <v>202102</v>
      </c>
      <c r="B75" s="16">
        <f>_xlfn.XLOOKUP($A75,$F:$F,$G:$G)</f>
        <v>9.5252436086362025E-2</v>
      </c>
      <c r="C75" s="16">
        <f>_xlfn.XLOOKUP($A75,$J:$J,$K:$K)</f>
        <v>2.7669366983081641E-2</v>
      </c>
      <c r="D75" s="16">
        <v>1.5E-5</v>
      </c>
      <c r="F75" t="s">
        <v>106</v>
      </c>
      <c r="G75">
        <v>3.8717716097980141E-3</v>
      </c>
      <c r="H75" t="s">
        <v>33</v>
      </c>
      <c r="J75" t="s">
        <v>106</v>
      </c>
      <c r="K75">
        <v>2.4054988448851459E-2</v>
      </c>
      <c r="L75" t="s">
        <v>33</v>
      </c>
    </row>
    <row r="76" spans="1:12" x14ac:dyDescent="0.2">
      <c r="A76" s="13" t="str">
        <v>202103</v>
      </c>
      <c r="B76" s="16">
        <f>_xlfn.XLOOKUP($A76,$F:$F,$G:$G)</f>
        <v>6.0284015820149861E-2</v>
      </c>
      <c r="C76" s="16">
        <f>_xlfn.XLOOKUP($A76,$J:$J,$K:$K)</f>
        <v>4.369444067825401E-2</v>
      </c>
      <c r="D76" s="16">
        <v>1.5E-5</v>
      </c>
      <c r="F76" t="s">
        <v>107</v>
      </c>
      <c r="G76">
        <v>7.3461819269002859E-3</v>
      </c>
      <c r="H76" t="s">
        <v>33</v>
      </c>
      <c r="J76" t="s">
        <v>107</v>
      </c>
      <c r="K76">
        <v>1.971374622088851E-3</v>
      </c>
      <c r="L76" t="s">
        <v>33</v>
      </c>
    </row>
    <row r="77" spans="1:12" x14ac:dyDescent="0.2">
      <c r="A77" s="13" t="str">
        <v>202104</v>
      </c>
      <c r="B77" s="16">
        <f>_xlfn.XLOOKUP($A77,$F:$F,$G:$G)</f>
        <v>5.4720067637438863E-2</v>
      </c>
      <c r="C77" s="16">
        <f>_xlfn.XLOOKUP($A77,$J:$J,$K:$K)</f>
        <v>5.3371049687658267E-2</v>
      </c>
      <c r="D77" s="16">
        <v>1.5E-5</v>
      </c>
      <c r="F77" t="s">
        <v>108</v>
      </c>
      <c r="G77">
        <v>6.0856851576027271E-2</v>
      </c>
      <c r="H77" t="s">
        <v>33</v>
      </c>
      <c r="J77" t="s">
        <v>108</v>
      </c>
      <c r="K77">
        <v>4.2720533019751983E-2</v>
      </c>
      <c r="L77" t="s">
        <v>33</v>
      </c>
    </row>
    <row r="78" spans="1:12" x14ac:dyDescent="0.2">
      <c r="A78" s="13" t="str">
        <v>202105</v>
      </c>
      <c r="B78" s="16">
        <f>_xlfn.XLOOKUP($A78,$F:$F,$G:$G)</f>
        <v>3.393232578838945E-2</v>
      </c>
      <c r="C78" s="16">
        <f>_xlfn.XLOOKUP($A78,$J:$J,$K:$K)</f>
        <v>6.9868957217165129E-3</v>
      </c>
      <c r="D78" s="16">
        <v>1.5E-5</v>
      </c>
      <c r="F78" t="s">
        <v>109</v>
      </c>
      <c r="G78">
        <v>-6.4893132030496292E-2</v>
      </c>
      <c r="H78" t="s">
        <v>33</v>
      </c>
      <c r="J78" t="s">
        <v>109</v>
      </c>
      <c r="K78">
        <v>-4.5552533730253808E-2</v>
      </c>
      <c r="L78" t="s">
        <v>33</v>
      </c>
    </row>
    <row r="79" spans="1:12" x14ac:dyDescent="0.2">
      <c r="A79" s="13" t="str">
        <v>202106</v>
      </c>
      <c r="B79" s="16">
        <f>_xlfn.XLOOKUP($A79,$F:$F,$G:$G)</f>
        <v>-1.9971745283650089E-3</v>
      </c>
      <c r="C79" s="16">
        <f>_xlfn.XLOOKUP($A79,$J:$J,$K:$K)</f>
        <v>2.3347870914053988E-2</v>
      </c>
      <c r="D79" s="16">
        <v>1.5E-5</v>
      </c>
      <c r="F79" t="s">
        <v>110</v>
      </c>
      <c r="G79">
        <v>3.6584531466336001E-2</v>
      </c>
      <c r="H79" t="s">
        <v>33</v>
      </c>
      <c r="J79" t="s">
        <v>110</v>
      </c>
      <c r="K79">
        <v>4.6267416670302992E-2</v>
      </c>
      <c r="L79" t="s">
        <v>33</v>
      </c>
    </row>
    <row r="80" spans="1:12" x14ac:dyDescent="0.2">
      <c r="A80" s="13" t="str">
        <v>202107</v>
      </c>
      <c r="B80" s="16">
        <f>_xlfn.XLOOKUP($A80,$F:$F,$G:$G)</f>
        <v>-6.4718642347382227E-3</v>
      </c>
      <c r="C80" s="16">
        <f>_xlfn.XLOOKUP($A80,$J:$J,$K:$K)</f>
        <v>2.3692828724940499E-2</v>
      </c>
      <c r="D80" s="16">
        <v>1.5E-5</v>
      </c>
      <c r="F80" t="s">
        <v>111</v>
      </c>
      <c r="G80">
        <v>1.853965431266014E-2</v>
      </c>
      <c r="H80" t="s">
        <v>33</v>
      </c>
      <c r="J80" t="s">
        <v>111</v>
      </c>
      <c r="K80">
        <v>2.3331540860312531E-2</v>
      </c>
      <c r="L80" t="s">
        <v>33</v>
      </c>
    </row>
    <row r="81" spans="1:12" x14ac:dyDescent="0.2">
      <c r="A81" s="13" t="str">
        <v>202108</v>
      </c>
      <c r="B81" s="16">
        <f>_xlfn.XLOOKUP($A81,$F:$F,$G:$G)</f>
        <v>3.004251068248465E-2</v>
      </c>
      <c r="C81" s="16">
        <f>_xlfn.XLOOKUP($A81,$J:$J,$K:$K)</f>
        <v>3.0394611705052199E-2</v>
      </c>
      <c r="D81" s="16">
        <v>1.5E-5</v>
      </c>
      <c r="F81" t="s">
        <v>112</v>
      </c>
      <c r="G81">
        <v>-1.470383308475243E-2</v>
      </c>
      <c r="H81" t="s">
        <v>33</v>
      </c>
      <c r="J81" t="s">
        <v>112</v>
      </c>
      <c r="K81">
        <v>-1.6702050713222949E-2</v>
      </c>
      <c r="L81" t="s">
        <v>33</v>
      </c>
    </row>
    <row r="82" spans="1:12" x14ac:dyDescent="0.2">
      <c r="A82" s="13" t="str">
        <v>202109</v>
      </c>
      <c r="B82" s="16">
        <f>_xlfn.XLOOKUP($A82,$F:$F,$G:$G)</f>
        <v>-3.5527832974394553E-2</v>
      </c>
      <c r="C82" s="16">
        <f>_xlfn.XLOOKUP($A82,$J:$J,$K:$K)</f>
        <v>-4.6461636613990047E-2</v>
      </c>
      <c r="D82" s="16">
        <v>1.5E-5</v>
      </c>
      <c r="F82" t="s">
        <v>113</v>
      </c>
      <c r="G82">
        <v>1.075267806449909E-2</v>
      </c>
      <c r="H82" t="s">
        <v>33</v>
      </c>
      <c r="J82" t="s">
        <v>113</v>
      </c>
      <c r="K82">
        <v>1.3275580614805939E-2</v>
      </c>
      <c r="L82" t="s">
        <v>33</v>
      </c>
    </row>
    <row r="83" spans="1:12" x14ac:dyDescent="0.2">
      <c r="A83" s="13" t="str">
        <v>202110</v>
      </c>
      <c r="B83" s="16">
        <f>_xlfn.XLOOKUP($A83,$F:$F,$G:$G)</f>
        <v>4.4786420919127323E-2</v>
      </c>
      <c r="C83" s="16">
        <f>_xlfn.XLOOKUP($A83,$J:$J,$K:$K)</f>
        <v>7.0052254292394478E-2</v>
      </c>
      <c r="D83" s="16">
        <v>1.5E-5</v>
      </c>
      <c r="F83" t="s">
        <v>114</v>
      </c>
      <c r="G83">
        <v>-6.3368785275065287E-2</v>
      </c>
      <c r="H83" t="s">
        <v>33</v>
      </c>
      <c r="J83" t="s">
        <v>114</v>
      </c>
      <c r="K83">
        <v>-4.0106950235338279E-2</v>
      </c>
      <c r="L83" t="s">
        <v>33</v>
      </c>
    </row>
    <row r="84" spans="1:12" x14ac:dyDescent="0.2">
      <c r="A84" s="13" t="str">
        <v>202111</v>
      </c>
      <c r="B84" s="16">
        <f>_xlfn.XLOOKUP($A84,$F:$F,$G:$G)</f>
        <v>-3.9745321314162863E-2</v>
      </c>
      <c r="C84" s="16">
        <f>_xlfn.XLOOKUP($A84,$J:$J,$K:$K)</f>
        <v>-6.9635734829515128E-3</v>
      </c>
      <c r="D84" s="16">
        <v>1.5E-5</v>
      </c>
      <c r="F84" t="s">
        <v>115</v>
      </c>
      <c r="G84">
        <v>8.8943001322842719E-2</v>
      </c>
      <c r="H84" t="s">
        <v>33</v>
      </c>
      <c r="J84" t="s">
        <v>115</v>
      </c>
      <c r="K84">
        <v>0.1133704644685936</v>
      </c>
      <c r="L84" t="s">
        <v>33</v>
      </c>
    </row>
    <row r="85" spans="1:12" x14ac:dyDescent="0.2">
      <c r="A85" s="13" t="str">
        <v>202112</v>
      </c>
      <c r="B85" s="16">
        <f>_xlfn.XLOOKUP($A85,$F:$F,$G:$G)</f>
        <v>5.4387029704903611E-2</v>
      </c>
      <c r="C85" s="16">
        <f>_xlfn.XLOOKUP($A85,$J:$J,$K:$K)</f>
        <v>4.4660316209762962E-2</v>
      </c>
      <c r="D85" s="16">
        <v>1.5E-5</v>
      </c>
      <c r="F85" t="s">
        <v>116</v>
      </c>
      <c r="G85">
        <v>3.5674753216239359E-3</v>
      </c>
      <c r="H85" t="s">
        <v>33</v>
      </c>
      <c r="J85" t="s">
        <v>116</v>
      </c>
      <c r="K85">
        <v>-1.8570326042581131E-2</v>
      </c>
      <c r="L85" t="s">
        <v>33</v>
      </c>
    </row>
    <row r="86" spans="1:12" x14ac:dyDescent="0.2">
      <c r="A86" s="13" t="str">
        <v>202201</v>
      </c>
      <c r="B86" s="16">
        <f>_xlfn.XLOOKUP($A86,$F:$F,$G:$G)</f>
        <v>1.2434074358325329E-2</v>
      </c>
      <c r="C86" s="16">
        <f>_xlfn.XLOOKUP($A86,$J:$J,$K:$K)</f>
        <v>-5.1746321483427171E-2</v>
      </c>
      <c r="D86" s="16">
        <v>1.5E-5</v>
      </c>
      <c r="F86" t="s">
        <v>117</v>
      </c>
      <c r="G86">
        <v>3.2241977856253268E-2</v>
      </c>
      <c r="H86" t="s">
        <v>33</v>
      </c>
      <c r="J86" t="s">
        <v>117</v>
      </c>
      <c r="K86">
        <v>1.244166717094242E-2</v>
      </c>
      <c r="L86" t="s">
        <v>33</v>
      </c>
    </row>
    <row r="87" spans="1:12" x14ac:dyDescent="0.2">
      <c r="A87" s="13" t="str">
        <v>202202</v>
      </c>
      <c r="B87" s="16">
        <f>_xlfn.XLOOKUP($A87,$F:$F,$G:$G)</f>
        <v>-1.7320243565061011E-2</v>
      </c>
      <c r="C87" s="16">
        <f>_xlfn.XLOOKUP($A87,$J:$J,$K:$K)</f>
        <v>-2.9954729037047542E-2</v>
      </c>
      <c r="D87" s="16">
        <v>1.5E-5</v>
      </c>
      <c r="F87" t="s">
        <v>118</v>
      </c>
      <c r="G87">
        <v>-2.3701713217870731E-2</v>
      </c>
      <c r="H87" t="s">
        <v>33</v>
      </c>
      <c r="J87" t="s">
        <v>118</v>
      </c>
      <c r="K87">
        <v>-1.9201259455560948E-2</v>
      </c>
      <c r="L87" t="s">
        <v>33</v>
      </c>
    </row>
    <row r="88" spans="1:12" x14ac:dyDescent="0.2">
      <c r="A88" s="13" t="str">
        <v>202203</v>
      </c>
      <c r="B88" s="16">
        <f>_xlfn.XLOOKUP($A88,$F:$F,$G:$G)</f>
        <v>1.5483867266013361E-2</v>
      </c>
      <c r="C88" s="16">
        <f>_xlfn.XLOOKUP($A88,$J:$J,$K:$K)</f>
        <v>3.7009059896902403E-2</v>
      </c>
      <c r="D88" s="16">
        <v>1.5E-5</v>
      </c>
      <c r="F88" t="s">
        <v>119</v>
      </c>
      <c r="G88">
        <v>2.994923505715064E-2</v>
      </c>
      <c r="H88" t="s">
        <v>33</v>
      </c>
      <c r="J88" t="s">
        <v>119</v>
      </c>
      <c r="K88">
        <v>2.914152286439808E-2</v>
      </c>
      <c r="L88" t="s">
        <v>33</v>
      </c>
    </row>
    <row r="89" spans="1:12" x14ac:dyDescent="0.2">
      <c r="A89" s="13" t="str">
        <v>202204</v>
      </c>
      <c r="B89" s="16">
        <f>_xlfn.XLOOKUP($A89,$F:$F,$G:$G)</f>
        <v>-7.5145158125008327E-2</v>
      </c>
      <c r="C89" s="16">
        <f>_xlfn.XLOOKUP($A89,$J:$J,$K:$K)</f>
        <v>-8.7195950198928229E-2</v>
      </c>
      <c r="D89" s="16">
        <v>1.5E-5</v>
      </c>
      <c r="F89" t="s">
        <v>120</v>
      </c>
      <c r="G89">
        <v>9.2678910662400416E-3</v>
      </c>
      <c r="H89" t="s">
        <v>33</v>
      </c>
      <c r="J89" t="s">
        <v>120</v>
      </c>
      <c r="K89">
        <v>4.8469036482421402E-3</v>
      </c>
      <c r="L89" t="s">
        <v>33</v>
      </c>
    </row>
    <row r="90" spans="1:12" x14ac:dyDescent="0.2">
      <c r="A90" s="13" t="str">
        <v>202205</v>
      </c>
      <c r="B90" s="16">
        <f>_xlfn.XLOOKUP($A90,$F:$F,$G:$G)</f>
        <v>4.4127065910236851E-2</v>
      </c>
      <c r="C90" s="16">
        <f>_xlfn.XLOOKUP($A90,$J:$J,$K:$K)</f>
        <v>1.8293948933869599E-3</v>
      </c>
      <c r="D90" s="16">
        <v>1.5E-5</v>
      </c>
      <c r="F90" t="s">
        <v>121</v>
      </c>
      <c r="G90">
        <v>-2.241929343000304E-2</v>
      </c>
      <c r="H90" t="s">
        <v>33</v>
      </c>
      <c r="J90" t="s">
        <v>121</v>
      </c>
      <c r="K90">
        <v>-1.49783591707493E-2</v>
      </c>
      <c r="L90" t="s">
        <v>33</v>
      </c>
    </row>
    <row r="91" spans="1:12" x14ac:dyDescent="0.2">
      <c r="A91" s="13" t="str">
        <v>202206</v>
      </c>
      <c r="B91" s="16">
        <f>_xlfn.XLOOKUP($A91,$F:$F,$G:$G)</f>
        <v>-9.2955874945710115E-2</v>
      </c>
      <c r="C91" s="16">
        <f>_xlfn.XLOOKUP($A91,$J:$J,$K:$K)</f>
        <v>-8.25238902246751E-2</v>
      </c>
      <c r="D91" s="16">
        <v>1.5E-5</v>
      </c>
      <c r="F91" t="s">
        <v>122</v>
      </c>
      <c r="G91">
        <v>3.0995254333967551E-2</v>
      </c>
      <c r="H91" t="s">
        <v>33</v>
      </c>
      <c r="J91" t="s">
        <v>122</v>
      </c>
      <c r="K91">
        <v>4.0435393586167212E-2</v>
      </c>
      <c r="L91" t="s">
        <v>33</v>
      </c>
    </row>
    <row r="92" spans="1:12" x14ac:dyDescent="0.2">
      <c r="A92" s="13" t="str">
        <v>202207</v>
      </c>
      <c r="B92" s="16">
        <f>_xlfn.XLOOKUP($A92,$F:$F,$G:$G)</f>
        <v>5.1744374428720707E-2</v>
      </c>
      <c r="C92" s="16">
        <f>_xlfn.XLOOKUP($A92,$J:$J,$K:$K)</f>
        <v>9.2205431940840743E-2</v>
      </c>
      <c r="D92" s="16">
        <v>1.5E-5</v>
      </c>
      <c r="F92" t="s">
        <v>123</v>
      </c>
      <c r="G92">
        <v>-3.8346156180992352E-2</v>
      </c>
      <c r="H92" t="s">
        <v>33</v>
      </c>
      <c r="J92" t="s">
        <v>123</v>
      </c>
      <c r="K92">
        <v>-2.0677579197259991E-2</v>
      </c>
      <c r="L92" t="s">
        <v>33</v>
      </c>
    </row>
    <row r="93" spans="1:12" x14ac:dyDescent="0.2">
      <c r="A93" s="13" t="str">
        <v>202208</v>
      </c>
      <c r="B93" s="16">
        <f>_xlfn.XLOOKUP($A93,$F:$F,$G:$G)</f>
        <v>-2.477333668669102E-2</v>
      </c>
      <c r="C93" s="16">
        <f>_xlfn.XLOOKUP($A93,$J:$J,$K:$K)</f>
        <v>-4.080118755942308E-2</v>
      </c>
      <c r="D93" s="16">
        <v>1.5E-5</v>
      </c>
      <c r="F93" t="s">
        <v>124</v>
      </c>
      <c r="G93">
        <v>2.523658224735259E-2</v>
      </c>
      <c r="H93" t="s">
        <v>33</v>
      </c>
      <c r="J93" t="s">
        <v>124</v>
      </c>
      <c r="K93">
        <v>1.1701802281850689E-2</v>
      </c>
      <c r="L93" t="s">
        <v>33</v>
      </c>
    </row>
    <row r="94" spans="1:12" x14ac:dyDescent="0.2">
      <c r="A94" s="13" t="str">
        <v>202209</v>
      </c>
      <c r="B94" s="16">
        <f>_xlfn.XLOOKUP($A94,$F:$F,$G:$G)</f>
        <v>-9.5161727028036824E-2</v>
      </c>
      <c r="C94" s="16">
        <f>_xlfn.XLOOKUP($A94,$J:$J,$K:$K)</f>
        <v>-9.2059807530769144E-2</v>
      </c>
      <c r="D94" s="16">
        <v>1.5E-5</v>
      </c>
      <c r="F94" t="s">
        <v>125</v>
      </c>
      <c r="G94">
        <v>6.9565151048742724E-3</v>
      </c>
      <c r="H94" t="s">
        <v>33</v>
      </c>
      <c r="J94" t="s">
        <v>125</v>
      </c>
      <c r="K94">
        <v>3.2870055783318359E-3</v>
      </c>
      <c r="L94" t="s">
        <v>33</v>
      </c>
    </row>
    <row r="95" spans="1:12" x14ac:dyDescent="0.2">
      <c r="A95" s="13" t="str">
        <v>202210</v>
      </c>
      <c r="B95" s="16">
        <f>_xlfn.XLOOKUP($A95,$F:$F,$G:$G)</f>
        <v>0.1143203401190669</v>
      </c>
      <c r="C95" s="16">
        <f>_xlfn.XLOOKUP($A95,$J:$J,$K:$K)</f>
        <v>8.0942345781868763E-2</v>
      </c>
      <c r="D95" s="16">
        <v>1.5E-5</v>
      </c>
      <c r="F95" t="s">
        <v>126</v>
      </c>
      <c r="G95">
        <v>4.0379954391637218E-2</v>
      </c>
      <c r="H95" t="s">
        <v>33</v>
      </c>
      <c r="J95" t="s">
        <v>126</v>
      </c>
      <c r="K95">
        <v>3.4022138703083682E-2</v>
      </c>
      <c r="L95" t="s">
        <v>33</v>
      </c>
    </row>
    <row r="96" spans="1:12" x14ac:dyDescent="0.2">
      <c r="A96" s="13" t="str">
        <v>202211</v>
      </c>
      <c r="B96" s="16">
        <f>_xlfn.XLOOKUP($A96,$F:$F,$G:$G)</f>
        <v>6.2990769773712429E-2</v>
      </c>
      <c r="C96" s="16">
        <f>_xlfn.XLOOKUP($A96,$J:$J,$K:$K)</f>
        <v>5.5883885688077228E-2</v>
      </c>
      <c r="D96" s="16">
        <v>1.5E-5</v>
      </c>
      <c r="F96" t="s">
        <v>127</v>
      </c>
      <c r="G96">
        <v>1.264150596889491E-2</v>
      </c>
      <c r="H96" t="s">
        <v>33</v>
      </c>
      <c r="J96" t="s">
        <v>127</v>
      </c>
      <c r="K96">
        <v>1.9254193656836009E-2</v>
      </c>
      <c r="L96" t="s">
        <v>33</v>
      </c>
    </row>
    <row r="97" spans="1:12" x14ac:dyDescent="0.2">
      <c r="A97" s="13" t="str">
        <v>202212</v>
      </c>
      <c r="B97" s="16">
        <f>_xlfn.XLOOKUP($A97,$F:$F,$G:$G)</f>
        <v>-4.6680683438962263E-2</v>
      </c>
      <c r="C97" s="16">
        <f>_xlfn.XLOOKUP($A97,$J:$J,$K:$K)</f>
        <v>-5.7659017876629859E-2</v>
      </c>
      <c r="D97" s="16">
        <v>1.5E-5</v>
      </c>
      <c r="F97" t="s">
        <v>128</v>
      </c>
      <c r="G97">
        <v>1.8193268032618889E-2</v>
      </c>
      <c r="H97" t="s">
        <v>33</v>
      </c>
      <c r="J97" t="s">
        <v>128</v>
      </c>
      <c r="K97">
        <v>9.6948417728048852E-4</v>
      </c>
      <c r="L97" t="s">
        <v>33</v>
      </c>
    </row>
    <row r="98" spans="1:12" x14ac:dyDescent="0.2">
      <c r="A98" s="13" t="str">
        <v>202301</v>
      </c>
      <c r="B98" s="16">
        <f>_xlfn.XLOOKUP($A98,$F:$F,$G:$G)</f>
        <v>6.6244355068549199E-2</v>
      </c>
      <c r="C98" s="16">
        <f>_xlfn.XLOOKUP($A98,$J:$J,$K:$K)</f>
        <v>6.2826351145986559E-2</v>
      </c>
      <c r="D98" s="16">
        <v>1.5E-5</v>
      </c>
      <c r="F98" t="s">
        <v>129</v>
      </c>
      <c r="G98">
        <v>3.4111958751052551E-2</v>
      </c>
      <c r="H98" t="s">
        <v>33</v>
      </c>
      <c r="J98" t="s">
        <v>129</v>
      </c>
      <c r="K98">
        <v>1.3559355535980311E-2</v>
      </c>
      <c r="L98" t="s">
        <v>33</v>
      </c>
    </row>
    <row r="99" spans="1:12" x14ac:dyDescent="0.2">
      <c r="A99" s="13" t="str">
        <v>202302</v>
      </c>
      <c r="B99" s="16">
        <f>_xlfn.XLOOKUP($A99,$F:$F,$G:$G)</f>
        <v>-3.2605245838994601E-2</v>
      </c>
      <c r="C99" s="16">
        <f>_xlfn.XLOOKUP($A99,$J:$J,$K:$K)</f>
        <v>-2.4417123046892138E-2</v>
      </c>
      <c r="D99" s="16">
        <v>1.5E-5</v>
      </c>
      <c r="F99" t="s">
        <v>130</v>
      </c>
      <c r="G99">
        <v>2.3970328867238599E-2</v>
      </c>
      <c r="H99" t="s">
        <v>33</v>
      </c>
      <c r="J99" t="s">
        <v>130</v>
      </c>
      <c r="K99">
        <v>2.1022481014909999E-2</v>
      </c>
      <c r="L99" t="s">
        <v>33</v>
      </c>
    </row>
    <row r="100" spans="1:12" x14ac:dyDescent="0.2">
      <c r="A100" s="13" t="str">
        <v>202303</v>
      </c>
      <c r="B100" s="16">
        <f>_xlfn.XLOOKUP($A100,$F:$F,$G:$G)</f>
        <v>-1.6325314851130979E-2</v>
      </c>
      <c r="C100" s="16">
        <f>_xlfn.XLOOKUP($A100,$J:$J,$K:$K)</f>
        <v>3.6560756493395852E-2</v>
      </c>
      <c r="D100" s="16">
        <v>1.5E-5</v>
      </c>
      <c r="F100" t="s">
        <v>131</v>
      </c>
      <c r="G100">
        <v>1.149748993384625E-2</v>
      </c>
      <c r="H100" t="s">
        <v>33</v>
      </c>
      <c r="J100" t="s">
        <v>131</v>
      </c>
      <c r="K100">
        <v>-2.424105797378984E-2</v>
      </c>
      <c r="L100" t="s">
        <v>33</v>
      </c>
    </row>
    <row r="101" spans="1:12" x14ac:dyDescent="0.2">
      <c r="A101" s="13" t="str">
        <v>202304</v>
      </c>
      <c r="B101" s="16">
        <f>_xlfn.XLOOKUP($A101,$F:$F,$G:$G)</f>
        <v>1.1456512072938629E-2</v>
      </c>
      <c r="C101" s="16">
        <f>_xlfn.XLOOKUP($A101,$J:$J,$K:$K)</f>
        <v>1.5579915270805159E-2</v>
      </c>
      <c r="D101" s="16">
        <v>1.5E-5</v>
      </c>
      <c r="F101" t="s">
        <v>132</v>
      </c>
      <c r="G101">
        <v>3.0219002408128359E-2</v>
      </c>
      <c r="H101" t="s">
        <v>33</v>
      </c>
      <c r="J101" t="s">
        <v>132</v>
      </c>
      <c r="K101">
        <v>2.6531652511066369E-2</v>
      </c>
      <c r="L101" t="s">
        <v>33</v>
      </c>
    </row>
    <row r="102" spans="1:12" x14ac:dyDescent="0.2">
      <c r="A102" s="13" t="str">
        <v>202305</v>
      </c>
      <c r="B102" s="16">
        <f>_xlfn.XLOOKUP($A102,$F:$F,$G:$G)</f>
        <v>-2.3661917413407511E-2</v>
      </c>
      <c r="C102" s="16">
        <f>_xlfn.XLOOKUP($A102,$J:$J,$K:$K)</f>
        <v>4.3131151697177739E-3</v>
      </c>
      <c r="D102" s="16">
        <v>1.5E-5</v>
      </c>
      <c r="F102" t="s">
        <v>133</v>
      </c>
      <c r="G102">
        <v>5.9652010382513776E-3</v>
      </c>
      <c r="H102" t="s">
        <v>33</v>
      </c>
      <c r="J102" t="s">
        <v>133</v>
      </c>
      <c r="K102">
        <v>2.5845720418014029E-3</v>
      </c>
      <c r="L102" t="s">
        <v>33</v>
      </c>
    </row>
    <row r="103" spans="1:12" x14ac:dyDescent="0.2">
      <c r="A103" s="13" t="str">
        <v>202306</v>
      </c>
      <c r="B103" s="16">
        <f>_xlfn.XLOOKUP($A103,$F:$F,$G:$G)</f>
        <v>6.9003247414898494E-2</v>
      </c>
      <c r="C103" s="16">
        <f>_xlfn.XLOOKUP($A103,$J:$J,$K:$K)</f>
        <v>6.603875945324833E-2</v>
      </c>
      <c r="D103" s="16">
        <v>1.5E-5</v>
      </c>
      <c r="F103" t="s">
        <v>134</v>
      </c>
      <c r="G103">
        <v>0</v>
      </c>
      <c r="H103" t="s">
        <v>33</v>
      </c>
      <c r="J103" t="s">
        <v>134</v>
      </c>
      <c r="K103">
        <v>-4.2402897983674359E-3</v>
      </c>
      <c r="L103" t="s">
        <v>33</v>
      </c>
    </row>
    <row r="104" spans="1:12" x14ac:dyDescent="0.2">
      <c r="A104" s="13" t="str">
        <v>202307</v>
      </c>
      <c r="B104" s="16">
        <f>_xlfn.XLOOKUP($A104,$F:$F,$G:$G)</f>
        <v>4.9330222674065283E-2</v>
      </c>
      <c r="C104" s="16">
        <f>_xlfn.XLOOKUP($A104,$J:$J,$K:$K)</f>
        <v>3.2077185348140969E-2</v>
      </c>
      <c r="D104" s="16">
        <v>1.5E-5</v>
      </c>
      <c r="F104" t="s">
        <v>135</v>
      </c>
      <c r="G104">
        <v>4.1635556748087499E-2</v>
      </c>
      <c r="H104" t="s">
        <v>33</v>
      </c>
      <c r="J104" t="s">
        <v>135</v>
      </c>
      <c r="K104">
        <v>3.7851867915634767E-2</v>
      </c>
      <c r="L104" t="s">
        <v>33</v>
      </c>
    </row>
    <row r="105" spans="1:12" x14ac:dyDescent="0.2">
      <c r="A105" s="13" t="str">
        <v>202308</v>
      </c>
      <c r="B105" s="16">
        <f>_xlfn.XLOOKUP($A105,$F:$F,$G:$G)</f>
        <v>-2.346532703671456E-2</v>
      </c>
      <c r="C105" s="16">
        <f>_xlfn.XLOOKUP($A105,$J:$J,$K:$K)</f>
        <v>-1.5896372317711349E-2</v>
      </c>
      <c r="D105" s="16">
        <v>1.5E-5</v>
      </c>
      <c r="F105" t="s">
        <v>136</v>
      </c>
      <c r="G105">
        <v>-7.333311229053785E-3</v>
      </c>
      <c r="H105" t="s">
        <v>33</v>
      </c>
      <c r="J105" t="s">
        <v>136</v>
      </c>
      <c r="K105">
        <v>-7.9781104022284E-3</v>
      </c>
      <c r="L105" t="s">
        <v>33</v>
      </c>
    </row>
    <row r="106" spans="1:12" x14ac:dyDescent="0.2">
      <c r="A106" s="13" t="str">
        <v>202309</v>
      </c>
      <c r="B106" s="16">
        <f>_xlfn.XLOOKUP($A106,$F:$F,$G:$G)</f>
        <v>-2.57361593914649E-2</v>
      </c>
      <c r="C106" s="16">
        <f>_xlfn.XLOOKUP($A106,$J:$J,$K:$K)</f>
        <v>-4.7703708429188363E-2</v>
      </c>
      <c r="D106" s="16">
        <v>1.5E-5</v>
      </c>
      <c r="F106" t="s">
        <v>137</v>
      </c>
      <c r="G106">
        <v>7.6023723558147349E-3</v>
      </c>
      <c r="H106" t="s">
        <v>33</v>
      </c>
      <c r="J106" t="s">
        <v>137</v>
      </c>
      <c r="K106">
        <v>2.0785255005468791E-2</v>
      </c>
      <c r="L106" t="s">
        <v>33</v>
      </c>
    </row>
    <row r="107" spans="1:12" x14ac:dyDescent="0.2">
      <c r="A107" s="13" t="str">
        <v>202310</v>
      </c>
      <c r="B107" s="16">
        <f>_xlfn.XLOOKUP($A107,$F:$F,$G:$G)</f>
        <v>-3.4820865615987302E-2</v>
      </c>
      <c r="C107" s="16">
        <f>_xlfn.XLOOKUP($A107,$J:$J,$K:$K)</f>
        <v>-2.1033069588506152E-2</v>
      </c>
      <c r="D107" s="16">
        <v>1.5E-5</v>
      </c>
      <c r="F107" t="s">
        <v>138</v>
      </c>
      <c r="G107">
        <v>-1.0799176997623229E-2</v>
      </c>
      <c r="H107" t="s">
        <v>33</v>
      </c>
      <c r="J107" t="s">
        <v>138</v>
      </c>
      <c r="K107">
        <v>-9.954806194826582E-3</v>
      </c>
      <c r="L107" t="s">
        <v>33</v>
      </c>
    </row>
    <row r="108" spans="1:12" x14ac:dyDescent="0.2">
      <c r="A108" s="13" t="str">
        <v>202311</v>
      </c>
      <c r="B108" s="16">
        <f>_xlfn.XLOOKUP($A108,$F:$F,$G:$G)</f>
        <v>7.4850014942967391E-2</v>
      </c>
      <c r="C108" s="16">
        <f>_xlfn.XLOOKUP($A108,$J:$J,$K:$K)</f>
        <v>9.1347561637860064E-2</v>
      </c>
      <c r="D108" s="16">
        <v>1.5E-5</v>
      </c>
      <c r="F108" t="s">
        <v>139</v>
      </c>
      <c r="G108">
        <v>1.5291139282678669E-2</v>
      </c>
      <c r="H108" t="s">
        <v>33</v>
      </c>
      <c r="J108" t="s">
        <v>139</v>
      </c>
      <c r="K108">
        <v>1.2340117235693841E-2</v>
      </c>
      <c r="L108" t="s">
        <v>33</v>
      </c>
    </row>
    <row r="109" spans="1:12" x14ac:dyDescent="0.2">
      <c r="A109" s="13" t="str">
        <v>202312</v>
      </c>
      <c r="B109" s="16">
        <f>_xlfn.XLOOKUP($A109,$F:$F,$G:$G)</f>
        <v>5.8371270368814621E-2</v>
      </c>
      <c r="C109" s="16">
        <f>_xlfn.XLOOKUP($A109,$J:$J,$K:$K)</f>
        <v>4.540871819697645E-2</v>
      </c>
      <c r="D109" s="16">
        <v>1.5E-5</v>
      </c>
      <c r="F109" t="s">
        <v>140</v>
      </c>
      <c r="G109">
        <v>5.6929861839196239E-2</v>
      </c>
      <c r="H109" t="s">
        <v>33</v>
      </c>
      <c r="J109" t="s">
        <v>140</v>
      </c>
      <c r="K109">
        <v>3.3766814519905257E-2</v>
      </c>
      <c r="L109" t="s">
        <v>33</v>
      </c>
    </row>
    <row r="110" spans="1:12" x14ac:dyDescent="0.2">
      <c r="A110" s="13" t="str">
        <v>202401</v>
      </c>
      <c r="B110" s="16">
        <f>_xlfn.XLOOKUP($A110,$F:$F,$G:$G)</f>
        <v>1.1102465905230561E-3</v>
      </c>
      <c r="C110" s="16">
        <f>_xlfn.XLOOKUP($A110,$J:$J,$K:$K)</f>
        <v>1.6765301610684791E-2</v>
      </c>
      <c r="D110" s="16">
        <v>1.5E-5</v>
      </c>
      <c r="F110" t="s">
        <v>141</v>
      </c>
      <c r="G110">
        <v>-2.2409909230344579E-2</v>
      </c>
      <c r="H110" t="s">
        <v>33</v>
      </c>
      <c r="J110" t="s">
        <v>141</v>
      </c>
      <c r="K110">
        <v>-2.7146314388800219E-2</v>
      </c>
      <c r="L110" t="s">
        <v>33</v>
      </c>
    </row>
    <row r="111" spans="1:12" x14ac:dyDescent="0.2">
      <c r="A111" s="13" t="str">
        <v>202402</v>
      </c>
      <c r="B111" s="16">
        <f>_xlfn.XLOOKUP($A111,$F:$F,$G:$G)</f>
        <v>2.694435961109054E-2</v>
      </c>
      <c r="C111" s="16">
        <f>_xlfn.XLOOKUP($A111,$J:$J,$K:$K)</f>
        <v>5.338838671882451E-2</v>
      </c>
      <c r="D111" s="16">
        <v>1.5E-5</v>
      </c>
      <c r="F111" t="s">
        <v>142</v>
      </c>
      <c r="G111">
        <v>-3.798544866388498E-2</v>
      </c>
      <c r="H111" t="s">
        <v>33</v>
      </c>
      <c r="J111" t="s">
        <v>142</v>
      </c>
      <c r="K111">
        <v>-4.3557194667593557E-2</v>
      </c>
      <c r="L111" t="s">
        <v>33</v>
      </c>
    </row>
    <row r="112" spans="1:12" x14ac:dyDescent="0.2">
      <c r="A112" s="13" t="str">
        <v>202403</v>
      </c>
      <c r="B112" s="16">
        <f>_xlfn.XLOOKUP($A112,$F:$F,$G:$G)</f>
        <v>5.499411959534628E-2</v>
      </c>
      <c r="C112" s="16">
        <f>_xlfn.XLOOKUP($A112,$J:$J,$K:$K)</f>
        <v>3.2163044676750907E-2</v>
      </c>
      <c r="D112" s="16">
        <v>1.5E-5</v>
      </c>
      <c r="F112" t="s">
        <v>143</v>
      </c>
      <c r="G112">
        <v>1.355239814968856E-2</v>
      </c>
      <c r="H112" t="s">
        <v>33</v>
      </c>
      <c r="J112" t="s">
        <v>143</v>
      </c>
      <c r="K112">
        <v>1.290016501800539E-2</v>
      </c>
      <c r="L112" t="s">
        <v>33</v>
      </c>
    </row>
    <row r="113" spans="1:12" x14ac:dyDescent="0.2">
      <c r="A113" s="13" t="str">
        <v>202404</v>
      </c>
      <c r="B113" s="16">
        <f>_xlfn.XLOOKUP($A113,$F:$F,$G:$G)</f>
        <v>-3.383166925680714E-2</v>
      </c>
      <c r="C113" s="16">
        <f>_xlfn.XLOOKUP($A113,$J:$J,$K:$K)</f>
        <v>-4.0856031128404642E-2</v>
      </c>
      <c r="D113" s="16">
        <v>1.5E-5</v>
      </c>
      <c r="F113" t="s">
        <v>144</v>
      </c>
      <c r="G113">
        <v>1.8502248356720988E-2</v>
      </c>
      <c r="H113" t="s">
        <v>33</v>
      </c>
      <c r="J113" t="s">
        <v>144</v>
      </c>
      <c r="K113">
        <v>1.60377424694369E-2</v>
      </c>
      <c r="L113" t="s">
        <v>33</v>
      </c>
    </row>
    <row r="114" spans="1:12" x14ac:dyDescent="0.2">
      <c r="A114" s="13" t="str">
        <v>202405</v>
      </c>
      <c r="B114" s="16">
        <f>_xlfn.XLOOKUP($A114,$F:$F,$G:$G)</f>
        <v>3.380983080303257E-2</v>
      </c>
      <c r="C114" s="16">
        <f>_xlfn.XLOOKUP($A114,$J:$J,$K:$K)</f>
        <v>4.9574041463298579E-2</v>
      </c>
      <c r="D114" s="16">
        <v>1.5E-5</v>
      </c>
      <c r="F114" t="s">
        <v>145</v>
      </c>
      <c r="G114">
        <v>-2.4626602254646749E-2</v>
      </c>
      <c r="H114" t="s">
        <v>33</v>
      </c>
      <c r="J114" t="s">
        <v>145</v>
      </c>
      <c r="K114">
        <v>-2.4373268642871041E-2</v>
      </c>
      <c r="L114" t="s">
        <v>33</v>
      </c>
    </row>
    <row r="115" spans="1:12" x14ac:dyDescent="0.2">
      <c r="A115" s="13" t="str">
        <v>202406</v>
      </c>
      <c r="B115" s="16">
        <f>_xlfn.XLOOKUP($A115,$F:$F,$G:$G)</f>
        <v>1.295912843191527E-3</v>
      </c>
      <c r="C115" s="16">
        <f>_xlfn.XLOOKUP($A115,$J:$J,$K:$K)</f>
        <v>3.5880436489124312E-2</v>
      </c>
      <c r="D115" s="16">
        <v>1.5E-5</v>
      </c>
      <c r="F115" t="s">
        <v>146</v>
      </c>
      <c r="G115">
        <v>3.6837921969874447E-2</v>
      </c>
      <c r="H115" t="s">
        <v>33</v>
      </c>
      <c r="J115" t="s">
        <v>146</v>
      </c>
      <c r="K115">
        <v>3.2767253931733853E-2</v>
      </c>
      <c r="L115" t="s">
        <v>33</v>
      </c>
    </row>
    <row r="116" spans="1:12" x14ac:dyDescent="0.2">
      <c r="A116" s="13" t="str">
        <v>202407</v>
      </c>
      <c r="B116" s="16">
        <f>_xlfn.XLOOKUP($A116,$F:$F,$G:$G)</f>
        <v>4.3997657919350397E-2</v>
      </c>
      <c r="C116" s="16">
        <f>_xlfn.XLOOKUP($A116,$J:$J,$K:$K)</f>
        <v>1.2170006173224611E-2</v>
      </c>
      <c r="D116" s="16">
        <v>1.5E-5</v>
      </c>
      <c r="F116" t="s">
        <v>147</v>
      </c>
      <c r="G116">
        <v>4.6959766160982408E-2</v>
      </c>
      <c r="H116" t="s">
        <v>33</v>
      </c>
      <c r="J116" t="s">
        <v>147</v>
      </c>
      <c r="K116">
        <v>4.0759571771523229E-2</v>
      </c>
      <c r="L116" t="s">
        <v>33</v>
      </c>
    </row>
    <row r="117" spans="1:12" x14ac:dyDescent="0.2">
      <c r="A117" s="13" t="str">
        <v>202408</v>
      </c>
      <c r="B117" s="16">
        <f>_xlfn.XLOOKUP($A117,$F:$F,$G:$G)</f>
        <v>1.9875489828323319E-2</v>
      </c>
      <c r="C117" s="16">
        <f>_xlfn.XLOOKUP($A117,$J:$J,$K:$K)</f>
        <v>2.4232403279143892E-2</v>
      </c>
      <c r="D117" s="16">
        <v>1.5E-5</v>
      </c>
      <c r="F117" t="s">
        <v>148</v>
      </c>
      <c r="G117">
        <v>-2.867353857090282E-2</v>
      </c>
      <c r="H117" t="s">
        <v>33</v>
      </c>
      <c r="J117" t="s">
        <v>148</v>
      </c>
      <c r="K117">
        <v>-2.4477074509086871E-2</v>
      </c>
      <c r="L117" t="s">
        <v>33</v>
      </c>
    </row>
    <row r="118" spans="1:12" x14ac:dyDescent="0.2">
      <c r="A118" s="13" t="str">
        <v>202409</v>
      </c>
      <c r="B118" s="16">
        <f>_xlfn.XLOOKUP($A118,$F:$F,$G:$G)</f>
        <v>6.4085445358774704E-3</v>
      </c>
      <c r="C118" s="16">
        <f>_xlfn.XLOOKUP($A118,$J:$J,$K:$K)</f>
        <v>2.1329234780977261E-2</v>
      </c>
      <c r="D118" s="16">
        <v>1.5E-5</v>
      </c>
      <c r="F118" t="s">
        <v>149</v>
      </c>
      <c r="G118">
        <v>2.4021657047961002E-2</v>
      </c>
      <c r="H118" t="s">
        <v>33</v>
      </c>
      <c r="J118" t="s">
        <v>149</v>
      </c>
      <c r="K118">
        <v>2.246674842350771E-2</v>
      </c>
      <c r="L118" t="s">
        <v>33</v>
      </c>
    </row>
    <row r="119" spans="1:12" x14ac:dyDescent="0.2">
      <c r="A119" s="13" t="str">
        <v>202410</v>
      </c>
      <c r="B119" s="16">
        <f>_xlfn.XLOOKUP($A119,$F:$F,$G:$G)</f>
        <v>-2.6249671503602019E-3</v>
      </c>
      <c r="C119" s="16">
        <f>_xlfn.XLOOKUP($A119,$J:$J,$K:$K)</f>
        <v>-9.0464675265171657E-3</v>
      </c>
      <c r="D119" s="16">
        <v>1.5E-5</v>
      </c>
      <c r="F119" t="s">
        <v>150</v>
      </c>
      <c r="G119">
        <v>-3.8215509945530253E-2</v>
      </c>
      <c r="H119" t="s">
        <v>33</v>
      </c>
      <c r="J119" t="s">
        <v>150</v>
      </c>
      <c r="K119">
        <v>-3.6547024869603262E-2</v>
      </c>
      <c r="L119" t="s">
        <v>33</v>
      </c>
    </row>
    <row r="120" spans="1:12" x14ac:dyDescent="0.2">
      <c r="A120" s="13" t="str">
        <v>202411</v>
      </c>
      <c r="B120" s="16">
        <f>_xlfn.XLOOKUP($A120,$F:$F,$G:$G)</f>
        <v>5.2713370961730677E-2</v>
      </c>
      <c r="C120" s="16">
        <f>_xlfn.XLOOKUP($A120,$J:$J,$K:$K)</f>
        <v>5.8676173115403067E-2</v>
      </c>
      <c r="D120" s="16">
        <v>1.5E-5</v>
      </c>
      <c r="F120" t="s">
        <v>151</v>
      </c>
      <c r="G120">
        <v>1.276424232970585E-2</v>
      </c>
      <c r="H120" t="s">
        <v>33</v>
      </c>
      <c r="J120" t="s">
        <v>151</v>
      </c>
      <c r="K120">
        <v>1.4661391252101421E-2</v>
      </c>
      <c r="L120" t="s">
        <v>33</v>
      </c>
    </row>
    <row r="121" spans="1:12" x14ac:dyDescent="0.2">
      <c r="A121" s="13" t="str">
        <v>202412</v>
      </c>
      <c r="B121" s="16">
        <f>_xlfn.XLOOKUP($A121,$F:$F,$G:$G)</f>
        <v>-6.2559702148668239E-2</v>
      </c>
      <c r="C121" s="16">
        <f>_xlfn.XLOOKUP($A121,$J:$J,$K:$K)</f>
        <v>-2.3809688866625819E-2</v>
      </c>
      <c r="D121" s="16">
        <v>1.5E-5</v>
      </c>
      <c r="F121" t="s">
        <v>152</v>
      </c>
      <c r="G121">
        <v>1.833120854875547E-2</v>
      </c>
      <c r="H121" t="s">
        <v>33</v>
      </c>
      <c r="J121" t="s">
        <v>152</v>
      </c>
      <c r="K121">
        <v>2.5831989267357969E-2</v>
      </c>
      <c r="L121" t="s">
        <v>33</v>
      </c>
    </row>
    <row r="122" spans="1:12" x14ac:dyDescent="0.2">
      <c r="A122" s="13" t="str">
        <v>202501</v>
      </c>
      <c r="B122" s="16">
        <f>_xlfn.XLOOKUP($A122,$F:$F,$G:$G)</f>
        <v>6.1510092200348858E-2</v>
      </c>
      <c r="C122" s="16">
        <f>_xlfn.XLOOKUP($A122,$J:$J,$K:$K)</f>
        <v>2.7836697708514269E-2</v>
      </c>
      <c r="D122" s="16">
        <v>1.5E-5</v>
      </c>
      <c r="F122" t="s">
        <v>153</v>
      </c>
      <c r="G122">
        <v>4.3342721413608183E-2</v>
      </c>
      <c r="H122" t="s">
        <v>33</v>
      </c>
      <c r="J122" t="s">
        <v>153</v>
      </c>
      <c r="K122">
        <v>3.8793081067159729E-2</v>
      </c>
      <c r="L122" t="s">
        <v>33</v>
      </c>
    </row>
    <row r="123" spans="1:12" x14ac:dyDescent="0.2">
      <c r="A123" s="13" t="str">
        <v>202502</v>
      </c>
      <c r="B123" s="16">
        <f>_xlfn.XLOOKUP($A123,$F:$F,$G:$G)</f>
        <v>8.1347790393200281E-3</v>
      </c>
      <c r="C123" s="16">
        <f>_xlfn.XLOOKUP($A123,$J:$J,$K:$K)</f>
        <v>-1.305117575631509E-2</v>
      </c>
      <c r="D123" s="16">
        <v>1.5E-5</v>
      </c>
      <c r="F123" t="s">
        <v>154</v>
      </c>
      <c r="G123">
        <v>3.2091973835525422E-2</v>
      </c>
      <c r="H123" t="s">
        <v>33</v>
      </c>
      <c r="J123" t="s">
        <v>154</v>
      </c>
      <c r="K123">
        <v>2.9482359170693639E-2</v>
      </c>
      <c r="L123" t="s">
        <v>33</v>
      </c>
    </row>
    <row r="124" spans="1:12" x14ac:dyDescent="0.2">
      <c r="A124" s="13" t="str">
        <v>202503</v>
      </c>
      <c r="B124" s="16">
        <f>_xlfn.XLOOKUP($A124,$F:$F,$G:$G)</f>
        <v>-3.2301369361757433E-2</v>
      </c>
      <c r="C124" s="16">
        <f>_xlfn.XLOOKUP($A124,$J:$J,$K:$K)</f>
        <v>-5.6313819821245843E-2</v>
      </c>
      <c r="D124" s="16">
        <v>1.5E-5</v>
      </c>
      <c r="F124" t="s">
        <v>155</v>
      </c>
      <c r="G124">
        <v>2.982464818132469E-2</v>
      </c>
      <c r="H124" t="s">
        <v>33</v>
      </c>
      <c r="J124" t="s">
        <v>155</v>
      </c>
      <c r="K124">
        <v>2.9411788618282749E-2</v>
      </c>
      <c r="L124" t="s">
        <v>33</v>
      </c>
    </row>
    <row r="125" spans="1:12" x14ac:dyDescent="0.2">
      <c r="A125" s="13" t="str">
        <v>202504</v>
      </c>
      <c r="B125" s="16">
        <f>_xlfn.XLOOKUP($A125,$F:$F,$G:$G)</f>
        <v>-3.4711865945613707E-2</v>
      </c>
      <c r="C125" s="16">
        <f>_xlfn.XLOOKUP($A125,$J:$J,$K:$K)</f>
        <v>-6.7761500154316368E-3</v>
      </c>
      <c r="D125" s="16">
        <v>1.5E-5</v>
      </c>
      <c r="F125" t="s">
        <v>156</v>
      </c>
      <c r="G125">
        <v>4.2859046238562508E-2</v>
      </c>
      <c r="H125" t="s">
        <v>33</v>
      </c>
      <c r="J125" t="s">
        <v>156</v>
      </c>
      <c r="K125">
        <v>3.9544510923026348E-2</v>
      </c>
      <c r="L125" t="s">
        <v>33</v>
      </c>
    </row>
    <row r="126" spans="1:12" x14ac:dyDescent="0.2">
      <c r="A126" s="13" t="str">
        <v>202505</v>
      </c>
      <c r="B126" s="16">
        <f>_xlfn.XLOOKUP($A126,$F:$F,$G:$G)</f>
        <v>3.8128703796989287E-2</v>
      </c>
      <c r="C126" s="16">
        <f>_xlfn.XLOOKUP($A126,$J:$J,$K:$K)</f>
        <v>6.2942461778869196E-2</v>
      </c>
      <c r="D126" s="16">
        <v>1.5E-5</v>
      </c>
      <c r="F126" t="s">
        <v>157</v>
      </c>
      <c r="G126">
        <v>1.063612200683872E-2</v>
      </c>
      <c r="H126" t="s">
        <v>33</v>
      </c>
      <c r="J126" t="s">
        <v>157</v>
      </c>
      <c r="K126">
        <v>2.3103016581511589E-2</v>
      </c>
      <c r="L126" t="s">
        <v>33</v>
      </c>
    </row>
    <row r="127" spans="1:12" x14ac:dyDescent="0.2">
      <c r="A127" s="13" t="str">
        <v>202506</v>
      </c>
      <c r="B127" s="16">
        <f>_xlfn.XLOOKUP($A127,$F:$F,$G:$G)</f>
        <v>3.6008118828349867E-2</v>
      </c>
      <c r="C127" s="16">
        <f>_xlfn.XLOOKUP($A127,$J:$J,$K:$K)</f>
        <v>5.0850538641188159E-2</v>
      </c>
      <c r="D127" s="16">
        <v>1.5E-5</v>
      </c>
      <c r="F127" t="s">
        <v>158</v>
      </c>
      <c r="G127">
        <v>4.0062604063245473E-2</v>
      </c>
      <c r="H127" t="s">
        <v>33</v>
      </c>
      <c r="J127" t="s">
        <v>158</v>
      </c>
      <c r="K127">
        <v>3.3040050367426632E-2</v>
      </c>
      <c r="L127" t="s">
        <v>33</v>
      </c>
    </row>
    <row r="128" spans="1:12" x14ac:dyDescent="0.2">
      <c r="A128" s="13" t="str">
        <v>202507</v>
      </c>
      <c r="B128" s="16">
        <f>_xlfn.XLOOKUP($A128,$F:$F,$G:$G)</f>
        <v>-1.1587262054538529E-2</v>
      </c>
      <c r="C128" s="16">
        <f>_xlfn.XLOOKUP($A128,$J:$J,$K:$K)</f>
        <v>2.2366456437356689E-2</v>
      </c>
      <c r="D128" s="16">
        <v>1.5E-5</v>
      </c>
      <c r="F128" t="s">
        <v>159</v>
      </c>
      <c r="G128">
        <v>1.487870859531415E-2</v>
      </c>
      <c r="H128" t="s">
        <v>33</v>
      </c>
      <c r="J128" t="s">
        <v>159</v>
      </c>
      <c r="K128">
        <v>2.649496389934836E-3</v>
      </c>
      <c r="L128" t="s">
        <v>33</v>
      </c>
    </row>
    <row r="129" spans="1:12" x14ac:dyDescent="0.2">
      <c r="A129" s="13" t="str">
        <v>202508</v>
      </c>
      <c r="B129" s="16">
        <f>_xlfn.XLOOKUP($A129,$F:$F,$G:$G)</f>
        <v>4.1150059586483323E-2</v>
      </c>
      <c r="C129" s="16">
        <f>_xlfn.XLOOKUP($A129,$J:$J,$K:$K)</f>
        <v>2.0298412893192671E-2</v>
      </c>
      <c r="D129" s="16">
        <v>1.5E-5</v>
      </c>
      <c r="F129" t="s">
        <v>160</v>
      </c>
      <c r="G129">
        <v>2.3007199826840848E-2</v>
      </c>
      <c r="H129" t="s">
        <v>33</v>
      </c>
      <c r="J129" t="s">
        <v>160</v>
      </c>
      <c r="K129">
        <v>4.2091395913521623E-2</v>
      </c>
      <c r="L129" t="s">
        <v>33</v>
      </c>
    </row>
    <row r="130" spans="1:12" x14ac:dyDescent="0.2">
      <c r="A130" s="13" t="str">
        <v>202509</v>
      </c>
      <c r="B130" s="16">
        <f>_xlfn.XLOOKUP($A130,$F:$F,$G:$G)</f>
        <v>-7.9626538384836021E-4</v>
      </c>
      <c r="C130" s="16">
        <f>_xlfn.XLOOKUP($A130,$J:$J,$K:$K)</f>
        <v>3.6482756899317133E-2</v>
      </c>
      <c r="D130" s="16">
        <v>1.5E-5</v>
      </c>
      <c r="F130" t="s">
        <v>161</v>
      </c>
      <c r="G130">
        <v>-3.0534376793739271E-2</v>
      </c>
      <c r="H130" t="s">
        <v>33</v>
      </c>
      <c r="J130" t="s">
        <v>161</v>
      </c>
      <c r="K130">
        <v>-3.63703867675591E-3</v>
      </c>
      <c r="L130" t="s">
        <v>33</v>
      </c>
    </row>
    <row r="131" spans="1:12" x14ac:dyDescent="0.2">
      <c r="A131" s="13" t="str">
        <v>202510</v>
      </c>
      <c r="B131" s="16">
        <f>_xlfn.XLOOKUP($A131,$F:$F,$G:$G)</f>
        <v>-6.1755036929097562E-3</v>
      </c>
      <c r="C131" s="16">
        <f>_xlfn.XLOOKUP($A131,$J:$J,$K:$K)</f>
        <v>2.340433090568372E-2</v>
      </c>
      <c r="D131" s="16">
        <v>1.5E-5</v>
      </c>
      <c r="F131" t="s">
        <v>162</v>
      </c>
      <c r="G131">
        <v>5.1629304314524171E-2</v>
      </c>
      <c r="H131" t="s">
        <v>33</v>
      </c>
      <c r="J131" t="s">
        <v>162</v>
      </c>
      <c r="K131">
        <v>4.3803571291810117E-2</v>
      </c>
      <c r="L131" t="s">
        <v>33</v>
      </c>
    </row>
    <row r="132" spans="1:12" x14ac:dyDescent="0.2">
      <c r="A132" s="13" t="str">
        <v>202511</v>
      </c>
      <c r="B132" s="16">
        <f>_xlfn.XLOOKUP($A132,$F:$F,$G:$G)</f>
        <v>1.271683412747393E-2</v>
      </c>
      <c r="C132" s="16">
        <f>_xlfn.XLOOKUP($A132,$J:$J,$K:$K)</f>
        <v>2.4480572525962252E-3</v>
      </c>
      <c r="D132" s="16">
        <v>1.5E-5</v>
      </c>
      <c r="F132" t="s">
        <v>163</v>
      </c>
      <c r="G132">
        <v>1.7290212413672901E-2</v>
      </c>
      <c r="H132" t="s">
        <v>33</v>
      </c>
      <c r="J132" t="s">
        <v>163</v>
      </c>
      <c r="K132">
        <v>1.923412963500892E-2</v>
      </c>
      <c r="L132" t="s">
        <v>33</v>
      </c>
    </row>
    <row r="133" spans="1:12" x14ac:dyDescent="0.2">
      <c r="A133" s="13" t="str">
        <v>202512</v>
      </c>
      <c r="B133" s="16">
        <f>_xlfn.XLOOKUP($A133,$F:$F,$G:$G)</f>
        <v>1.7694046045920508E-2</v>
      </c>
      <c r="C133" s="16">
        <f>_xlfn.XLOOKUP($A133,$J:$J,$K:$K)</f>
        <v>5.8379473558356487E-4</v>
      </c>
      <c r="D133" s="16">
        <v>1.5E-5</v>
      </c>
      <c r="F133" t="s">
        <v>164</v>
      </c>
      <c r="G133">
        <v>2.4319550413883562E-2</v>
      </c>
      <c r="H133" t="s">
        <v>33</v>
      </c>
      <c r="J133" t="s">
        <v>164</v>
      </c>
      <c r="K133">
        <v>3.3854180808972727E-2</v>
      </c>
      <c r="L133" t="s">
        <v>33</v>
      </c>
    </row>
    <row r="134" spans="1:12" x14ac:dyDescent="0.2">
      <c r="F134" t="s">
        <v>165</v>
      </c>
      <c r="G134">
        <v>1.4691964308754191E-2</v>
      </c>
      <c r="H134" t="s">
        <v>33</v>
      </c>
      <c r="J134" t="s">
        <v>165</v>
      </c>
      <c r="K134">
        <v>9.2359234946599589E-3</v>
      </c>
      <c r="L134" t="s">
        <v>33</v>
      </c>
    </row>
    <row r="135" spans="1:12" x14ac:dyDescent="0.2">
      <c r="F135" t="s">
        <v>166</v>
      </c>
      <c r="G135">
        <v>2.267770091836319E-2</v>
      </c>
      <c r="H135" t="s">
        <v>33</v>
      </c>
      <c r="J135" t="s">
        <v>166</v>
      </c>
      <c r="K135">
        <v>9.8170024298542824E-3</v>
      </c>
      <c r="L135" t="s">
        <v>33</v>
      </c>
    </row>
    <row r="136" spans="1:12" x14ac:dyDescent="0.2">
      <c r="F136" t="s">
        <v>167</v>
      </c>
      <c r="G136">
        <v>3.309440185636503E-2</v>
      </c>
      <c r="H136" t="s">
        <v>33</v>
      </c>
      <c r="J136" t="s">
        <v>167</v>
      </c>
      <c r="K136">
        <v>1.456232109335054E-2</v>
      </c>
      <c r="L136" t="s">
        <v>33</v>
      </c>
    </row>
    <row r="137" spans="1:12" x14ac:dyDescent="0.2">
      <c r="F137" t="s">
        <v>168</v>
      </c>
      <c r="G137">
        <v>1.2429017608023949E-2</v>
      </c>
      <c r="H137" t="s">
        <v>33</v>
      </c>
      <c r="J137" t="s">
        <v>168</v>
      </c>
      <c r="K137">
        <v>2.5444422176662099E-2</v>
      </c>
      <c r="L137" t="s">
        <v>33</v>
      </c>
    </row>
    <row r="138" spans="1:12" x14ac:dyDescent="0.2">
      <c r="F138" t="s">
        <v>169</v>
      </c>
      <c r="G138">
        <v>-1.2682023093381961E-2</v>
      </c>
      <c r="H138" t="s">
        <v>33</v>
      </c>
      <c r="J138" t="s">
        <v>169</v>
      </c>
      <c r="K138">
        <v>3.8174083321314001E-3</v>
      </c>
      <c r="L138" t="s">
        <v>33</v>
      </c>
    </row>
    <row r="139" spans="1:12" x14ac:dyDescent="0.2">
      <c r="F139" t="s">
        <v>170</v>
      </c>
      <c r="G139">
        <v>-4.1938139380312663E-2</v>
      </c>
      <c r="H139" t="s">
        <v>33</v>
      </c>
      <c r="J139" t="s">
        <v>170</v>
      </c>
      <c r="K139">
        <v>-4.4204147023007567E-2</v>
      </c>
      <c r="L139" t="s">
        <v>33</v>
      </c>
    </row>
    <row r="140" spans="1:12" x14ac:dyDescent="0.2">
      <c r="F140" t="s">
        <v>171</v>
      </c>
      <c r="G140">
        <v>3.5703711758743539E-2</v>
      </c>
      <c r="H140" t="s">
        <v>33</v>
      </c>
      <c r="J140" t="s">
        <v>171</v>
      </c>
      <c r="K140">
        <v>2.0961542318071791E-2</v>
      </c>
      <c r="L140" t="s">
        <v>33</v>
      </c>
    </row>
    <row r="141" spans="1:12" x14ac:dyDescent="0.2">
      <c r="F141" t="s">
        <v>172</v>
      </c>
      <c r="G141">
        <v>3.1189796803579469E-2</v>
      </c>
      <c r="H141" t="s">
        <v>33</v>
      </c>
      <c r="J141" t="s">
        <v>172</v>
      </c>
      <c r="K141">
        <v>5.6053405016740283E-2</v>
      </c>
      <c r="L141" t="s">
        <v>33</v>
      </c>
    </row>
    <row r="142" spans="1:12" x14ac:dyDescent="0.2">
      <c r="F142" t="s">
        <v>173</v>
      </c>
      <c r="G142">
        <v>1.6114967836640352E-2</v>
      </c>
      <c r="H142" t="s">
        <v>33</v>
      </c>
      <c r="J142" t="s">
        <v>173</v>
      </c>
      <c r="K142">
        <v>2.755854636342803E-2</v>
      </c>
      <c r="L142" t="s">
        <v>33</v>
      </c>
    </row>
    <row r="143" spans="1:12" x14ac:dyDescent="0.2">
      <c r="F143" t="s">
        <v>174</v>
      </c>
      <c r="G143">
        <v>8.6261520305166206E-2</v>
      </c>
      <c r="H143" t="s">
        <v>33</v>
      </c>
      <c r="J143" t="s">
        <v>174</v>
      </c>
      <c r="K143">
        <v>7.5636529084292192E-2</v>
      </c>
      <c r="L143" t="s">
        <v>33</v>
      </c>
    </row>
    <row r="144" spans="1:12" x14ac:dyDescent="0.2">
      <c r="F144" t="s">
        <v>175</v>
      </c>
      <c r="G144">
        <v>-1.4001285354263929E-2</v>
      </c>
      <c r="H144" t="s">
        <v>33</v>
      </c>
      <c r="J144" t="s">
        <v>175</v>
      </c>
      <c r="K144">
        <v>-1.9610530039338551E-2</v>
      </c>
      <c r="L144" t="s">
        <v>33</v>
      </c>
    </row>
    <row r="145" spans="6:12" x14ac:dyDescent="0.2">
      <c r="F145" t="s">
        <v>176</v>
      </c>
      <c r="G145">
        <v>3.6587053920520862E-2</v>
      </c>
      <c r="H145" t="s">
        <v>33</v>
      </c>
      <c r="J145" t="s">
        <v>176</v>
      </c>
      <c r="K145">
        <v>6.2319221086956977E-2</v>
      </c>
      <c r="L145" t="s">
        <v>33</v>
      </c>
    </row>
    <row r="146" spans="6:12" x14ac:dyDescent="0.2">
      <c r="F146" t="s">
        <v>177</v>
      </c>
      <c r="G146">
        <v>7.3879050870315774E-3</v>
      </c>
      <c r="H146" t="s">
        <v>33</v>
      </c>
      <c r="J146" t="s">
        <v>177</v>
      </c>
      <c r="K146">
        <v>7.8944034492713921E-3</v>
      </c>
      <c r="L146" t="s">
        <v>33</v>
      </c>
    </row>
    <row r="147" spans="6:12" x14ac:dyDescent="0.2">
      <c r="F147" t="s">
        <v>178</v>
      </c>
      <c r="G147">
        <v>-1.872306542367486E-2</v>
      </c>
      <c r="H147" t="s">
        <v>33</v>
      </c>
      <c r="J147" t="s">
        <v>178</v>
      </c>
      <c r="K147">
        <v>-4.1188392770487033E-2</v>
      </c>
      <c r="L147" t="s">
        <v>33</v>
      </c>
    </row>
    <row r="148" spans="6:12" x14ac:dyDescent="0.2">
      <c r="F148" t="s">
        <v>179</v>
      </c>
      <c r="G148">
        <v>3.8266230351745367E-2</v>
      </c>
      <c r="H148" t="s">
        <v>33</v>
      </c>
      <c r="J148" t="s">
        <v>179</v>
      </c>
      <c r="K148">
        <v>5.9555792036678053E-2</v>
      </c>
      <c r="L148" t="s">
        <v>33</v>
      </c>
    </row>
    <row r="149" spans="6:12" x14ac:dyDescent="0.2">
      <c r="F149" t="s">
        <v>180</v>
      </c>
      <c r="G149">
        <v>6.6005781999878055E-2</v>
      </c>
      <c r="H149" t="s">
        <v>33</v>
      </c>
      <c r="J149" t="s">
        <v>180</v>
      </c>
      <c r="K149">
        <v>6.0881141064038642E-2</v>
      </c>
      <c r="L149" t="s">
        <v>33</v>
      </c>
    </row>
    <row r="150" spans="6:12" x14ac:dyDescent="0.2">
      <c r="F150" t="s">
        <v>181</v>
      </c>
      <c r="G150">
        <v>4.2846955740489578E-2</v>
      </c>
      <c r="H150" t="s">
        <v>33</v>
      </c>
      <c r="J150" t="s">
        <v>181</v>
      </c>
      <c r="K150">
        <v>4.4550771624067183E-2</v>
      </c>
      <c r="L150" t="s">
        <v>33</v>
      </c>
    </row>
    <row r="151" spans="6:12" x14ac:dyDescent="0.2">
      <c r="F151" t="s">
        <v>182</v>
      </c>
      <c r="G151">
        <v>8.0617695505240672E-2</v>
      </c>
      <c r="H151" t="s">
        <v>33</v>
      </c>
      <c r="J151" t="s">
        <v>182</v>
      </c>
      <c r="K151">
        <v>7.9656667115780122E-2</v>
      </c>
      <c r="L151" t="s">
        <v>33</v>
      </c>
    </row>
    <row r="152" spans="6:12" x14ac:dyDescent="0.2">
      <c r="F152" t="s">
        <v>183</v>
      </c>
      <c r="G152">
        <v>-2.5530110494389802E-2</v>
      </c>
      <c r="H152" t="s">
        <v>33</v>
      </c>
      <c r="J152" t="s">
        <v>183</v>
      </c>
      <c r="K152">
        <v>-5.6090485371114267E-2</v>
      </c>
      <c r="L152" t="s">
        <v>33</v>
      </c>
    </row>
    <row r="153" spans="6:12" x14ac:dyDescent="0.2">
      <c r="F153" t="s">
        <v>184</v>
      </c>
      <c r="G153">
        <v>4.6802600777159142E-2</v>
      </c>
      <c r="H153" t="s">
        <v>33</v>
      </c>
      <c r="J153" t="s">
        <v>184</v>
      </c>
      <c r="K153">
        <v>5.4679208881263319E-2</v>
      </c>
      <c r="L153" t="s">
        <v>33</v>
      </c>
    </row>
    <row r="154" spans="6:12" x14ac:dyDescent="0.2">
      <c r="F154" t="s">
        <v>185</v>
      </c>
      <c r="G154">
        <v>-3.9800411584340112E-2</v>
      </c>
      <c r="H154" t="s">
        <v>33</v>
      </c>
      <c r="J154" t="s">
        <v>185</v>
      </c>
      <c r="K154">
        <v>-3.3502551264323673E-2</v>
      </c>
      <c r="L154" t="s">
        <v>33</v>
      </c>
    </row>
    <row r="155" spans="6:12" x14ac:dyDescent="0.2">
      <c r="F155" t="s">
        <v>186</v>
      </c>
      <c r="G155">
        <v>1.5478659060061741E-2</v>
      </c>
      <c r="H155" t="s">
        <v>33</v>
      </c>
      <c r="J155" t="s">
        <v>186</v>
      </c>
      <c r="K155">
        <v>4.5985089021623571E-2</v>
      </c>
      <c r="L155" t="s">
        <v>33</v>
      </c>
    </row>
    <row r="156" spans="6:12" x14ac:dyDescent="0.2">
      <c r="F156" t="s">
        <v>187</v>
      </c>
      <c r="G156">
        <v>9.021276921311383E-3</v>
      </c>
      <c r="H156" t="s">
        <v>33</v>
      </c>
      <c r="J156" t="s">
        <v>187</v>
      </c>
      <c r="K156">
        <v>1.6848883083746321E-2</v>
      </c>
      <c r="L156" t="s">
        <v>33</v>
      </c>
    </row>
    <row r="157" spans="6:12" x14ac:dyDescent="0.2">
      <c r="F157" t="s">
        <v>188</v>
      </c>
      <c r="G157">
        <v>-5.2787209347446851E-3</v>
      </c>
      <c r="H157" t="s">
        <v>33</v>
      </c>
      <c r="J157" t="s">
        <v>188</v>
      </c>
      <c r="K157">
        <v>1.110247588973245E-2</v>
      </c>
      <c r="L157" t="s">
        <v>33</v>
      </c>
    </row>
    <row r="158" spans="6:12" x14ac:dyDescent="0.2">
      <c r="F158" t="s">
        <v>189</v>
      </c>
      <c r="G158">
        <v>5.2828569679063131E-2</v>
      </c>
      <c r="H158" t="s">
        <v>33</v>
      </c>
      <c r="J158" t="s">
        <v>189</v>
      </c>
      <c r="K158">
        <v>7.1922730577653304E-2</v>
      </c>
      <c r="L158" t="s">
        <v>33</v>
      </c>
    </row>
    <row r="159" spans="6:12" x14ac:dyDescent="0.2">
      <c r="F159" t="s">
        <v>190</v>
      </c>
      <c r="G159">
        <v>4.7754450589232889E-2</v>
      </c>
      <c r="H159" t="s">
        <v>33</v>
      </c>
      <c r="J159" t="s">
        <v>190</v>
      </c>
      <c r="K159">
        <v>5.1014097498219828E-2</v>
      </c>
      <c r="L159" t="s">
        <v>33</v>
      </c>
    </row>
    <row r="160" spans="6:12" x14ac:dyDescent="0.2">
      <c r="F160" t="s">
        <v>191</v>
      </c>
      <c r="G160">
        <v>1.48296982890388E-2</v>
      </c>
      <c r="H160" t="s">
        <v>33</v>
      </c>
      <c r="J160" t="s">
        <v>191</v>
      </c>
      <c r="K160">
        <v>1.007727999728902E-2</v>
      </c>
      <c r="L160" t="s">
        <v>33</v>
      </c>
    </row>
    <row r="161" spans="6:12" x14ac:dyDescent="0.2">
      <c r="F161" t="s">
        <v>192</v>
      </c>
      <c r="G161">
        <v>-2.6702806887890621E-2</v>
      </c>
      <c r="H161" t="s">
        <v>33</v>
      </c>
      <c r="J161" t="s">
        <v>192</v>
      </c>
      <c r="K161">
        <v>-1.7435058694387658E-2</v>
      </c>
      <c r="L161" t="s">
        <v>33</v>
      </c>
    </row>
    <row r="162" spans="6:12" x14ac:dyDescent="0.2">
      <c r="F162" t="s">
        <v>193</v>
      </c>
      <c r="G162">
        <v>1.7932930037161119E-3</v>
      </c>
      <c r="H162" t="s">
        <v>33</v>
      </c>
      <c r="J162" t="s">
        <v>193</v>
      </c>
      <c r="K162">
        <v>4.0713727434471769E-2</v>
      </c>
      <c r="L162" t="s">
        <v>33</v>
      </c>
    </row>
    <row r="163" spans="6:12" x14ac:dyDescent="0.2">
      <c r="F163" t="s">
        <v>194</v>
      </c>
      <c r="G163">
        <v>-5.1893429665419877E-2</v>
      </c>
      <c r="H163" t="s">
        <v>33</v>
      </c>
      <c r="J163" t="s">
        <v>194</v>
      </c>
      <c r="K163">
        <v>-1.054131603211794E-2</v>
      </c>
      <c r="L163" t="s">
        <v>33</v>
      </c>
    </row>
    <row r="164" spans="6:12" x14ac:dyDescent="0.2">
      <c r="F164" t="s">
        <v>195</v>
      </c>
      <c r="G164">
        <v>-0.1358593112377198</v>
      </c>
      <c r="H164" t="s">
        <v>33</v>
      </c>
      <c r="J164" t="s">
        <v>195</v>
      </c>
      <c r="K164">
        <v>-0.14473559341296011</v>
      </c>
      <c r="L164" t="s">
        <v>33</v>
      </c>
    </row>
    <row r="165" spans="6:12" x14ac:dyDescent="0.2">
      <c r="F165" t="s">
        <v>196</v>
      </c>
      <c r="G165">
        <v>4.6200756542759118E-2</v>
      </c>
      <c r="H165" t="s">
        <v>33</v>
      </c>
      <c r="J165" t="s">
        <v>196</v>
      </c>
      <c r="K165">
        <v>6.41902918759234E-2</v>
      </c>
      <c r="L165" t="s">
        <v>33</v>
      </c>
    </row>
    <row r="166" spans="6:12" x14ac:dyDescent="0.2">
      <c r="F166" t="s">
        <v>197</v>
      </c>
      <c r="G166">
        <v>7.7768080280314011E-2</v>
      </c>
      <c r="H166" t="s">
        <v>33</v>
      </c>
      <c r="J166" t="s">
        <v>197</v>
      </c>
      <c r="K166">
        <v>8.1641300973167352E-2</v>
      </c>
      <c r="L166" t="s">
        <v>33</v>
      </c>
    </row>
    <row r="167" spans="6:12" x14ac:dyDescent="0.2">
      <c r="F167" t="s">
        <v>198</v>
      </c>
      <c r="G167">
        <v>5.0594459567897543E-2</v>
      </c>
      <c r="H167" t="s">
        <v>33</v>
      </c>
      <c r="J167" t="s">
        <v>198</v>
      </c>
      <c r="K167">
        <v>6.0715674213809738E-2</v>
      </c>
      <c r="L167" t="s">
        <v>33</v>
      </c>
    </row>
    <row r="168" spans="6:12" x14ac:dyDescent="0.2">
      <c r="F168" t="s">
        <v>199</v>
      </c>
      <c r="G168">
        <v>-1.031006098667353E-4</v>
      </c>
      <c r="H168" t="s">
        <v>33</v>
      </c>
      <c r="J168" t="s">
        <v>199</v>
      </c>
      <c r="K168">
        <v>5.7885512103690973E-2</v>
      </c>
      <c r="L168" t="s">
        <v>33</v>
      </c>
    </row>
    <row r="169" spans="6:12" x14ac:dyDescent="0.2">
      <c r="F169" t="s">
        <v>200</v>
      </c>
      <c r="G169">
        <v>-3.351184164981369E-4</v>
      </c>
      <c r="H169" t="s">
        <v>33</v>
      </c>
      <c r="J169" t="s">
        <v>200</v>
      </c>
      <c r="K169">
        <v>4.2035989853540963E-2</v>
      </c>
      <c r="L169" t="s">
        <v>33</v>
      </c>
    </row>
    <row r="170" spans="6:12" x14ac:dyDescent="0.2">
      <c r="F170" t="s">
        <v>201</v>
      </c>
      <c r="G170">
        <v>-1.0923103836297019E-2</v>
      </c>
      <c r="H170" t="s">
        <v>33</v>
      </c>
      <c r="J170" t="s">
        <v>201</v>
      </c>
      <c r="K170">
        <v>-3.1244729250619829E-2</v>
      </c>
      <c r="L170" t="s">
        <v>33</v>
      </c>
    </row>
    <row r="171" spans="6:12" x14ac:dyDescent="0.2">
      <c r="F171" t="s">
        <v>202</v>
      </c>
      <c r="G171">
        <v>5.7533464737913542E-2</v>
      </c>
      <c r="H171" t="s">
        <v>33</v>
      </c>
      <c r="J171" t="s">
        <v>202</v>
      </c>
      <c r="K171">
        <v>3.9946125318129022E-2</v>
      </c>
      <c r="L171" t="s">
        <v>33</v>
      </c>
    </row>
    <row r="172" spans="6:12" x14ac:dyDescent="0.2">
      <c r="F172" t="s">
        <v>203</v>
      </c>
      <c r="G172">
        <v>0.11710257661240341</v>
      </c>
      <c r="H172" t="s">
        <v>33</v>
      </c>
      <c r="J172" t="s">
        <v>203</v>
      </c>
      <c r="K172">
        <v>3.8519779413609401E-2</v>
      </c>
      <c r="L172" t="s">
        <v>33</v>
      </c>
    </row>
    <row r="173" spans="6:12" x14ac:dyDescent="0.2">
      <c r="F173" t="s">
        <v>204</v>
      </c>
      <c r="G173">
        <v>-1.2452010244264899E-3</v>
      </c>
      <c r="H173" t="s">
        <v>33</v>
      </c>
      <c r="J173" t="s">
        <v>204</v>
      </c>
      <c r="K173">
        <v>-2.3890545006784451E-2</v>
      </c>
      <c r="L173" t="s">
        <v>33</v>
      </c>
    </row>
    <row r="174" spans="6:12" x14ac:dyDescent="0.2">
      <c r="F174" t="s">
        <v>205</v>
      </c>
      <c r="G174">
        <v>4.5410080758242273E-2</v>
      </c>
      <c r="H174" t="s">
        <v>33</v>
      </c>
      <c r="J174" t="s">
        <v>205</v>
      </c>
      <c r="K174">
        <v>5.5421912548008878E-2</v>
      </c>
      <c r="L174" t="s">
        <v>33</v>
      </c>
    </row>
    <row r="175" spans="6:12" x14ac:dyDescent="0.2">
      <c r="F175" t="s">
        <v>206</v>
      </c>
      <c r="G175">
        <v>-2.7793776885161051E-2</v>
      </c>
      <c r="H175" t="s">
        <v>33</v>
      </c>
      <c r="J175" t="s">
        <v>206</v>
      </c>
      <c r="K175">
        <v>-3.1301751662760391E-2</v>
      </c>
      <c r="L175" t="s">
        <v>33</v>
      </c>
    </row>
    <row r="176" spans="6:12" x14ac:dyDescent="0.2">
      <c r="F176" t="s">
        <v>207</v>
      </c>
      <c r="G176">
        <v>-1.4233405894829019E-2</v>
      </c>
      <c r="H176" t="s">
        <v>33</v>
      </c>
      <c r="J176" t="s">
        <v>207</v>
      </c>
      <c r="K176">
        <v>-4.9650057571314346E-3</v>
      </c>
      <c r="L176" t="s">
        <v>33</v>
      </c>
    </row>
    <row r="177" spans="6:12" x14ac:dyDescent="0.2">
      <c r="F177" t="s">
        <v>208</v>
      </c>
      <c r="G177">
        <v>-4.4106504557412378E-2</v>
      </c>
      <c r="H177" t="s">
        <v>33</v>
      </c>
      <c r="J177" t="s">
        <v>208</v>
      </c>
      <c r="K177">
        <v>-2.7402838022431038E-2</v>
      </c>
      <c r="L177" t="s">
        <v>33</v>
      </c>
    </row>
    <row r="178" spans="6:12" x14ac:dyDescent="0.2">
      <c r="F178" t="s">
        <v>209</v>
      </c>
      <c r="G178">
        <v>1.384820297203015E-2</v>
      </c>
      <c r="H178" t="s">
        <v>33</v>
      </c>
      <c r="J178" t="s">
        <v>209</v>
      </c>
      <c r="K178">
        <v>6.3264443753118904E-2</v>
      </c>
      <c r="L178" t="s">
        <v>33</v>
      </c>
    </row>
    <row r="179" spans="6:12" x14ac:dyDescent="0.2">
      <c r="F179" t="s">
        <v>210</v>
      </c>
      <c r="G179">
        <v>1.445691056638387E-2</v>
      </c>
      <c r="H179" t="s">
        <v>33</v>
      </c>
      <c r="J179" t="s">
        <v>210</v>
      </c>
      <c r="K179">
        <v>2.0230091154466171E-2</v>
      </c>
      <c r="L179" t="s">
        <v>33</v>
      </c>
    </row>
    <row r="180" spans="6:12" x14ac:dyDescent="0.2">
      <c r="F180" t="s">
        <v>211</v>
      </c>
      <c r="G180">
        <v>4.5517060232014073E-2</v>
      </c>
      <c r="H180" t="s">
        <v>33</v>
      </c>
      <c r="J180" t="s">
        <v>211</v>
      </c>
      <c r="K180">
        <v>5.972002615114258E-2</v>
      </c>
      <c r="L180" t="s">
        <v>33</v>
      </c>
    </row>
    <row r="181" spans="6:12" x14ac:dyDescent="0.2">
      <c r="F181" t="s">
        <v>212</v>
      </c>
      <c r="G181">
        <v>-4.9645789484110359E-2</v>
      </c>
      <c r="H181" t="s">
        <v>33</v>
      </c>
      <c r="J181" t="s">
        <v>212</v>
      </c>
      <c r="K181">
        <v>-5.0321417767327903E-2</v>
      </c>
      <c r="L181" t="s">
        <v>33</v>
      </c>
    </row>
    <row r="182" spans="6:12" x14ac:dyDescent="0.2">
      <c r="F182" t="s">
        <v>213</v>
      </c>
      <c r="G182">
        <v>-5.0447175586858073E-2</v>
      </c>
      <c r="H182" t="s">
        <v>33</v>
      </c>
      <c r="J182" t="s">
        <v>213</v>
      </c>
      <c r="K182">
        <v>-1.9063215812246129E-2</v>
      </c>
      <c r="L182" t="s">
        <v>33</v>
      </c>
    </row>
    <row r="183" spans="6:12" x14ac:dyDescent="0.2">
      <c r="F183" t="s">
        <v>214</v>
      </c>
      <c r="G183">
        <v>0.1100203959866082</v>
      </c>
      <c r="H183" t="s">
        <v>33</v>
      </c>
      <c r="J183" t="s">
        <v>214</v>
      </c>
      <c r="K183">
        <v>9.7644183120719541E-2</v>
      </c>
      <c r="L183" t="s">
        <v>33</v>
      </c>
    </row>
    <row r="184" spans="6:12" x14ac:dyDescent="0.2">
      <c r="F184" t="s">
        <v>215</v>
      </c>
      <c r="G184">
        <v>2.450186582550562E-2</v>
      </c>
      <c r="H184" t="s">
        <v>33</v>
      </c>
      <c r="J184" t="s">
        <v>215</v>
      </c>
      <c r="K184">
        <v>-3.0055106461767789E-2</v>
      </c>
      <c r="L184" t="s">
        <v>33</v>
      </c>
    </row>
    <row r="185" spans="6:12" x14ac:dyDescent="0.2">
      <c r="F185" t="s">
        <v>216</v>
      </c>
      <c r="G185">
        <v>2.126582475955718E-2</v>
      </c>
      <c r="H185" t="s">
        <v>33</v>
      </c>
      <c r="J185" t="s">
        <v>216</v>
      </c>
      <c r="K185">
        <v>-2.0383751787009019E-2</v>
      </c>
      <c r="L185" t="s">
        <v>33</v>
      </c>
    </row>
    <row r="186" spans="6:12" x14ac:dyDescent="0.2">
      <c r="F186" t="s">
        <v>217</v>
      </c>
      <c r="G186">
        <v>-6.4763519907612754E-2</v>
      </c>
      <c r="H186" t="s">
        <v>33</v>
      </c>
      <c r="J186" t="s">
        <v>217</v>
      </c>
      <c r="K186">
        <v>2.4847538293222948E-2</v>
      </c>
      <c r="L186" t="s">
        <v>33</v>
      </c>
    </row>
    <row r="187" spans="6:12" x14ac:dyDescent="0.2">
      <c r="F187" t="s">
        <v>218</v>
      </c>
      <c r="G187">
        <v>1.722087589111854E-2</v>
      </c>
      <c r="H187" t="s">
        <v>33</v>
      </c>
      <c r="J187" t="s">
        <v>218</v>
      </c>
      <c r="K187">
        <v>-1.4908684986920551E-2</v>
      </c>
      <c r="L187" t="s">
        <v>33</v>
      </c>
    </row>
    <row r="188" spans="6:12" x14ac:dyDescent="0.2">
      <c r="F188" t="s">
        <v>219</v>
      </c>
      <c r="G188">
        <v>4.8350266438385907E-2</v>
      </c>
      <c r="H188" t="s">
        <v>33</v>
      </c>
      <c r="J188" t="s">
        <v>219</v>
      </c>
      <c r="K188">
        <v>6.1899419692579498E-2</v>
      </c>
      <c r="L188" t="s">
        <v>33</v>
      </c>
    </row>
    <row r="189" spans="6:12" x14ac:dyDescent="0.2">
      <c r="F189" t="s">
        <v>220</v>
      </c>
      <c r="G189">
        <v>-4.4449153566896724E-3</v>
      </c>
      <c r="H189" t="s">
        <v>33</v>
      </c>
      <c r="J189" t="s">
        <v>220</v>
      </c>
      <c r="K189">
        <v>-5.2875403665262673E-2</v>
      </c>
      <c r="L189" t="s">
        <v>33</v>
      </c>
    </row>
    <row r="190" spans="6:12" x14ac:dyDescent="0.2">
      <c r="F190" t="s">
        <v>221</v>
      </c>
      <c r="G190">
        <v>3.1611909650923968E-2</v>
      </c>
      <c r="H190" t="s">
        <v>33</v>
      </c>
      <c r="J190" t="s">
        <v>221</v>
      </c>
      <c r="K190">
        <v>-4.2989070154065834E-3</v>
      </c>
      <c r="L190" t="s">
        <v>33</v>
      </c>
    </row>
    <row r="191" spans="6:12" x14ac:dyDescent="0.2">
      <c r="F191" t="s">
        <v>222</v>
      </c>
      <c r="G191">
        <v>-2.9725795258891412E-3</v>
      </c>
      <c r="H191" t="s">
        <v>33</v>
      </c>
      <c r="J191" t="s">
        <v>222</v>
      </c>
      <c r="K191">
        <v>-7.8775952047505871E-2</v>
      </c>
      <c r="L191" t="s">
        <v>33</v>
      </c>
    </row>
    <row r="192" spans="6:12" x14ac:dyDescent="0.2">
      <c r="F192" t="s">
        <v>223</v>
      </c>
      <c r="G192">
        <v>8.6141679979781838E-2</v>
      </c>
      <c r="H192" t="s">
        <v>33</v>
      </c>
      <c r="J192" t="s">
        <v>223</v>
      </c>
      <c r="K192">
        <v>1.9733420354348659E-3</v>
      </c>
      <c r="L192" t="s">
        <v>33</v>
      </c>
    </row>
    <row r="193" spans="6:12" x14ac:dyDescent="0.2">
      <c r="F193" t="s">
        <v>224</v>
      </c>
      <c r="G193">
        <v>2.0887422663619089E-2</v>
      </c>
      <c r="H193" t="s">
        <v>33</v>
      </c>
      <c r="J193" t="s">
        <v>224</v>
      </c>
      <c r="K193">
        <v>3.5532593216538011E-2</v>
      </c>
      <c r="L193" t="s">
        <v>33</v>
      </c>
    </row>
    <row r="194" spans="6:12" x14ac:dyDescent="0.2">
      <c r="F194" t="s">
        <v>225</v>
      </c>
      <c r="G194">
        <v>2.3345934112963822E-3</v>
      </c>
      <c r="H194" t="s">
        <v>33</v>
      </c>
      <c r="J194" t="s">
        <v>225</v>
      </c>
      <c r="K194">
        <v>-9.1370144672519471E-2</v>
      </c>
      <c r="L194" t="s">
        <v>33</v>
      </c>
    </row>
    <row r="195" spans="6:12" x14ac:dyDescent="0.2">
      <c r="F195" t="s">
        <v>226</v>
      </c>
      <c r="G195">
        <v>-1.363927833268885E-2</v>
      </c>
      <c r="H195" t="s">
        <v>33</v>
      </c>
      <c r="J195" t="s">
        <v>226</v>
      </c>
      <c r="K195">
        <v>-6.6108508537921717E-2</v>
      </c>
      <c r="L195" t="s">
        <v>33</v>
      </c>
    </row>
    <row r="196" spans="6:12" x14ac:dyDescent="0.2">
      <c r="F196" t="s">
        <v>227</v>
      </c>
      <c r="G196">
        <v>6.1982380720644548E-2</v>
      </c>
      <c r="H196" t="s">
        <v>33</v>
      </c>
      <c r="J196" t="s">
        <v>227</v>
      </c>
      <c r="K196">
        <v>7.7698912519174934E-2</v>
      </c>
      <c r="L196" t="s">
        <v>33</v>
      </c>
    </row>
    <row r="197" spans="6:12" x14ac:dyDescent="0.2">
      <c r="F197" t="s">
        <v>228</v>
      </c>
      <c r="G197">
        <v>3.047169315499532E-2</v>
      </c>
      <c r="H197" t="s">
        <v>33</v>
      </c>
      <c r="J197" t="s">
        <v>228</v>
      </c>
      <c r="K197">
        <v>6.5858069859734414E-3</v>
      </c>
      <c r="L197" t="s">
        <v>33</v>
      </c>
    </row>
    <row r="198" spans="6:12" x14ac:dyDescent="0.2">
      <c r="F198" t="s">
        <v>229</v>
      </c>
      <c r="G198">
        <v>-1.9557357351021151E-2</v>
      </c>
      <c r="H198" t="s">
        <v>33</v>
      </c>
      <c r="J198" t="s">
        <v>229</v>
      </c>
      <c r="K198">
        <v>-2.4474921912991832E-2</v>
      </c>
      <c r="L198" t="s">
        <v>33</v>
      </c>
    </row>
    <row r="199" spans="6:12" x14ac:dyDescent="0.2">
      <c r="F199" t="s">
        <v>230</v>
      </c>
      <c r="G199">
        <v>8.29689192329508E-3</v>
      </c>
      <c r="H199" t="s">
        <v>33</v>
      </c>
      <c r="J199" t="s">
        <v>230</v>
      </c>
      <c r="K199">
        <v>-9.9097075778953325E-3</v>
      </c>
      <c r="L199" t="s">
        <v>33</v>
      </c>
    </row>
    <row r="200" spans="6:12" x14ac:dyDescent="0.2">
      <c r="F200" t="s">
        <v>231</v>
      </c>
      <c r="G200">
        <v>-1.87816833531218E-2</v>
      </c>
      <c r="H200" t="s">
        <v>33</v>
      </c>
      <c r="J200" t="s">
        <v>231</v>
      </c>
      <c r="K200">
        <v>-6.2645237181782165E-2</v>
      </c>
      <c r="L200" t="s">
        <v>33</v>
      </c>
    </row>
    <row r="201" spans="6:12" x14ac:dyDescent="0.2">
      <c r="F201" t="s">
        <v>232</v>
      </c>
      <c r="G201">
        <v>-9.2788088703050886E-2</v>
      </c>
      <c r="H201" t="s">
        <v>33</v>
      </c>
      <c r="J201" t="s">
        <v>232</v>
      </c>
      <c r="K201">
        <v>-8.1180270032125135E-2</v>
      </c>
      <c r="L201" t="s">
        <v>33</v>
      </c>
    </row>
    <row r="202" spans="6:12" x14ac:dyDescent="0.2">
      <c r="F202" t="s">
        <v>233</v>
      </c>
      <c r="G202">
        <v>1.0931350713862861E-2</v>
      </c>
      <c r="H202" t="s">
        <v>33</v>
      </c>
      <c r="J202" t="s">
        <v>233</v>
      </c>
      <c r="K202">
        <v>1.9054579483649411E-2</v>
      </c>
      <c r="L202" t="s">
        <v>33</v>
      </c>
    </row>
    <row r="203" spans="6:12" x14ac:dyDescent="0.2">
      <c r="F203" t="s">
        <v>234</v>
      </c>
      <c r="G203">
        <v>8.1643593276398363E-2</v>
      </c>
      <c r="H203" t="s">
        <v>33</v>
      </c>
      <c r="J203" t="s">
        <v>234</v>
      </c>
      <c r="K203">
        <v>7.6632265142773104E-2</v>
      </c>
      <c r="L203" t="s">
        <v>33</v>
      </c>
    </row>
    <row r="204" spans="6:12" x14ac:dyDescent="0.2">
      <c r="F204" t="s">
        <v>235</v>
      </c>
      <c r="G204">
        <v>2.819138620956085E-2</v>
      </c>
      <c r="H204" t="s">
        <v>33</v>
      </c>
      <c r="J204" t="s">
        <v>235</v>
      </c>
      <c r="K204">
        <v>4.934958996983374E-3</v>
      </c>
      <c r="L204" t="s">
        <v>33</v>
      </c>
    </row>
    <row r="205" spans="6:12" x14ac:dyDescent="0.2">
      <c r="F205" t="s">
        <v>236</v>
      </c>
      <c r="G205">
        <v>-1.8943230956439681E-3</v>
      </c>
      <c r="H205" t="s">
        <v>33</v>
      </c>
      <c r="J205" t="s">
        <v>236</v>
      </c>
      <c r="K205">
        <v>-1.463786061660266E-2</v>
      </c>
      <c r="L205" t="s">
        <v>33</v>
      </c>
    </row>
    <row r="206" spans="6:12" x14ac:dyDescent="0.2">
      <c r="F206" t="s">
        <v>237</v>
      </c>
      <c r="G206">
        <v>8.070183737449721E-3</v>
      </c>
      <c r="H206" t="s">
        <v>33</v>
      </c>
      <c r="J206" t="s">
        <v>237</v>
      </c>
      <c r="K206">
        <v>-1.9359753823691261E-2</v>
      </c>
      <c r="L206" t="s">
        <v>33</v>
      </c>
    </row>
    <row r="207" spans="6:12" x14ac:dyDescent="0.2">
      <c r="F207" t="s">
        <v>238</v>
      </c>
      <c r="G207">
        <v>4.2420787100425628E-2</v>
      </c>
      <c r="H207" t="s">
        <v>33</v>
      </c>
      <c r="J207" t="s">
        <v>238</v>
      </c>
      <c r="K207">
        <v>3.7529307962762992E-2</v>
      </c>
      <c r="L207" t="s">
        <v>33</v>
      </c>
    </row>
    <row r="208" spans="6:12" x14ac:dyDescent="0.2">
      <c r="F208" t="s">
        <v>239</v>
      </c>
      <c r="G208">
        <v>-3.1509498309262751E-2</v>
      </c>
      <c r="H208" t="s">
        <v>33</v>
      </c>
      <c r="J208" t="s">
        <v>239</v>
      </c>
      <c r="K208">
        <v>-6.0746342917972103E-2</v>
      </c>
      <c r="L208" t="s">
        <v>33</v>
      </c>
    </row>
    <row r="209" spans="6:12" x14ac:dyDescent="0.2">
      <c r="F209" t="s">
        <v>240</v>
      </c>
      <c r="G209">
        <v>1.3561386174340219E-2</v>
      </c>
      <c r="H209" t="s">
        <v>33</v>
      </c>
      <c r="J209" t="s">
        <v>240</v>
      </c>
      <c r="K209">
        <v>-7.4431490384061494E-3</v>
      </c>
      <c r="L209" t="s">
        <v>33</v>
      </c>
    </row>
    <row r="210" spans="6:12" x14ac:dyDescent="0.2">
      <c r="F210" t="s">
        <v>241</v>
      </c>
      <c r="G210">
        <v>-4.665504642103091E-2</v>
      </c>
      <c r="H210" t="s">
        <v>33</v>
      </c>
      <c r="J210" t="s">
        <v>241</v>
      </c>
      <c r="K210">
        <v>-7.4483162255681412E-2</v>
      </c>
      <c r="L210" t="s">
        <v>33</v>
      </c>
    </row>
    <row r="211" spans="6:12" x14ac:dyDescent="0.2">
      <c r="F211" t="s">
        <v>242</v>
      </c>
      <c r="G211">
        <v>-8.9100180521980099E-2</v>
      </c>
      <c r="H211" t="s">
        <v>33</v>
      </c>
      <c r="J211" t="s">
        <v>242</v>
      </c>
      <c r="K211">
        <v>-7.7192630137018381E-2</v>
      </c>
      <c r="L211" t="s">
        <v>33</v>
      </c>
    </row>
    <row r="212" spans="6:12" x14ac:dyDescent="0.2">
      <c r="F212" t="s">
        <v>243</v>
      </c>
      <c r="G212">
        <v>2.338405992728854E-2</v>
      </c>
      <c r="H212" t="s">
        <v>33</v>
      </c>
      <c r="J212" t="s">
        <v>243</v>
      </c>
      <c r="K212">
        <v>6.6444894008625974E-3</v>
      </c>
      <c r="L212" t="s">
        <v>33</v>
      </c>
    </row>
    <row r="213" spans="6:12" x14ac:dyDescent="0.2">
      <c r="F213" t="s">
        <v>244</v>
      </c>
      <c r="G213">
        <v>-9.6984579795806658E-2</v>
      </c>
      <c r="H213" t="s">
        <v>33</v>
      </c>
      <c r="J213" t="s">
        <v>244</v>
      </c>
      <c r="K213">
        <v>-0.1086397288956945</v>
      </c>
      <c r="L213" t="s">
        <v>33</v>
      </c>
    </row>
    <row r="214" spans="6:12" x14ac:dyDescent="0.2">
      <c r="F214" t="s">
        <v>245</v>
      </c>
      <c r="G214">
        <v>3.5897152659553733E-2</v>
      </c>
      <c r="H214" t="s">
        <v>33</v>
      </c>
      <c r="J214" t="s">
        <v>245</v>
      </c>
      <c r="K214">
        <v>8.7828865569078651E-2</v>
      </c>
      <c r="L214" t="s">
        <v>33</v>
      </c>
    </row>
    <row r="215" spans="6:12" x14ac:dyDescent="0.2">
      <c r="F215" t="s">
        <v>246</v>
      </c>
      <c r="G215">
        <v>7.8928095379976471E-2</v>
      </c>
      <c r="H215" t="s">
        <v>33</v>
      </c>
      <c r="J215" t="s">
        <v>246</v>
      </c>
      <c r="K215">
        <v>6.1683098240449492E-2</v>
      </c>
      <c r="L215" t="s">
        <v>33</v>
      </c>
    </row>
    <row r="216" spans="6:12" x14ac:dyDescent="0.2">
      <c r="F216" t="s">
        <v>247</v>
      </c>
      <c r="G216">
        <v>-3.3215505923858357E-2</v>
      </c>
      <c r="H216" t="s">
        <v>33</v>
      </c>
      <c r="J216" t="s">
        <v>247</v>
      </c>
      <c r="K216">
        <v>-6.1412756045979289E-2</v>
      </c>
      <c r="L216" t="s">
        <v>33</v>
      </c>
    </row>
    <row r="217" spans="6:12" x14ac:dyDescent="0.2">
      <c r="F217" t="s">
        <v>248</v>
      </c>
      <c r="G217">
        <v>-2.9528794142054001E-2</v>
      </c>
      <c r="H217" t="s">
        <v>33</v>
      </c>
      <c r="J217" t="s">
        <v>248</v>
      </c>
      <c r="K217">
        <v>-2.624774914062367E-2</v>
      </c>
      <c r="L217" t="s">
        <v>33</v>
      </c>
    </row>
    <row r="218" spans="6:12" x14ac:dyDescent="0.2">
      <c r="F218" t="s">
        <v>249</v>
      </c>
      <c r="G218">
        <v>-2.3517930723523591E-2</v>
      </c>
      <c r="H218" t="s">
        <v>33</v>
      </c>
      <c r="J218" t="s">
        <v>249</v>
      </c>
      <c r="K218">
        <v>-1.505941359864804E-2</v>
      </c>
      <c r="L218" t="s">
        <v>33</v>
      </c>
    </row>
    <row r="219" spans="6:12" x14ac:dyDescent="0.2">
      <c r="F219" t="s">
        <v>250</v>
      </c>
      <c r="G219">
        <v>-4.7458416875079118E-4</v>
      </c>
      <c r="H219" t="s">
        <v>33</v>
      </c>
      <c r="J219" t="s">
        <v>250</v>
      </c>
      <c r="K219">
        <v>1.364505700921081E-2</v>
      </c>
      <c r="L219" t="s">
        <v>33</v>
      </c>
    </row>
    <row r="220" spans="6:12" x14ac:dyDescent="0.2">
      <c r="F220" t="s">
        <v>251</v>
      </c>
      <c r="G220">
        <v>7.0701806245561327E-2</v>
      </c>
      <c r="H220" t="s">
        <v>33</v>
      </c>
      <c r="J220" t="s">
        <v>251</v>
      </c>
      <c r="K220">
        <v>8.2662597396141235E-2</v>
      </c>
      <c r="L220" t="s">
        <v>33</v>
      </c>
    </row>
    <row r="221" spans="6:12" x14ac:dyDescent="0.2">
      <c r="F221" t="s">
        <v>252</v>
      </c>
      <c r="G221">
        <v>7.9189396593287276E-2</v>
      </c>
      <c r="H221" t="s">
        <v>33</v>
      </c>
      <c r="J221" t="s">
        <v>252</v>
      </c>
      <c r="K221">
        <v>5.2631569470212643E-2</v>
      </c>
      <c r="L221" t="s">
        <v>33</v>
      </c>
    </row>
    <row r="222" spans="6:12" x14ac:dyDescent="0.2">
      <c r="F222" t="s">
        <v>253</v>
      </c>
      <c r="G222">
        <v>9.0680184964748722E-3</v>
      </c>
      <c r="H222" t="s">
        <v>33</v>
      </c>
      <c r="J222" t="s">
        <v>253</v>
      </c>
      <c r="K222">
        <v>1.270179073528044E-2</v>
      </c>
      <c r="L222" t="s">
        <v>33</v>
      </c>
    </row>
    <row r="223" spans="6:12" x14ac:dyDescent="0.2">
      <c r="F223" t="s">
        <v>254</v>
      </c>
      <c r="G223">
        <v>3.6751511487016053E-2</v>
      </c>
      <c r="H223" t="s">
        <v>33</v>
      </c>
      <c r="J223" t="s">
        <v>254</v>
      </c>
      <c r="K223">
        <v>1.755167618278719E-2</v>
      </c>
      <c r="L223" t="s">
        <v>33</v>
      </c>
    </row>
    <row r="224" spans="6:12" x14ac:dyDescent="0.2">
      <c r="F224" t="s">
        <v>255</v>
      </c>
      <c r="G224">
        <v>2.5544946947279271E-2</v>
      </c>
      <c r="H224" t="s">
        <v>33</v>
      </c>
      <c r="J224" t="s">
        <v>255</v>
      </c>
      <c r="K224">
        <v>1.9323191069277049E-2</v>
      </c>
      <c r="L224" t="s">
        <v>33</v>
      </c>
    </row>
    <row r="225" spans="6:12" x14ac:dyDescent="0.2">
      <c r="F225" t="s">
        <v>256</v>
      </c>
      <c r="G225">
        <v>-1.025102836962666E-2</v>
      </c>
      <c r="H225" t="s">
        <v>33</v>
      </c>
      <c r="J225" t="s">
        <v>256</v>
      </c>
      <c r="K225">
        <v>-1.0656556895286769E-2</v>
      </c>
      <c r="L225" t="s">
        <v>33</v>
      </c>
    </row>
    <row r="226" spans="6:12" x14ac:dyDescent="0.2">
      <c r="F226" t="s">
        <v>257</v>
      </c>
      <c r="G226">
        <v>5.5947318456710533E-2</v>
      </c>
      <c r="H226" t="s">
        <v>33</v>
      </c>
      <c r="J226" t="s">
        <v>257</v>
      </c>
      <c r="K226">
        <v>5.6413070015285387E-2</v>
      </c>
      <c r="L226" t="s">
        <v>33</v>
      </c>
    </row>
    <row r="227" spans="6:12" x14ac:dyDescent="0.2">
      <c r="F227" t="s">
        <v>258</v>
      </c>
      <c r="G227">
        <v>1.697077758999899E-2</v>
      </c>
      <c r="H227" t="s">
        <v>33</v>
      </c>
      <c r="J227" t="s">
        <v>258</v>
      </c>
      <c r="K227">
        <v>8.7457398165364797E-3</v>
      </c>
      <c r="L227" t="s">
        <v>33</v>
      </c>
    </row>
    <row r="228" spans="6:12" x14ac:dyDescent="0.2">
      <c r="F228" t="s">
        <v>259</v>
      </c>
      <c r="G228">
        <v>6.0455600117297337E-2</v>
      </c>
      <c r="H228" t="s">
        <v>33</v>
      </c>
      <c r="J228" t="s">
        <v>259</v>
      </c>
      <c r="K228">
        <v>5.2305174844569757E-2</v>
      </c>
      <c r="L228" t="s">
        <v>33</v>
      </c>
    </row>
    <row r="229" spans="6:12" x14ac:dyDescent="0.2">
      <c r="F229" t="s">
        <v>260</v>
      </c>
      <c r="G229">
        <v>3.9542690145295989E-2</v>
      </c>
      <c r="H229" t="s">
        <v>33</v>
      </c>
      <c r="J229" t="s">
        <v>260</v>
      </c>
      <c r="K229">
        <v>1.8211947224622049E-2</v>
      </c>
      <c r="L229" t="s">
        <v>33</v>
      </c>
    </row>
    <row r="230" spans="6:12" x14ac:dyDescent="0.2">
      <c r="F230" t="s">
        <v>261</v>
      </c>
      <c r="G230">
        <v>1.95333271926641E-2</v>
      </c>
      <c r="H230" t="s">
        <v>33</v>
      </c>
      <c r="J230" t="s">
        <v>261</v>
      </c>
      <c r="K230">
        <v>1.386893262474964E-2</v>
      </c>
      <c r="L230" t="s">
        <v>33</v>
      </c>
    </row>
    <row r="231" spans="6:12" x14ac:dyDescent="0.2">
      <c r="F231" t="s">
        <v>262</v>
      </c>
      <c r="G231">
        <v>-9.7055774617590407E-3</v>
      </c>
      <c r="H231" t="s">
        <v>33</v>
      </c>
      <c r="J231" t="s">
        <v>262</v>
      </c>
      <c r="K231">
        <v>-1.519809305442954E-2</v>
      </c>
      <c r="L231" t="s">
        <v>33</v>
      </c>
    </row>
    <row r="232" spans="6:12" x14ac:dyDescent="0.2">
      <c r="F232" t="s">
        <v>263</v>
      </c>
      <c r="G232">
        <v>-2.198116454686205E-2</v>
      </c>
      <c r="H232" t="s">
        <v>33</v>
      </c>
      <c r="J232" t="s">
        <v>263</v>
      </c>
      <c r="K232">
        <v>-1.5671616665073659E-2</v>
      </c>
      <c r="L232" t="s">
        <v>33</v>
      </c>
    </row>
    <row r="233" spans="6:12" x14ac:dyDescent="0.2">
      <c r="F233" t="s">
        <v>264</v>
      </c>
      <c r="G233">
        <v>7.4963095041127303E-3</v>
      </c>
      <c r="H233" t="s">
        <v>33</v>
      </c>
      <c r="J233" t="s">
        <v>264</v>
      </c>
      <c r="K233">
        <v>1.367456108065257E-2</v>
      </c>
      <c r="L233" t="s">
        <v>33</v>
      </c>
    </row>
    <row r="234" spans="6:12" x14ac:dyDescent="0.2">
      <c r="F234" t="s">
        <v>265</v>
      </c>
      <c r="G234">
        <v>2.5634971894109789E-2</v>
      </c>
      <c r="H234" t="s">
        <v>33</v>
      </c>
      <c r="J234" t="s">
        <v>265</v>
      </c>
      <c r="K234">
        <v>1.9290854753911239E-2</v>
      </c>
      <c r="L234" t="s">
        <v>33</v>
      </c>
    </row>
    <row r="235" spans="6:12" x14ac:dyDescent="0.2">
      <c r="F235" t="s">
        <v>266</v>
      </c>
      <c r="G235">
        <v>-3.0004269184011782E-2</v>
      </c>
      <c r="H235" t="s">
        <v>33</v>
      </c>
      <c r="J235" t="s">
        <v>266</v>
      </c>
      <c r="K235">
        <v>-3.3108864167685992E-2</v>
      </c>
      <c r="L235" t="s">
        <v>33</v>
      </c>
    </row>
    <row r="236" spans="6:12" x14ac:dyDescent="0.2">
      <c r="F236" t="s">
        <v>267</v>
      </c>
      <c r="G236">
        <v>-1.034255232990833E-3</v>
      </c>
      <c r="H236" t="s">
        <v>33</v>
      </c>
      <c r="J236" t="s">
        <v>267</v>
      </c>
      <c r="K236">
        <v>4.0227989548209386E-3</v>
      </c>
      <c r="L236" t="s">
        <v>33</v>
      </c>
    </row>
    <row r="237" spans="6:12" x14ac:dyDescent="0.2">
      <c r="F237" t="s">
        <v>268</v>
      </c>
      <c r="G237">
        <v>2.9325085657298411E-2</v>
      </c>
      <c r="H237" t="s">
        <v>33</v>
      </c>
      <c r="J237" t="s">
        <v>268</v>
      </c>
      <c r="K237">
        <v>1.07592900346376E-2</v>
      </c>
      <c r="L237" t="s">
        <v>33</v>
      </c>
    </row>
    <row r="238" spans="6:12" x14ac:dyDescent="0.2">
      <c r="F238" t="s">
        <v>269</v>
      </c>
      <c r="G238">
        <v>2.3381898048034699E-2</v>
      </c>
      <c r="H238" t="s">
        <v>33</v>
      </c>
      <c r="J238" t="s">
        <v>269</v>
      </c>
      <c r="K238">
        <v>1.524271548373024E-2</v>
      </c>
      <c r="L238" t="s">
        <v>33</v>
      </c>
    </row>
    <row r="239" spans="6:12" x14ac:dyDescent="0.2">
      <c r="F239" t="s">
        <v>270</v>
      </c>
      <c r="G239">
        <v>5.8907055088546663E-2</v>
      </c>
      <c r="H239" t="s">
        <v>33</v>
      </c>
      <c r="J239" t="s">
        <v>270</v>
      </c>
      <c r="K239">
        <v>4.0451404506822053E-2</v>
      </c>
      <c r="L239" t="s">
        <v>33</v>
      </c>
    </row>
    <row r="240" spans="6:12" x14ac:dyDescent="0.2">
      <c r="F240" t="s">
        <v>271</v>
      </c>
      <c r="G240">
        <v>3.942263813181679E-2</v>
      </c>
      <c r="H240" t="s">
        <v>33</v>
      </c>
      <c r="J240" t="s">
        <v>271</v>
      </c>
      <c r="K240">
        <v>3.3988935975777901E-2</v>
      </c>
      <c r="L240" t="s">
        <v>33</v>
      </c>
    </row>
    <row r="241" spans="6:12" x14ac:dyDescent="0.2">
      <c r="F241" t="s">
        <v>272</v>
      </c>
      <c r="G241">
        <v>-2.2656855105663731E-2</v>
      </c>
      <c r="H241" t="s">
        <v>33</v>
      </c>
      <c r="J241" t="s">
        <v>272</v>
      </c>
      <c r="K241">
        <v>-2.4364038297865931E-2</v>
      </c>
      <c r="L241" t="s">
        <v>33</v>
      </c>
    </row>
    <row r="242" spans="6:12" x14ac:dyDescent="0.2">
      <c r="F242" t="s">
        <v>273</v>
      </c>
      <c r="G242">
        <v>3.0008537557520091E-2</v>
      </c>
      <c r="H242" t="s">
        <v>33</v>
      </c>
      <c r="J242" t="s">
        <v>273</v>
      </c>
      <c r="K242">
        <v>2.0932783856279391E-2</v>
      </c>
      <c r="L242" t="s">
        <v>33</v>
      </c>
    </row>
    <row r="243" spans="6:12" x14ac:dyDescent="0.2">
      <c r="F243" t="s">
        <v>274</v>
      </c>
      <c r="G243">
        <v>-5.5626109289068637E-3</v>
      </c>
      <c r="H243" t="s">
        <v>33</v>
      </c>
      <c r="J243" t="s">
        <v>274</v>
      </c>
      <c r="K243">
        <v>-1.7589892863263849E-2</v>
      </c>
      <c r="L243" t="s">
        <v>33</v>
      </c>
    </row>
    <row r="244" spans="6:12" x14ac:dyDescent="0.2">
      <c r="F244" t="s">
        <v>275</v>
      </c>
      <c r="G244">
        <v>-2.5859486817765062E-2</v>
      </c>
      <c r="H244" t="s">
        <v>33</v>
      </c>
      <c r="J244" t="s">
        <v>275</v>
      </c>
      <c r="K244">
        <v>-1.902748117845432E-2</v>
      </c>
      <c r="L244" t="s">
        <v>33</v>
      </c>
    </row>
    <row r="245" spans="6:12" x14ac:dyDescent="0.2">
      <c r="F245" t="s">
        <v>276</v>
      </c>
      <c r="G245">
        <v>2.583399367058337E-2</v>
      </c>
      <c r="H245" t="s">
        <v>33</v>
      </c>
      <c r="J245" t="s">
        <v>276</v>
      </c>
      <c r="K245">
        <v>3.1765361233811573E-2</v>
      </c>
      <c r="L245" t="s">
        <v>33</v>
      </c>
    </row>
    <row r="246" spans="6:12" x14ac:dyDescent="0.2">
      <c r="F246" t="s">
        <v>277</v>
      </c>
      <c r="G246">
        <v>6.342284076470861E-3</v>
      </c>
      <c r="H246" t="s">
        <v>33</v>
      </c>
      <c r="J246" t="s">
        <v>277</v>
      </c>
      <c r="K246">
        <v>1.3985930761877261E-3</v>
      </c>
      <c r="L246" t="s">
        <v>33</v>
      </c>
    </row>
    <row r="247" spans="6:12" x14ac:dyDescent="0.2">
      <c r="F247" t="s">
        <v>278</v>
      </c>
      <c r="G247">
        <v>3.6067841668208311E-2</v>
      </c>
      <c r="H247" t="s">
        <v>33</v>
      </c>
      <c r="J247" t="s">
        <v>278</v>
      </c>
      <c r="K247">
        <v>3.7151719562852792E-2</v>
      </c>
      <c r="L247" t="s">
        <v>33</v>
      </c>
    </row>
    <row r="248" spans="6:12" x14ac:dyDescent="0.2">
      <c r="F248" t="s">
        <v>279</v>
      </c>
      <c r="G248">
        <v>7.5253261088383816E-3</v>
      </c>
      <c r="H248" t="s">
        <v>33</v>
      </c>
      <c r="J248" t="s">
        <v>279</v>
      </c>
      <c r="K248">
        <v>-9.1308244213766931E-3</v>
      </c>
      <c r="L248" t="s">
        <v>33</v>
      </c>
    </row>
    <row r="249" spans="6:12" x14ac:dyDescent="0.2">
      <c r="F249" t="s">
        <v>280</v>
      </c>
      <c r="G249">
        <v>1.014130310239625E-2</v>
      </c>
      <c r="H249" t="s">
        <v>33</v>
      </c>
      <c r="J249" t="s">
        <v>280</v>
      </c>
      <c r="K249">
        <v>7.9478675619319983E-3</v>
      </c>
      <c r="L249" t="s">
        <v>33</v>
      </c>
    </row>
    <row r="250" spans="6:12" x14ac:dyDescent="0.2">
      <c r="F250" t="s">
        <v>281</v>
      </c>
      <c r="G250">
        <v>-1.7703215345155839E-2</v>
      </c>
      <c r="H250" t="s">
        <v>33</v>
      </c>
      <c r="J250" t="s">
        <v>281</v>
      </c>
      <c r="K250">
        <v>-1.669610813251687E-2</v>
      </c>
      <c r="L250" t="s">
        <v>33</v>
      </c>
    </row>
    <row r="251" spans="6:12" x14ac:dyDescent="0.2">
      <c r="F251" t="s">
        <v>282</v>
      </c>
      <c r="G251">
        <v>3.1030392311716559E-2</v>
      </c>
      <c r="H251" t="s">
        <v>33</v>
      </c>
      <c r="J251" t="s">
        <v>282</v>
      </c>
      <c r="K251">
        <v>3.7732500851289867E-2</v>
      </c>
      <c r="L251" t="s">
        <v>33</v>
      </c>
    </row>
    <row r="252" spans="6:12" x14ac:dyDescent="0.2">
      <c r="F252" t="s">
        <v>283</v>
      </c>
      <c r="G252">
        <v>1.7237689938500941E-2</v>
      </c>
      <c r="H252" t="s">
        <v>33</v>
      </c>
      <c r="J252" t="s">
        <v>283</v>
      </c>
      <c r="K252">
        <v>3.2028423539642858E-4</v>
      </c>
      <c r="L252" t="s">
        <v>33</v>
      </c>
    </row>
    <row r="253" spans="6:12" x14ac:dyDescent="0.2">
      <c r="F253" t="s">
        <v>284</v>
      </c>
      <c r="G253">
        <v>3.9854098265498683E-2</v>
      </c>
      <c r="H253" t="s">
        <v>33</v>
      </c>
      <c r="J253" t="s">
        <v>284</v>
      </c>
      <c r="K253">
        <v>2.6540228857939718E-2</v>
      </c>
      <c r="L253" t="s">
        <v>33</v>
      </c>
    </row>
    <row r="254" spans="6:12" x14ac:dyDescent="0.2">
      <c r="F254" t="s">
        <v>285</v>
      </c>
      <c r="G254">
        <v>-3.9246924440287101E-3</v>
      </c>
      <c r="H254" t="s">
        <v>33</v>
      </c>
      <c r="J254" t="s">
        <v>285</v>
      </c>
      <c r="K254">
        <v>2.7125514242010151E-3</v>
      </c>
      <c r="L254" t="s">
        <v>33</v>
      </c>
    </row>
    <row r="255" spans="6:12" x14ac:dyDescent="0.2">
      <c r="F255" t="s">
        <v>286</v>
      </c>
      <c r="G255">
        <v>1.6590548713552481E-2</v>
      </c>
      <c r="H255" t="s">
        <v>33</v>
      </c>
      <c r="J255" t="s">
        <v>286</v>
      </c>
      <c r="K255">
        <v>1.2477800938785141E-2</v>
      </c>
      <c r="L255" t="s">
        <v>33</v>
      </c>
    </row>
    <row r="256" spans="6:12" x14ac:dyDescent="0.2">
      <c r="F256" t="s">
        <v>287</v>
      </c>
      <c r="G256">
        <v>2.5244500995574851E-2</v>
      </c>
      <c r="H256" t="s">
        <v>33</v>
      </c>
      <c r="J256" t="s">
        <v>287</v>
      </c>
      <c r="K256">
        <v>1.341717798005115E-2</v>
      </c>
      <c r="L256" t="s">
        <v>33</v>
      </c>
    </row>
    <row r="257" spans="6:12" x14ac:dyDescent="0.2">
      <c r="F257" t="s">
        <v>288</v>
      </c>
      <c r="G257">
        <v>-1.7156823174813259E-2</v>
      </c>
      <c r="H257" t="s">
        <v>33</v>
      </c>
      <c r="J257" t="s">
        <v>288</v>
      </c>
      <c r="K257">
        <v>-2.8878758029251331E-2</v>
      </c>
      <c r="L257" t="s">
        <v>33</v>
      </c>
    </row>
    <row r="258" spans="6:12" x14ac:dyDescent="0.2">
      <c r="F258" t="s">
        <v>289</v>
      </c>
      <c r="G258">
        <v>4.1125645056139248E-4</v>
      </c>
      <c r="H258" t="s">
        <v>33</v>
      </c>
      <c r="J258" t="s">
        <v>289</v>
      </c>
      <c r="K258">
        <v>1.2695926113968079E-3</v>
      </c>
      <c r="L258" t="s">
        <v>33</v>
      </c>
    </row>
    <row r="259" spans="6:12" x14ac:dyDescent="0.2">
      <c r="F259" t="s">
        <v>290</v>
      </c>
      <c r="G259">
        <v>6.3012210516799616E-3</v>
      </c>
      <c r="H259" t="s">
        <v>33</v>
      </c>
      <c r="J259" t="s">
        <v>290</v>
      </c>
      <c r="K259">
        <v>6.0683682433559927E-3</v>
      </c>
      <c r="L259" t="s">
        <v>33</v>
      </c>
    </row>
    <row r="260" spans="6:12" x14ac:dyDescent="0.2">
      <c r="F260" t="s">
        <v>291</v>
      </c>
      <c r="G260">
        <v>1.244649494322436E-2</v>
      </c>
      <c r="H260" t="s">
        <v>33</v>
      </c>
      <c r="J260" t="s">
        <v>291</v>
      </c>
      <c r="K260">
        <v>2.3702327221370108E-2</v>
      </c>
      <c r="L260" t="s">
        <v>33</v>
      </c>
    </row>
    <row r="261" spans="6:12" x14ac:dyDescent="0.2">
      <c r="F261" t="s">
        <v>292</v>
      </c>
      <c r="G261">
        <v>2.8801703013579649E-2</v>
      </c>
      <c r="H261" t="s">
        <v>33</v>
      </c>
      <c r="J261" t="s">
        <v>292</v>
      </c>
      <c r="K261">
        <v>2.5701270139068869E-2</v>
      </c>
      <c r="L261" t="s">
        <v>33</v>
      </c>
    </row>
    <row r="262" spans="6:12" x14ac:dyDescent="0.2">
      <c r="F262" t="s">
        <v>293</v>
      </c>
      <c r="G262">
        <v>2.932150383616294E-2</v>
      </c>
      <c r="H262" t="s">
        <v>33</v>
      </c>
      <c r="J262" t="s">
        <v>293</v>
      </c>
      <c r="K262">
        <v>3.2507110124308618E-2</v>
      </c>
      <c r="L262" t="s">
        <v>33</v>
      </c>
    </row>
    <row r="263" spans="6:12" x14ac:dyDescent="0.2">
      <c r="F263" t="s">
        <v>294</v>
      </c>
      <c r="G263">
        <v>1.249557792207656E-2</v>
      </c>
      <c r="H263" t="s">
        <v>33</v>
      </c>
      <c r="J263" t="s">
        <v>294</v>
      </c>
      <c r="K263">
        <v>1.896893824652324E-2</v>
      </c>
      <c r="L263" t="s">
        <v>33</v>
      </c>
    </row>
    <row r="264" spans="6:12" x14ac:dyDescent="0.2">
      <c r="F264" t="s">
        <v>295</v>
      </c>
      <c r="G264">
        <v>2.2422302575006329E-2</v>
      </c>
      <c r="H264" t="s">
        <v>33</v>
      </c>
      <c r="J264" t="s">
        <v>295</v>
      </c>
      <c r="K264">
        <v>1.3981071606336879E-2</v>
      </c>
      <c r="L264" t="s">
        <v>33</v>
      </c>
    </row>
    <row r="265" spans="6:12" x14ac:dyDescent="0.2">
      <c r="F265" t="s">
        <v>296</v>
      </c>
      <c r="G265">
        <v>2.0132826141492369E-2</v>
      </c>
      <c r="H265" t="s">
        <v>33</v>
      </c>
      <c r="J265" t="s">
        <v>296</v>
      </c>
      <c r="K265">
        <v>1.508539149971266E-2</v>
      </c>
      <c r="L265" t="s">
        <v>33</v>
      </c>
    </row>
    <row r="266" spans="6:12" x14ac:dyDescent="0.2">
      <c r="F266" t="s">
        <v>297</v>
      </c>
      <c r="G266">
        <v>-1.6097079764714081E-2</v>
      </c>
      <c r="H266" t="s">
        <v>33</v>
      </c>
      <c r="J266" t="s">
        <v>297</v>
      </c>
      <c r="K266">
        <v>-1.9689202311563899E-2</v>
      </c>
      <c r="L266" t="s">
        <v>33</v>
      </c>
    </row>
    <row r="267" spans="6:12" x14ac:dyDescent="0.2">
      <c r="F267" t="s">
        <v>298</v>
      </c>
      <c r="G267">
        <v>1.347402241053963E-2</v>
      </c>
      <c r="H267" t="s">
        <v>33</v>
      </c>
      <c r="J267" t="s">
        <v>298</v>
      </c>
      <c r="K267">
        <v>1.1281257591966959E-2</v>
      </c>
      <c r="L267" t="s">
        <v>33</v>
      </c>
    </row>
    <row r="268" spans="6:12" x14ac:dyDescent="0.2">
      <c r="F268" t="s">
        <v>299</v>
      </c>
      <c r="G268">
        <v>3.4021880575226593E-2</v>
      </c>
      <c r="H268" t="s">
        <v>33</v>
      </c>
      <c r="J268" t="s">
        <v>299</v>
      </c>
      <c r="K268">
        <v>4.4176084844653962E-2</v>
      </c>
      <c r="L268" t="s">
        <v>33</v>
      </c>
    </row>
    <row r="269" spans="6:12" x14ac:dyDescent="0.2">
      <c r="F269" t="s">
        <v>300</v>
      </c>
      <c r="G269">
        <v>3.5289172694534798E-2</v>
      </c>
      <c r="H269" t="s">
        <v>33</v>
      </c>
      <c r="J269" t="s">
        <v>300</v>
      </c>
      <c r="K269">
        <v>3.4841238001377839E-2</v>
      </c>
      <c r="L269" t="s">
        <v>33</v>
      </c>
    </row>
    <row r="270" spans="6:12" x14ac:dyDescent="0.2">
      <c r="F270" t="s">
        <v>301</v>
      </c>
      <c r="G270">
        <v>-1.532382553481948E-2</v>
      </c>
      <c r="H270" t="s">
        <v>33</v>
      </c>
      <c r="J270" t="s">
        <v>301</v>
      </c>
      <c r="K270">
        <v>-1.6636102177113199E-2</v>
      </c>
      <c r="L270" t="s">
        <v>33</v>
      </c>
    </row>
    <row r="271" spans="6:12" x14ac:dyDescent="0.2">
      <c r="F271" t="s">
        <v>302</v>
      </c>
      <c r="G271">
        <v>-3.6029432807315298E-2</v>
      </c>
      <c r="H271" t="s">
        <v>33</v>
      </c>
      <c r="J271" t="s">
        <v>302</v>
      </c>
      <c r="K271">
        <v>-3.077363817256951E-2</v>
      </c>
      <c r="L271" t="s">
        <v>33</v>
      </c>
    </row>
    <row r="272" spans="6:12" x14ac:dyDescent="0.2">
      <c r="F272" t="s">
        <v>303</v>
      </c>
      <c r="G272">
        <v>-4.2189560246930213E-3</v>
      </c>
      <c r="H272" t="s">
        <v>33</v>
      </c>
      <c r="J272" t="s">
        <v>303</v>
      </c>
      <c r="K272">
        <v>1.4980953523640711E-2</v>
      </c>
      <c r="L272" t="s">
        <v>33</v>
      </c>
    </row>
    <row r="273" spans="6:12" x14ac:dyDescent="0.2">
      <c r="F273" t="s">
        <v>304</v>
      </c>
      <c r="G273">
        <v>2.1788008989511502E-2</v>
      </c>
      <c r="H273" t="s">
        <v>33</v>
      </c>
      <c r="J273" t="s">
        <v>304</v>
      </c>
      <c r="K273">
        <v>3.7362334520899987E-2</v>
      </c>
      <c r="L273" t="s">
        <v>33</v>
      </c>
    </row>
    <row r="274" spans="6:12" x14ac:dyDescent="0.2">
      <c r="F274" t="s">
        <v>305</v>
      </c>
      <c r="G274">
        <v>4.0386053037710923E-3</v>
      </c>
      <c r="H274" t="s">
        <v>33</v>
      </c>
      <c r="J274" t="s">
        <v>305</v>
      </c>
      <c r="K274">
        <v>1.5858420308361602E-2</v>
      </c>
      <c r="L274" t="s">
        <v>33</v>
      </c>
    </row>
    <row r="275" spans="6:12" x14ac:dyDescent="0.2">
      <c r="F275" t="s">
        <v>306</v>
      </c>
      <c r="G275">
        <v>-2.7965489962607389E-2</v>
      </c>
      <c r="H275" t="s">
        <v>33</v>
      </c>
      <c r="J275" t="s">
        <v>306</v>
      </c>
      <c r="K275">
        <v>-4.1792096364189117E-2</v>
      </c>
      <c r="L275" t="s">
        <v>33</v>
      </c>
    </row>
    <row r="276" spans="6:12" x14ac:dyDescent="0.2">
      <c r="F276" t="s">
        <v>307</v>
      </c>
      <c r="G276">
        <v>-2.3761586419688511E-2</v>
      </c>
      <c r="H276" t="s">
        <v>33</v>
      </c>
      <c r="J276" t="s">
        <v>307</v>
      </c>
      <c r="K276">
        <v>-6.9623827610471034E-3</v>
      </c>
      <c r="L276" t="s">
        <v>33</v>
      </c>
    </row>
    <row r="277" spans="6:12" x14ac:dyDescent="0.2">
      <c r="F277" t="s">
        <v>308</v>
      </c>
      <c r="G277">
        <v>-5.4471000081668157E-2</v>
      </c>
      <c r="H277" t="s">
        <v>33</v>
      </c>
      <c r="J277" t="s">
        <v>308</v>
      </c>
      <c r="K277">
        <v>-6.008135763148359E-2</v>
      </c>
      <c r="L277" t="s">
        <v>33</v>
      </c>
    </row>
    <row r="278" spans="6:12" x14ac:dyDescent="0.2">
      <c r="F278" t="s">
        <v>309</v>
      </c>
      <c r="G278">
        <v>-3.7940903379575897E-2</v>
      </c>
      <c r="H278" t="s">
        <v>33</v>
      </c>
      <c r="J278" t="s">
        <v>309</v>
      </c>
      <c r="K278">
        <v>-3.2433245349751012E-2</v>
      </c>
      <c r="L278" t="s">
        <v>33</v>
      </c>
    </row>
    <row r="279" spans="6:12" x14ac:dyDescent="0.2">
      <c r="F279" t="s">
        <v>310</v>
      </c>
      <c r="G279">
        <v>-3.1731041179389192E-2</v>
      </c>
      <c r="H279" t="s">
        <v>33</v>
      </c>
      <c r="J279" t="s">
        <v>310</v>
      </c>
      <c r="K279">
        <v>-4.3365360526280714E-3</v>
      </c>
      <c r="L279" t="s">
        <v>33</v>
      </c>
    </row>
    <row r="280" spans="6:12" x14ac:dyDescent="0.2">
      <c r="F280" t="s">
        <v>311</v>
      </c>
      <c r="G280">
        <v>6.2250678171011493E-2</v>
      </c>
      <c r="H280" t="s">
        <v>33</v>
      </c>
      <c r="J280" t="s">
        <v>311</v>
      </c>
      <c r="K280">
        <v>4.870636800965733E-2</v>
      </c>
      <c r="L280" t="s">
        <v>33</v>
      </c>
    </row>
    <row r="281" spans="6:12" x14ac:dyDescent="0.2">
      <c r="F281" t="s">
        <v>312</v>
      </c>
      <c r="G281">
        <v>9.7241804039585045E-3</v>
      </c>
      <c r="H281" t="s">
        <v>33</v>
      </c>
      <c r="J281" t="s">
        <v>312</v>
      </c>
      <c r="K281">
        <v>1.2922944250745029E-2</v>
      </c>
      <c r="L281" t="s">
        <v>33</v>
      </c>
    </row>
    <row r="282" spans="6:12" x14ac:dyDescent="0.2">
      <c r="F282" t="s">
        <v>313</v>
      </c>
      <c r="G282">
        <v>-0.1093980984705797</v>
      </c>
      <c r="H282" t="s">
        <v>33</v>
      </c>
      <c r="J282" t="s">
        <v>313</v>
      </c>
      <c r="K282">
        <v>-8.4326914448254908E-2</v>
      </c>
      <c r="L282" t="s">
        <v>33</v>
      </c>
    </row>
    <row r="283" spans="6:12" x14ac:dyDescent="0.2">
      <c r="F283" t="s">
        <v>314</v>
      </c>
      <c r="G283">
        <v>9.5285198050765185E-3</v>
      </c>
      <c r="H283" t="s">
        <v>33</v>
      </c>
      <c r="J283" t="s">
        <v>314</v>
      </c>
      <c r="K283">
        <v>-8.2322091626029215E-3</v>
      </c>
      <c r="L283" t="s">
        <v>33</v>
      </c>
    </row>
    <row r="284" spans="6:12" x14ac:dyDescent="0.2">
      <c r="F284" t="s">
        <v>315</v>
      </c>
      <c r="G284">
        <v>6.7620942846950971E-3</v>
      </c>
      <c r="H284" t="s">
        <v>33</v>
      </c>
      <c r="J284" t="s">
        <v>315</v>
      </c>
      <c r="K284">
        <v>1.4461769917674779E-2</v>
      </c>
      <c r="L284" t="s">
        <v>33</v>
      </c>
    </row>
    <row r="285" spans="6:12" x14ac:dyDescent="0.2">
      <c r="F285" t="s">
        <v>316</v>
      </c>
      <c r="G285">
        <v>-0.13495662453309321</v>
      </c>
      <c r="H285" t="s">
        <v>33</v>
      </c>
      <c r="J285" t="s">
        <v>316</v>
      </c>
      <c r="K285">
        <v>-8.8772670048613112E-2</v>
      </c>
      <c r="L285" t="s">
        <v>33</v>
      </c>
    </row>
    <row r="286" spans="6:12" x14ac:dyDescent="0.2">
      <c r="F286" t="s">
        <v>317</v>
      </c>
      <c r="G286">
        <v>-0.1820525858197245</v>
      </c>
      <c r="H286" t="s">
        <v>33</v>
      </c>
      <c r="J286" t="s">
        <v>317</v>
      </c>
      <c r="K286">
        <v>-0.16783090073111301</v>
      </c>
      <c r="L286" t="s">
        <v>33</v>
      </c>
    </row>
    <row r="287" spans="6:12" x14ac:dyDescent="0.2">
      <c r="F287" t="s">
        <v>318</v>
      </c>
      <c r="G287">
        <v>-9.0478352503789994E-2</v>
      </c>
      <c r="H287" t="s">
        <v>33</v>
      </c>
      <c r="J287" t="s">
        <v>318</v>
      </c>
      <c r="K287">
        <v>-7.1628445832963017E-2</v>
      </c>
      <c r="L287" t="s">
        <v>33</v>
      </c>
    </row>
    <row r="288" spans="6:12" x14ac:dyDescent="0.2">
      <c r="F288" t="s">
        <v>319</v>
      </c>
      <c r="G288">
        <v>3.0349142759292121E-2</v>
      </c>
      <c r="H288" t="s">
        <v>33</v>
      </c>
      <c r="J288" t="s">
        <v>319</v>
      </c>
      <c r="K288">
        <v>1.0331518037103299E-2</v>
      </c>
      <c r="L288" t="s">
        <v>33</v>
      </c>
    </row>
    <row r="289" spans="6:12" x14ac:dyDescent="0.2">
      <c r="F289" t="s">
        <v>320</v>
      </c>
      <c r="G289">
        <v>-9.8018501048239504E-2</v>
      </c>
      <c r="H289" t="s">
        <v>33</v>
      </c>
      <c r="J289" t="s">
        <v>320</v>
      </c>
      <c r="K289">
        <v>-8.4125624886830841E-2</v>
      </c>
      <c r="L289" t="s">
        <v>33</v>
      </c>
    </row>
    <row r="290" spans="6:12" x14ac:dyDescent="0.2">
      <c r="F290" t="s">
        <v>321</v>
      </c>
      <c r="G290">
        <v>-0.1328324410763497</v>
      </c>
      <c r="H290" t="s">
        <v>33</v>
      </c>
      <c r="J290" t="s">
        <v>321</v>
      </c>
      <c r="K290">
        <v>-0.1064388782724565</v>
      </c>
      <c r="L290" t="s">
        <v>33</v>
      </c>
    </row>
    <row r="291" spans="6:12" x14ac:dyDescent="0.2">
      <c r="F291" t="s">
        <v>322</v>
      </c>
      <c r="G291">
        <v>8.8898621086022978E-2</v>
      </c>
      <c r="H291" t="s">
        <v>33</v>
      </c>
      <c r="J291" t="s">
        <v>322</v>
      </c>
      <c r="K291">
        <v>8.8147013944738006E-2</v>
      </c>
      <c r="L291" t="s">
        <v>33</v>
      </c>
    </row>
    <row r="292" spans="6:12" x14ac:dyDescent="0.2">
      <c r="F292" t="s">
        <v>323</v>
      </c>
      <c r="G292">
        <v>0.1454480717435378</v>
      </c>
      <c r="H292" t="s">
        <v>33</v>
      </c>
      <c r="J292" t="s">
        <v>323</v>
      </c>
      <c r="K292">
        <v>9.5575283378264819E-2</v>
      </c>
      <c r="L292" t="s">
        <v>33</v>
      </c>
    </row>
    <row r="293" spans="6:12" x14ac:dyDescent="0.2">
      <c r="F293" t="s">
        <v>324</v>
      </c>
      <c r="G293">
        <v>7.4948391438299788E-2</v>
      </c>
      <c r="H293" t="s">
        <v>33</v>
      </c>
      <c r="J293" t="s">
        <v>324</v>
      </c>
      <c r="K293">
        <v>5.6294255133320537E-2</v>
      </c>
      <c r="L293" t="s">
        <v>33</v>
      </c>
    </row>
    <row r="294" spans="6:12" x14ac:dyDescent="0.2">
      <c r="F294" t="s">
        <v>325</v>
      </c>
      <c r="G294">
        <v>-2.5822850947565529E-4</v>
      </c>
      <c r="H294" t="s">
        <v>33</v>
      </c>
      <c r="J294" t="s">
        <v>325</v>
      </c>
      <c r="K294">
        <v>2.164745375689225E-3</v>
      </c>
      <c r="L294" t="s">
        <v>33</v>
      </c>
    </row>
    <row r="295" spans="6:12" x14ac:dyDescent="0.2">
      <c r="F295" t="s">
        <v>326</v>
      </c>
      <c r="G295">
        <v>9.3867954903150252E-2</v>
      </c>
      <c r="H295" t="s">
        <v>33</v>
      </c>
      <c r="J295" t="s">
        <v>326</v>
      </c>
      <c r="K295">
        <v>7.5770068624928966E-2</v>
      </c>
      <c r="L295" t="s">
        <v>33</v>
      </c>
    </row>
    <row r="296" spans="6:12" x14ac:dyDescent="0.2">
      <c r="F296" t="s">
        <v>327</v>
      </c>
      <c r="G296">
        <v>4.3276244175064697E-2</v>
      </c>
      <c r="H296" t="s">
        <v>33</v>
      </c>
      <c r="J296" t="s">
        <v>327</v>
      </c>
      <c r="K296">
        <v>3.6094359412525812E-2</v>
      </c>
      <c r="L296" t="s">
        <v>33</v>
      </c>
    </row>
    <row r="297" spans="6:12" x14ac:dyDescent="0.2">
      <c r="F297" t="s">
        <v>328</v>
      </c>
      <c r="G297">
        <v>5.043353671844697E-2</v>
      </c>
      <c r="H297" t="s">
        <v>33</v>
      </c>
      <c r="J297" t="s">
        <v>328</v>
      </c>
      <c r="K297">
        <v>3.729346056530547E-2</v>
      </c>
      <c r="L297" t="s">
        <v>33</v>
      </c>
    </row>
    <row r="298" spans="6:12" x14ac:dyDescent="0.2">
      <c r="F298" t="s">
        <v>329</v>
      </c>
      <c r="G298">
        <v>-2.872503501010459E-2</v>
      </c>
      <c r="H298" t="s">
        <v>33</v>
      </c>
      <c r="J298" t="s">
        <v>329</v>
      </c>
      <c r="K298">
        <v>-1.8573603030024529E-2</v>
      </c>
      <c r="L298" t="s">
        <v>33</v>
      </c>
    </row>
    <row r="299" spans="6:12" x14ac:dyDescent="0.2">
      <c r="F299" t="s">
        <v>330</v>
      </c>
      <c r="G299">
        <v>5.1112627123717447E-2</v>
      </c>
      <c r="H299" t="s">
        <v>33</v>
      </c>
      <c r="J299" t="s">
        <v>330</v>
      </c>
      <c r="K299">
        <v>6.0016707448774742E-2</v>
      </c>
      <c r="L299" t="s">
        <v>33</v>
      </c>
    </row>
    <row r="300" spans="6:12" x14ac:dyDescent="0.2">
      <c r="F300" t="s">
        <v>331</v>
      </c>
      <c r="G300">
        <v>2.3428017129711879E-2</v>
      </c>
      <c r="H300" t="s">
        <v>33</v>
      </c>
      <c r="J300" t="s">
        <v>331</v>
      </c>
      <c r="K300">
        <v>1.9560080580496301E-2</v>
      </c>
      <c r="L300" t="s">
        <v>33</v>
      </c>
    </row>
    <row r="301" spans="6:12" x14ac:dyDescent="0.2">
      <c r="F301" t="s">
        <v>332</v>
      </c>
      <c r="G301">
        <v>-1.9454794071151141E-2</v>
      </c>
      <c r="H301" t="s">
        <v>33</v>
      </c>
      <c r="J301" t="s">
        <v>332</v>
      </c>
      <c r="K301">
        <v>-3.5940341655989583E-2</v>
      </c>
      <c r="L301" t="s">
        <v>33</v>
      </c>
    </row>
    <row r="302" spans="6:12" x14ac:dyDescent="0.2">
      <c r="F302" t="s">
        <v>333</v>
      </c>
      <c r="G302">
        <v>1.9942603759567131E-2</v>
      </c>
      <c r="H302" t="s">
        <v>33</v>
      </c>
      <c r="J302" t="s">
        <v>333</v>
      </c>
      <c r="K302">
        <v>3.101636280768183E-2</v>
      </c>
      <c r="L302" t="s">
        <v>33</v>
      </c>
    </row>
    <row r="303" spans="6:12" x14ac:dyDescent="0.2">
      <c r="F303" t="s">
        <v>334</v>
      </c>
      <c r="G303">
        <v>6.6454209341307857E-2</v>
      </c>
      <c r="H303" t="s">
        <v>33</v>
      </c>
      <c r="J303" t="s">
        <v>334</v>
      </c>
      <c r="K303">
        <v>6.0215581787480772E-2</v>
      </c>
      <c r="L303" t="s">
        <v>33</v>
      </c>
    </row>
    <row r="304" spans="6:12" x14ac:dyDescent="0.2">
      <c r="F304" t="s">
        <v>335</v>
      </c>
      <c r="G304">
        <v>1.2227038246559021E-2</v>
      </c>
      <c r="H304" t="s">
        <v>33</v>
      </c>
      <c r="J304" t="s">
        <v>335</v>
      </c>
      <c r="K304">
        <v>1.5873006880052332E-2</v>
      </c>
      <c r="L304" t="s">
        <v>33</v>
      </c>
    </row>
    <row r="305" spans="6:12" x14ac:dyDescent="0.2">
      <c r="F305" t="s">
        <v>336</v>
      </c>
      <c r="G305">
        <v>-9.3572138361245449E-2</v>
      </c>
      <c r="H305" t="s">
        <v>33</v>
      </c>
      <c r="J305" t="s">
        <v>336</v>
      </c>
      <c r="K305">
        <v>-7.9952483596523294E-2</v>
      </c>
      <c r="L305" t="s">
        <v>33</v>
      </c>
    </row>
    <row r="306" spans="6:12" x14ac:dyDescent="0.2">
      <c r="F306" t="s">
        <v>337</v>
      </c>
      <c r="G306">
        <v>-5.8859156154609238E-2</v>
      </c>
      <c r="H306" t="s">
        <v>33</v>
      </c>
      <c r="J306" t="s">
        <v>337</v>
      </c>
      <c r="K306">
        <v>-5.2120356063659952E-2</v>
      </c>
      <c r="L306" t="s">
        <v>33</v>
      </c>
    </row>
    <row r="307" spans="6:12" x14ac:dyDescent="0.2">
      <c r="F307" t="s">
        <v>338</v>
      </c>
      <c r="G307">
        <v>7.1891376523615547E-2</v>
      </c>
      <c r="H307" t="s">
        <v>33</v>
      </c>
      <c r="J307" t="s">
        <v>338</v>
      </c>
      <c r="K307">
        <v>7.0066311662563274E-2</v>
      </c>
      <c r="L307" t="s">
        <v>33</v>
      </c>
    </row>
    <row r="308" spans="6:12" x14ac:dyDescent="0.2">
      <c r="F308" t="s">
        <v>339</v>
      </c>
      <c r="G308">
        <v>-5.9751434847166163E-2</v>
      </c>
      <c r="H308" t="s">
        <v>33</v>
      </c>
      <c r="J308" t="s">
        <v>339</v>
      </c>
      <c r="K308">
        <v>-4.5194923672999147E-2</v>
      </c>
      <c r="L308" t="s">
        <v>33</v>
      </c>
    </row>
    <row r="309" spans="6:12" x14ac:dyDescent="0.2">
      <c r="F309" t="s">
        <v>340</v>
      </c>
      <c r="G309">
        <v>9.9887193458285006E-2</v>
      </c>
      <c r="H309" t="s">
        <v>33</v>
      </c>
      <c r="J309" t="s">
        <v>340</v>
      </c>
      <c r="K309">
        <v>8.9182182417507194E-2</v>
      </c>
      <c r="L309" t="s">
        <v>33</v>
      </c>
    </row>
    <row r="310" spans="6:12" x14ac:dyDescent="0.2">
      <c r="F310" t="s">
        <v>341</v>
      </c>
      <c r="G310">
        <v>4.2305446520584773E-2</v>
      </c>
      <c r="H310" t="s">
        <v>33</v>
      </c>
      <c r="J310" t="s">
        <v>341</v>
      </c>
      <c r="K310">
        <v>3.8073482704672028E-2</v>
      </c>
      <c r="L310" t="s">
        <v>33</v>
      </c>
    </row>
    <row r="311" spans="6:12" x14ac:dyDescent="0.2">
      <c r="F311" t="s">
        <v>342</v>
      </c>
      <c r="G311">
        <v>-1.105952712255209E-2</v>
      </c>
      <c r="H311" t="s">
        <v>33</v>
      </c>
      <c r="J311" t="s">
        <v>342</v>
      </c>
      <c r="K311">
        <v>9.1712235965379918E-5</v>
      </c>
      <c r="L311" t="s">
        <v>33</v>
      </c>
    </row>
    <row r="312" spans="6:12" x14ac:dyDescent="0.2">
      <c r="F312" t="s">
        <v>343</v>
      </c>
      <c r="G312">
        <v>7.8577859089947522E-2</v>
      </c>
      <c r="H312" t="s">
        <v>33</v>
      </c>
      <c r="J312" t="s">
        <v>343</v>
      </c>
      <c r="K312">
        <v>6.6828661929265287E-2</v>
      </c>
      <c r="L312" t="s">
        <v>33</v>
      </c>
    </row>
    <row r="313" spans="6:12" x14ac:dyDescent="0.2">
      <c r="F313" t="s">
        <v>344</v>
      </c>
      <c r="G313">
        <v>3.0720065158539759E-2</v>
      </c>
      <c r="H313" t="s">
        <v>33</v>
      </c>
      <c r="J313" t="s">
        <v>344</v>
      </c>
      <c r="K313">
        <v>2.3655338171935769E-2</v>
      </c>
      <c r="L313" t="s">
        <v>33</v>
      </c>
    </row>
    <row r="314" spans="6:12" x14ac:dyDescent="0.2">
      <c r="F314" t="s">
        <v>345</v>
      </c>
      <c r="G314">
        <v>3.6546228628653088E-2</v>
      </c>
      <c r="H314" t="s">
        <v>33</v>
      </c>
      <c r="J314" t="s">
        <v>345</v>
      </c>
      <c r="K314">
        <v>3.4241355899834458E-2</v>
      </c>
      <c r="L314" t="s">
        <v>33</v>
      </c>
    </row>
    <row r="315" spans="6:12" x14ac:dyDescent="0.2">
      <c r="F315" t="s">
        <v>346</v>
      </c>
      <c r="G315">
        <v>-8.338434303382436E-3</v>
      </c>
      <c r="H315" t="s">
        <v>33</v>
      </c>
      <c r="J315" t="s">
        <v>346</v>
      </c>
      <c r="K315">
        <v>2.3652853146627351E-4</v>
      </c>
      <c r="L315" t="s">
        <v>33</v>
      </c>
    </row>
    <row r="316" spans="6:12" x14ac:dyDescent="0.2">
      <c r="F316" t="s">
        <v>347</v>
      </c>
      <c r="G316">
        <v>3.7971476546184928E-2</v>
      </c>
      <c r="H316" t="s">
        <v>33</v>
      </c>
      <c r="J316" t="s">
        <v>347</v>
      </c>
      <c r="K316">
        <v>2.964293347339297E-2</v>
      </c>
      <c r="L316" t="s">
        <v>33</v>
      </c>
    </row>
    <row r="317" spans="6:12" x14ac:dyDescent="0.2">
      <c r="F317" t="s">
        <v>348</v>
      </c>
      <c r="G317">
        <v>-9.9043560508171868E-3</v>
      </c>
      <c r="H317" t="s">
        <v>33</v>
      </c>
      <c r="J317" t="s">
        <v>348</v>
      </c>
      <c r="K317">
        <v>-1.137267639152573E-2</v>
      </c>
      <c r="L317" t="s">
        <v>33</v>
      </c>
    </row>
    <row r="318" spans="6:12" x14ac:dyDescent="0.2">
      <c r="F318" t="s">
        <v>349</v>
      </c>
      <c r="G318">
        <v>-2.394117353035952E-2</v>
      </c>
      <c r="H318" t="s">
        <v>33</v>
      </c>
      <c r="J318" t="s">
        <v>349</v>
      </c>
      <c r="K318">
        <v>-1.6780597487596301E-2</v>
      </c>
      <c r="L318" t="s">
        <v>33</v>
      </c>
    </row>
    <row r="319" spans="6:12" x14ac:dyDescent="0.2">
      <c r="F319" t="s">
        <v>350</v>
      </c>
      <c r="G319">
        <v>-3.8373195107203273E-2</v>
      </c>
      <c r="H319" t="s">
        <v>33</v>
      </c>
      <c r="J319" t="s">
        <v>350</v>
      </c>
      <c r="K319">
        <v>-2.038638163441386E-2</v>
      </c>
      <c r="L319" t="s">
        <v>33</v>
      </c>
    </row>
    <row r="320" spans="6:12" x14ac:dyDescent="0.2">
      <c r="F320" t="s">
        <v>351</v>
      </c>
      <c r="G320">
        <v>-7.1125251308704618E-2</v>
      </c>
      <c r="H320" t="s">
        <v>33</v>
      </c>
      <c r="J320" t="s">
        <v>351</v>
      </c>
      <c r="K320">
        <v>-5.4292198708694388E-2</v>
      </c>
      <c r="L320" t="s">
        <v>33</v>
      </c>
    </row>
    <row r="321" spans="6:12" x14ac:dyDescent="0.2">
      <c r="F321" t="s">
        <v>352</v>
      </c>
      <c r="G321">
        <v>-9.1138448608507616E-2</v>
      </c>
      <c r="H321" t="s">
        <v>33</v>
      </c>
      <c r="J321" t="s">
        <v>352</v>
      </c>
      <c r="K321">
        <v>-7.0399262270700147E-2</v>
      </c>
      <c r="L321" t="s">
        <v>33</v>
      </c>
    </row>
    <row r="322" spans="6:12" x14ac:dyDescent="0.2">
      <c r="F322" t="s">
        <v>353</v>
      </c>
      <c r="G322">
        <v>0.11378049473435529</v>
      </c>
      <c r="H322" t="s">
        <v>33</v>
      </c>
      <c r="J322" t="s">
        <v>353</v>
      </c>
      <c r="K322">
        <v>0.10932999958037599</v>
      </c>
      <c r="L322" t="s">
        <v>33</v>
      </c>
    </row>
    <row r="323" spans="6:12" x14ac:dyDescent="0.2">
      <c r="F323" t="s">
        <v>354</v>
      </c>
      <c r="G323">
        <v>-1.2795042582019909E-2</v>
      </c>
      <c r="H323" t="s">
        <v>33</v>
      </c>
      <c r="J323" t="s">
        <v>354</v>
      </c>
      <c r="K323">
        <v>-2.2497372753917939E-3</v>
      </c>
      <c r="L323" t="s">
        <v>33</v>
      </c>
    </row>
    <row r="324" spans="6:12" x14ac:dyDescent="0.2">
      <c r="F324" t="s">
        <v>355</v>
      </c>
      <c r="G324">
        <v>1.102390366095474E-2</v>
      </c>
      <c r="H324" t="s">
        <v>33</v>
      </c>
      <c r="J324" t="s">
        <v>355</v>
      </c>
      <c r="K324">
        <v>1.024200432025801E-2</v>
      </c>
      <c r="L324" t="s">
        <v>33</v>
      </c>
    </row>
    <row r="325" spans="6:12" x14ac:dyDescent="0.2">
      <c r="F325" t="s">
        <v>356</v>
      </c>
      <c r="G325">
        <v>5.6969674132373971E-2</v>
      </c>
      <c r="H325" t="s">
        <v>33</v>
      </c>
      <c r="J325" t="s">
        <v>356</v>
      </c>
      <c r="K325">
        <v>4.4732298520411502E-2</v>
      </c>
      <c r="L325" t="s">
        <v>33</v>
      </c>
    </row>
    <row r="326" spans="6:12" x14ac:dyDescent="0.2">
      <c r="F326" t="s">
        <v>357</v>
      </c>
      <c r="G326">
        <v>4.4963123309038622E-2</v>
      </c>
      <c r="H326" t="s">
        <v>33</v>
      </c>
      <c r="J326" t="s">
        <v>357</v>
      </c>
      <c r="K326">
        <v>4.3230249482707712E-2</v>
      </c>
      <c r="L326" t="s">
        <v>33</v>
      </c>
    </row>
    <row r="327" spans="6:12" x14ac:dyDescent="0.2">
      <c r="F327" t="s">
        <v>358</v>
      </c>
      <c r="G327">
        <v>2.5740047333713489E-2</v>
      </c>
      <c r="H327" t="s">
        <v>33</v>
      </c>
      <c r="J327" t="s">
        <v>358</v>
      </c>
      <c r="K327">
        <v>3.2834163100267773E-2</v>
      </c>
      <c r="L327" t="s">
        <v>33</v>
      </c>
    </row>
    <row r="328" spans="6:12" x14ac:dyDescent="0.2">
      <c r="F328" t="s">
        <v>359</v>
      </c>
      <c r="G328">
        <v>-1.2129450198325009E-2</v>
      </c>
      <c r="H328" t="s">
        <v>33</v>
      </c>
      <c r="J328" t="s">
        <v>359</v>
      </c>
      <c r="K328">
        <v>-6.3183238799698893E-3</v>
      </c>
      <c r="L328" t="s">
        <v>33</v>
      </c>
    </row>
    <row r="329" spans="6:12" x14ac:dyDescent="0.2">
      <c r="F329" t="s">
        <v>360</v>
      </c>
      <c r="G329">
        <v>-7.0293175862196078E-2</v>
      </c>
      <c r="H329" t="s">
        <v>33</v>
      </c>
      <c r="J329" t="s">
        <v>360</v>
      </c>
      <c r="K329">
        <v>-6.0096209878385258E-2</v>
      </c>
      <c r="L329" t="s">
        <v>33</v>
      </c>
    </row>
    <row r="330" spans="6:12" x14ac:dyDescent="0.2">
      <c r="F330" t="s">
        <v>361</v>
      </c>
      <c r="G330">
        <v>5.5189962360300493E-2</v>
      </c>
      <c r="H330" t="s">
        <v>33</v>
      </c>
      <c r="J330" t="s">
        <v>361</v>
      </c>
      <c r="K330">
        <v>4.1135252907727127E-2</v>
      </c>
      <c r="L330" t="s">
        <v>33</v>
      </c>
    </row>
    <row r="331" spans="6:12" x14ac:dyDescent="0.2">
      <c r="F331" t="s">
        <v>362</v>
      </c>
      <c r="G331">
        <v>1.9190686246613801E-2</v>
      </c>
      <c r="H331" t="s">
        <v>33</v>
      </c>
      <c r="J331" t="s">
        <v>362</v>
      </c>
      <c r="K331">
        <v>1.377933640372642E-2</v>
      </c>
      <c r="L331" t="s">
        <v>33</v>
      </c>
    </row>
    <row r="332" spans="6:12" x14ac:dyDescent="0.2">
      <c r="F332" t="s">
        <v>363</v>
      </c>
      <c r="G332">
        <v>2.8947414963114589E-2</v>
      </c>
      <c r="H332" t="s">
        <v>33</v>
      </c>
      <c r="J332" t="s">
        <v>363</v>
      </c>
      <c r="K332">
        <v>2.2548673355694101E-2</v>
      </c>
      <c r="L332" t="s">
        <v>33</v>
      </c>
    </row>
    <row r="333" spans="6:12" x14ac:dyDescent="0.2">
      <c r="F333" t="s">
        <v>364</v>
      </c>
      <c r="G333">
        <v>3.0135639049436721E-2</v>
      </c>
      <c r="H333" t="s">
        <v>33</v>
      </c>
      <c r="J333" t="s">
        <v>364</v>
      </c>
      <c r="K333">
        <v>2.5893262332771672E-2</v>
      </c>
      <c r="L333" t="s">
        <v>33</v>
      </c>
    </row>
    <row r="334" spans="6:12" x14ac:dyDescent="0.2">
      <c r="F334" t="s">
        <v>365</v>
      </c>
      <c r="G334">
        <v>-6.1476057852921651E-3</v>
      </c>
      <c r="H334" t="s">
        <v>33</v>
      </c>
      <c r="J334" t="s">
        <v>365</v>
      </c>
      <c r="K334">
        <v>-1.8519962959844372E-2</v>
      </c>
      <c r="L334" t="s">
        <v>33</v>
      </c>
    </row>
    <row r="335" spans="6:12" x14ac:dyDescent="0.2">
      <c r="F335" t="s">
        <v>366</v>
      </c>
      <c r="G335">
        <v>7.5391269983824394E-3</v>
      </c>
      <c r="H335" t="s">
        <v>33</v>
      </c>
      <c r="J335" t="s">
        <v>366</v>
      </c>
      <c r="K335">
        <v>5.7528574678999966E-3</v>
      </c>
      <c r="L335" t="s">
        <v>33</v>
      </c>
    </row>
    <row r="336" spans="6:12" x14ac:dyDescent="0.2">
      <c r="F336" t="s">
        <v>367</v>
      </c>
      <c r="G336">
        <v>2.716195914464237E-2</v>
      </c>
      <c r="H336" t="s">
        <v>33</v>
      </c>
      <c r="J336" t="s">
        <v>367</v>
      </c>
      <c r="K336">
        <v>9.1214158369292697E-3</v>
      </c>
      <c r="L336" t="s">
        <v>33</v>
      </c>
    </row>
    <row r="337" spans="6:12" x14ac:dyDescent="0.2">
      <c r="F337" t="s">
        <v>368</v>
      </c>
      <c r="G337">
        <v>6.1518801545796593E-2</v>
      </c>
      <c r="H337" t="s">
        <v>33</v>
      </c>
      <c r="J337" t="s">
        <v>368</v>
      </c>
      <c r="K337">
        <v>5.1838302593518071E-2</v>
      </c>
      <c r="L337" t="s">
        <v>33</v>
      </c>
    </row>
    <row r="338" spans="6:12" x14ac:dyDescent="0.2">
      <c r="F338" t="s">
        <v>369</v>
      </c>
      <c r="G338">
        <v>7.2705657001743704E-3</v>
      </c>
      <c r="H338" t="s">
        <v>33</v>
      </c>
      <c r="J338" t="s">
        <v>369</v>
      </c>
      <c r="K338">
        <v>1.353314861120491E-2</v>
      </c>
      <c r="L338" t="s">
        <v>33</v>
      </c>
    </row>
    <row r="339" spans="6:12" x14ac:dyDescent="0.2">
      <c r="F339" t="s">
        <v>370</v>
      </c>
      <c r="G339">
        <v>4.5029600158744687E-2</v>
      </c>
      <c r="H339" t="s">
        <v>33</v>
      </c>
      <c r="J339" t="s">
        <v>370</v>
      </c>
      <c r="K339">
        <v>3.7386629378784793E-2</v>
      </c>
      <c r="L339" t="s">
        <v>33</v>
      </c>
    </row>
    <row r="340" spans="6:12" x14ac:dyDescent="0.2">
      <c r="F340" t="s">
        <v>371</v>
      </c>
      <c r="G340">
        <v>1.9321762347396691E-2</v>
      </c>
      <c r="H340" t="s">
        <v>33</v>
      </c>
      <c r="J340" t="s">
        <v>371</v>
      </c>
      <c r="K340">
        <v>1.9224111524537731E-2</v>
      </c>
      <c r="L340" t="s">
        <v>33</v>
      </c>
    </row>
    <row r="341" spans="6:12" x14ac:dyDescent="0.2">
      <c r="F341" t="s">
        <v>372</v>
      </c>
      <c r="G341">
        <v>3.1384186839067407E-2</v>
      </c>
      <c r="H341" t="s">
        <v>33</v>
      </c>
      <c r="J341" t="s">
        <v>372</v>
      </c>
      <c r="K341">
        <v>2.3339456242971179E-2</v>
      </c>
      <c r="L341" t="s">
        <v>33</v>
      </c>
    </row>
    <row r="342" spans="6:12" x14ac:dyDescent="0.2">
      <c r="F342" t="s">
        <v>373</v>
      </c>
      <c r="G342">
        <v>5.6662109004257388E-4</v>
      </c>
      <c r="H342" t="s">
        <v>33</v>
      </c>
      <c r="J342" t="s">
        <v>373</v>
      </c>
      <c r="K342">
        <v>-1.350526257752438E-2</v>
      </c>
      <c r="L342" t="s">
        <v>33</v>
      </c>
    </row>
    <row r="343" spans="6:12" x14ac:dyDescent="0.2">
      <c r="F343" t="s">
        <v>374</v>
      </c>
      <c r="G343">
        <v>5.398246656291561E-2</v>
      </c>
      <c r="H343" t="s">
        <v>33</v>
      </c>
      <c r="J343" t="s">
        <v>374</v>
      </c>
      <c r="K343">
        <v>5.0861186248435393E-2</v>
      </c>
      <c r="L343" t="s">
        <v>33</v>
      </c>
    </row>
    <row r="344" spans="6:12" x14ac:dyDescent="0.2">
      <c r="F344" t="s">
        <v>375</v>
      </c>
      <c r="G344">
        <v>-2.784754295947112E-2</v>
      </c>
      <c r="H344" t="s">
        <v>33</v>
      </c>
      <c r="J344" t="s">
        <v>375</v>
      </c>
      <c r="K344">
        <v>-2.8988266189464151E-2</v>
      </c>
      <c r="L344" t="s">
        <v>33</v>
      </c>
    </row>
    <row r="345" spans="6:12" x14ac:dyDescent="0.2">
      <c r="F345" t="s">
        <v>376</v>
      </c>
      <c r="G345">
        <v>4.355871950286283E-2</v>
      </c>
      <c r="H345" t="s">
        <v>33</v>
      </c>
      <c r="J345" t="s">
        <v>376</v>
      </c>
      <c r="K345">
        <v>3.1396019847030443E-2</v>
      </c>
      <c r="L345" t="s">
        <v>33</v>
      </c>
    </row>
    <row r="346" spans="6:12" x14ac:dyDescent="0.2">
      <c r="F346" t="s">
        <v>377</v>
      </c>
      <c r="G346">
        <v>4.3383594936106773E-2</v>
      </c>
      <c r="H346" t="s">
        <v>33</v>
      </c>
      <c r="J346" t="s">
        <v>377</v>
      </c>
      <c r="K346">
        <v>4.5929524712652547E-2</v>
      </c>
      <c r="L346" t="s">
        <v>33</v>
      </c>
    </row>
    <row r="347" spans="6:12" x14ac:dyDescent="0.2">
      <c r="F347" t="s">
        <v>378</v>
      </c>
      <c r="G347">
        <v>4.2977248566060222E-2</v>
      </c>
      <c r="H347" t="s">
        <v>33</v>
      </c>
      <c r="J347" t="s">
        <v>378</v>
      </c>
      <c r="K347">
        <v>3.0405871180020801E-2</v>
      </c>
      <c r="L347" t="s">
        <v>33</v>
      </c>
    </row>
    <row r="348" spans="6:12" x14ac:dyDescent="0.2">
      <c r="F348" t="s">
        <v>379</v>
      </c>
      <c r="G348">
        <v>2.7459182611671681E-2</v>
      </c>
      <c r="H348" t="s">
        <v>33</v>
      </c>
      <c r="J348" t="s">
        <v>379</v>
      </c>
      <c r="K348">
        <v>2.51989770848744E-2</v>
      </c>
      <c r="L348" t="s">
        <v>33</v>
      </c>
    </row>
    <row r="349" spans="6:12" x14ac:dyDescent="0.2">
      <c r="F349" t="s">
        <v>380</v>
      </c>
      <c r="G349">
        <v>-3.2867806002498723E-2</v>
      </c>
      <c r="H349" t="s">
        <v>33</v>
      </c>
      <c r="J349" t="s">
        <v>380</v>
      </c>
      <c r="K349">
        <v>-3.4573839918679461E-2</v>
      </c>
      <c r="L349" t="s">
        <v>33</v>
      </c>
    </row>
    <row r="350" spans="6:12" x14ac:dyDescent="0.2">
      <c r="F350" t="s">
        <v>381</v>
      </c>
      <c r="G350">
        <v>4.506481154480757E-2</v>
      </c>
      <c r="H350" t="s">
        <v>33</v>
      </c>
      <c r="J350" t="s">
        <v>381</v>
      </c>
      <c r="K350">
        <v>4.56617890867419E-2</v>
      </c>
      <c r="L350" t="s">
        <v>33</v>
      </c>
    </row>
    <row r="351" spans="6:12" x14ac:dyDescent="0.2">
      <c r="F351" t="s">
        <v>382</v>
      </c>
      <c r="G351">
        <v>1.329744698670177E-2</v>
      </c>
      <c r="H351" t="s">
        <v>33</v>
      </c>
      <c r="J351" t="s">
        <v>382</v>
      </c>
      <c r="K351">
        <v>8.3440469294280284E-3</v>
      </c>
      <c r="L351" t="s">
        <v>33</v>
      </c>
    </row>
    <row r="352" spans="6:12" x14ac:dyDescent="0.2">
      <c r="F352" t="s">
        <v>383</v>
      </c>
      <c r="G352">
        <v>-5.1778402186769554E-3</v>
      </c>
      <c r="H352" t="s">
        <v>33</v>
      </c>
      <c r="J352" t="s">
        <v>383</v>
      </c>
      <c r="K352">
        <v>7.3567107556649081E-3</v>
      </c>
      <c r="L352" t="s">
        <v>33</v>
      </c>
    </row>
    <row r="353" spans="6:12" x14ac:dyDescent="0.2">
      <c r="F353" t="s">
        <v>384</v>
      </c>
      <c r="G353">
        <v>2.0416620653126442E-2</v>
      </c>
      <c r="H353" t="s">
        <v>33</v>
      </c>
      <c r="J353" t="s">
        <v>384</v>
      </c>
      <c r="K353">
        <v>2.3404298258006051E-2</v>
      </c>
      <c r="L353" t="s">
        <v>33</v>
      </c>
    </row>
    <row r="354" spans="6:12" x14ac:dyDescent="0.2">
      <c r="F354" t="s">
        <v>385</v>
      </c>
      <c r="G354">
        <v>2.9241462985301721E-2</v>
      </c>
      <c r="H354" t="s">
        <v>33</v>
      </c>
      <c r="J354" t="s">
        <v>385</v>
      </c>
      <c r="K354">
        <v>2.0649550964457971E-2</v>
      </c>
      <c r="L354" t="s">
        <v>33</v>
      </c>
    </row>
    <row r="355" spans="6:12" x14ac:dyDescent="0.2">
      <c r="F355" t="s">
        <v>386</v>
      </c>
      <c r="G355">
        <v>-9.1758690157269784E-3</v>
      </c>
      <c r="H355" t="s">
        <v>33</v>
      </c>
      <c r="J355" t="s">
        <v>386</v>
      </c>
      <c r="K355">
        <v>-1.3825139493919281E-2</v>
      </c>
      <c r="L355" t="s">
        <v>33</v>
      </c>
    </row>
    <row r="356" spans="6:12" x14ac:dyDescent="0.2">
      <c r="F356" t="s">
        <v>387</v>
      </c>
      <c r="G356">
        <v>3.0718926765918701E-2</v>
      </c>
      <c r="H356" t="s">
        <v>33</v>
      </c>
      <c r="J356" t="s">
        <v>387</v>
      </c>
      <c r="K356">
        <v>3.9982082709600908E-2</v>
      </c>
      <c r="L356" t="s">
        <v>33</v>
      </c>
    </row>
    <row r="357" spans="6:12" x14ac:dyDescent="0.2">
      <c r="F357" t="s">
        <v>388</v>
      </c>
      <c r="G357">
        <v>-1.172412236483744E-2</v>
      </c>
      <c r="H357" t="s">
        <v>33</v>
      </c>
      <c r="J357" t="s">
        <v>388</v>
      </c>
      <c r="K357">
        <v>-1.394910561334339E-2</v>
      </c>
      <c r="L357" t="s">
        <v>33</v>
      </c>
    </row>
    <row r="358" spans="6:12" x14ac:dyDescent="0.2">
      <c r="F358" t="s">
        <v>389</v>
      </c>
      <c r="G358">
        <v>-1.387535843050181E-3</v>
      </c>
      <c r="H358" t="s">
        <v>33</v>
      </c>
      <c r="J358" t="s">
        <v>389</v>
      </c>
      <c r="K358">
        <v>2.4341955833105718E-2</v>
      </c>
      <c r="L358" t="s">
        <v>33</v>
      </c>
    </row>
    <row r="359" spans="6:12" x14ac:dyDescent="0.2">
      <c r="F359" t="s">
        <v>390</v>
      </c>
      <c r="G359">
        <v>2.4938742723004111E-2</v>
      </c>
      <c r="H359" t="s">
        <v>33</v>
      </c>
      <c r="J359" t="s">
        <v>390</v>
      </c>
      <c r="K359">
        <v>2.6928464337347972E-2</v>
      </c>
      <c r="L359" t="s">
        <v>33</v>
      </c>
    </row>
    <row r="360" spans="6:12" x14ac:dyDescent="0.2">
      <c r="F360" t="s">
        <v>391</v>
      </c>
      <c r="G360">
        <v>-1.2991485177791251E-3</v>
      </c>
      <c r="H360" t="s">
        <v>33</v>
      </c>
      <c r="J360" t="s">
        <v>391</v>
      </c>
      <c r="K360">
        <v>-2.6953773776500212E-3</v>
      </c>
      <c r="L360" t="s">
        <v>33</v>
      </c>
    </row>
    <row r="361" spans="6:12" x14ac:dyDescent="0.2">
      <c r="F361" t="s">
        <v>392</v>
      </c>
      <c r="G361">
        <v>-5.4603438516812368E-2</v>
      </c>
      <c r="H361" t="s">
        <v>33</v>
      </c>
      <c r="J361" t="s">
        <v>392</v>
      </c>
      <c r="K361">
        <v>-3.0017362507574589E-2</v>
      </c>
      <c r="L361" t="s">
        <v>33</v>
      </c>
    </row>
    <row r="362" spans="6:12" x14ac:dyDescent="0.2">
      <c r="F362" t="s">
        <v>393</v>
      </c>
      <c r="G362">
        <v>6.2957684578428763E-2</v>
      </c>
      <c r="H362" t="s">
        <v>33</v>
      </c>
      <c r="J362" t="s">
        <v>393</v>
      </c>
      <c r="K362">
        <v>5.7440695427648743E-2</v>
      </c>
      <c r="L362" t="s">
        <v>33</v>
      </c>
    </row>
    <row r="363" spans="6:12" x14ac:dyDescent="0.2">
      <c r="F363" t="s">
        <v>394</v>
      </c>
      <c r="G363">
        <v>-1.6845317414257321E-2</v>
      </c>
      <c r="H363" t="s">
        <v>33</v>
      </c>
      <c r="J363" t="s">
        <v>394</v>
      </c>
      <c r="K363">
        <v>-1.575703389265504E-2</v>
      </c>
      <c r="L363" t="s">
        <v>33</v>
      </c>
    </row>
    <row r="364" spans="6:12" x14ac:dyDescent="0.2">
      <c r="F364" t="s">
        <v>395</v>
      </c>
      <c r="G364">
        <v>2.6906745804188281E-2</v>
      </c>
      <c r="H364" t="s">
        <v>33</v>
      </c>
      <c r="J364" t="s">
        <v>395</v>
      </c>
      <c r="K364">
        <v>9.5432436755158445E-3</v>
      </c>
      <c r="L364" t="s">
        <v>33</v>
      </c>
    </row>
    <row r="365" spans="6:12" x14ac:dyDescent="0.2">
      <c r="F365" t="s">
        <v>396</v>
      </c>
      <c r="G365">
        <v>1.339653513390182E-2</v>
      </c>
      <c r="H365" t="s">
        <v>33</v>
      </c>
      <c r="J365" t="s">
        <v>396</v>
      </c>
      <c r="K365">
        <v>1.282917590174892E-2</v>
      </c>
      <c r="L365" t="s">
        <v>33</v>
      </c>
    </row>
    <row r="366" spans="6:12" x14ac:dyDescent="0.2">
      <c r="F366" t="s">
        <v>397</v>
      </c>
      <c r="G366">
        <v>-1.44190215634159E-2</v>
      </c>
      <c r="H366" t="s">
        <v>33</v>
      </c>
      <c r="J366" t="s">
        <v>397</v>
      </c>
      <c r="K366">
        <v>-1.9133330203325419E-2</v>
      </c>
      <c r="L366" t="s">
        <v>33</v>
      </c>
    </row>
    <row r="367" spans="6:12" x14ac:dyDescent="0.2">
      <c r="F367" t="s">
        <v>398</v>
      </c>
      <c r="G367">
        <v>1.130384023143738E-2</v>
      </c>
      <c r="H367" t="s">
        <v>33</v>
      </c>
      <c r="J367" t="s">
        <v>398</v>
      </c>
      <c r="K367">
        <v>2.0907731218627879E-2</v>
      </c>
      <c r="L367" t="s">
        <v>33</v>
      </c>
    </row>
    <row r="368" spans="6:12" x14ac:dyDescent="0.2">
      <c r="F368" t="s">
        <v>399</v>
      </c>
      <c r="G368">
        <v>-6.9528121473435123E-2</v>
      </c>
      <c r="H368" t="s">
        <v>33</v>
      </c>
      <c r="J368" t="s">
        <v>399</v>
      </c>
      <c r="K368">
        <v>-6.0358114379834737E-2</v>
      </c>
      <c r="L368" t="s">
        <v>33</v>
      </c>
    </row>
    <row r="369" spans="6:12" x14ac:dyDescent="0.2">
      <c r="F369" t="s">
        <v>400</v>
      </c>
      <c r="G369">
        <v>-4.1872396080427247E-2</v>
      </c>
      <c r="H369" t="s">
        <v>33</v>
      </c>
      <c r="J369" t="s">
        <v>400</v>
      </c>
      <c r="K369">
        <v>-2.4702925390863831E-2</v>
      </c>
      <c r="L369" t="s">
        <v>33</v>
      </c>
    </row>
    <row r="370" spans="6:12" x14ac:dyDescent="0.2">
      <c r="F370" t="s">
        <v>401</v>
      </c>
      <c r="G370">
        <v>7.9161507888239058E-2</v>
      </c>
      <c r="H370" t="s">
        <v>33</v>
      </c>
      <c r="J370" t="s">
        <v>401</v>
      </c>
      <c r="K370">
        <v>8.4283662560759698E-2</v>
      </c>
      <c r="L370" t="s">
        <v>33</v>
      </c>
    </row>
    <row r="371" spans="6:12" x14ac:dyDescent="0.2">
      <c r="F371" t="s">
        <v>402</v>
      </c>
      <c r="G371">
        <v>-4.908546203648223E-3</v>
      </c>
      <c r="H371" t="s">
        <v>33</v>
      </c>
      <c r="J371" t="s">
        <v>402</v>
      </c>
      <c r="K371">
        <v>3.019662363455744E-3</v>
      </c>
      <c r="L371" t="s">
        <v>33</v>
      </c>
    </row>
    <row r="372" spans="6:12" x14ac:dyDescent="0.2">
      <c r="F372" t="s">
        <v>403</v>
      </c>
      <c r="G372">
        <v>-2.7047721735211971E-2</v>
      </c>
      <c r="H372" t="s">
        <v>33</v>
      </c>
      <c r="J372" t="s">
        <v>403</v>
      </c>
      <c r="K372">
        <v>-1.5925244049547319E-2</v>
      </c>
      <c r="L372" t="s">
        <v>33</v>
      </c>
    </row>
    <row r="373" spans="6:12" x14ac:dyDescent="0.2">
      <c r="F373" t="s">
        <v>404</v>
      </c>
      <c r="G373">
        <v>-6.8622156242614696E-2</v>
      </c>
      <c r="H373" t="s">
        <v>33</v>
      </c>
      <c r="J373" t="s">
        <v>404</v>
      </c>
      <c r="K373">
        <v>-4.9660445790130958E-2</v>
      </c>
      <c r="L373" t="s">
        <v>33</v>
      </c>
    </row>
    <row r="374" spans="6:12" x14ac:dyDescent="0.2">
      <c r="F374" t="s">
        <v>405</v>
      </c>
      <c r="G374">
        <v>-6.860214400068898E-3</v>
      </c>
      <c r="H374" t="s">
        <v>33</v>
      </c>
      <c r="J374" t="s">
        <v>405</v>
      </c>
      <c r="K374">
        <v>-1.3957124096416469E-3</v>
      </c>
      <c r="L374" t="s">
        <v>33</v>
      </c>
    </row>
    <row r="375" spans="6:12" x14ac:dyDescent="0.2">
      <c r="F375" t="s">
        <v>406</v>
      </c>
      <c r="G375">
        <v>7.0244462506714234E-2</v>
      </c>
      <c r="H375" t="s">
        <v>33</v>
      </c>
      <c r="J375" t="s">
        <v>406</v>
      </c>
      <c r="K375">
        <v>6.7786665966015125E-2</v>
      </c>
      <c r="L375" t="s">
        <v>33</v>
      </c>
    </row>
    <row r="376" spans="6:12" x14ac:dyDescent="0.2">
      <c r="F376" t="s">
        <v>407</v>
      </c>
      <c r="G376">
        <v>2.118598731334043E-2</v>
      </c>
      <c r="H376" t="s">
        <v>33</v>
      </c>
      <c r="J376" t="s">
        <v>407</v>
      </c>
      <c r="K376">
        <v>3.940312556676373E-3</v>
      </c>
      <c r="L376" t="s">
        <v>33</v>
      </c>
    </row>
    <row r="377" spans="6:12" x14ac:dyDescent="0.2">
      <c r="F377" t="s">
        <v>408</v>
      </c>
      <c r="G377">
        <v>2.2870081954042609E-2</v>
      </c>
      <c r="H377" t="s">
        <v>33</v>
      </c>
      <c r="J377" t="s">
        <v>408</v>
      </c>
      <c r="K377">
        <v>1.848172318791641E-2</v>
      </c>
      <c r="L377" t="s">
        <v>33</v>
      </c>
    </row>
    <row r="378" spans="6:12" x14ac:dyDescent="0.2">
      <c r="F378" t="s">
        <v>409</v>
      </c>
      <c r="G378">
        <v>-2.6559494496853239E-2</v>
      </c>
      <c r="H378" t="s">
        <v>33</v>
      </c>
      <c r="J378" t="s">
        <v>409</v>
      </c>
      <c r="K378">
        <v>1.073176686356758E-3</v>
      </c>
      <c r="L378" t="s">
        <v>33</v>
      </c>
    </row>
    <row r="379" spans="6:12" x14ac:dyDescent="0.2">
      <c r="F379" t="s">
        <v>410</v>
      </c>
      <c r="G379">
        <v>5.3517615802661789E-2</v>
      </c>
      <c r="H379" t="s">
        <v>33</v>
      </c>
      <c r="J379" t="s">
        <v>410</v>
      </c>
      <c r="K379">
        <v>3.6838502648985923E-2</v>
      </c>
      <c r="L379" t="s">
        <v>33</v>
      </c>
    </row>
    <row r="380" spans="6:12" x14ac:dyDescent="0.2">
      <c r="F380" t="s">
        <v>411</v>
      </c>
      <c r="G380">
        <v>2.0510388840741411E-2</v>
      </c>
      <c r="H380" t="s">
        <v>33</v>
      </c>
      <c r="J380" t="s">
        <v>411</v>
      </c>
      <c r="K380">
        <v>1.409921296545269E-3</v>
      </c>
      <c r="L380" t="s">
        <v>33</v>
      </c>
    </row>
    <row r="381" spans="6:12" x14ac:dyDescent="0.2">
      <c r="F381" t="s">
        <v>412</v>
      </c>
      <c r="G381">
        <v>1.1857922454757251E-2</v>
      </c>
      <c r="H381" t="s">
        <v>33</v>
      </c>
      <c r="J381" t="s">
        <v>412</v>
      </c>
      <c r="K381">
        <v>1.971176585964241E-4</v>
      </c>
      <c r="L381" t="s">
        <v>33</v>
      </c>
    </row>
    <row r="382" spans="6:12" x14ac:dyDescent="0.2">
      <c r="F382" t="s">
        <v>413</v>
      </c>
      <c r="G382">
        <v>-2.6035163950403062E-3</v>
      </c>
      <c r="H382" t="s">
        <v>33</v>
      </c>
      <c r="J382" t="s">
        <v>413</v>
      </c>
      <c r="K382">
        <v>-1.8193818550734431E-2</v>
      </c>
      <c r="L382" t="s">
        <v>33</v>
      </c>
    </row>
    <row r="383" spans="6:12" x14ac:dyDescent="0.2">
      <c r="F383" t="s">
        <v>414</v>
      </c>
      <c r="G383">
        <v>9.6200620114191171E-2</v>
      </c>
      <c r="H383" t="s">
        <v>33</v>
      </c>
      <c r="J383" t="s">
        <v>414</v>
      </c>
      <c r="K383">
        <v>3.7061935226111682E-2</v>
      </c>
      <c r="L383" t="s">
        <v>33</v>
      </c>
    </row>
    <row r="384" spans="6:12" x14ac:dyDescent="0.2">
      <c r="F384" t="s">
        <v>415</v>
      </c>
      <c r="G384">
        <v>1.3225999460473981E-2</v>
      </c>
      <c r="H384" t="s">
        <v>33</v>
      </c>
      <c r="J384" t="s">
        <v>415</v>
      </c>
      <c r="K384">
        <v>1.9794415051627379E-2</v>
      </c>
      <c r="L384" t="s">
        <v>33</v>
      </c>
    </row>
    <row r="385" spans="6:12" x14ac:dyDescent="0.2">
      <c r="F385" t="s">
        <v>416</v>
      </c>
      <c r="G385">
        <v>2.2788816043135759E-2</v>
      </c>
      <c r="H385" t="s">
        <v>33</v>
      </c>
      <c r="J385" t="s">
        <v>416</v>
      </c>
      <c r="K385">
        <v>1.8912743284982492E-2</v>
      </c>
      <c r="L385" t="s">
        <v>33</v>
      </c>
    </row>
    <row r="386" spans="6:12" x14ac:dyDescent="0.2">
      <c r="F386" t="s">
        <v>417</v>
      </c>
      <c r="G386">
        <v>2.9971292550795781E-2</v>
      </c>
      <c r="H386" t="s">
        <v>33</v>
      </c>
      <c r="J386" t="s">
        <v>417</v>
      </c>
      <c r="K386">
        <v>3.9723820288073863E-2</v>
      </c>
      <c r="L386" t="s">
        <v>33</v>
      </c>
    </row>
    <row r="387" spans="6:12" x14ac:dyDescent="0.2">
      <c r="F387" t="s">
        <v>418</v>
      </c>
      <c r="G387">
        <v>-3.6899184766613362E-3</v>
      </c>
      <c r="H387" t="s">
        <v>33</v>
      </c>
      <c r="J387" t="s">
        <v>418</v>
      </c>
      <c r="K387">
        <v>1.138455978951791E-3</v>
      </c>
      <c r="L387" t="s">
        <v>33</v>
      </c>
    </row>
    <row r="388" spans="6:12" x14ac:dyDescent="0.2">
      <c r="F388" t="s">
        <v>419</v>
      </c>
      <c r="G388">
        <v>4.0513384815545894E-3</v>
      </c>
      <c r="H388" t="s">
        <v>33</v>
      </c>
      <c r="J388" t="s">
        <v>419</v>
      </c>
      <c r="K388">
        <v>1.021291583716089E-2</v>
      </c>
      <c r="L388" t="s">
        <v>33</v>
      </c>
    </row>
    <row r="389" spans="6:12" x14ac:dyDescent="0.2">
      <c r="F389" t="s">
        <v>420</v>
      </c>
      <c r="G389">
        <v>-8.3890315372703306E-4</v>
      </c>
      <c r="H389" t="s">
        <v>33</v>
      </c>
      <c r="J389" t="s">
        <v>420</v>
      </c>
      <c r="K389">
        <v>1.413640771609459E-2</v>
      </c>
      <c r="L389" t="s">
        <v>33</v>
      </c>
    </row>
    <row r="390" spans="6:12" x14ac:dyDescent="0.2">
      <c r="F390" t="s">
        <v>421</v>
      </c>
      <c r="G390">
        <v>1.427305531697098E-2</v>
      </c>
      <c r="H390" t="s">
        <v>33</v>
      </c>
      <c r="J390" t="s">
        <v>421</v>
      </c>
      <c r="K390">
        <v>6.2346438699649731E-3</v>
      </c>
      <c r="L390" t="s">
        <v>33</v>
      </c>
    </row>
    <row r="391" spans="6:12" x14ac:dyDescent="0.2">
      <c r="F391" t="s">
        <v>422</v>
      </c>
      <c r="G391">
        <v>1.806011131043728E-2</v>
      </c>
      <c r="H391" t="s">
        <v>33</v>
      </c>
      <c r="J391" t="s">
        <v>422</v>
      </c>
      <c r="K391">
        <v>2.0580317912037401E-2</v>
      </c>
      <c r="L391" t="s">
        <v>33</v>
      </c>
    </row>
    <row r="392" spans="6:12" x14ac:dyDescent="0.2">
      <c r="F392" t="s">
        <v>423</v>
      </c>
      <c r="G392">
        <v>-1.0545986048256521E-2</v>
      </c>
      <c r="H392" t="s">
        <v>33</v>
      </c>
      <c r="J392" t="s">
        <v>423</v>
      </c>
      <c r="K392">
        <v>3.0578739386943892E-3</v>
      </c>
      <c r="L392" t="s">
        <v>33</v>
      </c>
    </row>
    <row r="393" spans="6:12" x14ac:dyDescent="0.2">
      <c r="F393" t="s">
        <v>424</v>
      </c>
      <c r="G393">
        <v>3.992361046146442E-2</v>
      </c>
      <c r="H393" t="s">
        <v>33</v>
      </c>
      <c r="J393" t="s">
        <v>424</v>
      </c>
      <c r="K393">
        <v>2.0655805062656629E-2</v>
      </c>
      <c r="L393" t="s">
        <v>33</v>
      </c>
    </row>
    <row r="394" spans="6:12" x14ac:dyDescent="0.2">
      <c r="F394" t="s">
        <v>425</v>
      </c>
      <c r="G394">
        <v>6.2318135091721238E-3</v>
      </c>
      <c r="H394" t="s">
        <v>33</v>
      </c>
      <c r="J394" t="s">
        <v>425</v>
      </c>
      <c r="K394">
        <v>2.32879162311781E-2</v>
      </c>
      <c r="L394" t="s">
        <v>33</v>
      </c>
    </row>
    <row r="395" spans="6:12" x14ac:dyDescent="0.2">
      <c r="F395" t="s">
        <v>426</v>
      </c>
      <c r="G395">
        <v>2.5970166162085251E-2</v>
      </c>
      <c r="H395" t="s">
        <v>33</v>
      </c>
      <c r="J395" t="s">
        <v>426</v>
      </c>
      <c r="K395">
        <v>3.0687456176808899E-2</v>
      </c>
      <c r="L395" t="s">
        <v>33</v>
      </c>
    </row>
    <row r="396" spans="6:12" x14ac:dyDescent="0.2">
      <c r="F396" t="s">
        <v>427</v>
      </c>
      <c r="G396">
        <v>2.417769106954815E-2</v>
      </c>
      <c r="H396" t="s">
        <v>33</v>
      </c>
      <c r="J396" t="s">
        <v>427</v>
      </c>
      <c r="K396">
        <v>1.114785048640177E-2</v>
      </c>
      <c r="L396" t="s">
        <v>33</v>
      </c>
    </row>
    <row r="397" spans="6:12" x14ac:dyDescent="0.2">
      <c r="F397" t="s">
        <v>428</v>
      </c>
      <c r="G397">
        <v>5.6971727382066677E-2</v>
      </c>
      <c r="H397" t="s">
        <v>33</v>
      </c>
      <c r="J397" t="s">
        <v>428</v>
      </c>
      <c r="K397">
        <v>5.7191003672306229E-2</v>
      </c>
      <c r="L397" t="s">
        <v>33</v>
      </c>
    </row>
    <row r="398" spans="6:12" x14ac:dyDescent="0.2">
      <c r="F398" t="s">
        <v>429</v>
      </c>
      <c r="G398">
        <v>-3.8935049237179609E-2</v>
      </c>
      <c r="H398" t="s">
        <v>33</v>
      </c>
      <c r="J398" t="s">
        <v>429</v>
      </c>
      <c r="K398">
        <v>-3.6812117157744677E-2</v>
      </c>
      <c r="L398" t="s">
        <v>33</v>
      </c>
    </row>
    <row r="399" spans="6:12" x14ac:dyDescent="0.2">
      <c r="F399" t="s">
        <v>430</v>
      </c>
      <c r="G399">
        <v>-3.2683789557926723E-2</v>
      </c>
      <c r="H399" t="s">
        <v>33</v>
      </c>
      <c r="J399" t="s">
        <v>430</v>
      </c>
      <c r="K399">
        <v>-2.554430411073039E-2</v>
      </c>
      <c r="L399" t="s">
        <v>33</v>
      </c>
    </row>
    <row r="400" spans="6:12" x14ac:dyDescent="0.2">
      <c r="F400" t="s">
        <v>431</v>
      </c>
      <c r="G400">
        <v>7.1513575774004856E-3</v>
      </c>
      <c r="H400" t="s">
        <v>33</v>
      </c>
      <c r="J400" t="s">
        <v>431</v>
      </c>
      <c r="K400">
        <v>3.7927875618488649E-3</v>
      </c>
      <c r="L400" t="s">
        <v>33</v>
      </c>
    </row>
    <row r="401" spans="6:12" x14ac:dyDescent="0.2">
      <c r="F401" t="s">
        <v>432</v>
      </c>
      <c r="G401">
        <v>5.3918434964177484E-3</v>
      </c>
      <c r="H401" t="s">
        <v>33</v>
      </c>
      <c r="J401" t="s">
        <v>432</v>
      </c>
      <c r="K401">
        <v>2.413637461129392E-2</v>
      </c>
      <c r="L401" t="s">
        <v>33</v>
      </c>
    </row>
    <row r="402" spans="6:12" x14ac:dyDescent="0.2">
      <c r="F402" t="s">
        <v>433</v>
      </c>
      <c r="G402">
        <v>1.483238223791461E-2</v>
      </c>
      <c r="H402" t="s">
        <v>33</v>
      </c>
      <c r="J402" t="s">
        <v>433</v>
      </c>
      <c r="K402">
        <v>6.0839390815725647E-3</v>
      </c>
      <c r="L402" t="s">
        <v>33</v>
      </c>
    </row>
    <row r="403" spans="6:12" x14ac:dyDescent="0.2">
      <c r="F403" t="s">
        <v>434</v>
      </c>
      <c r="G403">
        <v>4.5916785728242981E-2</v>
      </c>
      <c r="H403" t="s">
        <v>33</v>
      </c>
      <c r="J403" t="s">
        <v>434</v>
      </c>
      <c r="K403">
        <v>3.7220819187774527E-2</v>
      </c>
      <c r="L403" t="s">
        <v>33</v>
      </c>
    </row>
    <row r="404" spans="6:12" x14ac:dyDescent="0.2">
      <c r="F404" t="s">
        <v>435</v>
      </c>
      <c r="G404">
        <v>1.6482819573523599E-2</v>
      </c>
      <c r="H404" t="s">
        <v>33</v>
      </c>
      <c r="J404" t="s">
        <v>435</v>
      </c>
      <c r="K404">
        <v>3.2550312852736463E-2</v>
      </c>
      <c r="L404" t="s">
        <v>33</v>
      </c>
    </row>
    <row r="405" spans="6:12" x14ac:dyDescent="0.2">
      <c r="F405" t="s">
        <v>436</v>
      </c>
      <c r="G405">
        <v>1.6345512918731759E-3</v>
      </c>
      <c r="H405" t="s">
        <v>33</v>
      </c>
      <c r="J405" t="s">
        <v>436</v>
      </c>
      <c r="K405">
        <v>5.6449427551654718E-3</v>
      </c>
      <c r="L405" t="s">
        <v>33</v>
      </c>
    </row>
    <row r="406" spans="6:12" x14ac:dyDescent="0.2">
      <c r="F406" t="s">
        <v>437</v>
      </c>
      <c r="G406">
        <v>-5.8561787551283162E-2</v>
      </c>
      <c r="H406" t="s">
        <v>33</v>
      </c>
      <c r="J406" t="s">
        <v>437</v>
      </c>
      <c r="K406">
        <v>-6.8382661486797613E-2</v>
      </c>
      <c r="L406" t="s">
        <v>33</v>
      </c>
    </row>
    <row r="407" spans="6:12" x14ac:dyDescent="0.2">
      <c r="F407" t="s">
        <v>438</v>
      </c>
      <c r="G407">
        <v>2.7906432219581449E-2</v>
      </c>
      <c r="H407" t="s">
        <v>33</v>
      </c>
      <c r="J407" t="s">
        <v>438</v>
      </c>
      <c r="K407">
        <v>2.0401953005503511E-2</v>
      </c>
      <c r="L407" t="s">
        <v>33</v>
      </c>
    </row>
    <row r="408" spans="6:12" x14ac:dyDescent="0.2">
      <c r="F408" t="s">
        <v>439</v>
      </c>
      <c r="G408">
        <v>-0.106759019233807</v>
      </c>
      <c r="H408" t="s">
        <v>33</v>
      </c>
      <c r="J408" t="s">
        <v>439</v>
      </c>
      <c r="K408">
        <v>-9.0098823235914893E-2</v>
      </c>
      <c r="L408" t="s">
        <v>33</v>
      </c>
    </row>
    <row r="409" spans="6:12" x14ac:dyDescent="0.2">
      <c r="F409" t="s">
        <v>440</v>
      </c>
      <c r="G409">
        <v>8.5124919979691294E-2</v>
      </c>
      <c r="H409" t="s">
        <v>33</v>
      </c>
      <c r="J409" t="s">
        <v>440</v>
      </c>
      <c r="K409">
        <v>8.0071814849076217E-2</v>
      </c>
      <c r="L409" t="s">
        <v>33</v>
      </c>
    </row>
    <row r="410" spans="6:12" x14ac:dyDescent="0.2">
      <c r="F410" t="s">
        <v>441</v>
      </c>
      <c r="G410">
        <v>1.8557997270961749E-2</v>
      </c>
      <c r="H410" t="s">
        <v>33</v>
      </c>
      <c r="J410" t="s">
        <v>441</v>
      </c>
      <c r="K410">
        <v>3.2160609171930199E-2</v>
      </c>
      <c r="L410" t="s">
        <v>33</v>
      </c>
    </row>
    <row r="411" spans="6:12" x14ac:dyDescent="0.2">
      <c r="F411" t="s">
        <v>442</v>
      </c>
      <c r="G411">
        <v>-2.1706494805301402E-3</v>
      </c>
      <c r="H411" t="s">
        <v>33</v>
      </c>
      <c r="J411" t="s">
        <v>442</v>
      </c>
      <c r="K411">
        <v>1.9470486095997771E-2</v>
      </c>
      <c r="L411" t="s">
        <v>33</v>
      </c>
    </row>
    <row r="412" spans="6:12" x14ac:dyDescent="0.2">
      <c r="F412" t="s">
        <v>443</v>
      </c>
      <c r="G412">
        <v>4.7092062186728567E-2</v>
      </c>
      <c r="H412" t="s">
        <v>33</v>
      </c>
      <c r="J412" t="s">
        <v>443</v>
      </c>
      <c r="K412">
        <v>4.0476193097434887E-2</v>
      </c>
      <c r="L412" t="s">
        <v>33</v>
      </c>
    </row>
    <row r="413" spans="6:12" x14ac:dyDescent="0.2">
      <c r="F413" t="s">
        <v>444</v>
      </c>
      <c r="G413">
        <v>-7.3965776571155217E-2</v>
      </c>
      <c r="H413" t="s">
        <v>33</v>
      </c>
      <c r="J413" t="s">
        <v>444</v>
      </c>
      <c r="K413">
        <v>-6.3518502431555324E-2</v>
      </c>
      <c r="L413" t="s">
        <v>33</v>
      </c>
    </row>
    <row r="414" spans="6:12" x14ac:dyDescent="0.2">
      <c r="F414" t="s">
        <v>445</v>
      </c>
      <c r="G414">
        <v>5.8009839172745707E-2</v>
      </c>
      <c r="H414" t="s">
        <v>33</v>
      </c>
      <c r="J414" t="s">
        <v>445</v>
      </c>
      <c r="K414">
        <v>7.0396107308434486E-2</v>
      </c>
      <c r="L414" t="s">
        <v>33</v>
      </c>
    </row>
    <row r="415" spans="6:12" x14ac:dyDescent="0.2">
      <c r="F415" t="s">
        <v>446</v>
      </c>
      <c r="G415">
        <v>2.1216395127712451E-2</v>
      </c>
      <c r="H415" t="s">
        <v>33</v>
      </c>
      <c r="J415" t="s">
        <v>446</v>
      </c>
      <c r="K415">
        <v>1.432443914585591E-2</v>
      </c>
      <c r="L415" t="s">
        <v>33</v>
      </c>
    </row>
    <row r="416" spans="6:12" x14ac:dyDescent="0.2">
      <c r="F416" t="s">
        <v>447</v>
      </c>
      <c r="G416">
        <v>-5.019306036820026E-2</v>
      </c>
      <c r="H416" t="s">
        <v>33</v>
      </c>
      <c r="J416" t="s">
        <v>447</v>
      </c>
      <c r="K416">
        <v>-1.5767381023911179E-2</v>
      </c>
      <c r="L416" t="s">
        <v>33</v>
      </c>
    </row>
    <row r="417" spans="6:12" x14ac:dyDescent="0.2">
      <c r="F417" t="s">
        <v>448</v>
      </c>
      <c r="G417">
        <v>3.3114401487269518E-2</v>
      </c>
      <c r="H417" t="s">
        <v>33</v>
      </c>
      <c r="J417" t="s">
        <v>448</v>
      </c>
      <c r="K417">
        <v>1.8680752181633679E-2</v>
      </c>
      <c r="L417" t="s">
        <v>33</v>
      </c>
    </row>
    <row r="418" spans="6:12" x14ac:dyDescent="0.2">
      <c r="F418" t="s">
        <v>449</v>
      </c>
      <c r="G418">
        <v>2.3470708784339989E-2</v>
      </c>
      <c r="H418" t="s">
        <v>33</v>
      </c>
      <c r="J418" t="s">
        <v>449</v>
      </c>
      <c r="K418">
        <v>2.171077702406965E-2</v>
      </c>
      <c r="L418" t="s">
        <v>33</v>
      </c>
    </row>
    <row r="419" spans="6:12" x14ac:dyDescent="0.2">
      <c r="F419" t="s">
        <v>450</v>
      </c>
      <c r="G419">
        <v>4.0303552064289587E-2</v>
      </c>
      <c r="H419" t="s">
        <v>33</v>
      </c>
      <c r="J419" t="s">
        <v>450</v>
      </c>
      <c r="K419">
        <v>3.6312242974169788E-2</v>
      </c>
      <c r="L419" t="s">
        <v>33</v>
      </c>
    </row>
    <row r="420" spans="6:12" x14ac:dyDescent="0.2">
      <c r="F420" t="s">
        <v>451</v>
      </c>
      <c r="G420">
        <v>3.338403308429716E-2</v>
      </c>
      <c r="H420" t="s">
        <v>33</v>
      </c>
      <c r="J420" t="s">
        <v>451</v>
      </c>
      <c r="K420">
        <v>3.0108332352286379E-2</v>
      </c>
      <c r="L420" t="s">
        <v>33</v>
      </c>
    </row>
    <row r="421" spans="6:12" x14ac:dyDescent="0.2">
      <c r="F421" t="s">
        <v>452</v>
      </c>
      <c r="G421">
        <v>-3.2568096955054027E-2</v>
      </c>
      <c r="H421" t="s">
        <v>33</v>
      </c>
      <c r="J421" t="s">
        <v>452</v>
      </c>
      <c r="K421">
        <v>-3.7977946712464128E-4</v>
      </c>
      <c r="L421" t="s">
        <v>33</v>
      </c>
    </row>
    <row r="422" spans="6:12" x14ac:dyDescent="0.2">
      <c r="F422" t="s">
        <v>453</v>
      </c>
      <c r="G422">
        <v>-8.8710775691089538E-2</v>
      </c>
      <c r="H422" t="s">
        <v>33</v>
      </c>
      <c r="J422" t="s">
        <v>453</v>
      </c>
      <c r="K422">
        <v>-8.2320163061883944E-2</v>
      </c>
      <c r="L422" t="s">
        <v>33</v>
      </c>
    </row>
    <row r="423" spans="6:12" x14ac:dyDescent="0.2">
      <c r="F423" t="s">
        <v>454</v>
      </c>
      <c r="G423">
        <v>-0.19591525650223959</v>
      </c>
      <c r="H423" t="s">
        <v>33</v>
      </c>
      <c r="J423" t="s">
        <v>454</v>
      </c>
      <c r="K423">
        <v>-0.1233438775371606</v>
      </c>
      <c r="L423" t="s">
        <v>33</v>
      </c>
    </row>
    <row r="424" spans="6:12" x14ac:dyDescent="0.2">
      <c r="F424" t="s">
        <v>455</v>
      </c>
      <c r="G424">
        <v>0.14098512173256769</v>
      </c>
      <c r="H424" t="s">
        <v>33</v>
      </c>
      <c r="J424" t="s">
        <v>455</v>
      </c>
      <c r="K424">
        <v>0.12823345451683549</v>
      </c>
      <c r="L424" t="s">
        <v>33</v>
      </c>
    </row>
    <row r="425" spans="6:12" x14ac:dyDescent="0.2">
      <c r="F425" t="s">
        <v>456</v>
      </c>
      <c r="G425">
        <v>3.2829554102851821E-2</v>
      </c>
      <c r="H425" t="s">
        <v>33</v>
      </c>
      <c r="J425" t="s">
        <v>456</v>
      </c>
      <c r="K425">
        <v>4.7679170414852479E-2</v>
      </c>
      <c r="L425" t="s">
        <v>33</v>
      </c>
    </row>
    <row r="426" spans="6:12" x14ac:dyDescent="0.2">
      <c r="F426" t="s">
        <v>457</v>
      </c>
      <c r="G426">
        <v>1.8483906096086411E-2</v>
      </c>
      <c r="H426" t="s">
        <v>33</v>
      </c>
      <c r="J426" t="s">
        <v>457</v>
      </c>
      <c r="K426">
        <v>1.9696146466403611E-2</v>
      </c>
      <c r="L426" t="s">
        <v>33</v>
      </c>
    </row>
    <row r="427" spans="6:12" x14ac:dyDescent="0.2">
      <c r="F427" t="s">
        <v>458</v>
      </c>
      <c r="G427">
        <v>2.5448532087164018E-2</v>
      </c>
      <c r="H427" t="s">
        <v>33</v>
      </c>
      <c r="J427" t="s">
        <v>458</v>
      </c>
      <c r="K427">
        <v>5.6402158838371193E-2</v>
      </c>
      <c r="L427" t="s">
        <v>33</v>
      </c>
    </row>
    <row r="428" spans="6:12" x14ac:dyDescent="0.2">
      <c r="F428" t="s">
        <v>459</v>
      </c>
      <c r="G428">
        <v>5.0672777698351767E-2</v>
      </c>
      <c r="H428" t="s">
        <v>33</v>
      </c>
      <c r="J428" t="s">
        <v>459</v>
      </c>
      <c r="K428">
        <v>7.4122612479257777E-2</v>
      </c>
      <c r="L428" t="s">
        <v>33</v>
      </c>
    </row>
    <row r="429" spans="6:12" x14ac:dyDescent="0.2">
      <c r="F429" t="s">
        <v>460</v>
      </c>
      <c r="G429">
        <v>-3.2234984628034542E-2</v>
      </c>
      <c r="H429" t="s">
        <v>33</v>
      </c>
      <c r="J429" t="s">
        <v>460</v>
      </c>
      <c r="K429">
        <v>-4.0015095388059467E-2</v>
      </c>
      <c r="L429" t="s">
        <v>33</v>
      </c>
    </row>
    <row r="430" spans="6:12" x14ac:dyDescent="0.2">
      <c r="F430" t="s">
        <v>461</v>
      </c>
      <c r="G430">
        <v>-1.9148529497463929E-2</v>
      </c>
      <c r="H430" t="s">
        <v>33</v>
      </c>
      <c r="J430" t="s">
        <v>461</v>
      </c>
      <c r="K430">
        <v>-2.6578245747802761E-2</v>
      </c>
      <c r="L430" t="s">
        <v>33</v>
      </c>
    </row>
    <row r="431" spans="6:12" x14ac:dyDescent="0.2">
      <c r="F431" t="s">
        <v>462</v>
      </c>
      <c r="G431">
        <v>0.1831067148710244</v>
      </c>
      <c r="H431" t="s">
        <v>33</v>
      </c>
      <c r="J431" t="s">
        <v>462</v>
      </c>
      <c r="K431">
        <v>0.10946581654731501</v>
      </c>
      <c r="L431" t="s">
        <v>33</v>
      </c>
    </row>
    <row r="432" spans="6:12" x14ac:dyDescent="0.2">
      <c r="F432" t="s">
        <v>463</v>
      </c>
      <c r="G432">
        <v>4.0881813744324307E-2</v>
      </c>
      <c r="H432" t="s">
        <v>33</v>
      </c>
      <c r="J432" t="s">
        <v>463</v>
      </c>
      <c r="K432">
        <v>3.8384816040383463E-2</v>
      </c>
      <c r="L432" t="s">
        <v>33</v>
      </c>
    </row>
    <row r="433" spans="6:12" x14ac:dyDescent="0.2">
      <c r="F433" t="s">
        <v>464</v>
      </c>
      <c r="G433">
        <v>-2.2351717311118739E-3</v>
      </c>
      <c r="H433" t="s">
        <v>33</v>
      </c>
      <c r="J433" t="s">
        <v>464</v>
      </c>
      <c r="K433">
        <v>-1.0074091209237411E-2</v>
      </c>
      <c r="L433" t="s">
        <v>33</v>
      </c>
    </row>
    <row r="434" spans="6:12" x14ac:dyDescent="0.2">
      <c r="F434" t="s">
        <v>465</v>
      </c>
      <c r="G434">
        <v>9.5252436086362025E-2</v>
      </c>
      <c r="H434" t="s">
        <v>33</v>
      </c>
      <c r="J434" t="s">
        <v>465</v>
      </c>
      <c r="K434">
        <v>2.7669366983081641E-2</v>
      </c>
      <c r="L434" t="s">
        <v>33</v>
      </c>
    </row>
    <row r="435" spans="6:12" x14ac:dyDescent="0.2">
      <c r="F435" t="s">
        <v>466</v>
      </c>
      <c r="G435">
        <v>6.0284015820149861E-2</v>
      </c>
      <c r="H435" t="s">
        <v>33</v>
      </c>
      <c r="J435" t="s">
        <v>466</v>
      </c>
      <c r="K435">
        <v>4.369444067825401E-2</v>
      </c>
      <c r="L435" t="s">
        <v>33</v>
      </c>
    </row>
    <row r="436" spans="6:12" x14ac:dyDescent="0.2">
      <c r="F436" t="s">
        <v>467</v>
      </c>
      <c r="G436">
        <v>5.4720067637438863E-2</v>
      </c>
      <c r="H436" t="s">
        <v>33</v>
      </c>
      <c r="J436" t="s">
        <v>467</v>
      </c>
      <c r="K436">
        <v>5.3371049687658267E-2</v>
      </c>
      <c r="L436" t="s">
        <v>33</v>
      </c>
    </row>
    <row r="437" spans="6:12" x14ac:dyDescent="0.2">
      <c r="F437" t="s">
        <v>468</v>
      </c>
      <c r="G437">
        <v>3.393232578838945E-2</v>
      </c>
      <c r="H437" t="s">
        <v>33</v>
      </c>
      <c r="J437" t="s">
        <v>468</v>
      </c>
      <c r="K437">
        <v>6.9868957217165129E-3</v>
      </c>
      <c r="L437" t="s">
        <v>33</v>
      </c>
    </row>
    <row r="438" spans="6:12" x14ac:dyDescent="0.2">
      <c r="F438" t="s">
        <v>469</v>
      </c>
      <c r="G438">
        <v>-1.9971745283650089E-3</v>
      </c>
      <c r="H438" t="s">
        <v>33</v>
      </c>
      <c r="J438" t="s">
        <v>469</v>
      </c>
      <c r="K438">
        <v>2.3347870914053988E-2</v>
      </c>
      <c r="L438" t="s">
        <v>33</v>
      </c>
    </row>
    <row r="439" spans="6:12" x14ac:dyDescent="0.2">
      <c r="F439" t="s">
        <v>470</v>
      </c>
      <c r="G439">
        <v>-6.4718642347382227E-3</v>
      </c>
      <c r="H439" t="s">
        <v>33</v>
      </c>
      <c r="J439" t="s">
        <v>470</v>
      </c>
      <c r="K439">
        <v>2.3692828724940499E-2</v>
      </c>
      <c r="L439" t="s">
        <v>33</v>
      </c>
    </row>
    <row r="440" spans="6:12" x14ac:dyDescent="0.2">
      <c r="F440" t="s">
        <v>471</v>
      </c>
      <c r="G440">
        <v>3.004251068248465E-2</v>
      </c>
      <c r="H440" t="s">
        <v>33</v>
      </c>
      <c r="J440" t="s">
        <v>471</v>
      </c>
      <c r="K440">
        <v>3.0394611705052199E-2</v>
      </c>
      <c r="L440" t="s">
        <v>33</v>
      </c>
    </row>
    <row r="441" spans="6:12" x14ac:dyDescent="0.2">
      <c r="F441" t="s">
        <v>472</v>
      </c>
      <c r="G441">
        <v>-3.5527832974394553E-2</v>
      </c>
      <c r="H441" t="s">
        <v>33</v>
      </c>
      <c r="J441" t="s">
        <v>472</v>
      </c>
      <c r="K441">
        <v>-4.6461636613990047E-2</v>
      </c>
      <c r="L441" t="s">
        <v>33</v>
      </c>
    </row>
    <row r="442" spans="6:12" x14ac:dyDescent="0.2">
      <c r="F442" t="s">
        <v>473</v>
      </c>
      <c r="G442">
        <v>4.4786420919127323E-2</v>
      </c>
      <c r="H442" t="s">
        <v>33</v>
      </c>
      <c r="J442" t="s">
        <v>473</v>
      </c>
      <c r="K442">
        <v>7.0052254292394478E-2</v>
      </c>
      <c r="L442" t="s">
        <v>33</v>
      </c>
    </row>
    <row r="443" spans="6:12" x14ac:dyDescent="0.2">
      <c r="F443" t="s">
        <v>474</v>
      </c>
      <c r="G443">
        <v>-3.9745321314162863E-2</v>
      </c>
      <c r="H443" t="s">
        <v>33</v>
      </c>
      <c r="J443" t="s">
        <v>474</v>
      </c>
      <c r="K443">
        <v>-6.9635734829515128E-3</v>
      </c>
      <c r="L443" t="s">
        <v>33</v>
      </c>
    </row>
    <row r="444" spans="6:12" x14ac:dyDescent="0.2">
      <c r="F444" t="s">
        <v>475</v>
      </c>
      <c r="G444">
        <v>5.4387029704903611E-2</v>
      </c>
      <c r="H444" t="s">
        <v>33</v>
      </c>
      <c r="J444" t="s">
        <v>475</v>
      </c>
      <c r="K444">
        <v>4.4660316209762962E-2</v>
      </c>
      <c r="L444" t="s">
        <v>33</v>
      </c>
    </row>
    <row r="445" spans="6:12" x14ac:dyDescent="0.2">
      <c r="F445" t="s">
        <v>476</v>
      </c>
      <c r="G445">
        <v>1.2434074358325329E-2</v>
      </c>
      <c r="H445" t="s">
        <v>33</v>
      </c>
      <c r="J445" t="s">
        <v>476</v>
      </c>
      <c r="K445">
        <v>-5.1746321483427171E-2</v>
      </c>
      <c r="L445" t="s">
        <v>33</v>
      </c>
    </row>
    <row r="446" spans="6:12" x14ac:dyDescent="0.2">
      <c r="F446" t="s">
        <v>477</v>
      </c>
      <c r="G446">
        <v>-1.7320243565061011E-2</v>
      </c>
      <c r="H446" t="s">
        <v>33</v>
      </c>
      <c r="J446" t="s">
        <v>477</v>
      </c>
      <c r="K446">
        <v>-2.9954729037047542E-2</v>
      </c>
      <c r="L446" t="s">
        <v>33</v>
      </c>
    </row>
    <row r="447" spans="6:12" x14ac:dyDescent="0.2">
      <c r="F447" t="s">
        <v>478</v>
      </c>
      <c r="G447">
        <v>1.5483867266013361E-2</v>
      </c>
      <c r="H447" t="s">
        <v>33</v>
      </c>
      <c r="J447" t="s">
        <v>478</v>
      </c>
      <c r="K447">
        <v>3.7009059896902403E-2</v>
      </c>
      <c r="L447" t="s">
        <v>33</v>
      </c>
    </row>
    <row r="448" spans="6:12" x14ac:dyDescent="0.2">
      <c r="F448" t="s">
        <v>479</v>
      </c>
      <c r="G448">
        <v>-7.5145158125008327E-2</v>
      </c>
      <c r="H448" t="s">
        <v>33</v>
      </c>
      <c r="J448" t="s">
        <v>479</v>
      </c>
      <c r="K448">
        <v>-8.7195950198928229E-2</v>
      </c>
      <c r="L448" t="s">
        <v>33</v>
      </c>
    </row>
    <row r="449" spans="6:12" x14ac:dyDescent="0.2">
      <c r="F449" t="s">
        <v>480</v>
      </c>
      <c r="G449">
        <v>4.4127065910236851E-2</v>
      </c>
      <c r="H449" t="s">
        <v>33</v>
      </c>
      <c r="J449" t="s">
        <v>480</v>
      </c>
      <c r="K449">
        <v>1.8293948933869599E-3</v>
      </c>
      <c r="L449" t="s">
        <v>33</v>
      </c>
    </row>
    <row r="450" spans="6:12" x14ac:dyDescent="0.2">
      <c r="F450" t="s">
        <v>481</v>
      </c>
      <c r="G450">
        <v>-9.2955874945710115E-2</v>
      </c>
      <c r="H450" t="s">
        <v>33</v>
      </c>
      <c r="J450" t="s">
        <v>481</v>
      </c>
      <c r="K450">
        <v>-8.25238902246751E-2</v>
      </c>
      <c r="L450" t="s">
        <v>33</v>
      </c>
    </row>
    <row r="451" spans="6:12" x14ac:dyDescent="0.2">
      <c r="F451" t="s">
        <v>482</v>
      </c>
      <c r="G451">
        <v>5.1744374428720707E-2</v>
      </c>
      <c r="H451" t="s">
        <v>33</v>
      </c>
      <c r="J451" t="s">
        <v>482</v>
      </c>
      <c r="K451">
        <v>9.2205431940840743E-2</v>
      </c>
      <c r="L451" t="s">
        <v>33</v>
      </c>
    </row>
    <row r="452" spans="6:12" x14ac:dyDescent="0.2">
      <c r="F452" t="s">
        <v>483</v>
      </c>
      <c r="G452">
        <v>-2.477333668669102E-2</v>
      </c>
      <c r="H452" t="s">
        <v>33</v>
      </c>
      <c r="J452" t="s">
        <v>483</v>
      </c>
      <c r="K452">
        <v>-4.080118755942308E-2</v>
      </c>
      <c r="L452" t="s">
        <v>33</v>
      </c>
    </row>
    <row r="453" spans="6:12" x14ac:dyDescent="0.2">
      <c r="F453" t="s">
        <v>484</v>
      </c>
      <c r="G453">
        <v>-9.5161727028036824E-2</v>
      </c>
      <c r="H453" t="s">
        <v>33</v>
      </c>
      <c r="J453" t="s">
        <v>484</v>
      </c>
      <c r="K453">
        <v>-9.2059807530769144E-2</v>
      </c>
      <c r="L453" t="s">
        <v>33</v>
      </c>
    </row>
    <row r="454" spans="6:12" x14ac:dyDescent="0.2">
      <c r="F454" t="s">
        <v>485</v>
      </c>
      <c r="G454">
        <v>0.1143203401190669</v>
      </c>
      <c r="H454" t="s">
        <v>33</v>
      </c>
      <c r="J454" t="s">
        <v>485</v>
      </c>
      <c r="K454">
        <v>8.0942345781868763E-2</v>
      </c>
      <c r="L454" t="s">
        <v>33</v>
      </c>
    </row>
    <row r="455" spans="6:12" x14ac:dyDescent="0.2">
      <c r="F455" t="s">
        <v>486</v>
      </c>
      <c r="G455">
        <v>6.2990769773712429E-2</v>
      </c>
      <c r="H455" t="s">
        <v>33</v>
      </c>
      <c r="J455" t="s">
        <v>486</v>
      </c>
      <c r="K455">
        <v>5.5883885688077228E-2</v>
      </c>
      <c r="L455" t="s">
        <v>33</v>
      </c>
    </row>
    <row r="456" spans="6:12" x14ac:dyDescent="0.2">
      <c r="F456" t="s">
        <v>487</v>
      </c>
      <c r="G456">
        <v>-4.6680683438962263E-2</v>
      </c>
      <c r="H456" t="s">
        <v>33</v>
      </c>
      <c r="J456" t="s">
        <v>487</v>
      </c>
      <c r="K456">
        <v>-5.7659017876629859E-2</v>
      </c>
      <c r="L456" t="s">
        <v>33</v>
      </c>
    </row>
    <row r="457" spans="6:12" x14ac:dyDescent="0.2">
      <c r="F457" t="s">
        <v>488</v>
      </c>
      <c r="G457">
        <v>6.6244355068549199E-2</v>
      </c>
      <c r="H457" t="s">
        <v>33</v>
      </c>
      <c r="J457" t="s">
        <v>488</v>
      </c>
      <c r="K457">
        <v>6.2826351145986559E-2</v>
      </c>
      <c r="L457" t="s">
        <v>33</v>
      </c>
    </row>
    <row r="458" spans="6:12" x14ac:dyDescent="0.2">
      <c r="F458" t="s">
        <v>489</v>
      </c>
      <c r="G458">
        <v>-3.2605245838994601E-2</v>
      </c>
      <c r="H458" t="s">
        <v>33</v>
      </c>
      <c r="J458" t="s">
        <v>489</v>
      </c>
      <c r="K458">
        <v>-2.4417123046892138E-2</v>
      </c>
      <c r="L458" t="s">
        <v>33</v>
      </c>
    </row>
    <row r="459" spans="6:12" x14ac:dyDescent="0.2">
      <c r="F459" t="s">
        <v>490</v>
      </c>
      <c r="G459">
        <v>-1.6325314851130979E-2</v>
      </c>
      <c r="H459" t="s">
        <v>33</v>
      </c>
      <c r="J459" t="s">
        <v>490</v>
      </c>
      <c r="K459">
        <v>3.6560756493395852E-2</v>
      </c>
      <c r="L459" t="s">
        <v>33</v>
      </c>
    </row>
    <row r="460" spans="6:12" x14ac:dyDescent="0.2">
      <c r="F460" t="s">
        <v>491</v>
      </c>
      <c r="G460">
        <v>1.1456512072938629E-2</v>
      </c>
      <c r="H460" t="s">
        <v>33</v>
      </c>
      <c r="J460" t="s">
        <v>491</v>
      </c>
      <c r="K460">
        <v>1.5579915270805159E-2</v>
      </c>
      <c r="L460" t="s">
        <v>33</v>
      </c>
    </row>
    <row r="461" spans="6:12" x14ac:dyDescent="0.2">
      <c r="F461" t="s">
        <v>492</v>
      </c>
      <c r="G461">
        <v>-2.3661917413407511E-2</v>
      </c>
      <c r="H461" t="s">
        <v>33</v>
      </c>
      <c r="J461" t="s">
        <v>492</v>
      </c>
      <c r="K461">
        <v>4.3131151697177739E-3</v>
      </c>
      <c r="L461" t="s">
        <v>33</v>
      </c>
    </row>
    <row r="462" spans="6:12" x14ac:dyDescent="0.2">
      <c r="F462" t="s">
        <v>493</v>
      </c>
      <c r="G462">
        <v>6.9003247414898494E-2</v>
      </c>
      <c r="H462" t="s">
        <v>33</v>
      </c>
      <c r="J462" t="s">
        <v>493</v>
      </c>
      <c r="K462">
        <v>6.603875945324833E-2</v>
      </c>
      <c r="L462" t="s">
        <v>33</v>
      </c>
    </row>
    <row r="463" spans="6:12" x14ac:dyDescent="0.2">
      <c r="F463" t="s">
        <v>494</v>
      </c>
      <c r="G463">
        <v>4.9330222674065283E-2</v>
      </c>
      <c r="H463" t="s">
        <v>33</v>
      </c>
      <c r="J463" t="s">
        <v>494</v>
      </c>
      <c r="K463">
        <v>3.2077185348140969E-2</v>
      </c>
      <c r="L463" t="s">
        <v>33</v>
      </c>
    </row>
    <row r="464" spans="6:12" x14ac:dyDescent="0.2">
      <c r="F464" t="s">
        <v>495</v>
      </c>
      <c r="G464">
        <v>-2.346532703671456E-2</v>
      </c>
      <c r="H464" t="s">
        <v>33</v>
      </c>
      <c r="J464" t="s">
        <v>495</v>
      </c>
      <c r="K464">
        <v>-1.5896372317711349E-2</v>
      </c>
      <c r="L464" t="s">
        <v>33</v>
      </c>
    </row>
    <row r="465" spans="6:12" x14ac:dyDescent="0.2">
      <c r="F465" t="s">
        <v>496</v>
      </c>
      <c r="G465">
        <v>-2.57361593914649E-2</v>
      </c>
      <c r="H465" t="s">
        <v>33</v>
      </c>
      <c r="J465" t="s">
        <v>496</v>
      </c>
      <c r="K465">
        <v>-4.7703708429188363E-2</v>
      </c>
      <c r="L465" t="s">
        <v>33</v>
      </c>
    </row>
    <row r="466" spans="6:12" x14ac:dyDescent="0.2">
      <c r="F466" t="s">
        <v>497</v>
      </c>
      <c r="G466">
        <v>-3.4820865615987302E-2</v>
      </c>
      <c r="H466" t="s">
        <v>33</v>
      </c>
      <c r="J466" t="s">
        <v>497</v>
      </c>
      <c r="K466">
        <v>-2.1033069588506152E-2</v>
      </c>
      <c r="L466" t="s">
        <v>33</v>
      </c>
    </row>
    <row r="467" spans="6:12" x14ac:dyDescent="0.2">
      <c r="F467" t="s">
        <v>498</v>
      </c>
      <c r="G467">
        <v>7.4850014942967391E-2</v>
      </c>
      <c r="H467" t="s">
        <v>33</v>
      </c>
      <c r="J467" t="s">
        <v>498</v>
      </c>
      <c r="K467">
        <v>9.1347561637860064E-2</v>
      </c>
      <c r="L467" t="s">
        <v>33</v>
      </c>
    </row>
    <row r="468" spans="6:12" x14ac:dyDescent="0.2">
      <c r="F468" t="s">
        <v>499</v>
      </c>
      <c r="G468">
        <v>5.8371270368814621E-2</v>
      </c>
      <c r="H468" t="s">
        <v>33</v>
      </c>
      <c r="J468" t="s">
        <v>499</v>
      </c>
      <c r="K468">
        <v>4.540871819697645E-2</v>
      </c>
      <c r="L468" t="s">
        <v>33</v>
      </c>
    </row>
    <row r="469" spans="6:12" x14ac:dyDescent="0.2">
      <c r="F469" t="s">
        <v>500</v>
      </c>
      <c r="G469">
        <v>1.1102465905230561E-3</v>
      </c>
      <c r="H469" t="s">
        <v>33</v>
      </c>
      <c r="J469" t="s">
        <v>500</v>
      </c>
      <c r="K469">
        <v>1.6765301610684791E-2</v>
      </c>
      <c r="L469" t="s">
        <v>33</v>
      </c>
    </row>
    <row r="470" spans="6:12" x14ac:dyDescent="0.2">
      <c r="F470" t="s">
        <v>501</v>
      </c>
      <c r="G470">
        <v>2.694435961109054E-2</v>
      </c>
      <c r="H470" t="s">
        <v>33</v>
      </c>
      <c r="J470" t="s">
        <v>501</v>
      </c>
      <c r="K470">
        <v>5.338838671882451E-2</v>
      </c>
      <c r="L470" t="s">
        <v>33</v>
      </c>
    </row>
    <row r="471" spans="6:12" x14ac:dyDescent="0.2">
      <c r="F471" t="s">
        <v>502</v>
      </c>
      <c r="G471">
        <v>5.499411959534628E-2</v>
      </c>
      <c r="H471" t="s">
        <v>33</v>
      </c>
      <c r="J471" t="s">
        <v>502</v>
      </c>
      <c r="K471">
        <v>3.2163044676750907E-2</v>
      </c>
      <c r="L471" t="s">
        <v>33</v>
      </c>
    </row>
    <row r="472" spans="6:12" x14ac:dyDescent="0.2">
      <c r="F472" t="s">
        <v>503</v>
      </c>
      <c r="G472">
        <v>-3.383166925680714E-2</v>
      </c>
      <c r="H472" t="s">
        <v>33</v>
      </c>
      <c r="J472" t="s">
        <v>503</v>
      </c>
      <c r="K472">
        <v>-4.0856031128404642E-2</v>
      </c>
      <c r="L472" t="s">
        <v>33</v>
      </c>
    </row>
    <row r="473" spans="6:12" x14ac:dyDescent="0.2">
      <c r="F473" t="s">
        <v>504</v>
      </c>
      <c r="G473">
        <v>3.380983080303257E-2</v>
      </c>
      <c r="H473" t="s">
        <v>33</v>
      </c>
      <c r="J473" t="s">
        <v>504</v>
      </c>
      <c r="K473">
        <v>4.9574041463298579E-2</v>
      </c>
      <c r="L473" t="s">
        <v>33</v>
      </c>
    </row>
    <row r="474" spans="6:12" x14ac:dyDescent="0.2">
      <c r="F474" t="s">
        <v>505</v>
      </c>
      <c r="G474">
        <v>1.295912843191527E-3</v>
      </c>
      <c r="H474" t="s">
        <v>33</v>
      </c>
      <c r="J474" t="s">
        <v>505</v>
      </c>
      <c r="K474">
        <v>3.5880436489124312E-2</v>
      </c>
      <c r="L474" t="s">
        <v>33</v>
      </c>
    </row>
    <row r="475" spans="6:12" x14ac:dyDescent="0.2">
      <c r="F475" t="s">
        <v>506</v>
      </c>
      <c r="G475">
        <v>4.3997657919350397E-2</v>
      </c>
      <c r="H475" t="s">
        <v>33</v>
      </c>
      <c r="J475" t="s">
        <v>506</v>
      </c>
      <c r="K475">
        <v>1.2170006173224611E-2</v>
      </c>
      <c r="L475" t="s">
        <v>33</v>
      </c>
    </row>
    <row r="476" spans="6:12" x14ac:dyDescent="0.2">
      <c r="F476" t="s">
        <v>507</v>
      </c>
      <c r="G476">
        <v>1.9875489828323319E-2</v>
      </c>
      <c r="H476" t="s">
        <v>33</v>
      </c>
      <c r="J476" t="s">
        <v>507</v>
      </c>
      <c r="K476">
        <v>2.4232403279143892E-2</v>
      </c>
      <c r="L476" t="s">
        <v>33</v>
      </c>
    </row>
    <row r="477" spans="6:12" x14ac:dyDescent="0.2">
      <c r="F477" t="s">
        <v>508</v>
      </c>
      <c r="G477">
        <v>6.4085445358774704E-3</v>
      </c>
      <c r="H477" t="s">
        <v>33</v>
      </c>
      <c r="J477" t="s">
        <v>508</v>
      </c>
      <c r="K477">
        <v>2.1329234780977261E-2</v>
      </c>
      <c r="L477" t="s">
        <v>33</v>
      </c>
    </row>
    <row r="478" spans="6:12" x14ac:dyDescent="0.2">
      <c r="F478" t="s">
        <v>509</v>
      </c>
      <c r="G478">
        <v>-2.6249671503602019E-3</v>
      </c>
      <c r="H478" t="s">
        <v>33</v>
      </c>
      <c r="J478" t="s">
        <v>509</v>
      </c>
      <c r="K478">
        <v>-9.0464675265171657E-3</v>
      </c>
      <c r="L478" t="s">
        <v>33</v>
      </c>
    </row>
    <row r="479" spans="6:12" x14ac:dyDescent="0.2">
      <c r="F479" t="s">
        <v>510</v>
      </c>
      <c r="G479">
        <v>5.2713370961730677E-2</v>
      </c>
      <c r="H479" t="s">
        <v>33</v>
      </c>
      <c r="J479" t="s">
        <v>510</v>
      </c>
      <c r="K479">
        <v>5.8676173115403067E-2</v>
      </c>
      <c r="L479" t="s">
        <v>33</v>
      </c>
    </row>
    <row r="480" spans="6:12" x14ac:dyDescent="0.2">
      <c r="F480" t="s">
        <v>511</v>
      </c>
      <c r="G480">
        <v>-6.2559702148668239E-2</v>
      </c>
      <c r="H480" t="s">
        <v>33</v>
      </c>
      <c r="J480" t="s">
        <v>511</v>
      </c>
      <c r="K480">
        <v>-2.3809688866625819E-2</v>
      </c>
      <c r="L480" t="s">
        <v>33</v>
      </c>
    </row>
    <row r="481" spans="6:12" x14ac:dyDescent="0.2">
      <c r="F481" t="s">
        <v>512</v>
      </c>
      <c r="G481">
        <v>6.1510092200348858E-2</v>
      </c>
      <c r="H481" t="s">
        <v>33</v>
      </c>
      <c r="J481" t="s">
        <v>512</v>
      </c>
      <c r="K481">
        <v>2.7836697708514269E-2</v>
      </c>
      <c r="L481" t="s">
        <v>33</v>
      </c>
    </row>
    <row r="482" spans="6:12" x14ac:dyDescent="0.2">
      <c r="F482" t="s">
        <v>513</v>
      </c>
      <c r="G482">
        <v>8.1347790393200281E-3</v>
      </c>
      <c r="H482" t="s">
        <v>33</v>
      </c>
      <c r="J482" t="s">
        <v>513</v>
      </c>
      <c r="K482">
        <v>-1.305117575631509E-2</v>
      </c>
      <c r="L482" t="s">
        <v>33</v>
      </c>
    </row>
    <row r="483" spans="6:12" x14ac:dyDescent="0.2">
      <c r="F483" t="s">
        <v>514</v>
      </c>
      <c r="G483">
        <v>-3.2301369361757433E-2</v>
      </c>
      <c r="H483" t="s">
        <v>33</v>
      </c>
      <c r="J483" t="s">
        <v>514</v>
      </c>
      <c r="K483">
        <v>-5.6313819821245843E-2</v>
      </c>
      <c r="L483" t="s">
        <v>33</v>
      </c>
    </row>
    <row r="484" spans="6:12" x14ac:dyDescent="0.2">
      <c r="F484" t="s">
        <v>515</v>
      </c>
      <c r="G484">
        <v>-3.4711865945613707E-2</v>
      </c>
      <c r="H484" t="s">
        <v>33</v>
      </c>
      <c r="J484" t="s">
        <v>515</v>
      </c>
      <c r="K484">
        <v>-6.7761500154316368E-3</v>
      </c>
      <c r="L484" t="s">
        <v>33</v>
      </c>
    </row>
    <row r="485" spans="6:12" x14ac:dyDescent="0.2">
      <c r="F485" t="s">
        <v>516</v>
      </c>
      <c r="G485">
        <v>3.8128703796989287E-2</v>
      </c>
      <c r="H485" t="s">
        <v>33</v>
      </c>
      <c r="J485" t="s">
        <v>516</v>
      </c>
      <c r="K485">
        <v>6.2942461778869196E-2</v>
      </c>
      <c r="L485" t="s">
        <v>33</v>
      </c>
    </row>
    <row r="486" spans="6:12" x14ac:dyDescent="0.2">
      <c r="F486" t="s">
        <v>517</v>
      </c>
      <c r="G486">
        <v>3.6008118828349867E-2</v>
      </c>
      <c r="H486" t="s">
        <v>33</v>
      </c>
      <c r="J486" t="s">
        <v>517</v>
      </c>
      <c r="K486">
        <v>5.0850538641188159E-2</v>
      </c>
      <c r="L486" t="s">
        <v>33</v>
      </c>
    </row>
    <row r="487" spans="6:12" x14ac:dyDescent="0.2">
      <c r="F487" t="s">
        <v>518</v>
      </c>
      <c r="G487">
        <v>-1.1587262054538529E-2</v>
      </c>
      <c r="H487" t="s">
        <v>33</v>
      </c>
      <c r="J487" t="s">
        <v>518</v>
      </c>
      <c r="K487">
        <v>2.2366456437356689E-2</v>
      </c>
      <c r="L487" t="s">
        <v>33</v>
      </c>
    </row>
    <row r="488" spans="6:12" x14ac:dyDescent="0.2">
      <c r="F488" t="s">
        <v>519</v>
      </c>
      <c r="G488">
        <v>4.1150059586483323E-2</v>
      </c>
      <c r="H488" t="s">
        <v>33</v>
      </c>
      <c r="J488" t="s">
        <v>519</v>
      </c>
      <c r="K488">
        <v>2.0298412893192671E-2</v>
      </c>
      <c r="L488" t="s">
        <v>33</v>
      </c>
    </row>
    <row r="489" spans="6:12" x14ac:dyDescent="0.2">
      <c r="F489" t="s">
        <v>520</v>
      </c>
      <c r="G489">
        <v>-7.9626538384836021E-4</v>
      </c>
      <c r="H489" t="s">
        <v>33</v>
      </c>
      <c r="J489" t="s">
        <v>520</v>
      </c>
      <c r="K489">
        <v>3.6482756899317133E-2</v>
      </c>
      <c r="L489" t="s">
        <v>33</v>
      </c>
    </row>
    <row r="490" spans="6:12" x14ac:dyDescent="0.2">
      <c r="F490" t="s">
        <v>521</v>
      </c>
      <c r="G490">
        <v>-6.1755036929097562E-3</v>
      </c>
      <c r="H490" t="s">
        <v>33</v>
      </c>
      <c r="J490" t="s">
        <v>521</v>
      </c>
      <c r="K490">
        <v>2.340433090568372E-2</v>
      </c>
      <c r="L490" t="s">
        <v>33</v>
      </c>
    </row>
    <row r="491" spans="6:12" x14ac:dyDescent="0.2">
      <c r="F491" t="s">
        <v>522</v>
      </c>
      <c r="G491">
        <v>1.271683412747393E-2</v>
      </c>
      <c r="H491" t="s">
        <v>33</v>
      </c>
      <c r="J491" t="s">
        <v>522</v>
      </c>
      <c r="K491">
        <v>2.4480572525962252E-3</v>
      </c>
      <c r="L491" t="s">
        <v>33</v>
      </c>
    </row>
    <row r="492" spans="6:12" x14ac:dyDescent="0.2">
      <c r="F492" t="s">
        <v>523</v>
      </c>
      <c r="G492">
        <v>1.7694046045920508E-2</v>
      </c>
      <c r="H492" t="s">
        <v>33</v>
      </c>
      <c r="J492" t="s">
        <v>523</v>
      </c>
      <c r="K492">
        <v>5.8379473558356487E-4</v>
      </c>
      <c r="L492" t="s">
        <v>33</v>
      </c>
    </row>
    <row r="493" spans="6:12" x14ac:dyDescent="0.2">
      <c r="F493" t="s">
        <v>524</v>
      </c>
      <c r="G493">
        <v>1.506931872818584E-2</v>
      </c>
      <c r="H493" t="s">
        <v>33</v>
      </c>
      <c r="J493" t="s">
        <v>524</v>
      </c>
      <c r="K493">
        <v>1.450698549265006E-2</v>
      </c>
      <c r="L493" t="s">
        <v>33</v>
      </c>
    </row>
    <row r="494" spans="6:12" x14ac:dyDescent="0.2">
      <c r="F494" t="s">
        <v>525</v>
      </c>
      <c r="G494">
        <v>2.315910843911162E-2</v>
      </c>
      <c r="H494" t="s">
        <v>33</v>
      </c>
      <c r="J494" t="s">
        <v>525</v>
      </c>
      <c r="K494">
        <v>-7.6205501371122697E-3</v>
      </c>
      <c r="L494" t="s">
        <v>33</v>
      </c>
    </row>
    <row r="495" spans="6:12" x14ac:dyDescent="0.2">
      <c r="F495" t="s">
        <v>526</v>
      </c>
      <c r="G495">
        <v>-6.384215964563833E-2</v>
      </c>
      <c r="H495" t="s">
        <v>33</v>
      </c>
      <c r="J495" t="s">
        <v>526</v>
      </c>
      <c r="K495">
        <v>-5.3219913045531753E-2</v>
      </c>
      <c r="L495" t="s">
        <v>33</v>
      </c>
    </row>
  </sheetData>
  <phoneticPr fontId="4" type="noConversion"/>
  <pageMargins left="0.7" right="0.7" top="0.75" bottom="0.75" header="0.3" footer="0.3"/>
  <pageSetup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A73C85F7-941F-44DF-9415-876AA20FC6DA}">
  <ds:schemaRefs/>
</ds:datastoreItem>
</file>

<file path=customXml/itemProps2.xml><?xml version="1.0" encoding="utf-8"?>
<ds:datastoreItem xmlns:ds="http://schemas.openxmlformats.org/officeDocument/2006/customXml" ds:itemID="{B693C2A1-066A-42F1-A7B1-8A46563AE3E2}">
  <ds:schemaRefs/>
</ds:datastoreItem>
</file>

<file path=customXml/itemProps3.xml><?xml version="1.0" encoding="utf-8"?>
<ds:datastoreItem xmlns:ds="http://schemas.openxmlformats.org/officeDocument/2006/customXml" ds:itemID="{610311A1-C080-4C61-843D-3F9430855348}">
  <ds:schemaRefs/>
</ds:datastoreItem>
</file>

<file path=customXml/itemProps4.xml><?xml version="1.0" encoding="utf-8"?>
<ds:datastoreItem xmlns:ds="http://schemas.openxmlformats.org/officeDocument/2006/customXml" ds:itemID="{F0C8C45B-5467-45FA-AAFD-82A4C40B12D3}">
  <ds:schemaRefs/>
</ds:datastoreItem>
</file>

<file path=customXml/itemProps5.xml><?xml version="1.0" encoding="utf-8"?>
<ds:datastoreItem xmlns:ds="http://schemas.openxmlformats.org/officeDocument/2006/customXml" ds:itemID="{4CCAE433-3CC3-439D-81C1-78E6C5BAD7F7}">
  <ds:schemaRefs/>
</ds:datastoreItem>
</file>

<file path=customXml/itemProps6.xml><?xml version="1.0" encoding="utf-8"?>
<ds:datastoreItem xmlns:ds="http://schemas.openxmlformats.org/officeDocument/2006/customXml" ds:itemID="{22FFE149-4A23-47DB-A177-618DAFD25093}">
  <ds:schemaRefs/>
</ds:datastoreItem>
</file>

<file path=customXml/itemProps7.xml><?xml version="1.0" encoding="utf-8"?>
<ds:datastoreItem xmlns:ds="http://schemas.openxmlformats.org/officeDocument/2006/customXml" ds:itemID="{6408D763-89C2-4A7F-83E4-C7F0CC55AD20}">
  <ds:schemaRefs/>
</ds:datastoreItem>
</file>

<file path=customXml/itemProps8.xml><?xml version="1.0" encoding="utf-8"?>
<ds:datastoreItem xmlns:ds="http://schemas.openxmlformats.org/officeDocument/2006/customXml" ds:itemID="{363E39E5-8756-422C-BA6C-45A1F78A7378}">
  <ds:schemaRefs/>
</ds:datastoreItem>
</file>

<file path=customXml/itemProps9.xml><?xml version="1.0" encoding="utf-8"?>
<ds:datastoreItem xmlns:ds="http://schemas.openxmlformats.org/officeDocument/2006/customXml" ds:itemID="{5EDE92DC-C798-4ADD-B75F-65D8CE132ECB}">
  <ds:schemaRefs/>
</ds:datastoreItem>
</file>

<file path=customXml/itemProps10.xml><?xml version="1.0" encoding="utf-8"?>
<ds:datastoreItem xmlns:ds="http://schemas.openxmlformats.org/officeDocument/2006/customXml" ds:itemID="{7D588D0E-6B13-4736-AEBC-7057D47D3CB5}">
  <ds:schemaRefs/>
</ds:datastoreItem>
</file>

<file path=customXml/itemProps11.xml><?xml version="1.0" encoding="utf-8"?>
<ds:datastoreItem xmlns:ds="http://schemas.openxmlformats.org/officeDocument/2006/customXml" ds:itemID="{8D5AF2F2-4814-411E-9B8D-A9760D9D70B7}">
  <ds:schemaRefs/>
</ds:datastoreItem>
</file>

<file path=customXml/itemProps12.xml><?xml version="1.0" encoding="utf-8"?>
<ds:datastoreItem xmlns:ds="http://schemas.openxmlformats.org/officeDocument/2006/customXml" ds:itemID="{59DC72B4-0BA6-4BD9-8E02-F43ABE0E1132}">
  <ds:schemaRefs>
    <ds:schemaRef ds:uri="http://schemas.microsoft.com/DataMashup"/>
  </ds:schemaRefs>
</ds:datastoreItem>
</file>

<file path=customXml/itemProps13.xml><?xml version="1.0" encoding="utf-8"?>
<ds:datastoreItem xmlns:ds="http://schemas.openxmlformats.org/officeDocument/2006/customXml" ds:itemID="{6AE51B09-FDE6-444E-BBFD-2BDD4A6B2E9B}">
  <ds:schemaRefs/>
</ds:datastoreItem>
</file>

<file path=customXml/itemProps14.xml><?xml version="1.0" encoding="utf-8"?>
<ds:datastoreItem xmlns:ds="http://schemas.openxmlformats.org/officeDocument/2006/customXml" ds:itemID="{C72B95C6-AF4C-472A-8D0D-4CEE9C72B422}">
  <ds:schemaRefs/>
</ds:datastoreItem>
</file>

<file path=customXml/itemProps15.xml><?xml version="1.0" encoding="utf-8"?>
<ds:datastoreItem xmlns:ds="http://schemas.openxmlformats.org/officeDocument/2006/customXml" ds:itemID="{E7D3E5D7-FFAE-4D9E-8C45-31A81C0186B3}">
  <ds:schemaRefs/>
</ds:datastoreItem>
</file>

<file path=customXml/itemProps16.xml><?xml version="1.0" encoding="utf-8"?>
<ds:datastoreItem xmlns:ds="http://schemas.openxmlformats.org/officeDocument/2006/customXml" ds:itemID="{761731AB-A141-4D84-BDCB-1EC22A85F9F3}">
  <ds:schemaRefs/>
</ds:datastoreItem>
</file>

<file path=customXml/itemProps17.xml><?xml version="1.0" encoding="utf-8"?>
<ds:datastoreItem xmlns:ds="http://schemas.openxmlformats.org/officeDocument/2006/customXml" ds:itemID="{AF5194B4-C9F1-4B8F-BBDD-4D2D8B510EBF}">
  <ds:schemaRefs/>
</ds:datastoreItem>
</file>

<file path=customXml/itemProps18.xml><?xml version="1.0" encoding="utf-8"?>
<ds:datastoreItem xmlns:ds="http://schemas.openxmlformats.org/officeDocument/2006/customXml" ds:itemID="{41CC2254-8594-494A-9DDA-C89C04EB56D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Formulas</vt:lpstr>
      <vt:lpstr>Data</vt:lpstr>
      <vt:lpstr>Benchmark</vt:lpstr>
      <vt:lpstr>Fund</vt:lpstr>
      <vt:lpstr>Rfr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Cheung Cheng</dc:creator>
  <cp:lastModifiedBy>Michael Pan</cp:lastModifiedBy>
  <dcterms:created xsi:type="dcterms:W3CDTF">2015-06-05T18:17:20Z</dcterms:created>
  <dcterms:modified xsi:type="dcterms:W3CDTF">2026-04-07T17:17:36Z</dcterms:modified>
</cp:coreProperties>
</file>