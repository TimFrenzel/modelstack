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investing\bond-ladder-notes\"/>
    </mc:Choice>
  </mc:AlternateContent>
  <xr:revisionPtr revIDLastSave="0" documentId="13_ncr:1_{CBFDDEA8-3E95-4726-8349-28BC626A4A3D}" xr6:coauthVersionLast="47" xr6:coauthVersionMax="47" xr10:uidLastSave="{00000000-0000-0000-0000-000000000000}"/>
  <bookViews>
    <workbookView xWindow="-35520" yWindow="2145" windowWidth="28800" windowHeight="15345" activeTab="3" xr2:uid="{00000000-000D-0000-FFFF-FFFF00000000}"/>
  </bookViews>
  <sheets>
    <sheet name="Ladder Setup" sheetId="1" r:id="rId1"/>
    <sheet name="Cash Flow Schedule" sheetId="2" r:id="rId2"/>
    <sheet name="Reinvestment View" sheetId="3" r:id="rId3"/>
    <sheet name="Summary &amp; Sensitiv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C11" i="3"/>
  <c r="A11" i="3"/>
  <c r="D10" i="3"/>
  <c r="C10" i="3"/>
  <c r="A10" i="3"/>
  <c r="F10" i="3" s="1"/>
  <c r="D9" i="3"/>
  <c r="C9" i="3"/>
  <c r="A9" i="3"/>
  <c r="D8" i="3"/>
  <c r="C8" i="3"/>
  <c r="A8" i="3"/>
  <c r="D7" i="3"/>
  <c r="C7" i="3"/>
  <c r="A7" i="3"/>
  <c r="D6" i="3"/>
  <c r="C6" i="3"/>
  <c r="A6" i="3"/>
  <c r="D5" i="3"/>
  <c r="C5" i="3"/>
  <c r="A5" i="3"/>
  <c r="D4" i="3"/>
  <c r="C4" i="3"/>
  <c r="A4" i="3"/>
  <c r="D3" i="3"/>
  <c r="C3" i="3"/>
  <c r="A3" i="3"/>
  <c r="D2" i="3"/>
  <c r="C2" i="3"/>
  <c r="A2" i="3"/>
  <c r="E11" i="2"/>
  <c r="C11" i="2"/>
  <c r="B6" i="4" s="1"/>
  <c r="E10" i="2"/>
  <c r="C10" i="2"/>
  <c r="B10" i="3" s="1"/>
  <c r="E10" i="3" s="1"/>
  <c r="E9" i="2"/>
  <c r="C9" i="2"/>
  <c r="B9" i="3" s="1"/>
  <c r="E8" i="2"/>
  <c r="C8" i="2"/>
  <c r="B8" i="3" s="1"/>
  <c r="E7" i="2"/>
  <c r="C7" i="2"/>
  <c r="B7" i="3" s="1"/>
  <c r="E7" i="3" s="1"/>
  <c r="E6" i="2"/>
  <c r="C6" i="2"/>
  <c r="B6" i="3" s="1"/>
  <c r="E6" i="3" s="1"/>
  <c r="E5" i="2"/>
  <c r="C5" i="2"/>
  <c r="B5" i="3" s="1"/>
  <c r="E4" i="2"/>
  <c r="C4" i="2"/>
  <c r="B4" i="3" s="1"/>
  <c r="E3" i="2"/>
  <c r="C3" i="2"/>
  <c r="B3" i="3" s="1"/>
  <c r="E3" i="3" s="1"/>
  <c r="E2" i="2"/>
  <c r="C2" i="2"/>
  <c r="B2" i="3" s="1"/>
  <c r="J8" i="1"/>
  <c r="I8" i="1"/>
  <c r="L8" i="1" s="1"/>
  <c r="E8" i="1"/>
  <c r="J7" i="1"/>
  <c r="I7" i="1"/>
  <c r="E7" i="1"/>
  <c r="J6" i="1"/>
  <c r="I6" i="1"/>
  <c r="E6" i="1"/>
  <c r="J5" i="1"/>
  <c r="I5" i="1"/>
  <c r="E5" i="1"/>
  <c r="J4" i="1"/>
  <c r="I4" i="1"/>
  <c r="E4" i="1"/>
  <c r="P3" i="1"/>
  <c r="B2" i="4" s="1"/>
  <c r="J3" i="1"/>
  <c r="I3" i="1"/>
  <c r="E3" i="1"/>
  <c r="J2" i="1"/>
  <c r="I2" i="1"/>
  <c r="E2" i="1"/>
  <c r="E8" i="3" l="1"/>
  <c r="F7" i="3"/>
  <c r="E9" i="3"/>
  <c r="F3" i="3"/>
  <c r="F2" i="3"/>
  <c r="F5" i="3"/>
  <c r="F9" i="3"/>
  <c r="I10" i="3"/>
  <c r="E2" i="3"/>
  <c r="F11" i="3"/>
  <c r="E4" i="3"/>
  <c r="F4" i="3"/>
  <c r="F6" i="3"/>
  <c r="F8" i="3"/>
  <c r="L6" i="1"/>
  <c r="L5" i="1"/>
  <c r="L7" i="1"/>
  <c r="P2" i="1"/>
  <c r="B1" i="4" s="1"/>
  <c r="B3" i="2"/>
  <c r="D3" i="2" s="1"/>
  <c r="F3" i="2" s="1"/>
  <c r="P4" i="1"/>
  <c r="B3" i="4" s="1"/>
  <c r="L4" i="1"/>
  <c r="L3" i="1"/>
  <c r="E5" i="3"/>
  <c r="B9" i="2"/>
  <c r="D9" i="2" s="1"/>
  <c r="F9" i="2" s="1"/>
  <c r="B5" i="2"/>
  <c r="D5" i="2" s="1"/>
  <c r="F5" i="2" s="1"/>
  <c r="L2" i="1"/>
  <c r="P5" i="1" s="1"/>
  <c r="B6" i="2"/>
  <c r="D6" i="2" s="1"/>
  <c r="F6" i="2" s="1"/>
  <c r="B11" i="3"/>
  <c r="E11" i="3" s="1"/>
  <c r="B2" i="2"/>
  <c r="B11" i="2"/>
  <c r="D11" i="2" s="1"/>
  <c r="F11" i="2" s="1"/>
  <c r="B8" i="2"/>
  <c r="D8" i="2" s="1"/>
  <c r="F8" i="2" s="1"/>
  <c r="B10" i="2"/>
  <c r="D10" i="2" s="1"/>
  <c r="F10" i="2" s="1"/>
  <c r="B7" i="2"/>
  <c r="D7" i="2" s="1"/>
  <c r="F7" i="2" s="1"/>
  <c r="B4" i="2"/>
  <c r="D4" i="2" s="1"/>
  <c r="F4" i="2" s="1"/>
  <c r="I9" i="3" l="1"/>
  <c r="D2" i="2"/>
  <c r="F2" i="2" s="1"/>
  <c r="P6" i="1"/>
  <c r="B5" i="4" s="1"/>
  <c r="F15" i="4"/>
  <c r="D11" i="4"/>
  <c r="C14" i="4"/>
  <c r="E15" i="4"/>
  <c r="C11" i="4"/>
  <c r="D15" i="4"/>
  <c r="B11" i="4"/>
  <c r="C15" i="4"/>
  <c r="B15" i="4"/>
  <c r="F14" i="4"/>
  <c r="B4" i="4"/>
  <c r="E14" i="4"/>
  <c r="B12" i="4"/>
  <c r="D14" i="4"/>
  <c r="B14" i="4"/>
  <c r="F13" i="4"/>
  <c r="E13" i="4"/>
  <c r="D13" i="4"/>
  <c r="C13" i="4"/>
  <c r="B13" i="4"/>
  <c r="F12" i="4"/>
  <c r="E12" i="4"/>
  <c r="D12" i="4"/>
  <c r="C12" i="4"/>
  <c r="F11" i="4"/>
  <c r="E11" i="4"/>
  <c r="I8" i="3"/>
</calcChain>
</file>

<file path=xl/sharedStrings.xml><?xml version="1.0" encoding="utf-8"?>
<sst xmlns="http://schemas.openxmlformats.org/spreadsheetml/2006/main" count="67" uniqueCount="55">
  <si>
    <t>Bond ID</t>
  </si>
  <si>
    <t>Type</t>
  </si>
  <si>
    <t>Purchase Date</t>
  </si>
  <si>
    <t>Maturity Date</t>
  </si>
  <si>
    <t>Years to Maturity</t>
  </si>
  <si>
    <t>Par Value</t>
  </si>
  <si>
    <t>Coupon Rate</t>
  </si>
  <si>
    <t>Purchase Price (% of par)</t>
  </si>
  <si>
    <t>Cost Basis</t>
  </si>
  <si>
    <t>Coupon / Year</t>
  </si>
  <si>
    <t>Coupon Frequency</t>
  </si>
  <si>
    <t>Yield Approx.</t>
  </si>
  <si>
    <t>Reinvest At Maturity</t>
  </si>
  <si>
    <t>Ladder totals</t>
  </si>
  <si>
    <t>2Y Tsy</t>
  </si>
  <si>
    <t>Treasury</t>
  </si>
  <si>
    <t>Yes</t>
  </si>
  <si>
    <t>Total ladder cost</t>
  </si>
  <si>
    <t>4Y Tsy</t>
  </si>
  <si>
    <t>Total par value</t>
  </si>
  <si>
    <t>Bank CD</t>
  </si>
  <si>
    <t>CD</t>
  </si>
  <si>
    <t>No</t>
  </si>
  <si>
    <t>Weighted avg maturity</t>
  </si>
  <si>
    <t>City muni</t>
  </si>
  <si>
    <t>Municipal</t>
  </si>
  <si>
    <t>Weighted avg yield</t>
  </si>
  <si>
    <t>Corp 32</t>
  </si>
  <si>
    <t>Corporate</t>
  </si>
  <si>
    <t>Year 1 coupon income</t>
  </si>
  <si>
    <t>10Y Tsy</t>
  </si>
  <si>
    <t>Long CD</t>
  </si>
  <si>
    <t>Calendar Year</t>
  </si>
  <si>
    <t>Coupon Income</t>
  </si>
  <si>
    <t>Maturity Principal</t>
  </si>
  <si>
    <t>Total Cash Flow</t>
  </si>
  <si>
    <t>Reinvested Amount</t>
  </si>
  <si>
    <t>Net Cash Available</t>
  </si>
  <si>
    <t>Reinvestment Rate</t>
  </si>
  <si>
    <t>New Bond Term</t>
  </si>
  <si>
    <t>Reinvest All Maturities?</t>
  </si>
  <si>
    <t>Maturity Year</t>
  </si>
  <si>
    <t>Principal Maturing</t>
  </si>
  <si>
    <t>Reinvest Rate</t>
  </si>
  <si>
    <t>New Term (years)</t>
  </si>
  <si>
    <t>New Coupon Income</t>
  </si>
  <si>
    <t>New Maturity Year</t>
  </si>
  <si>
    <t>Roll Summary</t>
  </si>
  <si>
    <t>Total rolled principal</t>
  </si>
  <si>
    <t>Incremental coupon</t>
  </si>
  <si>
    <t>Average reinvest rate</t>
  </si>
  <si>
    <t>Total cost</t>
  </si>
  <si>
    <t>Total par</t>
  </si>
  <si>
    <t>Year 10 ending par</t>
  </si>
  <si>
    <t>Reinvest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</si>
</sst>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FFF2CC"/>
      </patternFill>
    </fill>
    <fill>
      <patternFill patternType="solid">
        <fgColor rgb="FFE4EA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14" fontId="2" fillId="3" borderId="0" xfId="0" applyNumberFormat="1" applyFont="1" applyFill="1" applyAlignment="1">
      <alignment vertical="center"/>
    </xf>
    <xf numFmtId="2" fontId="3" fillId="0" borderId="0" xfId="0" applyNumberFormat="1" applyFont="1" applyAlignment="1">
      <alignment vertical="center"/>
    </xf>
    <xf numFmtId="164" fontId="2" fillId="3" borderId="0" xfId="0" applyNumberFormat="1" applyFont="1" applyFill="1" applyAlignment="1">
      <alignment vertical="center"/>
    </xf>
    <xf numFmtId="10" fontId="2" fillId="3" borderId="0" xfId="0" applyNumberFormat="1" applyFont="1" applyFill="1" applyAlignment="1">
      <alignment vertical="center"/>
    </xf>
    <xf numFmtId="2" fontId="2" fillId="3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3" fontId="2" fillId="3" borderId="0" xfId="0" applyNumberFormat="1" applyFont="1" applyFill="1" applyAlignment="1">
      <alignment vertical="center"/>
    </xf>
    <xf numFmtId="10" fontId="3" fillId="0" borderId="0" xfId="0" applyNumberFormat="1" applyFont="1" applyAlignment="1">
      <alignment vertical="center"/>
    </xf>
    <xf numFmtId="0" fontId="2" fillId="4" borderId="1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164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10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 sz="1800" b="0"/>
            </a:pPr>
            <a:r>
              <a:rPr lang="en-US" sz="1800" b="0"/>
              <a:t>Maturity years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9633398551926944E-2"/>
          <c:y val="0.1763888888888889"/>
          <c:w val="0.78671246061214994"/>
          <c:h val="0.7177777777777777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'Ladder Setup'!$E$1</c:f>
              <c:strCache>
                <c:ptCount val="1"/>
                <c:pt idx="0">
                  <c:v>Years to Maturity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'Ladder Setup'!$A$2:$A$8</c:f>
              <c:strCache>
                <c:ptCount val="7"/>
                <c:pt idx="0">
                  <c:v>2Y Tsy</c:v>
                </c:pt>
                <c:pt idx="1">
                  <c:v>4Y Tsy</c:v>
                </c:pt>
                <c:pt idx="2">
                  <c:v>Bank CD</c:v>
                </c:pt>
                <c:pt idx="3">
                  <c:v>City muni</c:v>
                </c:pt>
                <c:pt idx="4">
                  <c:v>Corp 32</c:v>
                </c:pt>
                <c:pt idx="5">
                  <c:v>10Y Tsy</c:v>
                </c:pt>
                <c:pt idx="6">
                  <c:v>Long CD</c:v>
                </c:pt>
              </c:strCache>
            </c:strRef>
          </c:cat>
          <c:val>
            <c:numRef>
              <c:f>'Ladder Setup'!$E$2:$E$8</c:f>
              <c:numCache>
                <c:formatCode>0.00</c:formatCode>
                <c:ptCount val="7"/>
                <c:pt idx="0">
                  <c:v>1.2</c:v>
                </c:pt>
                <c:pt idx="1">
                  <c:v>2.4164383561643836</c:v>
                </c:pt>
                <c:pt idx="2">
                  <c:v>3.0136986301369864</c:v>
                </c:pt>
                <c:pt idx="3">
                  <c:v>4.3178082191780822</c:v>
                </c:pt>
                <c:pt idx="4">
                  <c:v>6.0575342465753428</c:v>
                </c:pt>
                <c:pt idx="5">
                  <c:v>8.5671232876712331</c:v>
                </c:pt>
                <c:pt idx="6">
                  <c:v>9.9232876712328775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1-4F51-AF0D-B16AC1590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Years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Bond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 sz="1800" b="0"/>
            </a:pPr>
            <a:r>
              <a:rPr lang="en-US" sz="1800" b="0"/>
              <a:t>Cash by year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4237288135593219E-2"/>
          <c:y val="0.21670634920634921"/>
          <c:w val="0.92090395480225984"/>
          <c:h val="0.67746031746031732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'Cash Flow Schedule'!$B$1</c:f>
              <c:strCache>
                <c:ptCount val="1"/>
                <c:pt idx="0">
                  <c:v>Coupon Income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'Cash Flow Schedule'!$A$2:$A$11</c:f>
              <c:numCache>
                <c:formatCode>#,##0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'Cash Flow Schedule'!$B$2:$B$11</c:f>
              <c:numCache>
                <c:formatCode>"$"#,##0</c:formatCode>
                <c:ptCount val="10"/>
                <c:pt idx="0">
                  <c:v>6831</c:v>
                </c:pt>
                <c:pt idx="1">
                  <c:v>5856</c:v>
                </c:pt>
                <c:pt idx="2">
                  <c:v>4626</c:v>
                </c:pt>
                <c:pt idx="3">
                  <c:v>3746</c:v>
                </c:pt>
                <c:pt idx="4">
                  <c:v>3071</c:v>
                </c:pt>
                <c:pt idx="5">
                  <c:v>3071</c:v>
                </c:pt>
                <c:pt idx="6">
                  <c:v>1916</c:v>
                </c:pt>
                <c:pt idx="7">
                  <c:v>1916</c:v>
                </c:pt>
                <c:pt idx="8">
                  <c:v>720</c:v>
                </c:pt>
                <c:pt idx="9">
                  <c:v>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1-4A06-96CA-D77F199452A3}"/>
            </c:ext>
          </c:extLst>
        </c:ser>
        <c:ser>
          <c:idx val="1"/>
          <c:order val="1"/>
          <c:tx>
            <c:strRef>
              <c:f>'Cash Flow Schedule'!$C$1</c:f>
              <c:strCache>
                <c:ptCount val="1"/>
                <c:pt idx="0">
                  <c:v>Maturity Principal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'Cash Flow Schedule'!$A$2:$A$11</c:f>
              <c:numCache>
                <c:formatCode>#,##0</c:formatCode>
                <c:ptCount val="1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</c:numCache>
            </c:numRef>
          </c:cat>
          <c:val>
            <c:numRef>
              <c:f>'Cash Flow Schedule'!$C$2:$C$11</c:f>
              <c:numCache>
                <c:formatCode>"$"#,##0</c:formatCode>
                <c:ptCount val="10"/>
                <c:pt idx="0">
                  <c:v>25000</c:v>
                </c:pt>
                <c:pt idx="1">
                  <c:v>30000</c:v>
                </c:pt>
                <c:pt idx="2">
                  <c:v>20000</c:v>
                </c:pt>
                <c:pt idx="3">
                  <c:v>18000</c:v>
                </c:pt>
                <c:pt idx="4">
                  <c:v>0</c:v>
                </c:pt>
                <c:pt idx="5">
                  <c:v>22000</c:v>
                </c:pt>
                <c:pt idx="6">
                  <c:v>0</c:v>
                </c:pt>
                <c:pt idx="7">
                  <c:v>26000</c:v>
                </c:pt>
                <c:pt idx="8">
                  <c:v>0</c:v>
                </c:pt>
                <c:pt idx="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1-4A06-96CA-D77F19945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Dollars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sz="1800" b="0"/>
              <a:t>Yield check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4145516074450083E-2"/>
          <c:y val="0.1763888888888889"/>
          <c:w val="0.75283655532906102"/>
          <c:h val="0.70265873015873004"/>
        </c:manualLayout>
      </c:layout>
      <c:lineChart>
        <c:grouping val="standard"/>
        <c:varyColors val="1"/>
        <c:ser>
          <c:idx val="0"/>
          <c:order val="0"/>
          <c:tx>
            <c:strRef>
              <c:f>'Ladder Setup'!$L$1</c:f>
              <c:strCache>
                <c:ptCount val="1"/>
                <c:pt idx="0">
                  <c:v>Yield Approx.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'Ladder Setup'!$A$2:$A$8</c:f>
              <c:strCache>
                <c:ptCount val="7"/>
                <c:pt idx="0">
                  <c:v>2Y Tsy</c:v>
                </c:pt>
                <c:pt idx="1">
                  <c:v>4Y Tsy</c:v>
                </c:pt>
                <c:pt idx="2">
                  <c:v>Bank CD</c:v>
                </c:pt>
                <c:pt idx="3">
                  <c:v>City muni</c:v>
                </c:pt>
                <c:pt idx="4">
                  <c:v>Corp 32</c:v>
                </c:pt>
                <c:pt idx="5">
                  <c:v>10Y Tsy</c:v>
                </c:pt>
                <c:pt idx="6">
                  <c:v>Long CD</c:v>
                </c:pt>
              </c:strCache>
            </c:strRef>
          </c:cat>
          <c:val>
            <c:numRef>
              <c:f>'Ladder Setup'!$L$2:$L$8</c:f>
              <c:numCache>
                <c:formatCode>0.00%</c:formatCode>
                <c:ptCount val="7"/>
                <c:pt idx="0">
                  <c:v>3.9314516129032258E-2</c:v>
                </c:pt>
                <c:pt idx="1">
                  <c:v>4.1123370110330994E-2</c:v>
                </c:pt>
                <c:pt idx="2">
                  <c:v>4.3999999999999997E-2</c:v>
                </c:pt>
                <c:pt idx="3">
                  <c:v>3.834355828220859E-2</c:v>
                </c:pt>
                <c:pt idx="4">
                  <c:v>5.3299492385786802E-2</c:v>
                </c:pt>
                <c:pt idx="5">
                  <c:v>4.7767393561786088E-2</c:v>
                </c:pt>
                <c:pt idx="6">
                  <c:v>4.8000000000000001E-2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D1-40E2-8650-31EA50A21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 sz="1100"/>
                  <a:t>Yield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76201</xdr:colOff>
      <xdr:row>0</xdr:row>
      <xdr:rowOff>0</xdr:rowOff>
    </xdr:from>
    <xdr:ext cx="5629274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66675</xdr:colOff>
      <xdr:row>14</xdr:row>
      <xdr:rowOff>9525</xdr:rowOff>
    </xdr:from>
    <xdr:ext cx="561975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66674</xdr:colOff>
      <xdr:row>28</xdr:row>
      <xdr:rowOff>95250</xdr:rowOff>
    </xdr:from>
    <xdr:ext cx="5629275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showGridLines="0" zoomScale="145" zoomScaleNormal="145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9.42578125" bestFit="1" customWidth="1"/>
    <col min="2" max="2" width="9.85546875" bestFit="1" customWidth="1"/>
    <col min="3" max="3" width="13.7109375" bestFit="1" customWidth="1"/>
    <col min="4" max="4" width="13.42578125" bestFit="1" customWidth="1"/>
    <col min="5" max="5" width="16.42578125" bestFit="1" customWidth="1"/>
    <col min="6" max="6" width="9.42578125" bestFit="1" customWidth="1"/>
    <col min="7" max="7" width="12.28515625" bestFit="1" customWidth="1"/>
    <col min="8" max="8" width="23.28515625" bestFit="1" customWidth="1"/>
    <col min="9" max="9" width="9.7109375" bestFit="1" customWidth="1"/>
    <col min="10" max="10" width="13.7109375" bestFit="1" customWidth="1"/>
    <col min="11" max="11" width="17.85546875" bestFit="1" customWidth="1"/>
    <col min="12" max="12" width="13.140625" bestFit="1" customWidth="1"/>
    <col min="13" max="13" width="19.5703125" bestFit="1" customWidth="1"/>
    <col min="14" max="14" width="9.42578125" customWidth="1"/>
    <col min="15" max="15" width="21.5703125" bestFit="1" customWidth="1"/>
    <col min="16" max="16" width="9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2" t="s">
        <v>13</v>
      </c>
      <c r="P1" s="1"/>
    </row>
    <row r="2" spans="1:16" x14ac:dyDescent="0.25">
      <c r="A2" s="3" t="s">
        <v>14</v>
      </c>
      <c r="B2" s="3" t="s">
        <v>15</v>
      </c>
      <c r="C2" s="4">
        <v>46115</v>
      </c>
      <c r="D2" s="4">
        <v>46553</v>
      </c>
      <c r="E2" s="5">
        <f t="shared" ref="E2:E8" si="0">(D2-C2)/365</f>
        <v>1.2</v>
      </c>
      <c r="F2" s="6">
        <v>25000</v>
      </c>
      <c r="G2" s="7">
        <v>3.9E-2</v>
      </c>
      <c r="H2" s="8">
        <v>99.2</v>
      </c>
      <c r="I2" s="9">
        <f t="shared" ref="I2:I8" si="1">F2*H2/100</f>
        <v>24800</v>
      </c>
      <c r="J2" s="9">
        <f t="shared" ref="J2:J8" si="2">F2*G2</f>
        <v>975</v>
      </c>
      <c r="K2" s="10">
        <v>2</v>
      </c>
      <c r="L2" s="11">
        <f t="shared" ref="L2:L8" si="3">IF(I2=0,0,J2/I2)</f>
        <v>3.9314516129032258E-2</v>
      </c>
      <c r="M2" s="3" t="s">
        <v>16</v>
      </c>
      <c r="N2" s="1"/>
      <c r="O2" s="12" t="s">
        <v>17</v>
      </c>
      <c r="P2" s="16">
        <f>SUM(I2:I8)</f>
        <v>154022</v>
      </c>
    </row>
    <row r="3" spans="1:16" x14ac:dyDescent="0.25">
      <c r="A3" s="3" t="s">
        <v>18</v>
      </c>
      <c r="B3" s="3" t="s">
        <v>15</v>
      </c>
      <c r="C3" s="4">
        <v>46129</v>
      </c>
      <c r="D3" s="4">
        <v>47011</v>
      </c>
      <c r="E3" s="5">
        <f t="shared" si="0"/>
        <v>2.4164383561643836</v>
      </c>
      <c r="F3" s="6">
        <v>30000</v>
      </c>
      <c r="G3" s="7">
        <v>4.1000000000000002E-2</v>
      </c>
      <c r="H3" s="8">
        <v>99.7</v>
      </c>
      <c r="I3" s="9">
        <f t="shared" si="1"/>
        <v>29910</v>
      </c>
      <c r="J3" s="9">
        <f t="shared" si="2"/>
        <v>1230</v>
      </c>
      <c r="K3" s="10">
        <v>2</v>
      </c>
      <c r="L3" s="11">
        <f t="shared" si="3"/>
        <v>4.1123370110330994E-2</v>
      </c>
      <c r="M3" s="3" t="s">
        <v>16</v>
      </c>
      <c r="N3" s="1"/>
      <c r="O3" s="12" t="s">
        <v>19</v>
      </c>
      <c r="P3" s="16">
        <f>SUM(F2:F8)</f>
        <v>156000</v>
      </c>
    </row>
    <row r="4" spans="1:16" x14ac:dyDescent="0.25">
      <c r="A4" s="3" t="s">
        <v>20</v>
      </c>
      <c r="B4" s="3" t="s">
        <v>21</v>
      </c>
      <c r="C4" s="4">
        <v>46109</v>
      </c>
      <c r="D4" s="4">
        <v>47209</v>
      </c>
      <c r="E4" s="5">
        <f t="shared" si="0"/>
        <v>3.0136986301369864</v>
      </c>
      <c r="F4" s="6">
        <v>20000</v>
      </c>
      <c r="G4" s="7">
        <v>4.3999999999999997E-2</v>
      </c>
      <c r="H4" s="8">
        <v>100</v>
      </c>
      <c r="I4" s="9">
        <f t="shared" si="1"/>
        <v>20000</v>
      </c>
      <c r="J4" s="9">
        <f t="shared" si="2"/>
        <v>880</v>
      </c>
      <c r="K4" s="10">
        <v>2</v>
      </c>
      <c r="L4" s="11">
        <f t="shared" si="3"/>
        <v>4.3999999999999997E-2</v>
      </c>
      <c r="M4" s="3" t="s">
        <v>22</v>
      </c>
      <c r="N4" s="1"/>
      <c r="O4" s="12" t="s">
        <v>23</v>
      </c>
      <c r="P4" s="17">
        <f>SUMPRODUCT(E2:E8,I2:I8)/SUM(I2:I8)</f>
        <v>4.7586711949885121</v>
      </c>
    </row>
    <row r="5" spans="1:16" x14ac:dyDescent="0.25">
      <c r="A5" s="3" t="s">
        <v>24</v>
      </c>
      <c r="B5" s="3" t="s">
        <v>25</v>
      </c>
      <c r="C5" s="4">
        <v>46120</v>
      </c>
      <c r="D5" s="4">
        <v>47696</v>
      </c>
      <c r="E5" s="5">
        <f t="shared" si="0"/>
        <v>4.3178082191780822</v>
      </c>
      <c r="F5" s="6">
        <v>18000</v>
      </c>
      <c r="G5" s="7">
        <v>3.7499999999999999E-2</v>
      </c>
      <c r="H5" s="8">
        <v>97.8</v>
      </c>
      <c r="I5" s="9">
        <f t="shared" si="1"/>
        <v>17604</v>
      </c>
      <c r="J5" s="9">
        <f t="shared" si="2"/>
        <v>675</v>
      </c>
      <c r="K5" s="10">
        <v>2</v>
      </c>
      <c r="L5" s="11">
        <f t="shared" si="3"/>
        <v>3.834355828220859E-2</v>
      </c>
      <c r="M5" s="3" t="s">
        <v>16</v>
      </c>
      <c r="N5" s="1"/>
      <c r="O5" s="12" t="s">
        <v>26</v>
      </c>
      <c r="P5" s="18">
        <f>SUMPRODUCT(L2:L8,I2:I8)/SUM(I2:I8)</f>
        <v>4.4350807027567489E-2</v>
      </c>
    </row>
    <row r="6" spans="1:16" x14ac:dyDescent="0.25">
      <c r="A6" s="3" t="s">
        <v>27</v>
      </c>
      <c r="B6" s="3" t="s">
        <v>28</v>
      </c>
      <c r="C6" s="4">
        <v>46124</v>
      </c>
      <c r="D6" s="4">
        <v>48335</v>
      </c>
      <c r="E6" s="5">
        <f t="shared" si="0"/>
        <v>6.0575342465753428</v>
      </c>
      <c r="F6" s="6">
        <v>22000</v>
      </c>
      <c r="G6" s="7">
        <v>5.2499999999999998E-2</v>
      </c>
      <c r="H6" s="8">
        <v>98.5</v>
      </c>
      <c r="I6" s="9">
        <f t="shared" si="1"/>
        <v>21670</v>
      </c>
      <c r="J6" s="9">
        <f t="shared" si="2"/>
        <v>1155</v>
      </c>
      <c r="K6" s="10">
        <v>2</v>
      </c>
      <c r="L6" s="11">
        <f t="shared" si="3"/>
        <v>5.3299492385786802E-2</v>
      </c>
      <c r="M6" s="3" t="s">
        <v>16</v>
      </c>
      <c r="N6" s="1"/>
      <c r="O6" s="12" t="s">
        <v>29</v>
      </c>
      <c r="P6" s="16">
        <f>'Cash Flow Schedule'!B2</f>
        <v>6831</v>
      </c>
    </row>
    <row r="7" spans="1:16" x14ac:dyDescent="0.25">
      <c r="A7" s="3" t="s">
        <v>30</v>
      </c>
      <c r="B7" s="3" t="s">
        <v>15</v>
      </c>
      <c r="C7" s="4">
        <v>46136</v>
      </c>
      <c r="D7" s="4">
        <v>49263</v>
      </c>
      <c r="E7" s="5">
        <f t="shared" si="0"/>
        <v>8.5671232876712331</v>
      </c>
      <c r="F7" s="6">
        <v>26000</v>
      </c>
      <c r="G7" s="7">
        <v>4.5999999999999999E-2</v>
      </c>
      <c r="H7" s="8">
        <v>96.3</v>
      </c>
      <c r="I7" s="9">
        <f t="shared" si="1"/>
        <v>25038</v>
      </c>
      <c r="J7" s="9">
        <f t="shared" si="2"/>
        <v>1196</v>
      </c>
      <c r="K7" s="10">
        <v>2</v>
      </c>
      <c r="L7" s="11">
        <f t="shared" si="3"/>
        <v>4.7767393561786088E-2</v>
      </c>
      <c r="M7" s="3" t="s">
        <v>22</v>
      </c>
      <c r="N7" s="1"/>
      <c r="O7" s="1"/>
      <c r="P7" s="1"/>
    </row>
    <row r="8" spans="1:16" x14ac:dyDescent="0.25">
      <c r="A8" s="3" t="s">
        <v>31</v>
      </c>
      <c r="B8" s="3" t="s">
        <v>21</v>
      </c>
      <c r="C8" s="4">
        <v>46144</v>
      </c>
      <c r="D8" s="4">
        <v>49766</v>
      </c>
      <c r="E8" s="5">
        <f t="shared" si="0"/>
        <v>9.9232876712328775</v>
      </c>
      <c r="F8" s="6">
        <v>15000</v>
      </c>
      <c r="G8" s="7">
        <v>4.8000000000000001E-2</v>
      </c>
      <c r="H8" s="8">
        <v>100</v>
      </c>
      <c r="I8" s="9">
        <f t="shared" si="1"/>
        <v>15000</v>
      </c>
      <c r="J8" s="9">
        <f t="shared" si="2"/>
        <v>720</v>
      </c>
      <c r="K8" s="10">
        <v>1</v>
      </c>
      <c r="L8" s="11">
        <f t="shared" si="3"/>
        <v>4.8000000000000001E-2</v>
      </c>
      <c r="M8" s="3" t="s">
        <v>16</v>
      </c>
      <c r="N8" s="1"/>
      <c r="O8" s="1"/>
      <c r="P8" s="1"/>
    </row>
  </sheetData>
  <dataValidations count="2">
    <dataValidation type="list" sqref="B2:B8" xr:uid="{00000000-0002-0000-0000-000000000000}">
      <formula1>"Treasury,Corporate,Municipal,CD"</formula1>
    </dataValidation>
    <dataValidation type="list" sqref="M2:M8" xr:uid="{00000000-0002-0000-0000-000001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zoomScale="205" zoomScaleNormal="205" workbookViewId="0">
      <pane xSplit="1" ySplit="1" topLeftCell="B2" activePane="bottomRight" state="frozen"/>
      <selection pane="topRight"/>
      <selection pane="bottomLeft"/>
      <selection pane="bottomRight" activeCell="C25" sqref="C25"/>
    </sheetView>
  </sheetViews>
  <sheetFormatPr defaultRowHeight="15" x14ac:dyDescent="0.25"/>
  <cols>
    <col min="1" max="1" width="13.42578125" bestFit="1" customWidth="1"/>
    <col min="2" max="2" width="15" bestFit="1" customWidth="1"/>
    <col min="3" max="3" width="17" bestFit="1" customWidth="1"/>
    <col min="4" max="4" width="14.85546875" bestFit="1" customWidth="1"/>
    <col min="5" max="5" width="18.85546875" bestFit="1" customWidth="1"/>
    <col min="6" max="6" width="17.85546875" bestFit="1" customWidth="1"/>
  </cols>
  <sheetData>
    <row r="1" spans="1:6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 x14ac:dyDescent="0.25">
      <c r="A2" s="13">
        <v>2027</v>
      </c>
      <c r="B2" s="9">
        <f>SUMPRODUCT((YEAR('Ladder Setup'!$D$2:$D$8)&gt;=A2)*('Ladder Setup'!$J$2:$J$8))</f>
        <v>6831</v>
      </c>
      <c r="C2" s="9">
        <f>SUMPRODUCT((YEAR('Ladder Setup'!$D$2:$D$8)=A2)*('Ladder Setup'!$F$2:$F$8))</f>
        <v>25000</v>
      </c>
      <c r="D2" s="9">
        <f t="shared" ref="D2:D11" si="0">B2+C2</f>
        <v>31831</v>
      </c>
      <c r="E2" s="9">
        <f>SUMPRODUCT((YEAR('Ladder Setup'!$D$2:$D$8)=A2)*('Ladder Setup'!$M$2:$M$8="Yes")*('Ladder Setup'!$F$2:$F$8))</f>
        <v>25000</v>
      </c>
      <c r="F2" s="9">
        <f t="shared" ref="F2:F11" si="1">D2-E2</f>
        <v>6831</v>
      </c>
    </row>
    <row r="3" spans="1:6" x14ac:dyDescent="0.25">
      <c r="A3" s="13">
        <v>2028</v>
      </c>
      <c r="B3" s="9">
        <f>SUMPRODUCT((YEAR('Ladder Setup'!$D$2:$D$8)&gt;=A3)*('Ladder Setup'!$J$2:$J$8))</f>
        <v>5856</v>
      </c>
      <c r="C3" s="9">
        <f>SUMPRODUCT((YEAR('Ladder Setup'!$D$2:$D$8)=A3)*('Ladder Setup'!$F$2:$F$8))</f>
        <v>30000</v>
      </c>
      <c r="D3" s="9">
        <f t="shared" si="0"/>
        <v>35856</v>
      </c>
      <c r="E3" s="9">
        <f>SUMPRODUCT((YEAR('Ladder Setup'!$D$2:$D$8)=A3)*('Ladder Setup'!$M$2:$M$8="Yes")*('Ladder Setup'!$F$2:$F$8))</f>
        <v>30000</v>
      </c>
      <c r="F3" s="9">
        <f t="shared" si="1"/>
        <v>5856</v>
      </c>
    </row>
    <row r="4" spans="1:6" x14ac:dyDescent="0.25">
      <c r="A4" s="13">
        <v>2029</v>
      </c>
      <c r="B4" s="9">
        <f>SUMPRODUCT((YEAR('Ladder Setup'!$D$2:$D$8)&gt;=A4)*('Ladder Setup'!$J$2:$J$8))</f>
        <v>4626</v>
      </c>
      <c r="C4" s="9">
        <f>SUMPRODUCT((YEAR('Ladder Setup'!$D$2:$D$8)=A4)*('Ladder Setup'!$F$2:$F$8))</f>
        <v>20000</v>
      </c>
      <c r="D4" s="9">
        <f t="shared" si="0"/>
        <v>24626</v>
      </c>
      <c r="E4" s="9">
        <f>SUMPRODUCT((YEAR('Ladder Setup'!$D$2:$D$8)=A4)*('Ladder Setup'!$M$2:$M$8="Yes")*('Ladder Setup'!$F$2:$F$8))</f>
        <v>0</v>
      </c>
      <c r="F4" s="9">
        <f t="shared" si="1"/>
        <v>24626</v>
      </c>
    </row>
    <row r="5" spans="1:6" x14ac:dyDescent="0.25">
      <c r="A5" s="13">
        <v>2030</v>
      </c>
      <c r="B5" s="9">
        <f>SUMPRODUCT((YEAR('Ladder Setup'!$D$2:$D$8)&gt;=A5)*('Ladder Setup'!$J$2:$J$8))</f>
        <v>3746</v>
      </c>
      <c r="C5" s="9">
        <f>SUMPRODUCT((YEAR('Ladder Setup'!$D$2:$D$8)=A5)*('Ladder Setup'!$F$2:$F$8))</f>
        <v>18000</v>
      </c>
      <c r="D5" s="9">
        <f t="shared" si="0"/>
        <v>21746</v>
      </c>
      <c r="E5" s="9">
        <f>SUMPRODUCT((YEAR('Ladder Setup'!$D$2:$D$8)=A5)*('Ladder Setup'!$M$2:$M$8="Yes")*('Ladder Setup'!$F$2:$F$8))</f>
        <v>18000</v>
      </c>
      <c r="F5" s="9">
        <f t="shared" si="1"/>
        <v>3746</v>
      </c>
    </row>
    <row r="6" spans="1:6" x14ac:dyDescent="0.25">
      <c r="A6" s="13">
        <v>2031</v>
      </c>
      <c r="B6" s="9">
        <f>SUMPRODUCT((YEAR('Ladder Setup'!$D$2:$D$8)&gt;=A6)*('Ladder Setup'!$J$2:$J$8))</f>
        <v>3071</v>
      </c>
      <c r="C6" s="9">
        <f>SUMPRODUCT((YEAR('Ladder Setup'!$D$2:$D$8)=A6)*('Ladder Setup'!$F$2:$F$8))</f>
        <v>0</v>
      </c>
      <c r="D6" s="9">
        <f t="shared" si="0"/>
        <v>3071</v>
      </c>
      <c r="E6" s="9">
        <f>SUMPRODUCT((YEAR('Ladder Setup'!$D$2:$D$8)=A6)*('Ladder Setup'!$M$2:$M$8="Yes")*('Ladder Setup'!$F$2:$F$8))</f>
        <v>0</v>
      </c>
      <c r="F6" s="9">
        <f t="shared" si="1"/>
        <v>3071</v>
      </c>
    </row>
    <row r="7" spans="1:6" x14ac:dyDescent="0.25">
      <c r="A7" s="13">
        <v>2032</v>
      </c>
      <c r="B7" s="9">
        <f>SUMPRODUCT((YEAR('Ladder Setup'!$D$2:$D$8)&gt;=A7)*('Ladder Setup'!$J$2:$J$8))</f>
        <v>3071</v>
      </c>
      <c r="C7" s="9">
        <f>SUMPRODUCT((YEAR('Ladder Setup'!$D$2:$D$8)=A7)*('Ladder Setup'!$F$2:$F$8))</f>
        <v>22000</v>
      </c>
      <c r="D7" s="9">
        <f t="shared" si="0"/>
        <v>25071</v>
      </c>
      <c r="E7" s="9">
        <f>SUMPRODUCT((YEAR('Ladder Setup'!$D$2:$D$8)=A7)*('Ladder Setup'!$M$2:$M$8="Yes")*('Ladder Setup'!$F$2:$F$8))</f>
        <v>22000</v>
      </c>
      <c r="F7" s="9">
        <f t="shared" si="1"/>
        <v>3071</v>
      </c>
    </row>
    <row r="8" spans="1:6" x14ac:dyDescent="0.25">
      <c r="A8" s="13">
        <v>2033</v>
      </c>
      <c r="B8" s="9">
        <f>SUMPRODUCT((YEAR('Ladder Setup'!$D$2:$D$8)&gt;=A8)*('Ladder Setup'!$J$2:$J$8))</f>
        <v>1916</v>
      </c>
      <c r="C8" s="9">
        <f>SUMPRODUCT((YEAR('Ladder Setup'!$D$2:$D$8)=A8)*('Ladder Setup'!$F$2:$F$8))</f>
        <v>0</v>
      </c>
      <c r="D8" s="9">
        <f t="shared" si="0"/>
        <v>1916</v>
      </c>
      <c r="E8" s="9">
        <f>SUMPRODUCT((YEAR('Ladder Setup'!$D$2:$D$8)=A8)*('Ladder Setup'!$M$2:$M$8="Yes")*('Ladder Setup'!$F$2:$F$8))</f>
        <v>0</v>
      </c>
      <c r="F8" s="9">
        <f t="shared" si="1"/>
        <v>1916</v>
      </c>
    </row>
    <row r="9" spans="1:6" x14ac:dyDescent="0.25">
      <c r="A9" s="13">
        <v>2034</v>
      </c>
      <c r="B9" s="9">
        <f>SUMPRODUCT((YEAR('Ladder Setup'!$D$2:$D$8)&gt;=A9)*('Ladder Setup'!$J$2:$J$8))</f>
        <v>1916</v>
      </c>
      <c r="C9" s="9">
        <f>SUMPRODUCT((YEAR('Ladder Setup'!$D$2:$D$8)=A9)*('Ladder Setup'!$F$2:$F$8))</f>
        <v>26000</v>
      </c>
      <c r="D9" s="9">
        <f t="shared" si="0"/>
        <v>27916</v>
      </c>
      <c r="E9" s="9">
        <f>SUMPRODUCT((YEAR('Ladder Setup'!$D$2:$D$8)=A9)*('Ladder Setup'!$M$2:$M$8="Yes")*('Ladder Setup'!$F$2:$F$8))</f>
        <v>0</v>
      </c>
      <c r="F9" s="9">
        <f t="shared" si="1"/>
        <v>27916</v>
      </c>
    </row>
    <row r="10" spans="1:6" x14ac:dyDescent="0.25">
      <c r="A10" s="13">
        <v>2035</v>
      </c>
      <c r="B10" s="9">
        <f>SUMPRODUCT((YEAR('Ladder Setup'!$D$2:$D$8)&gt;=A10)*('Ladder Setup'!$J$2:$J$8))</f>
        <v>720</v>
      </c>
      <c r="C10" s="9">
        <f>SUMPRODUCT((YEAR('Ladder Setup'!$D$2:$D$8)=A10)*('Ladder Setup'!$F$2:$F$8))</f>
        <v>0</v>
      </c>
      <c r="D10" s="9">
        <f t="shared" si="0"/>
        <v>720</v>
      </c>
      <c r="E10" s="9">
        <f>SUMPRODUCT((YEAR('Ladder Setup'!$D$2:$D$8)=A10)*('Ladder Setup'!$M$2:$M$8="Yes")*('Ladder Setup'!$F$2:$F$8))</f>
        <v>0</v>
      </c>
      <c r="F10" s="9">
        <f t="shared" si="1"/>
        <v>720</v>
      </c>
    </row>
    <row r="11" spans="1:6" x14ac:dyDescent="0.25">
      <c r="A11" s="13">
        <v>2036</v>
      </c>
      <c r="B11" s="9">
        <f>SUMPRODUCT((YEAR('Ladder Setup'!$D$2:$D$8)&gt;=A11)*('Ladder Setup'!$J$2:$J$8))</f>
        <v>720</v>
      </c>
      <c r="C11" s="9">
        <f>SUMPRODUCT((YEAR('Ladder Setup'!$D$2:$D$8)=A11)*('Ladder Setup'!$F$2:$F$8))</f>
        <v>15000</v>
      </c>
      <c r="D11" s="9">
        <f t="shared" si="0"/>
        <v>15720</v>
      </c>
      <c r="E11" s="9">
        <f>SUMPRODUCT((YEAR('Ladder Setup'!$D$2:$D$8)=A11)*('Ladder Setup'!$M$2:$M$8="Yes")*('Ladder Setup'!$F$2:$F$8))</f>
        <v>15000</v>
      </c>
      <c r="F11" s="9">
        <f t="shared" si="1"/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zoomScale="160" zoomScaleNormal="160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13.28515625" bestFit="1" customWidth="1"/>
    <col min="2" max="2" width="17.5703125" bestFit="1" customWidth="1"/>
    <col min="3" max="3" width="13.28515625" bestFit="1" customWidth="1"/>
    <col min="4" max="4" width="16.85546875" bestFit="1" customWidth="1"/>
    <col min="5" max="5" width="19.7109375" bestFit="1" customWidth="1"/>
    <col min="6" max="6" width="18" bestFit="1" customWidth="1"/>
    <col min="7" max="7" width="6" customWidth="1"/>
    <col min="8" max="8" width="25.140625" customWidth="1"/>
    <col min="9" max="9" width="10.7109375" customWidth="1"/>
  </cols>
  <sheetData>
    <row r="1" spans="1:9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1"/>
    </row>
    <row r="2" spans="1:9" x14ac:dyDescent="0.25">
      <c r="A2" s="15">
        <f>'Cash Flow Schedule'!A2</f>
        <v>2027</v>
      </c>
      <c r="B2" s="9">
        <f>'Cash Flow Schedule'!C2</f>
        <v>25000</v>
      </c>
      <c r="C2" s="11">
        <f t="shared" ref="C2:C11" si="0">IF($I$4="Yes",$I$2,0)</f>
        <v>4.7500000000000001E-2</v>
      </c>
      <c r="D2" s="15">
        <f t="shared" ref="D2:D11" si="1">$I$3</f>
        <v>5</v>
      </c>
      <c r="E2" s="9">
        <f t="shared" ref="E2:E11" si="2">B2*C2</f>
        <v>1187.5</v>
      </c>
      <c r="F2" s="15">
        <f t="shared" ref="F2:F11" si="3">A2+D2</f>
        <v>2032</v>
      </c>
      <c r="G2" s="1"/>
      <c r="H2" s="14" t="s">
        <v>38</v>
      </c>
      <c r="I2" s="19">
        <v>4.7500000000000001E-2</v>
      </c>
    </row>
    <row r="3" spans="1:9" x14ac:dyDescent="0.25">
      <c r="A3" s="15">
        <f>'Cash Flow Schedule'!A3</f>
        <v>2028</v>
      </c>
      <c r="B3" s="9">
        <f>'Cash Flow Schedule'!C3</f>
        <v>30000</v>
      </c>
      <c r="C3" s="11">
        <f t="shared" si="0"/>
        <v>4.7500000000000001E-2</v>
      </c>
      <c r="D3" s="15">
        <f t="shared" si="1"/>
        <v>5</v>
      </c>
      <c r="E3" s="9">
        <f t="shared" si="2"/>
        <v>1425</v>
      </c>
      <c r="F3" s="15">
        <f t="shared" si="3"/>
        <v>2033</v>
      </c>
      <c r="G3" s="1"/>
      <c r="H3" s="14" t="s">
        <v>39</v>
      </c>
      <c r="I3" s="20">
        <v>5</v>
      </c>
    </row>
    <row r="4" spans="1:9" x14ac:dyDescent="0.25">
      <c r="A4" s="15">
        <f>'Cash Flow Schedule'!A4</f>
        <v>2029</v>
      </c>
      <c r="B4" s="9">
        <f>'Cash Flow Schedule'!C4</f>
        <v>20000</v>
      </c>
      <c r="C4" s="11">
        <f t="shared" si="0"/>
        <v>4.7500000000000001E-2</v>
      </c>
      <c r="D4" s="15">
        <f t="shared" si="1"/>
        <v>5</v>
      </c>
      <c r="E4" s="9">
        <f t="shared" si="2"/>
        <v>950</v>
      </c>
      <c r="F4" s="15">
        <f t="shared" si="3"/>
        <v>2034</v>
      </c>
      <c r="G4" s="1"/>
      <c r="H4" s="14" t="s">
        <v>40</v>
      </c>
      <c r="I4" s="21" t="s">
        <v>16</v>
      </c>
    </row>
    <row r="5" spans="1:9" x14ac:dyDescent="0.25">
      <c r="A5" s="15">
        <f>'Cash Flow Schedule'!A5</f>
        <v>2030</v>
      </c>
      <c r="B5" s="9">
        <f>'Cash Flow Schedule'!C5</f>
        <v>18000</v>
      </c>
      <c r="C5" s="11">
        <f t="shared" si="0"/>
        <v>4.7500000000000001E-2</v>
      </c>
      <c r="D5" s="15">
        <f t="shared" si="1"/>
        <v>5</v>
      </c>
      <c r="E5" s="9">
        <f t="shared" si="2"/>
        <v>855</v>
      </c>
      <c r="F5" s="15">
        <f t="shared" si="3"/>
        <v>2035</v>
      </c>
      <c r="G5" s="1"/>
      <c r="H5" s="1"/>
      <c r="I5" s="1"/>
    </row>
    <row r="6" spans="1:9" x14ac:dyDescent="0.25">
      <c r="A6" s="15">
        <f>'Cash Flow Schedule'!A6</f>
        <v>2031</v>
      </c>
      <c r="B6" s="9">
        <f>'Cash Flow Schedule'!C6</f>
        <v>0</v>
      </c>
      <c r="C6" s="11">
        <f t="shared" si="0"/>
        <v>4.7500000000000001E-2</v>
      </c>
      <c r="D6" s="15">
        <f t="shared" si="1"/>
        <v>5</v>
      </c>
      <c r="E6" s="9">
        <f t="shared" si="2"/>
        <v>0</v>
      </c>
      <c r="F6" s="15">
        <f t="shared" si="3"/>
        <v>2036</v>
      </c>
      <c r="G6" s="1"/>
      <c r="H6" s="1"/>
      <c r="I6" s="1"/>
    </row>
    <row r="7" spans="1:9" x14ac:dyDescent="0.25">
      <c r="A7" s="15">
        <f>'Cash Flow Schedule'!A7</f>
        <v>2032</v>
      </c>
      <c r="B7" s="9">
        <f>'Cash Flow Schedule'!C7</f>
        <v>22000</v>
      </c>
      <c r="C7" s="11">
        <f t="shared" si="0"/>
        <v>4.7500000000000001E-2</v>
      </c>
      <c r="D7" s="15">
        <f t="shared" si="1"/>
        <v>5</v>
      </c>
      <c r="E7" s="9">
        <f t="shared" si="2"/>
        <v>1045</v>
      </c>
      <c r="F7" s="15">
        <f t="shared" si="3"/>
        <v>2037</v>
      </c>
      <c r="G7" s="1"/>
      <c r="H7" s="2" t="s">
        <v>47</v>
      </c>
      <c r="I7" s="1"/>
    </row>
    <row r="8" spans="1:9" x14ac:dyDescent="0.25">
      <c r="A8" s="15">
        <f>'Cash Flow Schedule'!A8</f>
        <v>2033</v>
      </c>
      <c r="B8" s="9">
        <f>'Cash Flow Schedule'!C8</f>
        <v>0</v>
      </c>
      <c r="C8" s="11">
        <f t="shared" si="0"/>
        <v>4.7500000000000001E-2</v>
      </c>
      <c r="D8" s="15">
        <f t="shared" si="1"/>
        <v>5</v>
      </c>
      <c r="E8" s="9">
        <f t="shared" si="2"/>
        <v>0</v>
      </c>
      <c r="F8" s="15">
        <f t="shared" si="3"/>
        <v>2038</v>
      </c>
      <c r="G8" s="1"/>
      <c r="H8" s="12" t="s">
        <v>48</v>
      </c>
      <c r="I8" s="16">
        <f>SUM(B2:B11)</f>
        <v>156000</v>
      </c>
    </row>
    <row r="9" spans="1:9" x14ac:dyDescent="0.25">
      <c r="A9" s="15">
        <f>'Cash Flow Schedule'!A9</f>
        <v>2034</v>
      </c>
      <c r="B9" s="9">
        <f>'Cash Flow Schedule'!C9</f>
        <v>26000</v>
      </c>
      <c r="C9" s="11">
        <f t="shared" si="0"/>
        <v>4.7500000000000001E-2</v>
      </c>
      <c r="D9" s="15">
        <f t="shared" si="1"/>
        <v>5</v>
      </c>
      <c r="E9" s="9">
        <f t="shared" si="2"/>
        <v>1235</v>
      </c>
      <c r="F9" s="15">
        <f t="shared" si="3"/>
        <v>2039</v>
      </c>
      <c r="G9" s="1"/>
      <c r="H9" s="12" t="s">
        <v>49</v>
      </c>
      <c r="I9" s="16">
        <f>SUM(E2:E11)</f>
        <v>7410</v>
      </c>
    </row>
    <row r="10" spans="1:9" x14ac:dyDescent="0.25">
      <c r="A10" s="15">
        <f>'Cash Flow Schedule'!A10</f>
        <v>2035</v>
      </c>
      <c r="B10" s="9">
        <f>'Cash Flow Schedule'!C10</f>
        <v>0</v>
      </c>
      <c r="C10" s="11">
        <f t="shared" si="0"/>
        <v>4.7500000000000001E-2</v>
      </c>
      <c r="D10" s="15">
        <f t="shared" si="1"/>
        <v>5</v>
      </c>
      <c r="E10" s="9">
        <f t="shared" si="2"/>
        <v>0</v>
      </c>
      <c r="F10" s="15">
        <f t="shared" si="3"/>
        <v>2040</v>
      </c>
      <c r="G10" s="1"/>
      <c r="H10" s="12" t="s">
        <v>50</v>
      </c>
      <c r="I10" s="18">
        <f>AVERAGE(C2:C11)</f>
        <v>4.7499999999999994E-2</v>
      </c>
    </row>
    <row r="11" spans="1:9" x14ac:dyDescent="0.25">
      <c r="A11" s="15">
        <f>'Cash Flow Schedule'!A11</f>
        <v>2036</v>
      </c>
      <c r="B11" s="9">
        <f>'Cash Flow Schedule'!C11</f>
        <v>15000</v>
      </c>
      <c r="C11" s="11">
        <f t="shared" si="0"/>
        <v>4.7500000000000001E-2</v>
      </c>
      <c r="D11" s="15">
        <f t="shared" si="1"/>
        <v>5</v>
      </c>
      <c r="E11" s="9">
        <f t="shared" si="2"/>
        <v>712.5</v>
      </c>
      <c r="F11" s="15">
        <f t="shared" si="3"/>
        <v>2041</v>
      </c>
      <c r="G11" s="1"/>
    </row>
  </sheetData>
  <dataValidations count="1">
    <dataValidation type="list" sqref="I4" xr:uid="{00000000-0002-0000-02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showGridLines="0" tabSelected="1" workbookViewId="0">
      <selection activeCell="B3" sqref="B3"/>
    </sheetView>
  </sheetViews>
  <sheetFormatPr defaultRowHeight="15" x14ac:dyDescent="0.25"/>
  <cols>
    <col min="1" max="1" width="21.5703125" bestFit="1" customWidth="1"/>
    <col min="2" max="6" width="14" customWidth="1"/>
  </cols>
  <sheetData>
    <row r="1" spans="1:7" x14ac:dyDescent="0.25">
      <c r="A1" s="12" t="s">
        <v>51</v>
      </c>
      <c r="B1" s="16">
        <f>'Ladder Setup'!P2</f>
        <v>154022</v>
      </c>
      <c r="C1" s="1"/>
      <c r="D1" s="1"/>
      <c r="E1" s="1"/>
      <c r="F1" s="1"/>
      <c r="G1" s="1"/>
    </row>
    <row r="2" spans="1:7" x14ac:dyDescent="0.25">
      <c r="A2" s="12" t="s">
        <v>52</v>
      </c>
      <c r="B2" s="16">
        <f>'Ladder Setup'!P3</f>
        <v>156000</v>
      </c>
      <c r="C2" s="1"/>
      <c r="D2" s="1"/>
      <c r="E2" s="1"/>
      <c r="F2" s="1"/>
      <c r="G2" s="1"/>
    </row>
    <row r="3" spans="1:7" x14ac:dyDescent="0.25">
      <c r="A3" s="12" t="s">
        <v>23</v>
      </c>
      <c r="B3" s="17">
        <f>'Ladder Setup'!P4</f>
        <v>4.7586711949885121</v>
      </c>
      <c r="C3" s="1"/>
      <c r="D3" s="1"/>
      <c r="E3" s="1"/>
      <c r="F3" s="1"/>
      <c r="G3" s="1"/>
    </row>
    <row r="4" spans="1:7" x14ac:dyDescent="0.25">
      <c r="A4" s="12" t="s">
        <v>26</v>
      </c>
      <c r="B4" s="18">
        <f>'Ladder Setup'!P5</f>
        <v>4.4350807027567489E-2</v>
      </c>
      <c r="C4" s="1"/>
      <c r="D4" s="1"/>
      <c r="E4" s="1"/>
      <c r="F4" s="1"/>
      <c r="G4" s="1"/>
    </row>
    <row r="5" spans="1:7" x14ac:dyDescent="0.25">
      <c r="A5" s="12" t="s">
        <v>29</v>
      </c>
      <c r="B5" s="16">
        <f>'Ladder Setup'!P6</f>
        <v>6831</v>
      </c>
      <c r="C5" s="1"/>
      <c r="D5" s="1"/>
      <c r="E5" s="1"/>
      <c r="F5" s="1"/>
      <c r="G5" s="1"/>
    </row>
    <row r="6" spans="1:7" x14ac:dyDescent="0.25">
      <c r="A6" s="12" t="s">
        <v>53</v>
      </c>
      <c r="B6" s="16">
        <f>'Cash Flow Schedule'!C11</f>
        <v>15000</v>
      </c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22" t="s">
        <v>54</v>
      </c>
      <c r="B9" s="1"/>
      <c r="C9" s="1"/>
      <c r="D9" s="1"/>
      <c r="E9" s="1"/>
      <c r="F9" s="1"/>
    </row>
    <row r="10" spans="1:7" x14ac:dyDescent="0.25">
      <c r="A10" s="1"/>
      <c r="B10" s="8">
        <v>95</v>
      </c>
      <c r="C10" s="8">
        <v>97.5</v>
      </c>
      <c r="D10" s="8">
        <v>100</v>
      </c>
      <c r="E10" s="8">
        <v>102.5</v>
      </c>
      <c r="F10" s="8">
        <v>105</v>
      </c>
    </row>
    <row r="11" spans="1:7" x14ac:dyDescent="0.25">
      <c r="A11" s="7">
        <v>0.03</v>
      </c>
      <c r="B11" s="11">
        <f>('Ladder Setup'!$P$5*0.65)+($A11*0.35)-((B$10-100)/100*0.015)</f>
        <v>4.0078024567918868E-2</v>
      </c>
      <c r="C11" s="11">
        <f>('Ladder Setup'!$P$5*0.65)+($A11*0.35)-((C$10-100)/100*0.015)</f>
        <v>3.9703024567918868E-2</v>
      </c>
      <c r="D11" s="11">
        <f>('Ladder Setup'!$P$5*0.65)+($A11*0.35)-((D$10-100)/100*0.015)</f>
        <v>3.9328024567918868E-2</v>
      </c>
      <c r="E11" s="11">
        <f>('Ladder Setup'!$P$5*0.65)+($A11*0.35)-((E$10-100)/100*0.015)</f>
        <v>3.8953024567918867E-2</v>
      </c>
      <c r="F11" s="11">
        <f>('Ladder Setup'!$P$5*0.65)+($A11*0.35)-((F$10-100)/100*0.015)</f>
        <v>3.8578024567918867E-2</v>
      </c>
    </row>
    <row r="12" spans="1:7" x14ac:dyDescent="0.25">
      <c r="A12" s="7">
        <v>0.04</v>
      </c>
      <c r="B12" s="11">
        <f>('Ladder Setup'!$P$5*0.65)+($A12*0.35)-((B$10-100)/100*0.015)</f>
        <v>4.3578024567918872E-2</v>
      </c>
      <c r="C12" s="11">
        <f>('Ladder Setup'!$P$5*0.65)+($A12*0.35)-((C$10-100)/100*0.015)</f>
        <v>4.3203024567918871E-2</v>
      </c>
      <c r="D12" s="11">
        <f>('Ladder Setup'!$P$5*0.65)+($A12*0.35)-((D$10-100)/100*0.015)</f>
        <v>4.2828024567918871E-2</v>
      </c>
      <c r="E12" s="11">
        <f>('Ladder Setup'!$P$5*0.65)+($A12*0.35)-((E$10-100)/100*0.015)</f>
        <v>4.2453024567918871E-2</v>
      </c>
      <c r="F12" s="11">
        <f>('Ladder Setup'!$P$5*0.65)+($A12*0.35)-((F$10-100)/100*0.015)</f>
        <v>4.207802456791887E-2</v>
      </c>
    </row>
    <row r="13" spans="1:7" x14ac:dyDescent="0.25">
      <c r="A13" s="7">
        <v>0.05</v>
      </c>
      <c r="B13" s="11">
        <f>('Ladder Setup'!$P$5*0.65)+($A13*0.35)-((B$10-100)/100*0.015)</f>
        <v>4.7078024567918868E-2</v>
      </c>
      <c r="C13" s="11">
        <f>('Ladder Setup'!$P$5*0.65)+($A13*0.35)-((C$10-100)/100*0.015)</f>
        <v>4.6703024567918867E-2</v>
      </c>
      <c r="D13" s="11">
        <f>('Ladder Setup'!$P$5*0.65)+($A13*0.35)-((D$10-100)/100*0.015)</f>
        <v>4.6328024567918867E-2</v>
      </c>
      <c r="E13" s="11">
        <f>('Ladder Setup'!$P$5*0.65)+($A13*0.35)-((E$10-100)/100*0.015)</f>
        <v>4.5953024567918867E-2</v>
      </c>
      <c r="F13" s="11">
        <f>('Ladder Setup'!$P$5*0.65)+($A13*0.35)-((F$10-100)/100*0.015)</f>
        <v>4.5578024567918866E-2</v>
      </c>
    </row>
    <row r="14" spans="1:7" x14ac:dyDescent="0.25">
      <c r="A14" s="7">
        <v>0.06</v>
      </c>
      <c r="B14" s="11">
        <f>('Ladder Setup'!$P$5*0.65)+($A14*0.35)-((B$10-100)/100*0.015)</f>
        <v>5.0578024567918864E-2</v>
      </c>
      <c r="C14" s="11">
        <f>('Ladder Setup'!$P$5*0.65)+($A14*0.35)-((C$10-100)/100*0.015)</f>
        <v>5.0203024567918864E-2</v>
      </c>
      <c r="D14" s="11">
        <f>('Ladder Setup'!$P$5*0.65)+($A14*0.35)-((D$10-100)/100*0.015)</f>
        <v>4.9828024567918863E-2</v>
      </c>
      <c r="E14" s="11">
        <f>('Ladder Setup'!$P$5*0.65)+($A14*0.35)-((E$10-100)/100*0.015)</f>
        <v>4.9453024567918863E-2</v>
      </c>
      <c r="F14" s="11">
        <f>('Ladder Setup'!$P$5*0.65)+($A14*0.35)-((F$10-100)/100*0.015)</f>
        <v>4.9078024567918863E-2</v>
      </c>
    </row>
    <row r="15" spans="1:7" x14ac:dyDescent="0.25">
      <c r="A15" s="7">
        <v>7.0000000000000007E-2</v>
      </c>
      <c r="B15" s="11">
        <f>('Ladder Setup'!$P$5*0.65)+($A15*0.35)-((B$10-100)/100*0.015)</f>
        <v>5.4078024567918867E-2</v>
      </c>
      <c r="C15" s="11">
        <f>('Ladder Setup'!$P$5*0.65)+($A15*0.35)-((C$10-100)/100*0.015)</f>
        <v>5.3703024567918867E-2</v>
      </c>
      <c r="D15" s="11">
        <f>('Ladder Setup'!$P$5*0.65)+($A15*0.35)-((D$10-100)/100*0.015)</f>
        <v>5.3328024567918866E-2</v>
      </c>
      <c r="E15" s="11">
        <f>('Ladder Setup'!$P$5*0.65)+($A15*0.35)-((E$10-100)/100*0.015)</f>
        <v>5.2953024567918866E-2</v>
      </c>
      <c r="F15" s="11">
        <f>('Ladder Setup'!$P$5*0.65)+($A15*0.35)-((F$10-100)/100*0.015)</f>
        <v>5.2578024567918866E-2</v>
      </c>
    </row>
  </sheetData>
  <conditionalFormatting sqref="B11:F15">
    <cfRule type="colorScale" priority="1">
      <colorScale>
        <cfvo type="num" val="0.03"/>
        <cfvo type="num" val="0.05"/>
        <cfvo type="num" val="7.0000000000000007E-2"/>
        <color rgb="FFF6E6D4"/>
        <color rgb="FFE9E3B3"/>
        <color rgb="FFB7C48A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Ladder Setup</vt:lpstr>
      <vt:lpstr>Cash Flow Schedule</vt:lpstr>
      <vt:lpstr>Reinvestment View</vt:lpstr>
      <vt:lpstr>Summary &amp;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2026-04-09T14:50:57Z</dcterms:modified>
</cp:coreProperties>
</file>