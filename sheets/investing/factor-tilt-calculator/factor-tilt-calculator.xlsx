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investing\factor-tilt-calculator\"/>
    </mc:Choice>
  </mc:AlternateContent>
  <xr:revisionPtr revIDLastSave="0" documentId="13_ncr:1_{DAB1E8C1-6D28-49E5-B0B4-BE7952976489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ource Info" sheetId="1" r:id="rId1"/>
    <sheet name="Data" sheetId="2" r:id="rId2"/>
    <sheet name="Calculation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H11" i="3"/>
  <c r="I11" i="3"/>
  <c r="J11" i="3"/>
  <c r="F11" i="3"/>
  <c r="F21" i="3" l="1"/>
  <c r="F19" i="3"/>
  <c r="F17" i="3"/>
  <c r="F15" i="3"/>
  <c r="G7" i="3"/>
  <c r="F7" i="3"/>
  <c r="G6" i="3"/>
  <c r="F6" i="3"/>
  <c r="G5" i="3"/>
  <c r="F5" i="3"/>
  <c r="B12" i="4" s="1"/>
  <c r="J4" i="3"/>
  <c r="I4" i="3"/>
  <c r="H4" i="3"/>
  <c r="G4" i="3"/>
  <c r="F4" i="3"/>
  <c r="J3" i="3"/>
  <c r="B8" i="4" s="1"/>
  <c r="I3" i="3"/>
  <c r="H3" i="3"/>
  <c r="G3" i="3"/>
  <c r="F3" i="3"/>
  <c r="B9" i="4" s="1"/>
  <c r="B61" i="3"/>
  <c r="C61" i="3" s="1"/>
  <c r="A61" i="3"/>
  <c r="B60" i="3"/>
  <c r="C60" i="3" s="1"/>
  <c r="A60" i="3"/>
  <c r="B59" i="3"/>
  <c r="C59" i="3" s="1"/>
  <c r="A59" i="3"/>
  <c r="B58" i="3"/>
  <c r="C58" i="3" s="1"/>
  <c r="A58" i="3"/>
  <c r="B57" i="3"/>
  <c r="C57" i="3" s="1"/>
  <c r="A57" i="3"/>
  <c r="B56" i="3"/>
  <c r="C56" i="3" s="1"/>
  <c r="A56" i="3"/>
  <c r="B55" i="3"/>
  <c r="C55" i="3" s="1"/>
  <c r="A55" i="3"/>
  <c r="B54" i="3"/>
  <c r="C54" i="3" s="1"/>
  <c r="A54" i="3"/>
  <c r="B53" i="3"/>
  <c r="C53" i="3" s="1"/>
  <c r="A53" i="3"/>
  <c r="B52" i="3"/>
  <c r="C52" i="3" s="1"/>
  <c r="A52" i="3"/>
  <c r="B51" i="3"/>
  <c r="C51" i="3" s="1"/>
  <c r="A51" i="3"/>
  <c r="B50" i="3"/>
  <c r="C50" i="3" s="1"/>
  <c r="A50" i="3"/>
  <c r="B49" i="3"/>
  <c r="C49" i="3" s="1"/>
  <c r="A49" i="3"/>
  <c r="B48" i="3"/>
  <c r="C48" i="3" s="1"/>
  <c r="A48" i="3"/>
  <c r="B47" i="3"/>
  <c r="C47" i="3" s="1"/>
  <c r="A47" i="3"/>
  <c r="B46" i="3"/>
  <c r="C46" i="3" s="1"/>
  <c r="A46" i="3"/>
  <c r="B45" i="3"/>
  <c r="C45" i="3" s="1"/>
  <c r="A45" i="3"/>
  <c r="B44" i="3"/>
  <c r="C44" i="3" s="1"/>
  <c r="A44" i="3"/>
  <c r="B43" i="3"/>
  <c r="C43" i="3" s="1"/>
  <c r="A43" i="3"/>
  <c r="B42" i="3"/>
  <c r="C42" i="3" s="1"/>
  <c r="A42" i="3"/>
  <c r="B41" i="3"/>
  <c r="C41" i="3" s="1"/>
  <c r="A41" i="3"/>
  <c r="B40" i="3"/>
  <c r="C40" i="3" s="1"/>
  <c r="A40" i="3"/>
  <c r="B39" i="3"/>
  <c r="C39" i="3" s="1"/>
  <c r="A39" i="3"/>
  <c r="B38" i="3"/>
  <c r="C38" i="3" s="1"/>
  <c r="A38" i="3"/>
  <c r="B37" i="3"/>
  <c r="C37" i="3" s="1"/>
  <c r="A37" i="3"/>
  <c r="B36" i="3"/>
  <c r="C36" i="3" s="1"/>
  <c r="A36" i="3"/>
  <c r="B35" i="3"/>
  <c r="C35" i="3" s="1"/>
  <c r="A35" i="3"/>
  <c r="B34" i="3"/>
  <c r="C34" i="3" s="1"/>
  <c r="A34" i="3"/>
  <c r="B33" i="3"/>
  <c r="C33" i="3" s="1"/>
  <c r="A33" i="3"/>
  <c r="B32" i="3"/>
  <c r="C32" i="3" s="1"/>
  <c r="A32" i="3"/>
  <c r="B31" i="3"/>
  <c r="C31" i="3" s="1"/>
  <c r="A31" i="3"/>
  <c r="B30" i="3"/>
  <c r="C30" i="3" s="1"/>
  <c r="A30" i="3"/>
  <c r="B29" i="3"/>
  <c r="C29" i="3" s="1"/>
  <c r="A29" i="3"/>
  <c r="B28" i="3"/>
  <c r="C28" i="3" s="1"/>
  <c r="A28" i="3"/>
  <c r="B27" i="3"/>
  <c r="C27" i="3" s="1"/>
  <c r="A27" i="3"/>
  <c r="B26" i="3"/>
  <c r="C26" i="3" s="1"/>
  <c r="A26" i="3"/>
  <c r="B25" i="3"/>
  <c r="C25" i="3" s="1"/>
  <c r="A25" i="3"/>
  <c r="B24" i="3"/>
  <c r="C24" i="3" s="1"/>
  <c r="A24" i="3"/>
  <c r="B23" i="3"/>
  <c r="C23" i="3" s="1"/>
  <c r="A23" i="3"/>
  <c r="B22" i="3"/>
  <c r="C22" i="3" s="1"/>
  <c r="A22" i="3"/>
  <c r="B21" i="3"/>
  <c r="C21" i="3" s="1"/>
  <c r="A21" i="3"/>
  <c r="B20" i="3"/>
  <c r="C20" i="3" s="1"/>
  <c r="A20" i="3"/>
  <c r="B19" i="3"/>
  <c r="C19" i="3" s="1"/>
  <c r="A19" i="3"/>
  <c r="B18" i="3"/>
  <c r="C18" i="3" s="1"/>
  <c r="A18" i="3"/>
  <c r="B17" i="3"/>
  <c r="C17" i="3" s="1"/>
  <c r="A17" i="3"/>
  <c r="B16" i="3"/>
  <c r="C16" i="3" s="1"/>
  <c r="A16" i="3"/>
  <c r="B15" i="3"/>
  <c r="C15" i="3" s="1"/>
  <c r="A15" i="3"/>
  <c r="B14" i="3"/>
  <c r="C14" i="3" s="1"/>
  <c r="A14" i="3"/>
  <c r="B13" i="3"/>
  <c r="C13" i="3" s="1"/>
  <c r="A13" i="3"/>
  <c r="B12" i="3"/>
  <c r="C12" i="3" s="1"/>
  <c r="A12" i="3"/>
  <c r="B11" i="3"/>
  <c r="C11" i="3" s="1"/>
  <c r="A11" i="3"/>
  <c r="B10" i="3"/>
  <c r="C10" i="3" s="1"/>
  <c r="A10" i="3"/>
  <c r="B9" i="3"/>
  <c r="C9" i="3" s="1"/>
  <c r="A9" i="3"/>
  <c r="B8" i="3"/>
  <c r="C8" i="3" s="1"/>
  <c r="A8" i="3"/>
  <c r="B7" i="3"/>
  <c r="C7" i="3" s="1"/>
  <c r="A7" i="3"/>
  <c r="B6" i="3"/>
  <c r="C6" i="3" s="1"/>
  <c r="A6" i="3"/>
  <c r="B5" i="3"/>
  <c r="C5" i="3" s="1"/>
  <c r="A5" i="3"/>
  <c r="B4" i="3"/>
  <c r="C4" i="3" s="1"/>
  <c r="A4" i="3"/>
  <c r="B3" i="3"/>
  <c r="C3" i="3" s="1"/>
  <c r="A3" i="3"/>
  <c r="B2" i="3"/>
  <c r="A2" i="3"/>
  <c r="I10" i="3" l="1"/>
  <c r="C7" i="4" s="1"/>
  <c r="G10" i="3"/>
  <c r="C5" i="4" s="1"/>
  <c r="H10" i="3"/>
  <c r="C6" i="4" s="1"/>
  <c r="F16" i="3"/>
  <c r="F20" i="3" s="1"/>
  <c r="B7" i="4"/>
  <c r="B5" i="4"/>
  <c r="F10" i="3"/>
  <c r="C9" i="4" s="1"/>
  <c r="B6" i="4"/>
  <c r="C2" i="3"/>
  <c r="J10" i="3"/>
  <c r="C8" i="4" s="1"/>
  <c r="F18" i="3" l="1"/>
  <c r="B15" i="4" s="1"/>
  <c r="B17" i="4"/>
  <c r="F22" i="3"/>
  <c r="B16" i="4" s="1"/>
</calcChain>
</file>

<file path=xl/sharedStrings.xml><?xml version="1.0" encoding="utf-8"?>
<sst xmlns="http://schemas.openxmlformats.org/spreadsheetml/2006/main" count="120" uniqueCount="115">
  <si>
    <t>Data Sources</t>
  </si>
  <si>
    <t>Stock returns</t>
  </si>
  <si>
    <t>Yahoo Finance historical prices (converted to monthly returns).</t>
  </si>
  <si>
    <t>Risk-free rate</t>
  </si>
  <si>
    <t>FRED DGS3MO series (annualized, converted to monthly).</t>
  </si>
  <si>
    <t>Factor returns</t>
  </si>
  <si>
    <t>Kenneth French Data Library factors (Mkt-RF, SMB, HML, MOM).</t>
  </si>
  <si>
    <t>How to use</t>
  </si>
  <si>
    <t>Paste monthly data in the Data tab (yellow cells), then read results in Summary.</t>
  </si>
  <si>
    <t>Notes: Keep rows in one continuous block from top to bottom for clean regression output.</t>
  </si>
  <si>
    <t>Date</t>
  </si>
  <si>
    <t>Stock Return</t>
  </si>
  <si>
    <t>Risk-Free Rate</t>
  </si>
  <si>
    <t>Mkt-RF</t>
  </si>
  <si>
    <t>SMB</t>
  </si>
  <si>
    <t>HML</t>
  </si>
  <si>
    <t>MOM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</si>
  <si>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</si>
  <si>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</si>
  <si>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</si>
  <si>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</si>
  <si>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</si>
  <si>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</si>
  <si>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</si>
  <si>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</si>
  <si>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</si>
  <si>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</si>
  <si>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</si>
  <si>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</si>
  <si>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</si>
  <si>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</si>
  <si>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</si>
  <si>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</si>
  <si>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</si>
  <si>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</si>
  <si>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</si>
  <si>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</si>
  <si>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</si>
  <si>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</si>
  <si>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</si>
  <si>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</si>
  <si>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</si>
  <si>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</si>
  <si>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</si>
  <si>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</si>
  <si>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</si>
  <si>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</si>
  <si>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</si>
  <si>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</si>
  <si>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</si>
  <si>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</si>
  <si>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</si>
  <si>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</si>
  <si>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</si>
  <si>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</si>
  <si>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</si>
  <si>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</si>
  <si>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</si>
  <si>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</si>
  <si>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</si>
  <si>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</si>
  <si>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</si>
  <si>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</si>
  <si>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</si>
  <si>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</si>
  <si>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</si>
  <si>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</si>
  <si>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</si>
  <si>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</si>
  <si>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</si>
  <si>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</si>
  <si>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</si>
  <si>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</si>
  <si>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</si>
  <si>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</si>
  <si>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</si>
  <si>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</si>
  <si>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Tip: Keep each series aligned by month. Blank months in the middle can skew results.</t>
  </si>
  <si>
    <t>Excess Stock Return</t>
  </si>
  <si>
    <t>Active Return vs Mkt</t>
  </si>
  <si>
    <t>Regression Output</t>
  </si>
  <si>
    <t>Alpha</t>
  </si>
  <si>
    <t>Mkt-RF Beta</t>
  </si>
  <si>
    <t>SMB Beta</t>
  </si>
  <si>
    <t>HML Beta</t>
  </si>
  <si>
    <t>MOM Beta</t>
  </si>
  <si>
    <t>Coefficients</t>
  </si>
  <si>
    <t>Std Errors</t>
  </si>
  <si>
    <t>R-sq / SE of Y</t>
  </si>
  <si>
    <t>F-stat / df</t>
  </si>
  <si>
    <t>SS reg / SS resid</t>
  </si>
  <si>
    <t>Statistical Significance</t>
  </si>
  <si>
    <t>t-statistic</t>
  </si>
  <si>
    <t>p-value</t>
  </si>
  <si>
    <t>Performance Metrics</t>
  </si>
  <si>
    <t>Avg Monthly Excess Return</t>
  </si>
  <si>
    <t>Annualized Excess Return</t>
  </si>
  <si>
    <t>Annualized Std Dev</t>
  </si>
  <si>
    <t>Sharpe Ratio</t>
  </si>
  <si>
    <t>Benchmark Return (ann.)</t>
  </si>
  <si>
    <t>Active Return</t>
  </si>
  <si>
    <t>Tracking Error</t>
  </si>
  <si>
    <t>Information Ratio</t>
  </si>
  <si>
    <t>Factor Exposure Summary</t>
  </si>
  <si>
    <t>Factor</t>
  </si>
  <si>
    <t>Exposure</t>
  </si>
  <si>
    <t>Market Beta</t>
  </si>
  <si>
    <t>Size Beta (SMB)</t>
  </si>
  <si>
    <t>Value Beta (HML)</t>
  </si>
  <si>
    <t>Momentum Beta</t>
  </si>
  <si>
    <t>Alpha (monthly)</t>
  </si>
  <si>
    <t>Model Fit</t>
  </si>
  <si>
    <t>R-Squared</t>
  </si>
  <si>
    <t>Performance</t>
  </si>
  <si>
    <t>Read this first: p-values under 0.05 are often treated as statistically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</si>
</sst>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595959"/>
      <name val="Calibri"/>
      <family val="2"/>
    </font>
    <font>
      <sz val="11"/>
      <color rgb="FF000000"/>
      <name val="Calibri"/>
      <family val="2"/>
    </font>
    <font>
      <sz val="9"/>
      <color rgb="FF808080"/>
      <name val="Calibri"/>
      <family val="2"/>
    </font>
    <font>
      <sz val="11"/>
      <color rgb="FF4472C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D6DCE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80808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0" fontId="9" fillId="0" borderId="1" xfId="1" applyNumberFormat="1" applyFont="1" applyBorder="1" applyAlignment="1">
      <alignment horizontal="right"/>
    </xf>
    <xf numFmtId="10" fontId="9" fillId="0" borderId="5" xfId="1" applyNumberFormat="1" applyFont="1" applyBorder="1" applyAlignment="1">
      <alignment horizontal="right"/>
    </xf>
    <xf numFmtId="10" fontId="9" fillId="0" borderId="6" xfId="1" applyNumberFormat="1" applyFont="1" applyBorder="1" applyAlignment="1">
      <alignment horizontal="right"/>
    </xf>
    <xf numFmtId="10" fontId="9" fillId="0" borderId="7" xfId="1" applyNumberFormat="1" applyFont="1" applyBorder="1" applyAlignment="1">
      <alignment horizontal="right"/>
    </xf>
    <xf numFmtId="10" fontId="11" fillId="0" borderId="3" xfId="1" applyNumberFormat="1" applyFont="1" applyBorder="1" applyAlignment="1">
      <alignment horizontal="right"/>
    </xf>
    <xf numFmtId="1" fontId="9" fillId="0" borderId="1" xfId="1" applyNumberFormat="1" applyFont="1" applyBorder="1" applyAlignment="1">
      <alignment horizontal="right"/>
    </xf>
    <xf numFmtId="165" fontId="6" fillId="0" borderId="1" xfId="1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0" xfId="0" applyFont="1"/>
    <xf numFmtId="0" fontId="8" fillId="0" borderId="0" xfId="0" applyFont="1"/>
    <xf numFmtId="0" fontId="11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0" fillId="0" borderId="0" xfId="0" applyAlignment="1"/>
    <xf numFmtId="0" fontId="11" fillId="0" borderId="0" xfId="0" applyFont="1" applyBorder="1" applyAlignment="1">
      <alignment horizontal="left"/>
    </xf>
    <xf numFmtId="10" fontId="6" fillId="0" borderId="7" xfId="0" applyNumberFormat="1" applyFont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8" fillId="0" borderId="9" xfId="0" applyFont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Exposure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Summary!$A$5:$A$8</c:f>
              <c:strCache>
                <c:ptCount val="4"/>
                <c:pt idx="0">
                  <c:v>Market Beta</c:v>
                </c:pt>
                <c:pt idx="1">
                  <c:v>Size Beta (SMB)</c:v>
                </c:pt>
                <c:pt idx="2">
                  <c:v>Value Beta (HML)</c:v>
                </c:pt>
                <c:pt idx="3">
                  <c:v>Momentum Beta</c:v>
                </c:pt>
              </c:strCache>
            </c:strRef>
          </c:cat>
          <c:val>
            <c:numRef>
              <c:f>Summary!$B$5:$B$8</c:f>
              <c:numCache>
                <c:formatCode>0.00%</c:formatCode>
                <c:ptCount val="4"/>
                <c:pt idx="0">
                  <c:v>4.6710848544987645E-2</c:v>
                </c:pt>
                <c:pt idx="1">
                  <c:v>-0.10635114753605159</c:v>
                </c:pt>
                <c:pt idx="2">
                  <c:v>0.2892547974432475</c:v>
                </c:pt>
                <c:pt idx="3">
                  <c:v>-0.27150101446576064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C-4A4B-8607-615000A98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7066064"/>
        <c:axId val="1520177344"/>
      </c:barChart>
      <c:catAx>
        <c:axId val="134706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77344"/>
        <c:crosses val="autoZero"/>
        <c:auto val="1"/>
        <c:lblAlgn val="ctr"/>
        <c:lblOffset val="100"/>
        <c:noMultiLvlLbl val="0"/>
      </c:catAx>
      <c:valAx>
        <c:axId val="15201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06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123830</xdr:colOff>
      <xdr:row>2</xdr:row>
      <xdr:rowOff>171449</xdr:rowOff>
    </xdr:from>
    <xdr:to>
      <xdr:col>14</xdr:col>
      <xdr:colOff>438149</xdr:colOff>
      <xdr:row>18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4F72A-58E2-950F-D17C-DFD05C0D8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A6A6"/>
  </sheetPr>
  <dimension ref="A1:B8"/>
  <sheetViews>
    <sheetView workbookViewId="0"/>
  </sheetViews>
  <sheetFormatPr defaultRowHeight="15" x14ac:dyDescent="0.25"/>
  <cols>
    <col min="1" max="1" width="22" customWidth="1"/>
    <col min="2" max="2" width="88" customWidth="1"/>
  </cols>
  <sheetData>
    <row r="1" spans="1:2" x14ac:dyDescent="0.25">
      <c r="A1" s="25" t="s">
        <v>0</v>
      </c>
      <c r="B1" s="25"/>
    </row>
    <row r="2" spans="1:2" x14ac:dyDescent="0.25">
      <c r="A2" s="21" t="s">
        <v>1</v>
      </c>
      <c r="B2" s="26" t="s">
        <v>2</v>
      </c>
    </row>
    <row r="3" spans="1:2" x14ac:dyDescent="0.25">
      <c r="A3" s="21" t="s">
        <v>3</v>
      </c>
      <c r="B3" s="26" t="s">
        <v>4</v>
      </c>
    </row>
    <row r="4" spans="1:2" x14ac:dyDescent="0.25">
      <c r="A4" s="21" t="s">
        <v>5</v>
      </c>
      <c r="B4" s="26" t="s">
        <v>6</v>
      </c>
    </row>
    <row r="5" spans="1:2" x14ac:dyDescent="0.25">
      <c r="A5" s="21" t="s">
        <v>7</v>
      </c>
      <c r="B5" s="26" t="s">
        <v>8</v>
      </c>
    </row>
    <row r="6" spans="1:2" x14ac:dyDescent="0.25">
      <c r="A6" s="23"/>
      <c r="B6" s="23"/>
    </row>
    <row r="8" spans="1:2" x14ac:dyDescent="0.25">
      <c r="A8" s="1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workbookViewId="0">
      <pane xSplit="1" ySplit="1" topLeftCell="B2" activePane="bottomRight" state="frozen"/>
      <selection pane="topRight"/>
      <selection pane="bottomLeft"/>
      <selection pane="bottomRight" activeCell="B52" sqref="B52"/>
    </sheetView>
  </sheetViews>
  <sheetFormatPr defaultRowHeight="15" x14ac:dyDescent="0.25"/>
  <cols>
    <col min="1" max="1" width="12" customWidth="1"/>
    <col min="2" max="7" width="15" customWidth="1"/>
  </cols>
  <sheetData>
    <row r="1" spans="1:7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25">
      <c r="A2" s="4" t="s">
        <v>17</v>
      </c>
      <c r="B2" s="5">
        <v>1.5200000000000001E-3</v>
      </c>
      <c r="C2" s="5">
        <v>1.41E-3</v>
      </c>
      <c r="D2" s="5">
        <v>1.32E-3</v>
      </c>
      <c r="E2" s="5">
        <v>1.8550000000000001E-2</v>
      </c>
      <c r="F2" s="5">
        <v>-8.0999999999999996E-4</v>
      </c>
      <c r="G2" s="5">
        <v>-4.7410000000000001E-2</v>
      </c>
    </row>
    <row r="3" spans="1:7" x14ac:dyDescent="0.25">
      <c r="A3" s="4" t="s">
        <v>18</v>
      </c>
      <c r="B3" s="5">
        <v>2.2950000000000002E-2</v>
      </c>
      <c r="C3" s="5">
        <v>1.3699999999999999E-3</v>
      </c>
      <c r="D3" s="5">
        <v>-3.1099999999999999E-3</v>
      </c>
      <c r="E3" s="5">
        <v>3.8999999999999998E-3</v>
      </c>
      <c r="F3" s="5">
        <v>7.11E-3</v>
      </c>
      <c r="G3" s="5">
        <v>4.5719999999999997E-2</v>
      </c>
    </row>
    <row r="4" spans="1:7" x14ac:dyDescent="0.25">
      <c r="A4" s="4" t="s">
        <v>19</v>
      </c>
      <c r="B4" s="5">
        <v>3.755E-2</v>
      </c>
      <c r="C4" s="5">
        <v>1.56E-3</v>
      </c>
      <c r="D4" s="5">
        <v>-2.5010000000000001E-2</v>
      </c>
      <c r="E4" s="5">
        <v>-2.4369999999999999E-2</v>
      </c>
      <c r="F4" s="5">
        <v>7.4200000000000004E-3</v>
      </c>
      <c r="G4" s="5">
        <v>5.0889999999999998E-2</v>
      </c>
    </row>
    <row r="5" spans="1:7" x14ac:dyDescent="0.25">
      <c r="A5" s="4" t="s">
        <v>20</v>
      </c>
      <c r="B5" s="5">
        <v>9.8700000000000003E-3</v>
      </c>
      <c r="C5" s="5">
        <v>1.4499999999999999E-3</v>
      </c>
      <c r="D5" s="5">
        <v>2.8330000000000001E-2</v>
      </c>
      <c r="E5" s="5">
        <v>-3.5340000000000003E-2</v>
      </c>
      <c r="F5" s="5">
        <v>-4.8700000000000002E-3</v>
      </c>
      <c r="G5" s="5">
        <v>2.2159999999999999E-2</v>
      </c>
    </row>
    <row r="6" spans="1:7" x14ac:dyDescent="0.25">
      <c r="A6" s="4" t="s">
        <v>21</v>
      </c>
      <c r="B6" s="5">
        <v>4.7300000000000002E-2</v>
      </c>
      <c r="C6" s="5">
        <v>1.3799999999999999E-3</v>
      </c>
      <c r="D6" s="5">
        <v>2.1819999999999999E-2</v>
      </c>
      <c r="E6" s="5">
        <v>7.2100000000000003E-3</v>
      </c>
      <c r="F6" s="5">
        <v>1.9210000000000001E-2</v>
      </c>
      <c r="G6" s="5">
        <v>-3.3959999999999997E-2</v>
      </c>
    </row>
    <row r="7" spans="1:7" x14ac:dyDescent="0.25">
      <c r="A7" s="4" t="s">
        <v>22</v>
      </c>
      <c r="B7" s="5">
        <v>3.3570000000000003E-2</v>
      </c>
      <c r="C7" s="5">
        <v>7.3999999999999999E-4</v>
      </c>
      <c r="D7" s="5">
        <v>-0.10403999999999999</v>
      </c>
      <c r="E7" s="5">
        <v>-1.417E-2</v>
      </c>
      <c r="F7" s="5">
        <v>-1.8149999999999999E-2</v>
      </c>
      <c r="G7" s="5">
        <v>3.5659999999999997E-2</v>
      </c>
    </row>
    <row r="8" spans="1:7" x14ac:dyDescent="0.25">
      <c r="A8" s="4" t="s">
        <v>23</v>
      </c>
      <c r="B8" s="5">
        <v>3.789E-2</v>
      </c>
      <c r="C8" s="5">
        <v>8.8999999999999995E-4</v>
      </c>
      <c r="D8" s="5">
        <v>4.1590000000000002E-2</v>
      </c>
      <c r="E8" s="5">
        <v>-2.4060000000000002E-2</v>
      </c>
      <c r="F8" s="5">
        <v>1E-4</v>
      </c>
      <c r="G8" s="5">
        <v>-5.2900000000000004E-3</v>
      </c>
    </row>
    <row r="9" spans="1:7" x14ac:dyDescent="0.25">
      <c r="A9" s="4" t="s">
        <v>24</v>
      </c>
      <c r="B9" s="5">
        <v>1.315E-2</v>
      </c>
      <c r="C9" s="5">
        <v>1.91E-3</v>
      </c>
      <c r="D9" s="5">
        <v>3.2809999999999999E-2</v>
      </c>
      <c r="E9" s="5">
        <v>9.75E-3</v>
      </c>
      <c r="F9" s="5">
        <v>1.6299999999999999E-2</v>
      </c>
      <c r="G9" s="5">
        <v>2.1749999999999999E-2</v>
      </c>
    </row>
    <row r="10" spans="1:7" x14ac:dyDescent="0.25">
      <c r="A10" s="4" t="s">
        <v>25</v>
      </c>
      <c r="B10" s="5">
        <v>-2.0209999999999999E-2</v>
      </c>
      <c r="C10" s="5">
        <v>1.14E-3</v>
      </c>
      <c r="D10" s="5">
        <v>-1.374E-2</v>
      </c>
      <c r="E10" s="5">
        <v>1.3480000000000001E-2</v>
      </c>
      <c r="F10" s="5">
        <v>-3.5000000000000001E-3</v>
      </c>
      <c r="G10" s="5">
        <v>8.6749999999999994E-2</v>
      </c>
    </row>
    <row r="11" spans="1:7" x14ac:dyDescent="0.25">
      <c r="A11" s="4" t="s">
        <v>26</v>
      </c>
      <c r="B11" s="5">
        <v>-2.887E-2</v>
      </c>
      <c r="C11" s="5">
        <v>9.5E-4</v>
      </c>
      <c r="D11" s="5">
        <v>3.8280000000000002E-2</v>
      </c>
      <c r="E11" s="5">
        <v>3.6549999999999999E-2</v>
      </c>
      <c r="F11" s="5">
        <v>1.3129999999999999E-2</v>
      </c>
      <c r="G11" s="5">
        <v>3.4250000000000003E-2</v>
      </c>
    </row>
    <row r="12" spans="1:7" x14ac:dyDescent="0.25">
      <c r="A12" s="4" t="s">
        <v>27</v>
      </c>
      <c r="B12" s="5">
        <v>7.2190000000000004E-2</v>
      </c>
      <c r="C12" s="5">
        <v>1.4499999999999999E-3</v>
      </c>
      <c r="D12" s="5">
        <v>-5.3760000000000002E-2</v>
      </c>
      <c r="E12" s="5">
        <v>-1.23E-2</v>
      </c>
      <c r="F12" s="5">
        <v>2.2960000000000001E-2</v>
      </c>
      <c r="G12" s="5">
        <v>-4.5530000000000001E-2</v>
      </c>
    </row>
    <row r="13" spans="1:7" x14ac:dyDescent="0.25">
      <c r="A13" s="4" t="s">
        <v>28</v>
      </c>
      <c r="B13" s="5">
        <v>9.5099999999999994E-3</v>
      </c>
      <c r="C13" s="5">
        <v>1.6299999999999999E-3</v>
      </c>
      <c r="D13" s="5">
        <v>-7.2500000000000004E-3</v>
      </c>
      <c r="E13" s="5">
        <v>1.9089999999999999E-2</v>
      </c>
      <c r="F13" s="5">
        <v>1.478E-2</v>
      </c>
      <c r="G13" s="5">
        <v>8.6249999999999993E-2</v>
      </c>
    </row>
    <row r="14" spans="1:7" x14ac:dyDescent="0.25">
      <c r="A14" s="4" t="s">
        <v>29</v>
      </c>
      <c r="B14" s="5">
        <v>3.5900000000000001E-2</v>
      </c>
      <c r="C14" s="5">
        <v>1.1999999999999999E-3</v>
      </c>
      <c r="D14" s="5">
        <v>-1.7600000000000001E-2</v>
      </c>
      <c r="E14" s="5">
        <v>-1.9789999999999999E-2</v>
      </c>
      <c r="F14" s="5">
        <v>2.2950000000000002E-2</v>
      </c>
      <c r="G14" s="5">
        <v>-1.4840000000000001E-2</v>
      </c>
    </row>
    <row r="15" spans="1:7" x14ac:dyDescent="0.25">
      <c r="A15" s="4" t="s">
        <v>30</v>
      </c>
      <c r="B15" s="5">
        <v>4.8399999999999997E-3</v>
      </c>
      <c r="C15" s="5">
        <v>1.8699999999999999E-3</v>
      </c>
      <c r="D15" s="5">
        <v>-2.4389999999999998E-2</v>
      </c>
      <c r="E15" s="5">
        <v>-6.3400000000000001E-3</v>
      </c>
      <c r="F15" s="5">
        <v>-3.8510000000000003E-2</v>
      </c>
      <c r="G15" s="5">
        <v>-3.2890000000000003E-2</v>
      </c>
    </row>
    <row r="16" spans="1:7" x14ac:dyDescent="0.25">
      <c r="A16" s="4" t="s">
        <v>31</v>
      </c>
      <c r="B16" s="5">
        <v>-1.755E-2</v>
      </c>
      <c r="C16" s="5">
        <v>1.7099999999999999E-3</v>
      </c>
      <c r="D16" s="5">
        <v>5.6129999999999999E-2</v>
      </c>
      <c r="E16" s="5">
        <v>5.4000000000000001E-4</v>
      </c>
      <c r="F16" s="5">
        <v>7.7499999999999999E-3</v>
      </c>
      <c r="G16" s="5">
        <v>1.0880000000000001E-2</v>
      </c>
    </row>
    <row r="17" spans="1:7" x14ac:dyDescent="0.25">
      <c r="A17" s="4" t="s">
        <v>32</v>
      </c>
      <c r="B17" s="5">
        <v>5.6809999999999999E-2</v>
      </c>
      <c r="C17" s="5">
        <v>1.9499999999999999E-3</v>
      </c>
      <c r="D17" s="5">
        <v>1.7500000000000002E-2</v>
      </c>
      <c r="E17" s="5">
        <v>-2.427E-2</v>
      </c>
      <c r="F17" s="5">
        <v>2.1870000000000001E-2</v>
      </c>
      <c r="G17" s="5">
        <v>1.8339999999999999E-2</v>
      </c>
    </row>
    <row r="18" spans="1:7" x14ac:dyDescent="0.25">
      <c r="A18" s="4" t="s">
        <v>33</v>
      </c>
      <c r="B18" s="5">
        <v>6.3210000000000002E-2</v>
      </c>
      <c r="C18" s="5">
        <v>1.49E-3</v>
      </c>
      <c r="D18" s="5">
        <v>8.8029999999999997E-2</v>
      </c>
      <c r="E18" s="5">
        <v>-7.9699999999999997E-3</v>
      </c>
      <c r="F18" s="5">
        <v>3.705E-2</v>
      </c>
      <c r="G18" s="5">
        <v>9.0299999999999998E-3</v>
      </c>
    </row>
    <row r="19" spans="1:7" x14ac:dyDescent="0.25">
      <c r="A19" s="4" t="s">
        <v>34</v>
      </c>
      <c r="B19" s="5">
        <v>-1.523E-2</v>
      </c>
      <c r="C19" s="5">
        <v>9.3999999999999997E-4</v>
      </c>
      <c r="D19" s="5">
        <v>-3.4000000000000002E-4</v>
      </c>
      <c r="E19" s="5">
        <v>3.6580000000000001E-2</v>
      </c>
      <c r="F19" s="5">
        <v>1.9959999999999999E-2</v>
      </c>
      <c r="G19" s="5">
        <v>2.911E-2</v>
      </c>
    </row>
    <row r="20" spans="1:7" x14ac:dyDescent="0.25">
      <c r="A20" s="4" t="s">
        <v>35</v>
      </c>
      <c r="B20" s="5">
        <v>-9.8909999999999998E-2</v>
      </c>
      <c r="C20" s="5">
        <v>1.8600000000000001E-3</v>
      </c>
      <c r="D20" s="5">
        <v>2.9350000000000001E-2</v>
      </c>
      <c r="E20" s="5">
        <v>-1.2749999999999999E-2</v>
      </c>
      <c r="F20" s="5">
        <v>-1.18E-2</v>
      </c>
      <c r="G20" s="5">
        <v>4.9199999999999999E-3</v>
      </c>
    </row>
    <row r="21" spans="1:7" x14ac:dyDescent="0.25">
      <c r="A21" s="4" t="s">
        <v>36</v>
      </c>
      <c r="B21" s="5">
        <v>8.5620000000000002E-2</v>
      </c>
      <c r="C21" s="5">
        <v>9.7000000000000005E-4</v>
      </c>
      <c r="D21" s="5">
        <v>-1.197E-2</v>
      </c>
      <c r="E21" s="5">
        <v>3.5040000000000002E-2</v>
      </c>
      <c r="F21" s="5">
        <v>-7.8200000000000006E-3</v>
      </c>
      <c r="G21" s="5">
        <v>-7.7499999999999999E-3</v>
      </c>
    </row>
    <row r="22" spans="1:7" x14ac:dyDescent="0.25">
      <c r="A22" s="4" t="s">
        <v>37</v>
      </c>
      <c r="B22" s="5">
        <v>1.24E-2</v>
      </c>
      <c r="C22" s="5">
        <v>8.8000000000000003E-4</v>
      </c>
      <c r="D22" s="5">
        <v>1.524E-2</v>
      </c>
      <c r="E22" s="5">
        <v>-2.9239999999999999E-2</v>
      </c>
      <c r="F22" s="5">
        <v>2.147E-2</v>
      </c>
      <c r="G22" s="5">
        <v>5.11E-3</v>
      </c>
    </row>
    <row r="23" spans="1:7" x14ac:dyDescent="0.25">
      <c r="A23" s="4" t="s">
        <v>38</v>
      </c>
      <c r="B23" s="5">
        <v>0.11075</v>
      </c>
      <c r="C23" s="5">
        <v>1.64E-3</v>
      </c>
      <c r="D23" s="5">
        <v>6.336E-2</v>
      </c>
      <c r="E23" s="5">
        <v>-3.1579999999999997E-2</v>
      </c>
      <c r="F23" s="5">
        <v>-6.8999999999999997E-4</v>
      </c>
      <c r="G23" s="5">
        <v>1.6310000000000002E-2</v>
      </c>
    </row>
    <row r="24" spans="1:7" x14ac:dyDescent="0.25">
      <c r="A24" s="4" t="s">
        <v>39</v>
      </c>
      <c r="B24" s="5">
        <v>8.6559999999999998E-2</v>
      </c>
      <c r="C24" s="5">
        <v>6.6E-4</v>
      </c>
      <c r="D24" s="5">
        <v>4.761E-2</v>
      </c>
      <c r="E24" s="5">
        <v>1.5779999999999999E-2</v>
      </c>
      <c r="F24" s="5">
        <v>3.5740000000000001E-2</v>
      </c>
      <c r="G24" s="5">
        <v>2.9929999999999998E-2</v>
      </c>
    </row>
    <row r="25" spans="1:7" x14ac:dyDescent="0.25">
      <c r="A25" s="4" t="s">
        <v>40</v>
      </c>
      <c r="B25" s="5">
        <v>1.034E-2</v>
      </c>
      <c r="C25" s="5">
        <v>1.24E-3</v>
      </c>
      <c r="D25" s="5">
        <v>-4.6420000000000003E-2</v>
      </c>
      <c r="E25" s="5">
        <v>5.8900000000000003E-3</v>
      </c>
      <c r="F25" s="5">
        <v>-2.2200000000000002E-3</v>
      </c>
      <c r="G25" s="5">
        <v>7.571E-2</v>
      </c>
    </row>
    <row r="26" spans="1:7" x14ac:dyDescent="0.25">
      <c r="A26" s="4" t="s">
        <v>41</v>
      </c>
      <c r="B26" s="5">
        <v>-1.95E-2</v>
      </c>
      <c r="C26" s="5">
        <v>1.66E-3</v>
      </c>
      <c r="D26" s="5">
        <v>-5.9900000000000002E-2</v>
      </c>
      <c r="E26" s="5">
        <v>-8.8900000000000003E-3</v>
      </c>
      <c r="F26" s="5">
        <v>7.7499999999999999E-3</v>
      </c>
      <c r="G26" s="5">
        <v>3.3840000000000002E-2</v>
      </c>
    </row>
    <row r="27" spans="1:7" x14ac:dyDescent="0.25">
      <c r="A27" s="4" t="s">
        <v>42</v>
      </c>
      <c r="B27" s="5">
        <v>7.3160000000000003E-2</v>
      </c>
      <c r="C27" s="5">
        <v>1.48E-3</v>
      </c>
      <c r="D27" s="5">
        <v>-4.0919999999999998E-2</v>
      </c>
      <c r="E27" s="5">
        <v>1.2449999999999999E-2</v>
      </c>
      <c r="F27" s="5">
        <v>1.337E-2</v>
      </c>
      <c r="G27" s="5">
        <v>2.2210000000000001E-2</v>
      </c>
    </row>
    <row r="28" spans="1:7" x14ac:dyDescent="0.25">
      <c r="A28" s="4" t="s">
        <v>43</v>
      </c>
      <c r="B28" s="5">
        <v>-2.351E-2</v>
      </c>
      <c r="C28" s="5">
        <v>2.0699999999999998E-3</v>
      </c>
      <c r="D28" s="5">
        <v>9.6900000000000007E-3</v>
      </c>
      <c r="E28" s="5">
        <v>1.8499999999999999E-2</v>
      </c>
      <c r="F28" s="5">
        <v>3.0030000000000001E-2</v>
      </c>
      <c r="G28" s="5">
        <v>2.632E-2</v>
      </c>
    </row>
    <row r="29" spans="1:7" x14ac:dyDescent="0.25">
      <c r="A29" s="4" t="s">
        <v>44</v>
      </c>
      <c r="B29" s="5">
        <v>2.0889999999999999E-2</v>
      </c>
      <c r="C29" s="5">
        <v>2.5799999999999998E-3</v>
      </c>
      <c r="D29" s="5">
        <v>1.6240000000000001E-2</v>
      </c>
      <c r="E29" s="5">
        <v>-6.4000000000000003E-3</v>
      </c>
      <c r="F29" s="5">
        <v>4.4600000000000004E-3</v>
      </c>
      <c r="G29" s="5">
        <v>5.6899999999999999E-2</v>
      </c>
    </row>
    <row r="30" spans="1:7" x14ac:dyDescent="0.25">
      <c r="A30" s="4" t="s">
        <v>45</v>
      </c>
      <c r="B30" s="5">
        <v>1.3339999999999999E-2</v>
      </c>
      <c r="C30" s="5">
        <v>1.7600000000000001E-3</v>
      </c>
      <c r="D30" s="5">
        <v>5.6219999999999999E-2</v>
      </c>
      <c r="E30" s="5">
        <v>-1.1820000000000001E-2</v>
      </c>
      <c r="F30" s="5">
        <v>-3.5979999999999998E-2</v>
      </c>
      <c r="G30" s="5">
        <v>1.5480000000000001E-2</v>
      </c>
    </row>
    <row r="31" spans="1:7" x14ac:dyDescent="0.25">
      <c r="A31" s="4" t="s">
        <v>46</v>
      </c>
      <c r="B31" s="5">
        <v>1.8339999999999999E-2</v>
      </c>
      <c r="C31" s="5">
        <v>1.1999999999999999E-3</v>
      </c>
      <c r="D31" s="5">
        <v>4.2590000000000003E-2</v>
      </c>
      <c r="E31" s="5">
        <v>1.619E-2</v>
      </c>
      <c r="F31" s="5">
        <v>-1.9890000000000001E-2</v>
      </c>
      <c r="G31" s="5">
        <v>2.3140000000000001E-2</v>
      </c>
    </row>
    <row r="32" spans="1:7" x14ac:dyDescent="0.25">
      <c r="A32" s="4" t="s">
        <v>47</v>
      </c>
      <c r="B32" s="5">
        <v>-8.1999999999999998E-4</v>
      </c>
      <c r="C32" s="5">
        <v>7.6000000000000004E-4</v>
      </c>
      <c r="D32" s="5">
        <v>2.5020000000000001E-2</v>
      </c>
      <c r="E32" s="5">
        <v>-1.2999999999999999E-4</v>
      </c>
      <c r="F32" s="5">
        <v>-1.44E-2</v>
      </c>
      <c r="G32" s="5">
        <v>2.3300000000000001E-2</v>
      </c>
    </row>
    <row r="33" spans="1:7" x14ac:dyDescent="0.25">
      <c r="A33" s="4" t="s">
        <v>48</v>
      </c>
      <c r="B33" s="5">
        <v>2.9960000000000001E-2</v>
      </c>
      <c r="C33" s="5">
        <v>1.2099999999999999E-3</v>
      </c>
      <c r="D33" s="5">
        <v>2.281E-2</v>
      </c>
      <c r="E33" s="5">
        <v>2.6380000000000001E-2</v>
      </c>
      <c r="F33" s="5">
        <v>-1.3679999999999999E-2</v>
      </c>
      <c r="G33" s="5">
        <v>1.8329999999999999E-2</v>
      </c>
    </row>
    <row r="34" spans="1:7" x14ac:dyDescent="0.25">
      <c r="A34" s="4" t="s">
        <v>49</v>
      </c>
      <c r="B34" s="5">
        <v>8.1200000000000005E-3</v>
      </c>
      <c r="C34" s="5">
        <v>2.63E-3</v>
      </c>
      <c r="D34" s="5">
        <v>-7.2220000000000006E-2</v>
      </c>
      <c r="E34" s="5">
        <v>1.8380000000000001E-2</v>
      </c>
      <c r="F34" s="5">
        <v>-4.7400000000000003E-3</v>
      </c>
      <c r="G34" s="5">
        <v>1.49E-3</v>
      </c>
    </row>
    <row r="35" spans="1:7" x14ac:dyDescent="0.25">
      <c r="A35" s="4" t="s">
        <v>50</v>
      </c>
      <c r="B35" s="5">
        <v>9.357E-2</v>
      </c>
      <c r="C35" s="5">
        <v>1.5E-3</v>
      </c>
      <c r="D35" s="5">
        <v>0.10012</v>
      </c>
      <c r="E35" s="5">
        <v>-1.005E-2</v>
      </c>
      <c r="F35" s="5">
        <v>9.7099999999999999E-3</v>
      </c>
      <c r="G35" s="5">
        <v>-1.218E-2</v>
      </c>
    </row>
    <row r="36" spans="1:7" x14ac:dyDescent="0.25">
      <c r="A36" s="4" t="s">
        <v>51</v>
      </c>
      <c r="B36" s="5">
        <v>-2.308E-2</v>
      </c>
      <c r="C36" s="5">
        <v>1.5299999999999999E-3</v>
      </c>
      <c r="D36" s="5">
        <v>-5.8700000000000002E-3</v>
      </c>
      <c r="E36" s="5">
        <v>6.0600000000000003E-3</v>
      </c>
      <c r="F36" s="5">
        <v>-4.4310000000000002E-2</v>
      </c>
      <c r="G36" s="5">
        <v>7.5090000000000004E-2</v>
      </c>
    </row>
    <row r="37" spans="1:7" x14ac:dyDescent="0.25">
      <c r="A37" s="4" t="s">
        <v>52</v>
      </c>
      <c r="B37" s="5">
        <v>4.8999999999999998E-4</v>
      </c>
      <c r="C37" s="5">
        <v>2.3700000000000001E-3</v>
      </c>
      <c r="D37" s="5">
        <v>-3.6299999999999999E-2</v>
      </c>
      <c r="E37" s="5">
        <v>8.3099999999999997E-3</v>
      </c>
      <c r="F37" s="5">
        <v>7.1629999999999999E-2</v>
      </c>
      <c r="G37" s="5">
        <v>-2.5440000000000001E-2</v>
      </c>
    </row>
    <row r="38" spans="1:7" x14ac:dyDescent="0.25">
      <c r="A38" s="4" t="s">
        <v>53</v>
      </c>
      <c r="B38" s="5">
        <v>-5.9290000000000002E-2</v>
      </c>
      <c r="C38" s="5">
        <v>1.23E-3</v>
      </c>
      <c r="D38" s="5">
        <v>2.5839999999999998E-2</v>
      </c>
      <c r="E38" s="5">
        <v>1.8329999999999999E-2</v>
      </c>
      <c r="F38" s="5">
        <v>3.039E-2</v>
      </c>
      <c r="G38" s="5">
        <v>-4.0000000000000001E-3</v>
      </c>
    </row>
    <row r="39" spans="1:7" x14ac:dyDescent="0.25">
      <c r="A39" s="4" t="s">
        <v>54</v>
      </c>
      <c r="B39" s="5">
        <v>-6.4100000000000004E-2</v>
      </c>
      <c r="C39" s="5">
        <v>1.2800000000000001E-3</v>
      </c>
      <c r="D39" s="5">
        <v>5.8090000000000003E-2</v>
      </c>
      <c r="E39" s="5">
        <v>1.264E-2</v>
      </c>
      <c r="F39" s="5">
        <v>-4.1050000000000003E-2</v>
      </c>
      <c r="G39" s="5">
        <v>3.7699999999999999E-3</v>
      </c>
    </row>
    <row r="40" spans="1:7" x14ac:dyDescent="0.25">
      <c r="A40" s="4" t="s">
        <v>55</v>
      </c>
      <c r="B40" s="5">
        <v>7.0919999999999997E-2</v>
      </c>
      <c r="C40" s="5">
        <v>2.5600000000000002E-3</v>
      </c>
      <c r="D40" s="5">
        <v>2.9590000000000002E-2</v>
      </c>
      <c r="E40" s="5">
        <v>8.7299999999999999E-3</v>
      </c>
      <c r="F40" s="5">
        <v>-2.528E-2</v>
      </c>
      <c r="G40" s="5">
        <v>-2.4510000000000001E-2</v>
      </c>
    </row>
    <row r="41" spans="1:7" x14ac:dyDescent="0.25">
      <c r="A41" s="4" t="s">
        <v>56</v>
      </c>
      <c r="B41" s="5">
        <v>1.0109999999999999E-2</v>
      </c>
      <c r="C41" s="5">
        <v>1.75E-3</v>
      </c>
      <c r="D41" s="5">
        <v>3.0370000000000001E-2</v>
      </c>
      <c r="E41" s="5">
        <v>-1.0959999999999999E-2</v>
      </c>
      <c r="F41" s="5">
        <v>-2.334E-2</v>
      </c>
      <c r="G41" s="5">
        <v>-2.222E-2</v>
      </c>
    </row>
    <row r="42" spans="1:7" x14ac:dyDescent="0.25">
      <c r="A42" s="4" t="s">
        <v>57</v>
      </c>
      <c r="B42" s="5">
        <v>-4.4060000000000002E-2</v>
      </c>
      <c r="C42" s="5">
        <v>1.82E-3</v>
      </c>
      <c r="D42" s="5">
        <v>-9.1120000000000007E-2</v>
      </c>
      <c r="E42" s="5">
        <v>-7.3299999999999997E-3</v>
      </c>
      <c r="F42" s="5">
        <v>1.1900000000000001E-2</v>
      </c>
      <c r="G42" s="5">
        <v>5.8270000000000002E-2</v>
      </c>
    </row>
    <row r="43" spans="1:7" x14ac:dyDescent="0.25">
      <c r="A43" s="4" t="s">
        <v>58</v>
      </c>
      <c r="B43" s="5">
        <v>1.1209999999999999E-2</v>
      </c>
      <c r="C43" s="5">
        <v>2E-3</v>
      </c>
      <c r="D43" s="5">
        <v>-1.076E-2</v>
      </c>
      <c r="E43" s="5">
        <v>-1.7610000000000001E-2</v>
      </c>
      <c r="F43" s="5">
        <v>-1.2840000000000001E-2</v>
      </c>
      <c r="G43" s="5">
        <v>5.8459999999999998E-2</v>
      </c>
    </row>
    <row r="44" spans="1:7" x14ac:dyDescent="0.25">
      <c r="A44" s="4" t="s">
        <v>59</v>
      </c>
      <c r="B44" s="5">
        <v>5.2740000000000002E-2</v>
      </c>
      <c r="C44" s="5">
        <v>1.74E-3</v>
      </c>
      <c r="D44" s="5">
        <v>0.14587</v>
      </c>
      <c r="E44" s="5">
        <v>1.9000000000000001E-4</v>
      </c>
      <c r="F44" s="5">
        <v>1.5650000000000001E-2</v>
      </c>
      <c r="G44" s="5">
        <v>1.5769999999999999E-2</v>
      </c>
    </row>
    <row r="45" spans="1:7" x14ac:dyDescent="0.25">
      <c r="A45" s="4" t="s">
        <v>60</v>
      </c>
      <c r="B45" s="5">
        <v>-1.98E-3</v>
      </c>
      <c r="C45" s="5">
        <v>2.66E-3</v>
      </c>
      <c r="D45" s="5">
        <v>6.9279999999999994E-2</v>
      </c>
      <c r="E45" s="5">
        <v>-3.3989999999999999E-2</v>
      </c>
      <c r="F45" s="5">
        <v>-6.7999999999999996E-3</v>
      </c>
      <c r="G45" s="5">
        <v>1.9990000000000001E-2</v>
      </c>
    </row>
    <row r="46" spans="1:7" x14ac:dyDescent="0.25">
      <c r="A46" s="4" t="s">
        <v>61</v>
      </c>
      <c r="B46" s="5">
        <v>4.3240000000000001E-2</v>
      </c>
      <c r="C46" s="5">
        <v>8.3000000000000001E-4</v>
      </c>
      <c r="D46" s="5">
        <v>-8.8730000000000003E-2</v>
      </c>
      <c r="E46" s="5">
        <v>-4.666E-2</v>
      </c>
      <c r="F46" s="5">
        <v>4.4000000000000002E-4</v>
      </c>
      <c r="G46" s="5">
        <v>1.39E-3</v>
      </c>
    </row>
    <row r="47" spans="1:7" x14ac:dyDescent="0.25">
      <c r="A47" s="4" t="s">
        <v>62</v>
      </c>
      <c r="B47" s="5">
        <v>2.3529999999999999E-2</v>
      </c>
      <c r="C47" s="5">
        <v>1.1199999999999999E-3</v>
      </c>
      <c r="D47" s="5">
        <v>-4.5420000000000002E-2</v>
      </c>
      <c r="E47" s="5">
        <v>-4.9579999999999999E-2</v>
      </c>
      <c r="F47" s="5">
        <v>9.2399999999999999E-3</v>
      </c>
      <c r="G47" s="5">
        <v>1.7950000000000001E-2</v>
      </c>
    </row>
    <row r="48" spans="1:7" x14ac:dyDescent="0.25">
      <c r="A48" s="4" t="s">
        <v>63</v>
      </c>
      <c r="B48" s="5">
        <v>5.2679999999999998E-2</v>
      </c>
      <c r="C48" s="5">
        <v>1.9E-3</v>
      </c>
      <c r="D48" s="5">
        <v>-2.0100000000000001E-3</v>
      </c>
      <c r="E48" s="5">
        <v>3.4729999999999997E-2</v>
      </c>
      <c r="F48" s="5">
        <v>-1E-3</v>
      </c>
      <c r="G48" s="5">
        <v>-1.813E-2</v>
      </c>
    </row>
    <row r="49" spans="1:7" x14ac:dyDescent="0.25">
      <c r="A49" s="4" t="s">
        <v>64</v>
      </c>
      <c r="B49" s="5">
        <v>-1.5429999999999999E-2</v>
      </c>
      <c r="C49" s="5">
        <v>1.2099999999999999E-3</v>
      </c>
      <c r="D49" s="5">
        <v>-8.4959999999999994E-2</v>
      </c>
      <c r="E49" s="5">
        <v>4.9100000000000003E-3</v>
      </c>
      <c r="F49" s="5">
        <v>7.4999999999999997E-3</v>
      </c>
      <c r="G49" s="5">
        <v>-7.6800000000000002E-3</v>
      </c>
    </row>
    <row r="50" spans="1:7" x14ac:dyDescent="0.25">
      <c r="A50" s="4" t="s">
        <v>65</v>
      </c>
      <c r="B50" s="5">
        <v>-2.4119999999999999E-2</v>
      </c>
      <c r="C50" s="5">
        <v>1.6900000000000001E-3</v>
      </c>
      <c r="D50" s="5">
        <v>7.8109999999999999E-2</v>
      </c>
      <c r="E50" s="5">
        <v>1.9599999999999999E-3</v>
      </c>
      <c r="F50" s="5">
        <v>-9.1699999999999993E-3</v>
      </c>
      <c r="G50" s="5">
        <v>-1.5699999999999999E-2</v>
      </c>
    </row>
    <row r="51" spans="1:7" x14ac:dyDescent="0.25">
      <c r="A51" s="4" t="s">
        <v>66</v>
      </c>
      <c r="B51" s="5">
        <v>4.8599999999999997E-3</v>
      </c>
      <c r="C51" s="5">
        <v>8.7000000000000001E-4</v>
      </c>
      <c r="D51" s="5">
        <v>7.3999999999999999E-4</v>
      </c>
      <c r="E51" s="5">
        <v>2.5300000000000001E-3</v>
      </c>
      <c r="F51" s="5">
        <v>4.258E-2</v>
      </c>
      <c r="G51" s="5">
        <v>3.8019999999999998E-2</v>
      </c>
    </row>
    <row r="52" spans="1:7" x14ac:dyDescent="0.25">
      <c r="A52" s="4" t="s">
        <v>67</v>
      </c>
      <c r="B52" s="5">
        <v>5.4530000000000002E-2</v>
      </c>
      <c r="C52" s="5">
        <v>1.14E-3</v>
      </c>
      <c r="D52" s="5">
        <v>3.4139999999999997E-2</v>
      </c>
      <c r="E52" s="5">
        <v>-2.7480000000000001E-2</v>
      </c>
      <c r="F52" s="5">
        <v>8.8599999999999998E-3</v>
      </c>
      <c r="G52" s="5">
        <v>1.966E-2</v>
      </c>
    </row>
    <row r="53" spans="1:7" x14ac:dyDescent="0.25">
      <c r="A53" s="4" t="s">
        <v>68</v>
      </c>
      <c r="B53" s="5">
        <v>-2.649E-2</v>
      </c>
      <c r="C53" s="5">
        <v>2.5000000000000001E-3</v>
      </c>
      <c r="D53" s="5">
        <v>2.9829999999999999E-2</v>
      </c>
      <c r="E53" s="5">
        <v>-4.657E-2</v>
      </c>
      <c r="F53" s="5">
        <v>1.4160000000000001E-2</v>
      </c>
      <c r="G53" s="5">
        <v>-9.2599999999999991E-3</v>
      </c>
    </row>
    <row r="54" spans="1:7" x14ac:dyDescent="0.25">
      <c r="A54" s="4" t="s">
        <v>69</v>
      </c>
      <c r="B54" s="5">
        <v>8.0599999999999995E-3</v>
      </c>
      <c r="C54" s="5">
        <v>1.73E-3</v>
      </c>
      <c r="D54" s="5">
        <v>2.24E-2</v>
      </c>
      <c r="E54" s="5">
        <v>-4.9979999999999997E-2</v>
      </c>
      <c r="F54" s="5">
        <v>-2.3480000000000001E-2</v>
      </c>
      <c r="G54" s="5">
        <v>3.2039999999999999E-2</v>
      </c>
    </row>
    <row r="55" spans="1:7" x14ac:dyDescent="0.25">
      <c r="A55" s="4" t="s">
        <v>70</v>
      </c>
      <c r="B55" s="5">
        <v>6.6549999999999998E-2</v>
      </c>
      <c r="C55" s="5">
        <v>2.4499999999999999E-3</v>
      </c>
      <c r="D55" s="5">
        <v>8.1729999999999997E-2</v>
      </c>
      <c r="E55" s="5">
        <v>-5.0389999999999997E-2</v>
      </c>
      <c r="F55" s="5">
        <v>1.8929999999999999E-2</v>
      </c>
      <c r="G55" s="5">
        <v>-6.207E-2</v>
      </c>
    </row>
    <row r="56" spans="1:7" x14ac:dyDescent="0.25">
      <c r="A56" s="4" t="s">
        <v>71</v>
      </c>
      <c r="B56" s="5">
        <v>8.0610000000000001E-2</v>
      </c>
      <c r="C56" s="5">
        <v>1.6299999999999999E-3</v>
      </c>
      <c r="D56" s="5">
        <v>-4.1930000000000002E-2</v>
      </c>
      <c r="E56" s="5">
        <v>5.1249999999999997E-2</v>
      </c>
      <c r="F56" s="5">
        <v>1.617E-2</v>
      </c>
      <c r="G56" s="5">
        <v>-6.1190000000000001E-2</v>
      </c>
    </row>
    <row r="57" spans="1:7" x14ac:dyDescent="0.25">
      <c r="A57" s="4" t="s">
        <v>72</v>
      </c>
      <c r="B57" s="5">
        <v>2.121E-2</v>
      </c>
      <c r="C57" s="5">
        <v>1.1299999999999999E-3</v>
      </c>
      <c r="D57" s="5">
        <v>1.0670000000000001E-2</v>
      </c>
      <c r="E57" s="5">
        <v>-1.0630000000000001E-2</v>
      </c>
      <c r="F57" s="5">
        <v>3.2219999999999999E-2</v>
      </c>
      <c r="G57" s="5">
        <v>-4.4819999999999999E-2</v>
      </c>
    </row>
    <row r="58" spans="1:7" x14ac:dyDescent="0.25">
      <c r="A58" s="4" t="s">
        <v>73</v>
      </c>
      <c r="B58" s="5">
        <v>2.2280000000000001E-2</v>
      </c>
      <c r="C58" s="5">
        <v>2.4099999999999998E-3</v>
      </c>
      <c r="D58" s="5">
        <v>-2.8729999999999999E-2</v>
      </c>
      <c r="E58" s="5">
        <v>6.2700000000000004E-3</v>
      </c>
      <c r="F58" s="5">
        <v>6.4400000000000004E-3</v>
      </c>
      <c r="G58" s="5">
        <v>-1.9140000000000001E-2</v>
      </c>
    </row>
    <row r="59" spans="1:7" x14ac:dyDescent="0.25">
      <c r="A59" s="4" t="s">
        <v>74</v>
      </c>
      <c r="B59" s="5">
        <v>3.7159999999999999E-2</v>
      </c>
      <c r="C59" s="5">
        <v>1.5499999999999999E-3</v>
      </c>
      <c r="D59" s="5">
        <v>-3.3640000000000003E-2</v>
      </c>
      <c r="E59" s="5">
        <v>4.505E-2</v>
      </c>
      <c r="F59" s="5">
        <v>1.942E-2</v>
      </c>
      <c r="G59" s="5">
        <v>-8.4999999999999995E-4</v>
      </c>
    </row>
    <row r="60" spans="1:7" x14ac:dyDescent="0.25">
      <c r="A60" s="4" t="s">
        <v>75</v>
      </c>
      <c r="B60" s="5">
        <v>-2.0650000000000002E-2</v>
      </c>
      <c r="C60" s="5">
        <v>1.1100000000000001E-3</v>
      </c>
      <c r="D60" s="5">
        <v>5.7700000000000001E-2</v>
      </c>
      <c r="E60" s="5">
        <v>-2.66E-3</v>
      </c>
      <c r="F60" s="5">
        <v>1.2109999999999999E-2</v>
      </c>
      <c r="G60" s="5">
        <v>-1.4599999999999999E-3</v>
      </c>
    </row>
    <row r="61" spans="1:7" x14ac:dyDescent="0.25">
      <c r="A61" s="4" t="s">
        <v>76</v>
      </c>
      <c r="B61" s="5">
        <v>3.5740000000000001E-2</v>
      </c>
      <c r="C61" s="5">
        <v>1.4400000000000001E-3</v>
      </c>
      <c r="D61" s="5">
        <v>3.8080000000000003E-2</v>
      </c>
      <c r="E61" s="5">
        <v>-3.5799999999999998E-3</v>
      </c>
      <c r="F61" s="5">
        <v>2.0250000000000001E-2</v>
      </c>
      <c r="G61" s="5">
        <v>2.853E-2</v>
      </c>
    </row>
    <row r="62" spans="1:7" x14ac:dyDescent="0.25">
      <c r="A62" s="4"/>
      <c r="B62" s="5"/>
      <c r="C62" s="5"/>
      <c r="D62" s="5"/>
      <c r="E62" s="5"/>
      <c r="F62" s="5"/>
      <c r="G62" s="5"/>
    </row>
    <row r="63" spans="1:7" x14ac:dyDescent="0.25">
      <c r="A63" s="4"/>
      <c r="B63" s="5"/>
      <c r="C63" s="5"/>
      <c r="D63" s="5"/>
      <c r="E63" s="5"/>
      <c r="F63" s="5"/>
      <c r="G63" s="5"/>
    </row>
    <row r="64" spans="1:7" x14ac:dyDescent="0.25">
      <c r="A64" s="4"/>
      <c r="B64" s="5"/>
      <c r="C64" s="5"/>
      <c r="D64" s="5"/>
      <c r="E64" s="5"/>
      <c r="F64" s="5"/>
      <c r="G64" s="5"/>
    </row>
    <row r="65" spans="1:7" x14ac:dyDescent="0.25">
      <c r="A65" s="4"/>
      <c r="B65" s="5"/>
      <c r="C65" s="5"/>
      <c r="D65" s="5"/>
      <c r="E65" s="5"/>
      <c r="F65" s="5"/>
      <c r="G65" s="5"/>
    </row>
    <row r="66" spans="1:7" x14ac:dyDescent="0.25">
      <c r="A66" s="4"/>
      <c r="B66" s="5"/>
      <c r="C66" s="5"/>
      <c r="D66" s="5"/>
      <c r="E66" s="5"/>
      <c r="F66" s="5"/>
      <c r="G66" s="5"/>
    </row>
    <row r="67" spans="1:7" x14ac:dyDescent="0.25">
      <c r="A67" s="4"/>
      <c r="B67" s="5"/>
      <c r="C67" s="5"/>
      <c r="D67" s="5"/>
      <c r="E67" s="5"/>
      <c r="F67" s="5"/>
      <c r="G67" s="5"/>
    </row>
    <row r="68" spans="1:7" x14ac:dyDescent="0.25">
      <c r="A68" s="4"/>
      <c r="B68" s="5"/>
      <c r="C68" s="5"/>
      <c r="D68" s="5"/>
      <c r="E68" s="5"/>
      <c r="F68" s="5"/>
      <c r="G68" s="5"/>
    </row>
    <row r="69" spans="1:7" x14ac:dyDescent="0.25">
      <c r="A69" s="4"/>
      <c r="B69" s="5"/>
      <c r="C69" s="5"/>
      <c r="D69" s="5"/>
      <c r="E69" s="5"/>
      <c r="F69" s="5"/>
      <c r="G69" s="5"/>
    </row>
    <row r="70" spans="1:7" x14ac:dyDescent="0.25">
      <c r="A70" s="4"/>
      <c r="B70" s="5"/>
      <c r="C70" s="5"/>
      <c r="D70" s="5"/>
      <c r="E70" s="5"/>
      <c r="F70" s="5"/>
      <c r="G70" s="5"/>
    </row>
    <row r="71" spans="1:7" x14ac:dyDescent="0.25">
      <c r="A71" s="4"/>
      <c r="B71" s="5"/>
      <c r="C71" s="5"/>
      <c r="D71" s="5"/>
      <c r="E71" s="5"/>
      <c r="F71" s="5"/>
      <c r="G71" s="5"/>
    </row>
    <row r="72" spans="1:7" x14ac:dyDescent="0.25">
      <c r="A72" s="4"/>
      <c r="B72" s="5"/>
      <c r="C72" s="5"/>
      <c r="D72" s="5"/>
      <c r="E72" s="5"/>
      <c r="F72" s="5"/>
      <c r="G72" s="5"/>
    </row>
    <row r="73" spans="1:7" x14ac:dyDescent="0.25">
      <c r="A73" s="4"/>
      <c r="B73" s="5"/>
      <c r="C73" s="5"/>
      <c r="D73" s="5"/>
      <c r="E73" s="5"/>
      <c r="F73" s="5"/>
      <c r="G73" s="5"/>
    </row>
    <row r="74" spans="1:7" x14ac:dyDescent="0.25">
      <c r="A74" s="4"/>
      <c r="B74" s="5"/>
      <c r="C74" s="5"/>
      <c r="D74" s="5"/>
      <c r="E74" s="5"/>
      <c r="F74" s="5"/>
      <c r="G74" s="5"/>
    </row>
    <row r="75" spans="1:7" x14ac:dyDescent="0.25">
      <c r="A75" s="4"/>
      <c r="B75" s="5"/>
      <c r="C75" s="5"/>
      <c r="D75" s="5"/>
      <c r="E75" s="5"/>
      <c r="F75" s="5"/>
      <c r="G75" s="5"/>
    </row>
    <row r="76" spans="1:7" x14ac:dyDescent="0.25">
      <c r="A76" s="4"/>
      <c r="B76" s="5"/>
      <c r="C76" s="5"/>
      <c r="D76" s="5"/>
      <c r="E76" s="5"/>
      <c r="F76" s="5"/>
      <c r="G76" s="5"/>
    </row>
    <row r="77" spans="1:7" x14ac:dyDescent="0.25">
      <c r="A77" s="4"/>
      <c r="B77" s="5"/>
      <c r="C77" s="5"/>
      <c r="D77" s="5"/>
      <c r="E77" s="5"/>
      <c r="F77" s="5"/>
      <c r="G77" s="5"/>
    </row>
    <row r="78" spans="1:7" x14ac:dyDescent="0.25">
      <c r="A78" s="4"/>
      <c r="B78" s="5"/>
      <c r="C78" s="5"/>
      <c r="D78" s="5"/>
      <c r="E78" s="5"/>
      <c r="F78" s="5"/>
      <c r="G78" s="5"/>
    </row>
    <row r="79" spans="1:7" x14ac:dyDescent="0.25">
      <c r="A79" s="4"/>
      <c r="B79" s="5"/>
      <c r="C79" s="5"/>
      <c r="D79" s="5"/>
      <c r="E79" s="5"/>
      <c r="F79" s="5"/>
      <c r="G79" s="5"/>
    </row>
    <row r="80" spans="1:7" x14ac:dyDescent="0.25">
      <c r="A80" s="4"/>
      <c r="B80" s="5"/>
      <c r="C80" s="5"/>
      <c r="D80" s="5"/>
      <c r="E80" s="5"/>
      <c r="F80" s="5"/>
      <c r="G80" s="5"/>
    </row>
    <row r="81" spans="1:7" x14ac:dyDescent="0.25">
      <c r="A81" s="4"/>
      <c r="B81" s="5"/>
      <c r="C81" s="5"/>
      <c r="D81" s="5"/>
      <c r="E81" s="5"/>
      <c r="F81" s="5"/>
      <c r="G81" s="5"/>
    </row>
    <row r="82" spans="1:7" x14ac:dyDescent="0.25">
      <c r="A82" s="4"/>
      <c r="B82" s="5"/>
      <c r="C82" s="5"/>
      <c r="D82" s="5"/>
      <c r="E82" s="5"/>
      <c r="F82" s="5"/>
      <c r="G82" s="5"/>
    </row>
    <row r="83" spans="1:7" x14ac:dyDescent="0.25">
      <c r="A83" s="4"/>
      <c r="B83" s="5"/>
      <c r="C83" s="5"/>
      <c r="D83" s="5"/>
      <c r="E83" s="5"/>
      <c r="F83" s="5"/>
      <c r="G83" s="5"/>
    </row>
    <row r="84" spans="1:7" x14ac:dyDescent="0.25">
      <c r="A84" s="4"/>
      <c r="B84" s="5"/>
      <c r="C84" s="5"/>
      <c r="D84" s="5"/>
      <c r="E84" s="5"/>
      <c r="F84" s="5"/>
      <c r="G84" s="5"/>
    </row>
    <row r="85" spans="1:7" x14ac:dyDescent="0.25">
      <c r="A85" s="4"/>
      <c r="B85" s="5"/>
      <c r="C85" s="5"/>
      <c r="D85" s="5"/>
      <c r="E85" s="5"/>
      <c r="F85" s="5"/>
      <c r="G85" s="5"/>
    </row>
    <row r="86" spans="1:7" x14ac:dyDescent="0.25">
      <c r="A86" s="4"/>
      <c r="B86" s="5"/>
      <c r="C86" s="5"/>
      <c r="D86" s="5"/>
      <c r="E86" s="5"/>
      <c r="F86" s="5"/>
      <c r="G86" s="5"/>
    </row>
    <row r="87" spans="1:7" x14ac:dyDescent="0.25">
      <c r="A87" s="4"/>
      <c r="B87" s="5"/>
      <c r="C87" s="5"/>
      <c r="D87" s="5"/>
      <c r="E87" s="5"/>
      <c r="F87" s="5"/>
      <c r="G87" s="5"/>
    </row>
    <row r="88" spans="1:7" x14ac:dyDescent="0.25">
      <c r="A88" s="4"/>
      <c r="B88" s="5"/>
      <c r="C88" s="5"/>
      <c r="D88" s="5"/>
      <c r="E88" s="5"/>
      <c r="F88" s="5"/>
      <c r="G88" s="5"/>
    </row>
    <row r="89" spans="1:7" x14ac:dyDescent="0.25">
      <c r="A89" s="4"/>
      <c r="B89" s="5"/>
      <c r="C89" s="5"/>
      <c r="D89" s="5"/>
      <c r="E89" s="5"/>
      <c r="F89" s="5"/>
      <c r="G89" s="5"/>
    </row>
    <row r="90" spans="1:7" x14ac:dyDescent="0.25">
      <c r="A90" s="4"/>
      <c r="B90" s="5"/>
      <c r="C90" s="5"/>
      <c r="D90" s="5"/>
      <c r="E90" s="5"/>
      <c r="F90" s="5"/>
      <c r="G90" s="5"/>
    </row>
    <row r="91" spans="1:7" x14ac:dyDescent="0.25">
      <c r="A91" s="4"/>
      <c r="B91" s="5"/>
      <c r="C91" s="5"/>
      <c r="D91" s="5"/>
      <c r="E91" s="5"/>
      <c r="F91" s="5"/>
      <c r="G91" s="5"/>
    </row>
    <row r="92" spans="1:7" x14ac:dyDescent="0.25">
      <c r="A92" s="4"/>
      <c r="B92" s="5"/>
      <c r="C92" s="5"/>
      <c r="D92" s="5"/>
      <c r="E92" s="5"/>
      <c r="F92" s="5"/>
      <c r="G92" s="5"/>
    </row>
    <row r="93" spans="1:7" x14ac:dyDescent="0.25">
      <c r="A93" s="4"/>
      <c r="B93" s="5"/>
      <c r="C93" s="5"/>
      <c r="D93" s="5"/>
      <c r="E93" s="5"/>
      <c r="F93" s="5"/>
      <c r="G93" s="5"/>
    </row>
    <row r="94" spans="1:7" x14ac:dyDescent="0.25">
      <c r="A94" s="4"/>
      <c r="B94" s="5"/>
      <c r="C94" s="5"/>
      <c r="D94" s="5"/>
      <c r="E94" s="5"/>
      <c r="F94" s="5"/>
      <c r="G94" s="5"/>
    </row>
    <row r="95" spans="1:7" x14ac:dyDescent="0.25">
      <c r="A95" s="4"/>
      <c r="B95" s="5"/>
      <c r="C95" s="5"/>
      <c r="D95" s="5"/>
      <c r="E95" s="5"/>
      <c r="F95" s="5"/>
      <c r="G95" s="5"/>
    </row>
    <row r="96" spans="1:7" x14ac:dyDescent="0.25">
      <c r="A96" s="4"/>
      <c r="B96" s="5"/>
      <c r="C96" s="5"/>
      <c r="D96" s="5"/>
      <c r="E96" s="5"/>
      <c r="F96" s="5"/>
      <c r="G96" s="5"/>
    </row>
    <row r="97" spans="1:7" x14ac:dyDescent="0.25">
      <c r="A97" s="4"/>
      <c r="B97" s="5"/>
      <c r="C97" s="5"/>
      <c r="D97" s="5"/>
      <c r="E97" s="5"/>
      <c r="F97" s="5"/>
      <c r="G97" s="5"/>
    </row>
    <row r="98" spans="1:7" x14ac:dyDescent="0.25">
      <c r="A98" s="4"/>
      <c r="B98" s="5"/>
      <c r="C98" s="5"/>
      <c r="D98" s="5"/>
      <c r="E98" s="5"/>
      <c r="F98" s="5"/>
      <c r="G98" s="5"/>
    </row>
    <row r="99" spans="1:7" x14ac:dyDescent="0.25">
      <c r="A99" s="4"/>
      <c r="B99" s="5"/>
      <c r="C99" s="5"/>
      <c r="D99" s="5"/>
      <c r="E99" s="5"/>
      <c r="F99" s="5"/>
      <c r="G99" s="5"/>
    </row>
    <row r="100" spans="1:7" x14ac:dyDescent="0.25">
      <c r="A100" s="4"/>
      <c r="B100" s="5"/>
      <c r="C100" s="5"/>
      <c r="D100" s="5"/>
      <c r="E100" s="5"/>
      <c r="F100" s="5"/>
      <c r="G100" s="5"/>
    </row>
    <row r="101" spans="1:7" x14ac:dyDescent="0.25">
      <c r="A101" s="4"/>
      <c r="B101" s="5"/>
      <c r="C101" s="5"/>
      <c r="D101" s="5"/>
      <c r="E101" s="5"/>
      <c r="F101" s="5"/>
      <c r="G101" s="5"/>
    </row>
    <row r="102" spans="1:7" x14ac:dyDescent="0.25">
      <c r="A102" s="4"/>
      <c r="B102" s="5"/>
      <c r="C102" s="5"/>
      <c r="D102" s="5"/>
      <c r="E102" s="5"/>
      <c r="F102" s="5"/>
      <c r="G102" s="5"/>
    </row>
    <row r="103" spans="1:7" x14ac:dyDescent="0.25">
      <c r="A103" s="4"/>
      <c r="B103" s="5"/>
      <c r="C103" s="5"/>
      <c r="D103" s="5"/>
      <c r="E103" s="5"/>
      <c r="F103" s="5"/>
      <c r="G103" s="5"/>
    </row>
    <row r="104" spans="1:7" x14ac:dyDescent="0.25">
      <c r="A104" s="4"/>
      <c r="B104" s="5"/>
      <c r="C104" s="5"/>
      <c r="D104" s="5"/>
      <c r="E104" s="5"/>
      <c r="F104" s="5"/>
      <c r="G104" s="5"/>
    </row>
    <row r="105" spans="1:7" x14ac:dyDescent="0.25">
      <c r="A105" s="4"/>
      <c r="B105" s="5"/>
      <c r="C105" s="5"/>
      <c r="D105" s="5"/>
      <c r="E105" s="5"/>
      <c r="F105" s="5"/>
      <c r="G105" s="5"/>
    </row>
    <row r="106" spans="1:7" x14ac:dyDescent="0.25">
      <c r="A106" s="4"/>
      <c r="B106" s="5"/>
      <c r="C106" s="5"/>
      <c r="D106" s="5"/>
      <c r="E106" s="5"/>
      <c r="F106" s="5"/>
      <c r="G106" s="5"/>
    </row>
    <row r="107" spans="1:7" x14ac:dyDescent="0.25">
      <c r="A107" s="4"/>
      <c r="B107" s="5"/>
      <c r="C107" s="5"/>
      <c r="D107" s="5"/>
      <c r="E107" s="5"/>
      <c r="F107" s="5"/>
      <c r="G107" s="5"/>
    </row>
    <row r="108" spans="1:7" x14ac:dyDescent="0.25">
      <c r="A108" s="4"/>
      <c r="B108" s="5"/>
      <c r="C108" s="5"/>
      <c r="D108" s="5"/>
      <c r="E108" s="5"/>
      <c r="F108" s="5"/>
      <c r="G108" s="5"/>
    </row>
    <row r="109" spans="1:7" x14ac:dyDescent="0.25">
      <c r="A109" s="4"/>
      <c r="B109" s="5"/>
      <c r="C109" s="5"/>
      <c r="D109" s="5"/>
      <c r="E109" s="5"/>
      <c r="F109" s="5"/>
      <c r="G109" s="5"/>
    </row>
    <row r="110" spans="1:7" x14ac:dyDescent="0.25">
      <c r="A110" s="4"/>
      <c r="B110" s="5"/>
      <c r="C110" s="5"/>
      <c r="D110" s="5"/>
      <c r="E110" s="5"/>
      <c r="F110" s="5"/>
      <c r="G110" s="5"/>
    </row>
    <row r="111" spans="1:7" x14ac:dyDescent="0.25">
      <c r="A111" s="4"/>
      <c r="B111" s="5"/>
      <c r="C111" s="5"/>
      <c r="D111" s="5"/>
      <c r="E111" s="5"/>
      <c r="F111" s="5"/>
      <c r="G111" s="5"/>
    </row>
    <row r="112" spans="1:7" x14ac:dyDescent="0.25">
      <c r="A112" s="4"/>
      <c r="B112" s="5"/>
      <c r="C112" s="5"/>
      <c r="D112" s="5"/>
      <c r="E112" s="5"/>
      <c r="F112" s="5"/>
      <c r="G112" s="5"/>
    </row>
    <row r="113" spans="1:7" x14ac:dyDescent="0.25">
      <c r="A113" s="4"/>
      <c r="B113" s="5"/>
      <c r="C113" s="5"/>
      <c r="D113" s="5"/>
      <c r="E113" s="5"/>
      <c r="F113" s="5"/>
      <c r="G113" s="5"/>
    </row>
    <row r="114" spans="1:7" x14ac:dyDescent="0.25">
      <c r="A114" s="4"/>
      <c r="B114" s="5"/>
      <c r="C114" s="5"/>
      <c r="D114" s="5"/>
      <c r="E114" s="5"/>
      <c r="F114" s="5"/>
      <c r="G114" s="5"/>
    </row>
    <row r="115" spans="1:7" x14ac:dyDescent="0.25">
      <c r="A115" s="4"/>
      <c r="B115" s="5"/>
      <c r="C115" s="5"/>
      <c r="D115" s="5"/>
      <c r="E115" s="5"/>
      <c r="F115" s="5"/>
      <c r="G115" s="5"/>
    </row>
    <row r="116" spans="1:7" x14ac:dyDescent="0.25">
      <c r="A116" s="4"/>
      <c r="B116" s="5"/>
      <c r="C116" s="5"/>
      <c r="D116" s="5"/>
      <c r="E116" s="5"/>
      <c r="F116" s="5"/>
      <c r="G116" s="5"/>
    </row>
    <row r="117" spans="1:7" x14ac:dyDescent="0.25">
      <c r="A117" s="4"/>
      <c r="B117" s="5"/>
      <c r="C117" s="5"/>
      <c r="D117" s="5"/>
      <c r="E117" s="5"/>
      <c r="F117" s="5"/>
      <c r="G117" s="5"/>
    </row>
    <row r="118" spans="1:7" x14ac:dyDescent="0.25">
      <c r="A118" s="4"/>
      <c r="B118" s="5"/>
      <c r="C118" s="5"/>
      <c r="D118" s="5"/>
      <c r="E118" s="5"/>
      <c r="F118" s="5"/>
      <c r="G118" s="5"/>
    </row>
    <row r="119" spans="1:7" x14ac:dyDescent="0.25">
      <c r="A119" s="4"/>
      <c r="B119" s="5"/>
      <c r="C119" s="5"/>
      <c r="D119" s="5"/>
      <c r="E119" s="5"/>
      <c r="F119" s="5"/>
      <c r="G119" s="5"/>
    </row>
    <row r="120" spans="1:7" x14ac:dyDescent="0.25">
      <c r="A120" s="4"/>
      <c r="B120" s="5"/>
      <c r="C120" s="5"/>
      <c r="D120" s="5"/>
      <c r="E120" s="5"/>
      <c r="F120" s="5"/>
      <c r="G120" s="5"/>
    </row>
    <row r="121" spans="1:7" x14ac:dyDescent="0.25">
      <c r="A121" s="4"/>
      <c r="B121" s="5"/>
      <c r="C121" s="5"/>
      <c r="D121" s="5"/>
      <c r="E121" s="5"/>
      <c r="F121" s="5"/>
      <c r="G121" s="5"/>
    </row>
    <row r="124" spans="1:7" x14ac:dyDescent="0.25">
      <c r="A124" s="2" t="s">
        <v>77</v>
      </c>
    </row>
  </sheetData>
  <dataValidations count="1">
    <dataValidation type="decimal" allowBlank="1" error="Enter a monthly return between -1 and 1." prompt="Enter a decimal return, for example 0.015 for 1.5%." sqref="B2:G2 B3:G3 B4:G4 B5:G5 B6:G6 B7:G7 B8:G8 B9:G9 B10:G10 B11:G11 B12:G12 B13:G13 B14:G14 B15:G15 B16:G16 B17:G17 B18:G18 B19:G19 B20:G20 B21:G21 B22:G22 B23:G23 B24:G24 B25:G25 B26:G26 B27:G27 B28:G28 B29:G29 B30:G30 B31:G31 B32:G32 B33:G33 B34:G34 B35:G35 B36:G36 B37:G37 B38:G38 B39:G39 B40:G40 B41:G41 B42:G42 B43:G43 B44:G44 B45:G45 B46:G46 B47:G47 B48:G48 B49:G49 B50:G50 B51:G51 B52:G52 B53:G53 B54:G54 B55:G55 B56:G56 B57:G57 B58:G58 B59:G59 B60:G60 B61:G61 B62:G62 B63:G63 B64:G64 B65:G65 B66:G66 B67:G67 B68:G68 B69:G69 B70:G70 B71:G71 B72:G72 B73:G73 B74:G74 B75:G75 B76:G76 B77:G77 B78:G78 B79:G79 B80:G80 B81:G81 B82:G82 B83:G83 B84:G84 B85:G85 B86:G86 B87:G87 B88:G88 B89:G89 B90:G90 B91:G91 B92:G92 B93:G93 B94:G94 B95:G95 B96:G96 B97:G97 B98:G98 B99:G99 B100:G100 B101:G101 B102:G102 B103:G103 B104:G104 B105:G105 B106:G106 B107:G107 B108:G108 B109:G109 B110:G110 B111:G111 B112:G112 B113:G113 B114:G114 B115:G115 B116:G116 B117:G117 B118:G118 B119:G119 B120:G120 B121:G121" xr:uid="{00000000-0002-0000-0100-000000000000}">
      <formula1>-1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G10" sqref="G10"/>
    </sheetView>
  </sheetViews>
  <sheetFormatPr defaultRowHeight="15" x14ac:dyDescent="0.25"/>
  <cols>
    <col min="1" max="1" width="12" customWidth="1"/>
    <col min="2" max="3" width="19.42578125" customWidth="1"/>
    <col min="4" max="4" width="3" customWidth="1"/>
    <col min="5" max="5" width="25.28515625" style="23" bestFit="1" customWidth="1"/>
    <col min="6" max="10" width="14" customWidth="1"/>
  </cols>
  <sheetData>
    <row r="1" spans="1:11" ht="15.75" thickBot="1" x14ac:dyDescent="0.3">
      <c r="A1" s="3" t="s">
        <v>10</v>
      </c>
      <c r="B1" s="3" t="s">
        <v>78</v>
      </c>
      <c r="C1" s="3" t="s">
        <v>79</v>
      </c>
      <c r="E1" s="34" t="s">
        <v>80</v>
      </c>
      <c r="F1" s="35"/>
      <c r="G1" s="35"/>
      <c r="H1" s="35"/>
      <c r="I1" s="35"/>
      <c r="J1" s="35"/>
      <c r="K1" s="24"/>
    </row>
    <row r="2" spans="1:11" x14ac:dyDescent="0.25">
      <c r="A2" s="6" t="str">
        <f>Data!A2</f>
        <v>2019-01</v>
      </c>
      <c r="B2" s="7">
        <f>IF(OR(Data!B2="",Data!C2=""),"",Data!B2-Data!C2)</f>
        <v>1.1000000000000007E-4</v>
      </c>
      <c r="C2" s="7">
        <f>IF(OR(B2="",Data!D2=""),"",B2-Data!D2)</f>
        <v>-1.2099999999999999E-3</v>
      </c>
      <c r="E2" s="32"/>
      <c r="F2" s="33" t="s">
        <v>81</v>
      </c>
      <c r="G2" s="33" t="s">
        <v>82</v>
      </c>
      <c r="H2" s="33" t="s">
        <v>83</v>
      </c>
      <c r="I2" s="33" t="s">
        <v>84</v>
      </c>
      <c r="J2" s="33" t="s">
        <v>85</v>
      </c>
      <c r="K2" s="24"/>
    </row>
    <row r="3" spans="1:11" x14ac:dyDescent="0.25">
      <c r="A3" s="6" t="str">
        <f>Data!A3</f>
        <v>2019-02</v>
      </c>
      <c r="B3" s="7">
        <f>IF(OR(Data!B3="",Data!C3=""),"",Data!B3-Data!C3)</f>
        <v>2.1580000000000002E-2</v>
      </c>
      <c r="C3" s="7">
        <f>IF(OR(B3="",Data!D3=""),"",B3-Data!D3)</f>
        <v>2.4690000000000004E-2</v>
      </c>
      <c r="E3" s="21" t="s">
        <v>86</v>
      </c>
      <c r="F3" s="14">
        <f>IFERROR(INDEX(LINEST($B$2:$B$61,Data!$D$2:$G$61,TRUE,TRUE),1,5),"")</f>
        <v>1.7649303729821805E-2</v>
      </c>
      <c r="G3" s="14">
        <f>IFERROR(INDEX(LINEST($B$2:$B$61,Data!$D$2:$G$61,TRUE,TRUE),1,4),"")</f>
        <v>4.6710848544987645E-2</v>
      </c>
      <c r="H3" s="14">
        <f>IFERROR(INDEX(LINEST($B$2:$B$61,Data!$D$2:$G$61,TRUE,TRUE),1,3),"")</f>
        <v>-0.10635114753605159</v>
      </c>
      <c r="I3" s="14">
        <f>IFERROR(INDEX(LINEST($B$2:$B$61,Data!$D$2:$G$61,TRUE,TRUE),1,2),"")</f>
        <v>0.2892547974432475</v>
      </c>
      <c r="J3" s="14">
        <f>IFERROR(INDEX(LINEST($B$2:$B$61,Data!$D$2:$G$61,TRUE,TRUE),1,1),"")</f>
        <v>-0.27150101446576064</v>
      </c>
    </row>
    <row r="4" spans="1:11" ht="15.75" thickBot="1" x14ac:dyDescent="0.3">
      <c r="A4" s="6" t="str">
        <f>Data!A4</f>
        <v>2019-03</v>
      </c>
      <c r="B4" s="7">
        <f>IF(OR(Data!B4="",Data!C4=""),"",Data!B4-Data!C4)</f>
        <v>3.5990000000000001E-2</v>
      </c>
      <c r="C4" s="7">
        <f>IF(OR(B4="",Data!D4=""),"",B4-Data!D4)</f>
        <v>6.0999999999999999E-2</v>
      </c>
      <c r="E4" s="21" t="s">
        <v>87</v>
      </c>
      <c r="F4" s="16">
        <f>IFERROR(INDEX(LINEST($B$2:$B$61,Data!$D$2:$G$61,TRUE,TRUE),2,5),"")</f>
        <v>5.8540063488923457E-3</v>
      </c>
      <c r="G4" s="14">
        <f>IFERROR(INDEX(LINEST($B$2:$B$61,Data!$D$2:$G$61,TRUE,TRUE),2,4),"")</f>
        <v>0.10707785286531449</v>
      </c>
      <c r="H4" s="14">
        <f>IFERROR(INDEX(LINEST($B$2:$B$61,Data!$D$2:$G$61,TRUE,TRUE),2,3),"")</f>
        <v>0.22216466018938408</v>
      </c>
      <c r="I4" s="14">
        <f>IFERROR(INDEX(LINEST($B$2:$B$61,Data!$D$2:$G$61,TRUE,TRUE),2,2),"")</f>
        <v>0.25006322392004404</v>
      </c>
      <c r="J4" s="14">
        <f>IFERROR(INDEX(LINEST($B$2:$B$61,Data!$D$2:$G$61,TRUE,TRUE),2,1),"")</f>
        <v>0.15831089837568685</v>
      </c>
    </row>
    <row r="5" spans="1:11" ht="15.75" thickBot="1" x14ac:dyDescent="0.3">
      <c r="A5" s="6" t="str">
        <f>Data!A5</f>
        <v>2019-04</v>
      </c>
      <c r="B5" s="7">
        <f>IF(OR(Data!B5="",Data!C5=""),"",Data!B5-Data!C5)</f>
        <v>8.4200000000000004E-3</v>
      </c>
      <c r="C5" s="7">
        <f>IF(OR(B5="",Data!D5=""),"",B5-Data!D5)</f>
        <v>-1.9910000000000001E-2</v>
      </c>
      <c r="E5" s="22" t="s">
        <v>88</v>
      </c>
      <c r="F5" s="18">
        <f>IFERROR(INDEX(LINEST($B$2:$B$61,Data!$D$2:$G$61,TRUE,TRUE),3,1),"")</f>
        <v>9.1970978891073085E-2</v>
      </c>
      <c r="G5" s="15">
        <f>IFERROR(INDEX(LINEST($B$2:$B$61,Data!$D$2:$G$61,TRUE,TRUE),3,2),"")</f>
        <v>4.0535626023506931E-2</v>
      </c>
      <c r="H5" s="14"/>
      <c r="I5" s="14"/>
      <c r="J5" s="14"/>
    </row>
    <row r="6" spans="1:11" x14ac:dyDescent="0.25">
      <c r="A6" s="6" t="str">
        <f>Data!A6</f>
        <v>2019-05</v>
      </c>
      <c r="B6" s="7">
        <f>IF(OR(Data!B6="",Data!C6=""),"",Data!B6-Data!C6)</f>
        <v>4.5920000000000002E-2</v>
      </c>
      <c r="C6" s="7">
        <f>IF(OR(B6="",Data!D6=""),"",B6-Data!D6)</f>
        <v>2.4100000000000003E-2</v>
      </c>
      <c r="E6" s="21" t="s">
        <v>89</v>
      </c>
      <c r="F6" s="17">
        <f>IFERROR(INDEX(LINEST($B$2:$B$61,Data!$D$2:$G$61,TRUE,TRUE),4,1),"")</f>
        <v>1.392687822034439</v>
      </c>
      <c r="G6" s="19">
        <f>IFERROR(INDEX(LINEST($B$2:$B$61,Data!$D$2:$G$61,TRUE,TRUE),4,2),"")</f>
        <v>55</v>
      </c>
      <c r="H6" s="14"/>
      <c r="I6" s="14"/>
      <c r="J6" s="14"/>
    </row>
    <row r="7" spans="1:11" x14ac:dyDescent="0.25">
      <c r="A7" s="6" t="str">
        <f>Data!A7</f>
        <v>2019-06</v>
      </c>
      <c r="B7" s="7">
        <f>IF(OR(Data!B7="",Data!C7=""),"",Data!B7-Data!C7)</f>
        <v>3.2830000000000005E-2</v>
      </c>
      <c r="C7" s="7">
        <f>IF(OR(B7="",Data!D7=""),"",B7-Data!D7)</f>
        <v>0.13686999999999999</v>
      </c>
      <c r="E7" s="21" t="s">
        <v>90</v>
      </c>
      <c r="F7" s="14">
        <f>IFERROR(INDEX(LINEST($B$2:$B$61,Data!$D$2:$G$61,TRUE,TRUE),5,1),"")</f>
        <v>9.1535074318647158E-3</v>
      </c>
      <c r="G7" s="14">
        <f>IFERROR(INDEX(LINEST($B$2:$B$61,Data!$D$2:$G$61,TRUE,TRUE),5,2),"")</f>
        <v>9.0372533741468669E-2</v>
      </c>
      <c r="H7" s="14"/>
      <c r="I7" s="14"/>
      <c r="J7" s="14"/>
    </row>
    <row r="8" spans="1:11" x14ac:dyDescent="0.25">
      <c r="A8" s="6" t="str">
        <f>Data!A8</f>
        <v>2019-07</v>
      </c>
      <c r="B8" s="7">
        <f>IF(OR(Data!B8="",Data!C8=""),"",Data!B8-Data!C8)</f>
        <v>3.6999999999999998E-2</v>
      </c>
      <c r="C8" s="7">
        <f>IF(OR(B8="",Data!D8=""),"",B8-Data!D8)</f>
        <v>-4.5900000000000038E-3</v>
      </c>
    </row>
    <row r="9" spans="1:11" x14ac:dyDescent="0.25">
      <c r="A9" s="6" t="str">
        <f>Data!A9</f>
        <v>2019-08</v>
      </c>
      <c r="B9" s="7">
        <f>IF(OR(Data!B9="",Data!C9=""),"",Data!B9-Data!C9)</f>
        <v>1.124E-2</v>
      </c>
      <c r="C9" s="7">
        <f>IF(OR(B9="",Data!D9=""),"",B9-Data!D9)</f>
        <v>-2.1569999999999999E-2</v>
      </c>
      <c r="E9" s="10" t="s">
        <v>91</v>
      </c>
      <c r="F9" s="11"/>
      <c r="G9" s="11"/>
      <c r="H9" s="11"/>
      <c r="I9" s="11"/>
      <c r="J9" s="11"/>
    </row>
    <row r="10" spans="1:11" x14ac:dyDescent="0.25">
      <c r="A10" s="6" t="str">
        <f>Data!A10</f>
        <v>2019-09</v>
      </c>
      <c r="B10" s="7">
        <f>IF(OR(Data!B10="",Data!C10=""),"",Data!B10-Data!C10)</f>
        <v>-2.1349999999999997E-2</v>
      </c>
      <c r="C10" s="7">
        <f>IF(OR(B10="",Data!D10=""),"",B10-Data!D10)</f>
        <v>-7.609999999999997E-3</v>
      </c>
      <c r="E10" s="21" t="s">
        <v>92</v>
      </c>
      <c r="F10" s="9">
        <f>IFERROR(F3/F4,"")</f>
        <v>3.01491024743444</v>
      </c>
      <c r="G10" s="9">
        <f>IFERROR(G3/G4,"")</f>
        <v>0.43623258493744599</v>
      </c>
      <c r="H10" s="9">
        <f>IFERROR(H3/H4,"")</f>
        <v>-0.47870416224341278</v>
      </c>
      <c r="I10" s="9">
        <f>IFERROR(I3/I4,"")</f>
        <v>1.1567266585978859</v>
      </c>
      <c r="J10" s="9">
        <f>IFERROR(J3/J4,"")</f>
        <v>-1.7149862533245366</v>
      </c>
    </row>
    <row r="11" spans="1:11" x14ac:dyDescent="0.25">
      <c r="A11" s="6" t="str">
        <f>Data!A11</f>
        <v>2019-10</v>
      </c>
      <c r="B11" s="7">
        <f>IF(OR(Data!B11="",Data!C11=""),"",Data!B11-Data!C11)</f>
        <v>-2.9819999999999999E-2</v>
      </c>
      <c r="C11" s="7">
        <f>IF(OR(B11="",Data!D11=""),"",B11-Data!D11)</f>
        <v>-6.8099999999999994E-2</v>
      </c>
      <c r="E11" s="21" t="s">
        <v>93</v>
      </c>
      <c r="F11" s="20">
        <f>TDIST(ABS(F10),$G$6,2)</f>
        <v>3.8843288118921571E-3</v>
      </c>
      <c r="G11" s="20">
        <f t="shared" ref="G11:J11" si="0">TDIST(ABS(G10),$G$6,2)</f>
        <v>0.66437560905251725</v>
      </c>
      <c r="H11" s="20">
        <f t="shared" si="0"/>
        <v>0.63404673921603871</v>
      </c>
      <c r="I11" s="20">
        <f t="shared" si="0"/>
        <v>0.25238352955710752</v>
      </c>
      <c r="J11" s="20">
        <f t="shared" si="0"/>
        <v>9.1977556639074448E-2</v>
      </c>
    </row>
    <row r="12" spans="1:11" x14ac:dyDescent="0.25">
      <c r="A12" s="6" t="str">
        <f>Data!A12</f>
        <v>2019-11</v>
      </c>
      <c r="B12" s="7">
        <f>IF(OR(Data!B12="",Data!C12=""),"",Data!B12-Data!C12)</f>
        <v>7.0739999999999997E-2</v>
      </c>
      <c r="C12" s="7">
        <f>IF(OR(B12="",Data!D12=""),"",B12-Data!D12)</f>
        <v>0.1245</v>
      </c>
    </row>
    <row r="13" spans="1:11" x14ac:dyDescent="0.25">
      <c r="A13" s="6" t="str">
        <f>Data!A13</f>
        <v>2019-12</v>
      </c>
      <c r="B13" s="7">
        <f>IF(OR(Data!B13="",Data!C13=""),"",Data!B13-Data!C13)</f>
        <v>7.8799999999999999E-3</v>
      </c>
      <c r="C13" s="7">
        <f>IF(OR(B13="",Data!D13=""),"",B13-Data!D13)</f>
        <v>1.5130000000000001E-2</v>
      </c>
    </row>
    <row r="14" spans="1:11" ht="15.75" thickBot="1" x14ac:dyDescent="0.3">
      <c r="A14" s="6" t="str">
        <f>Data!A14</f>
        <v>2020-01</v>
      </c>
      <c r="B14" s="7">
        <f>IF(OR(Data!B14="",Data!C14=""),"",Data!B14-Data!C14)</f>
        <v>3.4700000000000002E-2</v>
      </c>
      <c r="C14" s="7">
        <f>IF(OR(B14="",Data!D14=""),"",B14-Data!D14)</f>
        <v>5.2299999999999999E-2</v>
      </c>
      <c r="E14" s="30" t="s">
        <v>94</v>
      </c>
      <c r="F14" s="31"/>
      <c r="G14" s="27"/>
    </row>
    <row r="15" spans="1:11" x14ac:dyDescent="0.25">
      <c r="A15" s="6" t="str">
        <f>Data!A15</f>
        <v>2020-02</v>
      </c>
      <c r="B15" s="7">
        <f>IF(OR(Data!B15="",Data!C15=""),"",Data!B15-Data!C15)</f>
        <v>2.9699999999999996E-3</v>
      </c>
      <c r="C15" s="7">
        <f>IF(OR(B15="",Data!D15=""),"",B15-Data!D15)</f>
        <v>2.7359999999999999E-2</v>
      </c>
      <c r="E15" s="28" t="s">
        <v>95</v>
      </c>
      <c r="F15" s="29">
        <f>IFERROR(AVERAGE($B$2:$B$61),"")</f>
        <v>1.6810666666666675E-2</v>
      </c>
    </row>
    <row r="16" spans="1:11" x14ac:dyDescent="0.25">
      <c r="A16" s="6" t="str">
        <f>Data!A16</f>
        <v>2020-03</v>
      </c>
      <c r="B16" s="7">
        <f>IF(OR(Data!B16="",Data!C16=""),"",Data!B16-Data!C16)</f>
        <v>-1.9259999999999999E-2</v>
      </c>
      <c r="C16" s="7">
        <f>IF(OR(B16="",Data!D16=""),"",B16-Data!D16)</f>
        <v>-7.5389999999999999E-2</v>
      </c>
      <c r="E16" s="21" t="s">
        <v>96</v>
      </c>
      <c r="F16" s="7">
        <f>IF(F15="","",F15*12)</f>
        <v>0.2017280000000001</v>
      </c>
    </row>
    <row r="17" spans="1:6" x14ac:dyDescent="0.25">
      <c r="A17" s="6" t="str">
        <f>Data!A17</f>
        <v>2020-04</v>
      </c>
      <c r="B17" s="7">
        <f>IF(OR(Data!B17="",Data!C17=""),"",Data!B17-Data!C17)</f>
        <v>5.4859999999999999E-2</v>
      </c>
      <c r="C17" s="7">
        <f>IF(OR(B17="",Data!D17=""),"",B17-Data!D17)</f>
        <v>3.7359999999999997E-2</v>
      </c>
      <c r="E17" s="21" t="s">
        <v>97</v>
      </c>
      <c r="F17" s="7">
        <f>IFERROR(_xlfn.SINGLE(_xlfn.STDEV.S($B$2:$B$61))*SQRT(12),"")</f>
        <v>0.14227643742174503</v>
      </c>
    </row>
    <row r="18" spans="1:6" x14ac:dyDescent="0.25">
      <c r="A18" s="6" t="str">
        <f>Data!A18</f>
        <v>2020-05</v>
      </c>
      <c r="B18" s="7">
        <f>IF(OR(Data!B18="",Data!C18=""),"",Data!B18-Data!C18)</f>
        <v>6.1720000000000004E-2</v>
      </c>
      <c r="C18" s="7">
        <f>IF(OR(B18="",Data!D18=""),"",B18-Data!D18)</f>
        <v>-2.6309999999999993E-2</v>
      </c>
      <c r="E18" s="21" t="s">
        <v>98</v>
      </c>
      <c r="F18" s="9">
        <f>IF(OR(F16="",F17=0),"",F16/F17)</f>
        <v>1.4178595110729748</v>
      </c>
    </row>
    <row r="19" spans="1:6" x14ac:dyDescent="0.25">
      <c r="A19" s="6" t="str">
        <f>Data!A19</f>
        <v>2020-06</v>
      </c>
      <c r="B19" s="7">
        <f>IF(OR(Data!B19="",Data!C19=""),"",Data!B19-Data!C19)</f>
        <v>-1.617E-2</v>
      </c>
      <c r="C19" s="7">
        <f>IF(OR(B19="",Data!D19=""),"",B19-Data!D19)</f>
        <v>-1.583E-2</v>
      </c>
      <c r="E19" s="21" t="s">
        <v>99</v>
      </c>
      <c r="F19" s="7">
        <f>IFERROR((AVERAGE(Data!$D$2:$D$61)+AVERAGE(Data!$C$2:$C$61))*12,"")</f>
        <v>0.12182999999999998</v>
      </c>
    </row>
    <row r="20" spans="1:6" x14ac:dyDescent="0.25">
      <c r="A20" s="6" t="str">
        <f>Data!A20</f>
        <v>2020-07</v>
      </c>
      <c r="B20" s="7">
        <f>IF(OR(Data!B20="",Data!C20=""),"",Data!B20-Data!C20)</f>
        <v>-0.10077</v>
      </c>
      <c r="C20" s="7">
        <f>IF(OR(B20="",Data!D20=""),"",B20-Data!D20)</f>
        <v>-0.13012000000000001</v>
      </c>
      <c r="E20" s="21" t="s">
        <v>100</v>
      </c>
      <c r="F20" s="7">
        <f>IF(OR(F16="",F19=""),"",F16-F19)</f>
        <v>7.9898000000000122E-2</v>
      </c>
    </row>
    <row r="21" spans="1:6" x14ac:dyDescent="0.25">
      <c r="A21" s="6" t="str">
        <f>Data!A21</f>
        <v>2020-08</v>
      </c>
      <c r="B21" s="7">
        <f>IF(OR(Data!B21="",Data!C21=""),"",Data!B21-Data!C21)</f>
        <v>8.4650000000000003E-2</v>
      </c>
      <c r="C21" s="7">
        <f>IF(OR(B21="",Data!D21=""),"",B21-Data!D21)</f>
        <v>9.6619999999999998E-2</v>
      </c>
      <c r="E21" s="21" t="s">
        <v>101</v>
      </c>
      <c r="F21" s="7">
        <f>IFERROR(_xlfn.SINGLE(_xlfn.STDEV.S($C$2:$C$61))*SQRT(12),"")</f>
        <v>0.21442068615106036</v>
      </c>
    </row>
    <row r="22" spans="1:6" x14ac:dyDescent="0.25">
      <c r="A22" s="6" t="str">
        <f>Data!A22</f>
        <v>2020-09</v>
      </c>
      <c r="B22" s="7">
        <f>IF(OR(Data!B22="",Data!C22=""),"",Data!B22-Data!C22)</f>
        <v>1.1519999999999999E-2</v>
      </c>
      <c r="C22" s="7">
        <f>IF(OR(B22="",Data!D22=""),"",B22-Data!D22)</f>
        <v>-3.7200000000000011E-3</v>
      </c>
      <c r="E22" s="21" t="s">
        <v>102</v>
      </c>
      <c r="F22" s="9">
        <f>IF(OR(F20="",F21=0),"",F20/F21)</f>
        <v>0.37262262999994139</v>
      </c>
    </row>
    <row r="23" spans="1:6" x14ac:dyDescent="0.25">
      <c r="A23" s="6" t="str">
        <f>Data!A23</f>
        <v>2020-10</v>
      </c>
      <c r="B23" s="7">
        <f>IF(OR(Data!B23="",Data!C23=""),"",Data!B23-Data!C23)</f>
        <v>0.10911</v>
      </c>
      <c r="C23" s="7">
        <f>IF(OR(B23="",Data!D23=""),"",B23-Data!D23)</f>
        <v>4.5749999999999999E-2</v>
      </c>
    </row>
    <row r="24" spans="1:6" x14ac:dyDescent="0.25">
      <c r="A24" s="6" t="str">
        <f>Data!A24</f>
        <v>2020-11</v>
      </c>
      <c r="B24" s="7">
        <f>IF(OR(Data!B24="",Data!C24=""),"",Data!B24-Data!C24)</f>
        <v>8.5900000000000004E-2</v>
      </c>
      <c r="C24" s="7">
        <f>IF(OR(B24="",Data!D24=""),"",B24-Data!D24)</f>
        <v>3.8290000000000005E-2</v>
      </c>
    </row>
    <row r="25" spans="1:6" x14ac:dyDescent="0.25">
      <c r="A25" s="6" t="str">
        <f>Data!A25</f>
        <v>2020-12</v>
      </c>
      <c r="B25" s="7">
        <f>IF(OR(Data!B25="",Data!C25=""),"",Data!B25-Data!C25)</f>
        <v>9.1000000000000004E-3</v>
      </c>
      <c r="C25" s="7">
        <f>IF(OR(B25="",Data!D25=""),"",B25-Data!D25)</f>
        <v>5.552E-2</v>
      </c>
    </row>
    <row r="26" spans="1:6" x14ac:dyDescent="0.25">
      <c r="A26" s="6" t="str">
        <f>Data!A26</f>
        <v>2021-01</v>
      </c>
      <c r="B26" s="7">
        <f>IF(OR(Data!B26="",Data!C26=""),"",Data!B26-Data!C26)</f>
        <v>-2.1159999999999998E-2</v>
      </c>
      <c r="C26" s="7">
        <f>IF(OR(B26="",Data!D26=""),"",B26-Data!D26)</f>
        <v>3.8740000000000004E-2</v>
      </c>
    </row>
    <row r="27" spans="1:6" x14ac:dyDescent="0.25">
      <c r="A27" s="6" t="str">
        <f>Data!A27</f>
        <v>2021-02</v>
      </c>
      <c r="B27" s="7">
        <f>IF(OR(Data!B27="",Data!C27=""),"",Data!B27-Data!C27)</f>
        <v>7.1680000000000008E-2</v>
      </c>
      <c r="C27" s="7">
        <f>IF(OR(B27="",Data!D27=""),"",B27-Data!D27)</f>
        <v>0.11260000000000001</v>
      </c>
    </row>
    <row r="28" spans="1:6" x14ac:dyDescent="0.25">
      <c r="A28" s="6" t="str">
        <f>Data!A28</f>
        <v>2021-03</v>
      </c>
      <c r="B28" s="7">
        <f>IF(OR(Data!B28="",Data!C28=""),"",Data!B28-Data!C28)</f>
        <v>-2.5579999999999999E-2</v>
      </c>
      <c r="C28" s="7">
        <f>IF(OR(B28="",Data!D28=""),"",B28-Data!D28)</f>
        <v>-3.5269999999999996E-2</v>
      </c>
    </row>
    <row r="29" spans="1:6" x14ac:dyDescent="0.25">
      <c r="A29" s="6" t="str">
        <f>Data!A29</f>
        <v>2021-04</v>
      </c>
      <c r="B29" s="7">
        <f>IF(OR(Data!B29="",Data!C29=""),"",Data!B29-Data!C29)</f>
        <v>1.831E-2</v>
      </c>
      <c r="C29" s="7">
        <f>IF(OR(B29="",Data!D29=""),"",B29-Data!D29)</f>
        <v>2.0699999999999989E-3</v>
      </c>
    </row>
    <row r="30" spans="1:6" x14ac:dyDescent="0.25">
      <c r="A30" s="6" t="str">
        <f>Data!A30</f>
        <v>2021-05</v>
      </c>
      <c r="B30" s="7">
        <f>IF(OR(Data!B30="",Data!C30=""),"",Data!B30-Data!C30)</f>
        <v>1.158E-2</v>
      </c>
      <c r="C30" s="7">
        <f>IF(OR(B30="",Data!D30=""),"",B30-Data!D30)</f>
        <v>-4.4639999999999999E-2</v>
      </c>
    </row>
    <row r="31" spans="1:6" x14ac:dyDescent="0.25">
      <c r="A31" s="6" t="str">
        <f>Data!A31</f>
        <v>2021-06</v>
      </c>
      <c r="B31" s="7">
        <f>IF(OR(Data!B31="",Data!C31=""),"",Data!B31-Data!C31)</f>
        <v>1.7139999999999999E-2</v>
      </c>
      <c r="C31" s="7">
        <f>IF(OR(B31="",Data!D31=""),"",B31-Data!D31)</f>
        <v>-2.5450000000000004E-2</v>
      </c>
    </row>
    <row r="32" spans="1:6" x14ac:dyDescent="0.25">
      <c r="A32" s="6" t="str">
        <f>Data!A32</f>
        <v>2021-07</v>
      </c>
      <c r="B32" s="7">
        <f>IF(OR(Data!B32="",Data!C32=""),"",Data!B32-Data!C32)</f>
        <v>-1.58E-3</v>
      </c>
      <c r="C32" s="7">
        <f>IF(OR(B32="",Data!D32=""),"",B32-Data!D32)</f>
        <v>-2.6600000000000002E-2</v>
      </c>
    </row>
    <row r="33" spans="1:3" x14ac:dyDescent="0.25">
      <c r="A33" s="6" t="str">
        <f>Data!A33</f>
        <v>2021-08</v>
      </c>
      <c r="B33" s="7">
        <f>IF(OR(Data!B33="",Data!C33=""),"",Data!B33-Data!C33)</f>
        <v>2.8750000000000001E-2</v>
      </c>
      <c r="C33" s="7">
        <f>IF(OR(B33="",Data!D33=""),"",B33-Data!D33)</f>
        <v>5.9400000000000008E-3</v>
      </c>
    </row>
    <row r="34" spans="1:3" x14ac:dyDescent="0.25">
      <c r="A34" s="6" t="str">
        <f>Data!A34</f>
        <v>2021-09</v>
      </c>
      <c r="B34" s="7">
        <f>IF(OR(Data!B34="",Data!C34=""),"",Data!B34-Data!C34)</f>
        <v>5.4900000000000001E-3</v>
      </c>
      <c r="C34" s="7">
        <f>IF(OR(B34="",Data!D34=""),"",B34-Data!D34)</f>
        <v>7.7710000000000001E-2</v>
      </c>
    </row>
    <row r="35" spans="1:3" x14ac:dyDescent="0.25">
      <c r="A35" s="6" t="str">
        <f>Data!A35</f>
        <v>2021-10</v>
      </c>
      <c r="B35" s="7">
        <f>IF(OR(Data!B35="",Data!C35=""),"",Data!B35-Data!C35)</f>
        <v>9.2069999999999999E-2</v>
      </c>
      <c r="C35" s="7">
        <f>IF(OR(B35="",Data!D35=""),"",B35-Data!D35)</f>
        <v>-8.0500000000000016E-3</v>
      </c>
    </row>
    <row r="36" spans="1:3" x14ac:dyDescent="0.25">
      <c r="A36" s="6" t="str">
        <f>Data!A36</f>
        <v>2021-11</v>
      </c>
      <c r="B36" s="7">
        <f>IF(OR(Data!B36="",Data!C36=""),"",Data!B36-Data!C36)</f>
        <v>-2.461E-2</v>
      </c>
      <c r="C36" s="7">
        <f>IF(OR(B36="",Data!D36=""),"",B36-Data!D36)</f>
        <v>-1.874E-2</v>
      </c>
    </row>
    <row r="37" spans="1:3" x14ac:dyDescent="0.25">
      <c r="A37" s="6" t="str">
        <f>Data!A37</f>
        <v>2021-12</v>
      </c>
      <c r="B37" s="7">
        <f>IF(OR(Data!B37="",Data!C37=""),"",Data!B37-Data!C37)</f>
        <v>-1.8800000000000002E-3</v>
      </c>
      <c r="C37" s="7">
        <f>IF(OR(B37="",Data!D37=""),"",B37-Data!D37)</f>
        <v>3.4419999999999999E-2</v>
      </c>
    </row>
    <row r="38" spans="1:3" x14ac:dyDescent="0.25">
      <c r="A38" s="6" t="str">
        <f>Data!A38</f>
        <v>2022-01</v>
      </c>
      <c r="B38" s="7">
        <f>IF(OR(Data!B38="",Data!C38=""),"",Data!B38-Data!C38)</f>
        <v>-6.0520000000000004E-2</v>
      </c>
      <c r="C38" s="7">
        <f>IF(OR(B38="",Data!D38=""),"",B38-Data!D38)</f>
        <v>-8.6360000000000006E-2</v>
      </c>
    </row>
    <row r="39" spans="1:3" x14ac:dyDescent="0.25">
      <c r="A39" s="6" t="str">
        <f>Data!A39</f>
        <v>2022-02</v>
      </c>
      <c r="B39" s="7">
        <f>IF(OR(Data!B39="",Data!C39=""),"",Data!B39-Data!C39)</f>
        <v>-6.5380000000000008E-2</v>
      </c>
      <c r="C39" s="7">
        <f>IF(OR(B39="",Data!D39=""),"",B39-Data!D39)</f>
        <v>-0.12347000000000001</v>
      </c>
    </row>
    <row r="40" spans="1:3" x14ac:dyDescent="0.25">
      <c r="A40" s="6" t="str">
        <f>Data!A40</f>
        <v>2022-03</v>
      </c>
      <c r="B40" s="7">
        <f>IF(OR(Data!B40="",Data!C40=""),"",Data!B40-Data!C40)</f>
        <v>6.835999999999999E-2</v>
      </c>
      <c r="C40" s="7">
        <f>IF(OR(B40="",Data!D40=""),"",B40-Data!D40)</f>
        <v>3.8769999999999985E-2</v>
      </c>
    </row>
    <row r="41" spans="1:3" x14ac:dyDescent="0.25">
      <c r="A41" s="6" t="str">
        <f>Data!A41</f>
        <v>2022-04</v>
      </c>
      <c r="B41" s="7">
        <f>IF(OR(Data!B41="",Data!C41=""),"",Data!B41-Data!C41)</f>
        <v>8.3599999999999994E-3</v>
      </c>
      <c r="C41" s="7">
        <f>IF(OR(B41="",Data!D41=""),"",B41-Data!D41)</f>
        <v>-2.2010000000000002E-2</v>
      </c>
    </row>
    <row r="42" spans="1:3" x14ac:dyDescent="0.25">
      <c r="A42" s="6" t="str">
        <f>Data!A42</f>
        <v>2022-05</v>
      </c>
      <c r="B42" s="7">
        <f>IF(OR(Data!B42="",Data!C42=""),"",Data!B42-Data!C42)</f>
        <v>-4.5880000000000004E-2</v>
      </c>
      <c r="C42" s="7">
        <f>IF(OR(B42="",Data!D42=""),"",B42-Data!D42)</f>
        <v>4.5240000000000002E-2</v>
      </c>
    </row>
    <row r="43" spans="1:3" x14ac:dyDescent="0.25">
      <c r="A43" s="6" t="str">
        <f>Data!A43</f>
        <v>2022-06</v>
      </c>
      <c r="B43" s="7">
        <f>IF(OR(Data!B43="",Data!C43=""),"",Data!B43-Data!C43)</f>
        <v>9.2099999999999994E-3</v>
      </c>
      <c r="C43" s="7">
        <f>IF(OR(B43="",Data!D43=""),"",B43-Data!D43)</f>
        <v>1.9970000000000002E-2</v>
      </c>
    </row>
    <row r="44" spans="1:3" x14ac:dyDescent="0.25">
      <c r="A44" s="6" t="str">
        <f>Data!A44</f>
        <v>2022-07</v>
      </c>
      <c r="B44" s="7">
        <f>IF(OR(Data!B44="",Data!C44=""),"",Data!B44-Data!C44)</f>
        <v>5.1000000000000004E-2</v>
      </c>
      <c r="C44" s="7">
        <f>IF(OR(B44="",Data!D44=""),"",B44-Data!D44)</f>
        <v>-9.4869999999999996E-2</v>
      </c>
    </row>
    <row r="45" spans="1:3" x14ac:dyDescent="0.25">
      <c r="A45" s="6" t="str">
        <f>Data!A45</f>
        <v>2022-08</v>
      </c>
      <c r="B45" s="7">
        <f>IF(OR(Data!B45="",Data!C45=""),"",Data!B45-Data!C45)</f>
        <v>-4.64E-3</v>
      </c>
      <c r="C45" s="7">
        <f>IF(OR(B45="",Data!D45=""),"",B45-Data!D45)</f>
        <v>-7.392E-2</v>
      </c>
    </row>
    <row r="46" spans="1:3" x14ac:dyDescent="0.25">
      <c r="A46" s="6" t="str">
        <f>Data!A46</f>
        <v>2022-09</v>
      </c>
      <c r="B46" s="7">
        <f>IF(OR(Data!B46="",Data!C46=""),"",Data!B46-Data!C46)</f>
        <v>4.2410000000000003E-2</v>
      </c>
      <c r="C46" s="7">
        <f>IF(OR(B46="",Data!D46=""),"",B46-Data!D46)</f>
        <v>0.13114000000000001</v>
      </c>
    </row>
    <row r="47" spans="1:3" x14ac:dyDescent="0.25">
      <c r="A47" s="6" t="str">
        <f>Data!A47</f>
        <v>2022-10</v>
      </c>
      <c r="B47" s="7">
        <f>IF(OR(Data!B47="",Data!C47=""),"",Data!B47-Data!C47)</f>
        <v>2.2409999999999999E-2</v>
      </c>
      <c r="C47" s="7">
        <f>IF(OR(B47="",Data!D47=""),"",B47-Data!D47)</f>
        <v>6.7830000000000001E-2</v>
      </c>
    </row>
    <row r="48" spans="1:3" x14ac:dyDescent="0.25">
      <c r="A48" s="6" t="str">
        <f>Data!A48</f>
        <v>2022-11</v>
      </c>
      <c r="B48" s="7">
        <f>IF(OR(Data!B48="",Data!C48=""),"",Data!B48-Data!C48)</f>
        <v>5.0779999999999999E-2</v>
      </c>
      <c r="C48" s="7">
        <f>IF(OR(B48="",Data!D48=""),"",B48-Data!D48)</f>
        <v>5.2789999999999997E-2</v>
      </c>
    </row>
    <row r="49" spans="1:3" x14ac:dyDescent="0.25">
      <c r="A49" s="6" t="str">
        <f>Data!A49</f>
        <v>2022-12</v>
      </c>
      <c r="B49" s="7">
        <f>IF(OR(Data!B49="",Data!C49=""),"",Data!B49-Data!C49)</f>
        <v>-1.6639999999999999E-2</v>
      </c>
      <c r="C49" s="7">
        <f>IF(OR(B49="",Data!D49=""),"",B49-Data!D49)</f>
        <v>6.8319999999999992E-2</v>
      </c>
    </row>
    <row r="50" spans="1:3" x14ac:dyDescent="0.25">
      <c r="A50" s="6" t="str">
        <f>Data!A50</f>
        <v>2023-01</v>
      </c>
      <c r="B50" s="7">
        <f>IF(OR(Data!B50="",Data!C50=""),"",Data!B50-Data!C50)</f>
        <v>-2.581E-2</v>
      </c>
      <c r="C50" s="7">
        <f>IF(OR(B50="",Data!D50=""),"",B50-Data!D50)</f>
        <v>-0.10392</v>
      </c>
    </row>
    <row r="51" spans="1:3" x14ac:dyDescent="0.25">
      <c r="A51" s="6" t="str">
        <f>Data!A51</f>
        <v>2023-02</v>
      </c>
      <c r="B51" s="7">
        <f>IF(OR(Data!B51="",Data!C51=""),"",Data!B51-Data!C51)</f>
        <v>3.9899999999999996E-3</v>
      </c>
      <c r="C51" s="7">
        <f>IF(OR(B51="",Data!D51=""),"",B51-Data!D51)</f>
        <v>3.2499999999999994E-3</v>
      </c>
    </row>
    <row r="52" spans="1:3" x14ac:dyDescent="0.25">
      <c r="A52" s="6" t="str">
        <f>Data!A52</f>
        <v>2023-03</v>
      </c>
      <c r="B52" s="7">
        <f>IF(OR(Data!B52="",Data!C52=""),"",Data!B52-Data!C52)</f>
        <v>5.339E-2</v>
      </c>
      <c r="C52" s="7">
        <f>IF(OR(B52="",Data!D52=""),"",B52-Data!D52)</f>
        <v>1.9250000000000003E-2</v>
      </c>
    </row>
    <row r="53" spans="1:3" x14ac:dyDescent="0.25">
      <c r="A53" s="6" t="str">
        <f>Data!A53</f>
        <v>2023-04</v>
      </c>
      <c r="B53" s="7">
        <f>IF(OR(Data!B53="",Data!C53=""),"",Data!B53-Data!C53)</f>
        <v>-2.8989999999999998E-2</v>
      </c>
      <c r="C53" s="7">
        <f>IF(OR(B53="",Data!D53=""),"",B53-Data!D53)</f>
        <v>-5.8819999999999997E-2</v>
      </c>
    </row>
    <row r="54" spans="1:3" x14ac:dyDescent="0.25">
      <c r="A54" s="6" t="str">
        <f>Data!A54</f>
        <v>2023-05</v>
      </c>
      <c r="B54" s="7">
        <f>IF(OR(Data!B54="",Data!C54=""),"",Data!B54-Data!C54)</f>
        <v>6.3299999999999997E-3</v>
      </c>
      <c r="C54" s="7">
        <f>IF(OR(B54="",Data!D54=""),"",B54-Data!D54)</f>
        <v>-1.6070000000000001E-2</v>
      </c>
    </row>
    <row r="55" spans="1:3" x14ac:dyDescent="0.25">
      <c r="A55" s="6" t="str">
        <f>Data!A55</f>
        <v>2023-06</v>
      </c>
      <c r="B55" s="7">
        <f>IF(OR(Data!B55="",Data!C55=""),"",Data!B55-Data!C55)</f>
        <v>6.4100000000000004E-2</v>
      </c>
      <c r="C55" s="7">
        <f>IF(OR(B55="",Data!D55=""),"",B55-Data!D55)</f>
        <v>-1.7629999999999993E-2</v>
      </c>
    </row>
    <row r="56" spans="1:3" x14ac:dyDescent="0.25">
      <c r="A56" s="6" t="str">
        <f>Data!A56</f>
        <v>2023-07</v>
      </c>
      <c r="B56" s="7">
        <f>IF(OR(Data!B56="",Data!C56=""),"",Data!B56-Data!C56)</f>
        <v>7.8979999999999995E-2</v>
      </c>
      <c r="C56" s="7">
        <f>IF(OR(B56="",Data!D56=""),"",B56-Data!D56)</f>
        <v>0.12090999999999999</v>
      </c>
    </row>
    <row r="57" spans="1:3" x14ac:dyDescent="0.25">
      <c r="A57" s="6" t="str">
        <f>Data!A57</f>
        <v>2023-08</v>
      </c>
      <c r="B57" s="7">
        <f>IF(OR(Data!B57="",Data!C57=""),"",Data!B57-Data!C57)</f>
        <v>2.0080000000000001E-2</v>
      </c>
      <c r="C57" s="7">
        <f>IF(OR(B57="",Data!D57=""),"",B57-Data!D57)</f>
        <v>9.41E-3</v>
      </c>
    </row>
    <row r="58" spans="1:3" x14ac:dyDescent="0.25">
      <c r="A58" s="6" t="str">
        <f>Data!A58</f>
        <v>2023-09</v>
      </c>
      <c r="B58" s="7">
        <f>IF(OR(Data!B58="",Data!C58=""),"",Data!B58-Data!C58)</f>
        <v>1.9870000000000002E-2</v>
      </c>
      <c r="C58" s="7">
        <f>IF(OR(B58="",Data!D58=""),"",B58-Data!D58)</f>
        <v>4.8600000000000004E-2</v>
      </c>
    </row>
    <row r="59" spans="1:3" x14ac:dyDescent="0.25">
      <c r="A59" s="6" t="str">
        <f>Data!A59</f>
        <v>2023-10</v>
      </c>
      <c r="B59" s="7">
        <f>IF(OR(Data!B59="",Data!C59=""),"",Data!B59-Data!C59)</f>
        <v>3.5609999999999996E-2</v>
      </c>
      <c r="C59" s="7">
        <f>IF(OR(B59="",Data!D59=""),"",B59-Data!D59)</f>
        <v>6.9250000000000006E-2</v>
      </c>
    </row>
    <row r="60" spans="1:3" x14ac:dyDescent="0.25">
      <c r="A60" s="6" t="str">
        <f>Data!A60</f>
        <v>2023-11</v>
      </c>
      <c r="B60" s="7">
        <f>IF(OR(Data!B60="",Data!C60=""),"",Data!B60-Data!C60)</f>
        <v>-2.1760000000000002E-2</v>
      </c>
      <c r="C60" s="7">
        <f>IF(OR(B60="",Data!D60=""),"",B60-Data!D60)</f>
        <v>-7.9460000000000003E-2</v>
      </c>
    </row>
    <row r="61" spans="1:3" x14ac:dyDescent="0.25">
      <c r="A61" s="6" t="str">
        <f>Data!A61</f>
        <v>2023-12</v>
      </c>
      <c r="B61" s="7">
        <f>IF(OR(Data!B61="",Data!C61=""),"",Data!B61-Data!C61)</f>
        <v>3.4300000000000004E-2</v>
      </c>
      <c r="C61" s="7">
        <f>IF(OR(B61="",Data!D61=""),"",B61-Data!D61)</f>
        <v>-3.7799999999999986E-3</v>
      </c>
    </row>
    <row r="62" spans="1:3" x14ac:dyDescent="0.25">
      <c r="A62" s="6"/>
      <c r="B62" s="7"/>
      <c r="C62" s="7"/>
    </row>
    <row r="63" spans="1:3" x14ac:dyDescent="0.25">
      <c r="A63" s="6"/>
      <c r="B63" s="7"/>
      <c r="C63" s="7"/>
    </row>
    <row r="64" spans="1:3" x14ac:dyDescent="0.25">
      <c r="A64" s="6"/>
      <c r="B64" s="7"/>
      <c r="C64" s="7"/>
    </row>
    <row r="65" spans="1:3" x14ac:dyDescent="0.25">
      <c r="A65" s="6"/>
      <c r="B65" s="7"/>
      <c r="C65" s="7"/>
    </row>
    <row r="66" spans="1:3" x14ac:dyDescent="0.25">
      <c r="A66" s="6"/>
      <c r="B66" s="7"/>
      <c r="C66" s="7"/>
    </row>
    <row r="67" spans="1:3" x14ac:dyDescent="0.25">
      <c r="A67" s="6"/>
      <c r="B67" s="7"/>
      <c r="C67" s="7"/>
    </row>
    <row r="68" spans="1:3" x14ac:dyDescent="0.25">
      <c r="A68" s="6"/>
      <c r="B68" s="7"/>
      <c r="C68" s="7"/>
    </row>
    <row r="69" spans="1:3" x14ac:dyDescent="0.25">
      <c r="A69" s="6"/>
      <c r="B69" s="7"/>
      <c r="C69" s="7"/>
    </row>
    <row r="70" spans="1:3" x14ac:dyDescent="0.25">
      <c r="A70" s="6"/>
      <c r="B70" s="7"/>
      <c r="C70" s="7"/>
    </row>
    <row r="71" spans="1:3" x14ac:dyDescent="0.25">
      <c r="A71" s="6"/>
      <c r="B71" s="7"/>
      <c r="C71" s="7"/>
    </row>
    <row r="72" spans="1:3" x14ac:dyDescent="0.25">
      <c r="A72" s="6"/>
      <c r="B72" s="7"/>
      <c r="C72" s="7"/>
    </row>
    <row r="73" spans="1:3" x14ac:dyDescent="0.25">
      <c r="A73" s="6"/>
      <c r="B73" s="7"/>
      <c r="C73" s="7"/>
    </row>
    <row r="74" spans="1:3" x14ac:dyDescent="0.25">
      <c r="A74" s="6"/>
      <c r="B74" s="7"/>
      <c r="C74" s="7"/>
    </row>
    <row r="75" spans="1:3" x14ac:dyDescent="0.25">
      <c r="A75" s="6"/>
      <c r="B75" s="7"/>
      <c r="C75" s="7"/>
    </row>
    <row r="76" spans="1:3" x14ac:dyDescent="0.25">
      <c r="A76" s="6"/>
      <c r="B76" s="7"/>
      <c r="C76" s="7"/>
    </row>
    <row r="77" spans="1:3" x14ac:dyDescent="0.25">
      <c r="A77" s="6"/>
      <c r="B77" s="7"/>
      <c r="C77" s="7"/>
    </row>
    <row r="78" spans="1:3" x14ac:dyDescent="0.25">
      <c r="A78" s="6"/>
      <c r="B78" s="7"/>
      <c r="C78" s="7"/>
    </row>
    <row r="79" spans="1:3" x14ac:dyDescent="0.25">
      <c r="A79" s="6"/>
      <c r="B79" s="7"/>
      <c r="C79" s="7"/>
    </row>
    <row r="80" spans="1:3" x14ac:dyDescent="0.25">
      <c r="A80" s="6"/>
      <c r="B80" s="7"/>
      <c r="C80" s="7"/>
    </row>
    <row r="81" spans="1:3" x14ac:dyDescent="0.25">
      <c r="A81" s="6"/>
      <c r="B81" s="7"/>
      <c r="C81" s="7"/>
    </row>
    <row r="82" spans="1:3" x14ac:dyDescent="0.25">
      <c r="A82" s="6"/>
      <c r="B82" s="7"/>
      <c r="C82" s="7"/>
    </row>
    <row r="83" spans="1:3" x14ac:dyDescent="0.25">
      <c r="A83" s="6"/>
      <c r="B83" s="7"/>
      <c r="C83" s="7"/>
    </row>
    <row r="84" spans="1:3" x14ac:dyDescent="0.25">
      <c r="A84" s="6"/>
      <c r="B84" s="7"/>
      <c r="C84" s="7"/>
    </row>
    <row r="85" spans="1:3" x14ac:dyDescent="0.25">
      <c r="A85" s="6"/>
      <c r="B85" s="7"/>
      <c r="C85" s="7"/>
    </row>
    <row r="86" spans="1:3" x14ac:dyDescent="0.25">
      <c r="A86" s="6"/>
      <c r="B86" s="7"/>
      <c r="C86" s="7"/>
    </row>
    <row r="87" spans="1:3" x14ac:dyDescent="0.25">
      <c r="A87" s="6"/>
      <c r="B87" s="7"/>
      <c r="C87" s="7"/>
    </row>
    <row r="88" spans="1:3" x14ac:dyDescent="0.25">
      <c r="A88" s="6"/>
      <c r="B88" s="7"/>
      <c r="C88" s="7"/>
    </row>
    <row r="89" spans="1:3" x14ac:dyDescent="0.25">
      <c r="A89" s="6"/>
      <c r="B89" s="7"/>
      <c r="C89" s="7"/>
    </row>
    <row r="90" spans="1:3" x14ac:dyDescent="0.25">
      <c r="A90" s="6"/>
      <c r="B90" s="7"/>
      <c r="C90" s="7"/>
    </row>
    <row r="91" spans="1:3" x14ac:dyDescent="0.25">
      <c r="A91" s="6"/>
      <c r="B91" s="7"/>
      <c r="C91" s="7"/>
    </row>
    <row r="92" spans="1:3" x14ac:dyDescent="0.25">
      <c r="A92" s="6"/>
      <c r="B92" s="7"/>
      <c r="C92" s="7"/>
    </row>
    <row r="93" spans="1:3" x14ac:dyDescent="0.25">
      <c r="A93" s="6"/>
      <c r="B93" s="7"/>
      <c r="C93" s="7"/>
    </row>
    <row r="94" spans="1:3" x14ac:dyDescent="0.25">
      <c r="A94" s="6"/>
      <c r="B94" s="7"/>
      <c r="C94" s="7"/>
    </row>
    <row r="95" spans="1:3" x14ac:dyDescent="0.25">
      <c r="A95" s="6"/>
      <c r="B95" s="7"/>
      <c r="C95" s="7"/>
    </row>
    <row r="96" spans="1:3" x14ac:dyDescent="0.25">
      <c r="A96" s="6"/>
      <c r="B96" s="7"/>
      <c r="C96" s="7"/>
    </row>
    <row r="97" spans="1:3" x14ac:dyDescent="0.25">
      <c r="A97" s="6"/>
      <c r="B97" s="7"/>
      <c r="C97" s="7"/>
    </row>
    <row r="98" spans="1:3" x14ac:dyDescent="0.25">
      <c r="A98" s="6"/>
      <c r="B98" s="7"/>
      <c r="C98" s="7"/>
    </row>
    <row r="99" spans="1:3" x14ac:dyDescent="0.25">
      <c r="A99" s="6"/>
      <c r="B99" s="7"/>
      <c r="C99" s="7"/>
    </row>
    <row r="100" spans="1:3" x14ac:dyDescent="0.25">
      <c r="A100" s="6"/>
      <c r="B100" s="7"/>
      <c r="C100" s="7"/>
    </row>
    <row r="101" spans="1:3" x14ac:dyDescent="0.25">
      <c r="A101" s="6"/>
      <c r="B101" s="7"/>
      <c r="C101" s="7"/>
    </row>
    <row r="102" spans="1:3" x14ac:dyDescent="0.25">
      <c r="A102" s="6"/>
      <c r="B102" s="7"/>
      <c r="C102" s="7"/>
    </row>
    <row r="103" spans="1:3" x14ac:dyDescent="0.25">
      <c r="A103" s="6"/>
      <c r="B103" s="7"/>
      <c r="C103" s="7"/>
    </row>
    <row r="104" spans="1:3" x14ac:dyDescent="0.25">
      <c r="A104" s="6"/>
      <c r="B104" s="7"/>
      <c r="C104" s="7"/>
    </row>
    <row r="105" spans="1:3" x14ac:dyDescent="0.25">
      <c r="A105" s="6"/>
      <c r="B105" s="7"/>
      <c r="C105" s="7"/>
    </row>
    <row r="106" spans="1:3" x14ac:dyDescent="0.25">
      <c r="A106" s="6"/>
      <c r="B106" s="7"/>
      <c r="C106" s="7"/>
    </row>
    <row r="107" spans="1:3" x14ac:dyDescent="0.25">
      <c r="A107" s="6"/>
      <c r="B107" s="7"/>
      <c r="C107" s="7"/>
    </row>
    <row r="108" spans="1:3" x14ac:dyDescent="0.25">
      <c r="A108" s="6"/>
      <c r="B108" s="7"/>
      <c r="C108" s="7"/>
    </row>
    <row r="109" spans="1:3" x14ac:dyDescent="0.25">
      <c r="A109" s="6"/>
      <c r="B109" s="7"/>
      <c r="C109" s="7"/>
    </row>
    <row r="110" spans="1:3" x14ac:dyDescent="0.25">
      <c r="A110" s="6"/>
      <c r="B110" s="7"/>
      <c r="C110" s="7"/>
    </row>
    <row r="111" spans="1:3" x14ac:dyDescent="0.25">
      <c r="A111" s="6"/>
      <c r="B111" s="7"/>
      <c r="C111" s="7"/>
    </row>
    <row r="112" spans="1:3" x14ac:dyDescent="0.25">
      <c r="A112" s="6"/>
      <c r="B112" s="7"/>
      <c r="C112" s="7"/>
    </row>
    <row r="113" spans="1:3" x14ac:dyDescent="0.25">
      <c r="A113" s="6"/>
      <c r="B113" s="7"/>
      <c r="C113" s="7"/>
    </row>
    <row r="114" spans="1:3" x14ac:dyDescent="0.25">
      <c r="A114" s="6"/>
      <c r="B114" s="7"/>
      <c r="C114" s="7"/>
    </row>
    <row r="115" spans="1:3" x14ac:dyDescent="0.25">
      <c r="A115" s="6"/>
      <c r="B115" s="7"/>
      <c r="C115" s="7"/>
    </row>
    <row r="116" spans="1:3" x14ac:dyDescent="0.25">
      <c r="A116" s="6"/>
      <c r="B116" s="7"/>
      <c r="C116" s="7"/>
    </row>
    <row r="117" spans="1:3" x14ac:dyDescent="0.25">
      <c r="A117" s="6"/>
      <c r="B117" s="7"/>
      <c r="C117" s="7"/>
    </row>
    <row r="118" spans="1:3" x14ac:dyDescent="0.25">
      <c r="A118" s="6"/>
      <c r="B118" s="7"/>
      <c r="C118" s="7"/>
    </row>
    <row r="119" spans="1:3" x14ac:dyDescent="0.25">
      <c r="A119" s="6"/>
      <c r="B119" s="7"/>
      <c r="C119" s="7"/>
    </row>
    <row r="120" spans="1:3" x14ac:dyDescent="0.25">
      <c r="A120" s="6"/>
      <c r="B120" s="7"/>
      <c r="C120" s="7"/>
    </row>
    <row r="121" spans="1:3" x14ac:dyDescent="0.25">
      <c r="A121" s="6"/>
      <c r="B121" s="7"/>
      <c r="C121" s="7"/>
    </row>
  </sheetData>
  <mergeCells count="3">
    <mergeCell ref="E9:J9"/>
    <mergeCell ref="E1:J1"/>
    <mergeCell ref="E14:F14"/>
  </mergeCells>
  <conditionalFormatting sqref="F11:J11">
    <cfRule type="cellIs" dxfId="0" priority="1" operator="greaterThan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9"/>
  <sheetViews>
    <sheetView showGridLines="0" tabSelected="1" workbookViewId="0">
      <selection activeCell="A2" sqref="A2:C2"/>
    </sheetView>
  </sheetViews>
  <sheetFormatPr defaultRowHeight="15" x14ac:dyDescent="0.25"/>
  <cols>
    <col min="1" max="1" width="26" customWidth="1"/>
    <col min="2" max="3" width="14" customWidth="1"/>
  </cols>
  <sheetData>
    <row r="2" spans="1:3" ht="18.75" x14ac:dyDescent="0.3">
      <c r="A2" s="12" t="s">
        <v>103</v>
      </c>
      <c r="B2" s="11"/>
      <c r="C2" s="11"/>
    </row>
    <row r="4" spans="1:3" x14ac:dyDescent="0.25">
      <c r="A4" s="3" t="s">
        <v>104</v>
      </c>
      <c r="B4" s="3" t="s">
        <v>105</v>
      </c>
      <c r="C4" s="3" t="s">
        <v>93</v>
      </c>
    </row>
    <row r="5" spans="1:3" x14ac:dyDescent="0.25">
      <c r="A5" s="1" t="s">
        <v>106</v>
      </c>
      <c r="B5" s="7">
        <f>Calculations!G3</f>
        <v>4.6710848544987645E-2</v>
      </c>
      <c r="C5" s="9">
        <f>Calculations!G11</f>
        <v>0.66437560905251725</v>
      </c>
    </row>
    <row r="6" spans="1:3" x14ac:dyDescent="0.25">
      <c r="A6" s="1" t="s">
        <v>107</v>
      </c>
      <c r="B6" s="7">
        <f>Calculations!H3</f>
        <v>-0.10635114753605159</v>
      </c>
      <c r="C6" s="9">
        <f>Calculations!H11</f>
        <v>0.63404673921603871</v>
      </c>
    </row>
    <row r="7" spans="1:3" x14ac:dyDescent="0.25">
      <c r="A7" s="1" t="s">
        <v>108</v>
      </c>
      <c r="B7" s="7">
        <f>Calculations!I3</f>
        <v>0.2892547974432475</v>
      </c>
      <c r="C7" s="9">
        <f>Calculations!I11</f>
        <v>0.25238352955710752</v>
      </c>
    </row>
    <row r="8" spans="1:3" x14ac:dyDescent="0.25">
      <c r="A8" s="1" t="s">
        <v>109</v>
      </c>
      <c r="B8" s="7">
        <f>Calculations!J3</f>
        <v>-0.27150101446576064</v>
      </c>
      <c r="C8" s="9">
        <f>Calculations!J11</f>
        <v>9.1977556639074448E-2</v>
      </c>
    </row>
    <row r="9" spans="1:3" x14ac:dyDescent="0.25">
      <c r="A9" s="1" t="s">
        <v>110</v>
      </c>
      <c r="B9" s="7">
        <f>Calculations!F3</f>
        <v>1.7649303729821805E-2</v>
      </c>
      <c r="C9" s="9">
        <f>Calculations!F11</f>
        <v>3.8843288118921571E-3</v>
      </c>
    </row>
    <row r="11" spans="1:3" x14ac:dyDescent="0.25">
      <c r="A11" s="8" t="s">
        <v>111</v>
      </c>
    </row>
    <row r="12" spans="1:3" x14ac:dyDescent="0.25">
      <c r="A12" s="1" t="s">
        <v>112</v>
      </c>
      <c r="B12" s="9">
        <f>Calculations!F5</f>
        <v>9.1970978891073085E-2</v>
      </c>
    </row>
    <row r="14" spans="1:3" x14ac:dyDescent="0.25">
      <c r="A14" s="8" t="s">
        <v>113</v>
      </c>
    </row>
    <row r="15" spans="1:3" x14ac:dyDescent="0.25">
      <c r="A15" s="1" t="s">
        <v>98</v>
      </c>
      <c r="B15" s="9">
        <f>Calculations!F18</f>
        <v>1.4178595110729748</v>
      </c>
    </row>
    <row r="16" spans="1:3" x14ac:dyDescent="0.25">
      <c r="A16" s="1" t="s">
        <v>102</v>
      </c>
      <c r="B16" s="9">
        <f>Calculations!F22</f>
        <v>0.37262262999994139</v>
      </c>
    </row>
    <row r="17" spans="1:2" x14ac:dyDescent="0.25">
      <c r="A17" s="1" t="s">
        <v>100</v>
      </c>
      <c r="B17" s="7">
        <f>Calculations!F20</f>
        <v>7.9898000000000122E-2</v>
      </c>
    </row>
    <row r="19" spans="1:2" x14ac:dyDescent="0.25">
      <c r="A19" s="2" t="s">
        <v>114</v>
      </c>
    </row>
  </sheetData>
  <mergeCells count="1">
    <mergeCell ref="A2:C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Info</vt:lpstr>
      <vt:lpstr>Data</vt:lpstr>
      <vt:lpstr>Calculations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Alicia Romero</dc:creator>
  <cp:lastModifiedBy>Alicia Romero</cp:lastModifiedBy>
  <dcterms:created xsi:type="dcterms:W3CDTF">2021-10-28T04:19:21Z</dcterms:created>
  <dcterms:modified xsi:type="dcterms:W3CDTF">2023-04-30T03:35:09Z</dcterms:modified>
  <cp:revision>1</cp:revision>
</cp:coreProperties>
</file>