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shpan/Downloads/"/>
    </mc:Choice>
  </mc:AlternateContent>
  <xr:revisionPtr revIDLastSave="0" documentId="13_ncr:9_{959B1528-0235-3846-A400-CB40A01226A7}" xr6:coauthVersionLast="47" xr6:coauthVersionMax="47" xr10:uidLastSave="{00000000-0000-0000-0000-000000000000}"/>
  <bookViews>
    <workbookView xWindow="1500" yWindow="1320" windowWidth="27640" windowHeight="16940" xr2:uid="{7F80A2F5-0F37-B045-B5CD-9F12BFCEE32A}"/>
  </bookViews>
  <sheets>
    <sheet name="macro_panel_2006_2025_monthly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 a="1"/>
  <c r="Y2" i="1"/>
  <c r="X2" i="1" a="1"/>
  <c r="X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<sst xmlns="http://schemas.openxmlformats.org/spreadsheetml/2006/main" count="24" uniqueCount="21">
  <si>
    <t>date</t>
  </si>
  <si>
    <t>pce_price_index</t>
  </si>
  <si>
    <t>core_pce_price_index</t>
  </si>
  <si>
    <t>fed_funds_rate</t>
  </si>
  <si>
    <t>real_gdp_growth_annualized_qoq</t>
  </si>
  <si>
    <t>ust_10y_yield</t>
  </si>
  <si>
    <t>ust_2y_yield</t>
  </si>
  <si>
    <t>yield_curve_10y_2y</t>
  </si>
  <si>
    <t>unemployment_rate</t>
  </si>
  <si>
    <t>nonfarm_payrolls</t>
  </si>
  <si>
    <t>consumer_sentiment</t>
  </si>
  <si>
    <t>wti_oil_price</t>
  </si>
  <si>
    <t>initial_jobless_claims</t>
  </si>
  <si>
    <t>housing_starts</t>
  </si>
  <si>
    <t>baa_corp_spread_10y</t>
  </si>
  <si>
    <t>nfci</t>
  </si>
  <si>
    <t>pce_inflation_yoy_pct</t>
  </si>
  <si>
    <t>core_pce_inflation_yoy_pct</t>
  </si>
  <si>
    <t>nonfarm_payrolls_mom_change</t>
  </si>
  <si>
    <t>nonfarm_payrolls_3m_avg_change</t>
  </si>
  <si>
    <t>wti_oil_yoy_pct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</si>
</sst>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0" tint="-0.499984740745262"/>
      <name val="Aptos Narrow"/>
      <family val="2"/>
      <scheme val="minor"/>
    </font>
    <font>
      <sz val="12"/>
      <color theme="0" tint="-0.1499984740745262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8" fillId="34" borderId="0" xfId="0" applyFont="1" applyFill="1"/>
    <xf numFmtId="14" fontId="18" fillId="34" borderId="0" xfId="0" applyNumberFormat="1" applyFont="1" applyFill="1"/>
    <xf numFmtId="0" fontId="19" fillId="0" borderId="0" xfId="0" applyFont="1"/>
    <xf numFmtId="14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macro_panel_2006_2025_monthly!$X$1</c:f>
              <c:strCache>
                <c:ptCount val="1"/>
                <c:pt idx="0">
                  <c:v>pce_price_index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macro_panel_2006_2025_monthly!$W$2:$W$241</c:f>
              <c:numCache>
                <c:formatCode>m/d/yy</c:formatCode>
                <c:ptCount val="240"/>
                <c:pt idx="0">
                  <c:v>38748</c:v>
                </c:pt>
                <c:pt idx="1">
                  <c:v>38776</c:v>
                </c:pt>
                <c:pt idx="2">
                  <c:v>38807</c:v>
                </c:pt>
                <c:pt idx="3">
                  <c:v>38837</c:v>
                </c:pt>
                <c:pt idx="4">
                  <c:v>38868</c:v>
                </c:pt>
                <c:pt idx="5">
                  <c:v>38898</c:v>
                </c:pt>
                <c:pt idx="6">
                  <c:v>38929</c:v>
                </c:pt>
                <c:pt idx="7">
                  <c:v>38960</c:v>
                </c:pt>
                <c:pt idx="8">
                  <c:v>38990</c:v>
                </c:pt>
                <c:pt idx="9">
                  <c:v>39021</c:v>
                </c:pt>
                <c:pt idx="10">
                  <c:v>39051</c:v>
                </c:pt>
                <c:pt idx="11">
                  <c:v>39082</c:v>
                </c:pt>
                <c:pt idx="12">
                  <c:v>39113</c:v>
                </c:pt>
                <c:pt idx="13">
                  <c:v>39141</c:v>
                </c:pt>
                <c:pt idx="14">
                  <c:v>39172</c:v>
                </c:pt>
                <c:pt idx="15">
                  <c:v>39202</c:v>
                </c:pt>
                <c:pt idx="16">
                  <c:v>39233</c:v>
                </c:pt>
                <c:pt idx="17">
                  <c:v>39263</c:v>
                </c:pt>
                <c:pt idx="18">
                  <c:v>39294</c:v>
                </c:pt>
                <c:pt idx="19">
                  <c:v>39325</c:v>
                </c:pt>
                <c:pt idx="20">
                  <c:v>39355</c:v>
                </c:pt>
                <c:pt idx="21">
                  <c:v>39386</c:v>
                </c:pt>
                <c:pt idx="22">
                  <c:v>39416</c:v>
                </c:pt>
                <c:pt idx="23">
                  <c:v>39447</c:v>
                </c:pt>
                <c:pt idx="24">
                  <c:v>39478</c:v>
                </c:pt>
                <c:pt idx="25">
                  <c:v>39507</c:v>
                </c:pt>
                <c:pt idx="26">
                  <c:v>39538</c:v>
                </c:pt>
                <c:pt idx="27">
                  <c:v>39568</c:v>
                </c:pt>
                <c:pt idx="28">
                  <c:v>39599</c:v>
                </c:pt>
                <c:pt idx="29">
                  <c:v>39629</c:v>
                </c:pt>
                <c:pt idx="30">
                  <c:v>39660</c:v>
                </c:pt>
                <c:pt idx="31">
                  <c:v>39691</c:v>
                </c:pt>
                <c:pt idx="32">
                  <c:v>39721</c:v>
                </c:pt>
                <c:pt idx="33">
                  <c:v>39752</c:v>
                </c:pt>
                <c:pt idx="34">
                  <c:v>39782</c:v>
                </c:pt>
                <c:pt idx="35">
                  <c:v>39813</c:v>
                </c:pt>
                <c:pt idx="36">
                  <c:v>39844</c:v>
                </c:pt>
                <c:pt idx="37">
                  <c:v>39872</c:v>
                </c:pt>
                <c:pt idx="38">
                  <c:v>39903</c:v>
                </c:pt>
                <c:pt idx="39">
                  <c:v>39933</c:v>
                </c:pt>
                <c:pt idx="40">
                  <c:v>39964</c:v>
                </c:pt>
                <c:pt idx="41">
                  <c:v>39994</c:v>
                </c:pt>
                <c:pt idx="42">
                  <c:v>40025</c:v>
                </c:pt>
                <c:pt idx="43">
                  <c:v>40056</c:v>
                </c:pt>
                <c:pt idx="44">
                  <c:v>40086</c:v>
                </c:pt>
                <c:pt idx="45">
                  <c:v>40117</c:v>
                </c:pt>
                <c:pt idx="46">
                  <c:v>40147</c:v>
                </c:pt>
                <c:pt idx="47">
                  <c:v>40178</c:v>
                </c:pt>
                <c:pt idx="48">
                  <c:v>40209</c:v>
                </c:pt>
                <c:pt idx="49">
                  <c:v>40237</c:v>
                </c:pt>
                <c:pt idx="50">
                  <c:v>40268</c:v>
                </c:pt>
                <c:pt idx="51">
                  <c:v>40298</c:v>
                </c:pt>
                <c:pt idx="52">
                  <c:v>40329</c:v>
                </c:pt>
                <c:pt idx="53">
                  <c:v>40359</c:v>
                </c:pt>
                <c:pt idx="54">
                  <c:v>40390</c:v>
                </c:pt>
                <c:pt idx="55">
                  <c:v>40421</c:v>
                </c:pt>
                <c:pt idx="56">
                  <c:v>40451</c:v>
                </c:pt>
                <c:pt idx="57">
                  <c:v>40482</c:v>
                </c:pt>
                <c:pt idx="58">
                  <c:v>40512</c:v>
                </c:pt>
                <c:pt idx="59">
                  <c:v>40543</c:v>
                </c:pt>
                <c:pt idx="60">
                  <c:v>40574</c:v>
                </c:pt>
                <c:pt idx="61">
                  <c:v>40602</c:v>
                </c:pt>
                <c:pt idx="62">
                  <c:v>40633</c:v>
                </c:pt>
                <c:pt idx="63">
                  <c:v>40663</c:v>
                </c:pt>
                <c:pt idx="64">
                  <c:v>40694</c:v>
                </c:pt>
                <c:pt idx="65">
                  <c:v>40724</c:v>
                </c:pt>
                <c:pt idx="66">
                  <c:v>40755</c:v>
                </c:pt>
                <c:pt idx="67">
                  <c:v>40786</c:v>
                </c:pt>
                <c:pt idx="68">
                  <c:v>40816</c:v>
                </c:pt>
                <c:pt idx="69">
                  <c:v>40847</c:v>
                </c:pt>
                <c:pt idx="70">
                  <c:v>40877</c:v>
                </c:pt>
                <c:pt idx="71">
                  <c:v>40908</c:v>
                </c:pt>
                <c:pt idx="72">
                  <c:v>40939</c:v>
                </c:pt>
                <c:pt idx="73">
                  <c:v>40968</c:v>
                </c:pt>
                <c:pt idx="74">
                  <c:v>40999</c:v>
                </c:pt>
                <c:pt idx="75">
                  <c:v>41029</c:v>
                </c:pt>
                <c:pt idx="76">
                  <c:v>41060</c:v>
                </c:pt>
                <c:pt idx="77">
                  <c:v>41090</c:v>
                </c:pt>
                <c:pt idx="78">
                  <c:v>41121</c:v>
                </c:pt>
                <c:pt idx="79">
                  <c:v>41152</c:v>
                </c:pt>
                <c:pt idx="80">
                  <c:v>41182</c:v>
                </c:pt>
                <c:pt idx="81">
                  <c:v>41213</c:v>
                </c:pt>
                <c:pt idx="82">
                  <c:v>41243</c:v>
                </c:pt>
                <c:pt idx="83">
                  <c:v>41274</c:v>
                </c:pt>
                <c:pt idx="84">
                  <c:v>41305</c:v>
                </c:pt>
                <c:pt idx="85">
                  <c:v>41333</c:v>
                </c:pt>
                <c:pt idx="86">
                  <c:v>41364</c:v>
                </c:pt>
                <c:pt idx="87">
                  <c:v>41394</c:v>
                </c:pt>
                <c:pt idx="88">
                  <c:v>41425</c:v>
                </c:pt>
                <c:pt idx="89">
                  <c:v>41455</c:v>
                </c:pt>
                <c:pt idx="90">
                  <c:v>41486</c:v>
                </c:pt>
                <c:pt idx="91">
                  <c:v>41517</c:v>
                </c:pt>
                <c:pt idx="92">
                  <c:v>41547</c:v>
                </c:pt>
                <c:pt idx="93">
                  <c:v>41578</c:v>
                </c:pt>
                <c:pt idx="94">
                  <c:v>41608</c:v>
                </c:pt>
                <c:pt idx="95">
                  <c:v>41639</c:v>
                </c:pt>
                <c:pt idx="96">
                  <c:v>41670</c:v>
                </c:pt>
                <c:pt idx="97">
                  <c:v>41698</c:v>
                </c:pt>
                <c:pt idx="98">
                  <c:v>41729</c:v>
                </c:pt>
                <c:pt idx="99">
                  <c:v>41759</c:v>
                </c:pt>
                <c:pt idx="100">
                  <c:v>41790</c:v>
                </c:pt>
                <c:pt idx="101">
                  <c:v>41820</c:v>
                </c:pt>
                <c:pt idx="102">
                  <c:v>41851</c:v>
                </c:pt>
                <c:pt idx="103">
                  <c:v>41882</c:v>
                </c:pt>
                <c:pt idx="104">
                  <c:v>41912</c:v>
                </c:pt>
                <c:pt idx="105">
                  <c:v>41943</c:v>
                </c:pt>
                <c:pt idx="106">
                  <c:v>41973</c:v>
                </c:pt>
                <c:pt idx="107">
                  <c:v>42004</c:v>
                </c:pt>
                <c:pt idx="108">
                  <c:v>42035</c:v>
                </c:pt>
                <c:pt idx="109">
                  <c:v>42063</c:v>
                </c:pt>
                <c:pt idx="110">
                  <c:v>42094</c:v>
                </c:pt>
                <c:pt idx="111">
                  <c:v>42124</c:v>
                </c:pt>
                <c:pt idx="112">
                  <c:v>42155</c:v>
                </c:pt>
                <c:pt idx="113">
                  <c:v>42185</c:v>
                </c:pt>
                <c:pt idx="114">
                  <c:v>42216</c:v>
                </c:pt>
                <c:pt idx="115">
                  <c:v>42247</c:v>
                </c:pt>
                <c:pt idx="116">
                  <c:v>42277</c:v>
                </c:pt>
                <c:pt idx="117">
                  <c:v>42308</c:v>
                </c:pt>
                <c:pt idx="118">
                  <c:v>42338</c:v>
                </c:pt>
                <c:pt idx="119">
                  <c:v>42369</c:v>
                </c:pt>
                <c:pt idx="120">
                  <c:v>42400</c:v>
                </c:pt>
                <c:pt idx="121">
                  <c:v>42429</c:v>
                </c:pt>
                <c:pt idx="122">
                  <c:v>42460</c:v>
                </c:pt>
                <c:pt idx="123">
                  <c:v>42490</c:v>
                </c:pt>
                <c:pt idx="124">
                  <c:v>42521</c:v>
                </c:pt>
                <c:pt idx="125">
                  <c:v>42551</c:v>
                </c:pt>
                <c:pt idx="126">
                  <c:v>42582</c:v>
                </c:pt>
                <c:pt idx="127">
                  <c:v>42613</c:v>
                </c:pt>
                <c:pt idx="128">
                  <c:v>42643</c:v>
                </c:pt>
                <c:pt idx="129">
                  <c:v>42674</c:v>
                </c:pt>
                <c:pt idx="130">
                  <c:v>42704</c:v>
                </c:pt>
                <c:pt idx="131">
                  <c:v>42735</c:v>
                </c:pt>
                <c:pt idx="132">
                  <c:v>42766</c:v>
                </c:pt>
                <c:pt idx="133">
                  <c:v>42794</c:v>
                </c:pt>
                <c:pt idx="134">
                  <c:v>42825</c:v>
                </c:pt>
                <c:pt idx="135">
                  <c:v>42855</c:v>
                </c:pt>
                <c:pt idx="136">
                  <c:v>42886</c:v>
                </c:pt>
                <c:pt idx="137">
                  <c:v>42916</c:v>
                </c:pt>
                <c:pt idx="138">
                  <c:v>42947</c:v>
                </c:pt>
                <c:pt idx="139">
                  <c:v>42978</c:v>
                </c:pt>
                <c:pt idx="140">
                  <c:v>43008</c:v>
                </c:pt>
                <c:pt idx="141">
                  <c:v>43039</c:v>
                </c:pt>
                <c:pt idx="142">
                  <c:v>43069</c:v>
                </c:pt>
                <c:pt idx="143">
                  <c:v>43100</c:v>
                </c:pt>
                <c:pt idx="144">
                  <c:v>43131</c:v>
                </c:pt>
                <c:pt idx="145">
                  <c:v>43159</c:v>
                </c:pt>
                <c:pt idx="146">
                  <c:v>43190</c:v>
                </c:pt>
                <c:pt idx="147">
                  <c:v>43220</c:v>
                </c:pt>
                <c:pt idx="148">
                  <c:v>43251</c:v>
                </c:pt>
                <c:pt idx="149">
                  <c:v>43281</c:v>
                </c:pt>
                <c:pt idx="150">
                  <c:v>43312</c:v>
                </c:pt>
                <c:pt idx="151">
                  <c:v>43343</c:v>
                </c:pt>
                <c:pt idx="152">
                  <c:v>43373</c:v>
                </c:pt>
                <c:pt idx="153">
                  <c:v>43404</c:v>
                </c:pt>
                <c:pt idx="154">
                  <c:v>43434</c:v>
                </c:pt>
                <c:pt idx="155">
                  <c:v>43465</c:v>
                </c:pt>
                <c:pt idx="156">
                  <c:v>43496</c:v>
                </c:pt>
                <c:pt idx="157">
                  <c:v>43524</c:v>
                </c:pt>
                <c:pt idx="158">
                  <c:v>43555</c:v>
                </c:pt>
                <c:pt idx="159">
                  <c:v>43585</c:v>
                </c:pt>
                <c:pt idx="160">
                  <c:v>43616</c:v>
                </c:pt>
                <c:pt idx="161">
                  <c:v>43646</c:v>
                </c:pt>
                <c:pt idx="162">
                  <c:v>43677</c:v>
                </c:pt>
                <c:pt idx="163">
                  <c:v>43708</c:v>
                </c:pt>
                <c:pt idx="164">
                  <c:v>43738</c:v>
                </c:pt>
                <c:pt idx="165">
                  <c:v>43769</c:v>
                </c:pt>
                <c:pt idx="166">
                  <c:v>43799</c:v>
                </c:pt>
                <c:pt idx="167">
                  <c:v>43830</c:v>
                </c:pt>
                <c:pt idx="168">
                  <c:v>43861</c:v>
                </c:pt>
                <c:pt idx="169">
                  <c:v>43890</c:v>
                </c:pt>
                <c:pt idx="170">
                  <c:v>43921</c:v>
                </c:pt>
                <c:pt idx="171">
                  <c:v>43951</c:v>
                </c:pt>
                <c:pt idx="172">
                  <c:v>43982</c:v>
                </c:pt>
                <c:pt idx="173">
                  <c:v>44012</c:v>
                </c:pt>
                <c:pt idx="174">
                  <c:v>44043</c:v>
                </c:pt>
                <c:pt idx="175">
                  <c:v>44074</c:v>
                </c:pt>
                <c:pt idx="176">
                  <c:v>44104</c:v>
                </c:pt>
                <c:pt idx="177">
                  <c:v>44135</c:v>
                </c:pt>
                <c:pt idx="178">
                  <c:v>44165</c:v>
                </c:pt>
                <c:pt idx="179">
                  <c:v>44196</c:v>
                </c:pt>
                <c:pt idx="180">
                  <c:v>44227</c:v>
                </c:pt>
                <c:pt idx="181">
                  <c:v>44255</c:v>
                </c:pt>
                <c:pt idx="182">
                  <c:v>44286</c:v>
                </c:pt>
                <c:pt idx="183">
                  <c:v>44316</c:v>
                </c:pt>
                <c:pt idx="184">
                  <c:v>44347</c:v>
                </c:pt>
                <c:pt idx="185">
                  <c:v>44377</c:v>
                </c:pt>
                <c:pt idx="186">
                  <c:v>44408</c:v>
                </c:pt>
                <c:pt idx="187">
                  <c:v>44439</c:v>
                </c:pt>
                <c:pt idx="188">
                  <c:v>44469</c:v>
                </c:pt>
                <c:pt idx="189">
                  <c:v>44500</c:v>
                </c:pt>
                <c:pt idx="190">
                  <c:v>44530</c:v>
                </c:pt>
                <c:pt idx="191">
                  <c:v>44561</c:v>
                </c:pt>
                <c:pt idx="192">
                  <c:v>44592</c:v>
                </c:pt>
                <c:pt idx="193">
                  <c:v>44620</c:v>
                </c:pt>
                <c:pt idx="194">
                  <c:v>44651</c:v>
                </c:pt>
                <c:pt idx="195">
                  <c:v>44681</c:v>
                </c:pt>
                <c:pt idx="196">
                  <c:v>44712</c:v>
                </c:pt>
                <c:pt idx="197">
                  <c:v>44742</c:v>
                </c:pt>
                <c:pt idx="198">
                  <c:v>44773</c:v>
                </c:pt>
                <c:pt idx="199">
                  <c:v>44804</c:v>
                </c:pt>
                <c:pt idx="200">
                  <c:v>44834</c:v>
                </c:pt>
                <c:pt idx="201">
                  <c:v>44865</c:v>
                </c:pt>
                <c:pt idx="202">
                  <c:v>44895</c:v>
                </c:pt>
                <c:pt idx="203">
                  <c:v>44926</c:v>
                </c:pt>
                <c:pt idx="204">
                  <c:v>44957</c:v>
                </c:pt>
                <c:pt idx="205">
                  <c:v>44985</c:v>
                </c:pt>
                <c:pt idx="206">
                  <c:v>45016</c:v>
                </c:pt>
                <c:pt idx="207">
                  <c:v>45046</c:v>
                </c:pt>
                <c:pt idx="208">
                  <c:v>45077</c:v>
                </c:pt>
                <c:pt idx="209">
                  <c:v>45107</c:v>
                </c:pt>
                <c:pt idx="210">
                  <c:v>45138</c:v>
                </c:pt>
                <c:pt idx="211">
                  <c:v>45169</c:v>
                </c:pt>
                <c:pt idx="212">
                  <c:v>45199</c:v>
                </c:pt>
                <c:pt idx="213">
                  <c:v>45230</c:v>
                </c:pt>
                <c:pt idx="214">
                  <c:v>45260</c:v>
                </c:pt>
                <c:pt idx="215">
                  <c:v>45291</c:v>
                </c:pt>
                <c:pt idx="216">
                  <c:v>45322</c:v>
                </c:pt>
                <c:pt idx="217">
                  <c:v>45351</c:v>
                </c:pt>
                <c:pt idx="218">
                  <c:v>45382</c:v>
                </c:pt>
                <c:pt idx="219">
                  <c:v>45412</c:v>
                </c:pt>
                <c:pt idx="220">
                  <c:v>45443</c:v>
                </c:pt>
                <c:pt idx="221">
                  <c:v>45473</c:v>
                </c:pt>
                <c:pt idx="222">
                  <c:v>45504</c:v>
                </c:pt>
                <c:pt idx="223">
                  <c:v>45535</c:v>
                </c:pt>
                <c:pt idx="224">
                  <c:v>45565</c:v>
                </c:pt>
                <c:pt idx="225">
                  <c:v>45596</c:v>
                </c:pt>
                <c:pt idx="226">
                  <c:v>45626</c:v>
                </c:pt>
                <c:pt idx="227">
                  <c:v>45657</c:v>
                </c:pt>
                <c:pt idx="228">
                  <c:v>45688</c:v>
                </c:pt>
                <c:pt idx="229">
                  <c:v>45716</c:v>
                </c:pt>
                <c:pt idx="230">
                  <c:v>45747</c:v>
                </c:pt>
                <c:pt idx="231">
                  <c:v>45777</c:v>
                </c:pt>
                <c:pt idx="232">
                  <c:v>45808</c:v>
                </c:pt>
                <c:pt idx="233">
                  <c:v>45838</c:v>
                </c:pt>
                <c:pt idx="234">
                  <c:v>45869</c:v>
                </c:pt>
                <c:pt idx="235">
                  <c:v>45900</c:v>
                </c:pt>
                <c:pt idx="236">
                  <c:v>45930</c:v>
                </c:pt>
                <c:pt idx="237">
                  <c:v>45961</c:v>
                </c:pt>
                <c:pt idx="238">
                  <c:v>45991</c:v>
                </c:pt>
                <c:pt idx="239">
                  <c:v>46022</c:v>
                </c:pt>
              </c:numCache>
            </c:numRef>
          </c:cat>
          <c:val>
            <c:numRef>
              <c:f>macro_panel_2006_2025_monthly!$X$2:$X$241</c:f>
              <c:numCache>
                <c:formatCode>General</c:formatCode>
                <c:ptCount val="240"/>
                <c:pt idx="0">
                  <c:v>83.534000000000006</c:v>
                </c:pt>
                <c:pt idx="1">
                  <c:v>83.584000000000003</c:v>
                </c:pt>
                <c:pt idx="2">
                  <c:v>83.745999999999995</c:v>
                </c:pt>
                <c:pt idx="3">
                  <c:v>84.135000000000005</c:v>
                </c:pt>
                <c:pt idx="4">
                  <c:v>84.361000000000004</c:v>
                </c:pt>
                <c:pt idx="5">
                  <c:v>84.569000000000003</c:v>
                </c:pt>
                <c:pt idx="6">
                  <c:v>84.858000000000004</c:v>
                </c:pt>
                <c:pt idx="7">
                  <c:v>85.125</c:v>
                </c:pt>
                <c:pt idx="8">
                  <c:v>84.902000000000001</c:v>
                </c:pt>
                <c:pt idx="9">
                  <c:v>84.701999999999998</c:v>
                </c:pt>
                <c:pt idx="10">
                  <c:v>84.730999999999995</c:v>
                </c:pt>
                <c:pt idx="11">
                  <c:v>85.031999999999996</c:v>
                </c:pt>
                <c:pt idx="12">
                  <c:v>85.316000000000003</c:v>
                </c:pt>
                <c:pt idx="13">
                  <c:v>85.581000000000003</c:v>
                </c:pt>
                <c:pt idx="14">
                  <c:v>85.894000000000005</c:v>
                </c:pt>
                <c:pt idx="15">
                  <c:v>86.096000000000004</c:v>
                </c:pt>
                <c:pt idx="16">
                  <c:v>86.346000000000004</c:v>
                </c:pt>
                <c:pt idx="17">
                  <c:v>86.528999999999996</c:v>
                </c:pt>
                <c:pt idx="18">
                  <c:v>86.661000000000001</c:v>
                </c:pt>
                <c:pt idx="19">
                  <c:v>86.72</c:v>
                </c:pt>
                <c:pt idx="20">
                  <c:v>87.054000000000002</c:v>
                </c:pt>
                <c:pt idx="21">
                  <c:v>87.317999999999998</c:v>
                </c:pt>
                <c:pt idx="22">
                  <c:v>87.781000000000006</c:v>
                </c:pt>
                <c:pt idx="23">
                  <c:v>87.983999999999995</c:v>
                </c:pt>
                <c:pt idx="24">
                  <c:v>88.206000000000003</c:v>
                </c:pt>
                <c:pt idx="25">
                  <c:v>88.382000000000005</c:v>
                </c:pt>
                <c:pt idx="26">
                  <c:v>88.635000000000005</c:v>
                </c:pt>
                <c:pt idx="27">
                  <c:v>88.799000000000007</c:v>
                </c:pt>
                <c:pt idx="28">
                  <c:v>89.18</c:v>
                </c:pt>
                <c:pt idx="29">
                  <c:v>89.826999999999998</c:v>
                </c:pt>
                <c:pt idx="30">
                  <c:v>90.245000000000005</c:v>
                </c:pt>
                <c:pt idx="31">
                  <c:v>90.171999999999997</c:v>
                </c:pt>
                <c:pt idx="32">
                  <c:v>90.247</c:v>
                </c:pt>
                <c:pt idx="33">
                  <c:v>89.650999999999996</c:v>
                </c:pt>
                <c:pt idx="34">
                  <c:v>88.593000000000004</c:v>
                </c:pt>
                <c:pt idx="35">
                  <c:v>88.097999999999999</c:v>
                </c:pt>
                <c:pt idx="36">
                  <c:v>88.108000000000004</c:v>
                </c:pt>
                <c:pt idx="37">
                  <c:v>88.266000000000005</c:v>
                </c:pt>
                <c:pt idx="38">
                  <c:v>88.168999999999997</c:v>
                </c:pt>
                <c:pt idx="39">
                  <c:v>88.295000000000002</c:v>
                </c:pt>
                <c:pt idx="40">
                  <c:v>88.387</c:v>
                </c:pt>
                <c:pt idx="41">
                  <c:v>88.912000000000006</c:v>
                </c:pt>
                <c:pt idx="42">
                  <c:v>88.921999999999997</c:v>
                </c:pt>
                <c:pt idx="43">
                  <c:v>89.18</c:v>
                </c:pt>
                <c:pt idx="44">
                  <c:v>89.323999999999998</c:v>
                </c:pt>
                <c:pt idx="45">
                  <c:v>89.662999999999997</c:v>
                </c:pt>
                <c:pt idx="46">
                  <c:v>89.887</c:v>
                </c:pt>
                <c:pt idx="47">
                  <c:v>89.938999999999993</c:v>
                </c:pt>
                <c:pt idx="48">
                  <c:v>90.135999999999996</c:v>
                </c:pt>
                <c:pt idx="49">
                  <c:v>90.134</c:v>
                </c:pt>
                <c:pt idx="50">
                  <c:v>90.260999999999996</c:v>
                </c:pt>
                <c:pt idx="51">
                  <c:v>90.31</c:v>
                </c:pt>
                <c:pt idx="52">
                  <c:v>90.338999999999999</c:v>
                </c:pt>
                <c:pt idx="53">
                  <c:v>90.301000000000002</c:v>
                </c:pt>
                <c:pt idx="54">
                  <c:v>90.378</c:v>
                </c:pt>
                <c:pt idx="55">
                  <c:v>90.501999999999995</c:v>
                </c:pt>
                <c:pt idx="56">
                  <c:v>90.591999999999999</c:v>
                </c:pt>
                <c:pt idx="57">
                  <c:v>90.881</c:v>
                </c:pt>
                <c:pt idx="58">
                  <c:v>91.061999999999998</c:v>
                </c:pt>
                <c:pt idx="59">
                  <c:v>91.268000000000001</c:v>
                </c:pt>
                <c:pt idx="60">
                  <c:v>91.542000000000002</c:v>
                </c:pt>
                <c:pt idx="61">
                  <c:v>91.796999999999997</c:v>
                </c:pt>
                <c:pt idx="62">
                  <c:v>92.165999999999997</c:v>
                </c:pt>
                <c:pt idx="63">
                  <c:v>92.557000000000002</c:v>
                </c:pt>
                <c:pt idx="64">
                  <c:v>92.837999999999994</c:v>
                </c:pt>
                <c:pt idx="65">
                  <c:v>92.819000000000003</c:v>
                </c:pt>
                <c:pt idx="66">
                  <c:v>92.977000000000004</c:v>
                </c:pt>
                <c:pt idx="67">
                  <c:v>93.195999999999998</c:v>
                </c:pt>
                <c:pt idx="68">
                  <c:v>93.326999999999998</c:v>
                </c:pt>
                <c:pt idx="69">
                  <c:v>93.328999999999994</c:v>
                </c:pt>
                <c:pt idx="70">
                  <c:v>93.52</c:v>
                </c:pt>
                <c:pt idx="71">
                  <c:v>93.573999999999998</c:v>
                </c:pt>
                <c:pt idx="72">
                  <c:v>93.894000000000005</c:v>
                </c:pt>
                <c:pt idx="73">
                  <c:v>94.103999999999999</c:v>
                </c:pt>
                <c:pt idx="74">
                  <c:v>94.284000000000006</c:v>
                </c:pt>
                <c:pt idx="75">
                  <c:v>94.408000000000001</c:v>
                </c:pt>
                <c:pt idx="76">
                  <c:v>94.302000000000007</c:v>
                </c:pt>
                <c:pt idx="77">
                  <c:v>94.254000000000005</c:v>
                </c:pt>
                <c:pt idx="78">
                  <c:v>94.287999999999997</c:v>
                </c:pt>
                <c:pt idx="79">
                  <c:v>94.605000000000004</c:v>
                </c:pt>
                <c:pt idx="80">
                  <c:v>94.893000000000001</c:v>
                </c:pt>
                <c:pt idx="81">
                  <c:v>95.174000000000007</c:v>
                </c:pt>
                <c:pt idx="82">
                  <c:v>95.108999999999995</c:v>
                </c:pt>
                <c:pt idx="83">
                  <c:v>95.093999999999994</c:v>
                </c:pt>
                <c:pt idx="84">
                  <c:v>95.275000000000006</c:v>
                </c:pt>
                <c:pt idx="85">
                  <c:v>95.614000000000004</c:v>
                </c:pt>
                <c:pt idx="86">
                  <c:v>95.488</c:v>
                </c:pt>
                <c:pt idx="87">
                  <c:v>95.391000000000005</c:v>
                </c:pt>
                <c:pt idx="88">
                  <c:v>95.460999999999999</c:v>
                </c:pt>
                <c:pt idx="89">
                  <c:v>95.673000000000002</c:v>
                </c:pt>
                <c:pt idx="90">
                  <c:v>95.792000000000002</c:v>
                </c:pt>
                <c:pt idx="91">
                  <c:v>95.933999999999997</c:v>
                </c:pt>
                <c:pt idx="92">
                  <c:v>95.975999999999999</c:v>
                </c:pt>
                <c:pt idx="93">
                  <c:v>96.102999999999994</c:v>
                </c:pt>
                <c:pt idx="94">
                  <c:v>96.245999999999995</c:v>
                </c:pt>
                <c:pt idx="95">
                  <c:v>96.414000000000001</c:v>
                </c:pt>
                <c:pt idx="96">
                  <c:v>96.614000000000004</c:v>
                </c:pt>
                <c:pt idx="97">
                  <c:v>96.66</c:v>
                </c:pt>
                <c:pt idx="98">
                  <c:v>96.814999999999998</c:v>
                </c:pt>
                <c:pt idx="99">
                  <c:v>96.986999999999995</c:v>
                </c:pt>
                <c:pt idx="100">
                  <c:v>97.147000000000006</c:v>
                </c:pt>
                <c:pt idx="101">
                  <c:v>97.253</c:v>
                </c:pt>
                <c:pt idx="102">
                  <c:v>97.391000000000005</c:v>
                </c:pt>
                <c:pt idx="103">
                  <c:v>97.379000000000005</c:v>
                </c:pt>
                <c:pt idx="104">
                  <c:v>97.412999999999997</c:v>
                </c:pt>
                <c:pt idx="105">
                  <c:v>97.384</c:v>
                </c:pt>
                <c:pt idx="106">
                  <c:v>97.290999999999997</c:v>
                </c:pt>
                <c:pt idx="107">
                  <c:v>97.12</c:v>
                </c:pt>
                <c:pt idx="108">
                  <c:v>96.653999999999996</c:v>
                </c:pt>
                <c:pt idx="109">
                  <c:v>96.825000000000003</c:v>
                </c:pt>
                <c:pt idx="110">
                  <c:v>97.007999999999996</c:v>
                </c:pt>
                <c:pt idx="111">
                  <c:v>97.093999999999994</c:v>
                </c:pt>
                <c:pt idx="112">
                  <c:v>97.326999999999998</c:v>
                </c:pt>
                <c:pt idx="113">
                  <c:v>97.516000000000005</c:v>
                </c:pt>
                <c:pt idx="114">
                  <c:v>97.605000000000004</c:v>
                </c:pt>
                <c:pt idx="115">
                  <c:v>97.611999999999995</c:v>
                </c:pt>
                <c:pt idx="116">
                  <c:v>97.477000000000004</c:v>
                </c:pt>
                <c:pt idx="117">
                  <c:v>97.477000000000004</c:v>
                </c:pt>
                <c:pt idx="118">
                  <c:v>97.537999999999997</c:v>
                </c:pt>
                <c:pt idx="119">
                  <c:v>97.456000000000003</c:v>
                </c:pt>
                <c:pt idx="120">
                  <c:v>97.495999999999995</c:v>
                </c:pt>
                <c:pt idx="121">
                  <c:v>97.444999999999993</c:v>
                </c:pt>
                <c:pt idx="122">
                  <c:v>97.673000000000002</c:v>
                </c:pt>
                <c:pt idx="123">
                  <c:v>97.992999999999995</c:v>
                </c:pt>
                <c:pt idx="124">
                  <c:v>98.153000000000006</c:v>
                </c:pt>
                <c:pt idx="125">
                  <c:v>98.325000000000003</c:v>
                </c:pt>
                <c:pt idx="126">
                  <c:v>98.341999999999999</c:v>
                </c:pt>
                <c:pt idx="127">
                  <c:v>98.478999999999999</c:v>
                </c:pt>
                <c:pt idx="128">
                  <c:v>98.665999999999997</c:v>
                </c:pt>
                <c:pt idx="129">
                  <c:v>98.867999999999995</c:v>
                </c:pt>
                <c:pt idx="130">
                  <c:v>98.900999999999996</c:v>
                </c:pt>
                <c:pt idx="131">
                  <c:v>99.070999999999998</c:v>
                </c:pt>
                <c:pt idx="132">
                  <c:v>99.450999999999993</c:v>
                </c:pt>
                <c:pt idx="133">
                  <c:v>99.585999999999999</c:v>
                </c:pt>
                <c:pt idx="134">
                  <c:v>99.534999999999997</c:v>
                </c:pt>
                <c:pt idx="135">
                  <c:v>99.724999999999994</c:v>
                </c:pt>
                <c:pt idx="136">
                  <c:v>99.682000000000002</c:v>
                </c:pt>
                <c:pt idx="137">
                  <c:v>99.766000000000005</c:v>
                </c:pt>
                <c:pt idx="138">
                  <c:v>99.802999999999997</c:v>
                </c:pt>
                <c:pt idx="139">
                  <c:v>100.027</c:v>
                </c:pt>
                <c:pt idx="140">
                  <c:v>100.4</c:v>
                </c:pt>
                <c:pt idx="141">
                  <c:v>100.53100000000001</c:v>
                </c:pt>
                <c:pt idx="142">
                  <c:v>100.675</c:v>
                </c:pt>
                <c:pt idx="143">
                  <c:v>100.821</c:v>
                </c:pt>
                <c:pt idx="144">
                  <c:v>101.199</c:v>
                </c:pt>
                <c:pt idx="145">
                  <c:v>101.416</c:v>
                </c:pt>
                <c:pt idx="146">
                  <c:v>101.524</c:v>
                </c:pt>
                <c:pt idx="147">
                  <c:v>101.76600000000001</c:v>
                </c:pt>
                <c:pt idx="148">
                  <c:v>101.941</c:v>
                </c:pt>
                <c:pt idx="149">
                  <c:v>102.029</c:v>
                </c:pt>
                <c:pt idx="150">
                  <c:v>102.137</c:v>
                </c:pt>
                <c:pt idx="151">
                  <c:v>102.208</c:v>
                </c:pt>
                <c:pt idx="152">
                  <c:v>102.41800000000001</c:v>
                </c:pt>
                <c:pt idx="153">
                  <c:v>102.595</c:v>
                </c:pt>
                <c:pt idx="154">
                  <c:v>102.63</c:v>
                </c:pt>
                <c:pt idx="155">
                  <c:v>102.70099999999999</c:v>
                </c:pt>
                <c:pt idx="156">
                  <c:v>102.648</c:v>
                </c:pt>
                <c:pt idx="157">
                  <c:v>102.836</c:v>
                </c:pt>
                <c:pt idx="158">
                  <c:v>103.069</c:v>
                </c:pt>
                <c:pt idx="159">
                  <c:v>103.36</c:v>
                </c:pt>
                <c:pt idx="160">
                  <c:v>103.435</c:v>
                </c:pt>
                <c:pt idx="161">
                  <c:v>103.48399999999999</c:v>
                </c:pt>
                <c:pt idx="162">
                  <c:v>103.622</c:v>
                </c:pt>
                <c:pt idx="163">
                  <c:v>103.67</c:v>
                </c:pt>
                <c:pt idx="164">
                  <c:v>103.733</c:v>
                </c:pt>
                <c:pt idx="165">
                  <c:v>103.917</c:v>
                </c:pt>
                <c:pt idx="166">
                  <c:v>104.024</c:v>
                </c:pt>
                <c:pt idx="167">
                  <c:v>104.307</c:v>
                </c:pt>
                <c:pt idx="168">
                  <c:v>104.49</c:v>
                </c:pt>
                <c:pt idx="169">
                  <c:v>104.57299999999999</c:v>
                </c:pt>
                <c:pt idx="170">
                  <c:v>104.271</c:v>
                </c:pt>
                <c:pt idx="171">
                  <c:v>103.83799999999999</c:v>
                </c:pt>
                <c:pt idx="172">
                  <c:v>103.94199999999999</c:v>
                </c:pt>
                <c:pt idx="173">
                  <c:v>104.27</c:v>
                </c:pt>
                <c:pt idx="174">
                  <c:v>104.578</c:v>
                </c:pt>
                <c:pt idx="175">
                  <c:v>104.87</c:v>
                </c:pt>
                <c:pt idx="176">
                  <c:v>105.057</c:v>
                </c:pt>
                <c:pt idx="177">
                  <c:v>105.151</c:v>
                </c:pt>
                <c:pt idx="178">
                  <c:v>105.258</c:v>
                </c:pt>
                <c:pt idx="179">
                  <c:v>105.699</c:v>
                </c:pt>
                <c:pt idx="180">
                  <c:v>106.14700000000001</c:v>
                </c:pt>
                <c:pt idx="181">
                  <c:v>106.5</c:v>
                </c:pt>
                <c:pt idx="182">
                  <c:v>107.054</c:v>
                </c:pt>
                <c:pt idx="183">
                  <c:v>107.61799999999999</c:v>
                </c:pt>
                <c:pt idx="184">
                  <c:v>108.175</c:v>
                </c:pt>
                <c:pt idx="185">
                  <c:v>108.76</c:v>
                </c:pt>
                <c:pt idx="186">
                  <c:v>109.256</c:v>
                </c:pt>
                <c:pt idx="187">
                  <c:v>109.67400000000001</c:v>
                </c:pt>
                <c:pt idx="188">
                  <c:v>110.03400000000001</c:v>
                </c:pt>
                <c:pt idx="189">
                  <c:v>110.762</c:v>
                </c:pt>
                <c:pt idx="190">
                  <c:v>111.5</c:v>
                </c:pt>
                <c:pt idx="191">
                  <c:v>112.191</c:v>
                </c:pt>
                <c:pt idx="192">
                  <c:v>112.80500000000001</c:v>
                </c:pt>
                <c:pt idx="193">
                  <c:v>113.471</c:v>
                </c:pt>
                <c:pt idx="194">
                  <c:v>114.46899999999999</c:v>
                </c:pt>
                <c:pt idx="195">
                  <c:v>114.812</c:v>
                </c:pt>
                <c:pt idx="196">
                  <c:v>115.52500000000001</c:v>
                </c:pt>
                <c:pt idx="197">
                  <c:v>116.63800000000001</c:v>
                </c:pt>
                <c:pt idx="198">
                  <c:v>116.631</c:v>
                </c:pt>
                <c:pt idx="199">
                  <c:v>116.956</c:v>
                </c:pt>
                <c:pt idx="200">
                  <c:v>117.371</c:v>
                </c:pt>
                <c:pt idx="201">
                  <c:v>117.919</c:v>
                </c:pt>
                <c:pt idx="202">
                  <c:v>118.224</c:v>
                </c:pt>
                <c:pt idx="203">
                  <c:v>118.384</c:v>
                </c:pt>
                <c:pt idx="204">
                  <c:v>119.018</c:v>
                </c:pt>
                <c:pt idx="205">
                  <c:v>119.369</c:v>
                </c:pt>
                <c:pt idx="206">
                  <c:v>119.538</c:v>
                </c:pt>
                <c:pt idx="207">
                  <c:v>119.95099999999999</c:v>
                </c:pt>
                <c:pt idx="208">
                  <c:v>120.15</c:v>
                </c:pt>
                <c:pt idx="209">
                  <c:v>120.46899999999999</c:v>
                </c:pt>
                <c:pt idx="210">
                  <c:v>120.607</c:v>
                </c:pt>
                <c:pt idx="211">
                  <c:v>120.97</c:v>
                </c:pt>
                <c:pt idx="212">
                  <c:v>121.419</c:v>
                </c:pt>
                <c:pt idx="213">
                  <c:v>121.48399999999999</c:v>
                </c:pt>
                <c:pt idx="214">
                  <c:v>121.49299999999999</c:v>
                </c:pt>
                <c:pt idx="215">
                  <c:v>121.66</c:v>
                </c:pt>
                <c:pt idx="216">
                  <c:v>122.23</c:v>
                </c:pt>
                <c:pt idx="217">
                  <c:v>122.598</c:v>
                </c:pt>
                <c:pt idx="218">
                  <c:v>123.038</c:v>
                </c:pt>
                <c:pt idx="219">
                  <c:v>123.34099999999999</c:v>
                </c:pt>
                <c:pt idx="220">
                  <c:v>123.348</c:v>
                </c:pt>
                <c:pt idx="221">
                  <c:v>123.539</c:v>
                </c:pt>
                <c:pt idx="222">
                  <c:v>123.736</c:v>
                </c:pt>
                <c:pt idx="223">
                  <c:v>123.889</c:v>
                </c:pt>
                <c:pt idx="224">
                  <c:v>124.164</c:v>
                </c:pt>
                <c:pt idx="225">
                  <c:v>124.494</c:v>
                </c:pt>
                <c:pt idx="226">
                  <c:v>124.637</c:v>
                </c:pt>
                <c:pt idx="227">
                  <c:v>124.979</c:v>
                </c:pt>
                <c:pt idx="228">
                  <c:v>125.417</c:v>
                </c:pt>
                <c:pt idx="229">
                  <c:v>125.92100000000001</c:v>
                </c:pt>
                <c:pt idx="230">
                  <c:v>125.941</c:v>
                </c:pt>
                <c:pt idx="231">
                  <c:v>126.15</c:v>
                </c:pt>
                <c:pt idx="232">
                  <c:v>126.38</c:v>
                </c:pt>
                <c:pt idx="233">
                  <c:v>126.74299999999999</c:v>
                </c:pt>
                <c:pt idx="234">
                  <c:v>126.96</c:v>
                </c:pt>
                <c:pt idx="235">
                  <c:v>127.29300000000001</c:v>
                </c:pt>
                <c:pt idx="236">
                  <c:v>127.625</c:v>
                </c:pt>
                <c:pt idx="237">
                  <c:v>127.873</c:v>
                </c:pt>
                <c:pt idx="238">
                  <c:v>128.155</c:v>
                </c:pt>
                <c:pt idx="239">
                  <c:v>128.61500000000001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A3-4E4E-801D-515DE97AC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032384"/>
        <c:axId val="467247664"/>
      </c:lineChart>
      <c:lineChart>
        <c:grouping val="standard"/>
        <c:varyColors val="0"/>
        <c:ser>
          <c:idx val="1"/>
          <c:order val="1"/>
          <c:tx>
            <c:strRef>
              <c:f>macro_panel_2006_2025_monthly!$Y$1</c:f>
              <c:strCache>
                <c:ptCount val="1"/>
                <c:pt idx="0">
                  <c:v>yield_curve_10y_2y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macro_panel_2006_2025_monthly!$W$2:$W$241</c:f>
              <c:numCache>
                <c:formatCode>m/d/yy</c:formatCode>
                <c:ptCount val="240"/>
                <c:pt idx="0">
                  <c:v>38748</c:v>
                </c:pt>
                <c:pt idx="1">
                  <c:v>38776</c:v>
                </c:pt>
                <c:pt idx="2">
                  <c:v>38807</c:v>
                </c:pt>
                <c:pt idx="3">
                  <c:v>38837</c:v>
                </c:pt>
                <c:pt idx="4">
                  <c:v>38868</c:v>
                </c:pt>
                <c:pt idx="5">
                  <c:v>38898</c:v>
                </c:pt>
                <c:pt idx="6">
                  <c:v>38929</c:v>
                </c:pt>
                <c:pt idx="7">
                  <c:v>38960</c:v>
                </c:pt>
                <c:pt idx="8">
                  <c:v>38990</c:v>
                </c:pt>
                <c:pt idx="9">
                  <c:v>39021</c:v>
                </c:pt>
                <c:pt idx="10">
                  <c:v>39051</c:v>
                </c:pt>
                <c:pt idx="11">
                  <c:v>39082</c:v>
                </c:pt>
                <c:pt idx="12">
                  <c:v>39113</c:v>
                </c:pt>
                <c:pt idx="13">
                  <c:v>39141</c:v>
                </c:pt>
                <c:pt idx="14">
                  <c:v>39172</c:v>
                </c:pt>
                <c:pt idx="15">
                  <c:v>39202</c:v>
                </c:pt>
                <c:pt idx="16">
                  <c:v>39233</c:v>
                </c:pt>
                <c:pt idx="17">
                  <c:v>39263</c:v>
                </c:pt>
                <c:pt idx="18">
                  <c:v>39294</c:v>
                </c:pt>
                <c:pt idx="19">
                  <c:v>39325</c:v>
                </c:pt>
                <c:pt idx="20">
                  <c:v>39355</c:v>
                </c:pt>
                <c:pt idx="21">
                  <c:v>39386</c:v>
                </c:pt>
                <c:pt idx="22">
                  <c:v>39416</c:v>
                </c:pt>
                <c:pt idx="23">
                  <c:v>39447</c:v>
                </c:pt>
                <c:pt idx="24">
                  <c:v>39478</c:v>
                </c:pt>
                <c:pt idx="25">
                  <c:v>39507</c:v>
                </c:pt>
                <c:pt idx="26">
                  <c:v>39538</c:v>
                </c:pt>
                <c:pt idx="27">
                  <c:v>39568</c:v>
                </c:pt>
                <c:pt idx="28">
                  <c:v>39599</c:v>
                </c:pt>
                <c:pt idx="29">
                  <c:v>39629</c:v>
                </c:pt>
                <c:pt idx="30">
                  <c:v>39660</c:v>
                </c:pt>
                <c:pt idx="31">
                  <c:v>39691</c:v>
                </c:pt>
                <c:pt idx="32">
                  <c:v>39721</c:v>
                </c:pt>
                <c:pt idx="33">
                  <c:v>39752</c:v>
                </c:pt>
                <c:pt idx="34">
                  <c:v>39782</c:v>
                </c:pt>
                <c:pt idx="35">
                  <c:v>39813</c:v>
                </c:pt>
                <c:pt idx="36">
                  <c:v>39844</c:v>
                </c:pt>
                <c:pt idx="37">
                  <c:v>39872</c:v>
                </c:pt>
                <c:pt idx="38">
                  <c:v>39903</c:v>
                </c:pt>
                <c:pt idx="39">
                  <c:v>39933</c:v>
                </c:pt>
                <c:pt idx="40">
                  <c:v>39964</c:v>
                </c:pt>
                <c:pt idx="41">
                  <c:v>39994</c:v>
                </c:pt>
                <c:pt idx="42">
                  <c:v>40025</c:v>
                </c:pt>
                <c:pt idx="43">
                  <c:v>40056</c:v>
                </c:pt>
                <c:pt idx="44">
                  <c:v>40086</c:v>
                </c:pt>
                <c:pt idx="45">
                  <c:v>40117</c:v>
                </c:pt>
                <c:pt idx="46">
                  <c:v>40147</c:v>
                </c:pt>
                <c:pt idx="47">
                  <c:v>40178</c:v>
                </c:pt>
                <c:pt idx="48">
                  <c:v>40209</c:v>
                </c:pt>
                <c:pt idx="49">
                  <c:v>40237</c:v>
                </c:pt>
                <c:pt idx="50">
                  <c:v>40268</c:v>
                </c:pt>
                <c:pt idx="51">
                  <c:v>40298</c:v>
                </c:pt>
                <c:pt idx="52">
                  <c:v>40329</c:v>
                </c:pt>
                <c:pt idx="53">
                  <c:v>40359</c:v>
                </c:pt>
                <c:pt idx="54">
                  <c:v>40390</c:v>
                </c:pt>
                <c:pt idx="55">
                  <c:v>40421</c:v>
                </c:pt>
                <c:pt idx="56">
                  <c:v>40451</c:v>
                </c:pt>
                <c:pt idx="57">
                  <c:v>40482</c:v>
                </c:pt>
                <c:pt idx="58">
                  <c:v>40512</c:v>
                </c:pt>
                <c:pt idx="59">
                  <c:v>40543</c:v>
                </c:pt>
                <c:pt idx="60">
                  <c:v>40574</c:v>
                </c:pt>
                <c:pt idx="61">
                  <c:v>40602</c:v>
                </c:pt>
                <c:pt idx="62">
                  <c:v>40633</c:v>
                </c:pt>
                <c:pt idx="63">
                  <c:v>40663</c:v>
                </c:pt>
                <c:pt idx="64">
                  <c:v>40694</c:v>
                </c:pt>
                <c:pt idx="65">
                  <c:v>40724</c:v>
                </c:pt>
                <c:pt idx="66">
                  <c:v>40755</c:v>
                </c:pt>
                <c:pt idx="67">
                  <c:v>40786</c:v>
                </c:pt>
                <c:pt idx="68">
                  <c:v>40816</c:v>
                </c:pt>
                <c:pt idx="69">
                  <c:v>40847</c:v>
                </c:pt>
                <c:pt idx="70">
                  <c:v>40877</c:v>
                </c:pt>
                <c:pt idx="71">
                  <c:v>40908</c:v>
                </c:pt>
                <c:pt idx="72">
                  <c:v>40939</c:v>
                </c:pt>
                <c:pt idx="73">
                  <c:v>40968</c:v>
                </c:pt>
                <c:pt idx="74">
                  <c:v>40999</c:v>
                </c:pt>
                <c:pt idx="75">
                  <c:v>41029</c:v>
                </c:pt>
                <c:pt idx="76">
                  <c:v>41060</c:v>
                </c:pt>
                <c:pt idx="77">
                  <c:v>41090</c:v>
                </c:pt>
                <c:pt idx="78">
                  <c:v>41121</c:v>
                </c:pt>
                <c:pt idx="79">
                  <c:v>41152</c:v>
                </c:pt>
                <c:pt idx="80">
                  <c:v>41182</c:v>
                </c:pt>
                <c:pt idx="81">
                  <c:v>41213</c:v>
                </c:pt>
                <c:pt idx="82">
                  <c:v>41243</c:v>
                </c:pt>
                <c:pt idx="83">
                  <c:v>41274</c:v>
                </c:pt>
                <c:pt idx="84">
                  <c:v>41305</c:v>
                </c:pt>
                <c:pt idx="85">
                  <c:v>41333</c:v>
                </c:pt>
                <c:pt idx="86">
                  <c:v>41364</c:v>
                </c:pt>
                <c:pt idx="87">
                  <c:v>41394</c:v>
                </c:pt>
                <c:pt idx="88">
                  <c:v>41425</c:v>
                </c:pt>
                <c:pt idx="89">
                  <c:v>41455</c:v>
                </c:pt>
                <c:pt idx="90">
                  <c:v>41486</c:v>
                </c:pt>
                <c:pt idx="91">
                  <c:v>41517</c:v>
                </c:pt>
                <c:pt idx="92">
                  <c:v>41547</c:v>
                </c:pt>
                <c:pt idx="93">
                  <c:v>41578</c:v>
                </c:pt>
                <c:pt idx="94">
                  <c:v>41608</c:v>
                </c:pt>
                <c:pt idx="95">
                  <c:v>41639</c:v>
                </c:pt>
                <c:pt idx="96">
                  <c:v>41670</c:v>
                </c:pt>
                <c:pt idx="97">
                  <c:v>41698</c:v>
                </c:pt>
                <c:pt idx="98">
                  <c:v>41729</c:v>
                </c:pt>
                <c:pt idx="99">
                  <c:v>41759</c:v>
                </c:pt>
                <c:pt idx="100">
                  <c:v>41790</c:v>
                </c:pt>
                <c:pt idx="101">
                  <c:v>41820</c:v>
                </c:pt>
                <c:pt idx="102">
                  <c:v>41851</c:v>
                </c:pt>
                <c:pt idx="103">
                  <c:v>41882</c:v>
                </c:pt>
                <c:pt idx="104">
                  <c:v>41912</c:v>
                </c:pt>
                <c:pt idx="105">
                  <c:v>41943</c:v>
                </c:pt>
                <c:pt idx="106">
                  <c:v>41973</c:v>
                </c:pt>
                <c:pt idx="107">
                  <c:v>42004</c:v>
                </c:pt>
                <c:pt idx="108">
                  <c:v>42035</c:v>
                </c:pt>
                <c:pt idx="109">
                  <c:v>42063</c:v>
                </c:pt>
                <c:pt idx="110">
                  <c:v>42094</c:v>
                </c:pt>
                <c:pt idx="111">
                  <c:v>42124</c:v>
                </c:pt>
                <c:pt idx="112">
                  <c:v>42155</c:v>
                </c:pt>
                <c:pt idx="113">
                  <c:v>42185</c:v>
                </c:pt>
                <c:pt idx="114">
                  <c:v>42216</c:v>
                </c:pt>
                <c:pt idx="115">
                  <c:v>42247</c:v>
                </c:pt>
                <c:pt idx="116">
                  <c:v>42277</c:v>
                </c:pt>
                <c:pt idx="117">
                  <c:v>42308</c:v>
                </c:pt>
                <c:pt idx="118">
                  <c:v>42338</c:v>
                </c:pt>
                <c:pt idx="119">
                  <c:v>42369</c:v>
                </c:pt>
                <c:pt idx="120">
                  <c:v>42400</c:v>
                </c:pt>
                <c:pt idx="121">
                  <c:v>42429</c:v>
                </c:pt>
                <c:pt idx="122">
                  <c:v>42460</c:v>
                </c:pt>
                <c:pt idx="123">
                  <c:v>42490</c:v>
                </c:pt>
                <c:pt idx="124">
                  <c:v>42521</c:v>
                </c:pt>
                <c:pt idx="125">
                  <c:v>42551</c:v>
                </c:pt>
                <c:pt idx="126">
                  <c:v>42582</c:v>
                </c:pt>
                <c:pt idx="127">
                  <c:v>42613</c:v>
                </c:pt>
                <c:pt idx="128">
                  <c:v>42643</c:v>
                </c:pt>
                <c:pt idx="129">
                  <c:v>42674</c:v>
                </c:pt>
                <c:pt idx="130">
                  <c:v>42704</c:v>
                </c:pt>
                <c:pt idx="131">
                  <c:v>42735</c:v>
                </c:pt>
                <c:pt idx="132">
                  <c:v>42766</c:v>
                </c:pt>
                <c:pt idx="133">
                  <c:v>42794</c:v>
                </c:pt>
                <c:pt idx="134">
                  <c:v>42825</c:v>
                </c:pt>
                <c:pt idx="135">
                  <c:v>42855</c:v>
                </c:pt>
                <c:pt idx="136">
                  <c:v>42886</c:v>
                </c:pt>
                <c:pt idx="137">
                  <c:v>42916</c:v>
                </c:pt>
                <c:pt idx="138">
                  <c:v>42947</c:v>
                </c:pt>
                <c:pt idx="139">
                  <c:v>42978</c:v>
                </c:pt>
                <c:pt idx="140">
                  <c:v>43008</c:v>
                </c:pt>
                <c:pt idx="141">
                  <c:v>43039</c:v>
                </c:pt>
                <c:pt idx="142">
                  <c:v>43069</c:v>
                </c:pt>
                <c:pt idx="143">
                  <c:v>43100</c:v>
                </c:pt>
                <c:pt idx="144">
                  <c:v>43131</c:v>
                </c:pt>
                <c:pt idx="145">
                  <c:v>43159</c:v>
                </c:pt>
                <c:pt idx="146">
                  <c:v>43190</c:v>
                </c:pt>
                <c:pt idx="147">
                  <c:v>43220</c:v>
                </c:pt>
                <c:pt idx="148">
                  <c:v>43251</c:v>
                </c:pt>
                <c:pt idx="149">
                  <c:v>43281</c:v>
                </c:pt>
                <c:pt idx="150">
                  <c:v>43312</c:v>
                </c:pt>
                <c:pt idx="151">
                  <c:v>43343</c:v>
                </c:pt>
                <c:pt idx="152">
                  <c:v>43373</c:v>
                </c:pt>
                <c:pt idx="153">
                  <c:v>43404</c:v>
                </c:pt>
                <c:pt idx="154">
                  <c:v>43434</c:v>
                </c:pt>
                <c:pt idx="155">
                  <c:v>43465</c:v>
                </c:pt>
                <c:pt idx="156">
                  <c:v>43496</c:v>
                </c:pt>
                <c:pt idx="157">
                  <c:v>43524</c:v>
                </c:pt>
                <c:pt idx="158">
                  <c:v>43555</c:v>
                </c:pt>
                <c:pt idx="159">
                  <c:v>43585</c:v>
                </c:pt>
                <c:pt idx="160">
                  <c:v>43616</c:v>
                </c:pt>
                <c:pt idx="161">
                  <c:v>43646</c:v>
                </c:pt>
                <c:pt idx="162">
                  <c:v>43677</c:v>
                </c:pt>
                <c:pt idx="163">
                  <c:v>43708</c:v>
                </c:pt>
                <c:pt idx="164">
                  <c:v>43738</c:v>
                </c:pt>
                <c:pt idx="165">
                  <c:v>43769</c:v>
                </c:pt>
                <c:pt idx="166">
                  <c:v>43799</c:v>
                </c:pt>
                <c:pt idx="167">
                  <c:v>43830</c:v>
                </c:pt>
                <c:pt idx="168">
                  <c:v>43861</c:v>
                </c:pt>
                <c:pt idx="169">
                  <c:v>43890</c:v>
                </c:pt>
                <c:pt idx="170">
                  <c:v>43921</c:v>
                </c:pt>
                <c:pt idx="171">
                  <c:v>43951</c:v>
                </c:pt>
                <c:pt idx="172">
                  <c:v>43982</c:v>
                </c:pt>
                <c:pt idx="173">
                  <c:v>44012</c:v>
                </c:pt>
                <c:pt idx="174">
                  <c:v>44043</c:v>
                </c:pt>
                <c:pt idx="175">
                  <c:v>44074</c:v>
                </c:pt>
                <c:pt idx="176">
                  <c:v>44104</c:v>
                </c:pt>
                <c:pt idx="177">
                  <c:v>44135</c:v>
                </c:pt>
                <c:pt idx="178">
                  <c:v>44165</c:v>
                </c:pt>
                <c:pt idx="179">
                  <c:v>44196</c:v>
                </c:pt>
                <c:pt idx="180">
                  <c:v>44227</c:v>
                </c:pt>
                <c:pt idx="181">
                  <c:v>44255</c:v>
                </c:pt>
                <c:pt idx="182">
                  <c:v>44286</c:v>
                </c:pt>
                <c:pt idx="183">
                  <c:v>44316</c:v>
                </c:pt>
                <c:pt idx="184">
                  <c:v>44347</c:v>
                </c:pt>
                <c:pt idx="185">
                  <c:v>44377</c:v>
                </c:pt>
                <c:pt idx="186">
                  <c:v>44408</c:v>
                </c:pt>
                <c:pt idx="187">
                  <c:v>44439</c:v>
                </c:pt>
                <c:pt idx="188">
                  <c:v>44469</c:v>
                </c:pt>
                <c:pt idx="189">
                  <c:v>44500</c:v>
                </c:pt>
                <c:pt idx="190">
                  <c:v>44530</c:v>
                </c:pt>
                <c:pt idx="191">
                  <c:v>44561</c:v>
                </c:pt>
                <c:pt idx="192">
                  <c:v>44592</c:v>
                </c:pt>
                <c:pt idx="193">
                  <c:v>44620</c:v>
                </c:pt>
                <c:pt idx="194">
                  <c:v>44651</c:v>
                </c:pt>
                <c:pt idx="195">
                  <c:v>44681</c:v>
                </c:pt>
                <c:pt idx="196">
                  <c:v>44712</c:v>
                </c:pt>
                <c:pt idx="197">
                  <c:v>44742</c:v>
                </c:pt>
                <c:pt idx="198">
                  <c:v>44773</c:v>
                </c:pt>
                <c:pt idx="199">
                  <c:v>44804</c:v>
                </c:pt>
                <c:pt idx="200">
                  <c:v>44834</c:v>
                </c:pt>
                <c:pt idx="201">
                  <c:v>44865</c:v>
                </c:pt>
                <c:pt idx="202">
                  <c:v>44895</c:v>
                </c:pt>
                <c:pt idx="203">
                  <c:v>44926</c:v>
                </c:pt>
                <c:pt idx="204">
                  <c:v>44957</c:v>
                </c:pt>
                <c:pt idx="205">
                  <c:v>44985</c:v>
                </c:pt>
                <c:pt idx="206">
                  <c:v>45016</c:v>
                </c:pt>
                <c:pt idx="207">
                  <c:v>45046</c:v>
                </c:pt>
                <c:pt idx="208">
                  <c:v>45077</c:v>
                </c:pt>
                <c:pt idx="209">
                  <c:v>45107</c:v>
                </c:pt>
                <c:pt idx="210">
                  <c:v>45138</c:v>
                </c:pt>
                <c:pt idx="211">
                  <c:v>45169</c:v>
                </c:pt>
                <c:pt idx="212">
                  <c:v>45199</c:v>
                </c:pt>
                <c:pt idx="213">
                  <c:v>45230</c:v>
                </c:pt>
                <c:pt idx="214">
                  <c:v>45260</c:v>
                </c:pt>
                <c:pt idx="215">
                  <c:v>45291</c:v>
                </c:pt>
                <c:pt idx="216">
                  <c:v>45322</c:v>
                </c:pt>
                <c:pt idx="217">
                  <c:v>45351</c:v>
                </c:pt>
                <c:pt idx="218">
                  <c:v>45382</c:v>
                </c:pt>
                <c:pt idx="219">
                  <c:v>45412</c:v>
                </c:pt>
                <c:pt idx="220">
                  <c:v>45443</c:v>
                </c:pt>
                <c:pt idx="221">
                  <c:v>45473</c:v>
                </c:pt>
                <c:pt idx="222">
                  <c:v>45504</c:v>
                </c:pt>
                <c:pt idx="223">
                  <c:v>45535</c:v>
                </c:pt>
                <c:pt idx="224">
                  <c:v>45565</c:v>
                </c:pt>
                <c:pt idx="225">
                  <c:v>45596</c:v>
                </c:pt>
                <c:pt idx="226">
                  <c:v>45626</c:v>
                </c:pt>
                <c:pt idx="227">
                  <c:v>45657</c:v>
                </c:pt>
                <c:pt idx="228">
                  <c:v>45688</c:v>
                </c:pt>
                <c:pt idx="229">
                  <c:v>45716</c:v>
                </c:pt>
                <c:pt idx="230">
                  <c:v>45747</c:v>
                </c:pt>
                <c:pt idx="231">
                  <c:v>45777</c:v>
                </c:pt>
                <c:pt idx="232">
                  <c:v>45808</c:v>
                </c:pt>
                <c:pt idx="233">
                  <c:v>45838</c:v>
                </c:pt>
                <c:pt idx="234">
                  <c:v>45869</c:v>
                </c:pt>
                <c:pt idx="235">
                  <c:v>45900</c:v>
                </c:pt>
                <c:pt idx="236">
                  <c:v>45930</c:v>
                </c:pt>
                <c:pt idx="237">
                  <c:v>45961</c:v>
                </c:pt>
                <c:pt idx="238">
                  <c:v>45991</c:v>
                </c:pt>
                <c:pt idx="239">
                  <c:v>46022</c:v>
                </c:pt>
              </c:numCache>
            </c:numRef>
          </c:cat>
          <c:val>
            <c:numRef>
              <c:f>macro_panel_2006_2025_monthly!$Y$2:$Y$241</c:f>
              <c:numCache>
                <c:formatCode>General</c:formatCode>
                <c:ptCount val="240"/>
                <c:pt idx="0">
                  <c:v>0.02</c:v>
                </c:pt>
                <c:pt idx="1">
                  <c:v>-0.1</c:v>
                </c:pt>
                <c:pt idx="2">
                  <c:v>-0.01</c:v>
                </c:pt>
                <c:pt idx="3">
                  <c:v>0.1</c:v>
                </c:pt>
                <c:pt idx="4">
                  <c:v>0.14000000000000001</c:v>
                </c:pt>
                <c:pt idx="5">
                  <c:v>-0.02</c:v>
                </c:pt>
                <c:pt idx="6">
                  <c:v>-0.03</c:v>
                </c:pt>
                <c:pt idx="7">
                  <c:v>-0.03</c:v>
                </c:pt>
                <c:pt idx="8">
                  <c:v>-0.05</c:v>
                </c:pt>
                <c:pt idx="9">
                  <c:v>-7.0000000000000007E-2</c:v>
                </c:pt>
                <c:pt idx="10">
                  <c:v>-0.15</c:v>
                </c:pt>
                <c:pt idx="11">
                  <c:v>-0.11</c:v>
                </c:pt>
                <c:pt idx="12">
                  <c:v>-0.12</c:v>
                </c:pt>
                <c:pt idx="13">
                  <c:v>-0.13</c:v>
                </c:pt>
                <c:pt idx="14">
                  <c:v>-0.01</c:v>
                </c:pt>
                <c:pt idx="15">
                  <c:v>0.03</c:v>
                </c:pt>
                <c:pt idx="16">
                  <c:v>-0.02</c:v>
                </c:pt>
                <c:pt idx="17">
                  <c:v>0.12</c:v>
                </c:pt>
                <c:pt idx="18">
                  <c:v>0.19</c:v>
                </c:pt>
                <c:pt idx="19">
                  <c:v>0.36</c:v>
                </c:pt>
                <c:pt idx="20">
                  <c:v>0.51</c:v>
                </c:pt>
                <c:pt idx="21">
                  <c:v>0.56000000000000005</c:v>
                </c:pt>
                <c:pt idx="22">
                  <c:v>0.81</c:v>
                </c:pt>
                <c:pt idx="23">
                  <c:v>0.98</c:v>
                </c:pt>
                <c:pt idx="24">
                  <c:v>1.27</c:v>
                </c:pt>
                <c:pt idx="25">
                  <c:v>1.76</c:v>
                </c:pt>
                <c:pt idx="26">
                  <c:v>1.89</c:v>
                </c:pt>
                <c:pt idx="27">
                  <c:v>1.63</c:v>
                </c:pt>
                <c:pt idx="28">
                  <c:v>1.43</c:v>
                </c:pt>
                <c:pt idx="29">
                  <c:v>1.33</c:v>
                </c:pt>
                <c:pt idx="30">
                  <c:v>1.43</c:v>
                </c:pt>
                <c:pt idx="31">
                  <c:v>1.47</c:v>
                </c:pt>
                <c:pt idx="32">
                  <c:v>1.61</c:v>
                </c:pt>
                <c:pt idx="33">
                  <c:v>2.2000000000000002</c:v>
                </c:pt>
                <c:pt idx="34">
                  <c:v>2.31</c:v>
                </c:pt>
                <c:pt idx="35">
                  <c:v>1.6</c:v>
                </c:pt>
                <c:pt idx="36">
                  <c:v>1.71</c:v>
                </c:pt>
                <c:pt idx="37">
                  <c:v>1.89</c:v>
                </c:pt>
                <c:pt idx="38">
                  <c:v>1.89</c:v>
                </c:pt>
                <c:pt idx="39">
                  <c:v>2</c:v>
                </c:pt>
                <c:pt idx="40">
                  <c:v>2.36</c:v>
                </c:pt>
                <c:pt idx="41">
                  <c:v>2.54</c:v>
                </c:pt>
                <c:pt idx="42">
                  <c:v>2.54</c:v>
                </c:pt>
                <c:pt idx="43">
                  <c:v>2.4700000000000002</c:v>
                </c:pt>
                <c:pt idx="44">
                  <c:v>2.4500000000000002</c:v>
                </c:pt>
                <c:pt idx="45">
                  <c:v>2.44</c:v>
                </c:pt>
                <c:pt idx="46">
                  <c:v>2.6</c:v>
                </c:pt>
                <c:pt idx="47">
                  <c:v>2.72</c:v>
                </c:pt>
                <c:pt idx="48">
                  <c:v>2.8</c:v>
                </c:pt>
                <c:pt idx="49">
                  <c:v>2.83</c:v>
                </c:pt>
                <c:pt idx="50">
                  <c:v>2.77</c:v>
                </c:pt>
                <c:pt idx="51">
                  <c:v>2.79</c:v>
                </c:pt>
                <c:pt idx="52">
                  <c:v>2.59</c:v>
                </c:pt>
                <c:pt idx="53">
                  <c:v>2.48</c:v>
                </c:pt>
                <c:pt idx="54">
                  <c:v>2.39</c:v>
                </c:pt>
                <c:pt idx="55">
                  <c:v>2.1800000000000002</c:v>
                </c:pt>
                <c:pt idx="56">
                  <c:v>2.17</c:v>
                </c:pt>
                <c:pt idx="57">
                  <c:v>2.16</c:v>
                </c:pt>
                <c:pt idx="58">
                  <c:v>2.31</c:v>
                </c:pt>
                <c:pt idx="59">
                  <c:v>2.67</c:v>
                </c:pt>
                <c:pt idx="60">
                  <c:v>2.78</c:v>
                </c:pt>
                <c:pt idx="61">
                  <c:v>2.8</c:v>
                </c:pt>
                <c:pt idx="62">
                  <c:v>2.72</c:v>
                </c:pt>
                <c:pt idx="63">
                  <c:v>2.72</c:v>
                </c:pt>
                <c:pt idx="64">
                  <c:v>2.61</c:v>
                </c:pt>
                <c:pt idx="65">
                  <c:v>2.59</c:v>
                </c:pt>
                <c:pt idx="66">
                  <c:v>2.6</c:v>
                </c:pt>
                <c:pt idx="67">
                  <c:v>2.0699999999999998</c:v>
                </c:pt>
                <c:pt idx="68">
                  <c:v>1.76</c:v>
                </c:pt>
                <c:pt idx="69">
                  <c:v>1.87</c:v>
                </c:pt>
                <c:pt idx="70">
                  <c:v>1.76</c:v>
                </c:pt>
                <c:pt idx="71">
                  <c:v>1.72</c:v>
                </c:pt>
                <c:pt idx="72">
                  <c:v>1.73</c:v>
                </c:pt>
                <c:pt idx="73">
                  <c:v>1.69</c:v>
                </c:pt>
                <c:pt idx="74">
                  <c:v>1.83</c:v>
                </c:pt>
                <c:pt idx="75">
                  <c:v>1.76</c:v>
                </c:pt>
                <c:pt idx="76">
                  <c:v>1.52</c:v>
                </c:pt>
                <c:pt idx="77">
                  <c:v>1.33</c:v>
                </c:pt>
                <c:pt idx="78">
                  <c:v>1.28</c:v>
                </c:pt>
                <c:pt idx="79">
                  <c:v>1.41</c:v>
                </c:pt>
                <c:pt idx="80">
                  <c:v>1.47</c:v>
                </c:pt>
                <c:pt idx="81">
                  <c:v>1.47</c:v>
                </c:pt>
                <c:pt idx="82">
                  <c:v>1.39</c:v>
                </c:pt>
                <c:pt idx="83">
                  <c:v>1.46</c:v>
                </c:pt>
                <c:pt idx="84">
                  <c:v>1.65</c:v>
                </c:pt>
                <c:pt idx="85">
                  <c:v>1.72</c:v>
                </c:pt>
                <c:pt idx="86">
                  <c:v>1.7</c:v>
                </c:pt>
                <c:pt idx="87">
                  <c:v>1.53</c:v>
                </c:pt>
                <c:pt idx="88">
                  <c:v>1.68</c:v>
                </c:pt>
                <c:pt idx="89">
                  <c:v>1.97</c:v>
                </c:pt>
                <c:pt idx="90">
                  <c:v>2.2400000000000002</c:v>
                </c:pt>
                <c:pt idx="91">
                  <c:v>2.38</c:v>
                </c:pt>
                <c:pt idx="92">
                  <c:v>2.41</c:v>
                </c:pt>
                <c:pt idx="93">
                  <c:v>2.2799999999999998</c:v>
                </c:pt>
                <c:pt idx="94">
                  <c:v>2.41</c:v>
                </c:pt>
                <c:pt idx="95">
                  <c:v>2.56</c:v>
                </c:pt>
                <c:pt idx="96">
                  <c:v>2.46</c:v>
                </c:pt>
                <c:pt idx="97">
                  <c:v>2.38</c:v>
                </c:pt>
                <c:pt idx="98">
                  <c:v>2.3199999999999998</c:v>
                </c:pt>
                <c:pt idx="99">
                  <c:v>2.29</c:v>
                </c:pt>
                <c:pt idx="100">
                  <c:v>2.17</c:v>
                </c:pt>
                <c:pt idx="101">
                  <c:v>2.15</c:v>
                </c:pt>
                <c:pt idx="102">
                  <c:v>2.04</c:v>
                </c:pt>
                <c:pt idx="103">
                  <c:v>1.95</c:v>
                </c:pt>
                <c:pt idx="104">
                  <c:v>1.97</c:v>
                </c:pt>
                <c:pt idx="105">
                  <c:v>1.86</c:v>
                </c:pt>
                <c:pt idx="106">
                  <c:v>1.8</c:v>
                </c:pt>
                <c:pt idx="107">
                  <c:v>1.57</c:v>
                </c:pt>
                <c:pt idx="108">
                  <c:v>1.33</c:v>
                </c:pt>
                <c:pt idx="109">
                  <c:v>1.36</c:v>
                </c:pt>
                <c:pt idx="110">
                  <c:v>1.4</c:v>
                </c:pt>
                <c:pt idx="111">
                  <c:v>1.4</c:v>
                </c:pt>
                <c:pt idx="112">
                  <c:v>1.59</c:v>
                </c:pt>
                <c:pt idx="113">
                  <c:v>1.68</c:v>
                </c:pt>
                <c:pt idx="114">
                  <c:v>1.66</c:v>
                </c:pt>
                <c:pt idx="115">
                  <c:v>1.47</c:v>
                </c:pt>
                <c:pt idx="116">
                  <c:v>1.46</c:v>
                </c:pt>
                <c:pt idx="117">
                  <c:v>1.43</c:v>
                </c:pt>
                <c:pt idx="118">
                  <c:v>1.38</c:v>
                </c:pt>
                <c:pt idx="119">
                  <c:v>1.26</c:v>
                </c:pt>
                <c:pt idx="120">
                  <c:v>1.19</c:v>
                </c:pt>
                <c:pt idx="121">
                  <c:v>1.05</c:v>
                </c:pt>
                <c:pt idx="122">
                  <c:v>1.01</c:v>
                </c:pt>
                <c:pt idx="123">
                  <c:v>1.04</c:v>
                </c:pt>
                <c:pt idx="124">
                  <c:v>0.99</c:v>
                </c:pt>
                <c:pt idx="125">
                  <c:v>0.91</c:v>
                </c:pt>
                <c:pt idx="126">
                  <c:v>0.83</c:v>
                </c:pt>
                <c:pt idx="127">
                  <c:v>0.82</c:v>
                </c:pt>
                <c:pt idx="128">
                  <c:v>0.86</c:v>
                </c:pt>
                <c:pt idx="129">
                  <c:v>0.92</c:v>
                </c:pt>
                <c:pt idx="130">
                  <c:v>1.1599999999999999</c:v>
                </c:pt>
                <c:pt idx="131">
                  <c:v>1.3</c:v>
                </c:pt>
                <c:pt idx="132">
                  <c:v>1.23</c:v>
                </c:pt>
                <c:pt idx="133">
                  <c:v>1.22</c:v>
                </c:pt>
                <c:pt idx="134">
                  <c:v>1.17</c:v>
                </c:pt>
                <c:pt idx="135">
                  <c:v>1.06</c:v>
                </c:pt>
                <c:pt idx="136">
                  <c:v>1</c:v>
                </c:pt>
                <c:pt idx="137">
                  <c:v>0.84</c:v>
                </c:pt>
                <c:pt idx="138">
                  <c:v>0.95</c:v>
                </c:pt>
                <c:pt idx="139">
                  <c:v>0.87</c:v>
                </c:pt>
                <c:pt idx="140">
                  <c:v>0.82</c:v>
                </c:pt>
                <c:pt idx="141">
                  <c:v>0.81</c:v>
                </c:pt>
                <c:pt idx="142">
                  <c:v>0.66</c:v>
                </c:pt>
                <c:pt idx="143">
                  <c:v>0.56000000000000005</c:v>
                </c:pt>
                <c:pt idx="144">
                  <c:v>0.55000000000000004</c:v>
                </c:pt>
                <c:pt idx="145">
                  <c:v>0.68</c:v>
                </c:pt>
                <c:pt idx="146">
                  <c:v>0.56999999999999995</c:v>
                </c:pt>
                <c:pt idx="147">
                  <c:v>0.48</c:v>
                </c:pt>
                <c:pt idx="148">
                  <c:v>0.47</c:v>
                </c:pt>
                <c:pt idx="149">
                  <c:v>0.38</c:v>
                </c:pt>
                <c:pt idx="150">
                  <c:v>0.28000000000000003</c:v>
                </c:pt>
                <c:pt idx="151">
                  <c:v>0.25</c:v>
                </c:pt>
                <c:pt idx="152">
                  <c:v>0.24</c:v>
                </c:pt>
                <c:pt idx="153">
                  <c:v>0.28999999999999998</c:v>
                </c:pt>
                <c:pt idx="154">
                  <c:v>0.26</c:v>
                </c:pt>
                <c:pt idx="155">
                  <c:v>0.16</c:v>
                </c:pt>
                <c:pt idx="156">
                  <c:v>0.17</c:v>
                </c:pt>
                <c:pt idx="157">
                  <c:v>0.17</c:v>
                </c:pt>
                <c:pt idx="158">
                  <c:v>0.16</c:v>
                </c:pt>
                <c:pt idx="159">
                  <c:v>0.19</c:v>
                </c:pt>
                <c:pt idx="160">
                  <c:v>0.19</c:v>
                </c:pt>
                <c:pt idx="161">
                  <c:v>0.26</c:v>
                </c:pt>
                <c:pt idx="162">
                  <c:v>0.22</c:v>
                </c:pt>
                <c:pt idx="163">
                  <c:v>0.06</c:v>
                </c:pt>
                <c:pt idx="164">
                  <c:v>0.05</c:v>
                </c:pt>
                <c:pt idx="165">
                  <c:v>0.16</c:v>
                </c:pt>
                <c:pt idx="166">
                  <c:v>0.2</c:v>
                </c:pt>
                <c:pt idx="167">
                  <c:v>0.25</c:v>
                </c:pt>
                <c:pt idx="168">
                  <c:v>0.24</c:v>
                </c:pt>
                <c:pt idx="169">
                  <c:v>0.17</c:v>
                </c:pt>
                <c:pt idx="170">
                  <c:v>0.42</c:v>
                </c:pt>
                <c:pt idx="171">
                  <c:v>0.43</c:v>
                </c:pt>
                <c:pt idx="172">
                  <c:v>0.5</c:v>
                </c:pt>
                <c:pt idx="173">
                  <c:v>0.54</c:v>
                </c:pt>
                <c:pt idx="174">
                  <c:v>0.48</c:v>
                </c:pt>
                <c:pt idx="175">
                  <c:v>0.51</c:v>
                </c:pt>
                <c:pt idx="176">
                  <c:v>0.54</c:v>
                </c:pt>
                <c:pt idx="177">
                  <c:v>0.64</c:v>
                </c:pt>
                <c:pt idx="178">
                  <c:v>0.7</c:v>
                </c:pt>
                <c:pt idx="179">
                  <c:v>0.8</c:v>
                </c:pt>
                <c:pt idx="180">
                  <c:v>0.95</c:v>
                </c:pt>
                <c:pt idx="181">
                  <c:v>1.1399999999999999</c:v>
                </c:pt>
                <c:pt idx="182">
                  <c:v>1.46</c:v>
                </c:pt>
                <c:pt idx="183">
                  <c:v>1.47</c:v>
                </c:pt>
                <c:pt idx="184">
                  <c:v>1.47</c:v>
                </c:pt>
                <c:pt idx="185">
                  <c:v>1.32</c:v>
                </c:pt>
                <c:pt idx="186">
                  <c:v>1.1000000000000001</c:v>
                </c:pt>
                <c:pt idx="187">
                  <c:v>1.07</c:v>
                </c:pt>
                <c:pt idx="188">
                  <c:v>1.1299999999999999</c:v>
                </c:pt>
                <c:pt idx="189">
                  <c:v>1.19</c:v>
                </c:pt>
                <c:pt idx="190">
                  <c:v>1.05</c:v>
                </c:pt>
                <c:pt idx="191">
                  <c:v>0.79</c:v>
                </c:pt>
                <c:pt idx="192">
                  <c:v>0.78</c:v>
                </c:pt>
                <c:pt idx="193">
                  <c:v>0.5</c:v>
                </c:pt>
                <c:pt idx="194">
                  <c:v>0.22</c:v>
                </c:pt>
                <c:pt idx="195">
                  <c:v>0.21</c:v>
                </c:pt>
                <c:pt idx="196">
                  <c:v>0.28000000000000003</c:v>
                </c:pt>
                <c:pt idx="197">
                  <c:v>0.15</c:v>
                </c:pt>
                <c:pt idx="198">
                  <c:v>-0.14000000000000001</c:v>
                </c:pt>
                <c:pt idx="199">
                  <c:v>-0.35</c:v>
                </c:pt>
                <c:pt idx="200">
                  <c:v>-0.34</c:v>
                </c:pt>
                <c:pt idx="201">
                  <c:v>-0.39</c:v>
                </c:pt>
                <c:pt idx="202">
                  <c:v>-0.61</c:v>
                </c:pt>
                <c:pt idx="203">
                  <c:v>-0.67</c:v>
                </c:pt>
                <c:pt idx="204">
                  <c:v>-0.68</c:v>
                </c:pt>
                <c:pt idx="205">
                  <c:v>-0.79</c:v>
                </c:pt>
                <c:pt idx="206">
                  <c:v>-0.64</c:v>
                </c:pt>
                <c:pt idx="207">
                  <c:v>-0.56000000000000005</c:v>
                </c:pt>
                <c:pt idx="208">
                  <c:v>-0.56000000000000005</c:v>
                </c:pt>
                <c:pt idx="209">
                  <c:v>-0.89</c:v>
                </c:pt>
                <c:pt idx="210">
                  <c:v>-0.93</c:v>
                </c:pt>
                <c:pt idx="211">
                  <c:v>-0.73</c:v>
                </c:pt>
                <c:pt idx="212">
                  <c:v>-0.64</c:v>
                </c:pt>
                <c:pt idx="213">
                  <c:v>-0.27</c:v>
                </c:pt>
                <c:pt idx="214">
                  <c:v>-0.38</c:v>
                </c:pt>
                <c:pt idx="215">
                  <c:v>-0.44</c:v>
                </c:pt>
                <c:pt idx="216">
                  <c:v>-0.26</c:v>
                </c:pt>
                <c:pt idx="217">
                  <c:v>-0.34</c:v>
                </c:pt>
                <c:pt idx="218">
                  <c:v>-0.38</c:v>
                </c:pt>
                <c:pt idx="219">
                  <c:v>-0.33</c:v>
                </c:pt>
                <c:pt idx="220">
                  <c:v>-0.37</c:v>
                </c:pt>
                <c:pt idx="221">
                  <c:v>-0.43</c:v>
                </c:pt>
                <c:pt idx="222">
                  <c:v>-0.25</c:v>
                </c:pt>
                <c:pt idx="223">
                  <c:v>-0.09</c:v>
                </c:pt>
                <c:pt idx="224">
                  <c:v>0.1</c:v>
                </c:pt>
                <c:pt idx="225">
                  <c:v>0.12</c:v>
                </c:pt>
                <c:pt idx="226">
                  <c:v>0.1</c:v>
                </c:pt>
                <c:pt idx="227">
                  <c:v>0.17</c:v>
                </c:pt>
                <c:pt idx="228">
                  <c:v>0.36</c:v>
                </c:pt>
                <c:pt idx="229">
                  <c:v>0.24</c:v>
                </c:pt>
                <c:pt idx="230">
                  <c:v>0.31</c:v>
                </c:pt>
                <c:pt idx="231">
                  <c:v>0.5</c:v>
                </c:pt>
                <c:pt idx="232">
                  <c:v>0.5</c:v>
                </c:pt>
                <c:pt idx="233">
                  <c:v>0.49</c:v>
                </c:pt>
                <c:pt idx="234">
                  <c:v>0.51</c:v>
                </c:pt>
                <c:pt idx="235">
                  <c:v>0.56000000000000005</c:v>
                </c:pt>
                <c:pt idx="236">
                  <c:v>0.55000000000000004</c:v>
                </c:pt>
                <c:pt idx="237">
                  <c:v>0.54</c:v>
                </c:pt>
                <c:pt idx="238">
                  <c:v>0.54</c:v>
                </c:pt>
                <c:pt idx="239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A3-4E4E-801D-515DE97AC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7047919"/>
        <c:axId val="2097047487"/>
      </c:lineChart>
      <c:dateAx>
        <c:axId val="99032384"/>
        <c:scaling>
          <c:orientation val="minMax"/>
        </c:scaling>
        <c:delete val="0"/>
        <c:axPos val="b"/>
        <c:numFmt formatCode="yyyy/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247664"/>
        <c:crosses val="autoZero"/>
        <c:auto val="1"/>
        <c:lblOffset val="100"/>
        <c:baseTimeUnit val="months"/>
        <c:majorUnit val="24"/>
        <c:majorTimeUnit val="months"/>
      </c:dateAx>
      <c:valAx>
        <c:axId val="467247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32384"/>
        <c:crosses val="autoZero"/>
        <c:crossBetween val="between"/>
      </c:valAx>
      <c:valAx>
        <c:axId val="209704748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047919"/>
        <c:crosses val="max"/>
        <c:crossBetween val="between"/>
      </c:valAx>
      <c:dateAx>
        <c:axId val="2097047919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2097047487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520700</xdr:colOff>
      <xdr:row>1</xdr:row>
      <xdr:rowOff>190506</xdr:rowOff>
    </xdr:from>
    <xdr:to>
      <xdr:col>31</xdr:col>
      <xdr:colOff>139700</xdr:colOff>
      <xdr:row>15</xdr:row>
      <xdr:rowOff>88906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BC6C9D-06C0-B421-E6AF-097AF9260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CEB3D-D5BE-C749-942D-E5115D5A8B16}">
  <dimension ref="A1:Y241"/>
  <sheetViews>
    <sheetView tabSelected="1" workbookViewId="0">
      <pane xSplit="1" ySplit="1" topLeftCell="Q2" activePane="bottomRight" state="frozen"/>
      <selection pane="topRight" activeCell="B1" sqref="B1"/>
      <selection pane="bottomLeft" activeCell="A2" sqref="A2"/>
      <selection pane="bottomRight" activeCell="X1" sqref="X1"/>
    </sheetView>
  </sheetViews>
  <sheetFormatPr baseColWidth="10" defaultRowHeight="16" x14ac:dyDescent="0.2"/>
  <cols>
    <col min="24" max="25" width="22.83203125" customWidth="1"/>
  </cols>
  <sheetData>
    <row r="1" spans="1:2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W1" s="2" t="s">
        <v>0</v>
      </c>
      <c r="X1" s="1" t="s">
        <v>1</v>
      </c>
      <c r="Y1" s="1" t="s">
        <v>7</v>
      </c>
    </row>
    <row r="2" spans="1:25" x14ac:dyDescent="0.2">
      <c r="A2" s="5">
        <v>38748</v>
      </c>
      <c r="B2" s="4">
        <v>83.534000000000006</v>
      </c>
      <c r="C2" s="4">
        <v>83.144999999999996</v>
      </c>
      <c r="D2" s="4">
        <v>4.29</v>
      </c>
      <c r="E2" s="4"/>
      <c r="F2" s="4">
        <v>4.42</v>
      </c>
      <c r="G2" s="4">
        <v>4.4000000000000004</v>
      </c>
      <c r="H2" s="4">
        <v>0.02</v>
      </c>
      <c r="I2" s="4">
        <v>4.7</v>
      </c>
      <c r="J2" s="4">
        <v>135427</v>
      </c>
      <c r="K2" s="4">
        <v>91.2</v>
      </c>
      <c r="L2" s="4">
        <v>65.489999999999995</v>
      </c>
      <c r="M2" s="4">
        <v>295750</v>
      </c>
      <c r="N2" s="4">
        <v>2273</v>
      </c>
      <c r="O2" s="4">
        <v>1.82</v>
      </c>
      <c r="P2" s="4">
        <v>-0.58674999999999999</v>
      </c>
      <c r="Q2" s="4"/>
      <c r="R2" s="4"/>
      <c r="S2" s="4"/>
      <c r="T2" s="4"/>
      <c r="U2" s="4"/>
      <c r="W2" s="3">
        <v>38748</v>
      </c>
      <c r="X2" cm="1">
        <f t="array" ref="X2:X241">_xlfn.CHOOSECOLS($B$2:$U$241, MATCH($X$1, $B$1:$U$1, 0))</f>
        <v>83.534000000000006</v>
      </c>
      <c r="Y2" cm="1">
        <f t="array" ref="Y2:Y241">_xlfn.CHOOSECOLS($B$2:$U$241, MATCH($Y$1, $B$1:$U$1, 0))</f>
        <v>0.02</v>
      </c>
    </row>
    <row r="3" spans="1:25" x14ac:dyDescent="0.2">
      <c r="A3" s="5">
        <v>38776</v>
      </c>
      <c r="B3" s="4">
        <v>83.584000000000003</v>
      </c>
      <c r="C3" s="4">
        <v>83.278999999999996</v>
      </c>
      <c r="D3" s="4">
        <v>4.49</v>
      </c>
      <c r="E3" s="4"/>
      <c r="F3" s="4">
        <v>4.57</v>
      </c>
      <c r="G3" s="4">
        <v>4.67</v>
      </c>
      <c r="H3" s="4">
        <v>-0.1</v>
      </c>
      <c r="I3" s="4">
        <v>4.8</v>
      </c>
      <c r="J3" s="4">
        <v>135733</v>
      </c>
      <c r="K3" s="4">
        <v>86.7</v>
      </c>
      <c r="L3" s="4">
        <v>61.63</v>
      </c>
      <c r="M3" s="4">
        <v>290750</v>
      </c>
      <c r="N3" s="4">
        <v>2119</v>
      </c>
      <c r="O3" s="4">
        <v>1.7</v>
      </c>
      <c r="P3" s="4">
        <v>-0.62507000000000001</v>
      </c>
      <c r="Q3" s="4"/>
      <c r="R3" s="4"/>
      <c r="S3" s="4">
        <v>306</v>
      </c>
      <c r="T3" s="4"/>
      <c r="U3" s="4"/>
      <c r="W3" s="3">
        <v>38776</v>
      </c>
      <c r="X3">
        <v>83.584000000000003</v>
      </c>
      <c r="Y3">
        <v>-0.1</v>
      </c>
    </row>
    <row r="4" spans="1:25" x14ac:dyDescent="0.2">
      <c r="A4" s="5">
        <v>38807</v>
      </c>
      <c r="B4" s="4">
        <v>83.745999999999995</v>
      </c>
      <c r="C4" s="4">
        <v>83.509</v>
      </c>
      <c r="D4" s="4">
        <v>4.59</v>
      </c>
      <c r="E4" s="4">
        <v>5.5</v>
      </c>
      <c r="F4" s="4">
        <v>4.72</v>
      </c>
      <c r="G4" s="4">
        <v>4.7300000000000004</v>
      </c>
      <c r="H4" s="4">
        <v>-0.01</v>
      </c>
      <c r="I4" s="4">
        <v>4.7</v>
      </c>
      <c r="J4" s="4">
        <v>136038</v>
      </c>
      <c r="K4" s="4">
        <v>88.9</v>
      </c>
      <c r="L4" s="4">
        <v>62.69</v>
      </c>
      <c r="M4" s="4">
        <v>301750</v>
      </c>
      <c r="N4" s="4">
        <v>1969</v>
      </c>
      <c r="O4" s="4">
        <v>1.69</v>
      </c>
      <c r="P4" s="4">
        <v>-0.63258000000000003</v>
      </c>
      <c r="Q4" s="4"/>
      <c r="R4" s="4"/>
      <c r="S4" s="4">
        <v>305</v>
      </c>
      <c r="T4" s="4"/>
      <c r="U4" s="4"/>
      <c r="W4" s="3">
        <v>38807</v>
      </c>
      <c r="X4">
        <v>83.745999999999995</v>
      </c>
      <c r="Y4">
        <v>-0.01</v>
      </c>
    </row>
    <row r="5" spans="1:25" x14ac:dyDescent="0.2">
      <c r="A5" s="5">
        <v>38837</v>
      </c>
      <c r="B5" s="4">
        <v>84.135000000000005</v>
      </c>
      <c r="C5" s="4">
        <v>83.763999999999996</v>
      </c>
      <c r="D5" s="4">
        <v>4.79</v>
      </c>
      <c r="E5" s="4">
        <v>5.5</v>
      </c>
      <c r="F5" s="4">
        <v>4.99</v>
      </c>
      <c r="G5" s="4">
        <v>4.8899999999999997</v>
      </c>
      <c r="H5" s="4">
        <v>0.1</v>
      </c>
      <c r="I5" s="4">
        <v>4.7</v>
      </c>
      <c r="J5" s="4">
        <v>136210</v>
      </c>
      <c r="K5" s="4">
        <v>87.4</v>
      </c>
      <c r="L5" s="4">
        <v>69.44</v>
      </c>
      <c r="M5" s="4">
        <v>303600</v>
      </c>
      <c r="N5" s="4">
        <v>1821</v>
      </c>
      <c r="O5" s="4">
        <v>1.69</v>
      </c>
      <c r="P5" s="4">
        <v>-0.62343999999999999</v>
      </c>
      <c r="Q5" s="4"/>
      <c r="R5" s="4"/>
      <c r="S5" s="4">
        <v>172</v>
      </c>
      <c r="T5" s="4">
        <v>261</v>
      </c>
      <c r="U5" s="4"/>
      <c r="W5" s="3">
        <v>38837</v>
      </c>
      <c r="X5">
        <v>84.135000000000005</v>
      </c>
      <c r="Y5">
        <v>0.1</v>
      </c>
    </row>
    <row r="6" spans="1:25" x14ac:dyDescent="0.2">
      <c r="A6" s="5">
        <v>38868</v>
      </c>
      <c r="B6" s="4">
        <v>84.361000000000004</v>
      </c>
      <c r="C6" s="4">
        <v>83.974000000000004</v>
      </c>
      <c r="D6" s="4">
        <v>4.9400000000000004</v>
      </c>
      <c r="E6" s="4">
        <v>5.5</v>
      </c>
      <c r="F6" s="4">
        <v>5.1100000000000003</v>
      </c>
      <c r="G6" s="4">
        <v>4.97</v>
      </c>
      <c r="H6" s="4">
        <v>0.14000000000000001</v>
      </c>
      <c r="I6" s="4">
        <v>4.5999999999999996</v>
      </c>
      <c r="J6" s="4">
        <v>136249</v>
      </c>
      <c r="K6" s="4">
        <v>79.099999999999994</v>
      </c>
      <c r="L6" s="4">
        <v>70.84</v>
      </c>
      <c r="M6" s="4">
        <v>332750</v>
      </c>
      <c r="N6" s="4">
        <v>1942</v>
      </c>
      <c r="O6" s="4">
        <v>1.64</v>
      </c>
      <c r="P6" s="4">
        <v>-0.6</v>
      </c>
      <c r="Q6" s="4"/>
      <c r="R6" s="4"/>
      <c r="S6" s="4">
        <v>39</v>
      </c>
      <c r="T6" s="4">
        <v>172</v>
      </c>
      <c r="U6" s="4"/>
      <c r="W6" s="3">
        <v>38868</v>
      </c>
      <c r="X6">
        <v>84.361000000000004</v>
      </c>
      <c r="Y6">
        <v>0.14000000000000001</v>
      </c>
    </row>
    <row r="7" spans="1:25" x14ac:dyDescent="0.2">
      <c r="A7" s="5">
        <v>38898</v>
      </c>
      <c r="B7" s="4">
        <v>84.569000000000003</v>
      </c>
      <c r="C7" s="4">
        <v>84.186000000000007</v>
      </c>
      <c r="D7" s="4">
        <v>4.99</v>
      </c>
      <c r="E7" s="4">
        <v>1</v>
      </c>
      <c r="F7" s="4">
        <v>5.1100000000000003</v>
      </c>
      <c r="G7" s="4">
        <v>5.12</v>
      </c>
      <c r="H7" s="4">
        <v>-0.02</v>
      </c>
      <c r="I7" s="4">
        <v>4.5999999999999996</v>
      </c>
      <c r="J7" s="4">
        <v>136337</v>
      </c>
      <c r="K7" s="4">
        <v>84.9</v>
      </c>
      <c r="L7" s="4">
        <v>70.95</v>
      </c>
      <c r="M7" s="4">
        <v>305500</v>
      </c>
      <c r="N7" s="4">
        <v>1802</v>
      </c>
      <c r="O7" s="4">
        <v>1.67</v>
      </c>
      <c r="P7" s="4">
        <v>-0.54591999999999996</v>
      </c>
      <c r="Q7" s="4"/>
      <c r="R7" s="4"/>
      <c r="S7" s="4">
        <v>88</v>
      </c>
      <c r="T7" s="4">
        <v>99.6666666666666</v>
      </c>
      <c r="U7" s="4"/>
      <c r="W7" s="3">
        <v>38898</v>
      </c>
      <c r="X7">
        <v>84.569000000000003</v>
      </c>
      <c r="Y7">
        <v>-0.02</v>
      </c>
    </row>
    <row r="8" spans="1:25" x14ac:dyDescent="0.2">
      <c r="A8" s="5">
        <v>38929</v>
      </c>
      <c r="B8" s="4">
        <v>84.858000000000004</v>
      </c>
      <c r="C8" s="4">
        <v>84.268000000000001</v>
      </c>
      <c r="D8" s="4">
        <v>5.24</v>
      </c>
      <c r="E8" s="4">
        <v>1</v>
      </c>
      <c r="F8" s="4">
        <v>5.09</v>
      </c>
      <c r="G8" s="4">
        <v>5.12</v>
      </c>
      <c r="H8" s="4">
        <v>-0.03</v>
      </c>
      <c r="I8" s="4">
        <v>4.7</v>
      </c>
      <c r="J8" s="4">
        <v>136529</v>
      </c>
      <c r="K8" s="4">
        <v>84.7</v>
      </c>
      <c r="L8" s="4">
        <v>74.41</v>
      </c>
      <c r="M8" s="4">
        <v>318800</v>
      </c>
      <c r="N8" s="4">
        <v>1737</v>
      </c>
      <c r="O8" s="4">
        <v>1.67</v>
      </c>
      <c r="P8" s="4">
        <v>-0.54318</v>
      </c>
      <c r="Q8" s="4"/>
      <c r="R8" s="4"/>
      <c r="S8" s="4">
        <v>192</v>
      </c>
      <c r="T8" s="4">
        <v>106.333333333333</v>
      </c>
      <c r="U8" s="4"/>
      <c r="W8" s="3">
        <v>38929</v>
      </c>
      <c r="X8">
        <v>84.858000000000004</v>
      </c>
      <c r="Y8">
        <v>-0.03</v>
      </c>
    </row>
    <row r="9" spans="1:25" x14ac:dyDescent="0.2">
      <c r="A9" s="5">
        <v>38960</v>
      </c>
      <c r="B9" s="4">
        <v>85.125</v>
      </c>
      <c r="C9" s="4">
        <v>84.44</v>
      </c>
      <c r="D9" s="4">
        <v>5.25</v>
      </c>
      <c r="E9" s="4">
        <v>1</v>
      </c>
      <c r="F9" s="4">
        <v>4.88</v>
      </c>
      <c r="G9" s="4">
        <v>4.9000000000000004</v>
      </c>
      <c r="H9" s="4">
        <v>-0.03</v>
      </c>
      <c r="I9" s="4">
        <v>4.7</v>
      </c>
      <c r="J9" s="4">
        <v>136692</v>
      </c>
      <c r="K9" s="4">
        <v>82</v>
      </c>
      <c r="L9" s="4">
        <v>73.040000000000006</v>
      </c>
      <c r="M9" s="4">
        <v>314250</v>
      </c>
      <c r="N9" s="4">
        <v>1650</v>
      </c>
      <c r="O9" s="4">
        <v>1.71</v>
      </c>
      <c r="P9" s="4">
        <v>-0.59035000000000004</v>
      </c>
      <c r="Q9" s="4"/>
      <c r="R9" s="4"/>
      <c r="S9" s="4">
        <v>163</v>
      </c>
      <c r="T9" s="4">
        <v>147.666666666666</v>
      </c>
      <c r="U9" s="4"/>
      <c r="W9" s="3">
        <v>38960</v>
      </c>
      <c r="X9">
        <v>85.125</v>
      </c>
      <c r="Y9">
        <v>-0.03</v>
      </c>
    </row>
    <row r="10" spans="1:25" x14ac:dyDescent="0.2">
      <c r="A10" s="5">
        <v>38990</v>
      </c>
      <c r="B10" s="4">
        <v>84.902000000000001</v>
      </c>
      <c r="C10" s="4">
        <v>84.572999999999993</v>
      </c>
      <c r="D10" s="4">
        <v>5.25</v>
      </c>
      <c r="E10" s="4">
        <v>0.6</v>
      </c>
      <c r="F10" s="4">
        <v>4.72</v>
      </c>
      <c r="G10" s="4">
        <v>4.7699999999999996</v>
      </c>
      <c r="H10" s="4">
        <v>-0.05</v>
      </c>
      <c r="I10" s="4">
        <v>4.5</v>
      </c>
      <c r="J10" s="4">
        <v>136826</v>
      </c>
      <c r="K10" s="4">
        <v>85.4</v>
      </c>
      <c r="L10" s="4">
        <v>63.8</v>
      </c>
      <c r="M10" s="4">
        <v>316200</v>
      </c>
      <c r="N10" s="4">
        <v>1720</v>
      </c>
      <c r="O10" s="4">
        <v>1.71</v>
      </c>
      <c r="P10" s="4">
        <v>-0.60609000000000002</v>
      </c>
      <c r="Q10" s="4"/>
      <c r="R10" s="4"/>
      <c r="S10" s="4">
        <v>134</v>
      </c>
      <c r="T10" s="4">
        <v>163</v>
      </c>
      <c r="U10" s="4"/>
      <c r="W10" s="3">
        <v>38990</v>
      </c>
      <c r="X10">
        <v>84.902000000000001</v>
      </c>
      <c r="Y10">
        <v>-0.05</v>
      </c>
    </row>
    <row r="11" spans="1:25" x14ac:dyDescent="0.2">
      <c r="A11" s="5">
        <v>39021</v>
      </c>
      <c r="B11" s="4">
        <v>84.701999999999998</v>
      </c>
      <c r="C11" s="4">
        <v>84.725999999999999</v>
      </c>
      <c r="D11" s="4">
        <v>5.25</v>
      </c>
      <c r="E11" s="4">
        <v>0.6</v>
      </c>
      <c r="F11" s="4">
        <v>4.7300000000000004</v>
      </c>
      <c r="G11" s="4">
        <v>4.8</v>
      </c>
      <c r="H11" s="4">
        <v>-7.0000000000000007E-2</v>
      </c>
      <c r="I11" s="4">
        <v>4.4000000000000004</v>
      </c>
      <c r="J11" s="4">
        <v>136843</v>
      </c>
      <c r="K11" s="4">
        <v>93.6</v>
      </c>
      <c r="L11" s="4">
        <v>58.89</v>
      </c>
      <c r="M11" s="4">
        <v>315500</v>
      </c>
      <c r="N11" s="4">
        <v>1491</v>
      </c>
      <c r="O11" s="4">
        <v>1.69</v>
      </c>
      <c r="P11" s="4">
        <v>-0.61892999999999998</v>
      </c>
      <c r="Q11" s="4"/>
      <c r="R11" s="4"/>
      <c r="S11" s="4">
        <v>17</v>
      </c>
      <c r="T11" s="4">
        <v>104.666666666666</v>
      </c>
      <c r="U11" s="4"/>
      <c r="W11" s="3">
        <v>39021</v>
      </c>
      <c r="X11">
        <v>84.701999999999998</v>
      </c>
      <c r="Y11">
        <v>-7.0000000000000007E-2</v>
      </c>
    </row>
    <row r="12" spans="1:25" x14ac:dyDescent="0.2">
      <c r="A12" s="5">
        <v>39051</v>
      </c>
      <c r="B12" s="4">
        <v>84.730999999999995</v>
      </c>
      <c r="C12" s="4">
        <v>84.766000000000005</v>
      </c>
      <c r="D12" s="4">
        <v>5.25</v>
      </c>
      <c r="E12" s="4">
        <v>0.6</v>
      </c>
      <c r="F12" s="4">
        <v>4.5999999999999996</v>
      </c>
      <c r="G12" s="4">
        <v>4.74</v>
      </c>
      <c r="H12" s="4">
        <v>-0.15</v>
      </c>
      <c r="I12" s="4">
        <v>4.5</v>
      </c>
      <c r="J12" s="4">
        <v>137060</v>
      </c>
      <c r="K12" s="4">
        <v>92.1</v>
      </c>
      <c r="L12" s="4">
        <v>59.08</v>
      </c>
      <c r="M12" s="4">
        <v>326250</v>
      </c>
      <c r="N12" s="4">
        <v>1570</v>
      </c>
      <c r="O12" s="4">
        <v>1.6</v>
      </c>
      <c r="P12" s="4">
        <v>-0.63124999999999998</v>
      </c>
      <c r="Q12" s="4"/>
      <c r="R12" s="4"/>
      <c r="S12" s="4">
        <v>217</v>
      </c>
      <c r="T12" s="4">
        <v>122.666666666666</v>
      </c>
      <c r="U12" s="4"/>
      <c r="W12" s="3">
        <v>39051</v>
      </c>
      <c r="X12">
        <v>84.730999999999995</v>
      </c>
      <c r="Y12">
        <v>-0.15</v>
      </c>
    </row>
    <row r="13" spans="1:25" x14ac:dyDescent="0.2">
      <c r="A13" s="5">
        <v>39082</v>
      </c>
      <c r="B13" s="4">
        <v>85.031999999999996</v>
      </c>
      <c r="C13" s="4">
        <v>84.88</v>
      </c>
      <c r="D13" s="4">
        <v>5.24</v>
      </c>
      <c r="E13" s="4">
        <v>3.5</v>
      </c>
      <c r="F13" s="4">
        <v>4.5599999999999996</v>
      </c>
      <c r="G13" s="4">
        <v>4.67</v>
      </c>
      <c r="H13" s="4">
        <v>-0.11</v>
      </c>
      <c r="I13" s="4">
        <v>4.4000000000000004</v>
      </c>
      <c r="J13" s="4">
        <v>137249</v>
      </c>
      <c r="K13" s="4">
        <v>91.7</v>
      </c>
      <c r="L13" s="4">
        <v>61.96</v>
      </c>
      <c r="M13" s="4">
        <v>324000</v>
      </c>
      <c r="N13" s="4">
        <v>1649</v>
      </c>
      <c r="O13" s="4">
        <v>1.66</v>
      </c>
      <c r="P13" s="4">
        <v>-0.62580999999999998</v>
      </c>
      <c r="Q13" s="4"/>
      <c r="R13" s="4"/>
      <c r="S13" s="4">
        <v>189</v>
      </c>
      <c r="T13" s="4">
        <v>141</v>
      </c>
      <c r="U13" s="4"/>
      <c r="W13" s="3">
        <v>39082</v>
      </c>
      <c r="X13">
        <v>85.031999999999996</v>
      </c>
      <c r="Y13">
        <v>-0.11</v>
      </c>
    </row>
    <row r="14" spans="1:25" x14ac:dyDescent="0.2">
      <c r="A14" s="5">
        <v>39113</v>
      </c>
      <c r="B14" s="4">
        <v>85.316000000000003</v>
      </c>
      <c r="C14" s="4">
        <v>85.224000000000004</v>
      </c>
      <c r="D14" s="4">
        <v>5.25</v>
      </c>
      <c r="E14" s="4">
        <v>3.5</v>
      </c>
      <c r="F14" s="4">
        <v>4.76</v>
      </c>
      <c r="G14" s="4">
        <v>4.88</v>
      </c>
      <c r="H14" s="4">
        <v>-0.12</v>
      </c>
      <c r="I14" s="4">
        <v>4.5999999999999996</v>
      </c>
      <c r="J14" s="4">
        <v>137472</v>
      </c>
      <c r="K14" s="4">
        <v>96.9</v>
      </c>
      <c r="L14" s="4">
        <v>54.51</v>
      </c>
      <c r="M14" s="4">
        <v>317250</v>
      </c>
      <c r="N14" s="4">
        <v>1409</v>
      </c>
      <c r="O14" s="4">
        <v>1.58</v>
      </c>
      <c r="P14" s="4">
        <v>-0.66483999999999999</v>
      </c>
      <c r="Q14" s="4">
        <v>2.1332631024493001</v>
      </c>
      <c r="R14" s="4">
        <v>2.50045101930362</v>
      </c>
      <c r="S14" s="4">
        <v>223</v>
      </c>
      <c r="T14" s="4">
        <v>209.666666666666</v>
      </c>
      <c r="U14" s="4">
        <v>-16.765918460833699</v>
      </c>
      <c r="W14" s="3">
        <v>39113</v>
      </c>
      <c r="X14">
        <v>85.316000000000003</v>
      </c>
      <c r="Y14">
        <v>-0.12</v>
      </c>
    </row>
    <row r="15" spans="1:25" x14ac:dyDescent="0.2">
      <c r="A15" s="5">
        <v>39141</v>
      </c>
      <c r="B15" s="4">
        <v>85.581000000000003</v>
      </c>
      <c r="C15" s="4">
        <v>85.408000000000001</v>
      </c>
      <c r="D15" s="4">
        <v>5.26</v>
      </c>
      <c r="E15" s="4">
        <v>3.5</v>
      </c>
      <c r="F15" s="4">
        <v>4.72</v>
      </c>
      <c r="G15" s="4">
        <v>4.8499999999999996</v>
      </c>
      <c r="H15" s="4">
        <v>-0.13</v>
      </c>
      <c r="I15" s="4">
        <v>4.5</v>
      </c>
      <c r="J15" s="4">
        <v>137560</v>
      </c>
      <c r="K15" s="4">
        <v>91.3</v>
      </c>
      <c r="L15" s="4">
        <v>59.28</v>
      </c>
      <c r="M15" s="4">
        <v>322750</v>
      </c>
      <c r="N15" s="4">
        <v>1480</v>
      </c>
      <c r="O15" s="4">
        <v>1.56</v>
      </c>
      <c r="P15" s="4">
        <v>-0.67634000000000005</v>
      </c>
      <c r="Q15" s="4">
        <v>2.3892132465543598</v>
      </c>
      <c r="R15" s="4">
        <v>2.5564668163642699</v>
      </c>
      <c r="S15" s="4">
        <v>88</v>
      </c>
      <c r="T15" s="4">
        <v>166.666666666666</v>
      </c>
      <c r="U15" s="4">
        <v>-3.8130780464059701</v>
      </c>
      <c r="W15" s="3">
        <v>39141</v>
      </c>
      <c r="X15">
        <v>85.581000000000003</v>
      </c>
      <c r="Y15">
        <v>-0.13</v>
      </c>
    </row>
    <row r="16" spans="1:25" x14ac:dyDescent="0.2">
      <c r="A16" s="5">
        <v>39172</v>
      </c>
      <c r="B16" s="4">
        <v>85.894000000000005</v>
      </c>
      <c r="C16" s="4">
        <v>85.494</v>
      </c>
      <c r="D16" s="4">
        <v>5.26</v>
      </c>
      <c r="E16" s="4">
        <v>1.2</v>
      </c>
      <c r="F16" s="4">
        <v>4.5599999999999996</v>
      </c>
      <c r="G16" s="4">
        <v>4.57</v>
      </c>
      <c r="H16" s="4">
        <v>-0.01</v>
      </c>
      <c r="I16" s="4">
        <v>4.4000000000000004</v>
      </c>
      <c r="J16" s="4">
        <v>137784</v>
      </c>
      <c r="K16" s="4">
        <v>88.4</v>
      </c>
      <c r="L16" s="4">
        <v>60.44</v>
      </c>
      <c r="M16" s="4">
        <v>309400</v>
      </c>
      <c r="N16" s="4">
        <v>1495</v>
      </c>
      <c r="O16" s="4">
        <v>1.71</v>
      </c>
      <c r="P16" s="4">
        <v>-0.62377000000000005</v>
      </c>
      <c r="Q16" s="4">
        <v>2.5648986220237502</v>
      </c>
      <c r="R16" s="4">
        <v>2.3769893065417902</v>
      </c>
      <c r="S16" s="4">
        <v>224</v>
      </c>
      <c r="T16" s="4">
        <v>178.333333333333</v>
      </c>
      <c r="U16" s="4">
        <v>-3.5890891689264599</v>
      </c>
      <c r="W16" s="3">
        <v>39172</v>
      </c>
      <c r="X16">
        <v>85.894000000000005</v>
      </c>
      <c r="Y16">
        <v>-0.01</v>
      </c>
    </row>
    <row r="17" spans="1:25" x14ac:dyDescent="0.2">
      <c r="A17" s="5">
        <v>39202</v>
      </c>
      <c r="B17" s="4">
        <v>86.096000000000004</v>
      </c>
      <c r="C17" s="4">
        <v>85.616</v>
      </c>
      <c r="D17" s="4">
        <v>5.25</v>
      </c>
      <c r="E17" s="4">
        <v>1.2</v>
      </c>
      <c r="F17" s="4">
        <v>4.6900000000000004</v>
      </c>
      <c r="G17" s="4">
        <v>4.67</v>
      </c>
      <c r="H17" s="4">
        <v>0.03</v>
      </c>
      <c r="I17" s="4">
        <v>4.5</v>
      </c>
      <c r="J17" s="4">
        <v>137847</v>
      </c>
      <c r="K17" s="4">
        <v>87.1</v>
      </c>
      <c r="L17" s="4">
        <v>63.98</v>
      </c>
      <c r="M17" s="4">
        <v>320250</v>
      </c>
      <c r="N17" s="4">
        <v>1490</v>
      </c>
      <c r="O17" s="4">
        <v>1.7</v>
      </c>
      <c r="P17" s="4">
        <v>-0.59616999999999998</v>
      </c>
      <c r="Q17" s="4">
        <v>2.3307779164437998</v>
      </c>
      <c r="R17" s="4">
        <v>2.21097368798051</v>
      </c>
      <c r="S17" s="4">
        <v>63</v>
      </c>
      <c r="T17" s="4">
        <v>125</v>
      </c>
      <c r="U17" s="4">
        <v>-7.8629032258064502</v>
      </c>
      <c r="W17" s="3">
        <v>39202</v>
      </c>
      <c r="X17">
        <v>86.096000000000004</v>
      </c>
      <c r="Y17">
        <v>0.03</v>
      </c>
    </row>
    <row r="18" spans="1:25" x14ac:dyDescent="0.2">
      <c r="A18" s="5">
        <v>39233</v>
      </c>
      <c r="B18" s="4">
        <v>86.346000000000004</v>
      </c>
      <c r="C18" s="4">
        <v>85.716999999999999</v>
      </c>
      <c r="D18" s="4">
        <v>5.25</v>
      </c>
      <c r="E18" s="4">
        <v>1.2</v>
      </c>
      <c r="F18" s="4">
        <v>4.75</v>
      </c>
      <c r="G18" s="4">
        <v>4.7699999999999996</v>
      </c>
      <c r="H18" s="4">
        <v>-0.02</v>
      </c>
      <c r="I18" s="4">
        <v>4.4000000000000004</v>
      </c>
      <c r="J18" s="4">
        <v>137992</v>
      </c>
      <c r="K18" s="4">
        <v>88.3</v>
      </c>
      <c r="L18" s="4">
        <v>63.45</v>
      </c>
      <c r="M18" s="4">
        <v>304250</v>
      </c>
      <c r="N18" s="4">
        <v>1415</v>
      </c>
      <c r="O18" s="4">
        <v>1.64</v>
      </c>
      <c r="P18" s="4">
        <v>-0.56620000000000004</v>
      </c>
      <c r="Q18" s="4">
        <v>2.35298301347779</v>
      </c>
      <c r="R18" s="4">
        <v>2.0756424607616601</v>
      </c>
      <c r="S18" s="4">
        <v>145</v>
      </c>
      <c r="T18" s="4">
        <v>144</v>
      </c>
      <c r="U18" s="4">
        <v>-10.431959345002801</v>
      </c>
      <c r="W18" s="3">
        <v>39233</v>
      </c>
      <c r="X18">
        <v>86.346000000000004</v>
      </c>
      <c r="Y18">
        <v>-0.02</v>
      </c>
    </row>
    <row r="19" spans="1:25" x14ac:dyDescent="0.2">
      <c r="A19" s="5">
        <v>39263</v>
      </c>
      <c r="B19" s="4">
        <v>86.528999999999996</v>
      </c>
      <c r="C19" s="4">
        <v>85.858999999999995</v>
      </c>
      <c r="D19" s="4">
        <v>5.25</v>
      </c>
      <c r="E19" s="4">
        <v>2.5</v>
      </c>
      <c r="F19" s="4">
        <v>5.0999999999999996</v>
      </c>
      <c r="G19" s="4">
        <v>4.9800000000000004</v>
      </c>
      <c r="H19" s="4">
        <v>0.12</v>
      </c>
      <c r="I19" s="4">
        <v>4.5999999999999996</v>
      </c>
      <c r="J19" s="4">
        <v>138070</v>
      </c>
      <c r="K19" s="4">
        <v>85.3</v>
      </c>
      <c r="L19" s="4">
        <v>67.489999999999995</v>
      </c>
      <c r="M19" s="4">
        <v>315200</v>
      </c>
      <c r="N19" s="4">
        <v>1448</v>
      </c>
      <c r="O19" s="4">
        <v>1.6</v>
      </c>
      <c r="P19" s="4">
        <v>-0.53756000000000004</v>
      </c>
      <c r="Q19" s="4">
        <v>2.3176341212501002</v>
      </c>
      <c r="R19" s="4">
        <v>1.98726629130732</v>
      </c>
      <c r="S19" s="4">
        <v>78</v>
      </c>
      <c r="T19" s="4">
        <v>95.3333333333333</v>
      </c>
      <c r="U19" s="4">
        <v>-4.8766737138830196</v>
      </c>
      <c r="W19" s="3">
        <v>39263</v>
      </c>
      <c r="X19">
        <v>86.528999999999996</v>
      </c>
      <c r="Y19">
        <v>0.12</v>
      </c>
    </row>
    <row r="20" spans="1:25" x14ac:dyDescent="0.2">
      <c r="A20" s="5">
        <v>39294</v>
      </c>
      <c r="B20" s="4">
        <v>86.661000000000001</v>
      </c>
      <c r="C20" s="4">
        <v>85.988</v>
      </c>
      <c r="D20" s="4">
        <v>5.26</v>
      </c>
      <c r="E20" s="4">
        <v>2.5</v>
      </c>
      <c r="F20" s="4">
        <v>5</v>
      </c>
      <c r="G20" s="4">
        <v>4.82</v>
      </c>
      <c r="H20" s="4">
        <v>0.19</v>
      </c>
      <c r="I20" s="4">
        <v>4.7</v>
      </c>
      <c r="J20" s="4">
        <v>138044</v>
      </c>
      <c r="K20" s="4">
        <v>90.4</v>
      </c>
      <c r="L20" s="4">
        <v>74.12</v>
      </c>
      <c r="M20" s="4">
        <v>313250</v>
      </c>
      <c r="N20" s="4">
        <v>1354</v>
      </c>
      <c r="O20" s="4">
        <v>1.65</v>
      </c>
      <c r="P20" s="4">
        <v>-0.40677999999999997</v>
      </c>
      <c r="Q20" s="4">
        <v>2.1247260128685399</v>
      </c>
      <c r="R20" s="4">
        <v>2.0411069445103598</v>
      </c>
      <c r="S20" s="4">
        <v>-26</v>
      </c>
      <c r="T20" s="4">
        <v>65.6666666666666</v>
      </c>
      <c r="U20" s="4">
        <v>-0.38973256282757102</v>
      </c>
      <c r="W20" s="3">
        <v>39294</v>
      </c>
      <c r="X20">
        <v>86.661000000000001</v>
      </c>
      <c r="Y20">
        <v>0.19</v>
      </c>
    </row>
    <row r="21" spans="1:25" x14ac:dyDescent="0.2">
      <c r="A21" s="5">
        <v>39325</v>
      </c>
      <c r="B21" s="4">
        <v>86.72</v>
      </c>
      <c r="C21" s="4">
        <v>86.116</v>
      </c>
      <c r="D21" s="4">
        <v>5.0199999999999996</v>
      </c>
      <c r="E21" s="4">
        <v>2.5</v>
      </c>
      <c r="F21" s="4">
        <v>4.67</v>
      </c>
      <c r="G21" s="4">
        <v>4.3099999999999996</v>
      </c>
      <c r="H21" s="4">
        <v>0.36</v>
      </c>
      <c r="I21" s="4">
        <v>4.5999999999999996</v>
      </c>
      <c r="J21" s="4">
        <v>138013</v>
      </c>
      <c r="K21" s="4">
        <v>83.4</v>
      </c>
      <c r="L21" s="4">
        <v>72.36</v>
      </c>
      <c r="M21" s="4">
        <v>320000</v>
      </c>
      <c r="N21" s="4">
        <v>1330</v>
      </c>
      <c r="O21" s="4">
        <v>1.98</v>
      </c>
      <c r="P21" s="4">
        <v>3.5779999999999999E-2</v>
      </c>
      <c r="Q21" s="4">
        <v>1.8737151248164401</v>
      </c>
      <c r="R21" s="4">
        <v>1.98484130743723</v>
      </c>
      <c r="S21" s="4">
        <v>-31</v>
      </c>
      <c r="T21" s="4">
        <v>7</v>
      </c>
      <c r="U21" s="4">
        <v>-0.93099671412925</v>
      </c>
      <c r="W21" s="3">
        <v>39325</v>
      </c>
      <c r="X21">
        <v>86.72</v>
      </c>
      <c r="Y21">
        <v>0.36</v>
      </c>
    </row>
    <row r="22" spans="1:25" x14ac:dyDescent="0.2">
      <c r="A22" s="5">
        <v>39355</v>
      </c>
      <c r="B22" s="4">
        <v>87.054000000000002</v>
      </c>
      <c r="C22" s="4">
        <v>86.350999999999999</v>
      </c>
      <c r="D22" s="4">
        <v>4.9400000000000004</v>
      </c>
      <c r="E22" s="4">
        <v>2.2999999999999998</v>
      </c>
      <c r="F22" s="4">
        <v>4.5199999999999996</v>
      </c>
      <c r="G22" s="4">
        <v>4.01</v>
      </c>
      <c r="H22" s="4">
        <v>0.51</v>
      </c>
      <c r="I22" s="4">
        <v>4.7</v>
      </c>
      <c r="J22" s="4">
        <v>138099</v>
      </c>
      <c r="K22" s="4">
        <v>83.4</v>
      </c>
      <c r="L22" s="4">
        <v>79.91</v>
      </c>
      <c r="M22" s="4">
        <v>313400</v>
      </c>
      <c r="N22" s="4">
        <v>1183</v>
      </c>
      <c r="O22" s="4">
        <v>2.0699999999999998</v>
      </c>
      <c r="P22" s="4">
        <v>0.15914</v>
      </c>
      <c r="Q22" s="4">
        <v>2.5346870509528499</v>
      </c>
      <c r="R22" s="4">
        <v>2.1023258013786998</v>
      </c>
      <c r="S22" s="4">
        <v>86</v>
      </c>
      <c r="T22" s="4">
        <v>9.6666666666666607</v>
      </c>
      <c r="U22" s="4">
        <v>25.2507836990595</v>
      </c>
      <c r="W22" s="3">
        <v>39355</v>
      </c>
      <c r="X22">
        <v>87.054000000000002</v>
      </c>
      <c r="Y22">
        <v>0.51</v>
      </c>
    </row>
    <row r="23" spans="1:25" x14ac:dyDescent="0.2">
      <c r="A23" s="5">
        <v>39386</v>
      </c>
      <c r="B23" s="4">
        <v>87.317999999999998</v>
      </c>
      <c r="C23" s="4">
        <v>86.575999999999993</v>
      </c>
      <c r="D23" s="4">
        <v>4.76</v>
      </c>
      <c r="E23" s="4">
        <v>2.2999999999999998</v>
      </c>
      <c r="F23" s="4">
        <v>4.53</v>
      </c>
      <c r="G23" s="4">
        <v>3.97</v>
      </c>
      <c r="H23" s="4">
        <v>0.56000000000000005</v>
      </c>
      <c r="I23" s="4">
        <v>4.7</v>
      </c>
      <c r="J23" s="4">
        <v>138175</v>
      </c>
      <c r="K23" s="4">
        <v>80.900000000000006</v>
      </c>
      <c r="L23" s="4">
        <v>85.8</v>
      </c>
      <c r="M23" s="4">
        <v>328250</v>
      </c>
      <c r="N23" s="4">
        <v>1264</v>
      </c>
      <c r="O23" s="4">
        <v>1.95</v>
      </c>
      <c r="P23" s="4">
        <v>-1.0449999999999999E-2</v>
      </c>
      <c r="Q23" s="4">
        <v>3.0884748884323798</v>
      </c>
      <c r="R23" s="4">
        <v>2.1835091943441101</v>
      </c>
      <c r="S23" s="4">
        <v>76</v>
      </c>
      <c r="T23" s="4">
        <v>43.6666666666666</v>
      </c>
      <c r="U23" s="4">
        <v>45.695364238410498</v>
      </c>
      <c r="W23" s="3">
        <v>39386</v>
      </c>
      <c r="X23">
        <v>87.317999999999998</v>
      </c>
      <c r="Y23">
        <v>0.56000000000000005</v>
      </c>
    </row>
    <row r="24" spans="1:25" x14ac:dyDescent="0.2">
      <c r="A24" s="5">
        <v>39416</v>
      </c>
      <c r="B24" s="4">
        <v>87.781000000000006</v>
      </c>
      <c r="C24" s="4">
        <v>86.745999999999995</v>
      </c>
      <c r="D24" s="4">
        <v>4.49</v>
      </c>
      <c r="E24" s="4">
        <v>2.2999999999999998</v>
      </c>
      <c r="F24" s="4">
        <v>4.1500000000000004</v>
      </c>
      <c r="G24" s="4">
        <v>3.34</v>
      </c>
      <c r="H24" s="4">
        <v>0.81</v>
      </c>
      <c r="I24" s="4">
        <v>4.7</v>
      </c>
      <c r="J24" s="4">
        <v>138290</v>
      </c>
      <c r="K24" s="4">
        <v>76.099999999999994</v>
      </c>
      <c r="L24" s="4">
        <v>94.77</v>
      </c>
      <c r="M24" s="4">
        <v>336000</v>
      </c>
      <c r="N24" s="4">
        <v>1197</v>
      </c>
      <c r="O24" s="4">
        <v>2.25</v>
      </c>
      <c r="P24" s="4">
        <v>0.27405000000000002</v>
      </c>
      <c r="Q24" s="4">
        <v>3.5996270550329998</v>
      </c>
      <c r="R24" s="4">
        <v>2.3358422008824098</v>
      </c>
      <c r="S24" s="4">
        <v>115</v>
      </c>
      <c r="T24" s="4">
        <v>92.3333333333333</v>
      </c>
      <c r="U24" s="4">
        <v>60.409614082599802</v>
      </c>
      <c r="W24" s="3">
        <v>39416</v>
      </c>
      <c r="X24">
        <v>87.781000000000006</v>
      </c>
      <c r="Y24">
        <v>0.81</v>
      </c>
    </row>
    <row r="25" spans="1:25" x14ac:dyDescent="0.2">
      <c r="A25" s="5">
        <v>39447</v>
      </c>
      <c r="B25" s="4">
        <v>87.983999999999995</v>
      </c>
      <c r="C25" s="4">
        <v>86.92</v>
      </c>
      <c r="D25" s="4">
        <v>4.24</v>
      </c>
      <c r="E25" s="4">
        <v>2.5</v>
      </c>
      <c r="F25" s="4">
        <v>4.0999999999999996</v>
      </c>
      <c r="G25" s="4">
        <v>3.12</v>
      </c>
      <c r="H25" s="4">
        <v>0.98</v>
      </c>
      <c r="I25" s="4">
        <v>5</v>
      </c>
      <c r="J25" s="4">
        <v>138395</v>
      </c>
      <c r="K25" s="4">
        <v>75.5</v>
      </c>
      <c r="L25" s="4">
        <v>91.69</v>
      </c>
      <c r="M25" s="4">
        <v>348200</v>
      </c>
      <c r="N25" s="4">
        <v>1037</v>
      </c>
      <c r="O25" s="4">
        <v>2.5499999999999998</v>
      </c>
      <c r="P25" s="4">
        <v>0.54791999999999996</v>
      </c>
      <c r="Q25" s="4">
        <v>3.4716342082980498</v>
      </c>
      <c r="R25" s="4">
        <v>2.4033930254476901</v>
      </c>
      <c r="S25" s="4">
        <v>105</v>
      </c>
      <c r="T25" s="4">
        <v>98.6666666666666</v>
      </c>
      <c r="U25" s="4">
        <v>47.982569399612601</v>
      </c>
      <c r="W25" s="3">
        <v>39447</v>
      </c>
      <c r="X25">
        <v>87.983999999999995</v>
      </c>
      <c r="Y25">
        <v>0.98</v>
      </c>
    </row>
    <row r="26" spans="1:25" x14ac:dyDescent="0.2">
      <c r="A26" s="5">
        <v>39478</v>
      </c>
      <c r="B26" s="4">
        <v>88.206000000000003</v>
      </c>
      <c r="C26" s="4">
        <v>87.093000000000004</v>
      </c>
      <c r="D26" s="4">
        <v>3.94</v>
      </c>
      <c r="E26" s="4">
        <v>2.5</v>
      </c>
      <c r="F26" s="4">
        <v>3.74</v>
      </c>
      <c r="G26" s="4">
        <v>2.48</v>
      </c>
      <c r="H26" s="4">
        <v>1.27</v>
      </c>
      <c r="I26" s="4">
        <v>5</v>
      </c>
      <c r="J26" s="4">
        <v>138391</v>
      </c>
      <c r="K26" s="4">
        <v>78.400000000000006</v>
      </c>
      <c r="L26" s="4">
        <v>92.97</v>
      </c>
      <c r="M26" s="4">
        <v>338750</v>
      </c>
      <c r="N26" s="4">
        <v>1084</v>
      </c>
      <c r="O26" s="4">
        <v>2.8</v>
      </c>
      <c r="P26" s="4">
        <v>0.42857000000000001</v>
      </c>
      <c r="Q26" s="4">
        <v>3.3874068170096998</v>
      </c>
      <c r="R26" s="4">
        <v>2.1930442128977599</v>
      </c>
      <c r="S26" s="4">
        <v>-4</v>
      </c>
      <c r="T26" s="4">
        <v>72</v>
      </c>
      <c r="U26" s="4">
        <v>70.555861309851394</v>
      </c>
      <c r="W26" s="3">
        <v>39478</v>
      </c>
      <c r="X26">
        <v>88.206000000000003</v>
      </c>
      <c r="Y26">
        <v>1.27</v>
      </c>
    </row>
    <row r="27" spans="1:25" x14ac:dyDescent="0.2">
      <c r="A27" s="5">
        <v>39507</v>
      </c>
      <c r="B27" s="4">
        <v>88.382000000000005</v>
      </c>
      <c r="C27" s="4">
        <v>87.177999999999997</v>
      </c>
      <c r="D27" s="4">
        <v>2.98</v>
      </c>
      <c r="E27" s="4">
        <v>2.5</v>
      </c>
      <c r="F27" s="4">
        <v>3.74</v>
      </c>
      <c r="G27" s="4">
        <v>1.97</v>
      </c>
      <c r="H27" s="4">
        <v>1.76</v>
      </c>
      <c r="I27" s="4">
        <v>4.9000000000000004</v>
      </c>
      <c r="J27" s="4">
        <v>138329</v>
      </c>
      <c r="K27" s="4">
        <v>70.8</v>
      </c>
      <c r="L27" s="4">
        <v>95.39</v>
      </c>
      <c r="M27" s="4">
        <v>346750</v>
      </c>
      <c r="N27" s="4">
        <v>1103</v>
      </c>
      <c r="O27" s="4">
        <v>3.08</v>
      </c>
      <c r="P27" s="4">
        <v>0.60058</v>
      </c>
      <c r="Q27" s="4">
        <v>3.2729227281756499</v>
      </c>
      <c r="R27" s="4">
        <v>2.0724053952791301</v>
      </c>
      <c r="S27" s="4">
        <v>-62</v>
      </c>
      <c r="T27" s="4">
        <v>13</v>
      </c>
      <c r="U27" s="4">
        <v>60.914304993252301</v>
      </c>
      <c r="W27" s="3">
        <v>39507</v>
      </c>
      <c r="X27">
        <v>88.382000000000005</v>
      </c>
      <c r="Y27">
        <v>1.76</v>
      </c>
    </row>
    <row r="28" spans="1:25" x14ac:dyDescent="0.2">
      <c r="A28" s="5">
        <v>39538</v>
      </c>
      <c r="B28" s="4">
        <v>88.635000000000005</v>
      </c>
      <c r="C28" s="4">
        <v>87.349000000000004</v>
      </c>
      <c r="D28" s="4">
        <v>2.61</v>
      </c>
      <c r="E28" s="4">
        <v>-1.7</v>
      </c>
      <c r="F28" s="4">
        <v>3.51</v>
      </c>
      <c r="G28" s="4">
        <v>1.62</v>
      </c>
      <c r="H28" s="4">
        <v>1.89</v>
      </c>
      <c r="I28" s="4">
        <v>5.0999999999999996</v>
      </c>
      <c r="J28" s="4">
        <v>138259</v>
      </c>
      <c r="K28" s="4">
        <v>69.5</v>
      </c>
      <c r="L28" s="4">
        <v>105.45</v>
      </c>
      <c r="M28" s="4">
        <v>363400</v>
      </c>
      <c r="N28" s="4">
        <v>1005</v>
      </c>
      <c r="O28" s="4">
        <v>3.38</v>
      </c>
      <c r="P28" s="4">
        <v>0.93142000000000003</v>
      </c>
      <c r="Q28" s="4">
        <v>3.1911425710759702</v>
      </c>
      <c r="R28" s="4">
        <v>2.1697429059349198</v>
      </c>
      <c r="S28" s="4">
        <v>-70</v>
      </c>
      <c r="T28" s="4">
        <v>-45.3333333333333</v>
      </c>
      <c r="U28" s="4">
        <v>74.470549305095901</v>
      </c>
      <c r="W28" s="3">
        <v>39538</v>
      </c>
      <c r="X28">
        <v>88.635000000000005</v>
      </c>
      <c r="Y28">
        <v>1.89</v>
      </c>
    </row>
    <row r="29" spans="1:25" x14ac:dyDescent="0.2">
      <c r="A29" s="5">
        <v>39568</v>
      </c>
      <c r="B29" s="4">
        <v>88.799000000000007</v>
      </c>
      <c r="C29" s="4">
        <v>87.4</v>
      </c>
      <c r="D29" s="4">
        <v>2.2799999999999998</v>
      </c>
      <c r="E29" s="4">
        <v>-1.7</v>
      </c>
      <c r="F29" s="4">
        <v>3.68</v>
      </c>
      <c r="G29" s="4">
        <v>2.0499999999999998</v>
      </c>
      <c r="H29" s="4">
        <v>1.63</v>
      </c>
      <c r="I29" s="4">
        <v>5</v>
      </c>
      <c r="J29" s="4">
        <v>138040</v>
      </c>
      <c r="K29" s="4">
        <v>62.6</v>
      </c>
      <c r="L29" s="4">
        <v>112.58</v>
      </c>
      <c r="M29" s="4">
        <v>359500</v>
      </c>
      <c r="N29" s="4">
        <v>1013</v>
      </c>
      <c r="O29" s="4">
        <v>3.29</v>
      </c>
      <c r="P29" s="4">
        <v>0.77342999999999995</v>
      </c>
      <c r="Q29" s="4">
        <v>3.1395186768258698</v>
      </c>
      <c r="R29" s="4">
        <v>2.0837226686600498</v>
      </c>
      <c r="S29" s="4">
        <v>-219</v>
      </c>
      <c r="T29" s="4">
        <v>-117</v>
      </c>
      <c r="U29" s="4">
        <v>75.961237886839598</v>
      </c>
      <c r="W29" s="3">
        <v>39568</v>
      </c>
      <c r="X29">
        <v>88.799000000000007</v>
      </c>
      <c r="Y29">
        <v>1.63</v>
      </c>
    </row>
    <row r="30" spans="1:25" x14ac:dyDescent="0.2">
      <c r="A30" s="5">
        <v>39599</v>
      </c>
      <c r="B30" s="4">
        <v>89.18</v>
      </c>
      <c r="C30" s="4">
        <v>87.558999999999997</v>
      </c>
      <c r="D30" s="4">
        <v>1.98</v>
      </c>
      <c r="E30" s="4">
        <v>-1.7</v>
      </c>
      <c r="F30" s="4">
        <v>3.88</v>
      </c>
      <c r="G30" s="4">
        <v>2.4500000000000002</v>
      </c>
      <c r="H30" s="4">
        <v>1.43</v>
      </c>
      <c r="I30" s="4">
        <v>5.4</v>
      </c>
      <c r="J30" s="4">
        <v>137851</v>
      </c>
      <c r="K30" s="4">
        <v>59.8</v>
      </c>
      <c r="L30" s="4">
        <v>125.4</v>
      </c>
      <c r="M30" s="4">
        <v>366800</v>
      </c>
      <c r="N30" s="4">
        <v>973</v>
      </c>
      <c r="O30" s="4">
        <v>3.05</v>
      </c>
      <c r="P30" s="4">
        <v>0.51358000000000004</v>
      </c>
      <c r="Q30" s="4">
        <v>3.28214393255044</v>
      </c>
      <c r="R30" s="4">
        <v>2.1489319504882398</v>
      </c>
      <c r="S30" s="4">
        <v>-189</v>
      </c>
      <c r="T30" s="4">
        <v>-159.333333333333</v>
      </c>
      <c r="U30" s="4">
        <v>97.635933806146497</v>
      </c>
      <c r="W30" s="3">
        <v>39599</v>
      </c>
      <c r="X30">
        <v>89.18</v>
      </c>
      <c r="Y30">
        <v>1.43</v>
      </c>
    </row>
    <row r="31" spans="1:25" x14ac:dyDescent="0.2">
      <c r="A31" s="5">
        <v>39629</v>
      </c>
      <c r="B31" s="4">
        <v>89.826999999999998</v>
      </c>
      <c r="C31" s="4">
        <v>87.76</v>
      </c>
      <c r="D31" s="4">
        <v>2</v>
      </c>
      <c r="E31" s="4">
        <v>2.4</v>
      </c>
      <c r="F31" s="4">
        <v>4.0999999999999996</v>
      </c>
      <c r="G31" s="4">
        <v>2.77</v>
      </c>
      <c r="H31" s="4">
        <v>1.33</v>
      </c>
      <c r="I31" s="4">
        <v>5.6</v>
      </c>
      <c r="J31" s="4">
        <v>137700</v>
      </c>
      <c r="K31" s="4">
        <v>56.4</v>
      </c>
      <c r="L31" s="4">
        <v>133.88</v>
      </c>
      <c r="M31" s="4">
        <v>383250</v>
      </c>
      <c r="N31" s="4">
        <v>1046</v>
      </c>
      <c r="O31" s="4">
        <v>2.97</v>
      </c>
      <c r="P31" s="4">
        <v>0.63083</v>
      </c>
      <c r="Q31" s="4">
        <v>3.81143893954627</v>
      </c>
      <c r="R31" s="4">
        <v>2.2140952025996299</v>
      </c>
      <c r="S31" s="4">
        <v>-151</v>
      </c>
      <c r="T31" s="4">
        <v>-186.333333333333</v>
      </c>
      <c r="U31" s="4">
        <v>98.370128907986299</v>
      </c>
      <c r="W31" s="3">
        <v>39629</v>
      </c>
      <c r="X31">
        <v>89.826999999999998</v>
      </c>
      <c r="Y31">
        <v>1.33</v>
      </c>
    </row>
    <row r="32" spans="1:25" x14ac:dyDescent="0.2">
      <c r="A32" s="5">
        <v>39660</v>
      </c>
      <c r="B32" s="4">
        <v>90.245000000000005</v>
      </c>
      <c r="C32" s="4">
        <v>87.918000000000006</v>
      </c>
      <c r="D32" s="4">
        <v>2.0099999999999998</v>
      </c>
      <c r="E32" s="4">
        <v>2.4</v>
      </c>
      <c r="F32" s="4">
        <v>4.01</v>
      </c>
      <c r="G32" s="4">
        <v>2.57</v>
      </c>
      <c r="H32" s="4">
        <v>1.43</v>
      </c>
      <c r="I32" s="4">
        <v>5.8</v>
      </c>
      <c r="J32" s="4">
        <v>137497</v>
      </c>
      <c r="K32" s="4">
        <v>61.2</v>
      </c>
      <c r="L32" s="4">
        <v>133.37</v>
      </c>
      <c r="M32" s="4">
        <v>398000</v>
      </c>
      <c r="N32" s="4">
        <v>923</v>
      </c>
      <c r="O32" s="4">
        <v>3.15</v>
      </c>
      <c r="P32" s="4">
        <v>0.73853999999999997</v>
      </c>
      <c r="Q32" s="4">
        <v>4.1356550235976899</v>
      </c>
      <c r="R32" s="4">
        <v>2.24449923245104</v>
      </c>
      <c r="S32" s="4">
        <v>-203</v>
      </c>
      <c r="T32" s="4">
        <v>-181</v>
      </c>
      <c r="U32" s="4">
        <v>79.937938478143494</v>
      </c>
      <c r="W32" s="3">
        <v>39660</v>
      </c>
      <c r="X32">
        <v>90.245000000000005</v>
      </c>
      <c r="Y32">
        <v>1.43</v>
      </c>
    </row>
    <row r="33" spans="1:25" x14ac:dyDescent="0.2">
      <c r="A33" s="5">
        <v>39691</v>
      </c>
      <c r="B33" s="4">
        <v>90.171999999999997</v>
      </c>
      <c r="C33" s="4">
        <v>88.025999999999996</v>
      </c>
      <c r="D33" s="4">
        <v>2</v>
      </c>
      <c r="E33" s="4">
        <v>2.4</v>
      </c>
      <c r="F33" s="4">
        <v>3.89</v>
      </c>
      <c r="G33" s="4">
        <v>2.42</v>
      </c>
      <c r="H33" s="4">
        <v>1.47</v>
      </c>
      <c r="I33" s="4">
        <v>6.1</v>
      </c>
      <c r="J33" s="4">
        <v>137211</v>
      </c>
      <c r="K33" s="4">
        <v>63</v>
      </c>
      <c r="L33" s="4">
        <v>116.67</v>
      </c>
      <c r="M33" s="4">
        <v>433000</v>
      </c>
      <c r="N33" s="4">
        <v>844</v>
      </c>
      <c r="O33" s="4">
        <v>3.26</v>
      </c>
      <c r="P33" s="4">
        <v>0.71991000000000005</v>
      </c>
      <c r="Q33" s="4">
        <v>3.9806273062730599</v>
      </c>
      <c r="R33" s="4">
        <v>2.21793859445398</v>
      </c>
      <c r="S33" s="4">
        <v>-286</v>
      </c>
      <c r="T33" s="4">
        <v>-213.333333333333</v>
      </c>
      <c r="U33" s="4">
        <v>61.2354892205638</v>
      </c>
      <c r="W33" s="3">
        <v>39691</v>
      </c>
      <c r="X33">
        <v>90.171999999999997</v>
      </c>
      <c r="Y33">
        <v>1.47</v>
      </c>
    </row>
    <row r="34" spans="1:25" x14ac:dyDescent="0.2">
      <c r="A34" s="5">
        <v>39721</v>
      </c>
      <c r="B34" s="4">
        <v>90.247</v>
      </c>
      <c r="C34" s="4">
        <v>88.116</v>
      </c>
      <c r="D34" s="4">
        <v>1.81</v>
      </c>
      <c r="E34" s="4">
        <v>-2.1</v>
      </c>
      <c r="F34" s="4">
        <v>3.69</v>
      </c>
      <c r="G34" s="4">
        <v>2.08</v>
      </c>
      <c r="H34" s="4">
        <v>1.61</v>
      </c>
      <c r="I34" s="4">
        <v>6.1</v>
      </c>
      <c r="J34" s="4">
        <v>136760</v>
      </c>
      <c r="K34" s="4">
        <v>70.3</v>
      </c>
      <c r="L34" s="4">
        <v>104.11</v>
      </c>
      <c r="M34" s="4">
        <v>464000</v>
      </c>
      <c r="N34" s="4">
        <v>820</v>
      </c>
      <c r="O34" s="4">
        <v>3.62</v>
      </c>
      <c r="P34" s="4">
        <v>1.3848100000000001</v>
      </c>
      <c r="Q34" s="4">
        <v>3.6678383532060499</v>
      </c>
      <c r="R34" s="4">
        <v>2.0439832775532398</v>
      </c>
      <c r="S34" s="4">
        <v>-451</v>
      </c>
      <c r="T34" s="4">
        <v>-313.33333333333297</v>
      </c>
      <c r="U34" s="4">
        <v>30.284069578275499</v>
      </c>
      <c r="W34" s="3">
        <v>39721</v>
      </c>
      <c r="X34">
        <v>90.247</v>
      </c>
      <c r="Y34">
        <v>1.61</v>
      </c>
    </row>
    <row r="35" spans="1:25" x14ac:dyDescent="0.2">
      <c r="A35" s="5">
        <v>39752</v>
      </c>
      <c r="B35" s="4">
        <v>89.650999999999996</v>
      </c>
      <c r="C35" s="4">
        <v>87.991</v>
      </c>
      <c r="D35" s="4">
        <v>0.97</v>
      </c>
      <c r="E35" s="4">
        <v>-2.1</v>
      </c>
      <c r="F35" s="4">
        <v>3.81</v>
      </c>
      <c r="G35" s="4">
        <v>1.61</v>
      </c>
      <c r="H35" s="4">
        <v>2.2000000000000002</v>
      </c>
      <c r="I35" s="4">
        <v>6.5</v>
      </c>
      <c r="J35" s="4">
        <v>136291</v>
      </c>
      <c r="K35" s="4">
        <v>57.6</v>
      </c>
      <c r="L35" s="4">
        <v>76.61</v>
      </c>
      <c r="M35" s="4">
        <v>475250</v>
      </c>
      <c r="N35" s="4">
        <v>777</v>
      </c>
      <c r="O35" s="4">
        <v>5.07</v>
      </c>
      <c r="P35" s="4">
        <v>2.4730699999999999</v>
      </c>
      <c r="Q35" s="4">
        <v>2.6718431480336098</v>
      </c>
      <c r="R35" s="4">
        <v>1.63440214378118</v>
      </c>
      <c r="S35" s="4">
        <v>-469</v>
      </c>
      <c r="T35" s="4">
        <v>-402</v>
      </c>
      <c r="U35" s="4">
        <v>-10.7109557109557</v>
      </c>
      <c r="W35" s="3">
        <v>39752</v>
      </c>
      <c r="X35">
        <v>89.650999999999996</v>
      </c>
      <c r="Y35">
        <v>2.2000000000000002</v>
      </c>
    </row>
    <row r="36" spans="1:25" x14ac:dyDescent="0.2">
      <c r="A36" s="5">
        <v>39782</v>
      </c>
      <c r="B36" s="4">
        <v>88.593000000000004</v>
      </c>
      <c r="C36" s="4">
        <v>87.951999999999998</v>
      </c>
      <c r="D36" s="4">
        <v>0.39</v>
      </c>
      <c r="E36" s="4">
        <v>-2.1</v>
      </c>
      <c r="F36" s="4">
        <v>3.53</v>
      </c>
      <c r="G36" s="4">
        <v>1.21</v>
      </c>
      <c r="H36" s="4">
        <v>2.31</v>
      </c>
      <c r="I36" s="4">
        <v>6.8</v>
      </c>
      <c r="J36" s="4">
        <v>135541</v>
      </c>
      <c r="K36" s="4">
        <v>55.3</v>
      </c>
      <c r="L36" s="4">
        <v>57.31</v>
      </c>
      <c r="M36" s="4">
        <v>519800</v>
      </c>
      <c r="N36" s="4">
        <v>652</v>
      </c>
      <c r="O36" s="4">
        <v>5.68</v>
      </c>
      <c r="P36" s="4">
        <v>2.98231</v>
      </c>
      <c r="Q36" s="4">
        <v>0.92502933436620005</v>
      </c>
      <c r="R36" s="4">
        <v>1.3902658335831</v>
      </c>
      <c r="S36" s="4">
        <v>-750</v>
      </c>
      <c r="T36" s="4">
        <v>-556.66666666666595</v>
      </c>
      <c r="U36" s="4">
        <v>-39.527276564313503</v>
      </c>
      <c r="W36" s="3">
        <v>39782</v>
      </c>
      <c r="X36">
        <v>88.593000000000004</v>
      </c>
      <c r="Y36">
        <v>2.31</v>
      </c>
    </row>
    <row r="37" spans="1:25" x14ac:dyDescent="0.2">
      <c r="A37" s="5">
        <v>39813</v>
      </c>
      <c r="B37" s="4">
        <v>88.097999999999999</v>
      </c>
      <c r="C37" s="4">
        <v>87.909000000000006</v>
      </c>
      <c r="D37" s="4">
        <v>0.16</v>
      </c>
      <c r="E37" s="4">
        <v>-8.5</v>
      </c>
      <c r="F37" s="4">
        <v>2.42</v>
      </c>
      <c r="G37" s="4">
        <v>0.82</v>
      </c>
      <c r="H37" s="4">
        <v>1.6</v>
      </c>
      <c r="I37" s="4">
        <v>7.3</v>
      </c>
      <c r="J37" s="4">
        <v>134847</v>
      </c>
      <c r="K37" s="4">
        <v>60.1</v>
      </c>
      <c r="L37" s="4">
        <v>41.12</v>
      </c>
      <c r="M37" s="4">
        <v>564000</v>
      </c>
      <c r="N37" s="4">
        <v>560</v>
      </c>
      <c r="O37" s="4">
        <v>6.01</v>
      </c>
      <c r="P37" s="4">
        <v>2.9039199999999998</v>
      </c>
      <c r="Q37" s="4">
        <v>0.129569012547747</v>
      </c>
      <c r="R37" s="4">
        <v>1.1378278877128301</v>
      </c>
      <c r="S37" s="4">
        <v>-694</v>
      </c>
      <c r="T37" s="4">
        <v>-637.66666666666595</v>
      </c>
      <c r="U37" s="4">
        <v>-55.153233722325197</v>
      </c>
      <c r="W37" s="3">
        <v>39813</v>
      </c>
      <c r="X37">
        <v>88.097999999999999</v>
      </c>
      <c r="Y37">
        <v>1.6</v>
      </c>
    </row>
    <row r="38" spans="1:25" x14ac:dyDescent="0.2">
      <c r="A38" s="5">
        <v>39844</v>
      </c>
      <c r="B38" s="4">
        <v>88.108000000000004</v>
      </c>
      <c r="C38" s="4">
        <v>87.882000000000005</v>
      </c>
      <c r="D38" s="4">
        <v>0.15</v>
      </c>
      <c r="E38" s="4">
        <v>-8.5</v>
      </c>
      <c r="F38" s="4">
        <v>2.52</v>
      </c>
      <c r="G38" s="4">
        <v>0.81</v>
      </c>
      <c r="H38" s="4">
        <v>1.71</v>
      </c>
      <c r="I38" s="4">
        <v>7.8</v>
      </c>
      <c r="J38" s="4">
        <v>134079</v>
      </c>
      <c r="K38" s="4">
        <v>61.2</v>
      </c>
      <c r="L38" s="4">
        <v>41.71</v>
      </c>
      <c r="M38" s="4">
        <v>572000</v>
      </c>
      <c r="N38" s="4">
        <v>490</v>
      </c>
      <c r="O38" s="4">
        <v>5.62</v>
      </c>
      <c r="P38" s="4">
        <v>2.3096999999999999</v>
      </c>
      <c r="Q38" s="4">
        <v>-0.111103553046276</v>
      </c>
      <c r="R38" s="4">
        <v>0.90592814577521397</v>
      </c>
      <c r="S38" s="4">
        <v>-768</v>
      </c>
      <c r="T38" s="4">
        <v>-737.33333333333303</v>
      </c>
      <c r="U38" s="4">
        <v>-55.136065397439999</v>
      </c>
      <c r="W38" s="3">
        <v>39844</v>
      </c>
      <c r="X38">
        <v>88.108000000000004</v>
      </c>
      <c r="Y38">
        <v>1.71</v>
      </c>
    </row>
    <row r="39" spans="1:25" x14ac:dyDescent="0.2">
      <c r="A39" s="5">
        <v>39872</v>
      </c>
      <c r="B39" s="4">
        <v>88.266000000000005</v>
      </c>
      <c r="C39" s="4">
        <v>87.951999999999998</v>
      </c>
      <c r="D39" s="4">
        <v>0.22</v>
      </c>
      <c r="E39" s="4">
        <v>-8.5</v>
      </c>
      <c r="F39" s="4">
        <v>2.87</v>
      </c>
      <c r="G39" s="4">
        <v>0.98</v>
      </c>
      <c r="H39" s="4">
        <v>1.89</v>
      </c>
      <c r="I39" s="4">
        <v>8.3000000000000007</v>
      </c>
      <c r="J39" s="4">
        <v>133318</v>
      </c>
      <c r="K39" s="4">
        <v>56.3</v>
      </c>
      <c r="L39" s="4">
        <v>39.090000000000003</v>
      </c>
      <c r="M39" s="4">
        <v>644000</v>
      </c>
      <c r="N39" s="4">
        <v>582</v>
      </c>
      <c r="O39" s="4">
        <v>5.21</v>
      </c>
      <c r="P39" s="4">
        <v>2.11084</v>
      </c>
      <c r="Q39" s="4">
        <v>-0.131248444253351</v>
      </c>
      <c r="R39" s="4">
        <v>0.88783867489503598</v>
      </c>
      <c r="S39" s="4">
        <v>-761</v>
      </c>
      <c r="T39" s="4">
        <v>-741</v>
      </c>
      <c r="U39" s="4">
        <v>-59.020861725547697</v>
      </c>
      <c r="W39" s="3">
        <v>39872</v>
      </c>
      <c r="X39">
        <v>88.266000000000005</v>
      </c>
      <c r="Y39">
        <v>1.89</v>
      </c>
    </row>
    <row r="40" spans="1:25" x14ac:dyDescent="0.2">
      <c r="A40" s="5">
        <v>39903</v>
      </c>
      <c r="B40" s="4">
        <v>88.168999999999997</v>
      </c>
      <c r="C40" s="4">
        <v>88.015000000000001</v>
      </c>
      <c r="D40" s="4">
        <v>0.18</v>
      </c>
      <c r="E40" s="4">
        <v>-4.5</v>
      </c>
      <c r="F40" s="4">
        <v>2.82</v>
      </c>
      <c r="G40" s="4">
        <v>0.93</v>
      </c>
      <c r="H40" s="4">
        <v>1.89</v>
      </c>
      <c r="I40" s="4">
        <v>8.6999999999999993</v>
      </c>
      <c r="J40" s="4">
        <v>132494</v>
      </c>
      <c r="K40" s="4">
        <v>57.3</v>
      </c>
      <c r="L40" s="4">
        <v>47.94</v>
      </c>
      <c r="M40" s="4">
        <v>659250</v>
      </c>
      <c r="N40" s="4">
        <v>505</v>
      </c>
      <c r="O40" s="4">
        <v>5.6</v>
      </c>
      <c r="P40" s="4">
        <v>2.0451899999999998</v>
      </c>
      <c r="Q40" s="4">
        <v>-0.52575167823095603</v>
      </c>
      <c r="R40" s="4">
        <v>0.76245864291519805</v>
      </c>
      <c r="S40" s="4">
        <v>-824</v>
      </c>
      <c r="T40" s="4">
        <v>-784.33333333333303</v>
      </c>
      <c r="U40" s="4">
        <v>-54.537695590327097</v>
      </c>
      <c r="W40" s="3">
        <v>39903</v>
      </c>
      <c r="X40">
        <v>88.168999999999997</v>
      </c>
      <c r="Y40">
        <v>1.89</v>
      </c>
    </row>
    <row r="41" spans="1:25" x14ac:dyDescent="0.2">
      <c r="A41" s="5">
        <v>39933</v>
      </c>
      <c r="B41" s="4">
        <v>88.295000000000002</v>
      </c>
      <c r="C41" s="4">
        <v>88.210999999999999</v>
      </c>
      <c r="D41" s="4">
        <v>0.15</v>
      </c>
      <c r="E41" s="4">
        <v>-4.5</v>
      </c>
      <c r="F41" s="4">
        <v>2.93</v>
      </c>
      <c r="G41" s="4">
        <v>0.93</v>
      </c>
      <c r="H41" s="4">
        <v>2</v>
      </c>
      <c r="I41" s="4">
        <v>9</v>
      </c>
      <c r="J41" s="4">
        <v>131822</v>
      </c>
      <c r="K41" s="4">
        <v>65.099999999999994</v>
      </c>
      <c r="L41" s="4">
        <v>49.65</v>
      </c>
      <c r="M41" s="4">
        <v>627750</v>
      </c>
      <c r="N41" s="4">
        <v>478</v>
      </c>
      <c r="O41" s="4">
        <v>5.46</v>
      </c>
      <c r="P41" s="4">
        <v>1.5857300000000001</v>
      </c>
      <c r="Q41" s="4">
        <v>-0.56757395916621201</v>
      </c>
      <c r="R41" s="4">
        <v>0.92791762013728596</v>
      </c>
      <c r="S41" s="4">
        <v>-672</v>
      </c>
      <c r="T41" s="4">
        <v>-752.33333333333303</v>
      </c>
      <c r="U41" s="4">
        <v>-55.898028068928703</v>
      </c>
      <c r="W41" s="3">
        <v>39933</v>
      </c>
      <c r="X41">
        <v>88.295000000000002</v>
      </c>
      <c r="Y41">
        <v>2</v>
      </c>
    </row>
    <row r="42" spans="1:25" x14ac:dyDescent="0.2">
      <c r="A42" s="5">
        <v>39964</v>
      </c>
      <c r="B42" s="4">
        <v>88.387</v>
      </c>
      <c r="C42" s="4">
        <v>88.278999999999996</v>
      </c>
      <c r="D42" s="4">
        <v>0.18</v>
      </c>
      <c r="E42" s="4">
        <v>-4.5</v>
      </c>
      <c r="F42" s="4">
        <v>3.29</v>
      </c>
      <c r="G42" s="4">
        <v>0.93</v>
      </c>
      <c r="H42" s="4">
        <v>2.36</v>
      </c>
      <c r="I42" s="4">
        <v>9.4</v>
      </c>
      <c r="J42" s="4">
        <v>131466</v>
      </c>
      <c r="K42" s="4">
        <v>68.7</v>
      </c>
      <c r="L42" s="4">
        <v>59.03</v>
      </c>
      <c r="M42" s="4">
        <v>612000</v>
      </c>
      <c r="N42" s="4">
        <v>540</v>
      </c>
      <c r="O42" s="4">
        <v>4.7699999999999996</v>
      </c>
      <c r="P42" s="4">
        <v>1.03512</v>
      </c>
      <c r="Q42" s="4">
        <v>-0.88921282798835</v>
      </c>
      <c r="R42" s="4">
        <v>0.82230267590994699</v>
      </c>
      <c r="S42" s="4">
        <v>-356</v>
      </c>
      <c r="T42" s="4">
        <v>-617.33333333333303</v>
      </c>
      <c r="U42" s="4">
        <v>-52.926634768740001</v>
      </c>
      <c r="W42" s="3">
        <v>39964</v>
      </c>
      <c r="X42">
        <v>88.387</v>
      </c>
      <c r="Y42">
        <v>2.36</v>
      </c>
    </row>
    <row r="43" spans="1:25" x14ac:dyDescent="0.2">
      <c r="A43" s="5">
        <v>39994</v>
      </c>
      <c r="B43" s="4">
        <v>88.912000000000006</v>
      </c>
      <c r="C43" s="4">
        <v>88.391999999999996</v>
      </c>
      <c r="D43" s="4">
        <v>0.21</v>
      </c>
      <c r="E43" s="4">
        <v>-0.7</v>
      </c>
      <c r="F43" s="4">
        <v>3.72</v>
      </c>
      <c r="G43" s="4">
        <v>1.18</v>
      </c>
      <c r="H43" s="4">
        <v>2.54</v>
      </c>
      <c r="I43" s="4">
        <v>9.5</v>
      </c>
      <c r="J43" s="4">
        <v>131008</v>
      </c>
      <c r="K43" s="4">
        <v>70.8</v>
      </c>
      <c r="L43" s="4">
        <v>69.64</v>
      </c>
      <c r="M43" s="4">
        <v>598250</v>
      </c>
      <c r="N43" s="4">
        <v>585</v>
      </c>
      <c r="O43" s="4">
        <v>3.78</v>
      </c>
      <c r="P43" s="4">
        <v>0.77378000000000002</v>
      </c>
      <c r="Q43" s="4">
        <v>-1.0186246896812601</v>
      </c>
      <c r="R43" s="4">
        <v>0.720145852324516</v>
      </c>
      <c r="S43" s="4">
        <v>-458</v>
      </c>
      <c r="T43" s="4">
        <v>-495.33333333333297</v>
      </c>
      <c r="U43" s="4">
        <v>-47.983268598745099</v>
      </c>
      <c r="W43" s="3">
        <v>39994</v>
      </c>
      <c r="X43">
        <v>88.912000000000006</v>
      </c>
      <c r="Y43">
        <v>2.54</v>
      </c>
    </row>
    <row r="44" spans="1:25" x14ac:dyDescent="0.2">
      <c r="A44" s="5">
        <v>40025</v>
      </c>
      <c r="B44" s="4">
        <v>88.921999999999997</v>
      </c>
      <c r="C44" s="4">
        <v>88.468000000000004</v>
      </c>
      <c r="D44" s="4">
        <v>0.16</v>
      </c>
      <c r="E44" s="4">
        <v>-0.7</v>
      </c>
      <c r="F44" s="4">
        <v>3.56</v>
      </c>
      <c r="G44" s="4">
        <v>1.02</v>
      </c>
      <c r="H44" s="4">
        <v>2.54</v>
      </c>
      <c r="I44" s="4">
        <v>9.5</v>
      </c>
      <c r="J44" s="4">
        <v>130662</v>
      </c>
      <c r="K44" s="4">
        <v>66</v>
      </c>
      <c r="L44" s="4">
        <v>64.150000000000006</v>
      </c>
      <c r="M44" s="4">
        <v>566500</v>
      </c>
      <c r="N44" s="4">
        <v>594</v>
      </c>
      <c r="O44" s="4">
        <v>3.53</v>
      </c>
      <c r="P44" s="4">
        <v>0.55064000000000002</v>
      </c>
      <c r="Q44" s="4">
        <v>-1.4660091971854401</v>
      </c>
      <c r="R44" s="4">
        <v>0.62558292954797401</v>
      </c>
      <c r="S44" s="4">
        <v>-346</v>
      </c>
      <c r="T44" s="4">
        <v>-386.666666666666</v>
      </c>
      <c r="U44" s="4">
        <v>-51.900727299992496</v>
      </c>
      <c r="W44" s="3">
        <v>40025</v>
      </c>
      <c r="X44">
        <v>88.921999999999997</v>
      </c>
      <c r="Y44">
        <v>2.54</v>
      </c>
    </row>
    <row r="45" spans="1:25" x14ac:dyDescent="0.2">
      <c r="A45" s="5">
        <v>40056</v>
      </c>
      <c r="B45" s="4">
        <v>89.18</v>
      </c>
      <c r="C45" s="4">
        <v>88.599000000000004</v>
      </c>
      <c r="D45" s="4">
        <v>0.16</v>
      </c>
      <c r="E45" s="4">
        <v>-0.7</v>
      </c>
      <c r="F45" s="4">
        <v>3.59</v>
      </c>
      <c r="G45" s="4">
        <v>1.1200000000000001</v>
      </c>
      <c r="H45" s="4">
        <v>2.4700000000000002</v>
      </c>
      <c r="I45" s="4">
        <v>9.6</v>
      </c>
      <c r="J45" s="4">
        <v>130472</v>
      </c>
      <c r="K45" s="4">
        <v>65.7</v>
      </c>
      <c r="L45" s="4">
        <v>71.040000000000006</v>
      </c>
      <c r="M45" s="4">
        <v>559200</v>
      </c>
      <c r="N45" s="4">
        <v>586</v>
      </c>
      <c r="O45" s="4">
        <v>2.99</v>
      </c>
      <c r="P45" s="4">
        <v>0.28955999999999998</v>
      </c>
      <c r="Q45" s="4">
        <v>-1.1001197711041</v>
      </c>
      <c r="R45" s="4">
        <v>0.65094403926113598</v>
      </c>
      <c r="S45" s="4">
        <v>-190</v>
      </c>
      <c r="T45" s="4">
        <v>-331.33333333333297</v>
      </c>
      <c r="U45" s="4">
        <v>-39.110311133967599</v>
      </c>
      <c r="W45" s="3">
        <v>40056</v>
      </c>
      <c r="X45">
        <v>89.18</v>
      </c>
      <c r="Y45">
        <v>2.4700000000000002</v>
      </c>
    </row>
    <row r="46" spans="1:25" x14ac:dyDescent="0.2">
      <c r="A46" s="5">
        <v>40086</v>
      </c>
      <c r="B46" s="4">
        <v>89.323999999999998</v>
      </c>
      <c r="C46" s="4">
        <v>88.754999999999995</v>
      </c>
      <c r="D46" s="4">
        <v>0.15</v>
      </c>
      <c r="E46" s="4">
        <v>1.4</v>
      </c>
      <c r="F46" s="4">
        <v>3.4</v>
      </c>
      <c r="G46" s="4">
        <v>0.96</v>
      </c>
      <c r="H46" s="4">
        <v>2.4500000000000002</v>
      </c>
      <c r="I46" s="4">
        <v>9.8000000000000007</v>
      </c>
      <c r="J46" s="4">
        <v>130246</v>
      </c>
      <c r="K46" s="4">
        <v>73.5</v>
      </c>
      <c r="L46" s="4">
        <v>69.41</v>
      </c>
      <c r="M46" s="4">
        <v>547500</v>
      </c>
      <c r="N46" s="4">
        <v>585</v>
      </c>
      <c r="O46" s="4">
        <v>2.91</v>
      </c>
      <c r="P46" s="4">
        <v>0.14910999999999999</v>
      </c>
      <c r="Q46" s="4">
        <v>-1.0227486786264299</v>
      </c>
      <c r="R46" s="4">
        <v>0.72518044396023795</v>
      </c>
      <c r="S46" s="4">
        <v>-226</v>
      </c>
      <c r="T46" s="4">
        <v>-254</v>
      </c>
      <c r="U46" s="4">
        <v>-33.330131591585797</v>
      </c>
      <c r="W46" s="3">
        <v>40086</v>
      </c>
      <c r="X46">
        <v>89.323999999999998</v>
      </c>
      <c r="Y46">
        <v>2.4500000000000002</v>
      </c>
    </row>
    <row r="47" spans="1:25" x14ac:dyDescent="0.2">
      <c r="A47" s="5">
        <v>40117</v>
      </c>
      <c r="B47" s="4">
        <v>89.662999999999997</v>
      </c>
      <c r="C47" s="4">
        <v>89.081999999999994</v>
      </c>
      <c r="D47" s="4">
        <v>0.12</v>
      </c>
      <c r="E47" s="4">
        <v>1.4</v>
      </c>
      <c r="F47" s="4">
        <v>3.39</v>
      </c>
      <c r="G47" s="4">
        <v>0.95</v>
      </c>
      <c r="H47" s="4">
        <v>2.44</v>
      </c>
      <c r="I47" s="4">
        <v>10</v>
      </c>
      <c r="J47" s="4">
        <v>130061</v>
      </c>
      <c r="K47" s="4">
        <v>70.599999999999994</v>
      </c>
      <c r="L47" s="4">
        <v>75.72</v>
      </c>
      <c r="M47" s="4">
        <v>525400</v>
      </c>
      <c r="N47" s="4">
        <v>534</v>
      </c>
      <c r="O47" s="4">
        <v>2.9</v>
      </c>
      <c r="P47" s="4">
        <v>4.7070000000000001E-2</v>
      </c>
      <c r="Q47" s="4">
        <v>1.3385238313023899E-2</v>
      </c>
      <c r="R47" s="4">
        <v>1.23989953517973</v>
      </c>
      <c r="S47" s="4">
        <v>-185</v>
      </c>
      <c r="T47" s="4">
        <v>-200.333333333333</v>
      </c>
      <c r="U47" s="4">
        <v>-1.1617282339120101</v>
      </c>
      <c r="W47" s="3">
        <v>40117</v>
      </c>
      <c r="X47">
        <v>89.662999999999997</v>
      </c>
      <c r="Y47">
        <v>2.44</v>
      </c>
    </row>
    <row r="48" spans="1:25" x14ac:dyDescent="0.2">
      <c r="A48" s="5">
        <v>40147</v>
      </c>
      <c r="B48" s="4">
        <v>89.887</v>
      </c>
      <c r="C48" s="4">
        <v>89.16</v>
      </c>
      <c r="D48" s="4">
        <v>0.12</v>
      </c>
      <c r="E48" s="4">
        <v>1.4</v>
      </c>
      <c r="F48" s="4">
        <v>3.4</v>
      </c>
      <c r="G48" s="4">
        <v>0.8</v>
      </c>
      <c r="H48" s="4">
        <v>2.6</v>
      </c>
      <c r="I48" s="4">
        <v>9.9</v>
      </c>
      <c r="J48" s="4">
        <v>130057</v>
      </c>
      <c r="K48" s="4">
        <v>67.400000000000006</v>
      </c>
      <c r="L48" s="4">
        <v>77.989999999999995</v>
      </c>
      <c r="M48" s="4">
        <v>494000</v>
      </c>
      <c r="N48" s="4">
        <v>588</v>
      </c>
      <c r="O48" s="4">
        <v>2.92</v>
      </c>
      <c r="P48" s="4">
        <v>-7.4900000000000001E-3</v>
      </c>
      <c r="Q48" s="4">
        <v>1.46061201223572</v>
      </c>
      <c r="R48" s="4">
        <v>1.3734764416954699</v>
      </c>
      <c r="S48" s="4">
        <v>-4</v>
      </c>
      <c r="T48" s="4">
        <v>-138.333333333333</v>
      </c>
      <c r="U48" s="4">
        <v>36.084452975047903</v>
      </c>
      <c r="W48" s="3">
        <v>40147</v>
      </c>
      <c r="X48">
        <v>89.887</v>
      </c>
      <c r="Y48">
        <v>2.6</v>
      </c>
    </row>
    <row r="49" spans="1:25" x14ac:dyDescent="0.2">
      <c r="A49" s="5">
        <v>40178</v>
      </c>
      <c r="B49" s="4">
        <v>89.938999999999993</v>
      </c>
      <c r="C49" s="4">
        <v>89.236000000000004</v>
      </c>
      <c r="D49" s="4">
        <v>0.12</v>
      </c>
      <c r="E49" s="4">
        <v>4.4000000000000004</v>
      </c>
      <c r="F49" s="4">
        <v>3.59</v>
      </c>
      <c r="G49" s="4">
        <v>0.87</v>
      </c>
      <c r="H49" s="4">
        <v>2.72</v>
      </c>
      <c r="I49" s="4">
        <v>9.9</v>
      </c>
      <c r="J49" s="4">
        <v>129808</v>
      </c>
      <c r="K49" s="4">
        <v>72.5</v>
      </c>
      <c r="L49" s="4">
        <v>74.47</v>
      </c>
      <c r="M49" s="4">
        <v>485500</v>
      </c>
      <c r="N49" s="4">
        <v>581</v>
      </c>
      <c r="O49" s="4">
        <v>2.78</v>
      </c>
      <c r="P49" s="4">
        <v>-0.10256999999999999</v>
      </c>
      <c r="Q49" s="4">
        <v>2.0897182682921098</v>
      </c>
      <c r="R49" s="4">
        <v>1.5095155217327001</v>
      </c>
      <c r="S49" s="4">
        <v>-249</v>
      </c>
      <c r="T49" s="4">
        <v>-146</v>
      </c>
      <c r="U49" s="4">
        <v>81.104085603112793</v>
      </c>
      <c r="W49" s="3">
        <v>40178</v>
      </c>
      <c r="X49">
        <v>89.938999999999993</v>
      </c>
      <c r="Y49">
        <v>2.72</v>
      </c>
    </row>
    <row r="50" spans="1:25" x14ac:dyDescent="0.2">
      <c r="A50" s="5">
        <v>40209</v>
      </c>
      <c r="B50" s="4">
        <v>90.135999999999996</v>
      </c>
      <c r="C50" s="4">
        <v>89.367999999999995</v>
      </c>
      <c r="D50" s="4">
        <v>0.11</v>
      </c>
      <c r="E50" s="4">
        <v>4.4000000000000004</v>
      </c>
      <c r="F50" s="4">
        <v>3.73</v>
      </c>
      <c r="G50" s="4">
        <v>0.93</v>
      </c>
      <c r="H50" s="4">
        <v>2.8</v>
      </c>
      <c r="I50" s="4">
        <v>9.8000000000000007</v>
      </c>
      <c r="J50" s="4">
        <v>129802</v>
      </c>
      <c r="K50" s="4">
        <v>74.400000000000006</v>
      </c>
      <c r="L50" s="4">
        <v>78.33</v>
      </c>
      <c r="M50" s="4">
        <v>479800</v>
      </c>
      <c r="N50" s="4">
        <v>614</v>
      </c>
      <c r="O50" s="4">
        <v>2.52</v>
      </c>
      <c r="P50" s="4">
        <v>-0.19492999999999999</v>
      </c>
      <c r="Q50" s="4">
        <v>2.3017206156081098</v>
      </c>
      <c r="R50" s="4">
        <v>1.69090371179534</v>
      </c>
      <c r="S50" s="4">
        <v>-6</v>
      </c>
      <c r="T50" s="4">
        <v>-86.3333333333333</v>
      </c>
      <c r="U50" s="4">
        <v>87.796691440901398</v>
      </c>
      <c r="W50" s="3">
        <v>40209</v>
      </c>
      <c r="X50">
        <v>90.135999999999996</v>
      </c>
      <c r="Y50">
        <v>2.8</v>
      </c>
    </row>
    <row r="51" spans="1:25" x14ac:dyDescent="0.2">
      <c r="A51" s="5">
        <v>40237</v>
      </c>
      <c r="B51" s="4">
        <v>90.134</v>
      </c>
      <c r="C51" s="4">
        <v>89.445999999999998</v>
      </c>
      <c r="D51" s="4">
        <v>0.13</v>
      </c>
      <c r="E51" s="4">
        <v>4.4000000000000004</v>
      </c>
      <c r="F51" s="4">
        <v>3.69</v>
      </c>
      <c r="G51" s="4">
        <v>0.86</v>
      </c>
      <c r="H51" s="4">
        <v>2.83</v>
      </c>
      <c r="I51" s="4">
        <v>9.8000000000000007</v>
      </c>
      <c r="J51" s="4">
        <v>129706</v>
      </c>
      <c r="K51" s="4">
        <v>73.599999999999994</v>
      </c>
      <c r="L51" s="4">
        <v>76.39</v>
      </c>
      <c r="M51" s="4">
        <v>485750</v>
      </c>
      <c r="N51" s="4">
        <v>604</v>
      </c>
      <c r="O51" s="4">
        <v>2.65</v>
      </c>
      <c r="P51" s="4">
        <v>-0.21321999999999999</v>
      </c>
      <c r="Q51" s="4">
        <v>2.11633018376271</v>
      </c>
      <c r="R51" s="4">
        <v>1.69865381116973</v>
      </c>
      <c r="S51" s="4">
        <v>-96</v>
      </c>
      <c r="T51" s="4">
        <v>-117</v>
      </c>
      <c r="U51" s="4">
        <v>95.420823740086902</v>
      </c>
      <c r="W51" s="3">
        <v>40237</v>
      </c>
      <c r="X51">
        <v>90.134</v>
      </c>
      <c r="Y51">
        <v>2.83</v>
      </c>
    </row>
    <row r="52" spans="1:25" x14ac:dyDescent="0.2">
      <c r="A52" s="5">
        <v>40268</v>
      </c>
      <c r="B52" s="4">
        <v>90.260999999999996</v>
      </c>
      <c r="C52" s="4">
        <v>89.578999999999994</v>
      </c>
      <c r="D52" s="4">
        <v>0.16</v>
      </c>
      <c r="E52" s="4">
        <v>1.9</v>
      </c>
      <c r="F52" s="4">
        <v>3.73</v>
      </c>
      <c r="G52" s="4">
        <v>0.96</v>
      </c>
      <c r="H52" s="4">
        <v>2.77</v>
      </c>
      <c r="I52" s="4">
        <v>9.9</v>
      </c>
      <c r="J52" s="4">
        <v>129866</v>
      </c>
      <c r="K52" s="4">
        <v>73.599999999999994</v>
      </c>
      <c r="L52" s="4">
        <v>81.2</v>
      </c>
      <c r="M52" s="4">
        <v>470250</v>
      </c>
      <c r="N52" s="4">
        <v>636</v>
      </c>
      <c r="O52" s="4">
        <v>2.54</v>
      </c>
      <c r="P52" s="4">
        <v>-0.35103000000000001</v>
      </c>
      <c r="Q52" s="4">
        <v>2.3727160339801898</v>
      </c>
      <c r="R52" s="4">
        <v>1.77696983468726</v>
      </c>
      <c r="S52" s="4">
        <v>160</v>
      </c>
      <c r="T52" s="4">
        <v>19.3333333333333</v>
      </c>
      <c r="U52" s="4">
        <v>69.378389653733805</v>
      </c>
      <c r="W52" s="3">
        <v>40268</v>
      </c>
      <c r="X52">
        <v>90.260999999999996</v>
      </c>
      <c r="Y52">
        <v>2.77</v>
      </c>
    </row>
    <row r="53" spans="1:25" x14ac:dyDescent="0.2">
      <c r="A53" s="5">
        <v>40298</v>
      </c>
      <c r="B53" s="4">
        <v>90.31</v>
      </c>
      <c r="C53" s="4">
        <v>89.625</v>
      </c>
      <c r="D53" s="4">
        <v>0.2</v>
      </c>
      <c r="E53" s="4">
        <v>1.9</v>
      </c>
      <c r="F53" s="4">
        <v>3.85</v>
      </c>
      <c r="G53" s="4">
        <v>1.06</v>
      </c>
      <c r="H53" s="4">
        <v>2.79</v>
      </c>
      <c r="I53" s="4">
        <v>9.9</v>
      </c>
      <c r="J53" s="4">
        <v>130120</v>
      </c>
      <c r="K53" s="4">
        <v>72.2</v>
      </c>
      <c r="L53" s="4">
        <v>84.29</v>
      </c>
      <c r="M53" s="4">
        <v>469000</v>
      </c>
      <c r="N53" s="4">
        <v>687</v>
      </c>
      <c r="O53" s="4">
        <v>2.4</v>
      </c>
      <c r="P53" s="4">
        <v>-0.42057</v>
      </c>
      <c r="Q53" s="4">
        <v>2.2821224304887</v>
      </c>
      <c r="R53" s="4">
        <v>1.6029746856967799</v>
      </c>
      <c r="S53" s="4">
        <v>254</v>
      </c>
      <c r="T53" s="4">
        <v>106</v>
      </c>
      <c r="U53" s="4">
        <v>69.768378650553899</v>
      </c>
      <c r="W53" s="3">
        <v>40298</v>
      </c>
      <c r="X53">
        <v>90.31</v>
      </c>
      <c r="Y53">
        <v>2.79</v>
      </c>
    </row>
    <row r="54" spans="1:25" x14ac:dyDescent="0.2">
      <c r="A54" s="5">
        <v>40329</v>
      </c>
      <c r="B54" s="4">
        <v>90.338999999999999</v>
      </c>
      <c r="C54" s="4">
        <v>89.724000000000004</v>
      </c>
      <c r="D54" s="4">
        <v>0.2</v>
      </c>
      <c r="E54" s="4">
        <v>1.9</v>
      </c>
      <c r="F54" s="4">
        <v>3.42</v>
      </c>
      <c r="G54" s="4">
        <v>0.83</v>
      </c>
      <c r="H54" s="4">
        <v>2.59</v>
      </c>
      <c r="I54" s="4">
        <v>9.6</v>
      </c>
      <c r="J54" s="4">
        <v>130642</v>
      </c>
      <c r="K54" s="4">
        <v>73.599999999999994</v>
      </c>
      <c r="L54" s="4">
        <v>73.739999999999995</v>
      </c>
      <c r="M54" s="4">
        <v>459400</v>
      </c>
      <c r="N54" s="4">
        <v>583</v>
      </c>
      <c r="O54" s="4">
        <v>2.63</v>
      </c>
      <c r="P54" s="4">
        <v>-0.16596</v>
      </c>
      <c r="Q54" s="4">
        <v>2.2084695713170399</v>
      </c>
      <c r="R54" s="4">
        <v>1.6368558773887301</v>
      </c>
      <c r="S54" s="4">
        <v>522</v>
      </c>
      <c r="T54" s="4">
        <v>312</v>
      </c>
      <c r="U54" s="4">
        <v>24.919532441131601</v>
      </c>
      <c r="W54" s="3">
        <v>40329</v>
      </c>
      <c r="X54">
        <v>90.338999999999999</v>
      </c>
      <c r="Y54">
        <v>2.59</v>
      </c>
    </row>
    <row r="55" spans="1:25" x14ac:dyDescent="0.2">
      <c r="A55" s="5">
        <v>40359</v>
      </c>
      <c r="B55" s="4">
        <v>90.301000000000002</v>
      </c>
      <c r="C55" s="4">
        <v>89.766999999999996</v>
      </c>
      <c r="D55" s="4">
        <v>0.18</v>
      </c>
      <c r="E55" s="4">
        <v>3.9</v>
      </c>
      <c r="F55" s="4">
        <v>3.2</v>
      </c>
      <c r="G55" s="4">
        <v>0.72</v>
      </c>
      <c r="H55" s="4">
        <v>2.48</v>
      </c>
      <c r="I55" s="4">
        <v>9.4</v>
      </c>
      <c r="J55" s="4">
        <v>130510</v>
      </c>
      <c r="K55" s="4">
        <v>76</v>
      </c>
      <c r="L55" s="4">
        <v>75.34</v>
      </c>
      <c r="M55" s="4">
        <v>460500</v>
      </c>
      <c r="N55" s="4">
        <v>536</v>
      </c>
      <c r="O55" s="4">
        <v>3.03</v>
      </c>
      <c r="P55" s="4">
        <v>-4.5569999999999999E-2</v>
      </c>
      <c r="Q55" s="4">
        <v>1.5622188231059799</v>
      </c>
      <c r="R55" s="4">
        <v>1.5555706398769</v>
      </c>
      <c r="S55" s="4">
        <v>-132</v>
      </c>
      <c r="T55" s="4">
        <v>214.666666666666</v>
      </c>
      <c r="U55" s="4">
        <v>8.1849511774842103</v>
      </c>
      <c r="W55" s="3">
        <v>40359</v>
      </c>
      <c r="X55">
        <v>90.301000000000002</v>
      </c>
      <c r="Y55">
        <v>2.48</v>
      </c>
    </row>
    <row r="56" spans="1:25" x14ac:dyDescent="0.2">
      <c r="A56" s="5">
        <v>40390</v>
      </c>
      <c r="B56" s="4">
        <v>90.378</v>
      </c>
      <c r="C56" s="4">
        <v>89.769000000000005</v>
      </c>
      <c r="D56" s="4">
        <v>0.18</v>
      </c>
      <c r="E56" s="4">
        <v>3.9</v>
      </c>
      <c r="F56" s="4">
        <v>3.01</v>
      </c>
      <c r="G56" s="4">
        <v>0.62</v>
      </c>
      <c r="H56" s="4">
        <v>2.39</v>
      </c>
      <c r="I56" s="4">
        <v>9.4</v>
      </c>
      <c r="J56" s="4">
        <v>130415</v>
      </c>
      <c r="K56" s="4">
        <v>67.8</v>
      </c>
      <c r="L56" s="4">
        <v>76.319999999999993</v>
      </c>
      <c r="M56" s="4">
        <v>459200</v>
      </c>
      <c r="N56" s="4">
        <v>546</v>
      </c>
      <c r="O56" s="4">
        <v>3</v>
      </c>
      <c r="P56" s="4">
        <v>-0.18109</v>
      </c>
      <c r="Q56" s="4">
        <v>1.6373900721981101</v>
      </c>
      <c r="R56" s="4">
        <v>1.47058823529411</v>
      </c>
      <c r="S56" s="4">
        <v>-95</v>
      </c>
      <c r="T56" s="4">
        <v>98.3333333333333</v>
      </c>
      <c r="U56" s="4">
        <v>18.9711613406079</v>
      </c>
      <c r="W56" s="3">
        <v>40390</v>
      </c>
      <c r="X56">
        <v>90.378</v>
      </c>
      <c r="Y56">
        <v>2.39</v>
      </c>
    </row>
    <row r="57" spans="1:25" x14ac:dyDescent="0.2">
      <c r="A57" s="5">
        <v>40421</v>
      </c>
      <c r="B57" s="4">
        <v>90.501999999999995</v>
      </c>
      <c r="C57" s="4">
        <v>89.855000000000004</v>
      </c>
      <c r="D57" s="4">
        <v>0.19</v>
      </c>
      <c r="E57" s="4">
        <v>3.9</v>
      </c>
      <c r="F57" s="4">
        <v>2.7</v>
      </c>
      <c r="G57" s="4">
        <v>0.52</v>
      </c>
      <c r="H57" s="4">
        <v>2.1800000000000002</v>
      </c>
      <c r="I57" s="4">
        <v>9.5</v>
      </c>
      <c r="J57" s="4">
        <v>130415</v>
      </c>
      <c r="K57" s="4">
        <v>68.900000000000006</v>
      </c>
      <c r="L57" s="4">
        <v>76.599999999999994</v>
      </c>
      <c r="M57" s="4">
        <v>475000</v>
      </c>
      <c r="N57" s="4">
        <v>599</v>
      </c>
      <c r="O57" s="4">
        <v>2.96</v>
      </c>
      <c r="P57" s="4">
        <v>-0.26467000000000002</v>
      </c>
      <c r="Q57" s="4">
        <v>1.4823951558645201</v>
      </c>
      <c r="R57" s="4">
        <v>1.4176232237384101</v>
      </c>
      <c r="S57" s="4">
        <v>0</v>
      </c>
      <c r="T57" s="4">
        <v>-75.6666666666666</v>
      </c>
      <c r="U57" s="4">
        <v>7.8265765765765396</v>
      </c>
      <c r="W57" s="3">
        <v>40421</v>
      </c>
      <c r="X57">
        <v>90.501999999999995</v>
      </c>
      <c r="Y57">
        <v>2.1800000000000002</v>
      </c>
    </row>
    <row r="58" spans="1:25" x14ac:dyDescent="0.2">
      <c r="A58" s="5">
        <v>40451</v>
      </c>
      <c r="B58" s="4">
        <v>90.591999999999999</v>
      </c>
      <c r="C58" s="4">
        <v>89.906000000000006</v>
      </c>
      <c r="D58" s="4">
        <v>0.19</v>
      </c>
      <c r="E58" s="4">
        <v>3.1</v>
      </c>
      <c r="F58" s="4">
        <v>2.65</v>
      </c>
      <c r="G58" s="4">
        <v>0.48</v>
      </c>
      <c r="H58" s="4">
        <v>2.17</v>
      </c>
      <c r="I58" s="4">
        <v>9.5</v>
      </c>
      <c r="J58" s="4">
        <v>130341</v>
      </c>
      <c r="K58" s="4">
        <v>68.2</v>
      </c>
      <c r="L58" s="4">
        <v>75.239999999999995</v>
      </c>
      <c r="M58" s="4">
        <v>453500</v>
      </c>
      <c r="N58" s="4">
        <v>594</v>
      </c>
      <c r="O58" s="4">
        <v>3.01</v>
      </c>
      <c r="P58" s="4">
        <v>-0.30155999999999999</v>
      </c>
      <c r="Q58" s="4">
        <v>1.4195512964040899</v>
      </c>
      <c r="R58" s="4">
        <v>1.2968283476987299</v>
      </c>
      <c r="S58" s="4">
        <v>-74</v>
      </c>
      <c r="T58" s="4">
        <v>-56.3333333333333</v>
      </c>
      <c r="U58" s="4">
        <v>8.3993660855784498</v>
      </c>
      <c r="W58" s="3">
        <v>40451</v>
      </c>
      <c r="X58">
        <v>90.591999999999999</v>
      </c>
      <c r="Y58">
        <v>2.17</v>
      </c>
    </row>
    <row r="59" spans="1:25" x14ac:dyDescent="0.2">
      <c r="A59" s="5">
        <v>40482</v>
      </c>
      <c r="B59" s="4">
        <v>90.881</v>
      </c>
      <c r="C59" s="4">
        <v>90.043000000000006</v>
      </c>
      <c r="D59" s="4">
        <v>0.19</v>
      </c>
      <c r="E59" s="4">
        <v>3.1</v>
      </c>
      <c r="F59" s="4">
        <v>2.54</v>
      </c>
      <c r="G59" s="4">
        <v>0.38</v>
      </c>
      <c r="H59" s="4">
        <v>2.16</v>
      </c>
      <c r="I59" s="4">
        <v>9.4</v>
      </c>
      <c r="J59" s="4">
        <v>130620</v>
      </c>
      <c r="K59" s="4">
        <v>67.7</v>
      </c>
      <c r="L59" s="4">
        <v>81.89</v>
      </c>
      <c r="M59" s="4">
        <v>446800</v>
      </c>
      <c r="N59" s="4">
        <v>543</v>
      </c>
      <c r="O59" s="4">
        <v>3.18</v>
      </c>
      <c r="P59" s="4">
        <v>-0.39666000000000001</v>
      </c>
      <c r="Q59" s="4">
        <v>1.3584198610352201</v>
      </c>
      <c r="R59" s="4">
        <v>1.0787813475225201</v>
      </c>
      <c r="S59" s="4">
        <v>279</v>
      </c>
      <c r="T59" s="4">
        <v>68.3333333333333</v>
      </c>
      <c r="U59" s="4">
        <v>8.1484416270470206</v>
      </c>
      <c r="W59" s="3">
        <v>40482</v>
      </c>
      <c r="X59">
        <v>90.881</v>
      </c>
      <c r="Y59">
        <v>2.16</v>
      </c>
    </row>
    <row r="60" spans="1:25" x14ac:dyDescent="0.2">
      <c r="A60" s="5">
        <v>40512</v>
      </c>
      <c r="B60" s="4">
        <v>91.061999999999998</v>
      </c>
      <c r="C60" s="4">
        <v>90.16</v>
      </c>
      <c r="D60" s="4">
        <v>0.19</v>
      </c>
      <c r="E60" s="4">
        <v>3.1</v>
      </c>
      <c r="F60" s="4">
        <v>2.76</v>
      </c>
      <c r="G60" s="4">
        <v>0.45</v>
      </c>
      <c r="H60" s="4">
        <v>2.31</v>
      </c>
      <c r="I60" s="4">
        <v>9.8000000000000007</v>
      </c>
      <c r="J60" s="4">
        <v>130749</v>
      </c>
      <c r="K60" s="4">
        <v>71.599999999999994</v>
      </c>
      <c r="L60" s="4">
        <v>84.25</v>
      </c>
      <c r="M60" s="4">
        <v>426250</v>
      </c>
      <c r="N60" s="4">
        <v>545</v>
      </c>
      <c r="O60" s="4">
        <v>3.16</v>
      </c>
      <c r="P60" s="4">
        <v>-0.44484000000000001</v>
      </c>
      <c r="Q60" s="4">
        <v>1.30719681377728</v>
      </c>
      <c r="R60" s="4">
        <v>1.1215791834903599</v>
      </c>
      <c r="S60" s="4">
        <v>129</v>
      </c>
      <c r="T60" s="4">
        <v>111.333333333333</v>
      </c>
      <c r="U60" s="4">
        <v>8.0266700859084494</v>
      </c>
      <c r="W60" s="3">
        <v>40512</v>
      </c>
      <c r="X60">
        <v>91.061999999999998</v>
      </c>
      <c r="Y60">
        <v>2.31</v>
      </c>
    </row>
    <row r="61" spans="1:25" x14ac:dyDescent="0.2">
      <c r="A61" s="5">
        <v>40543</v>
      </c>
      <c r="B61" s="4">
        <v>91.268000000000001</v>
      </c>
      <c r="C61" s="4">
        <v>90.179000000000002</v>
      </c>
      <c r="D61" s="4">
        <v>0.18</v>
      </c>
      <c r="E61" s="4">
        <v>2.1</v>
      </c>
      <c r="F61" s="4">
        <v>3.29</v>
      </c>
      <c r="G61" s="4">
        <v>0.62</v>
      </c>
      <c r="H61" s="4">
        <v>2.67</v>
      </c>
      <c r="I61" s="4">
        <v>9.3000000000000007</v>
      </c>
      <c r="J61" s="4">
        <v>130830</v>
      </c>
      <c r="K61" s="4">
        <v>74.5</v>
      </c>
      <c r="L61" s="4">
        <v>89.15</v>
      </c>
      <c r="M61" s="4">
        <v>420250</v>
      </c>
      <c r="N61" s="4">
        <v>539</v>
      </c>
      <c r="O61" s="4">
        <v>2.81</v>
      </c>
      <c r="P61" s="4">
        <v>-0.48496</v>
      </c>
      <c r="Q61" s="4">
        <v>1.47766819733374</v>
      </c>
      <c r="R61" s="4">
        <v>1.0567483975077301</v>
      </c>
      <c r="S61" s="4">
        <v>81</v>
      </c>
      <c r="T61" s="4">
        <v>163</v>
      </c>
      <c r="U61" s="4">
        <v>19.712635960789498</v>
      </c>
      <c r="W61" s="3">
        <v>40543</v>
      </c>
      <c r="X61">
        <v>91.268000000000001</v>
      </c>
      <c r="Y61">
        <v>2.67</v>
      </c>
    </row>
    <row r="62" spans="1:25" x14ac:dyDescent="0.2">
      <c r="A62" s="5">
        <v>40574</v>
      </c>
      <c r="B62" s="4">
        <v>91.542000000000002</v>
      </c>
      <c r="C62" s="4">
        <v>90.372</v>
      </c>
      <c r="D62" s="4">
        <v>0.17</v>
      </c>
      <c r="E62" s="4">
        <v>2.1</v>
      </c>
      <c r="F62" s="4">
        <v>3.39</v>
      </c>
      <c r="G62" s="4">
        <v>0.61</v>
      </c>
      <c r="H62" s="4">
        <v>2.78</v>
      </c>
      <c r="I62" s="4">
        <v>9.1</v>
      </c>
      <c r="J62" s="4">
        <v>130837</v>
      </c>
      <c r="K62" s="4">
        <v>74.2</v>
      </c>
      <c r="L62" s="4">
        <v>89.17</v>
      </c>
      <c r="M62" s="4">
        <v>426800</v>
      </c>
      <c r="N62" s="4">
        <v>630</v>
      </c>
      <c r="O62" s="4">
        <v>2.7</v>
      </c>
      <c r="P62" s="4">
        <v>-0.57033</v>
      </c>
      <c r="Q62" s="4">
        <v>1.5598650927487401</v>
      </c>
      <c r="R62" s="4">
        <v>1.1234446334258399</v>
      </c>
      <c r="S62" s="4">
        <v>7</v>
      </c>
      <c r="T62" s="4">
        <v>72.3333333333333</v>
      </c>
      <c r="U62" s="4">
        <v>13.838886761138699</v>
      </c>
      <c r="W62" s="3">
        <v>40574</v>
      </c>
      <c r="X62">
        <v>91.542000000000002</v>
      </c>
      <c r="Y62">
        <v>2.78</v>
      </c>
    </row>
    <row r="63" spans="1:25" x14ac:dyDescent="0.2">
      <c r="A63" s="5">
        <v>40602</v>
      </c>
      <c r="B63" s="4">
        <v>91.796999999999997</v>
      </c>
      <c r="C63" s="4">
        <v>90.53</v>
      </c>
      <c r="D63" s="4">
        <v>0.16</v>
      </c>
      <c r="E63" s="4">
        <v>2.1</v>
      </c>
      <c r="F63" s="4">
        <v>3.58</v>
      </c>
      <c r="G63" s="4">
        <v>0.77</v>
      </c>
      <c r="H63" s="4">
        <v>2.8</v>
      </c>
      <c r="I63" s="4">
        <v>9</v>
      </c>
      <c r="J63" s="4">
        <v>131057</v>
      </c>
      <c r="K63" s="4">
        <v>77.5</v>
      </c>
      <c r="L63" s="4">
        <v>88.58</v>
      </c>
      <c r="M63" s="4">
        <v>401500</v>
      </c>
      <c r="N63" s="4">
        <v>517</v>
      </c>
      <c r="O63" s="4">
        <v>2.57</v>
      </c>
      <c r="P63" s="4">
        <v>-0.58833000000000002</v>
      </c>
      <c r="Q63" s="4">
        <v>1.8450307320212</v>
      </c>
      <c r="R63" s="4">
        <v>1.21190438924043</v>
      </c>
      <c r="S63" s="4">
        <v>220</v>
      </c>
      <c r="T63" s="4">
        <v>102.666666666666</v>
      </c>
      <c r="U63" s="4">
        <v>15.9575860714753</v>
      </c>
      <c r="W63" s="3">
        <v>40602</v>
      </c>
      <c r="X63">
        <v>91.796999999999997</v>
      </c>
      <c r="Y63">
        <v>2.8</v>
      </c>
    </row>
    <row r="64" spans="1:25" x14ac:dyDescent="0.2">
      <c r="A64" s="5">
        <v>40633</v>
      </c>
      <c r="B64" s="4">
        <v>92.165999999999997</v>
      </c>
      <c r="C64" s="4">
        <v>90.667000000000002</v>
      </c>
      <c r="D64" s="4">
        <v>0.14000000000000001</v>
      </c>
      <c r="E64" s="4">
        <v>-0.9</v>
      </c>
      <c r="F64" s="4">
        <v>3.41</v>
      </c>
      <c r="G64" s="4">
        <v>0.7</v>
      </c>
      <c r="H64" s="4">
        <v>2.72</v>
      </c>
      <c r="I64" s="4">
        <v>9</v>
      </c>
      <c r="J64" s="4">
        <v>131283</v>
      </c>
      <c r="K64" s="4">
        <v>67.5</v>
      </c>
      <c r="L64" s="4">
        <v>102.86</v>
      </c>
      <c r="M64" s="4">
        <v>406000</v>
      </c>
      <c r="N64" s="4">
        <v>600</v>
      </c>
      <c r="O64" s="4">
        <v>2.62</v>
      </c>
      <c r="P64" s="4">
        <v>-0.54915999999999998</v>
      </c>
      <c r="Q64" s="4">
        <v>2.11054608302589</v>
      </c>
      <c r="R64" s="4">
        <v>1.21457037921834</v>
      </c>
      <c r="S64" s="4">
        <v>226</v>
      </c>
      <c r="T64" s="4">
        <v>151</v>
      </c>
      <c r="U64" s="4">
        <v>26.674876847290601</v>
      </c>
      <c r="W64" s="3">
        <v>40633</v>
      </c>
      <c r="X64">
        <v>92.165999999999997</v>
      </c>
      <c r="Y64">
        <v>2.72</v>
      </c>
    </row>
    <row r="65" spans="1:25" x14ac:dyDescent="0.2">
      <c r="A65" s="5">
        <v>40663</v>
      </c>
      <c r="B65" s="4">
        <v>92.557000000000002</v>
      </c>
      <c r="C65" s="4">
        <v>90.875</v>
      </c>
      <c r="D65" s="4">
        <v>0.1</v>
      </c>
      <c r="E65" s="4">
        <v>-0.9</v>
      </c>
      <c r="F65" s="4">
        <v>3.46</v>
      </c>
      <c r="G65" s="4">
        <v>0.73</v>
      </c>
      <c r="H65" s="4">
        <v>2.72</v>
      </c>
      <c r="I65" s="4">
        <v>9.1</v>
      </c>
      <c r="J65" s="4">
        <v>131597</v>
      </c>
      <c r="K65" s="4">
        <v>69.8</v>
      </c>
      <c r="L65" s="4">
        <v>109.53</v>
      </c>
      <c r="M65" s="4">
        <v>420600</v>
      </c>
      <c r="N65" s="4">
        <v>554</v>
      </c>
      <c r="O65" s="4">
        <v>2.56</v>
      </c>
      <c r="P65" s="4">
        <v>-0.58206999999999998</v>
      </c>
      <c r="Q65" s="4">
        <v>2.48809655630606</v>
      </c>
      <c r="R65" s="4">
        <v>1.39470013947</v>
      </c>
      <c r="S65" s="4">
        <v>314</v>
      </c>
      <c r="T65" s="4">
        <v>253.333333333333</v>
      </c>
      <c r="U65" s="4">
        <v>29.944240123383501</v>
      </c>
      <c r="W65" s="3">
        <v>40663</v>
      </c>
      <c r="X65">
        <v>92.557000000000002</v>
      </c>
      <c r="Y65">
        <v>2.72</v>
      </c>
    </row>
    <row r="66" spans="1:25" x14ac:dyDescent="0.2">
      <c r="A66" s="5">
        <v>40694</v>
      </c>
      <c r="B66" s="4">
        <v>92.837999999999994</v>
      </c>
      <c r="C66" s="4">
        <v>91.090999999999994</v>
      </c>
      <c r="D66" s="4">
        <v>0.09</v>
      </c>
      <c r="E66" s="4">
        <v>-0.9</v>
      </c>
      <c r="F66" s="4">
        <v>3.17</v>
      </c>
      <c r="G66" s="4">
        <v>0.56000000000000005</v>
      </c>
      <c r="H66" s="4">
        <v>2.61</v>
      </c>
      <c r="I66" s="4">
        <v>9</v>
      </c>
      <c r="J66" s="4">
        <v>131703</v>
      </c>
      <c r="K66" s="4">
        <v>74.3</v>
      </c>
      <c r="L66" s="4">
        <v>100.9</v>
      </c>
      <c r="M66" s="4">
        <v>422500</v>
      </c>
      <c r="N66" s="4">
        <v>561</v>
      </c>
      <c r="O66" s="4">
        <v>2.61</v>
      </c>
      <c r="P66" s="4">
        <v>-0.57923999999999998</v>
      </c>
      <c r="Q66" s="4">
        <v>2.7662471357885199</v>
      </c>
      <c r="R66" s="4">
        <v>1.5235611430609299</v>
      </c>
      <c r="S66" s="4">
        <v>106</v>
      </c>
      <c r="T66" s="4">
        <v>215.333333333333</v>
      </c>
      <c r="U66" s="4">
        <v>36.832112828858101</v>
      </c>
      <c r="W66" s="3">
        <v>40694</v>
      </c>
      <c r="X66">
        <v>92.837999999999994</v>
      </c>
      <c r="Y66">
        <v>2.61</v>
      </c>
    </row>
    <row r="67" spans="1:25" x14ac:dyDescent="0.2">
      <c r="A67" s="5">
        <v>40724</v>
      </c>
      <c r="B67" s="4">
        <v>92.819000000000003</v>
      </c>
      <c r="C67" s="4">
        <v>91.191000000000003</v>
      </c>
      <c r="D67" s="4">
        <v>0.09</v>
      </c>
      <c r="E67" s="4">
        <v>2.7</v>
      </c>
      <c r="F67" s="4">
        <v>3</v>
      </c>
      <c r="G67" s="4">
        <v>0.41</v>
      </c>
      <c r="H67" s="4">
        <v>2.59</v>
      </c>
      <c r="I67" s="4">
        <v>9.1</v>
      </c>
      <c r="J67" s="4">
        <v>131931</v>
      </c>
      <c r="K67" s="4">
        <v>71.5</v>
      </c>
      <c r="L67" s="4">
        <v>96.26</v>
      </c>
      <c r="M67" s="4">
        <v>418250</v>
      </c>
      <c r="N67" s="4">
        <v>608</v>
      </c>
      <c r="O67" s="4">
        <v>2.75</v>
      </c>
      <c r="P67" s="4">
        <v>-0.53180000000000005</v>
      </c>
      <c r="Q67" s="4">
        <v>2.7884519551278402</v>
      </c>
      <c r="R67" s="4">
        <v>1.5863290518787601</v>
      </c>
      <c r="S67" s="4">
        <v>228</v>
      </c>
      <c r="T67" s="4">
        <v>216</v>
      </c>
      <c r="U67" s="4">
        <v>27.767454207592198</v>
      </c>
      <c r="W67" s="3">
        <v>40724</v>
      </c>
      <c r="X67">
        <v>92.819000000000003</v>
      </c>
      <c r="Y67">
        <v>2.59</v>
      </c>
    </row>
    <row r="68" spans="1:25" x14ac:dyDescent="0.2">
      <c r="A68" s="5">
        <v>40755</v>
      </c>
      <c r="B68" s="4">
        <v>92.977000000000004</v>
      </c>
      <c r="C68" s="4">
        <v>91.325999999999993</v>
      </c>
      <c r="D68" s="4">
        <v>7.0000000000000007E-2</v>
      </c>
      <c r="E68" s="4">
        <v>2.7</v>
      </c>
      <c r="F68" s="4">
        <v>3</v>
      </c>
      <c r="G68" s="4">
        <v>0.41</v>
      </c>
      <c r="H68" s="4">
        <v>2.6</v>
      </c>
      <c r="I68" s="4">
        <v>9</v>
      </c>
      <c r="J68" s="4">
        <v>131992</v>
      </c>
      <c r="K68" s="4">
        <v>63.7</v>
      </c>
      <c r="L68" s="4">
        <v>97.3</v>
      </c>
      <c r="M68" s="4">
        <v>412600</v>
      </c>
      <c r="N68" s="4">
        <v>623</v>
      </c>
      <c r="O68" s="4">
        <v>2.76</v>
      </c>
      <c r="P68" s="4">
        <v>-0.46507999999999999</v>
      </c>
      <c r="Q68" s="4">
        <v>2.8756998384562502</v>
      </c>
      <c r="R68" s="4">
        <v>1.73445175951607</v>
      </c>
      <c r="S68" s="4">
        <v>61</v>
      </c>
      <c r="T68" s="4">
        <v>131.666666666666</v>
      </c>
      <c r="U68" s="4">
        <v>27.489517819706499</v>
      </c>
      <c r="W68" s="3">
        <v>40755</v>
      </c>
      <c r="X68">
        <v>92.977000000000004</v>
      </c>
      <c r="Y68">
        <v>2.6</v>
      </c>
    </row>
    <row r="69" spans="1:25" x14ac:dyDescent="0.2">
      <c r="A69" s="5">
        <v>40786</v>
      </c>
      <c r="B69" s="4">
        <v>93.195999999999998</v>
      </c>
      <c r="C69" s="4">
        <v>91.507999999999996</v>
      </c>
      <c r="D69" s="4">
        <v>0.1</v>
      </c>
      <c r="E69" s="4">
        <v>2.7</v>
      </c>
      <c r="F69" s="4">
        <v>2.2999999999999998</v>
      </c>
      <c r="G69" s="4">
        <v>0.23</v>
      </c>
      <c r="H69" s="4">
        <v>2.0699999999999998</v>
      </c>
      <c r="I69" s="4">
        <v>9</v>
      </c>
      <c r="J69" s="4">
        <v>132125</v>
      </c>
      <c r="K69" s="4">
        <v>55.8</v>
      </c>
      <c r="L69" s="4">
        <v>86.33</v>
      </c>
      <c r="M69" s="4">
        <v>409500</v>
      </c>
      <c r="N69" s="4">
        <v>585</v>
      </c>
      <c r="O69" s="4">
        <v>3.06</v>
      </c>
      <c r="P69" s="4">
        <v>-0.23057</v>
      </c>
      <c r="Q69" s="4">
        <v>2.9767297960266101</v>
      </c>
      <c r="R69" s="4">
        <v>1.83963051583104</v>
      </c>
      <c r="S69" s="4">
        <v>133</v>
      </c>
      <c r="T69" s="4">
        <v>140.666666666666</v>
      </c>
      <c r="U69" s="4">
        <v>12.7023498694517</v>
      </c>
      <c r="W69" s="3">
        <v>40786</v>
      </c>
      <c r="X69">
        <v>93.195999999999998</v>
      </c>
      <c r="Y69">
        <v>2.0699999999999998</v>
      </c>
    </row>
    <row r="70" spans="1:25" x14ac:dyDescent="0.2">
      <c r="A70" s="5">
        <v>40816</v>
      </c>
      <c r="B70" s="4">
        <v>93.326999999999998</v>
      </c>
      <c r="C70" s="4">
        <v>91.57</v>
      </c>
      <c r="D70" s="4">
        <v>0.08</v>
      </c>
      <c r="E70" s="4">
        <v>-0.1</v>
      </c>
      <c r="F70" s="4">
        <v>1.98</v>
      </c>
      <c r="G70" s="4">
        <v>0.21</v>
      </c>
      <c r="H70" s="4">
        <v>1.76</v>
      </c>
      <c r="I70" s="4">
        <v>9</v>
      </c>
      <c r="J70" s="4">
        <v>132344</v>
      </c>
      <c r="K70" s="4">
        <v>59.5</v>
      </c>
      <c r="L70" s="4">
        <v>85.52</v>
      </c>
      <c r="M70" s="4">
        <v>417750</v>
      </c>
      <c r="N70" s="4">
        <v>650</v>
      </c>
      <c r="O70" s="4">
        <v>3.29</v>
      </c>
      <c r="P70" s="4">
        <v>-5.5690000000000003E-2</v>
      </c>
      <c r="Q70" s="4">
        <v>3.0190303779583201</v>
      </c>
      <c r="R70" s="4">
        <v>1.85082196961268</v>
      </c>
      <c r="S70" s="4">
        <v>219</v>
      </c>
      <c r="T70" s="4">
        <v>137.666666666666</v>
      </c>
      <c r="U70" s="4">
        <v>13.662945241892601</v>
      </c>
      <c r="W70" s="3">
        <v>40816</v>
      </c>
      <c r="X70">
        <v>93.326999999999998</v>
      </c>
      <c r="Y70">
        <v>1.76</v>
      </c>
    </row>
    <row r="71" spans="1:25" x14ac:dyDescent="0.2">
      <c r="A71" s="5">
        <v>40847</v>
      </c>
      <c r="B71" s="4">
        <v>93.328999999999994</v>
      </c>
      <c r="C71" s="4">
        <v>91.614000000000004</v>
      </c>
      <c r="D71" s="4">
        <v>7.0000000000000007E-2</v>
      </c>
      <c r="E71" s="4">
        <v>-0.1</v>
      </c>
      <c r="F71" s="4">
        <v>2.15</v>
      </c>
      <c r="G71" s="4">
        <v>0.28000000000000003</v>
      </c>
      <c r="H71" s="4">
        <v>1.87</v>
      </c>
      <c r="I71" s="4">
        <v>8.8000000000000007</v>
      </c>
      <c r="J71" s="4">
        <v>132553</v>
      </c>
      <c r="K71" s="4">
        <v>60.8</v>
      </c>
      <c r="L71" s="4">
        <v>86.32</v>
      </c>
      <c r="M71" s="4">
        <v>402400</v>
      </c>
      <c r="N71" s="4">
        <v>610</v>
      </c>
      <c r="O71" s="4">
        <v>3.22</v>
      </c>
      <c r="P71" s="4">
        <v>-7.8960000000000002E-2</v>
      </c>
      <c r="Q71" s="4">
        <v>2.6936323323906999</v>
      </c>
      <c r="R71" s="4">
        <v>1.7447219661717199</v>
      </c>
      <c r="S71" s="4">
        <v>209</v>
      </c>
      <c r="T71" s="4">
        <v>187</v>
      </c>
      <c r="U71" s="4">
        <v>5.4096959335694104</v>
      </c>
      <c r="W71" s="3">
        <v>40847</v>
      </c>
      <c r="X71">
        <v>93.328999999999994</v>
      </c>
      <c r="Y71">
        <v>1.87</v>
      </c>
    </row>
    <row r="72" spans="1:25" x14ac:dyDescent="0.2">
      <c r="A72" s="5">
        <v>40877</v>
      </c>
      <c r="B72" s="4">
        <v>93.52</v>
      </c>
      <c r="C72" s="4">
        <v>91.808000000000007</v>
      </c>
      <c r="D72" s="4">
        <v>0.08</v>
      </c>
      <c r="E72" s="4">
        <v>-0.1</v>
      </c>
      <c r="F72" s="4">
        <v>2.0099999999999998</v>
      </c>
      <c r="G72" s="4">
        <v>0.25</v>
      </c>
      <c r="H72" s="4">
        <v>1.76</v>
      </c>
      <c r="I72" s="4">
        <v>8.6</v>
      </c>
      <c r="J72" s="4">
        <v>132690</v>
      </c>
      <c r="K72" s="4">
        <v>63.7</v>
      </c>
      <c r="L72" s="4">
        <v>97.16</v>
      </c>
      <c r="M72" s="4">
        <v>389250</v>
      </c>
      <c r="N72" s="4">
        <v>711</v>
      </c>
      <c r="O72" s="4">
        <v>3.13</v>
      </c>
      <c r="P72" s="4">
        <v>-9.0620000000000006E-2</v>
      </c>
      <c r="Q72" s="4">
        <v>2.6992598449408098</v>
      </c>
      <c r="R72" s="4">
        <v>1.82786157941439</v>
      </c>
      <c r="S72" s="4">
        <v>137</v>
      </c>
      <c r="T72" s="4">
        <v>188.333333333333</v>
      </c>
      <c r="U72" s="4">
        <v>15.3234421364985</v>
      </c>
      <c r="W72" s="3">
        <v>40877</v>
      </c>
      <c r="X72">
        <v>93.52</v>
      </c>
      <c r="Y72">
        <v>1.76</v>
      </c>
    </row>
    <row r="73" spans="1:25" x14ac:dyDescent="0.2">
      <c r="A73" s="5">
        <v>40908</v>
      </c>
      <c r="B73" s="4">
        <v>93.573999999999998</v>
      </c>
      <c r="C73" s="4">
        <v>91.96</v>
      </c>
      <c r="D73" s="4">
        <v>7.0000000000000007E-2</v>
      </c>
      <c r="E73" s="4">
        <v>4.5999999999999996</v>
      </c>
      <c r="F73" s="4">
        <v>1.98</v>
      </c>
      <c r="G73" s="4">
        <v>0.26</v>
      </c>
      <c r="H73" s="4">
        <v>1.72</v>
      </c>
      <c r="I73" s="4">
        <v>8.5</v>
      </c>
      <c r="J73" s="4">
        <v>132888</v>
      </c>
      <c r="K73" s="4">
        <v>69.900000000000006</v>
      </c>
      <c r="L73" s="4">
        <v>98.56</v>
      </c>
      <c r="M73" s="4">
        <v>377000</v>
      </c>
      <c r="N73" s="4">
        <v>694</v>
      </c>
      <c r="O73" s="4">
        <v>3.27</v>
      </c>
      <c r="P73" s="4">
        <v>-0.10123</v>
      </c>
      <c r="Q73" s="4">
        <v>2.5266248849541801</v>
      </c>
      <c r="R73" s="4">
        <v>1.97496091107685</v>
      </c>
      <c r="S73" s="4">
        <v>198</v>
      </c>
      <c r="T73" s="4">
        <v>181.333333333333</v>
      </c>
      <c r="U73" s="4">
        <v>10.555243970835599</v>
      </c>
      <c r="W73" s="3">
        <v>40908</v>
      </c>
      <c r="X73">
        <v>93.573999999999998</v>
      </c>
      <c r="Y73">
        <v>1.72</v>
      </c>
    </row>
    <row r="74" spans="1:25" x14ac:dyDescent="0.2">
      <c r="A74" s="5">
        <v>40939</v>
      </c>
      <c r="B74" s="4">
        <v>93.894000000000005</v>
      </c>
      <c r="C74" s="4">
        <v>92.234999999999999</v>
      </c>
      <c r="D74" s="4">
        <v>0.08</v>
      </c>
      <c r="E74" s="4">
        <v>4.5999999999999996</v>
      </c>
      <c r="F74" s="4">
        <v>1.97</v>
      </c>
      <c r="G74" s="4">
        <v>0.24</v>
      </c>
      <c r="H74" s="4">
        <v>1.73</v>
      </c>
      <c r="I74" s="4">
        <v>8.3000000000000007</v>
      </c>
      <c r="J74" s="4">
        <v>133246</v>
      </c>
      <c r="K74" s="4">
        <v>75</v>
      </c>
      <c r="L74" s="4">
        <v>100.27</v>
      </c>
      <c r="M74" s="4">
        <v>377750</v>
      </c>
      <c r="N74" s="4">
        <v>723</v>
      </c>
      <c r="O74" s="4">
        <v>3.26</v>
      </c>
      <c r="P74" s="4">
        <v>-0.25891999999999998</v>
      </c>
      <c r="Q74" s="4">
        <v>2.56931244674576</v>
      </c>
      <c r="R74" s="4">
        <v>2.06147921922719</v>
      </c>
      <c r="S74" s="4">
        <v>358</v>
      </c>
      <c r="T74" s="4">
        <v>231</v>
      </c>
      <c r="U74" s="4">
        <v>12.448132780082901</v>
      </c>
      <c r="W74" s="3">
        <v>40939</v>
      </c>
      <c r="X74">
        <v>93.894000000000005</v>
      </c>
      <c r="Y74">
        <v>1.73</v>
      </c>
    </row>
    <row r="75" spans="1:25" x14ac:dyDescent="0.2">
      <c r="A75" s="5">
        <v>40968</v>
      </c>
      <c r="B75" s="4">
        <v>94.103999999999999</v>
      </c>
      <c r="C75" s="4">
        <v>92.364000000000004</v>
      </c>
      <c r="D75" s="4">
        <v>0.1</v>
      </c>
      <c r="E75" s="4">
        <v>4.5999999999999996</v>
      </c>
      <c r="F75" s="4">
        <v>1.97</v>
      </c>
      <c r="G75" s="4">
        <v>0.28000000000000003</v>
      </c>
      <c r="H75" s="4">
        <v>1.69</v>
      </c>
      <c r="I75" s="4">
        <v>8.3000000000000007</v>
      </c>
      <c r="J75" s="4">
        <v>133509</v>
      </c>
      <c r="K75" s="4">
        <v>75.3</v>
      </c>
      <c r="L75" s="4">
        <v>102.2</v>
      </c>
      <c r="M75" s="4">
        <v>363250</v>
      </c>
      <c r="N75" s="4">
        <v>704</v>
      </c>
      <c r="O75" s="4">
        <v>3.17</v>
      </c>
      <c r="P75" s="4">
        <v>-0.38574999999999998</v>
      </c>
      <c r="Q75" s="4">
        <v>2.51315402464133</v>
      </c>
      <c r="R75" s="4">
        <v>2.02584778526455</v>
      </c>
      <c r="S75" s="4">
        <v>263</v>
      </c>
      <c r="T75" s="4">
        <v>273</v>
      </c>
      <c r="U75" s="4">
        <v>15.375931361481101</v>
      </c>
      <c r="W75" s="3">
        <v>40968</v>
      </c>
      <c r="X75">
        <v>94.103999999999999</v>
      </c>
      <c r="Y75">
        <v>1.69</v>
      </c>
    </row>
    <row r="76" spans="1:25" x14ac:dyDescent="0.2">
      <c r="A76" s="5">
        <v>40999</v>
      </c>
      <c r="B76" s="4">
        <v>94.284000000000006</v>
      </c>
      <c r="C76" s="4">
        <v>92.521000000000001</v>
      </c>
      <c r="D76" s="4">
        <v>0.13</v>
      </c>
      <c r="E76" s="4">
        <v>3.4</v>
      </c>
      <c r="F76" s="4">
        <v>2.17</v>
      </c>
      <c r="G76" s="4">
        <v>0.34</v>
      </c>
      <c r="H76" s="4">
        <v>1.83</v>
      </c>
      <c r="I76" s="4">
        <v>8.1999999999999993</v>
      </c>
      <c r="J76" s="4">
        <v>133748</v>
      </c>
      <c r="K76" s="4">
        <v>76.2</v>
      </c>
      <c r="L76" s="4">
        <v>106.16</v>
      </c>
      <c r="M76" s="4">
        <v>366600</v>
      </c>
      <c r="N76" s="4">
        <v>695</v>
      </c>
      <c r="O76" s="4">
        <v>3.06</v>
      </c>
      <c r="P76" s="4">
        <v>-0.43153999999999998</v>
      </c>
      <c r="Q76" s="4">
        <v>2.29802747216978</v>
      </c>
      <c r="R76" s="4">
        <v>2.0448454233623998</v>
      </c>
      <c r="S76" s="4">
        <v>239</v>
      </c>
      <c r="T76" s="4">
        <v>286.666666666666</v>
      </c>
      <c r="U76" s="4">
        <v>3.2082442154384601</v>
      </c>
      <c r="W76" s="3">
        <v>40999</v>
      </c>
      <c r="X76">
        <v>94.284000000000006</v>
      </c>
      <c r="Y76">
        <v>1.83</v>
      </c>
    </row>
    <row r="77" spans="1:25" x14ac:dyDescent="0.2">
      <c r="A77" s="5">
        <v>41029</v>
      </c>
      <c r="B77" s="4">
        <v>94.408000000000001</v>
      </c>
      <c r="C77" s="4">
        <v>92.661000000000001</v>
      </c>
      <c r="D77" s="4">
        <v>0.14000000000000001</v>
      </c>
      <c r="E77" s="4">
        <v>3.4</v>
      </c>
      <c r="F77" s="4">
        <v>2.0499999999999998</v>
      </c>
      <c r="G77" s="4">
        <v>0.28999999999999998</v>
      </c>
      <c r="H77" s="4">
        <v>1.76</v>
      </c>
      <c r="I77" s="4">
        <v>8.1999999999999993</v>
      </c>
      <c r="J77" s="4">
        <v>133825</v>
      </c>
      <c r="K77" s="4">
        <v>76.400000000000006</v>
      </c>
      <c r="L77" s="4">
        <v>103.32</v>
      </c>
      <c r="M77" s="4">
        <v>381750</v>
      </c>
      <c r="N77" s="4">
        <v>753</v>
      </c>
      <c r="O77" s="4">
        <v>3.14</v>
      </c>
      <c r="P77" s="4">
        <v>-0.40647</v>
      </c>
      <c r="Q77" s="4">
        <v>1.99984874185636</v>
      </c>
      <c r="R77" s="4">
        <v>1.96533700137551</v>
      </c>
      <c r="S77" s="4">
        <v>77</v>
      </c>
      <c r="T77" s="4">
        <v>193</v>
      </c>
      <c r="U77" s="4">
        <v>-5.6696795398521003</v>
      </c>
      <c r="W77" s="3">
        <v>41029</v>
      </c>
      <c r="X77">
        <v>94.408000000000001</v>
      </c>
      <c r="Y77">
        <v>1.76</v>
      </c>
    </row>
    <row r="78" spans="1:25" x14ac:dyDescent="0.2">
      <c r="A78" s="5">
        <v>41060</v>
      </c>
      <c r="B78" s="4">
        <v>94.302000000000007</v>
      </c>
      <c r="C78" s="4">
        <v>92.754999999999995</v>
      </c>
      <c r="D78" s="4">
        <v>0.16</v>
      </c>
      <c r="E78" s="4">
        <v>3.4</v>
      </c>
      <c r="F78" s="4">
        <v>1.8</v>
      </c>
      <c r="G78" s="4">
        <v>0.28999999999999998</v>
      </c>
      <c r="H78" s="4">
        <v>1.52</v>
      </c>
      <c r="I78" s="4">
        <v>8.1999999999999993</v>
      </c>
      <c r="J78" s="4">
        <v>133932</v>
      </c>
      <c r="K78" s="4">
        <v>79.3</v>
      </c>
      <c r="L78" s="4">
        <v>94.65</v>
      </c>
      <c r="M78" s="4">
        <v>373500</v>
      </c>
      <c r="N78" s="4">
        <v>708</v>
      </c>
      <c r="O78" s="4">
        <v>3.27</v>
      </c>
      <c r="P78" s="4">
        <v>-0.30697999999999998</v>
      </c>
      <c r="Q78" s="4">
        <v>1.57694047695988</v>
      </c>
      <c r="R78" s="4">
        <v>1.8267446838875401</v>
      </c>
      <c r="S78" s="4">
        <v>107</v>
      </c>
      <c r="T78" s="4">
        <v>141</v>
      </c>
      <c r="U78" s="4">
        <v>-6.1942517343904804</v>
      </c>
      <c r="W78" s="3">
        <v>41060</v>
      </c>
      <c r="X78">
        <v>94.302000000000007</v>
      </c>
      <c r="Y78">
        <v>1.52</v>
      </c>
    </row>
    <row r="79" spans="1:25" x14ac:dyDescent="0.2">
      <c r="A79" s="5">
        <v>41090</v>
      </c>
      <c r="B79" s="4">
        <v>94.254000000000005</v>
      </c>
      <c r="C79" s="4">
        <v>92.85</v>
      </c>
      <c r="D79" s="4">
        <v>0.16</v>
      </c>
      <c r="E79" s="4">
        <v>1.8</v>
      </c>
      <c r="F79" s="4">
        <v>1.62</v>
      </c>
      <c r="G79" s="4">
        <v>0.28999999999999998</v>
      </c>
      <c r="H79" s="4">
        <v>1.33</v>
      </c>
      <c r="I79" s="4">
        <v>8.1999999999999993</v>
      </c>
      <c r="J79" s="4">
        <v>134013</v>
      </c>
      <c r="K79" s="4">
        <v>73.2</v>
      </c>
      <c r="L79" s="4">
        <v>82.3</v>
      </c>
      <c r="M79" s="4">
        <v>379200</v>
      </c>
      <c r="N79" s="4">
        <v>757</v>
      </c>
      <c r="O79" s="4">
        <v>3.4</v>
      </c>
      <c r="P79" s="4">
        <v>-0.25122</v>
      </c>
      <c r="Q79" s="4">
        <v>1.54601967269631</v>
      </c>
      <c r="R79" s="4">
        <v>1.81925847945521</v>
      </c>
      <c r="S79" s="4">
        <v>81</v>
      </c>
      <c r="T79" s="4">
        <v>88.3333333333333</v>
      </c>
      <c r="U79" s="4">
        <v>-14.5023893621441</v>
      </c>
      <c r="W79" s="3">
        <v>41090</v>
      </c>
      <c r="X79">
        <v>94.254000000000005</v>
      </c>
      <c r="Y79">
        <v>1.33</v>
      </c>
    </row>
    <row r="80" spans="1:25" x14ac:dyDescent="0.2">
      <c r="A80" s="5">
        <v>41121</v>
      </c>
      <c r="B80" s="4">
        <v>94.287999999999997</v>
      </c>
      <c r="C80" s="4">
        <v>92.945999999999998</v>
      </c>
      <c r="D80" s="4">
        <v>0.16</v>
      </c>
      <c r="E80" s="4">
        <v>1.8</v>
      </c>
      <c r="F80" s="4">
        <v>1.53</v>
      </c>
      <c r="G80" s="4">
        <v>0.25</v>
      </c>
      <c r="H80" s="4">
        <v>1.28</v>
      </c>
      <c r="I80" s="4">
        <v>8.1999999999999993</v>
      </c>
      <c r="J80" s="4">
        <v>134157</v>
      </c>
      <c r="K80" s="4">
        <v>72.3</v>
      </c>
      <c r="L80" s="4">
        <v>87.9</v>
      </c>
      <c r="M80" s="4">
        <v>372500</v>
      </c>
      <c r="N80" s="4">
        <v>740</v>
      </c>
      <c r="O80" s="4">
        <v>3.34</v>
      </c>
      <c r="P80" s="4">
        <v>-0.33465</v>
      </c>
      <c r="Q80" s="4">
        <v>1.4100261354958501</v>
      </c>
      <c r="R80" s="4">
        <v>1.7738650548584101</v>
      </c>
      <c r="S80" s="4">
        <v>144</v>
      </c>
      <c r="T80" s="4">
        <v>110.666666666666</v>
      </c>
      <c r="U80" s="4">
        <v>-9.6608427543679198</v>
      </c>
      <c r="W80" s="3">
        <v>41121</v>
      </c>
      <c r="X80">
        <v>94.287999999999997</v>
      </c>
      <c r="Y80">
        <v>1.28</v>
      </c>
    </row>
    <row r="81" spans="1:25" x14ac:dyDescent="0.2">
      <c r="A81" s="5">
        <v>41152</v>
      </c>
      <c r="B81" s="4">
        <v>94.605000000000004</v>
      </c>
      <c r="C81" s="4">
        <v>93.004999999999995</v>
      </c>
      <c r="D81" s="4">
        <v>0.13</v>
      </c>
      <c r="E81" s="4">
        <v>1.8</v>
      </c>
      <c r="F81" s="4">
        <v>1.68</v>
      </c>
      <c r="G81" s="4">
        <v>0.27</v>
      </c>
      <c r="H81" s="4">
        <v>1.41</v>
      </c>
      <c r="I81" s="4">
        <v>8.1</v>
      </c>
      <c r="J81" s="4">
        <v>134339</v>
      </c>
      <c r="K81" s="4">
        <v>74.3</v>
      </c>
      <c r="L81" s="4">
        <v>94.13</v>
      </c>
      <c r="M81" s="4">
        <v>373250</v>
      </c>
      <c r="N81" s="4">
        <v>754</v>
      </c>
      <c r="O81" s="4">
        <v>3.23</v>
      </c>
      <c r="P81" s="4">
        <v>-0.42676999999999998</v>
      </c>
      <c r="Q81" s="4">
        <v>1.5118674621228401</v>
      </c>
      <c r="R81" s="4">
        <v>1.6359225422913899</v>
      </c>
      <c r="S81" s="4">
        <v>182</v>
      </c>
      <c r="T81" s="4">
        <v>135.666666666666</v>
      </c>
      <c r="U81" s="4">
        <v>9.0350978802270205</v>
      </c>
      <c r="W81" s="3">
        <v>41152</v>
      </c>
      <c r="X81">
        <v>94.605000000000004</v>
      </c>
      <c r="Y81">
        <v>1.41</v>
      </c>
    </row>
    <row r="82" spans="1:25" x14ac:dyDescent="0.2">
      <c r="A82" s="5">
        <v>41182</v>
      </c>
      <c r="B82" s="4">
        <v>94.893000000000001</v>
      </c>
      <c r="C82" s="4">
        <v>93.119</v>
      </c>
      <c r="D82" s="4">
        <v>0.14000000000000001</v>
      </c>
      <c r="E82" s="4">
        <v>0.6</v>
      </c>
      <c r="F82" s="4">
        <v>1.72</v>
      </c>
      <c r="G82" s="4">
        <v>0.26</v>
      </c>
      <c r="H82" s="4">
        <v>1.47</v>
      </c>
      <c r="I82" s="4">
        <v>7.8</v>
      </c>
      <c r="J82" s="4">
        <v>134517</v>
      </c>
      <c r="K82" s="4">
        <v>78.3</v>
      </c>
      <c r="L82" s="4">
        <v>94.51</v>
      </c>
      <c r="M82" s="4">
        <v>381800</v>
      </c>
      <c r="N82" s="4">
        <v>847</v>
      </c>
      <c r="O82" s="4">
        <v>3.12</v>
      </c>
      <c r="P82" s="4">
        <v>-0.50663999999999998</v>
      </c>
      <c r="Q82" s="4">
        <v>1.67797100517534</v>
      </c>
      <c r="R82" s="4">
        <v>1.69160205307414</v>
      </c>
      <c r="S82" s="4">
        <v>178</v>
      </c>
      <c r="T82" s="4">
        <v>168</v>
      </c>
      <c r="U82" s="4">
        <v>10.5121608980355</v>
      </c>
      <c r="W82" s="3">
        <v>41182</v>
      </c>
      <c r="X82">
        <v>94.893000000000001</v>
      </c>
      <c r="Y82">
        <v>1.47</v>
      </c>
    </row>
    <row r="83" spans="1:25" x14ac:dyDescent="0.2">
      <c r="A83" s="5">
        <v>41213</v>
      </c>
      <c r="B83" s="4">
        <v>95.174000000000007</v>
      </c>
      <c r="C83" s="4">
        <v>93.344999999999999</v>
      </c>
      <c r="D83" s="4">
        <v>0.16</v>
      </c>
      <c r="E83" s="4">
        <v>0.6</v>
      </c>
      <c r="F83" s="4">
        <v>1.75</v>
      </c>
      <c r="G83" s="4">
        <v>0.28000000000000003</v>
      </c>
      <c r="H83" s="4">
        <v>1.47</v>
      </c>
      <c r="I83" s="4">
        <v>7.8</v>
      </c>
      <c r="J83" s="4">
        <v>134669</v>
      </c>
      <c r="K83" s="4">
        <v>82.6</v>
      </c>
      <c r="L83" s="4">
        <v>89.49</v>
      </c>
      <c r="M83" s="4">
        <v>368500</v>
      </c>
      <c r="N83" s="4">
        <v>915</v>
      </c>
      <c r="O83" s="4">
        <v>2.83</v>
      </c>
      <c r="P83" s="4">
        <v>-0.54752000000000001</v>
      </c>
      <c r="Q83" s="4">
        <v>1.9768774978838399</v>
      </c>
      <c r="R83" s="4">
        <v>1.8894492108193</v>
      </c>
      <c r="S83" s="4">
        <v>152</v>
      </c>
      <c r="T83" s="4">
        <v>170.666666666666</v>
      </c>
      <c r="U83" s="4">
        <v>3.6723818350324402</v>
      </c>
      <c r="W83" s="3">
        <v>41213</v>
      </c>
      <c r="X83">
        <v>95.174000000000007</v>
      </c>
      <c r="Y83">
        <v>1.47</v>
      </c>
    </row>
    <row r="84" spans="1:25" x14ac:dyDescent="0.2">
      <c r="A84" s="5">
        <v>41243</v>
      </c>
      <c r="B84" s="4">
        <v>95.108999999999995</v>
      </c>
      <c r="C84" s="4">
        <v>93.444999999999993</v>
      </c>
      <c r="D84" s="4">
        <v>0.16</v>
      </c>
      <c r="E84" s="4">
        <v>0.6</v>
      </c>
      <c r="F84" s="4">
        <v>1.65</v>
      </c>
      <c r="G84" s="4">
        <v>0.27</v>
      </c>
      <c r="H84" s="4">
        <v>1.39</v>
      </c>
      <c r="I84" s="4">
        <v>7.7</v>
      </c>
      <c r="J84" s="4">
        <v>134825</v>
      </c>
      <c r="K84" s="4">
        <v>82.7</v>
      </c>
      <c r="L84" s="4">
        <v>86.53</v>
      </c>
      <c r="M84" s="4">
        <v>401250</v>
      </c>
      <c r="N84" s="4">
        <v>833</v>
      </c>
      <c r="O84" s="4">
        <v>2.86</v>
      </c>
      <c r="P84" s="4">
        <v>-0.55086999999999997</v>
      </c>
      <c r="Q84" s="4">
        <v>1.69910179640717</v>
      </c>
      <c r="R84" s="4">
        <v>1.7830690135935701</v>
      </c>
      <c r="S84" s="4">
        <v>156</v>
      </c>
      <c r="T84" s="4">
        <v>162</v>
      </c>
      <c r="U84" s="4">
        <v>-10.940716344174501</v>
      </c>
      <c r="W84" s="3">
        <v>41243</v>
      </c>
      <c r="X84">
        <v>95.108999999999995</v>
      </c>
      <c r="Y84">
        <v>1.39</v>
      </c>
    </row>
    <row r="85" spans="1:25" x14ac:dyDescent="0.2">
      <c r="A85" s="5">
        <v>41274</v>
      </c>
      <c r="B85" s="4">
        <v>95.093999999999994</v>
      </c>
      <c r="C85" s="4">
        <v>93.513999999999996</v>
      </c>
      <c r="D85" s="4">
        <v>0.16</v>
      </c>
      <c r="E85" s="4">
        <v>0.5</v>
      </c>
      <c r="F85" s="4">
        <v>1.72</v>
      </c>
      <c r="G85" s="4">
        <v>0.26</v>
      </c>
      <c r="H85" s="4">
        <v>1.46</v>
      </c>
      <c r="I85" s="4">
        <v>7.9</v>
      </c>
      <c r="J85" s="4">
        <v>135074</v>
      </c>
      <c r="K85" s="4">
        <v>72.900000000000006</v>
      </c>
      <c r="L85" s="4">
        <v>87.86</v>
      </c>
      <c r="M85" s="4">
        <v>359000</v>
      </c>
      <c r="N85" s="4">
        <v>976</v>
      </c>
      <c r="O85" s="4">
        <v>2.91</v>
      </c>
      <c r="P85" s="4">
        <v>-0.58331</v>
      </c>
      <c r="Q85" s="4">
        <v>1.6243828413875501</v>
      </c>
      <c r="R85" s="4">
        <v>1.68986515876468</v>
      </c>
      <c r="S85" s="4">
        <v>249</v>
      </c>
      <c r="T85" s="4">
        <v>185.666666666666</v>
      </c>
      <c r="U85" s="4">
        <v>-10.856331168831099</v>
      </c>
      <c r="W85" s="3">
        <v>41274</v>
      </c>
      <c r="X85">
        <v>95.093999999999994</v>
      </c>
      <c r="Y85">
        <v>1.46</v>
      </c>
    </row>
    <row r="86" spans="1:25" x14ac:dyDescent="0.2">
      <c r="A86" s="5">
        <v>41305</v>
      </c>
      <c r="B86" s="4">
        <v>95.275000000000006</v>
      </c>
      <c r="C86" s="4">
        <v>93.703000000000003</v>
      </c>
      <c r="D86" s="4">
        <v>0.14000000000000001</v>
      </c>
      <c r="E86" s="4">
        <v>0.5</v>
      </c>
      <c r="F86" s="4">
        <v>1.91</v>
      </c>
      <c r="G86" s="4">
        <v>0.27</v>
      </c>
      <c r="H86" s="4">
        <v>1.65</v>
      </c>
      <c r="I86" s="4">
        <v>8</v>
      </c>
      <c r="J86" s="4">
        <v>135257</v>
      </c>
      <c r="K86" s="4">
        <v>73.8</v>
      </c>
      <c r="L86" s="4">
        <v>94.76</v>
      </c>
      <c r="M86" s="4">
        <v>353000</v>
      </c>
      <c r="N86" s="4">
        <v>888</v>
      </c>
      <c r="O86" s="4">
        <v>2.82</v>
      </c>
      <c r="P86" s="4">
        <v>-0.63180000000000003</v>
      </c>
      <c r="Q86" s="4">
        <v>1.4708075063369199</v>
      </c>
      <c r="R86" s="4">
        <v>1.5915867078657799</v>
      </c>
      <c r="S86" s="4">
        <v>183</v>
      </c>
      <c r="T86" s="4">
        <v>196</v>
      </c>
      <c r="U86" s="4">
        <v>-5.4951630597386902</v>
      </c>
      <c r="W86" s="3">
        <v>41305</v>
      </c>
      <c r="X86">
        <v>95.275000000000006</v>
      </c>
      <c r="Y86">
        <v>1.65</v>
      </c>
    </row>
    <row r="87" spans="1:25" x14ac:dyDescent="0.2">
      <c r="A87" s="5">
        <v>41333</v>
      </c>
      <c r="B87" s="4">
        <v>95.614000000000004</v>
      </c>
      <c r="C87" s="4">
        <v>93.805000000000007</v>
      </c>
      <c r="D87" s="4">
        <v>0.15</v>
      </c>
      <c r="E87" s="4">
        <v>0.5</v>
      </c>
      <c r="F87" s="4">
        <v>1.98</v>
      </c>
      <c r="G87" s="4">
        <v>0.27</v>
      </c>
      <c r="H87" s="4">
        <v>1.72</v>
      </c>
      <c r="I87" s="4">
        <v>7.7</v>
      </c>
      <c r="J87" s="4">
        <v>135546</v>
      </c>
      <c r="K87" s="4">
        <v>77.599999999999994</v>
      </c>
      <c r="L87" s="4">
        <v>95.31</v>
      </c>
      <c r="M87" s="4">
        <v>353000</v>
      </c>
      <c r="N87" s="4">
        <v>962</v>
      </c>
      <c r="O87" s="4">
        <v>2.87</v>
      </c>
      <c r="P87" s="4">
        <v>-0.65025999999999995</v>
      </c>
      <c r="Q87" s="4">
        <v>1.6046076681118699</v>
      </c>
      <c r="R87" s="4">
        <v>1.56013165302499</v>
      </c>
      <c r="S87" s="4">
        <v>289</v>
      </c>
      <c r="T87" s="4">
        <v>240.333333333333</v>
      </c>
      <c r="U87" s="4">
        <v>-6.74168297455968</v>
      </c>
      <c r="W87" s="3">
        <v>41333</v>
      </c>
      <c r="X87">
        <v>95.614000000000004</v>
      </c>
      <c r="Y87">
        <v>1.72</v>
      </c>
    </row>
    <row r="88" spans="1:25" x14ac:dyDescent="0.2">
      <c r="A88" s="5">
        <v>41364</v>
      </c>
      <c r="B88" s="4">
        <v>95.488</v>
      </c>
      <c r="C88" s="4">
        <v>93.891000000000005</v>
      </c>
      <c r="D88" s="4">
        <v>0.14000000000000001</v>
      </c>
      <c r="E88" s="4">
        <v>4</v>
      </c>
      <c r="F88" s="4">
        <v>1.96</v>
      </c>
      <c r="G88" s="4">
        <v>0.26</v>
      </c>
      <c r="H88" s="4">
        <v>1.7</v>
      </c>
      <c r="I88" s="4">
        <v>7.5</v>
      </c>
      <c r="J88" s="4">
        <v>135689</v>
      </c>
      <c r="K88" s="4">
        <v>78.599999999999994</v>
      </c>
      <c r="L88" s="4">
        <v>92.94</v>
      </c>
      <c r="M88" s="4">
        <v>351800</v>
      </c>
      <c r="N88" s="4">
        <v>1010</v>
      </c>
      <c r="O88" s="4">
        <v>2.89</v>
      </c>
      <c r="P88" s="4">
        <v>-0.65819000000000005</v>
      </c>
      <c r="Q88" s="4">
        <v>1.2769929150227</v>
      </c>
      <c r="R88" s="4">
        <v>1.4807449119659399</v>
      </c>
      <c r="S88" s="4">
        <v>143</v>
      </c>
      <c r="T88" s="4">
        <v>205</v>
      </c>
      <c r="U88" s="4">
        <v>-12.452901281085101</v>
      </c>
      <c r="W88" s="3">
        <v>41364</v>
      </c>
      <c r="X88">
        <v>95.488</v>
      </c>
      <c r="Y88">
        <v>1.7</v>
      </c>
    </row>
    <row r="89" spans="1:25" x14ac:dyDescent="0.2">
      <c r="A89" s="5">
        <v>41394</v>
      </c>
      <c r="B89" s="4">
        <v>95.391000000000005</v>
      </c>
      <c r="C89" s="4">
        <v>93.936999999999998</v>
      </c>
      <c r="D89" s="4">
        <v>0.15</v>
      </c>
      <c r="E89" s="4">
        <v>4</v>
      </c>
      <c r="F89" s="4">
        <v>1.76</v>
      </c>
      <c r="G89" s="4">
        <v>0.23</v>
      </c>
      <c r="H89" s="4">
        <v>1.53</v>
      </c>
      <c r="I89" s="4">
        <v>7.6</v>
      </c>
      <c r="J89" s="4">
        <v>135873</v>
      </c>
      <c r="K89" s="4">
        <v>76.400000000000006</v>
      </c>
      <c r="L89" s="4">
        <v>92.02</v>
      </c>
      <c r="M89" s="4">
        <v>347250</v>
      </c>
      <c r="N89" s="4">
        <v>835</v>
      </c>
      <c r="O89" s="4">
        <v>2.83</v>
      </c>
      <c r="P89" s="4">
        <v>-0.68859000000000004</v>
      </c>
      <c r="Q89" s="4">
        <v>1.04122531988815</v>
      </c>
      <c r="R89" s="4">
        <v>1.37706262613181</v>
      </c>
      <c r="S89" s="4">
        <v>184</v>
      </c>
      <c r="T89" s="4">
        <v>205.333333333333</v>
      </c>
      <c r="U89" s="4">
        <v>-10.9368950832365</v>
      </c>
      <c r="W89" s="3">
        <v>41394</v>
      </c>
      <c r="X89">
        <v>95.391000000000005</v>
      </c>
      <c r="Y89">
        <v>1.53</v>
      </c>
    </row>
    <row r="90" spans="1:25" x14ac:dyDescent="0.2">
      <c r="A90" s="5">
        <v>41425</v>
      </c>
      <c r="B90" s="4">
        <v>95.460999999999999</v>
      </c>
      <c r="C90" s="4">
        <v>94.046999999999997</v>
      </c>
      <c r="D90" s="4">
        <v>0.11</v>
      </c>
      <c r="E90" s="4">
        <v>4</v>
      </c>
      <c r="F90" s="4">
        <v>1.93</v>
      </c>
      <c r="G90" s="4">
        <v>0.25</v>
      </c>
      <c r="H90" s="4">
        <v>1.68</v>
      </c>
      <c r="I90" s="4">
        <v>7.5</v>
      </c>
      <c r="J90" s="4">
        <v>136096</v>
      </c>
      <c r="K90" s="4">
        <v>84.5</v>
      </c>
      <c r="L90" s="4">
        <v>94.51</v>
      </c>
      <c r="M90" s="4">
        <v>347750</v>
      </c>
      <c r="N90" s="4">
        <v>930</v>
      </c>
      <c r="O90" s="4">
        <v>2.8</v>
      </c>
      <c r="P90" s="4">
        <v>-0.71082000000000001</v>
      </c>
      <c r="Q90" s="4">
        <v>1.22903013721871</v>
      </c>
      <c r="R90" s="4">
        <v>1.39291682389088</v>
      </c>
      <c r="S90" s="4">
        <v>223</v>
      </c>
      <c r="T90" s="4">
        <v>183.333333333333</v>
      </c>
      <c r="U90" s="4">
        <v>-0.14791336502905</v>
      </c>
      <c r="W90" s="3">
        <v>41425</v>
      </c>
      <c r="X90">
        <v>95.460999999999999</v>
      </c>
      <c r="Y90">
        <v>1.68</v>
      </c>
    </row>
    <row r="91" spans="1:25" x14ac:dyDescent="0.2">
      <c r="A91" s="5">
        <v>41455</v>
      </c>
      <c r="B91" s="4">
        <v>95.673000000000002</v>
      </c>
      <c r="C91" s="4">
        <v>94.209000000000003</v>
      </c>
      <c r="D91" s="4">
        <v>0.09</v>
      </c>
      <c r="E91" s="4">
        <v>1.1000000000000001</v>
      </c>
      <c r="F91" s="4">
        <v>2.2999999999999998</v>
      </c>
      <c r="G91" s="4">
        <v>0.33</v>
      </c>
      <c r="H91" s="4">
        <v>1.97</v>
      </c>
      <c r="I91" s="4">
        <v>7.5</v>
      </c>
      <c r="J91" s="4">
        <v>136279</v>
      </c>
      <c r="K91" s="4">
        <v>84.1</v>
      </c>
      <c r="L91" s="4">
        <v>95.77</v>
      </c>
      <c r="M91" s="4">
        <v>344600</v>
      </c>
      <c r="N91" s="4">
        <v>839</v>
      </c>
      <c r="O91" s="4">
        <v>2.89</v>
      </c>
      <c r="P91" s="4">
        <v>-0.64934999999999998</v>
      </c>
      <c r="Q91" s="4">
        <v>1.50550639760647</v>
      </c>
      <c r="R91" s="4">
        <v>1.46365105008079</v>
      </c>
      <c r="S91" s="4">
        <v>183</v>
      </c>
      <c r="T91" s="4">
        <v>196.666666666666</v>
      </c>
      <c r="U91" s="4">
        <v>16.366950182259998</v>
      </c>
      <c r="W91" s="3">
        <v>41455</v>
      </c>
      <c r="X91">
        <v>95.673000000000002</v>
      </c>
      <c r="Y91">
        <v>1.97</v>
      </c>
    </row>
    <row r="92" spans="1:25" x14ac:dyDescent="0.2">
      <c r="A92" s="5">
        <v>41486</v>
      </c>
      <c r="B92" s="4">
        <v>95.792000000000002</v>
      </c>
      <c r="C92" s="4">
        <v>94.328999999999994</v>
      </c>
      <c r="D92" s="4">
        <v>0.09</v>
      </c>
      <c r="E92" s="4">
        <v>1.1000000000000001</v>
      </c>
      <c r="F92" s="4">
        <v>2.58</v>
      </c>
      <c r="G92" s="4">
        <v>0.34</v>
      </c>
      <c r="H92" s="4">
        <v>2.2400000000000002</v>
      </c>
      <c r="I92" s="4">
        <v>7.3</v>
      </c>
      <c r="J92" s="4">
        <v>136391</v>
      </c>
      <c r="K92" s="4">
        <v>85.1</v>
      </c>
      <c r="L92" s="4">
        <v>104.67</v>
      </c>
      <c r="M92" s="4">
        <v>346000</v>
      </c>
      <c r="N92" s="4">
        <v>880</v>
      </c>
      <c r="O92" s="4">
        <v>2.74</v>
      </c>
      <c r="P92" s="4">
        <v>-0.64595999999999998</v>
      </c>
      <c r="Q92" s="4">
        <v>1.5951128457492001</v>
      </c>
      <c r="R92" s="4">
        <v>1.4879607514040201</v>
      </c>
      <c r="S92" s="4">
        <v>112</v>
      </c>
      <c r="T92" s="4">
        <v>172.666666666666</v>
      </c>
      <c r="U92" s="4">
        <v>19.078498293515299</v>
      </c>
      <c r="W92" s="3">
        <v>41486</v>
      </c>
      <c r="X92">
        <v>95.792000000000002</v>
      </c>
      <c r="Y92">
        <v>2.2400000000000002</v>
      </c>
    </row>
    <row r="93" spans="1:25" x14ac:dyDescent="0.2">
      <c r="A93" s="5">
        <v>41517</v>
      </c>
      <c r="B93" s="4">
        <v>95.933999999999997</v>
      </c>
      <c r="C93" s="4">
        <v>94.430999999999997</v>
      </c>
      <c r="D93" s="4">
        <v>0.08</v>
      </c>
      <c r="E93" s="4">
        <v>1.1000000000000001</v>
      </c>
      <c r="F93" s="4">
        <v>2.74</v>
      </c>
      <c r="G93" s="4">
        <v>0.36</v>
      </c>
      <c r="H93" s="4">
        <v>2.38</v>
      </c>
      <c r="I93" s="4">
        <v>7.2</v>
      </c>
      <c r="J93" s="4">
        <v>136646</v>
      </c>
      <c r="K93" s="4">
        <v>82.1</v>
      </c>
      <c r="L93" s="4">
        <v>106.57</v>
      </c>
      <c r="M93" s="4">
        <v>333400</v>
      </c>
      <c r="N93" s="4">
        <v>917</v>
      </c>
      <c r="O93" s="4">
        <v>2.68</v>
      </c>
      <c r="P93" s="4">
        <v>-0.67108999999999996</v>
      </c>
      <c r="Q93" s="4">
        <v>1.4047883304264901</v>
      </c>
      <c r="R93" s="4">
        <v>1.5332509004892101</v>
      </c>
      <c r="S93" s="4">
        <v>255</v>
      </c>
      <c r="T93" s="4">
        <v>183.333333333333</v>
      </c>
      <c r="U93" s="4">
        <v>13.2157654307871</v>
      </c>
      <c r="W93" s="3">
        <v>41517</v>
      </c>
      <c r="X93">
        <v>95.933999999999997</v>
      </c>
      <c r="Y93">
        <v>2.38</v>
      </c>
    </row>
    <row r="94" spans="1:25" x14ac:dyDescent="0.2">
      <c r="A94" s="5">
        <v>41547</v>
      </c>
      <c r="B94" s="4">
        <v>95.975999999999999</v>
      </c>
      <c r="C94" s="4">
        <v>94.543000000000006</v>
      </c>
      <c r="D94" s="4">
        <v>0.08</v>
      </c>
      <c r="E94" s="4">
        <v>3.5</v>
      </c>
      <c r="F94" s="4">
        <v>2.81</v>
      </c>
      <c r="G94" s="4">
        <v>0.4</v>
      </c>
      <c r="H94" s="4">
        <v>2.41</v>
      </c>
      <c r="I94" s="4">
        <v>7.2</v>
      </c>
      <c r="J94" s="4">
        <v>136821</v>
      </c>
      <c r="K94" s="4">
        <v>77.5</v>
      </c>
      <c r="L94" s="4">
        <v>106.29</v>
      </c>
      <c r="M94" s="4">
        <v>314000</v>
      </c>
      <c r="N94" s="4">
        <v>850</v>
      </c>
      <c r="O94" s="4">
        <v>2.66</v>
      </c>
      <c r="P94" s="4">
        <v>-0.67029000000000005</v>
      </c>
      <c r="Q94" s="4">
        <v>1.1412854478201699</v>
      </c>
      <c r="R94" s="4">
        <v>1.5292260440941301</v>
      </c>
      <c r="S94" s="4">
        <v>175</v>
      </c>
      <c r="T94" s="4">
        <v>180.666666666666</v>
      </c>
      <c r="U94" s="4">
        <v>12.464289493175301</v>
      </c>
      <c r="W94" s="3">
        <v>41547</v>
      </c>
      <c r="X94">
        <v>95.975999999999999</v>
      </c>
      <c r="Y94">
        <v>2.41</v>
      </c>
    </row>
    <row r="95" spans="1:25" x14ac:dyDescent="0.2">
      <c r="A95" s="5">
        <v>41578</v>
      </c>
      <c r="B95" s="4">
        <v>96.102999999999994</v>
      </c>
      <c r="C95" s="4">
        <v>94.703000000000003</v>
      </c>
      <c r="D95" s="4">
        <v>0.09</v>
      </c>
      <c r="E95" s="4">
        <v>3.5</v>
      </c>
      <c r="F95" s="4">
        <v>2.62</v>
      </c>
      <c r="G95" s="4">
        <v>0.34</v>
      </c>
      <c r="H95" s="4">
        <v>2.2799999999999998</v>
      </c>
      <c r="I95" s="4">
        <v>7.2</v>
      </c>
      <c r="J95" s="4">
        <v>137041</v>
      </c>
      <c r="K95" s="4">
        <v>73.2</v>
      </c>
      <c r="L95" s="4">
        <v>100.54</v>
      </c>
      <c r="M95" s="4">
        <v>358500</v>
      </c>
      <c r="N95" s="4">
        <v>925</v>
      </c>
      <c r="O95" s="4">
        <v>2.69</v>
      </c>
      <c r="P95" s="4">
        <v>-0.7077</v>
      </c>
      <c r="Q95" s="4">
        <v>0.97610691995710896</v>
      </c>
      <c r="R95" s="4">
        <v>1.4548181477315401</v>
      </c>
      <c r="S95" s="4">
        <v>220</v>
      </c>
      <c r="T95" s="4">
        <v>216.666666666666</v>
      </c>
      <c r="U95" s="4">
        <v>12.3477483517711</v>
      </c>
      <c r="W95" s="3">
        <v>41578</v>
      </c>
      <c r="X95">
        <v>96.102999999999994</v>
      </c>
      <c r="Y95">
        <v>2.2799999999999998</v>
      </c>
    </row>
    <row r="96" spans="1:25" x14ac:dyDescent="0.2">
      <c r="A96" s="5">
        <v>41608</v>
      </c>
      <c r="B96" s="4">
        <v>96.245999999999995</v>
      </c>
      <c r="C96" s="4">
        <v>94.86</v>
      </c>
      <c r="D96" s="4">
        <v>0.08</v>
      </c>
      <c r="E96" s="4">
        <v>3.5</v>
      </c>
      <c r="F96" s="4">
        <v>2.72</v>
      </c>
      <c r="G96" s="4">
        <v>0.3</v>
      </c>
      <c r="H96" s="4">
        <v>2.41</v>
      </c>
      <c r="I96" s="4">
        <v>6.9</v>
      </c>
      <c r="J96" s="4">
        <v>137317</v>
      </c>
      <c r="K96" s="4">
        <v>75.099999999999994</v>
      </c>
      <c r="L96" s="4">
        <v>93.86</v>
      </c>
      <c r="M96" s="4">
        <v>328200</v>
      </c>
      <c r="N96" s="4">
        <v>1100</v>
      </c>
      <c r="O96" s="4">
        <v>2.66</v>
      </c>
      <c r="P96" s="4">
        <v>-0.75736999999999999</v>
      </c>
      <c r="Q96" s="4">
        <v>1.1954704602088</v>
      </c>
      <c r="R96" s="4">
        <v>1.5142597249719201</v>
      </c>
      <c r="S96" s="4">
        <v>276</v>
      </c>
      <c r="T96" s="4">
        <v>223.666666666666</v>
      </c>
      <c r="U96" s="4">
        <v>8.4710505027158103</v>
      </c>
      <c r="W96" s="3">
        <v>41608</v>
      </c>
      <c r="X96">
        <v>96.245999999999995</v>
      </c>
      <c r="Y96">
        <v>2.41</v>
      </c>
    </row>
    <row r="97" spans="1:25" x14ac:dyDescent="0.2">
      <c r="A97" s="5">
        <v>41639</v>
      </c>
      <c r="B97" s="4">
        <v>96.414000000000001</v>
      </c>
      <c r="C97" s="4">
        <v>94.960999999999999</v>
      </c>
      <c r="D97" s="4">
        <v>0.09</v>
      </c>
      <c r="E97" s="4">
        <v>3.5</v>
      </c>
      <c r="F97" s="4">
        <v>2.9</v>
      </c>
      <c r="G97" s="4">
        <v>0.34</v>
      </c>
      <c r="H97" s="4">
        <v>2.56</v>
      </c>
      <c r="I97" s="4">
        <v>6.7</v>
      </c>
      <c r="J97" s="4">
        <v>137372</v>
      </c>
      <c r="K97" s="4">
        <v>82.5</v>
      </c>
      <c r="L97" s="4">
        <v>97.63</v>
      </c>
      <c r="M97" s="4">
        <v>346000</v>
      </c>
      <c r="N97" s="4">
        <v>1002</v>
      </c>
      <c r="O97" s="4">
        <v>2.48</v>
      </c>
      <c r="P97" s="4">
        <v>-0.77829999999999999</v>
      </c>
      <c r="Q97" s="4">
        <v>1.38810019559594</v>
      </c>
      <c r="R97" s="4">
        <v>1.5473618923369701</v>
      </c>
      <c r="S97" s="4">
        <v>55</v>
      </c>
      <c r="T97" s="4">
        <v>183.666666666666</v>
      </c>
      <c r="U97" s="4">
        <v>11.119963578420199</v>
      </c>
      <c r="W97" s="3">
        <v>41639</v>
      </c>
      <c r="X97">
        <v>96.414000000000001</v>
      </c>
      <c r="Y97">
        <v>2.56</v>
      </c>
    </row>
    <row r="98" spans="1:25" x14ac:dyDescent="0.2">
      <c r="A98" s="5">
        <v>41670</v>
      </c>
      <c r="B98" s="4">
        <v>96.614000000000004</v>
      </c>
      <c r="C98" s="4">
        <v>95.063999999999993</v>
      </c>
      <c r="D98" s="4">
        <v>7.0000000000000007E-2</v>
      </c>
      <c r="E98" s="4">
        <v>3.5</v>
      </c>
      <c r="F98" s="4">
        <v>2.86</v>
      </c>
      <c r="G98" s="4">
        <v>0.39</v>
      </c>
      <c r="H98" s="4">
        <v>2.46</v>
      </c>
      <c r="I98" s="4">
        <v>6.6</v>
      </c>
      <c r="J98" s="4">
        <v>137561</v>
      </c>
      <c r="K98" s="4">
        <v>81.2</v>
      </c>
      <c r="L98" s="4">
        <v>94.62</v>
      </c>
      <c r="M98" s="4">
        <v>326750</v>
      </c>
      <c r="N98" s="4">
        <v>888</v>
      </c>
      <c r="O98" s="4">
        <v>2.33</v>
      </c>
      <c r="P98" s="4">
        <v>-0.77137</v>
      </c>
      <c r="Q98" s="4">
        <v>1.4054054054054099</v>
      </c>
      <c r="R98" s="4">
        <v>1.45246150069899</v>
      </c>
      <c r="S98" s="4">
        <v>189</v>
      </c>
      <c r="T98" s="4">
        <v>173.333333333333</v>
      </c>
      <c r="U98" s="4">
        <v>-0.147741663149003</v>
      </c>
      <c r="W98" s="3">
        <v>41670</v>
      </c>
      <c r="X98">
        <v>96.614000000000004</v>
      </c>
      <c r="Y98">
        <v>2.46</v>
      </c>
    </row>
    <row r="99" spans="1:25" x14ac:dyDescent="0.2">
      <c r="A99" s="5">
        <v>41698</v>
      </c>
      <c r="B99" s="4">
        <v>96.66</v>
      </c>
      <c r="C99" s="4">
        <v>95.108999999999995</v>
      </c>
      <c r="D99" s="4">
        <v>7.0000000000000007E-2</v>
      </c>
      <c r="E99" s="4">
        <v>3.5</v>
      </c>
      <c r="F99" s="4">
        <v>2.71</v>
      </c>
      <c r="G99" s="4">
        <v>0.33</v>
      </c>
      <c r="H99" s="4">
        <v>2.38</v>
      </c>
      <c r="I99" s="4">
        <v>6.7</v>
      </c>
      <c r="J99" s="4">
        <v>137712</v>
      </c>
      <c r="K99" s="4">
        <v>81.599999999999994</v>
      </c>
      <c r="L99" s="4">
        <v>100.82</v>
      </c>
      <c r="M99" s="4">
        <v>335250</v>
      </c>
      <c r="N99" s="4">
        <v>944</v>
      </c>
      <c r="O99" s="4">
        <v>2.39</v>
      </c>
      <c r="P99" s="4">
        <v>-0.77137999999999995</v>
      </c>
      <c r="Q99" s="4">
        <v>1.09398205283743</v>
      </c>
      <c r="R99" s="4">
        <v>1.39011779755875</v>
      </c>
      <c r="S99" s="4">
        <v>151</v>
      </c>
      <c r="T99" s="4">
        <v>131.666666666666</v>
      </c>
      <c r="U99" s="4">
        <v>5.7811352428916098</v>
      </c>
      <c r="W99" s="3">
        <v>41698</v>
      </c>
      <c r="X99">
        <v>96.66</v>
      </c>
      <c r="Y99">
        <v>2.38</v>
      </c>
    </row>
    <row r="100" spans="1:25" x14ac:dyDescent="0.2">
      <c r="A100" s="5">
        <v>41729</v>
      </c>
      <c r="B100" s="4">
        <v>96.814999999999998</v>
      </c>
      <c r="C100" s="4">
        <v>95.25</v>
      </c>
      <c r="D100" s="4">
        <v>0.08</v>
      </c>
      <c r="E100" s="4">
        <v>-1.4</v>
      </c>
      <c r="F100" s="4">
        <v>2.72</v>
      </c>
      <c r="G100" s="4">
        <v>0.4</v>
      </c>
      <c r="H100" s="4">
        <v>2.3199999999999998</v>
      </c>
      <c r="I100" s="4">
        <v>6.7</v>
      </c>
      <c r="J100" s="4">
        <v>137985</v>
      </c>
      <c r="K100" s="4">
        <v>80</v>
      </c>
      <c r="L100" s="4">
        <v>100.8</v>
      </c>
      <c r="M100" s="4">
        <v>321000</v>
      </c>
      <c r="N100" s="4">
        <v>970</v>
      </c>
      <c r="O100" s="4">
        <v>2.34</v>
      </c>
      <c r="P100" s="4">
        <v>-0.77981</v>
      </c>
      <c r="Q100" s="4">
        <v>1.3897034182305701</v>
      </c>
      <c r="R100" s="4">
        <v>1.44742307569414</v>
      </c>
      <c r="S100" s="4">
        <v>273</v>
      </c>
      <c r="T100" s="4">
        <v>204.333333333333</v>
      </c>
      <c r="U100" s="4">
        <v>8.4570690768237498</v>
      </c>
      <c r="W100" s="3">
        <v>41729</v>
      </c>
      <c r="X100">
        <v>96.814999999999998</v>
      </c>
      <c r="Y100">
        <v>2.3199999999999998</v>
      </c>
    </row>
    <row r="101" spans="1:25" x14ac:dyDescent="0.2">
      <c r="A101" s="5">
        <v>41759</v>
      </c>
      <c r="B101" s="4">
        <v>96.986999999999995</v>
      </c>
      <c r="C101" s="4">
        <v>95.412999999999997</v>
      </c>
      <c r="D101" s="4">
        <v>0.09</v>
      </c>
      <c r="E101" s="4">
        <v>-1.4</v>
      </c>
      <c r="F101" s="4">
        <v>2.71</v>
      </c>
      <c r="G101" s="4">
        <v>0.42</v>
      </c>
      <c r="H101" s="4">
        <v>2.29</v>
      </c>
      <c r="I101" s="4">
        <v>6.2</v>
      </c>
      <c r="J101" s="4">
        <v>138298</v>
      </c>
      <c r="K101" s="4">
        <v>84.1</v>
      </c>
      <c r="L101" s="4">
        <v>102.07</v>
      </c>
      <c r="M101" s="4">
        <v>322750</v>
      </c>
      <c r="N101" s="4">
        <v>1043</v>
      </c>
      <c r="O101" s="4">
        <v>2.19</v>
      </c>
      <c r="P101" s="4">
        <v>-0.77244999999999997</v>
      </c>
      <c r="Q101" s="4">
        <v>1.6731138157687699</v>
      </c>
      <c r="R101" s="4">
        <v>1.57126584838773</v>
      </c>
      <c r="S101" s="4">
        <v>313</v>
      </c>
      <c r="T101" s="4">
        <v>245.666666666666</v>
      </c>
      <c r="U101" s="4">
        <v>10.9215387959139</v>
      </c>
      <c r="W101" s="3">
        <v>41759</v>
      </c>
      <c r="X101">
        <v>96.986999999999995</v>
      </c>
      <c r="Y101">
        <v>2.29</v>
      </c>
    </row>
    <row r="102" spans="1:25" x14ac:dyDescent="0.2">
      <c r="A102" s="5">
        <v>41790</v>
      </c>
      <c r="B102" s="4">
        <v>97.147000000000006</v>
      </c>
      <c r="C102" s="4">
        <v>95.573999999999998</v>
      </c>
      <c r="D102" s="4">
        <v>0.09</v>
      </c>
      <c r="E102" s="4">
        <v>-1.4</v>
      </c>
      <c r="F102" s="4">
        <v>2.56</v>
      </c>
      <c r="G102" s="4">
        <v>0.39</v>
      </c>
      <c r="H102" s="4">
        <v>2.17</v>
      </c>
      <c r="I102" s="4">
        <v>6.3</v>
      </c>
      <c r="J102" s="4">
        <v>138513</v>
      </c>
      <c r="K102" s="4">
        <v>81.900000000000006</v>
      </c>
      <c r="L102" s="4">
        <v>102.18</v>
      </c>
      <c r="M102" s="4">
        <v>313800</v>
      </c>
      <c r="N102" s="4">
        <v>1007</v>
      </c>
      <c r="O102" s="4">
        <v>2.2000000000000002</v>
      </c>
      <c r="P102" s="4">
        <v>-0.78020999999999996</v>
      </c>
      <c r="Q102" s="4">
        <v>1.7661662878033899</v>
      </c>
      <c r="R102" s="4">
        <v>1.6236562569778901</v>
      </c>
      <c r="S102" s="4">
        <v>215</v>
      </c>
      <c r="T102" s="4">
        <v>267</v>
      </c>
      <c r="U102" s="4">
        <v>8.1155433287482808</v>
      </c>
      <c r="W102" s="3">
        <v>41790</v>
      </c>
      <c r="X102">
        <v>97.147000000000006</v>
      </c>
      <c r="Y102">
        <v>2.17</v>
      </c>
    </row>
    <row r="103" spans="1:25" x14ac:dyDescent="0.2">
      <c r="A103" s="5">
        <v>41820</v>
      </c>
      <c r="B103" s="4">
        <v>97.253</v>
      </c>
      <c r="C103" s="4">
        <v>95.682000000000002</v>
      </c>
      <c r="D103" s="4">
        <v>0.1</v>
      </c>
      <c r="E103" s="4">
        <v>5.3</v>
      </c>
      <c r="F103" s="4">
        <v>2.6</v>
      </c>
      <c r="G103" s="4">
        <v>0.45</v>
      </c>
      <c r="H103" s="4">
        <v>2.15</v>
      </c>
      <c r="I103" s="4">
        <v>6.1</v>
      </c>
      <c r="J103" s="4">
        <v>138849</v>
      </c>
      <c r="K103" s="4">
        <v>82.5</v>
      </c>
      <c r="L103" s="4">
        <v>105.79</v>
      </c>
      <c r="M103" s="4">
        <v>313500</v>
      </c>
      <c r="N103" s="4">
        <v>911</v>
      </c>
      <c r="O103" s="4">
        <v>2.2000000000000002</v>
      </c>
      <c r="P103" s="4">
        <v>-0.79098999999999997</v>
      </c>
      <c r="Q103" s="4">
        <v>1.6514586142380701</v>
      </c>
      <c r="R103" s="4">
        <v>1.5635448842467199</v>
      </c>
      <c r="S103" s="4">
        <v>336</v>
      </c>
      <c r="T103" s="4">
        <v>288</v>
      </c>
      <c r="U103" s="4">
        <v>10.4625665657304</v>
      </c>
      <c r="W103" s="3">
        <v>41820</v>
      </c>
      <c r="X103">
        <v>97.253</v>
      </c>
      <c r="Y103">
        <v>2.15</v>
      </c>
    </row>
    <row r="104" spans="1:25" x14ac:dyDescent="0.2">
      <c r="A104" s="5">
        <v>41851</v>
      </c>
      <c r="B104" s="4">
        <v>97.391000000000005</v>
      </c>
      <c r="C104" s="4">
        <v>95.847999999999999</v>
      </c>
      <c r="D104" s="4">
        <v>0.09</v>
      </c>
      <c r="E104" s="4">
        <v>5.3</v>
      </c>
      <c r="F104" s="4">
        <v>2.54</v>
      </c>
      <c r="G104" s="4">
        <v>0.51</v>
      </c>
      <c r="H104" s="4">
        <v>2.04</v>
      </c>
      <c r="I104" s="4">
        <v>6.2</v>
      </c>
      <c r="J104" s="4">
        <v>139072</v>
      </c>
      <c r="K104" s="4">
        <v>81.8</v>
      </c>
      <c r="L104" s="4">
        <v>103.59</v>
      </c>
      <c r="M104" s="4">
        <v>301750</v>
      </c>
      <c r="N104" s="4">
        <v>1085</v>
      </c>
      <c r="O104" s="4">
        <v>2.19</v>
      </c>
      <c r="P104" s="4">
        <v>-0.7571</v>
      </c>
      <c r="Q104" s="4">
        <v>1.6692416903290399</v>
      </c>
      <c r="R104" s="4">
        <v>1.6103213221808801</v>
      </c>
      <c r="S104" s="4">
        <v>223</v>
      </c>
      <c r="T104" s="4">
        <v>258</v>
      </c>
      <c r="U104" s="4">
        <v>-1.03181427343077</v>
      </c>
      <c r="W104" s="3">
        <v>41851</v>
      </c>
      <c r="X104">
        <v>97.391000000000005</v>
      </c>
      <c r="Y104">
        <v>2.04</v>
      </c>
    </row>
    <row r="105" spans="1:25" x14ac:dyDescent="0.2">
      <c r="A105" s="5">
        <v>41882</v>
      </c>
      <c r="B105" s="4">
        <v>97.379000000000005</v>
      </c>
      <c r="C105" s="4">
        <v>95.885000000000005</v>
      </c>
      <c r="D105" s="4">
        <v>0.09</v>
      </c>
      <c r="E105" s="4">
        <v>5.3</v>
      </c>
      <c r="F105" s="4">
        <v>2.42</v>
      </c>
      <c r="G105" s="4">
        <v>0.47</v>
      </c>
      <c r="H105" s="4">
        <v>1.95</v>
      </c>
      <c r="I105" s="4">
        <v>6.1</v>
      </c>
      <c r="J105" s="4">
        <v>139269</v>
      </c>
      <c r="K105" s="4">
        <v>82.5</v>
      </c>
      <c r="L105" s="4">
        <v>96.54</v>
      </c>
      <c r="M105" s="4">
        <v>302000</v>
      </c>
      <c r="N105" s="4">
        <v>984</v>
      </c>
      <c r="O105" s="4">
        <v>2.27</v>
      </c>
      <c r="P105" s="4">
        <v>-0.72697999999999996</v>
      </c>
      <c r="Q105" s="4">
        <v>1.5062438759980901</v>
      </c>
      <c r="R105" s="4">
        <v>1.5397485995065101</v>
      </c>
      <c r="S105" s="4">
        <v>197</v>
      </c>
      <c r="T105" s="4">
        <v>252</v>
      </c>
      <c r="U105" s="4">
        <v>-9.41165431171998</v>
      </c>
      <c r="W105" s="3">
        <v>41882</v>
      </c>
      <c r="X105">
        <v>97.379000000000005</v>
      </c>
      <c r="Y105">
        <v>1.95</v>
      </c>
    </row>
    <row r="106" spans="1:25" x14ac:dyDescent="0.2">
      <c r="A106" s="5">
        <v>41912</v>
      </c>
      <c r="B106" s="4">
        <v>97.412999999999997</v>
      </c>
      <c r="C106" s="4">
        <v>96.013000000000005</v>
      </c>
      <c r="D106" s="4">
        <v>0.09</v>
      </c>
      <c r="E106" s="4">
        <v>5</v>
      </c>
      <c r="F106" s="4">
        <v>2.5299999999999998</v>
      </c>
      <c r="G106" s="4">
        <v>0.56999999999999995</v>
      </c>
      <c r="H106" s="4">
        <v>1.97</v>
      </c>
      <c r="I106" s="4">
        <v>5.9</v>
      </c>
      <c r="J106" s="4">
        <v>139563</v>
      </c>
      <c r="K106" s="4">
        <v>84.6</v>
      </c>
      <c r="L106" s="4">
        <v>93.21</v>
      </c>
      <c r="M106" s="4">
        <v>295000</v>
      </c>
      <c r="N106" s="4">
        <v>1023</v>
      </c>
      <c r="O106" s="4">
        <v>2.27</v>
      </c>
      <c r="P106" s="4">
        <v>-0.69796000000000002</v>
      </c>
      <c r="Q106" s="4">
        <v>1.4972493123280799</v>
      </c>
      <c r="R106" s="4">
        <v>1.5548480585553599</v>
      </c>
      <c r="S106" s="4">
        <v>294</v>
      </c>
      <c r="T106" s="4">
        <v>238</v>
      </c>
      <c r="U106" s="4">
        <v>-12.305955405023999</v>
      </c>
      <c r="W106" s="3">
        <v>41912</v>
      </c>
      <c r="X106">
        <v>97.412999999999997</v>
      </c>
      <c r="Y106">
        <v>1.97</v>
      </c>
    </row>
    <row r="107" spans="1:25" x14ac:dyDescent="0.2">
      <c r="A107" s="5">
        <v>41943</v>
      </c>
      <c r="B107" s="4">
        <v>97.384</v>
      </c>
      <c r="C107" s="4">
        <v>96.096000000000004</v>
      </c>
      <c r="D107" s="4">
        <v>0.09</v>
      </c>
      <c r="E107" s="4">
        <v>5</v>
      </c>
      <c r="F107" s="4">
        <v>2.2999999999999998</v>
      </c>
      <c r="G107" s="4">
        <v>0.45</v>
      </c>
      <c r="H107" s="4">
        <v>1.86</v>
      </c>
      <c r="I107" s="4">
        <v>5.7</v>
      </c>
      <c r="J107" s="4">
        <v>139798</v>
      </c>
      <c r="K107" s="4">
        <v>86.9</v>
      </c>
      <c r="L107" s="4">
        <v>84.4</v>
      </c>
      <c r="M107" s="4">
        <v>288750</v>
      </c>
      <c r="N107" s="4">
        <v>1074</v>
      </c>
      <c r="O107" s="4">
        <v>2.39</v>
      </c>
      <c r="P107" s="4">
        <v>-0.64583000000000002</v>
      </c>
      <c r="Q107" s="4">
        <v>1.33294486124262</v>
      </c>
      <c r="R107" s="4">
        <v>1.47091433217532</v>
      </c>
      <c r="S107" s="4">
        <v>235</v>
      </c>
      <c r="T107" s="4">
        <v>242</v>
      </c>
      <c r="U107" s="4">
        <v>-16.0533121145812</v>
      </c>
      <c r="W107" s="3">
        <v>41943</v>
      </c>
      <c r="X107">
        <v>97.384</v>
      </c>
      <c r="Y107">
        <v>1.86</v>
      </c>
    </row>
    <row r="108" spans="1:25" x14ac:dyDescent="0.2">
      <c r="A108" s="5">
        <v>41973</v>
      </c>
      <c r="B108" s="4">
        <v>97.290999999999997</v>
      </c>
      <c r="C108" s="4">
        <v>96.180999999999997</v>
      </c>
      <c r="D108" s="4">
        <v>0.09</v>
      </c>
      <c r="E108" s="4">
        <v>5</v>
      </c>
      <c r="F108" s="4">
        <v>2.33</v>
      </c>
      <c r="G108" s="4">
        <v>0.53</v>
      </c>
      <c r="H108" s="4">
        <v>1.8</v>
      </c>
      <c r="I108" s="4">
        <v>5.8</v>
      </c>
      <c r="J108" s="4">
        <v>140089</v>
      </c>
      <c r="K108" s="4">
        <v>88.8</v>
      </c>
      <c r="L108" s="4">
        <v>75.790000000000006</v>
      </c>
      <c r="M108" s="4">
        <v>291600</v>
      </c>
      <c r="N108" s="4">
        <v>1001</v>
      </c>
      <c r="O108" s="4">
        <v>2.46</v>
      </c>
      <c r="P108" s="4">
        <v>-0.65407000000000004</v>
      </c>
      <c r="Q108" s="4">
        <v>1.0857594081832</v>
      </c>
      <c r="R108" s="4">
        <v>1.3925785367910599</v>
      </c>
      <c r="S108" s="4">
        <v>291</v>
      </c>
      <c r="T108" s="4">
        <v>273.33333333333297</v>
      </c>
      <c r="U108" s="4">
        <v>-19.2520775623268</v>
      </c>
      <c r="W108" s="3">
        <v>41973</v>
      </c>
      <c r="X108">
        <v>97.290999999999997</v>
      </c>
      <c r="Y108">
        <v>1.8</v>
      </c>
    </row>
    <row r="109" spans="1:25" x14ac:dyDescent="0.2">
      <c r="A109" s="5">
        <v>42004</v>
      </c>
      <c r="B109" s="4">
        <v>97.12</v>
      </c>
      <c r="C109" s="4">
        <v>96.248999999999995</v>
      </c>
      <c r="D109" s="4">
        <v>0.12</v>
      </c>
      <c r="E109" s="4">
        <v>2</v>
      </c>
      <c r="F109" s="4">
        <v>2.21</v>
      </c>
      <c r="G109" s="4">
        <v>0.64</v>
      </c>
      <c r="H109" s="4">
        <v>1.57</v>
      </c>
      <c r="I109" s="4">
        <v>5.6</v>
      </c>
      <c r="J109" s="4">
        <v>140364</v>
      </c>
      <c r="K109" s="4">
        <v>93.6</v>
      </c>
      <c r="L109" s="4">
        <v>59.29</v>
      </c>
      <c r="M109" s="4">
        <v>284500</v>
      </c>
      <c r="N109" s="4">
        <v>1073</v>
      </c>
      <c r="O109" s="4">
        <v>2.5299999999999998</v>
      </c>
      <c r="P109" s="4">
        <v>-0.60511999999999999</v>
      </c>
      <c r="Q109" s="4">
        <v>0.73225880058913595</v>
      </c>
      <c r="R109" s="4">
        <v>1.3563462895293801</v>
      </c>
      <c r="S109" s="4">
        <v>275</v>
      </c>
      <c r="T109" s="4">
        <v>267</v>
      </c>
      <c r="U109" s="4">
        <v>-39.270715968452301</v>
      </c>
      <c r="W109" s="3">
        <v>42004</v>
      </c>
      <c r="X109">
        <v>97.12</v>
      </c>
      <c r="Y109">
        <v>1.57</v>
      </c>
    </row>
    <row r="110" spans="1:25" x14ac:dyDescent="0.2">
      <c r="A110" s="5">
        <v>42035</v>
      </c>
      <c r="B110" s="4">
        <v>96.653999999999996</v>
      </c>
      <c r="C110" s="4">
        <v>96.213999999999999</v>
      </c>
      <c r="D110" s="4">
        <v>0.11</v>
      </c>
      <c r="E110" s="4">
        <v>2</v>
      </c>
      <c r="F110" s="4">
        <v>1.88</v>
      </c>
      <c r="G110" s="4">
        <v>0.55000000000000004</v>
      </c>
      <c r="H110" s="4">
        <v>1.33</v>
      </c>
      <c r="I110" s="4">
        <v>5.7</v>
      </c>
      <c r="J110" s="4">
        <v>140568</v>
      </c>
      <c r="K110" s="4">
        <v>98.1</v>
      </c>
      <c r="L110" s="4">
        <v>47.22</v>
      </c>
      <c r="M110" s="4">
        <v>287600</v>
      </c>
      <c r="N110" s="4">
        <v>1085</v>
      </c>
      <c r="O110" s="4">
        <v>2.57</v>
      </c>
      <c r="P110" s="4">
        <v>-0.52222000000000002</v>
      </c>
      <c r="Q110" s="4">
        <v>4.1401867224211103E-2</v>
      </c>
      <c r="R110" s="4">
        <v>1.2097113523520999</v>
      </c>
      <c r="S110" s="4">
        <v>204</v>
      </c>
      <c r="T110" s="4">
        <v>256.666666666666</v>
      </c>
      <c r="U110" s="4">
        <v>-50.095117311350599</v>
      </c>
      <c r="W110" s="3">
        <v>42035</v>
      </c>
      <c r="X110">
        <v>96.653999999999996</v>
      </c>
      <c r="Y110">
        <v>1.33</v>
      </c>
    </row>
    <row r="111" spans="1:25" x14ac:dyDescent="0.2">
      <c r="A111" s="5">
        <v>42063</v>
      </c>
      <c r="B111" s="4">
        <v>96.825000000000003</v>
      </c>
      <c r="C111" s="4">
        <v>96.323999999999998</v>
      </c>
      <c r="D111" s="4">
        <v>0.11</v>
      </c>
      <c r="E111" s="4">
        <v>2</v>
      </c>
      <c r="F111" s="4">
        <v>1.98</v>
      </c>
      <c r="G111" s="4">
        <v>0.62</v>
      </c>
      <c r="H111" s="4">
        <v>1.36</v>
      </c>
      <c r="I111" s="4">
        <v>5.5</v>
      </c>
      <c r="J111" s="4">
        <v>140827</v>
      </c>
      <c r="K111" s="4">
        <v>95.4</v>
      </c>
      <c r="L111" s="4">
        <v>50.58</v>
      </c>
      <c r="M111" s="4">
        <v>301250</v>
      </c>
      <c r="N111" s="4">
        <v>886</v>
      </c>
      <c r="O111" s="4">
        <v>2.5299999999999998</v>
      </c>
      <c r="P111" s="4">
        <v>-0.51502000000000003</v>
      </c>
      <c r="Q111" s="4">
        <v>0.170701427684671</v>
      </c>
      <c r="R111" s="4">
        <v>1.2774816263445099</v>
      </c>
      <c r="S111" s="4">
        <v>259</v>
      </c>
      <c r="T111" s="4">
        <v>246</v>
      </c>
      <c r="U111" s="4">
        <v>-49.831382662170199</v>
      </c>
      <c r="W111" s="3">
        <v>42063</v>
      </c>
      <c r="X111">
        <v>96.825000000000003</v>
      </c>
      <c r="Y111">
        <v>1.36</v>
      </c>
    </row>
    <row r="112" spans="1:25" x14ac:dyDescent="0.2">
      <c r="A112" s="5">
        <v>42094</v>
      </c>
      <c r="B112" s="4">
        <v>97.007999999999996</v>
      </c>
      <c r="C112" s="4">
        <v>96.47</v>
      </c>
      <c r="D112" s="4">
        <v>0.11</v>
      </c>
      <c r="E112" s="4">
        <v>3.6</v>
      </c>
      <c r="F112" s="4">
        <v>2.04</v>
      </c>
      <c r="G112" s="4">
        <v>0.64</v>
      </c>
      <c r="H112" s="4">
        <v>1.4</v>
      </c>
      <c r="I112" s="4">
        <v>5.4</v>
      </c>
      <c r="J112" s="4">
        <v>140923</v>
      </c>
      <c r="K112" s="4">
        <v>93</v>
      </c>
      <c r="L112" s="4">
        <v>47.82</v>
      </c>
      <c r="M112" s="4">
        <v>284000</v>
      </c>
      <c r="N112" s="4">
        <v>960</v>
      </c>
      <c r="O112" s="4">
        <v>2.5</v>
      </c>
      <c r="P112" s="4">
        <v>-0.53483999999999998</v>
      </c>
      <c r="Q112" s="4">
        <v>0.19934927438929301</v>
      </c>
      <c r="R112" s="4">
        <v>1.2808398950131299</v>
      </c>
      <c r="S112" s="4">
        <v>96</v>
      </c>
      <c r="T112" s="4">
        <v>186.333333333333</v>
      </c>
      <c r="U112" s="4">
        <v>-52.559523809523803</v>
      </c>
      <c r="W112" s="3">
        <v>42094</v>
      </c>
      <c r="X112">
        <v>97.007999999999996</v>
      </c>
      <c r="Y112">
        <v>1.4</v>
      </c>
    </row>
    <row r="113" spans="1:25" x14ac:dyDescent="0.2">
      <c r="A113" s="5">
        <v>42124</v>
      </c>
      <c r="B113" s="4">
        <v>97.093999999999994</v>
      </c>
      <c r="C113" s="4">
        <v>96.647999999999996</v>
      </c>
      <c r="D113" s="4">
        <v>0.12</v>
      </c>
      <c r="E113" s="4">
        <v>3.6</v>
      </c>
      <c r="F113" s="4">
        <v>1.94</v>
      </c>
      <c r="G113" s="4">
        <v>0.54</v>
      </c>
      <c r="H113" s="4">
        <v>1.4</v>
      </c>
      <c r="I113" s="4">
        <v>5.4</v>
      </c>
      <c r="J113" s="4">
        <v>141196</v>
      </c>
      <c r="K113" s="4">
        <v>95.9</v>
      </c>
      <c r="L113" s="4">
        <v>54.45</v>
      </c>
      <c r="M113" s="4">
        <v>286000</v>
      </c>
      <c r="N113" s="4">
        <v>1190</v>
      </c>
      <c r="O113" s="4">
        <v>2.54</v>
      </c>
      <c r="P113" s="4">
        <v>-0.54300999999999999</v>
      </c>
      <c r="Q113" s="4">
        <v>0.110324064049827</v>
      </c>
      <c r="R113" s="4">
        <v>1.2943728841981801</v>
      </c>
      <c r="S113" s="4">
        <v>273</v>
      </c>
      <c r="T113" s="4">
        <v>209.333333333333</v>
      </c>
      <c r="U113" s="4">
        <v>-46.654256882531499</v>
      </c>
      <c r="W113" s="3">
        <v>42124</v>
      </c>
      <c r="X113">
        <v>97.093999999999994</v>
      </c>
      <c r="Y113">
        <v>1.4</v>
      </c>
    </row>
    <row r="114" spans="1:25" x14ac:dyDescent="0.2">
      <c r="A114" s="5">
        <v>42155</v>
      </c>
      <c r="B114" s="4">
        <v>97.326999999999998</v>
      </c>
      <c r="C114" s="4">
        <v>96.766000000000005</v>
      </c>
      <c r="D114" s="4">
        <v>0.12</v>
      </c>
      <c r="E114" s="4">
        <v>3.6</v>
      </c>
      <c r="F114" s="4">
        <v>2.2000000000000002</v>
      </c>
      <c r="G114" s="4">
        <v>0.61</v>
      </c>
      <c r="H114" s="4">
        <v>1.59</v>
      </c>
      <c r="I114" s="4">
        <v>5.6</v>
      </c>
      <c r="J114" s="4">
        <v>141538</v>
      </c>
      <c r="K114" s="4">
        <v>90.7</v>
      </c>
      <c r="L114" s="4">
        <v>59.27</v>
      </c>
      <c r="M114" s="4">
        <v>274000</v>
      </c>
      <c r="N114" s="4">
        <v>1079</v>
      </c>
      <c r="O114" s="4">
        <v>2.69</v>
      </c>
      <c r="P114" s="4">
        <v>-0.54691000000000001</v>
      </c>
      <c r="Q114" s="4">
        <v>0.185286215734903</v>
      </c>
      <c r="R114" s="4">
        <v>1.24720112164395</v>
      </c>
      <c r="S114" s="4">
        <v>342</v>
      </c>
      <c r="T114" s="4">
        <v>237</v>
      </c>
      <c r="U114" s="4">
        <v>-41.994519475435503</v>
      </c>
      <c r="W114" s="3">
        <v>42155</v>
      </c>
      <c r="X114">
        <v>97.326999999999998</v>
      </c>
      <c r="Y114">
        <v>1.59</v>
      </c>
    </row>
    <row r="115" spans="1:25" x14ac:dyDescent="0.2">
      <c r="A115" s="5">
        <v>42185</v>
      </c>
      <c r="B115" s="4">
        <v>97.516000000000005</v>
      </c>
      <c r="C115" s="4">
        <v>96.882000000000005</v>
      </c>
      <c r="D115" s="4">
        <v>0.13</v>
      </c>
      <c r="E115" s="4">
        <v>2.5</v>
      </c>
      <c r="F115" s="4">
        <v>2.36</v>
      </c>
      <c r="G115" s="4">
        <v>0.69</v>
      </c>
      <c r="H115" s="4">
        <v>1.68</v>
      </c>
      <c r="I115" s="4">
        <v>5.3</v>
      </c>
      <c r="J115" s="4">
        <v>141709</v>
      </c>
      <c r="K115" s="4">
        <v>96.1</v>
      </c>
      <c r="L115" s="4">
        <v>59.82</v>
      </c>
      <c r="M115" s="4">
        <v>273750</v>
      </c>
      <c r="N115" s="4">
        <v>1205</v>
      </c>
      <c r="O115" s="4">
        <v>2.77</v>
      </c>
      <c r="P115" s="4">
        <v>-0.54376000000000002</v>
      </c>
      <c r="Q115" s="4">
        <v>0.27042867572208901</v>
      </c>
      <c r="R115" s="4">
        <v>1.25415438640497</v>
      </c>
      <c r="S115" s="4">
        <v>171</v>
      </c>
      <c r="T115" s="4">
        <v>262</v>
      </c>
      <c r="U115" s="4">
        <v>-43.454012666603603</v>
      </c>
      <c r="W115" s="3">
        <v>42185</v>
      </c>
      <c r="X115">
        <v>97.516000000000005</v>
      </c>
      <c r="Y115">
        <v>1.68</v>
      </c>
    </row>
    <row r="116" spans="1:25" x14ac:dyDescent="0.2">
      <c r="A116" s="5">
        <v>42216</v>
      </c>
      <c r="B116" s="4">
        <v>97.605000000000004</v>
      </c>
      <c r="C116" s="4">
        <v>96.977999999999994</v>
      </c>
      <c r="D116" s="4">
        <v>0.13</v>
      </c>
      <c r="E116" s="4">
        <v>2.5</v>
      </c>
      <c r="F116" s="4">
        <v>2.3199999999999998</v>
      </c>
      <c r="G116" s="4">
        <v>0.67</v>
      </c>
      <c r="H116" s="4">
        <v>1.66</v>
      </c>
      <c r="I116" s="4">
        <v>5.2</v>
      </c>
      <c r="J116" s="4">
        <v>141991</v>
      </c>
      <c r="K116" s="4">
        <v>93.1</v>
      </c>
      <c r="L116" s="4">
        <v>50.9</v>
      </c>
      <c r="M116" s="4">
        <v>277750</v>
      </c>
      <c r="N116" s="4">
        <v>1146</v>
      </c>
      <c r="O116" s="4">
        <v>2.88</v>
      </c>
      <c r="P116" s="4">
        <v>-0.52093999999999996</v>
      </c>
      <c r="Q116" s="4">
        <v>0.219732829522234</v>
      </c>
      <c r="R116" s="4">
        <v>1.1789500041732699</v>
      </c>
      <c r="S116" s="4">
        <v>282</v>
      </c>
      <c r="T116" s="4">
        <v>265</v>
      </c>
      <c r="U116" s="4">
        <v>-50.863983009942999</v>
      </c>
      <c r="W116" s="3">
        <v>42216</v>
      </c>
      <c r="X116">
        <v>97.605000000000004</v>
      </c>
      <c r="Y116">
        <v>1.66</v>
      </c>
    </row>
    <row r="117" spans="1:25" x14ac:dyDescent="0.2">
      <c r="A117" s="5">
        <v>42247</v>
      </c>
      <c r="B117" s="4">
        <v>97.611999999999995</v>
      </c>
      <c r="C117" s="4">
        <v>97.055999999999997</v>
      </c>
      <c r="D117" s="4">
        <v>0.14000000000000001</v>
      </c>
      <c r="E117" s="4">
        <v>2.5</v>
      </c>
      <c r="F117" s="4">
        <v>2.17</v>
      </c>
      <c r="G117" s="4">
        <v>0.7</v>
      </c>
      <c r="H117" s="4">
        <v>1.47</v>
      </c>
      <c r="I117" s="4">
        <v>5.0999999999999996</v>
      </c>
      <c r="J117" s="4">
        <v>142125</v>
      </c>
      <c r="K117" s="4">
        <v>91.9</v>
      </c>
      <c r="L117" s="4">
        <v>42.87</v>
      </c>
      <c r="M117" s="4">
        <v>275200</v>
      </c>
      <c r="N117" s="4">
        <v>1130</v>
      </c>
      <c r="O117" s="4">
        <v>3.02</v>
      </c>
      <c r="P117" s="4">
        <v>-0.44902999999999998</v>
      </c>
      <c r="Q117" s="4">
        <v>0.23927130079379699</v>
      </c>
      <c r="R117" s="4">
        <v>1.2212546279397101</v>
      </c>
      <c r="S117" s="4">
        <v>134</v>
      </c>
      <c r="T117" s="4">
        <v>195.666666666666</v>
      </c>
      <c r="U117" s="4">
        <v>-55.593536357986302</v>
      </c>
      <c r="W117" s="3">
        <v>42247</v>
      </c>
      <c r="X117">
        <v>97.611999999999995</v>
      </c>
      <c r="Y117">
        <v>1.47</v>
      </c>
    </row>
    <row r="118" spans="1:25" x14ac:dyDescent="0.2">
      <c r="A118" s="5">
        <v>42277</v>
      </c>
      <c r="B118" s="4">
        <v>97.477000000000004</v>
      </c>
      <c r="C118" s="4">
        <v>97.195999999999998</v>
      </c>
      <c r="D118" s="4">
        <v>0.14000000000000001</v>
      </c>
      <c r="E118" s="4">
        <v>1.6</v>
      </c>
      <c r="F118" s="4">
        <v>2.17</v>
      </c>
      <c r="G118" s="4">
        <v>0.71</v>
      </c>
      <c r="H118" s="4">
        <v>1.46</v>
      </c>
      <c r="I118" s="4">
        <v>5</v>
      </c>
      <c r="J118" s="4">
        <v>142275</v>
      </c>
      <c r="K118" s="4">
        <v>87.2</v>
      </c>
      <c r="L118" s="4">
        <v>45.48</v>
      </c>
      <c r="M118" s="4">
        <v>269500</v>
      </c>
      <c r="N118" s="4">
        <v>1224</v>
      </c>
      <c r="O118" s="4">
        <v>3.17</v>
      </c>
      <c r="P118" s="4">
        <v>-0.40139000000000002</v>
      </c>
      <c r="Q118" s="4">
        <v>6.5699649944050906E-2</v>
      </c>
      <c r="R118" s="4">
        <v>1.2321248164310901</v>
      </c>
      <c r="S118" s="4">
        <v>150</v>
      </c>
      <c r="T118" s="4">
        <v>188.666666666666</v>
      </c>
      <c r="U118" s="4">
        <v>-51.206952043772098</v>
      </c>
      <c r="W118" s="3">
        <v>42277</v>
      </c>
      <c r="X118">
        <v>97.477000000000004</v>
      </c>
      <c r="Y118">
        <v>1.46</v>
      </c>
    </row>
    <row r="119" spans="1:25" x14ac:dyDescent="0.2">
      <c r="A119" s="5">
        <v>42308</v>
      </c>
      <c r="B119" s="4">
        <v>97.477000000000004</v>
      </c>
      <c r="C119" s="4">
        <v>97.227999999999994</v>
      </c>
      <c r="D119" s="4">
        <v>0.12</v>
      </c>
      <c r="E119" s="4">
        <v>1.6</v>
      </c>
      <c r="F119" s="4">
        <v>2.0699999999999998</v>
      </c>
      <c r="G119" s="4">
        <v>0.64</v>
      </c>
      <c r="H119" s="4">
        <v>1.43</v>
      </c>
      <c r="I119" s="4">
        <v>5</v>
      </c>
      <c r="J119" s="4">
        <v>142579</v>
      </c>
      <c r="K119" s="4">
        <v>90</v>
      </c>
      <c r="L119" s="4">
        <v>46.22</v>
      </c>
      <c r="M119" s="4">
        <v>267000</v>
      </c>
      <c r="N119" s="4">
        <v>1058</v>
      </c>
      <c r="O119" s="4">
        <v>3.27</v>
      </c>
      <c r="P119" s="4">
        <v>-0.44248999999999999</v>
      </c>
      <c r="Q119" s="4">
        <v>9.5498233796109597E-2</v>
      </c>
      <c r="R119" s="4">
        <v>1.1779886779886599</v>
      </c>
      <c r="S119" s="4">
        <v>304</v>
      </c>
      <c r="T119" s="4">
        <v>196</v>
      </c>
      <c r="U119" s="4">
        <v>-45.236966824644497</v>
      </c>
      <c r="W119" s="3">
        <v>42308</v>
      </c>
      <c r="X119">
        <v>97.477000000000004</v>
      </c>
      <c r="Y119">
        <v>1.43</v>
      </c>
    </row>
    <row r="120" spans="1:25" x14ac:dyDescent="0.2">
      <c r="A120" s="5">
        <v>42338</v>
      </c>
      <c r="B120" s="4">
        <v>97.537999999999997</v>
      </c>
      <c r="C120" s="4">
        <v>97.331999999999994</v>
      </c>
      <c r="D120" s="4">
        <v>0.12</v>
      </c>
      <c r="E120" s="4">
        <v>1.6</v>
      </c>
      <c r="F120" s="4">
        <v>2.2599999999999998</v>
      </c>
      <c r="G120" s="4">
        <v>0.88</v>
      </c>
      <c r="H120" s="4">
        <v>1.38</v>
      </c>
      <c r="I120" s="4">
        <v>5.0999999999999996</v>
      </c>
      <c r="J120" s="4">
        <v>142808</v>
      </c>
      <c r="K120" s="4">
        <v>91.3</v>
      </c>
      <c r="L120" s="4">
        <v>42.44</v>
      </c>
      <c r="M120" s="4">
        <v>268500</v>
      </c>
      <c r="N120" s="4">
        <v>1172</v>
      </c>
      <c r="O120" s="4">
        <v>3.2</v>
      </c>
      <c r="P120" s="4">
        <v>-0.45956000000000002</v>
      </c>
      <c r="Q120" s="4">
        <v>0.25387754262984302</v>
      </c>
      <c r="R120" s="4">
        <v>1.1967020513407001</v>
      </c>
      <c r="S120" s="4">
        <v>229</v>
      </c>
      <c r="T120" s="4">
        <v>227.666666666666</v>
      </c>
      <c r="U120" s="4">
        <v>-44.003166644676</v>
      </c>
      <c r="W120" s="3">
        <v>42338</v>
      </c>
      <c r="X120">
        <v>97.537999999999997</v>
      </c>
      <c r="Y120">
        <v>1.38</v>
      </c>
    </row>
    <row r="121" spans="1:25" x14ac:dyDescent="0.2">
      <c r="A121" s="5">
        <v>42369</v>
      </c>
      <c r="B121" s="4">
        <v>97.456000000000003</v>
      </c>
      <c r="C121" s="4">
        <v>97.396000000000001</v>
      </c>
      <c r="D121" s="4">
        <v>0.24</v>
      </c>
      <c r="E121" s="4">
        <v>0.7</v>
      </c>
      <c r="F121" s="4">
        <v>2.2400000000000002</v>
      </c>
      <c r="G121" s="4">
        <v>0.98</v>
      </c>
      <c r="H121" s="4">
        <v>1.26</v>
      </c>
      <c r="I121" s="4">
        <v>5</v>
      </c>
      <c r="J121" s="4">
        <v>143077</v>
      </c>
      <c r="K121" s="4">
        <v>92.6</v>
      </c>
      <c r="L121" s="4">
        <v>37.19</v>
      </c>
      <c r="M121" s="4">
        <v>271000</v>
      </c>
      <c r="N121" s="4">
        <v>1146</v>
      </c>
      <c r="O121" s="4">
        <v>3.22</v>
      </c>
      <c r="P121" s="4">
        <v>-0.39277000000000001</v>
      </c>
      <c r="Q121" s="4">
        <v>0.34596375617792402</v>
      </c>
      <c r="R121" s="4">
        <v>1.19170069299421</v>
      </c>
      <c r="S121" s="4">
        <v>269</v>
      </c>
      <c r="T121" s="4">
        <v>267.33333333333297</v>
      </c>
      <c r="U121" s="4">
        <v>-37.274413897790502</v>
      </c>
      <c r="W121" s="3">
        <v>42369</v>
      </c>
      <c r="X121">
        <v>97.456000000000003</v>
      </c>
      <c r="Y121">
        <v>1.26</v>
      </c>
    </row>
    <row r="122" spans="1:25" x14ac:dyDescent="0.2">
      <c r="A122" s="5">
        <v>42400</v>
      </c>
      <c r="B122" s="4">
        <v>97.495999999999995</v>
      </c>
      <c r="C122" s="4">
        <v>97.566999999999993</v>
      </c>
      <c r="D122" s="4">
        <v>0.34</v>
      </c>
      <c r="E122" s="4">
        <v>0.7</v>
      </c>
      <c r="F122" s="4">
        <v>2.09</v>
      </c>
      <c r="G122" s="4">
        <v>0.9</v>
      </c>
      <c r="H122" s="4">
        <v>1.19</v>
      </c>
      <c r="I122" s="4">
        <v>4.8</v>
      </c>
      <c r="J122" s="4">
        <v>143210</v>
      </c>
      <c r="K122" s="4">
        <v>92</v>
      </c>
      <c r="L122" s="4">
        <v>31.68</v>
      </c>
      <c r="M122" s="4">
        <v>279600</v>
      </c>
      <c r="N122" s="4">
        <v>1092</v>
      </c>
      <c r="O122" s="4">
        <v>3.36</v>
      </c>
      <c r="P122" s="4">
        <v>-0.31774000000000002</v>
      </c>
      <c r="Q122" s="4">
        <v>0.87114863326918002</v>
      </c>
      <c r="R122" s="4">
        <v>1.4062402560957601</v>
      </c>
      <c r="S122" s="4">
        <v>133</v>
      </c>
      <c r="T122" s="4">
        <v>210.333333333333</v>
      </c>
      <c r="U122" s="4">
        <v>-32.9097839898348</v>
      </c>
      <c r="W122" s="3">
        <v>42400</v>
      </c>
      <c r="X122">
        <v>97.495999999999995</v>
      </c>
      <c r="Y122">
        <v>1.19</v>
      </c>
    </row>
    <row r="123" spans="1:25" x14ac:dyDescent="0.2">
      <c r="A123" s="5">
        <v>42429</v>
      </c>
      <c r="B123" s="4">
        <v>97.444999999999993</v>
      </c>
      <c r="C123" s="4">
        <v>97.736000000000004</v>
      </c>
      <c r="D123" s="4">
        <v>0.38</v>
      </c>
      <c r="E123" s="4">
        <v>0.7</v>
      </c>
      <c r="F123" s="4">
        <v>1.78</v>
      </c>
      <c r="G123" s="4">
        <v>0.73</v>
      </c>
      <c r="H123" s="4">
        <v>1.05</v>
      </c>
      <c r="I123" s="4">
        <v>4.9000000000000004</v>
      </c>
      <c r="J123" s="4">
        <v>143406</v>
      </c>
      <c r="K123" s="4">
        <v>91.7</v>
      </c>
      <c r="L123" s="4">
        <v>30.32</v>
      </c>
      <c r="M123" s="4">
        <v>266750</v>
      </c>
      <c r="N123" s="4">
        <v>1225</v>
      </c>
      <c r="O123" s="4">
        <v>3.56</v>
      </c>
      <c r="P123" s="4">
        <v>-0.30174000000000001</v>
      </c>
      <c r="Q123" s="4">
        <v>0.64033049315774804</v>
      </c>
      <c r="R123" s="4">
        <v>1.4658859681906999</v>
      </c>
      <c r="S123" s="4">
        <v>196</v>
      </c>
      <c r="T123" s="4">
        <v>199.333333333333</v>
      </c>
      <c r="U123" s="4">
        <v>-40.055357848952099</v>
      </c>
      <c r="W123" s="3">
        <v>42429</v>
      </c>
      <c r="X123">
        <v>97.444999999999993</v>
      </c>
      <c r="Y123">
        <v>1.05</v>
      </c>
    </row>
    <row r="124" spans="1:25" x14ac:dyDescent="0.2">
      <c r="A124" s="5">
        <v>42460</v>
      </c>
      <c r="B124" s="4">
        <v>97.673000000000002</v>
      </c>
      <c r="C124" s="4">
        <v>97.876000000000005</v>
      </c>
      <c r="D124" s="4">
        <v>0.36</v>
      </c>
      <c r="E124" s="4">
        <v>2.2999999999999998</v>
      </c>
      <c r="F124" s="4">
        <v>1.89</v>
      </c>
      <c r="G124" s="4">
        <v>0.88</v>
      </c>
      <c r="H124" s="4">
        <v>1.01</v>
      </c>
      <c r="I124" s="4">
        <v>5</v>
      </c>
      <c r="J124" s="4">
        <v>143662</v>
      </c>
      <c r="K124" s="4">
        <v>91</v>
      </c>
      <c r="L124" s="4">
        <v>37.549999999999997</v>
      </c>
      <c r="M124" s="4">
        <v>263250</v>
      </c>
      <c r="N124" s="4">
        <v>1111</v>
      </c>
      <c r="O124" s="4">
        <v>3.24</v>
      </c>
      <c r="P124" s="4">
        <v>-0.35227000000000003</v>
      </c>
      <c r="Q124" s="4">
        <v>0.68551047336302595</v>
      </c>
      <c r="R124" s="4">
        <v>1.4574479112677601</v>
      </c>
      <c r="S124" s="4">
        <v>256</v>
      </c>
      <c r="T124" s="4">
        <v>195</v>
      </c>
      <c r="U124" s="4">
        <v>-21.4763697197825</v>
      </c>
      <c r="W124" s="3">
        <v>42460</v>
      </c>
      <c r="X124">
        <v>97.673000000000002</v>
      </c>
      <c r="Y124">
        <v>1.01</v>
      </c>
    </row>
    <row r="125" spans="1:25" x14ac:dyDescent="0.2">
      <c r="A125" s="5">
        <v>42490</v>
      </c>
      <c r="B125" s="4">
        <v>97.992999999999995</v>
      </c>
      <c r="C125" s="4">
        <v>98.117000000000004</v>
      </c>
      <c r="D125" s="4">
        <v>0.37</v>
      </c>
      <c r="E125" s="4">
        <v>2.2999999999999998</v>
      </c>
      <c r="F125" s="4">
        <v>1.81</v>
      </c>
      <c r="G125" s="4">
        <v>0.77</v>
      </c>
      <c r="H125" s="4">
        <v>1.04</v>
      </c>
      <c r="I125" s="4">
        <v>5.0999999999999996</v>
      </c>
      <c r="J125" s="4">
        <v>143854</v>
      </c>
      <c r="K125" s="4">
        <v>89</v>
      </c>
      <c r="L125" s="4">
        <v>40.76</v>
      </c>
      <c r="M125" s="4">
        <v>266000</v>
      </c>
      <c r="N125" s="4">
        <v>1163</v>
      </c>
      <c r="O125" s="4">
        <v>2.98</v>
      </c>
      <c r="P125" s="4">
        <v>-0.38230999999999998</v>
      </c>
      <c r="Q125" s="4">
        <v>0.92590685315261301</v>
      </c>
      <c r="R125" s="4">
        <v>1.5199486797450501</v>
      </c>
      <c r="S125" s="4">
        <v>192</v>
      </c>
      <c r="T125" s="4">
        <v>214.666666666666</v>
      </c>
      <c r="U125" s="4">
        <v>-25.142332415059698</v>
      </c>
      <c r="W125" s="3">
        <v>42490</v>
      </c>
      <c r="X125">
        <v>97.992999999999995</v>
      </c>
      <c r="Y125">
        <v>1.04</v>
      </c>
    </row>
    <row r="126" spans="1:25" x14ac:dyDescent="0.2">
      <c r="A126" s="5">
        <v>42521</v>
      </c>
      <c r="B126" s="4">
        <v>98.153000000000006</v>
      </c>
      <c r="C126" s="4">
        <v>98.284000000000006</v>
      </c>
      <c r="D126" s="4">
        <v>0.37</v>
      </c>
      <c r="E126" s="4">
        <v>2.2999999999999998</v>
      </c>
      <c r="F126" s="4">
        <v>1.81</v>
      </c>
      <c r="G126" s="4">
        <v>0.82</v>
      </c>
      <c r="H126" s="4">
        <v>0.99</v>
      </c>
      <c r="I126" s="4">
        <v>4.8</v>
      </c>
      <c r="J126" s="4">
        <v>143900</v>
      </c>
      <c r="K126" s="4">
        <v>94.7</v>
      </c>
      <c r="L126" s="4">
        <v>46.71</v>
      </c>
      <c r="M126" s="4">
        <v>274500</v>
      </c>
      <c r="N126" s="4">
        <v>1148</v>
      </c>
      <c r="O126" s="4">
        <v>2.87</v>
      </c>
      <c r="P126" s="4">
        <v>-0.37941999999999998</v>
      </c>
      <c r="Q126" s="4">
        <v>0.84868535966382497</v>
      </c>
      <c r="R126" s="4">
        <v>1.5687328193787</v>
      </c>
      <c r="S126" s="4">
        <v>46</v>
      </c>
      <c r="T126" s="4">
        <v>164.666666666666</v>
      </c>
      <c r="U126" s="4">
        <v>-21.191159102412598</v>
      </c>
      <c r="W126" s="3">
        <v>42521</v>
      </c>
      <c r="X126">
        <v>98.153000000000006</v>
      </c>
      <c r="Y126">
        <v>0.99</v>
      </c>
    </row>
    <row r="127" spans="1:25" x14ac:dyDescent="0.2">
      <c r="A127" s="5">
        <v>42551</v>
      </c>
      <c r="B127" s="4">
        <v>98.325000000000003</v>
      </c>
      <c r="C127" s="4">
        <v>98.385999999999996</v>
      </c>
      <c r="D127" s="4">
        <v>0.38</v>
      </c>
      <c r="E127" s="4">
        <v>1.3</v>
      </c>
      <c r="F127" s="4">
        <v>1.64</v>
      </c>
      <c r="G127" s="4">
        <v>0.73</v>
      </c>
      <c r="H127" s="4">
        <v>0.91</v>
      </c>
      <c r="I127" s="4">
        <v>4.9000000000000004</v>
      </c>
      <c r="J127" s="4">
        <v>144147</v>
      </c>
      <c r="K127" s="4">
        <v>93.5</v>
      </c>
      <c r="L127" s="4">
        <v>48.76</v>
      </c>
      <c r="M127" s="4">
        <v>265250</v>
      </c>
      <c r="N127" s="4">
        <v>1203</v>
      </c>
      <c r="O127" s="4">
        <v>2.89</v>
      </c>
      <c r="P127" s="4">
        <v>-0.35729</v>
      </c>
      <c r="Q127" s="4">
        <v>0.82960744903399697</v>
      </c>
      <c r="R127" s="4">
        <v>1.5524039553270901</v>
      </c>
      <c r="S127" s="4">
        <v>247</v>
      </c>
      <c r="T127" s="4">
        <v>161.666666666666</v>
      </c>
      <c r="U127" s="4">
        <v>-18.4887997325309</v>
      </c>
      <c r="W127" s="3">
        <v>42551</v>
      </c>
      <c r="X127">
        <v>98.325000000000003</v>
      </c>
      <c r="Y127">
        <v>0.91</v>
      </c>
    </row>
    <row r="128" spans="1:25" x14ac:dyDescent="0.2">
      <c r="A128" s="5">
        <v>42582</v>
      </c>
      <c r="B128" s="4">
        <v>98.341999999999999</v>
      </c>
      <c r="C128" s="4">
        <v>98.528999999999996</v>
      </c>
      <c r="D128" s="4">
        <v>0.39</v>
      </c>
      <c r="E128" s="4">
        <v>1.3</v>
      </c>
      <c r="F128" s="4">
        <v>1.5</v>
      </c>
      <c r="G128" s="4">
        <v>0.67</v>
      </c>
      <c r="H128" s="4">
        <v>0.83</v>
      </c>
      <c r="I128" s="4">
        <v>4.8</v>
      </c>
      <c r="J128" s="4">
        <v>144520</v>
      </c>
      <c r="K128" s="4">
        <v>90</v>
      </c>
      <c r="L128" s="4">
        <v>44.65</v>
      </c>
      <c r="M128" s="4">
        <v>259400</v>
      </c>
      <c r="N128" s="4">
        <v>1239</v>
      </c>
      <c r="O128" s="4">
        <v>2.72</v>
      </c>
      <c r="P128" s="4">
        <v>-0.35052</v>
      </c>
      <c r="Q128" s="4">
        <v>0.75508426822394803</v>
      </c>
      <c r="R128" s="4">
        <v>1.5993318072140099</v>
      </c>
      <c r="S128" s="4">
        <v>373</v>
      </c>
      <c r="T128" s="4">
        <v>222</v>
      </c>
      <c r="U128" s="4">
        <v>-12.278978388998</v>
      </c>
      <c r="W128" s="3">
        <v>42582</v>
      </c>
      <c r="X128">
        <v>98.341999999999999</v>
      </c>
      <c r="Y128">
        <v>0.83</v>
      </c>
    </row>
    <row r="129" spans="1:25" x14ac:dyDescent="0.2">
      <c r="A129" s="5">
        <v>42613</v>
      </c>
      <c r="B129" s="4">
        <v>98.478999999999999</v>
      </c>
      <c r="C129" s="4">
        <v>98.703000000000003</v>
      </c>
      <c r="D129" s="4">
        <v>0.4</v>
      </c>
      <c r="E129" s="4">
        <v>1.3</v>
      </c>
      <c r="F129" s="4">
        <v>1.56</v>
      </c>
      <c r="G129" s="4">
        <v>0.74</v>
      </c>
      <c r="H129" s="4">
        <v>0.82</v>
      </c>
      <c r="I129" s="4">
        <v>4.9000000000000004</v>
      </c>
      <c r="J129" s="4">
        <v>144661</v>
      </c>
      <c r="K129" s="4">
        <v>89.8</v>
      </c>
      <c r="L129" s="4">
        <v>44.72</v>
      </c>
      <c r="M129" s="4">
        <v>263500</v>
      </c>
      <c r="N129" s="4">
        <v>1171</v>
      </c>
      <c r="O129" s="4">
        <v>2.68</v>
      </c>
      <c r="P129" s="4">
        <v>-0.35841000000000001</v>
      </c>
      <c r="Q129" s="4">
        <v>0.88821046592633102</v>
      </c>
      <c r="R129" s="4">
        <v>1.6969584569733001</v>
      </c>
      <c r="S129" s="4">
        <v>141</v>
      </c>
      <c r="T129" s="4">
        <v>253.666666666666</v>
      </c>
      <c r="U129" s="4">
        <v>4.3153720550501404</v>
      </c>
      <c r="W129" s="3">
        <v>42613</v>
      </c>
      <c r="X129">
        <v>98.478999999999999</v>
      </c>
      <c r="Y129">
        <v>0.82</v>
      </c>
    </row>
    <row r="130" spans="1:25" x14ac:dyDescent="0.2">
      <c r="A130" s="5">
        <v>42643</v>
      </c>
      <c r="B130" s="4">
        <v>98.665999999999997</v>
      </c>
      <c r="C130" s="4">
        <v>98.834000000000003</v>
      </c>
      <c r="D130" s="4">
        <v>0.4</v>
      </c>
      <c r="E130" s="4">
        <v>2.9</v>
      </c>
      <c r="F130" s="4">
        <v>1.63</v>
      </c>
      <c r="G130" s="4">
        <v>0.77</v>
      </c>
      <c r="H130" s="4">
        <v>0.86</v>
      </c>
      <c r="I130" s="4">
        <v>5</v>
      </c>
      <c r="J130" s="4">
        <v>144967</v>
      </c>
      <c r="K130" s="4">
        <v>91.2</v>
      </c>
      <c r="L130" s="4">
        <v>45.18</v>
      </c>
      <c r="M130" s="4">
        <v>251500</v>
      </c>
      <c r="N130" s="4">
        <v>1068</v>
      </c>
      <c r="O130" s="4">
        <v>2.68</v>
      </c>
      <c r="P130" s="4">
        <v>-0.33923999999999999</v>
      </c>
      <c r="Q130" s="4">
        <v>1.2197749212634601</v>
      </c>
      <c r="R130" s="4">
        <v>1.68525453722376</v>
      </c>
      <c r="S130" s="4">
        <v>306</v>
      </c>
      <c r="T130" s="4">
        <v>273.33333333333297</v>
      </c>
      <c r="U130" s="4">
        <v>-0.65963060686015096</v>
      </c>
      <c r="W130" s="3">
        <v>42643</v>
      </c>
      <c r="X130">
        <v>98.665999999999997</v>
      </c>
      <c r="Y130">
        <v>0.86</v>
      </c>
    </row>
    <row r="131" spans="1:25" x14ac:dyDescent="0.2">
      <c r="A131" s="5">
        <v>42674</v>
      </c>
      <c r="B131" s="4">
        <v>98.867999999999995</v>
      </c>
      <c r="C131" s="4">
        <v>98.960999999999999</v>
      </c>
      <c r="D131" s="4">
        <v>0.4</v>
      </c>
      <c r="E131" s="4">
        <v>2.9</v>
      </c>
      <c r="F131" s="4">
        <v>1.76</v>
      </c>
      <c r="G131" s="4">
        <v>0.84</v>
      </c>
      <c r="H131" s="4">
        <v>0.92</v>
      </c>
      <c r="I131" s="4">
        <v>4.9000000000000004</v>
      </c>
      <c r="J131" s="4">
        <v>145065</v>
      </c>
      <c r="K131" s="4">
        <v>87.2</v>
      </c>
      <c r="L131" s="4">
        <v>49.78</v>
      </c>
      <c r="M131" s="4">
        <v>255800</v>
      </c>
      <c r="N131" s="4">
        <v>1313</v>
      </c>
      <c r="O131" s="4">
        <v>2.62</v>
      </c>
      <c r="P131" s="4">
        <v>-0.36103000000000002</v>
      </c>
      <c r="Q131" s="4">
        <v>1.42700329308451</v>
      </c>
      <c r="R131" s="4">
        <v>1.7824083597317699</v>
      </c>
      <c r="S131" s="4">
        <v>98</v>
      </c>
      <c r="T131" s="4">
        <v>181.666666666666</v>
      </c>
      <c r="U131" s="4">
        <v>7.7022933794894</v>
      </c>
      <c r="W131" s="3">
        <v>42674</v>
      </c>
      <c r="X131">
        <v>98.867999999999995</v>
      </c>
      <c r="Y131">
        <v>0.92</v>
      </c>
    </row>
    <row r="132" spans="1:25" x14ac:dyDescent="0.2">
      <c r="A132" s="5">
        <v>42704</v>
      </c>
      <c r="B132" s="4">
        <v>98.900999999999996</v>
      </c>
      <c r="C132" s="4">
        <v>99.004999999999995</v>
      </c>
      <c r="D132" s="4">
        <v>0.41</v>
      </c>
      <c r="E132" s="4">
        <v>2.9</v>
      </c>
      <c r="F132" s="4">
        <v>2.14</v>
      </c>
      <c r="G132" s="4">
        <v>0.98</v>
      </c>
      <c r="H132" s="4">
        <v>1.1599999999999999</v>
      </c>
      <c r="I132" s="4">
        <v>4.7</v>
      </c>
      <c r="J132" s="4">
        <v>145183</v>
      </c>
      <c r="K132" s="4">
        <v>93.8</v>
      </c>
      <c r="L132" s="4">
        <v>45.66</v>
      </c>
      <c r="M132" s="4">
        <v>245750</v>
      </c>
      <c r="N132" s="4">
        <v>1140</v>
      </c>
      <c r="O132" s="4">
        <v>2.57</v>
      </c>
      <c r="P132" s="4">
        <v>-0.41067999999999999</v>
      </c>
      <c r="Q132" s="4">
        <v>1.39740408866289</v>
      </c>
      <c r="R132" s="4">
        <v>1.7188591624542799</v>
      </c>
      <c r="S132" s="4">
        <v>118</v>
      </c>
      <c r="T132" s="4">
        <v>174</v>
      </c>
      <c r="U132" s="4">
        <v>7.5871819038642698</v>
      </c>
      <c r="W132" s="3">
        <v>42704</v>
      </c>
      <c r="X132">
        <v>98.900999999999996</v>
      </c>
      <c r="Y132">
        <v>1.1599999999999999</v>
      </c>
    </row>
    <row r="133" spans="1:25" x14ac:dyDescent="0.2">
      <c r="A133" s="5">
        <v>42735</v>
      </c>
      <c r="B133" s="4">
        <v>99.070999999999998</v>
      </c>
      <c r="C133" s="4">
        <v>99.12</v>
      </c>
      <c r="D133" s="4">
        <v>0.54</v>
      </c>
      <c r="E133" s="4">
        <v>2.2000000000000002</v>
      </c>
      <c r="F133" s="4">
        <v>2.4900000000000002</v>
      </c>
      <c r="G133" s="4">
        <v>1.2</v>
      </c>
      <c r="H133" s="4">
        <v>1.3</v>
      </c>
      <c r="I133" s="4">
        <v>4.7</v>
      </c>
      <c r="J133" s="4">
        <v>145408</v>
      </c>
      <c r="K133" s="4">
        <v>98.2</v>
      </c>
      <c r="L133" s="4">
        <v>51.97</v>
      </c>
      <c r="M133" s="4">
        <v>252200</v>
      </c>
      <c r="N133" s="4">
        <v>1252</v>
      </c>
      <c r="O133" s="4">
        <v>2.34</v>
      </c>
      <c r="P133" s="4">
        <v>-0.45374999999999999</v>
      </c>
      <c r="Q133" s="4">
        <v>1.6571581021178801</v>
      </c>
      <c r="R133" s="4">
        <v>1.77009322764796</v>
      </c>
      <c r="S133" s="4">
        <v>225</v>
      </c>
      <c r="T133" s="4">
        <v>147</v>
      </c>
      <c r="U133" s="4">
        <v>39.741866093035703</v>
      </c>
      <c r="W133" s="3">
        <v>42735</v>
      </c>
      <c r="X133">
        <v>99.070999999999998</v>
      </c>
      <c r="Y133">
        <v>1.3</v>
      </c>
    </row>
    <row r="134" spans="1:25" x14ac:dyDescent="0.2">
      <c r="A134" s="5">
        <v>42766</v>
      </c>
      <c r="B134" s="4">
        <v>99.450999999999993</v>
      </c>
      <c r="C134" s="4">
        <v>99.385000000000005</v>
      </c>
      <c r="D134" s="4">
        <v>0.65</v>
      </c>
      <c r="E134" s="4">
        <v>2.2000000000000002</v>
      </c>
      <c r="F134" s="4">
        <v>2.4300000000000002</v>
      </c>
      <c r="G134" s="4">
        <v>1.21</v>
      </c>
      <c r="H134" s="4">
        <v>1.23</v>
      </c>
      <c r="I134" s="4">
        <v>4.7</v>
      </c>
      <c r="J134" s="4">
        <v>145628</v>
      </c>
      <c r="K134" s="4">
        <v>98.5</v>
      </c>
      <c r="L134" s="4">
        <v>52.5</v>
      </c>
      <c r="M134" s="4">
        <v>244000</v>
      </c>
      <c r="N134" s="4">
        <v>1190</v>
      </c>
      <c r="O134" s="4">
        <v>2.23</v>
      </c>
      <c r="P134" s="4">
        <v>-0.48015999999999998</v>
      </c>
      <c r="Q134" s="4">
        <v>2.0052104701731199</v>
      </c>
      <c r="R134" s="4">
        <v>1.86333493906751</v>
      </c>
      <c r="S134" s="4">
        <v>220</v>
      </c>
      <c r="T134" s="4">
        <v>187.666666666666</v>
      </c>
      <c r="U134" s="4">
        <v>65.719696969696898</v>
      </c>
      <c r="W134" s="3">
        <v>42766</v>
      </c>
      <c r="X134">
        <v>99.450999999999993</v>
      </c>
      <c r="Y134">
        <v>1.23</v>
      </c>
    </row>
    <row r="135" spans="1:25" x14ac:dyDescent="0.2">
      <c r="A135" s="5">
        <v>42794</v>
      </c>
      <c r="B135" s="4">
        <v>99.585999999999999</v>
      </c>
      <c r="C135" s="4">
        <v>99.561000000000007</v>
      </c>
      <c r="D135" s="4">
        <v>0.66</v>
      </c>
      <c r="E135" s="4">
        <v>2.2000000000000002</v>
      </c>
      <c r="F135" s="4">
        <v>2.42</v>
      </c>
      <c r="G135" s="4">
        <v>1.2</v>
      </c>
      <c r="H135" s="4">
        <v>1.22</v>
      </c>
      <c r="I135" s="4">
        <v>4.5999999999999996</v>
      </c>
      <c r="J135" s="4">
        <v>145846</v>
      </c>
      <c r="K135" s="4">
        <v>96.3</v>
      </c>
      <c r="L135" s="4">
        <v>53.47</v>
      </c>
      <c r="M135" s="4">
        <v>230250</v>
      </c>
      <c r="N135" s="4">
        <v>1271</v>
      </c>
      <c r="O135" s="4">
        <v>2.2200000000000002</v>
      </c>
      <c r="P135" s="4">
        <v>-0.48918</v>
      </c>
      <c r="Q135" s="4">
        <v>2.19713684642619</v>
      </c>
      <c r="R135" s="4">
        <v>1.86727510845543</v>
      </c>
      <c r="S135" s="4">
        <v>218</v>
      </c>
      <c r="T135" s="4">
        <v>221</v>
      </c>
      <c r="U135" s="4">
        <v>76.352242744063304</v>
      </c>
      <c r="W135" s="3">
        <v>42794</v>
      </c>
      <c r="X135">
        <v>99.585999999999999</v>
      </c>
      <c r="Y135">
        <v>1.22</v>
      </c>
    </row>
    <row r="136" spans="1:25" x14ac:dyDescent="0.2">
      <c r="A136" s="5">
        <v>42825</v>
      </c>
      <c r="B136" s="4">
        <v>99.534999999999997</v>
      </c>
      <c r="C136" s="4">
        <v>99.519000000000005</v>
      </c>
      <c r="D136" s="4">
        <v>0.79</v>
      </c>
      <c r="E136" s="4">
        <v>2</v>
      </c>
      <c r="F136" s="4">
        <v>2.48</v>
      </c>
      <c r="G136" s="4">
        <v>1.31</v>
      </c>
      <c r="H136" s="4">
        <v>1.17</v>
      </c>
      <c r="I136" s="4">
        <v>4.4000000000000004</v>
      </c>
      <c r="J136" s="4">
        <v>145970</v>
      </c>
      <c r="K136" s="4">
        <v>96.9</v>
      </c>
      <c r="L136" s="4">
        <v>49.33</v>
      </c>
      <c r="M136" s="4">
        <v>233750</v>
      </c>
      <c r="N136" s="4">
        <v>1190</v>
      </c>
      <c r="O136" s="4">
        <v>2.2000000000000002</v>
      </c>
      <c r="P136" s="4">
        <v>-0.48182000000000003</v>
      </c>
      <c r="Q136" s="4">
        <v>1.90636102095766</v>
      </c>
      <c r="R136" s="4">
        <v>1.67865462421838</v>
      </c>
      <c r="S136" s="4">
        <v>124</v>
      </c>
      <c r="T136" s="4">
        <v>187.333333333333</v>
      </c>
      <c r="U136" s="4">
        <v>31.3715046604527</v>
      </c>
      <c r="W136" s="3">
        <v>42825</v>
      </c>
      <c r="X136">
        <v>99.534999999999997</v>
      </c>
      <c r="Y136">
        <v>1.17</v>
      </c>
    </row>
    <row r="137" spans="1:25" x14ac:dyDescent="0.2">
      <c r="A137" s="5">
        <v>42855</v>
      </c>
      <c r="B137" s="4">
        <v>99.724999999999994</v>
      </c>
      <c r="C137" s="4">
        <v>99.722999999999999</v>
      </c>
      <c r="D137" s="4">
        <v>0.9</v>
      </c>
      <c r="E137" s="4">
        <v>2</v>
      </c>
      <c r="F137" s="4">
        <v>2.2999999999999998</v>
      </c>
      <c r="G137" s="4">
        <v>1.24</v>
      </c>
      <c r="H137" s="4">
        <v>1.06</v>
      </c>
      <c r="I137" s="4">
        <v>4.4000000000000004</v>
      </c>
      <c r="J137" s="4">
        <v>146175</v>
      </c>
      <c r="K137" s="4">
        <v>97</v>
      </c>
      <c r="L137" s="4">
        <v>51.06</v>
      </c>
      <c r="M137" s="4">
        <v>227800</v>
      </c>
      <c r="N137" s="4">
        <v>1146</v>
      </c>
      <c r="O137" s="4">
        <v>2.27</v>
      </c>
      <c r="P137" s="4">
        <v>-0.49459999999999998</v>
      </c>
      <c r="Q137" s="4">
        <v>1.76747318686028</v>
      </c>
      <c r="R137" s="4">
        <v>1.6368213459441101</v>
      </c>
      <c r="S137" s="4">
        <v>205</v>
      </c>
      <c r="T137" s="4">
        <v>182.333333333333</v>
      </c>
      <c r="U137" s="4">
        <v>25.269872423944999</v>
      </c>
      <c r="W137" s="3">
        <v>42855</v>
      </c>
      <c r="X137">
        <v>99.724999999999994</v>
      </c>
      <c r="Y137">
        <v>1.06</v>
      </c>
    </row>
    <row r="138" spans="1:25" x14ac:dyDescent="0.2">
      <c r="A138" s="5">
        <v>42886</v>
      </c>
      <c r="B138" s="4">
        <v>99.682000000000002</v>
      </c>
      <c r="C138" s="4">
        <v>99.802999999999997</v>
      </c>
      <c r="D138" s="4">
        <v>0.91</v>
      </c>
      <c r="E138" s="4">
        <v>2</v>
      </c>
      <c r="F138" s="4">
        <v>2.2999999999999998</v>
      </c>
      <c r="G138" s="4">
        <v>1.3</v>
      </c>
      <c r="H138" s="4">
        <v>1</v>
      </c>
      <c r="I138" s="4">
        <v>4.4000000000000004</v>
      </c>
      <c r="J138" s="4">
        <v>146380</v>
      </c>
      <c r="K138" s="4">
        <v>97.1</v>
      </c>
      <c r="L138" s="4">
        <v>48.48</v>
      </c>
      <c r="M138" s="4">
        <v>239000</v>
      </c>
      <c r="N138" s="4">
        <v>1157</v>
      </c>
      <c r="O138" s="4">
        <v>2.25</v>
      </c>
      <c r="P138" s="4">
        <v>-0.53188999999999997</v>
      </c>
      <c r="Q138" s="4">
        <v>1.5577720497590399</v>
      </c>
      <c r="R138" s="4">
        <v>1.5455211428106099</v>
      </c>
      <c r="S138" s="4">
        <v>205</v>
      </c>
      <c r="T138" s="4">
        <v>178</v>
      </c>
      <c r="U138" s="4">
        <v>3.7893384714193701</v>
      </c>
      <c r="W138" s="3">
        <v>42886</v>
      </c>
      <c r="X138">
        <v>99.682000000000002</v>
      </c>
      <c r="Y138">
        <v>1</v>
      </c>
    </row>
    <row r="139" spans="1:25" x14ac:dyDescent="0.2">
      <c r="A139" s="5">
        <v>42916</v>
      </c>
      <c r="B139" s="4">
        <v>99.766000000000005</v>
      </c>
      <c r="C139" s="4">
        <v>99.936999999999998</v>
      </c>
      <c r="D139" s="4">
        <v>1.04</v>
      </c>
      <c r="E139" s="4">
        <v>2.2999999999999998</v>
      </c>
      <c r="F139" s="4">
        <v>2.19</v>
      </c>
      <c r="G139" s="4">
        <v>1.34</v>
      </c>
      <c r="H139" s="4">
        <v>0.84</v>
      </c>
      <c r="I139" s="4">
        <v>4.3</v>
      </c>
      <c r="J139" s="4">
        <v>146583</v>
      </c>
      <c r="K139" s="4">
        <v>95</v>
      </c>
      <c r="L139" s="4">
        <v>45.18</v>
      </c>
      <c r="M139" s="4">
        <v>248000</v>
      </c>
      <c r="N139" s="4">
        <v>1249</v>
      </c>
      <c r="O139" s="4">
        <v>2.1800000000000002</v>
      </c>
      <c r="P139" s="4">
        <v>-0.56196999999999997</v>
      </c>
      <c r="Q139" s="4">
        <v>1.4655479277904999</v>
      </c>
      <c r="R139" s="4">
        <v>1.57644380298009</v>
      </c>
      <c r="S139" s="4">
        <v>203</v>
      </c>
      <c r="T139" s="4">
        <v>204.333333333333</v>
      </c>
      <c r="U139" s="4">
        <v>-7.3420836751435603</v>
      </c>
      <c r="W139" s="3">
        <v>42916</v>
      </c>
      <c r="X139">
        <v>99.766000000000005</v>
      </c>
      <c r="Y139">
        <v>0.84</v>
      </c>
    </row>
    <row r="140" spans="1:25" x14ac:dyDescent="0.2">
      <c r="A140" s="5">
        <v>42947</v>
      </c>
      <c r="B140" s="4">
        <v>99.802999999999997</v>
      </c>
      <c r="C140" s="4">
        <v>100.01</v>
      </c>
      <c r="D140" s="4">
        <v>1.1499999999999999</v>
      </c>
      <c r="E140" s="4">
        <v>2.2999999999999998</v>
      </c>
      <c r="F140" s="4">
        <v>2.3199999999999998</v>
      </c>
      <c r="G140" s="4">
        <v>1.37</v>
      </c>
      <c r="H140" s="4">
        <v>0.95</v>
      </c>
      <c r="I140" s="4">
        <v>4.3</v>
      </c>
      <c r="J140" s="4">
        <v>146772</v>
      </c>
      <c r="K140" s="4">
        <v>93.4</v>
      </c>
      <c r="L140" s="4">
        <v>46.63</v>
      </c>
      <c r="M140" s="4">
        <v>250800</v>
      </c>
      <c r="N140" s="4">
        <v>1206</v>
      </c>
      <c r="O140" s="4">
        <v>2.0699999999999998</v>
      </c>
      <c r="P140" s="4">
        <v>-0.57589999999999997</v>
      </c>
      <c r="Q140" s="4">
        <v>1.4856317748266299</v>
      </c>
      <c r="R140" s="4">
        <v>1.50311075926885</v>
      </c>
      <c r="S140" s="4">
        <v>189</v>
      </c>
      <c r="T140" s="4">
        <v>199</v>
      </c>
      <c r="U140" s="4">
        <v>4.4344904815229498</v>
      </c>
      <c r="W140" s="3">
        <v>42947</v>
      </c>
      <c r="X140">
        <v>99.802999999999997</v>
      </c>
      <c r="Y140">
        <v>0.95</v>
      </c>
    </row>
    <row r="141" spans="1:25" x14ac:dyDescent="0.2">
      <c r="A141" s="5">
        <v>42978</v>
      </c>
      <c r="B141" s="4">
        <v>100.027</v>
      </c>
      <c r="C141" s="4">
        <v>100.11799999999999</v>
      </c>
      <c r="D141" s="4">
        <v>1.1599999999999999</v>
      </c>
      <c r="E141" s="4">
        <v>2.2999999999999998</v>
      </c>
      <c r="F141" s="4">
        <v>2.21</v>
      </c>
      <c r="G141" s="4">
        <v>1.34</v>
      </c>
      <c r="H141" s="4">
        <v>0.87</v>
      </c>
      <c r="I141" s="4">
        <v>4.4000000000000004</v>
      </c>
      <c r="J141" s="4">
        <v>146919</v>
      </c>
      <c r="K141" s="4">
        <v>96.8</v>
      </c>
      <c r="L141" s="4">
        <v>48.04</v>
      </c>
      <c r="M141" s="4">
        <v>247750</v>
      </c>
      <c r="N141" s="4">
        <v>1159</v>
      </c>
      <c r="O141" s="4">
        <v>2.1</v>
      </c>
      <c r="P141" s="4">
        <v>-0.56679999999999997</v>
      </c>
      <c r="Q141" s="4">
        <v>1.57190873181083</v>
      </c>
      <c r="R141" s="4">
        <v>1.43359371042419</v>
      </c>
      <c r="S141" s="4">
        <v>147</v>
      </c>
      <c r="T141" s="4">
        <v>179.666666666666</v>
      </c>
      <c r="U141" s="4">
        <v>7.4239713774597504</v>
      </c>
      <c r="W141" s="3">
        <v>42978</v>
      </c>
      <c r="X141">
        <v>100.027</v>
      </c>
      <c r="Y141">
        <v>0.87</v>
      </c>
    </row>
    <row r="142" spans="1:25" x14ac:dyDescent="0.2">
      <c r="A142" s="5">
        <v>43008</v>
      </c>
      <c r="B142" s="4">
        <v>100.4</v>
      </c>
      <c r="C142" s="4">
        <v>100.24</v>
      </c>
      <c r="D142" s="4">
        <v>1.1499999999999999</v>
      </c>
      <c r="E142" s="4">
        <v>3.2</v>
      </c>
      <c r="F142" s="4">
        <v>2.2000000000000002</v>
      </c>
      <c r="G142" s="4">
        <v>1.38</v>
      </c>
      <c r="H142" s="4">
        <v>0.82</v>
      </c>
      <c r="I142" s="4">
        <v>4.3</v>
      </c>
      <c r="J142" s="4">
        <v>147008</v>
      </c>
      <c r="K142" s="4">
        <v>95.1</v>
      </c>
      <c r="L142" s="4">
        <v>49.82</v>
      </c>
      <c r="M142" s="4">
        <v>272400</v>
      </c>
      <c r="N142" s="4">
        <v>1181</v>
      </c>
      <c r="O142" s="4">
        <v>2.1</v>
      </c>
      <c r="P142" s="4">
        <v>-0.56191000000000002</v>
      </c>
      <c r="Q142" s="4">
        <v>1.7574443070561301</v>
      </c>
      <c r="R142" s="4">
        <v>1.4225873687192501</v>
      </c>
      <c r="S142" s="4">
        <v>89</v>
      </c>
      <c r="T142" s="4">
        <v>141.666666666666</v>
      </c>
      <c r="U142" s="4">
        <v>10.2700309871624</v>
      </c>
      <c r="W142" s="3">
        <v>43008</v>
      </c>
      <c r="X142">
        <v>100.4</v>
      </c>
      <c r="Y142">
        <v>0.82</v>
      </c>
    </row>
    <row r="143" spans="1:25" x14ac:dyDescent="0.2">
      <c r="A143" s="5">
        <v>43039</v>
      </c>
      <c r="B143" s="4">
        <v>100.53100000000001</v>
      </c>
      <c r="C143" s="4">
        <v>100.486</v>
      </c>
      <c r="D143" s="4">
        <v>1.1499999999999999</v>
      </c>
      <c r="E143" s="4">
        <v>3.2</v>
      </c>
      <c r="F143" s="4">
        <v>2.36</v>
      </c>
      <c r="G143" s="4">
        <v>1.55</v>
      </c>
      <c r="H143" s="4">
        <v>0.81</v>
      </c>
      <c r="I143" s="4">
        <v>4.2</v>
      </c>
      <c r="J143" s="4">
        <v>147149</v>
      </c>
      <c r="K143" s="4">
        <v>100.7</v>
      </c>
      <c r="L143" s="4">
        <v>51.58</v>
      </c>
      <c r="M143" s="4">
        <v>242250</v>
      </c>
      <c r="N143" s="4">
        <v>1257</v>
      </c>
      <c r="O143" s="4">
        <v>1.96</v>
      </c>
      <c r="P143" s="4">
        <v>-0.58694999999999997</v>
      </c>
      <c r="Q143" s="4">
        <v>1.6820407007322999</v>
      </c>
      <c r="R143" s="4">
        <v>1.54101110538495</v>
      </c>
      <c r="S143" s="4">
        <v>141</v>
      </c>
      <c r="T143" s="4">
        <v>125.666666666666</v>
      </c>
      <c r="U143" s="4">
        <v>3.6159100040176599</v>
      </c>
      <c r="W143" s="3">
        <v>43039</v>
      </c>
      <c r="X143">
        <v>100.53100000000001</v>
      </c>
      <c r="Y143">
        <v>0.81</v>
      </c>
    </row>
    <row r="144" spans="1:25" x14ac:dyDescent="0.2">
      <c r="A144" s="5">
        <v>43069</v>
      </c>
      <c r="B144" s="4">
        <v>100.675</v>
      </c>
      <c r="C144" s="4">
        <v>100.535</v>
      </c>
      <c r="D144" s="4">
        <v>1.1599999999999999</v>
      </c>
      <c r="E144" s="4">
        <v>3.2</v>
      </c>
      <c r="F144" s="4">
        <v>2.35</v>
      </c>
      <c r="G144" s="4">
        <v>1.7</v>
      </c>
      <c r="H144" s="4">
        <v>0.66</v>
      </c>
      <c r="I144" s="4">
        <v>4.2</v>
      </c>
      <c r="J144" s="4">
        <v>147372</v>
      </c>
      <c r="K144" s="4">
        <v>98.5</v>
      </c>
      <c r="L144" s="4">
        <v>56.64</v>
      </c>
      <c r="M144" s="4">
        <v>247750</v>
      </c>
      <c r="N144" s="4">
        <v>1273</v>
      </c>
      <c r="O144" s="4">
        <v>1.92</v>
      </c>
      <c r="P144" s="4">
        <v>-0.60279000000000005</v>
      </c>
      <c r="Q144" s="4">
        <v>1.7937129048240099</v>
      </c>
      <c r="R144" s="4">
        <v>1.5453764961365499</v>
      </c>
      <c r="S144" s="4">
        <v>223</v>
      </c>
      <c r="T144" s="4">
        <v>151</v>
      </c>
      <c r="U144" s="4">
        <v>24.047306176084099</v>
      </c>
      <c r="W144" s="3">
        <v>43069</v>
      </c>
      <c r="X144">
        <v>100.675</v>
      </c>
      <c r="Y144">
        <v>0.66</v>
      </c>
    </row>
    <row r="145" spans="1:25" x14ac:dyDescent="0.2">
      <c r="A145" s="5">
        <v>43100</v>
      </c>
      <c r="B145" s="4">
        <v>100.821</v>
      </c>
      <c r="C145" s="4">
        <v>100.68300000000001</v>
      </c>
      <c r="D145" s="4">
        <v>1.3</v>
      </c>
      <c r="E145" s="4">
        <v>4.5999999999999996</v>
      </c>
      <c r="F145" s="4">
        <v>2.4</v>
      </c>
      <c r="G145" s="4">
        <v>1.84</v>
      </c>
      <c r="H145" s="4">
        <v>0.56000000000000005</v>
      </c>
      <c r="I145" s="4">
        <v>4.0999999999999996</v>
      </c>
      <c r="J145" s="4">
        <v>147523</v>
      </c>
      <c r="K145" s="4">
        <v>95.9</v>
      </c>
      <c r="L145" s="4">
        <v>57.88</v>
      </c>
      <c r="M145" s="4">
        <v>242600</v>
      </c>
      <c r="N145" s="4">
        <v>1177</v>
      </c>
      <c r="O145" s="4">
        <v>1.82</v>
      </c>
      <c r="P145" s="4">
        <v>-0.61055000000000004</v>
      </c>
      <c r="Q145" s="4">
        <v>1.76640994842083</v>
      </c>
      <c r="R145" s="4">
        <v>1.57687651331719</v>
      </c>
      <c r="S145" s="4">
        <v>151</v>
      </c>
      <c r="T145" s="4">
        <v>171.666666666666</v>
      </c>
      <c r="U145" s="4">
        <v>11.3719453530883</v>
      </c>
      <c r="W145" s="3">
        <v>43100</v>
      </c>
      <c r="X145">
        <v>100.821</v>
      </c>
      <c r="Y145">
        <v>0.56000000000000005</v>
      </c>
    </row>
    <row r="146" spans="1:25" x14ac:dyDescent="0.2">
      <c r="A146" s="5">
        <v>43131</v>
      </c>
      <c r="B146" s="4">
        <v>101.199</v>
      </c>
      <c r="C146" s="4">
        <v>101.00700000000001</v>
      </c>
      <c r="D146" s="4">
        <v>1.41</v>
      </c>
      <c r="E146" s="4">
        <v>4.5999999999999996</v>
      </c>
      <c r="F146" s="4">
        <v>2.58</v>
      </c>
      <c r="G146" s="4">
        <v>2.0299999999999998</v>
      </c>
      <c r="H146" s="4">
        <v>0.55000000000000004</v>
      </c>
      <c r="I146" s="4">
        <v>4</v>
      </c>
      <c r="J146" s="4">
        <v>147660</v>
      </c>
      <c r="K146" s="4">
        <v>95.7</v>
      </c>
      <c r="L146" s="4">
        <v>63.7</v>
      </c>
      <c r="M146" s="4">
        <v>235250</v>
      </c>
      <c r="N146" s="4">
        <v>1299</v>
      </c>
      <c r="O146" s="4">
        <v>1.68</v>
      </c>
      <c r="P146" s="4">
        <v>-0.61629</v>
      </c>
      <c r="Q146" s="4">
        <v>1.75764949573156</v>
      </c>
      <c r="R146" s="4">
        <v>1.6320370277204701</v>
      </c>
      <c r="S146" s="4">
        <v>137</v>
      </c>
      <c r="T146" s="4">
        <v>170.333333333333</v>
      </c>
      <c r="U146" s="4">
        <v>21.3333333333333</v>
      </c>
      <c r="W146" s="3">
        <v>43131</v>
      </c>
      <c r="X146">
        <v>101.199</v>
      </c>
      <c r="Y146">
        <v>0.55000000000000004</v>
      </c>
    </row>
    <row r="147" spans="1:25" x14ac:dyDescent="0.2">
      <c r="A147" s="5">
        <v>43159</v>
      </c>
      <c r="B147" s="4">
        <v>101.416</v>
      </c>
      <c r="C147" s="4">
        <v>101.19799999999999</v>
      </c>
      <c r="D147" s="4">
        <v>1.42</v>
      </c>
      <c r="E147" s="4">
        <v>4.5999999999999996</v>
      </c>
      <c r="F147" s="4">
        <v>2.86</v>
      </c>
      <c r="G147" s="4">
        <v>2.1800000000000002</v>
      </c>
      <c r="H147" s="4">
        <v>0.68</v>
      </c>
      <c r="I147" s="4">
        <v>4.0999999999999996</v>
      </c>
      <c r="J147" s="4">
        <v>148054</v>
      </c>
      <c r="K147" s="4">
        <v>99.7</v>
      </c>
      <c r="L147" s="4">
        <v>62.23</v>
      </c>
      <c r="M147" s="4">
        <v>221000</v>
      </c>
      <c r="N147" s="4">
        <v>1277</v>
      </c>
      <c r="O147" s="4">
        <v>1.65</v>
      </c>
      <c r="P147" s="4">
        <v>-0.56898000000000004</v>
      </c>
      <c r="Q147" s="4">
        <v>1.83760769586085</v>
      </c>
      <c r="R147" s="4">
        <v>1.64421811753596</v>
      </c>
      <c r="S147" s="4">
        <v>394</v>
      </c>
      <c r="T147" s="4">
        <v>227.333333333333</v>
      </c>
      <c r="U147" s="4">
        <v>16.383018515055099</v>
      </c>
      <c r="W147" s="3">
        <v>43159</v>
      </c>
      <c r="X147">
        <v>101.416</v>
      </c>
      <c r="Y147">
        <v>0.68</v>
      </c>
    </row>
    <row r="148" spans="1:25" x14ac:dyDescent="0.2">
      <c r="A148" s="5">
        <v>43190</v>
      </c>
      <c r="B148" s="4">
        <v>101.524</v>
      </c>
      <c r="C148" s="4">
        <v>101.419</v>
      </c>
      <c r="D148" s="4">
        <v>1.51</v>
      </c>
      <c r="E148" s="4">
        <v>3.3</v>
      </c>
      <c r="F148" s="4">
        <v>2.84</v>
      </c>
      <c r="G148" s="4">
        <v>2.2799999999999998</v>
      </c>
      <c r="H148" s="4">
        <v>0.56999999999999995</v>
      </c>
      <c r="I148" s="4">
        <v>4</v>
      </c>
      <c r="J148" s="4">
        <v>148280</v>
      </c>
      <c r="K148" s="4">
        <v>101.4</v>
      </c>
      <c r="L148" s="4">
        <v>62.72</v>
      </c>
      <c r="M148" s="4">
        <v>225800</v>
      </c>
      <c r="N148" s="4">
        <v>1318</v>
      </c>
      <c r="O148" s="4">
        <v>1.8</v>
      </c>
      <c r="P148" s="4">
        <v>-0.51095000000000002</v>
      </c>
      <c r="Q148" s="4">
        <v>1.9982920580700201</v>
      </c>
      <c r="R148" s="4">
        <v>1.90918317105275</v>
      </c>
      <c r="S148" s="4">
        <v>226</v>
      </c>
      <c r="T148" s="4">
        <v>252.333333333333</v>
      </c>
      <c r="U148" s="4">
        <v>27.1437259274275</v>
      </c>
      <c r="W148" s="3">
        <v>43190</v>
      </c>
      <c r="X148">
        <v>101.524</v>
      </c>
      <c r="Y148">
        <v>0.56999999999999995</v>
      </c>
    </row>
    <row r="149" spans="1:25" x14ac:dyDescent="0.2">
      <c r="A149" s="5">
        <v>43220</v>
      </c>
      <c r="B149" s="4">
        <v>101.76600000000001</v>
      </c>
      <c r="C149" s="4">
        <v>101.602</v>
      </c>
      <c r="D149" s="4">
        <v>1.69</v>
      </c>
      <c r="E149" s="4">
        <v>3.3</v>
      </c>
      <c r="F149" s="4">
        <v>2.87</v>
      </c>
      <c r="G149" s="4">
        <v>2.38</v>
      </c>
      <c r="H149" s="4">
        <v>0.48</v>
      </c>
      <c r="I149" s="4">
        <v>4</v>
      </c>
      <c r="J149" s="4">
        <v>148420</v>
      </c>
      <c r="K149" s="4">
        <v>98.8</v>
      </c>
      <c r="L149" s="4">
        <v>66.25</v>
      </c>
      <c r="M149" s="4">
        <v>221500</v>
      </c>
      <c r="N149" s="4">
        <v>1276</v>
      </c>
      <c r="O149" s="4">
        <v>1.8</v>
      </c>
      <c r="P149" s="4">
        <v>-0.52005999999999997</v>
      </c>
      <c r="Q149" s="4">
        <v>2.0466282276259702</v>
      </c>
      <c r="R149" s="4">
        <v>1.8842192874261601</v>
      </c>
      <c r="S149" s="4">
        <v>140</v>
      </c>
      <c r="T149" s="4">
        <v>253.333333333333</v>
      </c>
      <c r="U149" s="4">
        <v>29.749314531923201</v>
      </c>
      <c r="W149" s="3">
        <v>43220</v>
      </c>
      <c r="X149">
        <v>101.76600000000001</v>
      </c>
      <c r="Y149">
        <v>0.48</v>
      </c>
    </row>
    <row r="150" spans="1:25" x14ac:dyDescent="0.2">
      <c r="A150" s="5">
        <v>43251</v>
      </c>
      <c r="B150" s="4">
        <v>101.941</v>
      </c>
      <c r="C150" s="4">
        <v>101.78</v>
      </c>
      <c r="D150" s="4">
        <v>1.7</v>
      </c>
      <c r="E150" s="4">
        <v>3.3</v>
      </c>
      <c r="F150" s="4">
        <v>2.98</v>
      </c>
      <c r="G150" s="4">
        <v>2.5099999999999998</v>
      </c>
      <c r="H150" s="4">
        <v>0.47</v>
      </c>
      <c r="I150" s="4">
        <v>3.8</v>
      </c>
      <c r="J150" s="4">
        <v>148742</v>
      </c>
      <c r="K150" s="4">
        <v>98</v>
      </c>
      <c r="L150" s="4">
        <v>69.98</v>
      </c>
      <c r="M150" s="4">
        <v>221250</v>
      </c>
      <c r="N150" s="4">
        <v>1357</v>
      </c>
      <c r="O150" s="4">
        <v>1.85</v>
      </c>
      <c r="P150" s="4">
        <v>-0.56103999999999998</v>
      </c>
      <c r="Q150" s="4">
        <v>2.2662065367869699</v>
      </c>
      <c r="R150" s="4">
        <v>1.98090237768404</v>
      </c>
      <c r="S150" s="4">
        <v>322</v>
      </c>
      <c r="T150" s="4">
        <v>229.333333333333</v>
      </c>
      <c r="U150" s="4">
        <v>44.348184818481798</v>
      </c>
      <c r="W150" s="3">
        <v>43251</v>
      </c>
      <c r="X150">
        <v>101.941</v>
      </c>
      <c r="Y150">
        <v>0.47</v>
      </c>
    </row>
    <row r="151" spans="1:25" x14ac:dyDescent="0.2">
      <c r="A151" s="5">
        <v>43281</v>
      </c>
      <c r="B151" s="4">
        <v>102.029</v>
      </c>
      <c r="C151" s="4">
        <v>101.872</v>
      </c>
      <c r="D151" s="4">
        <v>1.82</v>
      </c>
      <c r="E151" s="4">
        <v>2.1</v>
      </c>
      <c r="F151" s="4">
        <v>2.91</v>
      </c>
      <c r="G151" s="4">
        <v>2.5299999999999998</v>
      </c>
      <c r="H151" s="4">
        <v>0.38</v>
      </c>
      <c r="I151" s="4">
        <v>4</v>
      </c>
      <c r="J151" s="4">
        <v>148960</v>
      </c>
      <c r="K151" s="4">
        <v>98.2</v>
      </c>
      <c r="L151" s="4">
        <v>67.87</v>
      </c>
      <c r="M151" s="4">
        <v>222600</v>
      </c>
      <c r="N151" s="4">
        <v>1192</v>
      </c>
      <c r="O151" s="4">
        <v>1.92</v>
      </c>
      <c r="P151" s="4">
        <v>-0.54893999999999998</v>
      </c>
      <c r="Q151" s="4">
        <v>2.2683078403463899</v>
      </c>
      <c r="R151" s="4">
        <v>1.9362198184856401</v>
      </c>
      <c r="S151" s="4">
        <v>218</v>
      </c>
      <c r="T151" s="4">
        <v>226.666666666666</v>
      </c>
      <c r="U151" s="4">
        <v>50.221336874723299</v>
      </c>
      <c r="W151" s="3">
        <v>43281</v>
      </c>
      <c r="X151">
        <v>102.029</v>
      </c>
      <c r="Y151">
        <v>0.38</v>
      </c>
    </row>
    <row r="152" spans="1:25" x14ac:dyDescent="0.2">
      <c r="A152" s="5">
        <v>43312</v>
      </c>
      <c r="B152" s="4">
        <v>102.137</v>
      </c>
      <c r="C152" s="4">
        <v>102.006</v>
      </c>
      <c r="D152" s="4">
        <v>1.91</v>
      </c>
      <c r="E152" s="4">
        <v>2.1</v>
      </c>
      <c r="F152" s="4">
        <v>2.89</v>
      </c>
      <c r="G152" s="4">
        <v>2.61</v>
      </c>
      <c r="H152" s="4">
        <v>0.28000000000000003</v>
      </c>
      <c r="I152" s="4">
        <v>3.8</v>
      </c>
      <c r="J152" s="4">
        <v>149020</v>
      </c>
      <c r="K152" s="4">
        <v>97.9</v>
      </c>
      <c r="L152" s="4">
        <v>70.98</v>
      </c>
      <c r="M152" s="4">
        <v>209500</v>
      </c>
      <c r="N152" s="4">
        <v>1208</v>
      </c>
      <c r="O152" s="4">
        <v>1.9</v>
      </c>
      <c r="P152" s="4">
        <v>-0.55061000000000004</v>
      </c>
      <c r="Q152" s="4">
        <v>2.3386070559001202</v>
      </c>
      <c r="R152" s="4">
        <v>1.99580041995799</v>
      </c>
      <c r="S152" s="4">
        <v>60</v>
      </c>
      <c r="T152" s="4">
        <v>200</v>
      </c>
      <c r="U152" s="4">
        <v>52.2196011151619</v>
      </c>
      <c r="W152" s="3">
        <v>43312</v>
      </c>
      <c r="X152">
        <v>102.137</v>
      </c>
      <c r="Y152">
        <v>0.28000000000000003</v>
      </c>
    </row>
    <row r="153" spans="1:25" x14ac:dyDescent="0.2">
      <c r="A153" s="5">
        <v>43343</v>
      </c>
      <c r="B153" s="4">
        <v>102.208</v>
      </c>
      <c r="C153" s="4">
        <v>102.01600000000001</v>
      </c>
      <c r="D153" s="4">
        <v>1.91</v>
      </c>
      <c r="E153" s="4">
        <v>2.1</v>
      </c>
      <c r="F153" s="4">
        <v>2.89</v>
      </c>
      <c r="G153" s="4">
        <v>2.64</v>
      </c>
      <c r="H153" s="4">
        <v>0.25</v>
      </c>
      <c r="I153" s="4">
        <v>3.8</v>
      </c>
      <c r="J153" s="4">
        <v>149277</v>
      </c>
      <c r="K153" s="4">
        <v>96.2</v>
      </c>
      <c r="L153" s="4">
        <v>68.06</v>
      </c>
      <c r="M153" s="4">
        <v>208500</v>
      </c>
      <c r="N153" s="4">
        <v>1288</v>
      </c>
      <c r="O153" s="4">
        <v>1.88</v>
      </c>
      <c r="P153" s="4">
        <v>-0.58665</v>
      </c>
      <c r="Q153" s="4">
        <v>2.18041128895198</v>
      </c>
      <c r="R153" s="4">
        <v>1.89576299966041</v>
      </c>
      <c r="S153" s="4">
        <v>257</v>
      </c>
      <c r="T153" s="4">
        <v>178.333333333333</v>
      </c>
      <c r="U153" s="4">
        <v>41.673605328892499</v>
      </c>
      <c r="W153" s="3">
        <v>43343</v>
      </c>
      <c r="X153">
        <v>102.208</v>
      </c>
      <c r="Y153">
        <v>0.25</v>
      </c>
    </row>
    <row r="154" spans="1:25" x14ac:dyDescent="0.2">
      <c r="A154" s="5">
        <v>43373</v>
      </c>
      <c r="B154" s="4">
        <v>102.41800000000001</v>
      </c>
      <c r="C154" s="4">
        <v>102.205</v>
      </c>
      <c r="D154" s="4">
        <v>1.95</v>
      </c>
      <c r="E154" s="4">
        <v>2.5</v>
      </c>
      <c r="F154" s="4">
        <v>3</v>
      </c>
      <c r="G154" s="4">
        <v>2.77</v>
      </c>
      <c r="H154" s="4">
        <v>0.24</v>
      </c>
      <c r="I154" s="4">
        <v>3.7</v>
      </c>
      <c r="J154" s="4">
        <v>149358</v>
      </c>
      <c r="K154" s="4">
        <v>100.1</v>
      </c>
      <c r="L154" s="4">
        <v>70.23</v>
      </c>
      <c r="M154" s="4">
        <v>205200</v>
      </c>
      <c r="N154" s="4">
        <v>1250</v>
      </c>
      <c r="O154" s="4">
        <v>1.88</v>
      </c>
      <c r="P154" s="4">
        <v>-0.59796000000000005</v>
      </c>
      <c r="Q154" s="4">
        <v>2.00996015936254</v>
      </c>
      <c r="R154" s="4">
        <v>1.96029529130088</v>
      </c>
      <c r="S154" s="4">
        <v>81</v>
      </c>
      <c r="T154" s="4">
        <v>132.666666666666</v>
      </c>
      <c r="U154" s="4">
        <v>40.967482938578797</v>
      </c>
      <c r="W154" s="3">
        <v>43373</v>
      </c>
      <c r="X154">
        <v>102.41800000000001</v>
      </c>
      <c r="Y154">
        <v>0.24</v>
      </c>
    </row>
    <row r="155" spans="1:25" x14ac:dyDescent="0.2">
      <c r="A155" s="5">
        <v>43404</v>
      </c>
      <c r="B155" s="4">
        <v>102.595</v>
      </c>
      <c r="C155" s="4">
        <v>102.366</v>
      </c>
      <c r="D155" s="4">
        <v>2.19</v>
      </c>
      <c r="E155" s="4">
        <v>2.5</v>
      </c>
      <c r="F155" s="4">
        <v>3.15</v>
      </c>
      <c r="G155" s="4">
        <v>2.86</v>
      </c>
      <c r="H155" s="4">
        <v>0.28999999999999998</v>
      </c>
      <c r="I155" s="4">
        <v>3.8</v>
      </c>
      <c r="J155" s="4">
        <v>149527</v>
      </c>
      <c r="K155" s="4">
        <v>98.6</v>
      </c>
      <c r="L155" s="4">
        <v>70.75</v>
      </c>
      <c r="M155" s="4">
        <v>213000</v>
      </c>
      <c r="N155" s="4">
        <v>1221</v>
      </c>
      <c r="O155" s="4">
        <v>1.92</v>
      </c>
      <c r="P155" s="4">
        <v>-0.57015000000000005</v>
      </c>
      <c r="Q155" s="4">
        <v>2.0530980493578901</v>
      </c>
      <c r="R155" s="4">
        <v>1.87090739008417</v>
      </c>
      <c r="S155" s="4">
        <v>169</v>
      </c>
      <c r="T155" s="4">
        <v>169</v>
      </c>
      <c r="U155" s="4">
        <v>37.165568049631602</v>
      </c>
      <c r="W155" s="3">
        <v>43404</v>
      </c>
      <c r="X155">
        <v>102.595</v>
      </c>
      <c r="Y155">
        <v>0.28999999999999998</v>
      </c>
    </row>
    <row r="156" spans="1:25" x14ac:dyDescent="0.2">
      <c r="A156" s="5">
        <v>43434</v>
      </c>
      <c r="B156" s="4">
        <v>102.63</v>
      </c>
      <c r="C156" s="4">
        <v>102.556</v>
      </c>
      <c r="D156" s="4">
        <v>2.2000000000000002</v>
      </c>
      <c r="E156" s="4">
        <v>2.5</v>
      </c>
      <c r="F156" s="4">
        <v>3.12</v>
      </c>
      <c r="G156" s="4">
        <v>2.86</v>
      </c>
      <c r="H156" s="4">
        <v>0.26</v>
      </c>
      <c r="I156" s="4">
        <v>3.8</v>
      </c>
      <c r="J156" s="4">
        <v>149617</v>
      </c>
      <c r="K156" s="4">
        <v>97.5</v>
      </c>
      <c r="L156" s="4">
        <v>56.96</v>
      </c>
      <c r="M156" s="4">
        <v>225250</v>
      </c>
      <c r="N156" s="4">
        <v>1181</v>
      </c>
      <c r="O156" s="4">
        <v>2.1</v>
      </c>
      <c r="P156" s="4">
        <v>-0.50012000000000001</v>
      </c>
      <c r="Q156" s="4">
        <v>1.94189222746461</v>
      </c>
      <c r="R156" s="4">
        <v>2.0102451882429002</v>
      </c>
      <c r="S156" s="4">
        <v>90</v>
      </c>
      <c r="T156" s="4">
        <v>113.333333333333</v>
      </c>
      <c r="U156" s="4">
        <v>0.56497175141243505</v>
      </c>
      <c r="W156" s="3">
        <v>43434</v>
      </c>
      <c r="X156">
        <v>102.63</v>
      </c>
      <c r="Y156">
        <v>0.26</v>
      </c>
    </row>
    <row r="157" spans="1:25" x14ac:dyDescent="0.2">
      <c r="A157" s="5">
        <v>43465</v>
      </c>
      <c r="B157" s="4">
        <v>102.70099999999999</v>
      </c>
      <c r="C157" s="4">
        <v>102.735</v>
      </c>
      <c r="D157" s="4">
        <v>2.27</v>
      </c>
      <c r="E157" s="4">
        <v>0.6</v>
      </c>
      <c r="F157" s="4">
        <v>2.83</v>
      </c>
      <c r="G157" s="4">
        <v>2.68</v>
      </c>
      <c r="H157" s="4">
        <v>0.16</v>
      </c>
      <c r="I157" s="4">
        <v>3.9</v>
      </c>
      <c r="J157" s="4">
        <v>149809</v>
      </c>
      <c r="K157" s="4">
        <v>98.3</v>
      </c>
      <c r="L157" s="4">
        <v>49.52</v>
      </c>
      <c r="M157" s="4">
        <v>224600</v>
      </c>
      <c r="N157" s="4">
        <v>1095</v>
      </c>
      <c r="O157" s="4">
        <v>2.2999999999999998</v>
      </c>
      <c r="P157" s="4">
        <v>-0.42945</v>
      </c>
      <c r="Q157" s="4">
        <v>1.86469088781107</v>
      </c>
      <c r="R157" s="4">
        <v>2.0380799141860901</v>
      </c>
      <c r="S157" s="4">
        <v>192</v>
      </c>
      <c r="T157" s="4">
        <v>150.333333333333</v>
      </c>
      <c r="U157" s="4">
        <v>-14.443676572218299</v>
      </c>
      <c r="W157" s="3">
        <v>43465</v>
      </c>
      <c r="X157">
        <v>102.70099999999999</v>
      </c>
      <c r="Y157">
        <v>0.16</v>
      </c>
    </row>
    <row r="158" spans="1:25" x14ac:dyDescent="0.2">
      <c r="A158" s="5">
        <v>43496</v>
      </c>
      <c r="B158" s="4">
        <v>102.648</v>
      </c>
      <c r="C158" s="4">
        <v>102.87</v>
      </c>
      <c r="D158" s="4">
        <v>2.4</v>
      </c>
      <c r="E158" s="4">
        <v>0.6</v>
      </c>
      <c r="F158" s="4">
        <v>2.71</v>
      </c>
      <c r="G158" s="4">
        <v>2.54</v>
      </c>
      <c r="H158" s="4">
        <v>0.17</v>
      </c>
      <c r="I158" s="4">
        <v>4</v>
      </c>
      <c r="J158" s="4">
        <v>150060</v>
      </c>
      <c r="K158" s="4">
        <v>91.2</v>
      </c>
      <c r="L158" s="4">
        <v>51.38</v>
      </c>
      <c r="M158" s="4">
        <v>222750</v>
      </c>
      <c r="N158" s="4">
        <v>1226</v>
      </c>
      <c r="O158" s="4">
        <v>2.41</v>
      </c>
      <c r="P158" s="4">
        <v>-0.47138000000000002</v>
      </c>
      <c r="Q158" s="4">
        <v>1.4318323303589899</v>
      </c>
      <c r="R158" s="4">
        <v>1.8444266238973399</v>
      </c>
      <c r="S158" s="4">
        <v>251</v>
      </c>
      <c r="T158" s="4">
        <v>177.666666666666</v>
      </c>
      <c r="U158" s="4">
        <v>-19.3406593406593</v>
      </c>
      <c r="W158" s="3">
        <v>43496</v>
      </c>
      <c r="X158">
        <v>102.648</v>
      </c>
      <c r="Y158">
        <v>0.17</v>
      </c>
    </row>
    <row r="159" spans="1:25" x14ac:dyDescent="0.2">
      <c r="A159" s="5">
        <v>43524</v>
      </c>
      <c r="B159" s="4">
        <v>102.836</v>
      </c>
      <c r="C159" s="4">
        <v>102.96299999999999</v>
      </c>
      <c r="D159" s="4">
        <v>2.4</v>
      </c>
      <c r="E159" s="4">
        <v>0.6</v>
      </c>
      <c r="F159" s="4">
        <v>2.68</v>
      </c>
      <c r="G159" s="4">
        <v>2.5</v>
      </c>
      <c r="H159" s="4">
        <v>0.17</v>
      </c>
      <c r="I159" s="4">
        <v>3.8</v>
      </c>
      <c r="J159" s="4">
        <v>150067</v>
      </c>
      <c r="K159" s="4">
        <v>93.8</v>
      </c>
      <c r="L159" s="4">
        <v>54.95</v>
      </c>
      <c r="M159" s="4">
        <v>222500</v>
      </c>
      <c r="N159" s="4">
        <v>1121</v>
      </c>
      <c r="O159" s="4">
        <v>2.27</v>
      </c>
      <c r="P159" s="4">
        <v>-0.55771000000000004</v>
      </c>
      <c r="Q159" s="4">
        <v>1.40017354263626</v>
      </c>
      <c r="R159" s="4">
        <v>1.7441056147354801</v>
      </c>
      <c r="S159" s="4">
        <v>7</v>
      </c>
      <c r="T159" s="4">
        <v>150</v>
      </c>
      <c r="U159" s="4">
        <v>-11.698537682789601</v>
      </c>
      <c r="W159" s="3">
        <v>43524</v>
      </c>
      <c r="X159">
        <v>102.836</v>
      </c>
      <c r="Y159">
        <v>0.17</v>
      </c>
    </row>
    <row r="160" spans="1:25" x14ac:dyDescent="0.2">
      <c r="A160" s="5">
        <v>43555</v>
      </c>
      <c r="B160" s="4">
        <v>103.069</v>
      </c>
      <c r="C160" s="4">
        <v>103.05800000000001</v>
      </c>
      <c r="D160" s="4">
        <v>2.41</v>
      </c>
      <c r="E160" s="4">
        <v>2.5</v>
      </c>
      <c r="F160" s="4">
        <v>2.57</v>
      </c>
      <c r="G160" s="4">
        <v>2.41</v>
      </c>
      <c r="H160" s="4">
        <v>0.16</v>
      </c>
      <c r="I160" s="4">
        <v>3.8</v>
      </c>
      <c r="J160" s="4">
        <v>150295</v>
      </c>
      <c r="K160" s="4">
        <v>98.4</v>
      </c>
      <c r="L160" s="4">
        <v>58.15</v>
      </c>
      <c r="M160" s="4">
        <v>211800</v>
      </c>
      <c r="N160" s="4">
        <v>1191</v>
      </c>
      <c r="O160" s="4">
        <v>2.27</v>
      </c>
      <c r="P160" s="4">
        <v>-0.59938999999999998</v>
      </c>
      <c r="Q160" s="4">
        <v>1.5218076513927801</v>
      </c>
      <c r="R160" s="4">
        <v>1.6160679951488399</v>
      </c>
      <c r="S160" s="4">
        <v>228</v>
      </c>
      <c r="T160" s="4">
        <v>162</v>
      </c>
      <c r="U160" s="4">
        <v>-7.28635204081632</v>
      </c>
      <c r="W160" s="3">
        <v>43555</v>
      </c>
      <c r="X160">
        <v>103.069</v>
      </c>
      <c r="Y160">
        <v>0.16</v>
      </c>
    </row>
    <row r="161" spans="1:25" x14ac:dyDescent="0.2">
      <c r="A161" s="5">
        <v>43585</v>
      </c>
      <c r="B161" s="4">
        <v>103.36</v>
      </c>
      <c r="C161" s="4">
        <v>103.265</v>
      </c>
      <c r="D161" s="4">
        <v>2.42</v>
      </c>
      <c r="E161" s="4">
        <v>2.5</v>
      </c>
      <c r="F161" s="4">
        <v>2.5299999999999998</v>
      </c>
      <c r="G161" s="4">
        <v>2.34</v>
      </c>
      <c r="H161" s="4">
        <v>0.19</v>
      </c>
      <c r="I161" s="4">
        <v>3.7</v>
      </c>
      <c r="J161" s="4">
        <v>150591</v>
      </c>
      <c r="K161" s="4">
        <v>97.2</v>
      </c>
      <c r="L161" s="4">
        <v>63.86</v>
      </c>
      <c r="M161" s="4">
        <v>209750</v>
      </c>
      <c r="N161" s="4">
        <v>1272</v>
      </c>
      <c r="O161" s="4">
        <v>2.17</v>
      </c>
      <c r="P161" s="4">
        <v>-0.61377000000000004</v>
      </c>
      <c r="Q161" s="4">
        <v>1.56633846274787</v>
      </c>
      <c r="R161" s="4">
        <v>1.63677880356685</v>
      </c>
      <c r="S161" s="4">
        <v>296</v>
      </c>
      <c r="T161" s="4">
        <v>177</v>
      </c>
      <c r="U161" s="4">
        <v>-3.60754716981132</v>
      </c>
      <c r="W161" s="3">
        <v>43585</v>
      </c>
      <c r="X161">
        <v>103.36</v>
      </c>
      <c r="Y161">
        <v>0.19</v>
      </c>
    </row>
    <row r="162" spans="1:25" x14ac:dyDescent="0.2">
      <c r="A162" s="5">
        <v>43616</v>
      </c>
      <c r="B162" s="4">
        <v>103.435</v>
      </c>
      <c r="C162" s="4">
        <v>103.371</v>
      </c>
      <c r="D162" s="4">
        <v>2.39</v>
      </c>
      <c r="E162" s="4">
        <v>2.5</v>
      </c>
      <c r="F162" s="4">
        <v>2.4</v>
      </c>
      <c r="G162" s="4">
        <v>2.21</v>
      </c>
      <c r="H162" s="4">
        <v>0.19</v>
      </c>
      <c r="I162" s="4">
        <v>3.6</v>
      </c>
      <c r="J162" s="4">
        <v>150618</v>
      </c>
      <c r="K162" s="4">
        <v>100</v>
      </c>
      <c r="L162" s="4">
        <v>60.83</v>
      </c>
      <c r="M162" s="4">
        <v>218500</v>
      </c>
      <c r="N162" s="4">
        <v>1293</v>
      </c>
      <c r="O162" s="4">
        <v>2.23</v>
      </c>
      <c r="P162" s="4">
        <v>-0.59640000000000004</v>
      </c>
      <c r="Q162" s="4">
        <v>1.4655536045359501</v>
      </c>
      <c r="R162" s="4">
        <v>1.56317547651796</v>
      </c>
      <c r="S162" s="4">
        <v>27</v>
      </c>
      <c r="T162" s="4">
        <v>183.666666666666</v>
      </c>
      <c r="U162" s="4">
        <v>-13.0751643326664</v>
      </c>
      <c r="W162" s="3">
        <v>43616</v>
      </c>
      <c r="X162">
        <v>103.435</v>
      </c>
      <c r="Y162">
        <v>0.19</v>
      </c>
    </row>
    <row r="163" spans="1:25" x14ac:dyDescent="0.2">
      <c r="A163" s="5">
        <v>43646</v>
      </c>
      <c r="B163" s="4">
        <v>103.48399999999999</v>
      </c>
      <c r="C163" s="4">
        <v>103.56</v>
      </c>
      <c r="D163" s="4">
        <v>2.38</v>
      </c>
      <c r="E163" s="4">
        <v>3.4</v>
      </c>
      <c r="F163" s="4">
        <v>2.0699999999999998</v>
      </c>
      <c r="G163" s="4">
        <v>1.81</v>
      </c>
      <c r="H163" s="4">
        <v>0.26</v>
      </c>
      <c r="I163" s="4">
        <v>3.6</v>
      </c>
      <c r="J163" s="4">
        <v>150838</v>
      </c>
      <c r="K163" s="4">
        <v>98.2</v>
      </c>
      <c r="L163" s="4">
        <v>54.66</v>
      </c>
      <c r="M163" s="4">
        <v>225200</v>
      </c>
      <c r="N163" s="4">
        <v>1243</v>
      </c>
      <c r="O163" s="4">
        <v>2.39</v>
      </c>
      <c r="P163" s="4">
        <v>-0.57416</v>
      </c>
      <c r="Q163" s="4">
        <v>1.4260651383430201</v>
      </c>
      <c r="R163" s="4">
        <v>1.65698130987905</v>
      </c>
      <c r="S163" s="4">
        <v>220</v>
      </c>
      <c r="T163" s="4">
        <v>181</v>
      </c>
      <c r="U163" s="4">
        <v>-19.463680565787499</v>
      </c>
      <c r="W163" s="3">
        <v>43646</v>
      </c>
      <c r="X163">
        <v>103.48399999999999</v>
      </c>
      <c r="Y163">
        <v>0.26</v>
      </c>
    </row>
    <row r="164" spans="1:25" x14ac:dyDescent="0.2">
      <c r="A164" s="5">
        <v>43677</v>
      </c>
      <c r="B164" s="4">
        <v>103.622</v>
      </c>
      <c r="C164" s="4">
        <v>103.678</v>
      </c>
      <c r="D164" s="4">
        <v>2.4</v>
      </c>
      <c r="E164" s="4">
        <v>3.4</v>
      </c>
      <c r="F164" s="4">
        <v>2.06</v>
      </c>
      <c r="G164" s="4">
        <v>1.84</v>
      </c>
      <c r="H164" s="4">
        <v>0.22</v>
      </c>
      <c r="I164" s="4">
        <v>3.7</v>
      </c>
      <c r="J164" s="4">
        <v>150937</v>
      </c>
      <c r="K164" s="4">
        <v>98.4</v>
      </c>
      <c r="L164" s="4">
        <v>57.36</v>
      </c>
      <c r="M164" s="4">
        <v>208500</v>
      </c>
      <c r="N164" s="4">
        <v>1240</v>
      </c>
      <c r="O164" s="4">
        <v>2.2200000000000002</v>
      </c>
      <c r="P164" s="4">
        <v>-0.57974999999999999</v>
      </c>
      <c r="Q164" s="4">
        <v>1.4539295260287599</v>
      </c>
      <c r="R164" s="4">
        <v>1.63911926749407</v>
      </c>
      <c r="S164" s="4">
        <v>99</v>
      </c>
      <c r="T164" s="4">
        <v>115.333333333333</v>
      </c>
      <c r="U164" s="4">
        <v>-19.188503803888398</v>
      </c>
      <c r="W164" s="3">
        <v>43677</v>
      </c>
      <c r="X164">
        <v>103.622</v>
      </c>
      <c r="Y164">
        <v>0.22</v>
      </c>
    </row>
    <row r="165" spans="1:25" x14ac:dyDescent="0.2">
      <c r="A165" s="5">
        <v>43708</v>
      </c>
      <c r="B165" s="4">
        <v>103.67</v>
      </c>
      <c r="C165" s="4">
        <v>103.797</v>
      </c>
      <c r="D165" s="4">
        <v>2.13</v>
      </c>
      <c r="E165" s="4">
        <v>3.4</v>
      </c>
      <c r="F165" s="4">
        <v>1.63</v>
      </c>
      <c r="G165" s="4">
        <v>1.57</v>
      </c>
      <c r="H165" s="4">
        <v>0.06</v>
      </c>
      <c r="I165" s="4">
        <v>3.6</v>
      </c>
      <c r="J165" s="4">
        <v>151169</v>
      </c>
      <c r="K165" s="4">
        <v>89.8</v>
      </c>
      <c r="L165" s="4">
        <v>54.81</v>
      </c>
      <c r="M165" s="4">
        <v>211000</v>
      </c>
      <c r="N165" s="4">
        <v>1375</v>
      </c>
      <c r="O165" s="4">
        <v>2.2400000000000002</v>
      </c>
      <c r="P165" s="4">
        <v>-0.54825000000000002</v>
      </c>
      <c r="Q165" s="4">
        <v>1.4304164057608</v>
      </c>
      <c r="R165" s="4">
        <v>1.74580457967377</v>
      </c>
      <c r="S165" s="4">
        <v>232</v>
      </c>
      <c r="T165" s="4">
        <v>183.666666666666</v>
      </c>
      <c r="U165" s="4">
        <v>-19.4681163679106</v>
      </c>
      <c r="W165" s="3">
        <v>43708</v>
      </c>
      <c r="X165">
        <v>103.67</v>
      </c>
      <c r="Y165">
        <v>0.06</v>
      </c>
    </row>
    <row r="166" spans="1:25" x14ac:dyDescent="0.2">
      <c r="A166" s="5">
        <v>43738</v>
      </c>
      <c r="B166" s="4">
        <v>103.733</v>
      </c>
      <c r="C166" s="4">
        <v>103.873</v>
      </c>
      <c r="D166" s="4">
        <v>2.04</v>
      </c>
      <c r="E166" s="4">
        <v>4.8</v>
      </c>
      <c r="F166" s="4">
        <v>1.7</v>
      </c>
      <c r="G166" s="4">
        <v>1.65</v>
      </c>
      <c r="H166" s="4">
        <v>0.05</v>
      </c>
      <c r="I166" s="4">
        <v>3.5</v>
      </c>
      <c r="J166" s="4">
        <v>151365</v>
      </c>
      <c r="K166" s="4">
        <v>93.2</v>
      </c>
      <c r="L166" s="4">
        <v>56.95</v>
      </c>
      <c r="M166" s="4">
        <v>209500</v>
      </c>
      <c r="N166" s="4">
        <v>1311</v>
      </c>
      <c r="O166" s="4">
        <v>2.21</v>
      </c>
      <c r="P166" s="4">
        <v>-0.51466999999999996</v>
      </c>
      <c r="Q166" s="4">
        <v>1.2839539924622601</v>
      </c>
      <c r="R166" s="4">
        <v>1.6320140893302599</v>
      </c>
      <c r="S166" s="4">
        <v>196</v>
      </c>
      <c r="T166" s="4">
        <v>175.666666666666</v>
      </c>
      <c r="U166" s="4">
        <v>-18.9092980207888</v>
      </c>
      <c r="W166" s="3">
        <v>43738</v>
      </c>
      <c r="X166">
        <v>103.733</v>
      </c>
      <c r="Y166">
        <v>0.05</v>
      </c>
    </row>
    <row r="167" spans="1:25" x14ac:dyDescent="0.2">
      <c r="A167" s="5">
        <v>43769</v>
      </c>
      <c r="B167" s="4">
        <v>103.917</v>
      </c>
      <c r="C167" s="4">
        <v>104.02800000000001</v>
      </c>
      <c r="D167" s="4">
        <v>1.83</v>
      </c>
      <c r="E167" s="4">
        <v>4.8</v>
      </c>
      <c r="F167" s="4">
        <v>1.71</v>
      </c>
      <c r="G167" s="4">
        <v>1.55</v>
      </c>
      <c r="H167" s="4">
        <v>0.16</v>
      </c>
      <c r="I167" s="4">
        <v>3.6</v>
      </c>
      <c r="J167" s="4">
        <v>151460</v>
      </c>
      <c r="K167" s="4">
        <v>95.5</v>
      </c>
      <c r="L167" s="4">
        <v>53.96</v>
      </c>
      <c r="M167" s="4">
        <v>212250</v>
      </c>
      <c r="N167" s="4">
        <v>1325</v>
      </c>
      <c r="O167" s="4">
        <v>2.21</v>
      </c>
      <c r="P167" s="4">
        <v>-0.53117000000000003</v>
      </c>
      <c r="Q167" s="4">
        <v>1.28856182075149</v>
      </c>
      <c r="R167" s="4">
        <v>1.6235859562745401</v>
      </c>
      <c r="S167" s="4">
        <v>95</v>
      </c>
      <c r="T167" s="4">
        <v>174.333333333333</v>
      </c>
      <c r="U167" s="4">
        <v>-23.7314487632508</v>
      </c>
      <c r="W167" s="3">
        <v>43769</v>
      </c>
      <c r="X167">
        <v>103.917</v>
      </c>
      <c r="Y167">
        <v>0.16</v>
      </c>
    </row>
    <row r="168" spans="1:25" x14ac:dyDescent="0.2">
      <c r="A168" s="5">
        <v>43799</v>
      </c>
      <c r="B168" s="4">
        <v>104.024</v>
      </c>
      <c r="C168" s="4">
        <v>104.092</v>
      </c>
      <c r="D168" s="4">
        <v>1.55</v>
      </c>
      <c r="E168" s="4">
        <v>4.8</v>
      </c>
      <c r="F168" s="4">
        <v>1.81</v>
      </c>
      <c r="G168" s="4">
        <v>1.61</v>
      </c>
      <c r="H168" s="4">
        <v>0.2</v>
      </c>
      <c r="I168" s="4">
        <v>3.6</v>
      </c>
      <c r="J168" s="4">
        <v>151667</v>
      </c>
      <c r="K168" s="4">
        <v>96.8</v>
      </c>
      <c r="L168" s="4">
        <v>57.05</v>
      </c>
      <c r="M168" s="4">
        <v>224400</v>
      </c>
      <c r="N168" s="4">
        <v>1353</v>
      </c>
      <c r="O168" s="4">
        <v>2.13</v>
      </c>
      <c r="P168" s="4">
        <v>-0.57120000000000004</v>
      </c>
      <c r="Q168" s="4">
        <v>1.35827730683035</v>
      </c>
      <c r="R168" s="4">
        <v>1.4977183197472499</v>
      </c>
      <c r="S168" s="4">
        <v>207</v>
      </c>
      <c r="T168" s="4">
        <v>166</v>
      </c>
      <c r="U168" s="4">
        <v>0.158005617977519</v>
      </c>
      <c r="W168" s="3">
        <v>43799</v>
      </c>
      <c r="X168">
        <v>104.024</v>
      </c>
      <c r="Y168">
        <v>0.2</v>
      </c>
    </row>
    <row r="169" spans="1:25" x14ac:dyDescent="0.2">
      <c r="A169" s="5">
        <v>43830</v>
      </c>
      <c r="B169" s="4">
        <v>104.307</v>
      </c>
      <c r="C169" s="4">
        <v>104.322</v>
      </c>
      <c r="D169" s="4">
        <v>1.55</v>
      </c>
      <c r="E169" s="4">
        <v>2.8</v>
      </c>
      <c r="F169" s="4">
        <v>1.86</v>
      </c>
      <c r="G169" s="4">
        <v>1.61</v>
      </c>
      <c r="H169" s="4">
        <v>0.25</v>
      </c>
      <c r="I169" s="4">
        <v>3.6</v>
      </c>
      <c r="J169" s="4">
        <v>151794</v>
      </c>
      <c r="K169" s="4">
        <v>99.3</v>
      </c>
      <c r="L169" s="4">
        <v>59.82</v>
      </c>
      <c r="M169" s="4">
        <v>236000</v>
      </c>
      <c r="N169" s="4">
        <v>1548</v>
      </c>
      <c r="O169" s="4">
        <v>2.02</v>
      </c>
      <c r="P169" s="4">
        <v>-0.55508999999999997</v>
      </c>
      <c r="Q169" s="4">
        <v>1.5637627676458901</v>
      </c>
      <c r="R169" s="4">
        <v>1.5447510585486901</v>
      </c>
      <c r="S169" s="4">
        <v>127</v>
      </c>
      <c r="T169" s="4">
        <v>143</v>
      </c>
      <c r="U169" s="4">
        <v>20.799676898222899</v>
      </c>
      <c r="W169" s="3">
        <v>43830</v>
      </c>
      <c r="X169">
        <v>104.307</v>
      </c>
      <c r="Y169">
        <v>0.25</v>
      </c>
    </row>
    <row r="170" spans="1:25" x14ac:dyDescent="0.2">
      <c r="A170" s="5">
        <v>43861</v>
      </c>
      <c r="B170" s="4">
        <v>104.49</v>
      </c>
      <c r="C170" s="4">
        <v>104.50700000000001</v>
      </c>
      <c r="D170" s="4">
        <v>1.55</v>
      </c>
      <c r="E170" s="4">
        <v>2.8</v>
      </c>
      <c r="F170" s="4">
        <v>1.76</v>
      </c>
      <c r="G170" s="4">
        <v>1.52</v>
      </c>
      <c r="H170" s="4">
        <v>0.24</v>
      </c>
      <c r="I170" s="4">
        <v>3.6</v>
      </c>
      <c r="J170" s="4">
        <v>152031</v>
      </c>
      <c r="K170" s="4">
        <v>99.8</v>
      </c>
      <c r="L170" s="4">
        <v>57.52</v>
      </c>
      <c r="M170" s="4">
        <v>215500</v>
      </c>
      <c r="N170" s="4">
        <v>1581</v>
      </c>
      <c r="O170" s="4">
        <v>2.0099999999999998</v>
      </c>
      <c r="P170" s="4">
        <v>-0.60172000000000003</v>
      </c>
      <c r="Q170" s="4">
        <v>1.79448211363104</v>
      </c>
      <c r="R170" s="4">
        <v>1.59132886167006</v>
      </c>
      <c r="S170" s="4">
        <v>237</v>
      </c>
      <c r="T170" s="4">
        <v>190.333333333333</v>
      </c>
      <c r="U170" s="4">
        <v>11.950175165434</v>
      </c>
      <c r="W170" s="3">
        <v>43861</v>
      </c>
      <c r="X170">
        <v>104.49</v>
      </c>
      <c r="Y170">
        <v>0.24</v>
      </c>
    </row>
    <row r="171" spans="1:25" x14ac:dyDescent="0.2">
      <c r="A171" s="5">
        <v>43890</v>
      </c>
      <c r="B171" s="4">
        <v>104.57299999999999</v>
      </c>
      <c r="C171" s="4">
        <v>104.711</v>
      </c>
      <c r="D171" s="4">
        <v>1.58</v>
      </c>
      <c r="E171" s="4">
        <v>2.8</v>
      </c>
      <c r="F171" s="4">
        <v>1.5</v>
      </c>
      <c r="G171" s="4">
        <v>1.33</v>
      </c>
      <c r="H171" s="4">
        <v>0.17</v>
      </c>
      <c r="I171" s="4">
        <v>3.5</v>
      </c>
      <c r="J171" s="4">
        <v>152293</v>
      </c>
      <c r="K171" s="4">
        <v>101</v>
      </c>
      <c r="L171" s="4">
        <v>50.54</v>
      </c>
      <c r="M171" s="4">
        <v>210200</v>
      </c>
      <c r="N171" s="4">
        <v>1549</v>
      </c>
      <c r="O171" s="4">
        <v>2.11</v>
      </c>
      <c r="P171" s="4">
        <v>-0.46577000000000002</v>
      </c>
      <c r="Q171" s="4">
        <v>1.6890972033139999</v>
      </c>
      <c r="R171" s="4">
        <v>1.69769723104415</v>
      </c>
      <c r="S171" s="4">
        <v>262</v>
      </c>
      <c r="T171" s="4">
        <v>208.666666666666</v>
      </c>
      <c r="U171" s="4">
        <v>-8.0254777070063792</v>
      </c>
      <c r="W171" s="3">
        <v>43890</v>
      </c>
      <c r="X171">
        <v>104.57299999999999</v>
      </c>
      <c r="Y171">
        <v>0.17</v>
      </c>
    </row>
    <row r="172" spans="1:25" x14ac:dyDescent="0.2">
      <c r="A172" s="5">
        <v>43921</v>
      </c>
      <c r="B172" s="4">
        <v>104.271</v>
      </c>
      <c r="C172" s="4">
        <v>104.63200000000001</v>
      </c>
      <c r="D172" s="4">
        <v>0.65</v>
      </c>
      <c r="E172" s="4">
        <v>-5.2</v>
      </c>
      <c r="F172" s="4">
        <v>0.87</v>
      </c>
      <c r="G172" s="4">
        <v>0.45</v>
      </c>
      <c r="H172" s="4">
        <v>0.42</v>
      </c>
      <c r="I172" s="4">
        <v>4.4000000000000004</v>
      </c>
      <c r="J172" s="4">
        <v>150895</v>
      </c>
      <c r="K172" s="4">
        <v>89.1</v>
      </c>
      <c r="L172" s="4">
        <v>29.21</v>
      </c>
      <c r="M172" s="4">
        <v>2335250</v>
      </c>
      <c r="N172" s="4">
        <v>1266</v>
      </c>
      <c r="O172" s="4">
        <v>3.42</v>
      </c>
      <c r="P172" s="4">
        <v>8.7120000000000003E-2</v>
      </c>
      <c r="Q172" s="4">
        <v>1.1662090444265401</v>
      </c>
      <c r="R172" s="4">
        <v>1.5272953094374</v>
      </c>
      <c r="S172" s="4">
        <v>-1398</v>
      </c>
      <c r="T172" s="4">
        <v>-299.666666666666</v>
      </c>
      <c r="U172" s="4">
        <v>-49.767841788478002</v>
      </c>
      <c r="W172" s="3">
        <v>43921</v>
      </c>
      <c r="X172">
        <v>104.271</v>
      </c>
      <c r="Y172">
        <v>0.42</v>
      </c>
    </row>
    <row r="173" spans="1:25" x14ac:dyDescent="0.2">
      <c r="A173" s="5">
        <v>43951</v>
      </c>
      <c r="B173" s="4">
        <v>103.83799999999999</v>
      </c>
      <c r="C173" s="4">
        <v>104.29300000000001</v>
      </c>
      <c r="D173" s="4">
        <v>0.05</v>
      </c>
      <c r="E173" s="4">
        <v>-5.2</v>
      </c>
      <c r="F173" s="4">
        <v>0.66</v>
      </c>
      <c r="G173" s="4">
        <v>0.22</v>
      </c>
      <c r="H173" s="4">
        <v>0.43</v>
      </c>
      <c r="I173" s="4">
        <v>14.8</v>
      </c>
      <c r="J173" s="4">
        <v>130426</v>
      </c>
      <c r="K173" s="4">
        <v>71.8</v>
      </c>
      <c r="L173" s="4">
        <v>16.55</v>
      </c>
      <c r="M173" s="4">
        <v>4663250</v>
      </c>
      <c r="N173" s="4">
        <v>936</v>
      </c>
      <c r="O173" s="4">
        <v>3.47</v>
      </c>
      <c r="P173" s="4">
        <v>0.25222</v>
      </c>
      <c r="Q173" s="4">
        <v>0.46246130030960197</v>
      </c>
      <c r="R173" s="4">
        <v>0.99549702222438896</v>
      </c>
      <c r="S173" s="4">
        <v>-20469</v>
      </c>
      <c r="T173" s="4">
        <v>-7201.6666666666597</v>
      </c>
      <c r="U173" s="4">
        <v>-74.083933604760404</v>
      </c>
      <c r="W173" s="3">
        <v>43951</v>
      </c>
      <c r="X173">
        <v>103.83799999999999</v>
      </c>
      <c r="Y173">
        <v>0.43</v>
      </c>
    </row>
    <row r="174" spans="1:25" x14ac:dyDescent="0.2">
      <c r="A174" s="5">
        <v>43982</v>
      </c>
      <c r="B174" s="4">
        <v>103.94199999999999</v>
      </c>
      <c r="C174" s="4">
        <v>104.402</v>
      </c>
      <c r="D174" s="4">
        <v>0.05</v>
      </c>
      <c r="E174" s="4">
        <v>-5.2</v>
      </c>
      <c r="F174" s="4">
        <v>0.67</v>
      </c>
      <c r="G174" s="4">
        <v>0.17</v>
      </c>
      <c r="H174" s="4">
        <v>0.5</v>
      </c>
      <c r="I174" s="4">
        <v>13.2</v>
      </c>
      <c r="J174" s="4">
        <v>133040</v>
      </c>
      <c r="K174" s="4">
        <v>72.3</v>
      </c>
      <c r="L174" s="4">
        <v>28.56</v>
      </c>
      <c r="M174" s="4">
        <v>2173400</v>
      </c>
      <c r="N174" s="4">
        <v>1039</v>
      </c>
      <c r="O174" s="4">
        <v>3.28</v>
      </c>
      <c r="P174" s="4">
        <v>-0.11394</v>
      </c>
      <c r="Q174" s="4">
        <v>0.49016290423937697</v>
      </c>
      <c r="R174" s="4">
        <v>0.99737837497944004</v>
      </c>
      <c r="S174" s="4">
        <v>2614</v>
      </c>
      <c r="T174" s="4">
        <v>-6417.6666666666597</v>
      </c>
      <c r="U174" s="4">
        <v>-53.049482163406203</v>
      </c>
      <c r="W174" s="3">
        <v>43982</v>
      </c>
      <c r="X174">
        <v>103.94199999999999</v>
      </c>
      <c r="Y174">
        <v>0.5</v>
      </c>
    </row>
    <row r="175" spans="1:25" x14ac:dyDescent="0.2">
      <c r="A175" s="5">
        <v>44012</v>
      </c>
      <c r="B175" s="4">
        <v>104.27</v>
      </c>
      <c r="C175" s="4">
        <v>104.565</v>
      </c>
      <c r="D175" s="4">
        <v>0.08</v>
      </c>
      <c r="E175" s="4">
        <v>-28</v>
      </c>
      <c r="F175" s="4">
        <v>0.73</v>
      </c>
      <c r="G175" s="4">
        <v>0.19</v>
      </c>
      <c r="H175" s="4">
        <v>0.54</v>
      </c>
      <c r="I175" s="4">
        <v>11</v>
      </c>
      <c r="J175" s="4">
        <v>137671</v>
      </c>
      <c r="K175" s="4">
        <v>78.099999999999994</v>
      </c>
      <c r="L175" s="4">
        <v>38.31</v>
      </c>
      <c r="M175" s="4">
        <v>1490250</v>
      </c>
      <c r="N175" s="4">
        <v>1266</v>
      </c>
      <c r="O175" s="4">
        <v>2.91</v>
      </c>
      <c r="P175" s="4">
        <v>-0.35355999999999999</v>
      </c>
      <c r="Q175" s="4">
        <v>0.75953770631209605</v>
      </c>
      <c r="R175" s="4">
        <v>0.97045191193509905</v>
      </c>
      <c r="S175" s="4">
        <v>4631</v>
      </c>
      <c r="T175" s="4">
        <v>-4408</v>
      </c>
      <c r="U175" s="4">
        <v>-29.9121844127332</v>
      </c>
      <c r="W175" s="3">
        <v>44012</v>
      </c>
      <c r="X175">
        <v>104.27</v>
      </c>
      <c r="Y175">
        <v>0.54</v>
      </c>
    </row>
    <row r="176" spans="1:25" x14ac:dyDescent="0.2">
      <c r="A176" s="5">
        <v>44043</v>
      </c>
      <c r="B176" s="4">
        <v>104.578</v>
      </c>
      <c r="C176" s="4">
        <v>104.937</v>
      </c>
      <c r="D176" s="4">
        <v>0.09</v>
      </c>
      <c r="E176" s="4">
        <v>-28</v>
      </c>
      <c r="F176" s="4">
        <v>0.62</v>
      </c>
      <c r="G176" s="4">
        <v>0.15</v>
      </c>
      <c r="H176" s="4">
        <v>0.48</v>
      </c>
      <c r="I176" s="4">
        <v>10.199999999999999</v>
      </c>
      <c r="J176" s="4">
        <v>139255</v>
      </c>
      <c r="K176" s="4">
        <v>72.5</v>
      </c>
      <c r="L176" s="4">
        <v>40.71</v>
      </c>
      <c r="M176" s="4">
        <v>1383500</v>
      </c>
      <c r="N176" s="4">
        <v>1526</v>
      </c>
      <c r="O176" s="4">
        <v>2.69</v>
      </c>
      <c r="P176" s="4">
        <v>-0.44019000000000003</v>
      </c>
      <c r="Q176" s="4">
        <v>0.92258400725715395</v>
      </c>
      <c r="R176" s="4">
        <v>1.21433669630972</v>
      </c>
      <c r="S176" s="4">
        <v>1584</v>
      </c>
      <c r="T176" s="4">
        <v>2943</v>
      </c>
      <c r="U176" s="4">
        <v>-29.027196652719599</v>
      </c>
      <c r="W176" s="3">
        <v>44043</v>
      </c>
      <c r="X176">
        <v>104.578</v>
      </c>
      <c r="Y176">
        <v>0.48</v>
      </c>
    </row>
    <row r="177" spans="1:25" x14ac:dyDescent="0.2">
      <c r="A177" s="5">
        <v>44074</v>
      </c>
      <c r="B177" s="4">
        <v>104.87</v>
      </c>
      <c r="C177" s="4">
        <v>105.24299999999999</v>
      </c>
      <c r="D177" s="4">
        <v>0.1</v>
      </c>
      <c r="E177" s="4">
        <v>-28</v>
      </c>
      <c r="F177" s="4">
        <v>0.65</v>
      </c>
      <c r="G177" s="4">
        <v>0.14000000000000001</v>
      </c>
      <c r="H177" s="4">
        <v>0.51</v>
      </c>
      <c r="I177" s="4">
        <v>8.4</v>
      </c>
      <c r="J177" s="4">
        <v>140821</v>
      </c>
      <c r="K177" s="4">
        <v>74.099999999999994</v>
      </c>
      <c r="L177" s="4">
        <v>42.34</v>
      </c>
      <c r="M177" s="4">
        <v>922400</v>
      </c>
      <c r="N177" s="4">
        <v>1396</v>
      </c>
      <c r="O177" s="4">
        <v>2.62</v>
      </c>
      <c r="P177" s="4">
        <v>-0.50175999999999998</v>
      </c>
      <c r="Q177" s="4">
        <v>1.15751905083438</v>
      </c>
      <c r="R177" s="4">
        <v>1.3931038469319801</v>
      </c>
      <c r="S177" s="4">
        <v>1566</v>
      </c>
      <c r="T177" s="4">
        <v>2593.6666666666601</v>
      </c>
      <c r="U177" s="4">
        <v>-22.7513227513227</v>
      </c>
      <c r="W177" s="3">
        <v>44074</v>
      </c>
      <c r="X177">
        <v>104.87</v>
      </c>
      <c r="Y177">
        <v>0.51</v>
      </c>
    </row>
    <row r="178" spans="1:25" x14ac:dyDescent="0.2">
      <c r="A178" s="5">
        <v>44104</v>
      </c>
      <c r="B178" s="4">
        <v>105.057</v>
      </c>
      <c r="C178" s="4">
        <v>105.41</v>
      </c>
      <c r="D178" s="4">
        <v>0.09</v>
      </c>
      <c r="E178" s="4">
        <v>34.9</v>
      </c>
      <c r="F178" s="4">
        <v>0.68</v>
      </c>
      <c r="G178" s="4">
        <v>0.13</v>
      </c>
      <c r="H178" s="4">
        <v>0.54</v>
      </c>
      <c r="I178" s="4">
        <v>7.8</v>
      </c>
      <c r="J178" s="4">
        <v>141770</v>
      </c>
      <c r="K178" s="4">
        <v>80.400000000000006</v>
      </c>
      <c r="L178" s="4">
        <v>39.630000000000003</v>
      </c>
      <c r="M178" s="4">
        <v>851750</v>
      </c>
      <c r="N178" s="4">
        <v>1473</v>
      </c>
      <c r="O178" s="4">
        <v>2.68</v>
      </c>
      <c r="P178" s="4">
        <v>-0.50014999999999998</v>
      </c>
      <c r="Q178" s="4">
        <v>1.2763537157895799</v>
      </c>
      <c r="R178" s="4">
        <v>1.4796915464076299</v>
      </c>
      <c r="S178" s="4">
        <v>949</v>
      </c>
      <c r="T178" s="4">
        <v>1366.3333333333301</v>
      </c>
      <c r="U178" s="4">
        <v>-30.412642669007901</v>
      </c>
      <c r="W178" s="3">
        <v>44104</v>
      </c>
      <c r="X178">
        <v>105.057</v>
      </c>
      <c r="Y178">
        <v>0.54</v>
      </c>
    </row>
    <row r="179" spans="1:25" x14ac:dyDescent="0.2">
      <c r="A179" s="5">
        <v>44135</v>
      </c>
      <c r="B179" s="4">
        <v>105.151</v>
      </c>
      <c r="C179" s="4">
        <v>105.50700000000001</v>
      </c>
      <c r="D179" s="4">
        <v>0.09</v>
      </c>
      <c r="E179" s="4">
        <v>34.9</v>
      </c>
      <c r="F179" s="4">
        <v>0.79</v>
      </c>
      <c r="G179" s="4">
        <v>0.15</v>
      </c>
      <c r="H179" s="4">
        <v>0.64</v>
      </c>
      <c r="I179" s="4">
        <v>6.9</v>
      </c>
      <c r="J179" s="4">
        <v>142460</v>
      </c>
      <c r="K179" s="4">
        <v>81.8</v>
      </c>
      <c r="L179" s="4">
        <v>39.4</v>
      </c>
      <c r="M179" s="4">
        <v>795400</v>
      </c>
      <c r="N179" s="4">
        <v>1543</v>
      </c>
      <c r="O179" s="4">
        <v>2.65</v>
      </c>
      <c r="P179" s="4">
        <v>-0.49543999999999999</v>
      </c>
      <c r="Q179" s="4">
        <v>1.1874861668446901</v>
      </c>
      <c r="R179" s="4">
        <v>1.42173261045102</v>
      </c>
      <c r="S179" s="4">
        <v>690</v>
      </c>
      <c r="T179" s="4">
        <v>1068.3333333333301</v>
      </c>
      <c r="U179" s="4">
        <v>-26.982950333580401</v>
      </c>
      <c r="W179" s="3">
        <v>44135</v>
      </c>
      <c r="X179">
        <v>105.151</v>
      </c>
      <c r="Y179">
        <v>0.64</v>
      </c>
    </row>
    <row r="180" spans="1:25" x14ac:dyDescent="0.2">
      <c r="A180" s="5">
        <v>44165</v>
      </c>
      <c r="B180" s="4">
        <v>105.258</v>
      </c>
      <c r="C180" s="4">
        <v>105.605</v>
      </c>
      <c r="D180" s="4">
        <v>0.09</v>
      </c>
      <c r="E180" s="4">
        <v>34.9</v>
      </c>
      <c r="F180" s="4">
        <v>0.87</v>
      </c>
      <c r="G180" s="4">
        <v>0.17</v>
      </c>
      <c r="H180" s="4">
        <v>0.7</v>
      </c>
      <c r="I180" s="4">
        <v>6.7</v>
      </c>
      <c r="J180" s="4">
        <v>142733</v>
      </c>
      <c r="K180" s="4">
        <v>76.900000000000006</v>
      </c>
      <c r="L180" s="4">
        <v>40.94</v>
      </c>
      <c r="M180" s="4">
        <v>751250</v>
      </c>
      <c r="N180" s="4">
        <v>1543</v>
      </c>
      <c r="O180" s="4">
        <v>2.4300000000000002</v>
      </c>
      <c r="P180" s="4">
        <v>-0.54459999999999997</v>
      </c>
      <c r="Q180" s="4">
        <v>1.1862647081442601</v>
      </c>
      <c r="R180" s="4">
        <v>1.4535218844867901</v>
      </c>
      <c r="S180" s="4">
        <v>273</v>
      </c>
      <c r="T180" s="4">
        <v>637.33333333333303</v>
      </c>
      <c r="U180" s="4">
        <v>-28.238387379491598</v>
      </c>
      <c r="W180" s="3">
        <v>44165</v>
      </c>
      <c r="X180">
        <v>105.258</v>
      </c>
      <c r="Y180">
        <v>0.7</v>
      </c>
    </row>
    <row r="181" spans="1:25" x14ac:dyDescent="0.2">
      <c r="A181" s="5">
        <v>44196</v>
      </c>
      <c r="B181" s="4">
        <v>105.699</v>
      </c>
      <c r="C181" s="4">
        <v>105.896</v>
      </c>
      <c r="D181" s="4">
        <v>0.09</v>
      </c>
      <c r="E181" s="4">
        <v>4.5999999999999996</v>
      </c>
      <c r="F181" s="4">
        <v>0.93</v>
      </c>
      <c r="G181" s="4">
        <v>0.14000000000000001</v>
      </c>
      <c r="H181" s="4">
        <v>0.8</v>
      </c>
      <c r="I181" s="4">
        <v>6.7</v>
      </c>
      <c r="J181" s="4">
        <v>142548</v>
      </c>
      <c r="K181" s="4">
        <v>80.7</v>
      </c>
      <c r="L181" s="4">
        <v>47.03</v>
      </c>
      <c r="M181" s="4">
        <v>836750</v>
      </c>
      <c r="N181" s="4">
        <v>1614</v>
      </c>
      <c r="O181" s="4">
        <v>2.23</v>
      </c>
      <c r="P181" s="4">
        <v>-0.59345000000000003</v>
      </c>
      <c r="Q181" s="4">
        <v>1.3345221317840601</v>
      </c>
      <c r="R181" s="4">
        <v>1.5087900922144899</v>
      </c>
      <c r="S181" s="4">
        <v>-185</v>
      </c>
      <c r="T181" s="4">
        <v>259.33333333333297</v>
      </c>
      <c r="U181" s="4">
        <v>-21.3808090939485</v>
      </c>
      <c r="W181" s="3">
        <v>44196</v>
      </c>
      <c r="X181">
        <v>105.699</v>
      </c>
      <c r="Y181">
        <v>0.8</v>
      </c>
    </row>
    <row r="182" spans="1:25" x14ac:dyDescent="0.2">
      <c r="A182" s="5">
        <v>44227</v>
      </c>
      <c r="B182" s="4">
        <v>106.14700000000001</v>
      </c>
      <c r="C182" s="4">
        <v>106.28100000000001</v>
      </c>
      <c r="D182" s="4">
        <v>0.09</v>
      </c>
      <c r="E182" s="4">
        <v>4.5999999999999996</v>
      </c>
      <c r="F182" s="4">
        <v>1.08</v>
      </c>
      <c r="G182" s="4">
        <v>0.13</v>
      </c>
      <c r="H182" s="4">
        <v>0.95</v>
      </c>
      <c r="I182" s="4">
        <v>6.4</v>
      </c>
      <c r="J182" s="4">
        <v>142863</v>
      </c>
      <c r="K182" s="4">
        <v>79</v>
      </c>
      <c r="L182" s="4">
        <v>52.01</v>
      </c>
      <c r="M182" s="4">
        <v>827800</v>
      </c>
      <c r="N182" s="4">
        <v>1630</v>
      </c>
      <c r="O182" s="4">
        <v>2.16</v>
      </c>
      <c r="P182" s="4">
        <v>-0.61584000000000005</v>
      </c>
      <c r="Q182" s="4">
        <v>1.5857976839888901</v>
      </c>
      <c r="R182" s="4">
        <v>1.69749394777383</v>
      </c>
      <c r="S182" s="4">
        <v>315</v>
      </c>
      <c r="T182" s="4">
        <v>134.333333333333</v>
      </c>
      <c r="U182" s="4">
        <v>-9.5792767732962503</v>
      </c>
      <c r="W182" s="3">
        <v>44227</v>
      </c>
      <c r="X182">
        <v>106.14700000000001</v>
      </c>
      <c r="Y182">
        <v>0.95</v>
      </c>
    </row>
    <row r="183" spans="1:25" x14ac:dyDescent="0.2">
      <c r="A183" s="5">
        <v>44255</v>
      </c>
      <c r="B183" s="4">
        <v>106.5</v>
      </c>
      <c r="C183" s="4">
        <v>106.501</v>
      </c>
      <c r="D183" s="4">
        <v>0.08</v>
      </c>
      <c r="E183" s="4">
        <v>4.5999999999999996</v>
      </c>
      <c r="F183" s="4">
        <v>1.26</v>
      </c>
      <c r="G183" s="4">
        <v>0.12</v>
      </c>
      <c r="H183" s="4">
        <v>1.1399999999999999</v>
      </c>
      <c r="I183" s="4">
        <v>6.2</v>
      </c>
      <c r="J183" s="4">
        <v>143380</v>
      </c>
      <c r="K183" s="4">
        <v>76.8</v>
      </c>
      <c r="L183" s="4">
        <v>59.05</v>
      </c>
      <c r="M183" s="4">
        <v>755000</v>
      </c>
      <c r="N183" s="4">
        <v>1404</v>
      </c>
      <c r="O183" s="4">
        <v>2.16</v>
      </c>
      <c r="P183" s="4">
        <v>-0.62438000000000005</v>
      </c>
      <c r="Q183" s="4">
        <v>1.8427318715156</v>
      </c>
      <c r="R183" s="4">
        <v>1.7094670091967401</v>
      </c>
      <c r="S183" s="4">
        <v>517</v>
      </c>
      <c r="T183" s="4">
        <v>215.666666666666</v>
      </c>
      <c r="U183" s="4">
        <v>16.838148001582798</v>
      </c>
      <c r="W183" s="3">
        <v>44255</v>
      </c>
      <c r="X183">
        <v>106.5</v>
      </c>
      <c r="Y183">
        <v>1.1399999999999999</v>
      </c>
    </row>
    <row r="184" spans="1:25" x14ac:dyDescent="0.2">
      <c r="A184" s="5">
        <v>44286</v>
      </c>
      <c r="B184" s="4">
        <v>107.054</v>
      </c>
      <c r="C184" s="4">
        <v>106.93300000000001</v>
      </c>
      <c r="D184" s="4">
        <v>7.0000000000000007E-2</v>
      </c>
      <c r="E184" s="4">
        <v>5.7</v>
      </c>
      <c r="F184" s="4">
        <v>1.61</v>
      </c>
      <c r="G184" s="4">
        <v>0.15</v>
      </c>
      <c r="H184" s="4">
        <v>1.46</v>
      </c>
      <c r="I184" s="4">
        <v>6.1</v>
      </c>
      <c r="J184" s="4">
        <v>144232</v>
      </c>
      <c r="K184" s="4">
        <v>84.9</v>
      </c>
      <c r="L184" s="4">
        <v>62.33</v>
      </c>
      <c r="M184" s="4">
        <v>669250</v>
      </c>
      <c r="N184" s="4">
        <v>1696</v>
      </c>
      <c r="O184" s="4">
        <v>2.13</v>
      </c>
      <c r="P184" s="4">
        <v>-0.63976</v>
      </c>
      <c r="Q184" s="4">
        <v>2.6690067228663801</v>
      </c>
      <c r="R184" s="4">
        <v>2.1991360195733498</v>
      </c>
      <c r="S184" s="4">
        <v>852</v>
      </c>
      <c r="T184" s="4">
        <v>561.33333333333303</v>
      </c>
      <c r="U184" s="4">
        <v>113.385826771653</v>
      </c>
      <c r="W184" s="3">
        <v>44286</v>
      </c>
      <c r="X184">
        <v>107.054</v>
      </c>
      <c r="Y184">
        <v>1.46</v>
      </c>
    </row>
    <row r="185" spans="1:25" x14ac:dyDescent="0.2">
      <c r="A185" s="5">
        <v>44316</v>
      </c>
      <c r="B185" s="4">
        <v>107.61799999999999</v>
      </c>
      <c r="C185" s="4">
        <v>107.55800000000001</v>
      </c>
      <c r="D185" s="4">
        <v>7.0000000000000007E-2</v>
      </c>
      <c r="E185" s="4">
        <v>5.7</v>
      </c>
      <c r="F185" s="4">
        <v>1.64</v>
      </c>
      <c r="G185" s="4">
        <v>0.16</v>
      </c>
      <c r="H185" s="4">
        <v>1.47</v>
      </c>
      <c r="I185" s="4">
        <v>6.1</v>
      </c>
      <c r="J185" s="4">
        <v>144587</v>
      </c>
      <c r="K185" s="4">
        <v>88.3</v>
      </c>
      <c r="L185" s="4">
        <v>61.72</v>
      </c>
      <c r="M185" s="4">
        <v>589000</v>
      </c>
      <c r="N185" s="4">
        <v>1495</v>
      </c>
      <c r="O185" s="4">
        <v>1.97</v>
      </c>
      <c r="P185" s="4">
        <v>-0.66961999999999999</v>
      </c>
      <c r="Q185" s="4">
        <v>3.64028582985034</v>
      </c>
      <c r="R185" s="4">
        <v>3.1306032044336498</v>
      </c>
      <c r="S185" s="4">
        <v>355</v>
      </c>
      <c r="T185" s="4">
        <v>574.66666666666595</v>
      </c>
      <c r="U185" s="4">
        <v>272.93051359516602</v>
      </c>
      <c r="W185" s="3">
        <v>44316</v>
      </c>
      <c r="X185">
        <v>107.61799999999999</v>
      </c>
      <c r="Y185">
        <v>1.47</v>
      </c>
    </row>
    <row r="186" spans="1:25" x14ac:dyDescent="0.2">
      <c r="A186" s="5">
        <v>44347</v>
      </c>
      <c r="B186" s="4">
        <v>108.175</v>
      </c>
      <c r="C186" s="4">
        <v>108.099</v>
      </c>
      <c r="D186" s="4">
        <v>0.06</v>
      </c>
      <c r="E186" s="4">
        <v>5.7</v>
      </c>
      <c r="F186" s="4">
        <v>1.62</v>
      </c>
      <c r="G186" s="4">
        <v>0.16</v>
      </c>
      <c r="H186" s="4">
        <v>1.47</v>
      </c>
      <c r="I186" s="4">
        <v>5.8</v>
      </c>
      <c r="J186" s="4">
        <v>145065</v>
      </c>
      <c r="K186" s="4">
        <v>82.9</v>
      </c>
      <c r="L186" s="4">
        <v>65.17</v>
      </c>
      <c r="M186" s="4">
        <v>469200</v>
      </c>
      <c r="N186" s="4">
        <v>1589</v>
      </c>
      <c r="O186" s="4">
        <v>2</v>
      </c>
      <c r="P186" s="4">
        <v>-0.69005000000000005</v>
      </c>
      <c r="Q186" s="4">
        <v>4.0724634892536304</v>
      </c>
      <c r="R186" s="4">
        <v>3.5411199019175799</v>
      </c>
      <c r="S186" s="4">
        <v>478</v>
      </c>
      <c r="T186" s="4">
        <v>561.66666666666595</v>
      </c>
      <c r="U186" s="4">
        <v>128.18627450980301</v>
      </c>
      <c r="W186" s="3">
        <v>44347</v>
      </c>
      <c r="X186">
        <v>108.175</v>
      </c>
      <c r="Y186">
        <v>1.47</v>
      </c>
    </row>
    <row r="187" spans="1:25" x14ac:dyDescent="0.2">
      <c r="A187" s="5">
        <v>44377</v>
      </c>
      <c r="B187" s="4">
        <v>108.76</v>
      </c>
      <c r="C187" s="4">
        <v>108.60299999999999</v>
      </c>
      <c r="D187" s="4">
        <v>0.08</v>
      </c>
      <c r="E187" s="4">
        <v>7</v>
      </c>
      <c r="F187" s="4">
        <v>1.52</v>
      </c>
      <c r="G187" s="4">
        <v>0.2</v>
      </c>
      <c r="H187" s="4">
        <v>1.32</v>
      </c>
      <c r="I187" s="4">
        <v>5.9</v>
      </c>
      <c r="J187" s="4">
        <v>145820</v>
      </c>
      <c r="K187" s="4">
        <v>85.5</v>
      </c>
      <c r="L187" s="4">
        <v>71.38</v>
      </c>
      <c r="M187" s="4">
        <v>409500</v>
      </c>
      <c r="N187" s="4">
        <v>1650</v>
      </c>
      <c r="O187" s="4">
        <v>1.92</v>
      </c>
      <c r="P187" s="4">
        <v>-0.69123999999999997</v>
      </c>
      <c r="Q187" s="4">
        <v>4.30612832070587</v>
      </c>
      <c r="R187" s="4">
        <v>3.8617128102137399</v>
      </c>
      <c r="S187" s="4">
        <v>755</v>
      </c>
      <c r="T187" s="4">
        <v>529.33333333333303</v>
      </c>
      <c r="U187" s="4">
        <v>86.322109109892907</v>
      </c>
      <c r="W187" s="3">
        <v>44377</v>
      </c>
      <c r="X187">
        <v>108.76</v>
      </c>
      <c r="Y187">
        <v>1.32</v>
      </c>
    </row>
    <row r="188" spans="1:25" x14ac:dyDescent="0.2">
      <c r="A188" s="5">
        <v>44408</v>
      </c>
      <c r="B188" s="4">
        <v>109.256</v>
      </c>
      <c r="C188" s="4">
        <v>109.05800000000001</v>
      </c>
      <c r="D188" s="4">
        <v>0.1</v>
      </c>
      <c r="E188" s="4">
        <v>7</v>
      </c>
      <c r="F188" s="4">
        <v>1.32</v>
      </c>
      <c r="G188" s="4">
        <v>0.22</v>
      </c>
      <c r="H188" s="4">
        <v>1.1000000000000001</v>
      </c>
      <c r="I188" s="4">
        <v>5.4</v>
      </c>
      <c r="J188" s="4">
        <v>146762</v>
      </c>
      <c r="K188" s="4">
        <v>81.2</v>
      </c>
      <c r="L188" s="4">
        <v>72.489999999999995</v>
      </c>
      <c r="M188" s="4">
        <v>370000</v>
      </c>
      <c r="N188" s="4">
        <v>1597</v>
      </c>
      <c r="O188" s="4">
        <v>1.92</v>
      </c>
      <c r="P188" s="4">
        <v>-0.66788999999999998</v>
      </c>
      <c r="Q188" s="4">
        <v>4.47321616401155</v>
      </c>
      <c r="R188" s="4">
        <v>3.9271181756673101</v>
      </c>
      <c r="S188" s="4">
        <v>942</v>
      </c>
      <c r="T188" s="4">
        <v>725</v>
      </c>
      <c r="U188" s="4">
        <v>78.064357651682599</v>
      </c>
      <c r="W188" s="3">
        <v>44408</v>
      </c>
      <c r="X188">
        <v>109.256</v>
      </c>
      <c r="Y188">
        <v>1.1000000000000001</v>
      </c>
    </row>
    <row r="189" spans="1:25" x14ac:dyDescent="0.2">
      <c r="A189" s="5">
        <v>44439</v>
      </c>
      <c r="B189" s="4">
        <v>109.67400000000001</v>
      </c>
      <c r="C189" s="4">
        <v>109.40900000000001</v>
      </c>
      <c r="D189" s="4">
        <v>0.09</v>
      </c>
      <c r="E189" s="4">
        <v>7</v>
      </c>
      <c r="F189" s="4">
        <v>1.28</v>
      </c>
      <c r="G189" s="4">
        <v>0.22</v>
      </c>
      <c r="H189" s="4">
        <v>1.07</v>
      </c>
      <c r="I189" s="4">
        <v>5.0999999999999996</v>
      </c>
      <c r="J189" s="4">
        <v>147314</v>
      </c>
      <c r="K189" s="4">
        <v>70.3</v>
      </c>
      <c r="L189" s="4">
        <v>67.73</v>
      </c>
      <c r="M189" s="4">
        <v>359750</v>
      </c>
      <c r="N189" s="4">
        <v>1594</v>
      </c>
      <c r="O189" s="4">
        <v>1.96</v>
      </c>
      <c r="P189" s="4">
        <v>-0.64832999999999996</v>
      </c>
      <c r="Q189" s="4">
        <v>4.5809096977209798</v>
      </c>
      <c r="R189" s="4">
        <v>3.9584580447155702</v>
      </c>
      <c r="S189" s="4">
        <v>552</v>
      </c>
      <c r="T189" s="4">
        <v>749.66666666666595</v>
      </c>
      <c r="U189" s="4">
        <v>59.966934341048599</v>
      </c>
      <c r="W189" s="3">
        <v>44439</v>
      </c>
      <c r="X189">
        <v>109.67400000000001</v>
      </c>
      <c r="Y189">
        <v>1.07</v>
      </c>
    </row>
    <row r="190" spans="1:25" x14ac:dyDescent="0.2">
      <c r="A190" s="5">
        <v>44469</v>
      </c>
      <c r="B190" s="4">
        <v>110.03400000000001</v>
      </c>
      <c r="C190" s="4">
        <v>109.64100000000001</v>
      </c>
      <c r="D190" s="4">
        <v>0.08</v>
      </c>
      <c r="E190" s="4">
        <v>3.3</v>
      </c>
      <c r="F190" s="4">
        <v>1.37</v>
      </c>
      <c r="G190" s="4">
        <v>0.24</v>
      </c>
      <c r="H190" s="4">
        <v>1.1299999999999999</v>
      </c>
      <c r="I190" s="4">
        <v>4.7</v>
      </c>
      <c r="J190" s="4">
        <v>147771</v>
      </c>
      <c r="K190" s="4">
        <v>72.8</v>
      </c>
      <c r="L190" s="4">
        <v>71.650000000000006</v>
      </c>
      <c r="M190" s="4">
        <v>354750</v>
      </c>
      <c r="N190" s="4">
        <v>1577</v>
      </c>
      <c r="O190" s="4">
        <v>1.86</v>
      </c>
      <c r="P190" s="4">
        <v>-0.65127000000000002</v>
      </c>
      <c r="Q190" s="4">
        <v>4.7374282532339498</v>
      </c>
      <c r="R190" s="4">
        <v>4.0138506783037702</v>
      </c>
      <c r="S190" s="4">
        <v>457</v>
      </c>
      <c r="T190" s="4">
        <v>650.33333333333303</v>
      </c>
      <c r="U190" s="4">
        <v>80.797375725460498</v>
      </c>
      <c r="W190" s="3">
        <v>44469</v>
      </c>
      <c r="X190">
        <v>110.03400000000001</v>
      </c>
      <c r="Y190">
        <v>1.1299999999999999</v>
      </c>
    </row>
    <row r="191" spans="1:25" x14ac:dyDescent="0.2">
      <c r="A191" s="5">
        <v>44500</v>
      </c>
      <c r="B191" s="4">
        <v>110.762</v>
      </c>
      <c r="C191" s="4">
        <v>110.188</v>
      </c>
      <c r="D191" s="4">
        <v>0.08</v>
      </c>
      <c r="E191" s="4">
        <v>3.3</v>
      </c>
      <c r="F191" s="4">
        <v>1.58</v>
      </c>
      <c r="G191" s="4">
        <v>0.39</v>
      </c>
      <c r="H191" s="4">
        <v>1.19</v>
      </c>
      <c r="I191" s="4">
        <v>4.5</v>
      </c>
      <c r="J191" s="4">
        <v>148572</v>
      </c>
      <c r="K191" s="4">
        <v>71.7</v>
      </c>
      <c r="L191" s="4">
        <v>81.48</v>
      </c>
      <c r="M191" s="4">
        <v>284400</v>
      </c>
      <c r="N191" s="4">
        <v>1579</v>
      </c>
      <c r="O191" s="4">
        <v>1.77</v>
      </c>
      <c r="P191" s="4">
        <v>-0.64231000000000005</v>
      </c>
      <c r="Q191" s="4">
        <v>5.3361356525377799</v>
      </c>
      <c r="R191" s="4">
        <v>4.43667244827357</v>
      </c>
      <c r="S191" s="4">
        <v>801</v>
      </c>
      <c r="T191" s="4">
        <v>603.33333333333303</v>
      </c>
      <c r="U191" s="4">
        <v>106.80203045685199</v>
      </c>
      <c r="W191" s="3">
        <v>44500</v>
      </c>
      <c r="X191">
        <v>110.762</v>
      </c>
      <c r="Y191">
        <v>1.19</v>
      </c>
    </row>
    <row r="192" spans="1:25" x14ac:dyDescent="0.2">
      <c r="A192" s="5">
        <v>44530</v>
      </c>
      <c r="B192" s="4">
        <v>111.5</v>
      </c>
      <c r="C192" s="4">
        <v>110.77</v>
      </c>
      <c r="D192" s="4">
        <v>0.08</v>
      </c>
      <c r="E192" s="4">
        <v>3.3</v>
      </c>
      <c r="F192" s="4">
        <v>1.56</v>
      </c>
      <c r="G192" s="4">
        <v>0.51</v>
      </c>
      <c r="H192" s="4">
        <v>1.05</v>
      </c>
      <c r="I192" s="4">
        <v>4.0999999999999996</v>
      </c>
      <c r="J192" s="4">
        <v>149230</v>
      </c>
      <c r="K192" s="4">
        <v>67.400000000000006</v>
      </c>
      <c r="L192" s="4">
        <v>79.150000000000006</v>
      </c>
      <c r="M192" s="4">
        <v>236500</v>
      </c>
      <c r="N192" s="4">
        <v>1705</v>
      </c>
      <c r="O192" s="4">
        <v>1.72</v>
      </c>
      <c r="P192" s="4">
        <v>-0.57704</v>
      </c>
      <c r="Q192" s="4">
        <v>5.9301905793383902</v>
      </c>
      <c r="R192" s="4">
        <v>4.8908669097106996</v>
      </c>
      <c r="S192" s="4">
        <v>658</v>
      </c>
      <c r="T192" s="4">
        <v>638.66666666666595</v>
      </c>
      <c r="U192" s="4">
        <v>93.331704934049796</v>
      </c>
      <c r="W192" s="3">
        <v>44530</v>
      </c>
      <c r="X192">
        <v>111.5</v>
      </c>
      <c r="Y192">
        <v>1.05</v>
      </c>
    </row>
    <row r="193" spans="1:25" x14ac:dyDescent="0.2">
      <c r="A193" s="5">
        <v>44561</v>
      </c>
      <c r="B193" s="4">
        <v>112.191</v>
      </c>
      <c r="C193" s="4">
        <v>111.41800000000001</v>
      </c>
      <c r="D193" s="4">
        <v>0.08</v>
      </c>
      <c r="E193" s="4">
        <v>7</v>
      </c>
      <c r="F193" s="4">
        <v>1.47</v>
      </c>
      <c r="G193" s="4">
        <v>0.68</v>
      </c>
      <c r="H193" s="4">
        <v>0.79</v>
      </c>
      <c r="I193" s="4">
        <v>3.9</v>
      </c>
      <c r="J193" s="4">
        <v>149816</v>
      </c>
      <c r="K193" s="4">
        <v>70.599999999999994</v>
      </c>
      <c r="L193" s="4">
        <v>71.709999999999994</v>
      </c>
      <c r="M193" s="4">
        <v>216250</v>
      </c>
      <c r="N193" s="4">
        <v>1722</v>
      </c>
      <c r="O193" s="4">
        <v>1.84</v>
      </c>
      <c r="P193" s="4">
        <v>-0.54464999999999997</v>
      </c>
      <c r="Q193" s="4">
        <v>6.1419691766241904</v>
      </c>
      <c r="R193" s="4">
        <v>5.2145501246505903</v>
      </c>
      <c r="S193" s="4">
        <v>586</v>
      </c>
      <c r="T193" s="4">
        <v>681.66666666666595</v>
      </c>
      <c r="U193" s="4">
        <v>52.477142249627803</v>
      </c>
      <c r="W193" s="3">
        <v>44561</v>
      </c>
      <c r="X193">
        <v>112.191</v>
      </c>
      <c r="Y193">
        <v>0.79</v>
      </c>
    </row>
    <row r="194" spans="1:25" x14ac:dyDescent="0.2">
      <c r="A194" s="5">
        <v>44592</v>
      </c>
      <c r="B194" s="4">
        <v>112.80500000000001</v>
      </c>
      <c r="C194" s="4">
        <v>111.976</v>
      </c>
      <c r="D194" s="4">
        <v>0.08</v>
      </c>
      <c r="E194" s="4">
        <v>7</v>
      </c>
      <c r="F194" s="4">
        <v>1.76</v>
      </c>
      <c r="G194" s="4">
        <v>0.98</v>
      </c>
      <c r="H194" s="4">
        <v>0.78</v>
      </c>
      <c r="I194" s="4">
        <v>4</v>
      </c>
      <c r="J194" s="4">
        <v>150006</v>
      </c>
      <c r="K194" s="4">
        <v>67.2</v>
      </c>
      <c r="L194" s="4">
        <v>83.22</v>
      </c>
      <c r="M194" s="4">
        <v>239200</v>
      </c>
      <c r="N194" s="4">
        <v>1702</v>
      </c>
      <c r="O194" s="4">
        <v>1.82</v>
      </c>
      <c r="P194" s="4">
        <v>-0.55554999999999999</v>
      </c>
      <c r="Q194" s="4">
        <v>6.2724335120163603</v>
      </c>
      <c r="R194" s="4">
        <v>5.3584365973221804</v>
      </c>
      <c r="S194" s="4">
        <v>190</v>
      </c>
      <c r="T194" s="4">
        <v>478</v>
      </c>
      <c r="U194" s="4">
        <v>60.007690828686798</v>
      </c>
      <c r="W194" s="3">
        <v>44592</v>
      </c>
      <c r="X194">
        <v>112.80500000000001</v>
      </c>
      <c r="Y194">
        <v>0.78</v>
      </c>
    </row>
    <row r="195" spans="1:25" x14ac:dyDescent="0.2">
      <c r="A195" s="5">
        <v>44620</v>
      </c>
      <c r="B195" s="4">
        <v>113.471</v>
      </c>
      <c r="C195" s="4">
        <v>112.468</v>
      </c>
      <c r="D195" s="4">
        <v>0.08</v>
      </c>
      <c r="E195" s="4">
        <v>7</v>
      </c>
      <c r="F195" s="4">
        <v>1.93</v>
      </c>
      <c r="G195" s="4">
        <v>1.44</v>
      </c>
      <c r="H195" s="4">
        <v>0.5</v>
      </c>
      <c r="I195" s="4">
        <v>3.9</v>
      </c>
      <c r="J195" s="4">
        <v>150825</v>
      </c>
      <c r="K195" s="4">
        <v>62.8</v>
      </c>
      <c r="L195" s="4">
        <v>91.64</v>
      </c>
      <c r="M195" s="4">
        <v>219000</v>
      </c>
      <c r="N195" s="4">
        <v>1735</v>
      </c>
      <c r="O195" s="4">
        <v>2.04</v>
      </c>
      <c r="P195" s="4">
        <v>-0.48169000000000001</v>
      </c>
      <c r="Q195" s="4">
        <v>6.54553990610329</v>
      </c>
      <c r="R195" s="4">
        <v>5.6027642932930197</v>
      </c>
      <c r="S195" s="4">
        <v>819</v>
      </c>
      <c r="T195" s="4">
        <v>531.66666666666595</v>
      </c>
      <c r="U195" s="4">
        <v>55.190516511430999</v>
      </c>
      <c r="W195" s="3">
        <v>44620</v>
      </c>
      <c r="X195">
        <v>113.471</v>
      </c>
      <c r="Y195">
        <v>0.5</v>
      </c>
    </row>
    <row r="196" spans="1:25" x14ac:dyDescent="0.2">
      <c r="A196" s="5">
        <v>44651</v>
      </c>
      <c r="B196" s="4">
        <v>114.46899999999999</v>
      </c>
      <c r="C196" s="4">
        <v>112.914</v>
      </c>
      <c r="D196" s="4">
        <v>0.2</v>
      </c>
      <c r="E196" s="4">
        <v>-1</v>
      </c>
      <c r="F196" s="4">
        <v>2.13</v>
      </c>
      <c r="G196" s="4">
        <v>1.91</v>
      </c>
      <c r="H196" s="4">
        <v>0.22</v>
      </c>
      <c r="I196" s="4">
        <v>3.7</v>
      </c>
      <c r="J196" s="4">
        <v>151315</v>
      </c>
      <c r="K196" s="4">
        <v>59.4</v>
      </c>
      <c r="L196" s="4">
        <v>108.5</v>
      </c>
      <c r="M196" s="4">
        <v>215000</v>
      </c>
      <c r="N196" s="4">
        <v>1712</v>
      </c>
      <c r="O196" s="4">
        <v>2.16</v>
      </c>
      <c r="P196" s="4">
        <v>-0.38813999999999999</v>
      </c>
      <c r="Q196" s="4">
        <v>6.9264109701645697</v>
      </c>
      <c r="R196" s="4">
        <v>5.5932219240084802</v>
      </c>
      <c r="S196" s="4">
        <v>490</v>
      </c>
      <c r="T196" s="4">
        <v>499.666666666666</v>
      </c>
      <c r="U196" s="4">
        <v>74.073479865233395</v>
      </c>
      <c r="W196" s="3">
        <v>44651</v>
      </c>
      <c r="X196">
        <v>114.46899999999999</v>
      </c>
      <c r="Y196">
        <v>0.22</v>
      </c>
    </row>
    <row r="197" spans="1:25" x14ac:dyDescent="0.2">
      <c r="A197" s="5">
        <v>44681</v>
      </c>
      <c r="B197" s="4">
        <v>114.812</v>
      </c>
      <c r="C197" s="4">
        <v>113.307</v>
      </c>
      <c r="D197" s="4">
        <v>0.33</v>
      </c>
      <c r="E197" s="4">
        <v>-1</v>
      </c>
      <c r="F197" s="4">
        <v>2.75</v>
      </c>
      <c r="G197" s="4">
        <v>2.54</v>
      </c>
      <c r="H197" s="4">
        <v>0.21</v>
      </c>
      <c r="I197" s="4">
        <v>3.7</v>
      </c>
      <c r="J197" s="4">
        <v>151623</v>
      </c>
      <c r="K197" s="4">
        <v>65.2</v>
      </c>
      <c r="L197" s="4">
        <v>101.78</v>
      </c>
      <c r="M197" s="4">
        <v>213000</v>
      </c>
      <c r="N197" s="4">
        <v>1820</v>
      </c>
      <c r="O197" s="4">
        <v>1.91</v>
      </c>
      <c r="P197" s="4">
        <v>-0.35719000000000001</v>
      </c>
      <c r="Q197" s="4">
        <v>6.6847553383263003</v>
      </c>
      <c r="R197" s="4">
        <v>5.3450231503002898</v>
      </c>
      <c r="S197" s="4">
        <v>308</v>
      </c>
      <c r="T197" s="4">
        <v>539</v>
      </c>
      <c r="U197" s="4">
        <v>64.906027219701798</v>
      </c>
      <c r="W197" s="3">
        <v>44681</v>
      </c>
      <c r="X197">
        <v>114.812</v>
      </c>
      <c r="Y197">
        <v>0.21</v>
      </c>
    </row>
    <row r="198" spans="1:25" x14ac:dyDescent="0.2">
      <c r="A198" s="5">
        <v>44712</v>
      </c>
      <c r="B198" s="4">
        <v>115.52500000000001</v>
      </c>
      <c r="C198" s="4">
        <v>113.703</v>
      </c>
      <c r="D198" s="4">
        <v>0.77</v>
      </c>
      <c r="E198" s="4">
        <v>-1</v>
      </c>
      <c r="F198" s="4">
        <v>2.9</v>
      </c>
      <c r="G198" s="4">
        <v>2.62</v>
      </c>
      <c r="H198" s="4">
        <v>0.28000000000000003</v>
      </c>
      <c r="I198" s="4">
        <v>3.6</v>
      </c>
      <c r="J198" s="4">
        <v>151924</v>
      </c>
      <c r="K198" s="4">
        <v>58.4</v>
      </c>
      <c r="L198" s="4">
        <v>109.55</v>
      </c>
      <c r="M198" s="4">
        <v>209750</v>
      </c>
      <c r="N198" s="4">
        <v>1531</v>
      </c>
      <c r="O198" s="4">
        <v>2.2200000000000002</v>
      </c>
      <c r="P198" s="4">
        <v>-0.28946</v>
      </c>
      <c r="Q198" s="4">
        <v>6.7945458747400203</v>
      </c>
      <c r="R198" s="4">
        <v>5.1841367635223099</v>
      </c>
      <c r="S198" s="4">
        <v>301</v>
      </c>
      <c r="T198" s="4">
        <v>366.33333333333297</v>
      </c>
      <c r="U198" s="4">
        <v>68.098818474758303</v>
      </c>
      <c r="W198" s="3">
        <v>44712</v>
      </c>
      <c r="X198">
        <v>115.52500000000001</v>
      </c>
      <c r="Y198">
        <v>0.28000000000000003</v>
      </c>
    </row>
    <row r="199" spans="1:25" x14ac:dyDescent="0.2">
      <c r="A199" s="5">
        <v>44742</v>
      </c>
      <c r="B199" s="4">
        <v>116.63800000000001</v>
      </c>
      <c r="C199" s="4">
        <v>114.376</v>
      </c>
      <c r="D199" s="4">
        <v>1.21</v>
      </c>
      <c r="E199" s="4">
        <v>0.6</v>
      </c>
      <c r="F199" s="4">
        <v>3.14</v>
      </c>
      <c r="G199" s="4">
        <v>3</v>
      </c>
      <c r="H199" s="4">
        <v>0.15</v>
      </c>
      <c r="I199" s="4">
        <v>3.6</v>
      </c>
      <c r="J199" s="4">
        <v>152358</v>
      </c>
      <c r="K199" s="4">
        <v>50</v>
      </c>
      <c r="L199" s="4">
        <v>114.84</v>
      </c>
      <c r="M199" s="4">
        <v>212500</v>
      </c>
      <c r="N199" s="4">
        <v>1551</v>
      </c>
      <c r="O199" s="4">
        <v>2.13</v>
      </c>
      <c r="P199" s="4">
        <v>-0.20201</v>
      </c>
      <c r="Q199" s="4">
        <v>7.2434718646561196</v>
      </c>
      <c r="R199" s="4">
        <v>5.3156910950894698</v>
      </c>
      <c r="S199" s="4">
        <v>434</v>
      </c>
      <c r="T199" s="4">
        <v>347.666666666666</v>
      </c>
      <c r="U199" s="4">
        <v>60.8854020734099</v>
      </c>
      <c r="W199" s="3">
        <v>44742</v>
      </c>
      <c r="X199">
        <v>116.63800000000001</v>
      </c>
      <c r="Y199">
        <v>0.15</v>
      </c>
    </row>
    <row r="200" spans="1:25" x14ac:dyDescent="0.2">
      <c r="A200" s="5">
        <v>44773</v>
      </c>
      <c r="B200" s="4">
        <v>116.631</v>
      </c>
      <c r="C200" s="4">
        <v>114.628</v>
      </c>
      <c r="D200" s="4">
        <v>1.68</v>
      </c>
      <c r="E200" s="4">
        <v>0.6</v>
      </c>
      <c r="F200" s="4">
        <v>2.9</v>
      </c>
      <c r="G200" s="4">
        <v>3.04</v>
      </c>
      <c r="H200" s="4">
        <v>-0.14000000000000001</v>
      </c>
      <c r="I200" s="4">
        <v>3.5</v>
      </c>
      <c r="J200" s="4">
        <v>153072</v>
      </c>
      <c r="K200" s="4">
        <v>51.5</v>
      </c>
      <c r="L200" s="4">
        <v>101.62</v>
      </c>
      <c r="M200" s="4">
        <v>218200</v>
      </c>
      <c r="N200" s="4">
        <v>1381</v>
      </c>
      <c r="O200" s="4">
        <v>2.31</v>
      </c>
      <c r="P200" s="4">
        <v>-0.18797</v>
      </c>
      <c r="Q200" s="4">
        <v>6.7502013619389301</v>
      </c>
      <c r="R200" s="4">
        <v>5.1073740578407802</v>
      </c>
      <c r="S200" s="4">
        <v>714</v>
      </c>
      <c r="T200" s="4">
        <v>483</v>
      </c>
      <c r="U200" s="4">
        <v>40.184853083183903</v>
      </c>
      <c r="W200" s="3">
        <v>44773</v>
      </c>
      <c r="X200">
        <v>116.631</v>
      </c>
      <c r="Y200">
        <v>-0.14000000000000001</v>
      </c>
    </row>
    <row r="201" spans="1:25" x14ac:dyDescent="0.2">
      <c r="A201" s="5">
        <v>44804</v>
      </c>
      <c r="B201" s="4">
        <v>116.956</v>
      </c>
      <c r="C201" s="4">
        <v>115.276</v>
      </c>
      <c r="D201" s="4">
        <v>2.33</v>
      </c>
      <c r="E201" s="4">
        <v>0.6</v>
      </c>
      <c r="F201" s="4">
        <v>2.9</v>
      </c>
      <c r="G201" s="4">
        <v>3.25</v>
      </c>
      <c r="H201" s="4">
        <v>-0.35</v>
      </c>
      <c r="I201" s="4">
        <v>3.6</v>
      </c>
      <c r="J201" s="4">
        <v>153362</v>
      </c>
      <c r="K201" s="4">
        <v>58.2</v>
      </c>
      <c r="L201" s="4">
        <v>93.67</v>
      </c>
      <c r="M201" s="4">
        <v>216500</v>
      </c>
      <c r="N201" s="4">
        <v>1531</v>
      </c>
      <c r="O201" s="4">
        <v>2.25</v>
      </c>
      <c r="P201" s="4">
        <v>-0.23430000000000001</v>
      </c>
      <c r="Q201" s="4">
        <v>6.6396775899483798</v>
      </c>
      <c r="R201" s="4">
        <v>5.3624473306583296</v>
      </c>
      <c r="S201" s="4">
        <v>290</v>
      </c>
      <c r="T201" s="4">
        <v>479.33333333333297</v>
      </c>
      <c r="U201" s="4">
        <v>38.299128894138398</v>
      </c>
      <c r="W201" s="3">
        <v>44804</v>
      </c>
      <c r="X201">
        <v>116.956</v>
      </c>
      <c r="Y201">
        <v>-0.35</v>
      </c>
    </row>
    <row r="202" spans="1:25" x14ac:dyDescent="0.2">
      <c r="A202" s="5">
        <v>44834</v>
      </c>
      <c r="B202" s="4">
        <v>117.371</v>
      </c>
      <c r="C202" s="4">
        <v>115.788</v>
      </c>
      <c r="D202" s="4">
        <v>2.56</v>
      </c>
      <c r="E202" s="4">
        <v>2.9</v>
      </c>
      <c r="F202" s="4">
        <v>3.52</v>
      </c>
      <c r="G202" s="4">
        <v>3.86</v>
      </c>
      <c r="H202" s="4">
        <v>-0.34</v>
      </c>
      <c r="I202" s="4">
        <v>3.5</v>
      </c>
      <c r="J202" s="4">
        <v>153582</v>
      </c>
      <c r="K202" s="4">
        <v>58.6</v>
      </c>
      <c r="L202" s="4">
        <v>84.26</v>
      </c>
      <c r="M202" s="4">
        <v>197500</v>
      </c>
      <c r="N202" s="4">
        <v>1488</v>
      </c>
      <c r="O202" s="4">
        <v>2.17</v>
      </c>
      <c r="P202" s="4">
        <v>-0.15390999999999999</v>
      </c>
      <c r="Q202" s="4">
        <v>6.6679390006724999</v>
      </c>
      <c r="R202" s="4">
        <v>5.6064793279886098</v>
      </c>
      <c r="S202" s="4">
        <v>220</v>
      </c>
      <c r="T202" s="4">
        <v>408</v>
      </c>
      <c r="U202" s="4">
        <v>17.599441730635</v>
      </c>
      <c r="W202" s="3">
        <v>44834</v>
      </c>
      <c r="X202">
        <v>117.371</v>
      </c>
      <c r="Y202">
        <v>-0.34</v>
      </c>
    </row>
    <row r="203" spans="1:25" x14ac:dyDescent="0.2">
      <c r="A203" s="5">
        <v>44865</v>
      </c>
      <c r="B203" s="4">
        <v>117.919</v>
      </c>
      <c r="C203" s="4">
        <v>116.20399999999999</v>
      </c>
      <c r="D203" s="4">
        <v>3.08</v>
      </c>
      <c r="E203" s="4">
        <v>2.9</v>
      </c>
      <c r="F203" s="4">
        <v>3.98</v>
      </c>
      <c r="G203" s="4">
        <v>4.38</v>
      </c>
      <c r="H203" s="4">
        <v>-0.39</v>
      </c>
      <c r="I203" s="4">
        <v>3.6</v>
      </c>
      <c r="J203" s="4">
        <v>153939</v>
      </c>
      <c r="K203" s="4">
        <v>59.9</v>
      </c>
      <c r="L203" s="4">
        <v>87.55</v>
      </c>
      <c r="M203" s="4">
        <v>202600</v>
      </c>
      <c r="N203" s="4">
        <v>1435</v>
      </c>
      <c r="O203" s="4">
        <v>2.2799999999999998</v>
      </c>
      <c r="P203" s="4">
        <v>-0.1105</v>
      </c>
      <c r="Q203" s="4">
        <v>6.4616023545981296</v>
      </c>
      <c r="R203" s="4">
        <v>5.4597596834500903</v>
      </c>
      <c r="S203" s="4">
        <v>357</v>
      </c>
      <c r="T203" s="4">
        <v>289</v>
      </c>
      <c r="U203" s="4">
        <v>7.4496809032891402</v>
      </c>
      <c r="W203" s="3">
        <v>44865</v>
      </c>
      <c r="X203">
        <v>117.919</v>
      </c>
      <c r="Y203">
        <v>-0.39</v>
      </c>
    </row>
    <row r="204" spans="1:25" x14ac:dyDescent="0.2">
      <c r="A204" s="5">
        <v>44895</v>
      </c>
      <c r="B204" s="4">
        <v>118.224</v>
      </c>
      <c r="C204" s="4">
        <v>116.539</v>
      </c>
      <c r="D204" s="4">
        <v>3.78</v>
      </c>
      <c r="E204" s="4">
        <v>2.9</v>
      </c>
      <c r="F204" s="4">
        <v>3.89</v>
      </c>
      <c r="G204" s="4">
        <v>4.5</v>
      </c>
      <c r="H204" s="4">
        <v>-0.61</v>
      </c>
      <c r="I204" s="4">
        <v>3.6</v>
      </c>
      <c r="J204" s="4">
        <v>154242</v>
      </c>
      <c r="K204" s="4">
        <v>56.7</v>
      </c>
      <c r="L204" s="4">
        <v>84.37</v>
      </c>
      <c r="M204" s="4">
        <v>210750</v>
      </c>
      <c r="N204" s="4">
        <v>1424</v>
      </c>
      <c r="O204" s="4">
        <v>2.1800000000000002</v>
      </c>
      <c r="P204" s="4">
        <v>-0.16613</v>
      </c>
      <c r="Q204" s="4">
        <v>6.0304932735426098</v>
      </c>
      <c r="R204" s="4">
        <v>5.2080888327164399</v>
      </c>
      <c r="S204" s="4">
        <v>303</v>
      </c>
      <c r="T204" s="4">
        <v>293.33333333333297</v>
      </c>
      <c r="U204" s="4">
        <v>6.5950726468730201</v>
      </c>
      <c r="W204" s="3">
        <v>44895</v>
      </c>
      <c r="X204">
        <v>118.224</v>
      </c>
      <c r="Y204">
        <v>-0.61</v>
      </c>
    </row>
    <row r="205" spans="1:25" x14ac:dyDescent="0.2">
      <c r="A205" s="5">
        <v>44926</v>
      </c>
      <c r="B205" s="4">
        <v>118.384</v>
      </c>
      <c r="C205" s="4">
        <v>116.952</v>
      </c>
      <c r="D205" s="4">
        <v>4.0999999999999996</v>
      </c>
      <c r="E205" s="4">
        <v>2.8</v>
      </c>
      <c r="F205" s="4">
        <v>3.62</v>
      </c>
      <c r="G205" s="4">
        <v>4.29</v>
      </c>
      <c r="H205" s="4">
        <v>-0.67</v>
      </c>
      <c r="I205" s="4">
        <v>3.5</v>
      </c>
      <c r="J205" s="4">
        <v>154342</v>
      </c>
      <c r="K205" s="4">
        <v>59.8</v>
      </c>
      <c r="L205" s="4">
        <v>76.44</v>
      </c>
      <c r="M205" s="4">
        <v>208200</v>
      </c>
      <c r="N205" s="4">
        <v>1308</v>
      </c>
      <c r="O205" s="4">
        <v>1.97</v>
      </c>
      <c r="P205" s="4">
        <v>-0.20147999999999999</v>
      </c>
      <c r="Q205" s="4">
        <v>5.5200506279469801</v>
      </c>
      <c r="R205" s="4">
        <v>4.96688147337054</v>
      </c>
      <c r="S205" s="4">
        <v>100</v>
      </c>
      <c r="T205" s="4">
        <v>253.333333333333</v>
      </c>
      <c r="U205" s="4">
        <v>6.5960117138474397</v>
      </c>
      <c r="W205" s="3">
        <v>44926</v>
      </c>
      <c r="X205">
        <v>118.384</v>
      </c>
      <c r="Y205">
        <v>-0.67</v>
      </c>
    </row>
    <row r="206" spans="1:25" x14ac:dyDescent="0.2">
      <c r="A206" s="5">
        <v>44957</v>
      </c>
      <c r="B206" s="4">
        <v>119.018</v>
      </c>
      <c r="C206" s="4">
        <v>117.505</v>
      </c>
      <c r="D206" s="4">
        <v>4.33</v>
      </c>
      <c r="E206" s="4">
        <v>2.8</v>
      </c>
      <c r="F206" s="4">
        <v>3.53</v>
      </c>
      <c r="G206" s="4">
        <v>4.21</v>
      </c>
      <c r="H206" s="4">
        <v>-0.68</v>
      </c>
      <c r="I206" s="4">
        <v>3.5</v>
      </c>
      <c r="J206" s="4">
        <v>154776</v>
      </c>
      <c r="K206" s="4">
        <v>64.900000000000006</v>
      </c>
      <c r="L206" s="4">
        <v>78.12</v>
      </c>
      <c r="M206" s="4">
        <v>204500</v>
      </c>
      <c r="N206" s="4">
        <v>1361</v>
      </c>
      <c r="O206" s="4">
        <v>1.97</v>
      </c>
      <c r="P206" s="4">
        <v>-0.28032000000000001</v>
      </c>
      <c r="Q206" s="4">
        <v>5.5077345862328801</v>
      </c>
      <c r="R206" s="4">
        <v>4.9376652139744204</v>
      </c>
      <c r="S206" s="4">
        <v>434</v>
      </c>
      <c r="T206" s="4">
        <v>279</v>
      </c>
      <c r="U206" s="4">
        <v>-6.12833453496755</v>
      </c>
      <c r="W206" s="3">
        <v>44957</v>
      </c>
      <c r="X206">
        <v>119.018</v>
      </c>
      <c r="Y206">
        <v>-0.68</v>
      </c>
    </row>
    <row r="207" spans="1:25" x14ac:dyDescent="0.2">
      <c r="A207" s="5">
        <v>44985</v>
      </c>
      <c r="B207" s="4">
        <v>119.369</v>
      </c>
      <c r="C207" s="4">
        <v>117.929</v>
      </c>
      <c r="D207" s="4">
        <v>4.57</v>
      </c>
      <c r="E207" s="4">
        <v>2.8</v>
      </c>
      <c r="F207" s="4">
        <v>3.75</v>
      </c>
      <c r="G207" s="4">
        <v>4.53</v>
      </c>
      <c r="H207" s="4">
        <v>-0.79</v>
      </c>
      <c r="I207" s="4">
        <v>3.6</v>
      </c>
      <c r="J207" s="4">
        <v>155066</v>
      </c>
      <c r="K207" s="4">
        <v>66.900000000000006</v>
      </c>
      <c r="L207" s="4">
        <v>76.83</v>
      </c>
      <c r="M207" s="4">
        <v>214750</v>
      </c>
      <c r="N207" s="4">
        <v>1399</v>
      </c>
      <c r="O207" s="4">
        <v>1.84</v>
      </c>
      <c r="P207" s="4">
        <v>-0.30003999999999997</v>
      </c>
      <c r="Q207" s="4">
        <v>5.1978038441540004</v>
      </c>
      <c r="R207" s="4">
        <v>4.8556033716257101</v>
      </c>
      <c r="S207" s="4">
        <v>290</v>
      </c>
      <c r="T207" s="4">
        <v>274.666666666666</v>
      </c>
      <c r="U207" s="4">
        <v>-16.1610650371017</v>
      </c>
      <c r="W207" s="3">
        <v>44985</v>
      </c>
      <c r="X207">
        <v>119.369</v>
      </c>
      <c r="Y207">
        <v>-0.79</v>
      </c>
    </row>
    <row r="208" spans="1:25" x14ac:dyDescent="0.2">
      <c r="A208" s="5">
        <v>45016</v>
      </c>
      <c r="B208" s="4">
        <v>119.538</v>
      </c>
      <c r="C208" s="4">
        <v>118.315</v>
      </c>
      <c r="D208" s="4">
        <v>4.6500000000000004</v>
      </c>
      <c r="E208" s="4">
        <v>2.9</v>
      </c>
      <c r="F208" s="4">
        <v>3.66</v>
      </c>
      <c r="G208" s="4">
        <v>4.3</v>
      </c>
      <c r="H208" s="4">
        <v>-0.64</v>
      </c>
      <c r="I208" s="4">
        <v>3.5</v>
      </c>
      <c r="J208" s="4">
        <v>155134</v>
      </c>
      <c r="K208" s="4">
        <v>62</v>
      </c>
      <c r="L208" s="4">
        <v>73.28</v>
      </c>
      <c r="M208" s="4">
        <v>229000</v>
      </c>
      <c r="N208" s="4">
        <v>1377</v>
      </c>
      <c r="O208" s="4">
        <v>2.0499999999999998</v>
      </c>
      <c r="P208" s="4">
        <v>-0.18858</v>
      </c>
      <c r="Q208" s="4">
        <v>4.4282731569245701</v>
      </c>
      <c r="R208" s="4">
        <v>4.7832863949554403</v>
      </c>
      <c r="S208" s="4">
        <v>68</v>
      </c>
      <c r="T208" s="4">
        <v>264</v>
      </c>
      <c r="U208" s="4">
        <v>-32.460829493087502</v>
      </c>
      <c r="W208" s="3">
        <v>45016</v>
      </c>
      <c r="X208">
        <v>119.538</v>
      </c>
      <c r="Y208">
        <v>-0.64</v>
      </c>
    </row>
    <row r="209" spans="1:25" x14ac:dyDescent="0.2">
      <c r="A209" s="5">
        <v>45046</v>
      </c>
      <c r="B209" s="4">
        <v>119.95099999999999</v>
      </c>
      <c r="C209" s="4">
        <v>118.73399999999999</v>
      </c>
      <c r="D209" s="4">
        <v>4.83</v>
      </c>
      <c r="E209" s="4">
        <v>2.9</v>
      </c>
      <c r="F209" s="4">
        <v>3.46</v>
      </c>
      <c r="G209" s="4">
        <v>4.0199999999999996</v>
      </c>
      <c r="H209" s="4">
        <v>-0.56000000000000005</v>
      </c>
      <c r="I209" s="4">
        <v>3.4</v>
      </c>
      <c r="J209" s="4">
        <v>155375</v>
      </c>
      <c r="K209" s="4">
        <v>63.7</v>
      </c>
      <c r="L209" s="4">
        <v>79.45</v>
      </c>
      <c r="M209" s="4">
        <v>216400</v>
      </c>
      <c r="N209" s="4">
        <v>1354</v>
      </c>
      <c r="O209" s="4">
        <v>2.0699999999999998</v>
      </c>
      <c r="P209" s="4">
        <v>-0.17604</v>
      </c>
      <c r="Q209" s="4">
        <v>4.4760129603177399</v>
      </c>
      <c r="R209" s="4">
        <v>4.7896422992401</v>
      </c>
      <c r="S209" s="4">
        <v>241</v>
      </c>
      <c r="T209" s="4">
        <v>199.666666666666</v>
      </c>
      <c r="U209" s="4">
        <v>-21.939477303988902</v>
      </c>
      <c r="W209" s="3">
        <v>45046</v>
      </c>
      <c r="X209">
        <v>119.95099999999999</v>
      </c>
      <c r="Y209">
        <v>-0.56000000000000005</v>
      </c>
    </row>
    <row r="210" spans="1:25" x14ac:dyDescent="0.2">
      <c r="A210" s="5">
        <v>45077</v>
      </c>
      <c r="B210" s="4">
        <v>120.15</v>
      </c>
      <c r="C210" s="4">
        <v>119.083</v>
      </c>
      <c r="D210" s="4">
        <v>5.0599999999999996</v>
      </c>
      <c r="E210" s="4">
        <v>2.9</v>
      </c>
      <c r="F210" s="4">
        <v>3.57</v>
      </c>
      <c r="G210" s="4">
        <v>4.13</v>
      </c>
      <c r="H210" s="4">
        <v>-0.56000000000000005</v>
      </c>
      <c r="I210" s="4">
        <v>3.6</v>
      </c>
      <c r="J210" s="4">
        <v>155655</v>
      </c>
      <c r="K210" s="4">
        <v>59</v>
      </c>
      <c r="L210" s="4">
        <v>71.58</v>
      </c>
      <c r="M210" s="4">
        <v>226000</v>
      </c>
      <c r="N210" s="4">
        <v>1584</v>
      </c>
      <c r="O210" s="4">
        <v>2.2000000000000002</v>
      </c>
      <c r="P210" s="4">
        <v>-0.20968000000000001</v>
      </c>
      <c r="Q210" s="4">
        <v>4.0034624540142802</v>
      </c>
      <c r="R210" s="4">
        <v>4.73162537488016</v>
      </c>
      <c r="S210" s="4">
        <v>280</v>
      </c>
      <c r="T210" s="4">
        <v>196.333333333333</v>
      </c>
      <c r="U210" s="4">
        <v>-34.659972615244101</v>
      </c>
      <c r="W210" s="3">
        <v>45077</v>
      </c>
      <c r="X210">
        <v>120.15</v>
      </c>
      <c r="Y210">
        <v>-0.56000000000000005</v>
      </c>
    </row>
    <row r="211" spans="1:25" x14ac:dyDescent="0.2">
      <c r="A211" s="5">
        <v>45107</v>
      </c>
      <c r="B211" s="4">
        <v>120.46899999999999</v>
      </c>
      <c r="C211" s="4">
        <v>119.39</v>
      </c>
      <c r="D211" s="4">
        <v>5.08</v>
      </c>
      <c r="E211" s="4">
        <v>2.5</v>
      </c>
      <c r="F211" s="4">
        <v>3.75</v>
      </c>
      <c r="G211" s="4">
        <v>4.6399999999999997</v>
      </c>
      <c r="H211" s="4">
        <v>-0.89</v>
      </c>
      <c r="I211" s="4">
        <v>3.6</v>
      </c>
      <c r="J211" s="4">
        <v>155880</v>
      </c>
      <c r="K211" s="4">
        <v>64.2</v>
      </c>
      <c r="L211" s="4">
        <v>70.25</v>
      </c>
      <c r="M211" s="4">
        <v>250750</v>
      </c>
      <c r="N211" s="4">
        <v>1421</v>
      </c>
      <c r="O211" s="4">
        <v>2</v>
      </c>
      <c r="P211" s="4">
        <v>-0.22166</v>
      </c>
      <c r="Q211" s="4">
        <v>3.2845213395291202</v>
      </c>
      <c r="R211" s="4">
        <v>4.38378680842135</v>
      </c>
      <c r="S211" s="4">
        <v>225</v>
      </c>
      <c r="T211" s="4">
        <v>248.666666666666</v>
      </c>
      <c r="U211" s="4">
        <v>-38.827934517589597</v>
      </c>
      <c r="W211" s="3">
        <v>45107</v>
      </c>
      <c r="X211">
        <v>120.46899999999999</v>
      </c>
      <c r="Y211">
        <v>-0.89</v>
      </c>
    </row>
    <row r="212" spans="1:25" x14ac:dyDescent="0.2">
      <c r="A212" s="5">
        <v>45138</v>
      </c>
      <c r="B212" s="4">
        <v>120.607</v>
      </c>
      <c r="C212" s="4">
        <v>119.556</v>
      </c>
      <c r="D212" s="4">
        <v>5.12</v>
      </c>
      <c r="E212" s="4">
        <v>2.5</v>
      </c>
      <c r="F212" s="4">
        <v>3.9</v>
      </c>
      <c r="G212" s="4">
        <v>4.83</v>
      </c>
      <c r="H212" s="4">
        <v>-0.93</v>
      </c>
      <c r="I212" s="4">
        <v>3.5</v>
      </c>
      <c r="J212" s="4">
        <v>156043</v>
      </c>
      <c r="K212" s="4">
        <v>71.5</v>
      </c>
      <c r="L212" s="4">
        <v>76.069999999999993</v>
      </c>
      <c r="M212" s="4">
        <v>235200</v>
      </c>
      <c r="N212" s="4">
        <v>1460</v>
      </c>
      <c r="O212" s="4">
        <v>1.84</v>
      </c>
      <c r="P212" s="4">
        <v>-0.25985999999999998</v>
      </c>
      <c r="Q212" s="4">
        <v>3.40904219289897</v>
      </c>
      <c r="R212" s="4">
        <v>4.2991241232508601</v>
      </c>
      <c r="S212" s="4">
        <v>163</v>
      </c>
      <c r="T212" s="4">
        <v>222.666666666666</v>
      </c>
      <c r="U212" s="4">
        <v>-25.142688447156001</v>
      </c>
      <c r="W212" s="3">
        <v>45138</v>
      </c>
      <c r="X212">
        <v>120.607</v>
      </c>
      <c r="Y212">
        <v>-0.93</v>
      </c>
    </row>
    <row r="213" spans="1:25" x14ac:dyDescent="0.2">
      <c r="A213" s="5">
        <v>45169</v>
      </c>
      <c r="B213" s="4">
        <v>120.97</v>
      </c>
      <c r="C213" s="4">
        <v>119.68899999999999</v>
      </c>
      <c r="D213" s="4">
        <v>5.33</v>
      </c>
      <c r="E213" s="4">
        <v>2.5</v>
      </c>
      <c r="F213" s="4">
        <v>4.17</v>
      </c>
      <c r="G213" s="4">
        <v>4.9000000000000004</v>
      </c>
      <c r="H213" s="4">
        <v>-0.73</v>
      </c>
      <c r="I213" s="4">
        <v>3.7</v>
      </c>
      <c r="J213" s="4">
        <v>156261</v>
      </c>
      <c r="K213" s="4">
        <v>69.400000000000006</v>
      </c>
      <c r="L213" s="4">
        <v>81.39</v>
      </c>
      <c r="M213" s="4">
        <v>245000</v>
      </c>
      <c r="N213" s="4">
        <v>1317</v>
      </c>
      <c r="O213" s="4">
        <v>1.85</v>
      </c>
      <c r="P213" s="4">
        <v>-0.32029999999999997</v>
      </c>
      <c r="Q213" s="4">
        <v>3.4320599199699098</v>
      </c>
      <c r="R213" s="4">
        <v>3.8282036156702199</v>
      </c>
      <c r="S213" s="4">
        <v>218</v>
      </c>
      <c r="T213" s="4">
        <v>202</v>
      </c>
      <c r="U213" s="4">
        <v>-13.1098537418597</v>
      </c>
      <c r="W213" s="3">
        <v>45169</v>
      </c>
      <c r="X213">
        <v>120.97</v>
      </c>
      <c r="Y213">
        <v>-0.73</v>
      </c>
    </row>
    <row r="214" spans="1:25" x14ac:dyDescent="0.2">
      <c r="A214" s="5">
        <v>45199</v>
      </c>
      <c r="B214" s="4">
        <v>121.419</v>
      </c>
      <c r="C214" s="4">
        <v>120.05800000000001</v>
      </c>
      <c r="D214" s="4">
        <v>5.33</v>
      </c>
      <c r="E214" s="4">
        <v>4.7</v>
      </c>
      <c r="F214" s="4">
        <v>4.38</v>
      </c>
      <c r="G214" s="4">
        <v>5.0199999999999996</v>
      </c>
      <c r="H214" s="4">
        <v>-0.64</v>
      </c>
      <c r="I214" s="4">
        <v>3.7</v>
      </c>
      <c r="J214" s="4">
        <v>156417</v>
      </c>
      <c r="K214" s="4">
        <v>67.8</v>
      </c>
      <c r="L214" s="4">
        <v>89.43</v>
      </c>
      <c r="M214" s="4">
        <v>218600</v>
      </c>
      <c r="N214" s="4">
        <v>1371</v>
      </c>
      <c r="O214" s="4">
        <v>1.78</v>
      </c>
      <c r="P214" s="4">
        <v>-0.33332000000000001</v>
      </c>
      <c r="Q214" s="4">
        <v>3.4488928270185899</v>
      </c>
      <c r="R214" s="4">
        <v>3.6877742080353801</v>
      </c>
      <c r="S214" s="4">
        <v>156</v>
      </c>
      <c r="T214" s="4">
        <v>179</v>
      </c>
      <c r="U214" s="4">
        <v>6.1357702349869401</v>
      </c>
      <c r="W214" s="3">
        <v>45199</v>
      </c>
      <c r="X214">
        <v>121.419</v>
      </c>
      <c r="Y214">
        <v>-0.64</v>
      </c>
    </row>
    <row r="215" spans="1:25" x14ac:dyDescent="0.2">
      <c r="A215" s="5">
        <v>45230</v>
      </c>
      <c r="B215" s="4">
        <v>121.48399999999999</v>
      </c>
      <c r="C215" s="4">
        <v>120.241</v>
      </c>
      <c r="D215" s="4">
        <v>5.33</v>
      </c>
      <c r="E215" s="4">
        <v>4.7</v>
      </c>
      <c r="F215" s="4">
        <v>4.8</v>
      </c>
      <c r="G215" s="4">
        <v>5.07</v>
      </c>
      <c r="H215" s="4">
        <v>-0.27</v>
      </c>
      <c r="I215" s="4">
        <v>3.9</v>
      </c>
      <c r="J215" s="4">
        <v>156576</v>
      </c>
      <c r="K215" s="4">
        <v>63.8</v>
      </c>
      <c r="L215" s="4">
        <v>85.64</v>
      </c>
      <c r="M215" s="4">
        <v>210250</v>
      </c>
      <c r="N215" s="4">
        <v>1368</v>
      </c>
      <c r="O215" s="4">
        <v>1.83</v>
      </c>
      <c r="P215" s="4">
        <v>-0.29459999999999997</v>
      </c>
      <c r="Q215" s="4">
        <v>3.0232617305099199</v>
      </c>
      <c r="R215" s="4">
        <v>3.4740628549791701</v>
      </c>
      <c r="S215" s="4">
        <v>159</v>
      </c>
      <c r="T215" s="4">
        <v>177.666666666666</v>
      </c>
      <c r="U215" s="4">
        <v>-2.1816105082809698</v>
      </c>
      <c r="W215" s="3">
        <v>45230</v>
      </c>
      <c r="X215">
        <v>121.48399999999999</v>
      </c>
      <c r="Y215">
        <v>-0.27</v>
      </c>
    </row>
    <row r="216" spans="1:25" x14ac:dyDescent="0.2">
      <c r="A216" s="5">
        <v>45260</v>
      </c>
      <c r="B216" s="4">
        <v>121.49299999999999</v>
      </c>
      <c r="C216" s="4">
        <v>120.374</v>
      </c>
      <c r="D216" s="4">
        <v>5.33</v>
      </c>
      <c r="E216" s="4">
        <v>4.7</v>
      </c>
      <c r="F216" s="4">
        <v>4.5</v>
      </c>
      <c r="G216" s="4">
        <v>4.88</v>
      </c>
      <c r="H216" s="4">
        <v>-0.38</v>
      </c>
      <c r="I216" s="4">
        <v>3.7</v>
      </c>
      <c r="J216" s="4">
        <v>156703</v>
      </c>
      <c r="K216" s="4">
        <v>61.3</v>
      </c>
      <c r="L216" s="4">
        <v>77.69</v>
      </c>
      <c r="M216" s="4">
        <v>218000</v>
      </c>
      <c r="N216" s="4">
        <v>1514</v>
      </c>
      <c r="O216" s="4">
        <v>1.79</v>
      </c>
      <c r="P216" s="4">
        <v>-0.30775000000000002</v>
      </c>
      <c r="Q216" s="4">
        <v>2.76508999864661</v>
      </c>
      <c r="R216" s="4">
        <v>3.2907438711504202</v>
      </c>
      <c r="S216" s="4">
        <v>127</v>
      </c>
      <c r="T216" s="4">
        <v>147.333333333333</v>
      </c>
      <c r="U216" s="4">
        <v>-7.91750622259097</v>
      </c>
      <c r="W216" s="3">
        <v>45260</v>
      </c>
      <c r="X216">
        <v>121.49299999999999</v>
      </c>
      <c r="Y216">
        <v>-0.38</v>
      </c>
    </row>
    <row r="217" spans="1:25" x14ac:dyDescent="0.2">
      <c r="A217" s="5">
        <v>45291</v>
      </c>
      <c r="B217" s="4">
        <v>121.66</v>
      </c>
      <c r="C217" s="4">
        <v>120.592</v>
      </c>
      <c r="D217" s="4">
        <v>5.33</v>
      </c>
      <c r="E217" s="4">
        <v>3.4</v>
      </c>
      <c r="F217" s="4">
        <v>4.0199999999999996</v>
      </c>
      <c r="G217" s="4">
        <v>4.46</v>
      </c>
      <c r="H217" s="4">
        <v>-0.44</v>
      </c>
      <c r="I217" s="4">
        <v>3.8</v>
      </c>
      <c r="J217" s="4">
        <v>156857</v>
      </c>
      <c r="K217" s="4">
        <v>69.7</v>
      </c>
      <c r="L217" s="4">
        <v>71.900000000000006</v>
      </c>
      <c r="M217" s="4">
        <v>207800</v>
      </c>
      <c r="N217" s="4">
        <v>1521</v>
      </c>
      <c r="O217" s="4">
        <v>1.62</v>
      </c>
      <c r="P217" s="4">
        <v>-0.35161999999999999</v>
      </c>
      <c r="Q217" s="4">
        <v>2.7672658467360298</v>
      </c>
      <c r="R217" s="4">
        <v>3.1123879882344898</v>
      </c>
      <c r="S217" s="4">
        <v>154</v>
      </c>
      <c r="T217" s="4">
        <v>146.666666666666</v>
      </c>
      <c r="U217" s="4">
        <v>-5.9392987964416299</v>
      </c>
      <c r="W217" s="3">
        <v>45291</v>
      </c>
      <c r="X217">
        <v>121.66</v>
      </c>
      <c r="Y217">
        <v>-0.44</v>
      </c>
    </row>
    <row r="218" spans="1:25" x14ac:dyDescent="0.2">
      <c r="A218" s="5">
        <v>45322</v>
      </c>
      <c r="B218" s="4">
        <v>122.23</v>
      </c>
      <c r="C218" s="4">
        <v>121.217</v>
      </c>
      <c r="D218" s="4">
        <v>5.33</v>
      </c>
      <c r="E218" s="4">
        <v>3.4</v>
      </c>
      <c r="F218" s="4">
        <v>4.0599999999999996</v>
      </c>
      <c r="G218" s="4">
        <v>4.32</v>
      </c>
      <c r="H218" s="4">
        <v>-0.26</v>
      </c>
      <c r="I218" s="4">
        <v>3.7</v>
      </c>
      <c r="J218" s="4">
        <v>157032</v>
      </c>
      <c r="K218" s="4">
        <v>79</v>
      </c>
      <c r="L218" s="4">
        <v>74.150000000000006</v>
      </c>
      <c r="M218" s="4">
        <v>211500</v>
      </c>
      <c r="N218" s="4">
        <v>1381</v>
      </c>
      <c r="O218" s="4">
        <v>1.62</v>
      </c>
      <c r="P218" s="4">
        <v>-0.38879999999999998</v>
      </c>
      <c r="Q218" s="4">
        <v>2.6987514493606</v>
      </c>
      <c r="R218" s="4">
        <v>3.15901451002085</v>
      </c>
      <c r="S218" s="4">
        <v>175</v>
      </c>
      <c r="T218" s="4">
        <v>152</v>
      </c>
      <c r="U218" s="4">
        <v>-5.0819252432155597</v>
      </c>
      <c r="W218" s="3">
        <v>45322</v>
      </c>
      <c r="X218">
        <v>122.23</v>
      </c>
      <c r="Y218">
        <v>-0.26</v>
      </c>
    </row>
    <row r="219" spans="1:25" x14ac:dyDescent="0.2">
      <c r="A219" s="5">
        <v>45351</v>
      </c>
      <c r="B219" s="4">
        <v>122.598</v>
      </c>
      <c r="C219" s="4">
        <v>121.53700000000001</v>
      </c>
      <c r="D219" s="4">
        <v>5.33</v>
      </c>
      <c r="E219" s="4">
        <v>3.4</v>
      </c>
      <c r="F219" s="4">
        <v>4.21</v>
      </c>
      <c r="G219" s="4">
        <v>4.54</v>
      </c>
      <c r="H219" s="4">
        <v>-0.34</v>
      </c>
      <c r="I219" s="4">
        <v>3.9</v>
      </c>
      <c r="J219" s="4">
        <v>157238</v>
      </c>
      <c r="K219" s="4">
        <v>76.900000000000006</v>
      </c>
      <c r="L219" s="4">
        <v>77.25</v>
      </c>
      <c r="M219" s="4">
        <v>210000</v>
      </c>
      <c r="N219" s="4">
        <v>1552</v>
      </c>
      <c r="O219" s="4">
        <v>1.56</v>
      </c>
      <c r="P219" s="4">
        <v>-0.41693999999999998</v>
      </c>
      <c r="Q219" s="4">
        <v>2.7050574269701499</v>
      </c>
      <c r="R219" s="4">
        <v>3.0594679849739999</v>
      </c>
      <c r="S219" s="4">
        <v>206</v>
      </c>
      <c r="T219" s="4">
        <v>178.333333333333</v>
      </c>
      <c r="U219" s="4">
        <v>0.546661460367037</v>
      </c>
      <c r="W219" s="3">
        <v>45351</v>
      </c>
      <c r="X219">
        <v>122.598</v>
      </c>
      <c r="Y219">
        <v>-0.34</v>
      </c>
    </row>
    <row r="220" spans="1:25" x14ac:dyDescent="0.2">
      <c r="A220" s="5">
        <v>45382</v>
      </c>
      <c r="B220" s="4">
        <v>123.038</v>
      </c>
      <c r="C220" s="4">
        <v>122.009</v>
      </c>
      <c r="D220" s="4">
        <v>5.33</v>
      </c>
      <c r="E220" s="4">
        <v>0.8</v>
      </c>
      <c r="F220" s="4">
        <v>4.21</v>
      </c>
      <c r="G220" s="4">
        <v>4.59</v>
      </c>
      <c r="H220" s="4">
        <v>-0.38</v>
      </c>
      <c r="I220" s="4">
        <v>3.9</v>
      </c>
      <c r="J220" s="4">
        <v>157466</v>
      </c>
      <c r="K220" s="4">
        <v>79.400000000000006</v>
      </c>
      <c r="L220" s="4">
        <v>81.28</v>
      </c>
      <c r="M220" s="4">
        <v>215200</v>
      </c>
      <c r="N220" s="4">
        <v>1312</v>
      </c>
      <c r="O220" s="4">
        <v>1.54</v>
      </c>
      <c r="P220" s="4">
        <v>-0.43702000000000002</v>
      </c>
      <c r="Q220" s="4">
        <v>2.9279392327126099</v>
      </c>
      <c r="R220" s="4">
        <v>3.12217385792166</v>
      </c>
      <c r="S220" s="4">
        <v>228</v>
      </c>
      <c r="T220" s="4">
        <v>203</v>
      </c>
      <c r="U220" s="4">
        <v>10.917030567685501</v>
      </c>
      <c r="W220" s="3">
        <v>45382</v>
      </c>
      <c r="X220">
        <v>123.038</v>
      </c>
      <c r="Y220">
        <v>-0.38</v>
      </c>
    </row>
    <row r="221" spans="1:25" x14ac:dyDescent="0.2">
      <c r="A221" s="5">
        <v>45412</v>
      </c>
      <c r="B221" s="4">
        <v>123.34099999999999</v>
      </c>
      <c r="C221" s="4">
        <v>122.304</v>
      </c>
      <c r="D221" s="4">
        <v>5.33</v>
      </c>
      <c r="E221" s="4">
        <v>0.8</v>
      </c>
      <c r="F221" s="4">
        <v>4.54</v>
      </c>
      <c r="G221" s="4">
        <v>4.87</v>
      </c>
      <c r="H221" s="4">
        <v>-0.33</v>
      </c>
      <c r="I221" s="4">
        <v>3.9</v>
      </c>
      <c r="J221" s="4">
        <v>157530</v>
      </c>
      <c r="K221" s="4">
        <v>77.2</v>
      </c>
      <c r="L221" s="4">
        <v>85.35</v>
      </c>
      <c r="M221" s="4">
        <v>210250</v>
      </c>
      <c r="N221" s="4">
        <v>1385</v>
      </c>
      <c r="O221" s="4">
        <v>1.46</v>
      </c>
      <c r="P221" s="4">
        <v>-0.42048999999999997</v>
      </c>
      <c r="Q221" s="4">
        <v>2.82615401288859</v>
      </c>
      <c r="R221" s="4">
        <v>3.0067209055536002</v>
      </c>
      <c r="S221" s="4">
        <v>64</v>
      </c>
      <c r="T221" s="4">
        <v>166</v>
      </c>
      <c r="U221" s="4">
        <v>7.4260541220893401</v>
      </c>
      <c r="W221" s="3">
        <v>45412</v>
      </c>
      <c r="X221">
        <v>123.34099999999999</v>
      </c>
      <c r="Y221">
        <v>-0.33</v>
      </c>
    </row>
    <row r="222" spans="1:25" x14ac:dyDescent="0.2">
      <c r="A222" s="5">
        <v>45443</v>
      </c>
      <c r="B222" s="4">
        <v>123.348</v>
      </c>
      <c r="C222" s="4">
        <v>122.383</v>
      </c>
      <c r="D222" s="4">
        <v>5.33</v>
      </c>
      <c r="E222" s="4">
        <v>0.8</v>
      </c>
      <c r="F222" s="4">
        <v>4.4800000000000004</v>
      </c>
      <c r="G222" s="4">
        <v>4.8600000000000003</v>
      </c>
      <c r="H222" s="4">
        <v>-0.37</v>
      </c>
      <c r="I222" s="4">
        <v>3.9</v>
      </c>
      <c r="J222" s="4">
        <v>157608</v>
      </c>
      <c r="K222" s="4">
        <v>69.099999999999994</v>
      </c>
      <c r="L222" s="4">
        <v>80.02</v>
      </c>
      <c r="M222" s="4">
        <v>222000</v>
      </c>
      <c r="N222" s="4">
        <v>1316</v>
      </c>
      <c r="O222" s="4">
        <v>1.47</v>
      </c>
      <c r="P222" s="4">
        <v>-0.41448000000000002</v>
      </c>
      <c r="Q222" s="4">
        <v>2.6616729088639199</v>
      </c>
      <c r="R222" s="4">
        <v>2.7711764063720299</v>
      </c>
      <c r="S222" s="4">
        <v>78</v>
      </c>
      <c r="T222" s="4">
        <v>123.333333333333</v>
      </c>
      <c r="U222" s="4">
        <v>11.7910030734842</v>
      </c>
      <c r="W222" s="3">
        <v>45443</v>
      </c>
      <c r="X222">
        <v>123.348</v>
      </c>
      <c r="Y222">
        <v>-0.37</v>
      </c>
    </row>
    <row r="223" spans="1:25" x14ac:dyDescent="0.2">
      <c r="A223" s="5">
        <v>45473</v>
      </c>
      <c r="B223" s="4">
        <v>123.539</v>
      </c>
      <c r="C223" s="4">
        <v>122.67700000000001</v>
      </c>
      <c r="D223" s="4">
        <v>5.33</v>
      </c>
      <c r="E223" s="4">
        <v>3.6</v>
      </c>
      <c r="F223" s="4">
        <v>4.3099999999999996</v>
      </c>
      <c r="G223" s="4">
        <v>4.74</v>
      </c>
      <c r="H223" s="4">
        <v>-0.43</v>
      </c>
      <c r="I223" s="4">
        <v>4.0999999999999996</v>
      </c>
      <c r="J223" s="4">
        <v>157695</v>
      </c>
      <c r="K223" s="4">
        <v>68.2</v>
      </c>
      <c r="L223" s="4">
        <v>79.77</v>
      </c>
      <c r="M223" s="4">
        <v>234800</v>
      </c>
      <c r="N223" s="4">
        <v>1327</v>
      </c>
      <c r="O223" s="4">
        <v>1.51</v>
      </c>
      <c r="P223" s="4">
        <v>-0.39495999999999998</v>
      </c>
      <c r="Q223" s="4">
        <v>2.5483734404701601</v>
      </c>
      <c r="R223" s="4">
        <v>2.7531619063573198</v>
      </c>
      <c r="S223" s="4">
        <v>87</v>
      </c>
      <c r="T223" s="4">
        <v>76.3333333333333</v>
      </c>
      <c r="U223" s="4">
        <v>13.551601423487501</v>
      </c>
      <c r="W223" s="3">
        <v>45473</v>
      </c>
      <c r="X223">
        <v>123.539</v>
      </c>
      <c r="Y223">
        <v>-0.43</v>
      </c>
    </row>
    <row r="224" spans="1:25" x14ac:dyDescent="0.2">
      <c r="A224" s="5">
        <v>45504</v>
      </c>
      <c r="B224" s="4">
        <v>123.736</v>
      </c>
      <c r="C224" s="4">
        <v>122.911</v>
      </c>
      <c r="D224" s="4">
        <v>5.33</v>
      </c>
      <c r="E224" s="4">
        <v>3.6</v>
      </c>
      <c r="F224" s="4">
        <v>4.25</v>
      </c>
      <c r="G224" s="4">
        <v>4.5</v>
      </c>
      <c r="H224" s="4">
        <v>-0.25</v>
      </c>
      <c r="I224" s="4">
        <v>4.2</v>
      </c>
      <c r="J224" s="4">
        <v>157748</v>
      </c>
      <c r="K224" s="4">
        <v>66.400000000000006</v>
      </c>
      <c r="L224" s="4">
        <v>81.8</v>
      </c>
      <c r="M224" s="4">
        <v>237250</v>
      </c>
      <c r="N224" s="4">
        <v>1265</v>
      </c>
      <c r="O224" s="4">
        <v>1.59</v>
      </c>
      <c r="P224" s="4">
        <v>-0.37157000000000001</v>
      </c>
      <c r="Q224" s="4">
        <v>2.5943767774673199</v>
      </c>
      <c r="R224" s="4">
        <v>2.80621633376827</v>
      </c>
      <c r="S224" s="4">
        <v>53</v>
      </c>
      <c r="T224" s="4">
        <v>72.6666666666666</v>
      </c>
      <c r="U224" s="4">
        <v>7.5325358222689598</v>
      </c>
      <c r="W224" s="3">
        <v>45504</v>
      </c>
      <c r="X224">
        <v>123.736</v>
      </c>
      <c r="Y224">
        <v>-0.25</v>
      </c>
    </row>
    <row r="225" spans="1:25" x14ac:dyDescent="0.2">
      <c r="A225" s="5">
        <v>45535</v>
      </c>
      <c r="B225" s="4">
        <v>123.889</v>
      </c>
      <c r="C225" s="4">
        <v>123.128</v>
      </c>
      <c r="D225" s="4">
        <v>5.33</v>
      </c>
      <c r="E225" s="4">
        <v>3.6</v>
      </c>
      <c r="F225" s="4">
        <v>3.87</v>
      </c>
      <c r="G225" s="4">
        <v>3.97</v>
      </c>
      <c r="H225" s="4">
        <v>-0.09</v>
      </c>
      <c r="I225" s="4">
        <v>4.2</v>
      </c>
      <c r="J225" s="4">
        <v>157757</v>
      </c>
      <c r="K225" s="4">
        <v>67.900000000000006</v>
      </c>
      <c r="L225" s="4">
        <v>76.680000000000007</v>
      </c>
      <c r="M225" s="4">
        <v>230600</v>
      </c>
      <c r="N225" s="4">
        <v>1391</v>
      </c>
      <c r="O225" s="4">
        <v>1.73</v>
      </c>
      <c r="P225" s="4">
        <v>-0.37541999999999998</v>
      </c>
      <c r="Q225" s="4">
        <v>2.4129949574274598</v>
      </c>
      <c r="R225" s="4">
        <v>2.8732799171185399</v>
      </c>
      <c r="S225" s="4">
        <v>9</v>
      </c>
      <c r="T225" s="4">
        <v>49.6666666666666</v>
      </c>
      <c r="U225" s="4">
        <v>-5.7869517139697599</v>
      </c>
      <c r="W225" s="3">
        <v>45535</v>
      </c>
      <c r="X225">
        <v>123.889</v>
      </c>
      <c r="Y225">
        <v>-0.09</v>
      </c>
    </row>
    <row r="226" spans="1:25" x14ac:dyDescent="0.2">
      <c r="A226" s="5">
        <v>45565</v>
      </c>
      <c r="B226" s="4">
        <v>124.164</v>
      </c>
      <c r="C226" s="4">
        <v>123.46599999999999</v>
      </c>
      <c r="D226" s="4">
        <v>5.13</v>
      </c>
      <c r="E226" s="4">
        <v>3.3</v>
      </c>
      <c r="F226" s="4">
        <v>3.72</v>
      </c>
      <c r="G226" s="4">
        <v>3.62</v>
      </c>
      <c r="H226" s="4">
        <v>0.1</v>
      </c>
      <c r="I226" s="4">
        <v>4.0999999999999996</v>
      </c>
      <c r="J226" s="4">
        <v>157912</v>
      </c>
      <c r="K226" s="4">
        <v>70.099999999999994</v>
      </c>
      <c r="L226" s="4">
        <v>70.239999999999995</v>
      </c>
      <c r="M226" s="4">
        <v>224500</v>
      </c>
      <c r="N226" s="4">
        <v>1357</v>
      </c>
      <c r="O226" s="4">
        <v>1.7</v>
      </c>
      <c r="P226" s="4">
        <v>-0.41860000000000003</v>
      </c>
      <c r="Q226" s="4">
        <v>2.26076643688384</v>
      </c>
      <c r="R226" s="4">
        <v>2.8386279964683601</v>
      </c>
      <c r="S226" s="4">
        <v>155</v>
      </c>
      <c r="T226" s="4">
        <v>72.3333333333333</v>
      </c>
      <c r="U226" s="4">
        <v>-21.458123672145799</v>
      </c>
      <c r="W226" s="3">
        <v>45565</v>
      </c>
      <c r="X226">
        <v>124.164</v>
      </c>
      <c r="Y226">
        <v>0.1</v>
      </c>
    </row>
    <row r="227" spans="1:25" x14ac:dyDescent="0.2">
      <c r="A227" s="5">
        <v>45596</v>
      </c>
      <c r="B227" s="4">
        <v>124.494</v>
      </c>
      <c r="C227" s="4">
        <v>123.83199999999999</v>
      </c>
      <c r="D227" s="4">
        <v>4.83</v>
      </c>
      <c r="E227" s="4">
        <v>3.3</v>
      </c>
      <c r="F227" s="4">
        <v>4.0999999999999996</v>
      </c>
      <c r="G227" s="4">
        <v>3.97</v>
      </c>
      <c r="H227" s="4">
        <v>0.12</v>
      </c>
      <c r="I227" s="4">
        <v>4.0999999999999996</v>
      </c>
      <c r="J227" s="4">
        <v>157945</v>
      </c>
      <c r="K227" s="4">
        <v>70.5</v>
      </c>
      <c r="L227" s="4">
        <v>71.989999999999995</v>
      </c>
      <c r="M227" s="4">
        <v>236250</v>
      </c>
      <c r="N227" s="4">
        <v>1352</v>
      </c>
      <c r="O227" s="4">
        <v>1.53</v>
      </c>
      <c r="P227" s="4">
        <v>-0.43985999999999997</v>
      </c>
      <c r="Q227" s="4">
        <v>2.4776925356425599</v>
      </c>
      <c r="R227" s="4">
        <v>2.9865021082658898</v>
      </c>
      <c r="S227" s="4">
        <v>33</v>
      </c>
      <c r="T227" s="4">
        <v>65.6666666666666</v>
      </c>
      <c r="U227" s="4">
        <v>-15.9388136384866</v>
      </c>
      <c r="W227" s="3">
        <v>45596</v>
      </c>
      <c r="X227">
        <v>124.494</v>
      </c>
      <c r="Y227">
        <v>0.12</v>
      </c>
    </row>
    <row r="228" spans="1:25" x14ac:dyDescent="0.2">
      <c r="A228" s="5">
        <v>45626</v>
      </c>
      <c r="B228" s="4">
        <v>124.637</v>
      </c>
      <c r="C228" s="4">
        <v>123.962</v>
      </c>
      <c r="D228" s="4">
        <v>4.6399999999999997</v>
      </c>
      <c r="E228" s="4">
        <v>3.3</v>
      </c>
      <c r="F228" s="4">
        <v>4.3600000000000003</v>
      </c>
      <c r="G228" s="4">
        <v>4.26</v>
      </c>
      <c r="H228" s="4">
        <v>0.1</v>
      </c>
      <c r="I228" s="4">
        <v>4.2</v>
      </c>
      <c r="J228" s="4">
        <v>158079</v>
      </c>
      <c r="K228" s="4">
        <v>71.8</v>
      </c>
      <c r="L228" s="4">
        <v>69.95</v>
      </c>
      <c r="M228" s="4">
        <v>219200</v>
      </c>
      <c r="N228" s="4">
        <v>1295</v>
      </c>
      <c r="O228" s="4">
        <v>1.42</v>
      </c>
      <c r="P228" s="4">
        <v>-0.46604000000000001</v>
      </c>
      <c r="Q228" s="4">
        <v>2.5878034125423</v>
      </c>
      <c r="R228" s="4">
        <v>2.9807101201256101</v>
      </c>
      <c r="S228" s="4">
        <v>134</v>
      </c>
      <c r="T228" s="4">
        <v>107.333333333333</v>
      </c>
      <c r="U228" s="4">
        <v>-9.9626721585789593</v>
      </c>
      <c r="W228" s="3">
        <v>45626</v>
      </c>
      <c r="X228">
        <v>124.637</v>
      </c>
      <c r="Y228">
        <v>0.1</v>
      </c>
    </row>
    <row r="229" spans="1:25" x14ac:dyDescent="0.2">
      <c r="A229" s="5">
        <v>45657</v>
      </c>
      <c r="B229" s="4">
        <v>124.979</v>
      </c>
      <c r="C229" s="4">
        <v>124.196</v>
      </c>
      <c r="D229" s="4">
        <v>4.4800000000000004</v>
      </c>
      <c r="E229" s="4">
        <v>1.9</v>
      </c>
      <c r="F229" s="4">
        <v>4.3899999999999997</v>
      </c>
      <c r="G229" s="4">
        <v>4.2300000000000004</v>
      </c>
      <c r="H229" s="4">
        <v>0.17</v>
      </c>
      <c r="I229" s="4">
        <v>4.0999999999999996</v>
      </c>
      <c r="J229" s="4">
        <v>158316</v>
      </c>
      <c r="K229" s="4">
        <v>74</v>
      </c>
      <c r="L229" s="4">
        <v>70.12</v>
      </c>
      <c r="M229" s="4">
        <v>222750</v>
      </c>
      <c r="N229" s="4">
        <v>1514</v>
      </c>
      <c r="O229" s="4">
        <v>1.41</v>
      </c>
      <c r="P229" s="4">
        <v>-0.48150999999999999</v>
      </c>
      <c r="Q229" s="4">
        <v>2.7280946901199998</v>
      </c>
      <c r="R229" s="4">
        <v>2.9885896245190402</v>
      </c>
      <c r="S229" s="4">
        <v>237</v>
      </c>
      <c r="T229" s="4">
        <v>134.666666666666</v>
      </c>
      <c r="U229" s="4">
        <v>-2.4756606397774599</v>
      </c>
      <c r="W229" s="3">
        <v>45657</v>
      </c>
      <c r="X229">
        <v>124.979</v>
      </c>
      <c r="Y229">
        <v>0.17</v>
      </c>
    </row>
    <row r="230" spans="1:25" x14ac:dyDescent="0.2">
      <c r="A230" s="5">
        <v>45688</v>
      </c>
      <c r="B230" s="4">
        <v>125.417</v>
      </c>
      <c r="C230" s="4">
        <v>124.587</v>
      </c>
      <c r="D230" s="4">
        <v>4.33</v>
      </c>
      <c r="E230" s="4">
        <v>1.9</v>
      </c>
      <c r="F230" s="4">
        <v>4.63</v>
      </c>
      <c r="G230" s="4">
        <v>4.2699999999999996</v>
      </c>
      <c r="H230" s="4">
        <v>0.36</v>
      </c>
      <c r="I230" s="4">
        <v>4</v>
      </c>
      <c r="J230" s="4">
        <v>158268</v>
      </c>
      <c r="K230" s="4">
        <v>71.7</v>
      </c>
      <c r="L230" s="4">
        <v>75.739999999999995</v>
      </c>
      <c r="M230" s="4">
        <v>215000</v>
      </c>
      <c r="N230" s="4">
        <v>1358</v>
      </c>
      <c r="O230" s="4">
        <v>1.45</v>
      </c>
      <c r="P230" s="4">
        <v>-0.50107999999999997</v>
      </c>
      <c r="Q230" s="4">
        <v>2.6073795303935099</v>
      </c>
      <c r="R230" s="4">
        <v>2.7801380994414999</v>
      </c>
      <c r="S230" s="4">
        <v>-48</v>
      </c>
      <c r="T230" s="4">
        <v>107.666666666666</v>
      </c>
      <c r="U230" s="4">
        <v>2.14430209035736</v>
      </c>
      <c r="W230" s="3">
        <v>45688</v>
      </c>
      <c r="X230">
        <v>125.417</v>
      </c>
      <c r="Y230">
        <v>0.36</v>
      </c>
    </row>
    <row r="231" spans="1:25" x14ac:dyDescent="0.2">
      <c r="A231" s="5">
        <v>45716</v>
      </c>
      <c r="B231" s="4">
        <v>125.92100000000001</v>
      </c>
      <c r="C231" s="4">
        <v>125.145</v>
      </c>
      <c r="D231" s="4">
        <v>4.33</v>
      </c>
      <c r="E231" s="4">
        <v>1.9</v>
      </c>
      <c r="F231" s="4">
        <v>4.45</v>
      </c>
      <c r="G231" s="4">
        <v>4.21</v>
      </c>
      <c r="H231" s="4">
        <v>0.24</v>
      </c>
      <c r="I231" s="4">
        <v>4.2</v>
      </c>
      <c r="J231" s="4">
        <v>158310</v>
      </c>
      <c r="K231" s="4">
        <v>64.7</v>
      </c>
      <c r="L231" s="4">
        <v>71.53</v>
      </c>
      <c r="M231" s="4">
        <v>225000</v>
      </c>
      <c r="N231" s="4">
        <v>1490</v>
      </c>
      <c r="O231" s="4">
        <v>1.47</v>
      </c>
      <c r="P231" s="4">
        <v>-0.49756</v>
      </c>
      <c r="Q231" s="4">
        <v>2.71048467348571</v>
      </c>
      <c r="R231" s="4">
        <v>2.96864329381174</v>
      </c>
      <c r="S231" s="4">
        <v>42</v>
      </c>
      <c r="T231" s="4">
        <v>77</v>
      </c>
      <c r="U231" s="4">
        <v>-7.4045307443365598</v>
      </c>
      <c r="W231" s="3">
        <v>45716</v>
      </c>
      <c r="X231">
        <v>125.92100000000001</v>
      </c>
      <c r="Y231">
        <v>0.24</v>
      </c>
    </row>
    <row r="232" spans="1:25" x14ac:dyDescent="0.2">
      <c r="A232" s="5">
        <v>45747</v>
      </c>
      <c r="B232" s="4">
        <v>125.941</v>
      </c>
      <c r="C232" s="4">
        <v>125.267</v>
      </c>
      <c r="D232" s="4">
        <v>4.33</v>
      </c>
      <c r="E232" s="4">
        <v>-0.6</v>
      </c>
      <c r="F232" s="4">
        <v>4.28</v>
      </c>
      <c r="G232" s="4">
        <v>3.97</v>
      </c>
      <c r="H232" s="4">
        <v>0.31</v>
      </c>
      <c r="I232" s="4">
        <v>4.2</v>
      </c>
      <c r="J232" s="4">
        <v>158377</v>
      </c>
      <c r="K232" s="4">
        <v>57</v>
      </c>
      <c r="L232" s="4">
        <v>68.239999999999995</v>
      </c>
      <c r="M232" s="4">
        <v>223000</v>
      </c>
      <c r="N232" s="4">
        <v>1355</v>
      </c>
      <c r="O232" s="4">
        <v>1.65</v>
      </c>
      <c r="P232" s="4">
        <v>-0.43813000000000002</v>
      </c>
      <c r="Q232" s="4">
        <v>2.3594336708984298</v>
      </c>
      <c r="R232" s="4">
        <v>2.67029481431697</v>
      </c>
      <c r="S232" s="4">
        <v>67</v>
      </c>
      <c r="T232" s="4">
        <v>20.3333333333333</v>
      </c>
      <c r="U232" s="4">
        <v>-16.043307086614099</v>
      </c>
      <c r="W232" s="3">
        <v>45747</v>
      </c>
      <c r="X232">
        <v>125.941</v>
      </c>
      <c r="Y232">
        <v>0.31</v>
      </c>
    </row>
    <row r="233" spans="1:25" x14ac:dyDescent="0.2">
      <c r="A233" s="5">
        <v>45777</v>
      </c>
      <c r="B233" s="4">
        <v>126.15</v>
      </c>
      <c r="C233" s="4">
        <v>125.502</v>
      </c>
      <c r="D233" s="4">
        <v>4.33</v>
      </c>
      <c r="E233" s="4">
        <v>-0.6</v>
      </c>
      <c r="F233" s="4">
        <v>4.28</v>
      </c>
      <c r="G233" s="4">
        <v>3.78</v>
      </c>
      <c r="H233" s="4">
        <v>0.5</v>
      </c>
      <c r="I233" s="4">
        <v>4.2</v>
      </c>
      <c r="J233" s="4">
        <v>158485</v>
      </c>
      <c r="K233" s="4">
        <v>52.2</v>
      </c>
      <c r="L233" s="4">
        <v>63.54</v>
      </c>
      <c r="M233" s="4">
        <v>225750</v>
      </c>
      <c r="N233" s="4">
        <v>1398</v>
      </c>
      <c r="O233" s="4">
        <v>1.9</v>
      </c>
      <c r="P233" s="4">
        <v>-0.39071</v>
      </c>
      <c r="Q233" s="4">
        <v>2.2774259978433902</v>
      </c>
      <c r="R233" s="4">
        <v>2.6147959183673501</v>
      </c>
      <c r="S233" s="4">
        <v>108</v>
      </c>
      <c r="T233" s="4">
        <v>72.3333333333333</v>
      </c>
      <c r="U233" s="4">
        <v>-25.5536028119507</v>
      </c>
      <c r="W233" s="3">
        <v>45777</v>
      </c>
      <c r="X233">
        <v>126.15</v>
      </c>
      <c r="Y233">
        <v>0.5</v>
      </c>
    </row>
    <row r="234" spans="1:25" x14ac:dyDescent="0.2">
      <c r="A234" s="5">
        <v>45808</v>
      </c>
      <c r="B234" s="4">
        <v>126.38</v>
      </c>
      <c r="C234" s="4">
        <v>125.79</v>
      </c>
      <c r="D234" s="4">
        <v>4.33</v>
      </c>
      <c r="E234" s="4">
        <v>-0.6</v>
      </c>
      <c r="F234" s="4">
        <v>4.42</v>
      </c>
      <c r="G234" s="4">
        <v>3.92</v>
      </c>
      <c r="H234" s="4">
        <v>0.5</v>
      </c>
      <c r="I234" s="4">
        <v>4.3</v>
      </c>
      <c r="J234" s="4">
        <v>158498</v>
      </c>
      <c r="K234" s="4">
        <v>52.2</v>
      </c>
      <c r="L234" s="4">
        <v>62.17</v>
      </c>
      <c r="M234" s="4">
        <v>231800</v>
      </c>
      <c r="N234" s="4">
        <v>1282</v>
      </c>
      <c r="O234" s="4">
        <v>1.87</v>
      </c>
      <c r="P234" s="4">
        <v>-0.43885000000000002</v>
      </c>
      <c r="Q234" s="4">
        <v>2.4580860654408601</v>
      </c>
      <c r="R234" s="4">
        <v>2.7838833824959299</v>
      </c>
      <c r="S234" s="4">
        <v>13</v>
      </c>
      <c r="T234" s="4">
        <v>62.6666666666666</v>
      </c>
      <c r="U234" s="4">
        <v>-22.3069232691827</v>
      </c>
      <c r="W234" s="3">
        <v>45808</v>
      </c>
      <c r="X234">
        <v>126.38</v>
      </c>
      <c r="Y234">
        <v>0.5</v>
      </c>
    </row>
    <row r="235" spans="1:25" x14ac:dyDescent="0.2">
      <c r="A235" s="5">
        <v>45838</v>
      </c>
      <c r="B235" s="4">
        <v>126.74299999999999</v>
      </c>
      <c r="C235" s="4">
        <v>126.121</v>
      </c>
      <c r="D235" s="4">
        <v>4.33</v>
      </c>
      <c r="E235" s="4">
        <v>3.8</v>
      </c>
      <c r="F235" s="4">
        <v>4.38</v>
      </c>
      <c r="G235" s="4">
        <v>3.89</v>
      </c>
      <c r="H235" s="4">
        <v>0.49</v>
      </c>
      <c r="I235" s="4">
        <v>4.0999999999999996</v>
      </c>
      <c r="J235" s="4">
        <v>158478</v>
      </c>
      <c r="K235" s="4">
        <v>60.7</v>
      </c>
      <c r="L235" s="4">
        <v>68.17</v>
      </c>
      <c r="M235" s="4">
        <v>239000</v>
      </c>
      <c r="N235" s="4">
        <v>1382</v>
      </c>
      <c r="O235" s="4">
        <v>1.77</v>
      </c>
      <c r="P235" s="4">
        <v>-0.48727999999999999</v>
      </c>
      <c r="Q235" s="4">
        <v>2.5935129797068002</v>
      </c>
      <c r="R235" s="4">
        <v>2.8073722050588001</v>
      </c>
      <c r="S235" s="4">
        <v>-20</v>
      </c>
      <c r="T235" s="4">
        <v>33.6666666666666</v>
      </c>
      <c r="U235" s="4">
        <v>-14.541807697129199</v>
      </c>
      <c r="W235" s="3">
        <v>45838</v>
      </c>
      <c r="X235">
        <v>126.74299999999999</v>
      </c>
      <c r="Y235">
        <v>0.49</v>
      </c>
    </row>
    <row r="236" spans="1:25" x14ac:dyDescent="0.2">
      <c r="A236" s="5">
        <v>45869</v>
      </c>
      <c r="B236" s="4">
        <v>126.96</v>
      </c>
      <c r="C236" s="4">
        <v>126.43</v>
      </c>
      <c r="D236" s="4">
        <v>4.33</v>
      </c>
      <c r="E236" s="4">
        <v>3.8</v>
      </c>
      <c r="F236" s="4">
        <v>4.3899999999999997</v>
      </c>
      <c r="G236" s="4">
        <v>3.88</v>
      </c>
      <c r="H236" s="4">
        <v>0.51</v>
      </c>
      <c r="I236" s="4">
        <v>4.3</v>
      </c>
      <c r="J236" s="4">
        <v>158542</v>
      </c>
      <c r="K236" s="4">
        <v>61.7</v>
      </c>
      <c r="L236" s="4">
        <v>68.39</v>
      </c>
      <c r="M236" s="4">
        <v>221500</v>
      </c>
      <c r="N236" s="4">
        <v>1420</v>
      </c>
      <c r="O236" s="4">
        <v>1.71</v>
      </c>
      <c r="P236" s="4">
        <v>-0.51287000000000005</v>
      </c>
      <c r="Q236" s="4">
        <v>2.6055472942393401</v>
      </c>
      <c r="R236" s="4">
        <v>2.8630472455679401</v>
      </c>
      <c r="S236" s="4">
        <v>64</v>
      </c>
      <c r="T236" s="4">
        <v>19</v>
      </c>
      <c r="U236" s="4">
        <v>-16.393643031784801</v>
      </c>
      <c r="W236" s="3">
        <v>45869</v>
      </c>
      <c r="X236">
        <v>126.96</v>
      </c>
      <c r="Y236">
        <v>0.51</v>
      </c>
    </row>
    <row r="237" spans="1:25" x14ac:dyDescent="0.2">
      <c r="A237" s="5">
        <v>45900</v>
      </c>
      <c r="B237" s="4">
        <v>127.29300000000001</v>
      </c>
      <c r="C237" s="4">
        <v>126.714</v>
      </c>
      <c r="D237" s="4">
        <v>4.33</v>
      </c>
      <c r="E237" s="4">
        <v>3.8</v>
      </c>
      <c r="F237" s="4">
        <v>4.26</v>
      </c>
      <c r="G237" s="4">
        <v>3.7</v>
      </c>
      <c r="H237" s="4">
        <v>0.56000000000000005</v>
      </c>
      <c r="I237" s="4">
        <v>4.3</v>
      </c>
      <c r="J237" s="4">
        <v>158472</v>
      </c>
      <c r="K237" s="4">
        <v>58.2</v>
      </c>
      <c r="L237" s="4">
        <v>64.86</v>
      </c>
      <c r="M237" s="4">
        <v>229600</v>
      </c>
      <c r="N237" s="4">
        <v>1291</v>
      </c>
      <c r="O237" s="4">
        <v>1.74</v>
      </c>
      <c r="P237" s="4">
        <v>-0.52658000000000005</v>
      </c>
      <c r="Q237" s="4">
        <v>2.7476208541517</v>
      </c>
      <c r="R237" s="4">
        <v>2.9124163472158999</v>
      </c>
      <c r="S237" s="4">
        <v>-70</v>
      </c>
      <c r="T237" s="4">
        <v>-8.6666666666666607</v>
      </c>
      <c r="U237" s="4">
        <v>-15.414710485133</v>
      </c>
      <c r="W237" s="3">
        <v>45900</v>
      </c>
      <c r="X237">
        <v>127.29300000000001</v>
      </c>
      <c r="Y237">
        <v>0.56000000000000005</v>
      </c>
    </row>
    <row r="238" spans="1:25" x14ac:dyDescent="0.2">
      <c r="A238" s="5">
        <v>45930</v>
      </c>
      <c r="B238" s="4">
        <v>127.625</v>
      </c>
      <c r="C238" s="4">
        <v>126.95399999999999</v>
      </c>
      <c r="D238" s="4">
        <v>4.22</v>
      </c>
      <c r="E238" s="4">
        <v>4.4000000000000004</v>
      </c>
      <c r="F238" s="4">
        <v>4.12</v>
      </c>
      <c r="G238" s="4">
        <v>3.57</v>
      </c>
      <c r="H238" s="4">
        <v>0.55000000000000004</v>
      </c>
      <c r="I238" s="4">
        <v>4.4000000000000004</v>
      </c>
      <c r="J238" s="4">
        <v>158548</v>
      </c>
      <c r="K238" s="4">
        <v>55.1</v>
      </c>
      <c r="L238" s="4">
        <v>63.96</v>
      </c>
      <c r="M238" s="4">
        <v>234000</v>
      </c>
      <c r="N238" s="4">
        <v>1328</v>
      </c>
      <c r="O238" s="4">
        <v>1.71</v>
      </c>
      <c r="P238" s="4">
        <v>-0.52856000000000003</v>
      </c>
      <c r="Q238" s="4">
        <v>2.7874424148706498</v>
      </c>
      <c r="R238" s="4">
        <v>2.8250692498339598</v>
      </c>
      <c r="S238" s="4">
        <v>76</v>
      </c>
      <c r="T238" s="4">
        <v>23.3333333333333</v>
      </c>
      <c r="U238" s="4">
        <v>-8.9407744874715096</v>
      </c>
      <c r="W238" s="3">
        <v>45930</v>
      </c>
      <c r="X238">
        <v>127.625</v>
      </c>
      <c r="Y238">
        <v>0.55000000000000004</v>
      </c>
    </row>
    <row r="239" spans="1:25" x14ac:dyDescent="0.2">
      <c r="A239" s="5">
        <v>45961</v>
      </c>
      <c r="B239" s="4">
        <v>127.873</v>
      </c>
      <c r="C239" s="4">
        <v>127.245</v>
      </c>
      <c r="D239" s="4">
        <v>4.09</v>
      </c>
      <c r="E239" s="4">
        <v>4.4000000000000004</v>
      </c>
      <c r="F239" s="4">
        <v>4.0599999999999996</v>
      </c>
      <c r="G239" s="4">
        <v>3.52</v>
      </c>
      <c r="H239" s="4">
        <v>0.54</v>
      </c>
      <c r="I239" s="4"/>
      <c r="J239" s="4">
        <v>158408</v>
      </c>
      <c r="K239" s="4">
        <v>53.6</v>
      </c>
      <c r="L239" s="4">
        <v>60.89</v>
      </c>
      <c r="M239" s="4">
        <v>226750</v>
      </c>
      <c r="N239" s="4">
        <v>1272</v>
      </c>
      <c r="O239" s="4">
        <v>1.68</v>
      </c>
      <c r="P239" s="4">
        <v>-0.51961999999999997</v>
      </c>
      <c r="Q239" s="4">
        <v>2.7141870290937802</v>
      </c>
      <c r="R239" s="4">
        <v>2.7561534982880098</v>
      </c>
      <c r="S239" s="4">
        <v>-140</v>
      </c>
      <c r="T239" s="4">
        <v>-44.6666666666666</v>
      </c>
      <c r="U239" s="4">
        <v>-15.418808167801</v>
      </c>
      <c r="W239" s="3">
        <v>45961</v>
      </c>
      <c r="X239">
        <v>127.873</v>
      </c>
      <c r="Y239">
        <v>0.54</v>
      </c>
    </row>
    <row r="240" spans="1:25" x14ac:dyDescent="0.2">
      <c r="A240" s="5">
        <v>45991</v>
      </c>
      <c r="B240" s="4">
        <v>128.155</v>
      </c>
      <c r="C240" s="4">
        <v>127.473</v>
      </c>
      <c r="D240" s="4">
        <v>3.88</v>
      </c>
      <c r="E240" s="4">
        <v>4.4000000000000004</v>
      </c>
      <c r="F240" s="4">
        <v>4.09</v>
      </c>
      <c r="G240" s="4">
        <v>3.55</v>
      </c>
      <c r="H240" s="4">
        <v>0.54</v>
      </c>
      <c r="I240" s="4">
        <v>4.5</v>
      </c>
      <c r="J240" s="4">
        <v>158449</v>
      </c>
      <c r="K240" s="4">
        <v>51</v>
      </c>
      <c r="L240" s="4">
        <v>60.06</v>
      </c>
      <c r="M240" s="4">
        <v>222400</v>
      </c>
      <c r="N240" s="4">
        <v>1324</v>
      </c>
      <c r="O240" s="4">
        <v>1.77</v>
      </c>
      <c r="P240" s="4">
        <v>-0.50817000000000001</v>
      </c>
      <c r="Q240" s="4">
        <v>2.8225968211686698</v>
      </c>
      <c r="R240" s="4">
        <v>2.8323195818073099</v>
      </c>
      <c r="S240" s="4">
        <v>41</v>
      </c>
      <c r="T240" s="4">
        <v>-7.6666666666666599</v>
      </c>
      <c r="U240" s="4">
        <v>-14.1386704789135</v>
      </c>
      <c r="W240" s="3">
        <v>45991</v>
      </c>
      <c r="X240">
        <v>128.155</v>
      </c>
      <c r="Y240">
        <v>0.54</v>
      </c>
    </row>
    <row r="241" spans="1:25" x14ac:dyDescent="0.2">
      <c r="A241" s="5">
        <v>46022</v>
      </c>
      <c r="B241" s="4">
        <v>128.61500000000001</v>
      </c>
      <c r="C241" s="4">
        <v>127.929</v>
      </c>
      <c r="D241" s="4">
        <v>3.72</v>
      </c>
      <c r="E241" s="4">
        <v>0.7</v>
      </c>
      <c r="F241" s="4">
        <v>4.1399999999999997</v>
      </c>
      <c r="G241" s="4">
        <v>3.5</v>
      </c>
      <c r="H241" s="4">
        <v>0.64</v>
      </c>
      <c r="I241" s="4">
        <v>4.4000000000000004</v>
      </c>
      <c r="J241" s="4">
        <v>158432</v>
      </c>
      <c r="K241" s="4">
        <v>52.9</v>
      </c>
      <c r="L241" s="4">
        <v>57.97</v>
      </c>
      <c r="M241" s="4">
        <v>219250</v>
      </c>
      <c r="N241" s="4">
        <v>1387</v>
      </c>
      <c r="O241" s="4">
        <v>1.76</v>
      </c>
      <c r="P241" s="4">
        <v>-0.52293999999999996</v>
      </c>
      <c r="Q241" s="4">
        <v>2.9092887605117701</v>
      </c>
      <c r="R241" s="4">
        <v>3.0057328738445799</v>
      </c>
      <c r="S241" s="4">
        <v>-17</v>
      </c>
      <c r="T241" s="4">
        <v>-38.6666666666666</v>
      </c>
      <c r="U241" s="4">
        <v>-17.327438676554401</v>
      </c>
      <c r="W241" s="3">
        <v>46022</v>
      </c>
      <c r="X241">
        <v>128.61500000000001</v>
      </c>
      <c r="Y241">
        <v>0.64</v>
      </c>
    </row>
  </sheetData>
  <dataValidations count="1">
    <dataValidation type="list" allowBlank="1" showInputMessage="1" showErrorMessage="1" sqref="X1:Y1" xr:uid="{91B270D7-956B-644F-9BAC-27F19E9CA786}">
      <formula1>$B$1:$U$1</formula1>
    </dataValidation>
  </dataValidations>
  <pageMargins left="0.75" right="0.75" top="1" bottom="1" header="0.5" footer="0.5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macro_panel_2006_2025_monthly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Jordan Kim</dc:creator>
  <cp:lastModifiedBy>Jordan Kim</cp:lastModifiedBy>
  <dcterms:created xsi:type="dcterms:W3CDTF">2021-06-13T03:11:35Z</dcterms:created>
  <dcterms:modified xsi:type="dcterms:W3CDTF">2024-01-07T19:05:11Z</dcterms:modified>
  <cp:revision>1</cp:revision>
</cp:coreProperties>
</file>