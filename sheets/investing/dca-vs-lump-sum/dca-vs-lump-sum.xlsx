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00_drive_drive\600_PROJECTS\modelstack\sheets\investing\dca-vs-lump-sum\"/>
    </mc:Choice>
  </mc:AlternateContent>
  <xr:revisionPtr revIDLastSave="0" documentId="13_ncr:1_{FA30B7B9-BDD2-4113-BD9F-9C0AA54DFD2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ice History" sheetId="1" r:id="rId1"/>
    <sheet name="DCA Schedule" sheetId="2" r:id="rId2"/>
    <sheet name="Lump Sum Comparison" sheetId="3" r:id="rId3"/>
    <sheet name="Outcome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D20" i="3"/>
  <c r="C20" i="3"/>
  <c r="B20" i="3"/>
  <c r="A20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C13" i="3"/>
  <c r="B13" i="3"/>
  <c r="A13" i="3"/>
  <c r="C12" i="3"/>
  <c r="B12" i="3"/>
  <c r="A12" i="3"/>
  <c r="C11" i="3"/>
  <c r="B11" i="3"/>
  <c r="A11" i="3"/>
  <c r="C10" i="3"/>
  <c r="B10" i="3"/>
  <c r="A10" i="3"/>
  <c r="C9" i="3"/>
  <c r="B9" i="3"/>
  <c r="A9" i="3"/>
  <c r="C8" i="3"/>
  <c r="B8" i="3"/>
  <c r="A8" i="3"/>
  <c r="C7" i="3"/>
  <c r="B7" i="3"/>
  <c r="A7" i="3"/>
  <c r="C6" i="3"/>
  <c r="B6" i="3"/>
  <c r="A6" i="3"/>
  <c r="C5" i="3"/>
  <c r="B5" i="3"/>
  <c r="A5" i="3"/>
  <c r="C4" i="3"/>
  <c r="B4" i="3"/>
  <c r="A4" i="3"/>
  <c r="C3" i="3"/>
  <c r="B3" i="3"/>
  <c r="A3" i="3"/>
  <c r="C2" i="3"/>
  <c r="B2" i="3"/>
  <c r="B7" i="4" s="1"/>
  <c r="A2" i="3"/>
  <c r="C25" i="2"/>
  <c r="B25" i="2"/>
  <c r="A25" i="2"/>
  <c r="C24" i="2"/>
  <c r="B24" i="2"/>
  <c r="A24" i="2"/>
  <c r="C23" i="2"/>
  <c r="B23" i="2"/>
  <c r="A23" i="2"/>
  <c r="C22" i="2"/>
  <c r="B22" i="2"/>
  <c r="A22" i="2"/>
  <c r="C21" i="2"/>
  <c r="B21" i="2"/>
  <c r="A21" i="2"/>
  <c r="C20" i="2"/>
  <c r="D20" i="2" s="1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C15" i="2"/>
  <c r="B15" i="2"/>
  <c r="A15" i="2"/>
  <c r="C14" i="2"/>
  <c r="D14" i="2" s="1"/>
  <c r="B14" i="2"/>
  <c r="A14" i="2"/>
  <c r="C13" i="2"/>
  <c r="B13" i="2"/>
  <c r="A13" i="2"/>
  <c r="C12" i="2"/>
  <c r="B12" i="2"/>
  <c r="A12" i="2"/>
  <c r="C11" i="2"/>
  <c r="B11" i="2"/>
  <c r="A11" i="2"/>
  <c r="C10" i="2"/>
  <c r="B10" i="2"/>
  <c r="A10" i="2"/>
  <c r="C9" i="2"/>
  <c r="B9" i="2"/>
  <c r="A9" i="2"/>
  <c r="C8" i="2"/>
  <c r="B8" i="2"/>
  <c r="A8" i="2"/>
  <c r="C7" i="2"/>
  <c r="B7" i="2"/>
  <c r="A7" i="2"/>
  <c r="C6" i="2"/>
  <c r="B6" i="2"/>
  <c r="A6" i="2"/>
  <c r="C5" i="2"/>
  <c r="B5" i="2"/>
  <c r="A5" i="2"/>
  <c r="C4" i="2"/>
  <c r="B4" i="2"/>
  <c r="A4" i="2"/>
  <c r="C3" i="2"/>
  <c r="B3" i="2"/>
  <c r="A3" i="2"/>
  <c r="C2" i="2"/>
  <c r="F2" i="2" s="1"/>
  <c r="B2" i="2"/>
  <c r="A2" i="2"/>
  <c r="E4" i="1"/>
  <c r="E3" i="1"/>
  <c r="E2" i="1"/>
  <c r="D21" i="2" l="1"/>
  <c r="D15" i="2"/>
  <c r="D7" i="2"/>
  <c r="D3" i="2"/>
  <c r="D18" i="2"/>
  <c r="D11" i="2"/>
  <c r="D24" i="2"/>
  <c r="D13" i="2"/>
  <c r="D9" i="2"/>
  <c r="D16" i="2"/>
  <c r="E20" i="3"/>
  <c r="F20" i="3" s="1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B1" i="4" s="1"/>
  <c r="D23" i="2"/>
  <c r="D10" i="2"/>
  <c r="D17" i="2"/>
  <c r="D5" i="2"/>
  <c r="D12" i="2"/>
  <c r="D19" i="2"/>
  <c r="D16" i="3"/>
  <c r="E16" i="3" s="1"/>
  <c r="F16" i="3" s="1"/>
  <c r="D9" i="3"/>
  <c r="E9" i="3" s="1"/>
  <c r="F9" i="3" s="1"/>
  <c r="D6" i="2"/>
  <c r="D4" i="2"/>
  <c r="D8" i="2"/>
  <c r="D22" i="2"/>
  <c r="D25" i="2"/>
  <c r="D13" i="3"/>
  <c r="E13" i="3" s="1"/>
  <c r="F13" i="3" s="1"/>
  <c r="D6" i="3"/>
  <c r="E6" i="3" s="1"/>
  <c r="F6" i="3" s="1"/>
  <c r="D11" i="3"/>
  <c r="E11" i="3" s="1"/>
  <c r="F11" i="3" s="1"/>
  <c r="D22" i="3"/>
  <c r="E22" i="3" s="1"/>
  <c r="F22" i="3" s="1"/>
  <c r="D2" i="3"/>
  <c r="E2" i="3" s="1"/>
  <c r="F2" i="3" s="1"/>
  <c r="D21" i="3"/>
  <c r="E21" i="3" s="1"/>
  <c r="F21" i="3" s="1"/>
  <c r="D18" i="3"/>
  <c r="E18" i="3" s="1"/>
  <c r="F18" i="3" s="1"/>
  <c r="D15" i="3"/>
  <c r="E15" i="3" s="1"/>
  <c r="F15" i="3" s="1"/>
  <c r="D10" i="3"/>
  <c r="E10" i="3" s="1"/>
  <c r="F10" i="3" s="1"/>
  <c r="D3" i="3"/>
  <c r="E3" i="3" s="1"/>
  <c r="F3" i="3" s="1"/>
  <c r="D14" i="3"/>
  <c r="E14" i="3" s="1"/>
  <c r="F14" i="3" s="1"/>
  <c r="D7" i="3"/>
  <c r="E7" i="3" s="1"/>
  <c r="F7" i="3" s="1"/>
  <c r="D8" i="3"/>
  <c r="E8" i="3" s="1"/>
  <c r="F8" i="3" s="1"/>
  <c r="D19" i="3"/>
  <c r="E19" i="3" s="1"/>
  <c r="F19" i="3" s="1"/>
  <c r="D24" i="3"/>
  <c r="E24" i="3" s="1"/>
  <c r="F24" i="3" s="1"/>
  <c r="D17" i="3"/>
  <c r="E17" i="3" s="1"/>
  <c r="F17" i="3" s="1"/>
  <c r="D2" i="2"/>
  <c r="E2" i="2" s="1"/>
  <c r="D4" i="3"/>
  <c r="E4" i="3" s="1"/>
  <c r="F4" i="3" s="1"/>
  <c r="D25" i="3"/>
  <c r="E25" i="3" s="1"/>
  <c r="D12" i="3"/>
  <c r="E12" i="3" s="1"/>
  <c r="F12" i="3" s="1"/>
  <c r="D23" i="3"/>
  <c r="E23" i="3" s="1"/>
  <c r="F23" i="3" s="1"/>
  <c r="D5" i="3"/>
  <c r="E5" i="3" s="1"/>
  <c r="F5" i="3" s="1"/>
  <c r="B3" i="4" l="1"/>
  <c r="F25" i="3"/>
  <c r="B5" i="4" s="1"/>
  <c r="G2" i="2"/>
  <c r="E3" i="2"/>
  <c r="H2" i="2"/>
  <c r="I2" i="2" s="1"/>
  <c r="H3" i="2" l="1"/>
  <c r="I3" i="2" s="1"/>
  <c r="G3" i="2"/>
  <c r="E4" i="2"/>
  <c r="G4" i="2" l="1"/>
  <c r="E5" i="2"/>
  <c r="H4" i="2"/>
  <c r="I4" i="2" s="1"/>
  <c r="E6" i="2" l="1"/>
  <c r="H5" i="2"/>
  <c r="I5" i="2" s="1"/>
  <c r="G5" i="2"/>
  <c r="E7" i="2" l="1"/>
  <c r="G6" i="2"/>
  <c r="H6" i="2"/>
  <c r="I6" i="2" s="1"/>
  <c r="E8" i="2" l="1"/>
  <c r="H7" i="2"/>
  <c r="I7" i="2" s="1"/>
  <c r="G7" i="2"/>
  <c r="H8" i="2" l="1"/>
  <c r="I8" i="2" s="1"/>
  <c r="G8" i="2"/>
  <c r="E9" i="2"/>
  <c r="G9" i="2" l="1"/>
  <c r="E10" i="2"/>
  <c r="H9" i="2"/>
  <c r="I9" i="2" s="1"/>
  <c r="E11" i="2" l="1"/>
  <c r="H10" i="2"/>
  <c r="I10" i="2" s="1"/>
  <c r="G10" i="2"/>
  <c r="G11" i="2" l="1"/>
  <c r="E12" i="2"/>
  <c r="H11" i="2"/>
  <c r="I11" i="2" s="1"/>
  <c r="E13" i="2" l="1"/>
  <c r="H12" i="2"/>
  <c r="I12" i="2" s="1"/>
  <c r="G12" i="2"/>
  <c r="G13" i="2" l="1"/>
  <c r="H13" i="2"/>
  <c r="I13" i="2" s="1"/>
  <c r="E14" i="2"/>
  <c r="E15" i="2" l="1"/>
  <c r="G14" i="2"/>
  <c r="H14" i="2"/>
  <c r="I14" i="2" s="1"/>
  <c r="H15" i="2" l="1"/>
  <c r="I15" i="2" s="1"/>
  <c r="G15" i="2"/>
  <c r="E16" i="2"/>
  <c r="G16" i="2" l="1"/>
  <c r="E17" i="2"/>
  <c r="H16" i="2"/>
  <c r="I16" i="2" s="1"/>
  <c r="E18" i="2" l="1"/>
  <c r="H17" i="2"/>
  <c r="I17" i="2" s="1"/>
  <c r="G17" i="2"/>
  <c r="H18" i="2" l="1"/>
  <c r="I18" i="2" s="1"/>
  <c r="E19" i="2"/>
  <c r="G18" i="2"/>
  <c r="H19" i="2" l="1"/>
  <c r="I19" i="2" s="1"/>
  <c r="G19" i="2"/>
  <c r="E20" i="2"/>
  <c r="H20" i="2" l="1"/>
  <c r="I20" i="2" s="1"/>
  <c r="G20" i="2"/>
  <c r="E21" i="2"/>
  <c r="H21" i="2" l="1"/>
  <c r="I21" i="2" s="1"/>
  <c r="G21" i="2"/>
  <c r="E22" i="2"/>
  <c r="E23" i="2" l="1"/>
  <c r="H22" i="2"/>
  <c r="I22" i="2" s="1"/>
  <c r="G22" i="2"/>
  <c r="H23" i="2" l="1"/>
  <c r="I23" i="2" s="1"/>
  <c r="G23" i="2"/>
  <c r="E24" i="2"/>
  <c r="E25" i="2" l="1"/>
  <c r="H24" i="2"/>
  <c r="I24" i="2" s="1"/>
  <c r="G24" i="2"/>
  <c r="H25" i="2" l="1"/>
  <c r="G25" i="2"/>
  <c r="B6" i="4" s="1"/>
  <c r="I25" i="2" l="1"/>
  <c r="B2" i="4"/>
  <c r="B13" i="4" s="1"/>
  <c r="B4" i="4" l="1"/>
  <c r="B12" i="4"/>
</calcChain>
</file>

<file path=xl/sharedStrings.xml><?xml version="1.0" encoding="utf-8"?>
<sst xmlns="http://schemas.openxmlformats.org/spreadsheetml/2006/main" count="35" uniqueCount="29">
  <si>
    <t>Monthly Contribution</t>
  </si>
  <si>
    <t>Price check</t>
  </si>
  <si>
    <t>Start Date</t>
  </si>
  <si>
    <t>Months Loaded</t>
  </si>
  <si>
    <t>End Date</t>
  </si>
  <si>
    <t>Average Price</t>
  </si>
  <si>
    <t>Price Range</t>
  </si>
  <si>
    <t>Date</t>
  </si>
  <si>
    <t>Price</t>
  </si>
  <si>
    <t>Contribution</t>
  </si>
  <si>
    <t>Shares Bought</t>
  </si>
  <si>
    <t>Cumulative Shares</t>
  </si>
  <si>
    <t>Total Invested</t>
  </si>
  <si>
    <t>Average Cost</t>
  </si>
  <si>
    <t>Portfolio Value</t>
  </si>
  <si>
    <t>Gain / Loss</t>
  </si>
  <si>
    <t>Lump Sum Invested</t>
  </si>
  <si>
    <t>Shares Owned</t>
  </si>
  <si>
    <t>Total invested</t>
  </si>
  <si>
    <t>Ending value - DCA</t>
  </si>
  <si>
    <t>Ending value - Lump Sum</t>
  </si>
  <si>
    <t>Ending gain - DCA</t>
  </si>
  <si>
    <t>Ending gain - Lump Sum</t>
  </si>
  <si>
    <t>DCA average cost</t>
  </si>
  <si>
    <t>Lump sum entry price</t>
  </si>
  <si>
    <t>What stands out</t>
  </si>
  <si>
    <t>Cheapest month</t>
  </si>
  <si>
    <t>Roughest month</t>
  </si>
  <si>
    <t>Higher ending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</si>
</sst>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6" formatCode="&quot;$&quot;#,##0.00"/>
    <numFmt numFmtId="167" formatCode="0.0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33333"/>
      <name val="Calibri"/>
      <family val="2"/>
    </font>
    <font>
      <sz val="11"/>
      <color rgb="FF4472C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E4EAF1"/>
      </patternFill>
    </fill>
    <fill>
      <patternFill patternType="solid">
        <fgColor rgb="FFF7F2E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166" fontId="3" fillId="5" borderId="1" xfId="0" applyNumberFormat="1" applyFont="1" applyFill="1" applyBorder="1" applyAlignment="1">
      <alignment vertical="center"/>
    </xf>
    <xf numFmtId="14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164" fontId="3" fillId="0" borderId="1" xfId="0" applyNumberFormat="1" applyFont="1" applyFill="1" applyBorder="1" applyAlignment="1">
      <alignment vertical="center"/>
    </xf>
    <xf numFmtId="166" fontId="3" fillId="0" borderId="1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14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0" xfId="0" applyFill="1"/>
    <xf numFmtId="0" fontId="2" fillId="0" borderId="1" xfId="0" applyFont="1" applyFill="1" applyBorder="1" applyAlignment="1">
      <alignment vertical="center"/>
    </xf>
    <xf numFmtId="166" fontId="3" fillId="0" borderId="0" xfId="0" applyNumberFormat="1" applyFont="1" applyFill="1" applyAlignment="1">
      <alignment vertical="center"/>
    </xf>
    <xf numFmtId="164" fontId="1" fillId="0" borderId="0" xfId="0" applyNumberFormat="1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166" fontId="1" fillId="0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Ending value path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207142857142856"/>
          <c:y val="5.5436507936507937E-2"/>
          <c:w val="0.8104393939393939"/>
          <c:h val="0.77384365079365081"/>
        </c:manualLayout>
      </c:layout>
      <c:lineChart>
        <c:grouping val="standard"/>
        <c:varyColors val="1"/>
        <c:ser>
          <c:idx val="0"/>
          <c:order val="0"/>
          <c:tx>
            <c:strRef>
              <c:f>'DCA Schedule'!$H$1</c:f>
              <c:strCache>
                <c:ptCount val="1"/>
                <c:pt idx="0">
                  <c:v>Portfolio Value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'DCA Schedule'!$A$2:$A$25</c:f>
              <c:numCache>
                <c:formatCode>m/d/yyyy</c:formatCode>
                <c:ptCount val="24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  <c:pt idx="21">
                  <c:v>45961</c:v>
                </c:pt>
                <c:pt idx="22">
                  <c:v>45991</c:v>
                </c:pt>
                <c:pt idx="23">
                  <c:v>46022</c:v>
                </c:pt>
              </c:numCache>
            </c:numRef>
          </c:cat>
          <c:val>
            <c:numRef>
              <c:f>'DCA Schedule'!$H$2:$H$25</c:f>
              <c:numCache>
                <c:formatCode>"$"#,##0</c:formatCode>
                <c:ptCount val="24"/>
                <c:pt idx="0">
                  <c:v>500.00000000000006</c:v>
                </c:pt>
                <c:pt idx="1">
                  <c:v>975.49019607843138</c:v>
                </c:pt>
                <c:pt idx="2">
                  <c:v>1445.3203961997169</c:v>
                </c:pt>
                <c:pt idx="3">
                  <c:v>2022.199140678425</c:v>
                </c:pt>
                <c:pt idx="4">
                  <c:v>2624.3304104096587</c:v>
                </c:pt>
                <c:pt idx="5">
                  <c:v>3225.2661954254145</c:v>
                </c:pt>
                <c:pt idx="6">
                  <c:v>3814.8569230761209</c:v>
                </c:pt>
                <c:pt idx="7">
                  <c:v>4246.1207622999746</c:v>
                </c:pt>
                <c:pt idx="8">
                  <c:v>4590.2998168944705</c:v>
                </c:pt>
                <c:pt idx="9">
                  <c:v>4915.4312524413481</c:v>
                </c:pt>
                <c:pt idx="10">
                  <c:v>5269.4283439529909</c:v>
                </c:pt>
                <c:pt idx="11">
                  <c:v>6038.276728848552</c:v>
                </c:pt>
                <c:pt idx="12">
                  <c:v>6772.7729124931557</c:v>
                </c:pt>
                <c:pt idx="13">
                  <c:v>7589.2576280302183</c:v>
                </c:pt>
                <c:pt idx="14">
                  <c:v>8360.3025433170114</c:v>
                </c:pt>
                <c:pt idx="15">
                  <c:v>8716.1593960184418</c:v>
                </c:pt>
                <c:pt idx="16">
                  <c:v>9521.9895502647032</c:v>
                </c:pt>
                <c:pt idx="17">
                  <c:v>10264.074030356178</c:v>
                </c:pt>
                <c:pt idx="18">
                  <c:v>11103.382262764648</c:v>
                </c:pt>
                <c:pt idx="19">
                  <c:v>11425.728146560412</c:v>
                </c:pt>
                <c:pt idx="20">
                  <c:v>12390.188640323031</c:v>
                </c:pt>
                <c:pt idx="21">
                  <c:v>13180.583686580601</c:v>
                </c:pt>
                <c:pt idx="22">
                  <c:v>13479.353401289294</c:v>
                </c:pt>
                <c:pt idx="23">
                  <c:v>14501.808959478803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25-4E2C-AC27-B81F6ED35FF6}"/>
            </c:ext>
          </c:extLst>
        </c:ser>
        <c:ser>
          <c:idx val="1"/>
          <c:order val="1"/>
          <c:tx>
            <c:strRef>
              <c:f>'Lump Sum Comparison'!$E$1</c:f>
              <c:strCache>
                <c:ptCount val="1"/>
                <c:pt idx="0">
                  <c:v>Portfolio Value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'DCA Schedule'!$A$2:$A$25</c:f>
              <c:numCache>
                <c:formatCode>m/d/yyyy</c:formatCode>
                <c:ptCount val="24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  <c:pt idx="21">
                  <c:v>45961</c:v>
                </c:pt>
                <c:pt idx="22">
                  <c:v>45991</c:v>
                </c:pt>
                <c:pt idx="23">
                  <c:v>46022</c:v>
                </c:pt>
              </c:numCache>
            </c:numRef>
          </c:cat>
          <c:val>
            <c:numRef>
              <c:f>'Lump Sum Comparison'!$E$2:$E$25</c:f>
              <c:numCache>
                <c:formatCode>"$"#,##0</c:formatCode>
                <c:ptCount val="24"/>
                <c:pt idx="0">
                  <c:v>12000</c:v>
                </c:pt>
                <c:pt idx="1">
                  <c:v>11411.764705882353</c:v>
                </c:pt>
                <c:pt idx="2">
                  <c:v>11058.823529411764</c:v>
                </c:pt>
                <c:pt idx="3">
                  <c:v>11647.058823529411</c:v>
                </c:pt>
                <c:pt idx="4">
                  <c:v>12235.294117647058</c:v>
                </c:pt>
                <c:pt idx="5">
                  <c:v>12705.882352941177</c:v>
                </c:pt>
                <c:pt idx="6">
                  <c:v>13058.823529411764</c:v>
                </c:pt>
                <c:pt idx="7">
                  <c:v>12823.529411764704</c:v>
                </c:pt>
                <c:pt idx="8">
                  <c:v>12352.941176470587</c:v>
                </c:pt>
                <c:pt idx="9">
                  <c:v>11882.35294117647</c:v>
                </c:pt>
                <c:pt idx="10">
                  <c:v>11529.411764705881</c:v>
                </c:pt>
                <c:pt idx="11">
                  <c:v>12117.647058823528</c:v>
                </c:pt>
                <c:pt idx="12">
                  <c:v>12588.235294117647</c:v>
                </c:pt>
                <c:pt idx="13">
                  <c:v>13176.470588235294</c:v>
                </c:pt>
                <c:pt idx="14">
                  <c:v>13647.058823529411</c:v>
                </c:pt>
                <c:pt idx="15">
                  <c:v>13411.764705882353</c:v>
                </c:pt>
                <c:pt idx="16">
                  <c:v>13882.35294117647</c:v>
                </c:pt>
                <c:pt idx="17">
                  <c:v>14235.294117647058</c:v>
                </c:pt>
                <c:pt idx="18">
                  <c:v>14705.882352941177</c:v>
                </c:pt>
                <c:pt idx="19">
                  <c:v>14470.588235294117</c:v>
                </c:pt>
                <c:pt idx="20">
                  <c:v>15058.823529411764</c:v>
                </c:pt>
                <c:pt idx="21">
                  <c:v>15411.764705882351</c:v>
                </c:pt>
                <c:pt idx="22">
                  <c:v>15176.470588235294</c:v>
                </c:pt>
                <c:pt idx="23">
                  <c:v>15764.705882352941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325-4E2C-AC27-B81F6ED35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cost vs price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11245497238673"/>
          <c:y val="5.5436507936507937E-2"/>
          <c:w val="0.79655598919102499"/>
          <c:h val="0.77384365079365081"/>
        </c:manualLayout>
      </c:layout>
      <c:lineChart>
        <c:grouping val="standard"/>
        <c:varyColors val="1"/>
        <c:ser>
          <c:idx val="0"/>
          <c:order val="0"/>
          <c:tx>
            <c:strRef>
              <c:f>'DCA Schedule'!$G$1</c:f>
              <c:strCache>
                <c:ptCount val="1"/>
                <c:pt idx="0">
                  <c:v>Average Cost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'DCA Schedule'!$A$2:$A$25</c:f>
              <c:numCache>
                <c:formatCode>m/d/yyyy</c:formatCode>
                <c:ptCount val="24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  <c:pt idx="21">
                  <c:v>45961</c:v>
                </c:pt>
                <c:pt idx="22">
                  <c:v>45991</c:v>
                </c:pt>
                <c:pt idx="23">
                  <c:v>46022</c:v>
                </c:pt>
              </c:numCache>
            </c:numRef>
          </c:cat>
          <c:val>
            <c:numRef>
              <c:f>'DCA Schedule'!$G$2:$G$25</c:f>
              <c:numCache>
                <c:formatCode>"$"#,##0.00</c:formatCode>
                <c:ptCount val="24"/>
                <c:pt idx="0">
                  <c:v>101.99999999999999</c:v>
                </c:pt>
                <c:pt idx="1">
                  <c:v>99.437185929648237</c:v>
                </c:pt>
                <c:pt idx="2">
                  <c:v>97.556223776223788</c:v>
                </c:pt>
                <c:pt idx="3">
                  <c:v>97.913205488542161</c:v>
                </c:pt>
                <c:pt idx="4">
                  <c:v>99.072890733836346</c:v>
                </c:pt>
                <c:pt idx="5">
                  <c:v>100.45682445050529</c:v>
                </c:pt>
                <c:pt idx="6">
                  <c:v>101.83868172092072</c:v>
                </c:pt>
                <c:pt idx="7">
                  <c:v>102.68195946547552</c:v>
                </c:pt>
                <c:pt idx="8">
                  <c:v>102.93445283486209</c:v>
                </c:pt>
                <c:pt idx="9">
                  <c:v>102.73767937435429</c:v>
                </c:pt>
                <c:pt idx="10">
                  <c:v>102.28813541387981</c:v>
                </c:pt>
                <c:pt idx="11">
                  <c:v>102.34708141934519</c:v>
                </c:pt>
                <c:pt idx="12">
                  <c:v>102.69058316086024</c:v>
                </c:pt>
                <c:pt idx="13">
                  <c:v>103.30391171652531</c:v>
                </c:pt>
                <c:pt idx="14">
                  <c:v>104.06321966128525</c:v>
                </c:pt>
                <c:pt idx="15">
                  <c:v>104.63324023383547</c:v>
                </c:pt>
                <c:pt idx="16">
                  <c:v>105.33512925060052</c:v>
                </c:pt>
                <c:pt idx="17">
                  <c:v>106.09822150339753</c:v>
                </c:pt>
                <c:pt idx="18">
                  <c:v>106.94939360795479</c:v>
                </c:pt>
                <c:pt idx="19">
                  <c:v>107.65178238292653</c:v>
                </c:pt>
                <c:pt idx="20">
                  <c:v>108.47292474838058</c:v>
                </c:pt>
                <c:pt idx="21">
                  <c:v>109.32748004681379</c:v>
                </c:pt>
                <c:pt idx="22">
                  <c:v>110.05720792646507</c:v>
                </c:pt>
                <c:pt idx="23">
                  <c:v>110.88271845899366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1E-41B5-ABDD-0C5E9A991FC1}"/>
            </c:ext>
          </c:extLst>
        </c:ser>
        <c:ser>
          <c:idx val="1"/>
          <c:order val="1"/>
          <c:tx>
            <c:strRef>
              <c:f>'DCA Schedule'!$B$1</c:f>
              <c:strCache>
                <c:ptCount val="1"/>
                <c:pt idx="0">
                  <c:v>Price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'DCA Schedule'!$A$2:$A$25</c:f>
              <c:numCache>
                <c:formatCode>m/d/yyyy</c:formatCode>
                <c:ptCount val="24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  <c:pt idx="21">
                  <c:v>45961</c:v>
                </c:pt>
                <c:pt idx="22">
                  <c:v>45991</c:v>
                </c:pt>
                <c:pt idx="23">
                  <c:v>46022</c:v>
                </c:pt>
              </c:numCache>
            </c:numRef>
          </c:cat>
          <c:val>
            <c:numRef>
              <c:f>'DCA Schedule'!$B$2:$B$25</c:f>
              <c:numCache>
                <c:formatCode>"$"#,##0.00</c:formatCode>
                <c:ptCount val="24"/>
                <c:pt idx="0">
                  <c:v>102</c:v>
                </c:pt>
                <c:pt idx="1">
                  <c:v>97</c:v>
                </c:pt>
                <c:pt idx="2">
                  <c:v>94</c:v>
                </c:pt>
                <c:pt idx="3">
                  <c:v>99</c:v>
                </c:pt>
                <c:pt idx="4">
                  <c:v>104</c:v>
                </c:pt>
                <c:pt idx="5">
                  <c:v>108</c:v>
                </c:pt>
                <c:pt idx="6">
                  <c:v>111</c:v>
                </c:pt>
                <c:pt idx="7">
                  <c:v>109</c:v>
                </c:pt>
                <c:pt idx="8">
                  <c:v>105</c:v>
                </c:pt>
                <c:pt idx="9">
                  <c:v>101</c:v>
                </c:pt>
                <c:pt idx="10">
                  <c:v>98</c:v>
                </c:pt>
                <c:pt idx="11">
                  <c:v>103</c:v>
                </c:pt>
                <c:pt idx="12">
                  <c:v>107</c:v>
                </c:pt>
                <c:pt idx="13">
                  <c:v>112</c:v>
                </c:pt>
                <c:pt idx="14">
                  <c:v>116</c:v>
                </c:pt>
                <c:pt idx="15">
                  <c:v>114</c:v>
                </c:pt>
                <c:pt idx="16">
                  <c:v>118</c:v>
                </c:pt>
                <c:pt idx="17">
                  <c:v>121</c:v>
                </c:pt>
                <c:pt idx="18">
                  <c:v>125</c:v>
                </c:pt>
                <c:pt idx="19">
                  <c:v>123</c:v>
                </c:pt>
                <c:pt idx="20">
                  <c:v>128</c:v>
                </c:pt>
                <c:pt idx="21">
                  <c:v>131</c:v>
                </c:pt>
                <c:pt idx="22">
                  <c:v>129</c:v>
                </c:pt>
                <c:pt idx="23">
                  <c:v>134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1E-41B5-ABDD-0C5E9A991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Contribs vs shares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'DCA Schedule'!$C$1</c:f>
              <c:strCache>
                <c:ptCount val="1"/>
                <c:pt idx="0">
                  <c:v>Contribution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1"/>
          <c:cat>
            <c:numRef>
              <c:f>'DCA Schedule'!$A$2:$A$25</c:f>
              <c:numCache>
                <c:formatCode>m/d/yyyy</c:formatCode>
                <c:ptCount val="24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  <c:pt idx="21">
                  <c:v>45961</c:v>
                </c:pt>
                <c:pt idx="22">
                  <c:v>45991</c:v>
                </c:pt>
                <c:pt idx="23">
                  <c:v>46022</c:v>
                </c:pt>
              </c:numCache>
            </c:numRef>
          </c:cat>
          <c:val>
            <c:numRef>
              <c:f>'DCA Schedule'!$C$2:$C$25</c:f>
              <c:numCache>
                <c:formatCode>"$"#,##0</c:formatCode>
                <c:ptCount val="24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500</c:v>
                </c:pt>
                <c:pt idx="12">
                  <c:v>500</c:v>
                </c:pt>
                <c:pt idx="13">
                  <c:v>500</c:v>
                </c:pt>
                <c:pt idx="14">
                  <c:v>500</c:v>
                </c:pt>
                <c:pt idx="15">
                  <c:v>500</c:v>
                </c:pt>
                <c:pt idx="16">
                  <c:v>500</c:v>
                </c:pt>
                <c:pt idx="17">
                  <c:v>500</c:v>
                </c:pt>
                <c:pt idx="18">
                  <c:v>500</c:v>
                </c:pt>
                <c:pt idx="19">
                  <c:v>500</c:v>
                </c:pt>
                <c:pt idx="20">
                  <c:v>500</c:v>
                </c:pt>
                <c:pt idx="21">
                  <c:v>500</c:v>
                </c:pt>
                <c:pt idx="22">
                  <c:v>500</c:v>
                </c:pt>
                <c:pt idx="2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8-4B49-9A4C-3627B7157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0"/>
        <c:axId val="100"/>
      </c:barChart>
      <c:barChart>
        <c:barDir val="col"/>
        <c:grouping val="clustered"/>
        <c:varyColors val="1"/>
        <c:ser>
          <c:idx val="1"/>
          <c:order val="1"/>
          <c:tx>
            <c:strRef>
              <c:f>'DCA Schedule'!$D$1</c:f>
              <c:strCache>
                <c:ptCount val="1"/>
                <c:pt idx="0">
                  <c:v>Shares Bought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1"/>
          <c:cat>
            <c:numRef>
              <c:f>'DCA Schedule'!$A$2:$A$25</c:f>
              <c:numCache>
                <c:formatCode>m/d/yyyy</c:formatCode>
                <c:ptCount val="24"/>
                <c:pt idx="0">
                  <c:v>45322</c:v>
                </c:pt>
                <c:pt idx="1">
                  <c:v>45351</c:v>
                </c:pt>
                <c:pt idx="2">
                  <c:v>45382</c:v>
                </c:pt>
                <c:pt idx="3">
                  <c:v>45412</c:v>
                </c:pt>
                <c:pt idx="4">
                  <c:v>45443</c:v>
                </c:pt>
                <c:pt idx="5">
                  <c:v>45473</c:v>
                </c:pt>
                <c:pt idx="6">
                  <c:v>45504</c:v>
                </c:pt>
                <c:pt idx="7">
                  <c:v>45535</c:v>
                </c:pt>
                <c:pt idx="8">
                  <c:v>45565</c:v>
                </c:pt>
                <c:pt idx="9">
                  <c:v>45596</c:v>
                </c:pt>
                <c:pt idx="10">
                  <c:v>45626</c:v>
                </c:pt>
                <c:pt idx="11">
                  <c:v>45657</c:v>
                </c:pt>
                <c:pt idx="12">
                  <c:v>45688</c:v>
                </c:pt>
                <c:pt idx="13">
                  <c:v>45716</c:v>
                </c:pt>
                <c:pt idx="14">
                  <c:v>45747</c:v>
                </c:pt>
                <c:pt idx="15">
                  <c:v>45777</c:v>
                </c:pt>
                <c:pt idx="16">
                  <c:v>45808</c:v>
                </c:pt>
                <c:pt idx="17">
                  <c:v>45838</c:v>
                </c:pt>
                <c:pt idx="18">
                  <c:v>45869</c:v>
                </c:pt>
                <c:pt idx="19">
                  <c:v>45900</c:v>
                </c:pt>
                <c:pt idx="20">
                  <c:v>45930</c:v>
                </c:pt>
                <c:pt idx="21">
                  <c:v>45961</c:v>
                </c:pt>
                <c:pt idx="22">
                  <c:v>45991</c:v>
                </c:pt>
                <c:pt idx="23">
                  <c:v>46022</c:v>
                </c:pt>
              </c:numCache>
            </c:numRef>
          </c:cat>
          <c:val>
            <c:numRef>
              <c:f>'DCA Schedule'!$D$2:$D$25</c:f>
              <c:numCache>
                <c:formatCode>0.0000</c:formatCode>
                <c:ptCount val="24"/>
                <c:pt idx="0">
                  <c:v>4.9019607843137258</c:v>
                </c:pt>
                <c:pt idx="1">
                  <c:v>5.1546391752577323</c:v>
                </c:pt>
                <c:pt idx="2">
                  <c:v>5.3191489361702127</c:v>
                </c:pt>
                <c:pt idx="3">
                  <c:v>5.0505050505050502</c:v>
                </c:pt>
                <c:pt idx="4">
                  <c:v>4.8076923076923075</c:v>
                </c:pt>
                <c:pt idx="5">
                  <c:v>4.6296296296296298</c:v>
                </c:pt>
                <c:pt idx="6">
                  <c:v>4.5045045045045047</c:v>
                </c:pt>
                <c:pt idx="7">
                  <c:v>4.5871559633027523</c:v>
                </c:pt>
                <c:pt idx="8">
                  <c:v>4.7619047619047619</c:v>
                </c:pt>
                <c:pt idx="9">
                  <c:v>4.9504950495049505</c:v>
                </c:pt>
                <c:pt idx="10">
                  <c:v>5.1020408163265305</c:v>
                </c:pt>
                <c:pt idx="11">
                  <c:v>4.8543689320388346</c:v>
                </c:pt>
                <c:pt idx="12">
                  <c:v>4.6728971962616823</c:v>
                </c:pt>
                <c:pt idx="13">
                  <c:v>4.4642857142857144</c:v>
                </c:pt>
                <c:pt idx="14">
                  <c:v>4.3103448275862073</c:v>
                </c:pt>
                <c:pt idx="15">
                  <c:v>4.3859649122807021</c:v>
                </c:pt>
                <c:pt idx="16">
                  <c:v>4.2372881355932206</c:v>
                </c:pt>
                <c:pt idx="17">
                  <c:v>4.1322314049586772</c:v>
                </c:pt>
                <c:pt idx="18">
                  <c:v>4</c:v>
                </c:pt>
                <c:pt idx="19">
                  <c:v>4.0650406504065044</c:v>
                </c:pt>
                <c:pt idx="20">
                  <c:v>3.90625</c:v>
                </c:pt>
                <c:pt idx="21">
                  <c:v>3.8167938931297711</c:v>
                </c:pt>
                <c:pt idx="22">
                  <c:v>3.8759689922480618</c:v>
                </c:pt>
                <c:pt idx="23">
                  <c:v>3.7313432835820897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18-4B49-9A4C-3627B7157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035263312"/>
        <c:axId val="2035262832"/>
      </c:barChart>
      <c:dateAx>
        <c:axId val="10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2035262832"/>
        <c:scaling>
          <c:orientation val="minMax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263312"/>
        <c:crosses val="max"/>
        <c:crossBetween val="between"/>
        <c:majorUnit val="20"/>
      </c:valAx>
      <c:dateAx>
        <c:axId val="20352633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35262832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600578703703706"/>
          <c:y val="0.18646825396825395"/>
          <c:w val="0.41974745370370375"/>
          <c:h val="8.50452380952381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454269</xdr:colOff>
      <xdr:row>0</xdr:row>
      <xdr:rowOff>0</xdr:rowOff>
    </xdr:from>
    <xdr:ext cx="5082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432288</xdr:colOff>
      <xdr:row>14</xdr:row>
      <xdr:rowOff>51288</xdr:rowOff>
    </xdr:from>
    <xdr:ext cx="5111308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285750</xdr:colOff>
      <xdr:row>7</xdr:row>
      <xdr:rowOff>14654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showGridLines="0" tabSelected="1" zoomScale="130" zoomScaleNormal="130" workbookViewId="0">
      <pane xSplit="1" ySplit="1" topLeftCell="B2" activePane="bottomRight" state="frozen"/>
      <selection activeCell="N23" sqref="N23"/>
      <selection pane="topRight" activeCell="N23" sqref="N23"/>
      <selection pane="bottomLeft" activeCell="N23" sqref="N23"/>
      <selection pane="bottomRight"/>
    </sheetView>
  </sheetViews>
  <sheetFormatPr defaultRowHeight="15" x14ac:dyDescent="0.25"/>
  <cols>
    <col min="1" max="1" width="20.42578125" bestFit="1" customWidth="1"/>
    <col min="2" max="2" width="11.28515625" style="17" bestFit="1" customWidth="1"/>
    <col min="3" max="3" width="7" customWidth="1"/>
    <col min="4" max="4" width="14.7109375" bestFit="1" customWidth="1"/>
  </cols>
  <sheetData>
    <row r="1" spans="1:5" x14ac:dyDescent="0.25">
      <c r="A1" s="2" t="s">
        <v>0</v>
      </c>
      <c r="B1" s="20">
        <v>500</v>
      </c>
      <c r="C1" s="1"/>
      <c r="D1" s="3" t="s">
        <v>1</v>
      </c>
      <c r="E1" s="1"/>
    </row>
    <row r="2" spans="1:5" x14ac:dyDescent="0.25">
      <c r="A2" s="2" t="s">
        <v>2</v>
      </c>
      <c r="B2" s="21">
        <v>45322</v>
      </c>
      <c r="C2" s="1"/>
      <c r="D2" s="5" t="s">
        <v>3</v>
      </c>
      <c r="E2" s="6">
        <f>COUNTA(A7:A30)</f>
        <v>24</v>
      </c>
    </row>
    <row r="3" spans="1:5" x14ac:dyDescent="0.25">
      <c r="A3" s="2" t="s">
        <v>4</v>
      </c>
      <c r="B3" s="21">
        <v>46022</v>
      </c>
      <c r="C3" s="1"/>
      <c r="D3" s="5" t="s">
        <v>5</v>
      </c>
      <c r="E3" s="7">
        <f>AVERAGE(B7:B30)</f>
        <v>112.04166666666667</v>
      </c>
    </row>
    <row r="4" spans="1:5" x14ac:dyDescent="0.25">
      <c r="A4" s="1"/>
      <c r="B4" s="14"/>
      <c r="C4" s="1"/>
      <c r="D4" s="5" t="s">
        <v>6</v>
      </c>
      <c r="E4" s="7">
        <f>MAX(B7:B30)-MIN(B7:B30)</f>
        <v>40</v>
      </c>
    </row>
    <row r="5" spans="1:5" x14ac:dyDescent="0.25">
      <c r="A5" s="1"/>
      <c r="B5" s="14"/>
      <c r="C5" s="1"/>
      <c r="D5" s="1"/>
      <c r="E5" s="1"/>
    </row>
    <row r="6" spans="1:5" x14ac:dyDescent="0.25">
      <c r="A6" s="3" t="s">
        <v>7</v>
      </c>
      <c r="B6" s="18" t="s">
        <v>8</v>
      </c>
      <c r="C6" s="1"/>
      <c r="D6" s="1"/>
      <c r="E6" s="1"/>
    </row>
    <row r="7" spans="1:5" x14ac:dyDescent="0.25">
      <c r="A7" s="4">
        <v>45322</v>
      </c>
      <c r="B7" s="22">
        <v>102</v>
      </c>
      <c r="C7" s="1"/>
      <c r="D7" s="1"/>
      <c r="E7" s="1"/>
    </row>
    <row r="8" spans="1:5" x14ac:dyDescent="0.25">
      <c r="A8" s="4">
        <v>45351</v>
      </c>
      <c r="B8" s="22">
        <v>97</v>
      </c>
      <c r="C8" s="1"/>
      <c r="D8" s="1"/>
      <c r="E8" s="1"/>
    </row>
    <row r="9" spans="1:5" x14ac:dyDescent="0.25">
      <c r="A9" s="4">
        <v>45382</v>
      </c>
      <c r="B9" s="22">
        <v>94</v>
      </c>
      <c r="C9" s="1"/>
      <c r="D9" s="1"/>
      <c r="E9" s="1"/>
    </row>
    <row r="10" spans="1:5" x14ac:dyDescent="0.25">
      <c r="A10" s="4">
        <v>45412</v>
      </c>
      <c r="B10" s="22">
        <v>99</v>
      </c>
      <c r="C10" s="1"/>
      <c r="D10" s="1"/>
      <c r="E10" s="1"/>
    </row>
    <row r="11" spans="1:5" x14ac:dyDescent="0.25">
      <c r="A11" s="4">
        <v>45443</v>
      </c>
      <c r="B11" s="22">
        <v>104</v>
      </c>
      <c r="C11" s="1"/>
      <c r="D11" s="1"/>
      <c r="E11" s="1"/>
    </row>
    <row r="12" spans="1:5" x14ac:dyDescent="0.25">
      <c r="A12" s="4">
        <v>45473</v>
      </c>
      <c r="B12" s="22">
        <v>108</v>
      </c>
      <c r="C12" s="1"/>
      <c r="D12" s="1"/>
      <c r="E12" s="1"/>
    </row>
    <row r="13" spans="1:5" x14ac:dyDescent="0.25">
      <c r="A13" s="4">
        <v>45504</v>
      </c>
      <c r="B13" s="22">
        <v>111</v>
      </c>
      <c r="C13" s="1"/>
      <c r="D13" s="1"/>
      <c r="E13" s="1"/>
    </row>
    <row r="14" spans="1:5" x14ac:dyDescent="0.25">
      <c r="A14" s="4">
        <v>45535</v>
      </c>
      <c r="B14" s="22">
        <v>109</v>
      </c>
      <c r="C14" s="1"/>
      <c r="D14" s="1"/>
      <c r="E14" s="1"/>
    </row>
    <row r="15" spans="1:5" x14ac:dyDescent="0.25">
      <c r="A15" s="4">
        <v>45565</v>
      </c>
      <c r="B15" s="22">
        <v>105</v>
      </c>
      <c r="C15" s="1"/>
      <c r="D15" s="1"/>
      <c r="E15" s="1"/>
    </row>
    <row r="16" spans="1:5" x14ac:dyDescent="0.25">
      <c r="A16" s="4">
        <v>45596</v>
      </c>
      <c r="B16" s="22">
        <v>101</v>
      </c>
      <c r="C16" s="1"/>
      <c r="D16" s="1"/>
      <c r="E16" s="1"/>
    </row>
    <row r="17" spans="1:5" x14ac:dyDescent="0.25">
      <c r="A17" s="4">
        <v>45626</v>
      </c>
      <c r="B17" s="22">
        <v>98</v>
      </c>
      <c r="C17" s="1"/>
      <c r="D17" s="1"/>
      <c r="E17" s="1"/>
    </row>
    <row r="18" spans="1:5" x14ac:dyDescent="0.25">
      <c r="A18" s="4">
        <v>45657</v>
      </c>
      <c r="B18" s="22">
        <v>103</v>
      </c>
      <c r="C18" s="1"/>
      <c r="D18" s="1"/>
      <c r="E18" s="1"/>
    </row>
    <row r="19" spans="1:5" x14ac:dyDescent="0.25">
      <c r="A19" s="4">
        <v>45688</v>
      </c>
      <c r="B19" s="22">
        <v>107</v>
      </c>
      <c r="C19" s="1"/>
      <c r="D19" s="1"/>
      <c r="E19" s="1"/>
    </row>
    <row r="20" spans="1:5" x14ac:dyDescent="0.25">
      <c r="A20" s="4">
        <v>45716</v>
      </c>
      <c r="B20" s="22">
        <v>112</v>
      </c>
      <c r="C20" s="1"/>
      <c r="D20" s="1"/>
      <c r="E20" s="1"/>
    </row>
    <row r="21" spans="1:5" x14ac:dyDescent="0.25">
      <c r="A21" s="4">
        <v>45747</v>
      </c>
      <c r="B21" s="22">
        <v>116</v>
      </c>
      <c r="C21" s="1"/>
      <c r="D21" s="1"/>
      <c r="E21" s="1"/>
    </row>
    <row r="22" spans="1:5" x14ac:dyDescent="0.25">
      <c r="A22" s="4">
        <v>45777</v>
      </c>
      <c r="B22" s="22">
        <v>114</v>
      </c>
      <c r="C22" s="1"/>
      <c r="D22" s="1"/>
      <c r="E22" s="1"/>
    </row>
    <row r="23" spans="1:5" x14ac:dyDescent="0.25">
      <c r="A23" s="4">
        <v>45808</v>
      </c>
      <c r="B23" s="22">
        <v>118</v>
      </c>
      <c r="C23" s="1"/>
      <c r="D23" s="1"/>
      <c r="E23" s="1"/>
    </row>
    <row r="24" spans="1:5" x14ac:dyDescent="0.25">
      <c r="A24" s="4">
        <v>45838</v>
      </c>
      <c r="B24" s="22">
        <v>121</v>
      </c>
      <c r="C24" s="1"/>
      <c r="D24" s="1"/>
      <c r="E24" s="1"/>
    </row>
    <row r="25" spans="1:5" x14ac:dyDescent="0.25">
      <c r="A25" s="4">
        <v>45869</v>
      </c>
      <c r="B25" s="22">
        <v>125</v>
      </c>
      <c r="C25" s="1"/>
      <c r="D25" s="1"/>
      <c r="E25" s="1"/>
    </row>
    <row r="26" spans="1:5" x14ac:dyDescent="0.25">
      <c r="A26" s="4">
        <v>45900</v>
      </c>
      <c r="B26" s="22">
        <v>123</v>
      </c>
      <c r="C26" s="1"/>
      <c r="D26" s="1"/>
      <c r="E26" s="1"/>
    </row>
    <row r="27" spans="1:5" x14ac:dyDescent="0.25">
      <c r="A27" s="4">
        <v>45930</v>
      </c>
      <c r="B27" s="22">
        <v>128</v>
      </c>
      <c r="C27" s="1"/>
      <c r="D27" s="1"/>
      <c r="E27" s="1"/>
    </row>
    <row r="28" spans="1:5" x14ac:dyDescent="0.25">
      <c r="A28" s="4">
        <v>45961</v>
      </c>
      <c r="B28" s="22">
        <v>131</v>
      </c>
      <c r="C28" s="1"/>
      <c r="D28" s="1"/>
      <c r="E28" s="1"/>
    </row>
    <row r="29" spans="1:5" x14ac:dyDescent="0.25">
      <c r="A29" s="4">
        <v>45991</v>
      </c>
      <c r="B29" s="22">
        <v>129</v>
      </c>
      <c r="C29" s="1"/>
      <c r="D29" s="1"/>
      <c r="E29" s="1"/>
    </row>
    <row r="30" spans="1:5" x14ac:dyDescent="0.25">
      <c r="A30" s="4">
        <v>46022</v>
      </c>
      <c r="B30" s="22">
        <v>134</v>
      </c>
      <c r="C30" s="1"/>
      <c r="D30" s="1"/>
      <c r="E30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showGridLines="0" zoomScale="130" zoomScaleNormal="130" workbookViewId="0">
      <pane xSplit="1" ySplit="1" topLeftCell="B2" activePane="bottomRight" state="frozen"/>
      <selection activeCell="N23" sqref="N23"/>
      <selection pane="topRight" activeCell="N23" sqref="N23"/>
      <selection pane="bottomLeft" activeCell="N23" sqref="N23"/>
      <selection pane="bottomRight" activeCell="D5" sqref="D5"/>
    </sheetView>
  </sheetViews>
  <sheetFormatPr defaultRowHeight="15" x14ac:dyDescent="0.25"/>
  <cols>
    <col min="1" max="1" width="11.28515625" bestFit="1" customWidth="1"/>
    <col min="2" max="2" width="8.140625" style="17" bestFit="1" customWidth="1"/>
    <col min="3" max="3" width="12.28515625" bestFit="1" customWidth="1"/>
    <col min="4" max="4" width="13.7109375" bestFit="1" customWidth="1"/>
    <col min="5" max="5" width="17.7109375" bestFit="1" customWidth="1"/>
    <col min="6" max="6" width="13.7109375" bestFit="1" customWidth="1"/>
    <col min="7" max="7" width="12.5703125" bestFit="1" customWidth="1"/>
    <col min="8" max="8" width="14.5703125" bestFit="1" customWidth="1"/>
    <col min="9" max="9" width="10.5703125" bestFit="1" customWidth="1"/>
  </cols>
  <sheetData>
    <row r="1" spans="1:9" x14ac:dyDescent="0.25">
      <c r="A1" s="3" t="s">
        <v>7</v>
      </c>
      <c r="B1" s="18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</row>
    <row r="2" spans="1:9" x14ac:dyDescent="0.25">
      <c r="A2" s="8">
        <f>'Price History'!A7</f>
        <v>45322</v>
      </c>
      <c r="B2" s="19">
        <f>'Price History'!B7</f>
        <v>102</v>
      </c>
      <c r="C2" s="10">
        <f>'Price History'!$B$1</f>
        <v>500</v>
      </c>
      <c r="D2" s="11">
        <f t="shared" ref="D2:D25" si="0">C2/B2</f>
        <v>4.9019607843137258</v>
      </c>
      <c r="E2" s="11">
        <f>D2</f>
        <v>4.9019607843137258</v>
      </c>
      <c r="F2" s="10">
        <f>C2</f>
        <v>500</v>
      </c>
      <c r="G2" s="9">
        <f t="shared" ref="G2:G25" si="1">IF(E2=0,0,F2/E2)</f>
        <v>101.99999999999999</v>
      </c>
      <c r="H2" s="10">
        <f t="shared" ref="H2:H25" si="2">E2*B2</f>
        <v>500.00000000000006</v>
      </c>
      <c r="I2" s="10">
        <f t="shared" ref="I2:I25" si="3">H2-F2</f>
        <v>0</v>
      </c>
    </row>
    <row r="3" spans="1:9" x14ac:dyDescent="0.25">
      <c r="A3" s="8">
        <f>'Price History'!A8</f>
        <v>45351</v>
      </c>
      <c r="B3" s="19">
        <f>'Price History'!B8</f>
        <v>97</v>
      </c>
      <c r="C3" s="10">
        <f>'Price History'!$B$1</f>
        <v>500</v>
      </c>
      <c r="D3" s="11">
        <f t="shared" si="0"/>
        <v>5.1546391752577323</v>
      </c>
      <c r="E3" s="11">
        <f t="shared" ref="E3:E25" si="4">E2+D3</f>
        <v>10.056599959571457</v>
      </c>
      <c r="F3" s="10">
        <f t="shared" ref="F3:F25" si="5">F2+C3</f>
        <v>1000</v>
      </c>
      <c r="G3" s="9">
        <f t="shared" si="1"/>
        <v>99.437185929648237</v>
      </c>
      <c r="H3" s="10">
        <f t="shared" si="2"/>
        <v>975.49019607843138</v>
      </c>
      <c r="I3" s="10">
        <f t="shared" si="3"/>
        <v>-24.509803921568619</v>
      </c>
    </row>
    <row r="4" spans="1:9" x14ac:dyDescent="0.25">
      <c r="A4" s="8">
        <f>'Price History'!A9</f>
        <v>45382</v>
      </c>
      <c r="B4" s="19">
        <f>'Price History'!B9</f>
        <v>94</v>
      </c>
      <c r="C4" s="10">
        <f>'Price History'!$B$1</f>
        <v>500</v>
      </c>
      <c r="D4" s="11">
        <f t="shared" si="0"/>
        <v>5.3191489361702127</v>
      </c>
      <c r="E4" s="11">
        <f t="shared" si="4"/>
        <v>15.375748895741669</v>
      </c>
      <c r="F4" s="10">
        <f t="shared" si="5"/>
        <v>1500</v>
      </c>
      <c r="G4" s="9">
        <f t="shared" si="1"/>
        <v>97.556223776223788</v>
      </c>
      <c r="H4" s="10">
        <f t="shared" si="2"/>
        <v>1445.3203961997169</v>
      </c>
      <c r="I4" s="10">
        <f t="shared" si="3"/>
        <v>-54.679603800283076</v>
      </c>
    </row>
    <row r="5" spans="1:9" x14ac:dyDescent="0.25">
      <c r="A5" s="8">
        <f>'Price History'!A10</f>
        <v>45412</v>
      </c>
      <c r="B5" s="19">
        <f>'Price History'!B10</f>
        <v>99</v>
      </c>
      <c r="C5" s="10">
        <f>'Price History'!$B$1</f>
        <v>500</v>
      </c>
      <c r="D5" s="11">
        <f t="shared" si="0"/>
        <v>5.0505050505050502</v>
      </c>
      <c r="E5" s="11">
        <f t="shared" si="4"/>
        <v>20.426253946246717</v>
      </c>
      <c r="F5" s="10">
        <f t="shared" si="5"/>
        <v>2000</v>
      </c>
      <c r="G5" s="9">
        <f t="shared" si="1"/>
        <v>97.913205488542161</v>
      </c>
      <c r="H5" s="10">
        <f t="shared" si="2"/>
        <v>2022.199140678425</v>
      </c>
      <c r="I5" s="10">
        <f t="shared" si="3"/>
        <v>22.19914067842501</v>
      </c>
    </row>
    <row r="6" spans="1:9" x14ac:dyDescent="0.25">
      <c r="A6" s="8">
        <f>'Price History'!A11</f>
        <v>45443</v>
      </c>
      <c r="B6" s="19">
        <f>'Price History'!B11</f>
        <v>104</v>
      </c>
      <c r="C6" s="10">
        <f>'Price History'!$B$1</f>
        <v>500</v>
      </c>
      <c r="D6" s="11">
        <f t="shared" si="0"/>
        <v>4.8076923076923075</v>
      </c>
      <c r="E6" s="11">
        <f t="shared" si="4"/>
        <v>25.233946253939024</v>
      </c>
      <c r="F6" s="10">
        <f t="shared" si="5"/>
        <v>2500</v>
      </c>
      <c r="G6" s="9">
        <f t="shared" si="1"/>
        <v>99.072890733836346</v>
      </c>
      <c r="H6" s="10">
        <f t="shared" si="2"/>
        <v>2624.3304104096587</v>
      </c>
      <c r="I6" s="10">
        <f t="shared" si="3"/>
        <v>124.33041040965873</v>
      </c>
    </row>
    <row r="7" spans="1:9" x14ac:dyDescent="0.25">
      <c r="A7" s="8">
        <f>'Price History'!A12</f>
        <v>45473</v>
      </c>
      <c r="B7" s="19">
        <f>'Price History'!B12</f>
        <v>108</v>
      </c>
      <c r="C7" s="10">
        <f>'Price History'!$B$1</f>
        <v>500</v>
      </c>
      <c r="D7" s="11">
        <f t="shared" si="0"/>
        <v>4.6296296296296298</v>
      </c>
      <c r="E7" s="11">
        <f t="shared" si="4"/>
        <v>29.863575883568654</v>
      </c>
      <c r="F7" s="10">
        <f t="shared" si="5"/>
        <v>3000</v>
      </c>
      <c r="G7" s="9">
        <f t="shared" si="1"/>
        <v>100.45682445050529</v>
      </c>
      <c r="H7" s="10">
        <f t="shared" si="2"/>
        <v>3225.2661954254145</v>
      </c>
      <c r="I7" s="10">
        <f t="shared" si="3"/>
        <v>225.26619542541448</v>
      </c>
    </row>
    <row r="8" spans="1:9" x14ac:dyDescent="0.25">
      <c r="A8" s="8">
        <f>'Price History'!A13</f>
        <v>45504</v>
      </c>
      <c r="B8" s="19">
        <f>'Price History'!B13</f>
        <v>111</v>
      </c>
      <c r="C8" s="10">
        <f>'Price History'!$B$1</f>
        <v>500</v>
      </c>
      <c r="D8" s="11">
        <f t="shared" si="0"/>
        <v>4.5045045045045047</v>
      </c>
      <c r="E8" s="11">
        <f t="shared" si="4"/>
        <v>34.36808038807316</v>
      </c>
      <c r="F8" s="10">
        <f t="shared" si="5"/>
        <v>3500</v>
      </c>
      <c r="G8" s="9">
        <f t="shared" si="1"/>
        <v>101.83868172092072</v>
      </c>
      <c r="H8" s="10">
        <f t="shared" si="2"/>
        <v>3814.8569230761209</v>
      </c>
      <c r="I8" s="10">
        <f t="shared" si="3"/>
        <v>314.85692307612089</v>
      </c>
    </row>
    <row r="9" spans="1:9" x14ac:dyDescent="0.25">
      <c r="A9" s="8">
        <f>'Price History'!A14</f>
        <v>45535</v>
      </c>
      <c r="B9" s="19">
        <f>'Price History'!B14</f>
        <v>109</v>
      </c>
      <c r="C9" s="10">
        <f>'Price History'!$B$1</f>
        <v>500</v>
      </c>
      <c r="D9" s="11">
        <f t="shared" si="0"/>
        <v>4.5871559633027523</v>
      </c>
      <c r="E9" s="11">
        <f t="shared" si="4"/>
        <v>38.955236351375916</v>
      </c>
      <c r="F9" s="10">
        <f t="shared" si="5"/>
        <v>4000</v>
      </c>
      <c r="G9" s="9">
        <f t="shared" si="1"/>
        <v>102.68195946547552</v>
      </c>
      <c r="H9" s="10">
        <f t="shared" si="2"/>
        <v>4246.1207622999746</v>
      </c>
      <c r="I9" s="10">
        <f t="shared" si="3"/>
        <v>246.12076229997456</v>
      </c>
    </row>
    <row r="10" spans="1:9" x14ac:dyDescent="0.25">
      <c r="A10" s="8">
        <f>'Price History'!A15</f>
        <v>45565</v>
      </c>
      <c r="B10" s="19">
        <f>'Price History'!B15</f>
        <v>105</v>
      </c>
      <c r="C10" s="10">
        <f>'Price History'!$B$1</f>
        <v>500</v>
      </c>
      <c r="D10" s="11">
        <f t="shared" si="0"/>
        <v>4.7619047619047619</v>
      </c>
      <c r="E10" s="11">
        <f t="shared" si="4"/>
        <v>43.717141113280675</v>
      </c>
      <c r="F10" s="10">
        <f t="shared" si="5"/>
        <v>4500</v>
      </c>
      <c r="G10" s="9">
        <f t="shared" si="1"/>
        <v>102.93445283486209</v>
      </c>
      <c r="H10" s="10">
        <f t="shared" si="2"/>
        <v>4590.2998168944705</v>
      </c>
      <c r="I10" s="10">
        <f t="shared" si="3"/>
        <v>90.299816894470496</v>
      </c>
    </row>
    <row r="11" spans="1:9" x14ac:dyDescent="0.25">
      <c r="A11" s="8">
        <f>'Price History'!A16</f>
        <v>45596</v>
      </c>
      <c r="B11" s="19">
        <f>'Price History'!B16</f>
        <v>101</v>
      </c>
      <c r="C11" s="10">
        <f>'Price History'!$B$1</f>
        <v>500</v>
      </c>
      <c r="D11" s="11">
        <f t="shared" si="0"/>
        <v>4.9504950495049505</v>
      </c>
      <c r="E11" s="11">
        <f t="shared" si="4"/>
        <v>48.667636162785627</v>
      </c>
      <c r="F11" s="10">
        <f t="shared" si="5"/>
        <v>5000</v>
      </c>
      <c r="G11" s="9">
        <f t="shared" si="1"/>
        <v>102.73767937435429</v>
      </c>
      <c r="H11" s="10">
        <f t="shared" si="2"/>
        <v>4915.4312524413481</v>
      </c>
      <c r="I11" s="10">
        <f t="shared" si="3"/>
        <v>-84.568747558651921</v>
      </c>
    </row>
    <row r="12" spans="1:9" x14ac:dyDescent="0.25">
      <c r="A12" s="8">
        <f>'Price History'!A17</f>
        <v>45626</v>
      </c>
      <c r="B12" s="19">
        <f>'Price History'!B17</f>
        <v>98</v>
      </c>
      <c r="C12" s="10">
        <f>'Price History'!$B$1</f>
        <v>500</v>
      </c>
      <c r="D12" s="11">
        <f t="shared" si="0"/>
        <v>5.1020408163265305</v>
      </c>
      <c r="E12" s="11">
        <f t="shared" si="4"/>
        <v>53.769676979112155</v>
      </c>
      <c r="F12" s="10">
        <f t="shared" si="5"/>
        <v>5500</v>
      </c>
      <c r="G12" s="9">
        <f t="shared" si="1"/>
        <v>102.28813541387981</v>
      </c>
      <c r="H12" s="10">
        <f t="shared" si="2"/>
        <v>5269.4283439529909</v>
      </c>
      <c r="I12" s="10">
        <f t="shared" si="3"/>
        <v>-230.57165604700913</v>
      </c>
    </row>
    <row r="13" spans="1:9" x14ac:dyDescent="0.25">
      <c r="A13" s="8">
        <f>'Price History'!A18</f>
        <v>45657</v>
      </c>
      <c r="B13" s="19">
        <f>'Price History'!B18</f>
        <v>103</v>
      </c>
      <c r="C13" s="10">
        <f>'Price History'!$B$1</f>
        <v>500</v>
      </c>
      <c r="D13" s="11">
        <f t="shared" si="0"/>
        <v>4.8543689320388346</v>
      </c>
      <c r="E13" s="11">
        <f t="shared" si="4"/>
        <v>58.624045911150986</v>
      </c>
      <c r="F13" s="10">
        <f t="shared" si="5"/>
        <v>6000</v>
      </c>
      <c r="G13" s="9">
        <f t="shared" si="1"/>
        <v>102.34708141934519</v>
      </c>
      <c r="H13" s="10">
        <f t="shared" si="2"/>
        <v>6038.276728848552</v>
      </c>
      <c r="I13" s="10">
        <f t="shared" si="3"/>
        <v>38.276728848552011</v>
      </c>
    </row>
    <row r="14" spans="1:9" x14ac:dyDescent="0.25">
      <c r="A14" s="8">
        <f>'Price History'!A19</f>
        <v>45688</v>
      </c>
      <c r="B14" s="19">
        <f>'Price History'!B19</f>
        <v>107</v>
      </c>
      <c r="C14" s="10">
        <f>'Price History'!$B$1</f>
        <v>500</v>
      </c>
      <c r="D14" s="11">
        <f t="shared" si="0"/>
        <v>4.6728971962616823</v>
      </c>
      <c r="E14" s="11">
        <f t="shared" si="4"/>
        <v>63.296943107412666</v>
      </c>
      <c r="F14" s="10">
        <f t="shared" si="5"/>
        <v>6500</v>
      </c>
      <c r="G14" s="9">
        <f t="shared" si="1"/>
        <v>102.69058316086024</v>
      </c>
      <c r="H14" s="10">
        <f t="shared" si="2"/>
        <v>6772.7729124931557</v>
      </c>
      <c r="I14" s="10">
        <f t="shared" si="3"/>
        <v>272.77291249315567</v>
      </c>
    </row>
    <row r="15" spans="1:9" x14ac:dyDescent="0.25">
      <c r="A15" s="8">
        <f>'Price History'!A20</f>
        <v>45716</v>
      </c>
      <c r="B15" s="19">
        <f>'Price History'!B20</f>
        <v>112</v>
      </c>
      <c r="C15" s="10">
        <f>'Price History'!$B$1</f>
        <v>500</v>
      </c>
      <c r="D15" s="11">
        <f t="shared" si="0"/>
        <v>4.4642857142857144</v>
      </c>
      <c r="E15" s="11">
        <f t="shared" si="4"/>
        <v>67.761228821698381</v>
      </c>
      <c r="F15" s="10">
        <f t="shared" si="5"/>
        <v>7000</v>
      </c>
      <c r="G15" s="9">
        <f t="shared" si="1"/>
        <v>103.30391171652531</v>
      </c>
      <c r="H15" s="10">
        <f t="shared" si="2"/>
        <v>7589.2576280302183</v>
      </c>
      <c r="I15" s="10">
        <f t="shared" si="3"/>
        <v>589.25762803021826</v>
      </c>
    </row>
    <row r="16" spans="1:9" x14ac:dyDescent="0.25">
      <c r="A16" s="8">
        <f>'Price History'!A21</f>
        <v>45747</v>
      </c>
      <c r="B16" s="19">
        <f>'Price History'!B21</f>
        <v>116</v>
      </c>
      <c r="C16" s="10">
        <f>'Price History'!$B$1</f>
        <v>500</v>
      </c>
      <c r="D16" s="11">
        <f t="shared" si="0"/>
        <v>4.3103448275862073</v>
      </c>
      <c r="E16" s="11">
        <f t="shared" si="4"/>
        <v>72.071573649284588</v>
      </c>
      <c r="F16" s="10">
        <f t="shared" si="5"/>
        <v>7500</v>
      </c>
      <c r="G16" s="9">
        <f t="shared" si="1"/>
        <v>104.06321966128525</v>
      </c>
      <c r="H16" s="10">
        <f t="shared" si="2"/>
        <v>8360.3025433170114</v>
      </c>
      <c r="I16" s="10">
        <f t="shared" si="3"/>
        <v>860.30254331701144</v>
      </c>
    </row>
    <row r="17" spans="1:9" x14ac:dyDescent="0.25">
      <c r="A17" s="8">
        <f>'Price History'!A22</f>
        <v>45777</v>
      </c>
      <c r="B17" s="19">
        <f>'Price History'!B22</f>
        <v>114</v>
      </c>
      <c r="C17" s="10">
        <f>'Price History'!$B$1</f>
        <v>500</v>
      </c>
      <c r="D17" s="11">
        <f t="shared" si="0"/>
        <v>4.3859649122807021</v>
      </c>
      <c r="E17" s="11">
        <f t="shared" si="4"/>
        <v>76.457538561565286</v>
      </c>
      <c r="F17" s="10">
        <f t="shared" si="5"/>
        <v>8000</v>
      </c>
      <c r="G17" s="9">
        <f t="shared" si="1"/>
        <v>104.63324023383547</v>
      </c>
      <c r="H17" s="10">
        <f t="shared" si="2"/>
        <v>8716.1593960184418</v>
      </c>
      <c r="I17" s="10">
        <f t="shared" si="3"/>
        <v>716.15939601844184</v>
      </c>
    </row>
    <row r="18" spans="1:9" x14ac:dyDescent="0.25">
      <c r="A18" s="8">
        <f>'Price History'!A23</f>
        <v>45808</v>
      </c>
      <c r="B18" s="19">
        <f>'Price History'!B23</f>
        <v>118</v>
      </c>
      <c r="C18" s="10">
        <f>'Price History'!$B$1</f>
        <v>500</v>
      </c>
      <c r="D18" s="11">
        <f t="shared" si="0"/>
        <v>4.2372881355932206</v>
      </c>
      <c r="E18" s="11">
        <f t="shared" si="4"/>
        <v>80.694826697158504</v>
      </c>
      <c r="F18" s="10">
        <f t="shared" si="5"/>
        <v>8500</v>
      </c>
      <c r="G18" s="9">
        <f t="shared" si="1"/>
        <v>105.33512925060052</v>
      </c>
      <c r="H18" s="10">
        <f t="shared" si="2"/>
        <v>9521.9895502647032</v>
      </c>
      <c r="I18" s="10">
        <f t="shared" si="3"/>
        <v>1021.9895502647032</v>
      </c>
    </row>
    <row r="19" spans="1:9" x14ac:dyDescent="0.25">
      <c r="A19" s="8">
        <f>'Price History'!A24</f>
        <v>45838</v>
      </c>
      <c r="B19" s="19">
        <f>'Price History'!B24</f>
        <v>121</v>
      </c>
      <c r="C19" s="10">
        <f>'Price History'!$B$1</f>
        <v>500</v>
      </c>
      <c r="D19" s="11">
        <f t="shared" si="0"/>
        <v>4.1322314049586772</v>
      </c>
      <c r="E19" s="11">
        <f t="shared" si="4"/>
        <v>84.827058102117178</v>
      </c>
      <c r="F19" s="10">
        <f t="shared" si="5"/>
        <v>9000</v>
      </c>
      <c r="G19" s="9">
        <f t="shared" si="1"/>
        <v>106.09822150339753</v>
      </c>
      <c r="H19" s="10">
        <f t="shared" si="2"/>
        <v>10264.074030356178</v>
      </c>
      <c r="I19" s="10">
        <f t="shared" si="3"/>
        <v>1264.0740303561779</v>
      </c>
    </row>
    <row r="20" spans="1:9" x14ac:dyDescent="0.25">
      <c r="A20" s="8">
        <f>'Price History'!A25</f>
        <v>45869</v>
      </c>
      <c r="B20" s="19">
        <f>'Price History'!B25</f>
        <v>125</v>
      </c>
      <c r="C20" s="10">
        <f>'Price History'!$B$1</f>
        <v>500</v>
      </c>
      <c r="D20" s="11">
        <f t="shared" si="0"/>
        <v>4</v>
      </c>
      <c r="E20" s="11">
        <f t="shared" si="4"/>
        <v>88.827058102117178</v>
      </c>
      <c r="F20" s="10">
        <f t="shared" si="5"/>
        <v>9500</v>
      </c>
      <c r="G20" s="9">
        <f t="shared" si="1"/>
        <v>106.94939360795479</v>
      </c>
      <c r="H20" s="10">
        <f t="shared" si="2"/>
        <v>11103.382262764648</v>
      </c>
      <c r="I20" s="10">
        <f t="shared" si="3"/>
        <v>1603.3822627646477</v>
      </c>
    </row>
    <row r="21" spans="1:9" x14ac:dyDescent="0.25">
      <c r="A21" s="8">
        <f>'Price History'!A26</f>
        <v>45900</v>
      </c>
      <c r="B21" s="19">
        <f>'Price History'!B26</f>
        <v>123</v>
      </c>
      <c r="C21" s="10">
        <f>'Price History'!$B$1</f>
        <v>500</v>
      </c>
      <c r="D21" s="11">
        <f t="shared" si="0"/>
        <v>4.0650406504065044</v>
      </c>
      <c r="E21" s="11">
        <f t="shared" si="4"/>
        <v>92.89209875252368</v>
      </c>
      <c r="F21" s="10">
        <f t="shared" si="5"/>
        <v>10000</v>
      </c>
      <c r="G21" s="9">
        <f t="shared" si="1"/>
        <v>107.65178238292653</v>
      </c>
      <c r="H21" s="10">
        <f t="shared" si="2"/>
        <v>11425.728146560412</v>
      </c>
      <c r="I21" s="10">
        <f t="shared" si="3"/>
        <v>1425.7281465604119</v>
      </c>
    </row>
    <row r="22" spans="1:9" x14ac:dyDescent="0.25">
      <c r="A22" s="8">
        <f>'Price History'!A27</f>
        <v>45930</v>
      </c>
      <c r="B22" s="19">
        <f>'Price History'!B27</f>
        <v>128</v>
      </c>
      <c r="C22" s="10">
        <f>'Price History'!$B$1</f>
        <v>500</v>
      </c>
      <c r="D22" s="11">
        <f t="shared" si="0"/>
        <v>3.90625</v>
      </c>
      <c r="E22" s="11">
        <f t="shared" si="4"/>
        <v>96.79834875252368</v>
      </c>
      <c r="F22" s="10">
        <f t="shared" si="5"/>
        <v>10500</v>
      </c>
      <c r="G22" s="9">
        <f t="shared" si="1"/>
        <v>108.47292474838058</v>
      </c>
      <c r="H22" s="10">
        <f t="shared" si="2"/>
        <v>12390.188640323031</v>
      </c>
      <c r="I22" s="10">
        <f t="shared" si="3"/>
        <v>1890.188640323031</v>
      </c>
    </row>
    <row r="23" spans="1:9" x14ac:dyDescent="0.25">
      <c r="A23" s="8">
        <f>'Price History'!A28</f>
        <v>45961</v>
      </c>
      <c r="B23" s="19">
        <f>'Price History'!B28</f>
        <v>131</v>
      </c>
      <c r="C23" s="10">
        <f>'Price History'!$B$1</f>
        <v>500</v>
      </c>
      <c r="D23" s="11">
        <f t="shared" si="0"/>
        <v>3.8167938931297711</v>
      </c>
      <c r="E23" s="11">
        <f t="shared" si="4"/>
        <v>100.61514264565345</v>
      </c>
      <c r="F23" s="10">
        <f t="shared" si="5"/>
        <v>11000</v>
      </c>
      <c r="G23" s="9">
        <f t="shared" si="1"/>
        <v>109.32748004681379</v>
      </c>
      <c r="H23" s="10">
        <f t="shared" si="2"/>
        <v>13180.583686580601</v>
      </c>
      <c r="I23" s="10">
        <f t="shared" si="3"/>
        <v>2180.5836865806014</v>
      </c>
    </row>
    <row r="24" spans="1:9" x14ac:dyDescent="0.25">
      <c r="A24" s="8">
        <f>'Price History'!A29</f>
        <v>45991</v>
      </c>
      <c r="B24" s="19">
        <f>'Price History'!B29</f>
        <v>129</v>
      </c>
      <c r="C24" s="10">
        <f>'Price History'!$B$1</f>
        <v>500</v>
      </c>
      <c r="D24" s="11">
        <f t="shared" si="0"/>
        <v>3.8759689922480618</v>
      </c>
      <c r="E24" s="11">
        <f t="shared" si="4"/>
        <v>104.49111163790151</v>
      </c>
      <c r="F24" s="10">
        <f t="shared" si="5"/>
        <v>11500</v>
      </c>
      <c r="G24" s="9">
        <f t="shared" si="1"/>
        <v>110.05720792646507</v>
      </c>
      <c r="H24" s="10">
        <f t="shared" si="2"/>
        <v>13479.353401289294</v>
      </c>
      <c r="I24" s="10">
        <f t="shared" si="3"/>
        <v>1979.3534012892942</v>
      </c>
    </row>
    <row r="25" spans="1:9" x14ac:dyDescent="0.25">
      <c r="A25" s="8">
        <f>'Price History'!A30</f>
        <v>46022</v>
      </c>
      <c r="B25" s="19">
        <f>'Price History'!B30</f>
        <v>134</v>
      </c>
      <c r="C25" s="10">
        <f>'Price History'!$B$1</f>
        <v>500</v>
      </c>
      <c r="D25" s="11">
        <f t="shared" si="0"/>
        <v>3.7313432835820897</v>
      </c>
      <c r="E25" s="11">
        <f t="shared" si="4"/>
        <v>108.2224549214836</v>
      </c>
      <c r="F25" s="10">
        <f t="shared" si="5"/>
        <v>12000</v>
      </c>
      <c r="G25" s="9">
        <f t="shared" si="1"/>
        <v>110.88271845899366</v>
      </c>
      <c r="H25" s="10">
        <f t="shared" si="2"/>
        <v>14501.808959478803</v>
      </c>
      <c r="I25" s="10">
        <f t="shared" si="3"/>
        <v>2501.8089594788034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showGridLines="0" zoomScale="130" zoomScaleNormal="130" workbookViewId="0">
      <pane xSplit="1" ySplit="1" topLeftCell="B2" activePane="bottomRight" state="frozen"/>
      <selection activeCell="N23" sqref="N23"/>
      <selection pane="topRight" activeCell="N23" sqref="N23"/>
      <selection pane="bottomLeft" activeCell="N23" sqref="N23"/>
      <selection pane="bottomRight" activeCell="E17" sqref="E17"/>
    </sheetView>
  </sheetViews>
  <sheetFormatPr defaultRowHeight="15" x14ac:dyDescent="0.25"/>
  <cols>
    <col min="1" max="1" width="11.28515625" bestFit="1" customWidth="1"/>
    <col min="2" max="2" width="8.140625" style="17" bestFit="1" customWidth="1"/>
    <col min="3" max="3" width="18.5703125" bestFit="1" customWidth="1"/>
    <col min="4" max="4" width="13.85546875" bestFit="1" customWidth="1"/>
    <col min="5" max="5" width="14.5703125" bestFit="1" customWidth="1"/>
    <col min="6" max="6" width="10.5703125" bestFit="1" customWidth="1"/>
  </cols>
  <sheetData>
    <row r="1" spans="1:6" x14ac:dyDescent="0.25">
      <c r="A1" s="3" t="s">
        <v>7</v>
      </c>
      <c r="B1" s="18" t="s">
        <v>8</v>
      </c>
      <c r="C1" s="3" t="s">
        <v>16</v>
      </c>
      <c r="D1" s="3" t="s">
        <v>17</v>
      </c>
      <c r="E1" s="3" t="s">
        <v>14</v>
      </c>
      <c r="F1" s="3" t="s">
        <v>15</v>
      </c>
    </row>
    <row r="2" spans="1:6" x14ac:dyDescent="0.25">
      <c r="A2" s="8">
        <f>'Price History'!A7</f>
        <v>45322</v>
      </c>
      <c r="B2" s="19">
        <f>'Price History'!B7</f>
        <v>102</v>
      </c>
      <c r="C2" s="10">
        <f>'Price History'!$B$1*24</f>
        <v>12000</v>
      </c>
      <c r="D2" s="11">
        <f t="shared" ref="D2:D25" si="0">$C$2/$B$2</f>
        <v>117.64705882352941</v>
      </c>
      <c r="E2" s="10">
        <f t="shared" ref="E2:E25" si="1">D2*B2</f>
        <v>12000</v>
      </c>
      <c r="F2" s="10">
        <f t="shared" ref="F2:F25" si="2">E2-C2</f>
        <v>0</v>
      </c>
    </row>
    <row r="3" spans="1:6" x14ac:dyDescent="0.25">
      <c r="A3" s="8">
        <f>'Price History'!A8</f>
        <v>45351</v>
      </c>
      <c r="B3" s="19">
        <f>'Price History'!B8</f>
        <v>97</v>
      </c>
      <c r="C3" s="10">
        <f>'Price History'!$B$1*24</f>
        <v>12000</v>
      </c>
      <c r="D3" s="11">
        <f t="shared" si="0"/>
        <v>117.64705882352941</v>
      </c>
      <c r="E3" s="10">
        <f t="shared" si="1"/>
        <v>11411.764705882353</v>
      </c>
      <c r="F3" s="10">
        <f t="shared" si="2"/>
        <v>-588.23529411764684</v>
      </c>
    </row>
    <row r="4" spans="1:6" x14ac:dyDescent="0.25">
      <c r="A4" s="8">
        <f>'Price History'!A9</f>
        <v>45382</v>
      </c>
      <c r="B4" s="19">
        <f>'Price History'!B9</f>
        <v>94</v>
      </c>
      <c r="C4" s="10">
        <f>'Price History'!$B$1*24</f>
        <v>12000</v>
      </c>
      <c r="D4" s="11">
        <f t="shared" si="0"/>
        <v>117.64705882352941</v>
      </c>
      <c r="E4" s="10">
        <f t="shared" si="1"/>
        <v>11058.823529411764</v>
      </c>
      <c r="F4" s="10">
        <f t="shared" si="2"/>
        <v>-941.17647058823604</v>
      </c>
    </row>
    <row r="5" spans="1:6" x14ac:dyDescent="0.25">
      <c r="A5" s="8">
        <f>'Price History'!A10</f>
        <v>45412</v>
      </c>
      <c r="B5" s="19">
        <f>'Price History'!B10</f>
        <v>99</v>
      </c>
      <c r="C5" s="10">
        <f>'Price History'!$B$1*24</f>
        <v>12000</v>
      </c>
      <c r="D5" s="11">
        <f t="shared" si="0"/>
        <v>117.64705882352941</v>
      </c>
      <c r="E5" s="10">
        <f t="shared" si="1"/>
        <v>11647.058823529411</v>
      </c>
      <c r="F5" s="10">
        <f t="shared" si="2"/>
        <v>-352.9411764705892</v>
      </c>
    </row>
    <row r="6" spans="1:6" x14ac:dyDescent="0.25">
      <c r="A6" s="8">
        <f>'Price History'!A11</f>
        <v>45443</v>
      </c>
      <c r="B6" s="19">
        <f>'Price History'!B11</f>
        <v>104</v>
      </c>
      <c r="C6" s="10">
        <f>'Price History'!$B$1*24</f>
        <v>12000</v>
      </c>
      <c r="D6" s="11">
        <f t="shared" si="0"/>
        <v>117.64705882352941</v>
      </c>
      <c r="E6" s="10">
        <f t="shared" si="1"/>
        <v>12235.294117647058</v>
      </c>
      <c r="F6" s="10">
        <f t="shared" si="2"/>
        <v>235.29411764705765</v>
      </c>
    </row>
    <row r="7" spans="1:6" x14ac:dyDescent="0.25">
      <c r="A7" s="8">
        <f>'Price History'!A12</f>
        <v>45473</v>
      </c>
      <c r="B7" s="19">
        <f>'Price History'!B12</f>
        <v>108</v>
      </c>
      <c r="C7" s="10">
        <f>'Price History'!$B$1*24</f>
        <v>12000</v>
      </c>
      <c r="D7" s="11">
        <f t="shared" si="0"/>
        <v>117.64705882352941</v>
      </c>
      <c r="E7" s="10">
        <f t="shared" si="1"/>
        <v>12705.882352941177</v>
      </c>
      <c r="F7" s="10">
        <f t="shared" si="2"/>
        <v>705.88235294117658</v>
      </c>
    </row>
    <row r="8" spans="1:6" x14ac:dyDescent="0.25">
      <c r="A8" s="8">
        <f>'Price History'!A13</f>
        <v>45504</v>
      </c>
      <c r="B8" s="19">
        <f>'Price History'!B13</f>
        <v>111</v>
      </c>
      <c r="C8" s="10">
        <f>'Price History'!$B$1*24</f>
        <v>12000</v>
      </c>
      <c r="D8" s="11">
        <f t="shared" si="0"/>
        <v>117.64705882352941</v>
      </c>
      <c r="E8" s="10">
        <f t="shared" si="1"/>
        <v>13058.823529411764</v>
      </c>
      <c r="F8" s="10">
        <f t="shared" si="2"/>
        <v>1058.823529411764</v>
      </c>
    </row>
    <row r="9" spans="1:6" x14ac:dyDescent="0.25">
      <c r="A9" s="8">
        <f>'Price History'!A14</f>
        <v>45535</v>
      </c>
      <c r="B9" s="19">
        <f>'Price History'!B14</f>
        <v>109</v>
      </c>
      <c r="C9" s="10">
        <f>'Price History'!$B$1*24</f>
        <v>12000</v>
      </c>
      <c r="D9" s="11">
        <f t="shared" si="0"/>
        <v>117.64705882352941</v>
      </c>
      <c r="E9" s="10">
        <f t="shared" si="1"/>
        <v>12823.529411764704</v>
      </c>
      <c r="F9" s="10">
        <f t="shared" si="2"/>
        <v>823.52941176470449</v>
      </c>
    </row>
    <row r="10" spans="1:6" x14ac:dyDescent="0.25">
      <c r="A10" s="8">
        <f>'Price History'!A15</f>
        <v>45565</v>
      </c>
      <c r="B10" s="19">
        <f>'Price History'!B15</f>
        <v>105</v>
      </c>
      <c r="C10" s="10">
        <f>'Price History'!$B$1*24</f>
        <v>12000</v>
      </c>
      <c r="D10" s="11">
        <f t="shared" si="0"/>
        <v>117.64705882352941</v>
      </c>
      <c r="E10" s="10">
        <f t="shared" si="1"/>
        <v>12352.941176470587</v>
      </c>
      <c r="F10" s="10">
        <f t="shared" si="2"/>
        <v>352.94117647058738</v>
      </c>
    </row>
    <row r="11" spans="1:6" x14ac:dyDescent="0.25">
      <c r="A11" s="8">
        <f>'Price History'!A16</f>
        <v>45596</v>
      </c>
      <c r="B11" s="19">
        <f>'Price History'!B16</f>
        <v>101</v>
      </c>
      <c r="C11" s="10">
        <f>'Price History'!$B$1*24</f>
        <v>12000</v>
      </c>
      <c r="D11" s="11">
        <f t="shared" si="0"/>
        <v>117.64705882352941</v>
      </c>
      <c r="E11" s="10">
        <f t="shared" si="1"/>
        <v>11882.35294117647</v>
      </c>
      <c r="F11" s="10">
        <f t="shared" si="2"/>
        <v>-117.64705882352973</v>
      </c>
    </row>
    <row r="12" spans="1:6" x14ac:dyDescent="0.25">
      <c r="A12" s="8">
        <f>'Price History'!A17</f>
        <v>45626</v>
      </c>
      <c r="B12" s="19">
        <f>'Price History'!B17</f>
        <v>98</v>
      </c>
      <c r="C12" s="10">
        <f>'Price History'!$B$1*24</f>
        <v>12000</v>
      </c>
      <c r="D12" s="11">
        <f t="shared" si="0"/>
        <v>117.64705882352941</v>
      </c>
      <c r="E12" s="10">
        <f t="shared" si="1"/>
        <v>11529.411764705881</v>
      </c>
      <c r="F12" s="10">
        <f t="shared" si="2"/>
        <v>-470.58823529411893</v>
      </c>
    </row>
    <row r="13" spans="1:6" x14ac:dyDescent="0.25">
      <c r="A13" s="8">
        <f>'Price History'!A18</f>
        <v>45657</v>
      </c>
      <c r="B13" s="19">
        <f>'Price History'!B18</f>
        <v>103</v>
      </c>
      <c r="C13" s="10">
        <f>'Price History'!$B$1*24</f>
        <v>12000</v>
      </c>
      <c r="D13" s="11">
        <f t="shared" si="0"/>
        <v>117.64705882352941</v>
      </c>
      <c r="E13" s="10">
        <f t="shared" si="1"/>
        <v>12117.647058823528</v>
      </c>
      <c r="F13" s="10">
        <f t="shared" si="2"/>
        <v>117.64705882352791</v>
      </c>
    </row>
    <row r="14" spans="1:6" x14ac:dyDescent="0.25">
      <c r="A14" s="8">
        <f>'Price History'!A19</f>
        <v>45688</v>
      </c>
      <c r="B14" s="19">
        <f>'Price History'!B19</f>
        <v>107</v>
      </c>
      <c r="C14" s="10">
        <f>'Price History'!$B$1*24</f>
        <v>12000</v>
      </c>
      <c r="D14" s="11">
        <f t="shared" si="0"/>
        <v>117.64705882352941</v>
      </c>
      <c r="E14" s="10">
        <f t="shared" si="1"/>
        <v>12588.235294117647</v>
      </c>
      <c r="F14" s="10">
        <f t="shared" si="2"/>
        <v>588.23529411764684</v>
      </c>
    </row>
    <row r="15" spans="1:6" x14ac:dyDescent="0.25">
      <c r="A15" s="8">
        <f>'Price History'!A20</f>
        <v>45716</v>
      </c>
      <c r="B15" s="19">
        <f>'Price History'!B20</f>
        <v>112</v>
      </c>
      <c r="C15" s="10">
        <f>'Price History'!$B$1*24</f>
        <v>12000</v>
      </c>
      <c r="D15" s="11">
        <f t="shared" si="0"/>
        <v>117.64705882352941</v>
      </c>
      <c r="E15" s="10">
        <f t="shared" si="1"/>
        <v>13176.470588235294</v>
      </c>
      <c r="F15" s="10">
        <f t="shared" si="2"/>
        <v>1176.4705882352937</v>
      </c>
    </row>
    <row r="16" spans="1:6" x14ac:dyDescent="0.25">
      <c r="A16" s="8">
        <f>'Price History'!A21</f>
        <v>45747</v>
      </c>
      <c r="B16" s="19">
        <f>'Price History'!B21</f>
        <v>116</v>
      </c>
      <c r="C16" s="10">
        <f>'Price History'!$B$1*24</f>
        <v>12000</v>
      </c>
      <c r="D16" s="11">
        <f t="shared" si="0"/>
        <v>117.64705882352941</v>
      </c>
      <c r="E16" s="10">
        <f t="shared" si="1"/>
        <v>13647.058823529411</v>
      </c>
      <c r="F16" s="10">
        <f t="shared" si="2"/>
        <v>1647.0588235294108</v>
      </c>
    </row>
    <row r="17" spans="1:6" x14ac:dyDescent="0.25">
      <c r="A17" s="8">
        <f>'Price History'!A22</f>
        <v>45777</v>
      </c>
      <c r="B17" s="19">
        <f>'Price History'!B22</f>
        <v>114</v>
      </c>
      <c r="C17" s="10">
        <f>'Price History'!$B$1*24</f>
        <v>12000</v>
      </c>
      <c r="D17" s="11">
        <f t="shared" si="0"/>
        <v>117.64705882352941</v>
      </c>
      <c r="E17" s="10">
        <f t="shared" si="1"/>
        <v>13411.764705882353</v>
      </c>
      <c r="F17" s="10">
        <f t="shared" si="2"/>
        <v>1411.7647058823532</v>
      </c>
    </row>
    <row r="18" spans="1:6" x14ac:dyDescent="0.25">
      <c r="A18" s="8">
        <f>'Price History'!A23</f>
        <v>45808</v>
      </c>
      <c r="B18" s="19">
        <f>'Price History'!B23</f>
        <v>118</v>
      </c>
      <c r="C18" s="10">
        <f>'Price History'!$B$1*24</f>
        <v>12000</v>
      </c>
      <c r="D18" s="11">
        <f t="shared" si="0"/>
        <v>117.64705882352941</v>
      </c>
      <c r="E18" s="10">
        <f t="shared" si="1"/>
        <v>13882.35294117647</v>
      </c>
      <c r="F18" s="10">
        <f t="shared" si="2"/>
        <v>1882.3529411764703</v>
      </c>
    </row>
    <row r="19" spans="1:6" x14ac:dyDescent="0.25">
      <c r="A19" s="8">
        <f>'Price History'!A24</f>
        <v>45838</v>
      </c>
      <c r="B19" s="19">
        <f>'Price History'!B24</f>
        <v>121</v>
      </c>
      <c r="C19" s="10">
        <f>'Price History'!$B$1*24</f>
        <v>12000</v>
      </c>
      <c r="D19" s="11">
        <f t="shared" si="0"/>
        <v>117.64705882352941</v>
      </c>
      <c r="E19" s="10">
        <f t="shared" si="1"/>
        <v>14235.294117647058</v>
      </c>
      <c r="F19" s="10">
        <f t="shared" si="2"/>
        <v>2235.2941176470576</v>
      </c>
    </row>
    <row r="20" spans="1:6" x14ac:dyDescent="0.25">
      <c r="A20" s="8">
        <f>'Price History'!A25</f>
        <v>45869</v>
      </c>
      <c r="B20" s="19">
        <f>'Price History'!B25</f>
        <v>125</v>
      </c>
      <c r="C20" s="10">
        <f>'Price History'!$B$1*24</f>
        <v>12000</v>
      </c>
      <c r="D20" s="11">
        <f t="shared" si="0"/>
        <v>117.64705882352941</v>
      </c>
      <c r="E20" s="10">
        <f t="shared" si="1"/>
        <v>14705.882352941177</v>
      </c>
      <c r="F20" s="10">
        <f t="shared" si="2"/>
        <v>2705.8823529411766</v>
      </c>
    </row>
    <row r="21" spans="1:6" x14ac:dyDescent="0.25">
      <c r="A21" s="8">
        <f>'Price History'!A26</f>
        <v>45900</v>
      </c>
      <c r="B21" s="19">
        <f>'Price History'!B26</f>
        <v>123</v>
      </c>
      <c r="C21" s="10">
        <f>'Price History'!$B$1*24</f>
        <v>12000</v>
      </c>
      <c r="D21" s="11">
        <f t="shared" si="0"/>
        <v>117.64705882352941</v>
      </c>
      <c r="E21" s="10">
        <f t="shared" si="1"/>
        <v>14470.588235294117</v>
      </c>
      <c r="F21" s="10">
        <f t="shared" si="2"/>
        <v>2470.5882352941171</v>
      </c>
    </row>
    <row r="22" spans="1:6" x14ac:dyDescent="0.25">
      <c r="A22" s="8">
        <f>'Price History'!A27</f>
        <v>45930</v>
      </c>
      <c r="B22" s="19">
        <f>'Price History'!B27</f>
        <v>128</v>
      </c>
      <c r="C22" s="10">
        <f>'Price History'!$B$1*24</f>
        <v>12000</v>
      </c>
      <c r="D22" s="11">
        <f t="shared" si="0"/>
        <v>117.64705882352941</v>
      </c>
      <c r="E22" s="10">
        <f t="shared" si="1"/>
        <v>15058.823529411764</v>
      </c>
      <c r="F22" s="10">
        <f t="shared" si="2"/>
        <v>3058.823529411764</v>
      </c>
    </row>
    <row r="23" spans="1:6" x14ac:dyDescent="0.25">
      <c r="A23" s="8">
        <f>'Price History'!A28</f>
        <v>45961</v>
      </c>
      <c r="B23" s="19">
        <f>'Price History'!B28</f>
        <v>131</v>
      </c>
      <c r="C23" s="10">
        <f>'Price History'!$B$1*24</f>
        <v>12000</v>
      </c>
      <c r="D23" s="11">
        <f t="shared" si="0"/>
        <v>117.64705882352941</v>
      </c>
      <c r="E23" s="10">
        <f t="shared" si="1"/>
        <v>15411.764705882351</v>
      </c>
      <c r="F23" s="10">
        <f t="shared" si="2"/>
        <v>3411.7647058823513</v>
      </c>
    </row>
    <row r="24" spans="1:6" x14ac:dyDescent="0.25">
      <c r="A24" s="8">
        <f>'Price History'!A29</f>
        <v>45991</v>
      </c>
      <c r="B24" s="19">
        <f>'Price History'!B29</f>
        <v>129</v>
      </c>
      <c r="C24" s="10">
        <f>'Price History'!$B$1*24</f>
        <v>12000</v>
      </c>
      <c r="D24" s="11">
        <f t="shared" si="0"/>
        <v>117.64705882352941</v>
      </c>
      <c r="E24" s="10">
        <f t="shared" si="1"/>
        <v>15176.470588235294</v>
      </c>
      <c r="F24" s="10">
        <f t="shared" si="2"/>
        <v>3176.4705882352937</v>
      </c>
    </row>
    <row r="25" spans="1:6" x14ac:dyDescent="0.25">
      <c r="A25" s="8">
        <f>'Price History'!A30</f>
        <v>46022</v>
      </c>
      <c r="B25" s="19">
        <f>'Price History'!B30</f>
        <v>134</v>
      </c>
      <c r="C25" s="10">
        <f>'Price History'!$B$1*24</f>
        <v>12000</v>
      </c>
      <c r="D25" s="11">
        <f t="shared" si="0"/>
        <v>117.64705882352941</v>
      </c>
      <c r="E25" s="10">
        <f t="shared" si="1"/>
        <v>15764.705882352941</v>
      </c>
      <c r="F25" s="10">
        <f t="shared" si="2"/>
        <v>3764.7058823529405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showGridLines="0" zoomScale="130" zoomScaleNormal="130" workbookViewId="0">
      <selection activeCell="B17" sqref="B17"/>
    </sheetView>
  </sheetViews>
  <sheetFormatPr defaultRowHeight="15" x14ac:dyDescent="0.25"/>
  <cols>
    <col min="1" max="1" width="23.42578125" bestFit="1" customWidth="1"/>
    <col min="2" max="2" width="11.28515625" style="17" bestFit="1" customWidth="1"/>
  </cols>
  <sheetData>
    <row r="1" spans="1:2" x14ac:dyDescent="0.25">
      <c r="A1" s="5" t="s">
        <v>18</v>
      </c>
      <c r="B1" s="12">
        <f>'DCA Schedule'!F25</f>
        <v>12000</v>
      </c>
    </row>
    <row r="2" spans="1:2" x14ac:dyDescent="0.25">
      <c r="A2" s="5" t="s">
        <v>19</v>
      </c>
      <c r="B2" s="12">
        <f>'DCA Schedule'!H25</f>
        <v>14501.808959478803</v>
      </c>
    </row>
    <row r="3" spans="1:2" x14ac:dyDescent="0.25">
      <c r="A3" s="5" t="s">
        <v>20</v>
      </c>
      <c r="B3" s="12">
        <f>'Lump Sum Comparison'!E25</f>
        <v>15764.705882352941</v>
      </c>
    </row>
    <row r="4" spans="1:2" x14ac:dyDescent="0.25">
      <c r="A4" s="5" t="s">
        <v>21</v>
      </c>
      <c r="B4" s="12">
        <f>'DCA Schedule'!I25</f>
        <v>2501.8089594788034</v>
      </c>
    </row>
    <row r="5" spans="1:2" x14ac:dyDescent="0.25">
      <c r="A5" s="5" t="s">
        <v>22</v>
      </c>
      <c r="B5" s="12">
        <f>'Lump Sum Comparison'!F25</f>
        <v>3764.7058823529405</v>
      </c>
    </row>
    <row r="6" spans="1:2" x14ac:dyDescent="0.25">
      <c r="A6" s="5" t="s">
        <v>23</v>
      </c>
      <c r="B6" s="13">
        <f>'DCA Schedule'!G25</f>
        <v>110.88271845899366</v>
      </c>
    </row>
    <row r="7" spans="1:2" x14ac:dyDescent="0.25">
      <c r="A7" s="5" t="s">
        <v>24</v>
      </c>
      <c r="B7" s="13">
        <f>'Lump Sum Comparison'!B2</f>
        <v>102</v>
      </c>
    </row>
    <row r="8" spans="1:2" x14ac:dyDescent="0.25">
      <c r="A8" s="1"/>
      <c r="B8" s="14"/>
    </row>
    <row r="9" spans="1:2" x14ac:dyDescent="0.25">
      <c r="A9" s="1"/>
      <c r="B9" s="14"/>
    </row>
    <row r="10" spans="1:2" x14ac:dyDescent="0.25">
      <c r="A10" s="3" t="s">
        <v>25</v>
      </c>
      <c r="B10" s="14"/>
    </row>
    <row r="11" spans="1:2" x14ac:dyDescent="0.25">
      <c r="A11" s="5" t="s">
        <v>26</v>
      </c>
      <c r="B11" s="15">
        <f>INDEX('Price History'!A7:A30,MATCH(MIN('Price History'!B7:B30),'Price History'!B7:B30,0))</f>
        <v>45382</v>
      </c>
    </row>
    <row r="12" spans="1:2" x14ac:dyDescent="0.25">
      <c r="A12" s="5" t="s">
        <v>27</v>
      </c>
      <c r="B12" s="15">
        <f>INDEX('Price History'!A7:A30,MATCH(MIN('DCA Schedule'!I2:I25),'DCA Schedule'!I2:I25,0))</f>
        <v>45626</v>
      </c>
    </row>
    <row r="13" spans="1:2" x14ac:dyDescent="0.25">
      <c r="A13" s="5" t="s">
        <v>28</v>
      </c>
      <c r="B13" s="16" t="str">
        <f>IF(B3&gt;B2,"Lump Sum","DCA")</f>
        <v>Lump Sum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 History</vt:lpstr>
      <vt:lpstr>DCA Schedule</vt:lpstr>
      <vt:lpstr>Lump Sum Comparison</vt:lpstr>
      <vt:lpstr>Outcome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Reed</dc:creator>
  <cp:lastModifiedBy>Frenzel, Tim</cp:lastModifiedBy>
  <cp:revision>1</cp:revision>
  <dcterms:created xsi:type="dcterms:W3CDTF">2024-07-07T16:02:40Z</dcterms:created>
  <dcterms:modified xsi:type="dcterms:W3CDTF">2026-04-09T08:30:07Z</dcterms:modified>
</cp:coreProperties>
</file>