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investing\dividend-log\"/>
    </mc:Choice>
  </mc:AlternateContent>
  <xr:revisionPtr revIDLastSave="0" documentId="13_ncr:1_{86787FC4-3016-4A02-89DA-6584D94124FF}" xr6:coauthVersionLast="47" xr6:coauthVersionMax="47" xr10:uidLastSave="{00000000-0000-0000-0000-000000000000}"/>
  <bookViews>
    <workbookView xWindow="-35520" yWindow="2145" windowWidth="28800" windowHeight="15345" xr2:uid="{00000000-000D-0000-FFFF-FFFF00000000}"/>
  </bookViews>
  <sheets>
    <sheet name="Holdings &amp; Settings" sheetId="1" r:id="rId1"/>
    <sheet name="Dividend Log" sheetId="2" r:id="rId2"/>
    <sheet name="Reinvestment History" sheetId="3" r:id="rId3"/>
    <sheet name="Income &amp; Yield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4" l="1"/>
  <c r="E11" i="4"/>
  <c r="E10" i="4"/>
  <c r="B1" i="4"/>
  <c r="H13" i="2"/>
  <c r="G12" i="2"/>
  <c r="H11" i="2"/>
  <c r="H10" i="2"/>
  <c r="G9" i="2"/>
  <c r="H8" i="2"/>
  <c r="H7" i="2"/>
  <c r="G6" i="2"/>
  <c r="H5" i="2"/>
  <c r="H4" i="2"/>
  <c r="C4" i="2"/>
  <c r="G3" i="2"/>
  <c r="C3" i="2"/>
  <c r="E3" i="2" s="1"/>
  <c r="H3" i="2" s="1"/>
  <c r="H2" i="2"/>
  <c r="C2" i="2"/>
  <c r="E2" i="2" s="1"/>
  <c r="C9" i="1"/>
  <c r="B15" i="1" s="1"/>
  <c r="B9" i="1"/>
  <c r="A9" i="1"/>
  <c r="C8" i="1"/>
  <c r="B8" i="1"/>
  <c r="A8" i="1"/>
  <c r="C7" i="1"/>
  <c r="B7" i="1"/>
  <c r="A7" i="1"/>
  <c r="B12" i="1" l="1"/>
  <c r="B13" i="1"/>
  <c r="I3" i="2"/>
  <c r="C6" i="2" s="1"/>
  <c r="I6" i="2" s="1"/>
  <c r="C9" i="2" s="1"/>
  <c r="D8" i="1"/>
  <c r="D7" i="1"/>
  <c r="E4" i="2"/>
  <c r="G4" i="2" s="1"/>
  <c r="I4" i="2" s="1"/>
  <c r="C7" i="2" s="1"/>
  <c r="D9" i="1"/>
  <c r="G2" i="2"/>
  <c r="E6" i="2" l="1"/>
  <c r="H6" i="2" s="1"/>
  <c r="E7" i="2"/>
  <c r="G7" i="2" s="1"/>
  <c r="I7" i="2" s="1"/>
  <c r="C10" i="2" s="1"/>
  <c r="I2" i="2"/>
  <c r="C5" i="2" s="1"/>
  <c r="B14" i="1"/>
  <c r="I9" i="2"/>
  <c r="C12" i="2" s="1"/>
  <c r="E9" i="2"/>
  <c r="H9" i="2" s="1"/>
  <c r="E10" i="2" l="1"/>
  <c r="G10" i="2" s="1"/>
  <c r="I10" i="2" s="1"/>
  <c r="C13" i="2" s="1"/>
  <c r="E5" i="2"/>
  <c r="E12" i="2"/>
  <c r="H12" i="2" s="1"/>
  <c r="I12" i="2"/>
  <c r="B12" i="4" s="1"/>
  <c r="C12" i="4" s="1"/>
  <c r="D12" i="4" s="1"/>
  <c r="E8" i="3"/>
  <c r="E6" i="3"/>
  <c r="E3" i="3"/>
  <c r="E12" i="3"/>
  <c r="E7" i="3"/>
  <c r="E13" i="3"/>
  <c r="E11" i="3"/>
  <c r="E10" i="3"/>
  <c r="E9" i="3"/>
  <c r="E5" i="3"/>
  <c r="E4" i="3"/>
  <c r="E2" i="3"/>
  <c r="E13" i="2" l="1"/>
  <c r="G13" i="2" s="1"/>
  <c r="I13" i="2" s="1"/>
  <c r="B10" i="4" s="1"/>
  <c r="C10" i="4" s="1"/>
  <c r="G5" i="2"/>
  <c r="I4" i="3"/>
  <c r="D10" i="4" l="1"/>
  <c r="I5" i="2"/>
  <c r="C8" i="2" s="1"/>
  <c r="E8" i="2" l="1"/>
  <c r="G8" i="2" l="1"/>
  <c r="I8" i="2" l="1"/>
  <c r="C11" i="2" s="1"/>
  <c r="E11" i="2" l="1"/>
  <c r="G11" i="2" l="1"/>
  <c r="B8" i="3"/>
  <c r="B10" i="3"/>
  <c r="B5" i="3"/>
  <c r="B6" i="3"/>
  <c r="B4" i="3"/>
  <c r="B11" i="3"/>
  <c r="B3" i="3"/>
  <c r="B9" i="3"/>
  <c r="B7" i="3"/>
  <c r="B13" i="3"/>
  <c r="B2" i="3"/>
  <c r="B12" i="3"/>
  <c r="I2" i="3" l="1"/>
  <c r="C12" i="3"/>
  <c r="C11" i="3"/>
  <c r="C13" i="3"/>
  <c r="C6" i="3"/>
  <c r="C5" i="3"/>
  <c r="C3" i="3"/>
  <c r="C2" i="3"/>
  <c r="C8" i="3"/>
  <c r="C4" i="3"/>
  <c r="C10" i="3"/>
  <c r="C7" i="3"/>
  <c r="C9" i="3"/>
  <c r="I11" i="2"/>
  <c r="B11" i="4" s="1"/>
  <c r="C11" i="4" s="1"/>
  <c r="I3" i="3" l="1"/>
  <c r="B3" i="4" s="1"/>
  <c r="D2" i="3"/>
  <c r="D11" i="4"/>
  <c r="B5" i="4" s="1"/>
  <c r="B6" i="4"/>
  <c r="B4" i="4"/>
  <c r="D3" i="3" l="1"/>
  <c r="F2" i="3"/>
  <c r="D4" i="3" l="1"/>
  <c r="F3" i="3"/>
  <c r="D5" i="3" l="1"/>
  <c r="F4" i="3"/>
  <c r="D6" i="3" l="1"/>
  <c r="F5" i="3"/>
  <c r="D7" i="3" l="1"/>
  <c r="F6" i="3"/>
  <c r="D8" i="3" l="1"/>
  <c r="F7" i="3"/>
  <c r="D9" i="3" l="1"/>
  <c r="F8" i="3"/>
  <c r="D10" i="3" l="1"/>
  <c r="F9" i="3"/>
  <c r="D11" i="3" l="1"/>
  <c r="F10" i="3"/>
  <c r="D12" i="3" l="1"/>
  <c r="F11" i="3"/>
  <c r="F12" i="3" l="1"/>
  <c r="D13" i="3"/>
  <c r="F13" i="3" s="1"/>
  <c r="B2" i="4" s="1"/>
</calcChain>
</file>

<file path=xl/sharedStrings.xml><?xml version="1.0" encoding="utf-8"?>
<sst xmlns="http://schemas.openxmlformats.org/spreadsheetml/2006/main" count="84" uniqueCount="61">
  <si>
    <t>Ticker</t>
  </si>
  <si>
    <t>Starting Shares</t>
  </si>
  <si>
    <t>Avg Cost / Share</t>
  </si>
  <si>
    <t>Current Price</t>
  </si>
  <si>
    <t>Annual Dividend / Share</t>
  </si>
  <si>
    <t>DRIP?</t>
  </si>
  <si>
    <t>Current Value</t>
  </si>
  <si>
    <t>Cost Basis</t>
  </si>
  <si>
    <t>Annual Income</t>
  </si>
  <si>
    <t>Yield on Cost</t>
  </si>
  <si>
    <t>At a glance</t>
  </si>
  <si>
    <t>JNJ</t>
  </si>
  <si>
    <t>Yes</t>
  </si>
  <si>
    <t>Total portfolio value</t>
  </si>
  <si>
    <t>KO</t>
  </si>
  <si>
    <t>Total annual income</t>
  </si>
  <si>
    <t>PG</t>
  </si>
  <si>
    <t>No</t>
  </si>
  <si>
    <t>Weighted yield on cost</t>
  </si>
  <si>
    <t>Monthly run rate</t>
  </si>
  <si>
    <t>Pay Date</t>
  </si>
  <si>
    <t>Shares at Pay Date</t>
  </si>
  <si>
    <t>Dividend / Share</t>
  </si>
  <si>
    <t>Cash Dividend</t>
  </si>
  <si>
    <t>DRIP Price</t>
  </si>
  <si>
    <t>Shares Added</t>
  </si>
  <si>
    <t>Cash Taken</t>
  </si>
  <si>
    <t>Ending Shares</t>
  </si>
  <si>
    <t>Notes</t>
  </si>
  <si>
    <t>jan</t>
  </si>
  <si>
    <t>cash</t>
  </si>
  <si>
    <t>drip</t>
  </si>
  <si>
    <t>tiny raise</t>
  </si>
  <si>
    <t>holiday wk</t>
  </si>
  <si>
    <t>Month</t>
  </si>
  <si>
    <t>Dividend Cash Generated</t>
  </si>
  <si>
    <t>Cumulative Shares Added</t>
  </si>
  <si>
    <t>Total Shares Outstanding</t>
  </si>
  <si>
    <t>Roll-Up</t>
  </si>
  <si>
    <t>Jan</t>
  </si>
  <si>
    <t>Total dividends</t>
  </si>
  <si>
    <t>Feb</t>
  </si>
  <si>
    <t>Total shares added</t>
  </si>
  <si>
    <t>Mar</t>
  </si>
  <si>
    <t>Total cash taken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</si>
  <si>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</si>
  <si>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</si>
  <si>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</si>
  <si>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</si>
  <si>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</si>
  <si>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</si>
  <si>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</si>
  <si>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</si>
  <si>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</si>
  <si>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Starting shares</t>
  </si>
  <si>
    <t>Ending shares</t>
  </si>
  <si>
    <t>Annual income now</t>
  </si>
  <si>
    <t>DRIP vs cash annual income</t>
  </si>
  <si>
    <t>Current Shares</t>
  </si>
  <si>
    <t>Current Annual Income</t>
  </si>
  <si>
    <t>Cash-Take Annual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</si>
</sst>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66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rgb="FF333333"/>
      <name val="Calibri"/>
      <family val="2"/>
    </font>
    <font>
      <sz val="11"/>
      <color rgb="FF000000"/>
      <name val="Calibri"/>
      <family val="2"/>
    </font>
    <font>
      <sz val="11"/>
      <color rgb="FF4472C4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F2CC"/>
      </patternFill>
    </fill>
    <fill>
      <patternFill patternType="solid">
        <fgColor rgb="FFE4EAF1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3" fontId="2" fillId="3" borderId="0" xfId="0" applyNumberFormat="1" applyFont="1" applyFill="1" applyAlignment="1">
      <alignment vertical="center"/>
    </xf>
    <xf numFmtId="164" fontId="2" fillId="3" borderId="0" xfId="0" applyNumberFormat="1" applyFont="1" applyFill="1" applyAlignment="1">
      <alignment vertical="center"/>
    </xf>
    <xf numFmtId="165" fontId="3" fillId="0" borderId="0" xfId="0" applyNumberFormat="1" applyFont="1" applyAlignment="1">
      <alignment vertical="center"/>
    </xf>
    <xf numFmtId="10" fontId="3" fillId="0" borderId="0" xfId="0" applyNumberFormat="1" applyFont="1" applyAlignment="1">
      <alignment vertical="center"/>
    </xf>
    <xf numFmtId="0" fontId="2" fillId="4" borderId="1" xfId="0" applyFont="1" applyFill="1" applyBorder="1" applyAlignment="1">
      <alignment vertical="center"/>
    </xf>
    <xf numFmtId="14" fontId="2" fillId="3" borderId="0" xfId="0" applyNumberFormat="1" applyFont="1" applyFill="1" applyAlignment="1">
      <alignment vertical="center"/>
    </xf>
    <xf numFmtId="166" fontId="3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3" fontId="3" fillId="0" borderId="1" xfId="0" applyNumberFormat="1" applyFont="1" applyBorder="1" applyAlignment="1">
      <alignment vertical="center"/>
    </xf>
    <xf numFmtId="166" fontId="3" fillId="0" borderId="1" xfId="0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10" fontId="3" fillId="0" borderId="1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3" fillId="5" borderId="3" xfId="0" applyNumberFormat="1" applyFont="1" applyFill="1" applyBorder="1" applyAlignment="1">
      <alignment vertical="center"/>
    </xf>
    <xf numFmtId="10" fontId="3" fillId="5" borderId="3" xfId="0" applyNumberFormat="1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164" fontId="5" fillId="5" borderId="2" xfId="0" applyNumberFormat="1" applyFont="1" applyFill="1" applyBorder="1" applyAlignment="1">
      <alignment vertical="center"/>
    </xf>
    <xf numFmtId="166" fontId="5" fillId="5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/>
              <a:t>Monthly div cash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6378896882494004E-2"/>
          <c:y val="0.12280701754385964"/>
          <c:w val="0.94724220623501199"/>
          <c:h val="0.77544619422572181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'Reinvestment History'!$B$1</c:f>
              <c:strCache>
                <c:ptCount val="1"/>
                <c:pt idx="0">
                  <c:v>Dividend Cash Generated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>
                      <a:shade val="40000"/>
                    </a:schemeClr>
                  </a:gs>
                  <a:gs pos="100000">
                    <a:schemeClr val="accent1">
                      <a:shade val="4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4E-4846-9597-339F5F5B6DD6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100000">
                    <a:schemeClr val="accent1">
                      <a:shade val="51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4E-4846-9597-339F5F5B6DD6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1">
                      <a:shade val="62000"/>
                    </a:schemeClr>
                  </a:gs>
                  <a:gs pos="100000">
                    <a:schemeClr val="accent1">
                      <a:shade val="62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4E-4846-9597-339F5F5B6DD6}"/>
              </c:ext>
            </c:extLst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1">
                      <a:shade val="73000"/>
                    </a:schemeClr>
                  </a:gs>
                  <a:gs pos="100000">
                    <a:schemeClr val="accent1">
                      <a:shade val="73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4E-4846-9597-339F5F5B6DD6}"/>
              </c:ext>
            </c:extLst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1">
                      <a:shade val="83000"/>
                    </a:schemeClr>
                  </a:gs>
                  <a:gs pos="100000">
                    <a:schemeClr val="accent1">
                      <a:shade val="83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4E-4846-9597-339F5F5B6DD6}"/>
              </c:ext>
            </c:extLst>
          </c:dPt>
          <c:dPt>
            <c:idx val="5"/>
            <c:invertIfNegative val="1"/>
            <c:bubble3D val="0"/>
            <c:spPr>
              <a:gradFill>
                <a:gsLst>
                  <a:gs pos="0">
                    <a:schemeClr val="accent1">
                      <a:shade val="94000"/>
                    </a:schemeClr>
                  </a:gs>
                  <a:gs pos="100000">
                    <a:schemeClr val="accent1">
                      <a:shade val="94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4E-4846-9597-339F5F5B6DD6}"/>
              </c:ext>
            </c:extLst>
          </c:dPt>
          <c:dPt>
            <c:idx val="6"/>
            <c:invertIfNegative val="1"/>
            <c:bubble3D val="0"/>
            <c:spPr>
              <a:gradFill>
                <a:gsLst>
                  <a:gs pos="0">
                    <a:schemeClr val="accent1">
                      <a:tint val="95000"/>
                    </a:schemeClr>
                  </a:gs>
                  <a:gs pos="100000">
                    <a:schemeClr val="accent1">
                      <a:tint val="95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14E-4846-9597-339F5F5B6DD6}"/>
              </c:ext>
            </c:extLst>
          </c:dPt>
          <c:dPt>
            <c:idx val="7"/>
            <c:invertIfNegative val="1"/>
            <c:bubble3D val="0"/>
            <c:spPr>
              <a:gradFill>
                <a:gsLst>
                  <a:gs pos="0">
                    <a:schemeClr val="accent1">
                      <a:tint val="84000"/>
                    </a:schemeClr>
                  </a:gs>
                  <a:gs pos="100000">
                    <a:schemeClr val="accent1">
                      <a:tint val="84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14E-4846-9597-339F5F5B6DD6}"/>
              </c:ext>
            </c:extLst>
          </c:dPt>
          <c:dPt>
            <c:idx val="8"/>
            <c:invertIfNegative val="1"/>
            <c:bubble3D val="0"/>
            <c:spPr>
              <a:gradFill>
                <a:gsLst>
                  <a:gs pos="0">
                    <a:schemeClr val="accent1">
                      <a:tint val="74000"/>
                    </a:schemeClr>
                  </a:gs>
                  <a:gs pos="100000">
                    <a:schemeClr val="accent1">
                      <a:tint val="74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14E-4846-9597-339F5F5B6DD6}"/>
              </c:ext>
            </c:extLst>
          </c:dPt>
          <c:dPt>
            <c:idx val="9"/>
            <c:invertIfNegative val="1"/>
            <c:bubble3D val="0"/>
            <c:spPr>
              <a:gradFill>
                <a:gsLst>
                  <a:gs pos="0">
                    <a:schemeClr val="accent1">
                      <a:tint val="63000"/>
                    </a:schemeClr>
                  </a:gs>
                  <a:gs pos="100000">
                    <a:schemeClr val="accent1">
                      <a:tint val="63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14E-4846-9597-339F5F5B6DD6}"/>
              </c:ext>
            </c:extLst>
          </c:dPt>
          <c:dPt>
            <c:idx val="10"/>
            <c:invertIfNegative val="1"/>
            <c:bubble3D val="0"/>
            <c:spPr>
              <a:gradFill>
                <a:gsLst>
                  <a:gs pos="0">
                    <a:schemeClr val="accent1">
                      <a:tint val="52000"/>
                    </a:schemeClr>
                  </a:gs>
                  <a:gs pos="100000">
                    <a:schemeClr val="accent1">
                      <a:tint val="52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14E-4846-9597-339F5F5B6DD6}"/>
              </c:ext>
            </c:extLst>
          </c:dPt>
          <c:dPt>
            <c:idx val="11"/>
            <c:invertIfNegative val="1"/>
            <c:bubble3D val="0"/>
            <c:spPr>
              <a:gradFill>
                <a:gsLst>
                  <a:gs pos="0">
                    <a:schemeClr val="accent1">
                      <a:tint val="41000"/>
                    </a:schemeClr>
                  </a:gs>
                  <a:gs pos="100000">
                    <a:schemeClr val="accent1">
                      <a:tint val="41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14E-4846-9597-339F5F5B6DD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'Reinvestment History'!$A$2:$A$13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'Reinvestment History'!$B$2:$B$13</c:f>
              <c:numCache>
                <c:formatCode>"$"#,##0.00</c:formatCode>
                <c:ptCount val="12"/>
                <c:pt idx="0">
                  <c:v>97</c:v>
                </c:pt>
                <c:pt idx="1">
                  <c:v>95.664999999999992</c:v>
                </c:pt>
                <c:pt idx="2">
                  <c:v>148.80000000000001</c:v>
                </c:pt>
                <c:pt idx="3">
                  <c:v>97.78147840531561</c:v>
                </c:pt>
                <c:pt idx="4">
                  <c:v>95.664999999999992</c:v>
                </c:pt>
                <c:pt idx="5">
                  <c:v>149.95754077791719</c:v>
                </c:pt>
                <c:pt idx="6">
                  <c:v>98.762135578127555</c:v>
                </c:pt>
                <c:pt idx="7">
                  <c:v>95.664999999999992</c:v>
                </c:pt>
                <c:pt idx="8">
                  <c:v>151.11392977396579</c:v>
                </c:pt>
                <c:pt idx="9">
                  <c:v>99.538808683159445</c:v>
                </c:pt>
                <c:pt idx="10">
                  <c:v>95.664999999999992</c:v>
                </c:pt>
                <c:pt idx="11">
                  <c:v>152.26989074200847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8-4B38-A75B-1437DED9F3F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Dollars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Income by ticker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945304655709983"/>
          <c:y val="0.14106939704209329"/>
          <c:w val="0.8105320391997981"/>
          <c:h val="0.64926786882015186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'Income &amp; Yield Summary'!$C$9</c:f>
              <c:strCache>
                <c:ptCount val="1"/>
                <c:pt idx="0">
                  <c:v>Current Annual Income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tint val="50000"/>
                      <a:satMod val="300000"/>
                    </a:schemeClr>
                  </a:gs>
                  <a:gs pos="35000">
                    <a:schemeClr val="accent1">
                      <a:tint val="37000"/>
                      <a:satMod val="300000"/>
                    </a:schemeClr>
                  </a:gs>
                  <a:gs pos="100000">
                    <a:schemeClr val="accent1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4A0-4726-AF35-2990ACB92585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tint val="50000"/>
                      <a:satMod val="300000"/>
                    </a:schemeClr>
                  </a:gs>
                  <a:gs pos="35000">
                    <a:schemeClr val="accent2">
                      <a:tint val="37000"/>
                      <a:satMod val="300000"/>
                    </a:schemeClr>
                  </a:gs>
                  <a:gs pos="100000">
                    <a:schemeClr val="accent2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4A0-4726-AF35-2990ACB92585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tint val="50000"/>
                      <a:satMod val="300000"/>
                    </a:schemeClr>
                  </a:gs>
                  <a:gs pos="35000">
                    <a:schemeClr val="accent3">
                      <a:tint val="37000"/>
                      <a:satMod val="300000"/>
                    </a:schemeClr>
                  </a:gs>
                  <a:gs pos="100000">
                    <a:schemeClr val="accent3">
                      <a:tint val="15000"/>
                      <a:satMod val="350000"/>
                    </a:schemeClr>
                  </a:gs>
                </a:gsLst>
                <a:lin ang="16200000" scaled="1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>
                <a:outerShdw blurRad="40000" dist="20000" dir="5400000" rotWithShape="0">
                  <a:srgbClr val="000000">
                    <a:alpha val="38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4A0-4726-AF35-2990ACB92585}"/>
              </c:ext>
            </c:extLst>
          </c:dPt>
          <c:cat>
            <c:strRef>
              <c:f>'Income &amp; Yield Summary'!$A$10:$A$12</c:f>
              <c:strCache>
                <c:ptCount val="3"/>
                <c:pt idx="0">
                  <c:v>JNJ</c:v>
                </c:pt>
                <c:pt idx="1">
                  <c:v>KO</c:v>
                </c:pt>
                <c:pt idx="2">
                  <c:v>PG</c:v>
                </c:pt>
              </c:strCache>
            </c:strRef>
          </c:cat>
          <c:val>
            <c:numRef>
              <c:f>'Income &amp; Yield Summary'!$C$10:$C$12</c:f>
              <c:numCache>
                <c:formatCode>"$"#,##0</c:formatCode>
                <c:ptCount val="3"/>
                <c:pt idx="0">
                  <c:v>613.71305166791342</c:v>
                </c:pt>
                <c:pt idx="1">
                  <c:v>400.43062131764333</c:v>
                </c:pt>
                <c:pt idx="2">
                  <c:v>382.85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D2-49BD-B075-AE93CAC4F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Dollars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1466850</xdr:colOff>
      <xdr:row>15</xdr:row>
      <xdr:rowOff>28575</xdr:rowOff>
    </xdr:from>
    <xdr:ext cx="5295900" cy="28956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66674</xdr:colOff>
      <xdr:row>15</xdr:row>
      <xdr:rowOff>38101</xdr:rowOff>
    </xdr:from>
    <xdr:ext cx="4257675" cy="287655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showGridLines="0" tabSelected="1" zoomScale="145" zoomScaleNormal="145" workbookViewId="0">
      <selection activeCell="B12" sqref="B12"/>
    </sheetView>
  </sheetViews>
  <sheetFormatPr defaultRowHeight="15" x14ac:dyDescent="0.25"/>
  <cols>
    <col min="1" max="1" width="21.7109375" bestFit="1" customWidth="1"/>
    <col min="2" max="4" width="19.140625" customWidth="1"/>
    <col min="5" max="5" width="22.85546875" bestFit="1" customWidth="1"/>
    <col min="6" max="6" width="21.7109375" bestFit="1" customWidth="1"/>
    <col min="7" max="7" width="13.42578125" style="17" bestFit="1" customWidth="1"/>
    <col min="8" max="8" width="9.7109375" style="17" bestFit="1" customWidth="1"/>
    <col min="9" max="10" width="19.140625" customWidth="1"/>
    <col min="11" max="11" width="8.140625" customWidth="1"/>
    <col min="12" max="12" width="21.7109375" bestFit="1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K1" s="1"/>
    </row>
    <row r="2" spans="1:11" x14ac:dyDescent="0.25">
      <c r="A2" s="3" t="s">
        <v>11</v>
      </c>
      <c r="B2" s="4">
        <v>120</v>
      </c>
      <c r="C2" s="5">
        <v>148.5</v>
      </c>
      <c r="D2" s="5">
        <v>161.19999999999999</v>
      </c>
      <c r="E2" s="5">
        <v>4.96</v>
      </c>
      <c r="F2" s="3" t="s">
        <v>12</v>
      </c>
      <c r="K2" s="1"/>
    </row>
    <row r="3" spans="1:11" x14ac:dyDescent="0.25">
      <c r="A3" s="3" t="s">
        <v>14</v>
      </c>
      <c r="B3" s="4">
        <v>200</v>
      </c>
      <c r="C3" s="5">
        <v>58.1</v>
      </c>
      <c r="D3" s="5">
        <v>62.3</v>
      </c>
      <c r="E3" s="5">
        <v>1.94</v>
      </c>
      <c r="F3" s="3" t="s">
        <v>12</v>
      </c>
      <c r="K3" s="1"/>
    </row>
    <row r="4" spans="1:11" x14ac:dyDescent="0.25">
      <c r="A4" s="3" t="s">
        <v>16</v>
      </c>
      <c r="B4" s="4">
        <v>95</v>
      </c>
      <c r="C4" s="5">
        <v>143.4</v>
      </c>
      <c r="D4" s="5">
        <v>158.1</v>
      </c>
      <c r="E4" s="5">
        <v>4.03</v>
      </c>
      <c r="F4" s="3" t="s">
        <v>17</v>
      </c>
      <c r="K4" s="1"/>
    </row>
    <row r="5" spans="1:11" x14ac:dyDescent="0.25">
      <c r="A5" s="1"/>
      <c r="B5" s="1"/>
      <c r="C5" s="1"/>
      <c r="D5" s="1"/>
      <c r="E5" s="1"/>
      <c r="F5" s="1"/>
      <c r="G5" s="20"/>
      <c r="H5" s="20"/>
      <c r="I5" s="1"/>
      <c r="J5" s="1"/>
      <c r="K5" s="1"/>
    </row>
    <row r="6" spans="1:11" x14ac:dyDescent="0.25">
      <c r="A6" s="16" t="s">
        <v>6</v>
      </c>
      <c r="B6" s="16" t="s">
        <v>7</v>
      </c>
      <c r="C6" s="2" t="s">
        <v>8</v>
      </c>
      <c r="D6" s="2" t="s">
        <v>9</v>
      </c>
    </row>
    <row r="7" spans="1:11" x14ac:dyDescent="0.25">
      <c r="A7" s="19">
        <f>B2*D2</f>
        <v>19344</v>
      </c>
      <c r="B7" s="19">
        <f>B2*C2</f>
        <v>17820</v>
      </c>
      <c r="C7" s="6">
        <f>B2*E2</f>
        <v>595.20000000000005</v>
      </c>
      <c r="D7" s="7">
        <f>IF(B7=0,0,C7/B7)</f>
        <v>3.3400673400673403E-2</v>
      </c>
    </row>
    <row r="8" spans="1:11" x14ac:dyDescent="0.25">
      <c r="A8" s="19">
        <f>B3*D3</f>
        <v>12460</v>
      </c>
      <c r="B8" s="19">
        <f>B3*C3</f>
        <v>11620</v>
      </c>
      <c r="C8" s="6">
        <f>B3*E3</f>
        <v>388</v>
      </c>
      <c r="D8" s="7">
        <f>IF(B8=0,0,C8/B8)</f>
        <v>3.3390705679862305E-2</v>
      </c>
    </row>
    <row r="9" spans="1:11" x14ac:dyDescent="0.25">
      <c r="A9" s="19">
        <f>B4*D4</f>
        <v>15019.5</v>
      </c>
      <c r="B9" s="19">
        <f>B4*C4</f>
        <v>13623</v>
      </c>
      <c r="C9" s="6">
        <f>B4*E4</f>
        <v>382.85</v>
      </c>
      <c r="D9" s="7">
        <f>IF(B9=0,0,C9/B9)</f>
        <v>2.8103207810320784E-2</v>
      </c>
    </row>
    <row r="11" spans="1:11" x14ac:dyDescent="0.25">
      <c r="A11" s="23" t="s">
        <v>10</v>
      </c>
      <c r="B11" s="1"/>
    </row>
    <row r="12" spans="1:11" x14ac:dyDescent="0.25">
      <c r="A12" s="24" t="s">
        <v>13</v>
      </c>
      <c r="B12" s="21">
        <f>SUM(A7:A9)</f>
        <v>46823.5</v>
      </c>
    </row>
    <row r="13" spans="1:11" x14ac:dyDescent="0.25">
      <c r="A13" s="24" t="s">
        <v>15</v>
      </c>
      <c r="B13" s="21">
        <f>SUM(C7:C9)</f>
        <v>1366.0500000000002</v>
      </c>
    </row>
    <row r="14" spans="1:11" x14ac:dyDescent="0.25">
      <c r="A14" s="24" t="s">
        <v>18</v>
      </c>
      <c r="B14" s="22">
        <f>SUMPRODUCT(D7:D9,B7:B9)/SUM(B7:B9)</f>
        <v>3.1722128044957394E-2</v>
      </c>
    </row>
    <row r="15" spans="1:11" x14ac:dyDescent="0.25">
      <c r="A15" s="24" t="s">
        <v>19</v>
      </c>
      <c r="B15" s="21">
        <f>SUM(C7:C9)/12</f>
        <v>113.83750000000002</v>
      </c>
    </row>
  </sheetData>
  <dataValidations count="1">
    <dataValidation type="list" sqref="F2:F4" xr:uid="{00000000-0002-0000-0000-000000000000}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3"/>
  <sheetViews>
    <sheetView showGridLines="0" workbookViewId="0"/>
  </sheetViews>
  <sheetFormatPr defaultRowHeight="15" x14ac:dyDescent="0.25"/>
  <cols>
    <col min="1" max="1" width="21.42578125" customWidth="1"/>
    <col min="2" max="2" width="9.140625" style="17" customWidth="1"/>
    <col min="3" max="10" width="21.42578125" customWidth="1"/>
  </cols>
  <sheetData>
    <row r="1" spans="1:10" x14ac:dyDescent="0.25">
      <c r="A1" s="2" t="s">
        <v>20</v>
      </c>
      <c r="B1" s="16" t="s">
        <v>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</row>
    <row r="2" spans="1:10" x14ac:dyDescent="0.25">
      <c r="A2" s="9">
        <v>46031</v>
      </c>
      <c r="B2" s="18" t="s">
        <v>14</v>
      </c>
      <c r="C2" s="10">
        <f>'Holdings &amp; Settings'!B3</f>
        <v>200</v>
      </c>
      <c r="D2" s="5">
        <v>0.48499999999999999</v>
      </c>
      <c r="E2" s="11">
        <f t="shared" ref="E2:E13" si="0">C2*D2</f>
        <v>97</v>
      </c>
      <c r="F2" s="5">
        <v>60.2</v>
      </c>
      <c r="G2" s="10">
        <f>IF('Holdings &amp; Settings'!F3="Yes",E2/F2,0)</f>
        <v>1.6112956810631229</v>
      </c>
      <c r="H2" s="11">
        <f>IF('Holdings &amp; Settings'!F3="No",E2,0)</f>
        <v>0</v>
      </c>
      <c r="I2" s="10">
        <f t="shared" ref="I2:I13" si="1">C2+G2</f>
        <v>201.61129568106313</v>
      </c>
      <c r="J2" s="3" t="s">
        <v>29</v>
      </c>
    </row>
    <row r="3" spans="1:10" x14ac:dyDescent="0.25">
      <c r="A3" s="9">
        <v>46080</v>
      </c>
      <c r="B3" s="18" t="s">
        <v>16</v>
      </c>
      <c r="C3" s="10">
        <f>'Holdings &amp; Settings'!B4</f>
        <v>95</v>
      </c>
      <c r="D3" s="5">
        <v>1.0069999999999999</v>
      </c>
      <c r="E3" s="11">
        <f t="shared" si="0"/>
        <v>95.664999999999992</v>
      </c>
      <c r="F3" s="5">
        <v>154.1</v>
      </c>
      <c r="G3" s="10">
        <f>IF('Holdings &amp; Settings'!F4="Yes",E3/F3,0)</f>
        <v>0</v>
      </c>
      <c r="H3" s="11">
        <f>IF('Holdings &amp; Settings'!F4="No",E3,0)</f>
        <v>95.664999999999992</v>
      </c>
      <c r="I3" s="10">
        <f t="shared" si="1"/>
        <v>95</v>
      </c>
      <c r="J3" s="3"/>
    </row>
    <row r="4" spans="1:10" x14ac:dyDescent="0.25">
      <c r="A4" s="9">
        <v>46093</v>
      </c>
      <c r="B4" s="18" t="s">
        <v>11</v>
      </c>
      <c r="C4" s="10">
        <f>'Holdings &amp; Settings'!B2</f>
        <v>120</v>
      </c>
      <c r="D4" s="5">
        <v>1.24</v>
      </c>
      <c r="E4" s="11">
        <f t="shared" si="0"/>
        <v>148.80000000000001</v>
      </c>
      <c r="F4" s="5">
        <v>159.4</v>
      </c>
      <c r="G4" s="10">
        <f>IF('Holdings &amp; Settings'!F2="Yes",E4/F4,0)</f>
        <v>0.93350062735257222</v>
      </c>
      <c r="H4" s="11">
        <f>IF('Holdings &amp; Settings'!F2="No",E4,0)</f>
        <v>0</v>
      </c>
      <c r="I4" s="10">
        <f t="shared" si="1"/>
        <v>120.93350062735257</v>
      </c>
      <c r="J4" s="3" t="s">
        <v>30</v>
      </c>
    </row>
    <row r="5" spans="1:10" x14ac:dyDescent="0.25">
      <c r="A5" s="9">
        <v>46122</v>
      </c>
      <c r="B5" s="18" t="s">
        <v>14</v>
      </c>
      <c r="C5" s="10">
        <f t="shared" ref="C5:C13" si="2">I2</f>
        <v>201.61129568106313</v>
      </c>
      <c r="D5" s="5">
        <v>0.48499999999999999</v>
      </c>
      <c r="E5" s="11">
        <f t="shared" si="0"/>
        <v>97.78147840531561</v>
      </c>
      <c r="F5" s="5">
        <v>61</v>
      </c>
      <c r="G5" s="10">
        <f>IF('Holdings &amp; Settings'!F3="Yes",E5/F5,0)</f>
        <v>1.6029750558248461</v>
      </c>
      <c r="H5" s="11">
        <f>IF('Holdings &amp; Settings'!F3="No",E5,0)</f>
        <v>0</v>
      </c>
      <c r="I5" s="10">
        <f t="shared" si="1"/>
        <v>203.21427073688798</v>
      </c>
      <c r="J5" s="3"/>
    </row>
    <row r="6" spans="1:10" x14ac:dyDescent="0.25">
      <c r="A6" s="9">
        <v>46170</v>
      </c>
      <c r="B6" s="18" t="s">
        <v>16</v>
      </c>
      <c r="C6" s="10">
        <f t="shared" si="2"/>
        <v>95</v>
      </c>
      <c r="D6" s="5">
        <v>1.0069999999999999</v>
      </c>
      <c r="E6" s="11">
        <f t="shared" si="0"/>
        <v>95.664999999999992</v>
      </c>
      <c r="F6" s="5">
        <v>156.30000000000001</v>
      </c>
      <c r="G6" s="10">
        <f>IF('Holdings &amp; Settings'!F4="Yes",E6/F6,0)</f>
        <v>0</v>
      </c>
      <c r="H6" s="11">
        <f>IF('Holdings &amp; Settings'!F4="No",E6,0)</f>
        <v>95.664999999999992</v>
      </c>
      <c r="I6" s="10">
        <f t="shared" si="1"/>
        <v>95</v>
      </c>
      <c r="J6" s="3" t="s">
        <v>31</v>
      </c>
    </row>
    <row r="7" spans="1:10" x14ac:dyDescent="0.25">
      <c r="A7" s="9">
        <v>46184</v>
      </c>
      <c r="B7" s="18" t="s">
        <v>11</v>
      </c>
      <c r="C7" s="10">
        <f t="shared" si="2"/>
        <v>120.93350062735257</v>
      </c>
      <c r="D7" s="5">
        <v>1.24</v>
      </c>
      <c r="E7" s="11">
        <f t="shared" si="0"/>
        <v>149.95754077791719</v>
      </c>
      <c r="F7" s="5">
        <v>160.80000000000001</v>
      </c>
      <c r="G7" s="10">
        <f>IF('Holdings &amp; Settings'!F2="Yes",E7/F7,0)</f>
        <v>0.93257177100694766</v>
      </c>
      <c r="H7" s="11">
        <f>IF('Holdings &amp; Settings'!F2="No",E7,0)</f>
        <v>0</v>
      </c>
      <c r="I7" s="10">
        <f t="shared" si="1"/>
        <v>121.86607239835952</v>
      </c>
      <c r="J7" s="3"/>
    </row>
    <row r="8" spans="1:10" x14ac:dyDescent="0.25">
      <c r="A8" s="9">
        <v>46214</v>
      </c>
      <c r="B8" s="18" t="s">
        <v>14</v>
      </c>
      <c r="C8" s="10">
        <f t="shared" si="2"/>
        <v>203.21427073688798</v>
      </c>
      <c r="D8" s="5">
        <v>0.48599999999999999</v>
      </c>
      <c r="E8" s="11">
        <f t="shared" si="0"/>
        <v>98.762135578127555</v>
      </c>
      <c r="F8" s="5">
        <v>61.8</v>
      </c>
      <c r="G8" s="10">
        <f>IF('Holdings &amp; Settings'!F3="Yes",E8/F8,0)</f>
        <v>1.5980928087075656</v>
      </c>
      <c r="H8" s="11">
        <f>IF('Holdings &amp; Settings'!F3="No",E8,0)</f>
        <v>0</v>
      </c>
      <c r="I8" s="10">
        <f t="shared" si="1"/>
        <v>204.81236354559556</v>
      </c>
      <c r="J8" s="3" t="s">
        <v>32</v>
      </c>
    </row>
    <row r="9" spans="1:10" x14ac:dyDescent="0.25">
      <c r="A9" s="9">
        <v>46261</v>
      </c>
      <c r="B9" s="18" t="s">
        <v>16</v>
      </c>
      <c r="C9" s="10">
        <f t="shared" si="2"/>
        <v>95</v>
      </c>
      <c r="D9" s="5">
        <v>1.0069999999999999</v>
      </c>
      <c r="E9" s="11">
        <f t="shared" si="0"/>
        <v>95.664999999999992</v>
      </c>
      <c r="F9" s="5">
        <v>157.19999999999999</v>
      </c>
      <c r="G9" s="10">
        <f>IF('Holdings &amp; Settings'!F4="Yes",E9/F9,0)</f>
        <v>0</v>
      </c>
      <c r="H9" s="11">
        <f>IF('Holdings &amp; Settings'!F4="No",E9,0)</f>
        <v>95.664999999999992</v>
      </c>
      <c r="I9" s="10">
        <f t="shared" si="1"/>
        <v>95</v>
      </c>
      <c r="J9" s="3"/>
    </row>
    <row r="10" spans="1:10" x14ac:dyDescent="0.25">
      <c r="A10" s="9">
        <v>46275</v>
      </c>
      <c r="B10" s="18" t="s">
        <v>11</v>
      </c>
      <c r="C10" s="10">
        <f t="shared" si="2"/>
        <v>121.86607239835952</v>
      </c>
      <c r="D10" s="5">
        <v>1.24</v>
      </c>
      <c r="E10" s="11">
        <f t="shared" si="0"/>
        <v>151.11392977396579</v>
      </c>
      <c r="F10" s="5">
        <v>162.1</v>
      </c>
      <c r="G10" s="10">
        <f>IF('Holdings &amp; Settings'!F2="Yes",E10/F10,0)</f>
        <v>0.93222658713118933</v>
      </c>
      <c r="H10" s="11">
        <f>IF('Holdings &amp; Settings'!F2="No",E10,0)</f>
        <v>0</v>
      </c>
      <c r="I10" s="10">
        <f t="shared" si="1"/>
        <v>122.7982989854907</v>
      </c>
      <c r="J10" s="3"/>
    </row>
    <row r="11" spans="1:10" x14ac:dyDescent="0.25">
      <c r="A11" s="9">
        <v>46305</v>
      </c>
      <c r="B11" s="18" t="s">
        <v>14</v>
      </c>
      <c r="C11" s="10">
        <f t="shared" si="2"/>
        <v>204.81236354559556</v>
      </c>
      <c r="D11" s="5">
        <v>0.48599999999999999</v>
      </c>
      <c r="E11" s="11">
        <f t="shared" si="0"/>
        <v>99.538808683159445</v>
      </c>
      <c r="F11" s="5">
        <v>62.4</v>
      </c>
      <c r="G11" s="10">
        <f>IF('Holdings &amp; Settings'!F3="Yes",E11/F11,0)</f>
        <v>1.5951732160762733</v>
      </c>
      <c r="H11" s="11">
        <f>IF('Holdings &amp; Settings'!F3="No",E11,0)</f>
        <v>0</v>
      </c>
      <c r="I11" s="10">
        <f t="shared" si="1"/>
        <v>206.40753676167182</v>
      </c>
      <c r="J11" s="3"/>
    </row>
    <row r="12" spans="1:10" x14ac:dyDescent="0.25">
      <c r="A12" s="9">
        <v>46352</v>
      </c>
      <c r="B12" s="18" t="s">
        <v>16</v>
      </c>
      <c r="C12" s="10">
        <f t="shared" si="2"/>
        <v>95</v>
      </c>
      <c r="D12" s="5">
        <v>1.0069999999999999</v>
      </c>
      <c r="E12" s="11">
        <f t="shared" si="0"/>
        <v>95.664999999999992</v>
      </c>
      <c r="F12" s="5">
        <v>158.4</v>
      </c>
      <c r="G12" s="10">
        <f>IF('Holdings &amp; Settings'!F4="Yes",E12/F12,0)</f>
        <v>0</v>
      </c>
      <c r="H12" s="11">
        <f>IF('Holdings &amp; Settings'!F4="No",E12,0)</f>
        <v>95.664999999999992</v>
      </c>
      <c r="I12" s="10">
        <f t="shared" si="1"/>
        <v>95</v>
      </c>
      <c r="J12" s="3" t="s">
        <v>33</v>
      </c>
    </row>
    <row r="13" spans="1:10" x14ac:dyDescent="0.25">
      <c r="A13" s="9">
        <v>46366</v>
      </c>
      <c r="B13" s="18" t="s">
        <v>11</v>
      </c>
      <c r="C13" s="10">
        <f t="shared" si="2"/>
        <v>122.7982989854907</v>
      </c>
      <c r="D13" s="5">
        <v>1.24</v>
      </c>
      <c r="E13" s="11">
        <f t="shared" si="0"/>
        <v>152.26989074200847</v>
      </c>
      <c r="F13" s="5">
        <v>163</v>
      </c>
      <c r="G13" s="10">
        <f>IF('Holdings &amp; Settings'!F2="Yes",E13/F13,0)</f>
        <v>0.93417110884667776</v>
      </c>
      <c r="H13" s="11">
        <f>IF('Holdings &amp; Settings'!F2="No",E13,0)</f>
        <v>0</v>
      </c>
      <c r="I13" s="10">
        <f t="shared" si="1"/>
        <v>123.73247009433739</v>
      </c>
      <c r="J13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3"/>
  <sheetViews>
    <sheetView showGridLines="0" workbookViewId="0">
      <pane xSplit="1" ySplit="1" topLeftCell="B2" activePane="bottomRight" state="frozen"/>
      <selection activeCell="D13" sqref="D13"/>
      <selection pane="topRight" activeCell="D13" sqref="D13"/>
      <selection pane="bottomLeft" activeCell="D13" sqref="D13"/>
      <selection pane="bottomRight" activeCell="E4" sqref="E4"/>
    </sheetView>
  </sheetViews>
  <sheetFormatPr defaultRowHeight="15" x14ac:dyDescent="0.25"/>
  <cols>
    <col min="1" max="1" width="18" customWidth="1"/>
    <col min="2" max="2" width="24" bestFit="1" customWidth="1"/>
    <col min="3" max="3" width="13.28515625" bestFit="1" customWidth="1"/>
    <col min="4" max="4" width="24.140625" bestFit="1" customWidth="1"/>
    <col min="5" max="5" width="10.85546875" bestFit="1" customWidth="1"/>
    <col min="6" max="6" width="23.42578125" bestFit="1" customWidth="1"/>
    <col min="7" max="7" width="5" customWidth="1"/>
    <col min="8" max="8" width="17.85546875" bestFit="1" customWidth="1"/>
  </cols>
  <sheetData>
    <row r="1" spans="1:9" x14ac:dyDescent="0.25">
      <c r="A1" s="2" t="s">
        <v>34</v>
      </c>
      <c r="B1" s="2" t="s">
        <v>35</v>
      </c>
      <c r="C1" s="2" t="s">
        <v>25</v>
      </c>
      <c r="D1" s="2" t="s">
        <v>36</v>
      </c>
      <c r="E1" s="2" t="s">
        <v>26</v>
      </c>
      <c r="F1" s="2" t="s">
        <v>37</v>
      </c>
      <c r="G1" s="1"/>
      <c r="H1" s="25" t="s">
        <v>38</v>
      </c>
      <c r="I1" s="1"/>
    </row>
    <row r="2" spans="1:9" x14ac:dyDescent="0.25">
      <c r="A2" s="3" t="s">
        <v>39</v>
      </c>
      <c r="B2" s="11">
        <f>SUMPRODUCT((MONTH('Dividend Log'!$A$2:$A$13)=1)*('Dividend Log'!$E$2:$E$13))</f>
        <v>97</v>
      </c>
      <c r="C2" s="10">
        <f>SUMPRODUCT((MONTH('Dividend Log'!$A$2:$A$13)=1)*('Dividend Log'!$G$2:$G$13))</f>
        <v>1.6112956810631229</v>
      </c>
      <c r="D2" s="10">
        <f>C2</f>
        <v>1.6112956810631229</v>
      </c>
      <c r="E2" s="11">
        <f>SUMPRODUCT((MONTH('Dividend Log'!$A$2:$A$13)=1)*('Dividend Log'!$H$2:$H$13))</f>
        <v>0</v>
      </c>
      <c r="F2" s="10">
        <f>SUM('Holdings &amp; Settings'!B2:B4)+D2</f>
        <v>416.6112956810631</v>
      </c>
      <c r="G2" s="1"/>
      <c r="H2" s="24" t="s">
        <v>40</v>
      </c>
      <c r="I2" s="26">
        <f>SUM(B2:B13)</f>
        <v>1377.8837839604942</v>
      </c>
    </row>
    <row r="3" spans="1:9" x14ac:dyDescent="0.25">
      <c r="A3" s="3" t="s">
        <v>41</v>
      </c>
      <c r="B3" s="11">
        <f>SUMPRODUCT((MONTH('Dividend Log'!$A$2:$A$13)=2)*('Dividend Log'!$E$2:$E$13))</f>
        <v>95.664999999999992</v>
      </c>
      <c r="C3" s="10">
        <f>SUMPRODUCT((MONTH('Dividend Log'!$A$2:$A$13)=2)*('Dividend Log'!$G$2:$G$13))</f>
        <v>0</v>
      </c>
      <c r="D3" s="10">
        <f t="shared" ref="D3:D13" si="0">D2+C3</f>
        <v>1.6112956810631229</v>
      </c>
      <c r="E3" s="11">
        <f>SUMPRODUCT((MONTH('Dividend Log'!$A$2:$A$13)=2)*('Dividend Log'!$H$2:$H$13))</f>
        <v>95.664999999999992</v>
      </c>
      <c r="F3" s="10">
        <f>SUM('Holdings &amp; Settings'!B2:B4)+D3</f>
        <v>416.6112956810631</v>
      </c>
      <c r="G3" s="1"/>
      <c r="H3" s="24" t="s">
        <v>42</v>
      </c>
      <c r="I3" s="27">
        <f>SUM(C2:C13)</f>
        <v>10.140006856009196</v>
      </c>
    </row>
    <row r="4" spans="1:9" x14ac:dyDescent="0.25">
      <c r="A4" s="3" t="s">
        <v>43</v>
      </c>
      <c r="B4" s="11">
        <f>SUMPRODUCT((MONTH('Dividend Log'!$A$2:$A$13)=3)*('Dividend Log'!$E$2:$E$13))</f>
        <v>148.80000000000001</v>
      </c>
      <c r="C4" s="10">
        <f>SUMPRODUCT((MONTH('Dividend Log'!$A$2:$A$13)=3)*('Dividend Log'!$G$2:$G$13))</f>
        <v>0.93350062735257222</v>
      </c>
      <c r="D4" s="10">
        <f t="shared" si="0"/>
        <v>2.544796308415695</v>
      </c>
      <c r="E4" s="11">
        <f>SUMPRODUCT((MONTH('Dividend Log'!$A$2:$A$13)=3)*('Dividend Log'!$H$2:$H$13))</f>
        <v>0</v>
      </c>
      <c r="F4" s="10">
        <f>SUM('Holdings &amp; Settings'!B2:B4)+D4</f>
        <v>417.5447963084157</v>
      </c>
      <c r="G4" s="1"/>
      <c r="H4" s="24" t="s">
        <v>44</v>
      </c>
      <c r="I4" s="26">
        <f>SUM(E2:E13)</f>
        <v>382.65999999999997</v>
      </c>
    </row>
    <row r="5" spans="1:9" x14ac:dyDescent="0.25">
      <c r="A5" s="3" t="s">
        <v>45</v>
      </c>
      <c r="B5" s="11">
        <f>SUMPRODUCT((MONTH('Dividend Log'!$A$2:$A$13)=4)*('Dividend Log'!$E$2:$E$13))</f>
        <v>97.78147840531561</v>
      </c>
      <c r="C5" s="10">
        <f>SUMPRODUCT((MONTH('Dividend Log'!$A$2:$A$13)=4)*('Dividend Log'!$G$2:$G$13))</f>
        <v>1.6029750558248461</v>
      </c>
      <c r="D5" s="10">
        <f t="shared" si="0"/>
        <v>4.1477713642405414</v>
      </c>
      <c r="E5" s="11">
        <f>SUMPRODUCT((MONTH('Dividend Log'!$A$2:$A$13)=4)*('Dividend Log'!$H$2:$H$13))</f>
        <v>0</v>
      </c>
      <c r="F5" s="10">
        <f>SUM('Holdings &amp; Settings'!B2:B4)+D5</f>
        <v>419.14777136424055</v>
      </c>
      <c r="G5" s="1"/>
      <c r="H5" s="1"/>
      <c r="I5" s="1"/>
    </row>
    <row r="6" spans="1:9" x14ac:dyDescent="0.25">
      <c r="A6" s="3" t="s">
        <v>46</v>
      </c>
      <c r="B6" s="11">
        <f>SUMPRODUCT((MONTH('Dividend Log'!$A$2:$A$13)=5)*('Dividend Log'!$E$2:$E$13))</f>
        <v>95.664999999999992</v>
      </c>
      <c r="C6" s="10">
        <f>SUMPRODUCT((MONTH('Dividend Log'!$A$2:$A$13)=5)*('Dividend Log'!$G$2:$G$13))</f>
        <v>0</v>
      </c>
      <c r="D6" s="10">
        <f t="shared" si="0"/>
        <v>4.1477713642405414</v>
      </c>
      <c r="E6" s="11">
        <f>SUMPRODUCT((MONTH('Dividend Log'!$A$2:$A$13)=5)*('Dividend Log'!$H$2:$H$13))</f>
        <v>95.664999999999992</v>
      </c>
      <c r="F6" s="10">
        <f>SUM('Holdings &amp; Settings'!B2:B4)+D6</f>
        <v>419.14777136424055</v>
      </c>
      <c r="G6" s="1"/>
      <c r="H6" s="1"/>
      <c r="I6" s="1"/>
    </row>
    <row r="7" spans="1:9" x14ac:dyDescent="0.25">
      <c r="A7" s="3" t="s">
        <v>47</v>
      </c>
      <c r="B7" s="11">
        <f>SUMPRODUCT((MONTH('Dividend Log'!$A$2:$A$13)=6)*('Dividend Log'!$E$2:$E$13))</f>
        <v>149.95754077791719</v>
      </c>
      <c r="C7" s="10">
        <f>SUMPRODUCT((MONTH('Dividend Log'!$A$2:$A$13)=6)*('Dividend Log'!$G$2:$G$13))</f>
        <v>0.93257177100694766</v>
      </c>
      <c r="D7" s="10">
        <f t="shared" si="0"/>
        <v>5.0803431352474888</v>
      </c>
      <c r="E7" s="11">
        <f>SUMPRODUCT((MONTH('Dividend Log'!$A$2:$A$13)=6)*('Dividend Log'!$H$2:$H$13))</f>
        <v>0</v>
      </c>
      <c r="F7" s="10">
        <f>SUM('Holdings &amp; Settings'!B2:B4)+D7</f>
        <v>420.08034313524752</v>
      </c>
      <c r="G7" s="1"/>
      <c r="H7" s="1"/>
      <c r="I7" s="1"/>
    </row>
    <row r="8" spans="1:9" x14ac:dyDescent="0.25">
      <c r="A8" s="3" t="s">
        <v>48</v>
      </c>
      <c r="B8" s="11">
        <f>SUMPRODUCT((MONTH('Dividend Log'!$A$2:$A$13)=7)*('Dividend Log'!$E$2:$E$13))</f>
        <v>98.762135578127555</v>
      </c>
      <c r="C8" s="10">
        <f>SUMPRODUCT((MONTH('Dividend Log'!$A$2:$A$13)=7)*('Dividend Log'!$G$2:$G$13))</f>
        <v>1.5980928087075656</v>
      </c>
      <c r="D8" s="10">
        <f t="shared" si="0"/>
        <v>6.6784359439550549</v>
      </c>
      <c r="E8" s="11">
        <f>SUMPRODUCT((MONTH('Dividend Log'!$A$2:$A$13)=7)*('Dividend Log'!$H$2:$H$13))</f>
        <v>0</v>
      </c>
      <c r="F8" s="10">
        <f>SUM('Holdings &amp; Settings'!B2:B4)+D8</f>
        <v>421.67843594395504</v>
      </c>
      <c r="G8" s="1"/>
      <c r="H8" s="1"/>
      <c r="I8" s="1"/>
    </row>
    <row r="9" spans="1:9" x14ac:dyDescent="0.25">
      <c r="A9" s="3" t="s">
        <v>49</v>
      </c>
      <c r="B9" s="11">
        <f>SUMPRODUCT((MONTH('Dividend Log'!$A$2:$A$13)=8)*('Dividend Log'!$E$2:$E$13))</f>
        <v>95.664999999999992</v>
      </c>
      <c r="C9" s="10">
        <f>SUMPRODUCT((MONTH('Dividend Log'!$A$2:$A$13)=8)*('Dividend Log'!$G$2:$G$13))</f>
        <v>0</v>
      </c>
      <c r="D9" s="10">
        <f t="shared" si="0"/>
        <v>6.6784359439550549</v>
      </c>
      <c r="E9" s="11">
        <f>SUMPRODUCT((MONTH('Dividend Log'!$A$2:$A$13)=8)*('Dividend Log'!$H$2:$H$13))</f>
        <v>95.664999999999992</v>
      </c>
      <c r="F9" s="10">
        <f>SUM('Holdings &amp; Settings'!B2:B4)+D9</f>
        <v>421.67843594395504</v>
      </c>
      <c r="G9" s="1"/>
      <c r="H9" s="1"/>
      <c r="I9" s="1"/>
    </row>
    <row r="10" spans="1:9" x14ac:dyDescent="0.25">
      <c r="A10" s="3" t="s">
        <v>50</v>
      </c>
      <c r="B10" s="11">
        <f>SUMPRODUCT((MONTH('Dividend Log'!$A$2:$A$13)=9)*('Dividend Log'!$E$2:$E$13))</f>
        <v>151.11392977396579</v>
      </c>
      <c r="C10" s="10">
        <f>SUMPRODUCT((MONTH('Dividend Log'!$A$2:$A$13)=9)*('Dividend Log'!$G$2:$G$13))</f>
        <v>0.93222658713118933</v>
      </c>
      <c r="D10" s="10">
        <f t="shared" si="0"/>
        <v>7.6106625310862439</v>
      </c>
      <c r="E10" s="11">
        <f>SUMPRODUCT((MONTH('Dividend Log'!$A$2:$A$13)=9)*('Dividend Log'!$H$2:$H$13))</f>
        <v>0</v>
      </c>
      <c r="F10" s="10">
        <f>SUM('Holdings &amp; Settings'!B2:B4)+D10</f>
        <v>422.61066253108623</v>
      </c>
      <c r="G10" s="1"/>
      <c r="H10" s="1"/>
      <c r="I10" s="1"/>
    </row>
    <row r="11" spans="1:9" x14ac:dyDescent="0.25">
      <c r="A11" s="3" t="s">
        <v>51</v>
      </c>
      <c r="B11" s="11">
        <f>SUMPRODUCT((MONTH('Dividend Log'!$A$2:$A$13)=10)*('Dividend Log'!$E$2:$E$13))</f>
        <v>99.538808683159445</v>
      </c>
      <c r="C11" s="10">
        <f>SUMPRODUCT((MONTH('Dividend Log'!$A$2:$A$13)=10)*('Dividend Log'!$G$2:$G$13))</f>
        <v>1.5951732160762733</v>
      </c>
      <c r="D11" s="10">
        <f t="shared" si="0"/>
        <v>9.2058357471625172</v>
      </c>
      <c r="E11" s="11">
        <f>SUMPRODUCT((MONTH('Dividend Log'!$A$2:$A$13)=10)*('Dividend Log'!$H$2:$H$13))</f>
        <v>0</v>
      </c>
      <c r="F11" s="10">
        <f>SUM('Holdings &amp; Settings'!B2:B4)+D11</f>
        <v>424.2058357471625</v>
      </c>
      <c r="G11" s="1"/>
      <c r="H11" s="1"/>
      <c r="I11" s="1"/>
    </row>
    <row r="12" spans="1:9" x14ac:dyDescent="0.25">
      <c r="A12" s="3" t="s">
        <v>52</v>
      </c>
      <c r="B12" s="11">
        <f>SUMPRODUCT((MONTH('Dividend Log'!$A$2:$A$13)=11)*('Dividend Log'!$E$2:$E$13))</f>
        <v>95.664999999999992</v>
      </c>
      <c r="C12" s="10">
        <f>SUMPRODUCT((MONTH('Dividend Log'!$A$2:$A$13)=11)*('Dividend Log'!$G$2:$G$13))</f>
        <v>0</v>
      </c>
      <c r="D12" s="10">
        <f t="shared" si="0"/>
        <v>9.2058357471625172</v>
      </c>
      <c r="E12" s="11">
        <f>SUMPRODUCT((MONTH('Dividend Log'!$A$2:$A$13)=11)*('Dividend Log'!$H$2:$H$13))</f>
        <v>95.664999999999992</v>
      </c>
      <c r="F12" s="10">
        <f>SUM('Holdings &amp; Settings'!B2:B4)+D12</f>
        <v>424.2058357471625</v>
      </c>
      <c r="G12" s="1"/>
      <c r="H12" s="1"/>
      <c r="I12" s="1"/>
    </row>
    <row r="13" spans="1:9" x14ac:dyDescent="0.25">
      <c r="A13" s="3" t="s">
        <v>53</v>
      </c>
      <c r="B13" s="11">
        <f>SUMPRODUCT((MONTH('Dividend Log'!$A$2:$A$13)=12)*('Dividend Log'!$E$2:$E$13))</f>
        <v>152.26989074200847</v>
      </c>
      <c r="C13" s="10">
        <f>SUMPRODUCT((MONTH('Dividend Log'!$A$2:$A$13)=12)*('Dividend Log'!$G$2:$G$13))</f>
        <v>0.93417110884667776</v>
      </c>
      <c r="D13" s="10">
        <f t="shared" si="0"/>
        <v>10.140006856009196</v>
      </c>
      <c r="E13" s="11">
        <f>SUMPRODUCT((MONTH('Dividend Log'!$A$2:$A$13)=12)*('Dividend Log'!$H$2:$H$13))</f>
        <v>0</v>
      </c>
      <c r="F13" s="10">
        <f>SUM('Holdings &amp; Settings'!B2:B4)+D13</f>
        <v>425.14000685600922</v>
      </c>
      <c r="G13" s="1"/>
      <c r="H13" s="1"/>
      <c r="I13" s="1"/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"/>
  <sheetViews>
    <sheetView showGridLines="0" workbookViewId="0">
      <pane xSplit="1" ySplit="1" topLeftCell="B2" activePane="bottomRight" state="frozen"/>
      <selection activeCell="D11" sqref="D11"/>
      <selection pane="topRight" activeCell="D11" sqref="D11"/>
      <selection pane="bottomLeft" activeCell="D11" sqref="D11"/>
      <selection pane="bottomRight" activeCell="A11" sqref="A11"/>
    </sheetView>
  </sheetViews>
  <sheetFormatPr defaultRowHeight="15" x14ac:dyDescent="0.25"/>
  <cols>
    <col min="1" max="1" width="25.7109375" bestFit="1" customWidth="1"/>
    <col min="2" max="5" width="22.85546875" customWidth="1"/>
  </cols>
  <sheetData>
    <row r="1" spans="1:5" x14ac:dyDescent="0.25">
      <c r="A1" s="8" t="s">
        <v>54</v>
      </c>
      <c r="B1" s="12">
        <f>SUM('Holdings &amp; Settings'!B2:B4)</f>
        <v>415</v>
      </c>
      <c r="C1" s="1"/>
      <c r="D1" s="1"/>
      <c r="E1" s="1"/>
    </row>
    <row r="2" spans="1:5" x14ac:dyDescent="0.25">
      <c r="A2" s="8" t="s">
        <v>55</v>
      </c>
      <c r="B2" s="13">
        <f>'Reinvestment History'!F13</f>
        <v>425.14000685600922</v>
      </c>
      <c r="C2" s="1"/>
      <c r="D2" s="1"/>
      <c r="E2" s="1"/>
    </row>
    <row r="3" spans="1:5" x14ac:dyDescent="0.25">
      <c r="A3" s="8" t="s">
        <v>42</v>
      </c>
      <c r="B3" s="13">
        <f>'Reinvestment History'!I3</f>
        <v>10.140006856009196</v>
      </c>
      <c r="C3" s="1"/>
      <c r="D3" s="1"/>
      <c r="E3" s="1"/>
    </row>
    <row r="4" spans="1:5" x14ac:dyDescent="0.25">
      <c r="A4" s="8" t="s">
        <v>56</v>
      </c>
      <c r="B4" s="14">
        <f>SUM(C10:C12)</f>
        <v>1396.9936729855567</v>
      </c>
      <c r="C4" s="1"/>
      <c r="D4" s="1"/>
      <c r="E4" s="1"/>
    </row>
    <row r="5" spans="1:5" x14ac:dyDescent="0.25">
      <c r="A5" s="8" t="s">
        <v>18</v>
      </c>
      <c r="B5" s="15">
        <f>SUMPRODUCT(D10:D12,B10:B12)/SUM(B10:B12)</f>
        <v>3.3033817099476115E-2</v>
      </c>
      <c r="C5" s="1"/>
      <c r="D5" s="1"/>
      <c r="E5" s="1"/>
    </row>
    <row r="6" spans="1:5" x14ac:dyDescent="0.25">
      <c r="A6" s="8" t="s">
        <v>57</v>
      </c>
      <c r="B6" s="14">
        <f>SUM(C10:C12)-SUM(E10:E12)</f>
        <v>30.943672985556532</v>
      </c>
      <c r="C6" s="1"/>
      <c r="D6" s="1"/>
      <c r="E6" s="1"/>
    </row>
    <row r="7" spans="1:5" x14ac:dyDescent="0.25">
      <c r="A7" s="1"/>
      <c r="B7" s="1"/>
      <c r="C7" s="1"/>
      <c r="D7" s="1"/>
      <c r="E7" s="1"/>
    </row>
    <row r="8" spans="1:5" x14ac:dyDescent="0.25">
      <c r="A8" s="1"/>
      <c r="B8" s="1"/>
      <c r="C8" s="1"/>
      <c r="D8" s="1"/>
      <c r="E8" s="1"/>
    </row>
    <row r="9" spans="1:5" x14ac:dyDescent="0.25">
      <c r="A9" s="2" t="s">
        <v>0</v>
      </c>
      <c r="B9" s="2" t="s">
        <v>58</v>
      </c>
      <c r="C9" s="2" t="s">
        <v>59</v>
      </c>
      <c r="D9" s="2" t="s">
        <v>9</v>
      </c>
      <c r="E9" s="2" t="s">
        <v>60</v>
      </c>
    </row>
    <row r="10" spans="1:5" x14ac:dyDescent="0.25">
      <c r="A10" s="3" t="s">
        <v>11</v>
      </c>
      <c r="B10" s="10">
        <f>'Dividend Log'!I13</f>
        <v>123.73247009433739</v>
      </c>
      <c r="C10" s="6">
        <f>B10*'Holdings &amp; Settings'!E2</f>
        <v>613.71305166791342</v>
      </c>
      <c r="D10" s="7">
        <f>IF('Holdings &amp; Settings'!B7=0,0,C10/'Holdings &amp; Settings'!B7)</f>
        <v>3.4439565188996261E-2</v>
      </c>
      <c r="E10" s="6">
        <f>'Holdings &amp; Settings'!B2*'Holdings &amp; Settings'!E2</f>
        <v>595.20000000000005</v>
      </c>
    </row>
    <row r="11" spans="1:5" x14ac:dyDescent="0.25">
      <c r="A11" s="3" t="s">
        <v>14</v>
      </c>
      <c r="B11" s="10">
        <f>'Dividend Log'!I11</f>
        <v>206.40753676167182</v>
      </c>
      <c r="C11" s="6">
        <f>B11*'Holdings &amp; Settings'!E3</f>
        <v>400.43062131764333</v>
      </c>
      <c r="D11" s="7">
        <f>IF('Holdings &amp; Settings'!B8=0,0,C11/'Holdings &amp; Settings'!B8)</f>
        <v>3.4460466550571715E-2</v>
      </c>
      <c r="E11" s="6">
        <f>'Holdings &amp; Settings'!B3*'Holdings &amp; Settings'!E3</f>
        <v>388</v>
      </c>
    </row>
    <row r="12" spans="1:5" x14ac:dyDescent="0.25">
      <c r="A12" s="3" t="s">
        <v>16</v>
      </c>
      <c r="B12" s="10">
        <f>'Dividend Log'!I12</f>
        <v>95</v>
      </c>
      <c r="C12" s="6">
        <f>B12*'Holdings &amp; Settings'!E4</f>
        <v>382.85</v>
      </c>
      <c r="D12" s="7">
        <f>IF('Holdings &amp; Settings'!B9=0,0,C12/'Holdings &amp; Settings'!B9)</f>
        <v>2.8103207810320784E-2</v>
      </c>
      <c r="E12" s="6">
        <f>'Holdings &amp; Settings'!B4*'Holdings &amp; Settings'!E4</f>
        <v>382.85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Holdings &amp; Settings</vt:lpstr>
      <vt:lpstr>Dividend Log</vt:lpstr>
      <vt:lpstr>Reinvestment History</vt:lpstr>
      <vt:lpstr>Income &amp; Yield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Reed</dc:creator>
  <cp:lastModifiedBy>Frenzel, Tim</cp:lastModifiedBy>
  <cp:revision>1</cp:revision>
  <dcterms:created xsi:type="dcterms:W3CDTF">2024-07-07T16:02:40Z</dcterms:created>
  <dcterms:modified xsi:type="dcterms:W3CDTF">2026-04-09T14:55:04Z</dcterms:modified>
</cp:coreProperties>
</file>