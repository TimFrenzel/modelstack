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16\"/>
    </mc:Choice>
  </mc:AlternateContent>
  <xr:revisionPtr revIDLastSave="0" documentId="13_ncr:1_{BC41537F-68E3-4813-AA20-3ED69E3D4E1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Holdings &amp; Settings" sheetId="1" r:id="rId1"/>
    <sheet name="Dividend Log" sheetId="2" r:id="rId2"/>
    <sheet name="Reinvestment History" sheetId="3" r:id="rId3"/>
    <sheet name="Income &amp; Yield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E11" i="4"/>
  <c r="E10" i="4"/>
  <c r="B1" i="4"/>
  <c r="H13" i="2"/>
  <c r="G12" i="2"/>
  <c r="H11" i="2"/>
  <c r="H10" i="2"/>
  <c r="G9" i="2"/>
  <c r="H8" i="2"/>
  <c r="H7" i="2"/>
  <c r="G6" i="2"/>
  <c r="H5" i="2"/>
  <c r="H4" i="2"/>
  <c r="C4" i="2"/>
  <c r="G3" i="2"/>
  <c r="C3" i="2"/>
  <c r="I3" i="2" s="1"/>
  <c r="C6" i="2" s="1"/>
  <c r="H2" i="2"/>
  <c r="C2" i="2"/>
  <c r="E2" i="2" s="1"/>
  <c r="I4" i="1"/>
  <c r="H4" i="1"/>
  <c r="J4" i="1" s="1"/>
  <c r="G4" i="1"/>
  <c r="I3" i="1"/>
  <c r="H3" i="1"/>
  <c r="G3" i="1"/>
  <c r="I2" i="1"/>
  <c r="H2" i="1"/>
  <c r="G2" i="1"/>
  <c r="B8" i="1" l="1"/>
  <c r="J2" i="1"/>
  <c r="B11" i="1"/>
  <c r="E3" i="2"/>
  <c r="H3" i="2" s="1"/>
  <c r="I6" i="2"/>
  <c r="C9" i="2" s="1"/>
  <c r="E6" i="2"/>
  <c r="H6" i="2" s="1"/>
  <c r="B9" i="1"/>
  <c r="J3" i="1"/>
  <c r="B10" i="1" s="1"/>
  <c r="G2" i="2"/>
  <c r="E4" i="2"/>
  <c r="I2" i="2" l="1"/>
  <c r="C5" i="2" s="1"/>
  <c r="G4" i="2"/>
  <c r="I4" i="2" s="1"/>
  <c r="C7" i="2" s="1"/>
  <c r="I9" i="2"/>
  <c r="C12" i="2" s="1"/>
  <c r="E9" i="2"/>
  <c r="H9" i="2" s="1"/>
  <c r="E7" i="2" l="1"/>
  <c r="G7" i="2" s="1"/>
  <c r="I7" i="2" s="1"/>
  <c r="C10" i="2" s="1"/>
  <c r="E5" i="2"/>
  <c r="E12" i="2"/>
  <c r="H12" i="2" s="1"/>
  <c r="E10" i="3" s="1"/>
  <c r="I12" i="2"/>
  <c r="B12" i="4" s="1"/>
  <c r="C12" i="4" s="1"/>
  <c r="D12" i="4" s="1"/>
  <c r="E6" i="3"/>
  <c r="E2" i="3"/>
  <c r="E11" i="3" l="1"/>
  <c r="E7" i="3"/>
  <c r="E10" i="2"/>
  <c r="G10" i="2" s="1"/>
  <c r="I10" i="2" s="1"/>
  <c r="C13" i="2" s="1"/>
  <c r="G5" i="2"/>
  <c r="E9" i="3"/>
  <c r="E4" i="3"/>
  <c r="E3" i="3"/>
  <c r="E12" i="3"/>
  <c r="E13" i="3"/>
  <c r="E5" i="3"/>
  <c r="E8" i="3"/>
  <c r="I4" i="3" l="1"/>
  <c r="E13" i="2"/>
  <c r="I5" i="2"/>
  <c r="C8" i="2" s="1"/>
  <c r="E8" i="2" l="1"/>
  <c r="G13" i="2"/>
  <c r="I13" i="2" s="1"/>
  <c r="B10" i="4" s="1"/>
  <c r="C10" i="4" s="1"/>
  <c r="D10" i="4" l="1"/>
  <c r="G8" i="2"/>
  <c r="I8" i="2" l="1"/>
  <c r="C11" i="2" s="1"/>
  <c r="E11" i="2" l="1"/>
  <c r="G11" i="2" l="1"/>
  <c r="B8" i="3"/>
  <c r="B11" i="3"/>
  <c r="B2" i="3"/>
  <c r="B4" i="3"/>
  <c r="B6" i="3"/>
  <c r="B5" i="3"/>
  <c r="B7" i="3"/>
  <c r="B9" i="3"/>
  <c r="B12" i="3"/>
  <c r="B3" i="3"/>
  <c r="B10" i="3"/>
  <c r="B13" i="3"/>
  <c r="I2" i="3" l="1"/>
  <c r="C11" i="3"/>
  <c r="C9" i="3"/>
  <c r="C12" i="3"/>
  <c r="C2" i="3"/>
  <c r="C5" i="3"/>
  <c r="C8" i="3"/>
  <c r="C6" i="3"/>
  <c r="C4" i="3"/>
  <c r="C13" i="3"/>
  <c r="C10" i="3"/>
  <c r="C7" i="3"/>
  <c r="C3" i="3"/>
  <c r="I11" i="2"/>
  <c r="B11" i="4" s="1"/>
  <c r="C11" i="4" s="1"/>
  <c r="D11" i="4" l="1"/>
  <c r="B5" i="4" s="1"/>
  <c r="B6" i="4"/>
  <c r="B4" i="4"/>
  <c r="I3" i="3"/>
  <c r="B3" i="4" s="1"/>
  <c r="D2" i="3"/>
  <c r="D3" i="3" l="1"/>
  <c r="F2" i="3"/>
  <c r="D4" i="3" l="1"/>
  <c r="F3" i="3"/>
  <c r="D5" i="3" l="1"/>
  <c r="F4" i="3"/>
  <c r="F5" i="3" l="1"/>
  <c r="D6" i="3"/>
  <c r="D7" i="3" l="1"/>
  <c r="F6" i="3"/>
  <c r="D8" i="3" l="1"/>
  <c r="F7" i="3"/>
  <c r="F8" i="3" l="1"/>
  <c r="D9" i="3"/>
  <c r="D10" i="3" l="1"/>
  <c r="F9" i="3"/>
  <c r="D11" i="3" l="1"/>
  <c r="F10" i="3"/>
  <c r="D12" i="3" l="1"/>
  <c r="F11" i="3"/>
  <c r="F12" i="3" l="1"/>
  <c r="D13" i="3"/>
  <c r="F13" i="3" s="1"/>
  <c r="B2" i="4" s="1"/>
</calcChain>
</file>

<file path=xl/sharedStrings.xml><?xml version="1.0" encoding="utf-8"?>
<sst xmlns="http://schemas.openxmlformats.org/spreadsheetml/2006/main" count="84" uniqueCount="61">
  <si>
    <t>Ticker</t>
  </si>
  <si>
    <t>Starting Shares</t>
  </si>
  <si>
    <t>Avg Cost / Share</t>
  </si>
  <si>
    <t>Current Price</t>
  </si>
  <si>
    <t>Annual Dividend / Share</t>
  </si>
  <si>
    <t>DRIP?</t>
  </si>
  <si>
    <t>Current Value</t>
  </si>
  <si>
    <t>Cost Basis</t>
  </si>
  <si>
    <t>Annual Income</t>
  </si>
  <si>
    <t>Yield on Cost</t>
  </si>
  <si>
    <t>JNJ</t>
  </si>
  <si>
    <t>Yes</t>
  </si>
  <si>
    <t>Total portfolio value</t>
  </si>
  <si>
    <t>KO</t>
  </si>
  <si>
    <t>Total annual income</t>
  </si>
  <si>
    <t>PG</t>
  </si>
  <si>
    <t>No</t>
  </si>
  <si>
    <t>Weighted yield on cost</t>
  </si>
  <si>
    <t>Monthly run rate</t>
  </si>
  <si>
    <t>Pay Date</t>
  </si>
  <si>
    <t>Shares at Pay Date</t>
  </si>
  <si>
    <t>Dividend / Share</t>
  </si>
  <si>
    <t>Cash Dividend</t>
  </si>
  <si>
    <t>DRIP Price</t>
  </si>
  <si>
    <t>Shares Added</t>
  </si>
  <si>
    <t>Cash Taken</t>
  </si>
  <si>
    <t>Ending Shares</t>
  </si>
  <si>
    <t>Notes</t>
  </si>
  <si>
    <t>jan</t>
  </si>
  <si>
    <t>cash</t>
  </si>
  <si>
    <t>drip</t>
  </si>
  <si>
    <t>tiny raise</t>
  </si>
  <si>
    <t>holiday wk</t>
  </si>
  <si>
    <t>Month</t>
  </si>
  <si>
    <t>Dividend Cash Generated</t>
  </si>
  <si>
    <t>Cumulative Shares Added</t>
  </si>
  <si>
    <t>Total Shares Outstanding</t>
  </si>
  <si>
    <t>Roll-Up</t>
  </si>
  <si>
    <t>Jan</t>
  </si>
  <si>
    <t>Total dividends</t>
  </si>
  <si>
    <t>Feb</t>
  </si>
  <si>
    <t>Total shares added</t>
  </si>
  <si>
    <t>Mar</t>
  </si>
  <si>
    <t>Total cash taken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</si>
  <si>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</si>
  <si>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</si>
  <si>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</si>
  <si>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</si>
  <si>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</si>
  <si>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</si>
  <si>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</si>
  <si>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</si>
  <si>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</si>
  <si>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Starting shares</t>
  </si>
  <si>
    <t>Ending shares</t>
  </si>
  <si>
    <t>Annual income now</t>
  </si>
  <si>
    <t>DRIP vs cash annual income</t>
  </si>
  <si>
    <t>Current Shares</t>
  </si>
  <si>
    <t>Current Annual Income</t>
  </si>
  <si>
    <t>Cash-Take Annual Income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</si>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</sst>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E4EAF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3" borderId="0" xfId="0" applyNumberFormat="1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5" borderId="1" xfId="0" applyNumberFormat="1" applyFont="1" applyFill="1" applyBorder="1" applyAlignment="1">
      <alignment vertical="center"/>
    </xf>
    <xf numFmtId="10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7" fontId="3" fillId="5" borderId="1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167" fontId="3" fillId="5" borderId="2" xfId="0" applyNumberFormat="1" applyFont="1" applyFill="1" applyBorder="1" applyAlignment="1">
      <alignment vertical="center"/>
    </xf>
    <xf numFmtId="165" fontId="3" fillId="5" borderId="2" xfId="0" applyNumberFormat="1" applyFont="1" applyFill="1" applyBorder="1" applyAlignment="1">
      <alignment vertical="center"/>
    </xf>
    <xf numFmtId="10" fontId="3" fillId="5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'Reinvestment History'!$F$1</c:f>
              <c:strCache>
                <c:ptCount val="1"/>
                <c:pt idx="0">
                  <c:v>Total Shares Outstanding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'Reinvestment History'!$A$2:$A$13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'Reinvestment History'!$F$2:$F$13</c:f>
              <c:numCache>
                <c:formatCode>0.0000</c:formatCode>
                <c:ptCount val="12"/>
                <c:pt idx="0">
                  <c:v>416.6112956810631</c:v>
                </c:pt>
                <c:pt idx="1">
                  <c:v>416.6112956810631</c:v>
                </c:pt>
                <c:pt idx="2">
                  <c:v>417.5447963084157</c:v>
                </c:pt>
                <c:pt idx="3">
                  <c:v>419.14777136424055</c:v>
                </c:pt>
                <c:pt idx="4">
                  <c:v>419.14777136424055</c:v>
                </c:pt>
                <c:pt idx="5">
                  <c:v>420.08034313524752</c:v>
                </c:pt>
                <c:pt idx="6">
                  <c:v>421.67843594395504</c:v>
                </c:pt>
                <c:pt idx="7">
                  <c:v>421.67843594395504</c:v>
                </c:pt>
                <c:pt idx="8">
                  <c:v>422.61066253108623</c:v>
                </c:pt>
                <c:pt idx="9">
                  <c:v>424.2058357471625</c:v>
                </c:pt>
                <c:pt idx="10">
                  <c:v>424.2058357471625</c:v>
                </c:pt>
                <c:pt idx="11">
                  <c:v>425.14000685600922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1-45F2-8DD2-2427E874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80822399"/>
        <c:axId val="1780822879"/>
      </c:lineChart>
      <c:catAx>
        <c:axId val="17808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22879"/>
        <c:crosses val="autoZero"/>
        <c:auto val="1"/>
        <c:lblAlgn val="ctr"/>
        <c:lblOffset val="100"/>
        <c:noMultiLvlLbl val="0"/>
      </c:catAx>
      <c:valAx>
        <c:axId val="1780822879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2239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'Reinvestment History'!$B$1</c:f>
              <c:strCache>
                <c:ptCount val="1"/>
                <c:pt idx="0">
                  <c:v>Dividend Cash Generated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'Reinvestment History'!$A$2:$A$13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'Reinvestment History'!$B$2:$B$13</c:f>
              <c:numCache>
                <c:formatCode>"$"#,##0.00</c:formatCode>
                <c:ptCount val="12"/>
                <c:pt idx="0">
                  <c:v>97</c:v>
                </c:pt>
                <c:pt idx="1">
                  <c:v>95.664999999999992</c:v>
                </c:pt>
                <c:pt idx="2">
                  <c:v>148.80000000000001</c:v>
                </c:pt>
                <c:pt idx="3">
                  <c:v>97.78147840531561</c:v>
                </c:pt>
                <c:pt idx="4">
                  <c:v>95.664999999999992</c:v>
                </c:pt>
                <c:pt idx="5">
                  <c:v>149.95754077791719</c:v>
                </c:pt>
                <c:pt idx="6">
                  <c:v>98.762135578127555</c:v>
                </c:pt>
                <c:pt idx="7">
                  <c:v>95.664999999999992</c:v>
                </c:pt>
                <c:pt idx="8">
                  <c:v>151.11392977396579</c:v>
                </c:pt>
                <c:pt idx="9">
                  <c:v>99.538808683159445</c:v>
                </c:pt>
                <c:pt idx="10">
                  <c:v>95.664999999999992</c:v>
                </c:pt>
                <c:pt idx="11">
                  <c:v>152.26989074200847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1-42C7-BE8A-67A761414E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2640"/>
        <c:axId val="91200"/>
      </c:barChart>
      <c:catAx>
        <c:axId val="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0"/>
        <c:crosses val="autoZero"/>
        <c:auto val="1"/>
        <c:lblAlgn val="ctr"/>
        <c:lblOffset val="100"/>
        <c:noMultiLvlLbl val="0"/>
      </c:catAx>
      <c:valAx>
        <c:axId val="9120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'Income &amp; Yield Summary'!$C$9</c:f>
              <c:strCache>
                <c:ptCount val="1"/>
                <c:pt idx="0">
                  <c:v>Current Annual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'Income &amp; Yield Summary'!$A$10:$A$12</c:f>
              <c:strCache>
                <c:ptCount val="3"/>
                <c:pt idx="0">
                  <c:v>JNJ</c:v>
                </c:pt>
                <c:pt idx="1">
                  <c:v>KO</c:v>
                </c:pt>
                <c:pt idx="2">
                  <c:v>PG</c:v>
                </c:pt>
              </c:strCache>
            </c:strRef>
          </c:cat>
          <c:val>
            <c:numRef>
              <c:f>'Income &amp; Yield Summary'!$C$10:$C$12</c:f>
              <c:numCache>
                <c:formatCode>"$"#,##0</c:formatCode>
                <c:ptCount val="3"/>
                <c:pt idx="0">
                  <c:v>613.71305166791342</c:v>
                </c:pt>
                <c:pt idx="1">
                  <c:v>400.43062131764333</c:v>
                </c:pt>
                <c:pt idx="2">
                  <c:v>382.85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D-4F1D-A10C-FA22304F84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212864</xdr:colOff>
      <xdr:row>0</xdr:row>
      <xdr:rowOff>42655</xdr:rowOff>
    </xdr:from>
    <xdr:to>
      <xdr:col>11</xdr:col>
      <xdr:colOff>579783</xdr:colOff>
      <xdr:row>14</xdr:row>
      <xdr:rowOff>118855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68405F-9914-44E7-8881-014955290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215346</xdr:colOff>
      <xdr:row>15</xdr:row>
      <xdr:rowOff>8282</xdr:rowOff>
    </xdr:from>
    <xdr:to>
      <xdr:col>11</xdr:col>
      <xdr:colOff>563217</xdr:colOff>
      <xdr:row>29</xdr:row>
      <xdr:rowOff>84482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39AA6-955F-4EF0-B5EE-ADC5B6D37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120098</xdr:colOff>
      <xdr:row>8</xdr:row>
      <xdr:rowOff>127552</xdr:rowOff>
    </xdr:from>
    <xdr:to>
      <xdr:col>19</xdr:col>
      <xdr:colOff>401706</xdr:colOff>
      <xdr:row>23</xdr:row>
      <xdr:rowOff>13252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CBA88F-6563-764C-C02F-46691108E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zoomScale="145" zoomScaleNormal="145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1.7109375" bestFit="1" customWidth="1"/>
    <col min="2" max="2" width="14.28515625" bestFit="1" customWidth="1"/>
    <col min="3" max="3" width="15.42578125" bestFit="1" customWidth="1"/>
    <col min="4" max="4" width="12.5703125" bestFit="1" customWidth="1"/>
    <col min="5" max="5" width="22.85546875" bestFit="1" customWidth="1"/>
    <col min="6" max="6" width="6.140625" bestFit="1" customWidth="1"/>
    <col min="7" max="7" width="13.42578125" bestFit="1" customWidth="1"/>
    <col min="8" max="8" width="9.7109375" bestFit="1" customWidth="1"/>
    <col min="9" max="9" width="14.42578125" bestFit="1" customWidth="1"/>
    <col min="10" max="10" width="12.5703125" bestFit="1" customWidth="1"/>
    <col min="11" max="11" width="20" customWidth="1"/>
    <col min="12" max="12" width="21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25">
      <c r="A2" s="3" t="s">
        <v>10</v>
      </c>
      <c r="B2" s="4">
        <v>120</v>
      </c>
      <c r="C2" s="5">
        <v>148.5</v>
      </c>
      <c r="D2" s="5">
        <v>161.19999999999999</v>
      </c>
      <c r="E2" s="5">
        <v>4.96</v>
      </c>
      <c r="F2" s="3" t="s">
        <v>11</v>
      </c>
      <c r="G2" s="6">
        <f>B2*D2</f>
        <v>19344</v>
      </c>
      <c r="H2" s="6">
        <f>B2*C2</f>
        <v>17820</v>
      </c>
      <c r="I2" s="6">
        <f>B2*E2</f>
        <v>595.20000000000005</v>
      </c>
      <c r="J2" s="7">
        <f>IF(H2=0,0,I2/H2)</f>
        <v>3.3400673400673403E-2</v>
      </c>
      <c r="K2" s="1"/>
    </row>
    <row r="3" spans="1:11" x14ac:dyDescent="0.25">
      <c r="A3" s="3" t="s">
        <v>13</v>
      </c>
      <c r="B3" s="4">
        <v>200</v>
      </c>
      <c r="C3" s="5">
        <v>58.1</v>
      </c>
      <c r="D3" s="5">
        <v>62.3</v>
      </c>
      <c r="E3" s="5">
        <v>1.94</v>
      </c>
      <c r="F3" s="3" t="s">
        <v>11</v>
      </c>
      <c r="G3" s="6">
        <f>B3*D3</f>
        <v>12460</v>
      </c>
      <c r="H3" s="6">
        <f>B3*C3</f>
        <v>11620</v>
      </c>
      <c r="I3" s="6">
        <f>B3*E3</f>
        <v>388</v>
      </c>
      <c r="J3" s="7">
        <f>IF(H3=0,0,I3/H3)</f>
        <v>3.3390705679862305E-2</v>
      </c>
      <c r="K3" s="1"/>
    </row>
    <row r="4" spans="1:11" x14ac:dyDescent="0.25">
      <c r="A4" s="3" t="s">
        <v>15</v>
      </c>
      <c r="B4" s="4">
        <v>95</v>
      </c>
      <c r="C4" s="5">
        <v>143.4</v>
      </c>
      <c r="D4" s="5">
        <v>158.1</v>
      </c>
      <c r="E4" s="5">
        <v>4.03</v>
      </c>
      <c r="F4" s="3" t="s">
        <v>16</v>
      </c>
      <c r="G4" s="6">
        <f>B4*D4</f>
        <v>15019.5</v>
      </c>
      <c r="H4" s="6">
        <f>B4*C4</f>
        <v>13623</v>
      </c>
      <c r="I4" s="6">
        <f>B4*E4</f>
        <v>382.85</v>
      </c>
      <c r="J4" s="7">
        <f>IF(H4=0,0,I4/H4)</f>
        <v>2.8103207810320784E-2</v>
      </c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7" spans="1:11" x14ac:dyDescent="0.25">
      <c r="A7" s="2" t="s">
        <v>60</v>
      </c>
      <c r="B7" s="1"/>
    </row>
    <row r="8" spans="1:11" x14ac:dyDescent="0.25">
      <c r="A8" s="8" t="s">
        <v>12</v>
      </c>
      <c r="B8" s="12">
        <f>SUM(G2:G4)</f>
        <v>46823.5</v>
      </c>
    </row>
    <row r="9" spans="1:11" x14ac:dyDescent="0.25">
      <c r="A9" s="8" t="s">
        <v>14</v>
      </c>
      <c r="B9" s="12">
        <f>SUM(I2:I4)</f>
        <v>1366.0500000000002</v>
      </c>
    </row>
    <row r="10" spans="1:11" x14ac:dyDescent="0.25">
      <c r="A10" s="8" t="s">
        <v>17</v>
      </c>
      <c r="B10" s="13">
        <f>SUMPRODUCT(J2:J4,H2:H4)/SUM(H2:H4)</f>
        <v>3.1722128044957394E-2</v>
      </c>
    </row>
    <row r="11" spans="1:11" x14ac:dyDescent="0.25">
      <c r="A11" s="8" t="s">
        <v>18</v>
      </c>
      <c r="B11" s="12">
        <f>SUM(I2:I4)/12</f>
        <v>113.83750000000002</v>
      </c>
    </row>
  </sheetData>
  <dataValidations count="1">
    <dataValidation type="list" sqref="F2:F4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zoomScale="145" zoomScaleNormal="145" workbookViewId="0">
      <pane xSplit="1" ySplit="1" topLeftCell="B2" activePane="bottomRight" state="frozen"/>
      <selection activeCell="E10" sqref="E10"/>
      <selection pane="topRight" activeCell="E10" sqref="E10"/>
      <selection pane="bottomLeft" activeCell="E10" sqref="E10"/>
      <selection pane="bottomRight" activeCell="C7" sqref="C7"/>
    </sheetView>
  </sheetViews>
  <sheetFormatPr defaultRowHeight="15" x14ac:dyDescent="0.25"/>
  <cols>
    <col min="1" max="1" width="15.5703125" customWidth="1"/>
    <col min="2" max="2" width="6.28515625" bestFit="1" customWidth="1"/>
    <col min="3" max="3" width="17.42578125" bestFit="1" customWidth="1"/>
    <col min="4" max="4" width="15.85546875" bestFit="1" customWidth="1"/>
    <col min="5" max="5" width="13.7109375" bestFit="1" customWidth="1"/>
    <col min="6" max="6" width="10" bestFit="1" customWidth="1"/>
    <col min="7" max="7" width="13.28515625" bestFit="1" customWidth="1"/>
    <col min="8" max="8" width="10.85546875" bestFit="1" customWidth="1"/>
    <col min="9" max="9" width="13.42578125" bestFit="1" customWidth="1"/>
    <col min="10" max="10" width="10.5703125" bestFit="1" customWidth="1"/>
  </cols>
  <sheetData>
    <row r="1" spans="1:10" x14ac:dyDescent="0.25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x14ac:dyDescent="0.25">
      <c r="A2" s="9">
        <v>46031</v>
      </c>
      <c r="B2" s="3" t="s">
        <v>13</v>
      </c>
      <c r="C2" s="10">
        <f>'Holdings &amp; Settings'!B3</f>
        <v>200</v>
      </c>
      <c r="D2" s="5">
        <v>0.48499999999999999</v>
      </c>
      <c r="E2" s="11">
        <f t="shared" ref="E2:E13" si="0">C2*D2</f>
        <v>97</v>
      </c>
      <c r="F2" s="5">
        <v>60.2</v>
      </c>
      <c r="G2" s="10">
        <f>IF('Holdings &amp; Settings'!F3="Yes",E2/F2,0)</f>
        <v>1.6112956810631229</v>
      </c>
      <c r="H2" s="11">
        <f>IF('Holdings &amp; Settings'!F3="No",E2,0)</f>
        <v>0</v>
      </c>
      <c r="I2" s="10">
        <f t="shared" ref="I2:I13" si="1">C2+G2</f>
        <v>201.61129568106313</v>
      </c>
      <c r="J2" s="3" t="s">
        <v>28</v>
      </c>
    </row>
    <row r="3" spans="1:10" x14ac:dyDescent="0.25">
      <c r="A3" s="9">
        <v>46080</v>
      </c>
      <c r="B3" s="3" t="s">
        <v>15</v>
      </c>
      <c r="C3" s="10">
        <f>'Holdings &amp; Settings'!B4</f>
        <v>95</v>
      </c>
      <c r="D3" s="5">
        <v>1.0069999999999999</v>
      </c>
      <c r="E3" s="11">
        <f t="shared" si="0"/>
        <v>95.664999999999992</v>
      </c>
      <c r="F3" s="5">
        <v>154.1</v>
      </c>
      <c r="G3" s="10">
        <f>IF('Holdings &amp; Settings'!F4="Yes",E3/F3,0)</f>
        <v>0</v>
      </c>
      <c r="H3" s="11">
        <f>IF('Holdings &amp; Settings'!F4="No",E3,0)</f>
        <v>95.664999999999992</v>
      </c>
      <c r="I3" s="10">
        <f t="shared" si="1"/>
        <v>95</v>
      </c>
      <c r="J3" s="3"/>
    </row>
    <row r="4" spans="1:10" x14ac:dyDescent="0.25">
      <c r="A4" s="9">
        <v>46093</v>
      </c>
      <c r="B4" s="3" t="s">
        <v>10</v>
      </c>
      <c r="C4" s="10">
        <f>'Holdings &amp; Settings'!B2</f>
        <v>120</v>
      </c>
      <c r="D4" s="5">
        <v>1.24</v>
      </c>
      <c r="E4" s="11">
        <f t="shared" si="0"/>
        <v>148.80000000000001</v>
      </c>
      <c r="F4" s="5">
        <v>159.4</v>
      </c>
      <c r="G4" s="10">
        <f>IF('Holdings &amp; Settings'!F2="Yes",E4/F4,0)</f>
        <v>0.93350062735257222</v>
      </c>
      <c r="H4" s="11">
        <f>IF('Holdings &amp; Settings'!F2="No",E4,0)</f>
        <v>0</v>
      </c>
      <c r="I4" s="10">
        <f t="shared" si="1"/>
        <v>120.93350062735257</v>
      </c>
      <c r="J4" s="3" t="s">
        <v>29</v>
      </c>
    </row>
    <row r="5" spans="1:10" x14ac:dyDescent="0.25">
      <c r="A5" s="9">
        <v>46122</v>
      </c>
      <c r="B5" s="3" t="s">
        <v>13</v>
      </c>
      <c r="C5" s="10">
        <f t="shared" ref="C5:C13" si="2">I2</f>
        <v>201.61129568106313</v>
      </c>
      <c r="D5" s="5">
        <v>0.48499999999999999</v>
      </c>
      <c r="E5" s="11">
        <f t="shared" si="0"/>
        <v>97.78147840531561</v>
      </c>
      <c r="F5" s="5">
        <v>61</v>
      </c>
      <c r="G5" s="10">
        <f>IF('Holdings &amp; Settings'!F3="Yes",E5/F5,0)</f>
        <v>1.6029750558248461</v>
      </c>
      <c r="H5" s="11">
        <f>IF('Holdings &amp; Settings'!F3="No",E5,0)</f>
        <v>0</v>
      </c>
      <c r="I5" s="10">
        <f t="shared" si="1"/>
        <v>203.21427073688798</v>
      </c>
      <c r="J5" s="3"/>
    </row>
    <row r="6" spans="1:10" x14ac:dyDescent="0.25">
      <c r="A6" s="9">
        <v>46170</v>
      </c>
      <c r="B6" s="3" t="s">
        <v>15</v>
      </c>
      <c r="C6" s="10">
        <f t="shared" si="2"/>
        <v>95</v>
      </c>
      <c r="D6" s="5">
        <v>1.0069999999999999</v>
      </c>
      <c r="E6" s="11">
        <f t="shared" si="0"/>
        <v>95.664999999999992</v>
      </c>
      <c r="F6" s="5">
        <v>156.30000000000001</v>
      </c>
      <c r="G6" s="10">
        <f>IF('Holdings &amp; Settings'!F4="Yes",E6/F6,0)</f>
        <v>0</v>
      </c>
      <c r="H6" s="11">
        <f>IF('Holdings &amp; Settings'!F4="No",E6,0)</f>
        <v>95.664999999999992</v>
      </c>
      <c r="I6" s="10">
        <f t="shared" si="1"/>
        <v>95</v>
      </c>
      <c r="J6" s="3" t="s">
        <v>30</v>
      </c>
    </row>
    <row r="7" spans="1:10" x14ac:dyDescent="0.25">
      <c r="A7" s="9">
        <v>46184</v>
      </c>
      <c r="B7" s="3" t="s">
        <v>10</v>
      </c>
      <c r="C7" s="10">
        <f t="shared" si="2"/>
        <v>120.93350062735257</v>
      </c>
      <c r="D7" s="5">
        <v>1.24</v>
      </c>
      <c r="E7" s="11">
        <f t="shared" si="0"/>
        <v>149.95754077791719</v>
      </c>
      <c r="F7" s="5">
        <v>160.80000000000001</v>
      </c>
      <c r="G7" s="10">
        <f>IF('Holdings &amp; Settings'!F2="Yes",E7/F7,0)</f>
        <v>0.93257177100694766</v>
      </c>
      <c r="H7" s="11">
        <f>IF('Holdings &amp; Settings'!F2="No",E7,0)</f>
        <v>0</v>
      </c>
      <c r="I7" s="10">
        <f t="shared" si="1"/>
        <v>121.86607239835952</v>
      </c>
      <c r="J7" s="3"/>
    </row>
    <row r="8" spans="1:10" x14ac:dyDescent="0.25">
      <c r="A8" s="9">
        <v>46214</v>
      </c>
      <c r="B8" s="3" t="s">
        <v>13</v>
      </c>
      <c r="C8" s="10">
        <f t="shared" si="2"/>
        <v>203.21427073688798</v>
      </c>
      <c r="D8" s="5">
        <v>0.48599999999999999</v>
      </c>
      <c r="E8" s="11">
        <f t="shared" si="0"/>
        <v>98.762135578127555</v>
      </c>
      <c r="F8" s="5">
        <v>61.8</v>
      </c>
      <c r="G8" s="10">
        <f>IF('Holdings &amp; Settings'!F3="Yes",E8/F8,0)</f>
        <v>1.5980928087075656</v>
      </c>
      <c r="H8" s="11">
        <f>IF('Holdings &amp; Settings'!F3="No",E8,0)</f>
        <v>0</v>
      </c>
      <c r="I8" s="10">
        <f t="shared" si="1"/>
        <v>204.81236354559556</v>
      </c>
      <c r="J8" s="3" t="s">
        <v>31</v>
      </c>
    </row>
    <row r="9" spans="1:10" x14ac:dyDescent="0.25">
      <c r="A9" s="9">
        <v>46261</v>
      </c>
      <c r="B9" s="3" t="s">
        <v>15</v>
      </c>
      <c r="C9" s="10">
        <f t="shared" si="2"/>
        <v>95</v>
      </c>
      <c r="D9" s="5">
        <v>1.0069999999999999</v>
      </c>
      <c r="E9" s="11">
        <f t="shared" si="0"/>
        <v>95.664999999999992</v>
      </c>
      <c r="F9" s="5">
        <v>157.19999999999999</v>
      </c>
      <c r="G9" s="10">
        <f>IF('Holdings &amp; Settings'!F4="Yes",E9/F9,0)</f>
        <v>0</v>
      </c>
      <c r="H9" s="11">
        <f>IF('Holdings &amp; Settings'!F4="No",E9,0)</f>
        <v>95.664999999999992</v>
      </c>
      <c r="I9" s="10">
        <f t="shared" si="1"/>
        <v>95</v>
      </c>
      <c r="J9" s="3"/>
    </row>
    <row r="10" spans="1:10" x14ac:dyDescent="0.25">
      <c r="A10" s="9">
        <v>46275</v>
      </c>
      <c r="B10" s="3" t="s">
        <v>10</v>
      </c>
      <c r="C10" s="10">
        <f t="shared" si="2"/>
        <v>121.86607239835952</v>
      </c>
      <c r="D10" s="5">
        <v>1.24</v>
      </c>
      <c r="E10" s="11">
        <f t="shared" si="0"/>
        <v>151.11392977396579</v>
      </c>
      <c r="F10" s="5">
        <v>162.1</v>
      </c>
      <c r="G10" s="10">
        <f>IF('Holdings &amp; Settings'!F2="Yes",E10/F10,0)</f>
        <v>0.93222658713118933</v>
      </c>
      <c r="H10" s="11">
        <f>IF('Holdings &amp; Settings'!F2="No",E10,0)</f>
        <v>0</v>
      </c>
      <c r="I10" s="10">
        <f t="shared" si="1"/>
        <v>122.7982989854907</v>
      </c>
      <c r="J10" s="3"/>
    </row>
    <row r="11" spans="1:10" x14ac:dyDescent="0.25">
      <c r="A11" s="9">
        <v>46305</v>
      </c>
      <c r="B11" s="3" t="s">
        <v>13</v>
      </c>
      <c r="C11" s="10">
        <f t="shared" si="2"/>
        <v>204.81236354559556</v>
      </c>
      <c r="D11" s="5">
        <v>0.48599999999999999</v>
      </c>
      <c r="E11" s="11">
        <f t="shared" si="0"/>
        <v>99.538808683159445</v>
      </c>
      <c r="F11" s="5">
        <v>62.4</v>
      </c>
      <c r="G11" s="10">
        <f>IF('Holdings &amp; Settings'!F3="Yes",E11/F11,0)</f>
        <v>1.5951732160762733</v>
      </c>
      <c r="H11" s="11">
        <f>IF('Holdings &amp; Settings'!F3="No",E11,0)</f>
        <v>0</v>
      </c>
      <c r="I11" s="10">
        <f t="shared" si="1"/>
        <v>206.40753676167182</v>
      </c>
      <c r="J11" s="3"/>
    </row>
    <row r="12" spans="1:10" x14ac:dyDescent="0.25">
      <c r="A12" s="9">
        <v>46352</v>
      </c>
      <c r="B12" s="3" t="s">
        <v>15</v>
      </c>
      <c r="C12" s="10">
        <f t="shared" si="2"/>
        <v>95</v>
      </c>
      <c r="D12" s="5">
        <v>1.0069999999999999</v>
      </c>
      <c r="E12" s="11">
        <f t="shared" si="0"/>
        <v>95.664999999999992</v>
      </c>
      <c r="F12" s="5">
        <v>158.4</v>
      </c>
      <c r="G12" s="10">
        <f>IF('Holdings &amp; Settings'!F4="Yes",E12/F12,0)</f>
        <v>0</v>
      </c>
      <c r="H12" s="11">
        <f>IF('Holdings &amp; Settings'!F4="No",E12,0)</f>
        <v>95.664999999999992</v>
      </c>
      <c r="I12" s="10">
        <f t="shared" si="1"/>
        <v>95</v>
      </c>
      <c r="J12" s="3" t="s">
        <v>32</v>
      </c>
    </row>
    <row r="13" spans="1:10" x14ac:dyDescent="0.25">
      <c r="A13" s="9">
        <v>46366</v>
      </c>
      <c r="B13" s="3" t="s">
        <v>10</v>
      </c>
      <c r="C13" s="10">
        <f t="shared" si="2"/>
        <v>122.7982989854907</v>
      </c>
      <c r="D13" s="5">
        <v>1.24</v>
      </c>
      <c r="E13" s="11">
        <f t="shared" si="0"/>
        <v>152.26989074200847</v>
      </c>
      <c r="F13" s="5">
        <v>163</v>
      </c>
      <c r="G13" s="10">
        <f>IF('Holdings &amp; Settings'!F2="Yes",E13/F13,0)</f>
        <v>0.93417110884667776</v>
      </c>
      <c r="H13" s="11">
        <f>IF('Holdings &amp; Settings'!F2="No",E13,0)</f>
        <v>0</v>
      </c>
      <c r="I13" s="10">
        <f t="shared" si="1"/>
        <v>123.73247009433739</v>
      </c>
      <c r="J1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zoomScale="145" zoomScaleNormal="145" workbookViewId="0">
      <pane xSplit="1" ySplit="1" topLeftCell="B2" activePane="bottomRight" state="frozen"/>
      <selection activeCell="E10" sqref="E10"/>
      <selection pane="topRight" activeCell="E10" sqref="E10"/>
      <selection pane="bottomLeft" activeCell="E10" sqref="E10"/>
      <selection pane="bottomRight" sqref="A1:B13"/>
    </sheetView>
  </sheetViews>
  <sheetFormatPr defaultRowHeight="15" x14ac:dyDescent="0.25"/>
  <cols>
    <col min="1" max="1" width="7" bestFit="1" customWidth="1"/>
    <col min="2" max="2" width="24" bestFit="1" customWidth="1"/>
    <col min="3" max="3" width="13.28515625" bestFit="1" customWidth="1"/>
    <col min="4" max="4" width="24.140625" bestFit="1" customWidth="1"/>
    <col min="5" max="5" width="10.85546875" bestFit="1" customWidth="1"/>
    <col min="6" max="6" width="23.42578125" bestFit="1" customWidth="1"/>
    <col min="7" max="7" width="6" customWidth="1"/>
    <col min="8" max="8" width="17.85546875" bestFit="1" customWidth="1"/>
    <col min="9" max="9" width="9.5703125" bestFit="1" customWidth="1"/>
    <col min="10" max="10" width="15.140625" customWidth="1"/>
  </cols>
  <sheetData>
    <row r="1" spans="1:9" x14ac:dyDescent="0.25">
      <c r="A1" s="2" t="s">
        <v>33</v>
      </c>
      <c r="B1" s="2" t="s">
        <v>34</v>
      </c>
      <c r="C1" s="2" t="s">
        <v>24</v>
      </c>
      <c r="D1" s="2" t="s">
        <v>35</v>
      </c>
      <c r="E1" s="2" t="s">
        <v>25</v>
      </c>
      <c r="F1" s="2" t="s">
        <v>36</v>
      </c>
      <c r="G1" s="1"/>
      <c r="H1" s="2" t="s">
        <v>37</v>
      </c>
      <c r="I1" s="1"/>
    </row>
    <row r="2" spans="1:9" x14ac:dyDescent="0.25">
      <c r="A2" s="3" t="s">
        <v>38</v>
      </c>
      <c r="B2" s="11">
        <f>SUMPRODUCT((MONTH('Dividend Log'!$A$2:$A$13)=1)*('Dividend Log'!$E$2:$E$13))</f>
        <v>97</v>
      </c>
      <c r="C2" s="10">
        <f>SUMPRODUCT((MONTH('Dividend Log'!$A$2:$A$13)=1)*('Dividend Log'!$G$2:$G$13))</f>
        <v>1.6112956810631229</v>
      </c>
      <c r="D2" s="10">
        <f>C2</f>
        <v>1.6112956810631229</v>
      </c>
      <c r="E2" s="11">
        <f>SUMPRODUCT((MONTH('Dividend Log'!$A$2:$A$13)=1)*('Dividend Log'!$H$2:$H$13))</f>
        <v>0</v>
      </c>
      <c r="F2" s="10">
        <f>SUM('Holdings &amp; Settings'!B2:B4)+D2</f>
        <v>416.6112956810631</v>
      </c>
      <c r="G2" s="1"/>
      <c r="H2" s="8" t="s">
        <v>39</v>
      </c>
      <c r="I2" s="14">
        <f>SUM(B2:B13)</f>
        <v>1377.8837839604942</v>
      </c>
    </row>
    <row r="3" spans="1:9" x14ac:dyDescent="0.25">
      <c r="A3" s="3" t="s">
        <v>40</v>
      </c>
      <c r="B3" s="11">
        <f>SUMPRODUCT((MONTH('Dividend Log'!$A$2:$A$13)=2)*('Dividend Log'!$E$2:$E$13))</f>
        <v>95.664999999999992</v>
      </c>
      <c r="C3" s="10">
        <f>SUMPRODUCT((MONTH('Dividend Log'!$A$2:$A$13)=2)*('Dividend Log'!$G$2:$G$13))</f>
        <v>0</v>
      </c>
      <c r="D3" s="10">
        <f t="shared" ref="D3:D13" si="0">D2+C3</f>
        <v>1.6112956810631229</v>
      </c>
      <c r="E3" s="11">
        <f>SUMPRODUCT((MONTH('Dividend Log'!$A$2:$A$13)=2)*('Dividend Log'!$H$2:$H$13))</f>
        <v>95.664999999999992</v>
      </c>
      <c r="F3" s="10">
        <f>SUM('Holdings &amp; Settings'!B2:B4)+D3</f>
        <v>416.6112956810631</v>
      </c>
      <c r="G3" s="1"/>
      <c r="H3" s="8" t="s">
        <v>41</v>
      </c>
      <c r="I3" s="15">
        <f>SUM(C2:C13)</f>
        <v>10.140006856009196</v>
      </c>
    </row>
    <row r="4" spans="1:9" x14ac:dyDescent="0.25">
      <c r="A4" s="3" t="s">
        <v>42</v>
      </c>
      <c r="B4" s="11">
        <f>SUMPRODUCT((MONTH('Dividend Log'!$A$2:$A$13)=3)*('Dividend Log'!$E$2:$E$13))</f>
        <v>148.80000000000001</v>
      </c>
      <c r="C4" s="10">
        <f>SUMPRODUCT((MONTH('Dividend Log'!$A$2:$A$13)=3)*('Dividend Log'!$G$2:$G$13))</f>
        <v>0.93350062735257222</v>
      </c>
      <c r="D4" s="10">
        <f t="shared" si="0"/>
        <v>2.544796308415695</v>
      </c>
      <c r="E4" s="11">
        <f>SUMPRODUCT((MONTH('Dividend Log'!$A$2:$A$13)=3)*('Dividend Log'!$H$2:$H$13))</f>
        <v>0</v>
      </c>
      <c r="F4" s="10">
        <f>SUM('Holdings &amp; Settings'!B2:B4)+D4</f>
        <v>417.5447963084157</v>
      </c>
      <c r="G4" s="1"/>
      <c r="H4" s="8" t="s">
        <v>43</v>
      </c>
      <c r="I4" s="14">
        <f>SUM(E2:E13)</f>
        <v>382.65999999999997</v>
      </c>
    </row>
    <row r="5" spans="1:9" x14ac:dyDescent="0.25">
      <c r="A5" s="3" t="s">
        <v>44</v>
      </c>
      <c r="B5" s="11">
        <f>SUMPRODUCT((MONTH('Dividend Log'!$A$2:$A$13)=4)*('Dividend Log'!$E$2:$E$13))</f>
        <v>97.78147840531561</v>
      </c>
      <c r="C5" s="10">
        <f>SUMPRODUCT((MONTH('Dividend Log'!$A$2:$A$13)=4)*('Dividend Log'!$G$2:$G$13))</f>
        <v>1.6029750558248461</v>
      </c>
      <c r="D5" s="10">
        <f t="shared" si="0"/>
        <v>4.1477713642405414</v>
      </c>
      <c r="E5" s="11">
        <f>SUMPRODUCT((MONTH('Dividend Log'!$A$2:$A$13)=4)*('Dividend Log'!$H$2:$H$13))</f>
        <v>0</v>
      </c>
      <c r="F5" s="10">
        <f>SUM('Holdings &amp; Settings'!B2:B4)+D5</f>
        <v>419.14777136424055</v>
      </c>
      <c r="G5" s="1"/>
      <c r="H5" s="1"/>
      <c r="I5" s="1"/>
    </row>
    <row r="6" spans="1:9" x14ac:dyDescent="0.25">
      <c r="A6" s="3" t="s">
        <v>45</v>
      </c>
      <c r="B6" s="11">
        <f>SUMPRODUCT((MONTH('Dividend Log'!$A$2:$A$13)=5)*('Dividend Log'!$E$2:$E$13))</f>
        <v>95.664999999999992</v>
      </c>
      <c r="C6" s="10">
        <f>SUMPRODUCT((MONTH('Dividend Log'!$A$2:$A$13)=5)*('Dividend Log'!$G$2:$G$13))</f>
        <v>0</v>
      </c>
      <c r="D6" s="10">
        <f t="shared" si="0"/>
        <v>4.1477713642405414</v>
      </c>
      <c r="E6" s="11">
        <f>SUMPRODUCT((MONTH('Dividend Log'!$A$2:$A$13)=5)*('Dividend Log'!$H$2:$H$13))</f>
        <v>95.664999999999992</v>
      </c>
      <c r="F6" s="10">
        <f>SUM('Holdings &amp; Settings'!B2:B4)+D6</f>
        <v>419.14777136424055</v>
      </c>
      <c r="G6" s="1"/>
      <c r="H6" s="1"/>
      <c r="I6" s="1"/>
    </row>
    <row r="7" spans="1:9" x14ac:dyDescent="0.25">
      <c r="A7" s="3" t="s">
        <v>46</v>
      </c>
      <c r="B7" s="11">
        <f>SUMPRODUCT((MONTH('Dividend Log'!$A$2:$A$13)=6)*('Dividend Log'!$E$2:$E$13))</f>
        <v>149.95754077791719</v>
      </c>
      <c r="C7" s="10">
        <f>SUMPRODUCT((MONTH('Dividend Log'!$A$2:$A$13)=6)*('Dividend Log'!$G$2:$G$13))</f>
        <v>0.93257177100694766</v>
      </c>
      <c r="D7" s="10">
        <f t="shared" si="0"/>
        <v>5.0803431352474888</v>
      </c>
      <c r="E7" s="11">
        <f>SUMPRODUCT((MONTH('Dividend Log'!$A$2:$A$13)=6)*('Dividend Log'!$H$2:$H$13))</f>
        <v>0</v>
      </c>
      <c r="F7" s="10">
        <f>SUM('Holdings &amp; Settings'!B2:B4)+D7</f>
        <v>420.08034313524752</v>
      </c>
      <c r="G7" s="1"/>
      <c r="H7" s="1"/>
      <c r="I7" s="1"/>
    </row>
    <row r="8" spans="1:9" x14ac:dyDescent="0.25">
      <c r="A8" s="3" t="s">
        <v>47</v>
      </c>
      <c r="B8" s="11">
        <f>SUMPRODUCT((MONTH('Dividend Log'!$A$2:$A$13)=7)*('Dividend Log'!$E$2:$E$13))</f>
        <v>98.762135578127555</v>
      </c>
      <c r="C8" s="10">
        <f>SUMPRODUCT((MONTH('Dividend Log'!$A$2:$A$13)=7)*('Dividend Log'!$G$2:$G$13))</f>
        <v>1.5980928087075656</v>
      </c>
      <c r="D8" s="10">
        <f t="shared" si="0"/>
        <v>6.6784359439550549</v>
      </c>
      <c r="E8" s="11">
        <f>SUMPRODUCT((MONTH('Dividend Log'!$A$2:$A$13)=7)*('Dividend Log'!$H$2:$H$13))</f>
        <v>0</v>
      </c>
      <c r="F8" s="10">
        <f>SUM('Holdings &amp; Settings'!B2:B4)+D8</f>
        <v>421.67843594395504</v>
      </c>
      <c r="G8" s="1"/>
      <c r="H8" s="1"/>
      <c r="I8" s="1"/>
    </row>
    <row r="9" spans="1:9" x14ac:dyDescent="0.25">
      <c r="A9" s="3" t="s">
        <v>48</v>
      </c>
      <c r="B9" s="11">
        <f>SUMPRODUCT((MONTH('Dividend Log'!$A$2:$A$13)=8)*('Dividend Log'!$E$2:$E$13))</f>
        <v>95.664999999999992</v>
      </c>
      <c r="C9" s="10">
        <f>SUMPRODUCT((MONTH('Dividend Log'!$A$2:$A$13)=8)*('Dividend Log'!$G$2:$G$13))</f>
        <v>0</v>
      </c>
      <c r="D9" s="10">
        <f t="shared" si="0"/>
        <v>6.6784359439550549</v>
      </c>
      <c r="E9" s="11">
        <f>SUMPRODUCT((MONTH('Dividend Log'!$A$2:$A$13)=8)*('Dividend Log'!$H$2:$H$13))</f>
        <v>95.664999999999992</v>
      </c>
      <c r="F9" s="10">
        <f>SUM('Holdings &amp; Settings'!B2:B4)+D9</f>
        <v>421.67843594395504</v>
      </c>
      <c r="G9" s="1"/>
      <c r="H9" s="1"/>
      <c r="I9" s="1"/>
    </row>
    <row r="10" spans="1:9" x14ac:dyDescent="0.25">
      <c r="A10" s="3" t="s">
        <v>49</v>
      </c>
      <c r="B10" s="11">
        <f>SUMPRODUCT((MONTH('Dividend Log'!$A$2:$A$13)=9)*('Dividend Log'!$E$2:$E$13))</f>
        <v>151.11392977396579</v>
      </c>
      <c r="C10" s="10">
        <f>SUMPRODUCT((MONTH('Dividend Log'!$A$2:$A$13)=9)*('Dividend Log'!$G$2:$G$13))</f>
        <v>0.93222658713118933</v>
      </c>
      <c r="D10" s="10">
        <f t="shared" si="0"/>
        <v>7.6106625310862439</v>
      </c>
      <c r="E10" s="11">
        <f>SUMPRODUCT((MONTH('Dividend Log'!$A$2:$A$13)=9)*('Dividend Log'!$H$2:$H$13))</f>
        <v>0</v>
      </c>
      <c r="F10" s="10">
        <f>SUM('Holdings &amp; Settings'!B2:B4)+D10</f>
        <v>422.61066253108623</v>
      </c>
      <c r="G10" s="1"/>
      <c r="H10" s="1"/>
      <c r="I10" s="1"/>
    </row>
    <row r="11" spans="1:9" x14ac:dyDescent="0.25">
      <c r="A11" s="3" t="s">
        <v>50</v>
      </c>
      <c r="B11" s="11">
        <f>SUMPRODUCT((MONTH('Dividend Log'!$A$2:$A$13)=10)*('Dividend Log'!$E$2:$E$13))</f>
        <v>99.538808683159445</v>
      </c>
      <c r="C11" s="10">
        <f>SUMPRODUCT((MONTH('Dividend Log'!$A$2:$A$13)=10)*('Dividend Log'!$G$2:$G$13))</f>
        <v>1.5951732160762733</v>
      </c>
      <c r="D11" s="10">
        <f t="shared" si="0"/>
        <v>9.2058357471625172</v>
      </c>
      <c r="E11" s="11">
        <f>SUMPRODUCT((MONTH('Dividend Log'!$A$2:$A$13)=10)*('Dividend Log'!$H$2:$H$13))</f>
        <v>0</v>
      </c>
      <c r="F11" s="10">
        <f>SUM('Holdings &amp; Settings'!B2:B4)+D11</f>
        <v>424.2058357471625</v>
      </c>
      <c r="G11" s="1"/>
      <c r="H11" s="1"/>
      <c r="I11" s="1"/>
    </row>
    <row r="12" spans="1:9" x14ac:dyDescent="0.25">
      <c r="A12" s="3" t="s">
        <v>51</v>
      </c>
      <c r="B12" s="11">
        <f>SUMPRODUCT((MONTH('Dividend Log'!$A$2:$A$13)=11)*('Dividend Log'!$E$2:$E$13))</f>
        <v>95.664999999999992</v>
      </c>
      <c r="C12" s="10">
        <f>SUMPRODUCT((MONTH('Dividend Log'!$A$2:$A$13)=11)*('Dividend Log'!$G$2:$G$13))</f>
        <v>0</v>
      </c>
      <c r="D12" s="10">
        <f t="shared" si="0"/>
        <v>9.2058357471625172</v>
      </c>
      <c r="E12" s="11">
        <f>SUMPRODUCT((MONTH('Dividend Log'!$A$2:$A$13)=11)*('Dividend Log'!$H$2:$H$13))</f>
        <v>95.664999999999992</v>
      </c>
      <c r="F12" s="10">
        <f>SUM('Holdings &amp; Settings'!B2:B4)+D12</f>
        <v>424.2058357471625</v>
      </c>
      <c r="G12" s="1"/>
      <c r="H12" s="1"/>
      <c r="I12" s="1"/>
    </row>
    <row r="13" spans="1:9" x14ac:dyDescent="0.25">
      <c r="A13" s="3" t="s">
        <v>52</v>
      </c>
      <c r="B13" s="11">
        <f>SUMPRODUCT((MONTH('Dividend Log'!$A$2:$A$13)=12)*('Dividend Log'!$E$2:$E$13))</f>
        <v>152.26989074200847</v>
      </c>
      <c r="C13" s="10">
        <f>SUMPRODUCT((MONTH('Dividend Log'!$A$2:$A$13)=12)*('Dividend Log'!$G$2:$G$13))</f>
        <v>0.93417110884667776</v>
      </c>
      <c r="D13" s="10">
        <f t="shared" si="0"/>
        <v>10.140006856009196</v>
      </c>
      <c r="E13" s="11">
        <f>SUMPRODUCT((MONTH('Dividend Log'!$A$2:$A$13)=12)*('Dividend Log'!$H$2:$H$13))</f>
        <v>0</v>
      </c>
      <c r="F13" s="10">
        <f>SUM('Holdings &amp; Settings'!B2:B4)+D13</f>
        <v>425.14000685600922</v>
      </c>
      <c r="G13" s="1"/>
      <c r="H13" s="1"/>
      <c r="I1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tabSelected="1" zoomScale="115" zoomScaleNormal="115" workbookViewId="0">
      <selection activeCell="C20" sqref="C20"/>
    </sheetView>
  </sheetViews>
  <sheetFormatPr defaultRowHeight="15" x14ac:dyDescent="0.25"/>
  <cols>
    <col min="1" max="1" width="25.7109375" bestFit="1" customWidth="1"/>
    <col min="2" max="2" width="14.140625" bestFit="1" customWidth="1"/>
    <col min="3" max="3" width="21.85546875" bestFit="1" customWidth="1"/>
    <col min="4" max="4" width="12.5703125" bestFit="1" customWidth="1"/>
    <col min="5" max="5" width="24.140625" bestFit="1" customWidth="1"/>
    <col min="6" max="10" width="15.140625" customWidth="1"/>
  </cols>
  <sheetData>
    <row r="1" spans="1:5" x14ac:dyDescent="0.25">
      <c r="A1" s="16" t="s">
        <v>53</v>
      </c>
      <c r="B1" s="17">
        <f>SUM('Holdings &amp; Settings'!B2:B4)</f>
        <v>415</v>
      </c>
      <c r="C1" s="1"/>
      <c r="D1" s="1"/>
      <c r="E1" s="1"/>
    </row>
    <row r="2" spans="1:5" x14ac:dyDescent="0.25">
      <c r="A2" s="16" t="s">
        <v>54</v>
      </c>
      <c r="B2" s="18">
        <f>'Reinvestment History'!F13</f>
        <v>425.14000685600922</v>
      </c>
      <c r="C2" s="1"/>
      <c r="D2" s="1"/>
      <c r="E2" s="1"/>
    </row>
    <row r="3" spans="1:5" x14ac:dyDescent="0.25">
      <c r="A3" s="16" t="s">
        <v>41</v>
      </c>
      <c r="B3" s="18">
        <f>'Reinvestment History'!I3</f>
        <v>10.140006856009196</v>
      </c>
      <c r="C3" s="1"/>
      <c r="D3" s="1"/>
      <c r="E3" s="1"/>
    </row>
    <row r="4" spans="1:5" x14ac:dyDescent="0.25">
      <c r="A4" s="16" t="s">
        <v>55</v>
      </c>
      <c r="B4" s="19">
        <f>SUM(C10:C12)</f>
        <v>1396.9936729855567</v>
      </c>
      <c r="C4" s="1"/>
      <c r="D4" s="1"/>
      <c r="E4" s="1"/>
    </row>
    <row r="5" spans="1:5" x14ac:dyDescent="0.25">
      <c r="A5" s="16" t="s">
        <v>17</v>
      </c>
      <c r="B5" s="20">
        <f>SUMPRODUCT(D10:D12,B10:B12)/SUM(B10:B12)</f>
        <v>3.3033817099476115E-2</v>
      </c>
      <c r="C5" s="1"/>
      <c r="D5" s="1"/>
      <c r="E5" s="1"/>
    </row>
    <row r="6" spans="1:5" x14ac:dyDescent="0.25">
      <c r="A6" s="16" t="s">
        <v>56</v>
      </c>
      <c r="B6" s="19">
        <f>SUM(C10:C12)-SUM(E10:E12)</f>
        <v>30.943672985556532</v>
      </c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2" t="s">
        <v>0</v>
      </c>
      <c r="B9" s="2" t="s">
        <v>57</v>
      </c>
      <c r="C9" s="2" t="s">
        <v>58</v>
      </c>
      <c r="D9" s="2" t="s">
        <v>9</v>
      </c>
      <c r="E9" s="2" t="s">
        <v>59</v>
      </c>
    </row>
    <row r="10" spans="1:5" x14ac:dyDescent="0.25">
      <c r="A10" s="3" t="s">
        <v>10</v>
      </c>
      <c r="B10" s="10">
        <f>'Dividend Log'!I13</f>
        <v>123.73247009433739</v>
      </c>
      <c r="C10" s="6">
        <f>B10*'Holdings &amp; Settings'!E2</f>
        <v>613.71305166791342</v>
      </c>
      <c r="D10" s="7">
        <f>IF('Holdings &amp; Settings'!H2=0,0,C10/'Holdings &amp; Settings'!H2)</f>
        <v>3.4439565188996261E-2</v>
      </c>
      <c r="E10" s="6">
        <f>'Holdings &amp; Settings'!B2*'Holdings &amp; Settings'!E2</f>
        <v>595.20000000000005</v>
      </c>
    </row>
    <row r="11" spans="1:5" x14ac:dyDescent="0.25">
      <c r="A11" s="3" t="s">
        <v>13</v>
      </c>
      <c r="B11" s="10">
        <f>'Dividend Log'!I11</f>
        <v>206.40753676167182</v>
      </c>
      <c r="C11" s="6">
        <f>B11*'Holdings &amp; Settings'!E3</f>
        <v>400.43062131764333</v>
      </c>
      <c r="D11" s="7">
        <f>IF('Holdings &amp; Settings'!H3=0,0,C11/'Holdings &amp; Settings'!H3)</f>
        <v>3.4460466550571715E-2</v>
      </c>
      <c r="E11" s="6">
        <f>'Holdings &amp; Settings'!B3*'Holdings &amp; Settings'!E3</f>
        <v>388</v>
      </c>
    </row>
    <row r="12" spans="1:5" x14ac:dyDescent="0.25">
      <c r="A12" s="3" t="s">
        <v>15</v>
      </c>
      <c r="B12" s="10">
        <f>'Dividend Log'!I12</f>
        <v>95</v>
      </c>
      <c r="C12" s="6">
        <f>B12*'Holdings &amp; Settings'!E4</f>
        <v>382.85</v>
      </c>
      <c r="D12" s="7">
        <f>IF('Holdings &amp; Settings'!H4=0,0,C12/'Holdings &amp; Settings'!H4)</f>
        <v>2.8103207810320784E-2</v>
      </c>
      <c r="E12" s="6">
        <f>'Holdings &amp; Settings'!B4*'Holdings &amp; Settings'!E4</f>
        <v>382.85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Holdings &amp; Settings</vt:lpstr>
      <vt:lpstr>Dividend Log</vt:lpstr>
      <vt:lpstr>Reinvestment History</vt:lpstr>
      <vt:lpstr>Income &amp; Yield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2026-04-09T16:18:05Z</dcterms:modified>
</cp:coreProperties>
</file>