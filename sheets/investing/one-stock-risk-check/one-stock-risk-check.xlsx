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 &amp; Inputs" sheetId="1" state="visible" r:id="rId1"/>
    <sheet xmlns:r="http://schemas.openxmlformats.org/officeDocument/2006/relationships" name="Risk Scenarios" sheetId="2" state="visible" r:id="rId2"/>
    <sheet xmlns:r="http://schemas.openxmlformats.org/officeDocument/2006/relationships" name="Sale Plan" sheetId="3" state="visible" r:id="rId3"/>
    <sheet xmlns:r="http://schemas.openxmlformats.org/officeDocument/2006/relationships" name="Hedge Comparison" sheetId="4" state="visible" r:id="rId4"/>
    <sheet xmlns:r="http://schemas.openxmlformats.org/officeDocument/2006/relationships" name="Snapsho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$#,##0"/>
    <numFmt numFmtId="166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333333"/>
      <sz val="14"/>
    </font>
    <font>
      <name val="Calibri"/>
      <b val="1"/>
      <color rgb="00333333"/>
      <sz val="11"/>
    </font>
    <font>
      <name val="Calibri"/>
      <color rgb="00000000"/>
      <sz val="11"/>
    </font>
    <font>
      <name val="Calibri"/>
      <color rgb="004472C4"/>
      <sz val="11"/>
    </font>
    <font>
      <name val="Calibri"/>
      <color rgb="00808080"/>
      <sz val="9"/>
    </font>
    <font>
      <name val="Calibri"/>
      <b val="1"/>
      <color rgb="00595959"/>
      <sz val="11"/>
    </font>
  </fonts>
  <fills count="5">
    <fill>
      <patternFill/>
    </fill>
    <fill>
      <patternFill patternType="gray125"/>
    </fill>
    <fill>
      <patternFill patternType="solid">
        <fgColor rgb="00D6DCE4"/>
      </patternFill>
    </fill>
    <fill>
      <patternFill patternType="solid">
        <fgColor rgb="00FFF2CC"/>
      </patternFill>
    </fill>
    <fill>
      <patternFill patternType="solid">
        <fgColor rgb="00F3F3F3"/>
      </patternFill>
    </fill>
  </fills>
  <borders count="4">
    <border>
      <left/>
      <right/>
      <top/>
      <bottom/>
      <diagonal/>
    </border>
    <border>
      <left style="thin">
        <color rgb="00A9B4C2"/>
      </left>
      <right style="thin">
        <color rgb="00A9B4C2"/>
      </right>
      <top style="thin">
        <color rgb="00A9B4C2"/>
      </top>
      <bottom style="medium">
        <color rgb="00A9B4C2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medium">
        <color rgb="00808080"/>
      </top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/>
    </xf>
    <xf numFmtId="165" fontId="4" fillId="0" borderId="2" applyAlignment="1" pivotButton="0" quotePrefix="0" xfId="0">
      <alignment horizontal="left" vertical="center"/>
    </xf>
    <xf numFmtId="3" fontId="3" fillId="3" borderId="2" applyAlignment="1" pivotButton="0" quotePrefix="0" xfId="0">
      <alignment horizontal="left" vertical="center"/>
    </xf>
    <xf numFmtId="166" fontId="4" fillId="0" borderId="2" applyAlignment="1" pivotButton="0" quotePrefix="0" xfId="0">
      <alignment horizontal="left" vertical="center"/>
    </xf>
    <xf numFmtId="164" fontId="3" fillId="3" borderId="2" applyAlignment="1" pivotButton="0" quotePrefix="0" xfId="0">
      <alignment horizontal="left" vertical="center"/>
    </xf>
    <xf numFmtId="3" fontId="4" fillId="0" borderId="2" applyAlignment="1" pivotButton="0" quotePrefix="0" xfId="0">
      <alignment horizontal="left" vertical="center"/>
    </xf>
    <xf numFmtId="10" fontId="3" fillId="3" borderId="2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165" fontId="3" fillId="3" borderId="2" applyAlignment="1" pivotButton="0" quotePrefix="0" xfId="0">
      <alignment horizontal="left" vertical="center"/>
    </xf>
    <xf numFmtId="166" fontId="3" fillId="3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left" vertical="center"/>
    </xf>
    <xf numFmtId="3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165" fontId="4" fillId="0" borderId="3" applyAlignment="1" pivotButton="0" quotePrefix="0" xfId="0">
      <alignment horizontal="left" vertical="center"/>
    </xf>
    <xf numFmtId="3" fontId="4" fillId="0" borderId="3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2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2" max="2"/>
    <col width="16" customWidth="1" min="3" max="3"/>
    <col width="26" customWidth="1" min="8" max="8"/>
    <col width="16" customWidth="1" min="9" max="9"/>
  </cols>
  <sheetData>
    <row r="2">
      <c r="B2" s="1" t="inlineStr">
        <is>
          <t>One stock risk check</t>
        </is>
      </c>
    </row>
    <row r="4">
      <c r="B4" s="2" t="inlineStr">
        <is>
          <t>Concentrated Position</t>
        </is>
      </c>
      <c r="H4" s="2" t="inlineStr">
        <is>
          <t>Where it sits</t>
        </is>
      </c>
    </row>
    <row r="5">
      <c r="B5" s="3" t="inlineStr">
        <is>
          <t>Ticker</t>
        </is>
      </c>
      <c r="C5" s="4" t="inlineStr">
        <is>
          <t>NVDA</t>
        </is>
      </c>
      <c r="H5" s="5" t="inlineStr">
        <is>
          <t>Current position value</t>
        </is>
      </c>
      <c r="I5" s="6">
        <f>C9</f>
        <v/>
      </c>
    </row>
    <row r="6">
      <c r="B6" s="3" t="inlineStr">
        <is>
          <t>Shares Owned</t>
        </is>
      </c>
      <c r="C6" s="7" t="n">
        <v>2400</v>
      </c>
      <c r="H6" s="5" t="inlineStr">
        <is>
          <t>Current concentration</t>
        </is>
      </c>
      <c r="I6" s="8">
        <f>C21</f>
        <v/>
      </c>
    </row>
    <row r="7">
      <c r="B7" s="3" t="inlineStr">
        <is>
          <t>Current Price</t>
        </is>
      </c>
      <c r="C7" s="9" t="n">
        <v>112</v>
      </c>
      <c r="H7" s="5" t="inlineStr">
        <is>
          <t>Dollars above target</t>
        </is>
      </c>
      <c r="I7" s="6">
        <f>MAX(0,C9-(C23*C20))</f>
        <v/>
      </c>
    </row>
    <row r="8">
      <c r="B8" s="3" t="inlineStr">
        <is>
          <t>52-Week High</t>
        </is>
      </c>
      <c r="C8" s="9" t="n">
        <v>140</v>
      </c>
      <c r="H8" s="5" t="inlineStr">
        <is>
          <t>Shares above target</t>
        </is>
      </c>
      <c r="I8" s="10">
        <f>MAX(0,ROUNDUP((C9-(C23*C20))/C7,0))</f>
        <v/>
      </c>
    </row>
    <row r="9">
      <c r="B9" s="3" t="inlineStr">
        <is>
          <t>Current Position Value</t>
        </is>
      </c>
      <c r="C9" s="6">
        <f>C6*C7</f>
        <v/>
      </c>
      <c r="H9" s="5" t="inlineStr">
        <is>
          <t>Net worth if stock drops 35%</t>
        </is>
      </c>
      <c r="I9" s="6">
        <f>C19+(C9*0.65)</f>
        <v/>
      </c>
    </row>
    <row r="10">
      <c r="B10" s="3" t="inlineStr">
        <is>
          <t>Dividend Yield</t>
        </is>
      </c>
      <c r="C10" s="11" t="n">
        <v>0.002</v>
      </c>
      <c r="H10" s="5" t="inlineStr">
        <is>
          <t>Net worth if 25% sold now</t>
        </is>
      </c>
      <c r="I10" s="6">
        <f>C19+(C9*0.25)+(C9*0.75*0.65)</f>
        <v/>
      </c>
    </row>
    <row r="12">
      <c r="H12" s="12" t="inlineStr">
        <is>
          <t>Not trying to call the stock.</t>
        </is>
      </c>
    </row>
    <row r="13">
      <c r="B13" s="2" t="inlineStr">
        <is>
          <t>Other Assets</t>
        </is>
      </c>
      <c r="H13" s="12" t="inlineStr">
        <is>
          <t>This just shows how concentrated the balance sheet got.</t>
        </is>
      </c>
    </row>
    <row r="14">
      <c r="B14" s="3" t="inlineStr">
        <is>
          <t>Cash</t>
        </is>
      </c>
      <c r="C14" s="13" t="n">
        <v>85000</v>
      </c>
    </row>
    <row r="15">
      <c r="B15" s="3" t="inlineStr">
        <is>
          <t>Diversified Brokerage</t>
        </is>
      </c>
      <c r="C15" s="13" t="n">
        <v>310000</v>
      </c>
    </row>
    <row r="16">
      <c r="B16" s="3" t="inlineStr">
        <is>
          <t>Retirement Accounts</t>
        </is>
      </c>
      <c r="C16" s="13" t="n">
        <v>540000</v>
      </c>
    </row>
    <row r="17">
      <c r="B17" s="3" t="inlineStr">
        <is>
          <t>Real Estate Equity</t>
        </is>
      </c>
      <c r="C17" s="13" t="n">
        <v>280000</v>
      </c>
    </row>
    <row r="18">
      <c r="B18" s="3" t="inlineStr">
        <is>
          <t>Other Assets</t>
        </is>
      </c>
      <c r="C18" s="13" t="n">
        <v>60000</v>
      </c>
    </row>
    <row r="19">
      <c r="B19" s="3" t="inlineStr">
        <is>
          <t>Total Other Assets</t>
        </is>
      </c>
      <c r="C19" s="6">
        <f>SUM(C14:C18)</f>
        <v/>
      </c>
    </row>
    <row r="20">
      <c r="B20" s="3" t="inlineStr">
        <is>
          <t>Total Net Worth</t>
        </is>
      </c>
      <c r="C20" s="6">
        <f>C9+C19</f>
        <v/>
      </c>
    </row>
    <row r="21">
      <c r="B21" s="3" t="inlineStr">
        <is>
          <t>Current Concentration</t>
        </is>
      </c>
      <c r="C21" s="8">
        <f>IF(C20=0,0,C9/C20)</f>
        <v/>
      </c>
    </row>
    <row r="22">
      <c r="B22" s="2" t="inlineStr">
        <is>
          <t>Risk Goals</t>
        </is>
      </c>
    </row>
    <row r="23">
      <c r="B23" s="3" t="inlineStr">
        <is>
          <t>Target Max Concentration</t>
        </is>
      </c>
      <c r="C23" s="14" t="n">
        <v>0.25</v>
      </c>
    </row>
    <row r="24">
      <c r="B24" s="3" t="inlineStr">
        <is>
          <t>Monthly Sell Pace (shares)</t>
        </is>
      </c>
      <c r="C24" s="7" t="n">
        <v>200</v>
      </c>
    </row>
  </sheetData>
  <conditionalFormatting sqref="C21">
    <cfRule type="cellIs" priority="1" operator="greaterThan" dxfId="0">
      <formula>0.35</formula>
    </cfRule>
  </conditionalFormatting>
  <conditionalFormatting sqref="I6">
    <cfRule type="cellIs" priority="2" operator="greaterThan" dxfId="0">
      <formula>0.35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1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5" customWidth="1" min="5" max="5"/>
    <col width="14" customWidth="1" min="6" max="6"/>
    <col width="15" customWidth="1" min="7" max="7"/>
    <col width="16" customWidth="1" min="8" max="8"/>
    <col width="14" customWidth="1" min="10" max="10"/>
    <col width="15" customWidth="1" min="11" max="11"/>
    <col width="16" customWidth="1" min="12" max="12"/>
    <col width="16" customWidth="1" min="13" max="13"/>
  </cols>
  <sheetData>
    <row r="2">
      <c r="B2" s="1" t="inlineStr">
        <is>
          <t>Risk Scenarios</t>
        </is>
      </c>
    </row>
    <row r="4">
      <c r="B4" s="15" t="inlineStr">
        <is>
          <t>Scenario</t>
        </is>
      </c>
      <c r="C4" s="15" t="inlineStr">
        <is>
          <t>Price Change</t>
        </is>
      </c>
      <c r="D4" s="15" t="inlineStr">
        <is>
          <t>Stock Value</t>
        </is>
      </c>
      <c r="E4" s="15" t="inlineStr">
        <is>
          <t>Total Net Worth</t>
        </is>
      </c>
      <c r="F4" s="15" t="inlineStr">
        <is>
          <t>Concentration %</t>
        </is>
      </c>
      <c r="G4" s="15" t="inlineStr">
        <is>
          <t>Net Worth Change</t>
        </is>
      </c>
      <c r="H4" s="15" t="inlineStr">
        <is>
          <t>Position Gain / Loss</t>
        </is>
      </c>
      <c r="J4" s="2" t="inlineStr">
        <is>
          <t>Strategy Compare</t>
        </is>
      </c>
    </row>
    <row r="5">
      <c r="B5" s="3" t="inlineStr">
        <is>
          <t>Up 20%</t>
        </is>
      </c>
      <c r="C5" s="14" t="n">
        <v>0.2</v>
      </c>
      <c r="D5" s="6">
        <f>'Position &amp; Inputs'!$C$9*(1+C5)</f>
        <v/>
      </c>
      <c r="E5" s="6">
        <f>'Position &amp; Inputs'!$C$19+D5</f>
        <v/>
      </c>
      <c r="F5" s="8">
        <f>IF(E5=0,0,D5/E5)</f>
        <v/>
      </c>
      <c r="G5" s="6">
        <f>E5-'Position &amp; Inputs'!$C$20</f>
        <v/>
      </c>
      <c r="H5" s="6">
        <f>D5-'Position &amp; Inputs'!$C$9</f>
        <v/>
      </c>
      <c r="J5" s="15" t="inlineStr">
        <is>
          <t>Scenario</t>
        </is>
      </c>
      <c r="K5" s="15" t="inlineStr">
        <is>
          <t>Hold</t>
        </is>
      </c>
      <c r="L5" s="15" t="inlineStr">
        <is>
          <t>Sell 25% Now</t>
        </is>
      </c>
      <c r="M5" s="15" t="inlineStr">
        <is>
          <t>Sell 50% Now</t>
        </is>
      </c>
    </row>
    <row r="6">
      <c r="B6" s="3" t="inlineStr">
        <is>
          <t>Down 10%</t>
        </is>
      </c>
      <c r="C6" s="14" t="n">
        <v>-0.1</v>
      </c>
      <c r="D6" s="6">
        <f>'Position &amp; Inputs'!$C$9*(1+C6)</f>
        <v/>
      </c>
      <c r="E6" s="6">
        <f>'Position &amp; Inputs'!$C$19+D6</f>
        <v/>
      </c>
      <c r="F6" s="8">
        <f>IF(E6=0,0,D6/E6)</f>
        <v/>
      </c>
      <c r="G6" s="6">
        <f>E6-'Position &amp; Inputs'!$C$20</f>
        <v/>
      </c>
      <c r="H6" s="6">
        <f>D6-'Position &amp; Inputs'!$C$9</f>
        <v/>
      </c>
      <c r="J6" s="3" t="inlineStr">
        <is>
          <t>Up 20%</t>
        </is>
      </c>
      <c r="K6" s="6">
        <f>'Position &amp; Inputs'!$C$19+('Position &amp; Inputs'!$C$9*(1+C5))</f>
        <v/>
      </c>
      <c r="L6" s="6">
        <f>'Position &amp; Inputs'!$C$19+('Position &amp; Inputs'!$C$9*0.25)+('Position &amp; Inputs'!$C$9*0.75*(1+C5))</f>
        <v/>
      </c>
      <c r="M6" s="6">
        <f>'Position &amp; Inputs'!$C$19+('Position &amp; Inputs'!$C$9*0.5)+('Position &amp; Inputs'!$C$9*0.5*(1+C5))</f>
        <v/>
      </c>
    </row>
    <row r="7">
      <c r="B7" s="3" t="inlineStr">
        <is>
          <t>Down 20%</t>
        </is>
      </c>
      <c r="C7" s="14" t="n">
        <v>-0.2</v>
      </c>
      <c r="D7" s="6">
        <f>'Position &amp; Inputs'!$C$9*(1+C7)</f>
        <v/>
      </c>
      <c r="E7" s="6">
        <f>'Position &amp; Inputs'!$C$19+D7</f>
        <v/>
      </c>
      <c r="F7" s="8">
        <f>IF(E7=0,0,D7/E7)</f>
        <v/>
      </c>
      <c r="G7" s="6">
        <f>E7-'Position &amp; Inputs'!$C$20</f>
        <v/>
      </c>
      <c r="H7" s="6">
        <f>D7-'Position &amp; Inputs'!$C$9</f>
        <v/>
      </c>
      <c r="J7" s="3" t="inlineStr">
        <is>
          <t>Down 10%</t>
        </is>
      </c>
      <c r="K7" s="6">
        <f>'Position &amp; Inputs'!$C$19+('Position &amp; Inputs'!$C$9*(1+C6))</f>
        <v/>
      </c>
      <c r="L7" s="6">
        <f>'Position &amp; Inputs'!$C$19+('Position &amp; Inputs'!$C$9*0.25)+('Position &amp; Inputs'!$C$9*0.75*(1+C6))</f>
        <v/>
      </c>
      <c r="M7" s="6">
        <f>'Position &amp; Inputs'!$C$19+('Position &amp; Inputs'!$C$9*0.5)+('Position &amp; Inputs'!$C$9*0.5*(1+C6))</f>
        <v/>
      </c>
    </row>
    <row r="8">
      <c r="B8" s="3" t="inlineStr">
        <is>
          <t>Down 35%</t>
        </is>
      </c>
      <c r="C8" s="14" t="n">
        <v>-0.35</v>
      </c>
      <c r="D8" s="6">
        <f>'Position &amp; Inputs'!$C$9*(1+C8)</f>
        <v/>
      </c>
      <c r="E8" s="6">
        <f>'Position &amp; Inputs'!$C$19+D8</f>
        <v/>
      </c>
      <c r="F8" s="8">
        <f>IF(E8=0,0,D8/E8)</f>
        <v/>
      </c>
      <c r="G8" s="6">
        <f>E8-'Position &amp; Inputs'!$C$20</f>
        <v/>
      </c>
      <c r="H8" s="6">
        <f>D8-'Position &amp; Inputs'!$C$9</f>
        <v/>
      </c>
      <c r="J8" s="3" t="inlineStr">
        <is>
          <t>Down 20%</t>
        </is>
      </c>
      <c r="K8" s="6">
        <f>'Position &amp; Inputs'!$C$19+('Position &amp; Inputs'!$C$9*(1+C7))</f>
        <v/>
      </c>
      <c r="L8" s="6">
        <f>'Position &amp; Inputs'!$C$19+('Position &amp; Inputs'!$C$9*0.25)+('Position &amp; Inputs'!$C$9*0.75*(1+C7))</f>
        <v/>
      </c>
      <c r="M8" s="6">
        <f>'Position &amp; Inputs'!$C$19+('Position &amp; Inputs'!$C$9*0.5)+('Position &amp; Inputs'!$C$9*0.5*(1+C7))</f>
        <v/>
      </c>
    </row>
    <row r="9">
      <c r="B9" s="3" t="inlineStr">
        <is>
          <t>Down 50%</t>
        </is>
      </c>
      <c r="C9" s="14" t="n">
        <v>-0.5</v>
      </c>
      <c r="D9" s="6">
        <f>'Position &amp; Inputs'!$C$9*(1+C9)</f>
        <v/>
      </c>
      <c r="E9" s="6">
        <f>'Position &amp; Inputs'!$C$19+D9</f>
        <v/>
      </c>
      <c r="F9" s="8">
        <f>IF(E9=0,0,D9/E9)</f>
        <v/>
      </c>
      <c r="G9" s="6">
        <f>E9-'Position &amp; Inputs'!$C$20</f>
        <v/>
      </c>
      <c r="H9" s="6">
        <f>D9-'Position &amp; Inputs'!$C$9</f>
        <v/>
      </c>
      <c r="J9" s="3" t="inlineStr">
        <is>
          <t>Down 35%</t>
        </is>
      </c>
      <c r="K9" s="6">
        <f>'Position &amp; Inputs'!$C$19+('Position &amp; Inputs'!$C$9*(1+C8))</f>
        <v/>
      </c>
      <c r="L9" s="6">
        <f>'Position &amp; Inputs'!$C$19+('Position &amp; Inputs'!$C$9*0.25)+('Position &amp; Inputs'!$C$9*0.75*(1+C8))</f>
        <v/>
      </c>
      <c r="M9" s="6">
        <f>'Position &amp; Inputs'!$C$19+('Position &amp; Inputs'!$C$9*0.5)+('Position &amp; Inputs'!$C$9*0.5*(1+C8))</f>
        <v/>
      </c>
    </row>
    <row r="10">
      <c r="J10" s="3" t="inlineStr">
        <is>
          <t>Down 50%</t>
        </is>
      </c>
      <c r="K10" s="6">
        <f>'Position &amp; Inputs'!$C$19+('Position &amp; Inputs'!$C$9*(1+C9))</f>
        <v/>
      </c>
      <c r="L10" s="6">
        <f>'Position &amp; Inputs'!$C$19+('Position &amp; Inputs'!$C$9*0.25)+('Position &amp; Inputs'!$C$9*0.75*(1+C9))</f>
        <v/>
      </c>
      <c r="M10" s="6">
        <f>'Position &amp; Inputs'!$C$19+('Position &amp; Inputs'!$C$9*0.5)+('Position &amp; Inputs'!$C$9*0.5*(1+C9))</f>
        <v/>
      </c>
    </row>
  </sheetData>
  <conditionalFormatting sqref="F5:F9">
    <cfRule type="cellIs" priority="1" operator="greaterThan" dxfId="0">
      <formula>0.35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26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2" max="2"/>
    <col width="10" customWidth="1" min="3" max="3"/>
    <col width="14" customWidth="1" min="4" max="4"/>
    <col width="13" customWidth="1" min="5" max="5"/>
    <col width="14" customWidth="1" min="6" max="6"/>
    <col width="15" customWidth="1" min="7" max="7"/>
    <col width="18" customWidth="1" min="8" max="8"/>
    <col width="17" customWidth="1" min="9" max="9"/>
    <col width="14" customWidth="1" min="10" max="10"/>
  </cols>
  <sheetData>
    <row r="2">
      <c r="B2" s="1" t="inlineStr">
        <is>
          <t>Sale Plan</t>
        </is>
      </c>
    </row>
    <row r="4">
      <c r="B4" s="2" t="inlineStr">
        <is>
          <t>Linked Inputs</t>
        </is>
      </c>
    </row>
    <row r="5">
      <c r="B5" s="5" t="inlineStr">
        <is>
          <t>Target concentration</t>
        </is>
      </c>
      <c r="C5" s="8">
        <f>'Position &amp; Inputs'!C23</f>
        <v/>
      </c>
      <c r="D5" s="5" t="inlineStr">
        <is>
          <t>Current shares</t>
        </is>
      </c>
      <c r="E5" s="10">
        <f>'Position &amp; Inputs'!C6</f>
        <v/>
      </c>
    </row>
    <row r="6">
      <c r="B6" s="5" t="inlineStr">
        <is>
          <t>Sell pace</t>
        </is>
      </c>
      <c r="C6" s="10">
        <f>'Position &amp; Inputs'!C24</f>
        <v/>
      </c>
      <c r="D6" s="5" t="inlineStr">
        <is>
          <t>Current price</t>
        </is>
      </c>
      <c r="E6" s="16">
        <f>'Position &amp; Inputs'!C7</f>
        <v/>
      </c>
    </row>
    <row r="8">
      <c r="B8" s="5" t="inlineStr">
        <is>
          <t>Target Shares</t>
        </is>
      </c>
      <c r="C8" s="10">
        <f>ROUND(('Position &amp; Inputs'!C23*'Position &amp; Inputs'!C20)/'Position &amp; Inputs'!C7,0)</f>
        <v/>
      </c>
    </row>
    <row r="10">
      <c r="B10" s="15" t="inlineStr">
        <is>
          <t>Step</t>
        </is>
      </c>
      <c r="C10" s="15" t="inlineStr">
        <is>
          <t>Trigger</t>
        </is>
      </c>
      <c r="D10" s="15" t="inlineStr">
        <is>
          <t>Shares to Sell</t>
        </is>
      </c>
      <c r="E10" s="15" t="inlineStr">
        <is>
          <t>Sale Price</t>
        </is>
      </c>
      <c r="F10" s="15" t="inlineStr">
        <is>
          <t>Gross Proceeds</t>
        </is>
      </c>
      <c r="G10" s="15" t="inlineStr">
        <is>
          <t>Remaining Shares</t>
        </is>
      </c>
      <c r="H10" s="15" t="inlineStr">
        <is>
          <t>Remaining Position Value</t>
        </is>
      </c>
      <c r="I10" s="15" t="inlineStr">
        <is>
          <t>Estimated Net Worth</t>
        </is>
      </c>
      <c r="J10" s="15" t="inlineStr">
        <is>
          <t>Concentration %</t>
        </is>
      </c>
    </row>
    <row r="11">
      <c r="B11" s="17" t="n">
        <v>1</v>
      </c>
      <c r="C11" s="18" t="inlineStr">
        <is>
          <t>Now</t>
        </is>
      </c>
      <c r="D11" s="10">
        <f>MIN('Position &amp; Inputs'!$C$24,MAX(0,'Position &amp; Inputs'!$C$6-$C$8))</f>
        <v/>
      </c>
      <c r="E11" s="16">
        <f>'Position &amp; Inputs'!$C$7*(1+((B11-1)*0.01))</f>
        <v/>
      </c>
      <c r="F11" s="6">
        <f>D11*E11</f>
        <v/>
      </c>
      <c r="G11" s="10">
        <f>'Position &amp; Inputs'!$C$6-D11</f>
        <v/>
      </c>
      <c r="H11" s="6">
        <f>G11*E11</f>
        <v/>
      </c>
      <c r="I11" s="6">
        <f>'Position &amp; Inputs'!$C$19+SUM($F$11:F11)+H11</f>
        <v/>
      </c>
      <c r="J11" s="8">
        <f>IF(I11=0,0,H11/I11)</f>
        <v/>
      </c>
    </row>
    <row r="12">
      <c r="B12" s="17" t="n">
        <v>2</v>
      </c>
      <c r="C12" s="18" t="n">
        <v>1</v>
      </c>
      <c r="D12" s="10">
        <f>MIN('Position &amp; Inputs'!$C$24,MAX(0,G11-$C$8))</f>
        <v/>
      </c>
      <c r="E12" s="16">
        <f>'Position &amp; Inputs'!$C$7*(1+((B12-1)*0.01))</f>
        <v/>
      </c>
      <c r="F12" s="6">
        <f>D12*E12</f>
        <v/>
      </c>
      <c r="G12" s="10">
        <f>G11-D12</f>
        <v/>
      </c>
      <c r="H12" s="6">
        <f>G12*E12</f>
        <v/>
      </c>
      <c r="I12" s="6">
        <f>'Position &amp; Inputs'!$C$19+SUM($F$11:F12)+H12</f>
        <v/>
      </c>
      <c r="J12" s="8">
        <f>IF(I12=0,0,H12/I12)</f>
        <v/>
      </c>
    </row>
    <row r="13">
      <c r="B13" s="17" t="n">
        <v>3</v>
      </c>
      <c r="C13" s="18" t="n">
        <v>2</v>
      </c>
      <c r="D13" s="10">
        <f>MIN('Position &amp; Inputs'!$C$24,MAX(0,G12-$C$8))</f>
        <v/>
      </c>
      <c r="E13" s="16">
        <f>'Position &amp; Inputs'!$C$7*(1+((B13-1)*0.01))</f>
        <v/>
      </c>
      <c r="F13" s="6">
        <f>D13*E13</f>
        <v/>
      </c>
      <c r="G13" s="10">
        <f>G12-D13</f>
        <v/>
      </c>
      <c r="H13" s="6">
        <f>G13*E13</f>
        <v/>
      </c>
      <c r="I13" s="6">
        <f>'Position &amp; Inputs'!$C$19+SUM($F$11:F13)+H13</f>
        <v/>
      </c>
      <c r="J13" s="8">
        <f>IF(I13=0,0,H13/I13)</f>
        <v/>
      </c>
    </row>
    <row r="14">
      <c r="B14" s="17" t="n">
        <v>4</v>
      </c>
      <c r="C14" s="18" t="n">
        <v>3</v>
      </c>
      <c r="D14" s="10">
        <f>MIN('Position &amp; Inputs'!$C$24,MAX(0,G13-$C$8))</f>
        <v/>
      </c>
      <c r="E14" s="16">
        <f>'Position &amp; Inputs'!$C$7*(1+((B14-1)*0.01))</f>
        <v/>
      </c>
      <c r="F14" s="6">
        <f>D14*E14</f>
        <v/>
      </c>
      <c r="G14" s="10">
        <f>G13-D14</f>
        <v/>
      </c>
      <c r="H14" s="6">
        <f>G14*E14</f>
        <v/>
      </c>
      <c r="I14" s="6">
        <f>'Position &amp; Inputs'!$C$19+SUM($F$11:F14)+H14</f>
        <v/>
      </c>
      <c r="J14" s="8">
        <f>IF(I14=0,0,H14/I14)</f>
        <v/>
      </c>
    </row>
    <row r="15">
      <c r="B15" s="17" t="n">
        <v>5</v>
      </c>
      <c r="C15" s="18" t="n">
        <v>4</v>
      </c>
      <c r="D15" s="10">
        <f>MIN('Position &amp; Inputs'!$C$24,MAX(0,G14-$C$8))</f>
        <v/>
      </c>
      <c r="E15" s="16">
        <f>'Position &amp; Inputs'!$C$7*(1+((B15-1)*0.01))</f>
        <v/>
      </c>
      <c r="F15" s="6">
        <f>D15*E15</f>
        <v/>
      </c>
      <c r="G15" s="10">
        <f>G14-D15</f>
        <v/>
      </c>
      <c r="H15" s="6">
        <f>G15*E15</f>
        <v/>
      </c>
      <c r="I15" s="6">
        <f>'Position &amp; Inputs'!$C$19+SUM($F$11:F15)+H15</f>
        <v/>
      </c>
      <c r="J15" s="8">
        <f>IF(I15=0,0,H15/I15)</f>
        <v/>
      </c>
    </row>
    <row r="16">
      <c r="B16" s="17" t="n">
        <v>6</v>
      </c>
      <c r="C16" s="18" t="n">
        <v>5</v>
      </c>
      <c r="D16" s="10">
        <f>MIN('Position &amp; Inputs'!$C$24,MAX(0,G15-$C$8))</f>
        <v/>
      </c>
      <c r="E16" s="16">
        <f>'Position &amp; Inputs'!$C$7*(1+((B16-1)*0.01))</f>
        <v/>
      </c>
      <c r="F16" s="6">
        <f>D16*E16</f>
        <v/>
      </c>
      <c r="G16" s="10">
        <f>G15-D16</f>
        <v/>
      </c>
      <c r="H16" s="6">
        <f>G16*E16</f>
        <v/>
      </c>
      <c r="I16" s="6">
        <f>'Position &amp; Inputs'!$C$19+SUM($F$11:F16)+H16</f>
        <v/>
      </c>
      <c r="J16" s="8">
        <f>IF(I16=0,0,H16/I16)</f>
        <v/>
      </c>
    </row>
    <row r="17">
      <c r="B17" s="17" t="n">
        <v>7</v>
      </c>
      <c r="C17" s="18" t="n">
        <v>6</v>
      </c>
      <c r="D17" s="10">
        <f>MIN('Position &amp; Inputs'!$C$24,MAX(0,G16-$C$8))</f>
        <v/>
      </c>
      <c r="E17" s="16">
        <f>'Position &amp; Inputs'!$C$7*(1+((B17-1)*0.01))</f>
        <v/>
      </c>
      <c r="F17" s="6">
        <f>D17*E17</f>
        <v/>
      </c>
      <c r="G17" s="10">
        <f>G16-D17</f>
        <v/>
      </c>
      <c r="H17" s="6">
        <f>G17*E17</f>
        <v/>
      </c>
      <c r="I17" s="6">
        <f>'Position &amp; Inputs'!$C$19+SUM($F$11:F17)+H17</f>
        <v/>
      </c>
      <c r="J17" s="8">
        <f>IF(I17=0,0,H17/I17)</f>
        <v/>
      </c>
    </row>
    <row r="18">
      <c r="B18" s="17" t="n">
        <v>8</v>
      </c>
      <c r="C18" s="18" t="n">
        <v>7</v>
      </c>
      <c r="D18" s="10">
        <f>MIN('Position &amp; Inputs'!$C$24,MAX(0,G17-$C$8))</f>
        <v/>
      </c>
      <c r="E18" s="16">
        <f>'Position &amp; Inputs'!$C$7*(1+((B18-1)*0.01))</f>
        <v/>
      </c>
      <c r="F18" s="6">
        <f>D18*E18</f>
        <v/>
      </c>
      <c r="G18" s="10">
        <f>G17-D18</f>
        <v/>
      </c>
      <c r="H18" s="6">
        <f>G18*E18</f>
        <v/>
      </c>
      <c r="I18" s="6">
        <f>'Position &amp; Inputs'!$C$19+SUM($F$11:F18)+H18</f>
        <v/>
      </c>
      <c r="J18" s="8">
        <f>IF(I18=0,0,H18/I18)</f>
        <v/>
      </c>
    </row>
    <row r="19">
      <c r="B19" s="17" t="n">
        <v>9</v>
      </c>
      <c r="C19" s="18" t="n">
        <v>8</v>
      </c>
      <c r="D19" s="10">
        <f>MIN('Position &amp; Inputs'!$C$24,MAX(0,G18-$C$8))</f>
        <v/>
      </c>
      <c r="E19" s="16">
        <f>'Position &amp; Inputs'!$C$7*(1+((B19-1)*0.01))</f>
        <v/>
      </c>
      <c r="F19" s="6">
        <f>D19*E19</f>
        <v/>
      </c>
      <c r="G19" s="10">
        <f>G18-D19</f>
        <v/>
      </c>
      <c r="H19" s="6">
        <f>G19*E19</f>
        <v/>
      </c>
      <c r="I19" s="6">
        <f>'Position &amp; Inputs'!$C$19+SUM($F$11:F19)+H19</f>
        <v/>
      </c>
      <c r="J19" s="8">
        <f>IF(I19=0,0,H19/I19)</f>
        <v/>
      </c>
    </row>
    <row r="20">
      <c r="B20" s="17" t="n">
        <v>10</v>
      </c>
      <c r="C20" s="18" t="n">
        <v>9</v>
      </c>
      <c r="D20" s="10">
        <f>MIN('Position &amp; Inputs'!$C$24,MAX(0,G19-$C$8))</f>
        <v/>
      </c>
      <c r="E20" s="16">
        <f>'Position &amp; Inputs'!$C$7*(1+((B20-1)*0.01))</f>
        <v/>
      </c>
      <c r="F20" s="6">
        <f>D20*E20</f>
        <v/>
      </c>
      <c r="G20" s="10">
        <f>G19-D20</f>
        <v/>
      </c>
      <c r="H20" s="6">
        <f>G20*E20</f>
        <v/>
      </c>
      <c r="I20" s="6">
        <f>'Position &amp; Inputs'!$C$19+SUM($F$11:F20)+H20</f>
        <v/>
      </c>
      <c r="J20" s="8">
        <f>IF(I20=0,0,H20/I20)</f>
        <v/>
      </c>
    </row>
    <row r="21">
      <c r="B21" s="17" t="n">
        <v>11</v>
      </c>
      <c r="C21" s="18" t="n">
        <v>10</v>
      </c>
      <c r="D21" s="10">
        <f>MIN('Position &amp; Inputs'!$C$24,MAX(0,G20-$C$8))</f>
        <v/>
      </c>
      <c r="E21" s="16">
        <f>'Position &amp; Inputs'!$C$7*(1+((B21-1)*0.01))</f>
        <v/>
      </c>
      <c r="F21" s="6">
        <f>D21*E21</f>
        <v/>
      </c>
      <c r="G21" s="10">
        <f>G20-D21</f>
        <v/>
      </c>
      <c r="H21" s="6">
        <f>G21*E21</f>
        <v/>
      </c>
      <c r="I21" s="6">
        <f>'Position &amp; Inputs'!$C$19+SUM($F$11:F21)+H21</f>
        <v/>
      </c>
      <c r="J21" s="8">
        <f>IF(I21=0,0,H21/I21)</f>
        <v/>
      </c>
    </row>
    <row r="22">
      <c r="B22" s="17" t="n">
        <v>12</v>
      </c>
      <c r="C22" s="18" t="n">
        <v>11</v>
      </c>
      <c r="D22" s="10">
        <f>MIN('Position &amp; Inputs'!$C$24,MAX(0,G21-$C$8))</f>
        <v/>
      </c>
      <c r="E22" s="16">
        <f>'Position &amp; Inputs'!$C$7*(1+((B22-1)*0.01))</f>
        <v/>
      </c>
      <c r="F22" s="6">
        <f>D22*E22</f>
        <v/>
      </c>
      <c r="G22" s="10">
        <f>G21-D22</f>
        <v/>
      </c>
      <c r="H22" s="6">
        <f>G22*E22</f>
        <v/>
      </c>
      <c r="I22" s="6">
        <f>'Position &amp; Inputs'!$C$19+SUM($F$11:F22)+H22</f>
        <v/>
      </c>
      <c r="J22" s="8">
        <f>IF(I22=0,0,H22/I22)</f>
        <v/>
      </c>
    </row>
    <row r="24">
      <c r="B24" s="19" t="inlineStr">
        <is>
          <t>Total Proceeds</t>
        </is>
      </c>
      <c r="C24" s="20">
        <f>SUM(F11:F22)</f>
        <v/>
      </c>
    </row>
    <row r="25">
      <c r="B25" s="19" t="inlineStr">
        <is>
          <t>Months to Target</t>
        </is>
      </c>
      <c r="C25" s="21">
        <f>IFERROR(MINIFS(B11:B22,J11:J22,"&lt;="&amp;'Position &amp; Inputs'!$C$23)-1,"")</f>
        <v/>
      </c>
    </row>
    <row r="26">
      <c r="B26" s="19" t="inlineStr">
        <is>
          <t>Remaining Shares at Target</t>
        </is>
      </c>
      <c r="C26" s="21">
        <f>IF(C25="","",INDEX(G11:G22,C25+1))</f>
        <v/>
      </c>
    </row>
  </sheetData>
  <mergeCells count="1">
    <mergeCell ref="B4:E4"/>
  </mergeCells>
  <conditionalFormatting sqref="J11:J22">
    <cfRule type="cellIs" priority="1" operator="greaterThan" dxfId="0">
      <formula>0.35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18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18" customWidth="1" min="8" max="8"/>
  </cols>
  <sheetData>
    <row r="2">
      <c r="B2" s="1" t="inlineStr">
        <is>
          <t>Hedge Comparison</t>
        </is>
      </c>
    </row>
    <row r="4">
      <c r="B4" s="2" t="inlineStr">
        <is>
          <t>Hedge Inputs</t>
        </is>
      </c>
    </row>
    <row r="5">
      <c r="B5" s="3" t="inlineStr">
        <is>
          <t>Put Cost (%)</t>
        </is>
      </c>
      <c r="C5" s="14" t="n">
        <v>0.04</v>
      </c>
    </row>
    <row r="6">
      <c r="B6" s="3" t="inlineStr">
        <is>
          <t>Put Floor (%)</t>
        </is>
      </c>
      <c r="C6" s="14" t="n">
        <v>-0.15</v>
      </c>
    </row>
    <row r="7">
      <c r="B7" s="3" t="inlineStr">
        <is>
          <t>Collar Floor (%)</t>
        </is>
      </c>
      <c r="C7" s="14" t="n">
        <v>-0.12</v>
      </c>
    </row>
    <row r="8">
      <c r="B8" s="3" t="inlineStr">
        <is>
          <t>Collar Cap (%)</t>
        </is>
      </c>
      <c r="C8" s="14" t="n">
        <v>0.18</v>
      </c>
    </row>
    <row r="9">
      <c r="B9" s="3" t="inlineStr">
        <is>
          <t>Hedge Coverage</t>
        </is>
      </c>
      <c r="C9" s="14" t="n">
        <v>0.5</v>
      </c>
    </row>
    <row r="11">
      <c r="B11" s="15" t="inlineStr">
        <is>
          <t>Scenario</t>
        </is>
      </c>
      <c r="C11" s="15" t="inlineStr">
        <is>
          <t>Move</t>
        </is>
      </c>
      <c r="D11" s="15" t="inlineStr">
        <is>
          <t>Hold</t>
        </is>
      </c>
      <c r="E11" s="15" t="inlineStr">
        <is>
          <t>Sell 25% Now</t>
        </is>
      </c>
      <c r="F11" s="15" t="inlineStr">
        <is>
          <t>Sell 50% Now</t>
        </is>
      </c>
      <c r="G11" s="15" t="inlineStr">
        <is>
          <t>Protective Put</t>
        </is>
      </c>
      <c r="H11" s="15" t="inlineStr">
        <is>
          <t>Zero-Cost Collar</t>
        </is>
      </c>
    </row>
    <row r="12">
      <c r="B12" s="3" t="inlineStr">
        <is>
          <t>Up 20%</t>
        </is>
      </c>
      <c r="C12" s="14" t="n">
        <v>0.2</v>
      </c>
      <c r="D12" s="6">
        <f>'Position &amp; Inputs'!$C$19+('Position &amp; Inputs'!$C$9*(1+C12))</f>
        <v/>
      </c>
      <c r="E12" s="6">
        <f>'Position &amp; Inputs'!$C$19+('Position &amp; Inputs'!$C$9*0.25)+('Position &amp; Inputs'!$C$9*0.75*(1+C12))</f>
        <v/>
      </c>
      <c r="F12" s="6">
        <f>'Position &amp; Inputs'!$C$19+('Position &amp; Inputs'!$C$9*0.5)+('Position &amp; Inputs'!$C$9*0.5*(1+C12))</f>
        <v/>
      </c>
      <c r="G12" s="6">
        <f>'Position &amp; Inputs'!$C$19+('Position &amp; Inputs'!$C$9*(1-$C$9)*(1+C12))+('Position &amp; Inputs'!$C$9*$C$9*MAX(1+C12,1+$C$6))-('Position &amp; Inputs'!$C$9*$C$9*$C$5)</f>
        <v/>
      </c>
      <c r="H12" s="6">
        <f>'Position &amp; Inputs'!$C$19+('Position &amp; Inputs'!$C$9*(1-$C$9)*(1+C12))+('Position &amp; Inputs'!$C$9*$C$9*MIN(MAX(1+C12,1+$C$7),1+$C$8))</f>
        <v/>
      </c>
    </row>
    <row r="13">
      <c r="B13" s="3" t="inlineStr">
        <is>
          <t>Up 10%</t>
        </is>
      </c>
      <c r="C13" s="14" t="n">
        <v>0.1</v>
      </c>
      <c r="D13" s="6">
        <f>'Position &amp; Inputs'!$C$19+('Position &amp; Inputs'!$C$9*(1+C13))</f>
        <v/>
      </c>
      <c r="E13" s="6">
        <f>'Position &amp; Inputs'!$C$19+('Position &amp; Inputs'!$C$9*0.25)+('Position &amp; Inputs'!$C$9*0.75*(1+C13))</f>
        <v/>
      </c>
      <c r="F13" s="6">
        <f>'Position &amp; Inputs'!$C$19+('Position &amp; Inputs'!$C$9*0.5)+('Position &amp; Inputs'!$C$9*0.5*(1+C13))</f>
        <v/>
      </c>
      <c r="G13" s="6">
        <f>'Position &amp; Inputs'!$C$19+('Position &amp; Inputs'!$C$9*(1-$C$9)*(1+C13))+('Position &amp; Inputs'!$C$9*$C$9*MAX(1+C13,1+$C$6))-('Position &amp; Inputs'!$C$9*$C$9*$C$5)</f>
        <v/>
      </c>
      <c r="H13" s="6">
        <f>'Position &amp; Inputs'!$C$19+('Position &amp; Inputs'!$C$9*(1-$C$9)*(1+C13))+('Position &amp; Inputs'!$C$9*$C$9*MIN(MAX(1+C13,1+$C$7),1+$C$8))</f>
        <v/>
      </c>
    </row>
    <row r="14">
      <c r="B14" s="3" t="inlineStr">
        <is>
          <t>Flat</t>
        </is>
      </c>
      <c r="C14" s="14" t="n">
        <v>0</v>
      </c>
      <c r="D14" s="6">
        <f>'Position &amp; Inputs'!$C$19+('Position &amp; Inputs'!$C$9*(1+C14))</f>
        <v/>
      </c>
      <c r="E14" s="6">
        <f>'Position &amp; Inputs'!$C$19+('Position &amp; Inputs'!$C$9*0.25)+('Position &amp; Inputs'!$C$9*0.75*(1+C14))</f>
        <v/>
      </c>
      <c r="F14" s="6">
        <f>'Position &amp; Inputs'!$C$19+('Position &amp; Inputs'!$C$9*0.5)+('Position &amp; Inputs'!$C$9*0.5*(1+C14))</f>
        <v/>
      </c>
      <c r="G14" s="6">
        <f>'Position &amp; Inputs'!$C$19+('Position &amp; Inputs'!$C$9*(1-$C$9)*(1+C14))+('Position &amp; Inputs'!$C$9*$C$9*MAX(1+C14,1+$C$6))-('Position &amp; Inputs'!$C$9*$C$9*$C$5)</f>
        <v/>
      </c>
      <c r="H14" s="6">
        <f>'Position &amp; Inputs'!$C$19+('Position &amp; Inputs'!$C$9*(1-$C$9)*(1+C14))+('Position &amp; Inputs'!$C$9*$C$9*MIN(MAX(1+C14,1+$C$7),1+$C$8))</f>
        <v/>
      </c>
    </row>
    <row r="15">
      <c r="B15" s="3" t="inlineStr">
        <is>
          <t>Down 10%</t>
        </is>
      </c>
      <c r="C15" s="14" t="n">
        <v>-0.1</v>
      </c>
      <c r="D15" s="6">
        <f>'Position &amp; Inputs'!$C$19+('Position &amp; Inputs'!$C$9*(1+C15))</f>
        <v/>
      </c>
      <c r="E15" s="6">
        <f>'Position &amp; Inputs'!$C$19+('Position &amp; Inputs'!$C$9*0.25)+('Position &amp; Inputs'!$C$9*0.75*(1+C15))</f>
        <v/>
      </c>
      <c r="F15" s="6">
        <f>'Position &amp; Inputs'!$C$19+('Position &amp; Inputs'!$C$9*0.5)+('Position &amp; Inputs'!$C$9*0.5*(1+C15))</f>
        <v/>
      </c>
      <c r="G15" s="6">
        <f>'Position &amp; Inputs'!$C$19+('Position &amp; Inputs'!$C$9*(1-$C$9)*(1+C15))+('Position &amp; Inputs'!$C$9*$C$9*MAX(1+C15,1+$C$6))-('Position &amp; Inputs'!$C$9*$C$9*$C$5)</f>
        <v/>
      </c>
      <c r="H15" s="6">
        <f>'Position &amp; Inputs'!$C$19+('Position &amp; Inputs'!$C$9*(1-$C$9)*(1+C15))+('Position &amp; Inputs'!$C$9*$C$9*MIN(MAX(1+C15,1+$C$7),1+$C$8))</f>
        <v/>
      </c>
    </row>
    <row r="16">
      <c r="B16" s="3" t="inlineStr">
        <is>
          <t>Down 20%</t>
        </is>
      </c>
      <c r="C16" s="14" t="n">
        <v>-0.2</v>
      </c>
      <c r="D16" s="6">
        <f>'Position &amp; Inputs'!$C$19+('Position &amp; Inputs'!$C$9*(1+C16))</f>
        <v/>
      </c>
      <c r="E16" s="6">
        <f>'Position &amp; Inputs'!$C$19+('Position &amp; Inputs'!$C$9*0.25)+('Position &amp; Inputs'!$C$9*0.75*(1+C16))</f>
        <v/>
      </c>
      <c r="F16" s="6">
        <f>'Position &amp; Inputs'!$C$19+('Position &amp; Inputs'!$C$9*0.5)+('Position &amp; Inputs'!$C$9*0.5*(1+C16))</f>
        <v/>
      </c>
      <c r="G16" s="6">
        <f>'Position &amp; Inputs'!$C$19+('Position &amp; Inputs'!$C$9*(1-$C$9)*(1+C16))+('Position &amp; Inputs'!$C$9*$C$9*MAX(1+C16,1+$C$6))-('Position &amp; Inputs'!$C$9*$C$9*$C$5)</f>
        <v/>
      </c>
      <c r="H16" s="6">
        <f>'Position &amp; Inputs'!$C$19+('Position &amp; Inputs'!$C$9*(1-$C$9)*(1+C16))+('Position &amp; Inputs'!$C$9*$C$9*MIN(MAX(1+C16,1+$C$7),1+$C$8))</f>
        <v/>
      </c>
    </row>
    <row r="17">
      <c r="B17" s="3" t="inlineStr">
        <is>
          <t>Down 35%</t>
        </is>
      </c>
      <c r="C17" s="14" t="n">
        <v>-0.35</v>
      </c>
      <c r="D17" s="6">
        <f>'Position &amp; Inputs'!$C$19+('Position &amp; Inputs'!$C$9*(1+C17))</f>
        <v/>
      </c>
      <c r="E17" s="6">
        <f>'Position &amp; Inputs'!$C$19+('Position &amp; Inputs'!$C$9*0.25)+('Position &amp; Inputs'!$C$9*0.75*(1+C17))</f>
        <v/>
      </c>
      <c r="F17" s="6">
        <f>'Position &amp; Inputs'!$C$19+('Position &amp; Inputs'!$C$9*0.5)+('Position &amp; Inputs'!$C$9*0.5*(1+C17))</f>
        <v/>
      </c>
      <c r="G17" s="6">
        <f>'Position &amp; Inputs'!$C$19+('Position &amp; Inputs'!$C$9*(1-$C$9)*(1+C17))+('Position &amp; Inputs'!$C$9*$C$9*MAX(1+C17,1+$C$6))-('Position &amp; Inputs'!$C$9*$C$9*$C$5)</f>
        <v/>
      </c>
      <c r="H17" s="6">
        <f>'Position &amp; Inputs'!$C$19+('Position &amp; Inputs'!$C$9*(1-$C$9)*(1+C17))+('Position &amp; Inputs'!$C$9*$C$9*MIN(MAX(1+C17,1+$C$7),1+$C$8))</f>
        <v/>
      </c>
    </row>
    <row r="18">
      <c r="B18" s="3" t="inlineStr">
        <is>
          <t>Down 50%</t>
        </is>
      </c>
      <c r="C18" s="14" t="n">
        <v>-0.5</v>
      </c>
      <c r="D18" s="6">
        <f>'Position &amp; Inputs'!$C$19+('Position &amp; Inputs'!$C$9*(1+C18))</f>
        <v/>
      </c>
      <c r="E18" s="6">
        <f>'Position &amp; Inputs'!$C$19+('Position &amp; Inputs'!$C$9*0.25)+('Position &amp; Inputs'!$C$9*0.75*(1+C18))</f>
        <v/>
      </c>
      <c r="F18" s="6">
        <f>'Position &amp; Inputs'!$C$19+('Position &amp; Inputs'!$C$9*0.5)+('Position &amp; Inputs'!$C$9*0.5*(1+C18))</f>
        <v/>
      </c>
      <c r="G18" s="6">
        <f>'Position &amp; Inputs'!$C$19+('Position &amp; Inputs'!$C$9*(1-$C$9)*(1+C18))+('Position &amp; Inputs'!$C$9*$C$9*MAX(1+C18,1+$C$6))-('Position &amp; Inputs'!$C$9*$C$9*$C$5)</f>
        <v/>
      </c>
      <c r="H18" s="6">
        <f>'Position &amp; Inputs'!$C$19+('Position &amp; Inputs'!$C$9*(1-$C$9)*(1+C18))+('Position &amp; Inputs'!$C$9*$C$9*MIN(MAX(1+C18,1+$C$7),1+$C$8))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C2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2" max="2"/>
    <col width="18" customWidth="1" min="3" max="3"/>
  </cols>
  <sheetData>
    <row r="2">
      <c r="B2" s="1" t="inlineStr">
        <is>
          <t>Snapshot</t>
        </is>
      </c>
    </row>
    <row r="4">
      <c r="B4" s="2" t="inlineStr">
        <is>
          <t>Now</t>
        </is>
      </c>
    </row>
    <row r="5">
      <c r="B5" s="5" t="inlineStr">
        <is>
          <t>Ticker</t>
        </is>
      </c>
      <c r="C5" s="22">
        <f>'Position &amp; Inputs'!C5</f>
        <v/>
      </c>
    </row>
    <row r="6">
      <c r="B6" s="5" t="inlineStr">
        <is>
          <t>Position value</t>
        </is>
      </c>
      <c r="C6" s="6">
        <f>'Position &amp; Inputs'!C9</f>
        <v/>
      </c>
    </row>
    <row r="7">
      <c r="B7" s="5" t="inlineStr">
        <is>
          <t>Total net worth</t>
        </is>
      </c>
      <c r="C7" s="6">
        <f>'Position &amp; Inputs'!C20</f>
        <v/>
      </c>
    </row>
    <row r="8">
      <c r="B8" s="5" t="inlineStr">
        <is>
          <t>Current concentration</t>
        </is>
      </c>
      <c r="C8" s="8">
        <f>'Position &amp; Inputs'!C21</f>
        <v/>
      </c>
    </row>
    <row r="9">
      <c r="B9" s="5" t="inlineStr">
        <is>
          <t>Target concentration</t>
        </is>
      </c>
      <c r="C9" s="8">
        <f>'Position &amp; Inputs'!C23</f>
        <v/>
      </c>
    </row>
    <row r="12">
      <c r="B12" s="2" t="inlineStr">
        <is>
          <t>Options</t>
        </is>
      </c>
    </row>
    <row r="13">
      <c r="B13" s="5" t="inlineStr">
        <is>
          <t>Shares to sell now to hit target</t>
        </is>
      </c>
      <c r="C13" s="10">
        <f>MAX(0,ROUNDUP(('Position &amp; Inputs'!C9-('Position &amp; Inputs'!C23*'Position &amp; Inputs'!C20))/'Position &amp; Inputs'!C7,0))</f>
        <v/>
      </c>
    </row>
    <row r="14">
      <c r="B14" s="5" t="inlineStr">
        <is>
          <t>Dollar amount above target</t>
        </is>
      </c>
      <c r="C14" s="6">
        <f>MAX(0,'Position &amp; Inputs'!C9-('Position &amp; Inputs'!C23*'Position &amp; Inputs'!C20))</f>
        <v/>
      </c>
    </row>
    <row r="15">
      <c r="B15" s="5" t="inlineStr">
        <is>
          <t>Best simple action from the comparison set</t>
        </is>
      </c>
      <c r="C15" s="22">
        <f>IF(MAX('Hedge Comparison'!D17:H17)='Hedge Comparison'!D17,"Hold",IF(MAX('Hedge Comparison'!D17:H17)='Hedge Comparison'!E17,"Sell 25% Now",IF(MAX('Hedge Comparison'!D17:H17)='Hedge Comparison'!F17,"Sell 50% Now",IF(MAX('Hedge Comparison'!D17:H17)='Hedge Comparison'!G17,"Protective Put","Zero-Cost Collar"))))</f>
        <v/>
      </c>
    </row>
    <row r="16">
      <c r="B16" s="5" t="inlineStr">
        <is>
          <t>Net worth under a 35% drop if unchanged</t>
        </is>
      </c>
      <c r="C16" s="6">
        <f>'Risk Scenarios'!E8</f>
        <v/>
      </c>
    </row>
    <row r="17">
      <c r="B17" s="5" t="inlineStr">
        <is>
          <t>Net worth under a 35% drop after a 25% sale</t>
        </is>
      </c>
      <c r="C17" s="6">
        <f>'Hedge Comparison'!E17</f>
        <v/>
      </c>
    </row>
    <row r="19">
      <c r="B19" s="2" t="inlineStr">
        <is>
          <t>Downside</t>
        </is>
      </c>
    </row>
    <row r="20">
      <c r="B20" s="5" t="inlineStr">
        <is>
          <t>Hold outcome at +20%</t>
        </is>
      </c>
      <c r="C20" s="6">
        <f>'Hedge Comparison'!D12</f>
        <v/>
      </c>
    </row>
    <row r="21">
      <c r="B21" s="5" t="inlineStr">
        <is>
          <t>Hold outcome at -35%</t>
        </is>
      </c>
      <c r="C21" s="6">
        <f>'Hedge Comparison'!D17</f>
        <v/>
      </c>
    </row>
    <row r="22">
      <c r="B22" s="5" t="inlineStr">
        <is>
          <t>Protective put at -35%</t>
        </is>
      </c>
      <c r="C22" s="6">
        <f>'Hedge Comparison'!G17</f>
        <v/>
      </c>
    </row>
    <row r="23">
      <c r="B23" s="5" t="inlineStr">
        <is>
          <t>Collar at -35%</t>
        </is>
      </c>
      <c r="C23" s="6">
        <f>'Hedge Comparison'!H17</f>
        <v/>
      </c>
    </row>
    <row r="24">
      <c r="B24" s="5" t="inlineStr">
        <is>
          <t>Sale-plan months to target</t>
        </is>
      </c>
      <c r="C24" s="10">
        <f>'Sale Plan'!C25</f>
        <v/>
      </c>
    </row>
  </sheetData>
  <conditionalFormatting sqref="C8">
    <cfRule type="cellIs" priority="1" operator="greaterThan" dxfId="0">
      <formula>0.35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2026-04-09T06:30:52Z</dcterms:created>
  <dcterms:modified xmlns:dcterms="http://purl.org/dc/terms/" xmlns:xsi="http://www.w3.org/2001/XMLSchema-instance" xsi:type="dcterms:W3CDTF">2026-04-09T06:30:52Z</dcterms:modified>
</cp:coreProperties>
</file>