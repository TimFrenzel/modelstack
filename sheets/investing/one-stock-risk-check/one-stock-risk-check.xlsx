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investing\one-stock-risk-check\"/>
    </mc:Choice>
  </mc:AlternateContent>
  <xr:revisionPtr revIDLastSave="0" documentId="13_ncr:1_{4979A806-3F92-492F-BACC-1AED2D4ECAAE}" xr6:coauthVersionLast="47" xr6:coauthVersionMax="47" xr10:uidLastSave="{00000000-0000-0000-0000-000000000000}"/>
  <bookViews>
    <workbookView xWindow="-35520" yWindow="2145" windowWidth="28800" windowHeight="15345" xr2:uid="{00000000-000D-0000-FFFF-FFFF00000000}"/>
  </bookViews>
  <sheets>
    <sheet name="1-Position &amp; Inputs" sheetId="1" r:id="rId1"/>
    <sheet name="2-Risk Scenarios" sheetId="2" r:id="rId2"/>
    <sheet name="3-Sale Plan" sheetId="3" r:id="rId3"/>
    <sheet name="4- Hedge Comparison" sheetId="4" r:id="rId4"/>
    <sheet name="5-Snapshot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5" l="1"/>
  <c r="B8" i="5"/>
  <c r="B4" i="5"/>
  <c r="B19" i="1"/>
  <c r="B9" i="1"/>
  <c r="E5" i="1" s="1"/>
  <c r="B24" i="3"/>
  <c r="B23" i="5" s="1"/>
  <c r="D21" i="3"/>
  <c r="D20" i="3"/>
  <c r="D19" i="3"/>
  <c r="D18" i="3"/>
  <c r="D17" i="3"/>
  <c r="D16" i="3"/>
  <c r="D15" i="3"/>
  <c r="D14" i="3"/>
  <c r="D13" i="3"/>
  <c r="D12" i="3"/>
  <c r="D11" i="3"/>
  <c r="D10" i="3"/>
  <c r="D5" i="3"/>
  <c r="B5" i="3"/>
  <c r="D4" i="3"/>
  <c r="B4" i="3"/>
  <c r="E11" i="4" l="1"/>
  <c r="G16" i="4"/>
  <c r="B22" i="5" s="1"/>
  <c r="B20" i="1"/>
  <c r="B7" i="3" s="1"/>
  <c r="C5" i="2"/>
  <c r="G5" i="2" s="1"/>
  <c r="C6" i="2"/>
  <c r="G6" i="2" s="1"/>
  <c r="C7" i="2"/>
  <c r="G7" i="2" s="1"/>
  <c r="L7" i="2"/>
  <c r="C8" i="2"/>
  <c r="G8" i="2" s="1"/>
  <c r="L8" i="2"/>
  <c r="C9" i="2"/>
  <c r="G9" i="2" s="1"/>
  <c r="F13" i="4"/>
  <c r="G15" i="4"/>
  <c r="J8" i="2"/>
  <c r="F12" i="4"/>
  <c r="C17" i="4"/>
  <c r="K8" i="2"/>
  <c r="G12" i="4"/>
  <c r="D17" i="4"/>
  <c r="C13" i="4"/>
  <c r="E17" i="4"/>
  <c r="D13" i="4"/>
  <c r="F17" i="4"/>
  <c r="J10" i="3"/>
  <c r="C10" i="3" s="1"/>
  <c r="E13" i="4"/>
  <c r="G17" i="4"/>
  <c r="J6" i="2"/>
  <c r="G13" i="4"/>
  <c r="B5" i="5"/>
  <c r="B25" i="3"/>
  <c r="K6" i="2"/>
  <c r="C14" i="4"/>
  <c r="B6" i="5"/>
  <c r="L6" i="2"/>
  <c r="J9" i="2"/>
  <c r="D14" i="4"/>
  <c r="K9" i="2"/>
  <c r="E14" i="4"/>
  <c r="E7" i="1"/>
  <c r="L9" i="2"/>
  <c r="F14" i="4"/>
  <c r="E8" i="1"/>
  <c r="J10" i="2"/>
  <c r="G14" i="4"/>
  <c r="B10" i="5"/>
  <c r="K10" i="2"/>
  <c r="C15" i="4"/>
  <c r="E9" i="1"/>
  <c r="L10" i="2"/>
  <c r="D15" i="4"/>
  <c r="E10" i="1"/>
  <c r="J7" i="2"/>
  <c r="C11" i="4"/>
  <c r="B19" i="5" s="1"/>
  <c r="E15" i="4"/>
  <c r="K7" i="2"/>
  <c r="D11" i="4"/>
  <c r="F15" i="4"/>
  <c r="B21" i="1"/>
  <c r="F11" i="4"/>
  <c r="C16" i="4"/>
  <c r="B20" i="5" s="1"/>
  <c r="G11" i="4"/>
  <c r="D16" i="4"/>
  <c r="B16" i="5" s="1"/>
  <c r="D5" i="2"/>
  <c r="C12" i="4"/>
  <c r="E16" i="4"/>
  <c r="D12" i="4"/>
  <c r="F16" i="4"/>
  <c r="B21" i="5" s="1"/>
  <c r="E12" i="4"/>
  <c r="D7" i="2" l="1"/>
  <c r="B12" i="5"/>
  <c r="D8" i="2"/>
  <c r="D6" i="2"/>
  <c r="F6" i="2" s="1"/>
  <c r="D9" i="2"/>
  <c r="F9" i="2" s="1"/>
  <c r="B13" i="5"/>
  <c r="F7" i="2"/>
  <c r="E7" i="2"/>
  <c r="E10" i="3"/>
  <c r="F10" i="3"/>
  <c r="B14" i="5"/>
  <c r="E6" i="1"/>
  <c r="B7" i="5"/>
  <c r="F8" i="2"/>
  <c r="E8" i="2"/>
  <c r="B15" i="5"/>
  <c r="F5" i="2"/>
  <c r="E5" i="2"/>
  <c r="E9" i="2" l="1"/>
  <c r="E6" i="2"/>
  <c r="G10" i="3"/>
  <c r="H10" i="3" s="1"/>
  <c r="I10" i="3" s="1"/>
  <c r="J11" i="3"/>
  <c r="C11" i="3" s="1"/>
  <c r="E11" i="3" l="1"/>
  <c r="F11" i="3"/>
  <c r="G11" i="3" l="1"/>
  <c r="H11" i="3" s="1"/>
  <c r="I11" i="3" s="1"/>
  <c r="J12" i="3"/>
  <c r="C12" i="3" s="1"/>
  <c r="E12" i="3" l="1"/>
  <c r="F12" i="3"/>
  <c r="G12" i="3" l="1"/>
  <c r="H12" i="3" s="1"/>
  <c r="I12" i="3" s="1"/>
  <c r="J13" i="3"/>
  <c r="C13" i="3" s="1"/>
  <c r="E13" i="3" l="1"/>
  <c r="F13" i="3"/>
  <c r="G13" i="3" l="1"/>
  <c r="H13" i="3" s="1"/>
  <c r="I13" i="3" s="1"/>
  <c r="J14" i="3"/>
  <c r="C14" i="3" s="1"/>
  <c r="E14" i="3" l="1"/>
  <c r="F14" i="3"/>
  <c r="G14" i="3" l="1"/>
  <c r="H14" i="3" s="1"/>
  <c r="I14" i="3" s="1"/>
  <c r="J15" i="3"/>
  <c r="C15" i="3" s="1"/>
  <c r="E15" i="3" l="1"/>
  <c r="F15" i="3"/>
  <c r="G15" i="3" l="1"/>
  <c r="H15" i="3" s="1"/>
  <c r="I15" i="3" s="1"/>
  <c r="J16" i="3"/>
  <c r="C16" i="3" s="1"/>
  <c r="E16" i="3" l="1"/>
  <c r="F16" i="3"/>
  <c r="J17" i="3" l="1"/>
  <c r="C17" i="3" s="1"/>
  <c r="G16" i="3"/>
  <c r="H16" i="3" s="1"/>
  <c r="I16" i="3" s="1"/>
  <c r="E17" i="3" l="1"/>
  <c r="F17" i="3"/>
  <c r="G17" i="3" l="1"/>
  <c r="H17" i="3" s="1"/>
  <c r="I17" i="3" s="1"/>
  <c r="J18" i="3"/>
  <c r="C18" i="3" s="1"/>
  <c r="E18" i="3" l="1"/>
  <c r="F18" i="3"/>
  <c r="G18" i="3" l="1"/>
  <c r="H18" i="3" s="1"/>
  <c r="I18" i="3" s="1"/>
  <c r="J19" i="3"/>
  <c r="C19" i="3" s="1"/>
  <c r="E19" i="3" l="1"/>
  <c r="F19" i="3"/>
  <c r="G19" i="3" l="1"/>
  <c r="H19" i="3" s="1"/>
  <c r="I19" i="3" s="1"/>
  <c r="J20" i="3"/>
  <c r="C20" i="3" s="1"/>
  <c r="E20" i="3" l="1"/>
  <c r="F20" i="3"/>
  <c r="G20" i="3" l="1"/>
  <c r="H20" i="3" s="1"/>
  <c r="I20" i="3" s="1"/>
  <c r="J21" i="3"/>
  <c r="C21" i="3" s="1"/>
  <c r="E21" i="3" l="1"/>
  <c r="B23" i="3" s="1"/>
  <c r="F21" i="3"/>
  <c r="G21" i="3" s="1"/>
  <c r="H21" i="3" l="1"/>
  <c r="I21" i="3" s="1"/>
</calcChain>
</file>

<file path=xl/sharedStrings.xml><?xml version="1.0" encoding="utf-8"?>
<sst xmlns="http://schemas.openxmlformats.org/spreadsheetml/2006/main" count="114" uniqueCount="92">
  <si>
    <t>Sale Plan</t>
  </si>
  <si>
    <t>Linked Inputs</t>
  </si>
  <si>
    <t>Target concentration</t>
  </si>
  <si>
    <t>Current shares</t>
  </si>
  <si>
    <t>Sell pace</t>
  </si>
  <si>
    <t>Current price</t>
  </si>
  <si>
    <t>Target Shares Today</t>
  </si>
  <si>
    <t>Step</t>
  </si>
  <si>
    <t>Trigger</t>
  </si>
  <si>
    <t>Shares to Sell</t>
  </si>
  <si>
    <t>Sale Price</t>
  </si>
  <si>
    <t>Gross Proceeds</t>
  </si>
  <si>
    <t>Remaining Shares</t>
  </si>
  <si>
    <t>Remaining Position Value</t>
  </si>
  <si>
    <t>Estimated Net Worth</t>
  </si>
  <si>
    <t>Concentration %</t>
  </si>
  <si>
    <t>Max Shares At Target</t>
  </si>
  <si>
    <t>Now</t>
  </si>
  <si>
    <t>Total Proceeds</t>
  </si>
  <si>
    <t>Months to Target</t>
  </si>
  <si>
    <t>Remaining Shares at Target</t>
  </si>
  <si>
    <t>One stock risk check</t>
  </si>
  <si>
    <t>Concentrated Position</t>
  </si>
  <si>
    <t>Where it sits</t>
  </si>
  <si>
    <t>Ticker</t>
  </si>
  <si>
    <t>NVDA</t>
  </si>
  <si>
    <t>Current position value</t>
  </si>
  <si>
    <t>Shares Owned</t>
  </si>
  <si>
    <t>Current concentration</t>
  </si>
  <si>
    <t>Current Price</t>
  </si>
  <si>
    <t>Dollars above target</t>
  </si>
  <si>
    <t>52-Week High</t>
  </si>
  <si>
    <t>Shares above target</t>
  </si>
  <si>
    <t>Current Position Value</t>
  </si>
  <si>
    <t>Net worth if stock drops 35%</t>
  </si>
  <si>
    <t>Dividend Yield</t>
  </si>
  <si>
    <t>Net worth if 25% sold, then stock drops 35%</t>
  </si>
  <si>
    <t>Other Assets</t>
  </si>
  <si>
    <t>Cash</t>
  </si>
  <si>
    <t>Diversified Brokerage</t>
  </si>
  <si>
    <t>Retirement Accounts</t>
  </si>
  <si>
    <t>Real Estate Equity</t>
  </si>
  <si>
    <t>Total Other Assets</t>
  </si>
  <si>
    <t>Total Net Worth</t>
  </si>
  <si>
    <t>Current Concentration</t>
  </si>
  <si>
    <t>Risk Goals</t>
  </si>
  <si>
    <t>Target Max Concentration</t>
  </si>
  <si>
    <t>Monthly Sell Pace (shares)</t>
  </si>
  <si>
    <t>Risk Scenarios</t>
  </si>
  <si>
    <t>Scenario</t>
  </si>
  <si>
    <t>Price Change</t>
  </si>
  <si>
    <t>Stock Value</t>
  </si>
  <si>
    <t>Net Worth Change</t>
  </si>
  <si>
    <t>Position Gain / Loss</t>
  </si>
  <si>
    <t>Strategy Compare</t>
  </si>
  <si>
    <t>Up 20%</t>
  </si>
  <si>
    <t>Hold</t>
  </si>
  <si>
    <t>Sell 25% Now</t>
  </si>
  <si>
    <t>Sell 50% Now</t>
  </si>
  <si>
    <t>Down 10%</t>
  </si>
  <si>
    <t>Down 20%</t>
  </si>
  <si>
    <t>Down 35%</t>
  </si>
  <si>
    <t>Down 50%</t>
  </si>
  <si>
    <t>Hedge Comparison</t>
  </si>
  <si>
    <t>Hedge Inputs</t>
  </si>
  <si>
    <t>Put Cost (%)</t>
  </si>
  <si>
    <t>Put Floor (%)</t>
  </si>
  <si>
    <t>Collar Floor (%)</t>
  </si>
  <si>
    <t>Collar Cap (%)</t>
  </si>
  <si>
    <t>Hedge Coverage</t>
  </si>
  <si>
    <t>Move</t>
  </si>
  <si>
    <t>Protective Put</t>
  </si>
  <si>
    <t>Zero-Cost Collar</t>
  </si>
  <si>
    <t>Up 10%</t>
  </si>
  <si>
    <t>Flat</t>
  </si>
  <si>
    <t>Snapshot</t>
  </si>
  <si>
    <t>Position value</t>
  </si>
  <si>
    <t>Total net worth</t>
  </si>
  <si>
    <t>Below 52-Week High</t>
  </si>
  <si>
    <t>Annual Dividend Income</t>
  </si>
  <si>
    <t>Options</t>
  </si>
  <si>
    <t>Shares to sell now to hit target</t>
  </si>
  <si>
    <t>Dollar amount above target</t>
  </si>
  <si>
    <t>Best action in -35% scenario</t>
  </si>
  <si>
    <t>Net worth under a 35% drop if unchanged</t>
  </si>
  <si>
    <t>Net worth under a 35% drop after a 25% sale</t>
  </si>
  <si>
    <t>Downside</t>
  </si>
  <si>
    <t>Hold outcome at +20%</t>
  </si>
  <si>
    <t>Hold outcome at -35%</t>
  </si>
  <si>
    <t>Protective put at -35%</t>
  </si>
  <si>
    <t>Collar at -35%</t>
  </si>
  <si>
    <t>Sale-plan months to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</si>
</sst>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\$#,##0.00"/>
  </numFmts>
  <fonts count="7" x14ac:knownFonts="1">
    <font>
      <sz val="11"/>
      <color theme="1"/>
      <name val="Calibri"/>
      <family val="2"/>
      <scheme val="minor"/>
    </font>
    <font>
      <b/>
      <sz val="14"/>
      <color rgb="FF333333"/>
      <name val="Calibri"/>
      <family val="2"/>
    </font>
    <font>
      <b/>
      <sz val="11"/>
      <color rgb="FF333333"/>
      <name val="Calibri"/>
      <family val="2"/>
    </font>
    <font>
      <sz val="11"/>
      <color rgb="FF000000"/>
      <name val="Calibri"/>
      <family val="2"/>
    </font>
    <font>
      <sz val="11"/>
      <color rgb="FF4472C4"/>
      <name val="Calibri"/>
      <family val="2"/>
    </font>
    <font>
      <sz val="9"/>
      <color rgb="FF808080"/>
      <name val="Calibri"/>
      <family val="2"/>
    </font>
    <font>
      <b/>
      <sz val="11"/>
      <color rgb="FF59595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F2CC"/>
      </patternFill>
    </fill>
    <fill>
      <patternFill patternType="solid">
        <fgColor rgb="FFF3F3F3"/>
      </patternFill>
    </fill>
  </fills>
  <borders count="6">
    <border>
      <left/>
      <right/>
      <top/>
      <bottom/>
      <diagonal/>
    </border>
    <border>
      <left style="thin">
        <color rgb="FFA9B4C2"/>
      </left>
      <right style="thin">
        <color rgb="FFA9B4C2"/>
      </right>
      <top style="thin">
        <color rgb="FFA9B4C2"/>
      </top>
      <bottom style="medium">
        <color rgb="FFA9B4C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medium">
        <color rgb="FF808080"/>
      </top>
      <bottom/>
      <diagonal/>
    </border>
    <border>
      <left/>
      <right/>
      <top style="thin">
        <color rgb="FFA9B4C2"/>
      </top>
      <bottom style="medium">
        <color rgb="FFA9B4C2"/>
      </bottom>
      <diagonal/>
    </border>
    <border>
      <left/>
      <right style="thin">
        <color rgb="FFA9B4C2"/>
      </right>
      <top style="thin">
        <color rgb="FFA9B4C2"/>
      </top>
      <bottom style="medium">
        <color rgb="FFA9B4C2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/>
    </xf>
    <xf numFmtId="164" fontId="4" fillId="0" borderId="2" xfId="0" applyNumberFormat="1" applyFont="1" applyBorder="1" applyAlignment="1">
      <alignment horizontal="left" vertical="center"/>
    </xf>
    <xf numFmtId="3" fontId="3" fillId="3" borderId="2" xfId="0" applyNumberFormat="1" applyFont="1" applyFill="1" applyBorder="1" applyAlignment="1">
      <alignment horizontal="left" vertical="center"/>
    </xf>
    <xf numFmtId="165" fontId="4" fillId="0" borderId="2" xfId="0" applyNumberFormat="1" applyFont="1" applyBorder="1" applyAlignment="1">
      <alignment horizontal="left" vertical="center"/>
    </xf>
    <xf numFmtId="166" fontId="3" fillId="3" borderId="2" xfId="0" applyNumberFormat="1" applyFont="1" applyFill="1" applyBorder="1" applyAlignment="1">
      <alignment horizontal="left" vertical="center"/>
    </xf>
    <xf numFmtId="3" fontId="4" fillId="0" borderId="2" xfId="0" applyNumberFormat="1" applyFont="1" applyBorder="1" applyAlignment="1">
      <alignment horizontal="left" vertical="center"/>
    </xf>
    <xf numFmtId="10" fontId="3" fillId="3" borderId="2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3" fillId="3" borderId="2" xfId="0" applyNumberFormat="1" applyFont="1" applyFill="1" applyBorder="1" applyAlignment="1">
      <alignment horizontal="left" vertical="center"/>
    </xf>
    <xf numFmtId="165" fontId="3" fillId="3" borderId="2" xfId="0" applyNumberFormat="1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 wrapText="1"/>
    </xf>
    <xf numFmtId="166" fontId="4" fillId="0" borderId="2" xfId="0" applyNumberFormat="1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4" fillId="0" borderId="3" xfId="0" applyNumberFormat="1" applyFont="1" applyBorder="1" applyAlignment="1">
      <alignment horizontal="left" vertical="center"/>
    </xf>
    <xf numFmtId="3" fontId="4" fillId="0" borderId="3" xfId="0" applyNumberFormat="1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</cellXfs>
  <cellStyles count="1">
    <cellStyle name="Normal" xfId="0" builtinId="0"/>
  </cellStyles>
  <dxfs count="5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24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 activeCell="J19" sqref="J19"/>
    </sheetView>
  </sheetViews>
  <sheetFormatPr defaultRowHeight="15" x14ac:dyDescent="0.25"/>
  <cols>
    <col min="1" max="1" width="30" customWidth="1"/>
    <col min="2" max="2" width="16" customWidth="1"/>
    <col min="4" max="4" width="46.42578125" bestFit="1" customWidth="1"/>
    <col min="5" max="5" width="16" customWidth="1"/>
  </cols>
  <sheetData>
    <row r="2" spans="1:5" ht="18.75" customHeight="1" x14ac:dyDescent="0.25">
      <c r="A2" s="1" t="s">
        <v>21</v>
      </c>
    </row>
    <row r="4" spans="1:5" ht="15.75" thickBot="1" x14ac:dyDescent="0.3">
      <c r="A4" s="2" t="s">
        <v>22</v>
      </c>
      <c r="D4" s="2" t="s">
        <v>23</v>
      </c>
    </row>
    <row r="5" spans="1:5" x14ac:dyDescent="0.25">
      <c r="A5" s="3" t="s">
        <v>24</v>
      </c>
      <c r="B5" s="4" t="s">
        <v>25</v>
      </c>
      <c r="D5" s="5" t="s">
        <v>26</v>
      </c>
      <c r="E5" s="6">
        <f>B9</f>
        <v>672000</v>
      </c>
    </row>
    <row r="6" spans="1:5" x14ac:dyDescent="0.25">
      <c r="A6" s="3" t="s">
        <v>27</v>
      </c>
      <c r="B6" s="7">
        <v>6000</v>
      </c>
      <c r="D6" s="5" t="s">
        <v>28</v>
      </c>
      <c r="E6" s="8">
        <f>B21</f>
        <v>0.34514637904468415</v>
      </c>
    </row>
    <row r="7" spans="1:5" x14ac:dyDescent="0.25">
      <c r="A7" s="3" t="s">
        <v>29</v>
      </c>
      <c r="B7" s="9">
        <v>112</v>
      </c>
      <c r="D7" s="5" t="s">
        <v>30</v>
      </c>
      <c r="E7" s="6">
        <f>MAX(0,B9-(B23*B20))</f>
        <v>185250</v>
      </c>
    </row>
    <row r="8" spans="1:5" x14ac:dyDescent="0.25">
      <c r="A8" s="3" t="s">
        <v>31</v>
      </c>
      <c r="B8" s="9">
        <v>140</v>
      </c>
      <c r="D8" s="5" t="s">
        <v>32</v>
      </c>
      <c r="E8" s="10">
        <f>MAX(0,ROUNDUP((B9-(B23*B20))/B7,0))</f>
        <v>1655</v>
      </c>
    </row>
    <row r="9" spans="1:5" x14ac:dyDescent="0.25">
      <c r="A9" s="3" t="s">
        <v>33</v>
      </c>
      <c r="B9" s="6">
        <f>B6*B7</f>
        <v>672000</v>
      </c>
      <c r="D9" s="5" t="s">
        <v>34</v>
      </c>
      <c r="E9" s="6">
        <f>B19+(B9*0.65)</f>
        <v>1711800</v>
      </c>
    </row>
    <row r="10" spans="1:5" x14ac:dyDescent="0.25">
      <c r="A10" s="3" t="s">
        <v>35</v>
      </c>
      <c r="B10" s="11">
        <v>2E-3</v>
      </c>
      <c r="D10" s="5" t="s">
        <v>36</v>
      </c>
      <c r="E10" s="6">
        <f>B19+(B9*0.25)+(B9*0.75*0.65)</f>
        <v>1770600</v>
      </c>
    </row>
    <row r="12" spans="1:5" x14ac:dyDescent="0.25">
      <c r="D12" s="12"/>
    </row>
    <row r="13" spans="1:5" ht="15.75" thickBot="1" x14ac:dyDescent="0.3">
      <c r="A13" s="2" t="s">
        <v>37</v>
      </c>
      <c r="D13" s="12"/>
    </row>
    <row r="14" spans="1:5" x14ac:dyDescent="0.25">
      <c r="A14" s="3" t="s">
        <v>38</v>
      </c>
      <c r="B14" s="13">
        <v>85000</v>
      </c>
    </row>
    <row r="15" spans="1:5" x14ac:dyDescent="0.25">
      <c r="A15" s="3" t="s">
        <v>39</v>
      </c>
      <c r="B15" s="13">
        <v>310000</v>
      </c>
    </row>
    <row r="16" spans="1:5" x14ac:dyDescent="0.25">
      <c r="A16" s="3" t="s">
        <v>40</v>
      </c>
      <c r="B16" s="13">
        <v>540000</v>
      </c>
    </row>
    <row r="17" spans="1:2" x14ac:dyDescent="0.25">
      <c r="A17" s="3" t="s">
        <v>41</v>
      </c>
      <c r="B17" s="13">
        <v>280000</v>
      </c>
    </row>
    <row r="18" spans="1:2" x14ac:dyDescent="0.25">
      <c r="A18" s="3" t="s">
        <v>37</v>
      </c>
      <c r="B18" s="13">
        <v>60000</v>
      </c>
    </row>
    <row r="19" spans="1:2" x14ac:dyDescent="0.25">
      <c r="A19" s="3" t="s">
        <v>42</v>
      </c>
      <c r="B19" s="6">
        <f>SUM(B14:B18)</f>
        <v>1275000</v>
      </c>
    </row>
    <row r="20" spans="1:2" x14ac:dyDescent="0.25">
      <c r="A20" s="3" t="s">
        <v>43</v>
      </c>
      <c r="B20" s="6">
        <f>B9+B19</f>
        <v>1947000</v>
      </c>
    </row>
    <row r="21" spans="1:2" x14ac:dyDescent="0.25">
      <c r="A21" s="3" t="s">
        <v>44</v>
      </c>
      <c r="B21" s="8">
        <f>IF(B20=0,0,B9/B20)</f>
        <v>0.34514637904468415</v>
      </c>
    </row>
    <row r="22" spans="1:2" ht="15.75" thickBot="1" x14ac:dyDescent="0.3">
      <c r="A22" s="2" t="s">
        <v>45</v>
      </c>
    </row>
    <row r="23" spans="1:2" x14ac:dyDescent="0.25">
      <c r="A23" s="3" t="s">
        <v>46</v>
      </c>
      <c r="B23" s="14">
        <v>0.25</v>
      </c>
    </row>
    <row r="24" spans="1:2" x14ac:dyDescent="0.25">
      <c r="A24" s="3" t="s">
        <v>47</v>
      </c>
      <c r="B24" s="7">
        <v>200</v>
      </c>
    </row>
  </sheetData>
  <conditionalFormatting sqref="B21">
    <cfRule type="cellIs" dxfId="4" priority="1" operator="greaterThan">
      <formula>0.35</formula>
    </cfRule>
  </conditionalFormatting>
  <conditionalFormatting sqref="E6">
    <cfRule type="cellIs" dxfId="3" priority="2" operator="greaterThan">
      <formula>0.35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H28" sqref="H28"/>
    </sheetView>
  </sheetViews>
  <sheetFormatPr defaultRowHeight="15" x14ac:dyDescent="0.25"/>
  <cols>
    <col min="1" max="1" width="14" customWidth="1"/>
    <col min="2" max="2" width="7.5703125" bestFit="1" customWidth="1"/>
    <col min="3" max="3" width="11.28515625" bestFit="1" customWidth="1"/>
    <col min="4" max="4" width="10.140625" bestFit="1" customWidth="1"/>
    <col min="5" max="5" width="13.7109375" bestFit="1" customWidth="1"/>
    <col min="6" max="6" width="10.42578125" bestFit="1" customWidth="1"/>
    <col min="7" max="7" width="14.28515625" bestFit="1" customWidth="1"/>
    <col min="8" max="8" width="5" customWidth="1"/>
    <col min="9" max="9" width="16.85546875" bestFit="1" customWidth="1"/>
    <col min="10" max="10" width="10.140625" bestFit="1" customWidth="1"/>
    <col min="11" max="12" width="12.85546875" bestFit="1" customWidth="1"/>
  </cols>
  <sheetData>
    <row r="2" spans="1:12" ht="18.75" customHeight="1" x14ac:dyDescent="0.25">
      <c r="A2" s="1" t="s">
        <v>48</v>
      </c>
    </row>
    <row r="4" spans="1:12" ht="30" customHeight="1" x14ac:dyDescent="0.25">
      <c r="A4" s="15" t="s">
        <v>49</v>
      </c>
      <c r="B4" s="15" t="s">
        <v>50</v>
      </c>
      <c r="C4" s="15" t="s">
        <v>51</v>
      </c>
      <c r="D4" s="15" t="s">
        <v>43</v>
      </c>
      <c r="E4" s="15" t="s">
        <v>15</v>
      </c>
      <c r="F4" s="15" t="s">
        <v>52</v>
      </c>
      <c r="G4" s="15" t="s">
        <v>53</v>
      </c>
      <c r="I4" s="2" t="s">
        <v>54</v>
      </c>
    </row>
    <row r="5" spans="1:12" x14ac:dyDescent="0.25">
      <c r="A5" s="3" t="s">
        <v>55</v>
      </c>
      <c r="B5" s="14">
        <v>0.2</v>
      </c>
      <c r="C5" s="6">
        <f>'1-Position &amp; Inputs'!$B$9*(1+B5)</f>
        <v>806400</v>
      </c>
      <c r="D5" s="6">
        <f>'1-Position &amp; Inputs'!$B$19+C5</f>
        <v>2081400</v>
      </c>
      <c r="E5" s="8">
        <f>IF(D5=0,0,C5/D5)</f>
        <v>0.38743153646584028</v>
      </c>
      <c r="F5" s="6">
        <f>D5-'1-Position &amp; Inputs'!$B$20</f>
        <v>134400</v>
      </c>
      <c r="G5" s="6">
        <f>C5-'1-Position &amp; Inputs'!$B$9</f>
        <v>134400</v>
      </c>
      <c r="I5" s="15" t="s">
        <v>49</v>
      </c>
      <c r="J5" s="15" t="s">
        <v>56</v>
      </c>
      <c r="K5" s="15" t="s">
        <v>57</v>
      </c>
      <c r="L5" s="15" t="s">
        <v>58</v>
      </c>
    </row>
    <row r="6" spans="1:12" x14ac:dyDescent="0.25">
      <c r="A6" s="3" t="s">
        <v>59</v>
      </c>
      <c r="B6" s="14">
        <v>-0.1</v>
      </c>
      <c r="C6" s="6">
        <f>'1-Position &amp; Inputs'!$B$9*(1+B6)</f>
        <v>604800</v>
      </c>
      <c r="D6" s="6">
        <f>'1-Position &amp; Inputs'!$B$19+C6</f>
        <v>1879800</v>
      </c>
      <c r="E6" s="8">
        <f>IF(D6=0,0,C6/D6)</f>
        <v>0.3217363549313757</v>
      </c>
      <c r="F6" s="6">
        <f>D6-'1-Position &amp; Inputs'!$B$20</f>
        <v>-67200</v>
      </c>
      <c r="G6" s="6">
        <f>C6-'1-Position &amp; Inputs'!$B$9</f>
        <v>-67200</v>
      </c>
      <c r="I6" s="3" t="s">
        <v>55</v>
      </c>
      <c r="J6" s="6">
        <f>'1-Position &amp; Inputs'!$B$19+('1-Position &amp; Inputs'!$B$9*(1+B5))</f>
        <v>2081400</v>
      </c>
      <c r="K6" s="6">
        <f>'1-Position &amp; Inputs'!$B$19+('1-Position &amp; Inputs'!$B$9*0.25)+('1-Position &amp; Inputs'!$B$9*0.75*(1+B5))</f>
        <v>2047800</v>
      </c>
      <c r="L6" s="6">
        <f>'1-Position &amp; Inputs'!$B$19+('1-Position &amp; Inputs'!$B$9*0.5)+('1-Position &amp; Inputs'!$B$9*0.5*(1+B5))</f>
        <v>2014200</v>
      </c>
    </row>
    <row r="7" spans="1:12" x14ac:dyDescent="0.25">
      <c r="A7" s="3" t="s">
        <v>60</v>
      </c>
      <c r="B7" s="14">
        <v>-0.2</v>
      </c>
      <c r="C7" s="6">
        <f>'1-Position &amp; Inputs'!$B$9*(1+B7)</f>
        <v>537600</v>
      </c>
      <c r="D7" s="6">
        <f>'1-Position &amp; Inputs'!$B$19+C7</f>
        <v>1812600</v>
      </c>
      <c r="E7" s="8">
        <f>IF(D7=0,0,C7/D7)</f>
        <v>0.29659053293611387</v>
      </c>
      <c r="F7" s="6">
        <f>D7-'1-Position &amp; Inputs'!$B$20</f>
        <v>-134400</v>
      </c>
      <c r="G7" s="6">
        <f>C7-'1-Position &amp; Inputs'!$B$9</f>
        <v>-134400</v>
      </c>
      <c r="I7" s="3" t="s">
        <v>59</v>
      </c>
      <c r="J7" s="6">
        <f>'1-Position &amp; Inputs'!$B$19+('1-Position &amp; Inputs'!$B$9*(1+B6))</f>
        <v>1879800</v>
      </c>
      <c r="K7" s="6">
        <f>'1-Position &amp; Inputs'!$B$19+('1-Position &amp; Inputs'!$B$9*0.25)+('1-Position &amp; Inputs'!$B$9*0.75*(1+B6))</f>
        <v>1896600</v>
      </c>
      <c r="L7" s="6">
        <f>'1-Position &amp; Inputs'!$B$19+('1-Position &amp; Inputs'!$B$9*0.5)+('1-Position &amp; Inputs'!$B$9*0.5*(1+B6))</f>
        <v>1913400</v>
      </c>
    </row>
    <row r="8" spans="1:12" x14ac:dyDescent="0.25">
      <c r="A8" s="3" t="s">
        <v>61</v>
      </c>
      <c r="B8" s="14">
        <v>-0.35</v>
      </c>
      <c r="C8" s="6">
        <f>'1-Position &amp; Inputs'!$B$9*(1+B8)</f>
        <v>436800</v>
      </c>
      <c r="D8" s="6">
        <f>'1-Position &amp; Inputs'!$B$19+C8</f>
        <v>1711800</v>
      </c>
      <c r="E8" s="8">
        <f>IF(D8=0,0,C8/D8)</f>
        <v>0.25516999649491762</v>
      </c>
      <c r="F8" s="6">
        <f>D8-'1-Position &amp; Inputs'!$B$20</f>
        <v>-235200</v>
      </c>
      <c r="G8" s="6">
        <f>C8-'1-Position &amp; Inputs'!$B$9</f>
        <v>-235200</v>
      </c>
      <c r="I8" s="3" t="s">
        <v>60</v>
      </c>
      <c r="J8" s="6">
        <f>'1-Position &amp; Inputs'!$B$19+('1-Position &amp; Inputs'!$B$9*(1+B7))</f>
        <v>1812600</v>
      </c>
      <c r="K8" s="6">
        <f>'1-Position &amp; Inputs'!$B$19+('1-Position &amp; Inputs'!$B$9*0.25)+('1-Position &amp; Inputs'!$B$9*0.75*(1+B7))</f>
        <v>1846200</v>
      </c>
      <c r="L8" s="6">
        <f>'1-Position &amp; Inputs'!$B$19+('1-Position &amp; Inputs'!$B$9*0.5)+('1-Position &amp; Inputs'!$B$9*0.5*(1+B7))</f>
        <v>1879800</v>
      </c>
    </row>
    <row r="9" spans="1:12" x14ac:dyDescent="0.25">
      <c r="A9" s="3" t="s">
        <v>62</v>
      </c>
      <c r="B9" s="14">
        <v>-0.5</v>
      </c>
      <c r="C9" s="6">
        <f>'1-Position &amp; Inputs'!$B$9*(1+B9)</f>
        <v>336000</v>
      </c>
      <c r="D9" s="6">
        <f>'1-Position &amp; Inputs'!$B$19+C9</f>
        <v>1611000</v>
      </c>
      <c r="E9" s="8">
        <f>IF(D9=0,0,C9/D9)</f>
        <v>0.20856610800744879</v>
      </c>
      <c r="F9" s="6">
        <f>D9-'1-Position &amp; Inputs'!$B$20</f>
        <v>-336000</v>
      </c>
      <c r="G9" s="6">
        <f>C9-'1-Position &amp; Inputs'!$B$9</f>
        <v>-336000</v>
      </c>
      <c r="I9" s="3" t="s">
        <v>61</v>
      </c>
      <c r="J9" s="6">
        <f>'1-Position &amp; Inputs'!$B$19+('1-Position &amp; Inputs'!$B$9*(1+B8))</f>
        <v>1711800</v>
      </c>
      <c r="K9" s="6">
        <f>'1-Position &amp; Inputs'!$B$19+('1-Position &amp; Inputs'!$B$9*0.25)+('1-Position &amp; Inputs'!$B$9*0.75*(1+B8))</f>
        <v>1770600</v>
      </c>
      <c r="L9" s="6">
        <f>'1-Position &amp; Inputs'!$B$19+('1-Position &amp; Inputs'!$B$9*0.5)+('1-Position &amp; Inputs'!$B$9*0.5*(1+B8))</f>
        <v>1829400</v>
      </c>
    </row>
    <row r="10" spans="1:12" x14ac:dyDescent="0.25">
      <c r="I10" s="3" t="s">
        <v>62</v>
      </c>
      <c r="J10" s="6">
        <f>'1-Position &amp; Inputs'!$B$19+('1-Position &amp; Inputs'!$B$9*(1+B9))</f>
        <v>1611000</v>
      </c>
      <c r="K10" s="6">
        <f>'1-Position &amp; Inputs'!$B$19+('1-Position &amp; Inputs'!$B$9*0.25)+('1-Position &amp; Inputs'!$B$9*0.75*(1+B9))</f>
        <v>1695000</v>
      </c>
      <c r="L10" s="6">
        <f>'1-Position &amp; Inputs'!$B$19+('1-Position &amp; Inputs'!$B$9*0.5)+('1-Position &amp; Inputs'!$B$9*0.5*(1+B9))</f>
        <v>1779000</v>
      </c>
    </row>
  </sheetData>
  <conditionalFormatting sqref="E5:E9">
    <cfRule type="cellIs" dxfId="2" priority="1" operator="greaterThan">
      <formula>0.35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showGridLines="0" workbookViewId="0">
      <pane xSplit="1" ySplit="9" topLeftCell="B10" activePane="bottomRight" state="frozen"/>
      <selection activeCell="F23" sqref="F23"/>
      <selection pane="topRight" activeCell="F23" sqref="F23"/>
      <selection pane="bottomLeft" activeCell="F23" sqref="F23"/>
      <selection pane="bottomRight" activeCell="E31" sqref="E31"/>
    </sheetView>
  </sheetViews>
  <sheetFormatPr defaultRowHeight="15" x14ac:dyDescent="0.25"/>
  <cols>
    <col min="1" max="1" width="25.28515625" bestFit="1" customWidth="1"/>
    <col min="2" max="10" width="14.42578125" customWidth="1"/>
  </cols>
  <sheetData>
    <row r="1" spans="1:10" ht="18.75" customHeight="1" x14ac:dyDescent="0.25">
      <c r="A1" s="1" t="s">
        <v>0</v>
      </c>
    </row>
    <row r="3" spans="1:10" x14ac:dyDescent="0.25">
      <c r="A3" s="23" t="s">
        <v>1</v>
      </c>
      <c r="B3" s="24"/>
      <c r="C3" s="24"/>
      <c r="D3" s="25"/>
    </row>
    <row r="4" spans="1:10" x14ac:dyDescent="0.25">
      <c r="A4" s="5" t="s">
        <v>2</v>
      </c>
      <c r="B4" s="8">
        <f>'1-Position &amp; Inputs'!B23</f>
        <v>0.25</v>
      </c>
      <c r="C4" s="5" t="s">
        <v>3</v>
      </c>
      <c r="D4" s="10">
        <f>'1-Position &amp; Inputs'!B6</f>
        <v>6000</v>
      </c>
    </row>
    <row r="5" spans="1:10" x14ac:dyDescent="0.25">
      <c r="A5" s="5" t="s">
        <v>4</v>
      </c>
      <c r="B5" s="10">
        <f>'1-Position &amp; Inputs'!B24</f>
        <v>200</v>
      </c>
      <c r="C5" s="5" t="s">
        <v>5</v>
      </c>
      <c r="D5" s="16">
        <f>'1-Position &amp; Inputs'!B7</f>
        <v>112</v>
      </c>
    </row>
    <row r="7" spans="1:10" x14ac:dyDescent="0.25">
      <c r="A7" s="5" t="s">
        <v>6</v>
      </c>
      <c r="B7" s="10">
        <f>ROUNDDOWN(('1-Position &amp; Inputs'!B23*'1-Position &amp; Inputs'!B20)/'1-Position &amp; Inputs'!B7,0)</f>
        <v>4345</v>
      </c>
    </row>
    <row r="9" spans="1:10" ht="30" customHeight="1" x14ac:dyDescent="0.25">
      <c r="A9" s="15" t="s">
        <v>7</v>
      </c>
      <c r="B9" s="15" t="s">
        <v>8</v>
      </c>
      <c r="C9" s="15" t="s">
        <v>9</v>
      </c>
      <c r="D9" s="15" t="s">
        <v>10</v>
      </c>
      <c r="E9" s="15" t="s">
        <v>11</v>
      </c>
      <c r="F9" s="15" t="s">
        <v>12</v>
      </c>
      <c r="G9" s="15" t="s">
        <v>13</v>
      </c>
      <c r="H9" s="15" t="s">
        <v>14</v>
      </c>
      <c r="I9" s="15" t="s">
        <v>15</v>
      </c>
      <c r="J9" s="15" t="s">
        <v>16</v>
      </c>
    </row>
    <row r="10" spans="1:10" x14ac:dyDescent="0.25">
      <c r="A10" s="17">
        <v>1</v>
      </c>
      <c r="B10" s="18" t="s">
        <v>17</v>
      </c>
      <c r="C10" s="10">
        <f>MIN('1-Position &amp; Inputs'!$B$24,MAX(0,'1-Position &amp; Inputs'!$B$6-J10))</f>
        <v>200</v>
      </c>
      <c r="D10" s="16">
        <f>'1-Position &amp; Inputs'!$B$7*(1+((A10-1)*0.01))</f>
        <v>112</v>
      </c>
      <c r="E10" s="6">
        <f t="shared" ref="E10:E21" si="0">C10*D10</f>
        <v>22400</v>
      </c>
      <c r="F10" s="10">
        <f>'1-Position &amp; Inputs'!$B$6-C10</f>
        <v>5800</v>
      </c>
      <c r="G10" s="6">
        <f t="shared" ref="G10:G21" si="1">F10*D10</f>
        <v>649600</v>
      </c>
      <c r="H10" s="6">
        <f>'1-Position &amp; Inputs'!$B$19+SUM($E$10:E10)+G10</f>
        <v>1947000</v>
      </c>
      <c r="I10" s="8">
        <f t="shared" ref="I10:I21" si="2">IF(H10=0,0,G10/H10)</f>
        <v>0.33364149974319468</v>
      </c>
      <c r="J10" s="10">
        <f>ROUNDDOWN(('1-Position &amp; Inputs'!$B$23*('1-Position &amp; Inputs'!$B$19+('1-Position &amp; Inputs'!$B$6*D10)))/D10,0)</f>
        <v>4345</v>
      </c>
    </row>
    <row r="11" spans="1:10" x14ac:dyDescent="0.25">
      <c r="A11" s="17">
        <v>2</v>
      </c>
      <c r="B11" s="18">
        <v>1</v>
      </c>
      <c r="C11" s="10">
        <f>MIN('1-Position &amp; Inputs'!$B$24,MAX(0,F10-J11))</f>
        <v>200</v>
      </c>
      <c r="D11" s="16">
        <f>'1-Position &amp; Inputs'!$B$7*(1+((A11-1)*0.01))</f>
        <v>113.12</v>
      </c>
      <c r="E11" s="6">
        <f t="shared" si="0"/>
        <v>22624</v>
      </c>
      <c r="F11" s="10">
        <f t="shared" ref="F11:F21" si="3">F10-C11</f>
        <v>5600</v>
      </c>
      <c r="G11" s="6">
        <f t="shared" si="1"/>
        <v>633472</v>
      </c>
      <c r="H11" s="6">
        <f>'1-Position &amp; Inputs'!$B$19+SUM($E$10:E11)+G11</f>
        <v>1953496</v>
      </c>
      <c r="I11" s="8">
        <f t="shared" si="2"/>
        <v>0.32427606711249984</v>
      </c>
      <c r="J11" s="10">
        <f>ROUNDDOWN(('1-Position &amp; Inputs'!$B$23*('1-Position &amp; Inputs'!$B$19+SUM($E$10:E10)+(F10*D11)))/D11,0)</f>
        <v>4317</v>
      </c>
    </row>
    <row r="12" spans="1:10" x14ac:dyDescent="0.25">
      <c r="A12" s="17">
        <v>3</v>
      </c>
      <c r="B12" s="18">
        <v>2</v>
      </c>
      <c r="C12" s="10">
        <f>MIN('1-Position &amp; Inputs'!$B$24,MAX(0,F11-J12))</f>
        <v>200</v>
      </c>
      <c r="D12" s="16">
        <f>'1-Position &amp; Inputs'!$B$7*(1+((A12-1)*0.01))</f>
        <v>114.24000000000001</v>
      </c>
      <c r="E12" s="6">
        <f t="shared" si="0"/>
        <v>22848</v>
      </c>
      <c r="F12" s="10">
        <f t="shared" si="3"/>
        <v>5400</v>
      </c>
      <c r="G12" s="6">
        <f t="shared" si="1"/>
        <v>616896</v>
      </c>
      <c r="H12" s="6">
        <f>'1-Position &amp; Inputs'!$B$19+SUM($E$10:E12)+G12</f>
        <v>1959768</v>
      </c>
      <c r="I12" s="8">
        <f t="shared" si="2"/>
        <v>0.31478011683015539</v>
      </c>
      <c r="J12" s="10">
        <f>ROUNDDOWN(('1-Position &amp; Inputs'!$B$23*('1-Position &amp; Inputs'!$B$19+SUM($E$10:E11)+(F11*D12)))/D12,0)</f>
        <v>4288</v>
      </c>
    </row>
    <row r="13" spans="1:10" x14ac:dyDescent="0.25">
      <c r="A13" s="17">
        <v>4</v>
      </c>
      <c r="B13" s="18">
        <v>3</v>
      </c>
      <c r="C13" s="10">
        <f>MIN('1-Position &amp; Inputs'!$B$24,MAX(0,F12-J13))</f>
        <v>200</v>
      </c>
      <c r="D13" s="16">
        <f>'1-Position &amp; Inputs'!$B$7*(1+((A13-1)*0.01))</f>
        <v>115.36</v>
      </c>
      <c r="E13" s="6">
        <f t="shared" si="0"/>
        <v>23072</v>
      </c>
      <c r="F13" s="10">
        <f t="shared" si="3"/>
        <v>5200</v>
      </c>
      <c r="G13" s="6">
        <f t="shared" si="1"/>
        <v>599872</v>
      </c>
      <c r="H13" s="6">
        <f>'1-Position &amp; Inputs'!$B$19+SUM($E$10:E13)+G13</f>
        <v>1965816</v>
      </c>
      <c r="I13" s="8">
        <f t="shared" si="2"/>
        <v>0.30515165203660971</v>
      </c>
      <c r="J13" s="10">
        <f>ROUNDDOWN(('1-Position &amp; Inputs'!$B$23*('1-Position &amp; Inputs'!$B$19+SUM($E$10:E12)+(F12*D13)))/D13,0)</f>
        <v>4260</v>
      </c>
    </row>
    <row r="14" spans="1:10" x14ac:dyDescent="0.25">
      <c r="A14" s="17">
        <v>5</v>
      </c>
      <c r="B14" s="18">
        <v>4</v>
      </c>
      <c r="C14" s="10">
        <f>MIN('1-Position &amp; Inputs'!$B$24,MAX(0,F13-J14))</f>
        <v>200</v>
      </c>
      <c r="D14" s="16">
        <f>'1-Position &amp; Inputs'!$B$7*(1+((A14-1)*0.01))</f>
        <v>116.48</v>
      </c>
      <c r="E14" s="6">
        <f t="shared" si="0"/>
        <v>23296</v>
      </c>
      <c r="F14" s="10">
        <f t="shared" si="3"/>
        <v>5000</v>
      </c>
      <c r="G14" s="6">
        <f t="shared" si="1"/>
        <v>582400</v>
      </c>
      <c r="H14" s="6">
        <f>'1-Position &amp; Inputs'!$B$19+SUM($E$10:E14)+G14</f>
        <v>1971640</v>
      </c>
      <c r="I14" s="8">
        <f t="shared" si="2"/>
        <v>0.29538861049684528</v>
      </c>
      <c r="J14" s="10">
        <f>ROUNDDOWN(('1-Position &amp; Inputs'!$B$23*('1-Position &amp; Inputs'!$B$19+SUM($E$10:E13)+(F13*D14)))/D14,0)</f>
        <v>4231</v>
      </c>
    </row>
    <row r="15" spans="1:10" x14ac:dyDescent="0.25">
      <c r="A15" s="17">
        <v>6</v>
      </c>
      <c r="B15" s="18">
        <v>5</v>
      </c>
      <c r="C15" s="10">
        <f>MIN('1-Position &amp; Inputs'!$B$24,MAX(0,F14-J15))</f>
        <v>200</v>
      </c>
      <c r="D15" s="16">
        <f>'1-Position &amp; Inputs'!$B$7*(1+((A15-1)*0.01))</f>
        <v>117.60000000000001</v>
      </c>
      <c r="E15" s="6">
        <f t="shared" si="0"/>
        <v>23520</v>
      </c>
      <c r="F15" s="10">
        <f t="shared" si="3"/>
        <v>4800</v>
      </c>
      <c r="G15" s="6">
        <f t="shared" si="1"/>
        <v>564480</v>
      </c>
      <c r="H15" s="6">
        <f>'1-Position &amp; Inputs'!$B$19+SUM($E$10:E15)+G15</f>
        <v>1977240</v>
      </c>
      <c r="I15" s="8">
        <f t="shared" si="2"/>
        <v>0.28548886326394368</v>
      </c>
      <c r="J15" s="10">
        <f>ROUNDDOWN(('1-Position &amp; Inputs'!$B$23*('1-Position &amp; Inputs'!$B$19+SUM($E$10:E14)+(F14*D15)))/D15,0)</f>
        <v>4203</v>
      </c>
    </row>
    <row r="16" spans="1:10" x14ac:dyDescent="0.25">
      <c r="A16" s="17">
        <v>7</v>
      </c>
      <c r="B16" s="18">
        <v>6</v>
      </c>
      <c r="C16" s="10">
        <f>MIN('1-Position &amp; Inputs'!$B$24,MAX(0,F15-J16))</f>
        <v>200</v>
      </c>
      <c r="D16" s="16">
        <f>'1-Position &amp; Inputs'!$B$7*(1+((A16-1)*0.01))</f>
        <v>118.72</v>
      </c>
      <c r="E16" s="6">
        <f t="shared" si="0"/>
        <v>23744</v>
      </c>
      <c r="F16" s="10">
        <f t="shared" si="3"/>
        <v>4600</v>
      </c>
      <c r="G16" s="6">
        <f t="shared" si="1"/>
        <v>546112</v>
      </c>
      <c r="H16" s="6">
        <f>'1-Position &amp; Inputs'!$B$19+SUM($E$10:E16)+G16</f>
        <v>1982616</v>
      </c>
      <c r="I16" s="8">
        <f t="shared" si="2"/>
        <v>0.27545021325360031</v>
      </c>
      <c r="J16" s="10">
        <f>ROUNDDOWN(('1-Position &amp; Inputs'!$B$23*('1-Position &amp; Inputs'!$B$19+SUM($E$10:E15)+(F15*D16)))/D16,0)</f>
        <v>4174</v>
      </c>
    </row>
    <row r="17" spans="1:10" x14ac:dyDescent="0.25">
      <c r="A17" s="17">
        <v>8</v>
      </c>
      <c r="B17" s="18">
        <v>7</v>
      </c>
      <c r="C17" s="10">
        <f>MIN('1-Position &amp; Inputs'!$B$24,MAX(0,F16-J17))</f>
        <v>200</v>
      </c>
      <c r="D17" s="16">
        <f>'1-Position &amp; Inputs'!$B$7*(1+((A17-1)*0.01))</f>
        <v>119.84</v>
      </c>
      <c r="E17" s="6">
        <f t="shared" si="0"/>
        <v>23968</v>
      </c>
      <c r="F17" s="10">
        <f t="shared" si="3"/>
        <v>4400</v>
      </c>
      <c r="G17" s="6">
        <f t="shared" si="1"/>
        <v>527296</v>
      </c>
      <c r="H17" s="6">
        <f>'1-Position &amp; Inputs'!$B$19+SUM($E$10:E17)+G17</f>
        <v>1987768</v>
      </c>
      <c r="I17" s="8">
        <f t="shared" si="2"/>
        <v>0.26527039372804068</v>
      </c>
      <c r="J17" s="10">
        <f>ROUNDDOWN(('1-Position &amp; Inputs'!$B$23*('1-Position &amp; Inputs'!$B$19+SUM($E$10:E16)+(F16*D17)))/D17,0)</f>
        <v>4146</v>
      </c>
    </row>
    <row r="18" spans="1:10" x14ac:dyDescent="0.25">
      <c r="A18" s="17">
        <v>9</v>
      </c>
      <c r="B18" s="18">
        <v>8</v>
      </c>
      <c r="C18" s="10">
        <f>MIN('1-Position &amp; Inputs'!$B$24,MAX(0,F17-J18))</f>
        <v>200</v>
      </c>
      <c r="D18" s="16">
        <f>'1-Position &amp; Inputs'!$B$7*(1+((A18-1)*0.01))</f>
        <v>120.96000000000001</v>
      </c>
      <c r="E18" s="6">
        <f t="shared" si="0"/>
        <v>24192</v>
      </c>
      <c r="F18" s="10">
        <f t="shared" si="3"/>
        <v>4200</v>
      </c>
      <c r="G18" s="6">
        <f t="shared" si="1"/>
        <v>508032.00000000006</v>
      </c>
      <c r="H18" s="6">
        <f>'1-Position &amp; Inputs'!$B$19+SUM($E$10:E18)+G18</f>
        <v>1992696</v>
      </c>
      <c r="I18" s="8">
        <f t="shared" si="2"/>
        <v>0.25494706668754291</v>
      </c>
      <c r="J18" s="10">
        <f>ROUNDDOWN(('1-Position &amp; Inputs'!$B$23*('1-Position &amp; Inputs'!$B$19+SUM($E$10:E17)+(F17*D18)))/D18,0)</f>
        <v>4118</v>
      </c>
    </row>
    <row r="19" spans="1:10" x14ac:dyDescent="0.25">
      <c r="A19" s="17">
        <v>10</v>
      </c>
      <c r="B19" s="18">
        <v>9</v>
      </c>
      <c r="C19" s="10">
        <f>MIN('1-Position &amp; Inputs'!$B$24,MAX(0,F18-J19))</f>
        <v>110</v>
      </c>
      <c r="D19" s="16">
        <f>'1-Position &amp; Inputs'!$B$7*(1+((A19-1)*0.01))</f>
        <v>122.08000000000001</v>
      </c>
      <c r="E19" s="6">
        <f t="shared" si="0"/>
        <v>13428.800000000001</v>
      </c>
      <c r="F19" s="10">
        <f t="shared" si="3"/>
        <v>4090</v>
      </c>
      <c r="G19" s="6">
        <f t="shared" si="1"/>
        <v>499307.20000000007</v>
      </c>
      <c r="H19" s="6">
        <f>'1-Position &amp; Inputs'!$B$19+SUM($E$10:E19)+G19</f>
        <v>1997400</v>
      </c>
      <c r="I19" s="8">
        <f t="shared" si="2"/>
        <v>0.24997857214378696</v>
      </c>
      <c r="J19" s="10">
        <f>ROUNDDOWN(('1-Position &amp; Inputs'!$B$23*('1-Position &amp; Inputs'!$B$19+SUM($E$10:E18)+(F18*D19)))/D19,0)</f>
        <v>4090</v>
      </c>
    </row>
    <row r="20" spans="1:10" x14ac:dyDescent="0.25">
      <c r="A20" s="17">
        <v>11</v>
      </c>
      <c r="B20" s="18">
        <v>10</v>
      </c>
      <c r="C20" s="10">
        <f>MIN('1-Position &amp; Inputs'!$B$24,MAX(0,F19-J20))</f>
        <v>28</v>
      </c>
      <c r="D20" s="16">
        <f>'1-Position &amp; Inputs'!$B$7*(1+((A20-1)*0.01))</f>
        <v>123.20000000000002</v>
      </c>
      <c r="E20" s="6">
        <f t="shared" si="0"/>
        <v>3449.6000000000004</v>
      </c>
      <c r="F20" s="10">
        <f t="shared" si="3"/>
        <v>4062</v>
      </c>
      <c r="G20" s="6">
        <f t="shared" si="1"/>
        <v>500438.40000000008</v>
      </c>
      <c r="H20" s="6">
        <f>'1-Position &amp; Inputs'!$B$19+SUM($E$10:E20)+G20</f>
        <v>2001980.8</v>
      </c>
      <c r="I20" s="8">
        <f t="shared" si="2"/>
        <v>0.24997162809953025</v>
      </c>
      <c r="J20" s="10">
        <f>ROUNDDOWN(('1-Position &amp; Inputs'!$B$23*('1-Position &amp; Inputs'!$B$19+SUM($E$10:E19)+(F19*D20)))/D20,0)</f>
        <v>4062</v>
      </c>
    </row>
    <row r="21" spans="1:10" x14ac:dyDescent="0.25">
      <c r="A21" s="17">
        <v>12</v>
      </c>
      <c r="B21" s="18">
        <v>11</v>
      </c>
      <c r="C21" s="10">
        <f>MIN('1-Position &amp; Inputs'!$B$24,MAX(0,F20-J21))</f>
        <v>27</v>
      </c>
      <c r="D21" s="16">
        <f>'1-Position &amp; Inputs'!$B$7*(1+((A21-1)*0.01))</f>
        <v>124.32000000000001</v>
      </c>
      <c r="E21" s="6">
        <f t="shared" si="0"/>
        <v>3356.6400000000003</v>
      </c>
      <c r="F21" s="10">
        <f t="shared" si="3"/>
        <v>4035</v>
      </c>
      <c r="G21" s="6">
        <f t="shared" si="1"/>
        <v>501631.2</v>
      </c>
      <c r="H21" s="6">
        <f>'1-Position &amp; Inputs'!$B$19+SUM($E$10:E21)+G21</f>
        <v>2006530.24</v>
      </c>
      <c r="I21" s="8">
        <f t="shared" si="2"/>
        <v>0.24999932221305571</v>
      </c>
      <c r="J21" s="10">
        <f>ROUNDDOWN(('1-Position &amp; Inputs'!$B$23*('1-Position &amp; Inputs'!$B$19+SUM($E$10:E20)+(F20*D21)))/D21,0)</f>
        <v>4035</v>
      </c>
    </row>
    <row r="23" spans="1:10" x14ac:dyDescent="0.25">
      <c r="A23" s="19" t="s">
        <v>18</v>
      </c>
      <c r="B23" s="20">
        <f>SUM(E10:E21)</f>
        <v>229899.04</v>
      </c>
    </row>
    <row r="24" spans="1:10" x14ac:dyDescent="0.25">
      <c r="A24" s="19" t="s">
        <v>19</v>
      </c>
      <c r="B24" s="21" t="str">
        <f ca="1">IFERROR(_xludf.MINIFS(A10:A21,I10:I21,"&lt;="&amp;'1-Position &amp; Inputs'!$B$23)-1,"")</f>
        <v/>
      </c>
    </row>
    <row r="25" spans="1:10" x14ac:dyDescent="0.25">
      <c r="A25" s="19" t="s">
        <v>20</v>
      </c>
      <c r="B25" s="21" t="str">
        <f ca="1">IF(B24="","",INDEX(F10:F21,B24+1))</f>
        <v/>
      </c>
    </row>
  </sheetData>
  <mergeCells count="1">
    <mergeCell ref="A3:D3"/>
  </mergeCells>
  <conditionalFormatting sqref="I10:I21">
    <cfRule type="cellIs" dxfId="1" priority="1" operator="greaterThan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7"/>
  <sheetViews>
    <sheetView showGridLines="0" workbookViewId="0">
      <pane xSplit="1" ySplit="10" topLeftCell="B11" activePane="bottomRight" state="frozen"/>
      <selection activeCell="F23" sqref="F23"/>
      <selection pane="topRight" activeCell="F23" sqref="F23"/>
      <selection pane="bottomLeft" activeCell="F23" sqref="F23"/>
      <selection pane="bottomRight" activeCell="B6" sqref="B6"/>
    </sheetView>
  </sheetViews>
  <sheetFormatPr defaultRowHeight="15" x14ac:dyDescent="0.25"/>
  <cols>
    <col min="1" max="1" width="23" bestFit="1" customWidth="1"/>
    <col min="2" max="2" width="12" customWidth="1"/>
    <col min="3" max="6" width="16" customWidth="1"/>
    <col min="7" max="7" width="18" customWidth="1"/>
  </cols>
  <sheetData>
    <row r="1" spans="1:7" ht="18.75" customHeight="1" x14ac:dyDescent="0.25">
      <c r="A1" s="1" t="s">
        <v>63</v>
      </c>
    </row>
    <row r="3" spans="1:7" x14ac:dyDescent="0.25">
      <c r="A3" s="2" t="s">
        <v>64</v>
      </c>
    </row>
    <row r="4" spans="1:7" x14ac:dyDescent="0.25">
      <c r="A4" s="3" t="s">
        <v>65</v>
      </c>
      <c r="B4" s="14">
        <v>0.04</v>
      </c>
    </row>
    <row r="5" spans="1:7" x14ac:dyDescent="0.25">
      <c r="A5" s="3" t="s">
        <v>66</v>
      </c>
      <c r="B5" s="14">
        <v>-0.15</v>
      </c>
    </row>
    <row r="6" spans="1:7" x14ac:dyDescent="0.25">
      <c r="A6" s="3" t="s">
        <v>67</v>
      </c>
      <c r="B6" s="14">
        <v>-0.12</v>
      </c>
    </row>
    <row r="7" spans="1:7" x14ac:dyDescent="0.25">
      <c r="A7" s="3" t="s">
        <v>68</v>
      </c>
      <c r="B7" s="14">
        <v>0.18</v>
      </c>
    </row>
    <row r="8" spans="1:7" x14ac:dyDescent="0.25">
      <c r="A8" s="3" t="s">
        <v>69</v>
      </c>
      <c r="B8" s="14">
        <v>0.5</v>
      </c>
    </row>
    <row r="10" spans="1:7" x14ac:dyDescent="0.25">
      <c r="A10" s="15" t="s">
        <v>49</v>
      </c>
      <c r="B10" s="15" t="s">
        <v>70</v>
      </c>
      <c r="C10" s="15" t="s">
        <v>56</v>
      </c>
      <c r="D10" s="15" t="s">
        <v>57</v>
      </c>
      <c r="E10" s="15" t="s">
        <v>58</v>
      </c>
      <c r="F10" s="15" t="s">
        <v>71</v>
      </c>
      <c r="G10" s="15" t="s">
        <v>72</v>
      </c>
    </row>
    <row r="11" spans="1:7" x14ac:dyDescent="0.25">
      <c r="A11" s="3" t="s">
        <v>55</v>
      </c>
      <c r="B11" s="14">
        <v>0.2</v>
      </c>
      <c r="C11" s="6">
        <f>'1-Position &amp; Inputs'!$B$19+('1-Position &amp; Inputs'!$B$9*(1+B11))</f>
        <v>2081400</v>
      </c>
      <c r="D11" s="6">
        <f>'1-Position &amp; Inputs'!$B$19+('1-Position &amp; Inputs'!$B$9*0.25)+('1-Position &amp; Inputs'!$B$9*0.75*(1+B11))</f>
        <v>2047800</v>
      </c>
      <c r="E11" s="6">
        <f>'1-Position &amp; Inputs'!$B$19+('1-Position &amp; Inputs'!$B$9*0.5)+('1-Position &amp; Inputs'!$B$9*0.5*(1+B11))</f>
        <v>2014200</v>
      </c>
      <c r="F11" s="6">
        <f>'1-Position &amp; Inputs'!$B$19+('1-Position &amp; Inputs'!$B$9*(1-$B$8)*(1+B11))+('1-Position &amp; Inputs'!$B$9*$B$8*MAX(1+B11,1+$B$5))-('1-Position &amp; Inputs'!$B$9*$B$8*$B$4)</f>
        <v>2067960</v>
      </c>
      <c r="G11" s="6">
        <f>'1-Position &amp; Inputs'!$B$19+('1-Position &amp; Inputs'!$B$9*(1-$B$8)*(1+B11))+('1-Position &amp; Inputs'!$B$9*$B$8*MIN(MAX(1+B11,1+$B$6),1+$B$7))</f>
        <v>2074680</v>
      </c>
    </row>
    <row r="12" spans="1:7" x14ac:dyDescent="0.25">
      <c r="A12" s="3" t="s">
        <v>73</v>
      </c>
      <c r="B12" s="14">
        <v>0.1</v>
      </c>
      <c r="C12" s="6">
        <f>'1-Position &amp; Inputs'!$B$19+('1-Position &amp; Inputs'!$B$9*(1+B12))</f>
        <v>2014200</v>
      </c>
      <c r="D12" s="6">
        <f>'1-Position &amp; Inputs'!$B$19+('1-Position &amp; Inputs'!$B$9*0.25)+('1-Position &amp; Inputs'!$B$9*0.75*(1+B12))</f>
        <v>1997400</v>
      </c>
      <c r="E12" s="6">
        <f>'1-Position &amp; Inputs'!$B$19+('1-Position &amp; Inputs'!$B$9*0.5)+('1-Position &amp; Inputs'!$B$9*0.5*(1+B12))</f>
        <v>1980600</v>
      </c>
      <c r="F12" s="6">
        <f>'1-Position &amp; Inputs'!$B$19+('1-Position &amp; Inputs'!$B$9*(1-$B$8)*(1+B12))+('1-Position &amp; Inputs'!$B$9*$B$8*MAX(1+B12,1+$B$5))-('1-Position &amp; Inputs'!$B$9*$B$8*$B$4)</f>
        <v>2000760</v>
      </c>
      <c r="G12" s="6">
        <f>'1-Position &amp; Inputs'!$B$19+('1-Position &amp; Inputs'!$B$9*(1-$B$8)*(1+B12))+('1-Position &amp; Inputs'!$B$9*$B$8*MIN(MAX(1+B12,1+$B$6),1+$B$7))</f>
        <v>2014200</v>
      </c>
    </row>
    <row r="13" spans="1:7" x14ac:dyDescent="0.25">
      <c r="A13" s="3" t="s">
        <v>74</v>
      </c>
      <c r="B13" s="14">
        <v>0</v>
      </c>
      <c r="C13" s="6">
        <f>'1-Position &amp; Inputs'!$B$19+('1-Position &amp; Inputs'!$B$9*(1+B13))</f>
        <v>1947000</v>
      </c>
      <c r="D13" s="6">
        <f>'1-Position &amp; Inputs'!$B$19+('1-Position &amp; Inputs'!$B$9*0.25)+('1-Position &amp; Inputs'!$B$9*0.75*(1+B13))</f>
        <v>1947000</v>
      </c>
      <c r="E13" s="6">
        <f>'1-Position &amp; Inputs'!$B$19+('1-Position &amp; Inputs'!$B$9*0.5)+('1-Position &amp; Inputs'!$B$9*0.5*(1+B13))</f>
        <v>1947000</v>
      </c>
      <c r="F13" s="6">
        <f>'1-Position &amp; Inputs'!$B$19+('1-Position &amp; Inputs'!$B$9*(1-$B$8)*(1+B13))+('1-Position &amp; Inputs'!$B$9*$B$8*MAX(1+B13,1+$B$5))-('1-Position &amp; Inputs'!$B$9*$B$8*$B$4)</f>
        <v>1933560</v>
      </c>
      <c r="G13" s="6">
        <f>'1-Position &amp; Inputs'!$B$19+('1-Position &amp; Inputs'!$B$9*(1-$B$8)*(1+B13))+('1-Position &amp; Inputs'!$B$9*$B$8*MIN(MAX(1+B13,1+$B$6),1+$B$7))</f>
        <v>1947000</v>
      </c>
    </row>
    <row r="14" spans="1:7" x14ac:dyDescent="0.25">
      <c r="A14" s="3" t="s">
        <v>59</v>
      </c>
      <c r="B14" s="14">
        <v>-0.1</v>
      </c>
      <c r="C14" s="6">
        <f>'1-Position &amp; Inputs'!$B$19+('1-Position &amp; Inputs'!$B$9*(1+B14))</f>
        <v>1879800</v>
      </c>
      <c r="D14" s="6">
        <f>'1-Position &amp; Inputs'!$B$19+('1-Position &amp; Inputs'!$B$9*0.25)+('1-Position &amp; Inputs'!$B$9*0.75*(1+B14))</f>
        <v>1896600</v>
      </c>
      <c r="E14" s="6">
        <f>'1-Position &amp; Inputs'!$B$19+('1-Position &amp; Inputs'!$B$9*0.5)+('1-Position &amp; Inputs'!$B$9*0.5*(1+B14))</f>
        <v>1913400</v>
      </c>
      <c r="F14" s="6">
        <f>'1-Position &amp; Inputs'!$B$19+('1-Position &amp; Inputs'!$B$9*(1-$B$8)*(1+B14))+('1-Position &amp; Inputs'!$B$9*$B$8*MAX(1+B14,1+$B$5))-('1-Position &amp; Inputs'!$B$9*$B$8*$B$4)</f>
        <v>1866360</v>
      </c>
      <c r="G14" s="6">
        <f>'1-Position &amp; Inputs'!$B$19+('1-Position &amp; Inputs'!$B$9*(1-$B$8)*(1+B14))+('1-Position &amp; Inputs'!$B$9*$B$8*MIN(MAX(1+B14,1+$B$6),1+$B$7))</f>
        <v>1879800</v>
      </c>
    </row>
    <row r="15" spans="1:7" x14ac:dyDescent="0.25">
      <c r="A15" s="3" t="s">
        <v>60</v>
      </c>
      <c r="B15" s="14">
        <v>-0.2</v>
      </c>
      <c r="C15" s="6">
        <f>'1-Position &amp; Inputs'!$B$19+('1-Position &amp; Inputs'!$B$9*(1+B15))</f>
        <v>1812600</v>
      </c>
      <c r="D15" s="6">
        <f>'1-Position &amp; Inputs'!$B$19+('1-Position &amp; Inputs'!$B$9*0.25)+('1-Position &amp; Inputs'!$B$9*0.75*(1+B15))</f>
        <v>1846200</v>
      </c>
      <c r="E15" s="6">
        <f>'1-Position &amp; Inputs'!$B$19+('1-Position &amp; Inputs'!$B$9*0.5)+('1-Position &amp; Inputs'!$B$9*0.5*(1+B15))</f>
        <v>1879800</v>
      </c>
      <c r="F15" s="6">
        <f>'1-Position &amp; Inputs'!$B$19+('1-Position &amp; Inputs'!$B$9*(1-$B$8)*(1+B15))+('1-Position &amp; Inputs'!$B$9*$B$8*MAX(1+B15,1+$B$5))-('1-Position &amp; Inputs'!$B$9*$B$8*$B$4)</f>
        <v>1815960</v>
      </c>
      <c r="G15" s="6">
        <f>'1-Position &amp; Inputs'!$B$19+('1-Position &amp; Inputs'!$B$9*(1-$B$8)*(1+B15))+('1-Position &amp; Inputs'!$B$9*$B$8*MIN(MAX(1+B15,1+$B$6),1+$B$7))</f>
        <v>1839480</v>
      </c>
    </row>
    <row r="16" spans="1:7" x14ac:dyDescent="0.25">
      <c r="A16" s="3" t="s">
        <v>61</v>
      </c>
      <c r="B16" s="14">
        <v>-0.35</v>
      </c>
      <c r="C16" s="6">
        <f>'1-Position &amp; Inputs'!$B$19+('1-Position &amp; Inputs'!$B$9*(1+B16))</f>
        <v>1711800</v>
      </c>
      <c r="D16" s="6">
        <f>'1-Position &amp; Inputs'!$B$19+('1-Position &amp; Inputs'!$B$9*0.25)+('1-Position &amp; Inputs'!$B$9*0.75*(1+B16))</f>
        <v>1770600</v>
      </c>
      <c r="E16" s="6">
        <f>'1-Position &amp; Inputs'!$B$19+('1-Position &amp; Inputs'!$B$9*0.5)+('1-Position &amp; Inputs'!$B$9*0.5*(1+B16))</f>
        <v>1829400</v>
      </c>
      <c r="F16" s="6">
        <f>'1-Position &amp; Inputs'!$B$19+('1-Position &amp; Inputs'!$B$9*(1-$B$8)*(1+B16))+('1-Position &amp; Inputs'!$B$9*$B$8*MAX(1+B16,1+$B$5))-('1-Position &amp; Inputs'!$B$9*$B$8*$B$4)</f>
        <v>1765560</v>
      </c>
      <c r="G16" s="6">
        <f>'1-Position &amp; Inputs'!$B$19+('1-Position &amp; Inputs'!$B$9*(1-$B$8)*(1+B16))+('1-Position &amp; Inputs'!$B$9*$B$8*MIN(MAX(1+B16,1+$B$6),1+$B$7))</f>
        <v>1789080</v>
      </c>
    </row>
    <row r="17" spans="1:7" x14ac:dyDescent="0.25">
      <c r="A17" s="3" t="s">
        <v>62</v>
      </c>
      <c r="B17" s="14">
        <v>-0.5</v>
      </c>
      <c r="C17" s="6">
        <f>'1-Position &amp; Inputs'!$B$19+('1-Position &amp; Inputs'!$B$9*(1+B17))</f>
        <v>1611000</v>
      </c>
      <c r="D17" s="6">
        <f>'1-Position &amp; Inputs'!$B$19+('1-Position &amp; Inputs'!$B$9*0.25)+('1-Position &amp; Inputs'!$B$9*0.75*(1+B17))</f>
        <v>1695000</v>
      </c>
      <c r="E17" s="6">
        <f>'1-Position &amp; Inputs'!$B$19+('1-Position &amp; Inputs'!$B$9*0.5)+('1-Position &amp; Inputs'!$B$9*0.5*(1+B17))</f>
        <v>1779000</v>
      </c>
      <c r="F17" s="6">
        <f>'1-Position &amp; Inputs'!$B$19+('1-Position &amp; Inputs'!$B$9*(1-$B$8)*(1+B17))+('1-Position &amp; Inputs'!$B$9*$B$8*MAX(1+B17,1+$B$5))-('1-Position &amp; Inputs'!$B$9*$B$8*$B$4)</f>
        <v>1715160</v>
      </c>
      <c r="G17" s="6">
        <f>'1-Position &amp; Inputs'!$B$19+('1-Position &amp; Inputs'!$B$9*(1-$B$8)*(1+B17))+('1-Position &amp; Inputs'!$B$9*$B$8*MIN(MAX(1+B17,1+$B$6),1+$B$7))</f>
        <v>1738680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3"/>
  <sheetViews>
    <sheetView showGridLines="0" workbookViewId="0">
      <pane xSplit="1" ySplit="3" topLeftCell="B4" activePane="bottomRight" state="frozen"/>
      <selection activeCell="F23" sqref="F23"/>
      <selection pane="topRight" activeCell="F23" sqref="F23"/>
      <selection pane="bottomLeft" activeCell="F23" sqref="F23"/>
      <selection pane="bottomRight" activeCell="B23" sqref="B23"/>
    </sheetView>
  </sheetViews>
  <sheetFormatPr defaultRowHeight="15" x14ac:dyDescent="0.25"/>
  <cols>
    <col min="1" max="1" width="40.85546875" bestFit="1" customWidth="1"/>
    <col min="2" max="2" width="26" bestFit="1" customWidth="1"/>
  </cols>
  <sheetData>
    <row r="1" spans="1:2" ht="18.75" customHeight="1" x14ac:dyDescent="0.25">
      <c r="A1" s="1" t="s">
        <v>75</v>
      </c>
    </row>
    <row r="3" spans="1:2" x14ac:dyDescent="0.25">
      <c r="A3" s="2" t="s">
        <v>17</v>
      </c>
    </row>
    <row r="4" spans="1:2" x14ac:dyDescent="0.25">
      <c r="A4" s="5" t="s">
        <v>24</v>
      </c>
      <c r="B4" s="22" t="str">
        <f>'1-Position &amp; Inputs'!B5</f>
        <v>NVDA</v>
      </c>
    </row>
    <row r="5" spans="1:2" x14ac:dyDescent="0.25">
      <c r="A5" s="5" t="s">
        <v>76</v>
      </c>
      <c r="B5" s="6">
        <f>'1-Position &amp; Inputs'!B9</f>
        <v>672000</v>
      </c>
    </row>
    <row r="6" spans="1:2" x14ac:dyDescent="0.25">
      <c r="A6" s="5" t="s">
        <v>77</v>
      </c>
      <c r="B6" s="6">
        <f>'1-Position &amp; Inputs'!B20</f>
        <v>1947000</v>
      </c>
    </row>
    <row r="7" spans="1:2" x14ac:dyDescent="0.25">
      <c r="A7" s="5" t="s">
        <v>28</v>
      </c>
      <c r="B7" s="8">
        <f>'1-Position &amp; Inputs'!B21</f>
        <v>0.34514637904468415</v>
      </c>
    </row>
    <row r="8" spans="1:2" x14ac:dyDescent="0.25">
      <c r="A8" s="5" t="s">
        <v>2</v>
      </c>
      <c r="B8" s="8">
        <f>'1-Position &amp; Inputs'!B23</f>
        <v>0.25</v>
      </c>
    </row>
    <row r="9" spans="1:2" x14ac:dyDescent="0.25">
      <c r="A9" s="5" t="s">
        <v>78</v>
      </c>
      <c r="B9" s="8">
        <f>IF('1-Position &amp; Inputs'!B8&lt;=0,"",1-('1-Position &amp; Inputs'!B7/'1-Position &amp; Inputs'!B8))</f>
        <v>0.19999999999999996</v>
      </c>
    </row>
    <row r="10" spans="1:2" x14ac:dyDescent="0.25">
      <c r="A10" s="5" t="s">
        <v>79</v>
      </c>
      <c r="B10" s="6">
        <f>'1-Position &amp; Inputs'!B9*'1-Position &amp; Inputs'!B10</f>
        <v>1344</v>
      </c>
    </row>
    <row r="11" spans="1:2" x14ac:dyDescent="0.25">
      <c r="A11" s="2" t="s">
        <v>80</v>
      </c>
    </row>
    <row r="12" spans="1:2" x14ac:dyDescent="0.25">
      <c r="A12" s="5" t="s">
        <v>81</v>
      </c>
      <c r="B12" s="10">
        <f>MAX(0,ROUNDUP(('1-Position &amp; Inputs'!B9-('1-Position &amp; Inputs'!B23*'1-Position &amp; Inputs'!B20))/'1-Position &amp; Inputs'!B7,0))</f>
        <v>1655</v>
      </c>
    </row>
    <row r="13" spans="1:2" x14ac:dyDescent="0.25">
      <c r="A13" s="5" t="s">
        <v>82</v>
      </c>
      <c r="B13" s="6">
        <f>MAX(0,'1-Position &amp; Inputs'!B9-('1-Position &amp; Inputs'!B23*'1-Position &amp; Inputs'!B20))</f>
        <v>185250</v>
      </c>
    </row>
    <row r="14" spans="1:2" x14ac:dyDescent="0.25">
      <c r="A14" s="5" t="s">
        <v>83</v>
      </c>
      <c r="B14" s="22" t="str">
        <f>IF('1-Position &amp; Inputs'!B21&lt;='1-Position &amp; Inputs'!B23,"Hold (already within target)",CHOOSE(MATCH(MAX('4- Hedge Comparison'!C16:G16),'4- Hedge Comparison'!C16:G16,0),"Hold","Sell 25% Now","Sell 50% Now","Protective Put","Zero-Cost Collar"))</f>
        <v>Sell 50% Now</v>
      </c>
    </row>
    <row r="15" spans="1:2" x14ac:dyDescent="0.25">
      <c r="A15" s="5" t="s">
        <v>84</v>
      </c>
      <c r="B15" s="6">
        <f>'2-Risk Scenarios'!D8</f>
        <v>1711800</v>
      </c>
    </row>
    <row r="16" spans="1:2" x14ac:dyDescent="0.25">
      <c r="A16" s="5" t="s">
        <v>85</v>
      </c>
      <c r="B16" s="6">
        <f>'4- Hedge Comparison'!D16</f>
        <v>1770600</v>
      </c>
    </row>
    <row r="18" spans="1:2" x14ac:dyDescent="0.25">
      <c r="A18" s="2" t="s">
        <v>86</v>
      </c>
    </row>
    <row r="19" spans="1:2" x14ac:dyDescent="0.25">
      <c r="A19" s="5" t="s">
        <v>87</v>
      </c>
      <c r="B19" s="6">
        <f>'4- Hedge Comparison'!C11</f>
        <v>2081400</v>
      </c>
    </row>
    <row r="20" spans="1:2" x14ac:dyDescent="0.25">
      <c r="A20" s="5" t="s">
        <v>88</v>
      </c>
      <c r="B20" s="6">
        <f>'4- Hedge Comparison'!C16</f>
        <v>1711800</v>
      </c>
    </row>
    <row r="21" spans="1:2" x14ac:dyDescent="0.25">
      <c r="A21" s="5" t="s">
        <v>89</v>
      </c>
      <c r="B21" s="6">
        <f>'4- Hedge Comparison'!F16</f>
        <v>1765560</v>
      </c>
    </row>
    <row r="22" spans="1:2" x14ac:dyDescent="0.25">
      <c r="A22" s="5" t="s">
        <v>90</v>
      </c>
      <c r="B22" s="6">
        <f>'4- Hedge Comparison'!G16</f>
        <v>1789080</v>
      </c>
    </row>
    <row r="23" spans="1:2" x14ac:dyDescent="0.25">
      <c r="A23" s="5" t="s">
        <v>91</v>
      </c>
      <c r="B23" s="10" t="str">
        <f ca="1">'3-Sale Plan'!B24</f>
        <v/>
      </c>
    </row>
  </sheetData>
  <conditionalFormatting sqref="B7">
    <cfRule type="cellIs" dxfId="0" priority="1" operator="greaterThan">
      <formula>0.35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1-Position &amp; Inputs</vt:lpstr>
      <vt:lpstr>2-Risk Scenarios</vt:lpstr>
      <vt:lpstr>3-Sale Plan</vt:lpstr>
      <vt:lpstr>4- Hedge Comparison</vt:lpstr>
      <vt:lpstr>5-Snapshot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Morales</dc:creator>
  <cp:lastModifiedBy>Frenzel, Tim</cp:lastModifiedBy>
  <cp:revision>1</cp:revision>
  <dcterms:created xsi:type="dcterms:W3CDTF">2025-11-28T08:29:54Z</dcterms:created>
  <dcterms:modified xsi:type="dcterms:W3CDTF">2026-04-09T14:45:17Z</dcterms:modified>
</cp:coreProperties>
</file>