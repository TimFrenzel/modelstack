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I:\My Drive\000_drive_drive\600_PROJECTS\modelstack\sheets\investing\options-wheel-strategy-log\"/>
    </mc:Choice>
  </mc:AlternateContent>
  <xr:revisionPtr revIDLastSave="0" documentId="13_ncr:1_{582BE7F8-4F82-4CD2-A4F9-B90854C94C4D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Trade Log" sheetId="1" r:id="rId1"/>
    <sheet name="Holdings" sheetId="2" r:id="rId2"/>
    <sheet name="Performance Summary" sheetId="3" r:id="rId3"/>
    <sheet name="Wheel Tracker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" i="4" l="1"/>
  <c r="M6" i="4"/>
  <c r="O5" i="4"/>
  <c r="M5" i="4"/>
  <c r="O4" i="4"/>
  <c r="M4" i="4"/>
  <c r="O3" i="4"/>
  <c r="M3" i="4"/>
  <c r="O2" i="4"/>
  <c r="M2" i="4"/>
  <c r="I21" i="2"/>
  <c r="H21" i="2"/>
  <c r="F21" i="2"/>
  <c r="I20" i="2"/>
  <c r="H20" i="2"/>
  <c r="F20" i="2"/>
  <c r="I19" i="2"/>
  <c r="H19" i="2"/>
  <c r="F19" i="2"/>
  <c r="I18" i="2"/>
  <c r="H18" i="2"/>
  <c r="F18" i="2"/>
  <c r="I17" i="2"/>
  <c r="H17" i="2"/>
  <c r="F17" i="2"/>
  <c r="I16" i="2"/>
  <c r="H16" i="2"/>
  <c r="F16" i="2"/>
  <c r="I15" i="2"/>
  <c r="H15" i="2"/>
  <c r="F15" i="2"/>
  <c r="I14" i="2"/>
  <c r="H14" i="2"/>
  <c r="F14" i="2"/>
  <c r="I13" i="2"/>
  <c r="H13" i="2"/>
  <c r="F13" i="2"/>
  <c r="I12" i="2"/>
  <c r="H12" i="2"/>
  <c r="F12" i="2"/>
  <c r="I11" i="2"/>
  <c r="H11" i="2"/>
  <c r="F11" i="2"/>
  <c r="I10" i="2"/>
  <c r="H10" i="2"/>
  <c r="F10" i="2"/>
  <c r="I9" i="2"/>
  <c r="H9" i="2"/>
  <c r="F9" i="2"/>
  <c r="I8" i="2"/>
  <c r="H8" i="2"/>
  <c r="F8" i="2"/>
  <c r="I7" i="2"/>
  <c r="H7" i="2"/>
  <c r="F7" i="2"/>
  <c r="I6" i="2"/>
  <c r="H6" i="2"/>
  <c r="F6" i="2"/>
  <c r="I5" i="2"/>
  <c r="H5" i="2"/>
  <c r="F5" i="2"/>
  <c r="J4" i="2"/>
  <c r="F4" i="2"/>
  <c r="B14" i="3" s="1"/>
  <c r="F3" i="2"/>
  <c r="H3" i="2" s="1"/>
  <c r="I3" i="2" s="1"/>
  <c r="F2" i="2"/>
  <c r="H2" i="2" s="1"/>
  <c r="I2" i="2" s="1"/>
  <c r="O41" i="1"/>
  <c r="J41" i="1"/>
  <c r="O40" i="1"/>
  <c r="J40" i="1"/>
  <c r="O39" i="1"/>
  <c r="J39" i="1"/>
  <c r="O38" i="1"/>
  <c r="J38" i="1"/>
  <c r="O37" i="1"/>
  <c r="J37" i="1"/>
  <c r="O36" i="1"/>
  <c r="J36" i="1"/>
  <c r="O35" i="1"/>
  <c r="J35" i="1"/>
  <c r="O34" i="1"/>
  <c r="J34" i="1"/>
  <c r="O33" i="1"/>
  <c r="J33" i="1"/>
  <c r="O32" i="1"/>
  <c r="J32" i="1"/>
  <c r="O31" i="1"/>
  <c r="J31" i="1"/>
  <c r="O30" i="1"/>
  <c r="J30" i="1"/>
  <c r="O29" i="1"/>
  <c r="J29" i="1"/>
  <c r="O28" i="1"/>
  <c r="J28" i="1"/>
  <c r="O27" i="1"/>
  <c r="J27" i="1"/>
  <c r="O26" i="1"/>
  <c r="J26" i="1"/>
  <c r="O25" i="1"/>
  <c r="J25" i="1"/>
  <c r="O24" i="1"/>
  <c r="J24" i="1"/>
  <c r="O23" i="1"/>
  <c r="J23" i="1"/>
  <c r="O22" i="1"/>
  <c r="J22" i="1"/>
  <c r="O21" i="1"/>
  <c r="J21" i="1"/>
  <c r="O20" i="1"/>
  <c r="J20" i="1"/>
  <c r="N19" i="1"/>
  <c r="O19" i="1" s="1"/>
  <c r="M19" i="1"/>
  <c r="J19" i="1"/>
  <c r="D6" i="4" s="1"/>
  <c r="L6" i="4" s="1"/>
  <c r="N18" i="1"/>
  <c r="J18" i="1"/>
  <c r="J5" i="2" s="1"/>
  <c r="K5" i="2" s="1"/>
  <c r="N17" i="1"/>
  <c r="J17" i="1"/>
  <c r="D5" i="4" s="1"/>
  <c r="N16" i="1"/>
  <c r="J16" i="1"/>
  <c r="M16" i="1" s="1"/>
  <c r="N15" i="1"/>
  <c r="J15" i="1"/>
  <c r="C6" i="3" s="1"/>
  <c r="N14" i="1"/>
  <c r="O14" i="1" s="1"/>
  <c r="M14" i="1"/>
  <c r="J14" i="1"/>
  <c r="N13" i="1"/>
  <c r="J13" i="1"/>
  <c r="J3" i="2" s="1"/>
  <c r="N12" i="1"/>
  <c r="J12" i="1"/>
  <c r="N11" i="1"/>
  <c r="J11" i="1"/>
  <c r="C5" i="3" s="1"/>
  <c r="O10" i="1"/>
  <c r="N10" i="1"/>
  <c r="M10" i="1"/>
  <c r="J10" i="1"/>
  <c r="N9" i="1"/>
  <c r="O9" i="1" s="1"/>
  <c r="J9" i="1"/>
  <c r="M9" i="1" s="1"/>
  <c r="N8" i="1"/>
  <c r="J8" i="1"/>
  <c r="N7" i="1"/>
  <c r="J7" i="1"/>
  <c r="D3" i="4" s="1"/>
  <c r="L3" i="4" s="1"/>
  <c r="N6" i="1"/>
  <c r="O6" i="1" s="1"/>
  <c r="J6" i="1"/>
  <c r="M6" i="1" s="1"/>
  <c r="N5" i="1"/>
  <c r="J5" i="1"/>
  <c r="H2" i="4" s="1"/>
  <c r="N4" i="1"/>
  <c r="J4" i="1"/>
  <c r="D2" i="4" s="1"/>
  <c r="N3" i="1"/>
  <c r="J3" i="1"/>
  <c r="M3" i="1" s="1"/>
  <c r="N2" i="1"/>
  <c r="I3" i="3" s="1"/>
  <c r="J2" i="1"/>
  <c r="C3" i="3" s="1"/>
  <c r="B12" i="3"/>
  <c r="G6" i="3"/>
  <c r="F6" i="3"/>
  <c r="D6" i="3"/>
  <c r="B6" i="3"/>
  <c r="G5" i="3"/>
  <c r="F5" i="3"/>
  <c r="D5" i="3"/>
  <c r="B5" i="3"/>
  <c r="G4" i="3"/>
  <c r="F4" i="3"/>
  <c r="D4" i="3"/>
  <c r="B4" i="3"/>
  <c r="G3" i="3"/>
  <c r="F3" i="3"/>
  <c r="D3" i="3"/>
  <c r="B3" i="3"/>
  <c r="O16" i="1" l="1"/>
  <c r="C4" i="3"/>
  <c r="E4" i="3" s="1"/>
  <c r="M4" i="1"/>
  <c r="O4" i="1" s="1"/>
  <c r="I4" i="3"/>
  <c r="M13" i="1"/>
  <c r="O13" i="1" s="1"/>
  <c r="I5" i="3"/>
  <c r="B15" i="3"/>
  <c r="M7" i="1"/>
  <c r="O7" i="1" s="1"/>
  <c r="H4" i="4"/>
  <c r="K3" i="2"/>
  <c r="E6" i="3"/>
  <c r="E3" i="3"/>
  <c r="E5" i="3"/>
  <c r="N3" i="4"/>
  <c r="L2" i="4"/>
  <c r="N2" i="4"/>
  <c r="O3" i="1"/>
  <c r="N6" i="4"/>
  <c r="B16" i="3"/>
  <c r="M2" i="1"/>
  <c r="M5" i="1"/>
  <c r="O5" i="1" s="1"/>
  <c r="M8" i="1"/>
  <c r="H4" i="3" s="1"/>
  <c r="M11" i="1"/>
  <c r="H5" i="3" s="1"/>
  <c r="M17" i="1"/>
  <c r="O17" i="1" s="1"/>
  <c r="H5" i="4"/>
  <c r="L5" i="4" s="1"/>
  <c r="N5" i="4" s="1"/>
  <c r="I6" i="3"/>
  <c r="M12" i="1"/>
  <c r="O12" i="1" s="1"/>
  <c r="M15" i="1"/>
  <c r="H6" i="3" s="1"/>
  <c r="M18" i="1"/>
  <c r="O18" i="1" s="1"/>
  <c r="O2" i="1"/>
  <c r="H4" i="2"/>
  <c r="I4" i="2" s="1"/>
  <c r="K4" i="2" s="1"/>
  <c r="J2" i="2"/>
  <c r="K2" i="2" s="1"/>
  <c r="D4" i="4"/>
  <c r="L4" i="4" s="1"/>
  <c r="O8" i="1"/>
  <c r="J4" i="3" s="1"/>
  <c r="B11" i="3" l="1"/>
  <c r="N4" i="4"/>
  <c r="B13" i="3"/>
  <c r="H3" i="3"/>
  <c r="O11" i="1"/>
  <c r="J5" i="3" s="1"/>
  <c r="J3" i="3"/>
  <c r="O15" i="1"/>
  <c r="J6" i="3" s="1"/>
</calcChain>
</file>

<file path=xl/sharedStrings.xml><?xml version="1.0" encoding="utf-8"?>
<sst xmlns="http://schemas.openxmlformats.org/spreadsheetml/2006/main" count="158" uniqueCount="85">
  <si>
    <t>By ticker</t>
  </si>
  <si>
    <t>Ticker</t>
  </si>
  <si>
    <t>Total trades</t>
  </si>
  <si>
    <t>Total premium</t>
  </si>
  <si>
    <t>Close costs (BTC)</t>
  </si>
  <si>
    <t>Net premium</t>
  </si>
  <si>
    <t>Assignments</t>
  </si>
  <si>
    <t>Called away</t>
  </si>
  <si>
    <t>Win rate</t>
  </si>
  <si>
    <t>Avg days held</t>
  </si>
  <si>
    <t>Avg annualized</t>
  </si>
  <si>
    <t>AAPL</t>
  </si>
  <si>
    <t>KO</t>
  </si>
  <si>
    <t>MSFT</t>
  </si>
  <si>
    <t>T</t>
  </si>
  <si>
    <t>Add rows above if you track more tickers.</t>
  </si>
  <si>
    <t>Overall portfolio</t>
  </si>
  <si>
    <t>Total net premium (sum of ticker net)</t>
  </si>
  <si>
    <t>Total trades closed</t>
  </si>
  <si>
    <t>Overall win rate (closed)</t>
  </si>
  <si>
    <t>Capital in stock (Holding basis $)</t>
  </si>
  <si>
    <t>Avg days held (all closed)</t>
  </si>
  <si>
    <t>Total unrealized P&amp;L (Holding rows)</t>
  </si>
  <si>
    <t>Trade #</t>
  </si>
  <si>
    <t>Date opened</t>
  </si>
  <si>
    <t>Date closed</t>
  </si>
  <si>
    <t>Strategy</t>
  </si>
  <si>
    <t>Strike</t>
  </si>
  <si>
    <t>Expiration</t>
  </si>
  <si>
    <t>Contracts</t>
  </si>
  <si>
    <t>Premium/share</t>
  </si>
  <si>
    <t>Outcome</t>
  </si>
  <si>
    <t>Close price/share</t>
  </si>
  <si>
    <t>Net P&amp;L</t>
  </si>
  <si>
    <t>Days held</t>
  </si>
  <si>
    <t>Annualized return</t>
  </si>
  <si>
    <t>Notes</t>
  </si>
  <si>
    <t>Cash-Secured Put</t>
  </si>
  <si>
    <t>Expired Worthless</t>
  </si>
  <si>
    <t>CSP rolled once then expired</t>
  </si>
  <si>
    <t>Assigned</t>
  </si>
  <si>
    <t>Assigned into shares</t>
  </si>
  <si>
    <t>Covered Call</t>
  </si>
  <si>
    <t>Called Away</t>
  </si>
  <si>
    <t>Stock called at 190</t>
  </si>
  <si>
    <t>Bought to Close</t>
  </si>
  <si>
    <t>Closed early before ex-div</t>
  </si>
  <si>
    <t>Rolled idea abandoned</t>
  </si>
  <si>
    <t>Open</t>
  </si>
  <si>
    <t>Still open in sample</t>
  </si>
  <si>
    <t>Called at 19</t>
  </si>
  <si>
    <t>New CSP open</t>
  </si>
  <si>
    <t>Report as-of date</t>
  </si>
  <si>
    <t>Shares</t>
  </si>
  <si>
    <t>Assignment date</t>
  </si>
  <si>
    <t>Assignment strike</t>
  </si>
  <si>
    <t>Put premium (total $)</t>
  </si>
  <si>
    <t>Adj. cost/share</t>
  </si>
  <si>
    <t>Current price</t>
  </si>
  <si>
    <t>Unrealized P/share</t>
  </si>
  <si>
    <t>Unrealized P&amp;L ($)</t>
  </si>
  <si>
    <t>CC premium (sum)</t>
  </si>
  <si>
    <t>Total income</t>
  </si>
  <si>
    <t>Lot end (CC window)</t>
  </si>
  <si>
    <t>Status</t>
  </si>
  <si>
    <t>Holding</t>
  </si>
  <si>
    <t>Sold</t>
  </si>
  <si>
    <t>Cycle #</t>
  </si>
  <si>
    <t>CSP trade #</t>
  </si>
  <si>
    <t>CSP premium</t>
  </si>
  <si>
    <t>Assigned?</t>
  </si>
  <si>
    <t>CC trade #s</t>
  </si>
  <si>
    <t>CC total premium</t>
  </si>
  <si>
    <t>Called away?</t>
  </si>
  <si>
    <t>Call strike</t>
  </si>
  <si>
    <t>Total cycle income</t>
  </si>
  <si>
    <t>Cycle days</t>
  </si>
  <si>
    <t>Annualized</t>
  </si>
  <si>
    <t>Yes</t>
  </si>
  <si>
    <t>4,5</t>
  </si>
  <si>
    <t>No</t>
  </si>
  <si>
    <t>11,12,13</t>
  </si>
  <si>
    <t>17</t>
  </si>
  <si>
    <t xml:space="preserve">CC trade #s in column G are hints; column H sums premiums from those Trade Log rows. Total cycle income uses a simplified stock leg on call-away: (call strike - assignment strike) x shares, not adjusted cost basis from Holdings. </t>
  </si>
  <si>
    <t>Annualized return when assigned uses capital approx. (assignment strike x shares) minus CSP premium (col D). Active cycle days use Trade Log B43 when the last trade in the cycle is still open.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</si>
</sst>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5" formatCode="mm/dd/yyyy"/>
    <numFmt numFmtId="166" formatCode="0.0"/>
  </numFmts>
  <fonts count="8" x14ac:knownFonts="1">
    <font>
      <sz val="11"/>
      <color theme="1"/>
      <name val="Calibri"/>
      <family val="2"/>
      <scheme val="minor"/>
    </font>
    <font>
      <b/>
      <sz val="10"/>
      <color rgb="FF2F3A1F"/>
      <name val="Arial"/>
      <family val="2"/>
    </font>
    <font>
      <sz val="10"/>
      <name val="Arial"/>
      <family val="2"/>
    </font>
    <font>
      <i/>
      <sz val="9"/>
      <color rgb="FF666666"/>
      <name val="Arial"/>
      <family val="2"/>
    </font>
    <font>
      <b/>
      <sz val="11"/>
      <name val="Arial"/>
      <family val="2"/>
    </font>
    <font>
      <sz val="11"/>
      <color rgb="FF4472C4"/>
      <name val="Calibri"/>
      <family val="2"/>
    </font>
    <font>
      <sz val="10"/>
      <color rgb="FF4472C4"/>
      <name val="Arial"/>
      <family val="2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2E8D4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0" borderId="0" xfId="0" applyFont="1"/>
    <xf numFmtId="0" fontId="2" fillId="3" borderId="0" xfId="0" applyFont="1" applyFill="1"/>
    <xf numFmtId="165" fontId="2" fillId="3" borderId="0" xfId="0" applyNumberFormat="1" applyFont="1" applyFill="1"/>
    <xf numFmtId="164" fontId="2" fillId="3" borderId="0" xfId="0" applyNumberFormat="1" applyFont="1" applyFill="1"/>
    <xf numFmtId="164" fontId="5" fillId="0" borderId="0" xfId="0" applyNumberFormat="1" applyFont="1"/>
    <xf numFmtId="1" fontId="5" fillId="0" borderId="0" xfId="0" applyNumberFormat="1" applyFont="1"/>
    <xf numFmtId="10" fontId="5" fillId="0" borderId="0" xfId="0" applyNumberFormat="1" applyFont="1"/>
    <xf numFmtId="166" fontId="5" fillId="0" borderId="0" xfId="0" applyNumberFormat="1" applyFont="1"/>
    <xf numFmtId="10" fontId="6" fillId="0" borderId="0" xfId="0" applyNumberFormat="1" applyFont="1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4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5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1" fontId="5" fillId="0" borderId="0" xfId="0" applyNumberFormat="1" applyFont="1" applyAlignment="1">
      <alignment horizontal="center"/>
    </xf>
    <xf numFmtId="10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 vertical="top" wrapText="1"/>
    </xf>
    <xf numFmtId="0" fontId="7" fillId="0" borderId="0" xfId="0" applyFont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2">
    <dxf>
      <fill>
        <patternFill patternType="solid">
          <fgColor rgb="FFFFCDD2"/>
          <bgColor rgb="FFFFCDD2"/>
        </patternFill>
      </fill>
    </dxf>
    <dxf>
      <fill>
        <patternFill patternType="solid">
          <fgColor rgb="FFC8E6C9"/>
          <bgColor rgb="FFC8E6C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1"/>
  <sheetViews>
    <sheetView tabSelected="1" workbookViewId="0">
      <pane ySplit="1" topLeftCell="A2" activePane="bottomLeft" state="frozen"/>
      <selection pane="bottomLeft" activeCell="A22" sqref="A22:B22"/>
    </sheetView>
  </sheetViews>
  <sheetFormatPr defaultRowHeight="15" x14ac:dyDescent="0.25"/>
  <cols>
    <col min="1" max="1" width="15.28515625" bestFit="1" customWidth="1"/>
    <col min="2" max="3" width="12" customWidth="1"/>
    <col min="4" max="4" width="8" customWidth="1"/>
    <col min="5" max="5" width="18" customWidth="1"/>
    <col min="6" max="6" width="10" customWidth="1"/>
    <col min="7" max="7" width="12" customWidth="1"/>
    <col min="8" max="8" width="10" customWidth="1"/>
    <col min="9" max="10" width="12" customWidth="1"/>
    <col min="11" max="11" width="16" customWidth="1"/>
    <col min="12" max="12" width="14" customWidth="1"/>
    <col min="13" max="13" width="12" customWidth="1"/>
    <col min="14" max="14" width="10" customWidth="1"/>
    <col min="15" max="15" width="16" customWidth="1"/>
    <col min="16" max="16" width="28" customWidth="1"/>
    <col min="19" max="19" width="10.140625" bestFit="1" customWidth="1"/>
  </cols>
  <sheetData>
    <row r="1" spans="1:16" ht="26.25" customHeight="1" x14ac:dyDescent="0.25">
      <c r="A1" s="1" t="s">
        <v>23</v>
      </c>
      <c r="B1" s="1" t="s">
        <v>24</v>
      </c>
      <c r="C1" s="1" t="s">
        <v>25</v>
      </c>
      <c r="D1" s="1" t="s">
        <v>1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</row>
    <row r="2" spans="1:16" x14ac:dyDescent="0.25">
      <c r="A2" s="3">
        <v>1</v>
      </c>
      <c r="B2" s="4">
        <v>45299</v>
      </c>
      <c r="C2" s="4">
        <v>45338</v>
      </c>
      <c r="D2" s="3" t="s">
        <v>11</v>
      </c>
      <c r="E2" s="3" t="s">
        <v>37</v>
      </c>
      <c r="F2" s="5">
        <v>185</v>
      </c>
      <c r="G2" s="4">
        <v>45338</v>
      </c>
      <c r="H2" s="3">
        <v>1</v>
      </c>
      <c r="I2" s="5">
        <v>1.25</v>
      </c>
      <c r="J2" s="6">
        <f t="shared" ref="J2:J41" si="0">IF(H2="","",H2*I2*100)</f>
        <v>125</v>
      </c>
      <c r="K2" s="3" t="s">
        <v>38</v>
      </c>
      <c r="L2" s="5">
        <v>0</v>
      </c>
      <c r="M2" s="6">
        <f t="shared" ref="M2:M19" si="1">IF(K2="Open","",IF(K2="Bought to Close",J2-L2*H2*100,J2))</f>
        <v>125</v>
      </c>
      <c r="N2" s="7">
        <f t="shared" ref="N2:N19" si="2">IF(OR(C2="",B2=""),"",C2-B2)</f>
        <v>39</v>
      </c>
      <c r="O2" s="10">
        <f>IF(OR(K2="Open",N2="",N2=0),"",IFERROR((M2/IF(E2="Cash-Secured Put",F2*H2*100,IF(SUMPRODUCT((Holdings!$A$2:$A$21=D2)*(Holdings!$M$2:$M$21="Holding"),Holdings!$F$2:$F$21,Holdings!$B$2:$B$21)=0,F2*H2*100,SUMPRODUCT((Holdings!$A$2:$A$21=D2)*(Holdings!$M$2:$M$21="Holding"),Holdings!$F$2:$F$21,Holdings!$B$2:$B$21))))*(365/N2),""))</f>
        <v>6.3236313236313249E-2</v>
      </c>
      <c r="P2" s="3" t="s">
        <v>39</v>
      </c>
    </row>
    <row r="3" spans="1:16" x14ac:dyDescent="0.25">
      <c r="A3" s="3">
        <v>2</v>
      </c>
      <c r="B3" s="4">
        <v>45355</v>
      </c>
      <c r="C3" s="4">
        <v>45401</v>
      </c>
      <c r="D3" s="3" t="s">
        <v>11</v>
      </c>
      <c r="E3" s="3" t="s">
        <v>37</v>
      </c>
      <c r="F3" s="5">
        <v>172.5</v>
      </c>
      <c r="G3" s="4">
        <v>45401</v>
      </c>
      <c r="H3" s="3">
        <v>1</v>
      </c>
      <c r="I3" s="5">
        <v>2.1</v>
      </c>
      <c r="J3" s="6">
        <f t="shared" si="0"/>
        <v>210</v>
      </c>
      <c r="K3" s="3" t="s">
        <v>38</v>
      </c>
      <c r="L3" s="5">
        <v>0</v>
      </c>
      <c r="M3" s="6">
        <f t="shared" si="1"/>
        <v>210</v>
      </c>
      <c r="N3" s="7">
        <f t="shared" si="2"/>
        <v>46</v>
      </c>
      <c r="O3" s="10">
        <f>IF(OR(K3="Open",N3="",N3=0),"",IFERROR((M3/IF(E3="Cash-Secured Put",F3*H3*100,IF(SUMPRODUCT((Holdings!$A$2:$A$21=D3)*(Holdings!$M$2:$M$21="Holding"),Holdings!$F$2:$F$21,Holdings!$B$2:$B$21)=0,F3*H3*100,SUMPRODUCT((Holdings!$A$2:$A$21=D3)*(Holdings!$M$2:$M$21="Holding"),Holdings!$F$2:$F$21,Holdings!$B$2:$B$21))))*(365/N3),""))</f>
        <v>9.6597353497164459E-2</v>
      </c>
      <c r="P3" s="3"/>
    </row>
    <row r="4" spans="1:16" x14ac:dyDescent="0.25">
      <c r="A4" s="3">
        <v>3</v>
      </c>
      <c r="B4" s="4">
        <v>45418</v>
      </c>
      <c r="C4" s="4">
        <v>45464</v>
      </c>
      <c r="D4" s="3" t="s">
        <v>11</v>
      </c>
      <c r="E4" s="3" t="s">
        <v>37</v>
      </c>
      <c r="F4" s="5">
        <v>178</v>
      </c>
      <c r="G4" s="4">
        <v>45464</v>
      </c>
      <c r="H4" s="3">
        <v>1</v>
      </c>
      <c r="I4" s="5">
        <v>1.85</v>
      </c>
      <c r="J4" s="6">
        <f t="shared" si="0"/>
        <v>185</v>
      </c>
      <c r="K4" s="3" t="s">
        <v>40</v>
      </c>
      <c r="L4" s="5">
        <v>0</v>
      </c>
      <c r="M4" s="6">
        <f t="shared" si="1"/>
        <v>185</v>
      </c>
      <c r="N4" s="7">
        <f t="shared" si="2"/>
        <v>46</v>
      </c>
      <c r="O4" s="10">
        <f>IF(OR(K4="Open",N4="",N4=0),"",IFERROR((M4/IF(E4="Cash-Secured Put",F4*H4*100,IF(SUMPRODUCT((Holdings!$A$2:$A$21=D4)*(Holdings!$M$2:$M$21="Holding"),Holdings!$F$2:$F$21,Holdings!$B$2:$B$21)=0,F4*H4*100,SUMPRODUCT((Holdings!$A$2:$A$21=D4)*(Holdings!$M$2:$M$21="Holding"),Holdings!$F$2:$F$21,Holdings!$B$2:$B$21))))*(365/N4),""))</f>
        <v>8.2468246213971669E-2</v>
      </c>
      <c r="P4" s="3" t="s">
        <v>41</v>
      </c>
    </row>
    <row r="5" spans="1:16" x14ac:dyDescent="0.25">
      <c r="A5" s="3">
        <v>4</v>
      </c>
      <c r="B5" s="4">
        <v>45467</v>
      </c>
      <c r="C5" s="4">
        <v>45492</v>
      </c>
      <c r="D5" s="3" t="s">
        <v>11</v>
      </c>
      <c r="E5" s="3" t="s">
        <v>42</v>
      </c>
      <c r="F5" s="5">
        <v>185</v>
      </c>
      <c r="G5" s="4">
        <v>45492</v>
      </c>
      <c r="H5" s="3">
        <v>1</v>
      </c>
      <c r="I5" s="5">
        <v>1.4</v>
      </c>
      <c r="J5" s="6">
        <f t="shared" si="0"/>
        <v>140</v>
      </c>
      <c r="K5" s="3" t="s">
        <v>38</v>
      </c>
      <c r="L5" s="5">
        <v>0</v>
      </c>
      <c r="M5" s="6">
        <f t="shared" si="1"/>
        <v>140</v>
      </c>
      <c r="N5" s="7">
        <f t="shared" si="2"/>
        <v>25</v>
      </c>
      <c r="O5" s="10">
        <f>IF(OR(K5="Open",N5="",N5=0),"",IFERROR((M5/IF(E5="Cash-Secured Put",F5*H5*100,IF(SUMPRODUCT((Holdings!$A$2:$A$21=D5)*(Holdings!$M$2:$M$21="Holding"),Holdings!$F$2:$F$21,Holdings!$B$2:$B$21)=0,F5*H5*100,SUMPRODUCT((Holdings!$A$2:$A$21=D5)*(Holdings!$M$2:$M$21="Holding"),Holdings!$F$2:$F$21,Holdings!$B$2:$B$21))))*(365/N5),""))</f>
        <v>0.11603746806698835</v>
      </c>
      <c r="P5" s="3"/>
    </row>
    <row r="6" spans="1:16" x14ac:dyDescent="0.25">
      <c r="A6" s="3">
        <v>5</v>
      </c>
      <c r="B6" s="4">
        <v>45495</v>
      </c>
      <c r="C6" s="4">
        <v>45520</v>
      </c>
      <c r="D6" s="3" t="s">
        <v>11</v>
      </c>
      <c r="E6" s="3" t="s">
        <v>42</v>
      </c>
      <c r="F6" s="5">
        <v>190</v>
      </c>
      <c r="G6" s="4">
        <v>45520</v>
      </c>
      <c r="H6" s="3">
        <v>1</v>
      </c>
      <c r="I6" s="5">
        <v>1.1499999999999999</v>
      </c>
      <c r="J6" s="6">
        <f t="shared" si="0"/>
        <v>114.99999999999999</v>
      </c>
      <c r="K6" s="3" t="s">
        <v>43</v>
      </c>
      <c r="L6" s="5">
        <v>0</v>
      </c>
      <c r="M6" s="6">
        <f t="shared" si="1"/>
        <v>114.99999999999999</v>
      </c>
      <c r="N6" s="7">
        <f t="shared" si="2"/>
        <v>25</v>
      </c>
      <c r="O6" s="10">
        <f>IF(OR(K6="Open",N6="",N6=0),"",IFERROR((M6/IF(E6="Cash-Secured Put",F6*H6*100,IF(SUMPRODUCT((Holdings!$A$2:$A$21=D6)*(Holdings!$M$2:$M$21="Holding"),Holdings!$F$2:$F$21,Holdings!$B$2:$B$21)=0,F6*H6*100,SUMPRODUCT((Holdings!$A$2:$A$21=D6)*(Holdings!$M$2:$M$21="Holding"),Holdings!$F$2:$F$21,Holdings!$B$2:$B$21))))*(365/N6),""))</f>
        <v>9.5316491626454711E-2</v>
      </c>
      <c r="P6" s="3" t="s">
        <v>44</v>
      </c>
    </row>
    <row r="7" spans="1:16" x14ac:dyDescent="0.25">
      <c r="A7" s="3">
        <v>6</v>
      </c>
      <c r="B7" s="4">
        <v>45323</v>
      </c>
      <c r="C7" s="4">
        <v>45366</v>
      </c>
      <c r="D7" s="3" t="s">
        <v>12</v>
      </c>
      <c r="E7" s="3" t="s">
        <v>37</v>
      </c>
      <c r="F7" s="5">
        <v>58</v>
      </c>
      <c r="G7" s="4">
        <v>45366</v>
      </c>
      <c r="H7" s="3">
        <v>2</v>
      </c>
      <c r="I7" s="5">
        <v>0.45</v>
      </c>
      <c r="J7" s="6">
        <f t="shared" si="0"/>
        <v>90</v>
      </c>
      <c r="K7" s="3" t="s">
        <v>45</v>
      </c>
      <c r="L7" s="5">
        <v>0.12</v>
      </c>
      <c r="M7" s="6">
        <f t="shared" si="1"/>
        <v>66</v>
      </c>
      <c r="N7" s="7">
        <f t="shared" si="2"/>
        <v>43</v>
      </c>
      <c r="O7" s="10">
        <f>IF(OR(K7="Open",N7="",N7=0),"",IFERROR((M7/IF(E7="Cash-Secured Put",F7*H7*100,IF(SUMPRODUCT((Holdings!$A$2:$A$21=D7)*(Holdings!$M$2:$M$21="Holding"),Holdings!$F$2:$F$21,Holdings!$B$2:$B$21)=0,F7*H7*100,SUMPRODUCT((Holdings!$A$2:$A$21=D7)*(Holdings!$M$2:$M$21="Holding"),Holdings!$F$2:$F$21,Holdings!$B$2:$B$21))))*(365/N7),""))</f>
        <v>4.8295910184442667E-2</v>
      </c>
      <c r="P7" s="3" t="s">
        <v>46</v>
      </c>
    </row>
    <row r="8" spans="1:16" x14ac:dyDescent="0.25">
      <c r="A8" s="3">
        <v>7</v>
      </c>
      <c r="B8" s="4">
        <v>45384</v>
      </c>
      <c r="C8" s="4">
        <v>45429</v>
      </c>
      <c r="D8" s="3" t="s">
        <v>12</v>
      </c>
      <c r="E8" s="3" t="s">
        <v>37</v>
      </c>
      <c r="F8" s="5">
        <v>59</v>
      </c>
      <c r="G8" s="4">
        <v>45429</v>
      </c>
      <c r="H8" s="3">
        <v>2</v>
      </c>
      <c r="I8" s="5">
        <v>0.52</v>
      </c>
      <c r="J8" s="6">
        <f t="shared" si="0"/>
        <v>104</v>
      </c>
      <c r="K8" s="3" t="s">
        <v>38</v>
      </c>
      <c r="L8" s="5">
        <v>0</v>
      </c>
      <c r="M8" s="6">
        <f t="shared" si="1"/>
        <v>104</v>
      </c>
      <c r="N8" s="7">
        <f t="shared" si="2"/>
        <v>45</v>
      </c>
      <c r="O8" s="10">
        <f>IF(OR(K8="Open",N8="",N8=0),"",IFERROR((M8/IF(E8="Cash-Secured Put",F8*H8*100,IF(SUMPRODUCT((Holdings!$A$2:$A$21=D8)*(Holdings!$M$2:$M$21="Holding"),Holdings!$F$2:$F$21,Holdings!$B$2:$B$21)=0,F8*H8*100,SUMPRODUCT((Holdings!$A$2:$A$21=D8)*(Holdings!$M$2:$M$21="Holding"),Holdings!$F$2:$F$21,Holdings!$B$2:$B$21))))*(365/N8),""))</f>
        <v>7.148775894538606E-2</v>
      </c>
      <c r="P8" s="3"/>
    </row>
    <row r="9" spans="1:16" x14ac:dyDescent="0.25">
      <c r="A9" s="3">
        <v>8</v>
      </c>
      <c r="B9" s="4">
        <v>45446</v>
      </c>
      <c r="C9" s="4">
        <v>45492</v>
      </c>
      <c r="D9" s="3" t="s">
        <v>12</v>
      </c>
      <c r="E9" s="3" t="s">
        <v>37</v>
      </c>
      <c r="F9" s="5">
        <v>60</v>
      </c>
      <c r="G9" s="4">
        <v>45492</v>
      </c>
      <c r="H9" s="3">
        <v>2</v>
      </c>
      <c r="I9" s="5">
        <v>0.38</v>
      </c>
      <c r="J9" s="6">
        <f t="shared" si="0"/>
        <v>76</v>
      </c>
      <c r="K9" s="3" t="s">
        <v>38</v>
      </c>
      <c r="L9" s="5">
        <v>0</v>
      </c>
      <c r="M9" s="6">
        <f t="shared" si="1"/>
        <v>76</v>
      </c>
      <c r="N9" s="7">
        <f t="shared" si="2"/>
        <v>46</v>
      </c>
      <c r="O9" s="10">
        <f>IF(OR(K9="Open",N9="",N9=0),"",IFERROR((M9/IF(E9="Cash-Secured Put",F9*H9*100,IF(SUMPRODUCT((Holdings!$A$2:$A$21=D9)*(Holdings!$M$2:$M$21="Holding"),Holdings!$F$2:$F$21,Holdings!$B$2:$B$21)=0,F9*H9*100,SUMPRODUCT((Holdings!$A$2:$A$21=D9)*(Holdings!$M$2:$M$21="Holding"),Holdings!$F$2:$F$21,Holdings!$B$2:$B$21))))*(365/N9),""))</f>
        <v>5.0253623188405795E-2</v>
      </c>
      <c r="P9" s="3"/>
    </row>
    <row r="10" spans="1:16" x14ac:dyDescent="0.25">
      <c r="A10" s="3">
        <v>9</v>
      </c>
      <c r="B10" s="4">
        <v>45313</v>
      </c>
      <c r="C10" s="4">
        <v>45366</v>
      </c>
      <c r="D10" s="3" t="s">
        <v>13</v>
      </c>
      <c r="E10" s="3" t="s">
        <v>37</v>
      </c>
      <c r="F10" s="5">
        <v>380</v>
      </c>
      <c r="G10" s="4">
        <v>45366</v>
      </c>
      <c r="H10" s="3">
        <v>1</v>
      </c>
      <c r="I10" s="5">
        <v>4.5</v>
      </c>
      <c r="J10" s="6">
        <f t="shared" si="0"/>
        <v>450</v>
      </c>
      <c r="K10" s="3" t="s">
        <v>38</v>
      </c>
      <c r="L10" s="5">
        <v>0</v>
      </c>
      <c r="M10" s="6">
        <f t="shared" si="1"/>
        <v>450</v>
      </c>
      <c r="N10" s="7">
        <f t="shared" si="2"/>
        <v>53</v>
      </c>
      <c r="O10" s="10">
        <f>IF(OR(K10="Open",N10="",N10=0),"",IFERROR((M10/IF(E10="Cash-Secured Put",F10*H10*100,IF(SUMPRODUCT((Holdings!$A$2:$A$21=D10)*(Holdings!$M$2:$M$21="Holding"),Holdings!$F$2:$F$21,Holdings!$B$2:$B$21)=0,F10*H10*100,SUMPRODUCT((Holdings!$A$2:$A$21=D10)*(Holdings!$M$2:$M$21="Holding"),Holdings!$F$2:$F$21,Holdings!$B$2:$B$21))))*(365/N10),""))</f>
        <v>8.1554121151936443E-2</v>
      </c>
      <c r="P10" s="3"/>
    </row>
    <row r="11" spans="1:16" x14ac:dyDescent="0.25">
      <c r="A11" s="3">
        <v>10</v>
      </c>
      <c r="B11" s="4">
        <v>45383</v>
      </c>
      <c r="C11" s="4">
        <v>45429</v>
      </c>
      <c r="D11" s="3" t="s">
        <v>13</v>
      </c>
      <c r="E11" s="3" t="s">
        <v>37</v>
      </c>
      <c r="F11" s="5">
        <v>405</v>
      </c>
      <c r="G11" s="4">
        <v>45429</v>
      </c>
      <c r="H11" s="3">
        <v>1</v>
      </c>
      <c r="I11" s="5">
        <v>3.2</v>
      </c>
      <c r="J11" s="6">
        <f t="shared" si="0"/>
        <v>320</v>
      </c>
      <c r="K11" s="3" t="s">
        <v>40</v>
      </c>
      <c r="L11" s="5">
        <v>0</v>
      </c>
      <c r="M11" s="6">
        <f t="shared" si="1"/>
        <v>320</v>
      </c>
      <c r="N11" s="7">
        <f t="shared" si="2"/>
        <v>46</v>
      </c>
      <c r="O11" s="10">
        <f>IF(OR(K11="Open",N11="",N11=0),"",IFERROR((M11/IF(E11="Cash-Secured Put",F11*H11*100,IF(SUMPRODUCT((Holdings!$A$2:$A$21=D11)*(Holdings!$M$2:$M$21="Holding"),Holdings!$F$2:$F$21,Holdings!$B$2:$B$21)=0,F11*H11*100,SUMPRODUCT((Holdings!$A$2:$A$21=D11)*(Holdings!$M$2:$M$21="Holding"),Holdings!$F$2:$F$21,Holdings!$B$2:$B$21))))*(365/N11),""))</f>
        <v>6.2694578636607629E-2</v>
      </c>
      <c r="P11" s="3"/>
    </row>
    <row r="12" spans="1:16" x14ac:dyDescent="0.25">
      <c r="A12" s="3">
        <v>11</v>
      </c>
      <c r="B12" s="4">
        <v>45432</v>
      </c>
      <c r="C12" s="4">
        <v>45464</v>
      </c>
      <c r="D12" s="3" t="s">
        <v>13</v>
      </c>
      <c r="E12" s="3" t="s">
        <v>42</v>
      </c>
      <c r="F12" s="5">
        <v>420</v>
      </c>
      <c r="G12" s="4">
        <v>45464</v>
      </c>
      <c r="H12" s="3">
        <v>1</v>
      </c>
      <c r="I12" s="5">
        <v>2.0499999999999998</v>
      </c>
      <c r="J12" s="6">
        <f t="shared" si="0"/>
        <v>204.99999999999997</v>
      </c>
      <c r="K12" s="3" t="s">
        <v>38</v>
      </c>
      <c r="L12" s="5">
        <v>0</v>
      </c>
      <c r="M12" s="6">
        <f t="shared" si="1"/>
        <v>204.99999999999997</v>
      </c>
      <c r="N12" s="7">
        <f t="shared" si="2"/>
        <v>32</v>
      </c>
      <c r="O12" s="10">
        <f>IF(OR(K12="Open",N12="",N12=0),"",IFERROR((M12/IF(E12="Cash-Secured Put",F12*H12*100,IF(SUMPRODUCT((Holdings!$A$2:$A$21=D12)*(Holdings!$M$2:$M$21="Holding"),Holdings!$F$2:$F$21,Holdings!$B$2:$B$21)=0,F12*H12*100,SUMPRODUCT((Holdings!$A$2:$A$21=D12)*(Holdings!$M$2:$M$21="Holding"),Holdings!$F$2:$F$21,Holdings!$B$2:$B$21))))*(365/N12),""))</f>
        <v>5.8195153061224483E-2</v>
      </c>
      <c r="P12" s="3"/>
    </row>
    <row r="13" spans="1:16" x14ac:dyDescent="0.25">
      <c r="A13" s="3">
        <v>12</v>
      </c>
      <c r="B13" s="4">
        <v>45467</v>
      </c>
      <c r="C13" s="4">
        <v>45492</v>
      </c>
      <c r="D13" s="3" t="s">
        <v>13</v>
      </c>
      <c r="E13" s="3" t="s">
        <v>42</v>
      </c>
      <c r="F13" s="5">
        <v>425</v>
      </c>
      <c r="G13" s="4">
        <v>45492</v>
      </c>
      <c r="H13" s="3">
        <v>1</v>
      </c>
      <c r="I13" s="5">
        <v>1.65</v>
      </c>
      <c r="J13" s="6">
        <f t="shared" si="0"/>
        <v>165</v>
      </c>
      <c r="K13" s="3" t="s">
        <v>45</v>
      </c>
      <c r="L13" s="5">
        <v>0.55000000000000004</v>
      </c>
      <c r="M13" s="6">
        <f t="shared" si="1"/>
        <v>110</v>
      </c>
      <c r="N13" s="7">
        <f t="shared" si="2"/>
        <v>25</v>
      </c>
      <c r="O13" s="10">
        <f>IF(OR(K13="Open",N13="",N13=0),"",IFERROR((M13/IF(E13="Cash-Secured Put",F13*H13*100,IF(SUMPRODUCT((Holdings!$A$2:$A$21=D13)*(Holdings!$M$2:$M$21="Holding"),Holdings!$F$2:$F$21,Holdings!$B$2:$B$21)=0,F13*H13*100,SUMPRODUCT((Holdings!$A$2:$A$21=D13)*(Holdings!$M$2:$M$21="Holding"),Holdings!$F$2:$F$21,Holdings!$B$2:$B$21))))*(365/N13),""))</f>
        <v>3.9970134395221506E-2</v>
      </c>
      <c r="P13" s="3" t="s">
        <v>47</v>
      </c>
    </row>
    <row r="14" spans="1:16" x14ac:dyDescent="0.25">
      <c r="A14" s="3">
        <v>13</v>
      </c>
      <c r="B14" s="4">
        <v>45495</v>
      </c>
      <c r="C14" s="4"/>
      <c r="D14" s="3" t="s">
        <v>13</v>
      </c>
      <c r="E14" s="3" t="s">
        <v>42</v>
      </c>
      <c r="F14" s="5">
        <v>430</v>
      </c>
      <c r="G14" s="4">
        <v>45520</v>
      </c>
      <c r="H14" s="3">
        <v>1</v>
      </c>
      <c r="I14" s="5">
        <v>1.3</v>
      </c>
      <c r="J14" s="6">
        <f t="shared" si="0"/>
        <v>130</v>
      </c>
      <c r="K14" s="3" t="s">
        <v>48</v>
      </c>
      <c r="L14" s="3"/>
      <c r="M14" s="6" t="str">
        <f t="shared" si="1"/>
        <v/>
      </c>
      <c r="N14" s="7" t="str">
        <f t="shared" si="2"/>
        <v/>
      </c>
      <c r="O14" s="10" t="str">
        <f>IF(OR(K14="Open",N14="",N14=0),"",IFERROR((M14/IF(E14="Cash-Secured Put",F14*H14*100,IF(SUMPRODUCT((Holdings!$A$2:$A$21=D14)*(Holdings!$M$2:$M$21="Holding"),Holdings!$F$2:$F$21,Holdings!$B$2:$B$21)=0,F14*H14*100,SUMPRODUCT((Holdings!$A$2:$A$21=D14)*(Holdings!$M$2:$M$21="Holding"),Holdings!$F$2:$F$21,Holdings!$B$2:$B$21))))*(365/N14),""))</f>
        <v/>
      </c>
      <c r="P14" s="3" t="s">
        <v>49</v>
      </c>
    </row>
    <row r="15" spans="1:16" x14ac:dyDescent="0.25">
      <c r="A15" s="3">
        <v>14</v>
      </c>
      <c r="B15" s="4">
        <v>45334</v>
      </c>
      <c r="C15" s="4">
        <v>45366</v>
      </c>
      <c r="D15" s="3" t="s">
        <v>14</v>
      </c>
      <c r="E15" s="3" t="s">
        <v>37</v>
      </c>
      <c r="F15" s="5">
        <v>17.5</v>
      </c>
      <c r="G15" s="4">
        <v>45366</v>
      </c>
      <c r="H15" s="3">
        <v>4</v>
      </c>
      <c r="I15" s="5">
        <v>0.22</v>
      </c>
      <c r="J15" s="6">
        <f t="shared" si="0"/>
        <v>88</v>
      </c>
      <c r="K15" s="3" t="s">
        <v>38</v>
      </c>
      <c r="L15" s="5">
        <v>0</v>
      </c>
      <c r="M15" s="6">
        <f t="shared" si="1"/>
        <v>88</v>
      </c>
      <c r="N15" s="7">
        <f t="shared" si="2"/>
        <v>32</v>
      </c>
      <c r="O15" s="10">
        <f>IF(OR(K15="Open",N15="",N15=0),"",IFERROR((M15/IF(E15="Cash-Secured Put",F15*H15*100,IF(SUMPRODUCT((Holdings!$A$2:$A$21=D15)*(Holdings!$M$2:$M$21="Holding"),Holdings!$F$2:$F$21,Holdings!$B$2:$B$21)=0,F15*H15*100,SUMPRODUCT((Holdings!$A$2:$A$21=D15)*(Holdings!$M$2:$M$21="Holding"),Holdings!$F$2:$F$21,Holdings!$B$2:$B$21))))*(365/N15),""))</f>
        <v>0.14339285714285716</v>
      </c>
      <c r="P15" s="3"/>
    </row>
    <row r="16" spans="1:16" x14ac:dyDescent="0.25">
      <c r="A16" s="3">
        <v>15</v>
      </c>
      <c r="B16" s="4">
        <v>45390</v>
      </c>
      <c r="C16" s="4">
        <v>45429</v>
      </c>
      <c r="D16" s="3" t="s">
        <v>14</v>
      </c>
      <c r="E16" s="3" t="s">
        <v>37</v>
      </c>
      <c r="F16" s="5">
        <v>18</v>
      </c>
      <c r="G16" s="4">
        <v>45429</v>
      </c>
      <c r="H16" s="3">
        <v>4</v>
      </c>
      <c r="I16" s="5">
        <v>0.18</v>
      </c>
      <c r="J16" s="6">
        <f t="shared" si="0"/>
        <v>72</v>
      </c>
      <c r="K16" s="3" t="s">
        <v>38</v>
      </c>
      <c r="L16" s="5">
        <v>0</v>
      </c>
      <c r="M16" s="6">
        <f t="shared" si="1"/>
        <v>72</v>
      </c>
      <c r="N16" s="7">
        <f t="shared" si="2"/>
        <v>39</v>
      </c>
      <c r="O16" s="10">
        <f>IF(OR(K16="Open",N16="",N16=0),"",IFERROR((M16/IF(E16="Cash-Secured Put",F16*H16*100,IF(SUMPRODUCT((Holdings!$A$2:$A$21=D16)*(Holdings!$M$2:$M$21="Holding"),Holdings!$F$2:$F$21,Holdings!$B$2:$B$21)=0,F16*H16*100,SUMPRODUCT((Holdings!$A$2:$A$21=D16)*(Holdings!$M$2:$M$21="Holding"),Holdings!$F$2:$F$21,Holdings!$B$2:$B$21))))*(365/N16),""))</f>
        <v>9.358974358974359E-2</v>
      </c>
      <c r="P16" s="3"/>
    </row>
    <row r="17" spans="1:16" x14ac:dyDescent="0.25">
      <c r="A17" s="3">
        <v>16</v>
      </c>
      <c r="B17" s="4">
        <v>45453</v>
      </c>
      <c r="C17" s="4">
        <v>45492</v>
      </c>
      <c r="D17" s="3" t="s">
        <v>14</v>
      </c>
      <c r="E17" s="3" t="s">
        <v>37</v>
      </c>
      <c r="F17" s="5">
        <v>18.5</v>
      </c>
      <c r="G17" s="4">
        <v>45492</v>
      </c>
      <c r="H17" s="3">
        <v>4</v>
      </c>
      <c r="I17" s="5">
        <v>0.15</v>
      </c>
      <c r="J17" s="6">
        <f t="shared" si="0"/>
        <v>60</v>
      </c>
      <c r="K17" s="3" t="s">
        <v>40</v>
      </c>
      <c r="L17" s="5">
        <v>0</v>
      </c>
      <c r="M17" s="6">
        <f t="shared" si="1"/>
        <v>60</v>
      </c>
      <c r="N17" s="7">
        <f t="shared" si="2"/>
        <v>39</v>
      </c>
      <c r="O17" s="10">
        <f>IF(OR(K17="Open",N17="",N17=0),"",IFERROR((M17/IF(E17="Cash-Secured Put",F17*H17*100,IF(SUMPRODUCT((Holdings!$A$2:$A$21=D17)*(Holdings!$M$2:$M$21="Holding"),Holdings!$F$2:$F$21,Holdings!$B$2:$B$21)=0,F17*H17*100,SUMPRODUCT((Holdings!$A$2:$A$21=D17)*(Holdings!$M$2:$M$21="Holding"),Holdings!$F$2:$F$21,Holdings!$B$2:$B$21))))*(365/N17),""))</f>
        <v>7.5883575883575888E-2</v>
      </c>
      <c r="P17" s="3"/>
    </row>
    <row r="18" spans="1:16" x14ac:dyDescent="0.25">
      <c r="A18" s="3">
        <v>17</v>
      </c>
      <c r="B18" s="4">
        <v>45495</v>
      </c>
      <c r="C18" s="4">
        <v>45520</v>
      </c>
      <c r="D18" s="3" t="s">
        <v>14</v>
      </c>
      <c r="E18" s="3" t="s">
        <v>42</v>
      </c>
      <c r="F18" s="5">
        <v>19</v>
      </c>
      <c r="G18" s="4">
        <v>45520</v>
      </c>
      <c r="H18" s="3">
        <v>4</v>
      </c>
      <c r="I18" s="5">
        <v>0.09</v>
      </c>
      <c r="J18" s="6">
        <f t="shared" si="0"/>
        <v>36</v>
      </c>
      <c r="K18" s="3" t="s">
        <v>43</v>
      </c>
      <c r="L18" s="5">
        <v>0</v>
      </c>
      <c r="M18" s="6">
        <f t="shared" si="1"/>
        <v>36</v>
      </c>
      <c r="N18" s="7">
        <f t="shared" si="2"/>
        <v>25</v>
      </c>
      <c r="O18" s="10">
        <f>IF(OR(K18="Open",N18="",N18=0),"",IFERROR((M18/IF(E18="Cash-Secured Put",F18*H18*100,IF(SUMPRODUCT((Holdings!$A$2:$A$21=D18)*(Holdings!$M$2:$M$21="Holding"),Holdings!$F$2:$F$21,Holdings!$B$2:$B$21)=0,F18*H18*100,SUMPRODUCT((Holdings!$A$2:$A$21=D18)*(Holdings!$M$2:$M$21="Holding"),Holdings!$F$2:$F$21,Holdings!$B$2:$B$21))))*(365/N18),""))</f>
        <v>6.9157894736842113E-2</v>
      </c>
      <c r="P18" s="3" t="s">
        <v>50</v>
      </c>
    </row>
    <row r="19" spans="1:16" x14ac:dyDescent="0.25">
      <c r="A19" s="3">
        <v>18</v>
      </c>
      <c r="B19" s="4">
        <v>45524</v>
      </c>
      <c r="C19" s="4"/>
      <c r="D19" s="3" t="s">
        <v>12</v>
      </c>
      <c r="E19" s="3" t="s">
        <v>37</v>
      </c>
      <c r="F19" s="5">
        <v>61</v>
      </c>
      <c r="G19" s="4">
        <v>45555</v>
      </c>
      <c r="H19" s="3">
        <v>2</v>
      </c>
      <c r="I19" s="5">
        <v>0.41</v>
      </c>
      <c r="J19" s="6">
        <f t="shared" si="0"/>
        <v>82</v>
      </c>
      <c r="K19" s="3" t="s">
        <v>48</v>
      </c>
      <c r="L19" s="3"/>
      <c r="M19" s="6" t="str">
        <f t="shared" si="1"/>
        <v/>
      </c>
      <c r="N19" s="7" t="str">
        <f t="shared" si="2"/>
        <v/>
      </c>
      <c r="O19" s="10" t="str">
        <f>IF(OR(K19="Open",N19="",N19=0),"",IFERROR((M19/IF(E19="Cash-Secured Put",F19*H19*100,IF(SUMPRODUCT((Holdings!$A$2:$A$21=D19)*(Holdings!$M$2:$M$21="Holding"),Holdings!$F$2:$F$21,Holdings!$B$2:$B$21)=0,F19*H19*100,SUMPRODUCT((Holdings!$A$2:$A$21=D19)*(Holdings!$M$2:$M$21="Holding"),Holdings!$F$2:$F$21,Holdings!$B$2:$B$21))))*(365/N19),""))</f>
        <v/>
      </c>
      <c r="P19" s="3" t="s">
        <v>51</v>
      </c>
    </row>
    <row r="20" spans="1:16" x14ac:dyDescent="0.25">
      <c r="A20" s="2"/>
      <c r="B20" s="2"/>
      <c r="C20" s="2"/>
      <c r="D20" s="2"/>
      <c r="E20" s="2"/>
      <c r="F20" s="2"/>
      <c r="G20" s="2"/>
      <c r="H20" s="2"/>
      <c r="I20" s="2"/>
      <c r="J20" s="6" t="str">
        <f t="shared" si="0"/>
        <v/>
      </c>
      <c r="K20" s="2"/>
      <c r="L20" s="2"/>
      <c r="M20" s="2"/>
      <c r="N20" s="2"/>
      <c r="O20" s="10" t="str">
        <f>IF(OR(K20="Open",N20="",N20=0),"",IFERROR((M20/IF(E20="Cash-Secured Put",F20*H20*100,IF(SUMPRODUCT((Holdings!$A$2:$A$21=D20)*(Holdings!$M$2:$M$21="Holding"),Holdings!$F$2:$F$21,Holdings!$B$2:$B$21)=0,F20*H20*100,SUMPRODUCT((Holdings!$A$2:$A$21=D20)*(Holdings!$M$2:$M$21="Holding"),Holdings!$F$2:$F$21,Holdings!$B$2:$B$21))))*(365/N20),""))</f>
        <v/>
      </c>
      <c r="P20" s="2"/>
    </row>
    <row r="21" spans="1:16" x14ac:dyDescent="0.25">
      <c r="A21" s="2"/>
      <c r="B21" s="2"/>
      <c r="C21" s="2"/>
      <c r="D21" s="2"/>
      <c r="E21" s="2"/>
      <c r="F21" s="2"/>
      <c r="G21" s="2"/>
      <c r="H21" s="2"/>
      <c r="I21" s="2"/>
      <c r="J21" s="6" t="str">
        <f t="shared" si="0"/>
        <v/>
      </c>
      <c r="K21" s="2"/>
      <c r="L21" s="2"/>
      <c r="M21" s="2"/>
      <c r="N21" s="2"/>
      <c r="O21" s="10" t="str">
        <f>IF(OR(K21="Open",N21="",N21=0),"",IFERROR((M21/IF(E21="Cash-Secured Put",F21*H21*100,IF(SUMPRODUCT((Holdings!$A$2:$A$21=D21)*(Holdings!$M$2:$M$21="Holding"),Holdings!$F$2:$F$21,Holdings!$B$2:$B$21)=0,F21*H21*100,SUMPRODUCT((Holdings!$A$2:$A$21=D21)*(Holdings!$M$2:$M$21="Holding"),Holdings!$F$2:$F$21,Holdings!$B$2:$B$21))))*(365/N21),""))</f>
        <v/>
      </c>
      <c r="P21" s="2"/>
    </row>
    <row r="22" spans="1:16" x14ac:dyDescent="0.25">
      <c r="A22" s="23" t="s">
        <v>52</v>
      </c>
      <c r="B22" s="4">
        <v>45535</v>
      </c>
      <c r="C22" s="2"/>
      <c r="D22" s="2"/>
      <c r="E22" s="2"/>
      <c r="F22" s="2"/>
      <c r="G22" s="2"/>
      <c r="H22" s="2"/>
      <c r="I22" s="2"/>
      <c r="J22" s="6" t="str">
        <f t="shared" si="0"/>
        <v/>
      </c>
      <c r="K22" s="2"/>
      <c r="L22" s="2"/>
      <c r="M22" s="2"/>
      <c r="N22" s="2"/>
      <c r="O22" s="10" t="str">
        <f>IF(OR(K22="Open",N22="",N22=0),"",IFERROR((M22/IF(E22="Cash-Secured Put",F22*H22*100,IF(SUMPRODUCT((Holdings!$A$2:$A$21=D22)*(Holdings!$M$2:$M$21="Holding"),Holdings!$F$2:$F$21,Holdings!$B$2:$B$21)=0,F22*H22*100,SUMPRODUCT((Holdings!$A$2:$A$21=D22)*(Holdings!$M$2:$M$21="Holding"),Holdings!$F$2:$F$21,Holdings!$B$2:$B$21))))*(365/N22),""))</f>
        <v/>
      </c>
      <c r="P22" s="2"/>
    </row>
    <row r="23" spans="1:16" x14ac:dyDescent="0.25">
      <c r="A23" s="2"/>
      <c r="B23" s="2"/>
      <c r="C23" s="2"/>
      <c r="D23" s="2"/>
      <c r="E23" s="2"/>
      <c r="F23" s="2"/>
      <c r="G23" s="2"/>
      <c r="H23" s="2"/>
      <c r="I23" s="2"/>
      <c r="J23" s="6" t="str">
        <f t="shared" si="0"/>
        <v/>
      </c>
      <c r="K23" s="2"/>
      <c r="L23" s="2"/>
      <c r="M23" s="2"/>
      <c r="N23" s="2"/>
      <c r="O23" s="10" t="str">
        <f>IF(OR(K23="Open",N23="",N23=0),"",IFERROR((M23/IF(E23="Cash-Secured Put",F23*H23*100,IF(SUMPRODUCT((Holdings!$A$2:$A$21=D23)*(Holdings!$M$2:$M$21="Holding"),Holdings!$F$2:$F$21,Holdings!$B$2:$B$21)=0,F23*H23*100,SUMPRODUCT((Holdings!$A$2:$A$21=D23)*(Holdings!$M$2:$M$21="Holding"),Holdings!$F$2:$F$21,Holdings!$B$2:$B$21))))*(365/N23),""))</f>
        <v/>
      </c>
      <c r="P23" s="2"/>
    </row>
    <row r="24" spans="1:16" x14ac:dyDescent="0.25">
      <c r="A24" s="2"/>
      <c r="B24" s="2"/>
      <c r="C24" s="2"/>
      <c r="D24" s="2"/>
      <c r="E24" s="2"/>
      <c r="F24" s="2"/>
      <c r="G24" s="2"/>
      <c r="H24" s="2"/>
      <c r="I24" s="2"/>
      <c r="J24" s="6" t="str">
        <f t="shared" si="0"/>
        <v/>
      </c>
      <c r="K24" s="2"/>
      <c r="L24" s="2"/>
      <c r="M24" s="2"/>
      <c r="N24" s="2"/>
      <c r="O24" s="10" t="str">
        <f>IF(OR(K24="Open",N24="",N24=0),"",IFERROR((M24/IF(E24="Cash-Secured Put",F24*H24*100,IF(SUMPRODUCT((Holdings!$A$2:$A$21=D24)*(Holdings!$M$2:$M$21="Holding"),Holdings!$F$2:$F$21,Holdings!$B$2:$B$21)=0,F24*H24*100,SUMPRODUCT((Holdings!$A$2:$A$21=D24)*(Holdings!$M$2:$M$21="Holding"),Holdings!$F$2:$F$21,Holdings!$B$2:$B$21))))*(365/N24),""))</f>
        <v/>
      </c>
      <c r="P24" s="2"/>
    </row>
    <row r="25" spans="1:16" x14ac:dyDescent="0.25">
      <c r="A25" s="2"/>
      <c r="B25" s="2"/>
      <c r="C25" s="2"/>
      <c r="D25" s="2"/>
      <c r="E25" s="2"/>
      <c r="F25" s="2"/>
      <c r="G25" s="2"/>
      <c r="H25" s="2"/>
      <c r="I25" s="2"/>
      <c r="J25" s="6" t="str">
        <f t="shared" si="0"/>
        <v/>
      </c>
      <c r="K25" s="2"/>
      <c r="L25" s="2"/>
      <c r="M25" s="2"/>
      <c r="N25" s="2"/>
      <c r="O25" s="10" t="str">
        <f>IF(OR(K25="Open",N25="",N25=0),"",IFERROR((M25/IF(E25="Cash-Secured Put",F25*H25*100,IF(SUMPRODUCT((Holdings!$A$2:$A$21=D25)*(Holdings!$M$2:$M$21="Holding"),Holdings!$F$2:$F$21,Holdings!$B$2:$B$21)=0,F25*H25*100,SUMPRODUCT((Holdings!$A$2:$A$21=D25)*(Holdings!$M$2:$M$21="Holding"),Holdings!$F$2:$F$21,Holdings!$B$2:$B$21))))*(365/N25),""))</f>
        <v/>
      </c>
      <c r="P25" s="2"/>
    </row>
    <row r="26" spans="1:16" x14ac:dyDescent="0.25">
      <c r="A26" s="2"/>
      <c r="B26" s="2"/>
      <c r="C26" s="2"/>
      <c r="D26" s="2"/>
      <c r="E26" s="2"/>
      <c r="F26" s="2"/>
      <c r="G26" s="2"/>
      <c r="H26" s="2"/>
      <c r="I26" s="2"/>
      <c r="J26" s="6" t="str">
        <f t="shared" si="0"/>
        <v/>
      </c>
      <c r="K26" s="2"/>
      <c r="L26" s="2"/>
      <c r="M26" s="2"/>
      <c r="N26" s="2"/>
      <c r="O26" s="10" t="str">
        <f>IF(OR(K26="Open",N26="",N26=0),"",IFERROR((M26/IF(E26="Cash-Secured Put",F26*H26*100,IF(SUMPRODUCT((Holdings!$A$2:$A$21=D26)*(Holdings!$M$2:$M$21="Holding"),Holdings!$F$2:$F$21,Holdings!$B$2:$B$21)=0,F26*H26*100,SUMPRODUCT((Holdings!$A$2:$A$21=D26)*(Holdings!$M$2:$M$21="Holding"),Holdings!$F$2:$F$21,Holdings!$B$2:$B$21))))*(365/N26),""))</f>
        <v/>
      </c>
      <c r="P26" s="2"/>
    </row>
    <row r="27" spans="1:16" x14ac:dyDescent="0.25">
      <c r="A27" s="2"/>
      <c r="B27" s="2"/>
      <c r="C27" s="2"/>
      <c r="D27" s="2"/>
      <c r="E27" s="2"/>
      <c r="F27" s="2"/>
      <c r="G27" s="2"/>
      <c r="H27" s="2"/>
      <c r="I27" s="2"/>
      <c r="J27" s="6" t="str">
        <f t="shared" si="0"/>
        <v/>
      </c>
      <c r="K27" s="2"/>
      <c r="L27" s="2"/>
      <c r="M27" s="2"/>
      <c r="N27" s="2"/>
      <c r="O27" s="10" t="str">
        <f>IF(OR(K27="Open",N27="",N27=0),"",IFERROR((M27/IF(E27="Cash-Secured Put",F27*H27*100,IF(SUMPRODUCT((Holdings!$A$2:$A$21=D27)*(Holdings!$M$2:$M$21="Holding"),Holdings!$F$2:$F$21,Holdings!$B$2:$B$21)=0,F27*H27*100,SUMPRODUCT((Holdings!$A$2:$A$21=D27)*(Holdings!$M$2:$M$21="Holding"),Holdings!$F$2:$F$21,Holdings!$B$2:$B$21))))*(365/N27),""))</f>
        <v/>
      </c>
      <c r="P27" s="2"/>
    </row>
    <row r="28" spans="1:16" x14ac:dyDescent="0.25">
      <c r="A28" s="2"/>
      <c r="B28" s="2"/>
      <c r="C28" s="2"/>
      <c r="D28" s="2"/>
      <c r="E28" s="2"/>
      <c r="F28" s="2"/>
      <c r="G28" s="2"/>
      <c r="H28" s="2"/>
      <c r="I28" s="2"/>
      <c r="J28" s="6" t="str">
        <f t="shared" si="0"/>
        <v/>
      </c>
      <c r="K28" s="2"/>
      <c r="L28" s="2"/>
      <c r="M28" s="2"/>
      <c r="N28" s="2"/>
      <c r="O28" s="10" t="str">
        <f>IF(OR(K28="Open",N28="",N28=0),"",IFERROR((M28/IF(E28="Cash-Secured Put",F28*H28*100,IF(SUMPRODUCT((Holdings!$A$2:$A$21=D28)*(Holdings!$M$2:$M$21="Holding"),Holdings!$F$2:$F$21,Holdings!$B$2:$B$21)=0,F28*H28*100,SUMPRODUCT((Holdings!$A$2:$A$21=D28)*(Holdings!$M$2:$M$21="Holding"),Holdings!$F$2:$F$21,Holdings!$B$2:$B$21))))*(365/N28),""))</f>
        <v/>
      </c>
      <c r="P28" s="2"/>
    </row>
    <row r="29" spans="1:16" x14ac:dyDescent="0.25">
      <c r="A29" s="2"/>
      <c r="B29" s="2"/>
      <c r="C29" s="2"/>
      <c r="D29" s="2"/>
      <c r="E29" s="2"/>
      <c r="F29" s="2"/>
      <c r="G29" s="2"/>
      <c r="H29" s="2"/>
      <c r="I29" s="2"/>
      <c r="J29" s="6" t="str">
        <f t="shared" si="0"/>
        <v/>
      </c>
      <c r="K29" s="2"/>
      <c r="L29" s="2"/>
      <c r="M29" s="2"/>
      <c r="N29" s="2"/>
      <c r="O29" s="10" t="str">
        <f>IF(OR(K29="Open",N29="",N29=0),"",IFERROR((M29/IF(E29="Cash-Secured Put",F29*H29*100,IF(SUMPRODUCT((Holdings!$A$2:$A$21=D29)*(Holdings!$M$2:$M$21="Holding"),Holdings!$F$2:$F$21,Holdings!$B$2:$B$21)=0,F29*H29*100,SUMPRODUCT((Holdings!$A$2:$A$21=D29)*(Holdings!$M$2:$M$21="Holding"),Holdings!$F$2:$F$21,Holdings!$B$2:$B$21))))*(365/N29),""))</f>
        <v/>
      </c>
      <c r="P29" s="2"/>
    </row>
    <row r="30" spans="1:16" x14ac:dyDescent="0.25">
      <c r="A30" s="2"/>
      <c r="B30" s="2"/>
      <c r="C30" s="2"/>
      <c r="D30" s="2"/>
      <c r="E30" s="2"/>
      <c r="F30" s="2"/>
      <c r="G30" s="2"/>
      <c r="H30" s="2"/>
      <c r="I30" s="2"/>
      <c r="J30" s="6" t="str">
        <f t="shared" si="0"/>
        <v/>
      </c>
      <c r="K30" s="2"/>
      <c r="L30" s="2"/>
      <c r="M30" s="2"/>
      <c r="N30" s="2"/>
      <c r="O30" s="10" t="str">
        <f>IF(OR(K30="Open",N30="",N30=0),"",IFERROR((M30/IF(E30="Cash-Secured Put",F30*H30*100,IF(SUMPRODUCT((Holdings!$A$2:$A$21=D30)*(Holdings!$M$2:$M$21="Holding"),Holdings!$F$2:$F$21,Holdings!$B$2:$B$21)=0,F30*H30*100,SUMPRODUCT((Holdings!$A$2:$A$21=D30)*(Holdings!$M$2:$M$21="Holding"),Holdings!$F$2:$F$21,Holdings!$B$2:$B$21))))*(365/N30),""))</f>
        <v/>
      </c>
      <c r="P30" s="2"/>
    </row>
    <row r="31" spans="1:16" x14ac:dyDescent="0.25">
      <c r="A31" s="2"/>
      <c r="B31" s="2"/>
      <c r="C31" s="2"/>
      <c r="D31" s="2"/>
      <c r="E31" s="2"/>
      <c r="F31" s="2"/>
      <c r="G31" s="2"/>
      <c r="H31" s="2"/>
      <c r="I31" s="2"/>
      <c r="J31" s="6" t="str">
        <f t="shared" si="0"/>
        <v/>
      </c>
      <c r="K31" s="2"/>
      <c r="L31" s="2"/>
      <c r="M31" s="2"/>
      <c r="N31" s="2"/>
      <c r="O31" s="10" t="str">
        <f>IF(OR(K31="Open",N31="",N31=0),"",IFERROR((M31/IF(E31="Cash-Secured Put",F31*H31*100,IF(SUMPRODUCT((Holdings!$A$2:$A$21=D31)*(Holdings!$M$2:$M$21="Holding"),Holdings!$F$2:$F$21,Holdings!$B$2:$B$21)=0,F31*H31*100,SUMPRODUCT((Holdings!$A$2:$A$21=D31)*(Holdings!$M$2:$M$21="Holding"),Holdings!$F$2:$F$21,Holdings!$B$2:$B$21))))*(365/N31),""))</f>
        <v/>
      </c>
      <c r="P31" s="2"/>
    </row>
    <row r="32" spans="1:16" x14ac:dyDescent="0.25">
      <c r="A32" s="2"/>
      <c r="B32" s="2"/>
      <c r="C32" s="2"/>
      <c r="D32" s="2"/>
      <c r="E32" s="2"/>
      <c r="F32" s="2"/>
      <c r="G32" s="2"/>
      <c r="H32" s="2"/>
      <c r="I32" s="2"/>
      <c r="J32" s="6" t="str">
        <f t="shared" si="0"/>
        <v/>
      </c>
      <c r="K32" s="2"/>
      <c r="L32" s="2"/>
      <c r="M32" s="2"/>
      <c r="N32" s="2"/>
      <c r="O32" s="10" t="str">
        <f>IF(OR(K32="Open",N32="",N32=0),"",IFERROR((M32/IF(E32="Cash-Secured Put",F32*H32*100,IF(SUMPRODUCT((Holdings!$A$2:$A$21=D32)*(Holdings!$M$2:$M$21="Holding"),Holdings!$F$2:$F$21,Holdings!$B$2:$B$21)=0,F32*H32*100,SUMPRODUCT((Holdings!$A$2:$A$21=D32)*(Holdings!$M$2:$M$21="Holding"),Holdings!$F$2:$F$21,Holdings!$B$2:$B$21))))*(365/N32),""))</f>
        <v/>
      </c>
      <c r="P32" s="2"/>
    </row>
    <row r="33" spans="1:16" x14ac:dyDescent="0.25">
      <c r="A33" s="2"/>
      <c r="B33" s="2"/>
      <c r="C33" s="2"/>
      <c r="D33" s="2"/>
      <c r="E33" s="2"/>
      <c r="F33" s="2"/>
      <c r="G33" s="2"/>
      <c r="H33" s="2"/>
      <c r="I33" s="2"/>
      <c r="J33" s="6" t="str">
        <f t="shared" si="0"/>
        <v/>
      </c>
      <c r="K33" s="2"/>
      <c r="L33" s="2"/>
      <c r="M33" s="2"/>
      <c r="N33" s="2"/>
      <c r="O33" s="10" t="str">
        <f>IF(OR(K33="Open",N33="",N33=0),"",IFERROR((M33/IF(E33="Cash-Secured Put",F33*H33*100,IF(SUMPRODUCT((Holdings!$A$2:$A$21=D33)*(Holdings!$M$2:$M$21="Holding"),Holdings!$F$2:$F$21,Holdings!$B$2:$B$21)=0,F33*H33*100,SUMPRODUCT((Holdings!$A$2:$A$21=D33)*(Holdings!$M$2:$M$21="Holding"),Holdings!$F$2:$F$21,Holdings!$B$2:$B$21))))*(365/N33),""))</f>
        <v/>
      </c>
      <c r="P33" s="2"/>
    </row>
    <row r="34" spans="1:16" x14ac:dyDescent="0.25">
      <c r="A34" s="2"/>
      <c r="B34" s="2"/>
      <c r="C34" s="2"/>
      <c r="D34" s="2"/>
      <c r="E34" s="2"/>
      <c r="F34" s="2"/>
      <c r="G34" s="2"/>
      <c r="H34" s="2"/>
      <c r="I34" s="2"/>
      <c r="J34" s="6" t="str">
        <f t="shared" si="0"/>
        <v/>
      </c>
      <c r="K34" s="2"/>
      <c r="L34" s="2"/>
      <c r="M34" s="2"/>
      <c r="N34" s="2"/>
      <c r="O34" s="10" t="str">
        <f>IF(OR(K34="Open",N34="",N34=0),"",IFERROR((M34/IF(E34="Cash-Secured Put",F34*H34*100,IF(SUMPRODUCT((Holdings!$A$2:$A$21=D34)*(Holdings!$M$2:$M$21="Holding"),Holdings!$F$2:$F$21,Holdings!$B$2:$B$21)=0,F34*H34*100,SUMPRODUCT((Holdings!$A$2:$A$21=D34)*(Holdings!$M$2:$M$21="Holding"),Holdings!$F$2:$F$21,Holdings!$B$2:$B$21))))*(365/N34),""))</f>
        <v/>
      </c>
      <c r="P34" s="2"/>
    </row>
    <row r="35" spans="1:16" x14ac:dyDescent="0.25">
      <c r="A35" s="2"/>
      <c r="B35" s="2"/>
      <c r="C35" s="2"/>
      <c r="D35" s="2"/>
      <c r="E35" s="2"/>
      <c r="F35" s="2"/>
      <c r="G35" s="2"/>
      <c r="H35" s="2"/>
      <c r="I35" s="2"/>
      <c r="J35" s="6" t="str">
        <f t="shared" si="0"/>
        <v/>
      </c>
      <c r="K35" s="2"/>
      <c r="L35" s="2"/>
      <c r="M35" s="2"/>
      <c r="N35" s="2"/>
      <c r="O35" s="10" t="str">
        <f>IF(OR(K35="Open",N35="",N35=0),"",IFERROR((M35/IF(E35="Cash-Secured Put",F35*H35*100,IF(SUMPRODUCT((Holdings!$A$2:$A$21=D35)*(Holdings!$M$2:$M$21="Holding"),Holdings!$F$2:$F$21,Holdings!$B$2:$B$21)=0,F35*H35*100,SUMPRODUCT((Holdings!$A$2:$A$21=D35)*(Holdings!$M$2:$M$21="Holding"),Holdings!$F$2:$F$21,Holdings!$B$2:$B$21))))*(365/N35),""))</f>
        <v/>
      </c>
      <c r="P35" s="2"/>
    </row>
    <row r="36" spans="1:16" x14ac:dyDescent="0.25">
      <c r="A36" s="2"/>
      <c r="B36" s="2"/>
      <c r="C36" s="2"/>
      <c r="D36" s="2"/>
      <c r="E36" s="2"/>
      <c r="F36" s="2"/>
      <c r="G36" s="2"/>
      <c r="H36" s="2"/>
      <c r="I36" s="2"/>
      <c r="J36" s="6" t="str">
        <f t="shared" si="0"/>
        <v/>
      </c>
      <c r="K36" s="2"/>
      <c r="L36" s="2"/>
      <c r="M36" s="2"/>
      <c r="N36" s="2"/>
      <c r="O36" s="10" t="str">
        <f>IF(OR(K36="Open",N36="",N36=0),"",IFERROR((M36/IF(E36="Cash-Secured Put",F36*H36*100,IF(SUMPRODUCT((Holdings!$A$2:$A$21=D36)*(Holdings!$M$2:$M$21="Holding"),Holdings!$F$2:$F$21,Holdings!$B$2:$B$21)=0,F36*H36*100,SUMPRODUCT((Holdings!$A$2:$A$21=D36)*(Holdings!$M$2:$M$21="Holding"),Holdings!$F$2:$F$21,Holdings!$B$2:$B$21))))*(365/N36),""))</f>
        <v/>
      </c>
      <c r="P36" s="2"/>
    </row>
    <row r="37" spans="1:16" x14ac:dyDescent="0.25">
      <c r="A37" s="2"/>
      <c r="B37" s="2"/>
      <c r="C37" s="2"/>
      <c r="D37" s="2"/>
      <c r="E37" s="2"/>
      <c r="F37" s="2"/>
      <c r="G37" s="2"/>
      <c r="H37" s="2"/>
      <c r="I37" s="2"/>
      <c r="J37" s="6" t="str">
        <f t="shared" si="0"/>
        <v/>
      </c>
      <c r="K37" s="2"/>
      <c r="L37" s="2"/>
      <c r="M37" s="2"/>
      <c r="N37" s="2"/>
      <c r="O37" s="10" t="str">
        <f>IF(OR(K37="Open",N37="",N37=0),"",IFERROR((M37/IF(E37="Cash-Secured Put",F37*H37*100,IF(SUMPRODUCT((Holdings!$A$2:$A$21=D37)*(Holdings!$M$2:$M$21="Holding"),Holdings!$F$2:$F$21,Holdings!$B$2:$B$21)=0,F37*H37*100,SUMPRODUCT((Holdings!$A$2:$A$21=D37)*(Holdings!$M$2:$M$21="Holding"),Holdings!$F$2:$F$21,Holdings!$B$2:$B$21))))*(365/N37),""))</f>
        <v/>
      </c>
      <c r="P37" s="2"/>
    </row>
    <row r="38" spans="1:16" x14ac:dyDescent="0.25">
      <c r="A38" s="2"/>
      <c r="B38" s="2"/>
      <c r="C38" s="2"/>
      <c r="D38" s="2"/>
      <c r="E38" s="2"/>
      <c r="F38" s="2"/>
      <c r="G38" s="2"/>
      <c r="H38" s="2"/>
      <c r="I38" s="2"/>
      <c r="J38" s="6" t="str">
        <f t="shared" si="0"/>
        <v/>
      </c>
      <c r="K38" s="2"/>
      <c r="L38" s="2"/>
      <c r="M38" s="2"/>
      <c r="N38" s="2"/>
      <c r="O38" s="10" t="str">
        <f>IF(OR(K38="Open",N38="",N38=0),"",IFERROR((M38/IF(E38="Cash-Secured Put",F38*H38*100,IF(SUMPRODUCT((Holdings!$A$2:$A$21=D38)*(Holdings!$M$2:$M$21="Holding"),Holdings!$F$2:$F$21,Holdings!$B$2:$B$21)=0,F38*H38*100,SUMPRODUCT((Holdings!$A$2:$A$21=D38)*(Holdings!$M$2:$M$21="Holding"),Holdings!$F$2:$F$21,Holdings!$B$2:$B$21))))*(365/N38),""))</f>
        <v/>
      </c>
      <c r="P38" s="2"/>
    </row>
    <row r="39" spans="1:16" x14ac:dyDescent="0.25">
      <c r="A39" s="2"/>
      <c r="B39" s="2"/>
      <c r="C39" s="2"/>
      <c r="D39" s="2"/>
      <c r="E39" s="2"/>
      <c r="F39" s="2"/>
      <c r="G39" s="2"/>
      <c r="H39" s="2"/>
      <c r="I39" s="2"/>
      <c r="J39" s="6" t="str">
        <f t="shared" si="0"/>
        <v/>
      </c>
      <c r="K39" s="2"/>
      <c r="L39" s="2"/>
      <c r="M39" s="2"/>
      <c r="N39" s="2"/>
      <c r="O39" s="10" t="str">
        <f>IF(OR(K39="Open",N39="",N39=0),"",IFERROR((M39/IF(E39="Cash-Secured Put",F39*H39*100,IF(SUMPRODUCT((Holdings!$A$2:$A$21=D39)*(Holdings!$M$2:$M$21="Holding"),Holdings!$F$2:$F$21,Holdings!$B$2:$B$21)=0,F39*H39*100,SUMPRODUCT((Holdings!$A$2:$A$21=D39)*(Holdings!$M$2:$M$21="Holding"),Holdings!$F$2:$F$21,Holdings!$B$2:$B$21))))*(365/N39),""))</f>
        <v/>
      </c>
      <c r="P39" s="2"/>
    </row>
    <row r="40" spans="1:16" x14ac:dyDescent="0.25">
      <c r="A40" s="2"/>
      <c r="B40" s="2"/>
      <c r="C40" s="2"/>
      <c r="D40" s="2"/>
      <c r="E40" s="2"/>
      <c r="F40" s="2"/>
      <c r="G40" s="2"/>
      <c r="H40" s="2"/>
      <c r="I40" s="2"/>
      <c r="J40" s="6" t="str">
        <f t="shared" si="0"/>
        <v/>
      </c>
      <c r="K40" s="2"/>
      <c r="L40" s="2"/>
      <c r="M40" s="2"/>
      <c r="N40" s="2"/>
      <c r="O40" s="10" t="str">
        <f>IF(OR(K40="Open",N40="",N40=0),"",IFERROR((M40/IF(E40="Cash-Secured Put",F40*H40*100,IF(SUMPRODUCT((Holdings!$A$2:$A$21=D40)*(Holdings!$M$2:$M$21="Holding"),Holdings!$F$2:$F$21,Holdings!$B$2:$B$21)=0,F40*H40*100,SUMPRODUCT((Holdings!$A$2:$A$21=D40)*(Holdings!$M$2:$M$21="Holding"),Holdings!$F$2:$F$21,Holdings!$B$2:$B$21))))*(365/N40),""))</f>
        <v/>
      </c>
      <c r="P40" s="2"/>
    </row>
    <row r="41" spans="1:16" x14ac:dyDescent="0.25">
      <c r="A41" s="2"/>
      <c r="B41" s="2"/>
      <c r="C41" s="2"/>
      <c r="D41" s="2"/>
      <c r="E41" s="2"/>
      <c r="F41" s="2"/>
      <c r="G41" s="2"/>
      <c r="H41" s="2"/>
      <c r="I41" s="2"/>
      <c r="J41" s="6" t="str">
        <f t="shared" si="0"/>
        <v/>
      </c>
      <c r="K41" s="2"/>
      <c r="L41" s="2"/>
      <c r="M41" s="2"/>
      <c r="N41" s="2"/>
      <c r="O41" s="10" t="str">
        <f>IF(OR(K41="Open",N41="",N41=0),"",IFERROR((M41/IF(E41="Cash-Secured Put",F41*H41*100,IF(SUMPRODUCT((Holdings!$A$2:$A$21=D41)*(Holdings!$M$2:$M$21="Holding"),Holdings!$F$2:$F$21,Holdings!$B$2:$B$21)=0,F41*H41*100,SUMPRODUCT((Holdings!$A$2:$A$21=D41)*(Holdings!$M$2:$M$21="Holding"),Holdings!$F$2:$F$21,Holdings!$B$2:$B$21))))*(365/N41),""))</f>
        <v/>
      </c>
      <c r="P41" s="2"/>
    </row>
  </sheetData>
  <conditionalFormatting sqref="M2:M19">
    <cfRule type="cellIs" dxfId="1" priority="1" operator="greaterThan">
      <formula>0</formula>
    </cfRule>
    <cfRule type="cellIs" dxfId="0" priority="2" operator="lessThan">
      <formula>0</formula>
    </cfRule>
  </conditionalFormatting>
  <dataValidations count="2">
    <dataValidation type="list" allowBlank="1" error="Pick CSP or Covered Call" sqref="E2:E41" xr:uid="{00000000-0002-0000-0000-000000000000}">
      <formula1>"Cash-Secured Put,Covered Call"</formula1>
    </dataValidation>
    <dataValidation type="list" allowBlank="1" error="Pick an outcome" sqref="K2:K41" xr:uid="{00000000-0002-0000-0000-000001000000}">
      <formula1>"Expired Worthless,Assigned,Called Away,Bought to Close,Open"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1"/>
  <sheetViews>
    <sheetView workbookViewId="0">
      <selection activeCell="E9" sqref="E9"/>
    </sheetView>
  </sheetViews>
  <sheetFormatPr defaultRowHeight="15" x14ac:dyDescent="0.25"/>
  <cols>
    <col min="1" max="9" width="14" customWidth="1"/>
    <col min="10" max="10" width="19.42578125" customWidth="1"/>
    <col min="11" max="11" width="14" customWidth="1"/>
    <col min="12" max="12" width="21.7109375" customWidth="1"/>
    <col min="13" max="13" width="14" customWidth="1"/>
  </cols>
  <sheetData>
    <row r="1" spans="1:13" s="12" customFormat="1" ht="26.25" customHeight="1" x14ac:dyDescent="0.25">
      <c r="A1" s="11" t="s">
        <v>1</v>
      </c>
      <c r="B1" s="11" t="s">
        <v>53</v>
      </c>
      <c r="C1" s="11" t="s">
        <v>54</v>
      </c>
      <c r="D1" s="11" t="s">
        <v>55</v>
      </c>
      <c r="E1" s="11" t="s">
        <v>56</v>
      </c>
      <c r="F1" s="11" t="s">
        <v>57</v>
      </c>
      <c r="G1" s="11" t="s">
        <v>58</v>
      </c>
      <c r="H1" s="11" t="s">
        <v>59</v>
      </c>
      <c r="I1" s="11" t="s">
        <v>60</v>
      </c>
      <c r="J1" s="11" t="s">
        <v>61</v>
      </c>
      <c r="K1" s="11" t="s">
        <v>62</v>
      </c>
      <c r="L1" s="11" t="s">
        <v>63</v>
      </c>
      <c r="M1" s="11" t="s">
        <v>64</v>
      </c>
    </row>
    <row r="2" spans="1:13" x14ac:dyDescent="0.25">
      <c r="A2" s="3" t="s">
        <v>11</v>
      </c>
      <c r="B2" s="3">
        <v>100</v>
      </c>
      <c r="C2" s="4">
        <v>45464</v>
      </c>
      <c r="D2" s="5">
        <v>178</v>
      </c>
      <c r="E2" s="5">
        <v>185</v>
      </c>
      <c r="F2" s="6">
        <f t="shared" ref="F2:F21" si="0">IF(OR(B2="",B2=0),"",D2-E2/B2)</f>
        <v>176.15</v>
      </c>
      <c r="G2" s="5">
        <v>212.5</v>
      </c>
      <c r="H2" s="6">
        <f t="shared" ref="H2:H21" si="1">IF(B2=0,"",G2-F2)</f>
        <v>36.349999999999994</v>
      </c>
      <c r="I2" s="6">
        <f t="shared" ref="I2:I21" si="2">IF(B2=0,"",H2*B2)</f>
        <v>3634.9999999999995</v>
      </c>
      <c r="J2" s="6">
        <f>SUMIFS('Trade Log'!$J:$J,'Trade Log'!$D:$D,A2,'Trade Log'!$E:$E,"Covered Call",'Trade Log'!$B:$B,"&gt;="&amp;C2,'Trade Log'!$B:$B,"&lt;="&amp;IF(L2="",'Trade Log'!$B$22,L2))</f>
        <v>255</v>
      </c>
      <c r="K2" s="6">
        <f t="shared" ref="K2:K5" si="3">I2+J2</f>
        <v>3889.9999999999995</v>
      </c>
      <c r="L2" s="3"/>
      <c r="M2" s="3" t="s">
        <v>65</v>
      </c>
    </row>
    <row r="3" spans="1:13" x14ac:dyDescent="0.25">
      <c r="A3" s="3" t="s">
        <v>13</v>
      </c>
      <c r="B3" s="3">
        <v>100</v>
      </c>
      <c r="C3" s="4">
        <v>45429</v>
      </c>
      <c r="D3" s="5">
        <v>405</v>
      </c>
      <c r="E3" s="5">
        <v>320</v>
      </c>
      <c r="F3" s="6">
        <f t="shared" si="0"/>
        <v>401.8</v>
      </c>
      <c r="G3" s="5">
        <v>418</v>
      </c>
      <c r="H3" s="6">
        <f t="shared" si="1"/>
        <v>16.199999999999989</v>
      </c>
      <c r="I3" s="6">
        <f t="shared" si="2"/>
        <v>1619.9999999999989</v>
      </c>
      <c r="J3" s="6">
        <f>SUMIFS('Trade Log'!$J:$J,'Trade Log'!$D:$D,A3,'Trade Log'!$E:$E,"Covered Call",'Trade Log'!$B:$B,"&gt;="&amp;C3,'Trade Log'!$B:$B,"&lt;="&amp;IF(L3="",'Trade Log'!$B$22,L3))</f>
        <v>500</v>
      </c>
      <c r="K3" s="6">
        <f t="shared" si="3"/>
        <v>2119.9999999999991</v>
      </c>
      <c r="L3" s="3"/>
      <c r="M3" s="3" t="s">
        <v>65</v>
      </c>
    </row>
    <row r="4" spans="1:13" x14ac:dyDescent="0.25">
      <c r="A4" s="3" t="s">
        <v>12</v>
      </c>
      <c r="B4" s="3">
        <v>200</v>
      </c>
      <c r="C4" s="4">
        <v>45247</v>
      </c>
      <c r="D4" s="5">
        <v>55</v>
      </c>
      <c r="E4" s="5">
        <v>180</v>
      </c>
      <c r="F4" s="6">
        <f t="shared" si="0"/>
        <v>54.1</v>
      </c>
      <c r="G4" s="5">
        <v>54.25</v>
      </c>
      <c r="H4" s="6">
        <f t="shared" si="1"/>
        <v>0.14999999999999858</v>
      </c>
      <c r="I4" s="6">
        <f t="shared" si="2"/>
        <v>29.999999999999716</v>
      </c>
      <c r="J4" s="6">
        <f>SUMIFS('Trade Log'!$J:$J,'Trade Log'!$D:$D,A4,'Trade Log'!$E:$E,"Covered Call",'Trade Log'!$B:$B,"&gt;="&amp;C4,'Trade Log'!$B:$B,"&lt;="&amp;IF(L4="",'Trade Log'!$B$22,L4))</f>
        <v>0</v>
      </c>
      <c r="K4" s="6">
        <f t="shared" si="3"/>
        <v>29.999999999999716</v>
      </c>
      <c r="L4" s="4">
        <v>45429</v>
      </c>
      <c r="M4" s="3" t="s">
        <v>43</v>
      </c>
    </row>
    <row r="5" spans="1:13" x14ac:dyDescent="0.25">
      <c r="A5" s="3" t="s">
        <v>14</v>
      </c>
      <c r="B5" s="3">
        <v>400</v>
      </c>
      <c r="C5" s="4">
        <v>45492</v>
      </c>
      <c r="D5" s="5">
        <v>18.5</v>
      </c>
      <c r="E5" s="5">
        <v>60</v>
      </c>
      <c r="F5" s="6">
        <f t="shared" si="0"/>
        <v>18.350000000000001</v>
      </c>
      <c r="G5" s="5">
        <v>19.2</v>
      </c>
      <c r="H5" s="6">
        <f t="shared" si="1"/>
        <v>0.84999999999999787</v>
      </c>
      <c r="I5" s="6">
        <f t="shared" si="2"/>
        <v>339.99999999999915</v>
      </c>
      <c r="J5" s="6">
        <f>SUMIFS('Trade Log'!$J:$J,'Trade Log'!$D:$D,A5,'Trade Log'!$E:$E,"Covered Call",'Trade Log'!$B:$B,"&gt;="&amp;C5,'Trade Log'!$B:$B,"&lt;="&amp;IF(L5="",'Trade Log'!$B$22,L5))</f>
        <v>36</v>
      </c>
      <c r="K5" s="6">
        <f t="shared" si="3"/>
        <v>375.99999999999915</v>
      </c>
      <c r="L5" s="4">
        <v>45520</v>
      </c>
      <c r="M5" s="3" t="s">
        <v>66</v>
      </c>
    </row>
    <row r="6" spans="1:13" x14ac:dyDescent="0.25">
      <c r="A6" s="2"/>
      <c r="B6" s="2"/>
      <c r="C6" s="2"/>
      <c r="D6" s="2"/>
      <c r="E6" s="2"/>
      <c r="F6" s="6" t="str">
        <f t="shared" si="0"/>
        <v/>
      </c>
      <c r="G6" s="2"/>
      <c r="H6" s="6" t="str">
        <f t="shared" si="1"/>
        <v/>
      </c>
      <c r="I6" s="6" t="str">
        <f t="shared" si="2"/>
        <v/>
      </c>
      <c r="J6" s="6"/>
      <c r="K6" s="6"/>
      <c r="L6" s="2"/>
      <c r="M6" s="2"/>
    </row>
    <row r="7" spans="1:13" x14ac:dyDescent="0.25">
      <c r="A7" s="2"/>
      <c r="B7" s="2"/>
      <c r="C7" s="2"/>
      <c r="D7" s="2"/>
      <c r="E7" s="2"/>
      <c r="F7" s="6" t="str">
        <f t="shared" si="0"/>
        <v/>
      </c>
      <c r="G7" s="2"/>
      <c r="H7" s="6" t="str">
        <f t="shared" si="1"/>
        <v/>
      </c>
      <c r="I7" s="6" t="str">
        <f t="shared" si="2"/>
        <v/>
      </c>
      <c r="J7" s="6"/>
      <c r="K7" s="6"/>
      <c r="L7" s="2"/>
      <c r="M7" s="2"/>
    </row>
    <row r="8" spans="1:13" x14ac:dyDescent="0.25">
      <c r="A8" s="2"/>
      <c r="B8" s="2"/>
      <c r="C8" s="2"/>
      <c r="D8" s="2"/>
      <c r="E8" s="2"/>
      <c r="F8" s="6" t="str">
        <f t="shared" si="0"/>
        <v/>
      </c>
      <c r="G8" s="2"/>
      <c r="H8" s="6" t="str">
        <f t="shared" si="1"/>
        <v/>
      </c>
      <c r="I8" s="6" t="str">
        <f t="shared" si="2"/>
        <v/>
      </c>
      <c r="J8" s="6"/>
      <c r="K8" s="6"/>
      <c r="L8" s="2"/>
      <c r="M8" s="2"/>
    </row>
    <row r="9" spans="1:13" x14ac:dyDescent="0.25">
      <c r="A9" s="2"/>
      <c r="B9" s="2"/>
      <c r="C9" s="2"/>
      <c r="D9" s="2"/>
      <c r="E9" s="2"/>
      <c r="F9" s="6" t="str">
        <f t="shared" si="0"/>
        <v/>
      </c>
      <c r="G9" s="2"/>
      <c r="H9" s="6" t="str">
        <f t="shared" si="1"/>
        <v/>
      </c>
      <c r="I9" s="6" t="str">
        <f t="shared" si="2"/>
        <v/>
      </c>
      <c r="J9" s="6"/>
      <c r="K9" s="6"/>
      <c r="L9" s="2"/>
      <c r="M9" s="2"/>
    </row>
    <row r="10" spans="1:13" x14ac:dyDescent="0.25">
      <c r="A10" s="2"/>
      <c r="B10" s="2"/>
      <c r="C10" s="2"/>
      <c r="D10" s="2"/>
      <c r="E10" s="2"/>
      <c r="F10" s="6" t="str">
        <f t="shared" si="0"/>
        <v/>
      </c>
      <c r="G10" s="2"/>
      <c r="H10" s="6" t="str">
        <f t="shared" si="1"/>
        <v/>
      </c>
      <c r="I10" s="6" t="str">
        <f t="shared" si="2"/>
        <v/>
      </c>
      <c r="J10" s="6"/>
      <c r="K10" s="6"/>
      <c r="L10" s="2"/>
      <c r="M10" s="2"/>
    </row>
    <row r="11" spans="1:13" x14ac:dyDescent="0.25">
      <c r="A11" s="2"/>
      <c r="B11" s="2"/>
      <c r="C11" s="2"/>
      <c r="D11" s="2"/>
      <c r="E11" s="2"/>
      <c r="F11" s="6" t="str">
        <f t="shared" si="0"/>
        <v/>
      </c>
      <c r="G11" s="2"/>
      <c r="H11" s="6" t="str">
        <f t="shared" si="1"/>
        <v/>
      </c>
      <c r="I11" s="6" t="str">
        <f t="shared" si="2"/>
        <v/>
      </c>
      <c r="J11" s="6"/>
      <c r="K11" s="6"/>
      <c r="L11" s="2"/>
      <c r="M11" s="2"/>
    </row>
    <row r="12" spans="1:13" x14ac:dyDescent="0.25">
      <c r="A12" s="2"/>
      <c r="B12" s="2"/>
      <c r="C12" s="2"/>
      <c r="D12" s="2"/>
      <c r="E12" s="2"/>
      <c r="F12" s="6" t="str">
        <f t="shared" si="0"/>
        <v/>
      </c>
      <c r="G12" s="2"/>
      <c r="H12" s="6" t="str">
        <f t="shared" si="1"/>
        <v/>
      </c>
      <c r="I12" s="6" t="str">
        <f t="shared" si="2"/>
        <v/>
      </c>
      <c r="J12" s="6"/>
      <c r="K12" s="6"/>
      <c r="L12" s="2"/>
      <c r="M12" s="2"/>
    </row>
    <row r="13" spans="1:13" x14ac:dyDescent="0.25">
      <c r="A13" s="2"/>
      <c r="B13" s="2"/>
      <c r="C13" s="2"/>
      <c r="D13" s="2"/>
      <c r="E13" s="2"/>
      <c r="F13" s="6" t="str">
        <f t="shared" si="0"/>
        <v/>
      </c>
      <c r="G13" s="2"/>
      <c r="H13" s="6" t="str">
        <f t="shared" si="1"/>
        <v/>
      </c>
      <c r="I13" s="6" t="str">
        <f t="shared" si="2"/>
        <v/>
      </c>
      <c r="J13" s="6"/>
      <c r="K13" s="6"/>
      <c r="L13" s="2"/>
      <c r="M13" s="2"/>
    </row>
    <row r="14" spans="1:13" x14ac:dyDescent="0.25">
      <c r="A14" s="2"/>
      <c r="B14" s="2"/>
      <c r="C14" s="2"/>
      <c r="D14" s="2"/>
      <c r="E14" s="2"/>
      <c r="F14" s="6" t="str">
        <f t="shared" si="0"/>
        <v/>
      </c>
      <c r="G14" s="2"/>
      <c r="H14" s="6" t="str">
        <f t="shared" si="1"/>
        <v/>
      </c>
      <c r="I14" s="6" t="str">
        <f t="shared" si="2"/>
        <v/>
      </c>
      <c r="J14" s="6"/>
      <c r="K14" s="6"/>
      <c r="L14" s="2"/>
      <c r="M14" s="2"/>
    </row>
    <row r="15" spans="1:13" x14ac:dyDescent="0.25">
      <c r="A15" s="2"/>
      <c r="B15" s="2"/>
      <c r="C15" s="2"/>
      <c r="D15" s="2"/>
      <c r="E15" s="2"/>
      <c r="F15" s="6" t="str">
        <f t="shared" si="0"/>
        <v/>
      </c>
      <c r="G15" s="2"/>
      <c r="H15" s="6" t="str">
        <f t="shared" si="1"/>
        <v/>
      </c>
      <c r="I15" s="6" t="str">
        <f t="shared" si="2"/>
        <v/>
      </c>
      <c r="J15" s="6"/>
      <c r="K15" s="6"/>
      <c r="L15" s="2"/>
      <c r="M15" s="2"/>
    </row>
    <row r="16" spans="1:13" x14ac:dyDescent="0.25">
      <c r="A16" s="2"/>
      <c r="B16" s="2"/>
      <c r="C16" s="2"/>
      <c r="D16" s="2"/>
      <c r="E16" s="2"/>
      <c r="F16" s="6" t="str">
        <f t="shared" si="0"/>
        <v/>
      </c>
      <c r="G16" s="2"/>
      <c r="H16" s="6" t="str">
        <f t="shared" si="1"/>
        <v/>
      </c>
      <c r="I16" s="6" t="str">
        <f t="shared" si="2"/>
        <v/>
      </c>
      <c r="J16" s="6"/>
      <c r="K16" s="6"/>
      <c r="L16" s="2"/>
      <c r="M16" s="2"/>
    </row>
    <row r="17" spans="1:13" x14ac:dyDescent="0.25">
      <c r="A17" s="2"/>
      <c r="B17" s="2"/>
      <c r="C17" s="2"/>
      <c r="D17" s="2"/>
      <c r="E17" s="2"/>
      <c r="F17" s="6" t="str">
        <f t="shared" si="0"/>
        <v/>
      </c>
      <c r="G17" s="2"/>
      <c r="H17" s="6" t="str">
        <f t="shared" si="1"/>
        <v/>
      </c>
      <c r="I17" s="6" t="str">
        <f t="shared" si="2"/>
        <v/>
      </c>
      <c r="J17" s="6"/>
      <c r="K17" s="6"/>
      <c r="L17" s="2"/>
      <c r="M17" s="2"/>
    </row>
    <row r="18" spans="1:13" x14ac:dyDescent="0.25">
      <c r="A18" s="2"/>
      <c r="B18" s="2"/>
      <c r="C18" s="2"/>
      <c r="D18" s="2"/>
      <c r="E18" s="2"/>
      <c r="F18" s="6" t="str">
        <f t="shared" si="0"/>
        <v/>
      </c>
      <c r="G18" s="2"/>
      <c r="H18" s="6" t="str">
        <f t="shared" si="1"/>
        <v/>
      </c>
      <c r="I18" s="6" t="str">
        <f t="shared" si="2"/>
        <v/>
      </c>
      <c r="J18" s="6"/>
      <c r="K18" s="6"/>
      <c r="L18" s="2"/>
      <c r="M18" s="2"/>
    </row>
    <row r="19" spans="1:13" x14ac:dyDescent="0.25">
      <c r="A19" s="2"/>
      <c r="B19" s="2"/>
      <c r="C19" s="2"/>
      <c r="D19" s="2"/>
      <c r="E19" s="2"/>
      <c r="F19" s="6" t="str">
        <f t="shared" si="0"/>
        <v/>
      </c>
      <c r="G19" s="2"/>
      <c r="H19" s="6" t="str">
        <f t="shared" si="1"/>
        <v/>
      </c>
      <c r="I19" s="6" t="str">
        <f t="shared" si="2"/>
        <v/>
      </c>
      <c r="J19" s="6"/>
      <c r="K19" s="6"/>
      <c r="L19" s="2"/>
      <c r="M19" s="2"/>
    </row>
    <row r="20" spans="1:13" x14ac:dyDescent="0.25">
      <c r="A20" s="2"/>
      <c r="B20" s="2"/>
      <c r="C20" s="2"/>
      <c r="D20" s="2"/>
      <c r="E20" s="2"/>
      <c r="F20" s="6" t="str">
        <f t="shared" si="0"/>
        <v/>
      </c>
      <c r="G20" s="2"/>
      <c r="H20" s="6" t="str">
        <f t="shared" si="1"/>
        <v/>
      </c>
      <c r="I20" s="6" t="str">
        <f t="shared" si="2"/>
        <v/>
      </c>
      <c r="J20" s="6"/>
      <c r="K20" s="6"/>
      <c r="L20" s="2"/>
      <c r="M20" s="2"/>
    </row>
    <row r="21" spans="1:13" x14ac:dyDescent="0.25">
      <c r="A21" s="2"/>
      <c r="B21" s="2"/>
      <c r="C21" s="2"/>
      <c r="D21" s="2"/>
      <c r="E21" s="2"/>
      <c r="F21" s="6" t="str">
        <f t="shared" si="0"/>
        <v/>
      </c>
      <c r="G21" s="2"/>
      <c r="H21" s="6" t="str">
        <f t="shared" si="1"/>
        <v/>
      </c>
      <c r="I21" s="6" t="str">
        <f t="shared" si="2"/>
        <v/>
      </c>
      <c r="J21" s="6"/>
      <c r="K21" s="6"/>
      <c r="L21" s="2"/>
      <c r="M21" s="2"/>
    </row>
  </sheetData>
  <dataValidations count="1">
    <dataValidation type="list" allowBlank="1" sqref="M2:M21" xr:uid="{00000000-0002-0000-0100-000000000000}">
      <formula1>"Holding,Called Away,Sold"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6"/>
  <sheetViews>
    <sheetView showGridLines="0" workbookViewId="0">
      <selection activeCell="D8" sqref="D8:E8"/>
    </sheetView>
  </sheetViews>
  <sheetFormatPr defaultRowHeight="15" x14ac:dyDescent="0.25"/>
  <cols>
    <col min="1" max="1" width="34.42578125" bestFit="1" customWidth="1"/>
    <col min="2" max="10" width="16" customWidth="1"/>
  </cols>
  <sheetData>
    <row r="1" spans="1:10" x14ac:dyDescent="0.25">
      <c r="A1" s="13" t="s">
        <v>0</v>
      </c>
    </row>
    <row r="2" spans="1:10" s="12" customFormat="1" ht="26.25" customHeight="1" x14ac:dyDescent="0.25">
      <c r="A2" s="11" t="s">
        <v>1</v>
      </c>
      <c r="B2" s="11" t="s">
        <v>2</v>
      </c>
      <c r="C2" s="11" t="s">
        <v>3</v>
      </c>
      <c r="D2" s="11" t="s">
        <v>4</v>
      </c>
      <c r="E2" s="11" t="s">
        <v>5</v>
      </c>
      <c r="F2" s="11" t="s">
        <v>6</v>
      </c>
      <c r="G2" s="11" t="s">
        <v>7</v>
      </c>
      <c r="H2" s="11" t="s">
        <v>8</v>
      </c>
      <c r="I2" s="11" t="s">
        <v>9</v>
      </c>
      <c r="J2" s="11" t="s">
        <v>10</v>
      </c>
    </row>
    <row r="3" spans="1:10" x14ac:dyDescent="0.25">
      <c r="A3" s="2" t="s">
        <v>11</v>
      </c>
      <c r="B3" s="7">
        <f>COUNTIF('Trade Log'!$D$2:$D$41,A3)</f>
        <v>5</v>
      </c>
      <c r="C3" s="6">
        <f>SUMIFS('Trade Log'!$J:$J,'Trade Log'!$D:$D,A3)</f>
        <v>775</v>
      </c>
      <c r="D3" s="6">
        <f>SUMPRODUCT(('Trade Log'!$D$2:$D$41=A3)*('Trade Log'!$K$2:$K$41="Bought to Close"),'Trade Log'!$L$2:$L$41,'Trade Log'!$H$2:$H$41)*100</f>
        <v>0</v>
      </c>
      <c r="E3" s="6">
        <f>C3-D3</f>
        <v>775</v>
      </c>
      <c r="F3" s="7">
        <f>COUNTIFS('Trade Log'!$D$2:$D$41,A3,'Trade Log'!$K$2:$K$41,"Assigned")</f>
        <v>1</v>
      </c>
      <c r="G3" s="7">
        <f>COUNTIFS('Trade Log'!$D$2:$D$41,A3,'Trade Log'!$K$2:$K$41,"Called Away")</f>
        <v>1</v>
      </c>
      <c r="H3" s="8">
        <f>IF(COUNTIFS('Trade Log'!$D$2:$D$41,A3,'Trade Log'!$K$2:$K$41,"&lt;&gt;Open")=0,"",COUNTIFS('Trade Log'!$D$2:$D$41,A3,'Trade Log'!$K$2:$K$41,"&lt;&gt;Open",'Trade Log'!$M$2:$M$41,"&gt;0")/COUNTIFS('Trade Log'!$D$2:$D$41,A3,'Trade Log'!$K$2:$K$41,"&lt;&gt;Open"))</f>
        <v>1</v>
      </c>
      <c r="I3" s="6">
        <f>AVERAGEIFS('Trade Log'!$N:$N,'Trade Log'!$D:$D,A3,'Trade Log'!$N:$N,"&lt;&gt;")</f>
        <v>36.200000000000003</v>
      </c>
      <c r="J3" s="8">
        <f>AVERAGEIFS('Trade Log'!$O:$O,'Trade Log'!$D:$D,A3,'Trade Log'!$O:$O,"&lt;&gt;")</f>
        <v>9.0731174528178499E-2</v>
      </c>
    </row>
    <row r="4" spans="1:10" x14ac:dyDescent="0.25">
      <c r="A4" s="2" t="s">
        <v>12</v>
      </c>
      <c r="B4" s="7">
        <f>COUNTIF('Trade Log'!$D$2:$D$41,A4)</f>
        <v>4</v>
      </c>
      <c r="C4" s="6">
        <f>SUMIFS('Trade Log'!$J:$J,'Trade Log'!$D:$D,A4)</f>
        <v>352</v>
      </c>
      <c r="D4" s="6">
        <f>SUMPRODUCT(('Trade Log'!$D$2:$D$41=A4)*('Trade Log'!$K$2:$K$41="Bought to Close"),'Trade Log'!$L$2:$L$41,'Trade Log'!$H$2:$H$41)*100</f>
        <v>24</v>
      </c>
      <c r="E4" s="6">
        <f>C4-D4</f>
        <v>328</v>
      </c>
      <c r="F4" s="7">
        <f>COUNTIFS('Trade Log'!$D$2:$D$41,A4,'Trade Log'!$K$2:$K$41,"Assigned")</f>
        <v>0</v>
      </c>
      <c r="G4" s="7">
        <f>COUNTIFS('Trade Log'!$D$2:$D$41,A4,'Trade Log'!$K$2:$K$41,"Called Away")</f>
        <v>0</v>
      </c>
      <c r="H4" s="8">
        <f>IF(COUNTIFS('Trade Log'!$D$2:$D$41,A4,'Trade Log'!$K$2:$K$41,"&lt;&gt;Open")=0,"",COUNTIFS('Trade Log'!$D$2:$D$41,A4,'Trade Log'!$K$2:$K$41,"&lt;&gt;Open",'Trade Log'!$M$2:$M$41,"&gt;0")/COUNTIFS('Trade Log'!$D$2:$D$41,A4,'Trade Log'!$K$2:$K$41,"&lt;&gt;Open"))</f>
        <v>1</v>
      </c>
      <c r="I4" s="6">
        <f>AVERAGEIFS('Trade Log'!$N:$N,'Trade Log'!$D:$D,A4,'Trade Log'!$N:$N,"&lt;&gt;")</f>
        <v>44.666666666666664</v>
      </c>
      <c r="J4" s="8">
        <f>AVERAGEIFS('Trade Log'!$O:$O,'Trade Log'!$D:$D,A4,'Trade Log'!$O:$O,"&lt;&gt;")</f>
        <v>5.6679097439411512E-2</v>
      </c>
    </row>
    <row r="5" spans="1:10" x14ac:dyDescent="0.25">
      <c r="A5" s="2" t="s">
        <v>13</v>
      </c>
      <c r="B5" s="7">
        <f>COUNTIF('Trade Log'!$D$2:$D$41,A5)</f>
        <v>5</v>
      </c>
      <c r="C5" s="6">
        <f>SUMIFS('Trade Log'!$J:$J,'Trade Log'!$D:$D,A5)</f>
        <v>1270</v>
      </c>
      <c r="D5" s="6">
        <f>SUMPRODUCT(('Trade Log'!$D$2:$D$41=A5)*('Trade Log'!$K$2:$K$41="Bought to Close"),'Trade Log'!$L$2:$L$41,'Trade Log'!$H$2:$H$41)*100</f>
        <v>55.000000000000007</v>
      </c>
      <c r="E5" s="6">
        <f>C5-D5</f>
        <v>1215</v>
      </c>
      <c r="F5" s="7">
        <f>COUNTIFS('Trade Log'!$D$2:$D$41,A5,'Trade Log'!$K$2:$K$41,"Assigned")</f>
        <v>1</v>
      </c>
      <c r="G5" s="7">
        <f>COUNTIFS('Trade Log'!$D$2:$D$41,A5,'Trade Log'!$K$2:$K$41,"Called Away")</f>
        <v>0</v>
      </c>
      <c r="H5" s="8">
        <f>IF(COUNTIFS('Trade Log'!$D$2:$D$41,A5,'Trade Log'!$K$2:$K$41,"&lt;&gt;Open")=0,"",COUNTIFS('Trade Log'!$D$2:$D$41,A5,'Trade Log'!$K$2:$K$41,"&lt;&gt;Open",'Trade Log'!$M$2:$M$41,"&gt;0")/COUNTIFS('Trade Log'!$D$2:$D$41,A5,'Trade Log'!$K$2:$K$41,"&lt;&gt;Open"))</f>
        <v>1</v>
      </c>
      <c r="I5" s="6">
        <f>AVERAGEIFS('Trade Log'!$N:$N,'Trade Log'!$D:$D,A5,'Trade Log'!$N:$N,"&lt;&gt;")</f>
        <v>39</v>
      </c>
      <c r="J5" s="8">
        <f>AVERAGEIFS('Trade Log'!$O:$O,'Trade Log'!$D:$D,A5,'Trade Log'!$O:$O,"&lt;&gt;")</f>
        <v>6.060349681124752E-2</v>
      </c>
    </row>
    <row r="6" spans="1:10" x14ac:dyDescent="0.25">
      <c r="A6" s="2" t="s">
        <v>14</v>
      </c>
      <c r="B6" s="7">
        <f>COUNTIF('Trade Log'!$D$2:$D$41,A6)</f>
        <v>4</v>
      </c>
      <c r="C6" s="6">
        <f>SUMIFS('Trade Log'!$J:$J,'Trade Log'!$D:$D,A6)</f>
        <v>256</v>
      </c>
      <c r="D6" s="6">
        <f>SUMPRODUCT(('Trade Log'!$D$2:$D$41=A6)*('Trade Log'!$K$2:$K$41="Bought to Close"),'Trade Log'!$L$2:$L$41,'Trade Log'!$H$2:$H$41)*100</f>
        <v>0</v>
      </c>
      <c r="E6" s="6">
        <f>C6-D6</f>
        <v>256</v>
      </c>
      <c r="F6" s="7">
        <f>COUNTIFS('Trade Log'!$D$2:$D$41,A6,'Trade Log'!$K$2:$K$41,"Assigned")</f>
        <v>1</v>
      </c>
      <c r="G6" s="7">
        <f>COUNTIFS('Trade Log'!$D$2:$D$41,A6,'Trade Log'!$K$2:$K$41,"Called Away")</f>
        <v>1</v>
      </c>
      <c r="H6" s="8">
        <f>IF(COUNTIFS('Trade Log'!$D$2:$D$41,A6,'Trade Log'!$K$2:$K$41,"&lt;&gt;Open")=0,"",COUNTIFS('Trade Log'!$D$2:$D$41,A6,'Trade Log'!$K$2:$K$41,"&lt;&gt;Open",'Trade Log'!$M$2:$M$41,"&gt;0")/COUNTIFS('Trade Log'!$D$2:$D$41,A6,'Trade Log'!$K$2:$K$41,"&lt;&gt;Open"))</f>
        <v>1</v>
      </c>
      <c r="I6" s="6">
        <f>AVERAGEIFS('Trade Log'!$N:$N,'Trade Log'!$D:$D,A6,'Trade Log'!$N:$N,"&lt;&gt;")</f>
        <v>33.75</v>
      </c>
      <c r="J6" s="8">
        <f>AVERAGEIFS('Trade Log'!$O:$O,'Trade Log'!$D:$D,A6,'Trade Log'!$O:$O,"&lt;&gt;")</f>
        <v>9.5506017838254686E-2</v>
      </c>
    </row>
    <row r="8" spans="1:10" x14ac:dyDescent="0.25">
      <c r="A8" s="22" t="s">
        <v>15</v>
      </c>
    </row>
    <row r="10" spans="1:10" x14ac:dyDescent="0.25">
      <c r="A10" s="13" t="s">
        <v>16</v>
      </c>
    </row>
    <row r="11" spans="1:10" x14ac:dyDescent="0.25">
      <c r="A11" s="2" t="s">
        <v>17</v>
      </c>
      <c r="B11" s="6">
        <f>SUM(E3:E6)</f>
        <v>2574</v>
      </c>
    </row>
    <row r="12" spans="1:10" x14ac:dyDescent="0.25">
      <c r="A12" s="2" t="s">
        <v>18</v>
      </c>
      <c r="B12" s="7">
        <f>COUNTIFS('Trade Log'!$K$2:$K$41,"&lt;&gt;Open")</f>
        <v>38</v>
      </c>
    </row>
    <row r="13" spans="1:10" x14ac:dyDescent="0.25">
      <c r="A13" s="2" t="s">
        <v>19</v>
      </c>
      <c r="B13" s="8">
        <f>IF(COUNTIFS('Trade Log'!$K$2:$K$41,"&lt;&gt;Open")=0,"",COUNTIFS('Trade Log'!$K$2:$K$41,"&lt;&gt;Open",'Trade Log'!$M$2:$M$41,"&gt;0")/COUNTIFS('Trade Log'!$K$2:$K$41,"&lt;&gt;Open"))</f>
        <v>0.42105263157894735</v>
      </c>
    </row>
    <row r="14" spans="1:10" x14ac:dyDescent="0.25">
      <c r="A14" s="2" t="s">
        <v>20</v>
      </c>
      <c r="B14" s="6">
        <f>SUMPRODUCT((Holdings!$M$2:$M$21="Holding")*1,Holdings!$F$2:$F$21,Holdings!$B$2:$B$21)</f>
        <v>57795</v>
      </c>
    </row>
    <row r="15" spans="1:10" x14ac:dyDescent="0.25">
      <c r="A15" s="2" t="s">
        <v>21</v>
      </c>
      <c r="B15" s="9">
        <f>AVERAGEIFS('Trade Log'!$N$2:$N$41,'Trade Log'!$K$2:$K$41,"&lt;&gt;Open",'Trade Log'!$N$2:$N$41,"&lt;&gt;")</f>
        <v>37.875</v>
      </c>
    </row>
    <row r="16" spans="1:10" x14ac:dyDescent="0.25">
      <c r="A16" s="2" t="s">
        <v>22</v>
      </c>
      <c r="B16" s="6">
        <f>SUMIFS(Holdings!$I:$I,Holdings!$M:$M,"Holding")</f>
        <v>5254.9999999999982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1"/>
  <sheetViews>
    <sheetView workbookViewId="0">
      <selection activeCell="F8" sqref="F8"/>
    </sheetView>
  </sheetViews>
  <sheetFormatPr defaultRowHeight="15" x14ac:dyDescent="0.25"/>
  <cols>
    <col min="1" max="15" width="14.42578125" style="15" customWidth="1"/>
  </cols>
  <sheetData>
    <row r="1" spans="1:15" s="12" customFormat="1" ht="26.25" customHeight="1" x14ac:dyDescent="0.25">
      <c r="A1" s="11" t="s">
        <v>67</v>
      </c>
      <c r="B1" s="11" t="s">
        <v>1</v>
      </c>
      <c r="C1" s="11" t="s">
        <v>68</v>
      </c>
      <c r="D1" s="11" t="s">
        <v>69</v>
      </c>
      <c r="E1" s="11" t="s">
        <v>70</v>
      </c>
      <c r="F1" s="11" t="s">
        <v>55</v>
      </c>
      <c r="G1" s="11" t="s">
        <v>71</v>
      </c>
      <c r="H1" s="11" t="s">
        <v>72</v>
      </c>
      <c r="I1" s="11" t="s">
        <v>73</v>
      </c>
      <c r="J1" s="11" t="s">
        <v>74</v>
      </c>
      <c r="K1" s="11" t="s">
        <v>53</v>
      </c>
      <c r="L1" s="11" t="s">
        <v>75</v>
      </c>
      <c r="M1" s="11" t="s">
        <v>76</v>
      </c>
      <c r="N1" s="11" t="s">
        <v>77</v>
      </c>
      <c r="O1" s="11" t="s">
        <v>64</v>
      </c>
    </row>
    <row r="2" spans="1:15" x14ac:dyDescent="0.25">
      <c r="A2" s="14">
        <v>1</v>
      </c>
      <c r="B2" s="14" t="s">
        <v>11</v>
      </c>
      <c r="C2" s="14">
        <v>3</v>
      </c>
      <c r="D2" s="16">
        <f>'Trade Log'!J4</f>
        <v>185</v>
      </c>
      <c r="E2" s="14" t="s">
        <v>78</v>
      </c>
      <c r="F2" s="17">
        <v>178</v>
      </c>
      <c r="G2" s="14" t="s">
        <v>79</v>
      </c>
      <c r="H2" s="16">
        <f>'Trade Log'!J5+'Trade Log'!J6</f>
        <v>255</v>
      </c>
      <c r="I2" s="14" t="s">
        <v>78</v>
      </c>
      <c r="J2" s="17">
        <v>190</v>
      </c>
      <c r="K2" s="14">
        <v>100</v>
      </c>
      <c r="L2" s="16">
        <f>D2+H2+IF(AND(I2="Yes",F2&lt;&gt;"",K2&lt;&gt;""),(J2-F2)*K2,0)</f>
        <v>1640</v>
      </c>
      <c r="M2" s="18">
        <f>IF('Trade Log'!C6="",'Trade Log'!$B$22-'Trade Log'!B4,'Trade Log'!C6-'Trade Log'!B4)</f>
        <v>102</v>
      </c>
      <c r="N2" s="19">
        <f>IF(OR(M2="",M2=0),"",IF(E2="Yes",IF(F2*K2-D2&lt;=0,"",(L2/(F2*K2-D2))*(365/M2)),IF('Trade Log'!F4*'Trade Log'!H4*100=0,"",(L2/('Trade Log'!F4*'Trade Log'!H4*100))*(365/M2))))</f>
        <v>0.33316079767132517</v>
      </c>
      <c r="O2" s="20" t="str">
        <f>IF('Trade Log'!C6="","Active","Complete")</f>
        <v>Complete</v>
      </c>
    </row>
    <row r="3" spans="1:15" x14ac:dyDescent="0.25">
      <c r="A3" s="14">
        <v>2</v>
      </c>
      <c r="B3" s="14" t="s">
        <v>12</v>
      </c>
      <c r="C3" s="14">
        <v>6</v>
      </c>
      <c r="D3" s="16">
        <f>'Trade Log'!J7</f>
        <v>90</v>
      </c>
      <c r="E3" s="14" t="s">
        <v>80</v>
      </c>
      <c r="F3" s="17"/>
      <c r="G3" s="14"/>
      <c r="H3" s="17">
        <v>0</v>
      </c>
      <c r="I3" s="14" t="s">
        <v>80</v>
      </c>
      <c r="J3" s="17"/>
      <c r="K3" s="14"/>
      <c r="L3" s="16">
        <f>D3+H3+IF(AND(I3="Yes",F3&lt;&gt;"",K3&lt;&gt;""),(J3-F3)*K3,0)</f>
        <v>90</v>
      </c>
      <c r="M3" s="18">
        <f>IF('Trade Log'!C7="",'Trade Log'!$B$22-'Trade Log'!B7,'Trade Log'!C7-'Trade Log'!B7)</f>
        <v>43</v>
      </c>
      <c r="N3" s="19">
        <f>IF(OR(M3="",M3=0),"",IF(E3="Yes",IF(F3*K3-D3&lt;=0,"",(L3/(F3*K3-D3))*(365/M3)),IF('Trade Log'!F7*'Trade Log'!H7*100=0,"",(L3/('Trade Log'!F7*'Trade Log'!H7*100))*(365/M3))))</f>
        <v>6.5858059342421824E-2</v>
      </c>
      <c r="O3" s="20" t="str">
        <f>IF('Trade Log'!C7="","Active","Complete")</f>
        <v>Complete</v>
      </c>
    </row>
    <row r="4" spans="1:15" x14ac:dyDescent="0.25">
      <c r="A4" s="14">
        <v>3</v>
      </c>
      <c r="B4" s="14" t="s">
        <v>13</v>
      </c>
      <c r="C4" s="14">
        <v>10</v>
      </c>
      <c r="D4" s="16">
        <f>'Trade Log'!J11</f>
        <v>320</v>
      </c>
      <c r="E4" s="14" t="s">
        <v>78</v>
      </c>
      <c r="F4" s="17">
        <v>405</v>
      </c>
      <c r="G4" s="14" t="s">
        <v>81</v>
      </c>
      <c r="H4" s="16">
        <f>'Trade Log'!J12+'Trade Log'!J13+'Trade Log'!J14</f>
        <v>500</v>
      </c>
      <c r="I4" s="14" t="s">
        <v>80</v>
      </c>
      <c r="J4" s="17">
        <v>430</v>
      </c>
      <c r="K4" s="14">
        <v>100</v>
      </c>
      <c r="L4" s="16">
        <f>D4+H4+IF(AND(I4="Yes",F4&lt;&gt;"",K4&lt;&gt;""),(J4-F4)*K4,0)</f>
        <v>820</v>
      </c>
      <c r="M4" s="18">
        <f>IF('Trade Log'!C14="",'Trade Log'!$B$22-'Trade Log'!B11,'Trade Log'!C14-'Trade Log'!B11)</f>
        <v>152</v>
      </c>
      <c r="N4" s="19">
        <f>IF(OR(M4="",M4=0),"",IF(E4="Yes",IF(F4*K4-D4&lt;=0,"",(L4/(F4*K4-D4))*(365/M4)),IF('Trade Log'!F11*'Trade Log'!H11*100=0,"",(L4/('Trade Log'!F11*'Trade Log'!H11*100))*(365/M4))))</f>
        <v>4.9006444683136405E-2</v>
      </c>
      <c r="O4" s="20" t="str">
        <f>IF('Trade Log'!C14="","Active","Complete")</f>
        <v>Active</v>
      </c>
    </row>
    <row r="5" spans="1:15" x14ac:dyDescent="0.25">
      <c r="A5" s="14">
        <v>4</v>
      </c>
      <c r="B5" s="14" t="s">
        <v>14</v>
      </c>
      <c r="C5" s="14">
        <v>16</v>
      </c>
      <c r="D5" s="16">
        <f>'Trade Log'!J17</f>
        <v>60</v>
      </c>
      <c r="E5" s="14" t="s">
        <v>78</v>
      </c>
      <c r="F5" s="17">
        <v>18.5</v>
      </c>
      <c r="G5" s="14" t="s">
        <v>82</v>
      </c>
      <c r="H5" s="16">
        <f>'Trade Log'!J18</f>
        <v>36</v>
      </c>
      <c r="I5" s="14" t="s">
        <v>78</v>
      </c>
      <c r="J5" s="17">
        <v>19</v>
      </c>
      <c r="K5" s="14">
        <v>400</v>
      </c>
      <c r="L5" s="16">
        <f>D5+H5+IF(AND(I5="Yes",F5&lt;&gt;"",K5&lt;&gt;""),(J5-F5)*K5,0)</f>
        <v>296</v>
      </c>
      <c r="M5" s="18">
        <f>IF('Trade Log'!C18="",'Trade Log'!$B$22-'Trade Log'!B17,'Trade Log'!C18-'Trade Log'!B17)</f>
        <v>67</v>
      </c>
      <c r="N5" s="19">
        <f>IF(OR(M5="",M5=0),"",IF(E5="Yes",IF(F5*K5-D5&lt;=0,"",(L5/(F5*K5-D5))*(365/M5)),IF('Trade Log'!F17*'Trade Log'!H17*100=0,"",(L5/('Trade Log'!F17*'Trade Log'!H17*100))*(365/M5))))</f>
        <v>0.21969173207531822</v>
      </c>
      <c r="O5" s="20" t="str">
        <f>IF('Trade Log'!C18="","Active","Complete")</f>
        <v>Complete</v>
      </c>
    </row>
    <row r="6" spans="1:15" x14ac:dyDescent="0.25">
      <c r="A6" s="14">
        <v>5</v>
      </c>
      <c r="B6" s="14" t="s">
        <v>12</v>
      </c>
      <c r="C6" s="14">
        <v>18</v>
      </c>
      <c r="D6" s="16">
        <f>'Trade Log'!J19</f>
        <v>82</v>
      </c>
      <c r="E6" s="14" t="s">
        <v>80</v>
      </c>
      <c r="F6" s="17">
        <v>61</v>
      </c>
      <c r="G6" s="14"/>
      <c r="H6" s="17">
        <v>0</v>
      </c>
      <c r="I6" s="14" t="s">
        <v>80</v>
      </c>
      <c r="J6" s="17"/>
      <c r="K6" s="14">
        <v>200</v>
      </c>
      <c r="L6" s="16">
        <f>D6+H6+IF(AND(I6="Yes",F6&lt;&gt;"",K6&lt;&gt;""),(J6-F6)*K6,0)</f>
        <v>82</v>
      </c>
      <c r="M6" s="18">
        <f>IF('Trade Log'!C19="",'Trade Log'!$B$22-'Trade Log'!B19,'Trade Log'!C19-'Trade Log'!B19)</f>
        <v>11</v>
      </c>
      <c r="N6" s="19">
        <f>IF(OR(M6="",M6=0),"",IF(E6="Yes",IF(F6*K6-D6&lt;=0,"",(L6/(F6*K6-D6))*(365/M6)),IF('Trade Log'!F19*'Trade Log'!H19*100=0,"",(L6/('Trade Log'!F19*'Trade Log'!H19*100))*(365/M6))))</f>
        <v>0.2230253353204173</v>
      </c>
      <c r="O6" s="20" t="str">
        <f>IF('Trade Log'!C19="","Active","Complete")</f>
        <v>Active</v>
      </c>
    </row>
    <row r="8" spans="1:15" ht="15" customHeight="1" x14ac:dyDescent="0.25">
      <c r="A8" s="21"/>
    </row>
    <row r="10" spans="1:15" x14ac:dyDescent="0.25">
      <c r="A10" s="22" t="s">
        <v>83</v>
      </c>
    </row>
    <row r="11" spans="1:15" x14ac:dyDescent="0.25">
      <c r="A11" s="22" t="s">
        <v>84</v>
      </c>
    </row>
  </sheetData>
  <pageMargins left="0.75" right="0.75" top="1" bottom="1" header="0.5" footer="0.5"/>
  <ignoredErrors>
    <ignoredError sqref="G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Trade Log</vt:lpstr>
      <vt:lpstr>Holdings</vt:lpstr>
      <vt:lpstr>Performance Summary</vt:lpstr>
      <vt:lpstr>Wheel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Lauren McBride</dc:creator>
  <cp:lastModifiedBy>Lauren McBride</cp:lastModifiedBy>
  <dcterms:created xsi:type="dcterms:W3CDTF">2024-09-14T17:50:01Z</dcterms:created>
  <dcterms:modified xsi:type="dcterms:W3CDTF">2025-01-06T03:51:36Z</dcterms:modified>
  <cp:revision>1</cp:revision>
</cp:coreProperties>
</file>