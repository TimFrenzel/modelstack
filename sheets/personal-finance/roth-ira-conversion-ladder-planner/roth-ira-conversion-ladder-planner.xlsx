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I:\My Drive\000_drive_drive\600_PROJECTS\modelstack\sheets\personal-finance\roth-ira-conversion-ladder-planner\"/>
    </mc:Choice>
  </mc:AlternateContent>
  <xr:revisionPtr revIDLastSave="0" documentId="13_ncr:1_{34E064A4-65A1-4CC3-8119-427F3473F03A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ituation" sheetId="1" r:id="rId1"/>
    <sheet name="Conversion Schedule" sheetId="2" r:id="rId2"/>
    <sheet name="5-Year Rule Tracker" sheetId="3" r:id="rId3"/>
    <sheet name="Convert vs. Don't Convert" sheetId="4" r:id="rId4"/>
    <sheet name="What-If Scenario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5" l="1"/>
  <c r="B5" i="5"/>
  <c r="B4" i="5"/>
  <c r="B78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B42" i="4"/>
  <c r="B43" i="4" s="1"/>
  <c r="C41" i="4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B41" i="4"/>
  <c r="F41" i="4" s="1"/>
  <c r="D40" i="4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C40" i="4"/>
  <c r="B40" i="4"/>
  <c r="F40" i="4" s="1"/>
  <c r="F37" i="4"/>
  <c r="D5" i="5" s="1"/>
  <c r="D37" i="4"/>
  <c r="C37" i="4"/>
  <c r="B37" i="4"/>
  <c r="A37" i="4"/>
  <c r="F36" i="4"/>
  <c r="D36" i="4"/>
  <c r="C36" i="4"/>
  <c r="B36" i="4"/>
  <c r="A36" i="4"/>
  <c r="F35" i="4"/>
  <c r="D35" i="4"/>
  <c r="C35" i="4"/>
  <c r="B35" i="4"/>
  <c r="A35" i="4"/>
  <c r="F34" i="4"/>
  <c r="D34" i="4"/>
  <c r="C34" i="4"/>
  <c r="B34" i="4"/>
  <c r="A34" i="4"/>
  <c r="F33" i="4"/>
  <c r="D33" i="4"/>
  <c r="C33" i="4"/>
  <c r="B33" i="4"/>
  <c r="A33" i="4"/>
  <c r="F32" i="4"/>
  <c r="D32" i="4"/>
  <c r="C32" i="4"/>
  <c r="B32" i="4"/>
  <c r="A32" i="4"/>
  <c r="F31" i="4"/>
  <c r="D31" i="4"/>
  <c r="C31" i="4"/>
  <c r="B31" i="4"/>
  <c r="A31" i="4"/>
  <c r="F30" i="4"/>
  <c r="D30" i="4"/>
  <c r="C30" i="4"/>
  <c r="B30" i="4"/>
  <c r="A30" i="4"/>
  <c r="F29" i="4"/>
  <c r="D29" i="4"/>
  <c r="C29" i="4"/>
  <c r="B29" i="4"/>
  <c r="A29" i="4"/>
  <c r="F28" i="4"/>
  <c r="D28" i="4"/>
  <c r="C28" i="4"/>
  <c r="B28" i="4"/>
  <c r="A28" i="4"/>
  <c r="F27" i="4"/>
  <c r="D27" i="4"/>
  <c r="C27" i="4"/>
  <c r="B27" i="4"/>
  <c r="A27" i="4"/>
  <c r="F26" i="4"/>
  <c r="D26" i="4"/>
  <c r="C26" i="4"/>
  <c r="B26" i="4"/>
  <c r="A26" i="4"/>
  <c r="F25" i="4"/>
  <c r="D25" i="4"/>
  <c r="C25" i="4"/>
  <c r="B25" i="4"/>
  <c r="A25" i="4"/>
  <c r="F24" i="4"/>
  <c r="D24" i="4"/>
  <c r="C24" i="4"/>
  <c r="B24" i="4"/>
  <c r="A24" i="4"/>
  <c r="F23" i="4"/>
  <c r="D23" i="4"/>
  <c r="C23" i="4"/>
  <c r="B23" i="4"/>
  <c r="A23" i="4"/>
  <c r="F22" i="4"/>
  <c r="D22" i="4"/>
  <c r="C22" i="4"/>
  <c r="B22" i="4"/>
  <c r="A22" i="4"/>
  <c r="F21" i="4"/>
  <c r="D21" i="4"/>
  <c r="C21" i="4"/>
  <c r="B21" i="4"/>
  <c r="A21" i="4"/>
  <c r="F20" i="4"/>
  <c r="D20" i="4"/>
  <c r="C20" i="4"/>
  <c r="B20" i="4"/>
  <c r="A20" i="4"/>
  <c r="F19" i="4"/>
  <c r="D19" i="4"/>
  <c r="C19" i="4"/>
  <c r="B19" i="4"/>
  <c r="A19" i="4"/>
  <c r="F18" i="4"/>
  <c r="D18" i="4"/>
  <c r="C18" i="4"/>
  <c r="B18" i="4"/>
  <c r="A18" i="4"/>
  <c r="A14" i="4"/>
  <c r="A11" i="4"/>
  <c r="A9" i="4"/>
  <c r="C8" i="3"/>
  <c r="A8" i="3"/>
  <c r="D8" i="3" s="1"/>
  <c r="F8" i="3" s="1"/>
  <c r="A7" i="3"/>
  <c r="B7" i="3" s="1"/>
  <c r="E6" i="3"/>
  <c r="D6" i="3"/>
  <c r="G6" i="3" s="1"/>
  <c r="B6" i="3"/>
  <c r="A6" i="3"/>
  <c r="A5" i="3"/>
  <c r="D5" i="3" s="1"/>
  <c r="F5" i="3" s="1"/>
  <c r="A4" i="3"/>
  <c r="A3" i="3"/>
  <c r="A2" i="3"/>
  <c r="D2" i="3" s="1"/>
  <c r="F2" i="3" s="1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K16" i="2"/>
  <c r="I16" i="2"/>
  <c r="G16" i="2"/>
  <c r="D16" i="2"/>
  <c r="A16" i="2"/>
  <c r="A54" i="4" s="1"/>
  <c r="K15" i="2"/>
  <c r="A15" i="2"/>
  <c r="K14" i="2"/>
  <c r="I14" i="2"/>
  <c r="G14" i="2"/>
  <c r="D14" i="2"/>
  <c r="A14" i="2"/>
  <c r="A52" i="4" s="1"/>
  <c r="K13" i="2"/>
  <c r="A13" i="2"/>
  <c r="K12" i="2"/>
  <c r="I12" i="2"/>
  <c r="G12" i="2"/>
  <c r="D12" i="2"/>
  <c r="A12" i="2"/>
  <c r="A50" i="4" s="1"/>
  <c r="K11" i="2"/>
  <c r="A11" i="2"/>
  <c r="K10" i="2"/>
  <c r="I10" i="2"/>
  <c r="G10" i="2"/>
  <c r="D10" i="2"/>
  <c r="A10" i="2"/>
  <c r="A48" i="4" s="1"/>
  <c r="K9" i="2"/>
  <c r="A9" i="2"/>
  <c r="K8" i="2"/>
  <c r="I8" i="2"/>
  <c r="G8" i="2"/>
  <c r="D8" i="2"/>
  <c r="A8" i="2"/>
  <c r="K7" i="2"/>
  <c r="A7" i="2"/>
  <c r="K6" i="2"/>
  <c r="I6" i="2"/>
  <c r="G6" i="2"/>
  <c r="D6" i="2"/>
  <c r="A6" i="2"/>
  <c r="A7" i="4" s="1"/>
  <c r="K5" i="2"/>
  <c r="A5" i="2"/>
  <c r="K4" i="2"/>
  <c r="I4" i="2"/>
  <c r="G4" i="2"/>
  <c r="D4" i="2"/>
  <c r="A4" i="2"/>
  <c r="A42" i="4" s="1"/>
  <c r="K3" i="2"/>
  <c r="A3" i="2"/>
  <c r="K2" i="2"/>
  <c r="I2" i="2"/>
  <c r="G2" i="2"/>
  <c r="F2" i="2"/>
  <c r="H2" i="2" s="1"/>
  <c r="C3" i="4" s="1"/>
  <c r="E2" i="2"/>
  <c r="D2" i="2"/>
  <c r="C2" i="2"/>
  <c r="A2" i="2"/>
  <c r="A40" i="4" s="1"/>
  <c r="B3" i="3" l="1"/>
  <c r="D3" i="3"/>
  <c r="G3" i="3" s="1"/>
  <c r="E3" i="3"/>
  <c r="F6" i="3"/>
  <c r="F3" i="3"/>
  <c r="B8" i="3"/>
  <c r="B2" i="3"/>
  <c r="C5" i="3"/>
  <c r="E8" i="3"/>
  <c r="B5" i="3"/>
  <c r="C2" i="3"/>
  <c r="E5" i="3"/>
  <c r="E2" i="3"/>
  <c r="B3" i="4"/>
  <c r="B44" i="4"/>
  <c r="F43" i="4"/>
  <c r="C3" i="2"/>
  <c r="B13" i="2"/>
  <c r="B4" i="3"/>
  <c r="A6" i="4"/>
  <c r="J2" i="2"/>
  <c r="L2" i="2" s="1"/>
  <c r="D3" i="2"/>
  <c r="J4" i="2"/>
  <c r="D5" i="2"/>
  <c r="J6" i="2"/>
  <c r="D7" i="2"/>
  <c r="J8" i="2"/>
  <c r="D9" i="2"/>
  <c r="J10" i="2"/>
  <c r="D11" i="2"/>
  <c r="J12" i="2"/>
  <c r="D13" i="2"/>
  <c r="J14" i="2"/>
  <c r="D15" i="2"/>
  <c r="J16" i="2"/>
  <c r="G2" i="3"/>
  <c r="C4" i="3"/>
  <c r="G5" i="3"/>
  <c r="C7" i="3"/>
  <c r="G8" i="3"/>
  <c r="A13" i="4"/>
  <c r="A41" i="4"/>
  <c r="A53" i="4"/>
  <c r="D4" i="3"/>
  <c r="F4" i="3" s="1"/>
  <c r="D7" i="3"/>
  <c r="G7" i="3" s="1"/>
  <c r="A8" i="4"/>
  <c r="A46" i="4"/>
  <c r="B9" i="2"/>
  <c r="F3" i="2"/>
  <c r="L4" i="2"/>
  <c r="P4" i="2" s="1"/>
  <c r="L6" i="2"/>
  <c r="P6" i="2" s="1"/>
  <c r="L8" i="2"/>
  <c r="P8" i="2" s="1"/>
  <c r="L10" i="2"/>
  <c r="P10" i="2" s="1"/>
  <c r="L12" i="2"/>
  <c r="P12" i="2" s="1"/>
  <c r="L14" i="2"/>
  <c r="P14" i="2" s="1"/>
  <c r="L16" i="2"/>
  <c r="P16" i="2" s="1"/>
  <c r="E4" i="3"/>
  <c r="E7" i="3"/>
  <c r="A3" i="4"/>
  <c r="A15" i="4"/>
  <c r="A51" i="4"/>
  <c r="B5" i="2"/>
  <c r="A43" i="4"/>
  <c r="G3" i="2"/>
  <c r="M6" i="2"/>
  <c r="O6" i="2" s="1"/>
  <c r="G7" i="2"/>
  <c r="M8" i="2"/>
  <c r="G9" i="2"/>
  <c r="G13" i="2"/>
  <c r="A10" i="4"/>
  <c r="A44" i="4"/>
  <c r="B3" i="2"/>
  <c r="E3" i="2"/>
  <c r="G5" i="2"/>
  <c r="G11" i="2"/>
  <c r="G15" i="2"/>
  <c r="B2" i="2"/>
  <c r="H3" i="2"/>
  <c r="B4" i="2"/>
  <c r="B6" i="2"/>
  <c r="N6" i="2"/>
  <c r="B8" i="2"/>
  <c r="B10" i="2"/>
  <c r="N10" i="2"/>
  <c r="B12" i="2"/>
  <c r="N12" i="2"/>
  <c r="B14" i="2"/>
  <c r="N14" i="2"/>
  <c r="B16" i="2"/>
  <c r="N16" i="2"/>
  <c r="C3" i="3"/>
  <c r="G4" i="3"/>
  <c r="C6" i="3"/>
  <c r="A5" i="4"/>
  <c r="A17" i="4"/>
  <c r="A49" i="4"/>
  <c r="B15" i="2"/>
  <c r="I3" i="2"/>
  <c r="J3" i="2" s="1"/>
  <c r="L3" i="2" s="1"/>
  <c r="I5" i="2"/>
  <c r="J5" i="2" s="1"/>
  <c r="L5" i="2" s="1"/>
  <c r="I7" i="2"/>
  <c r="J7" i="2" s="1"/>
  <c r="L7" i="2" s="1"/>
  <c r="I9" i="2"/>
  <c r="J9" i="2" s="1"/>
  <c r="L9" i="2" s="1"/>
  <c r="I11" i="2"/>
  <c r="J11" i="2" s="1"/>
  <c r="L11" i="2" s="1"/>
  <c r="I13" i="2"/>
  <c r="J13" i="2" s="1"/>
  <c r="L13" i="2" s="1"/>
  <c r="I15" i="2"/>
  <c r="A12" i="4"/>
  <c r="B7" i="2"/>
  <c r="J15" i="2"/>
  <c r="L15" i="2" s="1"/>
  <c r="A47" i="4"/>
  <c r="A45" i="4"/>
  <c r="A4" i="4"/>
  <c r="A16" i="4"/>
  <c r="F42" i="4"/>
  <c r="B11" i="2"/>
  <c r="F7" i="3" l="1"/>
  <c r="H4" i="3"/>
  <c r="H8" i="3"/>
  <c r="H7" i="3"/>
  <c r="M13" i="2"/>
  <c r="P13" i="2"/>
  <c r="N13" i="2"/>
  <c r="P2" i="2"/>
  <c r="M2" i="2"/>
  <c r="O2" i="2" s="1"/>
  <c r="N2" i="2"/>
  <c r="M7" i="2"/>
  <c r="O7" i="2" s="1"/>
  <c r="P7" i="2"/>
  <c r="N7" i="2"/>
  <c r="P5" i="2"/>
  <c r="N5" i="2"/>
  <c r="M5" i="2"/>
  <c r="M11" i="2"/>
  <c r="O11" i="2" s="1"/>
  <c r="N11" i="2"/>
  <c r="P11" i="2"/>
  <c r="N3" i="2"/>
  <c r="M3" i="2"/>
  <c r="O3" i="2" s="1"/>
  <c r="P3" i="2"/>
  <c r="M9" i="2"/>
  <c r="P9" i="2"/>
  <c r="N9" i="2"/>
  <c r="N15" i="2"/>
  <c r="P15" i="2"/>
  <c r="M15" i="2"/>
  <c r="F4" i="2"/>
  <c r="H4" i="2" s="1"/>
  <c r="C4" i="4"/>
  <c r="M12" i="2"/>
  <c r="O12" i="2" s="1"/>
  <c r="M10" i="2"/>
  <c r="O10" i="2" s="1"/>
  <c r="N8" i="2"/>
  <c r="O8" i="2" s="1"/>
  <c r="H5" i="3"/>
  <c r="H6" i="3"/>
  <c r="M4" i="2"/>
  <c r="O4" i="2" s="1"/>
  <c r="H3" i="3"/>
  <c r="H2" i="3"/>
  <c r="B4" i="4"/>
  <c r="C4" i="2"/>
  <c r="E4" i="2" s="1"/>
  <c r="M16" i="2"/>
  <c r="O16" i="2" s="1"/>
  <c r="B45" i="4"/>
  <c r="F44" i="4"/>
  <c r="N4" i="2"/>
  <c r="M14" i="2"/>
  <c r="O14" i="2" s="1"/>
  <c r="E5" i="4" l="1"/>
  <c r="E3" i="4"/>
  <c r="R2" i="2"/>
  <c r="E4" i="4"/>
  <c r="E10" i="4"/>
  <c r="C5" i="4"/>
  <c r="F5" i="2"/>
  <c r="H5" i="2" s="1"/>
  <c r="B46" i="4"/>
  <c r="F45" i="4"/>
  <c r="O9" i="2"/>
  <c r="O15" i="2"/>
  <c r="O13" i="2"/>
  <c r="B5" i="4"/>
  <c r="C5" i="2"/>
  <c r="E5" i="2" s="1"/>
  <c r="O5" i="2"/>
  <c r="E26" i="4" s="1"/>
  <c r="E33" i="4" l="1"/>
  <c r="C6" i="2"/>
  <c r="E6" i="2" s="1"/>
  <c r="B6" i="4"/>
  <c r="E17" i="4"/>
  <c r="E6" i="4"/>
  <c r="E24" i="4"/>
  <c r="E15" i="4"/>
  <c r="E34" i="4"/>
  <c r="E9" i="4"/>
  <c r="E30" i="4"/>
  <c r="E21" i="4"/>
  <c r="E12" i="4"/>
  <c r="B47" i="4"/>
  <c r="F46" i="4"/>
  <c r="E28" i="4"/>
  <c r="E8" i="4"/>
  <c r="E36" i="4"/>
  <c r="E31" i="4"/>
  <c r="E27" i="4"/>
  <c r="E14" i="4"/>
  <c r="E29" i="4"/>
  <c r="F6" i="2"/>
  <c r="H6" i="2" s="1"/>
  <c r="C6" i="4"/>
  <c r="E11" i="4"/>
  <c r="E20" i="4"/>
  <c r="E19" i="4"/>
  <c r="E35" i="4"/>
  <c r="E22" i="4"/>
  <c r="E7" i="4"/>
  <c r="E18" i="4"/>
  <c r="D3" i="4"/>
  <c r="S2" i="2"/>
  <c r="F3" i="4" s="1"/>
  <c r="G3" i="4" s="1"/>
  <c r="R3" i="2"/>
  <c r="E13" i="4"/>
  <c r="E25" i="4"/>
  <c r="E16" i="4"/>
  <c r="E37" i="4"/>
  <c r="B77" i="4" s="1"/>
  <c r="E23" i="4"/>
  <c r="E32" i="4"/>
  <c r="R4" i="2" l="1"/>
  <c r="D4" i="4"/>
  <c r="S3" i="2"/>
  <c r="F4" i="4" s="1"/>
  <c r="G4" i="4" s="1"/>
  <c r="B7" i="4"/>
  <c r="C7" i="2"/>
  <c r="E7" i="2" s="1"/>
  <c r="C7" i="4"/>
  <c r="F7" i="2"/>
  <c r="H7" i="2" s="1"/>
  <c r="F47" i="4"/>
  <c r="B48" i="4"/>
  <c r="F8" i="2" l="1"/>
  <c r="H8" i="2" s="1"/>
  <c r="C8" i="4"/>
  <c r="C8" i="2"/>
  <c r="E8" i="2" s="1"/>
  <c r="B8" i="4"/>
  <c r="B49" i="4"/>
  <c r="F48" i="4"/>
  <c r="D5" i="4"/>
  <c r="R5" i="2"/>
  <c r="S4" i="2"/>
  <c r="F5" i="4" s="1"/>
  <c r="G5" i="4" s="1"/>
  <c r="F49" i="4" l="1"/>
  <c r="B50" i="4"/>
  <c r="B9" i="4"/>
  <c r="C9" i="2"/>
  <c r="E9" i="2" s="1"/>
  <c r="D6" i="4"/>
  <c r="R6" i="2"/>
  <c r="S5" i="2"/>
  <c r="F6" i="4" s="1"/>
  <c r="G6" i="4" s="1"/>
  <c r="C9" i="4"/>
  <c r="F9" i="2"/>
  <c r="H9" i="2" s="1"/>
  <c r="F10" i="2" l="1"/>
  <c r="H10" i="2" s="1"/>
  <c r="C10" i="4"/>
  <c r="D7" i="4"/>
  <c r="R7" i="2"/>
  <c r="S6" i="2"/>
  <c r="F7" i="4" s="1"/>
  <c r="G7" i="4" s="1"/>
  <c r="C10" i="2"/>
  <c r="E10" i="2" s="1"/>
  <c r="B10" i="4"/>
  <c r="B51" i="4"/>
  <c r="F50" i="4"/>
  <c r="B52" i="4" l="1"/>
  <c r="F51" i="4"/>
  <c r="B11" i="4"/>
  <c r="C11" i="2"/>
  <c r="E11" i="2" s="1"/>
  <c r="R8" i="2"/>
  <c r="D8" i="4"/>
  <c r="S7" i="2"/>
  <c r="F8" i="4" s="1"/>
  <c r="G8" i="4" s="1"/>
  <c r="C11" i="4"/>
  <c r="F11" i="2"/>
  <c r="H11" i="2" s="1"/>
  <c r="D9" i="4" l="1"/>
  <c r="R9" i="2"/>
  <c r="S8" i="2"/>
  <c r="F9" i="4" s="1"/>
  <c r="G9" i="4" s="1"/>
  <c r="F12" i="2"/>
  <c r="H12" i="2" s="1"/>
  <c r="C12" i="4"/>
  <c r="B12" i="4"/>
  <c r="C12" i="2"/>
  <c r="E12" i="2" s="1"/>
  <c r="F52" i="4"/>
  <c r="B53" i="4"/>
  <c r="B54" i="4" l="1"/>
  <c r="F53" i="4"/>
  <c r="C13" i="4"/>
  <c r="F13" i="2"/>
  <c r="H13" i="2" s="1"/>
  <c r="B13" i="4"/>
  <c r="C13" i="2"/>
  <c r="E13" i="2" s="1"/>
  <c r="R10" i="2"/>
  <c r="D10" i="4"/>
  <c r="S9" i="2"/>
  <c r="F10" i="4" s="1"/>
  <c r="G10" i="4" s="1"/>
  <c r="B14" i="4" l="1"/>
  <c r="C14" i="2"/>
  <c r="E14" i="2" s="1"/>
  <c r="D11" i="4"/>
  <c r="R11" i="2"/>
  <c r="S10" i="2"/>
  <c r="F11" i="4" s="1"/>
  <c r="G11" i="4" s="1"/>
  <c r="C14" i="4"/>
  <c r="F14" i="2"/>
  <c r="H14" i="2" s="1"/>
  <c r="B55" i="4"/>
  <c r="F54" i="4"/>
  <c r="B56" i="4" l="1"/>
  <c r="F55" i="4"/>
  <c r="G18" i="4" s="1"/>
  <c r="D12" i="4"/>
  <c r="R12" i="2"/>
  <c r="S11" i="2"/>
  <c r="F12" i="4" s="1"/>
  <c r="G12" i="4" s="1"/>
  <c r="B15" i="4"/>
  <c r="C15" i="2"/>
  <c r="E15" i="2" s="1"/>
  <c r="C15" i="4"/>
  <c r="F15" i="2"/>
  <c r="H15" i="2" s="1"/>
  <c r="F16" i="2" l="1"/>
  <c r="H16" i="2" s="1"/>
  <c r="C17" i="4" s="1"/>
  <c r="C16" i="4"/>
  <c r="C16" i="2"/>
  <c r="E16" i="2" s="1"/>
  <c r="B16" i="4"/>
  <c r="D13" i="4"/>
  <c r="R13" i="2"/>
  <c r="S12" i="2"/>
  <c r="F13" i="4" s="1"/>
  <c r="G13" i="4" s="1"/>
  <c r="B57" i="4"/>
  <c r="F56" i="4"/>
  <c r="G19" i="4" s="1"/>
  <c r="B58" i="4" l="1"/>
  <c r="F57" i="4"/>
  <c r="G20" i="4" s="1"/>
  <c r="R14" i="2"/>
  <c r="D14" i="4"/>
  <c r="S13" i="2"/>
  <c r="F14" i="4" s="1"/>
  <c r="G14" i="4" s="1"/>
  <c r="B17" i="4"/>
  <c r="D15" i="4" l="1"/>
  <c r="R15" i="2"/>
  <c r="S14" i="2"/>
  <c r="F15" i="4" s="1"/>
  <c r="G15" i="4" s="1"/>
  <c r="B59" i="4"/>
  <c r="F58" i="4"/>
  <c r="G21" i="4" s="1"/>
  <c r="R16" i="2" l="1"/>
  <c r="D16" i="4"/>
  <c r="S15" i="2"/>
  <c r="F16" i="4" s="1"/>
  <c r="G16" i="4" s="1"/>
  <c r="F59" i="4"/>
  <c r="G22" i="4" s="1"/>
  <c r="B60" i="4"/>
  <c r="B61" i="4" l="1"/>
  <c r="F60" i="4"/>
  <c r="G23" i="4" s="1"/>
  <c r="D17" i="4"/>
  <c r="S16" i="2"/>
  <c r="F17" i="4" s="1"/>
  <c r="G17" i="4" s="1"/>
  <c r="F61" i="4" l="1"/>
  <c r="G24" i="4" s="1"/>
  <c r="B62" i="4"/>
  <c r="B63" i="4" l="1"/>
  <c r="F62" i="4"/>
  <c r="G25" i="4" s="1"/>
  <c r="B64" i="4" l="1"/>
  <c r="F63" i="4"/>
  <c r="G26" i="4" s="1"/>
  <c r="F64" i="4" l="1"/>
  <c r="G27" i="4" s="1"/>
  <c r="B65" i="4"/>
  <c r="B66" i="4" l="1"/>
  <c r="F65" i="4"/>
  <c r="G28" i="4" s="1"/>
  <c r="B67" i="4" l="1"/>
  <c r="F66" i="4"/>
  <c r="G29" i="4" s="1"/>
  <c r="B68" i="4" l="1"/>
  <c r="F67" i="4"/>
  <c r="G30" i="4" s="1"/>
  <c r="B69" i="4" l="1"/>
  <c r="F68" i="4"/>
  <c r="G31" i="4" s="1"/>
  <c r="B70" i="4" l="1"/>
  <c r="F69" i="4"/>
  <c r="G32" i="4" s="1"/>
  <c r="B71" i="4" l="1"/>
  <c r="F70" i="4"/>
  <c r="G33" i="4" s="1"/>
  <c r="B72" i="4" l="1"/>
  <c r="F71" i="4"/>
  <c r="G34" i="4" s="1"/>
  <c r="B73" i="4" l="1"/>
  <c r="F72" i="4"/>
  <c r="G35" i="4" s="1"/>
  <c r="B74" i="4" l="1"/>
  <c r="F74" i="4" s="1"/>
  <c r="F73" i="4"/>
  <c r="G36" i="4" s="1"/>
  <c r="D7" i="5" l="1"/>
  <c r="G37" i="4"/>
  <c r="B80" i="4" s="1"/>
  <c r="E5" i="5" s="1"/>
  <c r="B79" i="4"/>
</calcChain>
</file>

<file path=xl/sharedStrings.xml><?xml version="1.0" encoding="utf-8"?>
<sst xmlns="http://schemas.openxmlformats.org/spreadsheetml/2006/main" count="141" uniqueCount="117">
  <si>
    <t>Year</t>
  </si>
  <si>
    <t>Age</t>
  </si>
  <si>
    <t>Trad IRA Beg</t>
  </si>
  <si>
    <t>Conversion</t>
  </si>
  <si>
    <t>Trad IRA End</t>
  </si>
  <si>
    <t>Roth Beg</t>
  </si>
  <si>
    <t>Roth Conv</t>
  </si>
  <si>
    <t>Roth End</t>
  </si>
  <si>
    <t>Other Income</t>
  </si>
  <si>
    <t>Total Taxable Inc</t>
  </si>
  <si>
    <t>Std Deduction</t>
  </si>
  <si>
    <t>Taxable After Ded</t>
  </si>
  <si>
    <t>Federal Tax</t>
  </si>
  <si>
    <t>State Tax</t>
  </si>
  <si>
    <t>Total Tax</t>
  </si>
  <si>
    <t>Marginal Bracket</t>
  </si>
  <si>
    <t>Tax Paid From</t>
  </si>
  <si>
    <t>Taxable Acct End</t>
  </si>
  <si>
    <t>Net Worth (after-tax Trad)</t>
  </si>
  <si>
    <t>Taxable Account</t>
  </si>
  <si>
    <t>Traditional IRA / 401k Balance</t>
  </si>
  <si>
    <t>Roth IRA Balance (existing)</t>
  </si>
  <si>
    <t>Taxable Brokerage</t>
  </si>
  <si>
    <t>Cash / Savings</t>
  </si>
  <si>
    <t>Current Age</t>
  </si>
  <si>
    <t>Spouse's Age (if MFJ, else leave blank)</t>
  </si>
  <si>
    <t>Filing Status</t>
  </si>
  <si>
    <t>Married Filing Jointly</t>
  </si>
  <si>
    <t>Other Annual Income (non-conversion)</t>
  </si>
  <si>
    <t>State Income Tax Rate (flat approx.)</t>
  </si>
  <si>
    <t>Annual Living Expenses</t>
  </si>
  <si>
    <t>Expected Investment Return</t>
  </si>
  <si>
    <t>Planning Horizon (years)</t>
  </si>
  <si>
    <t>Conversion Start Year</t>
  </si>
  <si>
    <t>Conversion Window (years)</t>
  </si>
  <si>
    <t>Year 1 Conversion Amount</t>
  </si>
  <si>
    <t>Year 2 Conversion Amount</t>
  </si>
  <si>
    <t>Year 3 Conversion Amount</t>
  </si>
  <si>
    <t>Year 4 Conversion Amount</t>
  </si>
  <si>
    <t>Year 5 Conversion Amount</t>
  </si>
  <si>
    <t>Year 6 Conversion Amount</t>
  </si>
  <si>
    <t>Year 7 Conversion Amount</t>
  </si>
  <si>
    <t>Expected tax rate in retirement (for compare)</t>
  </si>
  <si>
    <t>Tax Bracket Reference (2025, ordinary income)</t>
  </si>
  <si>
    <t>Bracket</t>
  </si>
  <si>
    <t>Single (taxable)</t>
  </si>
  <si>
    <t>MFJ (taxable)</t>
  </si>
  <si>
    <t>HoH (taxable)</t>
  </si>
  <si>
    <t>10%</t>
  </si>
  <si>
    <t>0 – 11,925</t>
  </si>
  <si>
    <t>0 – 23,850</t>
  </si>
  <si>
    <t>0 – 17,025</t>
  </si>
  <si>
    <t>12%</t>
  </si>
  <si>
    <t>11,926 – 48,475</t>
  </si>
  <si>
    <t>23,851 – 96,950</t>
  </si>
  <si>
    <t>17,026 – 69,250</t>
  </si>
  <si>
    <t>22%</t>
  </si>
  <si>
    <t>48,476 – 103,350</t>
  </si>
  <si>
    <t>96,951 – 206,700</t>
  </si>
  <si>
    <t>69,251 – 110,150</t>
  </si>
  <si>
    <t>24%</t>
  </si>
  <si>
    <t>103,351 – 197,300</t>
  </si>
  <si>
    <t>206,701 – 394,600</t>
  </si>
  <si>
    <t>110,151 – 210,300</t>
  </si>
  <si>
    <t>32%</t>
  </si>
  <si>
    <t>197,301 – 250,525</t>
  </si>
  <si>
    <t>394,601 – 501,050</t>
  </si>
  <si>
    <t>210,301 – 267,450</t>
  </si>
  <si>
    <t>35%</t>
  </si>
  <si>
    <t>250,526 – 626,350</t>
  </si>
  <si>
    <t>501,051 – 751,600</t>
  </si>
  <si>
    <t>267,451 – 626,350</t>
  </si>
  <si>
    <t>37%</t>
  </si>
  <si>
    <t>626,351+</t>
  </si>
  <si>
    <t>751,601+</t>
  </si>
  <si>
    <t>Bracket Lookup Table (used by Conversion Schedule)</t>
  </si>
  <si>
    <t>Rate</t>
  </si>
  <si>
    <t>Single upper</t>
  </si>
  <si>
    <t>Single cum</t>
  </si>
  <si>
    <t>MFJ upper</t>
  </si>
  <si>
    <t>MFJ cum</t>
  </si>
  <si>
    <t>HoH upper</t>
  </si>
  <si>
    <t>HoH cum</t>
  </si>
  <si>
    <t>Conversion Year</t>
  </si>
  <si>
    <t>Amount</t>
  </si>
  <si>
    <t>Seasoning Start</t>
  </si>
  <si>
    <t>Penalty-Free Date</t>
  </si>
  <si>
    <t>Age at PF Date</t>
  </si>
  <si>
    <t>Penalty-Free?</t>
  </si>
  <si>
    <t>Avail $</t>
  </si>
  <si>
    <t>Cumulative Avail</t>
  </si>
  <si>
    <t>Trad IRA</t>
  </si>
  <si>
    <t>Roth IRA</t>
  </si>
  <si>
    <t>Taxable</t>
  </si>
  <si>
    <t>Taxes Paid YTD</t>
  </si>
  <si>
    <t>Net Worth</t>
  </si>
  <si>
    <t>NW vs don't</t>
  </si>
  <si>
    <t>Scenario B: Don't convert</t>
  </si>
  <si>
    <t>Summary</t>
  </si>
  <si>
    <t>Total taxes paid (horizon)</t>
  </si>
  <si>
    <t>Ending NW (convert)</t>
  </si>
  <si>
    <t>Ending NW (don't)</t>
  </si>
  <si>
    <t>Break-even year (convert NW &gt;= don't)</t>
  </si>
  <si>
    <t>Scenario</t>
  </si>
  <si>
    <t>Conv / yr</t>
  </si>
  <si>
    <t>Est total taxes (window)</t>
  </si>
  <si>
    <t>Ending NW</t>
  </si>
  <si>
    <t>Break-even year</t>
  </si>
  <si>
    <t>A: Aggressive (fill 22%)</t>
  </si>
  <si>
    <t>N/A (mirror B4 into B21:B27)</t>
  </si>
  <si>
    <t>N/A</t>
  </si>
  <si>
    <t>B: Moderate (your plan avg)</t>
  </si>
  <si>
    <t>C: Conservative (fill 12%)</t>
  </si>
  <si>
    <t>N/A (mirror B6 into B21:B27)</t>
  </si>
  <si>
    <t>D: No conversion</t>
  </si>
  <si>
    <t>Scenario A: Convert (from schedule); NW matches column S (after-tax Trad + Roth + Taxable)</t>
  </si>
  <si>
    <t>What-If: bracket caps vs your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</si>
</sst>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&quot;$&quot;#,##0.00"/>
    <numFmt numFmtId="166" formatCode="0.0%"/>
    <numFmt numFmtId="167" formatCode="mmm\ yyyy"/>
  </numFmts>
  <fonts count="11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1"/>
      <color rgb="FF722F37"/>
      <name val="Calibri"/>
      <family val="2"/>
    </font>
    <font>
      <b/>
      <sz val="11"/>
      <color rgb="FF722F37"/>
      <name val="Calibri"/>
      <family val="2"/>
    </font>
    <font>
      <b/>
      <sz val="11"/>
      <color rgb="FF722F37"/>
      <name val="Calibri"/>
      <family val="2"/>
    </font>
    <font>
      <b/>
      <sz val="11"/>
      <name val="Calibri"/>
      <family val="2"/>
    </font>
    <font>
      <sz val="11"/>
      <color rgb="FF4472C4"/>
      <name val="Calibri"/>
      <family val="2"/>
    </font>
    <font>
      <b/>
      <i/>
      <sz val="11"/>
      <name val="Calibri"/>
      <family val="2"/>
    </font>
    <font>
      <b/>
      <sz val="11"/>
      <name val="Calibri"/>
      <family val="2"/>
    </font>
    <font>
      <sz val="11"/>
      <color rgb="FF4472C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5DC"/>
      </patternFill>
    </fill>
    <fill>
      <patternFill patternType="solid">
        <fgColor rgb="FFFFF2CC"/>
        <bgColor rgb="FFFFF2CC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164" fontId="1" fillId="0" borderId="0" xfId="0" applyNumberFormat="1" applyFont="1"/>
    <xf numFmtId="0" fontId="5" fillId="0" borderId="0" xfId="0" applyFont="1"/>
    <xf numFmtId="0" fontId="4" fillId="2" borderId="0" xfId="0" applyFont="1" applyFill="1"/>
    <xf numFmtId="0" fontId="6" fillId="0" borderId="0" xfId="0" applyFont="1"/>
    <xf numFmtId="164" fontId="1" fillId="3" borderId="0" xfId="0" applyNumberFormat="1" applyFont="1" applyFill="1"/>
    <xf numFmtId="1" fontId="1" fillId="3" borderId="0" xfId="0" applyNumberFormat="1" applyFont="1" applyFill="1"/>
    <xf numFmtId="166" fontId="1" fillId="3" borderId="0" xfId="0" applyNumberFormat="1" applyFont="1" applyFill="1"/>
    <xf numFmtId="0" fontId="0" fillId="3" borderId="0" xfId="0" applyFill="1"/>
    <xf numFmtId="166" fontId="0" fillId="3" borderId="0" xfId="0" applyNumberFormat="1" applyFill="1"/>
    <xf numFmtId="0" fontId="7" fillId="0" borderId="0" xfId="0" applyFont="1"/>
    <xf numFmtId="164" fontId="7" fillId="0" borderId="0" xfId="0" applyNumberFormat="1" applyFont="1"/>
    <xf numFmtId="165" fontId="7" fillId="0" borderId="0" xfId="0" applyNumberFormat="1" applyFont="1"/>
    <xf numFmtId="164" fontId="7" fillId="3" borderId="0" xfId="0" applyNumberFormat="1" applyFont="1" applyFill="1"/>
    <xf numFmtId="0" fontId="4" fillId="4" borderId="1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8" fillId="0" borderId="0" xfId="0" applyFont="1"/>
    <xf numFmtId="0" fontId="9" fillId="0" borderId="0" xfId="0" applyFont="1"/>
    <xf numFmtId="9" fontId="10" fillId="0" borderId="0" xfId="0" applyNumberFormat="1" applyFont="1"/>
    <xf numFmtId="4" fontId="10" fillId="0" borderId="0" xfId="0" applyNumberFormat="1" applyFont="1"/>
    <xf numFmtId="165" fontId="10" fillId="0" borderId="0" xfId="0" applyNumberFormat="1" applyFont="1"/>
    <xf numFmtId="0" fontId="4" fillId="2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167" fontId="7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5" fontId="7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FFE0B2"/>
          <bgColor rgb="FFFFE0B2"/>
        </patternFill>
      </fill>
    </dxf>
    <dxf>
      <fill>
        <patternFill patternType="solid">
          <fgColor rgb="FFC8E6C9"/>
          <bgColor rgb="FFC8E6C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showGridLines="0" tabSelected="1" topLeftCell="A4" workbookViewId="0">
      <selection activeCell="B9" sqref="B9"/>
    </sheetView>
  </sheetViews>
  <sheetFormatPr defaultRowHeight="15" x14ac:dyDescent="0.25"/>
  <cols>
    <col min="1" max="1" width="42" customWidth="1"/>
    <col min="2" max="2" width="19.85546875" bestFit="1" customWidth="1"/>
    <col min="3" max="3" width="39.5703125" bestFit="1" customWidth="1"/>
    <col min="4" max="4" width="16.140625" bestFit="1" customWidth="1"/>
    <col min="5" max="5" width="10.140625" bestFit="1" customWidth="1"/>
    <col min="6" max="6" width="11.7109375" bestFit="1" customWidth="1"/>
    <col min="7" max="7" width="10.140625" bestFit="1" customWidth="1"/>
  </cols>
  <sheetData>
    <row r="1" spans="1:3" x14ac:dyDescent="0.25">
      <c r="A1" s="1" t="s">
        <v>20</v>
      </c>
      <c r="B1" s="9">
        <v>420000</v>
      </c>
    </row>
    <row r="2" spans="1:3" x14ac:dyDescent="0.25">
      <c r="A2" s="1" t="s">
        <v>21</v>
      </c>
      <c r="B2" s="9">
        <v>35000</v>
      </c>
    </row>
    <row r="3" spans="1:3" x14ac:dyDescent="0.25">
      <c r="A3" s="1" t="s">
        <v>22</v>
      </c>
      <c r="B3" s="9">
        <v>180000</v>
      </c>
    </row>
    <row r="4" spans="1:3" x14ac:dyDescent="0.25">
      <c r="A4" s="1" t="s">
        <v>23</v>
      </c>
      <c r="B4" s="9">
        <v>45000</v>
      </c>
    </row>
    <row r="6" spans="1:3" x14ac:dyDescent="0.25">
      <c r="C6" s="2"/>
    </row>
    <row r="7" spans="1:3" x14ac:dyDescent="0.25">
      <c r="A7" s="1" t="s">
        <v>24</v>
      </c>
      <c r="B7" s="10">
        <v>48</v>
      </c>
    </row>
    <row r="8" spans="1:3" x14ac:dyDescent="0.25">
      <c r="A8" s="1" t="s">
        <v>25</v>
      </c>
      <c r="B8" s="10">
        <v>46</v>
      </c>
    </row>
    <row r="9" spans="1:3" x14ac:dyDescent="0.25">
      <c r="A9" s="1" t="s">
        <v>26</v>
      </c>
      <c r="B9" s="9" t="s">
        <v>27</v>
      </c>
    </row>
    <row r="10" spans="1:3" x14ac:dyDescent="0.25">
      <c r="A10" s="1" t="s">
        <v>28</v>
      </c>
      <c r="B10" s="9">
        <v>32000</v>
      </c>
    </row>
    <row r="11" spans="1:3" x14ac:dyDescent="0.25">
      <c r="A11" s="1" t="s">
        <v>29</v>
      </c>
      <c r="B11" s="11">
        <v>0.05</v>
      </c>
    </row>
    <row r="12" spans="1:3" x14ac:dyDescent="0.25">
      <c r="A12" s="1" t="s">
        <v>30</v>
      </c>
      <c r="B12" s="9">
        <v>65000</v>
      </c>
    </row>
    <row r="13" spans="1:3" x14ac:dyDescent="0.25">
      <c r="A13" s="1" t="s">
        <v>31</v>
      </c>
      <c r="B13" s="11">
        <v>0.06</v>
      </c>
    </row>
    <row r="14" spans="1:3" x14ac:dyDescent="0.25">
      <c r="A14" s="1" t="s">
        <v>32</v>
      </c>
      <c r="B14" s="10">
        <v>15</v>
      </c>
    </row>
    <row r="17" spans="1:4" x14ac:dyDescent="0.25">
      <c r="A17" s="1" t="s">
        <v>33</v>
      </c>
      <c r="B17" s="12">
        <v>2025</v>
      </c>
    </row>
    <row r="18" spans="1:4" x14ac:dyDescent="0.25">
      <c r="A18" s="1" t="s">
        <v>34</v>
      </c>
      <c r="B18" s="12">
        <v>7</v>
      </c>
    </row>
    <row r="19" spans="1:4" x14ac:dyDescent="0.25">
      <c r="A19" s="1" t="s">
        <v>35</v>
      </c>
      <c r="B19" s="9">
        <v>50000</v>
      </c>
    </row>
    <row r="20" spans="1:4" x14ac:dyDescent="0.25">
      <c r="A20" s="1" t="s">
        <v>36</v>
      </c>
      <c r="B20" s="9">
        <v>55000</v>
      </c>
    </row>
    <row r="21" spans="1:4" x14ac:dyDescent="0.25">
      <c r="A21" s="1" t="s">
        <v>37</v>
      </c>
      <c r="B21" s="9">
        <v>60000</v>
      </c>
    </row>
    <row r="22" spans="1:4" x14ac:dyDescent="0.25">
      <c r="A22" s="1" t="s">
        <v>38</v>
      </c>
      <c r="B22" s="9">
        <v>62000</v>
      </c>
    </row>
    <row r="23" spans="1:4" x14ac:dyDescent="0.25">
      <c r="A23" s="1" t="s">
        <v>39</v>
      </c>
      <c r="B23" s="9">
        <v>65000</v>
      </c>
    </row>
    <row r="24" spans="1:4" x14ac:dyDescent="0.25">
      <c r="A24" s="1" t="s">
        <v>40</v>
      </c>
      <c r="B24" s="9">
        <v>68000</v>
      </c>
    </row>
    <row r="25" spans="1:4" x14ac:dyDescent="0.25">
      <c r="A25" s="1" t="s">
        <v>41</v>
      </c>
      <c r="B25" s="9">
        <v>70000</v>
      </c>
    </row>
    <row r="28" spans="1:4" x14ac:dyDescent="0.25">
      <c r="A28" s="1" t="s">
        <v>42</v>
      </c>
      <c r="B28" s="13">
        <v>0.22</v>
      </c>
    </row>
    <row r="30" spans="1:4" x14ac:dyDescent="0.25">
      <c r="A30" s="3" t="s">
        <v>43</v>
      </c>
    </row>
    <row r="31" spans="1:4" x14ac:dyDescent="0.25">
      <c r="A31" s="18" t="s">
        <v>44</v>
      </c>
      <c r="B31" s="18" t="s">
        <v>45</v>
      </c>
      <c r="C31" s="18" t="s">
        <v>46</v>
      </c>
      <c r="D31" s="18" t="s">
        <v>47</v>
      </c>
    </row>
    <row r="32" spans="1:4" x14ac:dyDescent="0.25">
      <c r="A32" s="19" t="s">
        <v>48</v>
      </c>
      <c r="B32" s="19" t="s">
        <v>49</v>
      </c>
      <c r="C32" s="19" t="s">
        <v>50</v>
      </c>
      <c r="D32" s="19" t="s">
        <v>51</v>
      </c>
    </row>
    <row r="33" spans="1:7" x14ac:dyDescent="0.25">
      <c r="A33" s="19" t="s">
        <v>52</v>
      </c>
      <c r="B33" s="19" t="s">
        <v>53</v>
      </c>
      <c r="C33" s="19" t="s">
        <v>54</v>
      </c>
      <c r="D33" s="19" t="s">
        <v>55</v>
      </c>
    </row>
    <row r="34" spans="1:7" x14ac:dyDescent="0.25">
      <c r="A34" s="19" t="s">
        <v>56</v>
      </c>
      <c r="B34" s="19" t="s">
        <v>57</v>
      </c>
      <c r="C34" s="19" t="s">
        <v>58</v>
      </c>
      <c r="D34" s="19" t="s">
        <v>59</v>
      </c>
    </row>
    <row r="35" spans="1:7" x14ac:dyDescent="0.25">
      <c r="A35" s="19" t="s">
        <v>60</v>
      </c>
      <c r="B35" s="19" t="s">
        <v>61</v>
      </c>
      <c r="C35" s="19" t="s">
        <v>62</v>
      </c>
      <c r="D35" s="19" t="s">
        <v>63</v>
      </c>
    </row>
    <row r="36" spans="1:7" x14ac:dyDescent="0.25">
      <c r="A36" s="19" t="s">
        <v>64</v>
      </c>
      <c r="B36" s="19" t="s">
        <v>65</v>
      </c>
      <c r="C36" s="19" t="s">
        <v>66</v>
      </c>
      <c r="D36" s="19" t="s">
        <v>67</v>
      </c>
    </row>
    <row r="37" spans="1:7" x14ac:dyDescent="0.25">
      <c r="A37" s="19" t="s">
        <v>68</v>
      </c>
      <c r="B37" s="19" t="s">
        <v>69</v>
      </c>
      <c r="C37" s="19" t="s">
        <v>70</v>
      </c>
      <c r="D37" s="19" t="s">
        <v>71</v>
      </c>
    </row>
    <row r="38" spans="1:7" x14ac:dyDescent="0.25">
      <c r="A38" s="19" t="s">
        <v>72</v>
      </c>
      <c r="B38" s="19" t="s">
        <v>73</v>
      </c>
      <c r="C38" s="19" t="s">
        <v>74</v>
      </c>
      <c r="D38" s="19" t="s">
        <v>73</v>
      </c>
    </row>
    <row r="41" spans="1:7" x14ac:dyDescent="0.25">
      <c r="A41" s="20" t="s">
        <v>75</v>
      </c>
    </row>
    <row r="42" spans="1:7" x14ac:dyDescent="0.25">
      <c r="A42" s="21" t="s">
        <v>76</v>
      </c>
      <c r="B42" s="21" t="s">
        <v>77</v>
      </c>
      <c r="C42" s="21" t="s">
        <v>78</v>
      </c>
      <c r="D42" s="21" t="s">
        <v>79</v>
      </c>
      <c r="E42" s="21" t="s">
        <v>80</v>
      </c>
      <c r="F42" s="21" t="s">
        <v>81</v>
      </c>
      <c r="G42" s="21" t="s">
        <v>82</v>
      </c>
    </row>
    <row r="43" spans="1:7" x14ac:dyDescent="0.25">
      <c r="A43" s="22">
        <v>0.1</v>
      </c>
      <c r="B43" s="23">
        <v>11925</v>
      </c>
      <c r="C43" s="23">
        <v>0</v>
      </c>
      <c r="D43" s="23">
        <v>23850</v>
      </c>
      <c r="E43" s="23">
        <v>0</v>
      </c>
      <c r="F43" s="23">
        <v>17025</v>
      </c>
      <c r="G43" s="23">
        <v>0</v>
      </c>
    </row>
    <row r="44" spans="1:7" x14ac:dyDescent="0.25">
      <c r="A44" s="22">
        <v>0.12</v>
      </c>
      <c r="B44" s="23">
        <v>48475</v>
      </c>
      <c r="C44" s="23">
        <v>1192.5</v>
      </c>
      <c r="D44" s="23">
        <v>96950</v>
      </c>
      <c r="E44" s="23">
        <v>2385</v>
      </c>
      <c r="F44" s="23">
        <v>69250</v>
      </c>
      <c r="G44" s="23">
        <v>1702.5</v>
      </c>
    </row>
    <row r="45" spans="1:7" x14ac:dyDescent="0.25">
      <c r="A45" s="22">
        <v>0.22</v>
      </c>
      <c r="B45" s="23">
        <v>103350</v>
      </c>
      <c r="C45" s="23">
        <v>5578.5</v>
      </c>
      <c r="D45" s="23">
        <v>206700</v>
      </c>
      <c r="E45" s="23">
        <v>11157</v>
      </c>
      <c r="F45" s="23">
        <v>110150</v>
      </c>
      <c r="G45" s="23">
        <v>7975.5</v>
      </c>
    </row>
    <row r="46" spans="1:7" x14ac:dyDescent="0.25">
      <c r="A46" s="22">
        <v>0.24</v>
      </c>
      <c r="B46" s="23">
        <v>197300</v>
      </c>
      <c r="C46" s="23">
        <v>17651</v>
      </c>
      <c r="D46" s="23">
        <v>394600</v>
      </c>
      <c r="E46" s="23">
        <v>35302</v>
      </c>
      <c r="F46" s="23">
        <v>210300</v>
      </c>
      <c r="G46" s="23">
        <v>18993</v>
      </c>
    </row>
    <row r="47" spans="1:7" x14ac:dyDescent="0.25">
      <c r="A47" s="22">
        <v>0.32</v>
      </c>
      <c r="B47" s="23">
        <v>250525</v>
      </c>
      <c r="C47" s="23">
        <v>40199</v>
      </c>
      <c r="D47" s="23">
        <v>501050</v>
      </c>
      <c r="E47" s="23">
        <v>80398</v>
      </c>
      <c r="F47" s="23">
        <v>267450</v>
      </c>
      <c r="G47" s="23">
        <v>43029</v>
      </c>
    </row>
    <row r="48" spans="1:7" x14ac:dyDescent="0.25">
      <c r="A48" s="22">
        <v>0.35</v>
      </c>
      <c r="B48" s="23">
        <v>626350</v>
      </c>
      <c r="C48" s="23">
        <v>57231</v>
      </c>
      <c r="D48" s="23">
        <v>751600</v>
      </c>
      <c r="E48" s="23">
        <v>114462</v>
      </c>
      <c r="F48" s="23">
        <v>626350</v>
      </c>
      <c r="G48" s="23">
        <v>61317</v>
      </c>
    </row>
    <row r="49" spans="1:7" x14ac:dyDescent="0.25">
      <c r="A49" s="22">
        <v>0.37</v>
      </c>
      <c r="B49" s="23">
        <v>9999999</v>
      </c>
      <c r="C49" s="23">
        <v>188769.5</v>
      </c>
      <c r="D49" s="23">
        <v>9999999</v>
      </c>
      <c r="E49" s="23">
        <v>201814</v>
      </c>
      <c r="F49" s="23">
        <v>9999999</v>
      </c>
      <c r="G49" s="23">
        <v>186867</v>
      </c>
    </row>
  </sheetData>
  <dataValidations count="1">
    <dataValidation type="list" allowBlank="1" sqref="B9" xr:uid="{00000000-0002-0000-0000-000000000000}">
      <formula1>"Single,Married Filing Jointly,Head of Household"</formula1>
    </dataValidation>
  </dataValidations>
  <pageMargins left="0.75" right="0.75" top="1" bottom="1" header="0.5" footer="0.5"/>
  <ignoredErrors>
    <ignoredError sqref="A32:A3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7"/>
  <sheetViews>
    <sheetView workbookViewId="0">
      <pane ySplit="1" topLeftCell="A2" activePane="bottomLeft" state="frozen"/>
      <selection pane="bottomLeft" activeCell="L9" sqref="L9:L15"/>
    </sheetView>
  </sheetViews>
  <sheetFormatPr defaultRowHeight="15" x14ac:dyDescent="0.25"/>
  <cols>
    <col min="1" max="1" width="5" bestFit="1" customWidth="1"/>
    <col min="2" max="2" width="4.42578125" bestFit="1" customWidth="1"/>
    <col min="3" max="9" width="13.140625" customWidth="1"/>
    <col min="10" max="10" width="15.85546875" bestFit="1" customWidth="1"/>
    <col min="11" max="11" width="13.5703125" bestFit="1" customWidth="1"/>
    <col min="12" max="12" width="17" bestFit="1" customWidth="1"/>
    <col min="13" max="13" width="11.140625" bestFit="1" customWidth="1"/>
    <col min="14" max="14" width="9.140625" bestFit="1" customWidth="1"/>
    <col min="15" max="15" width="10.140625" bestFit="1" customWidth="1"/>
    <col min="16" max="16" width="16" bestFit="1" customWidth="1"/>
    <col min="17" max="17" width="15.5703125" bestFit="1" customWidth="1"/>
    <col min="18" max="18" width="15.85546875" bestFit="1" customWidth="1"/>
    <col min="19" max="19" width="24.7109375" bestFit="1" customWidth="1"/>
  </cols>
  <sheetData>
    <row r="1" spans="1:1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25">
      <c r="A2" s="14">
        <f>IF(ROW()-2&gt;=Situation!$B$14,"",Situation!$B$17+(ROW()-2))</f>
        <v>2025</v>
      </c>
      <c r="B2" s="14">
        <f>IF(A2="","",Situation!$B$7+A2-Situation!$B$17)</f>
        <v>48</v>
      </c>
      <c r="C2" s="15">
        <f>IF(A2="","",Situation!$B$1)</f>
        <v>420000</v>
      </c>
      <c r="D2" s="15">
        <f>IF(A2="",0,IF(A2&gt;=Situation!$B$17+Situation!$B$18,0,INDEX(Situation!$B$19:$B$25,MIN(7,A2-Situation!$B$17+1))))</f>
        <v>50000</v>
      </c>
      <c r="E2" s="15">
        <f>IF(A2="","",(C2-D2)*(1+Situation!$B$13))</f>
        <v>392200</v>
      </c>
      <c r="F2" s="15">
        <f>IF(A2="","",Situation!$B$2)</f>
        <v>35000</v>
      </c>
      <c r="G2" s="15">
        <f t="shared" ref="G2:G16" si="0">IF(A2="","",D2)</f>
        <v>50000</v>
      </c>
      <c r="H2" s="15">
        <f>IF(A2="","",(F2+G2)*(1+Situation!$B$13))</f>
        <v>90100</v>
      </c>
      <c r="I2" s="15">
        <f>IF(A2="","",Situation!$B$10)</f>
        <v>32000</v>
      </c>
      <c r="J2" s="15">
        <f t="shared" ref="J2:J16" si="1">IF(A2="","",I2+D2)</f>
        <v>82000</v>
      </c>
      <c r="K2" s="15">
        <f>IF(A2="","",IF(Situation!$B$9="Single",15000,IF(Situation!$B$9="Married Filing Jointly",30000,IF(Situation!$B$9="Head of Household",22500,15000)))*(1.02^(A2-Situation!$B$17)))</f>
        <v>30000</v>
      </c>
      <c r="L2" s="15">
        <f t="shared" ref="L2:L16" si="2">IF(A2="","",MAX(0,J2-K2))</f>
        <v>52000</v>
      </c>
      <c r="M2" s="24">
        <f>IF(A2="","",IF(Situation!$B$9="Married Filing Jointly",IF(L2&lt;=0,0,INDEX(Situation!$E$43:$E$49,MATCH(L2,Situation!$D$43:$D$49,1))+(L2-IF(MATCH(L2,Situation!$D$43:$D$49,1)=1,0,INDEX(Situation!$D$43:$D$49,MATCH(L2,Situation!$D$43:$D$49,1)-1)))*INDEX(Situation!$A$43:$A$49,MATCH(L2,Situation!$D$43:$D$49,1))),IF(Situation!$B$9="Head of Household",IF(L2&lt;=0,0,INDEX(Situation!$G$43:$G$49,MATCH(L2,Situation!$F$43:$F$49,1))+(L2-IF(MATCH(L2,Situation!$F$43:$F$49,1)=1,0,INDEX(Situation!$F$43:$F$49,MATCH(L2,Situation!$F$43:$F$49,1)-1)))*INDEX(Situation!$A$43:$A$49,MATCH(L2,Situation!$F$43:$F$49,1))),IF(L2&lt;=0,0,INDEX(Situation!$C$43:$C$49,MATCH(L2,Situation!$B$43:$B$49,1))+(L2-IF(MATCH(L2,Situation!$B$43:$B$49,1)=1,0,INDEX(Situation!$B$43:$B$49,MATCH(L2,Situation!$B$43:$B$49,1)-1)))*INDEX(Situation!$A$43:$A$49,MATCH(L2,Situation!$B$43:$B$49,1))))))</f>
        <v>5200</v>
      </c>
      <c r="N2" s="16">
        <f>IF(A2="","",L2*Situation!$B$11)</f>
        <v>2600</v>
      </c>
      <c r="O2" s="16">
        <f t="shared" ref="O2:O16" si="3">IF(A2="","",M2+N2)</f>
        <v>7800</v>
      </c>
      <c r="P2" s="22">
        <f>IF(OR(A2="",L2&lt;=0),"",IF(Situation!$B$9="Married Filing Jointly",INDEX(Situation!$A$43:$A$49,MATCH(L2,Situation!$D$43:$D$49,1)),IF(Situation!$B$9="Head of Household",INDEX(Situation!$A$43:$A$49,MATCH(L2,Situation!$F$43:$F$49,1)),INDEX(Situation!$A$43:$A$49,MATCH(L2,Situation!$B$43:$B$49,1)))))</f>
        <v>0.1</v>
      </c>
      <c r="Q2" s="1" t="s">
        <v>19</v>
      </c>
      <c r="R2" s="15">
        <f>IF(A2="","",(Situation!$B$3+Situation!$B$4-O2-MAX(0,Situation!$B$12-Situation!$B$10))*(1+Situation!$B$13))</f>
        <v>195252</v>
      </c>
      <c r="S2" s="15">
        <f>IF(A2="","",E2*(1-Situation!$B$28)+H2+R2)</f>
        <v>591268</v>
      </c>
    </row>
    <row r="3" spans="1:19" x14ac:dyDescent="0.25">
      <c r="A3" s="14">
        <f>IF(ROW()-2&gt;=Situation!$B$14,"",Situation!$B$17+(ROW()-2))</f>
        <v>2026</v>
      </c>
      <c r="B3" s="14">
        <f>IF(A3="","",Situation!$B$7+A3-Situation!$B$17)</f>
        <v>49</v>
      </c>
      <c r="C3" s="15">
        <f t="shared" ref="C3:C16" si="4">IF(A3="","",E2)</f>
        <v>392200</v>
      </c>
      <c r="D3" s="15">
        <f>IF(A3="",0,IF(A3&gt;=Situation!$B$17+Situation!$B$18,0,INDEX(Situation!$B$19:$B$25,MIN(7,A3-Situation!$B$17+1))))</f>
        <v>55000</v>
      </c>
      <c r="E3" s="15">
        <f>IF(A3="","",(C3-D3)*(1+Situation!$B$13))</f>
        <v>357432</v>
      </c>
      <c r="F3" s="15">
        <f t="shared" ref="F3:F16" si="5">IF(A3="","",H2)</f>
        <v>90100</v>
      </c>
      <c r="G3" s="15">
        <f t="shared" si="0"/>
        <v>55000</v>
      </c>
      <c r="H3" s="15">
        <f>IF(A3="","",(F3+G3)*(1+Situation!$B$13))</f>
        <v>153806</v>
      </c>
      <c r="I3" s="15">
        <f>IF(A3="","",Situation!$B$10)</f>
        <v>32000</v>
      </c>
      <c r="J3" s="15">
        <f t="shared" si="1"/>
        <v>87000</v>
      </c>
      <c r="K3" s="15">
        <f>IF(A3="","",IF(Situation!$B$9="Single",15000,IF(Situation!$B$9="Married Filing Jointly",30000,IF(Situation!$B$9="Head of Household",22500,15000)))*(1.02^(A3-Situation!$B$17)))</f>
        <v>30600</v>
      </c>
      <c r="L3" s="15">
        <f t="shared" si="2"/>
        <v>56400</v>
      </c>
      <c r="M3" s="24">
        <f>IF(A3="","",IF(Situation!$B$9="Married Filing Jointly",IF(L3&lt;=0,0,INDEX(Situation!$E$43:$E$49,MATCH(L3,Situation!$D$43:$D$49,1))+(L3-IF(MATCH(L3,Situation!$D$43:$D$49,1)=1,0,INDEX(Situation!$D$43:$D$49,MATCH(L3,Situation!$D$43:$D$49,1)-1)))*INDEX(Situation!$A$43:$A$49,MATCH(L3,Situation!$D$43:$D$49,1))),IF(Situation!$B$9="Head of Household",IF(L3&lt;=0,0,INDEX(Situation!$G$43:$G$49,MATCH(L3,Situation!$F$43:$F$49,1))+(L3-IF(MATCH(L3,Situation!$F$43:$F$49,1)=1,0,INDEX(Situation!$F$43:$F$49,MATCH(L3,Situation!$F$43:$F$49,1)-1)))*INDEX(Situation!$A$43:$A$49,MATCH(L3,Situation!$F$43:$F$49,1))),IF(L3&lt;=0,0,INDEX(Situation!$C$43:$C$49,MATCH(L3,Situation!$B$43:$B$49,1))+(L3-IF(MATCH(L3,Situation!$B$43:$B$49,1)=1,0,INDEX(Situation!$B$43:$B$49,MATCH(L3,Situation!$B$43:$B$49,1)-1)))*INDEX(Situation!$A$43:$A$49,MATCH(L3,Situation!$B$43:$B$49,1))))))</f>
        <v>5640</v>
      </c>
      <c r="N3" s="16">
        <f>IF(A3="","",L3*Situation!$B$11)</f>
        <v>2820</v>
      </c>
      <c r="O3" s="16">
        <f t="shared" si="3"/>
        <v>8460</v>
      </c>
      <c r="P3" s="22">
        <f>IF(OR(A3="",L3&lt;=0),"",IF(Situation!$B$9="Married Filing Jointly",INDEX(Situation!$A$43:$A$49,MATCH(L3,Situation!$D$43:$D$49,1)),IF(Situation!$B$9="Head of Household",INDEX(Situation!$A$43:$A$49,MATCH(L3,Situation!$F$43:$F$49,1)),INDEX(Situation!$A$43:$A$49,MATCH(L3,Situation!$B$43:$B$49,1)))))</f>
        <v>0.1</v>
      </c>
      <c r="Q3" s="1" t="s">
        <v>19</v>
      </c>
      <c r="R3" s="15">
        <f>IF(A3="","",(R2-O3-MAX(0,Situation!$B$12-Situation!$B$10))*(1+Situation!$B$13))</f>
        <v>163019.52000000002</v>
      </c>
      <c r="S3" s="15">
        <f>IF(A3="","",E3*(1-Situation!$B$28)+H3+R3)</f>
        <v>595622.48</v>
      </c>
    </row>
    <row r="4" spans="1:19" x14ac:dyDescent="0.25">
      <c r="A4" s="14">
        <f>IF(ROW()-2&gt;=Situation!$B$14,"",Situation!$B$17+(ROW()-2))</f>
        <v>2027</v>
      </c>
      <c r="B4" s="14">
        <f>IF(A4="","",Situation!$B$7+A4-Situation!$B$17)</f>
        <v>50</v>
      </c>
      <c r="C4" s="15">
        <f t="shared" si="4"/>
        <v>357432</v>
      </c>
      <c r="D4" s="15">
        <f>IF(A4="",0,IF(A4&gt;=Situation!$B$17+Situation!$B$18,0,INDEX(Situation!$B$19:$B$25,MIN(7,A4-Situation!$B$17+1))))</f>
        <v>60000</v>
      </c>
      <c r="E4" s="15">
        <f>IF(A4="","",(C4-D4)*(1+Situation!$B$13))</f>
        <v>315277.92000000004</v>
      </c>
      <c r="F4" s="15">
        <f t="shared" si="5"/>
        <v>153806</v>
      </c>
      <c r="G4" s="15">
        <f t="shared" si="0"/>
        <v>60000</v>
      </c>
      <c r="H4" s="15">
        <f>IF(A4="","",(F4+G4)*(1+Situation!$B$13))</f>
        <v>226634.36000000002</v>
      </c>
      <c r="I4" s="15">
        <f>IF(A4="","",Situation!$B$10)</f>
        <v>32000</v>
      </c>
      <c r="J4" s="15">
        <f t="shared" si="1"/>
        <v>92000</v>
      </c>
      <c r="K4" s="15">
        <f>IF(A4="","",IF(Situation!$B$9="Single",15000,IF(Situation!$B$9="Married Filing Jointly",30000,IF(Situation!$B$9="Head of Household",22500,15000)))*(1.02^(A4-Situation!$B$17)))</f>
        <v>31212</v>
      </c>
      <c r="L4" s="15">
        <f t="shared" si="2"/>
        <v>60788</v>
      </c>
      <c r="M4" s="24">
        <f>IF(A4="","",IF(Situation!$B$9="Married Filing Jointly",IF(L4&lt;=0,0,INDEX(Situation!$E$43:$E$49,MATCH(L4,Situation!$D$43:$D$49,1))+(L4-IF(MATCH(L4,Situation!$D$43:$D$49,1)=1,0,INDEX(Situation!$D$43:$D$49,MATCH(L4,Situation!$D$43:$D$49,1)-1)))*INDEX(Situation!$A$43:$A$49,MATCH(L4,Situation!$D$43:$D$49,1))),IF(Situation!$B$9="Head of Household",IF(L4&lt;=0,0,INDEX(Situation!$G$43:$G$49,MATCH(L4,Situation!$F$43:$F$49,1))+(L4-IF(MATCH(L4,Situation!$F$43:$F$49,1)=1,0,INDEX(Situation!$F$43:$F$49,MATCH(L4,Situation!$F$43:$F$49,1)-1)))*INDEX(Situation!$A$43:$A$49,MATCH(L4,Situation!$F$43:$F$49,1))),IF(L4&lt;=0,0,INDEX(Situation!$C$43:$C$49,MATCH(L4,Situation!$B$43:$B$49,1))+(L4-IF(MATCH(L4,Situation!$B$43:$B$49,1)=1,0,INDEX(Situation!$B$43:$B$49,MATCH(L4,Situation!$B$43:$B$49,1)-1)))*INDEX(Situation!$A$43:$A$49,MATCH(L4,Situation!$B$43:$B$49,1))))))</f>
        <v>6078.8</v>
      </c>
      <c r="N4" s="16">
        <f>IF(A4="","",L4*Situation!$B$11)</f>
        <v>3039.4</v>
      </c>
      <c r="O4" s="16">
        <f t="shared" si="3"/>
        <v>9118.2000000000007</v>
      </c>
      <c r="P4" s="22">
        <f>IF(OR(A4="",L4&lt;=0),"",IF(Situation!$B$9="Married Filing Jointly",INDEX(Situation!$A$43:$A$49,MATCH(L4,Situation!$D$43:$D$49,1)),IF(Situation!$B$9="Head of Household",INDEX(Situation!$A$43:$A$49,MATCH(L4,Situation!$F$43:$F$49,1)),INDEX(Situation!$A$43:$A$49,MATCH(L4,Situation!$B$43:$B$49,1)))))</f>
        <v>0.1</v>
      </c>
      <c r="Q4" s="1" t="s">
        <v>19</v>
      </c>
      <c r="R4" s="15">
        <f>IF(A4="","",(R3-O4-MAX(0,Situation!$B$12-Situation!$B$10))*(1+Situation!$B$13))</f>
        <v>128155.39920000001</v>
      </c>
      <c r="S4" s="15">
        <f>IF(A4="","",E4*(1-Situation!$B$28)+H4+R4)</f>
        <v>600706.5368</v>
      </c>
    </row>
    <row r="5" spans="1:19" x14ac:dyDescent="0.25">
      <c r="A5" s="14">
        <f>IF(ROW()-2&gt;=Situation!$B$14,"",Situation!$B$17+(ROW()-2))</f>
        <v>2028</v>
      </c>
      <c r="B5" s="14">
        <f>IF(A5="","",Situation!$B$7+A5-Situation!$B$17)</f>
        <v>51</v>
      </c>
      <c r="C5" s="15">
        <f t="shared" si="4"/>
        <v>315277.92000000004</v>
      </c>
      <c r="D5" s="15">
        <f>IF(A5="",0,IF(A5&gt;=Situation!$B$17+Situation!$B$18,0,INDEX(Situation!$B$19:$B$25,MIN(7,A5-Situation!$B$17+1))))</f>
        <v>62000</v>
      </c>
      <c r="E5" s="15">
        <f>IF(A5="","",(C5-D5)*(1+Situation!$B$13))</f>
        <v>268474.59520000004</v>
      </c>
      <c r="F5" s="15">
        <f t="shared" si="5"/>
        <v>226634.36000000002</v>
      </c>
      <c r="G5" s="15">
        <f t="shared" si="0"/>
        <v>62000</v>
      </c>
      <c r="H5" s="15">
        <f>IF(A5="","",(F5+G5)*(1+Situation!$B$13))</f>
        <v>305952.4216</v>
      </c>
      <c r="I5" s="15">
        <f>IF(A5="","",Situation!$B$10)</f>
        <v>32000</v>
      </c>
      <c r="J5" s="15">
        <f t="shared" si="1"/>
        <v>94000</v>
      </c>
      <c r="K5" s="15">
        <f>IF(A5="","",IF(Situation!$B$9="Single",15000,IF(Situation!$B$9="Married Filing Jointly",30000,IF(Situation!$B$9="Head of Household",22500,15000)))*(1.02^(A5-Situation!$B$17)))</f>
        <v>31836.239999999998</v>
      </c>
      <c r="L5" s="15">
        <f t="shared" si="2"/>
        <v>62163.76</v>
      </c>
      <c r="M5" s="24">
        <f>IF(A5="","",IF(Situation!$B$9="Married Filing Jointly",IF(L5&lt;=0,0,INDEX(Situation!$E$43:$E$49,MATCH(L5,Situation!$D$43:$D$49,1))+(L5-IF(MATCH(L5,Situation!$D$43:$D$49,1)=1,0,INDEX(Situation!$D$43:$D$49,MATCH(L5,Situation!$D$43:$D$49,1)-1)))*INDEX(Situation!$A$43:$A$49,MATCH(L5,Situation!$D$43:$D$49,1))),IF(Situation!$B$9="Head of Household",IF(L5&lt;=0,0,INDEX(Situation!$G$43:$G$49,MATCH(L5,Situation!$F$43:$F$49,1))+(L5-IF(MATCH(L5,Situation!$F$43:$F$49,1)=1,0,INDEX(Situation!$F$43:$F$49,MATCH(L5,Situation!$F$43:$F$49,1)-1)))*INDEX(Situation!$A$43:$A$49,MATCH(L5,Situation!$F$43:$F$49,1))),IF(L5&lt;=0,0,INDEX(Situation!$C$43:$C$49,MATCH(L5,Situation!$B$43:$B$49,1))+(L5-IF(MATCH(L5,Situation!$B$43:$B$49,1)=1,0,INDEX(Situation!$B$43:$B$49,MATCH(L5,Situation!$B$43:$B$49,1)-1)))*INDEX(Situation!$A$43:$A$49,MATCH(L5,Situation!$B$43:$B$49,1))))))</f>
        <v>6216.3760000000002</v>
      </c>
      <c r="N5" s="16">
        <f>IF(A5="","",L5*Situation!$B$11)</f>
        <v>3108.1880000000001</v>
      </c>
      <c r="O5" s="16">
        <f t="shared" si="3"/>
        <v>9324.5640000000003</v>
      </c>
      <c r="P5" s="22">
        <f>IF(OR(A5="",L5&lt;=0),"",IF(Situation!$B$9="Married Filing Jointly",INDEX(Situation!$A$43:$A$49,MATCH(L5,Situation!$D$43:$D$49,1)),IF(Situation!$B$9="Head of Household",INDEX(Situation!$A$43:$A$49,MATCH(L5,Situation!$F$43:$F$49,1)),INDEX(Situation!$A$43:$A$49,MATCH(L5,Situation!$B$43:$B$49,1)))))</f>
        <v>0.1</v>
      </c>
      <c r="Q5" s="1" t="s">
        <v>19</v>
      </c>
      <c r="R5" s="15">
        <f>IF(A5="","",(R4-O5-MAX(0,Situation!$B$12-Situation!$B$10))*(1+Situation!$B$13))</f>
        <v>90980.685312000016</v>
      </c>
      <c r="S5" s="15">
        <f>IF(A5="","",E5*(1-Situation!$B$28)+H5+R5)</f>
        <v>606343.29116800008</v>
      </c>
    </row>
    <row r="6" spans="1:19" x14ac:dyDescent="0.25">
      <c r="A6" s="14">
        <f>IF(ROW()-2&gt;=Situation!$B$14,"",Situation!$B$17+(ROW()-2))</f>
        <v>2029</v>
      </c>
      <c r="B6" s="14">
        <f>IF(A6="","",Situation!$B$7+A6-Situation!$B$17)</f>
        <v>52</v>
      </c>
      <c r="C6" s="15">
        <f t="shared" si="4"/>
        <v>268474.59520000004</v>
      </c>
      <c r="D6" s="15">
        <f>IF(A6="",0,IF(A6&gt;=Situation!$B$17+Situation!$B$18,0,INDEX(Situation!$B$19:$B$25,MIN(7,A6-Situation!$B$17+1))))</f>
        <v>65000</v>
      </c>
      <c r="E6" s="15">
        <f>IF(A6="","",(C6-D6)*(1+Situation!$B$13))</f>
        <v>215683.07091200005</v>
      </c>
      <c r="F6" s="15">
        <f t="shared" si="5"/>
        <v>305952.4216</v>
      </c>
      <c r="G6" s="15">
        <f t="shared" si="0"/>
        <v>65000</v>
      </c>
      <c r="H6" s="15">
        <f>IF(A6="","",(F6+G6)*(1+Situation!$B$13))</f>
        <v>393209.566896</v>
      </c>
      <c r="I6" s="15">
        <f>IF(A6="","",Situation!$B$10)</f>
        <v>32000</v>
      </c>
      <c r="J6" s="15">
        <f t="shared" si="1"/>
        <v>97000</v>
      </c>
      <c r="K6" s="15">
        <f>IF(A6="","",IF(Situation!$B$9="Single",15000,IF(Situation!$B$9="Married Filing Jointly",30000,IF(Situation!$B$9="Head of Household",22500,15000)))*(1.02^(A6-Situation!$B$17)))</f>
        <v>32472.964799999998</v>
      </c>
      <c r="L6" s="15">
        <f t="shared" si="2"/>
        <v>64527.035199999998</v>
      </c>
      <c r="M6" s="24">
        <f>IF(A6="","",IF(Situation!$B$9="Married Filing Jointly",IF(L6&lt;=0,0,INDEX(Situation!$E$43:$E$49,MATCH(L6,Situation!$D$43:$D$49,1))+(L6-IF(MATCH(L6,Situation!$D$43:$D$49,1)=1,0,INDEX(Situation!$D$43:$D$49,MATCH(L6,Situation!$D$43:$D$49,1)-1)))*INDEX(Situation!$A$43:$A$49,MATCH(L6,Situation!$D$43:$D$49,1))),IF(Situation!$B$9="Head of Household",IF(L6&lt;=0,0,INDEX(Situation!$G$43:$G$49,MATCH(L6,Situation!$F$43:$F$49,1))+(L6-IF(MATCH(L6,Situation!$F$43:$F$49,1)=1,0,INDEX(Situation!$F$43:$F$49,MATCH(L6,Situation!$F$43:$F$49,1)-1)))*INDEX(Situation!$A$43:$A$49,MATCH(L6,Situation!$F$43:$F$49,1))),IF(L6&lt;=0,0,INDEX(Situation!$C$43:$C$49,MATCH(L6,Situation!$B$43:$B$49,1))+(L6-IF(MATCH(L6,Situation!$B$43:$B$49,1)=1,0,INDEX(Situation!$B$43:$B$49,MATCH(L6,Situation!$B$43:$B$49,1)-1)))*INDEX(Situation!$A$43:$A$49,MATCH(L6,Situation!$B$43:$B$49,1))))))</f>
        <v>6452.70352</v>
      </c>
      <c r="N6" s="16">
        <f>IF(A6="","",L6*Situation!$B$11)</f>
        <v>3226.35176</v>
      </c>
      <c r="O6" s="16">
        <f t="shared" si="3"/>
        <v>9679.0552800000005</v>
      </c>
      <c r="P6" s="22">
        <f>IF(OR(A6="",L6&lt;=0),"",IF(Situation!$B$9="Married Filing Jointly",INDEX(Situation!$A$43:$A$49,MATCH(L6,Situation!$D$43:$D$49,1)),IF(Situation!$B$9="Head of Household",INDEX(Situation!$A$43:$A$49,MATCH(L6,Situation!$F$43:$F$49,1)),INDEX(Situation!$A$43:$A$49,MATCH(L6,Situation!$B$43:$B$49,1)))))</f>
        <v>0.1</v>
      </c>
      <c r="Q6" s="1" t="s">
        <v>19</v>
      </c>
      <c r="R6" s="15">
        <f>IF(A6="","",(R5-O6-MAX(0,Situation!$B$12-Situation!$B$10))*(1+Situation!$B$13))</f>
        <v>51199.72783392002</v>
      </c>
      <c r="S6" s="15">
        <f>IF(A6="","",E6*(1-Situation!$B$28)+H6+R6)</f>
        <v>612642.09004128014</v>
      </c>
    </row>
    <row r="7" spans="1:19" x14ac:dyDescent="0.25">
      <c r="A7" s="14">
        <f>IF(ROW()-2&gt;=Situation!$B$14,"",Situation!$B$17+(ROW()-2))</f>
        <v>2030</v>
      </c>
      <c r="B7" s="14">
        <f>IF(A7="","",Situation!$B$7+A7-Situation!$B$17)</f>
        <v>53</v>
      </c>
      <c r="C7" s="15">
        <f t="shared" si="4"/>
        <v>215683.07091200005</v>
      </c>
      <c r="D7" s="15">
        <f>IF(A7="",0,IF(A7&gt;=Situation!$B$17+Situation!$B$18,0,INDEX(Situation!$B$19:$B$25,MIN(7,A7-Situation!$B$17+1))))</f>
        <v>68000</v>
      </c>
      <c r="E7" s="15">
        <f>IF(A7="","",(C7-D7)*(1+Situation!$B$13))</f>
        <v>156544.05516672006</v>
      </c>
      <c r="F7" s="15">
        <f t="shared" si="5"/>
        <v>393209.566896</v>
      </c>
      <c r="G7" s="15">
        <f t="shared" si="0"/>
        <v>68000</v>
      </c>
      <c r="H7" s="15">
        <f>IF(A7="","",(F7+G7)*(1+Situation!$B$13))</f>
        <v>488882.14090976003</v>
      </c>
      <c r="I7" s="15">
        <f>IF(A7="","",Situation!$B$10)</f>
        <v>32000</v>
      </c>
      <c r="J7" s="15">
        <f t="shared" si="1"/>
        <v>100000</v>
      </c>
      <c r="K7" s="15">
        <f>IF(A7="","",IF(Situation!$B$9="Single",15000,IF(Situation!$B$9="Married Filing Jointly",30000,IF(Situation!$B$9="Head of Household",22500,15000)))*(1.02^(A7-Situation!$B$17)))</f>
        <v>33122.424096000002</v>
      </c>
      <c r="L7" s="15">
        <f t="shared" si="2"/>
        <v>66877.575903999998</v>
      </c>
      <c r="M7" s="24">
        <f>IF(A7="","",IF(Situation!$B$9="Married Filing Jointly",IF(L7&lt;=0,0,INDEX(Situation!$E$43:$E$49,MATCH(L7,Situation!$D$43:$D$49,1))+(L7-IF(MATCH(L7,Situation!$D$43:$D$49,1)=1,0,INDEX(Situation!$D$43:$D$49,MATCH(L7,Situation!$D$43:$D$49,1)-1)))*INDEX(Situation!$A$43:$A$49,MATCH(L7,Situation!$D$43:$D$49,1))),IF(Situation!$B$9="Head of Household",IF(L7&lt;=0,0,INDEX(Situation!$G$43:$G$49,MATCH(L7,Situation!$F$43:$F$49,1))+(L7-IF(MATCH(L7,Situation!$F$43:$F$49,1)=1,0,INDEX(Situation!$F$43:$F$49,MATCH(L7,Situation!$F$43:$F$49,1)-1)))*INDEX(Situation!$A$43:$A$49,MATCH(L7,Situation!$F$43:$F$49,1))),IF(L7&lt;=0,0,INDEX(Situation!$C$43:$C$49,MATCH(L7,Situation!$B$43:$B$49,1))+(L7-IF(MATCH(L7,Situation!$B$43:$B$49,1)=1,0,INDEX(Situation!$B$43:$B$49,MATCH(L7,Situation!$B$43:$B$49,1)-1)))*INDEX(Situation!$A$43:$A$49,MATCH(L7,Situation!$B$43:$B$49,1))))))</f>
        <v>6687.7575904000005</v>
      </c>
      <c r="N7" s="16">
        <f>IF(A7="","",L7*Situation!$B$11)</f>
        <v>3343.8787952000002</v>
      </c>
      <c r="O7" s="16">
        <f t="shared" si="3"/>
        <v>10031.636385600001</v>
      </c>
      <c r="P7" s="22">
        <f>IF(OR(A7="",L7&lt;=0),"",IF(Situation!$B$9="Married Filing Jointly",INDEX(Situation!$A$43:$A$49,MATCH(L7,Situation!$D$43:$D$49,1)),IF(Situation!$B$9="Head of Household",INDEX(Situation!$A$43:$A$49,MATCH(L7,Situation!$F$43:$F$49,1)),INDEX(Situation!$A$43:$A$49,MATCH(L7,Situation!$B$43:$B$49,1)))))</f>
        <v>0.1</v>
      </c>
      <c r="Q7" s="1" t="s">
        <v>19</v>
      </c>
      <c r="R7" s="15">
        <f>IF(A7="","",(R6-O7-MAX(0,Situation!$B$12-Situation!$B$10))*(1+Situation!$B$13))</f>
        <v>8658.1769352192186</v>
      </c>
      <c r="S7" s="15">
        <f>IF(A7="","",E7*(1-Situation!$B$28)+H7+R7)</f>
        <v>619644.68087502092</v>
      </c>
    </row>
    <row r="8" spans="1:19" x14ac:dyDescent="0.25">
      <c r="A8" s="14">
        <f>IF(ROW()-2&gt;=Situation!$B$14,"",Situation!$B$17+(ROW()-2))</f>
        <v>2031</v>
      </c>
      <c r="B8" s="14">
        <f>IF(A8="","",Situation!$B$7+A8-Situation!$B$17)</f>
        <v>54</v>
      </c>
      <c r="C8" s="15">
        <f t="shared" si="4"/>
        <v>156544.05516672006</v>
      </c>
      <c r="D8" s="15">
        <f>IF(A8="",0,IF(A8&gt;=Situation!$B$17+Situation!$B$18,0,INDEX(Situation!$B$19:$B$25,MIN(7,A8-Situation!$B$17+1))))</f>
        <v>70000</v>
      </c>
      <c r="E8" s="15">
        <f>IF(A8="","",(C8-D8)*(1+Situation!$B$13))</f>
        <v>91736.698476723279</v>
      </c>
      <c r="F8" s="15">
        <f t="shared" si="5"/>
        <v>488882.14090976003</v>
      </c>
      <c r="G8" s="15">
        <f t="shared" si="0"/>
        <v>70000</v>
      </c>
      <c r="H8" s="15">
        <f>IF(A8="","",(F8+G8)*(1+Situation!$B$13))</f>
        <v>592415.06936434563</v>
      </c>
      <c r="I8" s="15">
        <f>IF(A8="","",Situation!$B$10)</f>
        <v>32000</v>
      </c>
      <c r="J8" s="15">
        <f t="shared" si="1"/>
        <v>102000</v>
      </c>
      <c r="K8" s="15">
        <f>IF(A8="","",IF(Situation!$B$9="Single",15000,IF(Situation!$B$9="Married Filing Jointly",30000,IF(Situation!$B$9="Head of Household",22500,15000)))*(1.02^(A8-Situation!$B$17)))</f>
        <v>33784.872577920003</v>
      </c>
      <c r="L8" s="15">
        <f t="shared" si="2"/>
        <v>68215.127422079997</v>
      </c>
      <c r="M8" s="24">
        <f>IF(A8="","",IF(Situation!$B$9="Married Filing Jointly",IF(L8&lt;=0,0,INDEX(Situation!$E$43:$E$49,MATCH(L8,Situation!$D$43:$D$49,1))+(L8-IF(MATCH(L8,Situation!$D$43:$D$49,1)=1,0,INDEX(Situation!$D$43:$D$49,MATCH(L8,Situation!$D$43:$D$49,1)-1)))*INDEX(Situation!$A$43:$A$49,MATCH(L8,Situation!$D$43:$D$49,1))),IF(Situation!$B$9="Head of Household",IF(L8&lt;=0,0,INDEX(Situation!$G$43:$G$49,MATCH(L8,Situation!$F$43:$F$49,1))+(L8-IF(MATCH(L8,Situation!$F$43:$F$49,1)=1,0,INDEX(Situation!$F$43:$F$49,MATCH(L8,Situation!$F$43:$F$49,1)-1)))*INDEX(Situation!$A$43:$A$49,MATCH(L8,Situation!$F$43:$F$49,1))),IF(L8&lt;=0,0,INDEX(Situation!$C$43:$C$49,MATCH(L8,Situation!$B$43:$B$49,1))+(L8-IF(MATCH(L8,Situation!$B$43:$B$49,1)=1,0,INDEX(Situation!$B$43:$B$49,MATCH(L8,Situation!$B$43:$B$49,1)-1)))*INDEX(Situation!$A$43:$A$49,MATCH(L8,Situation!$B$43:$B$49,1))))))</f>
        <v>6821.5127422080004</v>
      </c>
      <c r="N8" s="16">
        <f>IF(A8="","",L8*Situation!$B$11)</f>
        <v>3410.7563711040002</v>
      </c>
      <c r="O8" s="16">
        <f t="shared" si="3"/>
        <v>10232.269113312001</v>
      </c>
      <c r="P8" s="22">
        <f>IF(OR(A8="",L8&lt;=0),"",IF(Situation!$B$9="Married Filing Jointly",INDEX(Situation!$A$43:$A$49,MATCH(L8,Situation!$D$43:$D$49,1)),IF(Situation!$B$9="Head of Household",INDEX(Situation!$A$43:$A$49,MATCH(L8,Situation!$F$43:$F$49,1)),INDEX(Situation!$A$43:$A$49,MATCH(L8,Situation!$B$43:$B$49,1)))))</f>
        <v>0.1</v>
      </c>
      <c r="Q8" s="1" t="s">
        <v>19</v>
      </c>
      <c r="R8" s="15">
        <f>IF(A8="","",(R7-O8-MAX(0,Situation!$B$12-Situation!$B$10))*(1+Situation!$B$13))</f>
        <v>-36648.537708778349</v>
      </c>
      <c r="S8" s="15">
        <f>IF(A8="","",E8*(1-Situation!$B$28)+H8+R8)</f>
        <v>627321.15646741143</v>
      </c>
    </row>
    <row r="9" spans="1:19" x14ac:dyDescent="0.25">
      <c r="A9" s="14">
        <f>IF(ROW()-2&gt;=Situation!$B$14,"",Situation!$B$17+(ROW()-2))</f>
        <v>2032</v>
      </c>
      <c r="B9" s="14">
        <f>IF(A9="","",Situation!$B$7+A9-Situation!$B$17)</f>
        <v>55</v>
      </c>
      <c r="C9" s="15">
        <f t="shared" si="4"/>
        <v>91736.698476723279</v>
      </c>
      <c r="D9" s="15">
        <f>IF(A9="",0,IF(A9&gt;=Situation!$B$17+Situation!$B$18,0,INDEX(Situation!$B$19:$B$25,MIN(7,A9-Situation!$B$17+1))))</f>
        <v>0</v>
      </c>
      <c r="E9" s="15">
        <f>IF(A9="","",(C9-D9)*(1+Situation!$B$13))</f>
        <v>97240.900385326677</v>
      </c>
      <c r="F9" s="15">
        <f t="shared" si="5"/>
        <v>592415.06936434563</v>
      </c>
      <c r="G9" s="15">
        <f t="shared" si="0"/>
        <v>0</v>
      </c>
      <c r="H9" s="15">
        <f>IF(A9="","",(F9+G9)*(1+Situation!$B$13))</f>
        <v>627959.97352620645</v>
      </c>
      <c r="I9" s="15">
        <f>IF(A9="","",Situation!$B$10)</f>
        <v>32000</v>
      </c>
      <c r="J9" s="15">
        <f t="shared" si="1"/>
        <v>32000</v>
      </c>
      <c r="K9" s="15">
        <f>IF(A9="","",IF(Situation!$B$9="Single",15000,IF(Situation!$B$9="Married Filing Jointly",30000,IF(Situation!$B$9="Head of Household",22500,15000)))*(1.02^(A9-Situation!$B$17)))</f>
        <v>34460.570029478396</v>
      </c>
      <c r="L9" s="15">
        <f t="shared" si="2"/>
        <v>0</v>
      </c>
      <c r="M9" s="24">
        <f>IF(A9="","",IF(Situation!$B$9="Married Filing Jointly",IF(L9&lt;=0,0,INDEX(Situation!$E$43:$E$49,MATCH(L9,Situation!$D$43:$D$49,1))+(L9-IF(MATCH(L9,Situation!$D$43:$D$49,1)=1,0,INDEX(Situation!$D$43:$D$49,MATCH(L9,Situation!$D$43:$D$49,1)-1)))*INDEX(Situation!$A$43:$A$49,MATCH(L9,Situation!$D$43:$D$49,1))),IF(Situation!$B$9="Head of Household",IF(L9&lt;=0,0,INDEX(Situation!$G$43:$G$49,MATCH(L9,Situation!$F$43:$F$49,1))+(L9-IF(MATCH(L9,Situation!$F$43:$F$49,1)=1,0,INDEX(Situation!$F$43:$F$49,MATCH(L9,Situation!$F$43:$F$49,1)-1)))*INDEX(Situation!$A$43:$A$49,MATCH(L9,Situation!$F$43:$F$49,1))),IF(L9&lt;=0,0,INDEX(Situation!$C$43:$C$49,MATCH(L9,Situation!$B$43:$B$49,1))+(L9-IF(MATCH(L9,Situation!$B$43:$B$49,1)=1,0,INDEX(Situation!$B$43:$B$49,MATCH(L9,Situation!$B$43:$B$49,1)-1)))*INDEX(Situation!$A$43:$A$49,MATCH(L9,Situation!$B$43:$B$49,1))))))</f>
        <v>0</v>
      </c>
      <c r="N9" s="16">
        <f>IF(A9="","",L9*Situation!$B$11)</f>
        <v>0</v>
      </c>
      <c r="O9" s="16">
        <f t="shared" si="3"/>
        <v>0</v>
      </c>
      <c r="P9" s="22" t="str">
        <f>IF(OR(A9="",L9&lt;=0),"",IF(Situation!$B$9="Married Filing Jointly",INDEX(Situation!$A$43:$A$49,MATCH(L9,Situation!$D$43:$D$49,1)),IF(Situation!$B$9="Head of Household",INDEX(Situation!$A$43:$A$49,MATCH(L9,Situation!$F$43:$F$49,1)),INDEX(Situation!$A$43:$A$49,MATCH(L9,Situation!$B$43:$B$49,1)))))</f>
        <v/>
      </c>
      <c r="Q9" s="1" t="s">
        <v>19</v>
      </c>
      <c r="R9" s="15">
        <f>IF(A9="","",(R8-O9-MAX(0,Situation!$B$12-Situation!$B$10))*(1+Situation!$B$13))</f>
        <v>-73827.449971305046</v>
      </c>
      <c r="S9" s="15">
        <f>IF(A9="","",E9*(1-Situation!$B$28)+H9+R9)</f>
        <v>629980.42585545615</v>
      </c>
    </row>
    <row r="10" spans="1:19" x14ac:dyDescent="0.25">
      <c r="A10" s="14">
        <f>IF(ROW()-2&gt;=Situation!$B$14,"",Situation!$B$17+(ROW()-2))</f>
        <v>2033</v>
      </c>
      <c r="B10" s="14">
        <f>IF(A10="","",Situation!$B$7+A10-Situation!$B$17)</f>
        <v>56</v>
      </c>
      <c r="C10" s="15">
        <f t="shared" si="4"/>
        <v>97240.900385326677</v>
      </c>
      <c r="D10" s="15">
        <f>IF(A10="",0,IF(A10&gt;=Situation!$B$17+Situation!$B$18,0,INDEX(Situation!$B$19:$B$25,MIN(7,A10-Situation!$B$17+1))))</f>
        <v>0</v>
      </c>
      <c r="E10" s="15">
        <f>IF(A10="","",(C10-D10)*(1+Situation!$B$13))</f>
        <v>103075.35440844628</v>
      </c>
      <c r="F10" s="15">
        <f t="shared" si="5"/>
        <v>627959.97352620645</v>
      </c>
      <c r="G10" s="15">
        <f t="shared" si="0"/>
        <v>0</v>
      </c>
      <c r="H10" s="15">
        <f>IF(A10="","",(F10+G10)*(1+Situation!$B$13))</f>
        <v>665637.57193777885</v>
      </c>
      <c r="I10" s="15">
        <f>IF(A10="","",Situation!$B$10)</f>
        <v>32000</v>
      </c>
      <c r="J10" s="15">
        <f t="shared" si="1"/>
        <v>32000</v>
      </c>
      <c r="K10" s="15">
        <f>IF(A10="","",IF(Situation!$B$9="Single",15000,IF(Situation!$B$9="Married Filing Jointly",30000,IF(Situation!$B$9="Head of Household",22500,15000)))*(1.02^(A10-Situation!$B$17)))</f>
        <v>35149.781430067967</v>
      </c>
      <c r="L10" s="15">
        <f t="shared" si="2"/>
        <v>0</v>
      </c>
      <c r="M10" s="24">
        <f>IF(A10="","",IF(Situation!$B$9="Married Filing Jointly",IF(L10&lt;=0,0,INDEX(Situation!$E$43:$E$49,MATCH(L10,Situation!$D$43:$D$49,1))+(L10-IF(MATCH(L10,Situation!$D$43:$D$49,1)=1,0,INDEX(Situation!$D$43:$D$49,MATCH(L10,Situation!$D$43:$D$49,1)-1)))*INDEX(Situation!$A$43:$A$49,MATCH(L10,Situation!$D$43:$D$49,1))),IF(Situation!$B$9="Head of Household",IF(L10&lt;=0,0,INDEX(Situation!$G$43:$G$49,MATCH(L10,Situation!$F$43:$F$49,1))+(L10-IF(MATCH(L10,Situation!$F$43:$F$49,1)=1,0,INDEX(Situation!$F$43:$F$49,MATCH(L10,Situation!$F$43:$F$49,1)-1)))*INDEX(Situation!$A$43:$A$49,MATCH(L10,Situation!$F$43:$F$49,1))),IF(L10&lt;=0,0,INDEX(Situation!$C$43:$C$49,MATCH(L10,Situation!$B$43:$B$49,1))+(L10-IF(MATCH(L10,Situation!$B$43:$B$49,1)=1,0,INDEX(Situation!$B$43:$B$49,MATCH(L10,Situation!$B$43:$B$49,1)-1)))*INDEX(Situation!$A$43:$A$49,MATCH(L10,Situation!$B$43:$B$49,1))))))</f>
        <v>0</v>
      </c>
      <c r="N10" s="16">
        <f>IF(A10="","",L10*Situation!$B$11)</f>
        <v>0</v>
      </c>
      <c r="O10" s="16">
        <f t="shared" si="3"/>
        <v>0</v>
      </c>
      <c r="P10" s="22" t="str">
        <f>IF(OR(A10="",L10&lt;=0),"",IF(Situation!$B$9="Married Filing Jointly",INDEX(Situation!$A$43:$A$49,MATCH(L10,Situation!$D$43:$D$49,1)),IF(Situation!$B$9="Head of Household",INDEX(Situation!$A$43:$A$49,MATCH(L10,Situation!$F$43:$F$49,1)),INDEX(Situation!$A$43:$A$49,MATCH(L10,Situation!$B$43:$B$49,1)))))</f>
        <v/>
      </c>
      <c r="Q10" s="1" t="s">
        <v>19</v>
      </c>
      <c r="R10" s="15">
        <f>IF(A10="","",(R9-O10-MAX(0,Situation!$B$12-Situation!$B$10))*(1+Situation!$B$13))</f>
        <v>-113237.09696958335</v>
      </c>
      <c r="S10" s="15">
        <f>IF(A10="","",E10*(1-Situation!$B$28)+H10+R10)</f>
        <v>632799.2514067837</v>
      </c>
    </row>
    <row r="11" spans="1:19" x14ac:dyDescent="0.25">
      <c r="A11" s="14">
        <f>IF(ROW()-2&gt;=Situation!$B$14,"",Situation!$B$17+(ROW()-2))</f>
        <v>2034</v>
      </c>
      <c r="B11" s="14">
        <f>IF(A11="","",Situation!$B$7+A11-Situation!$B$17)</f>
        <v>57</v>
      </c>
      <c r="C11" s="15">
        <f t="shared" si="4"/>
        <v>103075.35440844628</v>
      </c>
      <c r="D11" s="15">
        <f>IF(A11="",0,IF(A11&gt;=Situation!$B$17+Situation!$B$18,0,INDEX(Situation!$B$19:$B$25,MIN(7,A11-Situation!$B$17+1))))</f>
        <v>0</v>
      </c>
      <c r="E11" s="15">
        <f>IF(A11="","",(C11-D11)*(1+Situation!$B$13))</f>
        <v>109259.87567295306</v>
      </c>
      <c r="F11" s="15">
        <f t="shared" si="5"/>
        <v>665637.57193777885</v>
      </c>
      <c r="G11" s="15">
        <f t="shared" si="0"/>
        <v>0</v>
      </c>
      <c r="H11" s="15">
        <f>IF(A11="","",(F11+G11)*(1+Situation!$B$13))</f>
        <v>705575.82625404559</v>
      </c>
      <c r="I11" s="15">
        <f>IF(A11="","",Situation!$B$10)</f>
        <v>32000</v>
      </c>
      <c r="J11" s="15">
        <f t="shared" si="1"/>
        <v>32000</v>
      </c>
      <c r="K11" s="15">
        <f>IF(A11="","",IF(Situation!$B$9="Single",15000,IF(Situation!$B$9="Married Filing Jointly",30000,IF(Situation!$B$9="Head of Household",22500,15000)))*(1.02^(A11-Situation!$B$17)))</f>
        <v>35852.777058669322</v>
      </c>
      <c r="L11" s="15">
        <f t="shared" si="2"/>
        <v>0</v>
      </c>
      <c r="M11" s="24">
        <f>IF(A11="","",IF(Situation!$B$9="Married Filing Jointly",IF(L11&lt;=0,0,INDEX(Situation!$E$43:$E$49,MATCH(L11,Situation!$D$43:$D$49,1))+(L11-IF(MATCH(L11,Situation!$D$43:$D$49,1)=1,0,INDEX(Situation!$D$43:$D$49,MATCH(L11,Situation!$D$43:$D$49,1)-1)))*INDEX(Situation!$A$43:$A$49,MATCH(L11,Situation!$D$43:$D$49,1))),IF(Situation!$B$9="Head of Household",IF(L11&lt;=0,0,INDEX(Situation!$G$43:$G$49,MATCH(L11,Situation!$F$43:$F$49,1))+(L11-IF(MATCH(L11,Situation!$F$43:$F$49,1)=1,0,INDEX(Situation!$F$43:$F$49,MATCH(L11,Situation!$F$43:$F$49,1)-1)))*INDEX(Situation!$A$43:$A$49,MATCH(L11,Situation!$F$43:$F$49,1))),IF(L11&lt;=0,0,INDEX(Situation!$C$43:$C$49,MATCH(L11,Situation!$B$43:$B$49,1))+(L11-IF(MATCH(L11,Situation!$B$43:$B$49,1)=1,0,INDEX(Situation!$B$43:$B$49,MATCH(L11,Situation!$B$43:$B$49,1)-1)))*INDEX(Situation!$A$43:$A$49,MATCH(L11,Situation!$B$43:$B$49,1))))))</f>
        <v>0</v>
      </c>
      <c r="N11" s="16">
        <f>IF(A11="","",L11*Situation!$B$11)</f>
        <v>0</v>
      </c>
      <c r="O11" s="16">
        <f t="shared" si="3"/>
        <v>0</v>
      </c>
      <c r="P11" s="22" t="str">
        <f>IF(OR(A11="",L11&lt;=0),"",IF(Situation!$B$9="Married Filing Jointly",INDEX(Situation!$A$43:$A$49,MATCH(L11,Situation!$D$43:$D$49,1)),IF(Situation!$B$9="Head of Household",INDEX(Situation!$A$43:$A$49,MATCH(L11,Situation!$F$43:$F$49,1)),INDEX(Situation!$A$43:$A$49,MATCH(L11,Situation!$B$43:$B$49,1)))))</f>
        <v/>
      </c>
      <c r="Q11" s="1" t="s">
        <v>19</v>
      </c>
      <c r="R11" s="15">
        <f>IF(A11="","",(R10-O11-MAX(0,Situation!$B$12-Situation!$B$10))*(1+Situation!$B$13))</f>
        <v>-155011.32278775837</v>
      </c>
      <c r="S11" s="15">
        <f>IF(A11="","",E11*(1-Situation!$B$28)+H11+R11)</f>
        <v>635787.20649119071</v>
      </c>
    </row>
    <row r="12" spans="1:19" x14ac:dyDescent="0.25">
      <c r="A12" s="14">
        <f>IF(ROW()-2&gt;=Situation!$B$14,"",Situation!$B$17+(ROW()-2))</f>
        <v>2035</v>
      </c>
      <c r="B12" s="14">
        <f>IF(A12="","",Situation!$B$7+A12-Situation!$B$17)</f>
        <v>58</v>
      </c>
      <c r="C12" s="15">
        <f t="shared" si="4"/>
        <v>109259.87567295306</v>
      </c>
      <c r="D12" s="15">
        <f>IF(A12="",0,IF(A12&gt;=Situation!$B$17+Situation!$B$18,0,INDEX(Situation!$B$19:$B$25,MIN(7,A12-Situation!$B$17+1))))</f>
        <v>0</v>
      </c>
      <c r="E12" s="15">
        <f>IF(A12="","",(C12-D12)*(1+Situation!$B$13))</f>
        <v>115815.46821333024</v>
      </c>
      <c r="F12" s="15">
        <f t="shared" si="5"/>
        <v>705575.82625404559</v>
      </c>
      <c r="G12" s="15">
        <f t="shared" si="0"/>
        <v>0</v>
      </c>
      <c r="H12" s="15">
        <f>IF(A12="","",(F12+G12)*(1+Situation!$B$13))</f>
        <v>747910.37582928839</v>
      </c>
      <c r="I12" s="15">
        <f>IF(A12="","",Situation!$B$10)</f>
        <v>32000</v>
      </c>
      <c r="J12" s="15">
        <f t="shared" si="1"/>
        <v>32000</v>
      </c>
      <c r="K12" s="15">
        <f>IF(A12="","",IF(Situation!$B$9="Single",15000,IF(Situation!$B$9="Married Filing Jointly",30000,IF(Situation!$B$9="Head of Household",22500,15000)))*(1.02^(A12-Situation!$B$17)))</f>
        <v>36569.83259984271</v>
      </c>
      <c r="L12" s="15">
        <f t="shared" si="2"/>
        <v>0</v>
      </c>
      <c r="M12" s="24">
        <f>IF(A12="","",IF(Situation!$B$9="Married Filing Jointly",IF(L12&lt;=0,0,INDEX(Situation!$E$43:$E$49,MATCH(L12,Situation!$D$43:$D$49,1))+(L12-IF(MATCH(L12,Situation!$D$43:$D$49,1)=1,0,INDEX(Situation!$D$43:$D$49,MATCH(L12,Situation!$D$43:$D$49,1)-1)))*INDEX(Situation!$A$43:$A$49,MATCH(L12,Situation!$D$43:$D$49,1))),IF(Situation!$B$9="Head of Household",IF(L12&lt;=0,0,INDEX(Situation!$G$43:$G$49,MATCH(L12,Situation!$F$43:$F$49,1))+(L12-IF(MATCH(L12,Situation!$F$43:$F$49,1)=1,0,INDEX(Situation!$F$43:$F$49,MATCH(L12,Situation!$F$43:$F$49,1)-1)))*INDEX(Situation!$A$43:$A$49,MATCH(L12,Situation!$F$43:$F$49,1))),IF(L12&lt;=0,0,INDEX(Situation!$C$43:$C$49,MATCH(L12,Situation!$B$43:$B$49,1))+(L12-IF(MATCH(L12,Situation!$B$43:$B$49,1)=1,0,INDEX(Situation!$B$43:$B$49,MATCH(L12,Situation!$B$43:$B$49,1)-1)))*INDEX(Situation!$A$43:$A$49,MATCH(L12,Situation!$B$43:$B$49,1))))))</f>
        <v>0</v>
      </c>
      <c r="N12" s="16">
        <f>IF(A12="","",L12*Situation!$B$11)</f>
        <v>0</v>
      </c>
      <c r="O12" s="16">
        <f t="shared" si="3"/>
        <v>0</v>
      </c>
      <c r="P12" s="22" t="str">
        <f>IF(OR(A12="",L12&lt;=0),"",IF(Situation!$B$9="Married Filing Jointly",INDEX(Situation!$A$43:$A$49,MATCH(L12,Situation!$D$43:$D$49,1)),IF(Situation!$B$9="Head of Household",INDEX(Situation!$A$43:$A$49,MATCH(L12,Situation!$F$43:$F$49,1)),INDEX(Situation!$A$43:$A$49,MATCH(L12,Situation!$B$43:$B$49,1)))))</f>
        <v/>
      </c>
      <c r="Q12" s="1" t="s">
        <v>19</v>
      </c>
      <c r="R12" s="15">
        <f>IF(A12="","",(R11-O12-MAX(0,Situation!$B$12-Situation!$B$10))*(1+Situation!$B$13))</f>
        <v>-199292.00215502389</v>
      </c>
      <c r="S12" s="15">
        <f>IF(A12="","",E12*(1-Situation!$B$28)+H12+R12)</f>
        <v>638954.43888066208</v>
      </c>
    </row>
    <row r="13" spans="1:19" x14ac:dyDescent="0.25">
      <c r="A13" s="14">
        <f>IF(ROW()-2&gt;=Situation!$B$14,"",Situation!$B$17+(ROW()-2))</f>
        <v>2036</v>
      </c>
      <c r="B13" s="14">
        <f>IF(A13="","",Situation!$B$7+A13-Situation!$B$17)</f>
        <v>59</v>
      </c>
      <c r="C13" s="15">
        <f t="shared" si="4"/>
        <v>115815.46821333024</v>
      </c>
      <c r="D13" s="15">
        <f>IF(A13="",0,IF(A13&gt;=Situation!$B$17+Situation!$B$18,0,INDEX(Situation!$B$19:$B$25,MIN(7,A13-Situation!$B$17+1))))</f>
        <v>0</v>
      </c>
      <c r="E13" s="15">
        <f>IF(A13="","",(C13-D13)*(1+Situation!$B$13))</f>
        <v>122764.39630613006</v>
      </c>
      <c r="F13" s="15">
        <f t="shared" si="5"/>
        <v>747910.37582928839</v>
      </c>
      <c r="G13" s="15">
        <f t="shared" si="0"/>
        <v>0</v>
      </c>
      <c r="H13" s="15">
        <f>IF(A13="","",(F13+G13)*(1+Situation!$B$13))</f>
        <v>792784.99837904575</v>
      </c>
      <c r="I13" s="15">
        <f>IF(A13="","",Situation!$B$10)</f>
        <v>32000</v>
      </c>
      <c r="J13" s="15">
        <f t="shared" si="1"/>
        <v>32000</v>
      </c>
      <c r="K13" s="15">
        <f>IF(A13="","",IF(Situation!$B$9="Single",15000,IF(Situation!$B$9="Married Filing Jointly",30000,IF(Situation!$B$9="Head of Household",22500,15000)))*(1.02^(A13-Situation!$B$17)))</f>
        <v>37301.229251839562</v>
      </c>
      <c r="L13" s="15">
        <f t="shared" si="2"/>
        <v>0</v>
      </c>
      <c r="M13" s="24">
        <f>IF(A13="","",IF(Situation!$B$9="Married Filing Jointly",IF(L13&lt;=0,0,INDEX(Situation!$E$43:$E$49,MATCH(L13,Situation!$D$43:$D$49,1))+(L13-IF(MATCH(L13,Situation!$D$43:$D$49,1)=1,0,INDEX(Situation!$D$43:$D$49,MATCH(L13,Situation!$D$43:$D$49,1)-1)))*INDEX(Situation!$A$43:$A$49,MATCH(L13,Situation!$D$43:$D$49,1))),IF(Situation!$B$9="Head of Household",IF(L13&lt;=0,0,INDEX(Situation!$G$43:$G$49,MATCH(L13,Situation!$F$43:$F$49,1))+(L13-IF(MATCH(L13,Situation!$F$43:$F$49,1)=1,0,INDEX(Situation!$F$43:$F$49,MATCH(L13,Situation!$F$43:$F$49,1)-1)))*INDEX(Situation!$A$43:$A$49,MATCH(L13,Situation!$F$43:$F$49,1))),IF(L13&lt;=0,0,INDEX(Situation!$C$43:$C$49,MATCH(L13,Situation!$B$43:$B$49,1))+(L13-IF(MATCH(L13,Situation!$B$43:$B$49,1)=1,0,INDEX(Situation!$B$43:$B$49,MATCH(L13,Situation!$B$43:$B$49,1)-1)))*INDEX(Situation!$A$43:$A$49,MATCH(L13,Situation!$B$43:$B$49,1))))))</f>
        <v>0</v>
      </c>
      <c r="N13" s="16">
        <f>IF(A13="","",L13*Situation!$B$11)</f>
        <v>0</v>
      </c>
      <c r="O13" s="16">
        <f t="shared" si="3"/>
        <v>0</v>
      </c>
      <c r="P13" s="22" t="str">
        <f>IF(OR(A13="",L13&lt;=0),"",IF(Situation!$B$9="Married Filing Jointly",INDEX(Situation!$A$43:$A$49,MATCH(L13,Situation!$D$43:$D$49,1)),IF(Situation!$B$9="Head of Household",INDEX(Situation!$A$43:$A$49,MATCH(L13,Situation!$F$43:$F$49,1)),INDEX(Situation!$A$43:$A$49,MATCH(L13,Situation!$B$43:$B$49,1)))))</f>
        <v/>
      </c>
      <c r="Q13" s="1" t="s">
        <v>19</v>
      </c>
      <c r="R13" s="15">
        <f>IF(A13="","",(R12-O13-MAX(0,Situation!$B$12-Situation!$B$10))*(1+Situation!$B$13))</f>
        <v>-246229.52228432533</v>
      </c>
      <c r="S13" s="15">
        <f>IF(A13="","",E13*(1-Situation!$B$28)+H13+R13)</f>
        <v>642311.70521350193</v>
      </c>
    </row>
    <row r="14" spans="1:19" x14ac:dyDescent="0.25">
      <c r="A14" s="14">
        <f>IF(ROW()-2&gt;=Situation!$B$14,"",Situation!$B$17+(ROW()-2))</f>
        <v>2037</v>
      </c>
      <c r="B14" s="14">
        <f>IF(A14="","",Situation!$B$7+A14-Situation!$B$17)</f>
        <v>60</v>
      </c>
      <c r="C14" s="15">
        <f t="shared" si="4"/>
        <v>122764.39630613006</v>
      </c>
      <c r="D14" s="15">
        <f>IF(A14="",0,IF(A14&gt;=Situation!$B$17+Situation!$B$18,0,INDEX(Situation!$B$19:$B$25,MIN(7,A14-Situation!$B$17+1))))</f>
        <v>0</v>
      </c>
      <c r="E14" s="15">
        <f>IF(A14="","",(C14-D14)*(1+Situation!$B$13))</f>
        <v>130130.26008449787</v>
      </c>
      <c r="F14" s="15">
        <f t="shared" si="5"/>
        <v>792784.99837904575</v>
      </c>
      <c r="G14" s="15">
        <f t="shared" si="0"/>
        <v>0</v>
      </c>
      <c r="H14" s="15">
        <f>IF(A14="","",(F14+G14)*(1+Situation!$B$13))</f>
        <v>840352.09828178852</v>
      </c>
      <c r="I14" s="15">
        <f>IF(A14="","",Situation!$B$10)</f>
        <v>32000</v>
      </c>
      <c r="J14" s="15">
        <f t="shared" si="1"/>
        <v>32000</v>
      </c>
      <c r="K14" s="15">
        <f>IF(A14="","",IF(Situation!$B$9="Single",15000,IF(Situation!$B$9="Married Filing Jointly",30000,IF(Situation!$B$9="Head of Household",22500,15000)))*(1.02^(A14-Situation!$B$17)))</f>
        <v>38047.253836876356</v>
      </c>
      <c r="L14" s="15">
        <f t="shared" si="2"/>
        <v>0</v>
      </c>
      <c r="M14" s="24">
        <f>IF(A14="","",IF(Situation!$B$9="Married Filing Jointly",IF(L14&lt;=0,0,INDEX(Situation!$E$43:$E$49,MATCH(L14,Situation!$D$43:$D$49,1))+(L14-IF(MATCH(L14,Situation!$D$43:$D$49,1)=1,0,INDEX(Situation!$D$43:$D$49,MATCH(L14,Situation!$D$43:$D$49,1)-1)))*INDEX(Situation!$A$43:$A$49,MATCH(L14,Situation!$D$43:$D$49,1))),IF(Situation!$B$9="Head of Household",IF(L14&lt;=0,0,INDEX(Situation!$G$43:$G$49,MATCH(L14,Situation!$F$43:$F$49,1))+(L14-IF(MATCH(L14,Situation!$F$43:$F$49,1)=1,0,INDEX(Situation!$F$43:$F$49,MATCH(L14,Situation!$F$43:$F$49,1)-1)))*INDEX(Situation!$A$43:$A$49,MATCH(L14,Situation!$F$43:$F$49,1))),IF(L14&lt;=0,0,INDEX(Situation!$C$43:$C$49,MATCH(L14,Situation!$B$43:$B$49,1))+(L14-IF(MATCH(L14,Situation!$B$43:$B$49,1)=1,0,INDEX(Situation!$B$43:$B$49,MATCH(L14,Situation!$B$43:$B$49,1)-1)))*INDEX(Situation!$A$43:$A$49,MATCH(L14,Situation!$B$43:$B$49,1))))))</f>
        <v>0</v>
      </c>
      <c r="N14" s="16">
        <f>IF(A14="","",L14*Situation!$B$11)</f>
        <v>0</v>
      </c>
      <c r="O14" s="16">
        <f t="shared" si="3"/>
        <v>0</v>
      </c>
      <c r="P14" s="22" t="str">
        <f>IF(OR(A14="",L14&lt;=0),"",IF(Situation!$B$9="Married Filing Jointly",INDEX(Situation!$A$43:$A$49,MATCH(L14,Situation!$D$43:$D$49,1)),IF(Situation!$B$9="Head of Household",INDEX(Situation!$A$43:$A$49,MATCH(L14,Situation!$F$43:$F$49,1)),INDEX(Situation!$A$43:$A$49,MATCH(L14,Situation!$B$43:$B$49,1)))))</f>
        <v/>
      </c>
      <c r="Q14" s="1" t="s">
        <v>19</v>
      </c>
      <c r="R14" s="15">
        <f>IF(A14="","",(R13-O14-MAX(0,Situation!$B$12-Situation!$B$10))*(1+Situation!$B$13))</f>
        <v>-295983.29362138489</v>
      </c>
      <c r="S14" s="15">
        <f>IF(A14="","",E14*(1-Situation!$B$28)+H14+R14)</f>
        <v>645870.40752631193</v>
      </c>
    </row>
    <row r="15" spans="1:19" x14ac:dyDescent="0.25">
      <c r="A15" s="14">
        <f>IF(ROW()-2&gt;=Situation!$B$14,"",Situation!$B$17+(ROW()-2))</f>
        <v>2038</v>
      </c>
      <c r="B15" s="14">
        <f>IF(A15="","",Situation!$B$7+A15-Situation!$B$17)</f>
        <v>61</v>
      </c>
      <c r="C15" s="15">
        <f t="shared" si="4"/>
        <v>130130.26008449787</v>
      </c>
      <c r="D15" s="15">
        <f>IF(A15="",0,IF(A15&gt;=Situation!$B$17+Situation!$B$18,0,INDEX(Situation!$B$19:$B$25,MIN(7,A15-Situation!$B$17+1))))</f>
        <v>0</v>
      </c>
      <c r="E15" s="15">
        <f>IF(A15="","",(C15-D15)*(1+Situation!$B$13))</f>
        <v>137938.07568956775</v>
      </c>
      <c r="F15" s="15">
        <f t="shared" si="5"/>
        <v>840352.09828178852</v>
      </c>
      <c r="G15" s="15">
        <f t="shared" si="0"/>
        <v>0</v>
      </c>
      <c r="H15" s="15">
        <f>IF(A15="","",(F15+G15)*(1+Situation!$B$13))</f>
        <v>890773.22417869593</v>
      </c>
      <c r="I15" s="15">
        <f>IF(A15="","",Situation!$B$10)</f>
        <v>32000</v>
      </c>
      <c r="J15" s="15">
        <f t="shared" si="1"/>
        <v>32000</v>
      </c>
      <c r="K15" s="15">
        <f>IF(A15="","",IF(Situation!$B$9="Single",15000,IF(Situation!$B$9="Married Filing Jointly",30000,IF(Situation!$B$9="Head of Household",22500,15000)))*(1.02^(A15-Situation!$B$17)))</f>
        <v>38808.19891361388</v>
      </c>
      <c r="L15" s="15">
        <f t="shared" si="2"/>
        <v>0</v>
      </c>
      <c r="M15" s="24">
        <f>IF(A15="","",IF(Situation!$B$9="Married Filing Jointly",IF(L15&lt;=0,0,INDEX(Situation!$E$43:$E$49,MATCH(L15,Situation!$D$43:$D$49,1))+(L15-IF(MATCH(L15,Situation!$D$43:$D$49,1)=1,0,INDEX(Situation!$D$43:$D$49,MATCH(L15,Situation!$D$43:$D$49,1)-1)))*INDEX(Situation!$A$43:$A$49,MATCH(L15,Situation!$D$43:$D$49,1))),IF(Situation!$B$9="Head of Household",IF(L15&lt;=0,0,INDEX(Situation!$G$43:$G$49,MATCH(L15,Situation!$F$43:$F$49,1))+(L15-IF(MATCH(L15,Situation!$F$43:$F$49,1)=1,0,INDEX(Situation!$F$43:$F$49,MATCH(L15,Situation!$F$43:$F$49,1)-1)))*INDEX(Situation!$A$43:$A$49,MATCH(L15,Situation!$F$43:$F$49,1))),IF(L15&lt;=0,0,INDEX(Situation!$C$43:$C$49,MATCH(L15,Situation!$B$43:$B$49,1))+(L15-IF(MATCH(L15,Situation!$B$43:$B$49,1)=1,0,INDEX(Situation!$B$43:$B$49,MATCH(L15,Situation!$B$43:$B$49,1)-1)))*INDEX(Situation!$A$43:$A$49,MATCH(L15,Situation!$B$43:$B$49,1))))))</f>
        <v>0</v>
      </c>
      <c r="N15" s="16">
        <f>IF(A15="","",L15*Situation!$B$11)</f>
        <v>0</v>
      </c>
      <c r="O15" s="16">
        <f t="shared" si="3"/>
        <v>0</v>
      </c>
      <c r="P15" s="22" t="str">
        <f>IF(OR(A15="",L15&lt;=0),"",IF(Situation!$B$9="Married Filing Jointly",INDEX(Situation!$A$43:$A$49,MATCH(L15,Situation!$D$43:$D$49,1)),IF(Situation!$B$9="Head of Household",INDEX(Situation!$A$43:$A$49,MATCH(L15,Situation!$F$43:$F$49,1)),INDEX(Situation!$A$43:$A$49,MATCH(L15,Situation!$B$43:$B$49,1)))))</f>
        <v/>
      </c>
      <c r="Q15" s="1" t="s">
        <v>19</v>
      </c>
      <c r="R15" s="15">
        <f>IF(A15="","",(R14-O15-MAX(0,Situation!$B$12-Situation!$B$10))*(1+Situation!$B$13))</f>
        <v>-348722.29123866803</v>
      </c>
      <c r="S15" s="15">
        <f>IF(A15="","",E15*(1-Situation!$B$28)+H15+R15)</f>
        <v>649642.63197789073</v>
      </c>
    </row>
    <row r="16" spans="1:19" x14ac:dyDescent="0.25">
      <c r="A16" s="14">
        <f>IF(ROW()-2&gt;=Situation!$B$14,"",Situation!$B$17+(ROW()-2))</f>
        <v>2039</v>
      </c>
      <c r="B16" s="14">
        <f>IF(A16="","",Situation!$B$7+A16-Situation!$B$17)</f>
        <v>62</v>
      </c>
      <c r="C16" s="15">
        <f t="shared" si="4"/>
        <v>137938.07568956775</v>
      </c>
      <c r="D16" s="15">
        <f>IF(A16="",0,IF(A16&gt;=Situation!$B$17+Situation!$B$18,0,INDEX(Situation!$B$19:$B$25,MIN(7,A16-Situation!$B$17+1))))</f>
        <v>0</v>
      </c>
      <c r="E16" s="15">
        <f>IF(A16="","",(C16-D16)*(1+Situation!$B$13))</f>
        <v>146214.36023094182</v>
      </c>
      <c r="F16" s="15">
        <f t="shared" si="5"/>
        <v>890773.22417869593</v>
      </c>
      <c r="G16" s="15">
        <f t="shared" si="0"/>
        <v>0</v>
      </c>
      <c r="H16" s="15">
        <f>IF(A16="","",(F16+G16)*(1+Situation!$B$13))</f>
        <v>944219.61762941768</v>
      </c>
      <c r="I16" s="15">
        <f>IF(A16="","",Situation!$B$10)</f>
        <v>32000</v>
      </c>
      <c r="J16" s="15">
        <f t="shared" si="1"/>
        <v>32000</v>
      </c>
      <c r="K16" s="15">
        <f>IF(A16="","",IF(Situation!$B$9="Single",15000,IF(Situation!$B$9="Married Filing Jointly",30000,IF(Situation!$B$9="Head of Household",22500,15000)))*(1.02^(A16-Situation!$B$17)))</f>
        <v>39584.362891886165</v>
      </c>
      <c r="L16" s="15">
        <f t="shared" si="2"/>
        <v>0</v>
      </c>
      <c r="M16" s="24">
        <f>IF(A16="","",IF(Situation!$B$9="Married Filing Jointly",IF(L16&lt;=0,0,INDEX(Situation!$E$43:$E$49,MATCH(L16,Situation!$D$43:$D$49,1))+(L16-IF(MATCH(L16,Situation!$D$43:$D$49,1)=1,0,INDEX(Situation!$D$43:$D$49,MATCH(L16,Situation!$D$43:$D$49,1)-1)))*INDEX(Situation!$A$43:$A$49,MATCH(L16,Situation!$D$43:$D$49,1))),IF(Situation!$B$9="Head of Household",IF(L16&lt;=0,0,INDEX(Situation!$G$43:$G$49,MATCH(L16,Situation!$F$43:$F$49,1))+(L16-IF(MATCH(L16,Situation!$F$43:$F$49,1)=1,0,INDEX(Situation!$F$43:$F$49,MATCH(L16,Situation!$F$43:$F$49,1)-1)))*INDEX(Situation!$A$43:$A$49,MATCH(L16,Situation!$F$43:$F$49,1))),IF(L16&lt;=0,0,INDEX(Situation!$C$43:$C$49,MATCH(L16,Situation!$B$43:$B$49,1))+(L16-IF(MATCH(L16,Situation!$B$43:$B$49,1)=1,0,INDEX(Situation!$B$43:$B$49,MATCH(L16,Situation!$B$43:$B$49,1)-1)))*INDEX(Situation!$A$43:$A$49,MATCH(L16,Situation!$B$43:$B$49,1))))))</f>
        <v>0</v>
      </c>
      <c r="N16" s="16">
        <f>IF(A16="","",L16*Situation!$B$11)</f>
        <v>0</v>
      </c>
      <c r="O16" s="16">
        <f t="shared" si="3"/>
        <v>0</v>
      </c>
      <c r="P16" s="22" t="str">
        <f>IF(OR(A16="",L16&lt;=0),"",IF(Situation!$B$9="Married Filing Jointly",INDEX(Situation!$A$43:$A$49,MATCH(L16,Situation!$D$43:$D$49,1)),IF(Situation!$B$9="Head of Household",INDEX(Situation!$A$43:$A$49,MATCH(L16,Situation!$F$43:$F$49,1)),INDEX(Situation!$A$43:$A$49,MATCH(L16,Situation!$B$43:$B$49,1)))))</f>
        <v/>
      </c>
      <c r="Q16" s="1" t="s">
        <v>19</v>
      </c>
      <c r="R16" s="15">
        <f>IF(A16="","",(R15-O16-MAX(0,Situation!$B$12-Situation!$B$10))*(1+Situation!$B$13))</f>
        <v>-404625.62871298811</v>
      </c>
      <c r="S16" s="15">
        <f>IF(A16="","",E16*(1-Situation!$B$28)+H16+R16)</f>
        <v>653641.18989656412</v>
      </c>
    </row>
    <row r="17" spans="16:16" x14ac:dyDescent="0.25">
      <c r="P17" s="22" t="str">
        <f>IF(OR(A17="",L17&lt;=0),"",IF(Situation!$B$9="Married Filing Jointly",INDEX(Situation!$A$43:$A$49,MATCH(L17,Situation!$D$43:$D$49,1)),IF(Situation!$B$9="Head of Household",INDEX(Situation!$A$43:$A$49,MATCH(L17,Situation!$F$43:$F$49,1)),INDEX(Situation!$A$43:$A$49,MATCH(L17,Situation!$B$43:$B$49,1)))))</f>
        <v/>
      </c>
    </row>
    <row r="18" spans="16:16" x14ac:dyDescent="0.25">
      <c r="P18" s="22" t="str">
        <f>IF(OR(A18="",L18&lt;=0),"",IF(Situation!$B$9="Married Filing Jointly",INDEX(Situation!$A$43:$A$49,MATCH(L18,Situation!$D$43:$D$49,1)),IF(Situation!$B$9="Head of Household",INDEX(Situation!$A$43:$A$49,MATCH(L18,Situation!$F$43:$F$49,1)),INDEX(Situation!$A$43:$A$49,MATCH(L18,Situation!$B$43:$B$49,1)))))</f>
        <v/>
      </c>
    </row>
    <row r="19" spans="16:16" x14ac:dyDescent="0.25">
      <c r="P19" s="22" t="str">
        <f>IF(OR(A19="",L19&lt;=0),"",IF(Situation!$B$9="Married Filing Jointly",INDEX(Situation!$A$43:$A$49,MATCH(L19,Situation!$D$43:$D$49,1)),IF(Situation!$B$9="Head of Household",INDEX(Situation!$A$43:$A$49,MATCH(L19,Situation!$F$43:$F$49,1)),INDEX(Situation!$A$43:$A$49,MATCH(L19,Situation!$B$43:$B$49,1)))))</f>
        <v/>
      </c>
    </row>
    <row r="20" spans="16:16" x14ac:dyDescent="0.25">
      <c r="P20" s="22" t="str">
        <f>IF(OR(A20="",L20&lt;=0),"",IF(Situation!$B$9="Married Filing Jointly",INDEX(Situation!$A$43:$A$49,MATCH(L20,Situation!$D$43:$D$49,1)),IF(Situation!$B$9="Head of Household",INDEX(Situation!$A$43:$A$49,MATCH(L20,Situation!$F$43:$F$49,1)),INDEX(Situation!$A$43:$A$49,MATCH(L20,Situation!$B$43:$B$49,1)))))</f>
        <v/>
      </c>
    </row>
    <row r="21" spans="16:16" x14ac:dyDescent="0.25">
      <c r="P21" s="22" t="str">
        <f>IF(OR(A21="",L21&lt;=0),"",IF(Situation!$B$9="Married Filing Jointly",INDEX(Situation!$A$43:$A$49,MATCH(L21,Situation!$D$43:$D$49,1)),IF(Situation!$B$9="Head of Household",INDEX(Situation!$A$43:$A$49,MATCH(L21,Situation!$F$43:$F$49,1)),INDEX(Situation!$A$43:$A$49,MATCH(L21,Situation!$B$43:$B$49,1)))))</f>
        <v/>
      </c>
    </row>
    <row r="22" spans="16:16" x14ac:dyDescent="0.25">
      <c r="P22" s="22" t="str">
        <f>IF(OR(A22="",L22&lt;=0),"",IF(Situation!$B$9="Married Filing Jointly",INDEX(Situation!$A$43:$A$49,MATCH(L22,Situation!$D$43:$D$49,1)),IF(Situation!$B$9="Head of Household",INDEX(Situation!$A$43:$A$49,MATCH(L22,Situation!$F$43:$F$49,1)),INDEX(Situation!$A$43:$A$49,MATCH(L22,Situation!$B$43:$B$49,1)))))</f>
        <v/>
      </c>
    </row>
    <row r="23" spans="16:16" x14ac:dyDescent="0.25">
      <c r="P23" s="22" t="str">
        <f>IF(OR(A23="",L23&lt;=0),"",IF(Situation!$B$9="Married Filing Jointly",INDEX(Situation!$A$43:$A$49,MATCH(L23,Situation!$D$43:$D$49,1)),IF(Situation!$B$9="Head of Household",INDEX(Situation!$A$43:$A$49,MATCH(L23,Situation!$F$43:$F$49,1)),INDEX(Situation!$A$43:$A$49,MATCH(L23,Situation!$B$43:$B$49,1)))))</f>
        <v/>
      </c>
    </row>
    <row r="24" spans="16:16" x14ac:dyDescent="0.25">
      <c r="P24" s="22" t="str">
        <f>IF(OR(A24="",L24&lt;=0),"",IF(Situation!$B$9="Married Filing Jointly",INDEX(Situation!$A$43:$A$49,MATCH(L24,Situation!$D$43:$D$49,1)),IF(Situation!$B$9="Head of Household",INDEX(Situation!$A$43:$A$49,MATCH(L24,Situation!$F$43:$F$49,1)),INDEX(Situation!$A$43:$A$49,MATCH(L24,Situation!$B$43:$B$49,1)))))</f>
        <v/>
      </c>
    </row>
    <row r="25" spans="16:16" x14ac:dyDescent="0.25">
      <c r="P25" s="22" t="str">
        <f>IF(OR(A25="",L25&lt;=0),"",IF(Situation!$B$9="Married Filing Jointly",INDEX(Situation!$A$43:$A$49,MATCH(L25,Situation!$D$43:$D$49,1)),IF(Situation!$B$9="Head of Household",INDEX(Situation!$A$43:$A$49,MATCH(L25,Situation!$F$43:$F$49,1)),INDEX(Situation!$A$43:$A$49,MATCH(L25,Situation!$B$43:$B$49,1)))))</f>
        <v/>
      </c>
    </row>
    <row r="26" spans="16:16" x14ac:dyDescent="0.25">
      <c r="P26" s="22" t="str">
        <f>IF(OR(A26="",L26&lt;=0),"",IF(Situation!$B$9="Married Filing Jointly",INDEX(Situation!$A$43:$A$49,MATCH(L26,Situation!$D$43:$D$49,1)),IF(Situation!$B$9="Head of Household",INDEX(Situation!$A$43:$A$49,MATCH(L26,Situation!$F$43:$F$49,1)),INDEX(Situation!$A$43:$A$49,MATCH(L26,Situation!$B$43:$B$49,1)))))</f>
        <v/>
      </c>
    </row>
    <row r="27" spans="16:16" x14ac:dyDescent="0.25">
      <c r="P27" s="22" t="str">
        <f>IF(OR(A27="",L27&lt;=0),"",IF(Situation!$B$9="Married Filing Jointly",INDEX(Situation!$A$43:$A$49,MATCH(L27,Situation!$D$43:$D$49,1)),IF(Situation!$B$9="Head of Household",INDEX(Situation!$A$43:$A$49,MATCH(L27,Situation!$F$43:$F$49,1)),INDEX(Situation!$A$43:$A$49,MATCH(L27,Situation!$B$43:$B$49,1)))))</f>
        <v/>
      </c>
    </row>
    <row r="28" spans="16:16" x14ac:dyDescent="0.25">
      <c r="P28" s="22" t="str">
        <f>IF(OR(A28="",L28&lt;=0),"",IF(Situation!$B$9="Married Filing Jointly",INDEX(Situation!$A$43:$A$49,MATCH(L28,Situation!$D$43:$D$49,1)),IF(Situation!$B$9="Head of Household",INDEX(Situation!$A$43:$A$49,MATCH(L28,Situation!$F$43:$F$49,1)),INDEX(Situation!$A$43:$A$49,MATCH(L28,Situation!$B$43:$B$49,1)))))</f>
        <v/>
      </c>
    </row>
    <row r="29" spans="16:16" x14ac:dyDescent="0.25">
      <c r="P29" s="22" t="str">
        <f>IF(OR(A29="",L29&lt;=0),"",IF(Situation!$B$9="Married Filing Jointly",INDEX(Situation!$A$43:$A$49,MATCH(L29,Situation!$D$43:$D$49,1)),IF(Situation!$B$9="Head of Household",INDEX(Situation!$A$43:$A$49,MATCH(L29,Situation!$F$43:$F$49,1)),INDEX(Situation!$A$43:$A$49,MATCH(L29,Situation!$B$43:$B$49,1)))))</f>
        <v/>
      </c>
    </row>
    <row r="30" spans="16:16" x14ac:dyDescent="0.25">
      <c r="P30" s="22" t="str">
        <f>IF(OR(A30="",L30&lt;=0),"",IF(Situation!$B$9="Married Filing Jointly",INDEX(Situation!$A$43:$A$49,MATCH(L30,Situation!$D$43:$D$49,1)),IF(Situation!$B$9="Head of Household",INDEX(Situation!$A$43:$A$49,MATCH(L30,Situation!$F$43:$F$49,1)),INDEX(Situation!$A$43:$A$49,MATCH(L30,Situation!$B$43:$B$49,1)))))</f>
        <v/>
      </c>
    </row>
    <row r="31" spans="16:16" x14ac:dyDescent="0.25">
      <c r="P31" s="22" t="str">
        <f>IF(OR(A31="",L31&lt;=0),"",IF(Situation!$B$9="Married Filing Jointly",INDEX(Situation!$A$43:$A$49,MATCH(L31,Situation!$D$43:$D$49,1)),IF(Situation!$B$9="Head of Household",INDEX(Situation!$A$43:$A$49,MATCH(L31,Situation!$F$43:$F$49,1)),INDEX(Situation!$A$43:$A$49,MATCH(L31,Situation!$B$43:$B$49,1)))))</f>
        <v/>
      </c>
    </row>
    <row r="32" spans="16:16" x14ac:dyDescent="0.25">
      <c r="P32" s="22" t="str">
        <f>IF(OR(A32="",L32&lt;=0),"",IF(Situation!$B$9="Married Filing Jointly",INDEX(Situation!$A$43:$A$49,MATCH(L32,Situation!$D$43:$D$49,1)),IF(Situation!$B$9="Head of Household",INDEX(Situation!$A$43:$A$49,MATCH(L32,Situation!$F$43:$F$49,1)),INDEX(Situation!$A$43:$A$49,MATCH(L32,Situation!$B$43:$B$49,1)))))</f>
        <v/>
      </c>
    </row>
    <row r="33" spans="1:16" x14ac:dyDescent="0.25">
      <c r="P33" s="22" t="str">
        <f>IF(OR(A33="",L33&lt;=0),"",IF(Situation!$B$9="Married Filing Jointly",INDEX(Situation!$A$43:$A$49,MATCH(L33,Situation!$D$43:$D$49,1)),IF(Situation!$B$9="Head of Household",INDEX(Situation!$A$43:$A$49,MATCH(L33,Situation!$F$43:$F$49,1)),INDEX(Situation!$A$43:$A$49,MATCH(L33,Situation!$B$43:$B$49,1)))))</f>
        <v/>
      </c>
    </row>
    <row r="34" spans="1:16" x14ac:dyDescent="0.25">
      <c r="P34" s="22" t="str">
        <f>IF(OR(A34="",L34&lt;=0),"",IF(Situation!$B$9="Married Filing Jointly",INDEX(Situation!$A$43:$A$49,MATCH(L34,Situation!$D$43:$D$49,1)),IF(Situation!$B$9="Head of Household",INDEX(Situation!$A$43:$A$49,MATCH(L34,Situation!$F$43:$F$49,1)),INDEX(Situation!$A$43:$A$49,MATCH(L34,Situation!$B$43:$B$49,1)))))</f>
        <v/>
      </c>
    </row>
    <row r="35" spans="1:16" x14ac:dyDescent="0.25">
      <c r="P35" s="22" t="str">
        <f>IF(OR(A35="",L35&lt;=0),"",IF(Situation!$B$9="Married Filing Jointly",INDEX(Situation!$A$43:$A$49,MATCH(L35,Situation!$D$43:$D$49,1)),IF(Situation!$B$9="Head of Household",INDEX(Situation!$A$43:$A$49,MATCH(L35,Situation!$F$43:$F$49,1)),INDEX(Situation!$A$43:$A$49,MATCH(L35,Situation!$B$43:$B$49,1)))))</f>
        <v/>
      </c>
    </row>
    <row r="36" spans="1:16" x14ac:dyDescent="0.25">
      <c r="P36" s="22" t="str">
        <f>IF(OR(A36="",L36&lt;=0),"",IF(Situation!$B$9="Married Filing Jointly",INDEX(Situation!$A$43:$A$49,MATCH(L36,Situation!$D$43:$D$49,1)),IF(Situation!$B$9="Head of Household",INDEX(Situation!$A$43:$A$49,MATCH(L36,Situation!$F$43:$F$49,1)),INDEX(Situation!$A$43:$A$49,MATCH(L36,Situation!$B$43:$B$49,1)))))</f>
        <v/>
      </c>
    </row>
    <row r="37" spans="1:16" x14ac:dyDescent="0.25">
      <c r="A37" s="2"/>
      <c r="P37" s="22" t="str">
        <f>IF(OR(A37="",L37&lt;=0),"",IF(Situation!$B$9="Married Filing Jointly",INDEX(Situation!$A$43:$A$49,MATCH(L37,Situation!$D$43:$D$49,1)),IF(Situation!$B$9="Head of Household",INDEX(Situation!$A$43:$A$49,MATCH(L37,Situation!$F$43:$F$49,1)),INDEX(Situation!$A$43:$A$49,MATCH(L37,Situation!$B$43:$B$49,1)))))</f>
        <v/>
      </c>
    </row>
  </sheetData>
  <conditionalFormatting sqref="L2:L16">
    <cfRule type="colorScale" priority="1">
      <colorScale>
        <cfvo type="num" val="0"/>
        <cfvo type="num" val="100000"/>
        <cfvo type="num" val="400000"/>
        <color rgb="FFC8E6C9"/>
        <color rgb="FFFFE0B2"/>
        <color rgb="FFFFCDD2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>
      <selection activeCell="F3" sqref="F3"/>
    </sheetView>
  </sheetViews>
  <sheetFormatPr defaultRowHeight="15" x14ac:dyDescent="0.25"/>
  <cols>
    <col min="1" max="8" width="14.7109375" style="29" customWidth="1"/>
  </cols>
  <sheetData>
    <row r="1" spans="1:8" x14ac:dyDescent="0.25">
      <c r="A1" s="25" t="s">
        <v>83</v>
      </c>
      <c r="B1" s="25" t="s">
        <v>84</v>
      </c>
      <c r="C1" s="25" t="s">
        <v>85</v>
      </c>
      <c r="D1" s="25" t="s">
        <v>86</v>
      </c>
      <c r="E1" s="25" t="s">
        <v>87</v>
      </c>
      <c r="F1" s="25" t="s">
        <v>88</v>
      </c>
      <c r="G1" s="25" t="s">
        <v>89</v>
      </c>
      <c r="H1" s="25" t="s">
        <v>90</v>
      </c>
    </row>
    <row r="2" spans="1:8" x14ac:dyDescent="0.25">
      <c r="A2" s="26">
        <f>IF(0+1&gt;Situation!$B$18,"",Situation!$B$17+0)</f>
        <v>2025</v>
      </c>
      <c r="B2" s="27">
        <f>IF(A2="","",INDEX(Situation!$B$19:$B$25,0+1))</f>
        <v>50000</v>
      </c>
      <c r="C2" s="28">
        <f t="shared" ref="C2:C8" si="0">IF(A2="","",DATE(A2,1,1))</f>
        <v>45658</v>
      </c>
      <c r="D2" s="28">
        <f t="shared" ref="D2:D8" si="1">IF(A2="","",DATE(A2+5,1,1))</f>
        <v>47484</v>
      </c>
      <c r="E2" s="26">
        <f>IF(A2="","",MAX(Situation!$B$7,IF(ISBLANK(Situation!$B$8),Situation!$B$7,Situation!$B$8))+(A2-Situation!$B$17)+5)</f>
        <v>53</v>
      </c>
      <c r="F2" s="26" t="str">
        <f t="shared" ref="F2:F8" ca="1" si="2">IF(A2="","",IF(TODAY()&gt;=D2,IF(E2&gt;=59.5,"Yes","Yes (check age 59.5)"),"Not Yet"))</f>
        <v>Not Yet</v>
      </c>
      <c r="G2" s="27">
        <f t="shared" ref="G2:G8" ca="1" si="3">IF(A2="","",IF(TODAY()&gt;=D2,B2,0))</f>
        <v>0</v>
      </c>
      <c r="H2" s="27">
        <f ca="1">IF(A2="","",SUM($G$2:G2))</f>
        <v>0</v>
      </c>
    </row>
    <row r="3" spans="1:8" x14ac:dyDescent="0.25">
      <c r="A3" s="26">
        <f>IF(1+1&gt;Situation!$B$18,"",Situation!$B$17+1)</f>
        <v>2026</v>
      </c>
      <c r="B3" s="27">
        <f>IF(A3="","",INDEX(Situation!$B$19:$B$25,1+1))</f>
        <v>55000</v>
      </c>
      <c r="C3" s="28">
        <f t="shared" si="0"/>
        <v>46023</v>
      </c>
      <c r="D3" s="28">
        <f t="shared" si="1"/>
        <v>47849</v>
      </c>
      <c r="E3" s="26">
        <f>IF(A3="","",MAX(Situation!$B$7,IF(ISBLANK(Situation!$B$8),Situation!$B$7,Situation!$B$8))+(A3-Situation!$B$17)+5)</f>
        <v>54</v>
      </c>
      <c r="F3" s="26" t="str">
        <f t="shared" ca="1" si="2"/>
        <v>Not Yet</v>
      </c>
      <c r="G3" s="27">
        <f t="shared" ca="1" si="3"/>
        <v>0</v>
      </c>
      <c r="H3" s="27">
        <f ca="1">IF(A3="","",SUM($G$2:G3))</f>
        <v>0</v>
      </c>
    </row>
    <row r="4" spans="1:8" x14ac:dyDescent="0.25">
      <c r="A4" s="26">
        <f>IF(2+1&gt;Situation!$B$18,"",Situation!$B$17+2)</f>
        <v>2027</v>
      </c>
      <c r="B4" s="27">
        <f>IF(A4="","",INDEX(Situation!$B$19:$B$25,2+1))</f>
        <v>60000</v>
      </c>
      <c r="C4" s="28">
        <f t="shared" si="0"/>
        <v>46388</v>
      </c>
      <c r="D4" s="28">
        <f t="shared" si="1"/>
        <v>48214</v>
      </c>
      <c r="E4" s="26">
        <f>IF(A4="","",MAX(Situation!$B$7,IF(ISBLANK(Situation!$B$8),Situation!$B$7,Situation!$B$8))+(A4-Situation!$B$17)+5)</f>
        <v>55</v>
      </c>
      <c r="F4" s="26" t="str">
        <f t="shared" ca="1" si="2"/>
        <v>Not Yet</v>
      </c>
      <c r="G4" s="27">
        <f t="shared" ca="1" si="3"/>
        <v>0</v>
      </c>
      <c r="H4" s="27">
        <f ca="1">IF(A4="","",SUM($G$2:G4))</f>
        <v>0</v>
      </c>
    </row>
    <row r="5" spans="1:8" x14ac:dyDescent="0.25">
      <c r="A5" s="26">
        <f>IF(3+1&gt;Situation!$B$18,"",Situation!$B$17+3)</f>
        <v>2028</v>
      </c>
      <c r="B5" s="27">
        <f>IF(A5="","",INDEX(Situation!$B$19:$B$25,3+1))</f>
        <v>62000</v>
      </c>
      <c r="C5" s="28">
        <f t="shared" si="0"/>
        <v>46753</v>
      </c>
      <c r="D5" s="28">
        <f t="shared" si="1"/>
        <v>48580</v>
      </c>
      <c r="E5" s="26">
        <f>IF(A5="","",MAX(Situation!$B$7,IF(ISBLANK(Situation!$B$8),Situation!$B$7,Situation!$B$8))+(A5-Situation!$B$17)+5)</f>
        <v>56</v>
      </c>
      <c r="F5" s="26" t="str">
        <f t="shared" ca="1" si="2"/>
        <v>Not Yet</v>
      </c>
      <c r="G5" s="27">
        <f t="shared" ca="1" si="3"/>
        <v>0</v>
      </c>
      <c r="H5" s="27">
        <f ca="1">IF(A5="","",SUM($G$2:G5))</f>
        <v>0</v>
      </c>
    </row>
    <row r="6" spans="1:8" x14ac:dyDescent="0.25">
      <c r="A6" s="26">
        <f>IF(4+1&gt;Situation!$B$18,"",Situation!$B$17+4)</f>
        <v>2029</v>
      </c>
      <c r="B6" s="27">
        <f>IF(A6="","",INDEX(Situation!$B$19:$B$25,4+1))</f>
        <v>65000</v>
      </c>
      <c r="C6" s="28">
        <f t="shared" si="0"/>
        <v>47119</v>
      </c>
      <c r="D6" s="28">
        <f t="shared" si="1"/>
        <v>48945</v>
      </c>
      <c r="E6" s="26">
        <f>IF(A6="","",MAX(Situation!$B$7,IF(ISBLANK(Situation!$B$8),Situation!$B$7,Situation!$B$8))+(A6-Situation!$B$17)+5)</f>
        <v>57</v>
      </c>
      <c r="F6" s="26" t="str">
        <f t="shared" ca="1" si="2"/>
        <v>Not Yet</v>
      </c>
      <c r="G6" s="27">
        <f t="shared" ca="1" si="3"/>
        <v>0</v>
      </c>
      <c r="H6" s="27">
        <f ca="1">IF(A6="","",SUM($G$2:G6))</f>
        <v>0</v>
      </c>
    </row>
    <row r="7" spans="1:8" x14ac:dyDescent="0.25">
      <c r="A7" s="26">
        <f>IF(5+1&gt;Situation!$B$18,"",Situation!$B$17+5)</f>
        <v>2030</v>
      </c>
      <c r="B7" s="27">
        <f>IF(A7="","",INDEX(Situation!$B$19:$B$25,5+1))</f>
        <v>68000</v>
      </c>
      <c r="C7" s="28">
        <f t="shared" si="0"/>
        <v>47484</v>
      </c>
      <c r="D7" s="28">
        <f t="shared" si="1"/>
        <v>49310</v>
      </c>
      <c r="E7" s="26">
        <f>IF(A7="","",MAX(Situation!$B$7,IF(ISBLANK(Situation!$B$8),Situation!$B$7,Situation!$B$8))+(A7-Situation!$B$17)+5)</f>
        <v>58</v>
      </c>
      <c r="F7" s="26" t="str">
        <f t="shared" ca="1" si="2"/>
        <v>Not Yet</v>
      </c>
      <c r="G7" s="27">
        <f t="shared" ca="1" si="3"/>
        <v>0</v>
      </c>
      <c r="H7" s="27">
        <f ca="1">IF(A7="","",SUM($G$2:G7))</f>
        <v>0</v>
      </c>
    </row>
    <row r="8" spans="1:8" x14ac:dyDescent="0.25">
      <c r="A8" s="26">
        <f>IF(6+1&gt;Situation!$B$18,"",Situation!$B$17+6)</f>
        <v>2031</v>
      </c>
      <c r="B8" s="27">
        <f>IF(A8="","",INDEX(Situation!$B$19:$B$25,6+1))</f>
        <v>70000</v>
      </c>
      <c r="C8" s="28">
        <f t="shared" si="0"/>
        <v>47849</v>
      </c>
      <c r="D8" s="28">
        <f t="shared" si="1"/>
        <v>49675</v>
      </c>
      <c r="E8" s="26">
        <f>IF(A8="","",MAX(Situation!$B$7,IF(ISBLANK(Situation!$B$8),Situation!$B$7,Situation!$B$8))+(A8-Situation!$B$17)+5)</f>
        <v>59</v>
      </c>
      <c r="F8" s="26" t="str">
        <f t="shared" ca="1" si="2"/>
        <v>Not Yet</v>
      </c>
      <c r="G8" s="27">
        <f t="shared" ca="1" si="3"/>
        <v>0</v>
      </c>
      <c r="H8" s="27">
        <f ca="1">IF(A8="","",SUM($G$2:G8))</f>
        <v>0</v>
      </c>
    </row>
  </sheetData>
  <conditionalFormatting sqref="F2:F8">
    <cfRule type="expression" dxfId="1" priority="1">
      <formula>F2="Yes"</formula>
    </cfRule>
    <cfRule type="expression" dxfId="0" priority="2">
      <formula>F2="Not Yet"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0"/>
  <sheetViews>
    <sheetView workbookViewId="0"/>
  </sheetViews>
  <sheetFormatPr defaultRowHeight="15" x14ac:dyDescent="0.25"/>
  <cols>
    <col min="1" max="1" width="35.5703125" customWidth="1"/>
    <col min="2" max="7" width="14" customWidth="1"/>
  </cols>
  <sheetData>
    <row r="1" spans="1:7" x14ac:dyDescent="0.25">
      <c r="A1" s="3" t="s">
        <v>115</v>
      </c>
    </row>
    <row r="2" spans="1:7" x14ac:dyDescent="0.25">
      <c r="A2" s="7" t="s">
        <v>0</v>
      </c>
      <c r="B2" s="7" t="s">
        <v>91</v>
      </c>
      <c r="C2" s="7" t="s">
        <v>92</v>
      </c>
      <c r="D2" s="7" t="s">
        <v>93</v>
      </c>
      <c r="E2" s="7" t="s">
        <v>94</v>
      </c>
      <c r="F2" s="7" t="s">
        <v>95</v>
      </c>
      <c r="G2" s="7" t="s">
        <v>96</v>
      </c>
    </row>
    <row r="3" spans="1:7" x14ac:dyDescent="0.25">
      <c r="A3" s="14">
        <f>'Conversion Schedule'!A2</f>
        <v>2025</v>
      </c>
      <c r="B3" s="15">
        <f>'Conversion Schedule'!E2</f>
        <v>392200</v>
      </c>
      <c r="C3" s="15">
        <f>'Conversion Schedule'!H2</f>
        <v>90100</v>
      </c>
      <c r="D3" s="15">
        <f>'Conversion Schedule'!R2</f>
        <v>195252</v>
      </c>
      <c r="E3" s="15">
        <f>SUM('Conversion Schedule'!$O$2:O2)</f>
        <v>7800</v>
      </c>
      <c r="F3" s="15">
        <f>'Conversion Schedule'!S2</f>
        <v>591268</v>
      </c>
      <c r="G3" s="14">
        <f t="shared" ref="G3:G37" ca="1" si="0">IF(OR(A3="",OFFSET($A$40,ROW()-3,0)=""),"",F3-OFFSET($F$40,ROW()-3,0))</f>
        <v>3392</v>
      </c>
    </row>
    <row r="4" spans="1:7" x14ac:dyDescent="0.25">
      <c r="A4" s="14">
        <f>'Conversion Schedule'!A3</f>
        <v>2026</v>
      </c>
      <c r="B4" s="15">
        <f>'Conversion Schedule'!E3</f>
        <v>357432</v>
      </c>
      <c r="C4" s="15">
        <f>'Conversion Schedule'!H3</f>
        <v>153806</v>
      </c>
      <c r="D4" s="15">
        <f>'Conversion Schedule'!R3</f>
        <v>163019.52000000002</v>
      </c>
      <c r="E4" s="15">
        <f>SUM('Conversion Schedule'!$O$2:O3)</f>
        <v>16260</v>
      </c>
      <c r="F4" s="15">
        <f>'Conversion Schedule'!S3</f>
        <v>595622.48</v>
      </c>
      <c r="G4" s="14">
        <f t="shared" ca="1" si="0"/>
        <v>7453.9199999999255</v>
      </c>
    </row>
    <row r="5" spans="1:7" x14ac:dyDescent="0.25">
      <c r="A5" s="14">
        <f>'Conversion Schedule'!A4</f>
        <v>2027</v>
      </c>
      <c r="B5" s="15">
        <f>'Conversion Schedule'!E4</f>
        <v>315277.92000000004</v>
      </c>
      <c r="C5" s="15">
        <f>'Conversion Schedule'!H4</f>
        <v>226634.36000000002</v>
      </c>
      <c r="D5" s="15">
        <f>'Conversion Schedule'!R4</f>
        <v>128155.39920000001</v>
      </c>
      <c r="E5" s="15">
        <f>SUM('Conversion Schedule'!$O$2:O4)</f>
        <v>25378.2</v>
      </c>
      <c r="F5" s="15">
        <f>'Conversion Schedule'!S4</f>
        <v>600706.5368</v>
      </c>
      <c r="G5" s="14">
        <f t="shared" ca="1" si="0"/>
        <v>12227.863199999905</v>
      </c>
    </row>
    <row r="6" spans="1:7" x14ac:dyDescent="0.25">
      <c r="A6" s="14">
        <f>'Conversion Schedule'!A5</f>
        <v>2028</v>
      </c>
      <c r="B6" s="15">
        <f>'Conversion Schedule'!E5</f>
        <v>268474.59520000004</v>
      </c>
      <c r="C6" s="15">
        <f>'Conversion Schedule'!H5</f>
        <v>305952.4216</v>
      </c>
      <c r="D6" s="15">
        <f>'Conversion Schedule'!R5</f>
        <v>90980.685312000016</v>
      </c>
      <c r="E6" s="15">
        <f>SUM('Conversion Schedule'!$O$2:O5)</f>
        <v>34702.764000000003</v>
      </c>
      <c r="F6" s="15">
        <f>'Conversion Schedule'!S5</f>
        <v>606343.29116800008</v>
      </c>
      <c r="G6" s="14">
        <f t="shared" ca="1" si="0"/>
        <v>17535.89715199999</v>
      </c>
    </row>
    <row r="7" spans="1:7" x14ac:dyDescent="0.25">
      <c r="A7" s="14">
        <f>'Conversion Schedule'!A6</f>
        <v>2029</v>
      </c>
      <c r="B7" s="15">
        <f>'Conversion Schedule'!E6</f>
        <v>215683.07091200005</v>
      </c>
      <c r="C7" s="15">
        <f>'Conversion Schedule'!H6</f>
        <v>393209.566896</v>
      </c>
      <c r="D7" s="15">
        <f>'Conversion Schedule'!R6</f>
        <v>51199.72783392002</v>
      </c>
      <c r="E7" s="15">
        <f>SUM('Conversion Schedule'!$O$2:O6)</f>
        <v>44381.819280000003</v>
      </c>
      <c r="F7" s="15">
        <f>'Conversion Schedule'!S6</f>
        <v>612642.09004128014</v>
      </c>
      <c r="G7" s="14">
        <f t="shared" ca="1" si="0"/>
        <v>23486.252384319901</v>
      </c>
    </row>
    <row r="8" spans="1:7" x14ac:dyDescent="0.25">
      <c r="A8" s="14">
        <f>'Conversion Schedule'!A7</f>
        <v>2030</v>
      </c>
      <c r="B8" s="15">
        <f>'Conversion Schedule'!E7</f>
        <v>156544.05516672006</v>
      </c>
      <c r="C8" s="15">
        <f>'Conversion Schedule'!H7</f>
        <v>488882.14090976003</v>
      </c>
      <c r="D8" s="15">
        <f>'Conversion Schedule'!R7</f>
        <v>8658.1769352192186</v>
      </c>
      <c r="E8" s="15">
        <f>SUM('Conversion Schedule'!$O$2:O7)</f>
        <v>54413.455665600006</v>
      </c>
      <c r="F8" s="15">
        <f>'Conversion Schedule'!S7</f>
        <v>619644.68087502092</v>
      </c>
      <c r="G8" s="14">
        <f t="shared" ca="1" si="0"/>
        <v>30119.492958643008</v>
      </c>
    </row>
    <row r="9" spans="1:7" x14ac:dyDescent="0.25">
      <c r="A9" s="14">
        <f>'Conversion Schedule'!A8</f>
        <v>2031</v>
      </c>
      <c r="B9" s="15">
        <f>'Conversion Schedule'!E8</f>
        <v>91736.698476723279</v>
      </c>
      <c r="C9" s="15">
        <f>'Conversion Schedule'!H8</f>
        <v>592415.06936434563</v>
      </c>
      <c r="D9" s="15">
        <f>'Conversion Schedule'!R8</f>
        <v>-36648.537708778349</v>
      </c>
      <c r="E9" s="15">
        <f>SUM('Conversion Schedule'!$O$2:O8)</f>
        <v>64645.724778912008</v>
      </c>
      <c r="F9" s="15">
        <f>'Conversion Schedule'!S8</f>
        <v>627321.15646741143</v>
      </c>
      <c r="G9" s="14">
        <f t="shared" ca="1" si="0"/>
        <v>37404.457276050933</v>
      </c>
    </row>
    <row r="10" spans="1:7" x14ac:dyDescent="0.25">
      <c r="A10" s="14">
        <f>'Conversion Schedule'!A9</f>
        <v>2032</v>
      </c>
      <c r="B10" s="15">
        <f>'Conversion Schedule'!E9</f>
        <v>97240.900385326677</v>
      </c>
      <c r="C10" s="15">
        <f>'Conversion Schedule'!H9</f>
        <v>627959.97352620645</v>
      </c>
      <c r="D10" s="15">
        <f>'Conversion Schedule'!R9</f>
        <v>-73827.449971305046</v>
      </c>
      <c r="E10" s="15">
        <f>SUM('Conversion Schedule'!$O$2:O9)</f>
        <v>64645.724778912008</v>
      </c>
      <c r="F10" s="15">
        <f>'Conversion Schedule'!S9</f>
        <v>629980.42585545615</v>
      </c>
      <c r="G10" s="14">
        <f t="shared" ca="1" si="0"/>
        <v>39648.72471261397</v>
      </c>
    </row>
    <row r="11" spans="1:7" x14ac:dyDescent="0.25">
      <c r="A11" s="14">
        <f>'Conversion Schedule'!A10</f>
        <v>2033</v>
      </c>
      <c r="B11" s="15">
        <f>'Conversion Schedule'!E10</f>
        <v>103075.35440844628</v>
      </c>
      <c r="C11" s="15">
        <f>'Conversion Schedule'!H10</f>
        <v>665637.57193777885</v>
      </c>
      <c r="D11" s="15">
        <f>'Conversion Schedule'!R10</f>
        <v>-113237.09696958335</v>
      </c>
      <c r="E11" s="15">
        <f>SUM('Conversion Schedule'!$O$2:O10)</f>
        <v>64645.724778912008</v>
      </c>
      <c r="F11" s="15">
        <f>'Conversion Schedule'!S10</f>
        <v>632799.2514067837</v>
      </c>
      <c r="G11" s="14">
        <f t="shared" ca="1" si="0"/>
        <v>42027.648195371032</v>
      </c>
    </row>
    <row r="12" spans="1:7" x14ac:dyDescent="0.25">
      <c r="A12" s="14">
        <f>'Conversion Schedule'!A11</f>
        <v>2034</v>
      </c>
      <c r="B12" s="15">
        <f>'Conversion Schedule'!E11</f>
        <v>109259.87567295306</v>
      </c>
      <c r="C12" s="15">
        <f>'Conversion Schedule'!H11</f>
        <v>705575.82625404559</v>
      </c>
      <c r="D12" s="15">
        <f>'Conversion Schedule'!R11</f>
        <v>-155011.32278775837</v>
      </c>
      <c r="E12" s="15">
        <f>SUM('Conversion Schedule'!$O$2:O11)</f>
        <v>64645.724778912008</v>
      </c>
      <c r="F12" s="15">
        <f>'Conversion Schedule'!S11</f>
        <v>635787.20649119071</v>
      </c>
      <c r="G12" s="14">
        <f t="shared" ca="1" si="0"/>
        <v>44549.30708709301</v>
      </c>
    </row>
    <row r="13" spans="1:7" x14ac:dyDescent="0.25">
      <c r="A13" s="14">
        <f>'Conversion Schedule'!A12</f>
        <v>2035</v>
      </c>
      <c r="B13" s="15">
        <f>'Conversion Schedule'!E12</f>
        <v>115815.46821333024</v>
      </c>
      <c r="C13" s="15">
        <f>'Conversion Schedule'!H12</f>
        <v>747910.37582928839</v>
      </c>
      <c r="D13" s="15">
        <f>'Conversion Schedule'!R12</f>
        <v>-199292.00215502389</v>
      </c>
      <c r="E13" s="15">
        <f>SUM('Conversion Schedule'!$O$2:O12)</f>
        <v>64645.724778912008</v>
      </c>
      <c r="F13" s="15">
        <f>'Conversion Schedule'!S12</f>
        <v>638954.43888066208</v>
      </c>
      <c r="G13" s="14">
        <f t="shared" ca="1" si="0"/>
        <v>47222.2655123187</v>
      </c>
    </row>
    <row r="14" spans="1:7" x14ac:dyDescent="0.25">
      <c r="A14" s="14">
        <f>'Conversion Schedule'!A13</f>
        <v>2036</v>
      </c>
      <c r="B14" s="15">
        <f>'Conversion Schedule'!E13</f>
        <v>122764.39630613006</v>
      </c>
      <c r="C14" s="15">
        <f>'Conversion Schedule'!H13</f>
        <v>792784.99837904575</v>
      </c>
      <c r="D14" s="15">
        <f>'Conversion Schedule'!R13</f>
        <v>-246229.52228432533</v>
      </c>
      <c r="E14" s="15">
        <f>SUM('Conversion Schedule'!$O$2:O13)</f>
        <v>64645.724778912008</v>
      </c>
      <c r="F14" s="15">
        <f>'Conversion Schedule'!S13</f>
        <v>642311.70521350193</v>
      </c>
      <c r="G14" s="14">
        <f t="shared" ca="1" si="0"/>
        <v>50055.601443057763</v>
      </c>
    </row>
    <row r="15" spans="1:7" x14ac:dyDescent="0.25">
      <c r="A15" s="14">
        <f>'Conversion Schedule'!A14</f>
        <v>2037</v>
      </c>
      <c r="B15" s="15">
        <f>'Conversion Schedule'!E14</f>
        <v>130130.26008449787</v>
      </c>
      <c r="C15" s="15">
        <f>'Conversion Schedule'!H14</f>
        <v>840352.09828178852</v>
      </c>
      <c r="D15" s="15">
        <f>'Conversion Schedule'!R14</f>
        <v>-295983.29362138489</v>
      </c>
      <c r="E15" s="15">
        <f>SUM('Conversion Schedule'!$O$2:O14)</f>
        <v>64645.724778912008</v>
      </c>
      <c r="F15" s="15">
        <f>'Conversion Schedule'!S14</f>
        <v>645870.40752631193</v>
      </c>
      <c r="G15" s="14">
        <f t="shared" ca="1" si="0"/>
        <v>53058.937529641204</v>
      </c>
    </row>
    <row r="16" spans="1:7" x14ac:dyDescent="0.25">
      <c r="A16" s="14">
        <f>'Conversion Schedule'!A15</f>
        <v>2038</v>
      </c>
      <c r="B16" s="15">
        <f>'Conversion Schedule'!E15</f>
        <v>137938.07568956775</v>
      </c>
      <c r="C16" s="15">
        <f>'Conversion Schedule'!H15</f>
        <v>890773.22417869593</v>
      </c>
      <c r="D16" s="15">
        <f>'Conversion Schedule'!R15</f>
        <v>-348722.29123866803</v>
      </c>
      <c r="E16" s="15">
        <f>SUM('Conversion Schedule'!$O$2:O15)</f>
        <v>64645.724778912008</v>
      </c>
      <c r="F16" s="15">
        <f>'Conversion Schedule'!S15</f>
        <v>649642.63197789073</v>
      </c>
      <c r="G16" s="14">
        <f t="shared" ca="1" si="0"/>
        <v>56242.473781419918</v>
      </c>
    </row>
    <row r="17" spans="1:7" x14ac:dyDescent="0.25">
      <c r="A17" s="14">
        <f>'Conversion Schedule'!A16</f>
        <v>2039</v>
      </c>
      <c r="B17" s="15">
        <f>'Conversion Schedule'!E16</f>
        <v>146214.36023094182</v>
      </c>
      <c r="C17" s="15">
        <f>'Conversion Schedule'!H16</f>
        <v>944219.61762941768</v>
      </c>
      <c r="D17" s="15">
        <f>'Conversion Schedule'!R16</f>
        <v>-404625.62871298811</v>
      </c>
      <c r="E17" s="15">
        <f>SUM('Conversion Schedule'!$O$2:O16)</f>
        <v>64645.724778912008</v>
      </c>
      <c r="F17" s="15">
        <f>'Conversion Schedule'!S16</f>
        <v>653641.18989656412</v>
      </c>
      <c r="G17" s="14">
        <f t="shared" ca="1" si="0"/>
        <v>59617.022208304959</v>
      </c>
    </row>
    <row r="18" spans="1:7" x14ac:dyDescent="0.25">
      <c r="A18" s="14">
        <f>'Conversion Schedule'!A17</f>
        <v>0</v>
      </c>
      <c r="B18" s="15">
        <f>'Conversion Schedule'!E17</f>
        <v>0</v>
      </c>
      <c r="C18" s="15">
        <f>'Conversion Schedule'!H17</f>
        <v>0</v>
      </c>
      <c r="D18" s="15">
        <f>'Conversion Schedule'!R17</f>
        <v>0</v>
      </c>
      <c r="E18" s="15">
        <f>SUM('Conversion Schedule'!$O$2:O17)</f>
        <v>64645.724778912008</v>
      </c>
      <c r="F18" s="15">
        <f>'Conversion Schedule'!S17</f>
        <v>0</v>
      </c>
      <c r="G18" s="14">
        <f t="shared" ca="1" si="0"/>
        <v>-594685.6177495548</v>
      </c>
    </row>
    <row r="19" spans="1:7" x14ac:dyDescent="0.25">
      <c r="A19" s="14">
        <f>'Conversion Schedule'!A18</f>
        <v>0</v>
      </c>
      <c r="B19" s="15">
        <f>'Conversion Schedule'!E18</f>
        <v>0</v>
      </c>
      <c r="C19" s="15">
        <f>'Conversion Schedule'!H18</f>
        <v>0</v>
      </c>
      <c r="D19" s="15">
        <f>'Conversion Schedule'!R18</f>
        <v>0</v>
      </c>
      <c r="E19" s="15">
        <f>SUM('Conversion Schedule'!$O$2:O18)</f>
        <v>64645.724778912008</v>
      </c>
      <c r="F19" s="15">
        <f>'Conversion Schedule'!S18</f>
        <v>0</v>
      </c>
      <c r="G19" s="14">
        <f t="shared" ca="1" si="0"/>
        <v>-595386.75481452816</v>
      </c>
    </row>
    <row r="20" spans="1:7" x14ac:dyDescent="0.25">
      <c r="A20" s="14">
        <f>'Conversion Schedule'!A19</f>
        <v>0</v>
      </c>
      <c r="B20" s="15">
        <f>'Conversion Schedule'!E19</f>
        <v>0</v>
      </c>
      <c r="C20" s="15">
        <f>'Conversion Schedule'!H19</f>
        <v>0</v>
      </c>
      <c r="D20" s="15">
        <f>'Conversion Schedule'!R19</f>
        <v>0</v>
      </c>
      <c r="E20" s="15">
        <f>SUM('Conversion Schedule'!$O$2:O19)</f>
        <v>64645.724778912008</v>
      </c>
      <c r="F20" s="15">
        <f>'Conversion Schedule'!S19</f>
        <v>0</v>
      </c>
      <c r="G20" s="14">
        <f t="shared" ca="1" si="0"/>
        <v>-596129.96010339982</v>
      </c>
    </row>
    <row r="21" spans="1:7" x14ac:dyDescent="0.25">
      <c r="A21" s="14">
        <f>'Conversion Schedule'!A20</f>
        <v>0</v>
      </c>
      <c r="B21" s="15">
        <f>'Conversion Schedule'!E20</f>
        <v>0</v>
      </c>
      <c r="C21" s="15">
        <f>'Conversion Schedule'!H20</f>
        <v>0</v>
      </c>
      <c r="D21" s="15">
        <f>'Conversion Schedule'!R20</f>
        <v>0</v>
      </c>
      <c r="E21" s="15">
        <f>SUM('Conversion Schedule'!$O$2:O20)</f>
        <v>64645.724778912008</v>
      </c>
      <c r="F21" s="15">
        <f>'Conversion Schedule'!S20</f>
        <v>0</v>
      </c>
      <c r="G21" s="14">
        <f t="shared" ca="1" si="0"/>
        <v>-596917.75770960399</v>
      </c>
    </row>
    <row r="22" spans="1:7" x14ac:dyDescent="0.25">
      <c r="A22" s="14">
        <f>'Conversion Schedule'!A21</f>
        <v>0</v>
      </c>
      <c r="B22" s="15">
        <f>'Conversion Schedule'!E21</f>
        <v>0</v>
      </c>
      <c r="C22" s="15">
        <f>'Conversion Schedule'!H21</f>
        <v>0</v>
      </c>
      <c r="D22" s="15">
        <f>'Conversion Schedule'!R21</f>
        <v>0</v>
      </c>
      <c r="E22" s="15">
        <f>SUM('Conversion Schedule'!$O$2:O21)</f>
        <v>64645.724778912008</v>
      </c>
      <c r="F22" s="15">
        <f>'Conversion Schedule'!S21</f>
        <v>0</v>
      </c>
      <c r="G22" s="14">
        <f t="shared" ca="1" si="0"/>
        <v>-597752.82317218033</v>
      </c>
    </row>
    <row r="23" spans="1:7" x14ac:dyDescent="0.25">
      <c r="A23" s="14">
        <f>'Conversion Schedule'!A22</f>
        <v>0</v>
      </c>
      <c r="B23" s="15">
        <f>'Conversion Schedule'!E22</f>
        <v>0</v>
      </c>
      <c r="C23" s="15">
        <f>'Conversion Schedule'!H22</f>
        <v>0</v>
      </c>
      <c r="D23" s="15">
        <f>'Conversion Schedule'!R22</f>
        <v>0</v>
      </c>
      <c r="E23" s="15">
        <f>SUM('Conversion Schedule'!$O$2:O22)</f>
        <v>64645.724778912008</v>
      </c>
      <c r="F23" s="15">
        <f>'Conversion Schedule'!S22</f>
        <v>0</v>
      </c>
      <c r="G23" s="14">
        <f t="shared" ca="1" si="0"/>
        <v>-598637.99256251124</v>
      </c>
    </row>
    <row r="24" spans="1:7" x14ac:dyDescent="0.25">
      <c r="A24" s="14">
        <f>'Conversion Schedule'!A23</f>
        <v>0</v>
      </c>
      <c r="B24" s="15">
        <f>'Conversion Schedule'!E23</f>
        <v>0</v>
      </c>
      <c r="C24" s="15">
        <f>'Conversion Schedule'!H23</f>
        <v>0</v>
      </c>
      <c r="D24" s="15">
        <f>'Conversion Schedule'!R23</f>
        <v>0</v>
      </c>
      <c r="E24" s="15">
        <f>SUM('Conversion Schedule'!$O$2:O23)</f>
        <v>64645.724778912008</v>
      </c>
      <c r="F24" s="15">
        <f>'Conversion Schedule'!S23</f>
        <v>0</v>
      </c>
      <c r="G24" s="14">
        <f t="shared" ca="1" si="0"/>
        <v>-599576.27211626188</v>
      </c>
    </row>
    <row r="25" spans="1:7" x14ac:dyDescent="0.25">
      <c r="A25" s="14">
        <f>'Conversion Schedule'!A24</f>
        <v>0</v>
      </c>
      <c r="B25" s="15">
        <f>'Conversion Schedule'!E24</f>
        <v>0</v>
      </c>
      <c r="C25" s="15">
        <f>'Conversion Schedule'!H24</f>
        <v>0</v>
      </c>
      <c r="D25" s="15">
        <f>'Conversion Schedule'!R24</f>
        <v>0</v>
      </c>
      <c r="E25" s="15">
        <f>SUM('Conversion Schedule'!$O$2:O24)</f>
        <v>64645.724778912008</v>
      </c>
      <c r="F25" s="15">
        <f>'Conversion Schedule'!S24</f>
        <v>0</v>
      </c>
      <c r="G25" s="14">
        <f t="shared" ca="1" si="0"/>
        <v>-600570.84844323737</v>
      </c>
    </row>
    <row r="26" spans="1:7" x14ac:dyDescent="0.25">
      <c r="A26" s="14">
        <f>'Conversion Schedule'!A25</f>
        <v>0</v>
      </c>
      <c r="B26" s="15">
        <f>'Conversion Schedule'!E25</f>
        <v>0</v>
      </c>
      <c r="C26" s="15">
        <f>'Conversion Schedule'!H25</f>
        <v>0</v>
      </c>
      <c r="D26" s="15">
        <f>'Conversion Schedule'!R25</f>
        <v>0</v>
      </c>
      <c r="E26" s="15">
        <f>SUM('Conversion Schedule'!$O$2:O25)</f>
        <v>64645.724778912008</v>
      </c>
      <c r="F26" s="15">
        <f>'Conversion Schedule'!S25</f>
        <v>0</v>
      </c>
      <c r="G26" s="14">
        <f t="shared" ca="1" si="0"/>
        <v>-601625.09934983205</v>
      </c>
    </row>
    <row r="27" spans="1:7" x14ac:dyDescent="0.25">
      <c r="A27" s="14">
        <f>'Conversion Schedule'!A26</f>
        <v>0</v>
      </c>
      <c r="B27" s="15">
        <f>'Conversion Schedule'!E26</f>
        <v>0</v>
      </c>
      <c r="C27" s="15">
        <f>'Conversion Schedule'!H26</f>
        <v>0</v>
      </c>
      <c r="D27" s="15">
        <f>'Conversion Schedule'!R26</f>
        <v>0</v>
      </c>
      <c r="E27" s="15">
        <f>SUM('Conversion Schedule'!$O$2:O26)</f>
        <v>64645.724778912008</v>
      </c>
      <c r="F27" s="15">
        <f>'Conversion Schedule'!S26</f>
        <v>0</v>
      </c>
      <c r="G27" s="14">
        <f t="shared" ca="1" si="0"/>
        <v>-602742.60531082179</v>
      </c>
    </row>
    <row r="28" spans="1:7" x14ac:dyDescent="0.25">
      <c r="A28" s="14">
        <f>'Conversion Schedule'!A27</f>
        <v>0</v>
      </c>
      <c r="B28" s="15">
        <f>'Conversion Schedule'!E27</f>
        <v>0</v>
      </c>
      <c r="C28" s="15">
        <f>'Conversion Schedule'!H27</f>
        <v>0</v>
      </c>
      <c r="D28" s="15">
        <f>'Conversion Schedule'!R27</f>
        <v>0</v>
      </c>
      <c r="E28" s="15">
        <f>SUM('Conversion Schedule'!$O$2:O27)</f>
        <v>64645.724778912008</v>
      </c>
      <c r="F28" s="15">
        <f>'Conversion Schedule'!S27</f>
        <v>0</v>
      </c>
      <c r="G28" s="14">
        <f t="shared" ca="1" si="0"/>
        <v>-603927.16162947123</v>
      </c>
    </row>
    <row r="29" spans="1:7" x14ac:dyDescent="0.25">
      <c r="A29" s="14">
        <f>'Conversion Schedule'!A28</f>
        <v>0</v>
      </c>
      <c r="B29" s="15">
        <f>'Conversion Schedule'!E28</f>
        <v>0</v>
      </c>
      <c r="C29" s="15">
        <f>'Conversion Schedule'!H28</f>
        <v>0</v>
      </c>
      <c r="D29" s="15">
        <f>'Conversion Schedule'!R28</f>
        <v>0</v>
      </c>
      <c r="E29" s="15">
        <f>SUM('Conversion Schedule'!$O$2:O28)</f>
        <v>64645.724778912008</v>
      </c>
      <c r="F29" s="15">
        <f>'Conversion Schedule'!S28</f>
        <v>0</v>
      </c>
      <c r="G29" s="14">
        <f t="shared" ca="1" si="0"/>
        <v>-605182.79132723948</v>
      </c>
    </row>
    <row r="30" spans="1:7" x14ac:dyDescent="0.25">
      <c r="A30" s="14">
        <f>'Conversion Schedule'!A29</f>
        <v>0</v>
      </c>
      <c r="B30" s="15">
        <f>'Conversion Schedule'!E29</f>
        <v>0</v>
      </c>
      <c r="C30" s="15">
        <f>'Conversion Schedule'!H29</f>
        <v>0</v>
      </c>
      <c r="D30" s="15">
        <f>'Conversion Schedule'!R29</f>
        <v>0</v>
      </c>
      <c r="E30" s="15">
        <f>SUM('Conversion Schedule'!$O$2:O29)</f>
        <v>64645.724778912008</v>
      </c>
      <c r="F30" s="15">
        <f>'Conversion Schedule'!S29</f>
        <v>0</v>
      </c>
      <c r="G30" s="14">
        <f t="shared" ca="1" si="0"/>
        <v>-606513.75880687358</v>
      </c>
    </row>
    <row r="31" spans="1:7" x14ac:dyDescent="0.25">
      <c r="A31" s="14">
        <f>'Conversion Schedule'!A30</f>
        <v>0</v>
      </c>
      <c r="B31" s="15">
        <f>'Conversion Schedule'!E30</f>
        <v>0</v>
      </c>
      <c r="C31" s="15">
        <f>'Conversion Schedule'!H30</f>
        <v>0</v>
      </c>
      <c r="D31" s="15">
        <f>'Conversion Schedule'!R30</f>
        <v>0</v>
      </c>
      <c r="E31" s="15">
        <f>SUM('Conversion Schedule'!$O$2:O30)</f>
        <v>64645.724778912008</v>
      </c>
      <c r="F31" s="15">
        <f>'Conversion Schedule'!S30</f>
        <v>0</v>
      </c>
      <c r="G31" s="14">
        <f t="shared" ca="1" si="0"/>
        <v>-607924.58433528617</v>
      </c>
    </row>
    <row r="32" spans="1:7" x14ac:dyDescent="0.25">
      <c r="A32" s="14">
        <f>'Conversion Schedule'!A31</f>
        <v>0</v>
      </c>
      <c r="B32" s="15">
        <f>'Conversion Schedule'!E31</f>
        <v>0</v>
      </c>
      <c r="C32" s="15">
        <f>'Conversion Schedule'!H31</f>
        <v>0</v>
      </c>
      <c r="D32" s="15">
        <f>'Conversion Schedule'!R31</f>
        <v>0</v>
      </c>
      <c r="E32" s="15">
        <f>SUM('Conversion Schedule'!$O$2:O31)</f>
        <v>64645.724778912008</v>
      </c>
      <c r="F32" s="15">
        <f>'Conversion Schedule'!S31</f>
        <v>0</v>
      </c>
      <c r="G32" s="14">
        <f t="shared" ca="1" si="0"/>
        <v>-609420.0593954036</v>
      </c>
    </row>
    <row r="33" spans="1:7" x14ac:dyDescent="0.25">
      <c r="A33" s="14">
        <f>'Conversion Schedule'!A32</f>
        <v>0</v>
      </c>
      <c r="B33" s="15">
        <f>'Conversion Schedule'!E32</f>
        <v>0</v>
      </c>
      <c r="C33" s="15">
        <f>'Conversion Schedule'!H32</f>
        <v>0</v>
      </c>
      <c r="D33" s="15">
        <f>'Conversion Schedule'!R32</f>
        <v>0</v>
      </c>
      <c r="E33" s="15">
        <f>SUM('Conversion Schedule'!$O$2:O32)</f>
        <v>64645.724778912008</v>
      </c>
      <c r="F33" s="15">
        <f>'Conversion Schedule'!S32</f>
        <v>0</v>
      </c>
      <c r="G33" s="14">
        <f t="shared" ca="1" si="0"/>
        <v>-611005.26295912778</v>
      </c>
    </row>
    <row r="34" spans="1:7" x14ac:dyDescent="0.25">
      <c r="A34" s="14">
        <f>'Conversion Schedule'!A33</f>
        <v>0</v>
      </c>
      <c r="B34" s="15">
        <f>'Conversion Schedule'!E33</f>
        <v>0</v>
      </c>
      <c r="C34" s="15">
        <f>'Conversion Schedule'!H33</f>
        <v>0</v>
      </c>
      <c r="D34" s="15">
        <f>'Conversion Schedule'!R33</f>
        <v>0</v>
      </c>
      <c r="E34" s="15">
        <f>SUM('Conversion Schedule'!$O$2:O33)</f>
        <v>64645.724778912008</v>
      </c>
      <c r="F34" s="15">
        <f>'Conversion Schedule'!S33</f>
        <v>0</v>
      </c>
      <c r="G34" s="14">
        <f t="shared" ca="1" si="0"/>
        <v>-612685.57873667567</v>
      </c>
    </row>
    <row r="35" spans="1:7" x14ac:dyDescent="0.25">
      <c r="A35" s="14">
        <f>'Conversion Schedule'!A34</f>
        <v>0</v>
      </c>
      <c r="B35" s="15">
        <f>'Conversion Schedule'!E34</f>
        <v>0</v>
      </c>
      <c r="C35" s="15">
        <f>'Conversion Schedule'!H34</f>
        <v>0</v>
      </c>
      <c r="D35" s="15">
        <f>'Conversion Schedule'!R34</f>
        <v>0</v>
      </c>
      <c r="E35" s="15">
        <f>SUM('Conversion Schedule'!$O$2:O34)</f>
        <v>64645.724778912008</v>
      </c>
      <c r="F35" s="15">
        <f>'Conversion Schedule'!S34</f>
        <v>0</v>
      </c>
      <c r="G35" s="14">
        <f t="shared" ca="1" si="0"/>
        <v>-614466.71346087637</v>
      </c>
    </row>
    <row r="36" spans="1:7" x14ac:dyDescent="0.25">
      <c r="A36" s="14">
        <f>'Conversion Schedule'!A35</f>
        <v>0</v>
      </c>
      <c r="B36" s="15">
        <f>'Conversion Schedule'!E35</f>
        <v>0</v>
      </c>
      <c r="C36" s="15">
        <f>'Conversion Schedule'!H35</f>
        <v>0</v>
      </c>
      <c r="D36" s="15">
        <f>'Conversion Schedule'!R35</f>
        <v>0</v>
      </c>
      <c r="E36" s="15">
        <f>SUM('Conversion Schedule'!$O$2:O35)</f>
        <v>64645.724778912008</v>
      </c>
      <c r="F36" s="15">
        <f>'Conversion Schedule'!S35</f>
        <v>0</v>
      </c>
      <c r="G36" s="14">
        <f t="shared" ca="1" si="0"/>
        <v>-616354.71626852872</v>
      </c>
    </row>
    <row r="37" spans="1:7" x14ac:dyDescent="0.25">
      <c r="A37" s="14">
        <f>'Conversion Schedule'!A36</f>
        <v>0</v>
      </c>
      <c r="B37" s="15">
        <f>'Conversion Schedule'!E36</f>
        <v>0</v>
      </c>
      <c r="C37" s="15">
        <f>'Conversion Schedule'!H36</f>
        <v>0</v>
      </c>
      <c r="D37" s="15">
        <f>'Conversion Schedule'!R36</f>
        <v>0</v>
      </c>
      <c r="E37" s="15">
        <f>SUM('Conversion Schedule'!$O$2:O36)</f>
        <v>64645.724778912008</v>
      </c>
      <c r="F37" s="15">
        <f>'Conversion Schedule'!S36</f>
        <v>0</v>
      </c>
      <c r="G37" s="14">
        <f t="shared" ca="1" si="0"/>
        <v>-618355.99924464012</v>
      </c>
    </row>
    <row r="38" spans="1:7" x14ac:dyDescent="0.25">
      <c r="A38" s="6" t="s">
        <v>97</v>
      </c>
    </row>
    <row r="39" spans="1:7" x14ac:dyDescent="0.25">
      <c r="A39" s="7" t="s">
        <v>0</v>
      </c>
      <c r="B39" s="7" t="s">
        <v>91</v>
      </c>
      <c r="C39" s="7" t="s">
        <v>92</v>
      </c>
      <c r="D39" s="7" t="s">
        <v>93</v>
      </c>
      <c r="E39" s="7" t="s">
        <v>94</v>
      </c>
      <c r="F39" s="7" t="s">
        <v>18</v>
      </c>
    </row>
    <row r="40" spans="1:7" x14ac:dyDescent="0.25">
      <c r="A40" s="14">
        <f>'Conversion Schedule'!A2</f>
        <v>2025</v>
      </c>
      <c r="B40" s="15">
        <f>Situation!$B$1*(1+Situation!$B$13)</f>
        <v>445200</v>
      </c>
      <c r="C40" s="15">
        <f>Situation!$B$2*(1+Situation!$B$13)</f>
        <v>37100</v>
      </c>
      <c r="D40" s="15">
        <f>(Situation!$B$3+Situation!$B$4-MAX(0,Situation!$B$12-Situation!$B$10))*(1+Situation!$B$13)</f>
        <v>203520</v>
      </c>
      <c r="E40" s="5">
        <v>0</v>
      </c>
      <c r="F40" s="15">
        <f>B40*(1-Situation!$B$28)+C40+D40</f>
        <v>587876</v>
      </c>
    </row>
    <row r="41" spans="1:7" x14ac:dyDescent="0.25">
      <c r="A41" s="14">
        <f>'Conversion Schedule'!A3</f>
        <v>2026</v>
      </c>
      <c r="B41" s="15">
        <f>B40*(1+Situation!$B$13)</f>
        <v>471912</v>
      </c>
      <c r="C41" s="15">
        <f>C40*(1+Situation!$B$13)</f>
        <v>39326</v>
      </c>
      <c r="D41" s="15">
        <f>(D40-MAX(0,Situation!$B$12-Situation!$B$10))*(1+Situation!$B$13)</f>
        <v>180751.2</v>
      </c>
      <c r="E41" s="5">
        <v>0</v>
      </c>
      <c r="F41" s="15">
        <f>B41*(1-Situation!$B$28)+C41+D41</f>
        <v>588168.56000000006</v>
      </c>
    </row>
    <row r="42" spans="1:7" x14ac:dyDescent="0.25">
      <c r="A42" s="14">
        <f>'Conversion Schedule'!A4</f>
        <v>2027</v>
      </c>
      <c r="B42" s="15">
        <f>B41*(1+Situation!$B$13)</f>
        <v>500226.72000000003</v>
      </c>
      <c r="C42" s="15">
        <f>C41*(1+Situation!$B$13)</f>
        <v>41685.560000000005</v>
      </c>
      <c r="D42" s="15">
        <f>(D41-MAX(0,Situation!$B$12-Situation!$B$10))*(1+Situation!$B$13)</f>
        <v>156616.27200000003</v>
      </c>
      <c r="E42" s="5">
        <v>0</v>
      </c>
      <c r="F42" s="15">
        <f>B42*(1-Situation!$B$28)+C42+D42</f>
        <v>588478.6736000001</v>
      </c>
    </row>
    <row r="43" spans="1:7" x14ac:dyDescent="0.25">
      <c r="A43" s="14">
        <f>'Conversion Schedule'!A5</f>
        <v>2028</v>
      </c>
      <c r="B43" s="15">
        <f>B42*(1+Situation!$B$13)</f>
        <v>530240.3232000001</v>
      </c>
      <c r="C43" s="15">
        <f>C42*(1+Situation!$B$13)</f>
        <v>44186.693600000006</v>
      </c>
      <c r="D43" s="15">
        <f>(D42-MAX(0,Situation!$B$12-Situation!$B$10))*(1+Situation!$B$13)</f>
        <v>131033.24832000003</v>
      </c>
      <c r="E43" s="5">
        <v>0</v>
      </c>
      <c r="F43" s="15">
        <f>B43*(1-Situation!$B$28)+C43+D43</f>
        <v>588807.39401600009</v>
      </c>
    </row>
    <row r="44" spans="1:7" x14ac:dyDescent="0.25">
      <c r="A44" s="14">
        <f>'Conversion Schedule'!A6</f>
        <v>2029</v>
      </c>
      <c r="B44" s="15">
        <f>B43*(1+Situation!$B$13)</f>
        <v>562054.74259200017</v>
      </c>
      <c r="C44" s="15">
        <f>C43*(1+Situation!$B$13)</f>
        <v>46837.895216000012</v>
      </c>
      <c r="D44" s="15">
        <f>(D43-MAX(0,Situation!$B$12-Situation!$B$10))*(1+Situation!$B$13)</f>
        <v>103915.24321920004</v>
      </c>
      <c r="E44" s="5">
        <v>0</v>
      </c>
      <c r="F44" s="15">
        <f>B44*(1-Situation!$B$28)+C44+D44</f>
        <v>589155.83765696024</v>
      </c>
    </row>
    <row r="45" spans="1:7" x14ac:dyDescent="0.25">
      <c r="A45" s="14">
        <f>'Conversion Schedule'!A7</f>
        <v>2030</v>
      </c>
      <c r="B45" s="15">
        <f>B44*(1+Situation!$B$13)</f>
        <v>595778.02714752022</v>
      </c>
      <c r="C45" s="15">
        <f>C44*(1+Situation!$B$13)</f>
        <v>49648.168928960018</v>
      </c>
      <c r="D45" s="15">
        <f>(D44-MAX(0,Situation!$B$12-Situation!$B$10))*(1+Situation!$B$13)</f>
        <v>75170.157812352045</v>
      </c>
      <c r="E45" s="5">
        <v>0</v>
      </c>
      <c r="F45" s="15">
        <f>B45*(1-Situation!$B$28)+C45+D45</f>
        <v>589525.18791637791</v>
      </c>
    </row>
    <row r="46" spans="1:7" x14ac:dyDescent="0.25">
      <c r="A46" s="14">
        <f>'Conversion Schedule'!A8</f>
        <v>2031</v>
      </c>
      <c r="B46" s="15">
        <f>B45*(1+Situation!$B$13)</f>
        <v>631524.70877637144</v>
      </c>
      <c r="C46" s="15">
        <f>C45*(1+Situation!$B$13)</f>
        <v>52627.05906469762</v>
      </c>
      <c r="D46" s="15">
        <f>(D45-MAX(0,Situation!$B$12-Situation!$B$10))*(1+Situation!$B$13)</f>
        <v>44700.367281093168</v>
      </c>
      <c r="E46" s="5">
        <v>0</v>
      </c>
      <c r="F46" s="15">
        <f>B46*(1-Situation!$B$28)+C46+D46</f>
        <v>589916.6991913605</v>
      </c>
    </row>
    <row r="47" spans="1:7" x14ac:dyDescent="0.25">
      <c r="A47" s="14">
        <f>'Conversion Schedule'!A9</f>
        <v>2032</v>
      </c>
      <c r="B47" s="15">
        <f>B46*(1+Situation!$B$13)</f>
        <v>669416.19130295375</v>
      </c>
      <c r="C47" s="15">
        <f>C46*(1+Situation!$B$13)</f>
        <v>55784.682608579482</v>
      </c>
      <c r="D47" s="15">
        <f>(D46-MAX(0,Situation!$B$12-Situation!$B$10))*(1+Situation!$B$13)</f>
        <v>12402.389317958758</v>
      </c>
      <c r="E47" s="5">
        <v>0</v>
      </c>
      <c r="F47" s="15">
        <f>B47*(1-Situation!$B$28)+C47+D47</f>
        <v>590331.70114284218</v>
      </c>
    </row>
    <row r="48" spans="1:7" x14ac:dyDescent="0.25">
      <c r="A48" s="14">
        <f>'Conversion Schedule'!A10</f>
        <v>2033</v>
      </c>
      <c r="B48" s="15">
        <f>B47*(1+Situation!$B$13)</f>
        <v>709581.16278113099</v>
      </c>
      <c r="C48" s="15">
        <f>C47*(1+Situation!$B$13)</f>
        <v>59131.763565094254</v>
      </c>
      <c r="D48" s="15">
        <f>(D47-MAX(0,Situation!$B$12-Situation!$B$10))*(1+Situation!$B$13)</f>
        <v>-21833.467322963719</v>
      </c>
      <c r="E48" s="5">
        <v>0</v>
      </c>
      <c r="F48" s="15">
        <f>B48*(1-Situation!$B$28)+C48+D48</f>
        <v>590771.60321141267</v>
      </c>
    </row>
    <row r="49" spans="1:6" x14ac:dyDescent="0.25">
      <c r="A49" s="14">
        <f>'Conversion Schedule'!A11</f>
        <v>2034</v>
      </c>
      <c r="B49" s="15">
        <f>B48*(1+Situation!$B$13)</f>
        <v>752156.03254799894</v>
      </c>
      <c r="C49" s="15">
        <f>C48*(1+Situation!$B$13)</f>
        <v>62679.669378999912</v>
      </c>
      <c r="D49" s="15">
        <f>(D48-MAX(0,Situation!$B$12-Situation!$B$10))*(1+Situation!$B$13)</f>
        <v>-58123.475362341545</v>
      </c>
      <c r="E49" s="5">
        <v>0</v>
      </c>
      <c r="F49" s="15">
        <f>B49*(1-Situation!$B$28)+C49+D49</f>
        <v>591237.8994040977</v>
      </c>
    </row>
    <row r="50" spans="1:6" x14ac:dyDescent="0.25">
      <c r="A50" s="14">
        <f>'Conversion Schedule'!A12</f>
        <v>2035</v>
      </c>
      <c r="B50" s="15">
        <f>B49*(1+Situation!$B$13)</f>
        <v>797285.39450087887</v>
      </c>
      <c r="C50" s="15">
        <f>C49*(1+Situation!$B$13)</f>
        <v>66440.449541739916</v>
      </c>
      <c r="D50" s="15">
        <f>(D49-MAX(0,Situation!$B$12-Situation!$B$10))*(1+Situation!$B$13)</f>
        <v>-96590.883884082039</v>
      </c>
      <c r="E50" s="5">
        <v>0</v>
      </c>
      <c r="F50" s="15">
        <f>B50*(1-Situation!$B$28)+C50+D50</f>
        <v>591732.17336834338</v>
      </c>
    </row>
    <row r="51" spans="1:6" x14ac:dyDescent="0.25">
      <c r="A51" s="14">
        <f>'Conversion Schedule'!A13</f>
        <v>2036</v>
      </c>
      <c r="B51" s="15">
        <f>B50*(1+Situation!$B$13)</f>
        <v>845122.51817093161</v>
      </c>
      <c r="C51" s="15">
        <f>C50*(1+Situation!$B$13)</f>
        <v>70426.876514244315</v>
      </c>
      <c r="D51" s="15">
        <f>(D50-MAX(0,Situation!$B$12-Situation!$B$10))*(1+Situation!$B$13)</f>
        <v>-137366.33691712696</v>
      </c>
      <c r="E51" s="5">
        <v>0</v>
      </c>
      <c r="F51" s="15">
        <f>B51*(1-Situation!$B$28)+C51+D51</f>
        <v>592256.10377044417</v>
      </c>
    </row>
    <row r="52" spans="1:6" x14ac:dyDescent="0.25">
      <c r="A52" s="14">
        <f>'Conversion Schedule'!A14</f>
        <v>2037</v>
      </c>
      <c r="B52" s="15">
        <f>B51*(1+Situation!$B$13)</f>
        <v>895829.8692611875</v>
      </c>
      <c r="C52" s="15">
        <f>C51*(1+Situation!$B$13)</f>
        <v>74652.489105098983</v>
      </c>
      <c r="D52" s="15">
        <f>(D51-MAX(0,Situation!$B$12-Situation!$B$10))*(1+Situation!$B$13)</f>
        <v>-180588.3171321546</v>
      </c>
      <c r="E52" s="5">
        <v>0</v>
      </c>
      <c r="F52" s="15">
        <f>B52*(1-Situation!$B$28)+C52+D52</f>
        <v>592811.46999667073</v>
      </c>
    </row>
    <row r="53" spans="1:6" x14ac:dyDescent="0.25">
      <c r="A53" s="14">
        <f>'Conversion Schedule'!A15</f>
        <v>2038</v>
      </c>
      <c r="B53" s="15">
        <f>B52*(1+Situation!$B$13)</f>
        <v>949579.66141685878</v>
      </c>
      <c r="C53" s="15">
        <f>C52*(1+Situation!$B$13)</f>
        <v>79131.638451404928</v>
      </c>
      <c r="D53" s="15">
        <f>(D52-MAX(0,Situation!$B$12-Situation!$B$10))*(1+Situation!$B$13)</f>
        <v>-226403.61616008388</v>
      </c>
      <c r="E53" s="5">
        <v>0</v>
      </c>
      <c r="F53" s="15">
        <f>B53*(1-Situation!$B$28)+C53+D53</f>
        <v>593400.15819647082</v>
      </c>
    </row>
    <row r="54" spans="1:6" x14ac:dyDescent="0.25">
      <c r="A54" s="14">
        <f>'Conversion Schedule'!A16</f>
        <v>2039</v>
      </c>
      <c r="B54" s="15">
        <f>B53*(1+Situation!$B$13)</f>
        <v>1006554.4411018704</v>
      </c>
      <c r="C54" s="15">
        <f>C53*(1+Situation!$B$13)</f>
        <v>83879.536758489223</v>
      </c>
      <c r="D54" s="15">
        <f>(D53-MAX(0,Situation!$B$12-Situation!$B$10))*(1+Situation!$B$13)</f>
        <v>-274967.83312968892</v>
      </c>
      <c r="E54" s="5">
        <v>0</v>
      </c>
      <c r="F54" s="15">
        <f>B54*(1-Situation!$B$28)+C54+D54</f>
        <v>594024.16768825916</v>
      </c>
    </row>
    <row r="55" spans="1:6" x14ac:dyDescent="0.25">
      <c r="A55" s="14">
        <f>'Conversion Schedule'!A17</f>
        <v>0</v>
      </c>
      <c r="B55" s="15">
        <f>B54*(1+Situation!$B$13)</f>
        <v>1066947.7075679826</v>
      </c>
      <c r="C55" s="15">
        <f>C54*(1+Situation!$B$13)</f>
        <v>88912.308963998585</v>
      </c>
      <c r="D55" s="15">
        <f>(D54-MAX(0,Situation!$B$12-Situation!$B$10))*(1+Situation!$B$13)</f>
        <v>-326445.90311747027</v>
      </c>
      <c r="E55" s="5">
        <v>0</v>
      </c>
      <c r="F55" s="15">
        <f>B55*(1-Situation!$B$28)+C55+D55</f>
        <v>594685.6177495548</v>
      </c>
    </row>
    <row r="56" spans="1:6" x14ac:dyDescent="0.25">
      <c r="A56" s="14">
        <f>'Conversion Schedule'!A18</f>
        <v>0</v>
      </c>
      <c r="B56" s="15">
        <f>B55*(1+Situation!$B$13)</f>
        <v>1130964.5700220617</v>
      </c>
      <c r="C56" s="15">
        <f>C55*(1+Situation!$B$13)</f>
        <v>94247.047501838504</v>
      </c>
      <c r="D56" s="15">
        <f>(D55-MAX(0,Situation!$B$12-Situation!$B$10))*(1+Situation!$B$13)</f>
        <v>-381012.65730451851</v>
      </c>
      <c r="E56" s="5">
        <v>0</v>
      </c>
      <c r="F56" s="15">
        <f>B56*(1-Situation!$B$28)+C56+D56</f>
        <v>595386.75481452816</v>
      </c>
    </row>
    <row r="57" spans="1:6" x14ac:dyDescent="0.25">
      <c r="A57" s="14">
        <f>'Conversion Schedule'!A19</f>
        <v>0</v>
      </c>
      <c r="B57" s="15">
        <f>B56*(1+Situation!$B$13)</f>
        <v>1198822.4442233855</v>
      </c>
      <c r="C57" s="15">
        <f>C56*(1+Situation!$B$13)</f>
        <v>99901.870351948819</v>
      </c>
      <c r="D57" s="15">
        <f>(D56-MAX(0,Situation!$B$12-Situation!$B$10))*(1+Situation!$B$13)</f>
        <v>-438853.41674278962</v>
      </c>
      <c r="E57" s="5">
        <v>0</v>
      </c>
      <c r="F57" s="15">
        <f>B57*(1-Situation!$B$28)+C57+D57</f>
        <v>596129.96010339982</v>
      </c>
    </row>
    <row r="58" spans="1:6" x14ac:dyDescent="0.25">
      <c r="A58" s="14">
        <f>'Conversion Schedule'!A20</f>
        <v>0</v>
      </c>
      <c r="B58" s="15">
        <f>B57*(1+Situation!$B$13)</f>
        <v>1270751.7908767888</v>
      </c>
      <c r="C58" s="15">
        <f>C57*(1+Situation!$B$13)</f>
        <v>105895.98257306575</v>
      </c>
      <c r="D58" s="15">
        <f>(D57-MAX(0,Situation!$B$12-Situation!$B$10))*(1+Situation!$B$13)</f>
        <v>-500164.62174735701</v>
      </c>
      <c r="E58" s="5">
        <v>0</v>
      </c>
      <c r="F58" s="15">
        <f>B58*(1-Situation!$B$28)+C58+D58</f>
        <v>596917.75770960399</v>
      </c>
    </row>
    <row r="59" spans="1:6" x14ac:dyDescent="0.25">
      <c r="A59" s="14">
        <f>'Conversion Schedule'!A21</f>
        <v>0</v>
      </c>
      <c r="B59" s="15">
        <f>B58*(1+Situation!$B$13)</f>
        <v>1346996.8983293963</v>
      </c>
      <c r="C59" s="15">
        <f>C58*(1+Situation!$B$13)</f>
        <v>112249.7415274497</v>
      </c>
      <c r="D59" s="15">
        <f>(D58-MAX(0,Situation!$B$12-Situation!$B$10))*(1+Situation!$B$13)</f>
        <v>-565154.49905219849</v>
      </c>
      <c r="E59" s="5">
        <v>0</v>
      </c>
      <c r="F59" s="15">
        <f>B59*(1-Situation!$B$28)+C59+D59</f>
        <v>597752.82317218033</v>
      </c>
    </row>
    <row r="60" spans="1:6" x14ac:dyDescent="0.25">
      <c r="A60" s="14">
        <f>'Conversion Schedule'!A22</f>
        <v>0</v>
      </c>
      <c r="B60" s="15">
        <f>B59*(1+Situation!$B$13)</f>
        <v>1427816.7122291601</v>
      </c>
      <c r="C60" s="15">
        <f>C59*(1+Situation!$B$13)</f>
        <v>118984.72601909669</v>
      </c>
      <c r="D60" s="15">
        <f>(D59-MAX(0,Situation!$B$12-Situation!$B$10))*(1+Situation!$B$13)</f>
        <v>-634043.76899533044</v>
      </c>
      <c r="E60" s="5">
        <v>0</v>
      </c>
      <c r="F60" s="15">
        <f>B60*(1-Situation!$B$28)+C60+D60</f>
        <v>598637.99256251124</v>
      </c>
    </row>
    <row r="61" spans="1:6" x14ac:dyDescent="0.25">
      <c r="A61" s="14">
        <f>'Conversion Schedule'!A23</f>
        <v>0</v>
      </c>
      <c r="B61" s="15">
        <f>B60*(1+Situation!$B$13)</f>
        <v>1513485.7149629097</v>
      </c>
      <c r="C61" s="15">
        <f>C60*(1+Situation!$B$13)</f>
        <v>126123.80958024249</v>
      </c>
      <c r="D61" s="15">
        <f>(D60-MAX(0,Situation!$B$12-Situation!$B$10))*(1+Situation!$B$13)</f>
        <v>-707066.39513505029</v>
      </c>
      <c r="E61" s="5">
        <v>0</v>
      </c>
      <c r="F61" s="15">
        <f>B61*(1-Situation!$B$28)+C61+D61</f>
        <v>599576.27211626188</v>
      </c>
    </row>
    <row r="62" spans="1:6" x14ac:dyDescent="0.25">
      <c r="A62" s="14">
        <f>'Conversion Schedule'!A24</f>
        <v>0</v>
      </c>
      <c r="B62" s="15">
        <f>B61*(1+Situation!$B$13)</f>
        <v>1604294.8578606844</v>
      </c>
      <c r="C62" s="15">
        <f>C61*(1+Situation!$B$13)</f>
        <v>133691.23815505704</v>
      </c>
      <c r="D62" s="15">
        <f>(D61-MAX(0,Situation!$B$12-Situation!$B$10))*(1+Situation!$B$13)</f>
        <v>-784470.37884315336</v>
      </c>
      <c r="E62" s="5">
        <v>0</v>
      </c>
      <c r="F62" s="15">
        <f>B62*(1-Situation!$B$28)+C62+D62</f>
        <v>600570.84844323737</v>
      </c>
    </row>
    <row r="63" spans="1:6" x14ac:dyDescent="0.25">
      <c r="A63" s="14">
        <f>'Conversion Schedule'!A25</f>
        <v>0</v>
      </c>
      <c r="B63" s="15">
        <f>B62*(1+Situation!$B$13)</f>
        <v>1700552.5493323256</v>
      </c>
      <c r="C63" s="15">
        <f>C62*(1+Situation!$B$13)</f>
        <v>141712.71244436048</v>
      </c>
      <c r="D63" s="15">
        <f>(D62-MAX(0,Situation!$B$12-Situation!$B$10))*(1+Situation!$B$13)</f>
        <v>-866518.60157374258</v>
      </c>
      <c r="E63" s="5">
        <v>0</v>
      </c>
      <c r="F63" s="15">
        <f>B63*(1-Situation!$B$28)+C63+D63</f>
        <v>601625.09934983205</v>
      </c>
    </row>
    <row r="64" spans="1:6" x14ac:dyDescent="0.25">
      <c r="A64" s="14">
        <f>'Conversion Schedule'!A26</f>
        <v>0</v>
      </c>
      <c r="B64" s="15">
        <f>B63*(1+Situation!$B$13)</f>
        <v>1802585.7022922651</v>
      </c>
      <c r="C64" s="15">
        <f>C63*(1+Situation!$B$13)</f>
        <v>150215.47519102212</v>
      </c>
      <c r="D64" s="15">
        <f>(D63-MAX(0,Situation!$B$12-Situation!$B$10))*(1+Situation!$B$13)</f>
        <v>-953489.7176681672</v>
      </c>
      <c r="E64" s="5">
        <v>0</v>
      </c>
      <c r="F64" s="15">
        <f>B64*(1-Situation!$B$28)+C64+D64</f>
        <v>602742.60531082179</v>
      </c>
    </row>
    <row r="65" spans="1:6" x14ac:dyDescent="0.25">
      <c r="A65" s="14">
        <f>'Conversion Schedule'!A27</f>
        <v>0</v>
      </c>
      <c r="B65" s="15">
        <f>B64*(1+Situation!$B$13)</f>
        <v>1910740.8444298012</v>
      </c>
      <c r="C65" s="15">
        <f>C64*(1+Situation!$B$13)</f>
        <v>159228.40370248345</v>
      </c>
      <c r="D65" s="15">
        <f>(D64-MAX(0,Situation!$B$12-Situation!$B$10))*(1+Situation!$B$13)</f>
        <v>-1045679.1007282573</v>
      </c>
      <c r="E65" s="5">
        <v>0</v>
      </c>
      <c r="F65" s="15">
        <f>B65*(1-Situation!$B$28)+C65+D65</f>
        <v>603927.16162947123</v>
      </c>
    </row>
    <row r="66" spans="1:6" x14ac:dyDescent="0.25">
      <c r="A66" s="14">
        <f>'Conversion Schedule'!A28</f>
        <v>0</v>
      </c>
      <c r="B66" s="15">
        <f>B65*(1+Situation!$B$13)</f>
        <v>2025385.2950955895</v>
      </c>
      <c r="C66" s="15">
        <f>C65*(1+Situation!$B$13)</f>
        <v>168782.10792463247</v>
      </c>
      <c r="D66" s="15">
        <f>(D65-MAX(0,Situation!$B$12-Situation!$B$10))*(1+Situation!$B$13)</f>
        <v>-1143399.8467719529</v>
      </c>
      <c r="E66" s="5">
        <v>0</v>
      </c>
      <c r="F66" s="15">
        <f>B66*(1-Situation!$B$28)+C66+D66</f>
        <v>605182.79132723948</v>
      </c>
    </row>
    <row r="67" spans="1:6" x14ac:dyDescent="0.25">
      <c r="A67" s="14">
        <f>'Conversion Schedule'!A29</f>
        <v>0</v>
      </c>
      <c r="B67" s="15">
        <f>B66*(1+Situation!$B$13)</f>
        <v>2146908.4128013249</v>
      </c>
      <c r="C67" s="15">
        <f>C66*(1+Situation!$B$13)</f>
        <v>178909.03440011042</v>
      </c>
      <c r="D67" s="15">
        <f>(D66-MAX(0,Situation!$B$12-Situation!$B$10))*(1+Situation!$B$13)</f>
        <v>-1246983.8375782701</v>
      </c>
      <c r="E67" s="5">
        <v>0</v>
      </c>
      <c r="F67" s="15">
        <f>B67*(1-Situation!$B$28)+C67+D67</f>
        <v>606513.75880687358</v>
      </c>
    </row>
    <row r="68" spans="1:6" x14ac:dyDescent="0.25">
      <c r="A68" s="14">
        <f>'Conversion Schedule'!A30</f>
        <v>0</v>
      </c>
      <c r="B68" s="15">
        <f>B67*(1+Situation!$B$13)</f>
        <v>2275722.9175694045</v>
      </c>
      <c r="C68" s="15">
        <f>C67*(1+Situation!$B$13)</f>
        <v>189643.57646411707</v>
      </c>
      <c r="D68" s="15">
        <f>(D67-MAX(0,Situation!$B$12-Situation!$B$10))*(1+Situation!$B$13)</f>
        <v>-1356782.8678329664</v>
      </c>
      <c r="E68" s="5">
        <v>0</v>
      </c>
      <c r="F68" s="15">
        <f>B68*(1-Situation!$B$28)+C68+D68</f>
        <v>607924.58433528617</v>
      </c>
    </row>
    <row r="69" spans="1:6" x14ac:dyDescent="0.25">
      <c r="A69" s="14">
        <f>'Conversion Schedule'!A31</f>
        <v>0</v>
      </c>
      <c r="B69" s="15">
        <f>B68*(1+Situation!$B$13)</f>
        <v>2412266.2926235688</v>
      </c>
      <c r="C69" s="15">
        <f>C68*(1+Situation!$B$13)</f>
        <v>201022.1910519641</v>
      </c>
      <c r="D69" s="15">
        <f>(D68-MAX(0,Situation!$B$12-Situation!$B$10))*(1+Situation!$B$13)</f>
        <v>-1473169.8399029444</v>
      </c>
      <c r="E69" s="5">
        <v>0</v>
      </c>
      <c r="F69" s="15">
        <f>B69*(1-Situation!$B$28)+C69+D69</f>
        <v>609420.0593954036</v>
      </c>
    </row>
    <row r="70" spans="1:6" x14ac:dyDescent="0.25">
      <c r="A70" s="14">
        <f>'Conversion Schedule'!A32</f>
        <v>0</v>
      </c>
      <c r="B70" s="15">
        <f>B69*(1+Situation!$B$13)</f>
        <v>2557002.270180983</v>
      </c>
      <c r="C70" s="15">
        <f>C69*(1+Situation!$B$13)</f>
        <v>213083.52251508195</v>
      </c>
      <c r="D70" s="15">
        <f>(D69-MAX(0,Situation!$B$12-Situation!$B$10))*(1+Situation!$B$13)</f>
        <v>-1596540.030297121</v>
      </c>
      <c r="E70" s="5">
        <v>0</v>
      </c>
      <c r="F70" s="15">
        <f>B70*(1-Situation!$B$28)+C70+D70</f>
        <v>611005.26295912778</v>
      </c>
    </row>
    <row r="71" spans="1:6" x14ac:dyDescent="0.25">
      <c r="A71" s="14">
        <f>'Conversion Schedule'!A33</f>
        <v>0</v>
      </c>
      <c r="B71" s="15">
        <f>B70*(1+Situation!$B$13)</f>
        <v>2710422.4063918423</v>
      </c>
      <c r="C71" s="15">
        <f>C70*(1+Situation!$B$13)</f>
        <v>225868.53386598689</v>
      </c>
      <c r="D71" s="15">
        <f>(D70-MAX(0,Situation!$B$12-Situation!$B$10))*(1+Situation!$B$13)</f>
        <v>-1727312.4321149483</v>
      </c>
      <c r="E71" s="5">
        <v>0</v>
      </c>
      <c r="F71" s="15">
        <f>B71*(1-Situation!$B$28)+C71+D71</f>
        <v>612685.57873667567</v>
      </c>
    </row>
    <row r="72" spans="1:6" x14ac:dyDescent="0.25">
      <c r="A72" s="14">
        <f>'Conversion Schedule'!A34</f>
        <v>0</v>
      </c>
      <c r="B72" s="15">
        <f>B71*(1+Situation!$B$13)</f>
        <v>2873047.7507753531</v>
      </c>
      <c r="C72" s="15">
        <f>C71*(1+Situation!$B$13)</f>
        <v>239420.64589794612</v>
      </c>
      <c r="D72" s="15">
        <f>(D71-MAX(0,Situation!$B$12-Situation!$B$10))*(1+Situation!$B$13)</f>
        <v>-1865931.1780418453</v>
      </c>
      <c r="E72" s="5">
        <v>0</v>
      </c>
      <c r="F72" s="15">
        <f>B72*(1-Situation!$B$28)+C72+D72</f>
        <v>614466.71346087637</v>
      </c>
    </row>
    <row r="73" spans="1:6" x14ac:dyDescent="0.25">
      <c r="A73" s="14">
        <f>'Conversion Schedule'!A35</f>
        <v>0</v>
      </c>
      <c r="B73" s="15">
        <f>B72*(1+Situation!$B$13)</f>
        <v>3045430.6158218742</v>
      </c>
      <c r="C73" s="15">
        <f>C72*(1+Situation!$B$13)</f>
        <v>253785.88465182288</v>
      </c>
      <c r="D73" s="15">
        <f>(D72-MAX(0,Situation!$B$12-Situation!$B$10))*(1+Situation!$B$13)</f>
        <v>-2012867.0487243561</v>
      </c>
      <c r="E73" s="5">
        <v>0</v>
      </c>
      <c r="F73" s="15">
        <f>B73*(1-Situation!$B$28)+C73+D73</f>
        <v>616354.71626852872</v>
      </c>
    </row>
    <row r="74" spans="1:6" x14ac:dyDescent="0.25">
      <c r="A74" s="14">
        <f>'Conversion Schedule'!A36</f>
        <v>0</v>
      </c>
      <c r="B74" s="15">
        <f>B73*(1+Situation!$B$13)</f>
        <v>3228156.4527711868</v>
      </c>
      <c r="C74" s="15">
        <f>C73*(1+Situation!$B$13)</f>
        <v>269013.03773093229</v>
      </c>
      <c r="D74" s="15">
        <f>(D73-MAX(0,Situation!$B$12-Situation!$B$10))*(1+Situation!$B$13)</f>
        <v>-2168619.0716478177</v>
      </c>
      <c r="E74" s="5">
        <v>0</v>
      </c>
      <c r="F74" s="15">
        <f>B74*(1-Situation!$B$28)+C74+D74</f>
        <v>618355.99924464012</v>
      </c>
    </row>
    <row r="76" spans="1:6" x14ac:dyDescent="0.25">
      <c r="A76" s="8" t="s">
        <v>98</v>
      </c>
    </row>
    <row r="77" spans="1:6" x14ac:dyDescent="0.25">
      <c r="A77" t="s">
        <v>99</v>
      </c>
      <c r="B77" s="14">
        <f>E37</f>
        <v>64645.724778912008</v>
      </c>
      <c r="C77">
        <v>0</v>
      </c>
    </row>
    <row r="78" spans="1:6" x14ac:dyDescent="0.25">
      <c r="A78" t="s">
        <v>100</v>
      </c>
      <c r="B78" s="14">
        <f>F37</f>
        <v>0</v>
      </c>
    </row>
    <row r="79" spans="1:6" x14ac:dyDescent="0.25">
      <c r="A79" t="s">
        <v>101</v>
      </c>
      <c r="B79" s="14">
        <f>F74</f>
        <v>618355.99924464012</v>
      </c>
    </row>
    <row r="80" spans="1:6" x14ac:dyDescent="0.25">
      <c r="A80" t="s">
        <v>102</v>
      </c>
      <c r="B80" s="14">
        <f ca="1">IFERROR(_xlfn.SINGLE(_xlfn.MINIFS(A3:A37,A3:A37,"&gt;2000",G3:G37,"&gt;=0")),"-")</f>
        <v>2025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workbookViewId="0"/>
  </sheetViews>
  <sheetFormatPr defaultRowHeight="15" x14ac:dyDescent="0.25"/>
  <cols>
    <col min="1" max="1" width="35.85546875" customWidth="1"/>
    <col min="2" max="2" width="14.42578125" customWidth="1"/>
    <col min="3" max="5" width="26.5703125" style="29" customWidth="1"/>
  </cols>
  <sheetData>
    <row r="1" spans="1:5" x14ac:dyDescent="0.25">
      <c r="A1" s="3" t="s">
        <v>116</v>
      </c>
    </row>
    <row r="3" spans="1:5" x14ac:dyDescent="0.25">
      <c r="A3" s="4" t="s">
        <v>103</v>
      </c>
      <c r="B3" s="4" t="s">
        <v>104</v>
      </c>
      <c r="C3" s="25" t="s">
        <v>105</v>
      </c>
      <c r="D3" s="25" t="s">
        <v>106</v>
      </c>
      <c r="E3" s="25" t="s">
        <v>107</v>
      </c>
    </row>
    <row r="4" spans="1:5" x14ac:dyDescent="0.25">
      <c r="A4" s="1" t="s">
        <v>108</v>
      </c>
      <c r="B4" s="17">
        <f>MAX(0,IF(Situation!$B$9="Married Filing Jointly",Situation!$D$45,IF(Situation!$B$9="Head of Household",Situation!$F$45,Situation!$B$45))+IF(Situation!$B$9="Married Filing Jointly",30000,IF(Situation!$B$9="Head of Household",22500,15000))-Situation!$B$10)</f>
        <v>204700</v>
      </c>
      <c r="C4" s="31"/>
      <c r="D4" s="30" t="s">
        <v>109</v>
      </c>
      <c r="E4" s="30" t="s">
        <v>110</v>
      </c>
    </row>
    <row r="5" spans="1:5" x14ac:dyDescent="0.25">
      <c r="A5" s="1" t="s">
        <v>111</v>
      </c>
      <c r="B5" s="17">
        <f>SUM(Situation!$B$19:$B$25)/Situation!$B$18</f>
        <v>61428.571428571428</v>
      </c>
      <c r="C5" s="31"/>
      <c r="D5" s="27">
        <f>'Convert vs. Don''t Convert'!F37</f>
        <v>0</v>
      </c>
      <c r="E5" s="26">
        <f ca="1">'Convert vs. Don''t Convert'!B80</f>
        <v>2025</v>
      </c>
    </row>
    <row r="6" spans="1:5" x14ac:dyDescent="0.25">
      <c r="A6" s="1" t="s">
        <v>112</v>
      </c>
      <c r="B6" s="17">
        <f>MAX(0,IF(Situation!$B$9="Married Filing Jointly",Situation!$D$44,IF(Situation!$B$9="Head of Household",Situation!$F$44,Situation!$B$44))+IF(Situation!$B$9="Married Filing Jointly",30000,IF(Situation!$B$9="Head of Household",22500,15000))-Situation!$B$10)</f>
        <v>94950</v>
      </c>
      <c r="C6" s="31"/>
      <c r="D6" s="30" t="s">
        <v>113</v>
      </c>
      <c r="E6" s="30" t="s">
        <v>110</v>
      </c>
    </row>
    <row r="7" spans="1:5" x14ac:dyDescent="0.25">
      <c r="A7" s="1" t="s">
        <v>114</v>
      </c>
      <c r="B7" s="5">
        <v>0</v>
      </c>
      <c r="C7" s="32">
        <v>0</v>
      </c>
      <c r="D7" s="27">
        <f>'Convert vs. Don''t Convert'!F74</f>
        <v>618355.99924464012</v>
      </c>
      <c r="E7" s="30" t="s">
        <v>110</v>
      </c>
    </row>
    <row r="9" spans="1:5" x14ac:dyDescent="0.25">
      <c r="A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Situation</vt:lpstr>
      <vt:lpstr>Conversion Schedule</vt:lpstr>
      <vt:lpstr>5-Year Rule Tracker</vt:lpstr>
      <vt:lpstr>Convert vs. Don't Convert</vt:lpstr>
      <vt:lpstr>What-If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Roth IRA Conversion Ladder Planner</dc:title>
  <dc:creator>openpyxl</dc:creator>
  <cp:lastModifiedBy>Frenzel, Tim</cp:lastModifiedBy>
  <dcterms:created xsi:type="dcterms:W3CDTF">2026-04-07T22:14:39Z</dcterms:created>
  <dcterms:modified xsi:type="dcterms:W3CDTF">2026-04-08T10:22:59Z</dcterms:modified>
</cp:coreProperties>
</file>