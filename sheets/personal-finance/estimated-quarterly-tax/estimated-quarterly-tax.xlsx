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300_WORK\xAI\002_xAI\project\excel-scraping\task_035\"/>
    </mc:Choice>
  </mc:AlternateContent>
  <xr:revisionPtr revIDLastSave="0" documentId="13_ncr:1_{D5A523F0-6820-4D63-8E97-61D54AC20DF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01-quarterly-calc" sheetId="1" r:id="rId1"/>
    <sheet name="02-income-log" sheetId="2" r:id="rId2"/>
    <sheet name="03-tax-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B118" i="1"/>
  <c r="B97" i="1"/>
  <c r="B99" i="1" s="1"/>
  <c r="B91" i="1"/>
  <c r="B71" i="1"/>
  <c r="B73" i="1" s="1"/>
  <c r="B65" i="1"/>
  <c r="B45" i="1"/>
  <c r="B47" i="1" s="1"/>
  <c r="B39" i="1"/>
  <c r="B19" i="1"/>
  <c r="B21" i="1" s="1"/>
  <c r="B13" i="1"/>
  <c r="B4" i="1"/>
  <c r="B5" i="1" s="1"/>
  <c r="B48" i="1" l="1"/>
  <c r="B74" i="1"/>
  <c r="B100" i="1"/>
  <c r="B22" i="1"/>
  <c r="B23" i="1" l="1"/>
  <c r="B115" i="1"/>
  <c r="B101" i="1"/>
  <c r="B75" i="1"/>
  <c r="B49" i="1"/>
  <c r="B77" i="1" l="1"/>
  <c r="B78" i="1"/>
  <c r="B52" i="1"/>
  <c r="B51" i="1"/>
  <c r="B55" i="1" s="1"/>
  <c r="B104" i="1"/>
  <c r="B103" i="1"/>
  <c r="B107" i="1" s="1"/>
  <c r="B25" i="1"/>
  <c r="B26" i="1"/>
  <c r="B117" i="1" l="1"/>
  <c r="B116" i="1"/>
  <c r="B29" i="1"/>
  <c r="B81" i="1"/>
  <c r="B119" i="1" l="1"/>
  <c r="B121" i="1" s="1"/>
</calcChain>
</file>

<file path=xl/sharedStrings.xml><?xml version="1.0" encoding="utf-8"?>
<sst xmlns="http://schemas.openxmlformats.org/spreadsheetml/2006/main" count="248" uniqueCount="142">
  <si>
    <t>Filing Status:</t>
  </si>
  <si>
    <t>Single</t>
  </si>
  <si>
    <t>Prior Year AGI (2025):</t>
  </si>
  <si>
    <t>Prior Year Total Tax (2025):</t>
  </si>
  <si>
    <t>Safe Harbor (100% of prior year):</t>
  </si>
  <si>
    <t>Quarterly Safe Harbor Payment:</t>
  </si>
  <si>
    <t>Q1: JANUARY - MARCH</t>
  </si>
  <si>
    <t>1099 Client Income</t>
  </si>
  <si>
    <t>W-2 Gross (print shop)</t>
  </si>
  <si>
    <t>Other Income</t>
  </si>
  <si>
    <t>Gross Income</t>
  </si>
  <si>
    <t>Deductions:</t>
  </si>
  <si>
    <t xml:space="preserve">  Home office</t>
  </si>
  <si>
    <t>simplified method, 75 sqft</t>
  </si>
  <si>
    <t xml:space="preserve">  Business expenses</t>
  </si>
  <si>
    <t>new laptop, software, supplies</t>
  </si>
  <si>
    <t xml:space="preserve">  Health insurance premium</t>
  </si>
  <si>
    <t xml:space="preserve">  Total deductions</t>
  </si>
  <si>
    <t>Net Self-Employment Income</t>
  </si>
  <si>
    <t>SE Tax (15.3% x 92.35%)</t>
  </si>
  <si>
    <t>1/2 SE Tax Deduction</t>
  </si>
  <si>
    <t>Federal Income Tax Est.</t>
  </si>
  <si>
    <t>State Income Tax Est.</t>
  </si>
  <si>
    <t>W-2 Withholding (already paid)</t>
  </si>
  <si>
    <t>Q1 ESTIMATED PAYMENT DUE</t>
  </si>
  <si>
    <t>Due Date: 4/15/2026</t>
  </si>
  <si>
    <t>Paid?</t>
  </si>
  <si>
    <t>yes - $2,840 on 4/14</t>
  </si>
  <si>
    <t>Q2: APRIL - JUNE</t>
  </si>
  <si>
    <t>projected, update in June</t>
  </si>
  <si>
    <t>Q2 ESTIMATED PAYMENT DUE</t>
  </si>
  <si>
    <t>Due Date: 6/15/2026</t>
  </si>
  <si>
    <t>Q2 income is projected, update in June</t>
  </si>
  <si>
    <t>Q3: JULY - SEPTEMBER</t>
  </si>
  <si>
    <t>hoping to land the Apex brand project</t>
  </si>
  <si>
    <t>workshop teaching fee?</t>
  </si>
  <si>
    <t>Q3 ESTIMATED PAYMENT DUE</t>
  </si>
  <si>
    <t>Due Date: 9/15/2026</t>
  </si>
  <si>
    <t>Q4: OCTOBER - DECEMBER</t>
  </si>
  <si>
    <t>conservative, holidays slow things down</t>
  </si>
  <si>
    <t>new laptop budget</t>
  </si>
  <si>
    <t>Q4 ESTIMATED PAYMENT DUE</t>
  </si>
  <si>
    <t>Due Date: 1/15/2027</t>
  </si>
  <si>
    <t>ANNUAL SUMMARY</t>
  </si>
  <si>
    <t>Total SE Tax:</t>
  </si>
  <si>
    <t>Total Federal Est.:</t>
  </si>
  <si>
    <t>Total State Est.:</t>
  </si>
  <si>
    <t>Total W-2 Withholding:</t>
  </si>
  <si>
    <t>Total Estimated Payments:</t>
  </si>
  <si>
    <t>Safe Harbor Check:</t>
  </si>
  <si>
    <t>---</t>
  </si>
  <si>
    <t>accountant said I need to pay at least $12,180 total across all 4 quarters to avoid penalty</t>
  </si>
  <si>
    <t>if Apex project comes through in Q3 I'll need to bump Q3 and Q4 payments</t>
  </si>
  <si>
    <t>keep an eye on the health insurance cost, marketplace renewal in Nov</t>
  </si>
  <si>
    <t>updated 4/10</t>
  </si>
  <si>
    <t>Date Received</t>
  </si>
  <si>
    <t>Client / Source</t>
  </si>
  <si>
    <t>Description</t>
  </si>
  <si>
    <t>Amount</t>
  </si>
  <si>
    <t>Type</t>
  </si>
  <si>
    <t>Quarter</t>
  </si>
  <si>
    <t>Notes</t>
  </si>
  <si>
    <t>City Print Shop</t>
  </si>
  <si>
    <t>Bi-weekly paycheck</t>
  </si>
  <si>
    <t>W-2</t>
  </si>
  <si>
    <t>Q1</t>
  </si>
  <si>
    <t>Meridian Marketing</t>
  </si>
  <si>
    <t>January retainer - brand strategy</t>
  </si>
  <si>
    <t>1099</t>
  </si>
  <si>
    <t>Loom &amp; Thread Boutique</t>
  </si>
  <si>
    <t>Logo redesign + brand guide</t>
  </si>
  <si>
    <t>final payment, project started in Dec</t>
  </si>
  <si>
    <t>BrewHaus Taproom</t>
  </si>
  <si>
    <t>Menu redesign + social templates</t>
  </si>
  <si>
    <t>February retainer</t>
  </si>
  <si>
    <t>extra 4 hrs overtime</t>
  </si>
  <si>
    <t>Spring campaign graphics</t>
  </si>
  <si>
    <t>March retainer</t>
  </si>
  <si>
    <t>Event poster series (3 posters)</t>
  </si>
  <si>
    <t>(workshop inquiry)</t>
  </si>
  <si>
    <t>Didn't happen</t>
  </si>
  <si>
    <t>other</t>
  </si>
  <si>
    <t>fell through, rescheduled to Q3?</t>
  </si>
  <si>
    <t>Q2</t>
  </si>
  <si>
    <t>Tap handle label design</t>
  </si>
  <si>
    <t>April retainer</t>
  </si>
  <si>
    <t>Q1 Total (1099):</t>
  </si>
  <si>
    <t>Q1 Total (W-2):</t>
  </si>
  <si>
    <t>Q2 Total (1099) so far:</t>
  </si>
  <si>
    <t>Q2 Total (W-2) so far:</t>
  </si>
  <si>
    <t>1099s won't arrive until Jan 2027, but I should match my totals to what clients report</t>
  </si>
  <si>
    <t>Meridian pays by ACH, BrewHaus pays by check (slow)</t>
  </si>
  <si>
    <t>KEY RATES</t>
  </si>
  <si>
    <t>Federal Marginal Rate (estimated):</t>
  </si>
  <si>
    <t>based on ~$55-60k taxable, 22% bracket</t>
  </si>
  <si>
    <t>State Rate (IL flat):</t>
  </si>
  <si>
    <t>Illinois flat rate</t>
  </si>
  <si>
    <t>SE Tax Rate:</t>
  </si>
  <si>
    <t>12.4% SS + 2.9% Medicare</t>
  </si>
  <si>
    <t>SE Taxable Factor:</t>
  </si>
  <si>
    <t>IRS says multiply net SE income by 0.9235</t>
  </si>
  <si>
    <t>2026 FEDERAL TAX BRACKETS (Single)</t>
  </si>
  <si>
    <t>Bracket</t>
  </si>
  <si>
    <t>Rate</t>
  </si>
  <si>
    <t>Taxable Income Range</t>
  </si>
  <si>
    <t>10%</t>
  </si>
  <si>
    <t>$0 - $11,925</t>
  </si>
  <si>
    <t>12%</t>
  </si>
  <si>
    <t>$11,926 - $48,475</t>
  </si>
  <si>
    <t>22%</t>
  </si>
  <si>
    <t>$48,476 - $103,350</t>
  </si>
  <si>
    <t>24%</t>
  </si>
  <si>
    <t>$103,351 - $197,300</t>
  </si>
  <si>
    <t>32%</t>
  </si>
  <si>
    <t>$197,301 - $250,525</t>
  </si>
  <si>
    <t>35%</t>
  </si>
  <si>
    <t>$250,526 - $626,350</t>
  </si>
  <si>
    <t>37%</t>
  </si>
  <si>
    <t>Over $626,350</t>
  </si>
  <si>
    <t>Marcus is solidly in the 22% bracket</t>
  </si>
  <si>
    <t>KEY NUMBERS FOR 2026</t>
  </si>
  <si>
    <t>Standard Deduction (Single):</t>
  </si>
  <si>
    <t>updated for 2026</t>
  </si>
  <si>
    <t>SE Tax Threshold:</t>
  </si>
  <si>
    <t>must file SE tax if net &gt; $400</t>
  </si>
  <si>
    <t>QBI Deduction (20%):</t>
  </si>
  <si>
    <t>maybe?</t>
  </si>
  <si>
    <t>need to ask accountant, might qualify</t>
  </si>
  <si>
    <t>IRA Contribution Limit:</t>
  </si>
  <si>
    <t>haven't set this up yet</t>
  </si>
  <si>
    <t>HSA Limit (self-only):</t>
  </si>
  <si>
    <t>not eligible, on marketplace plan</t>
  </si>
  <si>
    <t>Estimated Tax Penalty Threshold:</t>
  </si>
  <si>
    <t>owe less than $1,000 = no penalty</t>
  </si>
  <si>
    <t>Quarterly Due Dates:</t>
  </si>
  <si>
    <t>Q1: April 15</t>
  </si>
  <si>
    <t>Q2: June 15</t>
  </si>
  <si>
    <t>Q3: September 15</t>
  </si>
  <si>
    <t>Q4: January 15 (next year)</t>
  </si>
  <si>
    <t>bracket numbers from IRS Rev Proc, might be slightly off</t>
  </si>
  <si>
    <t>ask accountant about QBI deduction for design income</t>
  </si>
  <si>
    <t>if I max out a SEP-IRA that would reduce taxable income a lot... look into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</si>
</sst>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6" formatCode="0.0%"/>
    <numFmt numFmtId="167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0"/>
      <color rgb="FF808080"/>
      <name val="Arial"/>
    </font>
    <font>
      <i/>
      <sz val="11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7D0BE"/>
        <bgColor rgb="FFD7D0BE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164" fontId="2" fillId="0" borderId="0" xfId="0" applyNumberFormat="1" applyFont="1"/>
    <xf numFmtId="0" fontId="1" fillId="3" borderId="1" xfId="0" applyFont="1" applyFill="1" applyBorder="1"/>
    <xf numFmtId="0" fontId="0" fillId="3" borderId="1" xfId="0" applyFill="1" applyBorder="1"/>
    <xf numFmtId="0" fontId="2" fillId="0" borderId="0" xfId="0" applyFont="1"/>
    <xf numFmtId="0" fontId="1" fillId="0" borderId="2" xfId="0" applyFont="1" applyBorder="1"/>
    <xf numFmtId="164" fontId="1" fillId="0" borderId="2" xfId="0" applyNumberFormat="1" applyFont="1" applyBorder="1"/>
    <xf numFmtId="0" fontId="3" fillId="0" borderId="0" xfId="0" applyFont="1"/>
    <xf numFmtId="164" fontId="1" fillId="0" borderId="0" xfId="0" applyNumberFormat="1" applyFont="1"/>
    <xf numFmtId="0" fontId="1" fillId="0" borderId="3" xfId="0" applyFont="1" applyBorder="1"/>
    <xf numFmtId="164" fontId="1" fillId="0" borderId="3" xfId="0" applyNumberFormat="1" applyFont="1" applyBorder="1"/>
    <xf numFmtId="0" fontId="4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4" fontId="2" fillId="0" borderId="4" xfId="0" applyNumberFormat="1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4" xfId="0" applyFont="1" applyBorder="1" applyAlignment="1">
      <alignment horizontal="center" vertical="center"/>
    </xf>
    <xf numFmtId="9" fontId="2" fillId="2" borderId="0" xfId="0" applyNumberFormat="1" applyFont="1" applyFill="1"/>
    <xf numFmtId="10" fontId="2" fillId="2" borderId="0" xfId="0" applyNumberFormat="1" applyFont="1" applyFill="1"/>
    <xf numFmtId="166" fontId="2" fillId="0" borderId="0" xfId="0" applyNumberFormat="1" applyFont="1"/>
    <xf numFmtId="167" fontId="2" fillId="0" borderId="0" xfId="0" applyNumberFormat="1" applyFont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abSelected="1" workbookViewId="0"/>
  </sheetViews>
  <sheetFormatPr defaultRowHeight="15" x14ac:dyDescent="0.25"/>
  <cols>
    <col min="1" max="1" width="32" customWidth="1"/>
    <col min="2" max="2" width="16" customWidth="1"/>
    <col min="3" max="3" width="45" customWidth="1"/>
  </cols>
  <sheetData>
    <row r="1" spans="1:3" x14ac:dyDescent="0.25">
      <c r="A1" s="1" t="s">
        <v>0</v>
      </c>
      <c r="B1" s="2" t="s">
        <v>1</v>
      </c>
    </row>
    <row r="2" spans="1:3" x14ac:dyDescent="0.25">
      <c r="A2" s="1" t="s">
        <v>2</v>
      </c>
      <c r="B2" s="3">
        <v>78400</v>
      </c>
    </row>
    <row r="3" spans="1:3" x14ac:dyDescent="0.25">
      <c r="A3" s="1" t="s">
        <v>3</v>
      </c>
      <c r="B3" s="3">
        <v>12180</v>
      </c>
    </row>
    <row r="4" spans="1:3" x14ac:dyDescent="0.25">
      <c r="A4" s="1" t="s">
        <v>4</v>
      </c>
      <c r="B4" s="4">
        <f>B3</f>
        <v>12180</v>
      </c>
    </row>
    <row r="5" spans="1:3" x14ac:dyDescent="0.25">
      <c r="A5" s="1" t="s">
        <v>5</v>
      </c>
      <c r="B5" s="4">
        <f>B4/4</f>
        <v>3045</v>
      </c>
    </row>
    <row r="8" spans="1:3" x14ac:dyDescent="0.25">
      <c r="A8" s="5" t="s">
        <v>6</v>
      </c>
      <c r="B8" s="6"/>
      <c r="C8" s="6"/>
    </row>
    <row r="10" spans="1:3" x14ac:dyDescent="0.25">
      <c r="A10" s="7" t="s">
        <v>7</v>
      </c>
      <c r="B10" s="3">
        <v>12850</v>
      </c>
    </row>
    <row r="11" spans="1:3" x14ac:dyDescent="0.25">
      <c r="A11" s="7" t="s">
        <v>8</v>
      </c>
      <c r="B11" s="3">
        <v>5760</v>
      </c>
    </row>
    <row r="12" spans="1:3" x14ac:dyDescent="0.25">
      <c r="A12" s="7" t="s">
        <v>9</v>
      </c>
      <c r="B12" s="3">
        <v>0</v>
      </c>
    </row>
    <row r="13" spans="1:3" x14ac:dyDescent="0.25">
      <c r="A13" s="8" t="s">
        <v>10</v>
      </c>
      <c r="B13" s="9">
        <f>SUM(B10:B12)</f>
        <v>18610</v>
      </c>
    </row>
    <row r="15" spans="1:3" x14ac:dyDescent="0.25">
      <c r="A15" s="1" t="s">
        <v>11</v>
      </c>
    </row>
    <row r="16" spans="1:3" x14ac:dyDescent="0.25">
      <c r="A16" s="7" t="s">
        <v>12</v>
      </c>
      <c r="B16" s="4">
        <v>375</v>
      </c>
      <c r="C16" s="10" t="s">
        <v>13</v>
      </c>
    </row>
    <row r="17" spans="1:3" x14ac:dyDescent="0.25">
      <c r="A17" s="7" t="s">
        <v>14</v>
      </c>
      <c r="B17" s="3">
        <v>2340</v>
      </c>
      <c r="C17" s="10" t="s">
        <v>15</v>
      </c>
    </row>
    <row r="18" spans="1:3" x14ac:dyDescent="0.25">
      <c r="A18" s="7" t="s">
        <v>16</v>
      </c>
      <c r="B18" s="3">
        <v>1485</v>
      </c>
    </row>
    <row r="19" spans="1:3" x14ac:dyDescent="0.25">
      <c r="A19" s="1" t="s">
        <v>17</v>
      </c>
      <c r="B19" s="11">
        <f>SUM(B16:B18)</f>
        <v>4200</v>
      </c>
    </row>
    <row r="21" spans="1:3" x14ac:dyDescent="0.25">
      <c r="A21" s="7" t="s">
        <v>18</v>
      </c>
      <c r="B21" s="4">
        <f>B10-B19</f>
        <v>8650</v>
      </c>
    </row>
    <row r="22" spans="1:3" x14ac:dyDescent="0.25">
      <c r="A22" s="7" t="s">
        <v>19</v>
      </c>
      <c r="B22" s="4">
        <f>MAX(0,B21*0.153*0.9235)</f>
        <v>1222.2060750000001</v>
      </c>
    </row>
    <row r="23" spans="1:3" x14ac:dyDescent="0.25">
      <c r="A23" s="7" t="s">
        <v>20</v>
      </c>
      <c r="B23" s="4">
        <f>B22/2</f>
        <v>611.10303750000003</v>
      </c>
    </row>
    <row r="25" spans="1:3" x14ac:dyDescent="0.25">
      <c r="A25" s="7" t="s">
        <v>21</v>
      </c>
      <c r="B25" s="4">
        <f>(B21-B23+B11)*'03-tax-reference'!B5</f>
        <v>3035.7573317499996</v>
      </c>
    </row>
    <row r="26" spans="1:3" x14ac:dyDescent="0.25">
      <c r="A26" s="7" t="s">
        <v>22</v>
      </c>
      <c r="B26" s="4">
        <f>(B21-B23+B11)*'03-tax-reference'!B6</f>
        <v>683.04539964374999</v>
      </c>
    </row>
    <row r="27" spans="1:3" x14ac:dyDescent="0.25">
      <c r="A27" s="7" t="s">
        <v>23</v>
      </c>
      <c r="B27" s="3">
        <v>720</v>
      </c>
    </row>
    <row r="29" spans="1:3" x14ac:dyDescent="0.25">
      <c r="A29" s="12" t="s">
        <v>24</v>
      </c>
      <c r="B29" s="13">
        <f>B22+B25+B26-B27</f>
        <v>4221.0088063937492</v>
      </c>
    </row>
    <row r="30" spans="1:3" x14ac:dyDescent="0.25">
      <c r="A30" s="7" t="s">
        <v>25</v>
      </c>
    </row>
    <row r="31" spans="1:3" x14ac:dyDescent="0.25">
      <c r="A31" s="7" t="s">
        <v>26</v>
      </c>
      <c r="B31" s="7" t="s">
        <v>27</v>
      </c>
    </row>
    <row r="34" spans="1:3" x14ac:dyDescent="0.25">
      <c r="A34" s="5" t="s">
        <v>28</v>
      </c>
      <c r="B34" s="6"/>
      <c r="C34" s="6"/>
    </row>
    <row r="36" spans="1:3" x14ac:dyDescent="0.25">
      <c r="A36" s="7" t="s">
        <v>7</v>
      </c>
      <c r="B36" s="3">
        <v>14200</v>
      </c>
      <c r="C36" s="10" t="s">
        <v>29</v>
      </c>
    </row>
    <row r="37" spans="1:3" x14ac:dyDescent="0.25">
      <c r="A37" s="7" t="s">
        <v>8</v>
      </c>
      <c r="B37" s="3">
        <v>5760</v>
      </c>
    </row>
    <row r="38" spans="1:3" x14ac:dyDescent="0.25">
      <c r="A38" s="7" t="s">
        <v>9</v>
      </c>
      <c r="B38" s="3">
        <v>0</v>
      </c>
    </row>
    <row r="39" spans="1:3" x14ac:dyDescent="0.25">
      <c r="A39" s="8" t="s">
        <v>10</v>
      </c>
      <c r="B39" s="9">
        <f>SUM(B36:B38)</f>
        <v>19960</v>
      </c>
    </row>
    <row r="41" spans="1:3" x14ac:dyDescent="0.25">
      <c r="A41" s="1" t="s">
        <v>11</v>
      </c>
    </row>
    <row r="42" spans="1:3" x14ac:dyDescent="0.25">
      <c r="A42" s="7" t="s">
        <v>12</v>
      </c>
      <c r="B42" s="4">
        <v>375</v>
      </c>
      <c r="C42" s="10" t="s">
        <v>13</v>
      </c>
    </row>
    <row r="43" spans="1:3" x14ac:dyDescent="0.25">
      <c r="A43" s="7" t="s">
        <v>14</v>
      </c>
      <c r="B43" s="3">
        <v>1100</v>
      </c>
    </row>
    <row r="44" spans="1:3" x14ac:dyDescent="0.25">
      <c r="A44" s="7" t="s">
        <v>16</v>
      </c>
      <c r="B44" s="3">
        <v>1485</v>
      </c>
    </row>
    <row r="45" spans="1:3" x14ac:dyDescent="0.25">
      <c r="A45" s="1" t="s">
        <v>17</v>
      </c>
      <c r="B45" s="11">
        <f>SUM(B42:B44)</f>
        <v>2960</v>
      </c>
    </row>
    <row r="47" spans="1:3" x14ac:dyDescent="0.25">
      <c r="A47" s="7" t="s">
        <v>18</v>
      </c>
      <c r="B47" s="4">
        <f>B36-B45</f>
        <v>11240</v>
      </c>
    </row>
    <row r="48" spans="1:3" x14ac:dyDescent="0.25">
      <c r="A48" s="7" t="s">
        <v>19</v>
      </c>
      <c r="B48" s="4">
        <f>MAX(0,B47*0.153*0.9235)</f>
        <v>1588.1614199999999</v>
      </c>
    </row>
    <row r="49" spans="1:3" x14ac:dyDescent="0.25">
      <c r="A49" s="7" t="s">
        <v>20</v>
      </c>
      <c r="B49" s="4">
        <f>B48/2</f>
        <v>794.08070999999995</v>
      </c>
    </row>
    <row r="51" spans="1:3" x14ac:dyDescent="0.25">
      <c r="A51" s="7" t="s">
        <v>21</v>
      </c>
      <c r="B51" s="4">
        <f>(B47-B49+B37)*'03-tax-reference'!B5</f>
        <v>3565.3022437999998</v>
      </c>
    </row>
    <row r="52" spans="1:3" x14ac:dyDescent="0.25">
      <c r="A52" s="7" t="s">
        <v>22</v>
      </c>
      <c r="B52" s="4">
        <f>(B47-B49+B37)*'03-tax-reference'!B6</f>
        <v>802.19300485500003</v>
      </c>
    </row>
    <row r="53" spans="1:3" x14ac:dyDescent="0.25">
      <c r="A53" s="7" t="s">
        <v>23</v>
      </c>
      <c r="B53" s="3">
        <v>720</v>
      </c>
    </row>
    <row r="55" spans="1:3" x14ac:dyDescent="0.25">
      <c r="A55" s="12" t="s">
        <v>30</v>
      </c>
      <c r="B55" s="13">
        <f>B48+B51+B52-B53</f>
        <v>5235.6566686549995</v>
      </c>
    </row>
    <row r="56" spans="1:3" x14ac:dyDescent="0.25">
      <c r="A56" s="7" t="s">
        <v>31</v>
      </c>
    </row>
    <row r="57" spans="1:3" x14ac:dyDescent="0.25">
      <c r="A57" s="7" t="s">
        <v>26</v>
      </c>
    </row>
    <row r="58" spans="1:3" x14ac:dyDescent="0.25">
      <c r="C58" s="10" t="s">
        <v>32</v>
      </c>
    </row>
    <row r="60" spans="1:3" x14ac:dyDescent="0.25">
      <c r="A60" s="5" t="s">
        <v>33</v>
      </c>
      <c r="B60" s="6"/>
      <c r="C60" s="6"/>
    </row>
    <row r="62" spans="1:3" x14ac:dyDescent="0.25">
      <c r="A62" s="7" t="s">
        <v>7</v>
      </c>
      <c r="B62" s="3">
        <v>16000</v>
      </c>
      <c r="C62" s="10" t="s">
        <v>34</v>
      </c>
    </row>
    <row r="63" spans="1:3" x14ac:dyDescent="0.25">
      <c r="A63" s="7" t="s">
        <v>8</v>
      </c>
      <c r="B63" s="3">
        <v>5760</v>
      </c>
    </row>
    <row r="64" spans="1:3" x14ac:dyDescent="0.25">
      <c r="A64" s="7" t="s">
        <v>9</v>
      </c>
      <c r="B64" s="3">
        <v>500</v>
      </c>
      <c r="C64" s="10" t="s">
        <v>35</v>
      </c>
    </row>
    <row r="65" spans="1:3" x14ac:dyDescent="0.25">
      <c r="A65" s="8" t="s">
        <v>10</v>
      </c>
      <c r="B65" s="9">
        <f>SUM(B62:B64)</f>
        <v>22260</v>
      </c>
    </row>
    <row r="67" spans="1:3" x14ac:dyDescent="0.25">
      <c r="A67" s="1" t="s">
        <v>11</v>
      </c>
    </row>
    <row r="68" spans="1:3" x14ac:dyDescent="0.25">
      <c r="A68" s="7" t="s">
        <v>12</v>
      </c>
      <c r="B68" s="4">
        <v>375</v>
      </c>
      <c r="C68" s="10" t="s">
        <v>13</v>
      </c>
    </row>
    <row r="69" spans="1:3" x14ac:dyDescent="0.25">
      <c r="A69" s="7" t="s">
        <v>14</v>
      </c>
      <c r="B69" s="3">
        <v>1200</v>
      </c>
    </row>
    <row r="70" spans="1:3" x14ac:dyDescent="0.25">
      <c r="A70" s="7" t="s">
        <v>16</v>
      </c>
      <c r="B70" s="3">
        <v>1485</v>
      </c>
    </row>
    <row r="71" spans="1:3" x14ac:dyDescent="0.25">
      <c r="A71" s="1" t="s">
        <v>17</v>
      </c>
      <c r="B71" s="11">
        <f>SUM(B68:B70)</f>
        <v>3060</v>
      </c>
    </row>
    <row r="73" spans="1:3" x14ac:dyDescent="0.25">
      <c r="A73" s="7" t="s">
        <v>18</v>
      </c>
      <c r="B73" s="4">
        <f>B62-B71</f>
        <v>12940</v>
      </c>
    </row>
    <row r="74" spans="1:3" x14ac:dyDescent="0.25">
      <c r="A74" s="7" t="s">
        <v>19</v>
      </c>
      <c r="B74" s="4">
        <f>MAX(0,B73*0.153*0.9235)</f>
        <v>1828.3637699999999</v>
      </c>
    </row>
    <row r="75" spans="1:3" x14ac:dyDescent="0.25">
      <c r="A75" s="7" t="s">
        <v>20</v>
      </c>
      <c r="B75" s="4">
        <f>B74/2</f>
        <v>914.18188499999997</v>
      </c>
    </row>
    <row r="77" spans="1:3" x14ac:dyDescent="0.25">
      <c r="A77" s="7" t="s">
        <v>21</v>
      </c>
      <c r="B77" s="4">
        <f>(B73-B75+B63)*'03-tax-reference'!B5</f>
        <v>3912.8799853000005</v>
      </c>
    </row>
    <row r="78" spans="1:3" x14ac:dyDescent="0.25">
      <c r="A78" s="7" t="s">
        <v>22</v>
      </c>
      <c r="B78" s="4">
        <f>(B73-B75+B63)*'03-tax-reference'!B6</f>
        <v>880.3979966925001</v>
      </c>
    </row>
    <row r="79" spans="1:3" x14ac:dyDescent="0.25">
      <c r="A79" s="7" t="s">
        <v>23</v>
      </c>
      <c r="B79" s="3">
        <v>720</v>
      </c>
    </row>
    <row r="81" spans="1:3" x14ac:dyDescent="0.25">
      <c r="A81" s="12" t="s">
        <v>36</v>
      </c>
      <c r="B81" s="13">
        <f>B74+B77+B78-B79</f>
        <v>5901.6417519924998</v>
      </c>
    </row>
    <row r="82" spans="1:3" x14ac:dyDescent="0.25">
      <c r="A82" s="7" t="s">
        <v>37</v>
      </c>
    </row>
    <row r="83" spans="1:3" x14ac:dyDescent="0.25">
      <c r="A83" s="7" t="s">
        <v>26</v>
      </c>
    </row>
    <row r="86" spans="1:3" x14ac:dyDescent="0.25">
      <c r="A86" s="5" t="s">
        <v>38</v>
      </c>
      <c r="B86" s="6"/>
      <c r="C86" s="6"/>
    </row>
    <row r="88" spans="1:3" x14ac:dyDescent="0.25">
      <c r="A88" s="7" t="s">
        <v>7</v>
      </c>
      <c r="B88" s="3">
        <v>15500</v>
      </c>
      <c r="C88" s="10" t="s">
        <v>39</v>
      </c>
    </row>
    <row r="89" spans="1:3" x14ac:dyDescent="0.25">
      <c r="A89" s="7" t="s">
        <v>8</v>
      </c>
      <c r="B89" s="3">
        <v>5760</v>
      </c>
    </row>
    <row r="90" spans="1:3" x14ac:dyDescent="0.25">
      <c r="A90" s="7" t="s">
        <v>9</v>
      </c>
      <c r="B90" s="3">
        <v>0</v>
      </c>
    </row>
    <row r="91" spans="1:3" x14ac:dyDescent="0.25">
      <c r="A91" s="8" t="s">
        <v>10</v>
      </c>
      <c r="B91" s="9">
        <f>SUM(B88:B90)</f>
        <v>21260</v>
      </c>
    </row>
    <row r="93" spans="1:3" x14ac:dyDescent="0.25">
      <c r="A93" s="1" t="s">
        <v>11</v>
      </c>
    </row>
    <row r="94" spans="1:3" x14ac:dyDescent="0.25">
      <c r="A94" s="7" t="s">
        <v>12</v>
      </c>
      <c r="B94" s="4">
        <v>375</v>
      </c>
      <c r="C94" s="10" t="s">
        <v>13</v>
      </c>
    </row>
    <row r="95" spans="1:3" x14ac:dyDescent="0.25">
      <c r="A95" s="7" t="s">
        <v>14</v>
      </c>
      <c r="B95" s="3">
        <v>1500</v>
      </c>
      <c r="C95" s="10" t="s">
        <v>40</v>
      </c>
    </row>
    <row r="96" spans="1:3" x14ac:dyDescent="0.25">
      <c r="A96" s="7" t="s">
        <v>16</v>
      </c>
      <c r="B96" s="3">
        <v>1485</v>
      </c>
    </row>
    <row r="97" spans="1:2" x14ac:dyDescent="0.25">
      <c r="A97" s="1" t="s">
        <v>17</v>
      </c>
      <c r="B97" s="11">
        <f>SUM(B94:B96)</f>
        <v>3360</v>
      </c>
    </row>
    <row r="99" spans="1:2" x14ac:dyDescent="0.25">
      <c r="A99" s="7" t="s">
        <v>18</v>
      </c>
      <c r="B99" s="4">
        <f>B88-B97</f>
        <v>12140</v>
      </c>
    </row>
    <row r="100" spans="1:2" x14ac:dyDescent="0.25">
      <c r="A100" s="7" t="s">
        <v>19</v>
      </c>
      <c r="B100" s="4">
        <f>MAX(0,B99*0.153*0.9235)</f>
        <v>1715.32737</v>
      </c>
    </row>
    <row r="101" spans="1:2" x14ac:dyDescent="0.25">
      <c r="A101" s="7" t="s">
        <v>20</v>
      </c>
      <c r="B101" s="4">
        <f>B100/2</f>
        <v>857.66368499999999</v>
      </c>
    </row>
    <row r="103" spans="1:2" x14ac:dyDescent="0.25">
      <c r="A103" s="7" t="s">
        <v>21</v>
      </c>
      <c r="B103" s="4">
        <f>(B99-B101+B89)*'03-tax-reference'!B5</f>
        <v>3749.3139893000002</v>
      </c>
    </row>
    <row r="104" spans="1:2" x14ac:dyDescent="0.25">
      <c r="A104" s="7" t="s">
        <v>22</v>
      </c>
      <c r="B104" s="4">
        <f>(B99-B101+B89)*'03-tax-reference'!B6</f>
        <v>843.59564759250009</v>
      </c>
    </row>
    <row r="105" spans="1:2" x14ac:dyDescent="0.25">
      <c r="A105" s="7" t="s">
        <v>23</v>
      </c>
      <c r="B105" s="3">
        <v>720</v>
      </c>
    </row>
    <row r="107" spans="1:2" x14ac:dyDescent="0.25">
      <c r="A107" s="12" t="s">
        <v>41</v>
      </c>
      <c r="B107" s="13">
        <f>B100+B103+B104-B105</f>
        <v>5588.2370068925002</v>
      </c>
    </row>
    <row r="108" spans="1:2" x14ac:dyDescent="0.25">
      <c r="A108" s="7" t="s">
        <v>42</v>
      </c>
    </row>
    <row r="109" spans="1:2" x14ac:dyDescent="0.25">
      <c r="A109" s="7" t="s">
        <v>26</v>
      </c>
    </row>
    <row r="113" spans="1:3" x14ac:dyDescent="0.25">
      <c r="A113" s="5" t="s">
        <v>43</v>
      </c>
      <c r="B113" s="6"/>
      <c r="C113" s="6"/>
    </row>
    <row r="115" spans="1:3" x14ac:dyDescent="0.25">
      <c r="A115" s="7" t="s">
        <v>44</v>
      </c>
      <c r="B115" s="4">
        <f>B22+B48+B74+B100</f>
        <v>6354.0586350000003</v>
      </c>
    </row>
    <row r="116" spans="1:3" x14ac:dyDescent="0.25">
      <c r="A116" s="7" t="s">
        <v>45</v>
      </c>
      <c r="B116" s="4">
        <f>B25+B51+B77+B103</f>
        <v>14263.253550150001</v>
      </c>
    </row>
    <row r="117" spans="1:3" x14ac:dyDescent="0.25">
      <c r="A117" s="7" t="s">
        <v>46</v>
      </c>
      <c r="B117" s="4">
        <f>B26+B52+B78+B104</f>
        <v>3209.2320487837501</v>
      </c>
    </row>
    <row r="118" spans="1:3" x14ac:dyDescent="0.25">
      <c r="A118" s="7" t="s">
        <v>47</v>
      </c>
      <c r="B118" s="4">
        <f>B27+B53+B79+B105</f>
        <v>2880</v>
      </c>
    </row>
    <row r="119" spans="1:3" x14ac:dyDescent="0.25">
      <c r="A119" s="8" t="s">
        <v>48</v>
      </c>
      <c r="B119" s="9">
        <f>B29+B55+B81+B107</f>
        <v>20946.54423393375</v>
      </c>
    </row>
    <row r="121" spans="1:3" x14ac:dyDescent="0.25">
      <c r="A121" s="1" t="s">
        <v>49</v>
      </c>
      <c r="B121" s="1" t="str">
        <f>IF(B119&gt;=B4,"SAFE","UNDER - risk of penalty")</f>
        <v>SAFE</v>
      </c>
    </row>
    <row r="123" spans="1:3" x14ac:dyDescent="0.25">
      <c r="A123" s="14" t="s">
        <v>50</v>
      </c>
    </row>
    <row r="124" spans="1:3" x14ac:dyDescent="0.25">
      <c r="A124" s="7" t="s">
        <v>51</v>
      </c>
    </row>
    <row r="125" spans="1:3" x14ac:dyDescent="0.25">
      <c r="A125" s="7" t="s">
        <v>52</v>
      </c>
    </row>
    <row r="126" spans="1:3" x14ac:dyDescent="0.25">
      <c r="A126" s="7" t="s">
        <v>53</v>
      </c>
    </row>
    <row r="128" spans="1:3" x14ac:dyDescent="0.25">
      <c r="A128" s="14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/>
  </sheetViews>
  <sheetFormatPr defaultRowHeight="15" x14ac:dyDescent="0.25"/>
  <cols>
    <col min="1" max="1" width="12" customWidth="1"/>
    <col min="2" max="2" width="26" customWidth="1"/>
    <col min="3" max="3" width="32" customWidth="1"/>
    <col min="4" max="4" width="13" customWidth="1"/>
    <col min="5" max="5" width="10" customWidth="1"/>
    <col min="6" max="6" width="8" customWidth="1"/>
    <col min="7" max="7" width="35" customWidth="1"/>
  </cols>
  <sheetData>
    <row r="1" spans="1:7" x14ac:dyDescent="0.25">
      <c r="A1" s="15" t="s">
        <v>55</v>
      </c>
      <c r="B1" s="15" t="s">
        <v>56</v>
      </c>
      <c r="C1" s="15" t="s">
        <v>57</v>
      </c>
      <c r="D1" s="15" t="s">
        <v>58</v>
      </c>
      <c r="E1" s="15" t="s">
        <v>59</v>
      </c>
      <c r="F1" s="16" t="s">
        <v>60</v>
      </c>
      <c r="G1" s="15" t="s">
        <v>61</v>
      </c>
    </row>
    <row r="2" spans="1:7" x14ac:dyDescent="0.25">
      <c r="A2" s="17">
        <v>46032</v>
      </c>
      <c r="B2" s="18" t="s">
        <v>62</v>
      </c>
      <c r="C2" s="18" t="s">
        <v>63</v>
      </c>
      <c r="D2" s="19">
        <v>960</v>
      </c>
      <c r="E2" s="18" t="s">
        <v>64</v>
      </c>
      <c r="F2" s="20" t="s">
        <v>65</v>
      </c>
      <c r="G2" s="18"/>
    </row>
    <row r="3" spans="1:7" x14ac:dyDescent="0.25">
      <c r="A3" s="17">
        <v>46037</v>
      </c>
      <c r="B3" s="18" t="s">
        <v>66</v>
      </c>
      <c r="C3" s="18" t="s">
        <v>67</v>
      </c>
      <c r="D3" s="19">
        <v>3500</v>
      </c>
      <c r="E3" s="18" t="s">
        <v>68</v>
      </c>
      <c r="F3" s="20" t="s">
        <v>65</v>
      </c>
      <c r="G3" s="18"/>
    </row>
    <row r="4" spans="1:7" x14ac:dyDescent="0.25">
      <c r="A4" s="17">
        <v>46046</v>
      </c>
      <c r="B4" s="18" t="s">
        <v>62</v>
      </c>
      <c r="C4" s="18" t="s">
        <v>63</v>
      </c>
      <c r="D4" s="19">
        <v>960</v>
      </c>
      <c r="E4" s="18" t="s">
        <v>64</v>
      </c>
      <c r="F4" s="20" t="s">
        <v>65</v>
      </c>
      <c r="G4" s="18"/>
    </row>
    <row r="5" spans="1:7" x14ac:dyDescent="0.25">
      <c r="A5" s="17">
        <v>46050</v>
      </c>
      <c r="B5" s="18" t="s">
        <v>69</v>
      </c>
      <c r="C5" s="18" t="s">
        <v>70</v>
      </c>
      <c r="D5" s="19">
        <v>1800</v>
      </c>
      <c r="E5" s="18" t="s">
        <v>68</v>
      </c>
      <c r="F5" s="20" t="s">
        <v>65</v>
      </c>
      <c r="G5" s="18" t="s">
        <v>71</v>
      </c>
    </row>
    <row r="6" spans="1:7" x14ac:dyDescent="0.25">
      <c r="A6" s="17">
        <v>46060</v>
      </c>
      <c r="B6" s="18" t="s">
        <v>62</v>
      </c>
      <c r="C6" s="18" t="s">
        <v>63</v>
      </c>
      <c r="D6" s="19">
        <v>960</v>
      </c>
      <c r="E6" s="18" t="s">
        <v>64</v>
      </c>
      <c r="F6" s="20" t="s">
        <v>65</v>
      </c>
      <c r="G6" s="18"/>
    </row>
    <row r="7" spans="1:7" x14ac:dyDescent="0.25">
      <c r="A7" s="17">
        <v>46063</v>
      </c>
      <c r="B7" s="18" t="s">
        <v>72</v>
      </c>
      <c r="C7" s="18" t="s">
        <v>73</v>
      </c>
      <c r="D7" s="19">
        <v>2200</v>
      </c>
      <c r="E7" s="18" t="s">
        <v>68</v>
      </c>
      <c r="F7" s="20" t="s">
        <v>65</v>
      </c>
      <c r="G7" s="18"/>
    </row>
    <row r="8" spans="1:7" x14ac:dyDescent="0.25">
      <c r="A8" s="17">
        <v>46071</v>
      </c>
      <c r="B8" s="18" t="s">
        <v>66</v>
      </c>
      <c r="C8" s="18" t="s">
        <v>74</v>
      </c>
      <c r="D8" s="19">
        <v>3500</v>
      </c>
      <c r="E8" s="18" t="s">
        <v>68</v>
      </c>
      <c r="F8" s="20" t="s">
        <v>65</v>
      </c>
      <c r="G8" s="18"/>
    </row>
    <row r="9" spans="1:7" x14ac:dyDescent="0.25">
      <c r="A9" s="17">
        <v>46074</v>
      </c>
      <c r="B9" s="18" t="s">
        <v>62</v>
      </c>
      <c r="C9" s="18" t="s">
        <v>63</v>
      </c>
      <c r="D9" s="19">
        <v>1020</v>
      </c>
      <c r="E9" s="18" t="s">
        <v>64</v>
      </c>
      <c r="F9" s="20" t="s">
        <v>65</v>
      </c>
      <c r="G9" s="18" t="s">
        <v>75</v>
      </c>
    </row>
    <row r="10" spans="1:7" x14ac:dyDescent="0.25">
      <c r="A10" s="17">
        <v>46086</v>
      </c>
      <c r="B10" s="18" t="s">
        <v>69</v>
      </c>
      <c r="C10" s="18" t="s">
        <v>76</v>
      </c>
      <c r="D10" s="19">
        <v>950</v>
      </c>
      <c r="E10" s="18" t="s">
        <v>68</v>
      </c>
      <c r="F10" s="20" t="s">
        <v>65</v>
      </c>
      <c r="G10" s="18"/>
    </row>
    <row r="11" spans="1:7" x14ac:dyDescent="0.25">
      <c r="A11" s="17">
        <v>46088</v>
      </c>
      <c r="B11" s="18" t="s">
        <v>62</v>
      </c>
      <c r="C11" s="18" t="s">
        <v>63</v>
      </c>
      <c r="D11" s="19">
        <v>960</v>
      </c>
      <c r="E11" s="18" t="s">
        <v>64</v>
      </c>
      <c r="F11" s="20" t="s">
        <v>65</v>
      </c>
      <c r="G11" s="18"/>
    </row>
    <row r="12" spans="1:7" x14ac:dyDescent="0.25">
      <c r="A12" s="17">
        <v>46097</v>
      </c>
      <c r="B12" s="18" t="s">
        <v>66</v>
      </c>
      <c r="C12" s="18" t="s">
        <v>77</v>
      </c>
      <c r="D12" s="19">
        <v>3500</v>
      </c>
      <c r="E12" s="18" t="s">
        <v>68</v>
      </c>
      <c r="F12" s="20" t="s">
        <v>65</v>
      </c>
      <c r="G12" s="18"/>
    </row>
    <row r="13" spans="1:7" x14ac:dyDescent="0.25">
      <c r="A13" s="17">
        <v>46102</v>
      </c>
      <c r="B13" s="18" t="s">
        <v>62</v>
      </c>
      <c r="C13" s="18" t="s">
        <v>63</v>
      </c>
      <c r="D13" s="19">
        <v>960</v>
      </c>
      <c r="E13" s="18" t="s">
        <v>64</v>
      </c>
      <c r="F13" s="20" t="s">
        <v>65</v>
      </c>
      <c r="G13" s="18"/>
    </row>
    <row r="14" spans="1:7" x14ac:dyDescent="0.25">
      <c r="A14" s="17">
        <v>46103</v>
      </c>
      <c r="B14" s="18" t="s">
        <v>72</v>
      </c>
      <c r="C14" s="18" t="s">
        <v>78</v>
      </c>
      <c r="D14" s="19">
        <v>1400</v>
      </c>
      <c r="E14" s="18" t="s">
        <v>68</v>
      </c>
      <c r="F14" s="20" t="s">
        <v>65</v>
      </c>
      <c r="G14" s="18"/>
    </row>
    <row r="15" spans="1:7" x14ac:dyDescent="0.25">
      <c r="A15" s="17">
        <v>46109</v>
      </c>
      <c r="B15" s="18" t="s">
        <v>79</v>
      </c>
      <c r="C15" s="18" t="s">
        <v>80</v>
      </c>
      <c r="D15" s="19">
        <v>0</v>
      </c>
      <c r="E15" s="18" t="s">
        <v>81</v>
      </c>
      <c r="F15" s="20" t="s">
        <v>65</v>
      </c>
      <c r="G15" s="18" t="s">
        <v>82</v>
      </c>
    </row>
    <row r="16" spans="1:7" x14ac:dyDescent="0.25">
      <c r="A16" s="17">
        <v>46116</v>
      </c>
      <c r="B16" s="18" t="s">
        <v>62</v>
      </c>
      <c r="C16" s="18" t="s">
        <v>63</v>
      </c>
      <c r="D16" s="19">
        <v>960</v>
      </c>
      <c r="E16" s="18" t="s">
        <v>64</v>
      </c>
      <c r="F16" s="20" t="s">
        <v>83</v>
      </c>
      <c r="G16" s="18"/>
    </row>
    <row r="17" spans="1:7" x14ac:dyDescent="0.25">
      <c r="A17" s="17">
        <v>46120</v>
      </c>
      <c r="B17" s="18" t="s">
        <v>72</v>
      </c>
      <c r="C17" s="18" t="s">
        <v>84</v>
      </c>
      <c r="D17" s="19">
        <v>800</v>
      </c>
      <c r="E17" s="18" t="s">
        <v>68</v>
      </c>
      <c r="F17" s="20" t="s">
        <v>83</v>
      </c>
      <c r="G17" s="18"/>
    </row>
    <row r="18" spans="1:7" x14ac:dyDescent="0.25">
      <c r="A18" s="17">
        <v>46126</v>
      </c>
      <c r="B18" s="18" t="s">
        <v>66</v>
      </c>
      <c r="C18" s="18" t="s">
        <v>85</v>
      </c>
      <c r="D18" s="19">
        <v>3500</v>
      </c>
      <c r="E18" s="18" t="s">
        <v>68</v>
      </c>
      <c r="F18" s="20" t="s">
        <v>83</v>
      </c>
      <c r="G18" s="18"/>
    </row>
    <row r="19" spans="1:7" x14ac:dyDescent="0.25">
      <c r="A19" s="17">
        <v>46130</v>
      </c>
      <c r="B19" s="18" t="s">
        <v>62</v>
      </c>
      <c r="C19" s="18" t="s">
        <v>63</v>
      </c>
      <c r="D19" s="19">
        <v>960</v>
      </c>
      <c r="E19" s="18" t="s">
        <v>64</v>
      </c>
      <c r="F19" s="20" t="s">
        <v>83</v>
      </c>
      <c r="G19" s="18"/>
    </row>
    <row r="22" spans="1:7" x14ac:dyDescent="0.25">
      <c r="A22" s="1" t="s">
        <v>86</v>
      </c>
      <c r="D22" s="11">
        <f>SUMPRODUCT((E2:E19="1099")*(F2:F19="Q1")*D2:D19)</f>
        <v>16850</v>
      </c>
    </row>
    <row r="23" spans="1:7" x14ac:dyDescent="0.25">
      <c r="A23" s="1" t="s">
        <v>87</v>
      </c>
      <c r="D23" s="11">
        <f>SUMPRODUCT((E2:E19="W-2")*(F2:F19="Q1")*D2:D19)</f>
        <v>5820</v>
      </c>
    </row>
    <row r="24" spans="1:7" x14ac:dyDescent="0.25">
      <c r="A24" s="1" t="s">
        <v>88</v>
      </c>
      <c r="D24" s="11">
        <f>SUMPRODUCT((E2:E19="1099")*(F2:F19="Q2")*D2:D19)</f>
        <v>4300</v>
      </c>
    </row>
    <row r="25" spans="1:7" x14ac:dyDescent="0.25">
      <c r="A25" s="1" t="s">
        <v>89</v>
      </c>
      <c r="D25" s="11">
        <f>SUMPRODUCT((E2:E19="W-2")*(F2:F19="Q2")*D2:D19)</f>
        <v>1920</v>
      </c>
    </row>
    <row r="27" spans="1:7" x14ac:dyDescent="0.25">
      <c r="A27" s="14" t="s">
        <v>50</v>
      </c>
    </row>
    <row r="28" spans="1:7" x14ac:dyDescent="0.25">
      <c r="A28" s="7" t="s">
        <v>90</v>
      </c>
    </row>
    <row r="29" spans="1:7" x14ac:dyDescent="0.25">
      <c r="A29" s="7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/>
  </sheetViews>
  <sheetFormatPr defaultRowHeight="15" x14ac:dyDescent="0.25"/>
  <cols>
    <col min="1" max="1" width="34" customWidth="1"/>
    <col min="2" max="2" width="14" customWidth="1"/>
    <col min="3" max="3" width="52" customWidth="1"/>
  </cols>
  <sheetData>
    <row r="1" spans="1:3" x14ac:dyDescent="0.25">
      <c r="A1" s="1" t="s">
        <v>92</v>
      </c>
    </row>
    <row r="3" spans="1:3" x14ac:dyDescent="0.25">
      <c r="A3" s="7" t="s">
        <v>0</v>
      </c>
      <c r="B3" s="7" t="s">
        <v>1</v>
      </c>
    </row>
    <row r="5" spans="1:3" x14ac:dyDescent="0.25">
      <c r="A5" s="7" t="s">
        <v>93</v>
      </c>
      <c r="B5" s="21">
        <v>0.22</v>
      </c>
      <c r="C5" s="10" t="s">
        <v>94</v>
      </c>
    </row>
    <row r="6" spans="1:3" x14ac:dyDescent="0.25">
      <c r="A6" s="7" t="s">
        <v>95</v>
      </c>
      <c r="B6" s="22">
        <v>4.9500000000000002E-2</v>
      </c>
      <c r="C6" s="10" t="s">
        <v>96</v>
      </c>
    </row>
    <row r="7" spans="1:3" x14ac:dyDescent="0.25">
      <c r="A7" s="7" t="s">
        <v>97</v>
      </c>
      <c r="B7" s="23">
        <v>0.153</v>
      </c>
      <c r="C7" s="10" t="s">
        <v>98</v>
      </c>
    </row>
    <row r="8" spans="1:3" x14ac:dyDescent="0.25">
      <c r="A8" s="7" t="s">
        <v>99</v>
      </c>
      <c r="B8" s="24">
        <v>0.92349999999999999</v>
      </c>
      <c r="C8" s="10" t="s">
        <v>100</v>
      </c>
    </row>
    <row r="10" spans="1:3" x14ac:dyDescent="0.25">
      <c r="A10" s="1" t="s">
        <v>101</v>
      </c>
    </row>
    <row r="11" spans="1:3" x14ac:dyDescent="0.25">
      <c r="A11" s="15" t="s">
        <v>102</v>
      </c>
      <c r="B11" s="15" t="s">
        <v>103</v>
      </c>
      <c r="C11" s="15" t="s">
        <v>104</v>
      </c>
    </row>
    <row r="12" spans="1:3" x14ac:dyDescent="0.25">
      <c r="A12" s="25">
        <v>1</v>
      </c>
      <c r="B12" s="25" t="s">
        <v>105</v>
      </c>
      <c r="C12" s="26" t="s">
        <v>106</v>
      </c>
    </row>
    <row r="13" spans="1:3" x14ac:dyDescent="0.25">
      <c r="A13" s="25">
        <v>2</v>
      </c>
      <c r="B13" s="25" t="s">
        <v>107</v>
      </c>
      <c r="C13" s="26" t="s">
        <v>108</v>
      </c>
    </row>
    <row r="14" spans="1:3" x14ac:dyDescent="0.25">
      <c r="A14" s="25">
        <v>3</v>
      </c>
      <c r="B14" s="25" t="s">
        <v>109</v>
      </c>
      <c r="C14" s="26" t="s">
        <v>110</v>
      </c>
    </row>
    <row r="15" spans="1:3" x14ac:dyDescent="0.25">
      <c r="A15" s="25">
        <v>4</v>
      </c>
      <c r="B15" s="25" t="s">
        <v>111</v>
      </c>
      <c r="C15" s="26" t="s">
        <v>112</v>
      </c>
    </row>
    <row r="16" spans="1:3" x14ac:dyDescent="0.25">
      <c r="A16" s="25">
        <v>5</v>
      </c>
      <c r="B16" s="25" t="s">
        <v>113</v>
      </c>
      <c r="C16" s="26" t="s">
        <v>114</v>
      </c>
    </row>
    <row r="17" spans="1:3" x14ac:dyDescent="0.25">
      <c r="A17" s="25">
        <v>6</v>
      </c>
      <c r="B17" s="25" t="s">
        <v>115</v>
      </c>
      <c r="C17" s="26" t="s">
        <v>116</v>
      </c>
    </row>
    <row r="18" spans="1:3" x14ac:dyDescent="0.25">
      <c r="A18" s="25">
        <v>7</v>
      </c>
      <c r="B18" s="25" t="s">
        <v>117</v>
      </c>
      <c r="C18" s="26" t="s">
        <v>118</v>
      </c>
    </row>
    <row r="20" spans="1:3" x14ac:dyDescent="0.25">
      <c r="A20" s="14" t="s">
        <v>119</v>
      </c>
    </row>
    <row r="22" spans="1:3" x14ac:dyDescent="0.25">
      <c r="A22" s="1" t="s">
        <v>120</v>
      </c>
    </row>
    <row r="23" spans="1:3" x14ac:dyDescent="0.25">
      <c r="A23" s="7" t="s">
        <v>121</v>
      </c>
      <c r="B23" s="4">
        <v>15225</v>
      </c>
      <c r="C23" s="10" t="s">
        <v>122</v>
      </c>
    </row>
    <row r="24" spans="1:3" x14ac:dyDescent="0.25">
      <c r="A24" s="7" t="s">
        <v>123</v>
      </c>
      <c r="B24" s="4">
        <v>400</v>
      </c>
      <c r="C24" s="10" t="s">
        <v>124</v>
      </c>
    </row>
    <row r="25" spans="1:3" x14ac:dyDescent="0.25">
      <c r="A25" s="7" t="s">
        <v>125</v>
      </c>
      <c r="B25" s="7" t="s">
        <v>126</v>
      </c>
      <c r="C25" s="10" t="s">
        <v>127</v>
      </c>
    </row>
    <row r="26" spans="1:3" x14ac:dyDescent="0.25">
      <c r="A26" s="7" t="s">
        <v>128</v>
      </c>
      <c r="B26" s="4">
        <v>7000</v>
      </c>
      <c r="C26" s="10" t="s">
        <v>129</v>
      </c>
    </row>
    <row r="27" spans="1:3" x14ac:dyDescent="0.25">
      <c r="A27" s="7" t="s">
        <v>130</v>
      </c>
      <c r="B27" s="4">
        <v>4300</v>
      </c>
      <c r="C27" s="10" t="s">
        <v>131</v>
      </c>
    </row>
    <row r="28" spans="1:3" x14ac:dyDescent="0.25">
      <c r="A28" s="7" t="s">
        <v>132</v>
      </c>
      <c r="B28" s="4">
        <v>1000</v>
      </c>
      <c r="C28" s="10" t="s">
        <v>133</v>
      </c>
    </row>
    <row r="30" spans="1:3" x14ac:dyDescent="0.25">
      <c r="A30" s="1" t="s">
        <v>134</v>
      </c>
    </row>
    <row r="31" spans="1:3" x14ac:dyDescent="0.25">
      <c r="A31" s="7" t="s">
        <v>135</v>
      </c>
      <c r="B31" s="7" t="s">
        <v>136</v>
      </c>
      <c r="C31" s="7" t="s">
        <v>137</v>
      </c>
    </row>
    <row r="32" spans="1:3" x14ac:dyDescent="0.25">
      <c r="A32" s="7" t="s">
        <v>138</v>
      </c>
    </row>
    <row r="34" spans="1:1" x14ac:dyDescent="0.25">
      <c r="A34" s="14" t="s">
        <v>50</v>
      </c>
    </row>
    <row r="35" spans="1:1" x14ac:dyDescent="0.25">
      <c r="A35" s="7" t="s">
        <v>139</v>
      </c>
    </row>
    <row r="36" spans="1:1" x14ac:dyDescent="0.25">
      <c r="A36" s="7" t="s">
        <v>140</v>
      </c>
    </row>
    <row r="37" spans="1:1" x14ac:dyDescent="0.25">
      <c r="A37" s="7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01-quarterly-calc</vt:lpstr>
      <vt:lpstr>02-income-log</vt:lpstr>
      <vt:lpstr>03-tax-reference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Victor Nguyen</dc:creator>
  <cp:lastModifiedBy>Victor Nguyen</cp:lastModifiedBy>
  <dcterms:created xsi:type="dcterms:W3CDTF">2024-04-14T11:19:54Z</dcterms:created>
  <dcterms:modified xsi:type="dcterms:W3CDTF">2025-08-12T13:31:23Z</dcterms:modified>
  <cp:revision>1</cp:revision>
</cp:coreProperties>
</file>