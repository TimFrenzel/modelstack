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000_drive_drive\600_PROJECTS\modelstack\sheets\personal-finance\savings-goal-planner\"/>
    </mc:Choice>
  </mc:AlternateContent>
  <xr:revisionPtr revIDLastSave="0" documentId="13_ncr:1_{444C5468-9880-4A02-B5FF-F44F7AC3B0B9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Monthly Expenses" sheetId="1" r:id="rId1"/>
    <sheet name="Emergency Fund" sheetId="2" r:id="rId2"/>
    <sheet name="Goals" sheetId="3" r:id="rId3"/>
    <sheet name="Contributions" sheetId="4" r:id="rId4"/>
    <sheet name="Projections" sheetId="5" r:id="rId5"/>
    <sheet name="Dashboard" sheetId="6" r:id="rId6"/>
    <sheet name="Readm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6" l="1"/>
  <c r="B17" i="6"/>
  <c r="C14" i="6"/>
  <c r="B14" i="6"/>
  <c r="A14" i="6"/>
  <c r="C13" i="6"/>
  <c r="B13" i="6"/>
  <c r="A13" i="6"/>
  <c r="C12" i="6"/>
  <c r="B12" i="6"/>
  <c r="A12" i="6"/>
  <c r="C11" i="6"/>
  <c r="B11" i="6"/>
  <c r="A11" i="6"/>
  <c r="C10" i="6"/>
  <c r="B10" i="6"/>
  <c r="A10" i="6"/>
  <c r="C9" i="6"/>
  <c r="B9" i="6"/>
  <c r="A9" i="6"/>
  <c r="B5" i="6"/>
  <c r="P26" i="5"/>
  <c r="O26" i="5"/>
  <c r="N26" i="5"/>
  <c r="M26" i="5"/>
  <c r="L26" i="5"/>
  <c r="K26" i="5"/>
  <c r="I26" i="5"/>
  <c r="H26" i="5"/>
  <c r="G26" i="5"/>
  <c r="F26" i="5"/>
  <c r="E26" i="5"/>
  <c r="D26" i="5"/>
  <c r="B26" i="5"/>
  <c r="P25" i="5"/>
  <c r="O25" i="5"/>
  <c r="N25" i="5"/>
  <c r="M25" i="5"/>
  <c r="L25" i="5"/>
  <c r="K25" i="5"/>
  <c r="I25" i="5"/>
  <c r="H25" i="5"/>
  <c r="G25" i="5"/>
  <c r="F25" i="5"/>
  <c r="E25" i="5"/>
  <c r="D25" i="5"/>
  <c r="B25" i="5"/>
  <c r="P24" i="5"/>
  <c r="O24" i="5"/>
  <c r="N24" i="5"/>
  <c r="M24" i="5"/>
  <c r="L24" i="5"/>
  <c r="K24" i="5"/>
  <c r="I24" i="5"/>
  <c r="H24" i="5"/>
  <c r="G24" i="5"/>
  <c r="F24" i="5"/>
  <c r="E24" i="5"/>
  <c r="D24" i="5"/>
  <c r="B24" i="5"/>
  <c r="P23" i="5"/>
  <c r="O23" i="5"/>
  <c r="N23" i="5"/>
  <c r="M23" i="5"/>
  <c r="L23" i="5"/>
  <c r="K23" i="5"/>
  <c r="I23" i="5"/>
  <c r="H23" i="5"/>
  <c r="G23" i="5"/>
  <c r="F23" i="5"/>
  <c r="E23" i="5"/>
  <c r="D23" i="5"/>
  <c r="B23" i="5"/>
  <c r="P22" i="5"/>
  <c r="O22" i="5"/>
  <c r="N22" i="5"/>
  <c r="M22" i="5"/>
  <c r="L22" i="5"/>
  <c r="K22" i="5"/>
  <c r="I22" i="5"/>
  <c r="H22" i="5"/>
  <c r="G22" i="5"/>
  <c r="F22" i="5"/>
  <c r="E22" i="5"/>
  <c r="D22" i="5"/>
  <c r="B22" i="5"/>
  <c r="P21" i="5"/>
  <c r="O21" i="5"/>
  <c r="N21" i="5"/>
  <c r="M21" i="5"/>
  <c r="L21" i="5"/>
  <c r="K21" i="5"/>
  <c r="I21" i="5"/>
  <c r="H21" i="5"/>
  <c r="G21" i="5"/>
  <c r="F21" i="5"/>
  <c r="E21" i="5"/>
  <c r="D21" i="5"/>
  <c r="B21" i="5"/>
  <c r="P20" i="5"/>
  <c r="O20" i="5"/>
  <c r="N20" i="5"/>
  <c r="M20" i="5"/>
  <c r="L20" i="5"/>
  <c r="K20" i="5"/>
  <c r="I20" i="5"/>
  <c r="H20" i="5"/>
  <c r="G20" i="5"/>
  <c r="F20" i="5"/>
  <c r="E20" i="5"/>
  <c r="D20" i="5"/>
  <c r="B20" i="5"/>
  <c r="P19" i="5"/>
  <c r="O19" i="5"/>
  <c r="N19" i="5"/>
  <c r="M19" i="5"/>
  <c r="L19" i="5"/>
  <c r="K19" i="5"/>
  <c r="I19" i="5"/>
  <c r="H19" i="5"/>
  <c r="G19" i="5"/>
  <c r="F19" i="5"/>
  <c r="E19" i="5"/>
  <c r="D19" i="5"/>
  <c r="B19" i="5"/>
  <c r="P18" i="5"/>
  <c r="O18" i="5"/>
  <c r="N18" i="5"/>
  <c r="M18" i="5"/>
  <c r="L18" i="5"/>
  <c r="K18" i="5"/>
  <c r="I18" i="5"/>
  <c r="H18" i="5"/>
  <c r="G18" i="5"/>
  <c r="F18" i="5"/>
  <c r="E18" i="5"/>
  <c r="D18" i="5"/>
  <c r="B18" i="5"/>
  <c r="P17" i="5"/>
  <c r="O17" i="5"/>
  <c r="N17" i="5"/>
  <c r="M17" i="5"/>
  <c r="L17" i="5"/>
  <c r="K17" i="5"/>
  <c r="I17" i="5"/>
  <c r="H17" i="5"/>
  <c r="G17" i="5"/>
  <c r="F17" i="5"/>
  <c r="E17" i="5"/>
  <c r="D17" i="5"/>
  <c r="B17" i="5"/>
  <c r="P16" i="5"/>
  <c r="O16" i="5"/>
  <c r="N16" i="5"/>
  <c r="M16" i="5"/>
  <c r="L16" i="5"/>
  <c r="K16" i="5"/>
  <c r="I16" i="5"/>
  <c r="H16" i="5"/>
  <c r="G16" i="5"/>
  <c r="F16" i="5"/>
  <c r="E16" i="5"/>
  <c r="D16" i="5"/>
  <c r="B16" i="5"/>
  <c r="P15" i="5"/>
  <c r="O15" i="5"/>
  <c r="N15" i="5"/>
  <c r="M15" i="5"/>
  <c r="L15" i="5"/>
  <c r="K15" i="5"/>
  <c r="I15" i="5"/>
  <c r="H15" i="5"/>
  <c r="G15" i="5"/>
  <c r="F15" i="5"/>
  <c r="E15" i="5"/>
  <c r="D15" i="5"/>
  <c r="B15" i="5"/>
  <c r="P14" i="5"/>
  <c r="O14" i="5"/>
  <c r="N14" i="5"/>
  <c r="M14" i="5"/>
  <c r="L14" i="5"/>
  <c r="K14" i="5"/>
  <c r="I14" i="5"/>
  <c r="H14" i="5"/>
  <c r="G14" i="5"/>
  <c r="F14" i="5"/>
  <c r="E14" i="5"/>
  <c r="D14" i="5"/>
  <c r="B14" i="5"/>
  <c r="P13" i="5"/>
  <c r="O13" i="5"/>
  <c r="N13" i="5"/>
  <c r="M13" i="5"/>
  <c r="L13" i="5"/>
  <c r="K13" i="5"/>
  <c r="I13" i="5"/>
  <c r="H13" i="5"/>
  <c r="G13" i="5"/>
  <c r="F13" i="5"/>
  <c r="E13" i="5"/>
  <c r="D13" i="5"/>
  <c r="B13" i="5"/>
  <c r="P12" i="5"/>
  <c r="O12" i="5"/>
  <c r="N12" i="5"/>
  <c r="M12" i="5"/>
  <c r="L12" i="5"/>
  <c r="K12" i="5"/>
  <c r="I12" i="5"/>
  <c r="H12" i="5"/>
  <c r="G12" i="5"/>
  <c r="F12" i="5"/>
  <c r="E12" i="5"/>
  <c r="D12" i="5"/>
  <c r="B12" i="5"/>
  <c r="P11" i="5"/>
  <c r="O11" i="5"/>
  <c r="N11" i="5"/>
  <c r="M11" i="5"/>
  <c r="L11" i="5"/>
  <c r="K11" i="5"/>
  <c r="I11" i="5"/>
  <c r="H11" i="5"/>
  <c r="G11" i="5"/>
  <c r="F11" i="5"/>
  <c r="E11" i="5"/>
  <c r="D11" i="5"/>
  <c r="B11" i="5"/>
  <c r="P10" i="5"/>
  <c r="O10" i="5"/>
  <c r="N10" i="5"/>
  <c r="M10" i="5"/>
  <c r="L10" i="5"/>
  <c r="K10" i="5"/>
  <c r="I10" i="5"/>
  <c r="H10" i="5"/>
  <c r="G10" i="5"/>
  <c r="F10" i="5"/>
  <c r="E10" i="5"/>
  <c r="D10" i="5"/>
  <c r="B10" i="5"/>
  <c r="P9" i="5"/>
  <c r="O9" i="5"/>
  <c r="N9" i="5"/>
  <c r="M9" i="5"/>
  <c r="L9" i="5"/>
  <c r="K9" i="5"/>
  <c r="I9" i="5"/>
  <c r="H9" i="5"/>
  <c r="G9" i="5"/>
  <c r="F9" i="5"/>
  <c r="E9" i="5"/>
  <c r="D9" i="5"/>
  <c r="B9" i="5"/>
  <c r="P8" i="5"/>
  <c r="O8" i="5"/>
  <c r="N8" i="5"/>
  <c r="M8" i="5"/>
  <c r="L8" i="5"/>
  <c r="K8" i="5"/>
  <c r="I8" i="5"/>
  <c r="H8" i="5"/>
  <c r="G8" i="5"/>
  <c r="F8" i="5"/>
  <c r="E8" i="5"/>
  <c r="D8" i="5"/>
  <c r="B8" i="5"/>
  <c r="P7" i="5"/>
  <c r="O7" i="5"/>
  <c r="N7" i="5"/>
  <c r="M7" i="5"/>
  <c r="L7" i="5"/>
  <c r="K7" i="5"/>
  <c r="I7" i="5"/>
  <c r="H7" i="5"/>
  <c r="G7" i="5"/>
  <c r="F7" i="5"/>
  <c r="E7" i="5"/>
  <c r="D7" i="5"/>
  <c r="B7" i="5"/>
  <c r="P6" i="5"/>
  <c r="O6" i="5"/>
  <c r="N6" i="5"/>
  <c r="M6" i="5"/>
  <c r="L6" i="5"/>
  <c r="K6" i="5"/>
  <c r="I6" i="5"/>
  <c r="H6" i="5"/>
  <c r="G6" i="5"/>
  <c r="F6" i="5"/>
  <c r="E6" i="5"/>
  <c r="D6" i="5"/>
  <c r="B6" i="5"/>
  <c r="P5" i="5"/>
  <c r="O5" i="5"/>
  <c r="N5" i="5"/>
  <c r="M5" i="5"/>
  <c r="L5" i="5"/>
  <c r="K5" i="5"/>
  <c r="I5" i="5"/>
  <c r="H5" i="5"/>
  <c r="G5" i="5"/>
  <c r="F5" i="5"/>
  <c r="E5" i="5"/>
  <c r="D5" i="5"/>
  <c r="B5" i="5"/>
  <c r="P4" i="5"/>
  <c r="O4" i="5"/>
  <c r="N4" i="5"/>
  <c r="M4" i="5"/>
  <c r="L4" i="5"/>
  <c r="K4" i="5"/>
  <c r="I4" i="5"/>
  <c r="H4" i="5"/>
  <c r="G4" i="5"/>
  <c r="F4" i="5"/>
  <c r="E4" i="5"/>
  <c r="D4" i="5"/>
  <c r="B4" i="5"/>
  <c r="P3" i="5"/>
  <c r="O3" i="5"/>
  <c r="N3" i="5"/>
  <c r="M3" i="5"/>
  <c r="L3" i="5"/>
  <c r="K3" i="5"/>
  <c r="I3" i="5"/>
  <c r="H3" i="5"/>
  <c r="G3" i="5"/>
  <c r="F3" i="5"/>
  <c r="E3" i="5"/>
  <c r="D3" i="5"/>
  <c r="B3" i="5"/>
  <c r="H17" i="4"/>
  <c r="G17" i="4"/>
  <c r="F17" i="4"/>
  <c r="E17" i="4"/>
  <c r="D17" i="4"/>
  <c r="C17" i="4"/>
  <c r="B17" i="4"/>
  <c r="I14" i="4"/>
  <c r="K14" i="4" s="1"/>
  <c r="K13" i="4"/>
  <c r="I13" i="4"/>
  <c r="I12" i="4"/>
  <c r="K12" i="4" s="1"/>
  <c r="I11" i="4"/>
  <c r="K11" i="4" s="1"/>
  <c r="K10" i="4"/>
  <c r="I10" i="4"/>
  <c r="K9" i="4"/>
  <c r="I9" i="4"/>
  <c r="K8" i="4"/>
  <c r="I8" i="4"/>
  <c r="I7" i="4"/>
  <c r="K7" i="4" s="1"/>
  <c r="K6" i="4"/>
  <c r="I6" i="4"/>
  <c r="K5" i="4"/>
  <c r="I5" i="4"/>
  <c r="I4" i="4"/>
  <c r="K4" i="4" s="1"/>
  <c r="I3" i="4"/>
  <c r="K3" i="4" s="1"/>
  <c r="J8" i="3"/>
  <c r="H8" i="3"/>
  <c r="I8" i="3" s="1"/>
  <c r="G8" i="3"/>
  <c r="F8" i="3"/>
  <c r="J7" i="3"/>
  <c r="I7" i="3"/>
  <c r="H7" i="3"/>
  <c r="G7" i="3"/>
  <c r="F7" i="3"/>
  <c r="H6" i="3"/>
  <c r="I6" i="3" s="1"/>
  <c r="G6" i="3"/>
  <c r="F6" i="3"/>
  <c r="J6" i="3" s="1"/>
  <c r="I5" i="3"/>
  <c r="H5" i="3"/>
  <c r="F5" i="3"/>
  <c r="J5" i="3" s="1"/>
  <c r="H4" i="3"/>
  <c r="I4" i="3" s="1"/>
  <c r="F4" i="3"/>
  <c r="J4" i="3" s="1"/>
  <c r="J3" i="3"/>
  <c r="H3" i="3"/>
  <c r="I3" i="3" s="1"/>
  <c r="G3" i="3"/>
  <c r="F3" i="3"/>
  <c r="B19" i="6" s="1"/>
  <c r="B15" i="2"/>
  <c r="M18" i="1"/>
  <c r="L18" i="1"/>
  <c r="K18" i="1"/>
  <c r="J18" i="1"/>
  <c r="I18" i="1"/>
  <c r="H18" i="1"/>
  <c r="G18" i="1"/>
  <c r="F18" i="1"/>
  <c r="E18" i="1"/>
  <c r="D18" i="1"/>
  <c r="N18" i="1" s="1"/>
  <c r="B19" i="1" s="1"/>
  <c r="B20" i="1" s="1"/>
  <c r="B4" i="2" s="1"/>
  <c r="B5" i="2" s="1"/>
  <c r="C18" i="1"/>
  <c r="B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C24" i="5" l="1"/>
  <c r="J22" i="5"/>
  <c r="C21" i="5"/>
  <c r="J19" i="5"/>
  <c r="C18" i="5"/>
  <c r="C12" i="5"/>
  <c r="C15" i="5"/>
  <c r="J13" i="5"/>
  <c r="C9" i="5"/>
  <c r="C19" i="5"/>
  <c r="C14" i="5"/>
  <c r="C6" i="5"/>
  <c r="C25" i="5"/>
  <c r="C3" i="5"/>
  <c r="B12" i="2"/>
  <c r="C17" i="5"/>
  <c r="C8" i="5"/>
  <c r="C5" i="5"/>
  <c r="C22" i="5"/>
  <c r="J20" i="5"/>
  <c r="J6" i="5"/>
  <c r="C10" i="5"/>
  <c r="J17" i="5"/>
  <c r="C16" i="5"/>
  <c r="J18" i="5"/>
  <c r="J9" i="5"/>
  <c r="C13" i="5"/>
  <c r="B9" i="2"/>
  <c r="J11" i="5"/>
  <c r="J15" i="5"/>
  <c r="J8" i="5"/>
  <c r="C7" i="5"/>
  <c r="C20" i="5"/>
  <c r="C26" i="5"/>
  <c r="J5" i="5"/>
  <c r="C4" i="5"/>
  <c r="J21" i="5"/>
  <c r="C5" i="6"/>
  <c r="J24" i="5"/>
  <c r="C23" i="5"/>
  <c r="J12" i="5"/>
  <c r="C11" i="5"/>
  <c r="J25" i="5"/>
  <c r="G4" i="3"/>
  <c r="G5" i="3"/>
  <c r="J14" i="5"/>
  <c r="J23" i="5"/>
  <c r="J4" i="5"/>
  <c r="J26" i="5"/>
  <c r="J7" i="5"/>
  <c r="J10" i="5"/>
  <c r="J16" i="5"/>
  <c r="J3" i="5"/>
  <c r="B16" i="2" l="1"/>
  <c r="B17" i="2" s="1"/>
  <c r="B10" i="2"/>
  <c r="B18" i="2" l="1"/>
  <c r="B11" i="2"/>
</calcChain>
</file>

<file path=xl/sharedStrings.xml><?xml version="1.0" encoding="utf-8"?>
<sst xmlns="http://schemas.openxmlformats.org/spreadsheetml/2006/main" count="133" uniqueCount="101">
  <si>
    <t>Essential Monthly Expenses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</si>
  <si>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</si>
  <si>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</si>
  <si>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</si>
  <si>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</si>
  <si>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</si>
  <si>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</si>
  <si>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</si>
  <si>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</si>
  <si>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</si>
  <si>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</si>
  <si>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</si>
  <si>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</si>
  <si>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</si>
  <si>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Total</t>
  </si>
  <si>
    <t>Rent/Mortgage</t>
  </si>
  <si>
    <t>Utilities</t>
  </si>
  <si>
    <t>Groceries</t>
  </si>
  <si>
    <t>Insurance (Health/Auto/Renters)</t>
  </si>
  <si>
    <t>Transport</t>
  </si>
  <si>
    <t>Medical</t>
  </si>
  <si>
    <t>Min Debt Payments</t>
  </si>
  <si>
    <t>Phone</t>
  </si>
  <si>
    <t>Internet</t>
  </si>
  <si>
    <t>Childcare</t>
  </si>
  <si>
    <t>Pet Care</t>
  </si>
  <si>
    <t>Essential Subscriptions</t>
  </si>
  <si>
    <t>Personal Care</t>
  </si>
  <si>
    <t>Clothing Basics</t>
  </si>
  <si>
    <t>Other Essentials</t>
  </si>
  <si>
    <t>Monthly Total</t>
  </si>
  <si>
    <t>Average Monthly Essentials</t>
  </si>
  <si>
    <t>Emergency Fund Planner</t>
  </si>
  <si>
    <t>Target Calculation</t>
  </si>
  <si>
    <t>Coverage Months</t>
  </si>
  <si>
    <t>Avg Monthly Essentials</t>
  </si>
  <si>
    <t>Target Amount</t>
  </si>
  <si>
    <t>Current Status</t>
  </si>
  <si>
    <t>Current Balance</t>
  </si>
  <si>
    <t>Monthly Contribution</t>
  </si>
  <si>
    <t>Shortfall</t>
  </si>
  <si>
    <t>Months to Fully Funded</t>
  </si>
  <si>
    <t>Projected Funded Date</t>
  </si>
  <si>
    <t>Status</t>
  </si>
  <si>
    <t>What-If Boost</t>
  </si>
  <si>
    <t>Extra Monthly Amount</t>
  </si>
  <si>
    <t>Boosted Contribution</t>
  </si>
  <si>
    <t>Boosted Months to Fund</t>
  </si>
  <si>
    <t>Boosted Funded Date</t>
  </si>
  <si>
    <t>Time Saved (months)</t>
  </si>
  <si>
    <t>Savings Goals</t>
  </si>
  <si>
    <t>Goal Name</t>
  </si>
  <si>
    <t>Target</t>
  </si>
  <si>
    <t>Monthly Contrib.</t>
  </si>
  <si>
    <t>Priority</t>
  </si>
  <si>
    <t>Proj. Months</t>
  </si>
  <si>
    <t>Proj. Date</t>
  </si>
  <si>
    <t>EF Redirect Months</t>
  </si>
  <si>
    <t>EF Redirect Date</t>
  </si>
  <si>
    <t>Vacation</t>
  </si>
  <si>
    <t>House Down Payment</t>
  </si>
  <si>
    <t>New Car</t>
  </si>
  <si>
    <t>Wedding</t>
  </si>
  <si>
    <t>Home Renovation</t>
  </si>
  <si>
    <t>Sabbatical Fund</t>
  </si>
  <si>
    <t>Monthly Contribution Log</t>
  </si>
  <si>
    <t>Month</t>
  </si>
  <si>
    <t>Emergency Fund</t>
  </si>
  <si>
    <t>Total Actual</t>
  </si>
  <si>
    <t>Total Planned</t>
  </si>
  <si>
    <t>Variance</t>
  </si>
  <si>
    <t>Running Balance</t>
  </si>
  <si>
    <t>24-Month Forward Projections</t>
  </si>
  <si>
    <t>Month #</t>
  </si>
  <si>
    <t>Date</t>
  </si>
  <si>
    <t>EF Balance</t>
  </si>
  <si>
    <t>EF Boosted</t>
  </si>
  <si>
    <t>Vacation Boosted</t>
  </si>
  <si>
    <t>House Down Payment Boosted</t>
  </si>
  <si>
    <t>New Car Boosted</t>
  </si>
  <si>
    <t>Wedding Boosted</t>
  </si>
  <si>
    <t>Home Renovation Boosted</t>
  </si>
  <si>
    <t>Sabbatical Fund Boosted</t>
  </si>
  <si>
    <t>Savings Dashboard</t>
  </si>
  <si>
    <t>Emergency fund and goal snapshot</t>
  </si>
  <si>
    <t>Emergency Fund Progress</t>
  </si>
  <si>
    <t>Current</t>
  </si>
  <si>
    <t>Goal</t>
  </si>
  <si>
    <t>Summary</t>
  </si>
  <si>
    <t>Total Saved (all goals + EF)</t>
  </si>
  <si>
    <t>Total Monthly Contributions</t>
  </si>
  <si>
    <t>Avg Months to Completion</t>
  </si>
  <si>
    <t>Emergency Fund and Savings Goal Planner</t>
  </si>
  <si>
    <t>Sample data covers a hypothetical 2025 scenario.</t>
  </si>
  <si>
    <t>All expenses and balances are fictional.</t>
  </si>
  <si>
    <t>Start by filling in your actual essential expenses on the Monthly Expenses sheet.</t>
  </si>
  <si>
    <t>The Emergency Fund target is derived from your average monthly expenses.</t>
  </si>
  <si>
    <t>Set your coverage months (3 or 6 or 9 or 12) on the Emergency Fund sheet.</t>
  </si>
  <si>
    <t>Log contributions monthly on the Contributions sheet.</t>
  </si>
  <si>
    <t>Do not insert or delete rows inside the data ranges.</t>
  </si>
  <si>
    <t>This is not financial advice. Talk to a professional about your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</si>
</sst>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###0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rgb="FF3E3428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3E3428"/>
      <name val="Arial"/>
      <family val="2"/>
    </font>
    <font>
      <b/>
      <sz val="11"/>
      <color rgb="FF3E3428"/>
      <name val="Arial"/>
      <family val="2"/>
    </font>
    <font>
      <b/>
      <sz val="11"/>
      <color rgb="FF6B8E6B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B8E6B"/>
      </patternFill>
    </fill>
    <fill>
      <patternFill patternType="solid">
        <fgColor rgb="FFEBE6D8"/>
      </patternFill>
    </fill>
    <fill>
      <patternFill patternType="solid">
        <fgColor rgb="FF3A5A3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8AFA4"/>
      </bottom>
      <diagonal/>
    </border>
    <border>
      <left/>
      <right style="hair">
        <color rgb="FFB8AFA4"/>
      </right>
      <top/>
      <bottom style="hair">
        <color rgb="FFB8AFA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4" fillId="3" borderId="0" xfId="0" applyNumberFormat="1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3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5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49" fontId="4" fillId="0" borderId="0" xfId="0" applyNumberFormat="1" applyFont="1" applyAlignment="1">
      <alignment horizontal="right" vertical="center"/>
    </xf>
    <xf numFmtId="167" fontId="10" fillId="5" borderId="0" xfId="1" applyNumberFormat="1" applyFont="1" applyFill="1" applyAlignment="1">
      <alignment vertical="center"/>
    </xf>
  </cellXfs>
  <cellStyles count="2">
    <cellStyle name="Currency" xfId="1" builtinId="4"/>
    <cellStyle name="Normal" xfId="0" builtinId="0"/>
  </cellStyles>
  <dxfs count="5">
    <dxf>
      <fill>
        <patternFill patternType="solid">
          <fgColor rgb="FFE8C88A"/>
        </patternFill>
      </fill>
    </dxf>
    <dxf>
      <fill>
        <patternFill patternType="solid">
          <fgColor rgb="FFB0C8D8"/>
        </patternFill>
      </fill>
    </dxf>
    <dxf>
      <fill>
        <patternFill patternType="solid">
          <fgColor rgb="FFC8D8B0"/>
        </patternFill>
      </fill>
    </dxf>
    <dxf>
      <fill>
        <patternFill patternType="solid">
          <fgColor rgb="FFE8C88A"/>
        </patternFill>
      </fill>
    </dxf>
    <dxf>
      <fill>
        <patternFill patternType="solid">
          <fgColor rgb="FFC8D8B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24-Month Forward Projections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Projections!$D$2</c:f>
              <c:strCache>
                <c:ptCount val="1"/>
                <c:pt idx="0">
                  <c:v>Vacation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Projections!$D$3:$D$26</c:f>
              <c:numCache>
                <c:formatCode>"$"#,##0</c:formatCode>
                <c:ptCount val="24"/>
                <c:pt idx="0">
                  <c:v>2000</c:v>
                </c:pt>
                <c:pt idx="1">
                  <c:v>2200</c:v>
                </c:pt>
                <c:pt idx="2">
                  <c:v>2400</c:v>
                </c:pt>
                <c:pt idx="3">
                  <c:v>2600</c:v>
                </c:pt>
                <c:pt idx="4">
                  <c:v>2800</c:v>
                </c:pt>
                <c:pt idx="5">
                  <c:v>3000</c:v>
                </c:pt>
                <c:pt idx="6">
                  <c:v>3200</c:v>
                </c:pt>
                <c:pt idx="7">
                  <c:v>3400</c:v>
                </c:pt>
                <c:pt idx="8">
                  <c:v>3600</c:v>
                </c:pt>
                <c:pt idx="9">
                  <c:v>3800</c:v>
                </c:pt>
                <c:pt idx="10">
                  <c:v>4000</c:v>
                </c:pt>
                <c:pt idx="11">
                  <c:v>4200</c:v>
                </c:pt>
                <c:pt idx="12">
                  <c:v>4400</c:v>
                </c:pt>
                <c:pt idx="13">
                  <c:v>4500</c:v>
                </c:pt>
                <c:pt idx="14">
                  <c:v>4500</c:v>
                </c:pt>
                <c:pt idx="15">
                  <c:v>4500</c:v>
                </c:pt>
                <c:pt idx="16">
                  <c:v>4500</c:v>
                </c:pt>
                <c:pt idx="17">
                  <c:v>4500</c:v>
                </c:pt>
                <c:pt idx="18">
                  <c:v>4500</c:v>
                </c:pt>
                <c:pt idx="19">
                  <c:v>4500</c:v>
                </c:pt>
                <c:pt idx="20">
                  <c:v>4500</c:v>
                </c:pt>
                <c:pt idx="21">
                  <c:v>4500</c:v>
                </c:pt>
                <c:pt idx="22">
                  <c:v>4500</c:v>
                </c:pt>
                <c:pt idx="23">
                  <c:v>4500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0E-45F1-884C-11ED161CE01A}"/>
            </c:ext>
          </c:extLst>
        </c:ser>
        <c:ser>
          <c:idx val="1"/>
          <c:order val="1"/>
          <c:tx>
            <c:strRef>
              <c:f>Projections!$E$2</c:f>
              <c:strCache>
                <c:ptCount val="1"/>
                <c:pt idx="0">
                  <c:v>House Down Payment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Projections!$E$3:$E$26</c:f>
              <c:numCache>
                <c:formatCode>"$"#,##0</c:formatCode>
                <c:ptCount val="24"/>
                <c:pt idx="0">
                  <c:v>9100</c:v>
                </c:pt>
                <c:pt idx="1">
                  <c:v>9700</c:v>
                </c:pt>
                <c:pt idx="2">
                  <c:v>10300</c:v>
                </c:pt>
                <c:pt idx="3">
                  <c:v>10900</c:v>
                </c:pt>
                <c:pt idx="4">
                  <c:v>11500</c:v>
                </c:pt>
                <c:pt idx="5">
                  <c:v>12100</c:v>
                </c:pt>
                <c:pt idx="6">
                  <c:v>12700</c:v>
                </c:pt>
                <c:pt idx="7">
                  <c:v>13300</c:v>
                </c:pt>
                <c:pt idx="8">
                  <c:v>13900</c:v>
                </c:pt>
                <c:pt idx="9">
                  <c:v>14500</c:v>
                </c:pt>
                <c:pt idx="10">
                  <c:v>15100</c:v>
                </c:pt>
                <c:pt idx="11">
                  <c:v>15700</c:v>
                </c:pt>
                <c:pt idx="12">
                  <c:v>16300</c:v>
                </c:pt>
                <c:pt idx="13">
                  <c:v>16900</c:v>
                </c:pt>
                <c:pt idx="14">
                  <c:v>17500</c:v>
                </c:pt>
                <c:pt idx="15">
                  <c:v>18100</c:v>
                </c:pt>
                <c:pt idx="16">
                  <c:v>18700</c:v>
                </c:pt>
                <c:pt idx="17">
                  <c:v>19300</c:v>
                </c:pt>
                <c:pt idx="18">
                  <c:v>19900</c:v>
                </c:pt>
                <c:pt idx="19">
                  <c:v>20500</c:v>
                </c:pt>
                <c:pt idx="20">
                  <c:v>21100</c:v>
                </c:pt>
                <c:pt idx="21">
                  <c:v>21700</c:v>
                </c:pt>
                <c:pt idx="22">
                  <c:v>22300</c:v>
                </c:pt>
                <c:pt idx="23">
                  <c:v>22900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0E-45F1-884C-11ED161CE01A}"/>
            </c:ext>
          </c:extLst>
        </c:ser>
        <c:ser>
          <c:idx val="2"/>
          <c:order val="2"/>
          <c:tx>
            <c:strRef>
              <c:f>Projections!$F$2</c:f>
              <c:strCache>
                <c:ptCount val="1"/>
                <c:pt idx="0">
                  <c:v>New Car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Projections!$F$3:$F$26</c:f>
              <c:numCache>
                <c:formatCode>"$"#,##0</c:formatCode>
                <c:ptCount val="24"/>
                <c:pt idx="0">
                  <c:v>3450</c:v>
                </c:pt>
                <c:pt idx="1">
                  <c:v>3700</c:v>
                </c:pt>
                <c:pt idx="2">
                  <c:v>3950</c:v>
                </c:pt>
                <c:pt idx="3">
                  <c:v>4200</c:v>
                </c:pt>
                <c:pt idx="4">
                  <c:v>4450</c:v>
                </c:pt>
                <c:pt idx="5">
                  <c:v>4700</c:v>
                </c:pt>
                <c:pt idx="6">
                  <c:v>4950</c:v>
                </c:pt>
                <c:pt idx="7">
                  <c:v>5200</c:v>
                </c:pt>
                <c:pt idx="8">
                  <c:v>5450</c:v>
                </c:pt>
                <c:pt idx="9">
                  <c:v>5700</c:v>
                </c:pt>
                <c:pt idx="10">
                  <c:v>5950</c:v>
                </c:pt>
                <c:pt idx="11">
                  <c:v>6200</c:v>
                </c:pt>
                <c:pt idx="12">
                  <c:v>6450</c:v>
                </c:pt>
                <c:pt idx="13">
                  <c:v>6700</c:v>
                </c:pt>
                <c:pt idx="14">
                  <c:v>6950</c:v>
                </c:pt>
                <c:pt idx="15">
                  <c:v>7200</c:v>
                </c:pt>
                <c:pt idx="16">
                  <c:v>7450</c:v>
                </c:pt>
                <c:pt idx="17">
                  <c:v>7700</c:v>
                </c:pt>
                <c:pt idx="18">
                  <c:v>7950</c:v>
                </c:pt>
                <c:pt idx="19">
                  <c:v>8200</c:v>
                </c:pt>
                <c:pt idx="20">
                  <c:v>8450</c:v>
                </c:pt>
                <c:pt idx="21">
                  <c:v>8700</c:v>
                </c:pt>
                <c:pt idx="22">
                  <c:v>8950</c:v>
                </c:pt>
                <c:pt idx="23">
                  <c:v>9200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0E-45F1-884C-11ED161CE01A}"/>
            </c:ext>
          </c:extLst>
        </c:ser>
        <c:ser>
          <c:idx val="3"/>
          <c:order val="3"/>
          <c:tx>
            <c:strRef>
              <c:f>Projections!$G$2</c:f>
              <c:strCache>
                <c:ptCount val="1"/>
                <c:pt idx="0">
                  <c:v>Wedding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Projections!$G$3:$G$26</c:f>
              <c:numCache>
                <c:formatCode>"$"#,##0</c:formatCode>
                <c:ptCount val="24"/>
                <c:pt idx="0">
                  <c:v>2350</c:v>
                </c:pt>
                <c:pt idx="1">
                  <c:v>2700</c:v>
                </c:pt>
                <c:pt idx="2">
                  <c:v>3050</c:v>
                </c:pt>
                <c:pt idx="3">
                  <c:v>3400</c:v>
                </c:pt>
                <c:pt idx="4">
                  <c:v>3750</c:v>
                </c:pt>
                <c:pt idx="5">
                  <c:v>4100</c:v>
                </c:pt>
                <c:pt idx="6">
                  <c:v>4450</c:v>
                </c:pt>
                <c:pt idx="7">
                  <c:v>4800</c:v>
                </c:pt>
                <c:pt idx="8">
                  <c:v>5150</c:v>
                </c:pt>
                <c:pt idx="9">
                  <c:v>5500</c:v>
                </c:pt>
                <c:pt idx="10">
                  <c:v>5850</c:v>
                </c:pt>
                <c:pt idx="11">
                  <c:v>6200</c:v>
                </c:pt>
                <c:pt idx="12">
                  <c:v>6550</c:v>
                </c:pt>
                <c:pt idx="13">
                  <c:v>6900</c:v>
                </c:pt>
                <c:pt idx="14">
                  <c:v>7250</c:v>
                </c:pt>
                <c:pt idx="15">
                  <c:v>7600</c:v>
                </c:pt>
                <c:pt idx="16">
                  <c:v>7950</c:v>
                </c:pt>
                <c:pt idx="17">
                  <c:v>8300</c:v>
                </c:pt>
                <c:pt idx="18">
                  <c:v>8650</c:v>
                </c:pt>
                <c:pt idx="19">
                  <c:v>9000</c:v>
                </c:pt>
                <c:pt idx="20">
                  <c:v>9350</c:v>
                </c:pt>
                <c:pt idx="21">
                  <c:v>9700</c:v>
                </c:pt>
                <c:pt idx="22">
                  <c:v>10050</c:v>
                </c:pt>
                <c:pt idx="23">
                  <c:v>10400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0E-45F1-884C-11ED161CE01A}"/>
            </c:ext>
          </c:extLst>
        </c:ser>
        <c:ser>
          <c:idx val="4"/>
          <c:order val="4"/>
          <c:tx>
            <c:strRef>
              <c:f>Projections!$H$2</c:f>
              <c:strCache>
                <c:ptCount val="1"/>
                <c:pt idx="0">
                  <c:v>Home Renovation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Projections!$H$3:$H$26</c:f>
              <c:numCache>
                <c:formatCode>"$"#,##0</c:formatCode>
                <c:ptCount val="24"/>
                <c:pt idx="0">
                  <c:v>1350</c:v>
                </c:pt>
                <c:pt idx="1">
                  <c:v>1500</c:v>
                </c:pt>
                <c:pt idx="2">
                  <c:v>1650</c:v>
                </c:pt>
                <c:pt idx="3">
                  <c:v>1800</c:v>
                </c:pt>
                <c:pt idx="4">
                  <c:v>1950</c:v>
                </c:pt>
                <c:pt idx="5">
                  <c:v>2100</c:v>
                </c:pt>
                <c:pt idx="6">
                  <c:v>2250</c:v>
                </c:pt>
                <c:pt idx="7">
                  <c:v>2400</c:v>
                </c:pt>
                <c:pt idx="8">
                  <c:v>2550</c:v>
                </c:pt>
                <c:pt idx="9">
                  <c:v>2700</c:v>
                </c:pt>
                <c:pt idx="10">
                  <c:v>2850</c:v>
                </c:pt>
                <c:pt idx="11">
                  <c:v>3000</c:v>
                </c:pt>
                <c:pt idx="12">
                  <c:v>3150</c:v>
                </c:pt>
                <c:pt idx="13">
                  <c:v>3300</c:v>
                </c:pt>
                <c:pt idx="14">
                  <c:v>3450</c:v>
                </c:pt>
                <c:pt idx="15">
                  <c:v>3600</c:v>
                </c:pt>
                <c:pt idx="16">
                  <c:v>3750</c:v>
                </c:pt>
                <c:pt idx="17">
                  <c:v>3900</c:v>
                </c:pt>
                <c:pt idx="18">
                  <c:v>4050</c:v>
                </c:pt>
                <c:pt idx="19">
                  <c:v>4200</c:v>
                </c:pt>
                <c:pt idx="20">
                  <c:v>4350</c:v>
                </c:pt>
                <c:pt idx="21">
                  <c:v>4500</c:v>
                </c:pt>
                <c:pt idx="22">
                  <c:v>4650</c:v>
                </c:pt>
                <c:pt idx="23">
                  <c:v>4800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0E-45F1-884C-11ED161CE01A}"/>
            </c:ext>
          </c:extLst>
        </c:ser>
        <c:ser>
          <c:idx val="5"/>
          <c:order val="5"/>
          <c:tx>
            <c:strRef>
              <c:f>Projections!$I$2</c:f>
              <c:strCache>
                <c:ptCount val="1"/>
                <c:pt idx="0">
                  <c:v>Sabbatical Fund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multiLvlStrRef>
              <c:f>Projections!$A$3:$C$26</c:f>
              <c:multiLvlStrCache>
                <c:ptCount val="24"/>
                <c:lvl>
                  <c:pt idx="0">
                    <c:v>$9,650</c:v>
                  </c:pt>
                  <c:pt idx="1">
                    <c:v>$10,100</c:v>
                  </c:pt>
                  <c:pt idx="2">
                    <c:v>$10,550</c:v>
                  </c:pt>
                  <c:pt idx="3">
                    <c:v>$11,000</c:v>
                  </c:pt>
                  <c:pt idx="4">
                    <c:v>$11,450</c:v>
                  </c:pt>
                  <c:pt idx="5">
                    <c:v>$11,900</c:v>
                  </c:pt>
                  <c:pt idx="6">
                    <c:v>$12,350</c:v>
                  </c:pt>
                  <c:pt idx="7">
                    <c:v>$12,800</c:v>
                  </c:pt>
                  <c:pt idx="8">
                    <c:v>$13,250</c:v>
                  </c:pt>
                  <c:pt idx="9">
                    <c:v>$13,700</c:v>
                  </c:pt>
                  <c:pt idx="10">
                    <c:v>$14,150</c:v>
                  </c:pt>
                  <c:pt idx="11">
                    <c:v>$14,600</c:v>
                  </c:pt>
                  <c:pt idx="12">
                    <c:v>$15,050</c:v>
                  </c:pt>
                  <c:pt idx="13">
                    <c:v>$15,500</c:v>
                  </c:pt>
                  <c:pt idx="14">
                    <c:v>$15,950</c:v>
                  </c:pt>
                  <c:pt idx="15">
                    <c:v>$16,400</c:v>
                  </c:pt>
                  <c:pt idx="16">
                    <c:v>$16,850</c:v>
                  </c:pt>
                  <c:pt idx="17">
                    <c:v>$17,300</c:v>
                  </c:pt>
                  <c:pt idx="18">
                    <c:v>$17,750</c:v>
                  </c:pt>
                  <c:pt idx="19">
                    <c:v>$18,200</c:v>
                  </c:pt>
                  <c:pt idx="20">
                    <c:v>$18,650</c:v>
                  </c:pt>
                  <c:pt idx="21">
                    <c:v>$19,100</c:v>
                  </c:pt>
                  <c:pt idx="22">
                    <c:v>$19,550</c:v>
                  </c:pt>
                  <c:pt idx="23">
                    <c:v>$20,000</c:v>
                  </c:pt>
                </c:lvl>
                <c:lvl>
                  <c:pt idx="0">
                    <c:v>4/10/2026</c:v>
                  </c:pt>
                  <c:pt idx="1">
                    <c:v>5/10/2026</c:v>
                  </c:pt>
                  <c:pt idx="2">
                    <c:v>6/9/2026</c:v>
                  </c:pt>
                  <c:pt idx="3">
                    <c:v>7/10/2026</c:v>
                  </c:pt>
                  <c:pt idx="4">
                    <c:v>8/9/2026</c:v>
                  </c:pt>
                  <c:pt idx="5">
                    <c:v>9/9/2026</c:v>
                  </c:pt>
                  <c:pt idx="6">
                    <c:v>10/9/2026</c:v>
                  </c:pt>
                  <c:pt idx="7">
                    <c:v>11/9/2026</c:v>
                  </c:pt>
                  <c:pt idx="8">
                    <c:v>12/9/2026</c:v>
                  </c:pt>
                  <c:pt idx="9">
                    <c:v>1/8/2027</c:v>
                  </c:pt>
                  <c:pt idx="10">
                    <c:v>2/8/2027</c:v>
                  </c:pt>
                  <c:pt idx="11">
                    <c:v>3/10/2027</c:v>
                  </c:pt>
                  <c:pt idx="12">
                    <c:v>4/10/2027</c:v>
                  </c:pt>
                  <c:pt idx="13">
                    <c:v>5/10/2027</c:v>
                  </c:pt>
                  <c:pt idx="14">
                    <c:v>6/10/2027</c:v>
                  </c:pt>
                  <c:pt idx="15">
                    <c:v>7/10/2027</c:v>
                  </c:pt>
                  <c:pt idx="16">
                    <c:v>8/10/2027</c:v>
                  </c:pt>
                  <c:pt idx="17">
                    <c:v>9/9/2027</c:v>
                  </c:pt>
                  <c:pt idx="18">
                    <c:v>10/9/2027</c:v>
                  </c:pt>
                  <c:pt idx="19">
                    <c:v>11/9/2027</c:v>
                  </c:pt>
                  <c:pt idx="20">
                    <c:v>12/9/2027</c:v>
                  </c:pt>
                  <c:pt idx="21">
                    <c:v>1/9/2028</c:v>
                  </c:pt>
                  <c:pt idx="22">
                    <c:v>2/8/2028</c:v>
                  </c:pt>
                  <c:pt idx="23">
                    <c:v>3/10/2028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</c:lvl>
              </c:multiLvlStrCache>
            </c:multiLvlStrRef>
          </c:xVal>
          <c:yVal>
            <c:numRef>
              <c:f>Projections!$I$3:$I$26</c:f>
              <c:numCache>
                <c:formatCode>"$"#,##0</c:formatCode>
                <c:ptCount val="24"/>
                <c:pt idx="0">
                  <c:v>4300</c:v>
                </c:pt>
                <c:pt idx="1">
                  <c:v>4600</c:v>
                </c:pt>
                <c:pt idx="2">
                  <c:v>4900</c:v>
                </c:pt>
                <c:pt idx="3">
                  <c:v>5200</c:v>
                </c:pt>
                <c:pt idx="4">
                  <c:v>5500</c:v>
                </c:pt>
                <c:pt idx="5">
                  <c:v>5800</c:v>
                </c:pt>
                <c:pt idx="6">
                  <c:v>6100</c:v>
                </c:pt>
                <c:pt idx="7">
                  <c:v>6400</c:v>
                </c:pt>
                <c:pt idx="8">
                  <c:v>6700</c:v>
                </c:pt>
                <c:pt idx="9">
                  <c:v>7000</c:v>
                </c:pt>
                <c:pt idx="10">
                  <c:v>7300</c:v>
                </c:pt>
                <c:pt idx="11">
                  <c:v>7600</c:v>
                </c:pt>
                <c:pt idx="12">
                  <c:v>7900</c:v>
                </c:pt>
                <c:pt idx="13">
                  <c:v>8200</c:v>
                </c:pt>
                <c:pt idx="14">
                  <c:v>8500</c:v>
                </c:pt>
                <c:pt idx="15">
                  <c:v>8800</c:v>
                </c:pt>
                <c:pt idx="16">
                  <c:v>9100</c:v>
                </c:pt>
                <c:pt idx="17">
                  <c:v>9400</c:v>
                </c:pt>
                <c:pt idx="18">
                  <c:v>9700</c:v>
                </c:pt>
                <c:pt idx="19">
                  <c:v>10000</c:v>
                </c:pt>
                <c:pt idx="20">
                  <c:v>10300</c:v>
                </c:pt>
                <c:pt idx="21">
                  <c:v>10600</c:v>
                </c:pt>
                <c:pt idx="22">
                  <c:v>10900</c:v>
                </c:pt>
                <c:pt idx="23">
                  <c:v>11200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70E-45F1-884C-11ED161C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713951"/>
        <c:axId val="1741712991"/>
      </c:scatterChart>
      <c:valAx>
        <c:axId val="174171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2991"/>
        <c:crosses val="autoZero"/>
        <c:crossBetween val="midCat"/>
      </c:valAx>
      <c:valAx>
        <c:axId val="174171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1713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252450266132155"/>
          <c:w val="1"/>
          <c:h val="7.19199463078092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ysClr val="windowText" lastClr="000000"/>
                </a:solidFill>
              </a:rPr>
              <a:t>Goal Progress: Current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6"/>
                <c:pt idx="0">
                  <c:v>Vacation</c:v>
                </c:pt>
                <c:pt idx="1">
                  <c:v>House Down Payment</c:v>
                </c:pt>
                <c:pt idx="2">
                  <c:v>New Car</c:v>
                </c:pt>
                <c:pt idx="3">
                  <c:v>Wedding</c:v>
                </c:pt>
                <c:pt idx="4">
                  <c:v>Home Renovation</c:v>
                </c:pt>
                <c:pt idx="5">
                  <c:v>Sabbatical Fund</c:v>
                </c:pt>
              </c:strCache>
            </c:strRef>
          </c:cat>
          <c:val>
            <c:numRef>
              <c:f>Dashboard!$B$9:$B$14</c:f>
              <c:numCache>
                <c:formatCode>"$"#,##0</c:formatCode>
                <c:ptCount val="6"/>
                <c:pt idx="0">
                  <c:v>1800</c:v>
                </c:pt>
                <c:pt idx="1">
                  <c:v>8500</c:v>
                </c:pt>
                <c:pt idx="2">
                  <c:v>3200</c:v>
                </c:pt>
                <c:pt idx="3">
                  <c:v>2000</c:v>
                </c:pt>
                <c:pt idx="4">
                  <c:v>1200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DF-411F-B908-CC5B38B4799A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6"/>
                <c:pt idx="0">
                  <c:v>Vacation</c:v>
                </c:pt>
                <c:pt idx="1">
                  <c:v>House Down Payment</c:v>
                </c:pt>
                <c:pt idx="2">
                  <c:v>New Car</c:v>
                </c:pt>
                <c:pt idx="3">
                  <c:v>Wedding</c:v>
                </c:pt>
                <c:pt idx="4">
                  <c:v>Home Renovation</c:v>
                </c:pt>
                <c:pt idx="5">
                  <c:v>Sabbatical Fund</c:v>
                </c:pt>
              </c:strCache>
            </c:strRef>
          </c:cat>
          <c:val>
            <c:numRef>
              <c:f>Dashboard!$C$9:$C$14</c:f>
              <c:numCache>
                <c:formatCode>"$"#,##0</c:formatCode>
                <c:ptCount val="6"/>
                <c:pt idx="0">
                  <c:v>4500</c:v>
                </c:pt>
                <c:pt idx="1">
                  <c:v>50000</c:v>
                </c:pt>
                <c:pt idx="2">
                  <c:v>12000</c:v>
                </c:pt>
                <c:pt idx="3">
                  <c:v>18000</c:v>
                </c:pt>
                <c:pt idx="4">
                  <c:v>8000</c:v>
                </c:pt>
                <c:pt idx="5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DF-411F-B908-CC5B38B47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2521311"/>
        <c:axId val="1912533311"/>
      </c:barChart>
      <c:catAx>
        <c:axId val="191252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33311"/>
        <c:crosses val="autoZero"/>
        <c:auto val="1"/>
        <c:lblAlgn val="ctr"/>
        <c:lblOffset val="100"/>
        <c:noMultiLvlLbl val="0"/>
      </c:catAx>
      <c:valAx>
        <c:axId val="19125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52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228601</xdr:colOff>
      <xdr:row>19</xdr:row>
      <xdr:rowOff>152399</xdr:rowOff>
    </xdr:from>
    <xdr:to>
      <xdr:col>14</xdr:col>
      <xdr:colOff>266701</xdr:colOff>
      <xdr:row>40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69A02D-A571-4934-9802-3B9DA365E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20</xdr:row>
      <xdr:rowOff>23812</xdr:rowOff>
    </xdr:from>
    <xdr:to>
      <xdr:col>3</xdr:col>
      <xdr:colOff>561975</xdr:colOff>
      <xdr:row>40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A66676-F9BF-4543-B87E-DC88E3C0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workbookViewId="0"/>
  </sheetViews>
  <sheetFormatPr defaultRowHeight="15" x14ac:dyDescent="0.25"/>
  <cols>
    <col min="1" max="1" width="33" customWidth="1"/>
    <col min="2" max="13" width="14" customWidth="1"/>
    <col min="14" max="14" width="15" customWidth="1"/>
  </cols>
  <sheetData>
    <row r="1" spans="1:14" ht="18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x14ac:dyDescent="0.25">
      <c r="A3" s="5" t="s">
        <v>15</v>
      </c>
      <c r="B3" s="6">
        <v>1305</v>
      </c>
      <c r="C3" s="6">
        <v>1461</v>
      </c>
      <c r="D3" s="6">
        <v>1325</v>
      </c>
      <c r="E3" s="6">
        <v>1613</v>
      </c>
      <c r="F3" s="6">
        <v>1505</v>
      </c>
      <c r="G3" s="6">
        <v>1297</v>
      </c>
      <c r="H3" s="6">
        <v>1295</v>
      </c>
      <c r="I3" s="6">
        <v>1606</v>
      </c>
      <c r="J3" s="6">
        <v>1344</v>
      </c>
      <c r="K3" s="6">
        <v>1605</v>
      </c>
      <c r="L3" s="6">
        <v>1559</v>
      </c>
      <c r="M3" s="6">
        <v>1502</v>
      </c>
      <c r="N3" s="7">
        <f t="shared" ref="N3:N18" si="0">SUM(B3:M3)</f>
        <v>17417</v>
      </c>
    </row>
    <row r="4" spans="1:14" x14ac:dyDescent="0.25">
      <c r="A4" s="5" t="s">
        <v>16</v>
      </c>
      <c r="B4" s="6">
        <v>177</v>
      </c>
      <c r="C4" s="6">
        <v>165</v>
      </c>
      <c r="D4" s="6">
        <v>164</v>
      </c>
      <c r="E4" s="6">
        <v>155</v>
      </c>
      <c r="F4" s="6">
        <v>148</v>
      </c>
      <c r="G4" s="6">
        <v>143</v>
      </c>
      <c r="H4" s="6">
        <v>156</v>
      </c>
      <c r="I4" s="6">
        <v>154</v>
      </c>
      <c r="J4" s="6">
        <v>173</v>
      </c>
      <c r="K4" s="6">
        <v>149</v>
      </c>
      <c r="L4" s="6">
        <v>155</v>
      </c>
      <c r="M4" s="6">
        <v>181</v>
      </c>
      <c r="N4" s="7">
        <f t="shared" si="0"/>
        <v>1920</v>
      </c>
    </row>
    <row r="5" spans="1:14" x14ac:dyDescent="0.25">
      <c r="A5" s="5" t="s">
        <v>17</v>
      </c>
      <c r="B5" s="6">
        <v>414</v>
      </c>
      <c r="C5" s="6">
        <v>419</v>
      </c>
      <c r="D5" s="6">
        <v>423</v>
      </c>
      <c r="E5" s="6">
        <v>449</v>
      </c>
      <c r="F5" s="6">
        <v>365</v>
      </c>
      <c r="G5" s="6">
        <v>432</v>
      </c>
      <c r="H5" s="6">
        <v>348</v>
      </c>
      <c r="I5" s="6">
        <v>371</v>
      </c>
      <c r="J5" s="6">
        <v>411</v>
      </c>
      <c r="K5" s="6">
        <v>378</v>
      </c>
      <c r="L5" s="6">
        <v>399</v>
      </c>
      <c r="M5" s="6">
        <v>367</v>
      </c>
      <c r="N5" s="7">
        <f t="shared" si="0"/>
        <v>4776</v>
      </c>
    </row>
    <row r="6" spans="1:14" x14ac:dyDescent="0.25">
      <c r="A6" s="5" t="s">
        <v>18</v>
      </c>
      <c r="B6" s="6">
        <v>389</v>
      </c>
      <c r="C6" s="6">
        <v>412</v>
      </c>
      <c r="D6" s="6">
        <v>434</v>
      </c>
      <c r="E6" s="6">
        <v>444</v>
      </c>
      <c r="F6" s="6">
        <v>420</v>
      </c>
      <c r="G6" s="6">
        <v>405</v>
      </c>
      <c r="H6" s="6">
        <v>479</v>
      </c>
      <c r="I6" s="6">
        <v>455</v>
      </c>
      <c r="J6" s="6">
        <v>426</v>
      </c>
      <c r="K6" s="6">
        <v>425</v>
      </c>
      <c r="L6" s="6">
        <v>376</v>
      </c>
      <c r="M6" s="6">
        <v>382</v>
      </c>
      <c r="N6" s="7">
        <f t="shared" si="0"/>
        <v>5047</v>
      </c>
    </row>
    <row r="7" spans="1:14" x14ac:dyDescent="0.25">
      <c r="A7" s="5" t="s">
        <v>19</v>
      </c>
      <c r="B7" s="6">
        <v>158</v>
      </c>
      <c r="C7" s="6">
        <v>204</v>
      </c>
      <c r="D7" s="6">
        <v>198</v>
      </c>
      <c r="E7" s="6">
        <v>156</v>
      </c>
      <c r="F7" s="6">
        <v>190</v>
      </c>
      <c r="G7" s="6">
        <v>173</v>
      </c>
      <c r="H7" s="6">
        <v>189</v>
      </c>
      <c r="I7" s="6">
        <v>177</v>
      </c>
      <c r="J7" s="6">
        <v>171</v>
      </c>
      <c r="K7" s="6">
        <v>157</v>
      </c>
      <c r="L7" s="6">
        <v>163</v>
      </c>
      <c r="M7" s="6">
        <v>176</v>
      </c>
      <c r="N7" s="7">
        <f t="shared" si="0"/>
        <v>2112</v>
      </c>
    </row>
    <row r="8" spans="1:14" x14ac:dyDescent="0.25">
      <c r="A8" s="5" t="s">
        <v>20</v>
      </c>
      <c r="B8" s="6">
        <v>48</v>
      </c>
      <c r="C8" s="6">
        <v>40</v>
      </c>
      <c r="D8" s="6">
        <v>44</v>
      </c>
      <c r="E8" s="6">
        <v>51</v>
      </c>
      <c r="F8" s="6">
        <v>40</v>
      </c>
      <c r="G8" s="6">
        <v>44</v>
      </c>
      <c r="H8" s="6">
        <v>50</v>
      </c>
      <c r="I8" s="6">
        <v>47</v>
      </c>
      <c r="J8" s="6">
        <v>51</v>
      </c>
      <c r="K8" s="6">
        <v>46</v>
      </c>
      <c r="L8" s="6">
        <v>47</v>
      </c>
      <c r="M8" s="6">
        <v>41</v>
      </c>
      <c r="N8" s="7">
        <f t="shared" si="0"/>
        <v>549</v>
      </c>
    </row>
    <row r="9" spans="1:14" x14ac:dyDescent="0.25">
      <c r="A9" s="5" t="s">
        <v>21</v>
      </c>
      <c r="B9" s="6">
        <v>340</v>
      </c>
      <c r="C9" s="6">
        <v>353</v>
      </c>
      <c r="D9" s="6">
        <v>389</v>
      </c>
      <c r="E9" s="6">
        <v>368</v>
      </c>
      <c r="F9" s="6">
        <v>337</v>
      </c>
      <c r="G9" s="6">
        <v>390</v>
      </c>
      <c r="H9" s="6">
        <v>362</v>
      </c>
      <c r="I9" s="6">
        <v>373</v>
      </c>
      <c r="J9" s="6">
        <v>316</v>
      </c>
      <c r="K9" s="6">
        <v>325</v>
      </c>
      <c r="L9" s="6">
        <v>360</v>
      </c>
      <c r="M9" s="6">
        <v>343</v>
      </c>
      <c r="N9" s="7">
        <f t="shared" si="0"/>
        <v>4256</v>
      </c>
    </row>
    <row r="10" spans="1:14" x14ac:dyDescent="0.25">
      <c r="A10" s="5" t="s">
        <v>22</v>
      </c>
      <c r="B10" s="6">
        <v>70</v>
      </c>
      <c r="C10" s="6">
        <v>84</v>
      </c>
      <c r="D10" s="6">
        <v>85</v>
      </c>
      <c r="E10" s="6">
        <v>79</v>
      </c>
      <c r="F10" s="6">
        <v>86</v>
      </c>
      <c r="G10" s="6">
        <v>80</v>
      </c>
      <c r="H10" s="6">
        <v>74</v>
      </c>
      <c r="I10" s="6">
        <v>66</v>
      </c>
      <c r="J10" s="6">
        <v>76</v>
      </c>
      <c r="K10" s="6">
        <v>84</v>
      </c>
      <c r="L10" s="6">
        <v>77</v>
      </c>
      <c r="M10" s="6">
        <v>80</v>
      </c>
      <c r="N10" s="7">
        <f t="shared" si="0"/>
        <v>941</v>
      </c>
    </row>
    <row r="11" spans="1:14" x14ac:dyDescent="0.25">
      <c r="A11" s="5" t="s">
        <v>23</v>
      </c>
      <c r="B11" s="6">
        <v>63</v>
      </c>
      <c r="C11" s="6">
        <v>56</v>
      </c>
      <c r="D11" s="6">
        <v>65</v>
      </c>
      <c r="E11" s="6">
        <v>62</v>
      </c>
      <c r="F11" s="6">
        <v>66</v>
      </c>
      <c r="G11" s="6">
        <v>74</v>
      </c>
      <c r="H11" s="6">
        <v>74</v>
      </c>
      <c r="I11" s="6">
        <v>73</v>
      </c>
      <c r="J11" s="6">
        <v>68</v>
      </c>
      <c r="K11" s="6">
        <v>66</v>
      </c>
      <c r="L11" s="6">
        <v>66</v>
      </c>
      <c r="M11" s="6">
        <v>73</v>
      </c>
      <c r="N11" s="7">
        <f t="shared" si="0"/>
        <v>806</v>
      </c>
    </row>
    <row r="12" spans="1:14" x14ac:dyDescent="0.25">
      <c r="A12" s="5" t="s">
        <v>24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7">
        <f t="shared" si="0"/>
        <v>0</v>
      </c>
    </row>
    <row r="13" spans="1:14" x14ac:dyDescent="0.25">
      <c r="A13" s="5" t="s">
        <v>25</v>
      </c>
      <c r="B13" s="6">
        <v>30</v>
      </c>
      <c r="C13" s="6">
        <v>30</v>
      </c>
      <c r="D13" s="6">
        <v>31</v>
      </c>
      <c r="E13" s="6">
        <v>34</v>
      </c>
      <c r="F13" s="6">
        <v>40</v>
      </c>
      <c r="G13" s="6">
        <v>39</v>
      </c>
      <c r="H13" s="6">
        <v>36</v>
      </c>
      <c r="I13" s="6">
        <v>40</v>
      </c>
      <c r="J13" s="6">
        <v>37</v>
      </c>
      <c r="K13" s="6">
        <v>38</v>
      </c>
      <c r="L13" s="6">
        <v>32</v>
      </c>
      <c r="M13" s="6">
        <v>31</v>
      </c>
      <c r="N13" s="7">
        <f t="shared" si="0"/>
        <v>418</v>
      </c>
    </row>
    <row r="14" spans="1:14" x14ac:dyDescent="0.25">
      <c r="A14" s="5" t="s">
        <v>26</v>
      </c>
      <c r="B14" s="6">
        <v>27</v>
      </c>
      <c r="C14" s="6">
        <v>33</v>
      </c>
      <c r="D14" s="6">
        <v>33</v>
      </c>
      <c r="E14" s="6">
        <v>31</v>
      </c>
      <c r="F14" s="6">
        <v>27</v>
      </c>
      <c r="G14" s="6">
        <v>29</v>
      </c>
      <c r="H14" s="6">
        <v>28</v>
      </c>
      <c r="I14" s="6">
        <v>31</v>
      </c>
      <c r="J14" s="6">
        <v>32</v>
      </c>
      <c r="K14" s="6">
        <v>33</v>
      </c>
      <c r="L14" s="6">
        <v>31</v>
      </c>
      <c r="M14" s="6">
        <v>28</v>
      </c>
      <c r="N14" s="7">
        <f t="shared" si="0"/>
        <v>363</v>
      </c>
    </row>
    <row r="15" spans="1:14" x14ac:dyDescent="0.25">
      <c r="A15" s="5" t="s">
        <v>27</v>
      </c>
      <c r="B15" s="6">
        <v>29</v>
      </c>
      <c r="C15" s="6">
        <v>27</v>
      </c>
      <c r="D15" s="6">
        <v>27</v>
      </c>
      <c r="E15" s="6">
        <v>26</v>
      </c>
      <c r="F15" s="6">
        <v>27</v>
      </c>
      <c r="G15" s="6">
        <v>34</v>
      </c>
      <c r="H15" s="6">
        <v>30</v>
      </c>
      <c r="I15" s="6">
        <v>34</v>
      </c>
      <c r="J15" s="6">
        <v>30</v>
      </c>
      <c r="K15" s="6">
        <v>28</v>
      </c>
      <c r="L15" s="6">
        <v>28</v>
      </c>
      <c r="M15" s="6">
        <v>30</v>
      </c>
      <c r="N15" s="7">
        <f t="shared" si="0"/>
        <v>350</v>
      </c>
    </row>
    <row r="16" spans="1:14" x14ac:dyDescent="0.25">
      <c r="A16" s="5" t="s">
        <v>28</v>
      </c>
      <c r="B16" s="6">
        <v>42</v>
      </c>
      <c r="C16" s="6">
        <v>38</v>
      </c>
      <c r="D16" s="6">
        <v>43</v>
      </c>
      <c r="E16" s="6">
        <v>34</v>
      </c>
      <c r="F16" s="6">
        <v>42</v>
      </c>
      <c r="G16" s="6">
        <v>36</v>
      </c>
      <c r="H16" s="6">
        <v>36</v>
      </c>
      <c r="I16" s="6">
        <v>44</v>
      </c>
      <c r="J16" s="6">
        <v>43</v>
      </c>
      <c r="K16" s="6">
        <v>37</v>
      </c>
      <c r="L16" s="6">
        <v>34</v>
      </c>
      <c r="M16" s="6">
        <v>43</v>
      </c>
      <c r="N16" s="7">
        <f t="shared" si="0"/>
        <v>472</v>
      </c>
    </row>
    <row r="17" spans="1:14" x14ac:dyDescent="0.25">
      <c r="A17" s="5" t="s">
        <v>29</v>
      </c>
      <c r="B17" s="6">
        <v>56</v>
      </c>
      <c r="C17" s="6">
        <v>44</v>
      </c>
      <c r="D17" s="6">
        <v>57</v>
      </c>
      <c r="E17" s="6">
        <v>54</v>
      </c>
      <c r="F17" s="6">
        <v>46</v>
      </c>
      <c r="G17" s="6">
        <v>43</v>
      </c>
      <c r="H17" s="6">
        <v>53</v>
      </c>
      <c r="I17" s="6">
        <v>48</v>
      </c>
      <c r="J17" s="6">
        <v>47</v>
      </c>
      <c r="K17" s="6">
        <v>57</v>
      </c>
      <c r="L17" s="6">
        <v>44</v>
      </c>
      <c r="M17" s="6">
        <v>48</v>
      </c>
      <c r="N17" s="7">
        <f t="shared" si="0"/>
        <v>597</v>
      </c>
    </row>
    <row r="18" spans="1:14" x14ac:dyDescent="0.25">
      <c r="A18" s="8" t="s">
        <v>30</v>
      </c>
      <c r="B18" s="9">
        <f t="shared" ref="B18:M18" si="1">SUM(B3:B17)</f>
        <v>3148</v>
      </c>
      <c r="C18" s="9">
        <f t="shared" si="1"/>
        <v>3366</v>
      </c>
      <c r="D18" s="9">
        <f t="shared" si="1"/>
        <v>3318</v>
      </c>
      <c r="E18" s="9">
        <f t="shared" si="1"/>
        <v>3556</v>
      </c>
      <c r="F18" s="9">
        <f t="shared" si="1"/>
        <v>3339</v>
      </c>
      <c r="G18" s="9">
        <f t="shared" si="1"/>
        <v>3219</v>
      </c>
      <c r="H18" s="9">
        <f t="shared" si="1"/>
        <v>3210</v>
      </c>
      <c r="I18" s="9">
        <f t="shared" si="1"/>
        <v>3519</v>
      </c>
      <c r="J18" s="9">
        <f t="shared" si="1"/>
        <v>3225</v>
      </c>
      <c r="K18" s="9">
        <f t="shared" si="1"/>
        <v>3428</v>
      </c>
      <c r="L18" s="9">
        <f t="shared" si="1"/>
        <v>3371</v>
      </c>
      <c r="M18" s="9">
        <f t="shared" si="1"/>
        <v>3325</v>
      </c>
      <c r="N18" s="9">
        <f t="shared" si="0"/>
        <v>40024</v>
      </c>
    </row>
    <row r="19" spans="1:14" x14ac:dyDescent="0.25">
      <c r="A19" s="8" t="s">
        <v>14</v>
      </c>
      <c r="B19" s="9">
        <f>N18</f>
        <v>40024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5">
      <c r="A20" s="8" t="s">
        <v>31</v>
      </c>
      <c r="B20" s="9">
        <f>B19/12</f>
        <v>3335.3333333333335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zoomScale="145" zoomScaleNormal="145" workbookViewId="0">
      <selection activeCell="A2" sqref="A2"/>
    </sheetView>
  </sheetViews>
  <sheetFormatPr defaultRowHeight="15" x14ac:dyDescent="0.25"/>
  <cols>
    <col min="1" max="1" width="35.85546875" bestFit="1" customWidth="1"/>
    <col min="2" max="2" width="39" customWidth="1"/>
  </cols>
  <sheetData>
    <row r="1" spans="1:2" ht="18" x14ac:dyDescent="0.25">
      <c r="A1" s="1" t="s">
        <v>32</v>
      </c>
      <c r="B1" s="2"/>
    </row>
    <row r="2" spans="1:2" x14ac:dyDescent="0.25">
      <c r="A2" s="20" t="s">
        <v>33</v>
      </c>
      <c r="B2" s="21"/>
    </row>
    <row r="3" spans="1:2" x14ac:dyDescent="0.25">
      <c r="A3" s="5" t="s">
        <v>34</v>
      </c>
      <c r="B3" s="10">
        <v>6</v>
      </c>
    </row>
    <row r="4" spans="1:2" x14ac:dyDescent="0.25">
      <c r="A4" s="5" t="s">
        <v>35</v>
      </c>
      <c r="B4" s="7">
        <f>'Monthly Expenses'!B20</f>
        <v>3335.3333333333335</v>
      </c>
    </row>
    <row r="5" spans="1:2" x14ac:dyDescent="0.25">
      <c r="A5" s="5" t="s">
        <v>36</v>
      </c>
      <c r="B5" s="7">
        <f>B3*B4</f>
        <v>20012</v>
      </c>
    </row>
    <row r="6" spans="1:2" x14ac:dyDescent="0.25">
      <c r="A6" s="20" t="s">
        <v>37</v>
      </c>
      <c r="B6" s="21"/>
    </row>
    <row r="7" spans="1:2" x14ac:dyDescent="0.25">
      <c r="A7" s="5" t="s">
        <v>38</v>
      </c>
      <c r="B7" s="11">
        <v>9200</v>
      </c>
    </row>
    <row r="8" spans="1:2" x14ac:dyDescent="0.25">
      <c r="A8" s="5" t="s">
        <v>39</v>
      </c>
      <c r="B8" s="11">
        <v>450</v>
      </c>
    </row>
    <row r="9" spans="1:2" x14ac:dyDescent="0.25">
      <c r="A9" s="5" t="s">
        <v>40</v>
      </c>
      <c r="B9" s="7">
        <f>MAX(0,B5-B7)</f>
        <v>10812</v>
      </c>
    </row>
    <row r="10" spans="1:2" x14ac:dyDescent="0.25">
      <c r="A10" s="5" t="s">
        <v>41</v>
      </c>
      <c r="B10" s="12">
        <f>IFERROR(IF(B9=0,0,B9/B8),0)</f>
        <v>24.026666666666667</v>
      </c>
    </row>
    <row r="11" spans="1:2" x14ac:dyDescent="0.25">
      <c r="A11" s="5" t="s">
        <v>42</v>
      </c>
      <c r="B11" s="13">
        <f ca="1">IF(B10=0,TODAY(),TODAY()+B10*30.44)</f>
        <v>46853.371733333333</v>
      </c>
    </row>
    <row r="12" spans="1:2" x14ac:dyDescent="0.25">
      <c r="A12" s="5" t="s">
        <v>43</v>
      </c>
      <c r="B12" s="22" t="str">
        <f>IF(B7&gt;=B5,"Fully Funded","Building")</f>
        <v>Building</v>
      </c>
    </row>
    <row r="13" spans="1:2" x14ac:dyDescent="0.25">
      <c r="A13" s="20" t="s">
        <v>44</v>
      </c>
      <c r="B13" s="21"/>
    </row>
    <row r="14" spans="1:2" x14ac:dyDescent="0.25">
      <c r="A14" s="5" t="s">
        <v>45</v>
      </c>
      <c r="B14" s="11">
        <v>200</v>
      </c>
    </row>
    <row r="15" spans="1:2" x14ac:dyDescent="0.25">
      <c r="A15" s="5" t="s">
        <v>46</v>
      </c>
      <c r="B15" s="7">
        <f>B8+B14</f>
        <v>650</v>
      </c>
    </row>
    <row r="16" spans="1:2" x14ac:dyDescent="0.25">
      <c r="A16" s="5" t="s">
        <v>47</v>
      </c>
      <c r="B16" s="12">
        <f>IFERROR(IF(B9=0,0,B9/B15),0)</f>
        <v>16.633846153846154</v>
      </c>
    </row>
    <row r="17" spans="1:2" x14ac:dyDescent="0.25">
      <c r="A17" s="5" t="s">
        <v>48</v>
      </c>
      <c r="B17" s="13">
        <f ca="1">IF(B16=0,TODAY(),TODAY()+B16*30.44)</f>
        <v>46628.33427692308</v>
      </c>
    </row>
    <row r="18" spans="1:2" x14ac:dyDescent="0.25">
      <c r="A18" s="5" t="s">
        <v>49</v>
      </c>
      <c r="B18" s="12">
        <f>MAX(0,B10-B16)</f>
        <v>7.3928205128205136</v>
      </c>
    </row>
  </sheetData>
  <conditionalFormatting sqref="B12">
    <cfRule type="cellIs" dxfId="4" priority="1" operator="equal">
      <formula>"Fully Funded"</formula>
    </cfRule>
    <cfRule type="cellIs" dxfId="3" priority="2" operator="equal">
      <formula>"Building"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showGridLines="0" zoomScale="130" zoomScaleNormal="130" workbookViewId="0">
      <selection activeCell="B6" sqref="B6"/>
    </sheetView>
  </sheetViews>
  <sheetFormatPr defaultRowHeight="15" x14ac:dyDescent="0.25"/>
  <cols>
    <col min="1" max="1" width="22.28515625" bestFit="1" customWidth="1"/>
    <col min="2" max="4" width="19.28515625" customWidth="1"/>
    <col min="5" max="5" width="8.42578125" bestFit="1" customWidth="1"/>
    <col min="6" max="6" width="14" bestFit="1" customWidth="1"/>
    <col min="7" max="7" width="11" bestFit="1" customWidth="1"/>
    <col min="8" max="8" width="27.28515625" customWidth="1"/>
    <col min="9" max="9" width="18.5703125" bestFit="1" customWidth="1"/>
    <col min="10" max="10" width="9.7109375" bestFit="1" customWidth="1"/>
  </cols>
  <sheetData>
    <row r="1" spans="1:10" ht="18" x14ac:dyDescent="0.25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51</v>
      </c>
      <c r="B2" s="4" t="s">
        <v>52</v>
      </c>
      <c r="C2" s="4" t="s">
        <v>38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43</v>
      </c>
    </row>
    <row r="3" spans="1:10" x14ac:dyDescent="0.25">
      <c r="A3" s="5" t="s">
        <v>59</v>
      </c>
      <c r="B3" s="11">
        <v>4500</v>
      </c>
      <c r="C3" s="11">
        <v>1800</v>
      </c>
      <c r="D3" s="11">
        <v>200</v>
      </c>
      <c r="E3" s="5">
        <v>2</v>
      </c>
      <c r="F3" s="12">
        <f t="shared" ref="F3:F8" si="0">IFERROR(IF(C3&gt;=B3,0,(B3-C3)/D3),0)</f>
        <v>13.5</v>
      </c>
      <c r="G3" s="13">
        <f t="shared" ref="G3:G8" ca="1" si="1">IF(F3=0,TODAY(),TODAY()+F3*30.44)</f>
        <v>46532.94</v>
      </c>
      <c r="H3" s="12">
        <f>IFERROR(IF(C3&gt;=B3,0,(B3-C3)/(D3+'Emergency Fund'!$B$8)),0)</f>
        <v>4.1538461538461542</v>
      </c>
      <c r="I3" s="13">
        <f t="shared" ref="I3:I8" ca="1" si="2">IF(H3=0,TODAY(),TODAY()+H3*30.44)</f>
        <v>46248.443076923075</v>
      </c>
      <c r="J3" s="5" t="str">
        <f t="shared" ref="J3:J8" si="3">IF(C3&gt;=B3,"Reached",IF(F3&lt;120,"On Track","Behind"))</f>
        <v>On Track</v>
      </c>
    </row>
    <row r="4" spans="1:10" x14ac:dyDescent="0.25">
      <c r="A4" s="5" t="s">
        <v>60</v>
      </c>
      <c r="B4" s="11">
        <v>50000</v>
      </c>
      <c r="C4" s="11">
        <v>8500</v>
      </c>
      <c r="D4" s="11">
        <v>600</v>
      </c>
      <c r="E4" s="5">
        <v>1</v>
      </c>
      <c r="F4" s="12">
        <f t="shared" si="0"/>
        <v>69.166666666666671</v>
      </c>
      <c r="G4" s="13">
        <f t="shared" ca="1" si="1"/>
        <v>48227.433333333334</v>
      </c>
      <c r="H4" s="12">
        <f>IFERROR(IF(C4&gt;=B4,0,(B4-C4)/(D4+'Emergency Fund'!$B$8)),0)</f>
        <v>39.523809523809526</v>
      </c>
      <c r="I4" s="13">
        <f t="shared" ca="1" si="2"/>
        <v>47325.10476190476</v>
      </c>
      <c r="J4" s="5" t="str">
        <f t="shared" si="3"/>
        <v>On Track</v>
      </c>
    </row>
    <row r="5" spans="1:10" x14ac:dyDescent="0.25">
      <c r="A5" s="5" t="s">
        <v>61</v>
      </c>
      <c r="B5" s="11">
        <v>12000</v>
      </c>
      <c r="C5" s="11">
        <v>3200</v>
      </c>
      <c r="D5" s="11">
        <v>250</v>
      </c>
      <c r="E5" s="5">
        <v>3</v>
      </c>
      <c r="F5" s="12">
        <f t="shared" si="0"/>
        <v>35.200000000000003</v>
      </c>
      <c r="G5" s="13">
        <f t="shared" ca="1" si="1"/>
        <v>47193.487999999998</v>
      </c>
      <c r="H5" s="12">
        <f>IFERROR(IF(C5&gt;=B5,0,(B5-C5)/(D5+'Emergency Fund'!$B$8)),0)</f>
        <v>12.571428571428571</v>
      </c>
      <c r="I5" s="13">
        <f t="shared" ca="1" si="2"/>
        <v>46504.674285714289</v>
      </c>
      <c r="J5" s="5" t="str">
        <f t="shared" si="3"/>
        <v>On Track</v>
      </c>
    </row>
    <row r="6" spans="1:10" x14ac:dyDescent="0.25">
      <c r="A6" s="5" t="s">
        <v>62</v>
      </c>
      <c r="B6" s="11">
        <v>18000</v>
      </c>
      <c r="C6" s="11">
        <v>2000</v>
      </c>
      <c r="D6" s="11">
        <v>350</v>
      </c>
      <c r="E6" s="5">
        <v>4</v>
      </c>
      <c r="F6" s="12">
        <f t="shared" si="0"/>
        <v>45.714285714285715</v>
      </c>
      <c r="G6" s="13">
        <f t="shared" ca="1" si="1"/>
        <v>47513.542857142857</v>
      </c>
      <c r="H6" s="12">
        <f>IFERROR(IF(C6&gt;=B6,0,(B6-C6)/(D6+'Emergency Fund'!$B$8)),0)</f>
        <v>20</v>
      </c>
      <c r="I6" s="13">
        <f t="shared" ca="1" si="2"/>
        <v>46730.8</v>
      </c>
      <c r="J6" s="5" t="str">
        <f t="shared" si="3"/>
        <v>On Track</v>
      </c>
    </row>
    <row r="7" spans="1:10" x14ac:dyDescent="0.25">
      <c r="A7" s="5" t="s">
        <v>63</v>
      </c>
      <c r="B7" s="11">
        <v>8000</v>
      </c>
      <c r="C7" s="11">
        <v>1200</v>
      </c>
      <c r="D7" s="11">
        <v>150</v>
      </c>
      <c r="E7" s="5">
        <v>5</v>
      </c>
      <c r="F7" s="12">
        <f t="shared" si="0"/>
        <v>45.333333333333336</v>
      </c>
      <c r="G7" s="13">
        <f t="shared" ca="1" si="1"/>
        <v>47501.94666666667</v>
      </c>
      <c r="H7" s="12">
        <f>IFERROR(IF(C7&gt;=B7,0,(B7-C7)/(D7+'Emergency Fund'!$B$8)),0)</f>
        <v>11.333333333333334</v>
      </c>
      <c r="I7" s="13">
        <f t="shared" ca="1" si="2"/>
        <v>46466.986666666664</v>
      </c>
      <c r="J7" s="5" t="str">
        <f t="shared" si="3"/>
        <v>On Track</v>
      </c>
    </row>
    <row r="8" spans="1:10" x14ac:dyDescent="0.25">
      <c r="A8" s="5" t="s">
        <v>64</v>
      </c>
      <c r="B8" s="11">
        <v>25000</v>
      </c>
      <c r="C8" s="11">
        <v>4000</v>
      </c>
      <c r="D8" s="11">
        <v>300</v>
      </c>
      <c r="E8" s="5">
        <v>3</v>
      </c>
      <c r="F8" s="12">
        <f t="shared" si="0"/>
        <v>70</v>
      </c>
      <c r="G8" s="13">
        <f t="shared" ca="1" si="1"/>
        <v>48252.800000000003</v>
      </c>
      <c r="H8" s="12">
        <f>IFERROR(IF(C8&gt;=B8,0,(B8-C8)/(D8+'Emergency Fund'!$B$8)),0)</f>
        <v>28</v>
      </c>
      <c r="I8" s="13">
        <f t="shared" ca="1" si="2"/>
        <v>46974.32</v>
      </c>
      <c r="J8" s="5" t="str">
        <f t="shared" si="3"/>
        <v>On Track</v>
      </c>
    </row>
  </sheetData>
  <conditionalFormatting sqref="J3:J8">
    <cfRule type="cellIs" dxfId="2" priority="1" operator="equal">
      <formula>"Reached"</formula>
    </cfRule>
    <cfRule type="cellIs" dxfId="1" priority="2" operator="equal">
      <formula>"On Track"</formula>
    </cfRule>
    <cfRule type="cellIs" dxfId="0" priority="3" operator="equal">
      <formula>"Behind"</formula>
    </cfRule>
  </conditionalFormatting>
  <dataValidations count="1">
    <dataValidation type="list" sqref="E3 E4 E5 E6 E7 E8" xr:uid="{00000000-0002-0000-0200-000000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showGridLines="0" workbookViewId="0">
      <selection activeCell="E52" sqref="E52"/>
    </sheetView>
  </sheetViews>
  <sheetFormatPr defaultRowHeight="15" x14ac:dyDescent="0.25"/>
  <cols>
    <col min="1" max="1" width="26" customWidth="1"/>
    <col min="2" max="2" width="16" customWidth="1"/>
    <col min="3" max="3" width="14" customWidth="1"/>
    <col min="4" max="4" width="20" customWidth="1"/>
    <col min="5" max="6" width="14" customWidth="1"/>
    <col min="7" max="8" width="17" customWidth="1"/>
    <col min="9" max="10" width="15" customWidth="1"/>
    <col min="11" max="11" width="10" customWidth="1"/>
  </cols>
  <sheetData>
    <row r="1" spans="1:11" ht="18" x14ac:dyDescent="0.25">
      <c r="A1" s="1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66</v>
      </c>
      <c r="B2" s="4" t="s">
        <v>67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68</v>
      </c>
      <c r="J2" s="4" t="s">
        <v>69</v>
      </c>
      <c r="K2" s="4" t="s">
        <v>70</v>
      </c>
    </row>
    <row r="3" spans="1:11" x14ac:dyDescent="0.25">
      <c r="A3" s="5" t="s">
        <v>2</v>
      </c>
      <c r="B3" s="11">
        <v>491</v>
      </c>
      <c r="C3" s="11">
        <v>186</v>
      </c>
      <c r="D3" s="11">
        <v>594</v>
      </c>
      <c r="E3" s="11">
        <v>234</v>
      </c>
      <c r="F3" s="11">
        <v>336</v>
      </c>
      <c r="G3" s="11">
        <v>134</v>
      </c>
      <c r="H3" s="11">
        <v>310</v>
      </c>
      <c r="I3" s="7">
        <f t="shared" ref="I3:I14" si="0">SUM(B3:H3)</f>
        <v>2285</v>
      </c>
      <c r="J3" s="7">
        <v>2300</v>
      </c>
      <c r="K3" s="7">
        <f t="shared" ref="K3:K14" si="1">I3-J3</f>
        <v>-15</v>
      </c>
    </row>
    <row r="4" spans="1:11" x14ac:dyDescent="0.25">
      <c r="A4" s="5" t="s">
        <v>3</v>
      </c>
      <c r="B4" s="11">
        <v>430</v>
      </c>
      <c r="C4" s="11">
        <v>225</v>
      </c>
      <c r="D4" s="11">
        <v>595</v>
      </c>
      <c r="E4" s="11">
        <v>245</v>
      </c>
      <c r="F4" s="11">
        <v>351</v>
      </c>
      <c r="G4" s="11">
        <v>161</v>
      </c>
      <c r="H4" s="11">
        <v>309</v>
      </c>
      <c r="I4" s="7">
        <f t="shared" si="0"/>
        <v>2316</v>
      </c>
      <c r="J4" s="7">
        <v>2300</v>
      </c>
      <c r="K4" s="7">
        <f t="shared" si="1"/>
        <v>16</v>
      </c>
    </row>
    <row r="5" spans="1:11" x14ac:dyDescent="0.25">
      <c r="A5" s="5" t="s">
        <v>4</v>
      </c>
      <c r="B5" s="11">
        <v>460</v>
      </c>
      <c r="C5" s="11">
        <v>202</v>
      </c>
      <c r="D5" s="11">
        <v>625</v>
      </c>
      <c r="E5" s="11">
        <v>242</v>
      </c>
      <c r="F5" s="11">
        <v>349</v>
      </c>
      <c r="G5" s="11">
        <v>165</v>
      </c>
      <c r="H5" s="11">
        <v>283</v>
      </c>
      <c r="I5" s="7">
        <f t="shared" si="0"/>
        <v>2326</v>
      </c>
      <c r="J5" s="7">
        <v>2300</v>
      </c>
      <c r="K5" s="7">
        <f t="shared" si="1"/>
        <v>26</v>
      </c>
    </row>
    <row r="6" spans="1:11" x14ac:dyDescent="0.25">
      <c r="A6" s="5" t="s">
        <v>5</v>
      </c>
      <c r="B6" s="11">
        <v>442</v>
      </c>
      <c r="C6" s="11">
        <v>211</v>
      </c>
      <c r="D6" s="11">
        <v>598</v>
      </c>
      <c r="E6" s="11">
        <v>258</v>
      </c>
      <c r="F6" s="11">
        <v>335</v>
      </c>
      <c r="G6" s="11">
        <v>180</v>
      </c>
      <c r="H6" s="11">
        <v>284</v>
      </c>
      <c r="I6" s="7">
        <f t="shared" si="0"/>
        <v>2308</v>
      </c>
      <c r="J6" s="7">
        <v>2300</v>
      </c>
      <c r="K6" s="7">
        <f t="shared" si="1"/>
        <v>8</v>
      </c>
    </row>
    <row r="7" spans="1:11" x14ac:dyDescent="0.25">
      <c r="A7" s="5" t="s">
        <v>6</v>
      </c>
      <c r="B7" s="11">
        <v>478</v>
      </c>
      <c r="C7" s="11">
        <v>195</v>
      </c>
      <c r="D7" s="11">
        <v>606</v>
      </c>
      <c r="E7" s="11">
        <v>271</v>
      </c>
      <c r="F7" s="11">
        <v>375</v>
      </c>
      <c r="G7" s="11">
        <v>177</v>
      </c>
      <c r="H7" s="11">
        <v>327</v>
      </c>
      <c r="I7" s="7">
        <f t="shared" si="0"/>
        <v>2429</v>
      </c>
      <c r="J7" s="7">
        <v>2300</v>
      </c>
      <c r="K7" s="7">
        <f t="shared" si="1"/>
        <v>129</v>
      </c>
    </row>
    <row r="8" spans="1:11" x14ac:dyDescent="0.25">
      <c r="A8" s="5" t="s">
        <v>7</v>
      </c>
      <c r="B8" s="11">
        <v>437</v>
      </c>
      <c r="C8" s="11">
        <v>181</v>
      </c>
      <c r="D8" s="11">
        <v>625</v>
      </c>
      <c r="E8" s="11">
        <v>270</v>
      </c>
      <c r="F8" s="11">
        <v>332</v>
      </c>
      <c r="G8" s="11">
        <v>179</v>
      </c>
      <c r="H8" s="11">
        <v>312</v>
      </c>
      <c r="I8" s="7">
        <f t="shared" si="0"/>
        <v>2336</v>
      </c>
      <c r="J8" s="7">
        <v>2300</v>
      </c>
      <c r="K8" s="7">
        <f t="shared" si="1"/>
        <v>36</v>
      </c>
    </row>
    <row r="9" spans="1:11" x14ac:dyDescent="0.25">
      <c r="A9" s="5" t="s">
        <v>8</v>
      </c>
      <c r="B9" s="11">
        <v>421</v>
      </c>
      <c r="C9" s="11">
        <v>227</v>
      </c>
      <c r="D9" s="11">
        <v>598</v>
      </c>
      <c r="E9" s="11">
        <v>275</v>
      </c>
      <c r="F9" s="11">
        <v>340</v>
      </c>
      <c r="G9" s="11">
        <v>154</v>
      </c>
      <c r="H9" s="11">
        <v>287</v>
      </c>
      <c r="I9" s="7">
        <f t="shared" si="0"/>
        <v>2302</v>
      </c>
      <c r="J9" s="7">
        <v>2300</v>
      </c>
      <c r="K9" s="7">
        <f t="shared" si="1"/>
        <v>2</v>
      </c>
    </row>
    <row r="10" spans="1:11" x14ac:dyDescent="0.25">
      <c r="A10" s="5" t="s">
        <v>9</v>
      </c>
      <c r="B10" s="11">
        <v>494</v>
      </c>
      <c r="C10" s="11">
        <v>191</v>
      </c>
      <c r="D10" s="11">
        <v>591</v>
      </c>
      <c r="E10" s="11">
        <v>251</v>
      </c>
      <c r="F10" s="11">
        <v>343</v>
      </c>
      <c r="G10" s="11">
        <v>130</v>
      </c>
      <c r="H10" s="11">
        <v>303</v>
      </c>
      <c r="I10" s="7">
        <f t="shared" si="0"/>
        <v>2303</v>
      </c>
      <c r="J10" s="7">
        <v>2300</v>
      </c>
      <c r="K10" s="7">
        <f t="shared" si="1"/>
        <v>3</v>
      </c>
    </row>
    <row r="11" spans="1:11" x14ac:dyDescent="0.25">
      <c r="A11" s="5" t="s">
        <v>10</v>
      </c>
      <c r="B11" s="11">
        <v>462</v>
      </c>
      <c r="C11" s="11">
        <v>211</v>
      </c>
      <c r="D11" s="11">
        <v>582</v>
      </c>
      <c r="E11" s="11">
        <v>280</v>
      </c>
      <c r="F11" s="11">
        <v>347</v>
      </c>
      <c r="G11" s="11">
        <v>144</v>
      </c>
      <c r="H11" s="11">
        <v>319</v>
      </c>
      <c r="I11" s="7">
        <f t="shared" si="0"/>
        <v>2345</v>
      </c>
      <c r="J11" s="7">
        <v>2300</v>
      </c>
      <c r="K11" s="7">
        <f t="shared" si="1"/>
        <v>45</v>
      </c>
    </row>
    <row r="12" spans="1:11" x14ac:dyDescent="0.25">
      <c r="A12" s="5" t="s">
        <v>11</v>
      </c>
      <c r="B12" s="11">
        <v>470</v>
      </c>
      <c r="C12" s="11">
        <v>199</v>
      </c>
      <c r="D12" s="11">
        <v>582</v>
      </c>
      <c r="E12" s="11">
        <v>242</v>
      </c>
      <c r="F12" s="11">
        <v>369</v>
      </c>
      <c r="G12" s="11">
        <v>160</v>
      </c>
      <c r="H12" s="11">
        <v>318</v>
      </c>
      <c r="I12" s="7">
        <f t="shared" si="0"/>
        <v>2340</v>
      </c>
      <c r="J12" s="7">
        <v>2300</v>
      </c>
      <c r="K12" s="7">
        <f t="shared" si="1"/>
        <v>40</v>
      </c>
    </row>
    <row r="13" spans="1:11" x14ac:dyDescent="0.25">
      <c r="A13" s="5" t="s">
        <v>12</v>
      </c>
      <c r="B13" s="11">
        <v>422</v>
      </c>
      <c r="C13" s="11">
        <v>210</v>
      </c>
      <c r="D13" s="11">
        <v>590</v>
      </c>
      <c r="E13" s="11">
        <v>249</v>
      </c>
      <c r="F13" s="11">
        <v>361</v>
      </c>
      <c r="G13" s="11">
        <v>158</v>
      </c>
      <c r="H13" s="11">
        <v>286</v>
      </c>
      <c r="I13" s="7">
        <f t="shared" si="0"/>
        <v>2276</v>
      </c>
      <c r="J13" s="7">
        <v>2300</v>
      </c>
      <c r="K13" s="7">
        <f t="shared" si="1"/>
        <v>-24</v>
      </c>
    </row>
    <row r="14" spans="1:11" x14ac:dyDescent="0.25">
      <c r="A14" s="5" t="s">
        <v>13</v>
      </c>
      <c r="B14" s="11">
        <v>480</v>
      </c>
      <c r="C14" s="11">
        <v>215</v>
      </c>
      <c r="D14" s="11">
        <v>583</v>
      </c>
      <c r="E14" s="11">
        <v>242</v>
      </c>
      <c r="F14" s="11">
        <v>354</v>
      </c>
      <c r="G14" s="11">
        <v>156</v>
      </c>
      <c r="H14" s="11">
        <v>287</v>
      </c>
      <c r="I14" s="7">
        <f t="shared" si="0"/>
        <v>2317</v>
      </c>
      <c r="J14" s="7">
        <v>2300</v>
      </c>
      <c r="K14" s="7">
        <f t="shared" si="1"/>
        <v>17</v>
      </c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0" t="s">
        <v>71</v>
      </c>
      <c r="B17" s="23">
        <f t="shared" ref="B17:H17" si="2">SUM(B3:B14)</f>
        <v>5487</v>
      </c>
      <c r="C17" s="23">
        <f t="shared" si="2"/>
        <v>2453</v>
      </c>
      <c r="D17" s="23">
        <f t="shared" si="2"/>
        <v>7169</v>
      </c>
      <c r="E17" s="23">
        <f t="shared" si="2"/>
        <v>3059</v>
      </c>
      <c r="F17" s="23">
        <f t="shared" si="2"/>
        <v>4192</v>
      </c>
      <c r="G17" s="23">
        <f t="shared" si="2"/>
        <v>1898</v>
      </c>
      <c r="H17" s="23">
        <f t="shared" si="2"/>
        <v>3625</v>
      </c>
      <c r="I17" s="2"/>
      <c r="J17" s="2"/>
      <c r="K17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showGridLines="0" workbookViewId="0"/>
  </sheetViews>
  <sheetFormatPr defaultRowHeight="15" x14ac:dyDescent="0.25"/>
  <cols>
    <col min="1" max="1" width="30" customWidth="1"/>
    <col min="2" max="2" width="19" customWidth="1"/>
    <col min="3" max="16" width="40" customWidth="1"/>
  </cols>
  <sheetData>
    <row r="1" spans="1:16" ht="18" x14ac:dyDescent="0.25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4" t="s">
        <v>73</v>
      </c>
      <c r="B2" s="4" t="s">
        <v>74</v>
      </c>
      <c r="C2" s="4" t="s">
        <v>75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15" t="s">
        <v>76</v>
      </c>
      <c r="K2" s="15" t="s">
        <v>77</v>
      </c>
      <c r="L2" s="15" t="s">
        <v>78</v>
      </c>
      <c r="M2" s="15" t="s">
        <v>79</v>
      </c>
      <c r="N2" s="15" t="s">
        <v>80</v>
      </c>
      <c r="O2" s="15" t="s">
        <v>81</v>
      </c>
      <c r="P2" s="15" t="s">
        <v>82</v>
      </c>
    </row>
    <row r="3" spans="1:16" x14ac:dyDescent="0.25">
      <c r="A3" s="5">
        <v>1</v>
      </c>
      <c r="B3" s="13">
        <f ca="1">TODAY()+0*30.44</f>
        <v>46122</v>
      </c>
      <c r="C3" s="7">
        <f>MIN('Emergency Fund'!$B$5,'Emergency Fund'!$B$7+'Emergency Fund'!$B$8*1)</f>
        <v>9650</v>
      </c>
      <c r="D3" s="7">
        <f>MIN(Goals!$B$3,Goals!$C$3+Goals!$D$3*1)</f>
        <v>2000</v>
      </c>
      <c r="E3" s="7">
        <f>MIN(Goals!$B$4,Goals!$C$4+Goals!$D$4*1)</f>
        <v>9100</v>
      </c>
      <c r="F3" s="7">
        <f>MIN(Goals!$B$5,Goals!$C$5+Goals!$D$5*1)</f>
        <v>3450</v>
      </c>
      <c r="G3" s="7">
        <f>MIN(Goals!$B$6,Goals!$C$6+Goals!$D$6*1)</f>
        <v>2350</v>
      </c>
      <c r="H3" s="7">
        <f>MIN(Goals!$B$7,Goals!$C$7+Goals!$D$7*1)</f>
        <v>1350</v>
      </c>
      <c r="I3" s="7">
        <f>MIN(Goals!$B$8,Goals!$C$8+Goals!$D$8*1)</f>
        <v>4300</v>
      </c>
      <c r="J3" s="7">
        <f>MIN('Emergency Fund'!$B$5,'Emergency Fund'!$B$7+'Emergency Fund'!$B$15*1)</f>
        <v>9850</v>
      </c>
      <c r="K3" s="7">
        <f>MIN(Goals!$B$3,Goals!$C$3+(Goals!$D$3+'Emergency Fund'!$B$14/6)*1)</f>
        <v>2033.3333333333333</v>
      </c>
      <c r="L3" s="7">
        <f>MIN(Goals!$B$4,Goals!$C$4+(Goals!$D$4+'Emergency Fund'!$B$14/6)*1)</f>
        <v>9133.3333333333339</v>
      </c>
      <c r="M3" s="7">
        <f>MIN(Goals!$B$5,Goals!$C$5+(Goals!$D$5+'Emergency Fund'!$B$14/6)*1)</f>
        <v>3483.3333333333335</v>
      </c>
      <c r="N3" s="7">
        <f>MIN(Goals!$B$6,Goals!$C$6+(Goals!$D$6+'Emergency Fund'!$B$14/6)*1)</f>
        <v>2383.3333333333335</v>
      </c>
      <c r="O3" s="7">
        <f>MIN(Goals!$B$7,Goals!$C$7+(Goals!$D$7+'Emergency Fund'!$B$14/6)*1)</f>
        <v>1383.3333333333333</v>
      </c>
      <c r="P3" s="7">
        <f>MIN(Goals!$B$8,Goals!$C$8+(Goals!$D$8+'Emergency Fund'!$B$14/6)*1)</f>
        <v>4333.333333333333</v>
      </c>
    </row>
    <row r="4" spans="1:16" x14ac:dyDescent="0.25">
      <c r="A4" s="5">
        <v>2</v>
      </c>
      <c r="B4" s="13">
        <f ca="1">TODAY()+1*30.44</f>
        <v>46152.44</v>
      </c>
      <c r="C4" s="7">
        <f>MIN('Emergency Fund'!$B$5,'Emergency Fund'!$B$7+'Emergency Fund'!$B$8*2)</f>
        <v>10100</v>
      </c>
      <c r="D4" s="7">
        <f>MIN(Goals!$B$3,Goals!$C$3+Goals!$D$3*2)</f>
        <v>2200</v>
      </c>
      <c r="E4" s="7">
        <f>MIN(Goals!$B$4,Goals!$C$4+Goals!$D$4*2)</f>
        <v>9700</v>
      </c>
      <c r="F4" s="7">
        <f>MIN(Goals!$B$5,Goals!$C$5+Goals!$D$5*2)</f>
        <v>3700</v>
      </c>
      <c r="G4" s="7">
        <f>MIN(Goals!$B$6,Goals!$C$6+Goals!$D$6*2)</f>
        <v>2700</v>
      </c>
      <c r="H4" s="7">
        <f>MIN(Goals!$B$7,Goals!$C$7+Goals!$D$7*2)</f>
        <v>1500</v>
      </c>
      <c r="I4" s="7">
        <f>MIN(Goals!$B$8,Goals!$C$8+Goals!$D$8*2)</f>
        <v>4600</v>
      </c>
      <c r="J4" s="7">
        <f>MIN('Emergency Fund'!$B$5,'Emergency Fund'!$B$7+'Emergency Fund'!$B$15*2)</f>
        <v>10500</v>
      </c>
      <c r="K4" s="7">
        <f>MIN(Goals!$B$3,Goals!$C$3+(Goals!$D$3+'Emergency Fund'!$B$14/6)*2)</f>
        <v>2266.6666666666665</v>
      </c>
      <c r="L4" s="7">
        <f>MIN(Goals!$B$4,Goals!$C$4+(Goals!$D$4+'Emergency Fund'!$B$14/6)*2)</f>
        <v>9766.6666666666661</v>
      </c>
      <c r="M4" s="7">
        <f>MIN(Goals!$B$5,Goals!$C$5+(Goals!$D$5+'Emergency Fund'!$B$14/6)*2)</f>
        <v>3766.6666666666665</v>
      </c>
      <c r="N4" s="7">
        <f>MIN(Goals!$B$6,Goals!$C$6+(Goals!$D$6+'Emergency Fund'!$B$14/6)*2)</f>
        <v>2766.6666666666665</v>
      </c>
      <c r="O4" s="7">
        <f>MIN(Goals!$B$7,Goals!$C$7+(Goals!$D$7+'Emergency Fund'!$B$14/6)*2)</f>
        <v>1566.6666666666667</v>
      </c>
      <c r="P4" s="7">
        <f>MIN(Goals!$B$8,Goals!$C$8+(Goals!$D$8+'Emergency Fund'!$B$14/6)*2)</f>
        <v>4666.666666666667</v>
      </c>
    </row>
    <row r="5" spans="1:16" x14ac:dyDescent="0.25">
      <c r="A5" s="5">
        <v>3</v>
      </c>
      <c r="B5" s="13">
        <f ca="1">TODAY()+2*30.44</f>
        <v>46182.879999999997</v>
      </c>
      <c r="C5" s="7">
        <f>MIN('Emergency Fund'!$B$5,'Emergency Fund'!$B$7+'Emergency Fund'!$B$8*3)</f>
        <v>10550</v>
      </c>
      <c r="D5" s="7">
        <f>MIN(Goals!$B$3,Goals!$C$3+Goals!$D$3*3)</f>
        <v>2400</v>
      </c>
      <c r="E5" s="7">
        <f>MIN(Goals!$B$4,Goals!$C$4+Goals!$D$4*3)</f>
        <v>10300</v>
      </c>
      <c r="F5" s="7">
        <f>MIN(Goals!$B$5,Goals!$C$5+Goals!$D$5*3)</f>
        <v>3950</v>
      </c>
      <c r="G5" s="7">
        <f>MIN(Goals!$B$6,Goals!$C$6+Goals!$D$6*3)</f>
        <v>3050</v>
      </c>
      <c r="H5" s="7">
        <f>MIN(Goals!$B$7,Goals!$C$7+Goals!$D$7*3)</f>
        <v>1650</v>
      </c>
      <c r="I5" s="7">
        <f>MIN(Goals!$B$8,Goals!$C$8+Goals!$D$8*3)</f>
        <v>4900</v>
      </c>
      <c r="J5" s="7">
        <f>MIN('Emergency Fund'!$B$5,'Emergency Fund'!$B$7+'Emergency Fund'!$B$15*3)</f>
        <v>11150</v>
      </c>
      <c r="K5" s="7">
        <f>MIN(Goals!$B$3,Goals!$C$3+(Goals!$D$3+'Emergency Fund'!$B$14/6)*3)</f>
        <v>2500</v>
      </c>
      <c r="L5" s="7">
        <f>MIN(Goals!$B$4,Goals!$C$4+(Goals!$D$4+'Emergency Fund'!$B$14/6)*3)</f>
        <v>10400</v>
      </c>
      <c r="M5" s="7">
        <f>MIN(Goals!$B$5,Goals!$C$5+(Goals!$D$5+'Emergency Fund'!$B$14/6)*3)</f>
        <v>4050</v>
      </c>
      <c r="N5" s="7">
        <f>MIN(Goals!$B$6,Goals!$C$6+(Goals!$D$6+'Emergency Fund'!$B$14/6)*3)</f>
        <v>3150</v>
      </c>
      <c r="O5" s="7">
        <f>MIN(Goals!$B$7,Goals!$C$7+(Goals!$D$7+'Emergency Fund'!$B$14/6)*3)</f>
        <v>1750</v>
      </c>
      <c r="P5" s="7">
        <f>MIN(Goals!$B$8,Goals!$C$8+(Goals!$D$8+'Emergency Fund'!$B$14/6)*3)</f>
        <v>5000</v>
      </c>
    </row>
    <row r="6" spans="1:16" x14ac:dyDescent="0.25">
      <c r="A6" s="5">
        <v>4</v>
      </c>
      <c r="B6" s="13">
        <f ca="1">TODAY()+3*30.44</f>
        <v>46213.32</v>
      </c>
      <c r="C6" s="7">
        <f>MIN('Emergency Fund'!$B$5,'Emergency Fund'!$B$7+'Emergency Fund'!$B$8*4)</f>
        <v>11000</v>
      </c>
      <c r="D6" s="7">
        <f>MIN(Goals!$B$3,Goals!$C$3+Goals!$D$3*4)</f>
        <v>2600</v>
      </c>
      <c r="E6" s="7">
        <f>MIN(Goals!$B$4,Goals!$C$4+Goals!$D$4*4)</f>
        <v>10900</v>
      </c>
      <c r="F6" s="7">
        <f>MIN(Goals!$B$5,Goals!$C$5+Goals!$D$5*4)</f>
        <v>4200</v>
      </c>
      <c r="G6" s="7">
        <f>MIN(Goals!$B$6,Goals!$C$6+Goals!$D$6*4)</f>
        <v>3400</v>
      </c>
      <c r="H6" s="7">
        <f>MIN(Goals!$B$7,Goals!$C$7+Goals!$D$7*4)</f>
        <v>1800</v>
      </c>
      <c r="I6" s="7">
        <f>MIN(Goals!$B$8,Goals!$C$8+Goals!$D$8*4)</f>
        <v>5200</v>
      </c>
      <c r="J6" s="7">
        <f>MIN('Emergency Fund'!$B$5,'Emergency Fund'!$B$7+'Emergency Fund'!$B$15*4)</f>
        <v>11800</v>
      </c>
      <c r="K6" s="7">
        <f>MIN(Goals!$B$3,Goals!$C$3+(Goals!$D$3+'Emergency Fund'!$B$14/6)*4)</f>
        <v>2733.3333333333335</v>
      </c>
      <c r="L6" s="7">
        <f>MIN(Goals!$B$4,Goals!$C$4+(Goals!$D$4+'Emergency Fund'!$B$14/6)*4)</f>
        <v>11033.333333333334</v>
      </c>
      <c r="M6" s="7">
        <f>MIN(Goals!$B$5,Goals!$C$5+(Goals!$D$5+'Emergency Fund'!$B$14/6)*4)</f>
        <v>4333.333333333333</v>
      </c>
      <c r="N6" s="7">
        <f>MIN(Goals!$B$6,Goals!$C$6+(Goals!$D$6+'Emergency Fund'!$B$14/6)*4)</f>
        <v>3533.333333333333</v>
      </c>
      <c r="O6" s="7">
        <f>MIN(Goals!$B$7,Goals!$C$7+(Goals!$D$7+'Emergency Fund'!$B$14/6)*4)</f>
        <v>1933.3333333333335</v>
      </c>
      <c r="P6" s="7">
        <f>MIN(Goals!$B$8,Goals!$C$8+(Goals!$D$8+'Emergency Fund'!$B$14/6)*4)</f>
        <v>5333.333333333333</v>
      </c>
    </row>
    <row r="7" spans="1:16" x14ac:dyDescent="0.25">
      <c r="A7" s="5">
        <v>5</v>
      </c>
      <c r="B7" s="13">
        <f ca="1">TODAY()+4*30.44</f>
        <v>46243.76</v>
      </c>
      <c r="C7" s="7">
        <f>MIN('Emergency Fund'!$B$5,'Emergency Fund'!$B$7+'Emergency Fund'!$B$8*5)</f>
        <v>11450</v>
      </c>
      <c r="D7" s="7">
        <f>MIN(Goals!$B$3,Goals!$C$3+Goals!$D$3*5)</f>
        <v>2800</v>
      </c>
      <c r="E7" s="7">
        <f>MIN(Goals!$B$4,Goals!$C$4+Goals!$D$4*5)</f>
        <v>11500</v>
      </c>
      <c r="F7" s="7">
        <f>MIN(Goals!$B$5,Goals!$C$5+Goals!$D$5*5)</f>
        <v>4450</v>
      </c>
      <c r="G7" s="7">
        <f>MIN(Goals!$B$6,Goals!$C$6+Goals!$D$6*5)</f>
        <v>3750</v>
      </c>
      <c r="H7" s="7">
        <f>MIN(Goals!$B$7,Goals!$C$7+Goals!$D$7*5)</f>
        <v>1950</v>
      </c>
      <c r="I7" s="7">
        <f>MIN(Goals!$B$8,Goals!$C$8+Goals!$D$8*5)</f>
        <v>5500</v>
      </c>
      <c r="J7" s="7">
        <f>MIN('Emergency Fund'!$B$5,'Emergency Fund'!$B$7+'Emergency Fund'!$B$15*5)</f>
        <v>12450</v>
      </c>
      <c r="K7" s="7">
        <f>MIN(Goals!$B$3,Goals!$C$3+(Goals!$D$3+'Emergency Fund'!$B$14/6)*5)</f>
        <v>2966.666666666667</v>
      </c>
      <c r="L7" s="7">
        <f>MIN(Goals!$B$4,Goals!$C$4+(Goals!$D$4+'Emergency Fund'!$B$14/6)*5)</f>
        <v>11666.666666666668</v>
      </c>
      <c r="M7" s="7">
        <f>MIN(Goals!$B$5,Goals!$C$5+(Goals!$D$5+'Emergency Fund'!$B$14/6)*5)</f>
        <v>4616.6666666666661</v>
      </c>
      <c r="N7" s="7">
        <f>MIN(Goals!$B$6,Goals!$C$6+(Goals!$D$6+'Emergency Fund'!$B$14/6)*5)</f>
        <v>3916.6666666666665</v>
      </c>
      <c r="O7" s="7">
        <f>MIN(Goals!$B$7,Goals!$C$7+(Goals!$D$7+'Emergency Fund'!$B$14/6)*5)</f>
        <v>2116.666666666667</v>
      </c>
      <c r="P7" s="7">
        <f>MIN(Goals!$B$8,Goals!$C$8+(Goals!$D$8+'Emergency Fund'!$B$14/6)*5)</f>
        <v>5666.6666666666661</v>
      </c>
    </row>
    <row r="8" spans="1:16" x14ac:dyDescent="0.25">
      <c r="A8" s="5">
        <v>6</v>
      </c>
      <c r="B8" s="13">
        <f ca="1">TODAY()+5*30.44</f>
        <v>46274.2</v>
      </c>
      <c r="C8" s="7">
        <f>MIN('Emergency Fund'!$B$5,'Emergency Fund'!$B$7+'Emergency Fund'!$B$8*6)</f>
        <v>11900</v>
      </c>
      <c r="D8" s="7">
        <f>MIN(Goals!$B$3,Goals!$C$3+Goals!$D$3*6)</f>
        <v>3000</v>
      </c>
      <c r="E8" s="7">
        <f>MIN(Goals!$B$4,Goals!$C$4+Goals!$D$4*6)</f>
        <v>12100</v>
      </c>
      <c r="F8" s="7">
        <f>MIN(Goals!$B$5,Goals!$C$5+Goals!$D$5*6)</f>
        <v>4700</v>
      </c>
      <c r="G8" s="7">
        <f>MIN(Goals!$B$6,Goals!$C$6+Goals!$D$6*6)</f>
        <v>4100</v>
      </c>
      <c r="H8" s="7">
        <f>MIN(Goals!$B$7,Goals!$C$7+Goals!$D$7*6)</f>
        <v>2100</v>
      </c>
      <c r="I8" s="7">
        <f>MIN(Goals!$B$8,Goals!$C$8+Goals!$D$8*6)</f>
        <v>5800</v>
      </c>
      <c r="J8" s="7">
        <f>MIN('Emergency Fund'!$B$5,'Emergency Fund'!$B$7+'Emergency Fund'!$B$15*6)</f>
        <v>13100</v>
      </c>
      <c r="K8" s="7">
        <f>MIN(Goals!$B$3,Goals!$C$3+(Goals!$D$3+'Emergency Fund'!$B$14/6)*6)</f>
        <v>3200</v>
      </c>
      <c r="L8" s="7">
        <f>MIN(Goals!$B$4,Goals!$C$4+(Goals!$D$4+'Emergency Fund'!$B$14/6)*6)</f>
        <v>12300</v>
      </c>
      <c r="M8" s="7">
        <f>MIN(Goals!$B$5,Goals!$C$5+(Goals!$D$5+'Emergency Fund'!$B$14/6)*6)</f>
        <v>4900</v>
      </c>
      <c r="N8" s="7">
        <f>MIN(Goals!$B$6,Goals!$C$6+(Goals!$D$6+'Emergency Fund'!$B$14/6)*6)</f>
        <v>4300</v>
      </c>
      <c r="O8" s="7">
        <f>MIN(Goals!$B$7,Goals!$C$7+(Goals!$D$7+'Emergency Fund'!$B$14/6)*6)</f>
        <v>2300</v>
      </c>
      <c r="P8" s="7">
        <f>MIN(Goals!$B$8,Goals!$C$8+(Goals!$D$8+'Emergency Fund'!$B$14/6)*6)</f>
        <v>6000</v>
      </c>
    </row>
    <row r="9" spans="1:16" x14ac:dyDescent="0.25">
      <c r="A9" s="5">
        <v>7</v>
      </c>
      <c r="B9" s="13">
        <f ca="1">TODAY()+6*30.44</f>
        <v>46304.639999999999</v>
      </c>
      <c r="C9" s="7">
        <f>MIN('Emergency Fund'!$B$5,'Emergency Fund'!$B$7+'Emergency Fund'!$B$8*7)</f>
        <v>12350</v>
      </c>
      <c r="D9" s="7">
        <f>MIN(Goals!$B$3,Goals!$C$3+Goals!$D$3*7)</f>
        <v>3200</v>
      </c>
      <c r="E9" s="7">
        <f>MIN(Goals!$B$4,Goals!$C$4+Goals!$D$4*7)</f>
        <v>12700</v>
      </c>
      <c r="F9" s="7">
        <f>MIN(Goals!$B$5,Goals!$C$5+Goals!$D$5*7)</f>
        <v>4950</v>
      </c>
      <c r="G9" s="7">
        <f>MIN(Goals!$B$6,Goals!$C$6+Goals!$D$6*7)</f>
        <v>4450</v>
      </c>
      <c r="H9" s="7">
        <f>MIN(Goals!$B$7,Goals!$C$7+Goals!$D$7*7)</f>
        <v>2250</v>
      </c>
      <c r="I9" s="7">
        <f>MIN(Goals!$B$8,Goals!$C$8+Goals!$D$8*7)</f>
        <v>6100</v>
      </c>
      <c r="J9" s="7">
        <f>MIN('Emergency Fund'!$B$5,'Emergency Fund'!$B$7+'Emergency Fund'!$B$15*7)</f>
        <v>13750</v>
      </c>
      <c r="K9" s="7">
        <f>MIN(Goals!$B$3,Goals!$C$3+(Goals!$D$3+'Emergency Fund'!$B$14/6)*7)</f>
        <v>3433.3333333333335</v>
      </c>
      <c r="L9" s="7">
        <f>MIN(Goals!$B$4,Goals!$C$4+(Goals!$D$4+'Emergency Fund'!$B$14/6)*7)</f>
        <v>12933.333333333334</v>
      </c>
      <c r="M9" s="7">
        <f>MIN(Goals!$B$5,Goals!$C$5+(Goals!$D$5+'Emergency Fund'!$B$14/6)*7)</f>
        <v>5183.333333333333</v>
      </c>
      <c r="N9" s="7">
        <f>MIN(Goals!$B$6,Goals!$C$6+(Goals!$D$6+'Emergency Fund'!$B$14/6)*7)</f>
        <v>4683.333333333333</v>
      </c>
      <c r="O9" s="7">
        <f>MIN(Goals!$B$7,Goals!$C$7+(Goals!$D$7+'Emergency Fund'!$B$14/6)*7)</f>
        <v>2483.3333333333335</v>
      </c>
      <c r="P9" s="7">
        <f>MIN(Goals!$B$8,Goals!$C$8+(Goals!$D$8+'Emergency Fund'!$B$14/6)*7)</f>
        <v>6333.333333333333</v>
      </c>
    </row>
    <row r="10" spans="1:16" x14ac:dyDescent="0.25">
      <c r="A10" s="5">
        <v>8</v>
      </c>
      <c r="B10" s="13">
        <f ca="1">TODAY()+7*30.44</f>
        <v>46335.08</v>
      </c>
      <c r="C10" s="7">
        <f>MIN('Emergency Fund'!$B$5,'Emergency Fund'!$B$7+'Emergency Fund'!$B$8*8)</f>
        <v>12800</v>
      </c>
      <c r="D10" s="7">
        <f>MIN(Goals!$B$3,Goals!$C$3+Goals!$D$3*8)</f>
        <v>3400</v>
      </c>
      <c r="E10" s="7">
        <f>MIN(Goals!$B$4,Goals!$C$4+Goals!$D$4*8)</f>
        <v>13300</v>
      </c>
      <c r="F10" s="7">
        <f>MIN(Goals!$B$5,Goals!$C$5+Goals!$D$5*8)</f>
        <v>5200</v>
      </c>
      <c r="G10" s="7">
        <f>MIN(Goals!$B$6,Goals!$C$6+Goals!$D$6*8)</f>
        <v>4800</v>
      </c>
      <c r="H10" s="7">
        <f>MIN(Goals!$B$7,Goals!$C$7+Goals!$D$7*8)</f>
        <v>2400</v>
      </c>
      <c r="I10" s="7">
        <f>MIN(Goals!$B$8,Goals!$C$8+Goals!$D$8*8)</f>
        <v>6400</v>
      </c>
      <c r="J10" s="7">
        <f>MIN('Emergency Fund'!$B$5,'Emergency Fund'!$B$7+'Emergency Fund'!$B$15*8)</f>
        <v>14400</v>
      </c>
      <c r="K10" s="7">
        <f>MIN(Goals!$B$3,Goals!$C$3+(Goals!$D$3+'Emergency Fund'!$B$14/6)*8)</f>
        <v>3666.666666666667</v>
      </c>
      <c r="L10" s="7">
        <f>MIN(Goals!$B$4,Goals!$C$4+(Goals!$D$4+'Emergency Fund'!$B$14/6)*8)</f>
        <v>13566.666666666668</v>
      </c>
      <c r="M10" s="7">
        <f>MIN(Goals!$B$5,Goals!$C$5+(Goals!$D$5+'Emergency Fund'!$B$14/6)*8)</f>
        <v>5466.6666666666661</v>
      </c>
      <c r="N10" s="7">
        <f>MIN(Goals!$B$6,Goals!$C$6+(Goals!$D$6+'Emergency Fund'!$B$14/6)*8)</f>
        <v>5066.6666666666661</v>
      </c>
      <c r="O10" s="7">
        <f>MIN(Goals!$B$7,Goals!$C$7+(Goals!$D$7+'Emergency Fund'!$B$14/6)*8)</f>
        <v>2666.666666666667</v>
      </c>
      <c r="P10" s="7">
        <f>MIN(Goals!$B$8,Goals!$C$8+(Goals!$D$8+'Emergency Fund'!$B$14/6)*8)</f>
        <v>6666.6666666666661</v>
      </c>
    </row>
    <row r="11" spans="1:16" x14ac:dyDescent="0.25">
      <c r="A11" s="5">
        <v>9</v>
      </c>
      <c r="B11" s="13">
        <f ca="1">TODAY()+8*30.44</f>
        <v>46365.52</v>
      </c>
      <c r="C11" s="7">
        <f>MIN('Emergency Fund'!$B$5,'Emergency Fund'!$B$7+'Emergency Fund'!$B$8*9)</f>
        <v>13250</v>
      </c>
      <c r="D11" s="7">
        <f>MIN(Goals!$B$3,Goals!$C$3+Goals!$D$3*9)</f>
        <v>3600</v>
      </c>
      <c r="E11" s="7">
        <f>MIN(Goals!$B$4,Goals!$C$4+Goals!$D$4*9)</f>
        <v>13900</v>
      </c>
      <c r="F11" s="7">
        <f>MIN(Goals!$B$5,Goals!$C$5+Goals!$D$5*9)</f>
        <v>5450</v>
      </c>
      <c r="G11" s="7">
        <f>MIN(Goals!$B$6,Goals!$C$6+Goals!$D$6*9)</f>
        <v>5150</v>
      </c>
      <c r="H11" s="7">
        <f>MIN(Goals!$B$7,Goals!$C$7+Goals!$D$7*9)</f>
        <v>2550</v>
      </c>
      <c r="I11" s="7">
        <f>MIN(Goals!$B$8,Goals!$C$8+Goals!$D$8*9)</f>
        <v>6700</v>
      </c>
      <c r="J11" s="7">
        <f>MIN('Emergency Fund'!$B$5,'Emergency Fund'!$B$7+'Emergency Fund'!$B$15*9)</f>
        <v>15050</v>
      </c>
      <c r="K11" s="7">
        <f>MIN(Goals!$B$3,Goals!$C$3+(Goals!$D$3+'Emergency Fund'!$B$14/6)*9)</f>
        <v>3900</v>
      </c>
      <c r="L11" s="7">
        <f>MIN(Goals!$B$4,Goals!$C$4+(Goals!$D$4+'Emergency Fund'!$B$14/6)*9)</f>
        <v>14200</v>
      </c>
      <c r="M11" s="7">
        <f>MIN(Goals!$B$5,Goals!$C$5+(Goals!$D$5+'Emergency Fund'!$B$14/6)*9)</f>
        <v>5750</v>
      </c>
      <c r="N11" s="7">
        <f>MIN(Goals!$B$6,Goals!$C$6+(Goals!$D$6+'Emergency Fund'!$B$14/6)*9)</f>
        <v>5450</v>
      </c>
      <c r="O11" s="7">
        <f>MIN(Goals!$B$7,Goals!$C$7+(Goals!$D$7+'Emergency Fund'!$B$14/6)*9)</f>
        <v>2850</v>
      </c>
      <c r="P11" s="7">
        <f>MIN(Goals!$B$8,Goals!$C$8+(Goals!$D$8+'Emergency Fund'!$B$14/6)*9)</f>
        <v>7000</v>
      </c>
    </row>
    <row r="12" spans="1:16" x14ac:dyDescent="0.25">
      <c r="A12" s="5">
        <v>10</v>
      </c>
      <c r="B12" s="13">
        <f ca="1">TODAY()+9*30.44</f>
        <v>46395.96</v>
      </c>
      <c r="C12" s="7">
        <f>MIN('Emergency Fund'!$B$5,'Emergency Fund'!$B$7+'Emergency Fund'!$B$8*10)</f>
        <v>13700</v>
      </c>
      <c r="D12" s="7">
        <f>MIN(Goals!$B$3,Goals!$C$3+Goals!$D$3*10)</f>
        <v>3800</v>
      </c>
      <c r="E12" s="7">
        <f>MIN(Goals!$B$4,Goals!$C$4+Goals!$D$4*10)</f>
        <v>14500</v>
      </c>
      <c r="F12" s="7">
        <f>MIN(Goals!$B$5,Goals!$C$5+Goals!$D$5*10)</f>
        <v>5700</v>
      </c>
      <c r="G12" s="7">
        <f>MIN(Goals!$B$6,Goals!$C$6+Goals!$D$6*10)</f>
        <v>5500</v>
      </c>
      <c r="H12" s="7">
        <f>MIN(Goals!$B$7,Goals!$C$7+Goals!$D$7*10)</f>
        <v>2700</v>
      </c>
      <c r="I12" s="7">
        <f>MIN(Goals!$B$8,Goals!$C$8+Goals!$D$8*10)</f>
        <v>7000</v>
      </c>
      <c r="J12" s="7">
        <f>MIN('Emergency Fund'!$B$5,'Emergency Fund'!$B$7+'Emergency Fund'!$B$15*10)</f>
        <v>15700</v>
      </c>
      <c r="K12" s="7">
        <f>MIN(Goals!$B$3,Goals!$C$3+(Goals!$D$3+'Emergency Fund'!$B$14/6)*10)</f>
        <v>4133.3333333333339</v>
      </c>
      <c r="L12" s="7">
        <f>MIN(Goals!$B$4,Goals!$C$4+(Goals!$D$4+'Emergency Fund'!$B$14/6)*10)</f>
        <v>14833.333333333334</v>
      </c>
      <c r="M12" s="7">
        <f>MIN(Goals!$B$5,Goals!$C$5+(Goals!$D$5+'Emergency Fund'!$B$14/6)*10)</f>
        <v>6033.333333333333</v>
      </c>
      <c r="N12" s="7">
        <f>MIN(Goals!$B$6,Goals!$C$6+(Goals!$D$6+'Emergency Fund'!$B$14/6)*10)</f>
        <v>5833.333333333333</v>
      </c>
      <c r="O12" s="7">
        <f>MIN(Goals!$B$7,Goals!$C$7+(Goals!$D$7+'Emergency Fund'!$B$14/6)*10)</f>
        <v>3033.3333333333335</v>
      </c>
      <c r="P12" s="7">
        <f>MIN(Goals!$B$8,Goals!$C$8+(Goals!$D$8+'Emergency Fund'!$B$14/6)*10)</f>
        <v>7333.333333333333</v>
      </c>
    </row>
    <row r="13" spans="1:16" x14ac:dyDescent="0.25">
      <c r="A13" s="5">
        <v>11</v>
      </c>
      <c r="B13" s="13">
        <f ca="1">TODAY()+10*30.44</f>
        <v>46426.400000000001</v>
      </c>
      <c r="C13" s="7">
        <f>MIN('Emergency Fund'!$B$5,'Emergency Fund'!$B$7+'Emergency Fund'!$B$8*11)</f>
        <v>14150</v>
      </c>
      <c r="D13" s="7">
        <f>MIN(Goals!$B$3,Goals!$C$3+Goals!$D$3*11)</f>
        <v>4000</v>
      </c>
      <c r="E13" s="7">
        <f>MIN(Goals!$B$4,Goals!$C$4+Goals!$D$4*11)</f>
        <v>15100</v>
      </c>
      <c r="F13" s="7">
        <f>MIN(Goals!$B$5,Goals!$C$5+Goals!$D$5*11)</f>
        <v>5950</v>
      </c>
      <c r="G13" s="7">
        <f>MIN(Goals!$B$6,Goals!$C$6+Goals!$D$6*11)</f>
        <v>5850</v>
      </c>
      <c r="H13" s="7">
        <f>MIN(Goals!$B$7,Goals!$C$7+Goals!$D$7*11)</f>
        <v>2850</v>
      </c>
      <c r="I13" s="7">
        <f>MIN(Goals!$B$8,Goals!$C$8+Goals!$D$8*11)</f>
        <v>7300</v>
      </c>
      <c r="J13" s="7">
        <f>MIN('Emergency Fund'!$B$5,'Emergency Fund'!$B$7+'Emergency Fund'!$B$15*11)</f>
        <v>16350</v>
      </c>
      <c r="K13" s="7">
        <f>MIN(Goals!$B$3,Goals!$C$3+(Goals!$D$3+'Emergency Fund'!$B$14/6)*11)</f>
        <v>4366.666666666667</v>
      </c>
      <c r="L13" s="7">
        <f>MIN(Goals!$B$4,Goals!$C$4+(Goals!$D$4+'Emergency Fund'!$B$14/6)*11)</f>
        <v>15466.666666666668</v>
      </c>
      <c r="M13" s="7">
        <f>MIN(Goals!$B$5,Goals!$C$5+(Goals!$D$5+'Emergency Fund'!$B$14/6)*11)</f>
        <v>6316.6666666666661</v>
      </c>
      <c r="N13" s="7">
        <f>MIN(Goals!$B$6,Goals!$C$6+(Goals!$D$6+'Emergency Fund'!$B$14/6)*11)</f>
        <v>6216.6666666666661</v>
      </c>
      <c r="O13" s="7">
        <f>MIN(Goals!$B$7,Goals!$C$7+(Goals!$D$7+'Emergency Fund'!$B$14/6)*11)</f>
        <v>3216.666666666667</v>
      </c>
      <c r="P13" s="7">
        <f>MIN(Goals!$B$8,Goals!$C$8+(Goals!$D$8+'Emergency Fund'!$B$14/6)*11)</f>
        <v>7666.6666666666661</v>
      </c>
    </row>
    <row r="14" spans="1:16" x14ac:dyDescent="0.25">
      <c r="A14" s="5">
        <v>12</v>
      </c>
      <c r="B14" s="13">
        <f ca="1">TODAY()+11*30.44</f>
        <v>46456.84</v>
      </c>
      <c r="C14" s="7">
        <f>MIN('Emergency Fund'!$B$5,'Emergency Fund'!$B$7+'Emergency Fund'!$B$8*12)</f>
        <v>14600</v>
      </c>
      <c r="D14" s="7">
        <f>MIN(Goals!$B$3,Goals!$C$3+Goals!$D$3*12)</f>
        <v>4200</v>
      </c>
      <c r="E14" s="7">
        <f>MIN(Goals!$B$4,Goals!$C$4+Goals!$D$4*12)</f>
        <v>15700</v>
      </c>
      <c r="F14" s="7">
        <f>MIN(Goals!$B$5,Goals!$C$5+Goals!$D$5*12)</f>
        <v>6200</v>
      </c>
      <c r="G14" s="7">
        <f>MIN(Goals!$B$6,Goals!$C$6+Goals!$D$6*12)</f>
        <v>6200</v>
      </c>
      <c r="H14" s="7">
        <f>MIN(Goals!$B$7,Goals!$C$7+Goals!$D$7*12)</f>
        <v>3000</v>
      </c>
      <c r="I14" s="7">
        <f>MIN(Goals!$B$8,Goals!$C$8+Goals!$D$8*12)</f>
        <v>7600</v>
      </c>
      <c r="J14" s="7">
        <f>MIN('Emergency Fund'!$B$5,'Emergency Fund'!$B$7+'Emergency Fund'!$B$15*12)</f>
        <v>17000</v>
      </c>
      <c r="K14" s="7">
        <f>MIN(Goals!$B$3,Goals!$C$3+(Goals!$D$3+'Emergency Fund'!$B$14/6)*12)</f>
        <v>4500</v>
      </c>
      <c r="L14" s="7">
        <f>MIN(Goals!$B$4,Goals!$C$4+(Goals!$D$4+'Emergency Fund'!$B$14/6)*12)</f>
        <v>16100</v>
      </c>
      <c r="M14" s="7">
        <f>MIN(Goals!$B$5,Goals!$C$5+(Goals!$D$5+'Emergency Fund'!$B$14/6)*12)</f>
        <v>6600</v>
      </c>
      <c r="N14" s="7">
        <f>MIN(Goals!$B$6,Goals!$C$6+(Goals!$D$6+'Emergency Fund'!$B$14/6)*12)</f>
        <v>6600</v>
      </c>
      <c r="O14" s="7">
        <f>MIN(Goals!$B$7,Goals!$C$7+(Goals!$D$7+'Emergency Fund'!$B$14/6)*12)</f>
        <v>3400</v>
      </c>
      <c r="P14" s="7">
        <f>MIN(Goals!$B$8,Goals!$C$8+(Goals!$D$8+'Emergency Fund'!$B$14/6)*12)</f>
        <v>8000</v>
      </c>
    </row>
    <row r="15" spans="1:16" x14ac:dyDescent="0.25">
      <c r="A15" s="5">
        <v>13</v>
      </c>
      <c r="B15" s="13">
        <f ca="1">TODAY()+12*30.44</f>
        <v>46487.28</v>
      </c>
      <c r="C15" s="7">
        <f>MIN('Emergency Fund'!$B$5,'Emergency Fund'!$B$7+'Emergency Fund'!$B$8*13)</f>
        <v>15050</v>
      </c>
      <c r="D15" s="7">
        <f>MIN(Goals!$B$3,Goals!$C$3+Goals!$D$3*13)</f>
        <v>4400</v>
      </c>
      <c r="E15" s="7">
        <f>MIN(Goals!$B$4,Goals!$C$4+Goals!$D$4*13)</f>
        <v>16300</v>
      </c>
      <c r="F15" s="7">
        <f>MIN(Goals!$B$5,Goals!$C$5+Goals!$D$5*13)</f>
        <v>6450</v>
      </c>
      <c r="G15" s="7">
        <f>MIN(Goals!$B$6,Goals!$C$6+Goals!$D$6*13)</f>
        <v>6550</v>
      </c>
      <c r="H15" s="7">
        <f>MIN(Goals!$B$7,Goals!$C$7+Goals!$D$7*13)</f>
        <v>3150</v>
      </c>
      <c r="I15" s="7">
        <f>MIN(Goals!$B$8,Goals!$C$8+Goals!$D$8*13)</f>
        <v>7900</v>
      </c>
      <c r="J15" s="7">
        <f>MIN('Emergency Fund'!$B$5,'Emergency Fund'!$B$7+'Emergency Fund'!$B$15*13)</f>
        <v>17650</v>
      </c>
      <c r="K15" s="7">
        <f>MIN(Goals!$B$3,Goals!$C$3+(Goals!$D$3+'Emergency Fund'!$B$14/6)*13)</f>
        <v>4500</v>
      </c>
      <c r="L15" s="7">
        <f>MIN(Goals!$B$4,Goals!$C$4+(Goals!$D$4+'Emergency Fund'!$B$14/6)*13)</f>
        <v>16733.333333333336</v>
      </c>
      <c r="M15" s="7">
        <f>MIN(Goals!$B$5,Goals!$C$5+(Goals!$D$5+'Emergency Fund'!$B$14/6)*13)</f>
        <v>6883.333333333333</v>
      </c>
      <c r="N15" s="7">
        <f>MIN(Goals!$B$6,Goals!$C$6+(Goals!$D$6+'Emergency Fund'!$B$14/6)*13)</f>
        <v>6983.333333333333</v>
      </c>
      <c r="O15" s="7">
        <f>MIN(Goals!$B$7,Goals!$C$7+(Goals!$D$7+'Emergency Fund'!$B$14/6)*13)</f>
        <v>3583.3333333333335</v>
      </c>
      <c r="P15" s="7">
        <f>MIN(Goals!$B$8,Goals!$C$8+(Goals!$D$8+'Emergency Fund'!$B$14/6)*13)</f>
        <v>8333.3333333333321</v>
      </c>
    </row>
    <row r="16" spans="1:16" x14ac:dyDescent="0.25">
      <c r="A16" s="5">
        <v>14</v>
      </c>
      <c r="B16" s="13">
        <f ca="1">TODAY()+13*30.44</f>
        <v>46517.72</v>
      </c>
      <c r="C16" s="7">
        <f>MIN('Emergency Fund'!$B$5,'Emergency Fund'!$B$7+'Emergency Fund'!$B$8*14)</f>
        <v>15500</v>
      </c>
      <c r="D16" s="7">
        <f>MIN(Goals!$B$3,Goals!$C$3+Goals!$D$3*14)</f>
        <v>4500</v>
      </c>
      <c r="E16" s="7">
        <f>MIN(Goals!$B$4,Goals!$C$4+Goals!$D$4*14)</f>
        <v>16900</v>
      </c>
      <c r="F16" s="7">
        <f>MIN(Goals!$B$5,Goals!$C$5+Goals!$D$5*14)</f>
        <v>6700</v>
      </c>
      <c r="G16" s="7">
        <f>MIN(Goals!$B$6,Goals!$C$6+Goals!$D$6*14)</f>
        <v>6900</v>
      </c>
      <c r="H16" s="7">
        <f>MIN(Goals!$B$7,Goals!$C$7+Goals!$D$7*14)</f>
        <v>3300</v>
      </c>
      <c r="I16" s="7">
        <f>MIN(Goals!$B$8,Goals!$C$8+Goals!$D$8*14)</f>
        <v>8200</v>
      </c>
      <c r="J16" s="7">
        <f>MIN('Emergency Fund'!$B$5,'Emergency Fund'!$B$7+'Emergency Fund'!$B$15*14)</f>
        <v>18300</v>
      </c>
      <c r="K16" s="7">
        <f>MIN(Goals!$B$3,Goals!$C$3+(Goals!$D$3+'Emergency Fund'!$B$14/6)*14)</f>
        <v>4500</v>
      </c>
      <c r="L16" s="7">
        <f>MIN(Goals!$B$4,Goals!$C$4+(Goals!$D$4+'Emergency Fund'!$B$14/6)*14)</f>
        <v>17366.666666666668</v>
      </c>
      <c r="M16" s="7">
        <f>MIN(Goals!$B$5,Goals!$C$5+(Goals!$D$5+'Emergency Fund'!$B$14/6)*14)</f>
        <v>7166.6666666666661</v>
      </c>
      <c r="N16" s="7">
        <f>MIN(Goals!$B$6,Goals!$C$6+(Goals!$D$6+'Emergency Fund'!$B$14/6)*14)</f>
        <v>7366.6666666666661</v>
      </c>
      <c r="O16" s="7">
        <f>MIN(Goals!$B$7,Goals!$C$7+(Goals!$D$7+'Emergency Fund'!$B$14/6)*14)</f>
        <v>3766.666666666667</v>
      </c>
      <c r="P16" s="7">
        <f>MIN(Goals!$B$8,Goals!$C$8+(Goals!$D$8+'Emergency Fund'!$B$14/6)*14)</f>
        <v>8666.6666666666661</v>
      </c>
    </row>
    <row r="17" spans="1:16" x14ac:dyDescent="0.25">
      <c r="A17" s="5">
        <v>15</v>
      </c>
      <c r="B17" s="13">
        <f ca="1">TODAY()+14*30.44</f>
        <v>46548.160000000003</v>
      </c>
      <c r="C17" s="7">
        <f>MIN('Emergency Fund'!$B$5,'Emergency Fund'!$B$7+'Emergency Fund'!$B$8*15)</f>
        <v>15950</v>
      </c>
      <c r="D17" s="7">
        <f>MIN(Goals!$B$3,Goals!$C$3+Goals!$D$3*15)</f>
        <v>4500</v>
      </c>
      <c r="E17" s="7">
        <f>MIN(Goals!$B$4,Goals!$C$4+Goals!$D$4*15)</f>
        <v>17500</v>
      </c>
      <c r="F17" s="7">
        <f>MIN(Goals!$B$5,Goals!$C$5+Goals!$D$5*15)</f>
        <v>6950</v>
      </c>
      <c r="G17" s="7">
        <f>MIN(Goals!$B$6,Goals!$C$6+Goals!$D$6*15)</f>
        <v>7250</v>
      </c>
      <c r="H17" s="7">
        <f>MIN(Goals!$B$7,Goals!$C$7+Goals!$D$7*15)</f>
        <v>3450</v>
      </c>
      <c r="I17" s="7">
        <f>MIN(Goals!$B$8,Goals!$C$8+Goals!$D$8*15)</f>
        <v>8500</v>
      </c>
      <c r="J17" s="7">
        <f>MIN('Emergency Fund'!$B$5,'Emergency Fund'!$B$7+'Emergency Fund'!$B$15*15)</f>
        <v>18950</v>
      </c>
      <c r="K17" s="7">
        <f>MIN(Goals!$B$3,Goals!$C$3+(Goals!$D$3+'Emergency Fund'!$B$14/6)*15)</f>
        <v>4500</v>
      </c>
      <c r="L17" s="7">
        <f>MIN(Goals!$B$4,Goals!$C$4+(Goals!$D$4+'Emergency Fund'!$B$14/6)*15)</f>
        <v>18000</v>
      </c>
      <c r="M17" s="7">
        <f>MIN(Goals!$B$5,Goals!$C$5+(Goals!$D$5+'Emergency Fund'!$B$14/6)*15)</f>
        <v>7450</v>
      </c>
      <c r="N17" s="7">
        <f>MIN(Goals!$B$6,Goals!$C$6+(Goals!$D$6+'Emergency Fund'!$B$14/6)*15)</f>
        <v>7750</v>
      </c>
      <c r="O17" s="7">
        <f>MIN(Goals!$B$7,Goals!$C$7+(Goals!$D$7+'Emergency Fund'!$B$14/6)*15)</f>
        <v>3950</v>
      </c>
      <c r="P17" s="7">
        <f>MIN(Goals!$B$8,Goals!$C$8+(Goals!$D$8+'Emergency Fund'!$B$14/6)*15)</f>
        <v>9000</v>
      </c>
    </row>
    <row r="18" spans="1:16" x14ac:dyDescent="0.25">
      <c r="A18" s="5">
        <v>16</v>
      </c>
      <c r="B18" s="13">
        <f ca="1">TODAY()+15*30.44</f>
        <v>46578.6</v>
      </c>
      <c r="C18" s="7">
        <f>MIN('Emergency Fund'!$B$5,'Emergency Fund'!$B$7+'Emergency Fund'!$B$8*16)</f>
        <v>16400</v>
      </c>
      <c r="D18" s="7">
        <f>MIN(Goals!$B$3,Goals!$C$3+Goals!$D$3*16)</f>
        <v>4500</v>
      </c>
      <c r="E18" s="7">
        <f>MIN(Goals!$B$4,Goals!$C$4+Goals!$D$4*16)</f>
        <v>18100</v>
      </c>
      <c r="F18" s="7">
        <f>MIN(Goals!$B$5,Goals!$C$5+Goals!$D$5*16)</f>
        <v>7200</v>
      </c>
      <c r="G18" s="7">
        <f>MIN(Goals!$B$6,Goals!$C$6+Goals!$D$6*16)</f>
        <v>7600</v>
      </c>
      <c r="H18" s="7">
        <f>MIN(Goals!$B$7,Goals!$C$7+Goals!$D$7*16)</f>
        <v>3600</v>
      </c>
      <c r="I18" s="7">
        <f>MIN(Goals!$B$8,Goals!$C$8+Goals!$D$8*16)</f>
        <v>8800</v>
      </c>
      <c r="J18" s="7">
        <f>MIN('Emergency Fund'!$B$5,'Emergency Fund'!$B$7+'Emergency Fund'!$B$15*16)</f>
        <v>19600</v>
      </c>
      <c r="K18" s="7">
        <f>MIN(Goals!$B$3,Goals!$C$3+(Goals!$D$3+'Emergency Fund'!$B$14/6)*16)</f>
        <v>4500</v>
      </c>
      <c r="L18" s="7">
        <f>MIN(Goals!$B$4,Goals!$C$4+(Goals!$D$4+'Emergency Fund'!$B$14/6)*16)</f>
        <v>18633.333333333336</v>
      </c>
      <c r="M18" s="7">
        <f>MIN(Goals!$B$5,Goals!$C$5+(Goals!$D$5+'Emergency Fund'!$B$14/6)*16)</f>
        <v>7733.333333333333</v>
      </c>
      <c r="N18" s="7">
        <f>MIN(Goals!$B$6,Goals!$C$6+(Goals!$D$6+'Emergency Fund'!$B$14/6)*16)</f>
        <v>8133.333333333333</v>
      </c>
      <c r="O18" s="7">
        <f>MIN(Goals!$B$7,Goals!$C$7+(Goals!$D$7+'Emergency Fund'!$B$14/6)*16)</f>
        <v>4133.3333333333339</v>
      </c>
      <c r="P18" s="7">
        <f>MIN(Goals!$B$8,Goals!$C$8+(Goals!$D$8+'Emergency Fund'!$B$14/6)*16)</f>
        <v>9333.3333333333321</v>
      </c>
    </row>
    <row r="19" spans="1:16" x14ac:dyDescent="0.25">
      <c r="A19" s="5">
        <v>17</v>
      </c>
      <c r="B19" s="13">
        <f ca="1">TODAY()+16*30.44</f>
        <v>46609.04</v>
      </c>
      <c r="C19" s="7">
        <f>MIN('Emergency Fund'!$B$5,'Emergency Fund'!$B$7+'Emergency Fund'!$B$8*17)</f>
        <v>16850</v>
      </c>
      <c r="D19" s="7">
        <f>MIN(Goals!$B$3,Goals!$C$3+Goals!$D$3*17)</f>
        <v>4500</v>
      </c>
      <c r="E19" s="7">
        <f>MIN(Goals!$B$4,Goals!$C$4+Goals!$D$4*17)</f>
        <v>18700</v>
      </c>
      <c r="F19" s="7">
        <f>MIN(Goals!$B$5,Goals!$C$5+Goals!$D$5*17)</f>
        <v>7450</v>
      </c>
      <c r="G19" s="7">
        <f>MIN(Goals!$B$6,Goals!$C$6+Goals!$D$6*17)</f>
        <v>7950</v>
      </c>
      <c r="H19" s="7">
        <f>MIN(Goals!$B$7,Goals!$C$7+Goals!$D$7*17)</f>
        <v>3750</v>
      </c>
      <c r="I19" s="7">
        <f>MIN(Goals!$B$8,Goals!$C$8+Goals!$D$8*17)</f>
        <v>9100</v>
      </c>
      <c r="J19" s="7">
        <f>MIN('Emergency Fund'!$B$5,'Emergency Fund'!$B$7+'Emergency Fund'!$B$15*17)</f>
        <v>20012</v>
      </c>
      <c r="K19" s="7">
        <f>MIN(Goals!$B$3,Goals!$C$3+(Goals!$D$3+'Emergency Fund'!$B$14/6)*17)</f>
        <v>4500</v>
      </c>
      <c r="L19" s="7">
        <f>MIN(Goals!$B$4,Goals!$C$4+(Goals!$D$4+'Emergency Fund'!$B$14/6)*17)</f>
        <v>19266.666666666668</v>
      </c>
      <c r="M19" s="7">
        <f>MIN(Goals!$B$5,Goals!$C$5+(Goals!$D$5+'Emergency Fund'!$B$14/6)*17)</f>
        <v>8016.6666666666661</v>
      </c>
      <c r="N19" s="7">
        <f>MIN(Goals!$B$6,Goals!$C$6+(Goals!$D$6+'Emergency Fund'!$B$14/6)*17)</f>
        <v>8516.6666666666661</v>
      </c>
      <c r="O19" s="7">
        <f>MIN(Goals!$B$7,Goals!$C$7+(Goals!$D$7+'Emergency Fund'!$B$14/6)*17)</f>
        <v>4316.666666666667</v>
      </c>
      <c r="P19" s="7">
        <f>MIN(Goals!$B$8,Goals!$C$8+(Goals!$D$8+'Emergency Fund'!$B$14/6)*17)</f>
        <v>9666.6666666666661</v>
      </c>
    </row>
    <row r="20" spans="1:16" x14ac:dyDescent="0.25">
      <c r="A20" s="5">
        <v>18</v>
      </c>
      <c r="B20" s="13">
        <f ca="1">TODAY()+17*30.44</f>
        <v>46639.48</v>
      </c>
      <c r="C20" s="7">
        <f>MIN('Emergency Fund'!$B$5,'Emergency Fund'!$B$7+'Emergency Fund'!$B$8*18)</f>
        <v>17300</v>
      </c>
      <c r="D20" s="7">
        <f>MIN(Goals!$B$3,Goals!$C$3+Goals!$D$3*18)</f>
        <v>4500</v>
      </c>
      <c r="E20" s="7">
        <f>MIN(Goals!$B$4,Goals!$C$4+Goals!$D$4*18)</f>
        <v>19300</v>
      </c>
      <c r="F20" s="7">
        <f>MIN(Goals!$B$5,Goals!$C$5+Goals!$D$5*18)</f>
        <v>7700</v>
      </c>
      <c r="G20" s="7">
        <f>MIN(Goals!$B$6,Goals!$C$6+Goals!$D$6*18)</f>
        <v>8300</v>
      </c>
      <c r="H20" s="7">
        <f>MIN(Goals!$B$7,Goals!$C$7+Goals!$D$7*18)</f>
        <v>3900</v>
      </c>
      <c r="I20" s="7">
        <f>MIN(Goals!$B$8,Goals!$C$8+Goals!$D$8*18)</f>
        <v>9400</v>
      </c>
      <c r="J20" s="7">
        <f>MIN('Emergency Fund'!$B$5,'Emergency Fund'!$B$7+'Emergency Fund'!$B$15*18)</f>
        <v>20012</v>
      </c>
      <c r="K20" s="7">
        <f>MIN(Goals!$B$3,Goals!$C$3+(Goals!$D$3+'Emergency Fund'!$B$14/6)*18)</f>
        <v>4500</v>
      </c>
      <c r="L20" s="7">
        <f>MIN(Goals!$B$4,Goals!$C$4+(Goals!$D$4+'Emergency Fund'!$B$14/6)*18)</f>
        <v>19900</v>
      </c>
      <c r="M20" s="7">
        <f>MIN(Goals!$B$5,Goals!$C$5+(Goals!$D$5+'Emergency Fund'!$B$14/6)*18)</f>
        <v>8300</v>
      </c>
      <c r="N20" s="7">
        <f>MIN(Goals!$B$6,Goals!$C$6+(Goals!$D$6+'Emergency Fund'!$B$14/6)*18)</f>
        <v>8900</v>
      </c>
      <c r="O20" s="7">
        <f>MIN(Goals!$B$7,Goals!$C$7+(Goals!$D$7+'Emergency Fund'!$B$14/6)*18)</f>
        <v>4500</v>
      </c>
      <c r="P20" s="7">
        <f>MIN(Goals!$B$8,Goals!$C$8+(Goals!$D$8+'Emergency Fund'!$B$14/6)*18)</f>
        <v>10000</v>
      </c>
    </row>
    <row r="21" spans="1:16" x14ac:dyDescent="0.25">
      <c r="A21" s="5">
        <v>19</v>
      </c>
      <c r="B21" s="13">
        <f ca="1">TODAY()+18*30.44</f>
        <v>46669.919999999998</v>
      </c>
      <c r="C21" s="7">
        <f>MIN('Emergency Fund'!$B$5,'Emergency Fund'!$B$7+'Emergency Fund'!$B$8*19)</f>
        <v>17750</v>
      </c>
      <c r="D21" s="7">
        <f>MIN(Goals!$B$3,Goals!$C$3+Goals!$D$3*19)</f>
        <v>4500</v>
      </c>
      <c r="E21" s="7">
        <f>MIN(Goals!$B$4,Goals!$C$4+Goals!$D$4*19)</f>
        <v>19900</v>
      </c>
      <c r="F21" s="7">
        <f>MIN(Goals!$B$5,Goals!$C$5+Goals!$D$5*19)</f>
        <v>7950</v>
      </c>
      <c r="G21" s="7">
        <f>MIN(Goals!$B$6,Goals!$C$6+Goals!$D$6*19)</f>
        <v>8650</v>
      </c>
      <c r="H21" s="7">
        <f>MIN(Goals!$B$7,Goals!$C$7+Goals!$D$7*19)</f>
        <v>4050</v>
      </c>
      <c r="I21" s="7">
        <f>MIN(Goals!$B$8,Goals!$C$8+Goals!$D$8*19)</f>
        <v>9700</v>
      </c>
      <c r="J21" s="7">
        <f>MIN('Emergency Fund'!$B$5,'Emergency Fund'!$B$7+'Emergency Fund'!$B$15*19)</f>
        <v>20012</v>
      </c>
      <c r="K21" s="7">
        <f>MIN(Goals!$B$3,Goals!$C$3+(Goals!$D$3+'Emergency Fund'!$B$14/6)*19)</f>
        <v>4500</v>
      </c>
      <c r="L21" s="7">
        <f>MIN(Goals!$B$4,Goals!$C$4+(Goals!$D$4+'Emergency Fund'!$B$14/6)*19)</f>
        <v>20533.333333333336</v>
      </c>
      <c r="M21" s="7">
        <f>MIN(Goals!$B$5,Goals!$C$5+(Goals!$D$5+'Emergency Fund'!$B$14/6)*19)</f>
        <v>8583.3333333333321</v>
      </c>
      <c r="N21" s="7">
        <f>MIN(Goals!$B$6,Goals!$C$6+(Goals!$D$6+'Emergency Fund'!$B$14/6)*19)</f>
        <v>9283.3333333333321</v>
      </c>
      <c r="O21" s="7">
        <f>MIN(Goals!$B$7,Goals!$C$7+(Goals!$D$7+'Emergency Fund'!$B$14/6)*19)</f>
        <v>4683.3333333333339</v>
      </c>
      <c r="P21" s="7">
        <f>MIN(Goals!$B$8,Goals!$C$8+(Goals!$D$8+'Emergency Fund'!$B$14/6)*19)</f>
        <v>10333.333333333332</v>
      </c>
    </row>
    <row r="22" spans="1:16" x14ac:dyDescent="0.25">
      <c r="A22" s="5">
        <v>20</v>
      </c>
      <c r="B22" s="13">
        <f ca="1">TODAY()+19*30.44</f>
        <v>46700.36</v>
      </c>
      <c r="C22" s="7">
        <f>MIN('Emergency Fund'!$B$5,'Emergency Fund'!$B$7+'Emergency Fund'!$B$8*20)</f>
        <v>18200</v>
      </c>
      <c r="D22" s="7">
        <f>MIN(Goals!$B$3,Goals!$C$3+Goals!$D$3*20)</f>
        <v>4500</v>
      </c>
      <c r="E22" s="7">
        <f>MIN(Goals!$B$4,Goals!$C$4+Goals!$D$4*20)</f>
        <v>20500</v>
      </c>
      <c r="F22" s="7">
        <f>MIN(Goals!$B$5,Goals!$C$5+Goals!$D$5*20)</f>
        <v>8200</v>
      </c>
      <c r="G22" s="7">
        <f>MIN(Goals!$B$6,Goals!$C$6+Goals!$D$6*20)</f>
        <v>9000</v>
      </c>
      <c r="H22" s="7">
        <f>MIN(Goals!$B$7,Goals!$C$7+Goals!$D$7*20)</f>
        <v>4200</v>
      </c>
      <c r="I22" s="7">
        <f>MIN(Goals!$B$8,Goals!$C$8+Goals!$D$8*20)</f>
        <v>10000</v>
      </c>
      <c r="J22" s="7">
        <f>MIN('Emergency Fund'!$B$5,'Emergency Fund'!$B$7+'Emergency Fund'!$B$15*20)</f>
        <v>20012</v>
      </c>
      <c r="K22" s="7">
        <f>MIN(Goals!$B$3,Goals!$C$3+(Goals!$D$3+'Emergency Fund'!$B$14/6)*20)</f>
        <v>4500</v>
      </c>
      <c r="L22" s="7">
        <f>MIN(Goals!$B$4,Goals!$C$4+(Goals!$D$4+'Emergency Fund'!$B$14/6)*20)</f>
        <v>21166.666666666668</v>
      </c>
      <c r="M22" s="7">
        <f>MIN(Goals!$B$5,Goals!$C$5+(Goals!$D$5+'Emergency Fund'!$B$14/6)*20)</f>
        <v>8866.6666666666661</v>
      </c>
      <c r="N22" s="7">
        <f>MIN(Goals!$B$6,Goals!$C$6+(Goals!$D$6+'Emergency Fund'!$B$14/6)*20)</f>
        <v>9666.6666666666661</v>
      </c>
      <c r="O22" s="7">
        <f>MIN(Goals!$B$7,Goals!$C$7+(Goals!$D$7+'Emergency Fund'!$B$14/6)*20)</f>
        <v>4866.666666666667</v>
      </c>
      <c r="P22" s="7">
        <f>MIN(Goals!$B$8,Goals!$C$8+(Goals!$D$8+'Emergency Fund'!$B$14/6)*20)</f>
        <v>10666.666666666666</v>
      </c>
    </row>
    <row r="23" spans="1:16" x14ac:dyDescent="0.25">
      <c r="A23" s="5">
        <v>21</v>
      </c>
      <c r="B23" s="13">
        <f ca="1">TODAY()+20*30.44</f>
        <v>46730.8</v>
      </c>
      <c r="C23" s="7">
        <f>MIN('Emergency Fund'!$B$5,'Emergency Fund'!$B$7+'Emergency Fund'!$B$8*21)</f>
        <v>18650</v>
      </c>
      <c r="D23" s="7">
        <f>MIN(Goals!$B$3,Goals!$C$3+Goals!$D$3*21)</f>
        <v>4500</v>
      </c>
      <c r="E23" s="7">
        <f>MIN(Goals!$B$4,Goals!$C$4+Goals!$D$4*21)</f>
        <v>21100</v>
      </c>
      <c r="F23" s="7">
        <f>MIN(Goals!$B$5,Goals!$C$5+Goals!$D$5*21)</f>
        <v>8450</v>
      </c>
      <c r="G23" s="7">
        <f>MIN(Goals!$B$6,Goals!$C$6+Goals!$D$6*21)</f>
        <v>9350</v>
      </c>
      <c r="H23" s="7">
        <f>MIN(Goals!$B$7,Goals!$C$7+Goals!$D$7*21)</f>
        <v>4350</v>
      </c>
      <c r="I23" s="7">
        <f>MIN(Goals!$B$8,Goals!$C$8+Goals!$D$8*21)</f>
        <v>10300</v>
      </c>
      <c r="J23" s="7">
        <f>MIN('Emergency Fund'!$B$5,'Emergency Fund'!$B$7+'Emergency Fund'!$B$15*21)</f>
        <v>20012</v>
      </c>
      <c r="K23" s="7">
        <f>MIN(Goals!$B$3,Goals!$C$3+(Goals!$D$3+'Emergency Fund'!$B$14/6)*21)</f>
        <v>4500</v>
      </c>
      <c r="L23" s="7">
        <f>MIN(Goals!$B$4,Goals!$C$4+(Goals!$D$4+'Emergency Fund'!$B$14/6)*21)</f>
        <v>21800</v>
      </c>
      <c r="M23" s="7">
        <f>MIN(Goals!$B$5,Goals!$C$5+(Goals!$D$5+'Emergency Fund'!$B$14/6)*21)</f>
        <v>9150</v>
      </c>
      <c r="N23" s="7">
        <f>MIN(Goals!$B$6,Goals!$C$6+(Goals!$D$6+'Emergency Fund'!$B$14/6)*21)</f>
        <v>10050</v>
      </c>
      <c r="O23" s="7">
        <f>MIN(Goals!$B$7,Goals!$C$7+(Goals!$D$7+'Emergency Fund'!$B$14/6)*21)</f>
        <v>5050</v>
      </c>
      <c r="P23" s="7">
        <f>MIN(Goals!$B$8,Goals!$C$8+(Goals!$D$8+'Emergency Fund'!$B$14/6)*21)</f>
        <v>11000</v>
      </c>
    </row>
    <row r="24" spans="1:16" x14ac:dyDescent="0.25">
      <c r="A24" s="5">
        <v>22</v>
      </c>
      <c r="B24" s="13">
        <f ca="1">TODAY()+21*30.44</f>
        <v>46761.24</v>
      </c>
      <c r="C24" s="7">
        <f>MIN('Emergency Fund'!$B$5,'Emergency Fund'!$B$7+'Emergency Fund'!$B$8*22)</f>
        <v>19100</v>
      </c>
      <c r="D24" s="7">
        <f>MIN(Goals!$B$3,Goals!$C$3+Goals!$D$3*22)</f>
        <v>4500</v>
      </c>
      <c r="E24" s="7">
        <f>MIN(Goals!$B$4,Goals!$C$4+Goals!$D$4*22)</f>
        <v>21700</v>
      </c>
      <c r="F24" s="7">
        <f>MIN(Goals!$B$5,Goals!$C$5+Goals!$D$5*22)</f>
        <v>8700</v>
      </c>
      <c r="G24" s="7">
        <f>MIN(Goals!$B$6,Goals!$C$6+Goals!$D$6*22)</f>
        <v>9700</v>
      </c>
      <c r="H24" s="7">
        <f>MIN(Goals!$B$7,Goals!$C$7+Goals!$D$7*22)</f>
        <v>4500</v>
      </c>
      <c r="I24" s="7">
        <f>MIN(Goals!$B$8,Goals!$C$8+Goals!$D$8*22)</f>
        <v>10600</v>
      </c>
      <c r="J24" s="7">
        <f>MIN('Emergency Fund'!$B$5,'Emergency Fund'!$B$7+'Emergency Fund'!$B$15*22)</f>
        <v>20012</v>
      </c>
      <c r="K24" s="7">
        <f>MIN(Goals!$B$3,Goals!$C$3+(Goals!$D$3+'Emergency Fund'!$B$14/6)*22)</f>
        <v>4500</v>
      </c>
      <c r="L24" s="7">
        <f>MIN(Goals!$B$4,Goals!$C$4+(Goals!$D$4+'Emergency Fund'!$B$14/6)*22)</f>
        <v>22433.333333333336</v>
      </c>
      <c r="M24" s="7">
        <f>MIN(Goals!$B$5,Goals!$C$5+(Goals!$D$5+'Emergency Fund'!$B$14/6)*22)</f>
        <v>9433.3333333333321</v>
      </c>
      <c r="N24" s="7">
        <f>MIN(Goals!$B$6,Goals!$C$6+(Goals!$D$6+'Emergency Fund'!$B$14/6)*22)</f>
        <v>10433.333333333332</v>
      </c>
      <c r="O24" s="7">
        <f>MIN(Goals!$B$7,Goals!$C$7+(Goals!$D$7+'Emergency Fund'!$B$14/6)*22)</f>
        <v>5233.3333333333339</v>
      </c>
      <c r="P24" s="7">
        <f>MIN(Goals!$B$8,Goals!$C$8+(Goals!$D$8+'Emergency Fund'!$B$14/6)*22)</f>
        <v>11333.333333333332</v>
      </c>
    </row>
    <row r="25" spans="1:16" x14ac:dyDescent="0.25">
      <c r="A25" s="5">
        <v>23</v>
      </c>
      <c r="B25" s="13">
        <f ca="1">TODAY()+22*30.44</f>
        <v>46791.68</v>
      </c>
      <c r="C25" s="7">
        <f>MIN('Emergency Fund'!$B$5,'Emergency Fund'!$B$7+'Emergency Fund'!$B$8*23)</f>
        <v>19550</v>
      </c>
      <c r="D25" s="7">
        <f>MIN(Goals!$B$3,Goals!$C$3+Goals!$D$3*23)</f>
        <v>4500</v>
      </c>
      <c r="E25" s="7">
        <f>MIN(Goals!$B$4,Goals!$C$4+Goals!$D$4*23)</f>
        <v>22300</v>
      </c>
      <c r="F25" s="7">
        <f>MIN(Goals!$B$5,Goals!$C$5+Goals!$D$5*23)</f>
        <v>8950</v>
      </c>
      <c r="G25" s="7">
        <f>MIN(Goals!$B$6,Goals!$C$6+Goals!$D$6*23)</f>
        <v>10050</v>
      </c>
      <c r="H25" s="7">
        <f>MIN(Goals!$B$7,Goals!$C$7+Goals!$D$7*23)</f>
        <v>4650</v>
      </c>
      <c r="I25" s="7">
        <f>MIN(Goals!$B$8,Goals!$C$8+Goals!$D$8*23)</f>
        <v>10900</v>
      </c>
      <c r="J25" s="7">
        <f>MIN('Emergency Fund'!$B$5,'Emergency Fund'!$B$7+'Emergency Fund'!$B$15*23)</f>
        <v>20012</v>
      </c>
      <c r="K25" s="7">
        <f>MIN(Goals!$B$3,Goals!$C$3+(Goals!$D$3+'Emergency Fund'!$B$14/6)*23)</f>
        <v>4500</v>
      </c>
      <c r="L25" s="7">
        <f>MIN(Goals!$B$4,Goals!$C$4+(Goals!$D$4+'Emergency Fund'!$B$14/6)*23)</f>
        <v>23066.666666666668</v>
      </c>
      <c r="M25" s="7">
        <f>MIN(Goals!$B$5,Goals!$C$5+(Goals!$D$5+'Emergency Fund'!$B$14/6)*23)</f>
        <v>9716.6666666666661</v>
      </c>
      <c r="N25" s="7">
        <f>MIN(Goals!$B$6,Goals!$C$6+(Goals!$D$6+'Emergency Fund'!$B$14/6)*23)</f>
        <v>10816.666666666666</v>
      </c>
      <c r="O25" s="7">
        <f>MIN(Goals!$B$7,Goals!$C$7+(Goals!$D$7+'Emergency Fund'!$B$14/6)*23)</f>
        <v>5416.666666666667</v>
      </c>
      <c r="P25" s="7">
        <f>MIN(Goals!$B$8,Goals!$C$8+(Goals!$D$8+'Emergency Fund'!$B$14/6)*23)</f>
        <v>11666.666666666666</v>
      </c>
    </row>
    <row r="26" spans="1:16" x14ac:dyDescent="0.25">
      <c r="A26" s="5">
        <v>24</v>
      </c>
      <c r="B26" s="13">
        <f ca="1">TODAY()+23*30.44</f>
        <v>46822.12</v>
      </c>
      <c r="C26" s="7">
        <f>MIN('Emergency Fund'!$B$5,'Emergency Fund'!$B$7+'Emergency Fund'!$B$8*24)</f>
        <v>20000</v>
      </c>
      <c r="D26" s="7">
        <f>MIN(Goals!$B$3,Goals!$C$3+Goals!$D$3*24)</f>
        <v>4500</v>
      </c>
      <c r="E26" s="7">
        <f>MIN(Goals!$B$4,Goals!$C$4+Goals!$D$4*24)</f>
        <v>22900</v>
      </c>
      <c r="F26" s="7">
        <f>MIN(Goals!$B$5,Goals!$C$5+Goals!$D$5*24)</f>
        <v>9200</v>
      </c>
      <c r="G26" s="7">
        <f>MIN(Goals!$B$6,Goals!$C$6+Goals!$D$6*24)</f>
        <v>10400</v>
      </c>
      <c r="H26" s="7">
        <f>MIN(Goals!$B$7,Goals!$C$7+Goals!$D$7*24)</f>
        <v>4800</v>
      </c>
      <c r="I26" s="7">
        <f>MIN(Goals!$B$8,Goals!$C$8+Goals!$D$8*24)</f>
        <v>11200</v>
      </c>
      <c r="J26" s="7">
        <f>MIN('Emergency Fund'!$B$5,'Emergency Fund'!$B$7+'Emergency Fund'!$B$15*24)</f>
        <v>20012</v>
      </c>
      <c r="K26" s="7">
        <f>MIN(Goals!$B$3,Goals!$C$3+(Goals!$D$3+'Emergency Fund'!$B$14/6)*24)</f>
        <v>4500</v>
      </c>
      <c r="L26" s="7">
        <f>MIN(Goals!$B$4,Goals!$C$4+(Goals!$D$4+'Emergency Fund'!$B$14/6)*24)</f>
        <v>23700</v>
      </c>
      <c r="M26" s="7">
        <f>MIN(Goals!$B$5,Goals!$C$5+(Goals!$D$5+'Emergency Fund'!$B$14/6)*24)</f>
        <v>10000</v>
      </c>
      <c r="N26" s="7">
        <f>MIN(Goals!$B$6,Goals!$C$6+(Goals!$D$6+'Emergency Fund'!$B$14/6)*24)</f>
        <v>11200</v>
      </c>
      <c r="O26" s="7">
        <f>MIN(Goals!$B$7,Goals!$C$7+(Goals!$D$7+'Emergency Fund'!$B$14/6)*24)</f>
        <v>5600</v>
      </c>
      <c r="P26" s="7">
        <f>MIN(Goals!$B$8,Goals!$C$8+(Goals!$D$8+'Emergency Fund'!$B$14/6)*24)</f>
        <v>12000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tabSelected="1" zoomScale="115" zoomScaleNormal="115" workbookViewId="0">
      <selection activeCell="I15" sqref="I15"/>
    </sheetView>
  </sheetViews>
  <sheetFormatPr defaultRowHeight="15" x14ac:dyDescent="0.25"/>
  <cols>
    <col min="1" max="1" width="34" customWidth="1"/>
    <col min="2" max="2" width="39" customWidth="1"/>
    <col min="3" max="3" width="22" customWidth="1"/>
  </cols>
  <sheetData>
    <row r="1" spans="1:3" ht="18" x14ac:dyDescent="0.25">
      <c r="A1" s="1" t="s">
        <v>83</v>
      </c>
      <c r="B1" s="2"/>
      <c r="C1" s="2"/>
    </row>
    <row r="2" spans="1:3" x14ac:dyDescent="0.25">
      <c r="A2" s="14" t="s">
        <v>84</v>
      </c>
      <c r="B2" s="2"/>
      <c r="C2" s="2"/>
    </row>
    <row r="3" spans="1:3" x14ac:dyDescent="0.25">
      <c r="A3" s="14" t="s">
        <v>85</v>
      </c>
      <c r="B3" s="2"/>
      <c r="C3" s="2"/>
    </row>
    <row r="4" spans="1:3" x14ac:dyDescent="0.25">
      <c r="A4" s="16" t="s">
        <v>1</v>
      </c>
      <c r="B4" s="16" t="s">
        <v>86</v>
      </c>
      <c r="C4" s="16" t="s">
        <v>52</v>
      </c>
    </row>
    <row r="5" spans="1:3" x14ac:dyDescent="0.25">
      <c r="A5" s="5" t="s">
        <v>67</v>
      </c>
      <c r="B5" s="7">
        <f>'Emergency Fund'!B7</f>
        <v>9200</v>
      </c>
      <c r="C5" s="7">
        <f>'Emergency Fund'!B5</f>
        <v>20012</v>
      </c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16" t="s">
        <v>87</v>
      </c>
      <c r="B8" s="16" t="s">
        <v>86</v>
      </c>
      <c r="C8" s="16" t="s">
        <v>52</v>
      </c>
    </row>
    <row r="9" spans="1:3" x14ac:dyDescent="0.25">
      <c r="A9" s="5" t="str">
        <f>Goals!A3</f>
        <v>Vacation</v>
      </c>
      <c r="B9" s="7">
        <f>Goals!C3</f>
        <v>1800</v>
      </c>
      <c r="C9" s="7">
        <f>Goals!B3</f>
        <v>4500</v>
      </c>
    </row>
    <row r="10" spans="1:3" x14ac:dyDescent="0.25">
      <c r="A10" s="5" t="str">
        <f>Goals!A4</f>
        <v>House Down Payment</v>
      </c>
      <c r="B10" s="7">
        <f>Goals!C4</f>
        <v>8500</v>
      </c>
      <c r="C10" s="7">
        <f>Goals!B4</f>
        <v>50000</v>
      </c>
    </row>
    <row r="11" spans="1:3" x14ac:dyDescent="0.25">
      <c r="A11" s="5" t="str">
        <f>Goals!A5</f>
        <v>New Car</v>
      </c>
      <c r="B11" s="7">
        <f>Goals!C5</f>
        <v>3200</v>
      </c>
      <c r="C11" s="7">
        <f>Goals!B5</f>
        <v>12000</v>
      </c>
    </row>
    <row r="12" spans="1:3" x14ac:dyDescent="0.25">
      <c r="A12" s="5" t="str">
        <f>Goals!A6</f>
        <v>Wedding</v>
      </c>
      <c r="B12" s="7">
        <f>Goals!C6</f>
        <v>2000</v>
      </c>
      <c r="C12" s="7">
        <f>Goals!B6</f>
        <v>18000</v>
      </c>
    </row>
    <row r="13" spans="1:3" x14ac:dyDescent="0.25">
      <c r="A13" s="5" t="str">
        <f>Goals!A7</f>
        <v>Home Renovation</v>
      </c>
      <c r="B13" s="7">
        <f>Goals!C7</f>
        <v>1200</v>
      </c>
      <c r="C13" s="7">
        <f>Goals!B7</f>
        <v>8000</v>
      </c>
    </row>
    <row r="14" spans="1:3" x14ac:dyDescent="0.25">
      <c r="A14" s="5" t="str">
        <f>Goals!A8</f>
        <v>Sabbatical Fund</v>
      </c>
      <c r="B14" s="7">
        <f>Goals!C8</f>
        <v>4000</v>
      </c>
      <c r="C14" s="7">
        <f>Goals!B8</f>
        <v>25000</v>
      </c>
    </row>
    <row r="15" spans="1:3" x14ac:dyDescent="0.25">
      <c r="A15" s="2"/>
      <c r="B15" s="2"/>
      <c r="C15" s="2"/>
    </row>
    <row r="16" spans="1:3" x14ac:dyDescent="0.25">
      <c r="A16" s="14" t="s">
        <v>88</v>
      </c>
      <c r="B16" s="2"/>
      <c r="C16" s="2"/>
    </row>
    <row r="17" spans="1:3" x14ac:dyDescent="0.25">
      <c r="A17" s="5" t="s">
        <v>89</v>
      </c>
      <c r="B17" s="9">
        <f>'Emergency Fund'!B7+SUM(Goals!C3:C8)</f>
        <v>29900</v>
      </c>
      <c r="C17" s="2"/>
    </row>
    <row r="18" spans="1:3" x14ac:dyDescent="0.25">
      <c r="A18" s="5" t="s">
        <v>90</v>
      </c>
      <c r="B18" s="9">
        <f>'Emergency Fund'!B8+SUM(Goals!D3:D8)</f>
        <v>2300</v>
      </c>
      <c r="C18" s="2"/>
    </row>
    <row r="19" spans="1:3" x14ac:dyDescent="0.25">
      <c r="A19" s="5" t="s">
        <v>91</v>
      </c>
      <c r="B19" s="17">
        <f>AVERAGE(Goals!F3:F8)</f>
        <v>46.485714285714288</v>
      </c>
      <c r="C19" s="2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showGridLines="0" zoomScale="175" zoomScaleNormal="175" workbookViewId="0">
      <selection activeCell="A21" sqref="A21"/>
    </sheetView>
  </sheetViews>
  <sheetFormatPr defaultRowHeight="15" x14ac:dyDescent="0.25"/>
  <cols>
    <col min="1" max="1" width="78.42578125" bestFit="1" customWidth="1"/>
  </cols>
  <sheetData>
    <row r="1" spans="1:1" x14ac:dyDescent="0.25">
      <c r="A1" s="18" t="s">
        <v>92</v>
      </c>
    </row>
    <row r="2" spans="1:1" x14ac:dyDescent="0.25">
      <c r="A2" s="19" t="s">
        <v>93</v>
      </c>
    </row>
    <row r="3" spans="1:1" x14ac:dyDescent="0.25">
      <c r="A3" s="19" t="s">
        <v>94</v>
      </c>
    </row>
    <row r="4" spans="1:1" x14ac:dyDescent="0.25">
      <c r="A4" s="19" t="s">
        <v>95</v>
      </c>
    </row>
    <row r="5" spans="1:1" x14ac:dyDescent="0.25">
      <c r="A5" s="19" t="s">
        <v>96</v>
      </c>
    </row>
    <row r="6" spans="1:1" x14ac:dyDescent="0.25">
      <c r="A6" s="19" t="s">
        <v>97</v>
      </c>
    </row>
    <row r="7" spans="1:1" x14ac:dyDescent="0.25">
      <c r="A7" s="19" t="s">
        <v>98</v>
      </c>
    </row>
    <row r="8" spans="1:1" x14ac:dyDescent="0.25">
      <c r="A8" s="19" t="s">
        <v>99</v>
      </c>
    </row>
    <row r="9" spans="1:1" x14ac:dyDescent="0.25">
      <c r="A9" s="19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Expenses</vt:lpstr>
      <vt:lpstr>Emergency Fund</vt:lpstr>
      <vt:lpstr>Goals</vt:lpstr>
      <vt:lpstr>Contributions</vt:lpstr>
      <vt:lpstr>Projections</vt:lpstr>
      <vt:lpstr>Dashboard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Frenzel, Tim</cp:lastModifiedBy>
  <dcterms:created xsi:type="dcterms:W3CDTF">2026-04-10T00:54:54Z</dcterms:created>
  <dcterms:modified xsi:type="dcterms:W3CDTF">2026-04-10T12:54:59Z</dcterms:modified>
</cp:coreProperties>
</file>