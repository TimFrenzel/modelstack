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Expenses" sheetId="1" state="visible" r:id="rId1"/>
    <sheet xmlns:r="http://schemas.openxmlformats.org/officeDocument/2006/relationships" name="Emergency Fund" sheetId="2" state="visible" r:id="rId2"/>
    <sheet xmlns:r="http://schemas.openxmlformats.org/officeDocument/2006/relationships" name="Goals" sheetId="3" state="visible" r:id="rId3"/>
    <sheet xmlns:r="http://schemas.openxmlformats.org/officeDocument/2006/relationships" name="Contributions" sheetId="4" state="visible" r:id="rId4"/>
    <sheet xmlns:r="http://schemas.openxmlformats.org/officeDocument/2006/relationships" name="Projection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Read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###0"/>
    <numFmt numFmtId="166" formatCode="m/d/yyyy"/>
  </numFmts>
  <fonts count="14">
    <font>
      <name val="Calibri"/>
      <family val="2"/>
      <color theme="1"/>
      <sz val="11"/>
      <scheme val="minor"/>
    </font>
    <font>
      <name val="Calibri"/>
      <b val="1"/>
      <color rgb="003E3428"/>
      <sz val="14"/>
    </font>
    <font>
      <name val="Calibri"/>
      <b val="1"/>
      <color rgb="00F5F2EA"/>
      <sz val="11"/>
    </font>
    <font>
      <name val="Calibri"/>
      <color rgb="003E3428"/>
      <sz val="11"/>
    </font>
    <font>
      <name val="Calibri"/>
      <b val="1"/>
      <color rgb="003E3428"/>
      <sz val="11"/>
    </font>
    <font>
      <name val="Calibri"/>
      <b val="1"/>
      <color rgb="006B8E6B"/>
      <sz val="11"/>
    </font>
    <font>
      <name val="Calibri"/>
      <color rgb="00999999"/>
      <sz val="11"/>
    </font>
    <font>
      <name val="Arial"/>
      <b val="1"/>
      <color rgb="003E3428"/>
      <sz val="14"/>
    </font>
    <font>
      <name val="Arial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3E3428"/>
      <sz val="11"/>
    </font>
    <font>
      <name val="Arial"/>
      <b val="1"/>
      <color rgb="003E3428"/>
      <sz val="11"/>
    </font>
    <font>
      <name val="Arial"/>
      <b val="1"/>
      <color rgb="006B8E6B"/>
      <sz val="11"/>
    </font>
    <font>
      <name val="Arial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6B8E6B"/>
      </patternFill>
    </fill>
    <fill>
      <patternFill patternType="solid">
        <fgColor rgb="00EBE6D8"/>
      </patternFill>
    </fill>
    <fill>
      <patternFill patternType="solid">
        <fgColor rgb="00D8E8D0"/>
      </patternFill>
    </fill>
    <fill>
      <patternFill patternType="solid">
        <fgColor rgb="00D8CEAA"/>
      </patternFill>
    </fill>
    <fill>
      <patternFill patternType="solid">
        <fgColor rgb="003A5A3A"/>
      </patternFill>
    </fill>
  </fills>
  <borders count="3">
    <border>
      <left/>
      <right/>
      <top/>
      <bottom/>
      <diagonal/>
    </border>
    <border>
      <bottom style="thin">
        <color rgb="00B8AFA4"/>
      </bottom>
    </border>
    <border>
      <right style="hair">
        <color rgb="00B8AFA4"/>
      </right>
      <bottom style="hair">
        <color rgb="00B8AFA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9" fillId="2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164" fontId="10" fillId="3" borderId="2" applyAlignment="1" pivotButton="0" quotePrefix="0" xfId="0">
      <alignment vertical="center"/>
    </xf>
    <xf numFmtId="164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0" fontId="12" fillId="4" borderId="0" applyAlignment="1" pivotButton="0" quotePrefix="0" xfId="0">
      <alignment vertical="center"/>
    </xf>
    <xf numFmtId="165" fontId="10" fillId="3" borderId="0" applyAlignment="1" pivotButton="0" quotePrefix="0" xfId="0">
      <alignment vertical="center"/>
    </xf>
    <xf numFmtId="164" fontId="10" fillId="3" borderId="0" applyAlignment="1" pivotButton="0" quotePrefix="0" xfId="0">
      <alignment vertical="center"/>
    </xf>
    <xf numFmtId="3" fontId="10" fillId="0" borderId="0" applyAlignment="1" pivotButton="0" quotePrefix="0" xfId="0">
      <alignment vertical="center"/>
    </xf>
    <xf numFmtId="166" fontId="10" fillId="0" borderId="0" applyAlignment="1" pivotButton="0" quotePrefix="0" xfId="0">
      <alignment vertical="center"/>
    </xf>
    <xf numFmtId="49" fontId="10" fillId="0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9" fillId="6" borderId="1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C8D8B0"/>
        </patternFill>
      </fill>
    </dxf>
    <dxf>
      <fill>
        <patternFill patternType="solid">
          <fgColor rgb="00E8C88A"/>
        </patternFill>
      </fill>
    </dxf>
    <dxf>
      <fill>
        <patternFill patternType="solid">
          <fgColor rgb="00B0C8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Baseline Projections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'Projections'!$D$4:$D$27</f>
            </numRef>
          </val>
        </ser>
        <ser>
          <idx val="1"/>
          <order val="1"/>
          <tx>
            <strRef>
              <f>'Projections'!E3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'Projections'!$E$4:$E$27</f>
            </numRef>
          </val>
        </ser>
        <ser>
          <idx val="2"/>
          <order val="2"/>
          <tx>
            <strRef>
              <f>'Projections'!F3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'Projections'!$F$4:$F$27</f>
            </numRef>
          </val>
        </ser>
        <ser>
          <idx val="3"/>
          <order val="3"/>
          <tx>
            <strRef>
              <f>'Projections'!G3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'Projections'!$G$4:$G$27</f>
            </numRef>
          </val>
        </ser>
        <ser>
          <idx val="4"/>
          <order val="4"/>
          <tx>
            <strRef>
              <f>'Projections'!H3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'Projections'!$H$4:$H$27</f>
            </numRef>
          </val>
        </ser>
        <ser>
          <idx val="5"/>
          <order val="5"/>
          <tx>
            <strRef>
              <f>'Projections'!I3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'Projections'!$I$4:$I$27</f>
            </numRef>
          </val>
        </ser>
        <ser>
          <idx val="6"/>
          <order val="6"/>
          <tx>
            <strRef>
              <f>'Projections'!J3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'Projections'!$J$4:$J$27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Boosted Scenario Projections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'Projections'!K3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'Projections'!$K$4:$K$27</f>
            </numRef>
          </val>
        </ser>
        <ser>
          <idx val="1"/>
          <order val="1"/>
          <tx>
            <strRef>
              <f>'Projections'!L3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'Projections'!$L$4:$L$27</f>
            </numRef>
          </val>
        </ser>
        <ser>
          <idx val="2"/>
          <order val="2"/>
          <tx>
            <strRef>
              <f>'Projections'!M3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'Projections'!$M$4:$M$27</f>
            </numRef>
          </val>
        </ser>
        <ser>
          <idx val="3"/>
          <order val="3"/>
          <tx>
            <strRef>
              <f>'Projections'!N3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'Projections'!$N$4:$N$27</f>
            </numRef>
          </val>
        </ser>
        <ser>
          <idx val="4"/>
          <order val="4"/>
          <tx>
            <strRef>
              <f>'Projections'!O3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'Projections'!$O$4:$O$27</f>
            </numRef>
          </val>
        </ser>
        <ser>
          <idx val="5"/>
          <order val="5"/>
          <tx>
            <strRef>
              <f>'Projections'!P3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'Projections'!$P$4:$P$27</f>
            </numRef>
          </val>
        </ser>
        <ser>
          <idx val="6"/>
          <order val="6"/>
          <tx>
            <strRef>
              <f>'Projections'!Q3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'Projections'!$C$4:$C$27</f>
            </numRef>
          </cat>
          <val>
            <numRef>
              <f>'Projections'!$Q$4:$Q$27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Emergency Fund: Current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'Dashboard'!$B$6</f>
            </numRef>
          </cat>
          <val>
            <numRef>
              <f>'Dashboard'!$C$6</f>
            </numRef>
          </val>
        </ser>
        <ser>
          <idx val="1"/>
          <order val="1"/>
          <tx>
            <strRef>
              <f>'Dashboard'!D5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'Dashboard'!$B$6</f>
            </numRef>
          </cat>
          <val>
            <numRef>
              <f>'Dashboard'!$D$6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Goal Progress: Current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'Dashboard'!$B$10:$B$15</f>
            </numRef>
          </cat>
          <val>
            <numRef>
              <f>'Dashboard'!$C$10:$C$15</f>
            </numRef>
          </val>
        </ser>
        <ser>
          <idx val="1"/>
          <order val="1"/>
          <tx>
            <strRef>
              <f>'Dashboard'!D9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'Dashboard'!$B$10:$B$15</f>
            </numRef>
          </cat>
          <val>
            <numRef>
              <f>'Dashboard'!$D$10:$D$15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46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14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/>
    <row r="2">
      <c r="B2" s="1" t="inlineStr">
        <is>
          <t>Essential Monthly Expenses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3" t="inlineStr">
        <is>
          <t>Category</t>
        </is>
      </c>
      <c r="C3" s="4" t="inlineStr">
        <is>
          <t>Jan</t>
        </is>
      </c>
      <c r="D3" s="4" t="inlineStr">
        <is>
          <t>Feb</t>
        </is>
      </c>
      <c r="E3" s="4" t="inlineStr">
        <is>
          <t>Mar</t>
        </is>
      </c>
      <c r="F3" s="4" t="inlineStr">
        <is>
          <t>Apr</t>
        </is>
      </c>
      <c r="G3" s="4" t="inlineStr">
        <is>
          <t>May</t>
        </is>
      </c>
      <c r="H3" s="4" t="inlineStr">
        <is>
          <t>Jun</t>
        </is>
      </c>
      <c r="I3" s="4" t="inlineStr">
        <is>
          <t>Jul</t>
        </is>
      </c>
      <c r="J3" s="4" t="inlineStr">
        <is>
          <t>Aug</t>
        </is>
      </c>
      <c r="K3" s="4" t="inlineStr">
        <is>
          <t>Sep</t>
        </is>
      </c>
      <c r="L3" s="4" t="inlineStr">
        <is>
          <t>Oct</t>
        </is>
      </c>
      <c r="M3" s="4" t="inlineStr">
        <is>
          <t>Nov</t>
        </is>
      </c>
      <c r="N3" s="4" t="inlineStr">
        <is>
          <t>Dec</t>
        </is>
      </c>
      <c r="O3" s="4" t="inlineStr">
        <is>
          <t>Annual Total</t>
        </is>
      </c>
    </row>
    <row r="4">
      <c r="B4" s="5" t="inlineStr">
        <is>
          <t>Rent/Mortgage</t>
        </is>
      </c>
      <c r="C4" s="6" t="n">
        <v>1305</v>
      </c>
      <c r="D4" s="6" t="n">
        <v>1461</v>
      </c>
      <c r="E4" s="6" t="n">
        <v>1325</v>
      </c>
      <c r="F4" s="6" t="n">
        <v>1613</v>
      </c>
      <c r="G4" s="6" t="n">
        <v>1505</v>
      </c>
      <c r="H4" s="6" t="n">
        <v>1297</v>
      </c>
      <c r="I4" s="6" t="n">
        <v>1295</v>
      </c>
      <c r="J4" s="6" t="n">
        <v>1606</v>
      </c>
      <c r="K4" s="6" t="n">
        <v>1344</v>
      </c>
      <c r="L4" s="6" t="n">
        <v>1605</v>
      </c>
      <c r="M4" s="6" t="n">
        <v>1559</v>
      </c>
      <c r="N4" s="6" t="n">
        <v>1502</v>
      </c>
      <c r="O4" s="7">
        <f>SUM(C4:N4)</f>
        <v/>
      </c>
    </row>
    <row r="5">
      <c r="B5" s="5" t="inlineStr">
        <is>
          <t>Utilities</t>
        </is>
      </c>
      <c r="C5" s="6" t="n">
        <v>177</v>
      </c>
      <c r="D5" s="6" t="n">
        <v>165</v>
      </c>
      <c r="E5" s="6" t="n">
        <v>164</v>
      </c>
      <c r="F5" s="6" t="n">
        <v>155</v>
      </c>
      <c r="G5" s="6" t="n">
        <v>148</v>
      </c>
      <c r="H5" s="6" t="n">
        <v>143</v>
      </c>
      <c r="I5" s="6" t="n">
        <v>156</v>
      </c>
      <c r="J5" s="6" t="n">
        <v>154</v>
      </c>
      <c r="K5" s="6" t="n">
        <v>173</v>
      </c>
      <c r="L5" s="6" t="n">
        <v>149</v>
      </c>
      <c r="M5" s="6" t="n">
        <v>155</v>
      </c>
      <c r="N5" s="6" t="n">
        <v>181</v>
      </c>
      <c r="O5" s="7">
        <f>SUM(C5:N5)</f>
        <v/>
      </c>
    </row>
    <row r="6">
      <c r="B6" s="5" t="inlineStr">
        <is>
          <t>Groceries</t>
        </is>
      </c>
      <c r="C6" s="6" t="n">
        <v>414</v>
      </c>
      <c r="D6" s="6" t="n">
        <v>419</v>
      </c>
      <c r="E6" s="6" t="n">
        <v>423</v>
      </c>
      <c r="F6" s="6" t="n">
        <v>449</v>
      </c>
      <c r="G6" s="6" t="n">
        <v>365</v>
      </c>
      <c r="H6" s="6" t="n">
        <v>432</v>
      </c>
      <c r="I6" s="6" t="n">
        <v>348</v>
      </c>
      <c r="J6" s="6" t="n">
        <v>371</v>
      </c>
      <c r="K6" s="6" t="n">
        <v>411</v>
      </c>
      <c r="L6" s="6" t="n">
        <v>378</v>
      </c>
      <c r="M6" s="6" t="n">
        <v>399</v>
      </c>
      <c r="N6" s="6" t="n">
        <v>367</v>
      </c>
      <c r="O6" s="7">
        <f>SUM(C6:N6)</f>
        <v/>
      </c>
    </row>
    <row r="7">
      <c r="B7" s="5" t="inlineStr">
        <is>
          <t>Insurance (Health/Auto/Renters)</t>
        </is>
      </c>
      <c r="C7" s="6" t="n">
        <v>389</v>
      </c>
      <c r="D7" s="6" t="n">
        <v>412</v>
      </c>
      <c r="E7" s="6" t="n">
        <v>434</v>
      </c>
      <c r="F7" s="6" t="n">
        <v>444</v>
      </c>
      <c r="G7" s="6" t="n">
        <v>420</v>
      </c>
      <c r="H7" s="6" t="n">
        <v>405</v>
      </c>
      <c r="I7" s="6" t="n">
        <v>479</v>
      </c>
      <c r="J7" s="6" t="n">
        <v>455</v>
      </c>
      <c r="K7" s="6" t="n">
        <v>426</v>
      </c>
      <c r="L7" s="6" t="n">
        <v>425</v>
      </c>
      <c r="M7" s="6" t="n">
        <v>376</v>
      </c>
      <c r="N7" s="6" t="n">
        <v>382</v>
      </c>
      <c r="O7" s="7">
        <f>SUM(C7:N7)</f>
        <v/>
      </c>
    </row>
    <row r="8">
      <c r="B8" s="5" t="inlineStr">
        <is>
          <t>Transport</t>
        </is>
      </c>
      <c r="C8" s="6" t="n">
        <v>158</v>
      </c>
      <c r="D8" s="6" t="n">
        <v>204</v>
      </c>
      <c r="E8" s="6" t="n">
        <v>198</v>
      </c>
      <c r="F8" s="6" t="n">
        <v>156</v>
      </c>
      <c r="G8" s="6" t="n">
        <v>190</v>
      </c>
      <c r="H8" s="6" t="n">
        <v>173</v>
      </c>
      <c r="I8" s="6" t="n">
        <v>189</v>
      </c>
      <c r="J8" s="6" t="n">
        <v>177</v>
      </c>
      <c r="K8" s="6" t="n">
        <v>171</v>
      </c>
      <c r="L8" s="6" t="n">
        <v>157</v>
      </c>
      <c r="M8" s="6" t="n">
        <v>163</v>
      </c>
      <c r="N8" s="6" t="n">
        <v>176</v>
      </c>
      <c r="O8" s="7">
        <f>SUM(C8:N8)</f>
        <v/>
      </c>
    </row>
    <row r="9">
      <c r="B9" s="5" t="inlineStr">
        <is>
          <t>Medical</t>
        </is>
      </c>
      <c r="C9" s="6" t="n">
        <v>48</v>
      </c>
      <c r="D9" s="6" t="n">
        <v>40</v>
      </c>
      <c r="E9" s="6" t="n">
        <v>44</v>
      </c>
      <c r="F9" s="6" t="n">
        <v>51</v>
      </c>
      <c r="G9" s="6" t="n">
        <v>40</v>
      </c>
      <c r="H9" s="6" t="n">
        <v>44</v>
      </c>
      <c r="I9" s="6" t="n">
        <v>50</v>
      </c>
      <c r="J9" s="6" t="n">
        <v>47</v>
      </c>
      <c r="K9" s="6" t="n">
        <v>51</v>
      </c>
      <c r="L9" s="6" t="n">
        <v>46</v>
      </c>
      <c r="M9" s="6" t="n">
        <v>47</v>
      </c>
      <c r="N9" s="6" t="n">
        <v>41</v>
      </c>
      <c r="O9" s="7">
        <f>SUM(C9:N9)</f>
        <v/>
      </c>
    </row>
    <row r="10">
      <c r="B10" s="5" t="inlineStr">
        <is>
          <t>Min Debt Payments</t>
        </is>
      </c>
      <c r="C10" s="6" t="n">
        <v>340</v>
      </c>
      <c r="D10" s="6" t="n">
        <v>353</v>
      </c>
      <c r="E10" s="6" t="n">
        <v>389</v>
      </c>
      <c r="F10" s="6" t="n">
        <v>368</v>
      </c>
      <c r="G10" s="6" t="n">
        <v>337</v>
      </c>
      <c r="H10" s="6" t="n">
        <v>390</v>
      </c>
      <c r="I10" s="6" t="n">
        <v>362</v>
      </c>
      <c r="J10" s="6" t="n">
        <v>373</v>
      </c>
      <c r="K10" s="6" t="n">
        <v>316</v>
      </c>
      <c r="L10" s="6" t="n">
        <v>325</v>
      </c>
      <c r="M10" s="6" t="n">
        <v>360</v>
      </c>
      <c r="N10" s="6" t="n">
        <v>343</v>
      </c>
      <c r="O10" s="7">
        <f>SUM(C10:N10)</f>
        <v/>
      </c>
    </row>
    <row r="11">
      <c r="B11" s="5" t="inlineStr">
        <is>
          <t>Phone</t>
        </is>
      </c>
      <c r="C11" s="6" t="n">
        <v>70</v>
      </c>
      <c r="D11" s="6" t="n">
        <v>84</v>
      </c>
      <c r="E11" s="6" t="n">
        <v>85</v>
      </c>
      <c r="F11" s="6" t="n">
        <v>79</v>
      </c>
      <c r="G11" s="6" t="n">
        <v>86</v>
      </c>
      <c r="H11" s="6" t="n">
        <v>80</v>
      </c>
      <c r="I11" s="6" t="n">
        <v>74</v>
      </c>
      <c r="J11" s="6" t="n">
        <v>66</v>
      </c>
      <c r="K11" s="6" t="n">
        <v>76</v>
      </c>
      <c r="L11" s="6" t="n">
        <v>84</v>
      </c>
      <c r="M11" s="6" t="n">
        <v>77</v>
      </c>
      <c r="N11" s="6" t="n">
        <v>80</v>
      </c>
      <c r="O11" s="7">
        <f>SUM(C11:N11)</f>
        <v/>
      </c>
    </row>
    <row r="12">
      <c r="B12" s="5" t="inlineStr">
        <is>
          <t>Internet</t>
        </is>
      </c>
      <c r="C12" s="6" t="n">
        <v>63</v>
      </c>
      <c r="D12" s="6" t="n">
        <v>56</v>
      </c>
      <c r="E12" s="6" t="n">
        <v>65</v>
      </c>
      <c r="F12" s="6" t="n">
        <v>62</v>
      </c>
      <c r="G12" s="6" t="n">
        <v>66</v>
      </c>
      <c r="H12" s="6" t="n">
        <v>74</v>
      </c>
      <c r="I12" s="6" t="n">
        <v>74</v>
      </c>
      <c r="J12" s="6" t="n">
        <v>73</v>
      </c>
      <c r="K12" s="6" t="n">
        <v>68</v>
      </c>
      <c r="L12" s="6" t="n">
        <v>66</v>
      </c>
      <c r="M12" s="6" t="n">
        <v>66</v>
      </c>
      <c r="N12" s="6" t="n">
        <v>73</v>
      </c>
      <c r="O12" s="7">
        <f>SUM(C12:N12)</f>
        <v/>
      </c>
    </row>
    <row r="13">
      <c r="B13" s="5" t="inlineStr">
        <is>
          <t>Childcare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7">
        <f>SUM(C13:N13)</f>
        <v/>
      </c>
    </row>
    <row r="14">
      <c r="B14" s="5" t="inlineStr">
        <is>
          <t>Pet Care</t>
        </is>
      </c>
      <c r="C14" s="6" t="n">
        <v>30</v>
      </c>
      <c r="D14" s="6" t="n">
        <v>30</v>
      </c>
      <c r="E14" s="6" t="n">
        <v>31</v>
      </c>
      <c r="F14" s="6" t="n">
        <v>34</v>
      </c>
      <c r="G14" s="6" t="n">
        <v>40</v>
      </c>
      <c r="H14" s="6" t="n">
        <v>39</v>
      </c>
      <c r="I14" s="6" t="n">
        <v>36</v>
      </c>
      <c r="J14" s="6" t="n">
        <v>40</v>
      </c>
      <c r="K14" s="6" t="n">
        <v>37</v>
      </c>
      <c r="L14" s="6" t="n">
        <v>38</v>
      </c>
      <c r="M14" s="6" t="n">
        <v>32</v>
      </c>
      <c r="N14" s="6" t="n">
        <v>31</v>
      </c>
      <c r="O14" s="7">
        <f>SUM(C14:N14)</f>
        <v/>
      </c>
    </row>
    <row r="15">
      <c r="B15" s="5" t="inlineStr">
        <is>
          <t>Essential Subscriptions</t>
        </is>
      </c>
      <c r="C15" s="6" t="n">
        <v>27</v>
      </c>
      <c r="D15" s="6" t="n">
        <v>33</v>
      </c>
      <c r="E15" s="6" t="n">
        <v>33</v>
      </c>
      <c r="F15" s="6" t="n">
        <v>31</v>
      </c>
      <c r="G15" s="6" t="n">
        <v>27</v>
      </c>
      <c r="H15" s="6" t="n">
        <v>29</v>
      </c>
      <c r="I15" s="6" t="n">
        <v>28</v>
      </c>
      <c r="J15" s="6" t="n">
        <v>31</v>
      </c>
      <c r="K15" s="6" t="n">
        <v>32</v>
      </c>
      <c r="L15" s="6" t="n">
        <v>33</v>
      </c>
      <c r="M15" s="6" t="n">
        <v>31</v>
      </c>
      <c r="N15" s="6" t="n">
        <v>28</v>
      </c>
      <c r="O15" s="7">
        <f>SUM(C15:N15)</f>
        <v/>
      </c>
    </row>
    <row r="16">
      <c r="B16" s="5" t="inlineStr">
        <is>
          <t>Personal Care</t>
        </is>
      </c>
      <c r="C16" s="6" t="n">
        <v>29</v>
      </c>
      <c r="D16" s="6" t="n">
        <v>27</v>
      </c>
      <c r="E16" s="6" t="n">
        <v>27</v>
      </c>
      <c r="F16" s="6" t="n">
        <v>26</v>
      </c>
      <c r="G16" s="6" t="n">
        <v>27</v>
      </c>
      <c r="H16" s="6" t="n">
        <v>34</v>
      </c>
      <c r="I16" s="6" t="n">
        <v>30</v>
      </c>
      <c r="J16" s="6" t="n">
        <v>34</v>
      </c>
      <c r="K16" s="6" t="n">
        <v>30</v>
      </c>
      <c r="L16" s="6" t="n">
        <v>28</v>
      </c>
      <c r="M16" s="6" t="n">
        <v>28</v>
      </c>
      <c r="N16" s="6" t="n">
        <v>30</v>
      </c>
      <c r="O16" s="7">
        <f>SUM(C16:N16)</f>
        <v/>
      </c>
    </row>
    <row r="17">
      <c r="B17" s="5" t="inlineStr">
        <is>
          <t>Clothing Basics</t>
        </is>
      </c>
      <c r="C17" s="6" t="n">
        <v>42</v>
      </c>
      <c r="D17" s="6" t="n">
        <v>38</v>
      </c>
      <c r="E17" s="6" t="n">
        <v>43</v>
      </c>
      <c r="F17" s="6" t="n">
        <v>34</v>
      </c>
      <c r="G17" s="6" t="n">
        <v>42</v>
      </c>
      <c r="H17" s="6" t="n">
        <v>36</v>
      </c>
      <c r="I17" s="6" t="n">
        <v>36</v>
      </c>
      <c r="J17" s="6" t="n">
        <v>44</v>
      </c>
      <c r="K17" s="6" t="n">
        <v>43</v>
      </c>
      <c r="L17" s="6" t="n">
        <v>37</v>
      </c>
      <c r="M17" s="6" t="n">
        <v>34</v>
      </c>
      <c r="N17" s="6" t="n">
        <v>43</v>
      </c>
      <c r="O17" s="7">
        <f>SUM(C17:N17)</f>
        <v/>
      </c>
    </row>
    <row r="18">
      <c r="B18" s="5" t="inlineStr">
        <is>
          <t>Other Essentials</t>
        </is>
      </c>
      <c r="C18" s="6" t="n">
        <v>56</v>
      </c>
      <c r="D18" s="6" t="n">
        <v>44</v>
      </c>
      <c r="E18" s="6" t="n">
        <v>57</v>
      </c>
      <c r="F18" s="6" t="n">
        <v>54</v>
      </c>
      <c r="G18" s="6" t="n">
        <v>46</v>
      </c>
      <c r="H18" s="6" t="n">
        <v>43</v>
      </c>
      <c r="I18" s="6" t="n">
        <v>53</v>
      </c>
      <c r="J18" s="6" t="n">
        <v>48</v>
      </c>
      <c r="K18" s="6" t="n">
        <v>47</v>
      </c>
      <c r="L18" s="6" t="n">
        <v>57</v>
      </c>
      <c r="M18" s="6" t="n">
        <v>44</v>
      </c>
      <c r="N18" s="6" t="n">
        <v>48</v>
      </c>
      <c r="O18" s="7">
        <f>SUM(C18:N18)</f>
        <v/>
      </c>
    </row>
    <row r="19">
      <c r="B19" s="8" t="inlineStr">
        <is>
          <t>Monthly Total</t>
        </is>
      </c>
      <c r="C19" s="9">
        <f>SUM(C4:C18)</f>
        <v/>
      </c>
      <c r="D19" s="9">
        <f>SUM(D4:D18)</f>
        <v/>
      </c>
      <c r="E19" s="9">
        <f>SUM(E4:E18)</f>
        <v/>
      </c>
      <c r="F19" s="9">
        <f>SUM(F4:F18)</f>
        <v/>
      </c>
      <c r="G19" s="9">
        <f>SUM(G4:G18)</f>
        <v/>
      </c>
      <c r="H19" s="9">
        <f>SUM(H4:H18)</f>
        <v/>
      </c>
      <c r="I19" s="9">
        <f>SUM(I4:I18)</f>
        <v/>
      </c>
      <c r="J19" s="9">
        <f>SUM(J4:J18)</f>
        <v/>
      </c>
      <c r="K19" s="9">
        <f>SUM(K4:K18)</f>
        <v/>
      </c>
      <c r="L19" s="9">
        <f>SUM(L4:L18)</f>
        <v/>
      </c>
      <c r="M19" s="9">
        <f>SUM(M4:M18)</f>
        <v/>
      </c>
      <c r="N19" s="9">
        <f>SUM(N4:N18)</f>
        <v/>
      </c>
      <c r="O19" s="9">
        <f>SUM(C19:N19)</f>
        <v/>
      </c>
    </row>
    <row r="20">
      <c r="B20" s="8" t="inlineStr">
        <is>
          <t>Annual Total</t>
        </is>
      </c>
      <c r="C20" s="9">
        <f>O19</f>
        <v/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B21" s="8" t="inlineStr">
        <is>
          <t>Average Monthly Essentials</t>
        </is>
      </c>
      <c r="C21" s="9">
        <f>C20/12</f>
        <v/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</cols>
  <sheetData>
    <row r="1"/>
    <row r="2">
      <c r="B2" s="1" t="inlineStr">
        <is>
          <t>Emergency Fund Planner</t>
        </is>
      </c>
      <c r="C2" s="2" t="n"/>
    </row>
    <row r="3">
      <c r="B3" s="10" t="inlineStr">
        <is>
          <t>Target Calculation</t>
        </is>
      </c>
      <c r="C3" s="2" t="n"/>
    </row>
    <row r="4">
      <c r="B4" s="5" t="inlineStr">
        <is>
          <t>Coverage Months</t>
        </is>
      </c>
      <c r="C4" s="11" t="n">
        <v>6</v>
      </c>
    </row>
    <row r="5">
      <c r="B5" s="5" t="inlineStr">
        <is>
          <t>Avg Monthly Essentials</t>
        </is>
      </c>
      <c r="C5" s="7">
        <f>'Monthly Expenses'!C21</f>
        <v/>
      </c>
    </row>
    <row r="6">
      <c r="B6" s="5" t="inlineStr">
        <is>
          <t>Target Amount</t>
        </is>
      </c>
      <c r="C6" s="7">
        <f>C4*C5</f>
        <v/>
      </c>
    </row>
    <row r="7">
      <c r="B7" s="10" t="inlineStr">
        <is>
          <t>Current Status</t>
        </is>
      </c>
      <c r="C7" s="2" t="n"/>
    </row>
    <row r="8">
      <c r="B8" s="5" t="inlineStr">
        <is>
          <t>Current Balance</t>
        </is>
      </c>
      <c r="C8" s="12" t="n">
        <v>9200</v>
      </c>
    </row>
    <row r="9">
      <c r="B9" s="5" t="inlineStr">
        <is>
          <t>Monthly Contribution</t>
        </is>
      </c>
      <c r="C9" s="12" t="n">
        <v>450</v>
      </c>
    </row>
    <row r="10">
      <c r="B10" s="5" t="inlineStr">
        <is>
          <t>Shortfall</t>
        </is>
      </c>
      <c r="C10" s="7">
        <f>MAX(0,C6-C8)</f>
        <v/>
      </c>
    </row>
    <row r="11">
      <c r="B11" s="5" t="inlineStr">
        <is>
          <t>Months to Fully Funded</t>
        </is>
      </c>
      <c r="C11" s="13">
        <f>IFERROR(IF(C10=0,0,C10/C9),0)</f>
        <v/>
      </c>
    </row>
    <row r="12">
      <c r="B12" s="5" t="inlineStr">
        <is>
          <t>Projected Funded Date</t>
        </is>
      </c>
      <c r="C12" s="14">
        <f>IF(C11=0,TODAY(),TODAY()+C11*30.44)</f>
        <v/>
      </c>
    </row>
    <row r="13">
      <c r="B13" s="5" t="inlineStr">
        <is>
          <t>Status</t>
        </is>
      </c>
      <c r="C13" s="15">
        <f>IF(C8&gt;=C6,"Fully Funded","Building")</f>
        <v/>
      </c>
    </row>
    <row r="14">
      <c r="B14" s="16" t="inlineStr">
        <is>
          <t>What-If Boost</t>
        </is>
      </c>
      <c r="C14" s="2" t="n"/>
    </row>
    <row r="15">
      <c r="B15" s="5" t="inlineStr">
        <is>
          <t>Extra Monthly Amount</t>
        </is>
      </c>
      <c r="C15" s="12" t="n">
        <v>200</v>
      </c>
    </row>
    <row r="16">
      <c r="B16" s="5" t="inlineStr">
        <is>
          <t>Boosted Contribution</t>
        </is>
      </c>
      <c r="C16" s="7">
        <f>C9+C15</f>
        <v/>
      </c>
    </row>
    <row r="17">
      <c r="B17" s="5" t="inlineStr">
        <is>
          <t>Boosted Months to Fund</t>
        </is>
      </c>
      <c r="C17" s="13">
        <f>IFERROR(IF(C10=0,0,C10/C16),0)</f>
        <v/>
      </c>
    </row>
    <row r="18">
      <c r="B18" s="5" t="inlineStr">
        <is>
          <t>Boosted Funded Date</t>
        </is>
      </c>
      <c r="C18" s="14">
        <f>IF(C17=0,TODAY(),TODAY()+C17*30.44)</f>
        <v/>
      </c>
    </row>
    <row r="19">
      <c r="B19" s="5" t="inlineStr">
        <is>
          <t>Time Saved (months)</t>
        </is>
      </c>
      <c r="C19" s="13">
        <f>MAX(0,C11-C17)</f>
        <v/>
      </c>
    </row>
  </sheetData>
  <conditionalFormatting sqref="C13">
    <cfRule type="cellIs" priority="1" operator="equal" dxfId="0">
      <formula>"Fully Funded"</formula>
    </cfRule>
    <cfRule type="cellIs" priority="2" operator="equal" dxfId="1">
      <formula>"Building"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/>
    <row r="2">
      <c r="B2" s="1" t="inlineStr">
        <is>
          <t>Savings Goals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B3" s="3" t="inlineStr">
        <is>
          <t>Goal Name</t>
        </is>
      </c>
      <c r="C3" s="4" t="inlineStr">
        <is>
          <t>Target</t>
        </is>
      </c>
      <c r="D3" s="4" t="inlineStr">
        <is>
          <t>Current Balance</t>
        </is>
      </c>
      <c r="E3" s="4" t="inlineStr">
        <is>
          <t>Monthly Contrib.</t>
        </is>
      </c>
      <c r="F3" s="4" t="inlineStr">
        <is>
          <t>Priority</t>
        </is>
      </c>
      <c r="G3" s="4" t="inlineStr">
        <is>
          <t>Proj. Months</t>
        </is>
      </c>
      <c r="H3" s="4" t="inlineStr">
        <is>
          <t>Proj. Date</t>
        </is>
      </c>
      <c r="I3" s="4" t="inlineStr">
        <is>
          <t>EF Redirect Months</t>
        </is>
      </c>
      <c r="J3" s="4" t="inlineStr">
        <is>
          <t>EF Redirect Date</t>
        </is>
      </c>
      <c r="K3" s="4" t="inlineStr">
        <is>
          <t>Status</t>
        </is>
      </c>
    </row>
    <row r="4">
      <c r="B4" s="5" t="inlineStr">
        <is>
          <t>Vacation</t>
        </is>
      </c>
      <c r="C4" s="12" t="n">
        <v>4500</v>
      </c>
      <c r="D4" s="12" t="n">
        <v>1800</v>
      </c>
      <c r="E4" s="12" t="n">
        <v>200</v>
      </c>
      <c r="F4" s="5" t="n">
        <v>2</v>
      </c>
      <c r="G4" s="13">
        <f>IFERROR(IF(D4&gt;=C4,0,(C4-D4)/E4),0)</f>
        <v/>
      </c>
      <c r="H4" s="14">
        <f>IF(G4=0,TODAY(),TODAY()+G4*30.44)</f>
        <v/>
      </c>
      <c r="I4" s="13">
        <f>IFERROR(IF(D4&gt;=C4,0,(C4-D4)/(E4+'Emergency Fund'!$C$9)),0)</f>
        <v/>
      </c>
      <c r="J4" s="14">
        <f>IF(I4=0,TODAY(),TODAY()+I4*30.44)</f>
        <v/>
      </c>
      <c r="K4" s="5">
        <f>IF(D4&gt;=C4,"Reached",IF(G4&lt;120,"On Track","Behind"))</f>
        <v/>
      </c>
    </row>
    <row r="5">
      <c r="B5" s="5" t="inlineStr">
        <is>
          <t>House Down Payment</t>
        </is>
      </c>
      <c r="C5" s="12" t="n">
        <v>50000</v>
      </c>
      <c r="D5" s="12" t="n">
        <v>8500</v>
      </c>
      <c r="E5" s="12" t="n">
        <v>600</v>
      </c>
      <c r="F5" s="5" t="n">
        <v>1</v>
      </c>
      <c r="G5" s="13">
        <f>IFERROR(IF(D5&gt;=C5,0,(C5-D5)/E5),0)</f>
        <v/>
      </c>
      <c r="H5" s="14">
        <f>IF(G5=0,TODAY(),TODAY()+G5*30.44)</f>
        <v/>
      </c>
      <c r="I5" s="13">
        <f>IFERROR(IF(D5&gt;=C5,0,(C5-D5)/(E5+'Emergency Fund'!$C$9)),0)</f>
        <v/>
      </c>
      <c r="J5" s="14">
        <f>IF(I5=0,TODAY(),TODAY()+I5*30.44)</f>
        <v/>
      </c>
      <c r="K5" s="5">
        <f>IF(D5&gt;=C5,"Reached",IF(G5&lt;120,"On Track","Behind"))</f>
        <v/>
      </c>
    </row>
    <row r="6">
      <c r="B6" s="5" t="inlineStr">
        <is>
          <t>New Car</t>
        </is>
      </c>
      <c r="C6" s="12" t="n">
        <v>12000</v>
      </c>
      <c r="D6" s="12" t="n">
        <v>3200</v>
      </c>
      <c r="E6" s="12" t="n">
        <v>250</v>
      </c>
      <c r="F6" s="5" t="n">
        <v>3</v>
      </c>
      <c r="G6" s="13">
        <f>IFERROR(IF(D6&gt;=C6,0,(C6-D6)/E6),0)</f>
        <v/>
      </c>
      <c r="H6" s="14">
        <f>IF(G6=0,TODAY(),TODAY()+G6*30.44)</f>
        <v/>
      </c>
      <c r="I6" s="13">
        <f>IFERROR(IF(D6&gt;=C6,0,(C6-D6)/(E6+'Emergency Fund'!$C$9)),0)</f>
        <v/>
      </c>
      <c r="J6" s="14">
        <f>IF(I6=0,TODAY(),TODAY()+I6*30.44)</f>
        <v/>
      </c>
      <c r="K6" s="5">
        <f>IF(D6&gt;=C6,"Reached",IF(G6&lt;120,"On Track","Behind"))</f>
        <v/>
      </c>
    </row>
    <row r="7">
      <c r="B7" s="5" t="inlineStr">
        <is>
          <t>Wedding</t>
        </is>
      </c>
      <c r="C7" s="12" t="n">
        <v>18000</v>
      </c>
      <c r="D7" s="12" t="n">
        <v>2000</v>
      </c>
      <c r="E7" s="12" t="n">
        <v>350</v>
      </c>
      <c r="F7" s="5" t="n">
        <v>4</v>
      </c>
      <c r="G7" s="13">
        <f>IFERROR(IF(D7&gt;=C7,0,(C7-D7)/E7),0)</f>
        <v/>
      </c>
      <c r="H7" s="14">
        <f>IF(G7=0,TODAY(),TODAY()+G7*30.44)</f>
        <v/>
      </c>
      <c r="I7" s="13">
        <f>IFERROR(IF(D7&gt;=C7,0,(C7-D7)/(E7+'Emergency Fund'!$C$9)),0)</f>
        <v/>
      </c>
      <c r="J7" s="14">
        <f>IF(I7=0,TODAY(),TODAY()+I7*30.44)</f>
        <v/>
      </c>
      <c r="K7" s="5">
        <f>IF(D7&gt;=C7,"Reached",IF(G7&lt;120,"On Track","Behind"))</f>
        <v/>
      </c>
    </row>
    <row r="8">
      <c r="B8" s="5" t="inlineStr">
        <is>
          <t>Home Renovation</t>
        </is>
      </c>
      <c r="C8" s="12" t="n">
        <v>8000</v>
      </c>
      <c r="D8" s="12" t="n">
        <v>1200</v>
      </c>
      <c r="E8" s="12" t="n">
        <v>150</v>
      </c>
      <c r="F8" s="5" t="n">
        <v>5</v>
      </c>
      <c r="G8" s="13">
        <f>IFERROR(IF(D8&gt;=C8,0,(C8-D8)/E8),0)</f>
        <v/>
      </c>
      <c r="H8" s="14">
        <f>IF(G8=0,TODAY(),TODAY()+G8*30.44)</f>
        <v/>
      </c>
      <c r="I8" s="13">
        <f>IFERROR(IF(D8&gt;=C8,0,(C8-D8)/(E8+'Emergency Fund'!$C$9)),0)</f>
        <v/>
      </c>
      <c r="J8" s="14">
        <f>IF(I8=0,TODAY(),TODAY()+I8*30.44)</f>
        <v/>
      </c>
      <c r="K8" s="5">
        <f>IF(D8&gt;=C8,"Reached",IF(G8&lt;120,"On Track","Behind"))</f>
        <v/>
      </c>
    </row>
    <row r="9">
      <c r="B9" s="5" t="inlineStr">
        <is>
          <t>Sabbatical Fund</t>
        </is>
      </c>
      <c r="C9" s="12" t="n">
        <v>25000</v>
      </c>
      <c r="D9" s="12" t="n">
        <v>4000</v>
      </c>
      <c r="E9" s="12" t="n">
        <v>300</v>
      </c>
      <c r="F9" s="5" t="n">
        <v>3</v>
      </c>
      <c r="G9" s="13">
        <f>IFERROR(IF(D9&gt;=C9,0,(C9-D9)/E9),0)</f>
        <v/>
      </c>
      <c r="H9" s="14">
        <f>IF(G9=0,TODAY(),TODAY()+G9*30.44)</f>
        <v/>
      </c>
      <c r="I9" s="13">
        <f>IFERROR(IF(D9&gt;=C9,0,(C9-D9)/(E9+'Emergency Fund'!$C$9)),0)</f>
        <v/>
      </c>
      <c r="J9" s="14">
        <f>IF(I9=0,TODAY(),TODAY()+I9*30.44)</f>
        <v/>
      </c>
      <c r="K9" s="5">
        <f>IF(D9&gt;=C9,"Reached",IF(G9&lt;120,"On Track","Behind"))</f>
        <v/>
      </c>
    </row>
  </sheetData>
  <conditionalFormatting sqref="K4:K9">
    <cfRule type="cellIs" priority="1" operator="equal" dxfId="0">
      <formula>"Reached"</formula>
    </cfRule>
    <cfRule type="cellIs" priority="2" operator="equal" dxfId="2">
      <formula>"On Track"</formula>
    </cfRule>
    <cfRule type="cellIs" priority="3" operator="equal" dxfId="1">
      <formula>"Behind"</formula>
    </cfRule>
  </conditionalFormatting>
  <dataValidations count="1">
    <dataValidation sqref="F4 F5 F6 F7 F8 F9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Monthly Contribution Log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B3" s="3" t="inlineStr">
        <is>
          <t>Month</t>
        </is>
      </c>
      <c r="C3" s="4" t="inlineStr">
        <is>
          <t>Emergency Fund</t>
        </is>
      </c>
      <c r="D3" s="4" t="inlineStr">
        <is>
          <t>Vacation</t>
        </is>
      </c>
      <c r="E3" s="4" t="inlineStr">
        <is>
          <t>House Down Payment</t>
        </is>
      </c>
      <c r="F3" s="4" t="inlineStr">
        <is>
          <t>New Car</t>
        </is>
      </c>
      <c r="G3" s="4" t="inlineStr">
        <is>
          <t>Wedding</t>
        </is>
      </c>
      <c r="H3" s="4" t="inlineStr">
        <is>
          <t>Home Renovation</t>
        </is>
      </c>
      <c r="I3" s="4" t="inlineStr">
        <is>
          <t>Sabbatical Fund</t>
        </is>
      </c>
      <c r="J3" s="4" t="inlineStr">
        <is>
          <t>Total Actual</t>
        </is>
      </c>
      <c r="K3" s="4" t="inlineStr">
        <is>
          <t>Total Planned</t>
        </is>
      </c>
      <c r="L3" s="4" t="inlineStr">
        <is>
          <t>Variance</t>
        </is>
      </c>
    </row>
    <row r="4">
      <c r="B4" s="5" t="inlineStr">
        <is>
          <t>Jan</t>
        </is>
      </c>
      <c r="C4" s="12" t="n">
        <v>491</v>
      </c>
      <c r="D4" s="12" t="n">
        <v>186</v>
      </c>
      <c r="E4" s="12" t="n">
        <v>594</v>
      </c>
      <c r="F4" s="12" t="n">
        <v>234</v>
      </c>
      <c r="G4" s="12" t="n">
        <v>336</v>
      </c>
      <c r="H4" s="12" t="n">
        <v>134</v>
      </c>
      <c r="I4" s="12" t="n">
        <v>310</v>
      </c>
      <c r="J4" s="7">
        <f>SUM(C4:I4)</f>
        <v/>
      </c>
      <c r="K4" s="7" t="n">
        <v>2300</v>
      </c>
      <c r="L4" s="7">
        <f>J4-K4</f>
        <v/>
      </c>
    </row>
    <row r="5">
      <c r="B5" s="5" t="inlineStr">
        <is>
          <t>Feb</t>
        </is>
      </c>
      <c r="C5" s="12" t="n">
        <v>430</v>
      </c>
      <c r="D5" s="12" t="n">
        <v>225</v>
      </c>
      <c r="E5" s="12" t="n">
        <v>595</v>
      </c>
      <c r="F5" s="12" t="n">
        <v>245</v>
      </c>
      <c r="G5" s="12" t="n">
        <v>351</v>
      </c>
      <c r="H5" s="12" t="n">
        <v>161</v>
      </c>
      <c r="I5" s="12" t="n">
        <v>309</v>
      </c>
      <c r="J5" s="7">
        <f>SUM(C5:I5)</f>
        <v/>
      </c>
      <c r="K5" s="7" t="n">
        <v>2300</v>
      </c>
      <c r="L5" s="7">
        <f>J5-K5</f>
        <v/>
      </c>
    </row>
    <row r="6">
      <c r="B6" s="5" t="inlineStr">
        <is>
          <t>Mar</t>
        </is>
      </c>
      <c r="C6" s="12" t="n">
        <v>460</v>
      </c>
      <c r="D6" s="12" t="n">
        <v>202</v>
      </c>
      <c r="E6" s="12" t="n">
        <v>625</v>
      </c>
      <c r="F6" s="12" t="n">
        <v>242</v>
      </c>
      <c r="G6" s="12" t="n">
        <v>349</v>
      </c>
      <c r="H6" s="12" t="n">
        <v>165</v>
      </c>
      <c r="I6" s="12" t="n">
        <v>283</v>
      </c>
      <c r="J6" s="7">
        <f>SUM(C6:I6)</f>
        <v/>
      </c>
      <c r="K6" s="7" t="n">
        <v>2300</v>
      </c>
      <c r="L6" s="7">
        <f>J6-K6</f>
        <v/>
      </c>
    </row>
    <row r="7">
      <c r="B7" s="5" t="inlineStr">
        <is>
          <t>Apr</t>
        </is>
      </c>
      <c r="C7" s="12" t="n">
        <v>442</v>
      </c>
      <c r="D7" s="12" t="n">
        <v>211</v>
      </c>
      <c r="E7" s="12" t="n">
        <v>598</v>
      </c>
      <c r="F7" s="12" t="n">
        <v>258</v>
      </c>
      <c r="G7" s="12" t="n">
        <v>335</v>
      </c>
      <c r="H7" s="12" t="n">
        <v>180</v>
      </c>
      <c r="I7" s="12" t="n">
        <v>284</v>
      </c>
      <c r="J7" s="7">
        <f>SUM(C7:I7)</f>
        <v/>
      </c>
      <c r="K7" s="7" t="n">
        <v>2300</v>
      </c>
      <c r="L7" s="7">
        <f>J7-K7</f>
        <v/>
      </c>
    </row>
    <row r="8">
      <c r="B8" s="5" t="inlineStr">
        <is>
          <t>May</t>
        </is>
      </c>
      <c r="C8" s="12" t="n">
        <v>478</v>
      </c>
      <c r="D8" s="12" t="n">
        <v>195</v>
      </c>
      <c r="E8" s="12" t="n">
        <v>606</v>
      </c>
      <c r="F8" s="12" t="n">
        <v>271</v>
      </c>
      <c r="G8" s="12" t="n">
        <v>375</v>
      </c>
      <c r="H8" s="12" t="n">
        <v>177</v>
      </c>
      <c r="I8" s="12" t="n">
        <v>327</v>
      </c>
      <c r="J8" s="7">
        <f>SUM(C8:I8)</f>
        <v/>
      </c>
      <c r="K8" s="7" t="n">
        <v>2300</v>
      </c>
      <c r="L8" s="7">
        <f>J8-K8</f>
        <v/>
      </c>
    </row>
    <row r="9">
      <c r="B9" s="5" t="inlineStr">
        <is>
          <t>Jun</t>
        </is>
      </c>
      <c r="C9" s="12" t="n">
        <v>437</v>
      </c>
      <c r="D9" s="12" t="n">
        <v>181</v>
      </c>
      <c r="E9" s="12" t="n">
        <v>625</v>
      </c>
      <c r="F9" s="12" t="n">
        <v>270</v>
      </c>
      <c r="G9" s="12" t="n">
        <v>332</v>
      </c>
      <c r="H9" s="12" t="n">
        <v>179</v>
      </c>
      <c r="I9" s="12" t="n">
        <v>312</v>
      </c>
      <c r="J9" s="7">
        <f>SUM(C9:I9)</f>
        <v/>
      </c>
      <c r="K9" s="7" t="n">
        <v>2300</v>
      </c>
      <c r="L9" s="7">
        <f>J9-K9</f>
        <v/>
      </c>
    </row>
    <row r="10">
      <c r="B10" s="5" t="inlineStr">
        <is>
          <t>Jul</t>
        </is>
      </c>
      <c r="C10" s="12" t="n">
        <v>421</v>
      </c>
      <c r="D10" s="12" t="n">
        <v>227</v>
      </c>
      <c r="E10" s="12" t="n">
        <v>598</v>
      </c>
      <c r="F10" s="12" t="n">
        <v>275</v>
      </c>
      <c r="G10" s="12" t="n">
        <v>340</v>
      </c>
      <c r="H10" s="12" t="n">
        <v>154</v>
      </c>
      <c r="I10" s="12" t="n">
        <v>287</v>
      </c>
      <c r="J10" s="7">
        <f>SUM(C10:I10)</f>
        <v/>
      </c>
      <c r="K10" s="7" t="n">
        <v>2300</v>
      </c>
      <c r="L10" s="7">
        <f>J10-K10</f>
        <v/>
      </c>
    </row>
    <row r="11">
      <c r="B11" s="5" t="inlineStr">
        <is>
          <t>Aug</t>
        </is>
      </c>
      <c r="C11" s="12" t="n">
        <v>494</v>
      </c>
      <c r="D11" s="12" t="n">
        <v>191</v>
      </c>
      <c r="E11" s="12" t="n">
        <v>591</v>
      </c>
      <c r="F11" s="12" t="n">
        <v>251</v>
      </c>
      <c r="G11" s="12" t="n">
        <v>343</v>
      </c>
      <c r="H11" s="12" t="n">
        <v>130</v>
      </c>
      <c r="I11" s="12" t="n">
        <v>303</v>
      </c>
      <c r="J11" s="7">
        <f>SUM(C11:I11)</f>
        <v/>
      </c>
      <c r="K11" s="7" t="n">
        <v>2300</v>
      </c>
      <c r="L11" s="7">
        <f>J11-K11</f>
        <v/>
      </c>
    </row>
    <row r="12">
      <c r="B12" s="5" t="inlineStr">
        <is>
          <t>Sep</t>
        </is>
      </c>
      <c r="C12" s="12" t="n">
        <v>462</v>
      </c>
      <c r="D12" s="12" t="n">
        <v>211</v>
      </c>
      <c r="E12" s="12" t="n">
        <v>582</v>
      </c>
      <c r="F12" s="12" t="n">
        <v>280</v>
      </c>
      <c r="G12" s="12" t="n">
        <v>347</v>
      </c>
      <c r="H12" s="12" t="n">
        <v>144</v>
      </c>
      <c r="I12" s="12" t="n">
        <v>319</v>
      </c>
      <c r="J12" s="7">
        <f>SUM(C12:I12)</f>
        <v/>
      </c>
      <c r="K12" s="7" t="n">
        <v>2300</v>
      </c>
      <c r="L12" s="7">
        <f>J12-K12</f>
        <v/>
      </c>
    </row>
    <row r="13">
      <c r="B13" s="5" t="inlineStr">
        <is>
          <t>Oct</t>
        </is>
      </c>
      <c r="C13" s="12" t="n">
        <v>470</v>
      </c>
      <c r="D13" s="12" t="n">
        <v>199</v>
      </c>
      <c r="E13" s="12" t="n">
        <v>582</v>
      </c>
      <c r="F13" s="12" t="n">
        <v>242</v>
      </c>
      <c r="G13" s="12" t="n">
        <v>369</v>
      </c>
      <c r="H13" s="12" t="n">
        <v>160</v>
      </c>
      <c r="I13" s="12" t="n">
        <v>318</v>
      </c>
      <c r="J13" s="7">
        <f>SUM(C13:I13)</f>
        <v/>
      </c>
      <c r="K13" s="7" t="n">
        <v>2300</v>
      </c>
      <c r="L13" s="7">
        <f>J13-K13</f>
        <v/>
      </c>
    </row>
    <row r="14">
      <c r="B14" s="5" t="inlineStr">
        <is>
          <t>Nov</t>
        </is>
      </c>
      <c r="C14" s="12" t="n">
        <v>422</v>
      </c>
      <c r="D14" s="12" t="n">
        <v>210</v>
      </c>
      <c r="E14" s="12" t="n">
        <v>590</v>
      </c>
      <c r="F14" s="12" t="n">
        <v>249</v>
      </c>
      <c r="G14" s="12" t="n">
        <v>361</v>
      </c>
      <c r="H14" s="12" t="n">
        <v>158</v>
      </c>
      <c r="I14" s="12" t="n">
        <v>286</v>
      </c>
      <c r="J14" s="7">
        <f>SUM(C14:I14)</f>
        <v/>
      </c>
      <c r="K14" s="7" t="n">
        <v>2300</v>
      </c>
      <c r="L14" s="7">
        <f>J14-K14</f>
        <v/>
      </c>
    </row>
    <row r="15">
      <c r="B15" s="5" t="inlineStr">
        <is>
          <t>Dec</t>
        </is>
      </c>
      <c r="C15" s="12" t="n">
        <v>480</v>
      </c>
      <c r="D15" s="12" t="n">
        <v>215</v>
      </c>
      <c r="E15" s="12" t="n">
        <v>583</v>
      </c>
      <c r="F15" s="12" t="n">
        <v>242</v>
      </c>
      <c r="G15" s="12" t="n">
        <v>354</v>
      </c>
      <c r="H15" s="12" t="n">
        <v>156</v>
      </c>
      <c r="I15" s="12" t="n">
        <v>287</v>
      </c>
      <c r="J15" s="7">
        <f>SUM(C15:I15)</f>
        <v/>
      </c>
      <c r="K15" s="7" t="n">
        <v>2300</v>
      </c>
      <c r="L15" s="7">
        <f>J15-K15</f>
        <v/>
      </c>
    </row>
    <row r="16"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B17" s="17" t="inlineStr">
        <is>
          <t>Running Balance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B18" s="2" t="n"/>
      <c r="C18" s="9">
        <f>SUM(C4:C15)</f>
        <v/>
      </c>
      <c r="D18" s="9">
        <f>SUM(D4:D15)</f>
        <v/>
      </c>
      <c r="E18" s="9">
        <f>SUM(E4:E15)</f>
        <v/>
      </c>
      <c r="F18" s="9">
        <f>SUM(F4:F15)</f>
        <v/>
      </c>
      <c r="G18" s="9">
        <f>SUM(G4:G15)</f>
        <v/>
      </c>
      <c r="H18" s="9">
        <f>SUM(H4:H15)</f>
        <v/>
      </c>
      <c r="I18" s="9">
        <f>SUM(I4:I15)</f>
        <v/>
      </c>
      <c r="J18" s="2" t="n"/>
      <c r="K18" s="2" t="n"/>
      <c r="L18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/>
    <row r="2">
      <c r="B2" s="1" t="inlineStr">
        <is>
          <t>24-Month Forward Projections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B3" s="4" t="inlineStr">
        <is>
          <t>Month #</t>
        </is>
      </c>
      <c r="C3" s="4" t="inlineStr">
        <is>
          <t>Date</t>
        </is>
      </c>
      <c r="D3" s="4" t="inlineStr">
        <is>
          <t>EF Balance</t>
        </is>
      </c>
      <c r="E3" s="4" t="inlineStr">
        <is>
          <t>Vacation</t>
        </is>
      </c>
      <c r="F3" s="4" t="inlineStr">
        <is>
          <t>House Down Payment</t>
        </is>
      </c>
      <c r="G3" s="4" t="inlineStr">
        <is>
          <t>New Car</t>
        </is>
      </c>
      <c r="H3" s="4" t="inlineStr">
        <is>
          <t>Wedding</t>
        </is>
      </c>
      <c r="I3" s="4" t="inlineStr">
        <is>
          <t>Home Renovation</t>
        </is>
      </c>
      <c r="J3" s="4" t="inlineStr">
        <is>
          <t>Sabbatical Fund</t>
        </is>
      </c>
      <c r="K3" s="18" t="inlineStr">
        <is>
          <t>EF Boosted</t>
        </is>
      </c>
      <c r="L3" s="18" t="inlineStr">
        <is>
          <t>Vacation Boosted</t>
        </is>
      </c>
      <c r="M3" s="18" t="inlineStr">
        <is>
          <t>House Down Payment Boosted</t>
        </is>
      </c>
      <c r="N3" s="18" t="inlineStr">
        <is>
          <t>New Car Boosted</t>
        </is>
      </c>
      <c r="O3" s="18" t="inlineStr">
        <is>
          <t>Wedding Boosted</t>
        </is>
      </c>
      <c r="P3" s="18" t="inlineStr">
        <is>
          <t>Home Renovation Boosted</t>
        </is>
      </c>
      <c r="Q3" s="18" t="inlineStr">
        <is>
          <t>Sabbatical Fund Boosted</t>
        </is>
      </c>
    </row>
    <row r="4">
      <c r="B4" s="5" t="n">
        <v>1</v>
      </c>
      <c r="C4" s="14">
        <f>TODAY()+0*30.44</f>
        <v/>
      </c>
      <c r="D4" s="7">
        <f>MIN('Emergency Fund'!$C$6,'Emergency Fund'!$C$8+'Emergency Fund'!$C$9*1)</f>
        <v/>
      </c>
      <c r="E4" s="7">
        <f>MIN(Goals!$C$4,Goals!$D$4+Goals!$E$4*1)</f>
        <v/>
      </c>
      <c r="F4" s="7">
        <f>MIN(Goals!$C$5,Goals!$D$5+Goals!$E$5*1)</f>
        <v/>
      </c>
      <c r="G4" s="7">
        <f>MIN(Goals!$C$6,Goals!$D$6+Goals!$E$6*1)</f>
        <v/>
      </c>
      <c r="H4" s="7">
        <f>MIN(Goals!$C$7,Goals!$D$7+Goals!$E$7*1)</f>
        <v/>
      </c>
      <c r="I4" s="7">
        <f>MIN(Goals!$C$8,Goals!$D$8+Goals!$E$8*1)</f>
        <v/>
      </c>
      <c r="J4" s="7">
        <f>MIN(Goals!$C$9,Goals!$D$9+Goals!$E$9*1)</f>
        <v/>
      </c>
      <c r="K4" s="7">
        <f>MIN('Emergency Fund'!$C$6,'Emergency Fund'!$C$8+'Emergency Fund'!$C$16*1)</f>
        <v/>
      </c>
      <c r="L4" s="7">
        <f>MIN(Goals!$C$4,Goals!$D$4+(Goals!$E$4+'Emergency Fund'!$C$15/6)*1)</f>
        <v/>
      </c>
      <c r="M4" s="7">
        <f>MIN(Goals!$C$5,Goals!$D$5+(Goals!$E$5+'Emergency Fund'!$C$15/6)*1)</f>
        <v/>
      </c>
      <c r="N4" s="7">
        <f>MIN(Goals!$C$6,Goals!$D$6+(Goals!$E$6+'Emergency Fund'!$C$15/6)*1)</f>
        <v/>
      </c>
      <c r="O4" s="7">
        <f>MIN(Goals!$C$7,Goals!$D$7+(Goals!$E$7+'Emergency Fund'!$C$15/6)*1)</f>
        <v/>
      </c>
      <c r="P4" s="7">
        <f>MIN(Goals!$C$8,Goals!$D$8+(Goals!$E$8+'Emergency Fund'!$C$15/6)*1)</f>
        <v/>
      </c>
      <c r="Q4" s="7">
        <f>MIN(Goals!$C$9,Goals!$D$9+(Goals!$E$9+'Emergency Fund'!$C$15/6)*1)</f>
        <v/>
      </c>
    </row>
    <row r="5">
      <c r="B5" s="5" t="n">
        <v>2</v>
      </c>
      <c r="C5" s="14">
        <f>TODAY()+1*30.44</f>
        <v/>
      </c>
      <c r="D5" s="7">
        <f>MIN('Emergency Fund'!$C$6,'Emergency Fund'!$C$8+'Emergency Fund'!$C$9*2)</f>
        <v/>
      </c>
      <c r="E5" s="7">
        <f>MIN(Goals!$C$4,Goals!$D$4+Goals!$E$4*2)</f>
        <v/>
      </c>
      <c r="F5" s="7">
        <f>MIN(Goals!$C$5,Goals!$D$5+Goals!$E$5*2)</f>
        <v/>
      </c>
      <c r="G5" s="7">
        <f>MIN(Goals!$C$6,Goals!$D$6+Goals!$E$6*2)</f>
        <v/>
      </c>
      <c r="H5" s="7">
        <f>MIN(Goals!$C$7,Goals!$D$7+Goals!$E$7*2)</f>
        <v/>
      </c>
      <c r="I5" s="7">
        <f>MIN(Goals!$C$8,Goals!$D$8+Goals!$E$8*2)</f>
        <v/>
      </c>
      <c r="J5" s="7">
        <f>MIN(Goals!$C$9,Goals!$D$9+Goals!$E$9*2)</f>
        <v/>
      </c>
      <c r="K5" s="7">
        <f>MIN('Emergency Fund'!$C$6,'Emergency Fund'!$C$8+'Emergency Fund'!$C$16*2)</f>
        <v/>
      </c>
      <c r="L5" s="7">
        <f>MIN(Goals!$C$4,Goals!$D$4+(Goals!$E$4+'Emergency Fund'!$C$15/6)*2)</f>
        <v/>
      </c>
      <c r="M5" s="7">
        <f>MIN(Goals!$C$5,Goals!$D$5+(Goals!$E$5+'Emergency Fund'!$C$15/6)*2)</f>
        <v/>
      </c>
      <c r="N5" s="7">
        <f>MIN(Goals!$C$6,Goals!$D$6+(Goals!$E$6+'Emergency Fund'!$C$15/6)*2)</f>
        <v/>
      </c>
      <c r="O5" s="7">
        <f>MIN(Goals!$C$7,Goals!$D$7+(Goals!$E$7+'Emergency Fund'!$C$15/6)*2)</f>
        <v/>
      </c>
      <c r="P5" s="7">
        <f>MIN(Goals!$C$8,Goals!$D$8+(Goals!$E$8+'Emergency Fund'!$C$15/6)*2)</f>
        <v/>
      </c>
      <c r="Q5" s="7">
        <f>MIN(Goals!$C$9,Goals!$D$9+(Goals!$E$9+'Emergency Fund'!$C$15/6)*2)</f>
        <v/>
      </c>
    </row>
    <row r="6">
      <c r="B6" s="5" t="n">
        <v>3</v>
      </c>
      <c r="C6" s="14">
        <f>TODAY()+2*30.44</f>
        <v/>
      </c>
      <c r="D6" s="7">
        <f>MIN('Emergency Fund'!$C$6,'Emergency Fund'!$C$8+'Emergency Fund'!$C$9*3)</f>
        <v/>
      </c>
      <c r="E6" s="7">
        <f>MIN(Goals!$C$4,Goals!$D$4+Goals!$E$4*3)</f>
        <v/>
      </c>
      <c r="F6" s="7">
        <f>MIN(Goals!$C$5,Goals!$D$5+Goals!$E$5*3)</f>
        <v/>
      </c>
      <c r="G6" s="7">
        <f>MIN(Goals!$C$6,Goals!$D$6+Goals!$E$6*3)</f>
        <v/>
      </c>
      <c r="H6" s="7">
        <f>MIN(Goals!$C$7,Goals!$D$7+Goals!$E$7*3)</f>
        <v/>
      </c>
      <c r="I6" s="7">
        <f>MIN(Goals!$C$8,Goals!$D$8+Goals!$E$8*3)</f>
        <v/>
      </c>
      <c r="J6" s="7">
        <f>MIN(Goals!$C$9,Goals!$D$9+Goals!$E$9*3)</f>
        <v/>
      </c>
      <c r="K6" s="7">
        <f>MIN('Emergency Fund'!$C$6,'Emergency Fund'!$C$8+'Emergency Fund'!$C$16*3)</f>
        <v/>
      </c>
      <c r="L6" s="7">
        <f>MIN(Goals!$C$4,Goals!$D$4+(Goals!$E$4+'Emergency Fund'!$C$15/6)*3)</f>
        <v/>
      </c>
      <c r="M6" s="7">
        <f>MIN(Goals!$C$5,Goals!$D$5+(Goals!$E$5+'Emergency Fund'!$C$15/6)*3)</f>
        <v/>
      </c>
      <c r="N6" s="7">
        <f>MIN(Goals!$C$6,Goals!$D$6+(Goals!$E$6+'Emergency Fund'!$C$15/6)*3)</f>
        <v/>
      </c>
      <c r="O6" s="7">
        <f>MIN(Goals!$C$7,Goals!$D$7+(Goals!$E$7+'Emergency Fund'!$C$15/6)*3)</f>
        <v/>
      </c>
      <c r="P6" s="7">
        <f>MIN(Goals!$C$8,Goals!$D$8+(Goals!$E$8+'Emergency Fund'!$C$15/6)*3)</f>
        <v/>
      </c>
      <c r="Q6" s="7">
        <f>MIN(Goals!$C$9,Goals!$D$9+(Goals!$E$9+'Emergency Fund'!$C$15/6)*3)</f>
        <v/>
      </c>
    </row>
    <row r="7">
      <c r="B7" s="5" t="n">
        <v>4</v>
      </c>
      <c r="C7" s="14">
        <f>TODAY()+3*30.44</f>
        <v/>
      </c>
      <c r="D7" s="7">
        <f>MIN('Emergency Fund'!$C$6,'Emergency Fund'!$C$8+'Emergency Fund'!$C$9*4)</f>
        <v/>
      </c>
      <c r="E7" s="7">
        <f>MIN(Goals!$C$4,Goals!$D$4+Goals!$E$4*4)</f>
        <v/>
      </c>
      <c r="F7" s="7">
        <f>MIN(Goals!$C$5,Goals!$D$5+Goals!$E$5*4)</f>
        <v/>
      </c>
      <c r="G7" s="7">
        <f>MIN(Goals!$C$6,Goals!$D$6+Goals!$E$6*4)</f>
        <v/>
      </c>
      <c r="H7" s="7">
        <f>MIN(Goals!$C$7,Goals!$D$7+Goals!$E$7*4)</f>
        <v/>
      </c>
      <c r="I7" s="7">
        <f>MIN(Goals!$C$8,Goals!$D$8+Goals!$E$8*4)</f>
        <v/>
      </c>
      <c r="J7" s="7">
        <f>MIN(Goals!$C$9,Goals!$D$9+Goals!$E$9*4)</f>
        <v/>
      </c>
      <c r="K7" s="7">
        <f>MIN('Emergency Fund'!$C$6,'Emergency Fund'!$C$8+'Emergency Fund'!$C$16*4)</f>
        <v/>
      </c>
      <c r="L7" s="7">
        <f>MIN(Goals!$C$4,Goals!$D$4+(Goals!$E$4+'Emergency Fund'!$C$15/6)*4)</f>
        <v/>
      </c>
      <c r="M7" s="7">
        <f>MIN(Goals!$C$5,Goals!$D$5+(Goals!$E$5+'Emergency Fund'!$C$15/6)*4)</f>
        <v/>
      </c>
      <c r="N7" s="7">
        <f>MIN(Goals!$C$6,Goals!$D$6+(Goals!$E$6+'Emergency Fund'!$C$15/6)*4)</f>
        <v/>
      </c>
      <c r="O7" s="7">
        <f>MIN(Goals!$C$7,Goals!$D$7+(Goals!$E$7+'Emergency Fund'!$C$15/6)*4)</f>
        <v/>
      </c>
      <c r="P7" s="7">
        <f>MIN(Goals!$C$8,Goals!$D$8+(Goals!$E$8+'Emergency Fund'!$C$15/6)*4)</f>
        <v/>
      </c>
      <c r="Q7" s="7">
        <f>MIN(Goals!$C$9,Goals!$D$9+(Goals!$E$9+'Emergency Fund'!$C$15/6)*4)</f>
        <v/>
      </c>
    </row>
    <row r="8">
      <c r="B8" s="5" t="n">
        <v>5</v>
      </c>
      <c r="C8" s="14">
        <f>TODAY()+4*30.44</f>
        <v/>
      </c>
      <c r="D8" s="7">
        <f>MIN('Emergency Fund'!$C$6,'Emergency Fund'!$C$8+'Emergency Fund'!$C$9*5)</f>
        <v/>
      </c>
      <c r="E8" s="7">
        <f>MIN(Goals!$C$4,Goals!$D$4+Goals!$E$4*5)</f>
        <v/>
      </c>
      <c r="F8" s="7">
        <f>MIN(Goals!$C$5,Goals!$D$5+Goals!$E$5*5)</f>
        <v/>
      </c>
      <c r="G8" s="7">
        <f>MIN(Goals!$C$6,Goals!$D$6+Goals!$E$6*5)</f>
        <v/>
      </c>
      <c r="H8" s="7">
        <f>MIN(Goals!$C$7,Goals!$D$7+Goals!$E$7*5)</f>
        <v/>
      </c>
      <c r="I8" s="7">
        <f>MIN(Goals!$C$8,Goals!$D$8+Goals!$E$8*5)</f>
        <v/>
      </c>
      <c r="J8" s="7">
        <f>MIN(Goals!$C$9,Goals!$D$9+Goals!$E$9*5)</f>
        <v/>
      </c>
      <c r="K8" s="7">
        <f>MIN('Emergency Fund'!$C$6,'Emergency Fund'!$C$8+'Emergency Fund'!$C$16*5)</f>
        <v/>
      </c>
      <c r="L8" s="7">
        <f>MIN(Goals!$C$4,Goals!$D$4+(Goals!$E$4+'Emergency Fund'!$C$15/6)*5)</f>
        <v/>
      </c>
      <c r="M8" s="7">
        <f>MIN(Goals!$C$5,Goals!$D$5+(Goals!$E$5+'Emergency Fund'!$C$15/6)*5)</f>
        <v/>
      </c>
      <c r="N8" s="7">
        <f>MIN(Goals!$C$6,Goals!$D$6+(Goals!$E$6+'Emergency Fund'!$C$15/6)*5)</f>
        <v/>
      </c>
      <c r="O8" s="7">
        <f>MIN(Goals!$C$7,Goals!$D$7+(Goals!$E$7+'Emergency Fund'!$C$15/6)*5)</f>
        <v/>
      </c>
      <c r="P8" s="7">
        <f>MIN(Goals!$C$8,Goals!$D$8+(Goals!$E$8+'Emergency Fund'!$C$15/6)*5)</f>
        <v/>
      </c>
      <c r="Q8" s="7">
        <f>MIN(Goals!$C$9,Goals!$D$9+(Goals!$E$9+'Emergency Fund'!$C$15/6)*5)</f>
        <v/>
      </c>
    </row>
    <row r="9">
      <c r="B9" s="5" t="n">
        <v>6</v>
      </c>
      <c r="C9" s="14">
        <f>TODAY()+5*30.44</f>
        <v/>
      </c>
      <c r="D9" s="7">
        <f>MIN('Emergency Fund'!$C$6,'Emergency Fund'!$C$8+'Emergency Fund'!$C$9*6)</f>
        <v/>
      </c>
      <c r="E9" s="7">
        <f>MIN(Goals!$C$4,Goals!$D$4+Goals!$E$4*6)</f>
        <v/>
      </c>
      <c r="F9" s="7">
        <f>MIN(Goals!$C$5,Goals!$D$5+Goals!$E$5*6)</f>
        <v/>
      </c>
      <c r="G9" s="7">
        <f>MIN(Goals!$C$6,Goals!$D$6+Goals!$E$6*6)</f>
        <v/>
      </c>
      <c r="H9" s="7">
        <f>MIN(Goals!$C$7,Goals!$D$7+Goals!$E$7*6)</f>
        <v/>
      </c>
      <c r="I9" s="7">
        <f>MIN(Goals!$C$8,Goals!$D$8+Goals!$E$8*6)</f>
        <v/>
      </c>
      <c r="J9" s="7">
        <f>MIN(Goals!$C$9,Goals!$D$9+Goals!$E$9*6)</f>
        <v/>
      </c>
      <c r="K9" s="7">
        <f>MIN('Emergency Fund'!$C$6,'Emergency Fund'!$C$8+'Emergency Fund'!$C$16*6)</f>
        <v/>
      </c>
      <c r="L9" s="7">
        <f>MIN(Goals!$C$4,Goals!$D$4+(Goals!$E$4+'Emergency Fund'!$C$15/6)*6)</f>
        <v/>
      </c>
      <c r="M9" s="7">
        <f>MIN(Goals!$C$5,Goals!$D$5+(Goals!$E$5+'Emergency Fund'!$C$15/6)*6)</f>
        <v/>
      </c>
      <c r="N9" s="7">
        <f>MIN(Goals!$C$6,Goals!$D$6+(Goals!$E$6+'Emergency Fund'!$C$15/6)*6)</f>
        <v/>
      </c>
      <c r="O9" s="7">
        <f>MIN(Goals!$C$7,Goals!$D$7+(Goals!$E$7+'Emergency Fund'!$C$15/6)*6)</f>
        <v/>
      </c>
      <c r="P9" s="7">
        <f>MIN(Goals!$C$8,Goals!$D$8+(Goals!$E$8+'Emergency Fund'!$C$15/6)*6)</f>
        <v/>
      </c>
      <c r="Q9" s="7">
        <f>MIN(Goals!$C$9,Goals!$D$9+(Goals!$E$9+'Emergency Fund'!$C$15/6)*6)</f>
        <v/>
      </c>
    </row>
    <row r="10">
      <c r="B10" s="5" t="n">
        <v>7</v>
      </c>
      <c r="C10" s="14">
        <f>TODAY()+6*30.44</f>
        <v/>
      </c>
      <c r="D10" s="7">
        <f>MIN('Emergency Fund'!$C$6,'Emergency Fund'!$C$8+'Emergency Fund'!$C$9*7)</f>
        <v/>
      </c>
      <c r="E10" s="7">
        <f>MIN(Goals!$C$4,Goals!$D$4+Goals!$E$4*7)</f>
        <v/>
      </c>
      <c r="F10" s="7">
        <f>MIN(Goals!$C$5,Goals!$D$5+Goals!$E$5*7)</f>
        <v/>
      </c>
      <c r="G10" s="7">
        <f>MIN(Goals!$C$6,Goals!$D$6+Goals!$E$6*7)</f>
        <v/>
      </c>
      <c r="H10" s="7">
        <f>MIN(Goals!$C$7,Goals!$D$7+Goals!$E$7*7)</f>
        <v/>
      </c>
      <c r="I10" s="7">
        <f>MIN(Goals!$C$8,Goals!$D$8+Goals!$E$8*7)</f>
        <v/>
      </c>
      <c r="J10" s="7">
        <f>MIN(Goals!$C$9,Goals!$D$9+Goals!$E$9*7)</f>
        <v/>
      </c>
      <c r="K10" s="7">
        <f>MIN('Emergency Fund'!$C$6,'Emergency Fund'!$C$8+'Emergency Fund'!$C$16*7)</f>
        <v/>
      </c>
      <c r="L10" s="7">
        <f>MIN(Goals!$C$4,Goals!$D$4+(Goals!$E$4+'Emergency Fund'!$C$15/6)*7)</f>
        <v/>
      </c>
      <c r="M10" s="7">
        <f>MIN(Goals!$C$5,Goals!$D$5+(Goals!$E$5+'Emergency Fund'!$C$15/6)*7)</f>
        <v/>
      </c>
      <c r="N10" s="7">
        <f>MIN(Goals!$C$6,Goals!$D$6+(Goals!$E$6+'Emergency Fund'!$C$15/6)*7)</f>
        <v/>
      </c>
      <c r="O10" s="7">
        <f>MIN(Goals!$C$7,Goals!$D$7+(Goals!$E$7+'Emergency Fund'!$C$15/6)*7)</f>
        <v/>
      </c>
      <c r="P10" s="7">
        <f>MIN(Goals!$C$8,Goals!$D$8+(Goals!$E$8+'Emergency Fund'!$C$15/6)*7)</f>
        <v/>
      </c>
      <c r="Q10" s="7">
        <f>MIN(Goals!$C$9,Goals!$D$9+(Goals!$E$9+'Emergency Fund'!$C$15/6)*7)</f>
        <v/>
      </c>
    </row>
    <row r="11">
      <c r="B11" s="5" t="n">
        <v>8</v>
      </c>
      <c r="C11" s="14">
        <f>TODAY()+7*30.44</f>
        <v/>
      </c>
      <c r="D11" s="7">
        <f>MIN('Emergency Fund'!$C$6,'Emergency Fund'!$C$8+'Emergency Fund'!$C$9*8)</f>
        <v/>
      </c>
      <c r="E11" s="7">
        <f>MIN(Goals!$C$4,Goals!$D$4+Goals!$E$4*8)</f>
        <v/>
      </c>
      <c r="F11" s="7">
        <f>MIN(Goals!$C$5,Goals!$D$5+Goals!$E$5*8)</f>
        <v/>
      </c>
      <c r="G11" s="7">
        <f>MIN(Goals!$C$6,Goals!$D$6+Goals!$E$6*8)</f>
        <v/>
      </c>
      <c r="H11" s="7">
        <f>MIN(Goals!$C$7,Goals!$D$7+Goals!$E$7*8)</f>
        <v/>
      </c>
      <c r="I11" s="7">
        <f>MIN(Goals!$C$8,Goals!$D$8+Goals!$E$8*8)</f>
        <v/>
      </c>
      <c r="J11" s="7">
        <f>MIN(Goals!$C$9,Goals!$D$9+Goals!$E$9*8)</f>
        <v/>
      </c>
      <c r="K11" s="7">
        <f>MIN('Emergency Fund'!$C$6,'Emergency Fund'!$C$8+'Emergency Fund'!$C$16*8)</f>
        <v/>
      </c>
      <c r="L11" s="7">
        <f>MIN(Goals!$C$4,Goals!$D$4+(Goals!$E$4+'Emergency Fund'!$C$15/6)*8)</f>
        <v/>
      </c>
      <c r="M11" s="7">
        <f>MIN(Goals!$C$5,Goals!$D$5+(Goals!$E$5+'Emergency Fund'!$C$15/6)*8)</f>
        <v/>
      </c>
      <c r="N11" s="7">
        <f>MIN(Goals!$C$6,Goals!$D$6+(Goals!$E$6+'Emergency Fund'!$C$15/6)*8)</f>
        <v/>
      </c>
      <c r="O11" s="7">
        <f>MIN(Goals!$C$7,Goals!$D$7+(Goals!$E$7+'Emergency Fund'!$C$15/6)*8)</f>
        <v/>
      </c>
      <c r="P11" s="7">
        <f>MIN(Goals!$C$8,Goals!$D$8+(Goals!$E$8+'Emergency Fund'!$C$15/6)*8)</f>
        <v/>
      </c>
      <c r="Q11" s="7">
        <f>MIN(Goals!$C$9,Goals!$D$9+(Goals!$E$9+'Emergency Fund'!$C$15/6)*8)</f>
        <v/>
      </c>
    </row>
    <row r="12">
      <c r="B12" s="5" t="n">
        <v>9</v>
      </c>
      <c r="C12" s="14">
        <f>TODAY()+8*30.44</f>
        <v/>
      </c>
      <c r="D12" s="7">
        <f>MIN('Emergency Fund'!$C$6,'Emergency Fund'!$C$8+'Emergency Fund'!$C$9*9)</f>
        <v/>
      </c>
      <c r="E12" s="7">
        <f>MIN(Goals!$C$4,Goals!$D$4+Goals!$E$4*9)</f>
        <v/>
      </c>
      <c r="F12" s="7">
        <f>MIN(Goals!$C$5,Goals!$D$5+Goals!$E$5*9)</f>
        <v/>
      </c>
      <c r="G12" s="7">
        <f>MIN(Goals!$C$6,Goals!$D$6+Goals!$E$6*9)</f>
        <v/>
      </c>
      <c r="H12" s="7">
        <f>MIN(Goals!$C$7,Goals!$D$7+Goals!$E$7*9)</f>
        <v/>
      </c>
      <c r="I12" s="7">
        <f>MIN(Goals!$C$8,Goals!$D$8+Goals!$E$8*9)</f>
        <v/>
      </c>
      <c r="J12" s="7">
        <f>MIN(Goals!$C$9,Goals!$D$9+Goals!$E$9*9)</f>
        <v/>
      </c>
      <c r="K12" s="7">
        <f>MIN('Emergency Fund'!$C$6,'Emergency Fund'!$C$8+'Emergency Fund'!$C$16*9)</f>
        <v/>
      </c>
      <c r="L12" s="7">
        <f>MIN(Goals!$C$4,Goals!$D$4+(Goals!$E$4+'Emergency Fund'!$C$15/6)*9)</f>
        <v/>
      </c>
      <c r="M12" s="7">
        <f>MIN(Goals!$C$5,Goals!$D$5+(Goals!$E$5+'Emergency Fund'!$C$15/6)*9)</f>
        <v/>
      </c>
      <c r="N12" s="7">
        <f>MIN(Goals!$C$6,Goals!$D$6+(Goals!$E$6+'Emergency Fund'!$C$15/6)*9)</f>
        <v/>
      </c>
      <c r="O12" s="7">
        <f>MIN(Goals!$C$7,Goals!$D$7+(Goals!$E$7+'Emergency Fund'!$C$15/6)*9)</f>
        <v/>
      </c>
      <c r="P12" s="7">
        <f>MIN(Goals!$C$8,Goals!$D$8+(Goals!$E$8+'Emergency Fund'!$C$15/6)*9)</f>
        <v/>
      </c>
      <c r="Q12" s="7">
        <f>MIN(Goals!$C$9,Goals!$D$9+(Goals!$E$9+'Emergency Fund'!$C$15/6)*9)</f>
        <v/>
      </c>
    </row>
    <row r="13">
      <c r="B13" s="5" t="n">
        <v>10</v>
      </c>
      <c r="C13" s="14">
        <f>TODAY()+9*30.44</f>
        <v/>
      </c>
      <c r="D13" s="7">
        <f>MIN('Emergency Fund'!$C$6,'Emergency Fund'!$C$8+'Emergency Fund'!$C$9*10)</f>
        <v/>
      </c>
      <c r="E13" s="7">
        <f>MIN(Goals!$C$4,Goals!$D$4+Goals!$E$4*10)</f>
        <v/>
      </c>
      <c r="F13" s="7">
        <f>MIN(Goals!$C$5,Goals!$D$5+Goals!$E$5*10)</f>
        <v/>
      </c>
      <c r="G13" s="7">
        <f>MIN(Goals!$C$6,Goals!$D$6+Goals!$E$6*10)</f>
        <v/>
      </c>
      <c r="H13" s="7">
        <f>MIN(Goals!$C$7,Goals!$D$7+Goals!$E$7*10)</f>
        <v/>
      </c>
      <c r="I13" s="7">
        <f>MIN(Goals!$C$8,Goals!$D$8+Goals!$E$8*10)</f>
        <v/>
      </c>
      <c r="J13" s="7">
        <f>MIN(Goals!$C$9,Goals!$D$9+Goals!$E$9*10)</f>
        <v/>
      </c>
      <c r="K13" s="7">
        <f>MIN('Emergency Fund'!$C$6,'Emergency Fund'!$C$8+'Emergency Fund'!$C$16*10)</f>
        <v/>
      </c>
      <c r="L13" s="7">
        <f>MIN(Goals!$C$4,Goals!$D$4+(Goals!$E$4+'Emergency Fund'!$C$15/6)*10)</f>
        <v/>
      </c>
      <c r="M13" s="7">
        <f>MIN(Goals!$C$5,Goals!$D$5+(Goals!$E$5+'Emergency Fund'!$C$15/6)*10)</f>
        <v/>
      </c>
      <c r="N13" s="7">
        <f>MIN(Goals!$C$6,Goals!$D$6+(Goals!$E$6+'Emergency Fund'!$C$15/6)*10)</f>
        <v/>
      </c>
      <c r="O13" s="7">
        <f>MIN(Goals!$C$7,Goals!$D$7+(Goals!$E$7+'Emergency Fund'!$C$15/6)*10)</f>
        <v/>
      </c>
      <c r="P13" s="7">
        <f>MIN(Goals!$C$8,Goals!$D$8+(Goals!$E$8+'Emergency Fund'!$C$15/6)*10)</f>
        <v/>
      </c>
      <c r="Q13" s="7">
        <f>MIN(Goals!$C$9,Goals!$D$9+(Goals!$E$9+'Emergency Fund'!$C$15/6)*10)</f>
        <v/>
      </c>
    </row>
    <row r="14">
      <c r="B14" s="5" t="n">
        <v>11</v>
      </c>
      <c r="C14" s="14">
        <f>TODAY()+10*30.44</f>
        <v/>
      </c>
      <c r="D14" s="7">
        <f>MIN('Emergency Fund'!$C$6,'Emergency Fund'!$C$8+'Emergency Fund'!$C$9*11)</f>
        <v/>
      </c>
      <c r="E14" s="7">
        <f>MIN(Goals!$C$4,Goals!$D$4+Goals!$E$4*11)</f>
        <v/>
      </c>
      <c r="F14" s="7">
        <f>MIN(Goals!$C$5,Goals!$D$5+Goals!$E$5*11)</f>
        <v/>
      </c>
      <c r="G14" s="7">
        <f>MIN(Goals!$C$6,Goals!$D$6+Goals!$E$6*11)</f>
        <v/>
      </c>
      <c r="H14" s="7">
        <f>MIN(Goals!$C$7,Goals!$D$7+Goals!$E$7*11)</f>
        <v/>
      </c>
      <c r="I14" s="7">
        <f>MIN(Goals!$C$8,Goals!$D$8+Goals!$E$8*11)</f>
        <v/>
      </c>
      <c r="J14" s="7">
        <f>MIN(Goals!$C$9,Goals!$D$9+Goals!$E$9*11)</f>
        <v/>
      </c>
      <c r="K14" s="7">
        <f>MIN('Emergency Fund'!$C$6,'Emergency Fund'!$C$8+'Emergency Fund'!$C$16*11)</f>
        <v/>
      </c>
      <c r="L14" s="7">
        <f>MIN(Goals!$C$4,Goals!$D$4+(Goals!$E$4+'Emergency Fund'!$C$15/6)*11)</f>
        <v/>
      </c>
      <c r="M14" s="7">
        <f>MIN(Goals!$C$5,Goals!$D$5+(Goals!$E$5+'Emergency Fund'!$C$15/6)*11)</f>
        <v/>
      </c>
      <c r="N14" s="7">
        <f>MIN(Goals!$C$6,Goals!$D$6+(Goals!$E$6+'Emergency Fund'!$C$15/6)*11)</f>
        <v/>
      </c>
      <c r="O14" s="7">
        <f>MIN(Goals!$C$7,Goals!$D$7+(Goals!$E$7+'Emergency Fund'!$C$15/6)*11)</f>
        <v/>
      </c>
      <c r="P14" s="7">
        <f>MIN(Goals!$C$8,Goals!$D$8+(Goals!$E$8+'Emergency Fund'!$C$15/6)*11)</f>
        <v/>
      </c>
      <c r="Q14" s="7">
        <f>MIN(Goals!$C$9,Goals!$D$9+(Goals!$E$9+'Emergency Fund'!$C$15/6)*11)</f>
        <v/>
      </c>
    </row>
    <row r="15">
      <c r="B15" s="5" t="n">
        <v>12</v>
      </c>
      <c r="C15" s="14">
        <f>TODAY()+11*30.44</f>
        <v/>
      </c>
      <c r="D15" s="7">
        <f>MIN('Emergency Fund'!$C$6,'Emergency Fund'!$C$8+'Emergency Fund'!$C$9*12)</f>
        <v/>
      </c>
      <c r="E15" s="7">
        <f>MIN(Goals!$C$4,Goals!$D$4+Goals!$E$4*12)</f>
        <v/>
      </c>
      <c r="F15" s="7">
        <f>MIN(Goals!$C$5,Goals!$D$5+Goals!$E$5*12)</f>
        <v/>
      </c>
      <c r="G15" s="7">
        <f>MIN(Goals!$C$6,Goals!$D$6+Goals!$E$6*12)</f>
        <v/>
      </c>
      <c r="H15" s="7">
        <f>MIN(Goals!$C$7,Goals!$D$7+Goals!$E$7*12)</f>
        <v/>
      </c>
      <c r="I15" s="7">
        <f>MIN(Goals!$C$8,Goals!$D$8+Goals!$E$8*12)</f>
        <v/>
      </c>
      <c r="J15" s="7">
        <f>MIN(Goals!$C$9,Goals!$D$9+Goals!$E$9*12)</f>
        <v/>
      </c>
      <c r="K15" s="7">
        <f>MIN('Emergency Fund'!$C$6,'Emergency Fund'!$C$8+'Emergency Fund'!$C$16*12)</f>
        <v/>
      </c>
      <c r="L15" s="7">
        <f>MIN(Goals!$C$4,Goals!$D$4+(Goals!$E$4+'Emergency Fund'!$C$15/6)*12)</f>
        <v/>
      </c>
      <c r="M15" s="7">
        <f>MIN(Goals!$C$5,Goals!$D$5+(Goals!$E$5+'Emergency Fund'!$C$15/6)*12)</f>
        <v/>
      </c>
      <c r="N15" s="7">
        <f>MIN(Goals!$C$6,Goals!$D$6+(Goals!$E$6+'Emergency Fund'!$C$15/6)*12)</f>
        <v/>
      </c>
      <c r="O15" s="7">
        <f>MIN(Goals!$C$7,Goals!$D$7+(Goals!$E$7+'Emergency Fund'!$C$15/6)*12)</f>
        <v/>
      </c>
      <c r="P15" s="7">
        <f>MIN(Goals!$C$8,Goals!$D$8+(Goals!$E$8+'Emergency Fund'!$C$15/6)*12)</f>
        <v/>
      </c>
      <c r="Q15" s="7">
        <f>MIN(Goals!$C$9,Goals!$D$9+(Goals!$E$9+'Emergency Fund'!$C$15/6)*12)</f>
        <v/>
      </c>
    </row>
    <row r="16">
      <c r="B16" s="5" t="n">
        <v>13</v>
      </c>
      <c r="C16" s="14">
        <f>TODAY()+12*30.44</f>
        <v/>
      </c>
      <c r="D16" s="7">
        <f>MIN('Emergency Fund'!$C$6,'Emergency Fund'!$C$8+'Emergency Fund'!$C$9*13)</f>
        <v/>
      </c>
      <c r="E16" s="7">
        <f>MIN(Goals!$C$4,Goals!$D$4+Goals!$E$4*13)</f>
        <v/>
      </c>
      <c r="F16" s="7">
        <f>MIN(Goals!$C$5,Goals!$D$5+Goals!$E$5*13)</f>
        <v/>
      </c>
      <c r="G16" s="7">
        <f>MIN(Goals!$C$6,Goals!$D$6+Goals!$E$6*13)</f>
        <v/>
      </c>
      <c r="H16" s="7">
        <f>MIN(Goals!$C$7,Goals!$D$7+Goals!$E$7*13)</f>
        <v/>
      </c>
      <c r="I16" s="7">
        <f>MIN(Goals!$C$8,Goals!$D$8+Goals!$E$8*13)</f>
        <v/>
      </c>
      <c r="J16" s="7">
        <f>MIN(Goals!$C$9,Goals!$D$9+Goals!$E$9*13)</f>
        <v/>
      </c>
      <c r="K16" s="7">
        <f>MIN('Emergency Fund'!$C$6,'Emergency Fund'!$C$8+'Emergency Fund'!$C$16*13)</f>
        <v/>
      </c>
      <c r="L16" s="7">
        <f>MIN(Goals!$C$4,Goals!$D$4+(Goals!$E$4+'Emergency Fund'!$C$15/6)*13)</f>
        <v/>
      </c>
      <c r="M16" s="7">
        <f>MIN(Goals!$C$5,Goals!$D$5+(Goals!$E$5+'Emergency Fund'!$C$15/6)*13)</f>
        <v/>
      </c>
      <c r="N16" s="7">
        <f>MIN(Goals!$C$6,Goals!$D$6+(Goals!$E$6+'Emergency Fund'!$C$15/6)*13)</f>
        <v/>
      </c>
      <c r="O16" s="7">
        <f>MIN(Goals!$C$7,Goals!$D$7+(Goals!$E$7+'Emergency Fund'!$C$15/6)*13)</f>
        <v/>
      </c>
      <c r="P16" s="7">
        <f>MIN(Goals!$C$8,Goals!$D$8+(Goals!$E$8+'Emergency Fund'!$C$15/6)*13)</f>
        <v/>
      </c>
      <c r="Q16" s="7">
        <f>MIN(Goals!$C$9,Goals!$D$9+(Goals!$E$9+'Emergency Fund'!$C$15/6)*13)</f>
        <v/>
      </c>
    </row>
    <row r="17">
      <c r="B17" s="5" t="n">
        <v>14</v>
      </c>
      <c r="C17" s="14">
        <f>TODAY()+13*30.44</f>
        <v/>
      </c>
      <c r="D17" s="7">
        <f>MIN('Emergency Fund'!$C$6,'Emergency Fund'!$C$8+'Emergency Fund'!$C$9*14)</f>
        <v/>
      </c>
      <c r="E17" s="7">
        <f>MIN(Goals!$C$4,Goals!$D$4+Goals!$E$4*14)</f>
        <v/>
      </c>
      <c r="F17" s="7">
        <f>MIN(Goals!$C$5,Goals!$D$5+Goals!$E$5*14)</f>
        <v/>
      </c>
      <c r="G17" s="7">
        <f>MIN(Goals!$C$6,Goals!$D$6+Goals!$E$6*14)</f>
        <v/>
      </c>
      <c r="H17" s="7">
        <f>MIN(Goals!$C$7,Goals!$D$7+Goals!$E$7*14)</f>
        <v/>
      </c>
      <c r="I17" s="7">
        <f>MIN(Goals!$C$8,Goals!$D$8+Goals!$E$8*14)</f>
        <v/>
      </c>
      <c r="J17" s="7">
        <f>MIN(Goals!$C$9,Goals!$D$9+Goals!$E$9*14)</f>
        <v/>
      </c>
      <c r="K17" s="7">
        <f>MIN('Emergency Fund'!$C$6,'Emergency Fund'!$C$8+'Emergency Fund'!$C$16*14)</f>
        <v/>
      </c>
      <c r="L17" s="7">
        <f>MIN(Goals!$C$4,Goals!$D$4+(Goals!$E$4+'Emergency Fund'!$C$15/6)*14)</f>
        <v/>
      </c>
      <c r="M17" s="7">
        <f>MIN(Goals!$C$5,Goals!$D$5+(Goals!$E$5+'Emergency Fund'!$C$15/6)*14)</f>
        <v/>
      </c>
      <c r="N17" s="7">
        <f>MIN(Goals!$C$6,Goals!$D$6+(Goals!$E$6+'Emergency Fund'!$C$15/6)*14)</f>
        <v/>
      </c>
      <c r="O17" s="7">
        <f>MIN(Goals!$C$7,Goals!$D$7+(Goals!$E$7+'Emergency Fund'!$C$15/6)*14)</f>
        <v/>
      </c>
      <c r="P17" s="7">
        <f>MIN(Goals!$C$8,Goals!$D$8+(Goals!$E$8+'Emergency Fund'!$C$15/6)*14)</f>
        <v/>
      </c>
      <c r="Q17" s="7">
        <f>MIN(Goals!$C$9,Goals!$D$9+(Goals!$E$9+'Emergency Fund'!$C$15/6)*14)</f>
        <v/>
      </c>
    </row>
    <row r="18">
      <c r="B18" s="5" t="n">
        <v>15</v>
      </c>
      <c r="C18" s="14">
        <f>TODAY()+14*30.44</f>
        <v/>
      </c>
      <c r="D18" s="7">
        <f>MIN('Emergency Fund'!$C$6,'Emergency Fund'!$C$8+'Emergency Fund'!$C$9*15)</f>
        <v/>
      </c>
      <c r="E18" s="7">
        <f>MIN(Goals!$C$4,Goals!$D$4+Goals!$E$4*15)</f>
        <v/>
      </c>
      <c r="F18" s="7">
        <f>MIN(Goals!$C$5,Goals!$D$5+Goals!$E$5*15)</f>
        <v/>
      </c>
      <c r="G18" s="7">
        <f>MIN(Goals!$C$6,Goals!$D$6+Goals!$E$6*15)</f>
        <v/>
      </c>
      <c r="H18" s="7">
        <f>MIN(Goals!$C$7,Goals!$D$7+Goals!$E$7*15)</f>
        <v/>
      </c>
      <c r="I18" s="7">
        <f>MIN(Goals!$C$8,Goals!$D$8+Goals!$E$8*15)</f>
        <v/>
      </c>
      <c r="J18" s="7">
        <f>MIN(Goals!$C$9,Goals!$D$9+Goals!$E$9*15)</f>
        <v/>
      </c>
      <c r="K18" s="7">
        <f>MIN('Emergency Fund'!$C$6,'Emergency Fund'!$C$8+'Emergency Fund'!$C$16*15)</f>
        <v/>
      </c>
      <c r="L18" s="7">
        <f>MIN(Goals!$C$4,Goals!$D$4+(Goals!$E$4+'Emergency Fund'!$C$15/6)*15)</f>
        <v/>
      </c>
      <c r="M18" s="7">
        <f>MIN(Goals!$C$5,Goals!$D$5+(Goals!$E$5+'Emergency Fund'!$C$15/6)*15)</f>
        <v/>
      </c>
      <c r="N18" s="7">
        <f>MIN(Goals!$C$6,Goals!$D$6+(Goals!$E$6+'Emergency Fund'!$C$15/6)*15)</f>
        <v/>
      </c>
      <c r="O18" s="7">
        <f>MIN(Goals!$C$7,Goals!$D$7+(Goals!$E$7+'Emergency Fund'!$C$15/6)*15)</f>
        <v/>
      </c>
      <c r="P18" s="7">
        <f>MIN(Goals!$C$8,Goals!$D$8+(Goals!$E$8+'Emergency Fund'!$C$15/6)*15)</f>
        <v/>
      </c>
      <c r="Q18" s="7">
        <f>MIN(Goals!$C$9,Goals!$D$9+(Goals!$E$9+'Emergency Fund'!$C$15/6)*15)</f>
        <v/>
      </c>
    </row>
    <row r="19">
      <c r="B19" s="5" t="n">
        <v>16</v>
      </c>
      <c r="C19" s="14">
        <f>TODAY()+15*30.44</f>
        <v/>
      </c>
      <c r="D19" s="7">
        <f>MIN('Emergency Fund'!$C$6,'Emergency Fund'!$C$8+'Emergency Fund'!$C$9*16)</f>
        <v/>
      </c>
      <c r="E19" s="7">
        <f>MIN(Goals!$C$4,Goals!$D$4+Goals!$E$4*16)</f>
        <v/>
      </c>
      <c r="F19" s="7">
        <f>MIN(Goals!$C$5,Goals!$D$5+Goals!$E$5*16)</f>
        <v/>
      </c>
      <c r="G19" s="7">
        <f>MIN(Goals!$C$6,Goals!$D$6+Goals!$E$6*16)</f>
        <v/>
      </c>
      <c r="H19" s="7">
        <f>MIN(Goals!$C$7,Goals!$D$7+Goals!$E$7*16)</f>
        <v/>
      </c>
      <c r="I19" s="7">
        <f>MIN(Goals!$C$8,Goals!$D$8+Goals!$E$8*16)</f>
        <v/>
      </c>
      <c r="J19" s="7">
        <f>MIN(Goals!$C$9,Goals!$D$9+Goals!$E$9*16)</f>
        <v/>
      </c>
      <c r="K19" s="7">
        <f>MIN('Emergency Fund'!$C$6,'Emergency Fund'!$C$8+'Emergency Fund'!$C$16*16)</f>
        <v/>
      </c>
      <c r="L19" s="7">
        <f>MIN(Goals!$C$4,Goals!$D$4+(Goals!$E$4+'Emergency Fund'!$C$15/6)*16)</f>
        <v/>
      </c>
      <c r="M19" s="7">
        <f>MIN(Goals!$C$5,Goals!$D$5+(Goals!$E$5+'Emergency Fund'!$C$15/6)*16)</f>
        <v/>
      </c>
      <c r="N19" s="7">
        <f>MIN(Goals!$C$6,Goals!$D$6+(Goals!$E$6+'Emergency Fund'!$C$15/6)*16)</f>
        <v/>
      </c>
      <c r="O19" s="7">
        <f>MIN(Goals!$C$7,Goals!$D$7+(Goals!$E$7+'Emergency Fund'!$C$15/6)*16)</f>
        <v/>
      </c>
      <c r="P19" s="7">
        <f>MIN(Goals!$C$8,Goals!$D$8+(Goals!$E$8+'Emergency Fund'!$C$15/6)*16)</f>
        <v/>
      </c>
      <c r="Q19" s="7">
        <f>MIN(Goals!$C$9,Goals!$D$9+(Goals!$E$9+'Emergency Fund'!$C$15/6)*16)</f>
        <v/>
      </c>
    </row>
    <row r="20">
      <c r="B20" s="5" t="n">
        <v>17</v>
      </c>
      <c r="C20" s="14">
        <f>TODAY()+16*30.44</f>
        <v/>
      </c>
      <c r="D20" s="7">
        <f>MIN('Emergency Fund'!$C$6,'Emergency Fund'!$C$8+'Emergency Fund'!$C$9*17)</f>
        <v/>
      </c>
      <c r="E20" s="7">
        <f>MIN(Goals!$C$4,Goals!$D$4+Goals!$E$4*17)</f>
        <v/>
      </c>
      <c r="F20" s="7">
        <f>MIN(Goals!$C$5,Goals!$D$5+Goals!$E$5*17)</f>
        <v/>
      </c>
      <c r="G20" s="7">
        <f>MIN(Goals!$C$6,Goals!$D$6+Goals!$E$6*17)</f>
        <v/>
      </c>
      <c r="H20" s="7">
        <f>MIN(Goals!$C$7,Goals!$D$7+Goals!$E$7*17)</f>
        <v/>
      </c>
      <c r="I20" s="7">
        <f>MIN(Goals!$C$8,Goals!$D$8+Goals!$E$8*17)</f>
        <v/>
      </c>
      <c r="J20" s="7">
        <f>MIN(Goals!$C$9,Goals!$D$9+Goals!$E$9*17)</f>
        <v/>
      </c>
      <c r="K20" s="7">
        <f>MIN('Emergency Fund'!$C$6,'Emergency Fund'!$C$8+'Emergency Fund'!$C$16*17)</f>
        <v/>
      </c>
      <c r="L20" s="7">
        <f>MIN(Goals!$C$4,Goals!$D$4+(Goals!$E$4+'Emergency Fund'!$C$15/6)*17)</f>
        <v/>
      </c>
      <c r="M20" s="7">
        <f>MIN(Goals!$C$5,Goals!$D$5+(Goals!$E$5+'Emergency Fund'!$C$15/6)*17)</f>
        <v/>
      </c>
      <c r="N20" s="7">
        <f>MIN(Goals!$C$6,Goals!$D$6+(Goals!$E$6+'Emergency Fund'!$C$15/6)*17)</f>
        <v/>
      </c>
      <c r="O20" s="7">
        <f>MIN(Goals!$C$7,Goals!$D$7+(Goals!$E$7+'Emergency Fund'!$C$15/6)*17)</f>
        <v/>
      </c>
      <c r="P20" s="7">
        <f>MIN(Goals!$C$8,Goals!$D$8+(Goals!$E$8+'Emergency Fund'!$C$15/6)*17)</f>
        <v/>
      </c>
      <c r="Q20" s="7">
        <f>MIN(Goals!$C$9,Goals!$D$9+(Goals!$E$9+'Emergency Fund'!$C$15/6)*17)</f>
        <v/>
      </c>
    </row>
    <row r="21">
      <c r="B21" s="5" t="n">
        <v>18</v>
      </c>
      <c r="C21" s="14">
        <f>TODAY()+17*30.44</f>
        <v/>
      </c>
      <c r="D21" s="7">
        <f>MIN('Emergency Fund'!$C$6,'Emergency Fund'!$C$8+'Emergency Fund'!$C$9*18)</f>
        <v/>
      </c>
      <c r="E21" s="7">
        <f>MIN(Goals!$C$4,Goals!$D$4+Goals!$E$4*18)</f>
        <v/>
      </c>
      <c r="F21" s="7">
        <f>MIN(Goals!$C$5,Goals!$D$5+Goals!$E$5*18)</f>
        <v/>
      </c>
      <c r="G21" s="7">
        <f>MIN(Goals!$C$6,Goals!$D$6+Goals!$E$6*18)</f>
        <v/>
      </c>
      <c r="H21" s="7">
        <f>MIN(Goals!$C$7,Goals!$D$7+Goals!$E$7*18)</f>
        <v/>
      </c>
      <c r="I21" s="7">
        <f>MIN(Goals!$C$8,Goals!$D$8+Goals!$E$8*18)</f>
        <v/>
      </c>
      <c r="J21" s="7">
        <f>MIN(Goals!$C$9,Goals!$D$9+Goals!$E$9*18)</f>
        <v/>
      </c>
      <c r="K21" s="7">
        <f>MIN('Emergency Fund'!$C$6,'Emergency Fund'!$C$8+'Emergency Fund'!$C$16*18)</f>
        <v/>
      </c>
      <c r="L21" s="7">
        <f>MIN(Goals!$C$4,Goals!$D$4+(Goals!$E$4+'Emergency Fund'!$C$15/6)*18)</f>
        <v/>
      </c>
      <c r="M21" s="7">
        <f>MIN(Goals!$C$5,Goals!$D$5+(Goals!$E$5+'Emergency Fund'!$C$15/6)*18)</f>
        <v/>
      </c>
      <c r="N21" s="7">
        <f>MIN(Goals!$C$6,Goals!$D$6+(Goals!$E$6+'Emergency Fund'!$C$15/6)*18)</f>
        <v/>
      </c>
      <c r="O21" s="7">
        <f>MIN(Goals!$C$7,Goals!$D$7+(Goals!$E$7+'Emergency Fund'!$C$15/6)*18)</f>
        <v/>
      </c>
      <c r="P21" s="7">
        <f>MIN(Goals!$C$8,Goals!$D$8+(Goals!$E$8+'Emergency Fund'!$C$15/6)*18)</f>
        <v/>
      </c>
      <c r="Q21" s="7">
        <f>MIN(Goals!$C$9,Goals!$D$9+(Goals!$E$9+'Emergency Fund'!$C$15/6)*18)</f>
        <v/>
      </c>
    </row>
    <row r="22">
      <c r="B22" s="5" t="n">
        <v>19</v>
      </c>
      <c r="C22" s="14">
        <f>TODAY()+18*30.44</f>
        <v/>
      </c>
      <c r="D22" s="7">
        <f>MIN('Emergency Fund'!$C$6,'Emergency Fund'!$C$8+'Emergency Fund'!$C$9*19)</f>
        <v/>
      </c>
      <c r="E22" s="7">
        <f>MIN(Goals!$C$4,Goals!$D$4+Goals!$E$4*19)</f>
        <v/>
      </c>
      <c r="F22" s="7">
        <f>MIN(Goals!$C$5,Goals!$D$5+Goals!$E$5*19)</f>
        <v/>
      </c>
      <c r="G22" s="7">
        <f>MIN(Goals!$C$6,Goals!$D$6+Goals!$E$6*19)</f>
        <v/>
      </c>
      <c r="H22" s="7">
        <f>MIN(Goals!$C$7,Goals!$D$7+Goals!$E$7*19)</f>
        <v/>
      </c>
      <c r="I22" s="7">
        <f>MIN(Goals!$C$8,Goals!$D$8+Goals!$E$8*19)</f>
        <v/>
      </c>
      <c r="J22" s="7">
        <f>MIN(Goals!$C$9,Goals!$D$9+Goals!$E$9*19)</f>
        <v/>
      </c>
      <c r="K22" s="7">
        <f>MIN('Emergency Fund'!$C$6,'Emergency Fund'!$C$8+'Emergency Fund'!$C$16*19)</f>
        <v/>
      </c>
      <c r="L22" s="7">
        <f>MIN(Goals!$C$4,Goals!$D$4+(Goals!$E$4+'Emergency Fund'!$C$15/6)*19)</f>
        <v/>
      </c>
      <c r="M22" s="7">
        <f>MIN(Goals!$C$5,Goals!$D$5+(Goals!$E$5+'Emergency Fund'!$C$15/6)*19)</f>
        <v/>
      </c>
      <c r="N22" s="7">
        <f>MIN(Goals!$C$6,Goals!$D$6+(Goals!$E$6+'Emergency Fund'!$C$15/6)*19)</f>
        <v/>
      </c>
      <c r="O22" s="7">
        <f>MIN(Goals!$C$7,Goals!$D$7+(Goals!$E$7+'Emergency Fund'!$C$15/6)*19)</f>
        <v/>
      </c>
      <c r="P22" s="7">
        <f>MIN(Goals!$C$8,Goals!$D$8+(Goals!$E$8+'Emergency Fund'!$C$15/6)*19)</f>
        <v/>
      </c>
      <c r="Q22" s="7">
        <f>MIN(Goals!$C$9,Goals!$D$9+(Goals!$E$9+'Emergency Fund'!$C$15/6)*19)</f>
        <v/>
      </c>
    </row>
    <row r="23">
      <c r="B23" s="5" t="n">
        <v>20</v>
      </c>
      <c r="C23" s="14">
        <f>TODAY()+19*30.44</f>
        <v/>
      </c>
      <c r="D23" s="7">
        <f>MIN('Emergency Fund'!$C$6,'Emergency Fund'!$C$8+'Emergency Fund'!$C$9*20)</f>
        <v/>
      </c>
      <c r="E23" s="7">
        <f>MIN(Goals!$C$4,Goals!$D$4+Goals!$E$4*20)</f>
        <v/>
      </c>
      <c r="F23" s="7">
        <f>MIN(Goals!$C$5,Goals!$D$5+Goals!$E$5*20)</f>
        <v/>
      </c>
      <c r="G23" s="7">
        <f>MIN(Goals!$C$6,Goals!$D$6+Goals!$E$6*20)</f>
        <v/>
      </c>
      <c r="H23" s="7">
        <f>MIN(Goals!$C$7,Goals!$D$7+Goals!$E$7*20)</f>
        <v/>
      </c>
      <c r="I23" s="7">
        <f>MIN(Goals!$C$8,Goals!$D$8+Goals!$E$8*20)</f>
        <v/>
      </c>
      <c r="J23" s="7">
        <f>MIN(Goals!$C$9,Goals!$D$9+Goals!$E$9*20)</f>
        <v/>
      </c>
      <c r="K23" s="7">
        <f>MIN('Emergency Fund'!$C$6,'Emergency Fund'!$C$8+'Emergency Fund'!$C$16*20)</f>
        <v/>
      </c>
      <c r="L23" s="7">
        <f>MIN(Goals!$C$4,Goals!$D$4+(Goals!$E$4+'Emergency Fund'!$C$15/6)*20)</f>
        <v/>
      </c>
      <c r="M23" s="7">
        <f>MIN(Goals!$C$5,Goals!$D$5+(Goals!$E$5+'Emergency Fund'!$C$15/6)*20)</f>
        <v/>
      </c>
      <c r="N23" s="7">
        <f>MIN(Goals!$C$6,Goals!$D$6+(Goals!$E$6+'Emergency Fund'!$C$15/6)*20)</f>
        <v/>
      </c>
      <c r="O23" s="7">
        <f>MIN(Goals!$C$7,Goals!$D$7+(Goals!$E$7+'Emergency Fund'!$C$15/6)*20)</f>
        <v/>
      </c>
      <c r="P23" s="7">
        <f>MIN(Goals!$C$8,Goals!$D$8+(Goals!$E$8+'Emergency Fund'!$C$15/6)*20)</f>
        <v/>
      </c>
      <c r="Q23" s="7">
        <f>MIN(Goals!$C$9,Goals!$D$9+(Goals!$E$9+'Emergency Fund'!$C$15/6)*20)</f>
        <v/>
      </c>
    </row>
    <row r="24">
      <c r="B24" s="5" t="n">
        <v>21</v>
      </c>
      <c r="C24" s="14">
        <f>TODAY()+20*30.44</f>
        <v/>
      </c>
      <c r="D24" s="7">
        <f>MIN('Emergency Fund'!$C$6,'Emergency Fund'!$C$8+'Emergency Fund'!$C$9*21)</f>
        <v/>
      </c>
      <c r="E24" s="7">
        <f>MIN(Goals!$C$4,Goals!$D$4+Goals!$E$4*21)</f>
        <v/>
      </c>
      <c r="F24" s="7">
        <f>MIN(Goals!$C$5,Goals!$D$5+Goals!$E$5*21)</f>
        <v/>
      </c>
      <c r="G24" s="7">
        <f>MIN(Goals!$C$6,Goals!$D$6+Goals!$E$6*21)</f>
        <v/>
      </c>
      <c r="H24" s="7">
        <f>MIN(Goals!$C$7,Goals!$D$7+Goals!$E$7*21)</f>
        <v/>
      </c>
      <c r="I24" s="7">
        <f>MIN(Goals!$C$8,Goals!$D$8+Goals!$E$8*21)</f>
        <v/>
      </c>
      <c r="J24" s="7">
        <f>MIN(Goals!$C$9,Goals!$D$9+Goals!$E$9*21)</f>
        <v/>
      </c>
      <c r="K24" s="7">
        <f>MIN('Emergency Fund'!$C$6,'Emergency Fund'!$C$8+'Emergency Fund'!$C$16*21)</f>
        <v/>
      </c>
      <c r="L24" s="7">
        <f>MIN(Goals!$C$4,Goals!$D$4+(Goals!$E$4+'Emergency Fund'!$C$15/6)*21)</f>
        <v/>
      </c>
      <c r="M24" s="7">
        <f>MIN(Goals!$C$5,Goals!$D$5+(Goals!$E$5+'Emergency Fund'!$C$15/6)*21)</f>
        <v/>
      </c>
      <c r="N24" s="7">
        <f>MIN(Goals!$C$6,Goals!$D$6+(Goals!$E$6+'Emergency Fund'!$C$15/6)*21)</f>
        <v/>
      </c>
      <c r="O24" s="7">
        <f>MIN(Goals!$C$7,Goals!$D$7+(Goals!$E$7+'Emergency Fund'!$C$15/6)*21)</f>
        <v/>
      </c>
      <c r="P24" s="7">
        <f>MIN(Goals!$C$8,Goals!$D$8+(Goals!$E$8+'Emergency Fund'!$C$15/6)*21)</f>
        <v/>
      </c>
      <c r="Q24" s="7">
        <f>MIN(Goals!$C$9,Goals!$D$9+(Goals!$E$9+'Emergency Fund'!$C$15/6)*21)</f>
        <v/>
      </c>
    </row>
    <row r="25">
      <c r="B25" s="5" t="n">
        <v>22</v>
      </c>
      <c r="C25" s="14">
        <f>TODAY()+21*30.44</f>
        <v/>
      </c>
      <c r="D25" s="7">
        <f>MIN('Emergency Fund'!$C$6,'Emergency Fund'!$C$8+'Emergency Fund'!$C$9*22)</f>
        <v/>
      </c>
      <c r="E25" s="7">
        <f>MIN(Goals!$C$4,Goals!$D$4+Goals!$E$4*22)</f>
        <v/>
      </c>
      <c r="F25" s="7">
        <f>MIN(Goals!$C$5,Goals!$D$5+Goals!$E$5*22)</f>
        <v/>
      </c>
      <c r="G25" s="7">
        <f>MIN(Goals!$C$6,Goals!$D$6+Goals!$E$6*22)</f>
        <v/>
      </c>
      <c r="H25" s="7">
        <f>MIN(Goals!$C$7,Goals!$D$7+Goals!$E$7*22)</f>
        <v/>
      </c>
      <c r="I25" s="7">
        <f>MIN(Goals!$C$8,Goals!$D$8+Goals!$E$8*22)</f>
        <v/>
      </c>
      <c r="J25" s="7">
        <f>MIN(Goals!$C$9,Goals!$D$9+Goals!$E$9*22)</f>
        <v/>
      </c>
      <c r="K25" s="7">
        <f>MIN('Emergency Fund'!$C$6,'Emergency Fund'!$C$8+'Emergency Fund'!$C$16*22)</f>
        <v/>
      </c>
      <c r="L25" s="7">
        <f>MIN(Goals!$C$4,Goals!$D$4+(Goals!$E$4+'Emergency Fund'!$C$15/6)*22)</f>
        <v/>
      </c>
      <c r="M25" s="7">
        <f>MIN(Goals!$C$5,Goals!$D$5+(Goals!$E$5+'Emergency Fund'!$C$15/6)*22)</f>
        <v/>
      </c>
      <c r="N25" s="7">
        <f>MIN(Goals!$C$6,Goals!$D$6+(Goals!$E$6+'Emergency Fund'!$C$15/6)*22)</f>
        <v/>
      </c>
      <c r="O25" s="7">
        <f>MIN(Goals!$C$7,Goals!$D$7+(Goals!$E$7+'Emergency Fund'!$C$15/6)*22)</f>
        <v/>
      </c>
      <c r="P25" s="7">
        <f>MIN(Goals!$C$8,Goals!$D$8+(Goals!$E$8+'Emergency Fund'!$C$15/6)*22)</f>
        <v/>
      </c>
      <c r="Q25" s="7">
        <f>MIN(Goals!$C$9,Goals!$D$9+(Goals!$E$9+'Emergency Fund'!$C$15/6)*22)</f>
        <v/>
      </c>
    </row>
    <row r="26">
      <c r="B26" s="5" t="n">
        <v>23</v>
      </c>
      <c r="C26" s="14">
        <f>TODAY()+22*30.44</f>
        <v/>
      </c>
      <c r="D26" s="7">
        <f>MIN('Emergency Fund'!$C$6,'Emergency Fund'!$C$8+'Emergency Fund'!$C$9*23)</f>
        <v/>
      </c>
      <c r="E26" s="7">
        <f>MIN(Goals!$C$4,Goals!$D$4+Goals!$E$4*23)</f>
        <v/>
      </c>
      <c r="F26" s="7">
        <f>MIN(Goals!$C$5,Goals!$D$5+Goals!$E$5*23)</f>
        <v/>
      </c>
      <c r="G26" s="7">
        <f>MIN(Goals!$C$6,Goals!$D$6+Goals!$E$6*23)</f>
        <v/>
      </c>
      <c r="H26" s="7">
        <f>MIN(Goals!$C$7,Goals!$D$7+Goals!$E$7*23)</f>
        <v/>
      </c>
      <c r="I26" s="7">
        <f>MIN(Goals!$C$8,Goals!$D$8+Goals!$E$8*23)</f>
        <v/>
      </c>
      <c r="J26" s="7">
        <f>MIN(Goals!$C$9,Goals!$D$9+Goals!$E$9*23)</f>
        <v/>
      </c>
      <c r="K26" s="7">
        <f>MIN('Emergency Fund'!$C$6,'Emergency Fund'!$C$8+'Emergency Fund'!$C$16*23)</f>
        <v/>
      </c>
      <c r="L26" s="7">
        <f>MIN(Goals!$C$4,Goals!$D$4+(Goals!$E$4+'Emergency Fund'!$C$15/6)*23)</f>
        <v/>
      </c>
      <c r="M26" s="7">
        <f>MIN(Goals!$C$5,Goals!$D$5+(Goals!$E$5+'Emergency Fund'!$C$15/6)*23)</f>
        <v/>
      </c>
      <c r="N26" s="7">
        <f>MIN(Goals!$C$6,Goals!$D$6+(Goals!$E$6+'Emergency Fund'!$C$15/6)*23)</f>
        <v/>
      </c>
      <c r="O26" s="7">
        <f>MIN(Goals!$C$7,Goals!$D$7+(Goals!$E$7+'Emergency Fund'!$C$15/6)*23)</f>
        <v/>
      </c>
      <c r="P26" s="7">
        <f>MIN(Goals!$C$8,Goals!$D$8+(Goals!$E$8+'Emergency Fund'!$C$15/6)*23)</f>
        <v/>
      </c>
      <c r="Q26" s="7">
        <f>MIN(Goals!$C$9,Goals!$D$9+(Goals!$E$9+'Emergency Fund'!$C$15/6)*23)</f>
        <v/>
      </c>
    </row>
    <row r="27">
      <c r="B27" s="5" t="n">
        <v>24</v>
      </c>
      <c r="C27" s="14">
        <f>TODAY()+23*30.44</f>
        <v/>
      </c>
      <c r="D27" s="7">
        <f>MIN('Emergency Fund'!$C$6,'Emergency Fund'!$C$8+'Emergency Fund'!$C$9*24)</f>
        <v/>
      </c>
      <c r="E27" s="7">
        <f>MIN(Goals!$C$4,Goals!$D$4+Goals!$E$4*24)</f>
        <v/>
      </c>
      <c r="F27" s="7">
        <f>MIN(Goals!$C$5,Goals!$D$5+Goals!$E$5*24)</f>
        <v/>
      </c>
      <c r="G27" s="7">
        <f>MIN(Goals!$C$6,Goals!$D$6+Goals!$E$6*24)</f>
        <v/>
      </c>
      <c r="H27" s="7">
        <f>MIN(Goals!$C$7,Goals!$D$7+Goals!$E$7*24)</f>
        <v/>
      </c>
      <c r="I27" s="7">
        <f>MIN(Goals!$C$8,Goals!$D$8+Goals!$E$8*24)</f>
        <v/>
      </c>
      <c r="J27" s="7">
        <f>MIN(Goals!$C$9,Goals!$D$9+Goals!$E$9*24)</f>
        <v/>
      </c>
      <c r="K27" s="7">
        <f>MIN('Emergency Fund'!$C$6,'Emergency Fund'!$C$8+'Emergency Fund'!$C$16*24)</f>
        <v/>
      </c>
      <c r="L27" s="7">
        <f>MIN(Goals!$C$4,Goals!$D$4+(Goals!$E$4+'Emergency Fund'!$C$15/6)*24)</f>
        <v/>
      </c>
      <c r="M27" s="7">
        <f>MIN(Goals!$C$5,Goals!$D$5+(Goals!$E$5+'Emergency Fund'!$C$15/6)*24)</f>
        <v/>
      </c>
      <c r="N27" s="7">
        <f>MIN(Goals!$C$6,Goals!$D$6+(Goals!$E$6+'Emergency Fund'!$C$15/6)*24)</f>
        <v/>
      </c>
      <c r="O27" s="7">
        <f>MIN(Goals!$C$7,Goals!$D$7+(Goals!$E$7+'Emergency Fund'!$C$15/6)*24)</f>
        <v/>
      </c>
      <c r="P27" s="7">
        <f>MIN(Goals!$C$8,Goals!$D$8+(Goals!$E$8+'Emergency Fund'!$C$15/6)*24)</f>
        <v/>
      </c>
      <c r="Q27" s="7">
        <f>MIN(Goals!$C$9,Goals!$D$9+(Goals!$E$9+'Emergency Fund'!$C$15/6)*24)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</cols>
  <sheetData>
    <row r="1"/>
    <row r="2">
      <c r="B2" s="1" t="inlineStr">
        <is>
          <t>Savings Dashboard</t>
        </is>
      </c>
      <c r="C2" s="2" t="n"/>
      <c r="D2" s="2" t="n"/>
    </row>
    <row r="3">
      <c r="B3" s="2" t="n"/>
      <c r="C3" s="2" t="n"/>
      <c r="D3" s="2" t="n"/>
    </row>
    <row r="4">
      <c r="B4" s="17" t="inlineStr">
        <is>
          <t>Emergency Fund Progress</t>
        </is>
      </c>
      <c r="C4" s="2" t="n"/>
      <c r="D4" s="2" t="n"/>
    </row>
    <row r="5">
      <c r="B5" s="19" t="inlineStr">
        <is>
          <t>Category</t>
        </is>
      </c>
      <c r="C5" s="19" t="inlineStr">
        <is>
          <t>Current</t>
        </is>
      </c>
      <c r="D5" s="19" t="inlineStr">
        <is>
          <t>Target</t>
        </is>
      </c>
    </row>
    <row r="6">
      <c r="B6" s="5" t="inlineStr">
        <is>
          <t>Emergency Fund</t>
        </is>
      </c>
      <c r="C6" s="7">
        <f>'Emergency Fund'!C8</f>
        <v/>
      </c>
      <c r="D6" s="7">
        <f>'Emergency Fund'!C6</f>
        <v/>
      </c>
    </row>
    <row r="7">
      <c r="B7" s="2" t="n"/>
      <c r="C7" s="2" t="n"/>
      <c r="D7" s="2" t="n"/>
    </row>
    <row r="8">
      <c r="B8" s="2" t="n"/>
      <c r="C8" s="2" t="n"/>
      <c r="D8" s="2" t="n"/>
    </row>
    <row r="9">
      <c r="B9" s="19" t="inlineStr">
        <is>
          <t>Goal</t>
        </is>
      </c>
      <c r="C9" s="19" t="inlineStr">
        <is>
          <t>Current</t>
        </is>
      </c>
      <c r="D9" s="19" t="inlineStr">
        <is>
          <t>Target</t>
        </is>
      </c>
    </row>
    <row r="10">
      <c r="B10" s="5">
        <f>Goals!B4</f>
        <v/>
      </c>
      <c r="C10" s="7">
        <f>Goals!D4</f>
        <v/>
      </c>
      <c r="D10" s="7">
        <f>Goals!C4</f>
        <v/>
      </c>
    </row>
    <row r="11">
      <c r="B11" s="5">
        <f>Goals!B5</f>
        <v/>
      </c>
      <c r="C11" s="7">
        <f>Goals!D5</f>
        <v/>
      </c>
      <c r="D11" s="7">
        <f>Goals!C5</f>
        <v/>
      </c>
    </row>
    <row r="12">
      <c r="B12" s="5">
        <f>Goals!B6</f>
        <v/>
      </c>
      <c r="C12" s="7">
        <f>Goals!D6</f>
        <v/>
      </c>
      <c r="D12" s="7">
        <f>Goals!C6</f>
        <v/>
      </c>
    </row>
    <row r="13">
      <c r="B13" s="5">
        <f>Goals!B7</f>
        <v/>
      </c>
      <c r="C13" s="7">
        <f>Goals!D7</f>
        <v/>
      </c>
      <c r="D13" s="7">
        <f>Goals!C7</f>
        <v/>
      </c>
    </row>
    <row r="14">
      <c r="B14" s="5">
        <f>Goals!B8</f>
        <v/>
      </c>
      <c r="C14" s="7">
        <f>Goals!D8</f>
        <v/>
      </c>
      <c r="D14" s="7">
        <f>Goals!C8</f>
        <v/>
      </c>
    </row>
    <row r="15">
      <c r="B15" s="5">
        <f>Goals!B9</f>
        <v/>
      </c>
      <c r="C15" s="7">
        <f>Goals!D9</f>
        <v/>
      </c>
      <c r="D15" s="7">
        <f>Goals!C9</f>
        <v/>
      </c>
    </row>
    <row r="16">
      <c r="B16" s="2" t="n"/>
      <c r="C16" s="2" t="n"/>
      <c r="D16" s="2" t="n"/>
    </row>
    <row r="17">
      <c r="B17" s="17" t="inlineStr">
        <is>
          <t>Summary</t>
        </is>
      </c>
      <c r="C17" s="2" t="n"/>
      <c r="D17" s="2" t="n"/>
    </row>
    <row r="18">
      <c r="B18" s="5" t="inlineStr">
        <is>
          <t>Total Saved (all goals + EF)</t>
        </is>
      </c>
      <c r="C18" s="9">
        <f>'Emergency Fund'!C8+SUM(Goals!D4:D9)</f>
        <v/>
      </c>
      <c r="D18" s="2" t="n"/>
    </row>
    <row r="19">
      <c r="B19" s="5" t="inlineStr">
        <is>
          <t>Total Monthly Contributions</t>
        </is>
      </c>
      <c r="C19" s="9">
        <f>'Emergency Fund'!C9+SUM(Goals!E4:E9)</f>
        <v/>
      </c>
      <c r="D19" s="2" t="n"/>
    </row>
    <row r="20">
      <c r="B20" s="5" t="inlineStr">
        <is>
          <t>Avg Months to Completion</t>
        </is>
      </c>
      <c r="C20" s="20">
        <f>AVERAGE(Goals!G4:G9)</f>
        <v/>
      </c>
      <c r="D20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5" customWidth="1" min="2" max="2"/>
  </cols>
  <sheetData>
    <row r="1"/>
    <row r="2">
      <c r="B2" s="2" t="n"/>
      <c r="C2" s="2" t="n"/>
    </row>
    <row r="3">
      <c r="B3" s="2" t="n"/>
      <c r="C3" s="21" t="inlineStr">
        <is>
          <t>Emergency Fund and Savings Goal Planner</t>
        </is>
      </c>
    </row>
    <row r="4">
      <c r="B4" s="2" t="n"/>
      <c r="C4" s="21" t="inlineStr"/>
    </row>
    <row r="5">
      <c r="B5" s="2" t="n"/>
      <c r="C5" s="21" t="inlineStr">
        <is>
          <t>Sample data covers a hypothetical 2025 scenario.</t>
        </is>
      </c>
    </row>
    <row r="6">
      <c r="B6" s="2" t="n"/>
      <c r="C6" s="21" t="inlineStr">
        <is>
          <t>All expenses and balances are fictional.</t>
        </is>
      </c>
    </row>
    <row r="7">
      <c r="B7" s="2" t="n"/>
      <c r="C7" s="21" t="inlineStr">
        <is>
          <t>Start by filling in your actual essential expenses on the Monthly Expenses sheet.</t>
        </is>
      </c>
    </row>
    <row r="8">
      <c r="B8" s="2" t="n"/>
      <c r="C8" s="21" t="inlineStr">
        <is>
          <t>The Emergency Fund target is derived from your average monthly expenses.</t>
        </is>
      </c>
    </row>
    <row r="9">
      <c r="B9" s="2" t="n"/>
      <c r="C9" s="21" t="inlineStr">
        <is>
          <t>Set your coverage months (3 or 6 or 9 or 12) on the Emergency Fund sheet.</t>
        </is>
      </c>
    </row>
    <row r="10">
      <c r="B10" s="2" t="n"/>
      <c r="C10" s="21" t="inlineStr">
        <is>
          <t>Log contributions monthly on the Contributions sheet.</t>
        </is>
      </c>
    </row>
    <row r="11">
      <c r="B11" s="2" t="n"/>
      <c r="C11" s="21" t="inlineStr">
        <is>
          <t>Do not insert or delete rows inside the data ranges.</t>
        </is>
      </c>
    </row>
    <row r="12">
      <c r="B12" s="2" t="n"/>
      <c r="C12" s="21" t="inlineStr">
        <is>
          <t>This is not financial advice. Talk to a professional about your situation.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Samuel Reed</dc:creator>
  <dcterms:created xsi:type="dcterms:W3CDTF">2024-07-07T16:02:40Z</dcterms:created>
  <dcterms:modified xsi:type="dcterms:W3CDTF">2025-02-14T17:17:40Z</dcterms:modified>
  <cp:lastModifiedBy>Samuel Reed</cp:lastModifiedBy>
  <cp:revision>1</cp:revision>
</cp:coreProperties>
</file>