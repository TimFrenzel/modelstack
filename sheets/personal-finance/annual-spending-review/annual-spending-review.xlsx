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300_WORK\xAI\002_xAI\project\excel-scraping\task_023\"/>
    </mc:Choice>
  </mc:AlternateContent>
  <xr:revisionPtr revIDLastSave="0" documentId="13_ncr:1_{B6438138-93BA-4D6B-AE54-8CAF332FA0D2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This Year" sheetId="1" r:id="rId1"/>
    <sheet name="Prior Year" sheetId="2" r:id="rId2"/>
    <sheet name="Category Stats" sheetId="3" r:id="rId3"/>
    <sheet name="YoY Comparison" sheetId="4" r:id="rId4"/>
    <sheet name="Forecast" sheetId="5" r:id="rId5"/>
    <sheet name="Summary" sheetId="6" r:id="rId6"/>
    <sheet name="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6" l="1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B20" i="6"/>
  <c r="B19" i="6"/>
  <c r="B18" i="6"/>
  <c r="B13" i="6"/>
  <c r="D22" i="5"/>
  <c r="E22" i="5" s="1"/>
  <c r="F22" i="5" s="1"/>
  <c r="B22" i="5"/>
  <c r="D21" i="5"/>
  <c r="E21" i="5" s="1"/>
  <c r="F21" i="5" s="1"/>
  <c r="B21" i="5"/>
  <c r="D20" i="5"/>
  <c r="E20" i="5" s="1"/>
  <c r="F20" i="5" s="1"/>
  <c r="B20" i="5"/>
  <c r="D19" i="5"/>
  <c r="E19" i="5" s="1"/>
  <c r="F19" i="5" s="1"/>
  <c r="B19" i="5"/>
  <c r="D18" i="5"/>
  <c r="E18" i="5" s="1"/>
  <c r="F18" i="5" s="1"/>
  <c r="B18" i="5"/>
  <c r="D17" i="5"/>
  <c r="E17" i="5" s="1"/>
  <c r="F17" i="5" s="1"/>
  <c r="B17" i="5"/>
  <c r="D16" i="5"/>
  <c r="E16" i="5" s="1"/>
  <c r="F16" i="5" s="1"/>
  <c r="B16" i="5"/>
  <c r="D15" i="5"/>
  <c r="E15" i="5" s="1"/>
  <c r="F15" i="5" s="1"/>
  <c r="B15" i="5"/>
  <c r="D14" i="5"/>
  <c r="E14" i="5" s="1"/>
  <c r="F14" i="5" s="1"/>
  <c r="B14" i="5"/>
  <c r="D13" i="5"/>
  <c r="E13" i="5" s="1"/>
  <c r="F13" i="5" s="1"/>
  <c r="B13" i="5"/>
  <c r="D12" i="5"/>
  <c r="E12" i="5" s="1"/>
  <c r="F12" i="5" s="1"/>
  <c r="B12" i="5"/>
  <c r="D11" i="5"/>
  <c r="E11" i="5" s="1"/>
  <c r="F11" i="5" s="1"/>
  <c r="B11" i="5"/>
  <c r="D10" i="5"/>
  <c r="E10" i="5" s="1"/>
  <c r="F10" i="5" s="1"/>
  <c r="B10" i="5"/>
  <c r="D9" i="5"/>
  <c r="E9" i="5" s="1"/>
  <c r="F9" i="5" s="1"/>
  <c r="B9" i="5"/>
  <c r="D8" i="5"/>
  <c r="E8" i="5" s="1"/>
  <c r="F8" i="5" s="1"/>
  <c r="B8" i="5"/>
  <c r="D7" i="5"/>
  <c r="E7" i="5" s="1"/>
  <c r="F7" i="5" s="1"/>
  <c r="B7" i="5"/>
  <c r="D6" i="5"/>
  <c r="E6" i="5" s="1"/>
  <c r="F6" i="5" s="1"/>
  <c r="B6" i="5"/>
  <c r="D5" i="5"/>
  <c r="E5" i="5" s="1"/>
  <c r="F5" i="5" s="1"/>
  <c r="B5" i="5"/>
  <c r="D4" i="5"/>
  <c r="E4" i="5" s="1"/>
  <c r="F4" i="5" s="1"/>
  <c r="B4" i="5"/>
  <c r="D3" i="5"/>
  <c r="E3" i="5" s="1"/>
  <c r="B3" i="5"/>
  <c r="B21" i="4"/>
  <c r="D21" i="4" s="1"/>
  <c r="C18" i="4"/>
  <c r="B9" i="4"/>
  <c r="D9" i="4" s="1"/>
  <c r="C6" i="4"/>
  <c r="C4" i="4"/>
  <c r="F22" i="3"/>
  <c r="E22" i="3"/>
  <c r="D22" i="3"/>
  <c r="B22" i="3"/>
  <c r="F21" i="3"/>
  <c r="E21" i="3"/>
  <c r="D21" i="3"/>
  <c r="F20" i="3"/>
  <c r="E20" i="3"/>
  <c r="D20" i="3"/>
  <c r="B20" i="3"/>
  <c r="F19" i="3"/>
  <c r="E19" i="3"/>
  <c r="D19" i="3"/>
  <c r="F18" i="3"/>
  <c r="E18" i="3"/>
  <c r="D18" i="3"/>
  <c r="F17" i="3"/>
  <c r="E17" i="3"/>
  <c r="D17" i="3"/>
  <c r="F16" i="3"/>
  <c r="E16" i="3"/>
  <c r="D16" i="3"/>
  <c r="B16" i="3"/>
  <c r="F15" i="3"/>
  <c r="E15" i="3"/>
  <c r="D15" i="3"/>
  <c r="F14" i="3"/>
  <c r="E14" i="3"/>
  <c r="D14" i="3"/>
  <c r="B14" i="3"/>
  <c r="F13" i="3"/>
  <c r="E13" i="3"/>
  <c r="D13" i="3"/>
  <c r="F12" i="3"/>
  <c r="E12" i="3"/>
  <c r="D12" i="3"/>
  <c r="F11" i="3"/>
  <c r="E11" i="3"/>
  <c r="D11" i="3"/>
  <c r="F10" i="3"/>
  <c r="E10" i="3"/>
  <c r="D10" i="3"/>
  <c r="B10" i="3"/>
  <c r="F9" i="3"/>
  <c r="E9" i="3"/>
  <c r="D9" i="3"/>
  <c r="B9" i="3"/>
  <c r="F8" i="3"/>
  <c r="E8" i="3"/>
  <c r="D8" i="3"/>
  <c r="B8" i="3"/>
  <c r="F7" i="3"/>
  <c r="E7" i="3"/>
  <c r="D7" i="3"/>
  <c r="F6" i="3"/>
  <c r="E6" i="3"/>
  <c r="D6" i="3"/>
  <c r="F5" i="3"/>
  <c r="E5" i="3"/>
  <c r="D5" i="3"/>
  <c r="F4" i="3"/>
  <c r="E4" i="3"/>
  <c r="D4" i="3"/>
  <c r="B4" i="3"/>
  <c r="F3" i="3"/>
  <c r="E3" i="3"/>
  <c r="D3" i="3"/>
  <c r="B3" i="3"/>
  <c r="M28" i="2"/>
  <c r="K28" i="2"/>
  <c r="I28" i="2"/>
  <c r="G28" i="2"/>
  <c r="E28" i="2"/>
  <c r="C28" i="2"/>
  <c r="M27" i="2"/>
  <c r="C21" i="6" s="1"/>
  <c r="L27" i="2"/>
  <c r="L28" i="2" s="1"/>
  <c r="K27" i="2"/>
  <c r="C19" i="6" s="1"/>
  <c r="J27" i="2"/>
  <c r="J28" i="2" s="1"/>
  <c r="I27" i="2"/>
  <c r="C17" i="6" s="1"/>
  <c r="H27" i="2"/>
  <c r="C16" i="6" s="1"/>
  <c r="G27" i="2"/>
  <c r="C15" i="6" s="1"/>
  <c r="F27" i="2"/>
  <c r="C14" i="6" s="1"/>
  <c r="E27" i="2"/>
  <c r="C13" i="6" s="1"/>
  <c r="D27" i="2"/>
  <c r="D28" i="2" s="1"/>
  <c r="C27" i="2"/>
  <c r="C11" i="6" s="1"/>
  <c r="B27" i="2"/>
  <c r="C10" i="6" s="1"/>
  <c r="N26" i="2"/>
  <c r="C22" i="4" s="1"/>
  <c r="N25" i="2"/>
  <c r="C21" i="4" s="1"/>
  <c r="N24" i="2"/>
  <c r="O24" i="2" s="1"/>
  <c r="N23" i="2"/>
  <c r="C19" i="4" s="1"/>
  <c r="N22" i="2"/>
  <c r="O22" i="2" s="1"/>
  <c r="N21" i="2"/>
  <c r="C17" i="4" s="1"/>
  <c r="N20" i="2"/>
  <c r="O20" i="2" s="1"/>
  <c r="N19" i="2"/>
  <c r="C15" i="4" s="1"/>
  <c r="N18" i="2"/>
  <c r="C14" i="4" s="1"/>
  <c r="N17" i="2"/>
  <c r="C13" i="4" s="1"/>
  <c r="N16" i="2"/>
  <c r="O16" i="2" s="1"/>
  <c r="N15" i="2"/>
  <c r="O15" i="2" s="1"/>
  <c r="N14" i="2"/>
  <c r="C10" i="4" s="1"/>
  <c r="N13" i="2"/>
  <c r="C9" i="4" s="1"/>
  <c r="N12" i="2"/>
  <c r="O12" i="2" s="1"/>
  <c r="N11" i="2"/>
  <c r="C7" i="4" s="1"/>
  <c r="N10" i="2"/>
  <c r="O10" i="2" s="1"/>
  <c r="N9" i="2"/>
  <c r="C5" i="4" s="1"/>
  <c r="N8" i="2"/>
  <c r="O8" i="2" s="1"/>
  <c r="N7" i="2"/>
  <c r="C3" i="4" s="1"/>
  <c r="N3" i="2"/>
  <c r="M28" i="1"/>
  <c r="K28" i="1"/>
  <c r="I28" i="1"/>
  <c r="G28" i="1"/>
  <c r="E28" i="1"/>
  <c r="C28" i="1"/>
  <c r="M27" i="1"/>
  <c r="B21" i="6" s="1"/>
  <c r="L27" i="1"/>
  <c r="L28" i="1" s="1"/>
  <c r="K27" i="1"/>
  <c r="J27" i="1"/>
  <c r="J28" i="1" s="1"/>
  <c r="I27" i="1"/>
  <c r="B17" i="6" s="1"/>
  <c r="H27" i="1"/>
  <c r="B16" i="6" s="1"/>
  <c r="G27" i="1"/>
  <c r="B15" i="6" s="1"/>
  <c r="F27" i="1"/>
  <c r="F28" i="1" s="1"/>
  <c r="E27" i="1"/>
  <c r="D27" i="1"/>
  <c r="D28" i="1" s="1"/>
  <c r="C27" i="1"/>
  <c r="B11" i="6" s="1"/>
  <c r="B27" i="1"/>
  <c r="B10" i="6" s="1"/>
  <c r="N26" i="1"/>
  <c r="O26" i="1" s="1"/>
  <c r="C22" i="3" s="1"/>
  <c r="G22" i="3" s="1"/>
  <c r="N25" i="1"/>
  <c r="B21" i="3" s="1"/>
  <c r="N24" i="1"/>
  <c r="B20" i="4" s="1"/>
  <c r="N23" i="1"/>
  <c r="B19" i="3" s="1"/>
  <c r="N22" i="1"/>
  <c r="B18" i="3" s="1"/>
  <c r="N21" i="1"/>
  <c r="B17" i="3" s="1"/>
  <c r="N20" i="1"/>
  <c r="O20" i="1" s="1"/>
  <c r="C16" i="3" s="1"/>
  <c r="G16" i="3" s="1"/>
  <c r="N19" i="1"/>
  <c r="B15" i="4" s="1"/>
  <c r="D15" i="4" s="1"/>
  <c r="N18" i="1"/>
  <c r="O18" i="1" s="1"/>
  <c r="C14" i="3" s="1"/>
  <c r="G14" i="3" s="1"/>
  <c r="N17" i="1"/>
  <c r="B13" i="3" s="1"/>
  <c r="N16" i="1"/>
  <c r="B12" i="4" s="1"/>
  <c r="N15" i="1"/>
  <c r="B11" i="3" s="1"/>
  <c r="N14" i="1"/>
  <c r="O14" i="1" s="1"/>
  <c r="C10" i="3" s="1"/>
  <c r="G10" i="3" s="1"/>
  <c r="N13" i="1"/>
  <c r="O13" i="1" s="1"/>
  <c r="C9" i="3" s="1"/>
  <c r="N12" i="1"/>
  <c r="B8" i="4" s="1"/>
  <c r="N11" i="1"/>
  <c r="B7" i="3" s="1"/>
  <c r="N10" i="1"/>
  <c r="B6" i="3" s="1"/>
  <c r="N9" i="1"/>
  <c r="B5" i="3" s="1"/>
  <c r="N8" i="1"/>
  <c r="O8" i="1" s="1"/>
  <c r="C4" i="3" s="1"/>
  <c r="G4" i="3" s="1"/>
  <c r="N7" i="1"/>
  <c r="B3" i="4" s="1"/>
  <c r="N3" i="1"/>
  <c r="O3" i="1" s="1"/>
  <c r="D3" i="4" l="1"/>
  <c r="B31" i="6"/>
  <c r="E9" i="4"/>
  <c r="D8" i="4"/>
  <c r="D20" i="4"/>
  <c r="G9" i="3"/>
  <c r="B43" i="6"/>
  <c r="E21" i="4"/>
  <c r="F3" i="5"/>
  <c r="E24" i="5"/>
  <c r="B37" i="6"/>
  <c r="E15" i="4"/>
  <c r="D12" i="4"/>
  <c r="G7" i="3"/>
  <c r="N27" i="1"/>
  <c r="C8" i="4"/>
  <c r="B26" i="4" s="1"/>
  <c r="B13" i="4"/>
  <c r="D13" i="4" s="1"/>
  <c r="C20" i="4"/>
  <c r="B12" i="6"/>
  <c r="O9" i="1"/>
  <c r="C5" i="3" s="1"/>
  <c r="G5" i="3" s="1"/>
  <c r="O15" i="1"/>
  <c r="C11" i="3" s="1"/>
  <c r="G11" i="3" s="1"/>
  <c r="O21" i="1"/>
  <c r="C17" i="3" s="1"/>
  <c r="G17" i="3" s="1"/>
  <c r="B28" i="1"/>
  <c r="N28" i="1"/>
  <c r="B5" i="6" s="1"/>
  <c r="O11" i="2"/>
  <c r="O17" i="2"/>
  <c r="O23" i="2"/>
  <c r="F28" i="2"/>
  <c r="B6" i="4"/>
  <c r="D6" i="4" s="1"/>
  <c r="B18" i="4"/>
  <c r="D18" i="4" s="1"/>
  <c r="C12" i="6"/>
  <c r="C18" i="6"/>
  <c r="B11" i="4"/>
  <c r="D11" i="4" s="1"/>
  <c r="O10" i="1"/>
  <c r="C6" i="3" s="1"/>
  <c r="G6" i="3" s="1"/>
  <c r="O16" i="1"/>
  <c r="C12" i="3" s="1"/>
  <c r="G12" i="3" s="1"/>
  <c r="O22" i="1"/>
  <c r="C18" i="3" s="1"/>
  <c r="G18" i="3" s="1"/>
  <c r="O3" i="2"/>
  <c r="O18" i="2"/>
  <c r="H28" i="2"/>
  <c r="B4" i="4"/>
  <c r="D4" i="4" s="1"/>
  <c r="C11" i="4"/>
  <c r="B16" i="4"/>
  <c r="C16" i="4"/>
  <c r="B14" i="6"/>
  <c r="O11" i="1"/>
  <c r="C7" i="3" s="1"/>
  <c r="O17" i="1"/>
  <c r="C13" i="3" s="1"/>
  <c r="G13" i="3" s="1"/>
  <c r="O23" i="1"/>
  <c r="C19" i="3" s="1"/>
  <c r="G19" i="3" s="1"/>
  <c r="O7" i="2"/>
  <c r="O13" i="2"/>
  <c r="O19" i="2"/>
  <c r="O25" i="2"/>
  <c r="B14" i="4"/>
  <c r="D14" i="4" s="1"/>
  <c r="C20" i="6"/>
  <c r="B12" i="3"/>
  <c r="O12" i="1"/>
  <c r="C8" i="3" s="1"/>
  <c r="G8" i="3" s="1"/>
  <c r="O24" i="1"/>
  <c r="C20" i="3" s="1"/>
  <c r="G20" i="3" s="1"/>
  <c r="H28" i="1"/>
  <c r="O14" i="2"/>
  <c r="O26" i="2"/>
  <c r="B19" i="4"/>
  <c r="D19" i="4" s="1"/>
  <c r="N27" i="2"/>
  <c r="B4" i="6" s="1"/>
  <c r="B5" i="4"/>
  <c r="D5" i="4" s="1"/>
  <c r="C12" i="4"/>
  <c r="B17" i="4"/>
  <c r="D17" i="4" s="1"/>
  <c r="B7" i="4"/>
  <c r="D7" i="4" s="1"/>
  <c r="O7" i="1"/>
  <c r="C3" i="3" s="1"/>
  <c r="G3" i="3" s="1"/>
  <c r="O19" i="1"/>
  <c r="C15" i="3" s="1"/>
  <c r="G15" i="3" s="1"/>
  <c r="O25" i="1"/>
  <c r="C21" i="3" s="1"/>
  <c r="G21" i="3" s="1"/>
  <c r="O9" i="2"/>
  <c r="O21" i="2"/>
  <c r="B28" i="2"/>
  <c r="B10" i="4"/>
  <c r="D10" i="4" s="1"/>
  <c r="B22" i="4"/>
  <c r="D22" i="4" s="1"/>
  <c r="B15" i="3"/>
  <c r="E19" i="4" l="1"/>
  <c r="B41" i="6"/>
  <c r="B6" i="6"/>
  <c r="B32" i="6"/>
  <c r="E10" i="4"/>
  <c r="B42" i="6"/>
  <c r="E20" i="4"/>
  <c r="D16" i="4"/>
  <c r="E18" i="4"/>
  <c r="B40" i="6"/>
  <c r="B35" i="6"/>
  <c r="E13" i="4"/>
  <c r="F7" i="4"/>
  <c r="B25" i="6"/>
  <c r="A32" i="4"/>
  <c r="F14" i="4"/>
  <c r="B31" i="4"/>
  <c r="F21" i="4"/>
  <c r="F9" i="4"/>
  <c r="F4" i="4"/>
  <c r="F11" i="4"/>
  <c r="A30" i="4"/>
  <c r="F18" i="4"/>
  <c r="F6" i="4"/>
  <c r="B37" i="4"/>
  <c r="F13" i="4"/>
  <c r="A37" i="4"/>
  <c r="F20" i="4"/>
  <c r="F8" i="4"/>
  <c r="B36" i="4"/>
  <c r="F15" i="4"/>
  <c r="F3" i="4"/>
  <c r="A36" i="4"/>
  <c r="F22" i="4"/>
  <c r="F10" i="4"/>
  <c r="E3" i="4"/>
  <c r="B35" i="4"/>
  <c r="F17" i="4"/>
  <c r="F5" i="4"/>
  <c r="B44" i="6"/>
  <c r="E22" i="4"/>
  <c r="E12" i="4"/>
  <c r="B34" i="6"/>
  <c r="E14" i="4"/>
  <c r="B36" i="6"/>
  <c r="B25" i="4"/>
  <c r="B27" i="4" s="1"/>
  <c r="E11" i="4"/>
  <c r="B33" i="6"/>
  <c r="E7" i="4"/>
  <c r="B29" i="6"/>
  <c r="E6" i="4"/>
  <c r="B28" i="6"/>
  <c r="B26" i="6"/>
  <c r="E4" i="4"/>
  <c r="B3" i="6"/>
  <c r="E25" i="5"/>
  <c r="E26" i="5" s="1"/>
  <c r="B30" i="6"/>
  <c r="E8" i="4"/>
  <c r="E17" i="4"/>
  <c r="B39" i="6"/>
  <c r="E5" i="4"/>
  <c r="B27" i="6"/>
  <c r="N28" i="2"/>
  <c r="B38" i="6" l="1"/>
  <c r="E16" i="4"/>
  <c r="F19" i="4"/>
  <c r="B30" i="4"/>
  <c r="B32" i="4"/>
  <c r="F12" i="4"/>
  <c r="F16" i="4"/>
  <c r="A35" i="4"/>
  <c r="A31" i="4"/>
</calcChain>
</file>

<file path=xl/sharedStrings.xml><?xml version="1.0" encoding="utf-8"?>
<sst xmlns="http://schemas.openxmlformats.org/spreadsheetml/2006/main" count="230" uniqueCount="82">
  <si>
    <t>This Year (2025)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</si>
  <si>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</si>
  <si>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</si>
  <si>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</si>
  <si>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</si>
  <si>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</si>
  <si>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</si>
  <si>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</si>
  <si>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</si>
  <si>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</si>
  <si>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</si>
  <si>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</si>
  <si>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</si>
  <si>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 Total</t>
  </si>
  <si>
    <t>Monthly Avg</t>
  </si>
  <si>
    <t>Monthly Income</t>
  </si>
  <si>
    <t>Spending by Category</t>
  </si>
  <si>
    <t>Category</t>
  </si>
  <si>
    <t>Rent/Mortgage</t>
  </si>
  <si>
    <t>Utilities</t>
  </si>
  <si>
    <t>Groceries</t>
  </si>
  <si>
    <t>Gas</t>
  </si>
  <si>
    <t>Auto Insurance</t>
  </si>
  <si>
    <t>Health Insurance</t>
  </si>
  <si>
    <t>Phone/Internet</t>
  </si>
  <si>
    <t>Dining Out</t>
  </si>
  <si>
    <t>Coffee</t>
  </si>
  <si>
    <t>Entertainment</t>
  </si>
  <si>
    <t>Clothing</t>
  </si>
  <si>
    <t>Subscriptions</t>
  </si>
  <si>
    <t>Gym/Fitness</t>
  </si>
  <si>
    <t>Personal Care</t>
  </si>
  <si>
    <t>Medical</t>
  </si>
  <si>
    <t>Gifts</t>
  </si>
  <si>
    <t>Travel</t>
  </si>
  <si>
    <t>Home Maintenance</t>
  </si>
  <si>
    <t>Education</t>
  </si>
  <si>
    <t>Miscellaneous</t>
  </si>
  <si>
    <t>Total Spent</t>
  </si>
  <si>
    <t>Savings Rate</t>
  </si>
  <si>
    <t>Prior Year (2024)</t>
  </si>
  <si>
    <t>Category Statistics (This Year)</t>
  </si>
  <si>
    <t>Highest Month</t>
  </si>
  <si>
    <t>Lowest Month</t>
  </si>
  <si>
    <t>Std Dev</t>
  </si>
  <si>
    <t>Coeff of Variation</t>
  </si>
  <si>
    <t>Year-over-Year Comparison</t>
  </si>
  <si>
    <t>This Year</t>
  </si>
  <si>
    <t>Prior Year</t>
  </si>
  <si>
    <t>$ Change</t>
  </si>
  <si>
    <t>% Change</t>
  </si>
  <si>
    <t>Rank (abs)</t>
  </si>
  <si>
    <t>Summary</t>
  </si>
  <si>
    <t>Total This Year</t>
  </si>
  <si>
    <t>Total Prior Year</t>
  </si>
  <si>
    <t>Net Change</t>
  </si>
  <si>
    <t>Top 3 Increases</t>
  </si>
  <si>
    <t>Top 3 Decreases</t>
  </si>
  <si>
    <t>Next Year Forecast</t>
  </si>
  <si>
    <t>Trailing 6-Mo Avg</t>
  </si>
  <si>
    <t>Override</t>
  </si>
  <si>
    <t>Projected Monthly</t>
  </si>
  <si>
    <t>Projected Annual</t>
  </si>
  <si>
    <t>vs This Year</t>
  </si>
  <si>
    <t>Projected Total</t>
  </si>
  <si>
    <t>This Year Total</t>
  </si>
  <si>
    <t>Projected Change</t>
  </si>
  <si>
    <t>Annual Summary</t>
  </si>
  <si>
    <t>KPIs</t>
  </si>
  <si>
    <t>Total Spent This Year</t>
  </si>
  <si>
    <t>Total Spent Prior Year</t>
  </si>
  <si>
    <t>Savings Rate This Year</t>
  </si>
  <si>
    <t>Projected Next Year</t>
  </si>
  <si>
    <t>Month</t>
  </si>
  <si>
    <t>Annual Spending Review</t>
  </si>
  <si>
    <t>This Year uses sample 2025 data. Prior Year uses sample 2024 data.</t>
  </si>
  <si>
    <t>All amounts are fictional.</t>
  </si>
  <si>
    <t>Enter or paste your own monthly spending into This Year and Prior Year.</t>
  </si>
  <si>
    <t>Category Stats and YoY Comparison update automatically.</t>
  </si>
  <si>
    <t>Use the Override column on the Forecast sheet to adjust projections.</t>
  </si>
  <si>
    <t>Do not insert or delete rows inside the category ranges.</t>
  </si>
  <si>
    <t>This is not financial advice. Talk to a professional about your situation.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</si>
</sst>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3E3428"/>
      <name val="Arial"/>
      <family val="2"/>
    </font>
    <font>
      <sz val="11"/>
      <color theme="1"/>
      <name val="Calibri"/>
      <family val="2"/>
      <scheme val="minor"/>
    </font>
    <font>
      <b/>
      <sz val="11"/>
      <color rgb="FFF2EDE3"/>
      <name val="Arial"/>
      <family val="2"/>
    </font>
    <font>
      <b/>
      <sz val="11"/>
      <color rgb="FF3E3428"/>
      <name val="Arial"/>
      <family val="2"/>
    </font>
    <font>
      <sz val="11"/>
      <color rgb="FF3E3428"/>
      <name val="Arial"/>
      <family val="2"/>
    </font>
    <font>
      <b/>
      <sz val="11"/>
      <color rgb="FF5B6B4A"/>
      <name val="Arial"/>
      <family val="2"/>
    </font>
    <font>
      <b/>
      <u/>
      <sz val="11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5B6B4A"/>
      </patternFill>
    </fill>
    <fill>
      <patternFill patternType="solid">
        <fgColor rgb="FFEAE4D8"/>
      </patternFill>
    </fill>
  </fills>
  <borders count="3">
    <border>
      <left/>
      <right/>
      <top/>
      <bottom/>
      <diagonal/>
    </border>
    <border>
      <left/>
      <right/>
      <top/>
      <bottom style="thin">
        <color rgb="FFB5ADA2"/>
      </bottom>
      <diagonal/>
    </border>
    <border>
      <left/>
      <right style="hair">
        <color rgb="FFB5ADA2"/>
      </right>
      <top/>
      <bottom style="hair">
        <color rgb="FFB5ADA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64" fontId="5" fillId="3" borderId="0" xfId="0" applyNumberFormat="1" applyFont="1" applyFill="1" applyAlignment="1">
      <alignment vertical="center"/>
    </xf>
    <xf numFmtId="164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2" fontId="5" fillId="0" borderId="0" xfId="0" applyNumberFormat="1" applyFont="1" applyAlignment="1">
      <alignment vertical="center"/>
    </xf>
    <xf numFmtId="0" fontId="3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10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8D8B0"/>
        </patternFill>
      </fill>
    </dxf>
    <dxf>
      <fill>
        <patternFill patternType="solid">
          <fgColor rgb="FFE8C88A"/>
        </patternFill>
      </fill>
    </dxf>
    <dxf>
      <fill>
        <patternFill patternType="solid">
          <fgColor rgb="FFE8D8A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Monthly Spending: This Year vs Prior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Summary!$B$9</c:f>
              <c:strCache>
                <c:ptCount val="1"/>
                <c:pt idx="0">
                  <c:v>This 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Summary!$A$10:$A$21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Summary!$B$10:$B$21</c:f>
              <c:numCache>
                <c:formatCode>"$"#,##0</c:formatCode>
                <c:ptCount val="12"/>
                <c:pt idx="0">
                  <c:v>3790</c:v>
                </c:pt>
                <c:pt idx="1">
                  <c:v>3245</c:v>
                </c:pt>
                <c:pt idx="2">
                  <c:v>3448</c:v>
                </c:pt>
                <c:pt idx="3">
                  <c:v>3658</c:v>
                </c:pt>
                <c:pt idx="4">
                  <c:v>3272</c:v>
                </c:pt>
                <c:pt idx="5">
                  <c:v>3581</c:v>
                </c:pt>
                <c:pt idx="6">
                  <c:v>3590</c:v>
                </c:pt>
                <c:pt idx="7">
                  <c:v>3713</c:v>
                </c:pt>
                <c:pt idx="8">
                  <c:v>3006</c:v>
                </c:pt>
                <c:pt idx="9">
                  <c:v>2924</c:v>
                </c:pt>
                <c:pt idx="10">
                  <c:v>3149</c:v>
                </c:pt>
                <c:pt idx="11">
                  <c:v>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40-4055-8428-C7E9905A73D4}"/>
            </c:ext>
          </c:extLst>
        </c:ser>
        <c:ser>
          <c:idx val="1"/>
          <c:order val="1"/>
          <c:tx>
            <c:strRef>
              <c:f>Summary!$C$9</c:f>
              <c:strCache>
                <c:ptCount val="1"/>
                <c:pt idx="0">
                  <c:v>Prior Year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Summary!$A$10:$A$21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Summary!$C$10:$C$21</c:f>
              <c:numCache>
                <c:formatCode>"$"#,##0</c:formatCode>
                <c:ptCount val="12"/>
                <c:pt idx="0">
                  <c:v>2904</c:v>
                </c:pt>
                <c:pt idx="1">
                  <c:v>2890</c:v>
                </c:pt>
                <c:pt idx="2">
                  <c:v>2759</c:v>
                </c:pt>
                <c:pt idx="3">
                  <c:v>3017</c:v>
                </c:pt>
                <c:pt idx="4">
                  <c:v>3331</c:v>
                </c:pt>
                <c:pt idx="5">
                  <c:v>2687</c:v>
                </c:pt>
                <c:pt idx="6">
                  <c:v>3356</c:v>
                </c:pt>
                <c:pt idx="7">
                  <c:v>3080</c:v>
                </c:pt>
                <c:pt idx="8">
                  <c:v>2869</c:v>
                </c:pt>
                <c:pt idx="9">
                  <c:v>3100</c:v>
                </c:pt>
                <c:pt idx="10">
                  <c:v>3058</c:v>
                </c:pt>
                <c:pt idx="11">
                  <c:v>3174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40-4055-8428-C7E9905A7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6207375"/>
        <c:axId val="736224655"/>
      </c:lineChart>
      <c:catAx>
        <c:axId val="736207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24655"/>
        <c:crosses val="autoZero"/>
        <c:auto val="1"/>
        <c:lblAlgn val="ctr"/>
        <c:lblOffset val="100"/>
        <c:noMultiLvlLbl val="0"/>
      </c:catAx>
      <c:valAx>
        <c:axId val="73622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07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Summary!$B$24</c:f>
              <c:strCache>
                <c:ptCount val="1"/>
                <c:pt idx="0">
                  <c:v>$ Change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Summary!$A$25:$A$44</c:f>
              <c:strCache>
                <c:ptCount val="20"/>
                <c:pt idx="0">
                  <c:v>Rent/Mortgage</c:v>
                </c:pt>
                <c:pt idx="1">
                  <c:v>Utilities</c:v>
                </c:pt>
                <c:pt idx="2">
                  <c:v>Groceries</c:v>
                </c:pt>
                <c:pt idx="3">
                  <c:v>Gas</c:v>
                </c:pt>
                <c:pt idx="4">
                  <c:v>Auto Insurance</c:v>
                </c:pt>
                <c:pt idx="5">
                  <c:v>Health Insurance</c:v>
                </c:pt>
                <c:pt idx="6">
                  <c:v>Phone/Internet</c:v>
                </c:pt>
                <c:pt idx="7">
                  <c:v>Dining Out</c:v>
                </c:pt>
                <c:pt idx="8">
                  <c:v>Coffee</c:v>
                </c:pt>
                <c:pt idx="9">
                  <c:v>Entertainment</c:v>
                </c:pt>
                <c:pt idx="10">
                  <c:v>Clothing</c:v>
                </c:pt>
                <c:pt idx="11">
                  <c:v>Subscriptions</c:v>
                </c:pt>
                <c:pt idx="12">
                  <c:v>Gym/Fitness</c:v>
                </c:pt>
                <c:pt idx="13">
                  <c:v>Personal Care</c:v>
                </c:pt>
                <c:pt idx="14">
                  <c:v>Medical</c:v>
                </c:pt>
                <c:pt idx="15">
                  <c:v>Gifts</c:v>
                </c:pt>
                <c:pt idx="16">
                  <c:v>Travel</c:v>
                </c:pt>
                <c:pt idx="17">
                  <c:v>Home Maintenance</c:v>
                </c:pt>
                <c:pt idx="18">
                  <c:v>Education</c:v>
                </c:pt>
                <c:pt idx="19">
                  <c:v>Miscellaneous</c:v>
                </c:pt>
              </c:strCache>
            </c:strRef>
          </c:cat>
          <c:val>
            <c:numRef>
              <c:f>Summary!$B$25:$B$44</c:f>
              <c:numCache>
                <c:formatCode>"$"#,##0</c:formatCode>
                <c:ptCount val="20"/>
                <c:pt idx="0">
                  <c:v>3574</c:v>
                </c:pt>
                <c:pt idx="1">
                  <c:v>263</c:v>
                </c:pt>
                <c:pt idx="2">
                  <c:v>129</c:v>
                </c:pt>
                <c:pt idx="3">
                  <c:v>-7</c:v>
                </c:pt>
                <c:pt idx="4">
                  <c:v>24</c:v>
                </c:pt>
                <c:pt idx="5">
                  <c:v>-14</c:v>
                </c:pt>
                <c:pt idx="6">
                  <c:v>166</c:v>
                </c:pt>
                <c:pt idx="7">
                  <c:v>68</c:v>
                </c:pt>
                <c:pt idx="8">
                  <c:v>137</c:v>
                </c:pt>
                <c:pt idx="9">
                  <c:v>143</c:v>
                </c:pt>
                <c:pt idx="10">
                  <c:v>29</c:v>
                </c:pt>
                <c:pt idx="11">
                  <c:v>-55</c:v>
                </c:pt>
                <c:pt idx="12">
                  <c:v>104</c:v>
                </c:pt>
                <c:pt idx="13">
                  <c:v>82</c:v>
                </c:pt>
                <c:pt idx="14">
                  <c:v>-7</c:v>
                </c:pt>
                <c:pt idx="15">
                  <c:v>55</c:v>
                </c:pt>
                <c:pt idx="16">
                  <c:v>135</c:v>
                </c:pt>
                <c:pt idx="17">
                  <c:v>31</c:v>
                </c:pt>
                <c:pt idx="18">
                  <c:v>25</c:v>
                </c:pt>
                <c:pt idx="19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BA-4CD9-B9F4-1CD5F334F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6235215"/>
        <c:axId val="736230895"/>
      </c:barChart>
      <c:catAx>
        <c:axId val="736235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30895"/>
        <c:crosses val="autoZero"/>
        <c:auto val="1"/>
        <c:lblAlgn val="ctr"/>
        <c:lblOffset val="100"/>
        <c:noMultiLvlLbl val="0"/>
      </c:catAx>
      <c:valAx>
        <c:axId val="73623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3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147636</xdr:rowOff>
    </xdr:from>
    <xdr:to>
      <xdr:col>14</xdr:col>
      <xdr:colOff>428625</xdr:colOff>
      <xdr:row>18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2ED45F-4180-E84D-C5F7-BDB49439E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42862</xdr:colOff>
      <xdr:row>18</xdr:row>
      <xdr:rowOff>157162</xdr:rowOff>
    </xdr:from>
    <xdr:to>
      <xdr:col>14</xdr:col>
      <xdr:colOff>428625</xdr:colOff>
      <xdr:row>43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9FF16D-40FD-16B2-D911-429F545D8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"/>
  <sheetViews>
    <sheetView showGridLines="0" tabSelected="1" workbookViewId="0">
      <selection activeCell="C16" sqref="C16"/>
    </sheetView>
  </sheetViews>
  <sheetFormatPr defaultRowHeight="15" x14ac:dyDescent="0.25"/>
  <cols>
    <col min="1" max="1" width="22" customWidth="1"/>
    <col min="2" max="14" width="25" customWidth="1"/>
    <col min="15" max="15" width="13" customWidth="1"/>
  </cols>
  <sheetData>
    <row r="1" spans="1:15" ht="1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5">
      <c r="A2" s="2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 x14ac:dyDescent="0.25">
      <c r="A3" s="4" t="s">
        <v>15</v>
      </c>
      <c r="B3" s="5">
        <v>5200</v>
      </c>
      <c r="C3" s="5">
        <v>5200</v>
      </c>
      <c r="D3" s="5">
        <v>5200</v>
      </c>
      <c r="E3" s="5">
        <v>5200</v>
      </c>
      <c r="F3" s="5">
        <v>5200</v>
      </c>
      <c r="G3" s="5">
        <v>5200</v>
      </c>
      <c r="H3" s="5">
        <v>5200</v>
      </c>
      <c r="I3" s="5">
        <v>5200</v>
      </c>
      <c r="J3" s="5">
        <v>5200</v>
      </c>
      <c r="K3" s="5">
        <v>5200</v>
      </c>
      <c r="L3" s="5">
        <v>5200</v>
      </c>
      <c r="M3" s="5">
        <v>5200</v>
      </c>
      <c r="N3" s="6">
        <f>SUM(B3:M3)</f>
        <v>62400</v>
      </c>
      <c r="O3" s="7">
        <f>N3/12</f>
        <v>5200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8" t="s">
        <v>16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9" t="s">
        <v>17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9</v>
      </c>
      <c r="K6" s="3" t="s">
        <v>10</v>
      </c>
      <c r="L6" s="3" t="s">
        <v>11</v>
      </c>
      <c r="M6" s="3" t="s">
        <v>12</v>
      </c>
      <c r="N6" s="3" t="s">
        <v>13</v>
      </c>
      <c r="O6" s="3" t="s">
        <v>14</v>
      </c>
    </row>
    <row r="7" spans="1:15" x14ac:dyDescent="0.25">
      <c r="A7" s="10" t="s">
        <v>18</v>
      </c>
      <c r="B7" s="11">
        <v>1791</v>
      </c>
      <c r="C7" s="11">
        <v>1425</v>
      </c>
      <c r="D7" s="11">
        <v>1566</v>
      </c>
      <c r="E7" s="11">
        <v>1770</v>
      </c>
      <c r="F7" s="11">
        <v>1296</v>
      </c>
      <c r="G7" s="11">
        <v>1512</v>
      </c>
      <c r="H7" s="11">
        <v>1563</v>
      </c>
      <c r="I7" s="11">
        <v>1835</v>
      </c>
      <c r="J7" s="11">
        <v>1149</v>
      </c>
      <c r="K7" s="11">
        <v>1177</v>
      </c>
      <c r="L7" s="11">
        <v>1365</v>
      </c>
      <c r="M7" s="11">
        <v>1744</v>
      </c>
      <c r="N7" s="7">
        <f t="shared" ref="N7:N27" si="0">SUM(B7:M7)</f>
        <v>18193</v>
      </c>
      <c r="O7" s="7">
        <f t="shared" ref="O7:O26" si="1">N7/12</f>
        <v>1516.0833333333333</v>
      </c>
    </row>
    <row r="8" spans="1:15" x14ac:dyDescent="0.25">
      <c r="A8" s="10" t="s">
        <v>19</v>
      </c>
      <c r="B8" s="11">
        <v>227</v>
      </c>
      <c r="C8" s="11">
        <v>158</v>
      </c>
      <c r="D8" s="11">
        <v>188</v>
      </c>
      <c r="E8" s="11">
        <v>157</v>
      </c>
      <c r="F8" s="11">
        <v>191</v>
      </c>
      <c r="G8" s="11">
        <v>189</v>
      </c>
      <c r="H8" s="11">
        <v>154</v>
      </c>
      <c r="I8" s="11">
        <v>240</v>
      </c>
      <c r="J8" s="11">
        <v>153</v>
      </c>
      <c r="K8" s="11">
        <v>128</v>
      </c>
      <c r="L8" s="11">
        <v>152</v>
      </c>
      <c r="M8" s="11">
        <v>122</v>
      </c>
      <c r="N8" s="7">
        <f t="shared" si="0"/>
        <v>2059</v>
      </c>
      <c r="O8" s="7">
        <f t="shared" si="1"/>
        <v>171.58333333333334</v>
      </c>
    </row>
    <row r="9" spans="1:15" x14ac:dyDescent="0.25">
      <c r="A9" s="10" t="s">
        <v>20</v>
      </c>
      <c r="B9" s="11">
        <v>472</v>
      </c>
      <c r="C9" s="11">
        <v>429</v>
      </c>
      <c r="D9" s="11">
        <v>338</v>
      </c>
      <c r="E9" s="11">
        <v>363</v>
      </c>
      <c r="F9" s="11">
        <v>421</v>
      </c>
      <c r="G9" s="11">
        <v>478</v>
      </c>
      <c r="H9" s="11">
        <v>373</v>
      </c>
      <c r="I9" s="11">
        <v>337</v>
      </c>
      <c r="J9" s="11">
        <v>389</v>
      </c>
      <c r="K9" s="11">
        <v>329</v>
      </c>
      <c r="L9" s="11">
        <v>385</v>
      </c>
      <c r="M9" s="11">
        <v>498</v>
      </c>
      <c r="N9" s="7">
        <f t="shared" si="0"/>
        <v>4812</v>
      </c>
      <c r="O9" s="7">
        <f t="shared" si="1"/>
        <v>401</v>
      </c>
    </row>
    <row r="10" spans="1:15" x14ac:dyDescent="0.25">
      <c r="A10" s="10" t="s">
        <v>21</v>
      </c>
      <c r="B10" s="11">
        <v>109</v>
      </c>
      <c r="C10" s="11">
        <v>117</v>
      </c>
      <c r="D10" s="11">
        <v>148</v>
      </c>
      <c r="E10" s="11">
        <v>111</v>
      </c>
      <c r="F10" s="11">
        <v>105</v>
      </c>
      <c r="G10" s="11">
        <v>114</v>
      </c>
      <c r="H10" s="11">
        <v>137</v>
      </c>
      <c r="I10" s="11">
        <v>144</v>
      </c>
      <c r="J10" s="11">
        <v>141</v>
      </c>
      <c r="K10" s="11">
        <v>102</v>
      </c>
      <c r="L10" s="11">
        <v>116</v>
      </c>
      <c r="M10" s="11">
        <v>105</v>
      </c>
      <c r="N10" s="7">
        <f t="shared" si="0"/>
        <v>1449</v>
      </c>
      <c r="O10" s="7">
        <f t="shared" si="1"/>
        <v>120.75</v>
      </c>
    </row>
    <row r="11" spans="1:15" x14ac:dyDescent="0.25">
      <c r="A11" s="10" t="s">
        <v>22</v>
      </c>
      <c r="B11" s="11">
        <v>113</v>
      </c>
      <c r="C11" s="11">
        <v>103</v>
      </c>
      <c r="D11" s="11">
        <v>124</v>
      </c>
      <c r="E11" s="11">
        <v>114</v>
      </c>
      <c r="F11" s="11">
        <v>115</v>
      </c>
      <c r="G11" s="11">
        <v>92</v>
      </c>
      <c r="H11" s="11">
        <v>112</v>
      </c>
      <c r="I11" s="11">
        <v>86</v>
      </c>
      <c r="J11" s="11">
        <v>88</v>
      </c>
      <c r="K11" s="11">
        <v>130</v>
      </c>
      <c r="L11" s="11">
        <v>92</v>
      </c>
      <c r="M11" s="11">
        <v>83</v>
      </c>
      <c r="N11" s="7">
        <f t="shared" si="0"/>
        <v>1252</v>
      </c>
      <c r="O11" s="7">
        <f t="shared" si="1"/>
        <v>104.33333333333333</v>
      </c>
    </row>
    <row r="12" spans="1:15" x14ac:dyDescent="0.25">
      <c r="A12" s="10" t="s">
        <v>23</v>
      </c>
      <c r="B12" s="11">
        <v>222</v>
      </c>
      <c r="C12" s="11">
        <v>169</v>
      </c>
      <c r="D12" s="11">
        <v>180</v>
      </c>
      <c r="E12" s="11">
        <v>207</v>
      </c>
      <c r="F12" s="11">
        <v>244</v>
      </c>
      <c r="G12" s="11">
        <v>152</v>
      </c>
      <c r="H12" s="11">
        <v>215</v>
      </c>
      <c r="I12" s="11">
        <v>154</v>
      </c>
      <c r="J12" s="11">
        <v>227</v>
      </c>
      <c r="K12" s="11">
        <v>187</v>
      </c>
      <c r="L12" s="11">
        <v>159</v>
      </c>
      <c r="M12" s="11">
        <v>189</v>
      </c>
      <c r="N12" s="7">
        <f t="shared" si="0"/>
        <v>2305</v>
      </c>
      <c r="O12" s="7">
        <f t="shared" si="1"/>
        <v>192.08333333333334</v>
      </c>
    </row>
    <row r="13" spans="1:15" x14ac:dyDescent="0.25">
      <c r="A13" s="10" t="s">
        <v>24</v>
      </c>
      <c r="B13" s="11">
        <v>129</v>
      </c>
      <c r="C13" s="11">
        <v>98</v>
      </c>
      <c r="D13" s="11">
        <v>113</v>
      </c>
      <c r="E13" s="11">
        <v>137</v>
      </c>
      <c r="F13" s="11">
        <v>139</v>
      </c>
      <c r="G13" s="11">
        <v>134</v>
      </c>
      <c r="H13" s="11">
        <v>118</v>
      </c>
      <c r="I13" s="11">
        <v>132</v>
      </c>
      <c r="J13" s="11">
        <v>99</v>
      </c>
      <c r="K13" s="11">
        <v>113</v>
      </c>
      <c r="L13" s="11">
        <v>109</v>
      </c>
      <c r="M13" s="11">
        <v>98</v>
      </c>
      <c r="N13" s="7">
        <f t="shared" si="0"/>
        <v>1419</v>
      </c>
      <c r="O13" s="7">
        <f t="shared" si="1"/>
        <v>118.25</v>
      </c>
    </row>
    <row r="14" spans="1:15" x14ac:dyDescent="0.25">
      <c r="A14" s="10" t="s">
        <v>25</v>
      </c>
      <c r="B14" s="11">
        <v>131</v>
      </c>
      <c r="C14" s="11">
        <v>132</v>
      </c>
      <c r="D14" s="11">
        <v>210</v>
      </c>
      <c r="E14" s="11">
        <v>160</v>
      </c>
      <c r="F14" s="11">
        <v>155</v>
      </c>
      <c r="G14" s="11">
        <v>183</v>
      </c>
      <c r="H14" s="11">
        <v>189</v>
      </c>
      <c r="I14" s="11">
        <v>204</v>
      </c>
      <c r="J14" s="11">
        <v>205</v>
      </c>
      <c r="K14" s="11">
        <v>132</v>
      </c>
      <c r="L14" s="11">
        <v>149</v>
      </c>
      <c r="M14" s="11">
        <v>161</v>
      </c>
      <c r="N14" s="7">
        <f t="shared" si="0"/>
        <v>2011</v>
      </c>
      <c r="O14" s="7">
        <f t="shared" si="1"/>
        <v>167.58333333333334</v>
      </c>
    </row>
    <row r="15" spans="1:15" x14ac:dyDescent="0.25">
      <c r="A15" s="10" t="s">
        <v>26</v>
      </c>
      <c r="B15" s="11">
        <v>41</v>
      </c>
      <c r="C15" s="11">
        <v>46</v>
      </c>
      <c r="D15" s="11">
        <v>39</v>
      </c>
      <c r="E15" s="11">
        <v>54</v>
      </c>
      <c r="F15" s="11">
        <v>41</v>
      </c>
      <c r="G15" s="11">
        <v>54</v>
      </c>
      <c r="H15" s="11">
        <v>55</v>
      </c>
      <c r="I15" s="11">
        <v>49</v>
      </c>
      <c r="J15" s="11">
        <v>40</v>
      </c>
      <c r="K15" s="11">
        <v>35</v>
      </c>
      <c r="L15" s="11">
        <v>56</v>
      </c>
      <c r="M15" s="11">
        <v>55</v>
      </c>
      <c r="N15" s="7">
        <f t="shared" si="0"/>
        <v>565</v>
      </c>
      <c r="O15" s="7">
        <f t="shared" si="1"/>
        <v>47.083333333333336</v>
      </c>
    </row>
    <row r="16" spans="1:15" x14ac:dyDescent="0.25">
      <c r="A16" s="10" t="s">
        <v>27</v>
      </c>
      <c r="B16" s="11">
        <v>75</v>
      </c>
      <c r="C16" s="11">
        <v>59</v>
      </c>
      <c r="D16" s="11">
        <v>85</v>
      </c>
      <c r="E16" s="11">
        <v>67</v>
      </c>
      <c r="F16" s="11">
        <v>73</v>
      </c>
      <c r="G16" s="11">
        <v>93</v>
      </c>
      <c r="H16" s="11">
        <v>91</v>
      </c>
      <c r="I16" s="11">
        <v>88</v>
      </c>
      <c r="J16" s="11">
        <v>59</v>
      </c>
      <c r="K16" s="11">
        <v>81</v>
      </c>
      <c r="L16" s="11">
        <v>79</v>
      </c>
      <c r="M16" s="11">
        <v>83</v>
      </c>
      <c r="N16" s="7">
        <f t="shared" si="0"/>
        <v>933</v>
      </c>
      <c r="O16" s="7">
        <f t="shared" si="1"/>
        <v>77.75</v>
      </c>
    </row>
    <row r="17" spans="1:15" x14ac:dyDescent="0.25">
      <c r="A17" s="10" t="s">
        <v>28</v>
      </c>
      <c r="B17" s="11">
        <v>49</v>
      </c>
      <c r="C17" s="11">
        <v>78</v>
      </c>
      <c r="D17" s="11">
        <v>54</v>
      </c>
      <c r="E17" s="11">
        <v>49</v>
      </c>
      <c r="F17" s="11">
        <v>70</v>
      </c>
      <c r="G17" s="11">
        <v>73</v>
      </c>
      <c r="H17" s="11">
        <v>72</v>
      </c>
      <c r="I17" s="11">
        <v>52</v>
      </c>
      <c r="J17" s="11">
        <v>56</v>
      </c>
      <c r="K17" s="11">
        <v>66</v>
      </c>
      <c r="L17" s="11">
        <v>68</v>
      </c>
      <c r="M17" s="11">
        <v>73</v>
      </c>
      <c r="N17" s="7">
        <f t="shared" si="0"/>
        <v>760</v>
      </c>
      <c r="O17" s="7">
        <f t="shared" si="1"/>
        <v>63.333333333333336</v>
      </c>
    </row>
    <row r="18" spans="1:15" x14ac:dyDescent="0.25">
      <c r="A18" s="10" t="s">
        <v>29</v>
      </c>
      <c r="B18" s="11">
        <v>42</v>
      </c>
      <c r="C18" s="11">
        <v>59</v>
      </c>
      <c r="D18" s="11">
        <v>47</v>
      </c>
      <c r="E18" s="11">
        <v>51</v>
      </c>
      <c r="F18" s="11">
        <v>46</v>
      </c>
      <c r="G18" s="11">
        <v>55</v>
      </c>
      <c r="H18" s="11">
        <v>48</v>
      </c>
      <c r="I18" s="11">
        <v>58</v>
      </c>
      <c r="J18" s="11">
        <v>49</v>
      </c>
      <c r="K18" s="11">
        <v>45</v>
      </c>
      <c r="L18" s="11">
        <v>50</v>
      </c>
      <c r="M18" s="11">
        <v>49</v>
      </c>
      <c r="N18" s="7">
        <f t="shared" si="0"/>
        <v>599</v>
      </c>
      <c r="O18" s="7">
        <f t="shared" si="1"/>
        <v>49.916666666666664</v>
      </c>
    </row>
    <row r="19" spans="1:15" x14ac:dyDescent="0.25">
      <c r="A19" s="10" t="s">
        <v>30</v>
      </c>
      <c r="B19" s="11">
        <v>40</v>
      </c>
      <c r="C19" s="11">
        <v>56</v>
      </c>
      <c r="D19" s="11">
        <v>47</v>
      </c>
      <c r="E19" s="11">
        <v>53</v>
      </c>
      <c r="F19" s="11">
        <v>48</v>
      </c>
      <c r="G19" s="11">
        <v>56</v>
      </c>
      <c r="H19" s="11">
        <v>45</v>
      </c>
      <c r="I19" s="11">
        <v>44</v>
      </c>
      <c r="J19" s="11">
        <v>40</v>
      </c>
      <c r="K19" s="11">
        <v>39</v>
      </c>
      <c r="L19" s="11">
        <v>54</v>
      </c>
      <c r="M19" s="11">
        <v>45</v>
      </c>
      <c r="N19" s="7">
        <f t="shared" si="0"/>
        <v>567</v>
      </c>
      <c r="O19" s="7">
        <f t="shared" si="1"/>
        <v>47.25</v>
      </c>
    </row>
    <row r="20" spans="1:15" x14ac:dyDescent="0.25">
      <c r="A20" s="10" t="s">
        <v>31</v>
      </c>
      <c r="B20" s="11">
        <v>32</v>
      </c>
      <c r="C20" s="11">
        <v>36</v>
      </c>
      <c r="D20" s="11">
        <v>30</v>
      </c>
      <c r="E20" s="11">
        <v>25</v>
      </c>
      <c r="F20" s="11">
        <v>33</v>
      </c>
      <c r="G20" s="11">
        <v>34</v>
      </c>
      <c r="H20" s="11">
        <v>37</v>
      </c>
      <c r="I20" s="11">
        <v>29</v>
      </c>
      <c r="J20" s="11">
        <v>24</v>
      </c>
      <c r="K20" s="11">
        <v>33</v>
      </c>
      <c r="L20" s="11">
        <v>34</v>
      </c>
      <c r="M20" s="11">
        <v>23</v>
      </c>
      <c r="N20" s="7">
        <f t="shared" si="0"/>
        <v>370</v>
      </c>
      <c r="O20" s="7">
        <f t="shared" si="1"/>
        <v>30.833333333333332</v>
      </c>
    </row>
    <row r="21" spans="1:15" x14ac:dyDescent="0.25">
      <c r="A21" s="10" t="s">
        <v>32</v>
      </c>
      <c r="B21" s="11">
        <v>46</v>
      </c>
      <c r="C21" s="11">
        <v>47</v>
      </c>
      <c r="D21" s="11">
        <v>31</v>
      </c>
      <c r="E21" s="11">
        <v>42</v>
      </c>
      <c r="F21" s="11">
        <v>32</v>
      </c>
      <c r="G21" s="11">
        <v>40</v>
      </c>
      <c r="H21" s="11">
        <v>33</v>
      </c>
      <c r="I21" s="11">
        <v>41</v>
      </c>
      <c r="J21" s="11">
        <v>36</v>
      </c>
      <c r="K21" s="11">
        <v>40</v>
      </c>
      <c r="L21" s="11">
        <v>42</v>
      </c>
      <c r="M21" s="11">
        <v>46</v>
      </c>
      <c r="N21" s="7">
        <f t="shared" si="0"/>
        <v>476</v>
      </c>
      <c r="O21" s="7">
        <f t="shared" si="1"/>
        <v>39.666666666666664</v>
      </c>
    </row>
    <row r="22" spans="1:15" x14ac:dyDescent="0.25">
      <c r="A22" s="10" t="s">
        <v>33</v>
      </c>
      <c r="B22" s="11">
        <v>34</v>
      </c>
      <c r="C22" s="11">
        <v>29</v>
      </c>
      <c r="D22" s="11">
        <v>32</v>
      </c>
      <c r="E22" s="11">
        <v>34</v>
      </c>
      <c r="F22" s="11">
        <v>32</v>
      </c>
      <c r="G22" s="11">
        <v>30</v>
      </c>
      <c r="H22" s="11">
        <v>43</v>
      </c>
      <c r="I22" s="11">
        <v>32</v>
      </c>
      <c r="J22" s="11">
        <v>26</v>
      </c>
      <c r="K22" s="11">
        <v>31</v>
      </c>
      <c r="L22" s="11">
        <v>40</v>
      </c>
      <c r="M22" s="11">
        <v>117</v>
      </c>
      <c r="N22" s="7">
        <f t="shared" si="0"/>
        <v>480</v>
      </c>
      <c r="O22" s="7">
        <f t="shared" si="1"/>
        <v>40</v>
      </c>
    </row>
    <row r="23" spans="1:15" x14ac:dyDescent="0.25">
      <c r="A23" s="10" t="s">
        <v>34</v>
      </c>
      <c r="B23" s="11">
        <v>79</v>
      </c>
      <c r="C23" s="11">
        <v>62</v>
      </c>
      <c r="D23" s="11">
        <v>73</v>
      </c>
      <c r="E23" s="11">
        <v>97</v>
      </c>
      <c r="F23" s="11">
        <v>66</v>
      </c>
      <c r="G23" s="11">
        <v>159</v>
      </c>
      <c r="H23" s="11">
        <v>195</v>
      </c>
      <c r="I23" s="11">
        <v>61</v>
      </c>
      <c r="J23" s="11">
        <v>96</v>
      </c>
      <c r="K23" s="11">
        <v>93</v>
      </c>
      <c r="L23" s="11">
        <v>66</v>
      </c>
      <c r="M23" s="11">
        <v>237</v>
      </c>
      <c r="N23" s="7">
        <f t="shared" si="0"/>
        <v>1284</v>
      </c>
      <c r="O23" s="7">
        <f t="shared" si="1"/>
        <v>107</v>
      </c>
    </row>
    <row r="24" spans="1:15" x14ac:dyDescent="0.25">
      <c r="A24" s="10" t="s">
        <v>35</v>
      </c>
      <c r="B24" s="11">
        <v>62</v>
      </c>
      <c r="C24" s="11">
        <v>57</v>
      </c>
      <c r="D24" s="11">
        <v>57</v>
      </c>
      <c r="E24" s="11">
        <v>73</v>
      </c>
      <c r="F24" s="11">
        <v>78</v>
      </c>
      <c r="G24" s="11">
        <v>49</v>
      </c>
      <c r="H24" s="11">
        <v>42</v>
      </c>
      <c r="I24" s="11">
        <v>58</v>
      </c>
      <c r="J24" s="11">
        <v>47</v>
      </c>
      <c r="K24" s="11">
        <v>96</v>
      </c>
      <c r="L24" s="11">
        <v>47</v>
      </c>
      <c r="M24" s="11">
        <v>62</v>
      </c>
      <c r="N24" s="7">
        <f t="shared" si="0"/>
        <v>728</v>
      </c>
      <c r="O24" s="7">
        <f t="shared" si="1"/>
        <v>60.666666666666664</v>
      </c>
    </row>
    <row r="25" spans="1:15" x14ac:dyDescent="0.25">
      <c r="A25" s="10" t="s">
        <v>36</v>
      </c>
      <c r="B25" s="11">
        <v>23</v>
      </c>
      <c r="C25" s="11">
        <v>30</v>
      </c>
      <c r="D25" s="11">
        <v>30</v>
      </c>
      <c r="E25" s="11">
        <v>27</v>
      </c>
      <c r="F25" s="11">
        <v>20</v>
      </c>
      <c r="G25" s="11">
        <v>30</v>
      </c>
      <c r="H25" s="11">
        <v>21</v>
      </c>
      <c r="I25" s="11">
        <v>20</v>
      </c>
      <c r="J25" s="11">
        <v>29</v>
      </c>
      <c r="K25" s="11">
        <v>21</v>
      </c>
      <c r="L25" s="11">
        <v>19</v>
      </c>
      <c r="M25" s="11">
        <v>30</v>
      </c>
      <c r="N25" s="7">
        <f t="shared" si="0"/>
        <v>300</v>
      </c>
      <c r="O25" s="7">
        <f t="shared" si="1"/>
        <v>25</v>
      </c>
    </row>
    <row r="26" spans="1:15" x14ac:dyDescent="0.25">
      <c r="A26" s="10" t="s">
        <v>37</v>
      </c>
      <c r="B26" s="11">
        <v>73</v>
      </c>
      <c r="C26" s="11">
        <v>55</v>
      </c>
      <c r="D26" s="11">
        <v>56</v>
      </c>
      <c r="E26" s="11">
        <v>67</v>
      </c>
      <c r="F26" s="11">
        <v>67</v>
      </c>
      <c r="G26" s="11">
        <v>54</v>
      </c>
      <c r="H26" s="11">
        <v>47</v>
      </c>
      <c r="I26" s="11">
        <v>49</v>
      </c>
      <c r="J26" s="11">
        <v>53</v>
      </c>
      <c r="K26" s="11">
        <v>46</v>
      </c>
      <c r="L26" s="11">
        <v>67</v>
      </c>
      <c r="M26" s="11">
        <v>57</v>
      </c>
      <c r="N26" s="7">
        <f t="shared" si="0"/>
        <v>691</v>
      </c>
      <c r="O26" s="7">
        <f t="shared" si="1"/>
        <v>57.583333333333336</v>
      </c>
    </row>
    <row r="27" spans="1:15" x14ac:dyDescent="0.25">
      <c r="A27" s="4" t="s">
        <v>38</v>
      </c>
      <c r="B27" s="6">
        <f t="shared" ref="B27:M27" si="2">SUM(B7:B26)</f>
        <v>3790</v>
      </c>
      <c r="C27" s="6">
        <f t="shared" si="2"/>
        <v>3245</v>
      </c>
      <c r="D27" s="6">
        <f t="shared" si="2"/>
        <v>3448</v>
      </c>
      <c r="E27" s="6">
        <f t="shared" si="2"/>
        <v>3658</v>
      </c>
      <c r="F27" s="6">
        <f t="shared" si="2"/>
        <v>3272</v>
      </c>
      <c r="G27" s="6">
        <f t="shared" si="2"/>
        <v>3581</v>
      </c>
      <c r="H27" s="6">
        <f t="shared" si="2"/>
        <v>3590</v>
      </c>
      <c r="I27" s="6">
        <f t="shared" si="2"/>
        <v>3713</v>
      </c>
      <c r="J27" s="6">
        <f t="shared" si="2"/>
        <v>3006</v>
      </c>
      <c r="K27" s="6">
        <f t="shared" si="2"/>
        <v>2924</v>
      </c>
      <c r="L27" s="6">
        <f t="shared" si="2"/>
        <v>3149</v>
      </c>
      <c r="M27" s="6">
        <f t="shared" si="2"/>
        <v>3877</v>
      </c>
      <c r="N27" s="6">
        <f t="shared" si="0"/>
        <v>41253</v>
      </c>
      <c r="O27" s="2"/>
    </row>
    <row r="28" spans="1:15" x14ac:dyDescent="0.25">
      <c r="A28" s="4" t="s">
        <v>39</v>
      </c>
      <c r="B28" s="12">
        <f t="shared" ref="B28:N28" si="3">IFERROR((B3-B27)/B3,0)</f>
        <v>0.27115384615384613</v>
      </c>
      <c r="C28" s="12">
        <f t="shared" si="3"/>
        <v>0.37596153846153846</v>
      </c>
      <c r="D28" s="12">
        <f t="shared" si="3"/>
        <v>0.33692307692307694</v>
      </c>
      <c r="E28" s="12">
        <f t="shared" si="3"/>
        <v>0.29653846153846153</v>
      </c>
      <c r="F28" s="12">
        <f t="shared" si="3"/>
        <v>0.3707692307692308</v>
      </c>
      <c r="G28" s="12">
        <f t="shared" si="3"/>
        <v>0.31134615384615383</v>
      </c>
      <c r="H28" s="12">
        <f t="shared" si="3"/>
        <v>0.30961538461538463</v>
      </c>
      <c r="I28" s="12">
        <f t="shared" si="3"/>
        <v>0.28596153846153849</v>
      </c>
      <c r="J28" s="12">
        <f t="shared" si="3"/>
        <v>0.4219230769230769</v>
      </c>
      <c r="K28" s="12">
        <f t="shared" si="3"/>
        <v>0.43769230769230771</v>
      </c>
      <c r="L28" s="12">
        <f t="shared" si="3"/>
        <v>0.39442307692307693</v>
      </c>
      <c r="M28" s="12">
        <f t="shared" si="3"/>
        <v>0.25442307692307692</v>
      </c>
      <c r="N28" s="13">
        <f t="shared" si="3"/>
        <v>0.33889423076923075</v>
      </c>
      <c r="O2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8"/>
  <sheetViews>
    <sheetView showGridLines="0" workbookViewId="0">
      <selection activeCell="D21" sqref="D21"/>
    </sheetView>
  </sheetViews>
  <sheetFormatPr defaultRowHeight="15" x14ac:dyDescent="0.25"/>
  <cols>
    <col min="1" max="1" width="22" customWidth="1"/>
    <col min="2" max="14" width="25" customWidth="1"/>
    <col min="15" max="15" width="13" customWidth="1"/>
  </cols>
  <sheetData>
    <row r="1" spans="1:15" ht="18" x14ac:dyDescent="0.25">
      <c r="A1" s="1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5">
      <c r="A2" s="2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 x14ac:dyDescent="0.25">
      <c r="A3" s="4" t="s">
        <v>15</v>
      </c>
      <c r="B3" s="5">
        <v>5000</v>
      </c>
      <c r="C3" s="5">
        <v>5000</v>
      </c>
      <c r="D3" s="5">
        <v>5000</v>
      </c>
      <c r="E3" s="5">
        <v>5000</v>
      </c>
      <c r="F3" s="5">
        <v>5000</v>
      </c>
      <c r="G3" s="5">
        <v>5000</v>
      </c>
      <c r="H3" s="5">
        <v>5000</v>
      </c>
      <c r="I3" s="5">
        <v>5000</v>
      </c>
      <c r="J3" s="5">
        <v>5000</v>
      </c>
      <c r="K3" s="5">
        <v>5000</v>
      </c>
      <c r="L3" s="5">
        <v>5000</v>
      </c>
      <c r="M3" s="5">
        <v>5000</v>
      </c>
      <c r="N3" s="6">
        <f>SUM(B3:M3)</f>
        <v>60000</v>
      </c>
      <c r="O3" s="7">
        <f>N3/12</f>
        <v>5000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8" t="s">
        <v>16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9" t="s">
        <v>17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  <c r="H6" s="3" t="s">
        <v>7</v>
      </c>
      <c r="I6" s="3" t="s">
        <v>8</v>
      </c>
      <c r="J6" s="3" t="s">
        <v>9</v>
      </c>
      <c r="K6" s="3" t="s">
        <v>10</v>
      </c>
      <c r="L6" s="3" t="s">
        <v>11</v>
      </c>
      <c r="M6" s="3" t="s">
        <v>12</v>
      </c>
      <c r="N6" s="3" t="s">
        <v>13</v>
      </c>
      <c r="O6" s="3" t="s">
        <v>14</v>
      </c>
    </row>
    <row r="7" spans="1:15" x14ac:dyDescent="0.25">
      <c r="A7" s="10" t="s">
        <v>18</v>
      </c>
      <c r="B7" s="11">
        <v>1199</v>
      </c>
      <c r="C7" s="11">
        <v>1024</v>
      </c>
      <c r="D7" s="11">
        <v>1017</v>
      </c>
      <c r="E7" s="11">
        <v>1281</v>
      </c>
      <c r="F7" s="11">
        <v>1388</v>
      </c>
      <c r="G7" s="11">
        <v>1018</v>
      </c>
      <c r="H7" s="11">
        <v>1443</v>
      </c>
      <c r="I7" s="11">
        <v>1235</v>
      </c>
      <c r="J7" s="11">
        <v>1087</v>
      </c>
      <c r="K7" s="11">
        <v>1413</v>
      </c>
      <c r="L7" s="11">
        <v>1281</v>
      </c>
      <c r="M7" s="11">
        <v>1233</v>
      </c>
      <c r="N7" s="7">
        <f t="shared" ref="N7:N27" si="0">SUM(B7:M7)</f>
        <v>14619</v>
      </c>
      <c r="O7" s="7">
        <f t="shared" ref="O7:O26" si="1">N7/12</f>
        <v>1218.25</v>
      </c>
    </row>
    <row r="8" spans="1:15" x14ac:dyDescent="0.25">
      <c r="A8" s="10" t="s">
        <v>19</v>
      </c>
      <c r="B8" s="11">
        <v>200</v>
      </c>
      <c r="C8" s="11">
        <v>169</v>
      </c>
      <c r="D8" s="11">
        <v>122</v>
      </c>
      <c r="E8" s="11">
        <v>133</v>
      </c>
      <c r="F8" s="11">
        <v>159</v>
      </c>
      <c r="G8" s="11">
        <v>108</v>
      </c>
      <c r="H8" s="11">
        <v>178</v>
      </c>
      <c r="I8" s="11">
        <v>200</v>
      </c>
      <c r="J8" s="11">
        <v>141</v>
      </c>
      <c r="K8" s="11">
        <v>105</v>
      </c>
      <c r="L8" s="11">
        <v>149</v>
      </c>
      <c r="M8" s="11">
        <v>132</v>
      </c>
      <c r="N8" s="7">
        <f t="shared" si="0"/>
        <v>1796</v>
      </c>
      <c r="O8" s="7">
        <f t="shared" si="1"/>
        <v>149.66666666666666</v>
      </c>
    </row>
    <row r="9" spans="1:15" x14ac:dyDescent="0.25">
      <c r="A9" s="10" t="s">
        <v>20</v>
      </c>
      <c r="B9" s="11">
        <v>304</v>
      </c>
      <c r="C9" s="11">
        <v>398</v>
      </c>
      <c r="D9" s="11">
        <v>429</v>
      </c>
      <c r="E9" s="11">
        <v>403</v>
      </c>
      <c r="F9" s="11">
        <v>443</v>
      </c>
      <c r="G9" s="11">
        <v>298</v>
      </c>
      <c r="H9" s="11">
        <v>451</v>
      </c>
      <c r="I9" s="11">
        <v>426</v>
      </c>
      <c r="J9" s="11">
        <v>335</v>
      </c>
      <c r="K9" s="11">
        <v>368</v>
      </c>
      <c r="L9" s="11">
        <v>422</v>
      </c>
      <c r="M9" s="11">
        <v>406</v>
      </c>
      <c r="N9" s="7">
        <f t="shared" si="0"/>
        <v>4683</v>
      </c>
      <c r="O9" s="7">
        <f t="shared" si="1"/>
        <v>390.25</v>
      </c>
    </row>
    <row r="10" spans="1:15" x14ac:dyDescent="0.25">
      <c r="A10" s="10" t="s">
        <v>21</v>
      </c>
      <c r="B10" s="11">
        <v>118</v>
      </c>
      <c r="C10" s="11">
        <v>100</v>
      </c>
      <c r="D10" s="11">
        <v>118</v>
      </c>
      <c r="E10" s="11">
        <v>143</v>
      </c>
      <c r="F10" s="11">
        <v>140</v>
      </c>
      <c r="G10" s="11">
        <v>103</v>
      </c>
      <c r="H10" s="11">
        <v>91</v>
      </c>
      <c r="I10" s="11">
        <v>113</v>
      </c>
      <c r="J10" s="11">
        <v>124</v>
      </c>
      <c r="K10" s="11">
        <v>143</v>
      </c>
      <c r="L10" s="11">
        <v>142</v>
      </c>
      <c r="M10" s="11">
        <v>121</v>
      </c>
      <c r="N10" s="7">
        <f t="shared" si="0"/>
        <v>1456</v>
      </c>
      <c r="O10" s="7">
        <f t="shared" si="1"/>
        <v>121.33333333333333</v>
      </c>
    </row>
    <row r="11" spans="1:15" x14ac:dyDescent="0.25">
      <c r="A11" s="10" t="s">
        <v>22</v>
      </c>
      <c r="B11" s="11">
        <v>90</v>
      </c>
      <c r="C11" s="11">
        <v>116</v>
      </c>
      <c r="D11" s="11">
        <v>105</v>
      </c>
      <c r="E11" s="11">
        <v>81</v>
      </c>
      <c r="F11" s="11">
        <v>99</v>
      </c>
      <c r="G11" s="11">
        <v>107</v>
      </c>
      <c r="H11" s="11">
        <v>98</v>
      </c>
      <c r="I11" s="11">
        <v>105</v>
      </c>
      <c r="J11" s="11">
        <v>116</v>
      </c>
      <c r="K11" s="11">
        <v>123</v>
      </c>
      <c r="L11" s="11">
        <v>105</v>
      </c>
      <c r="M11" s="11">
        <v>83</v>
      </c>
      <c r="N11" s="7">
        <f t="shared" si="0"/>
        <v>1228</v>
      </c>
      <c r="O11" s="7">
        <f t="shared" si="1"/>
        <v>102.33333333333333</v>
      </c>
    </row>
    <row r="12" spans="1:15" x14ac:dyDescent="0.25">
      <c r="A12" s="10" t="s">
        <v>23</v>
      </c>
      <c r="B12" s="11">
        <v>228</v>
      </c>
      <c r="C12" s="11">
        <v>212</v>
      </c>
      <c r="D12" s="11">
        <v>182</v>
      </c>
      <c r="E12" s="11">
        <v>185</v>
      </c>
      <c r="F12" s="11">
        <v>227</v>
      </c>
      <c r="G12" s="11">
        <v>143</v>
      </c>
      <c r="H12" s="11">
        <v>197</v>
      </c>
      <c r="I12" s="11">
        <v>184</v>
      </c>
      <c r="J12" s="11">
        <v>229</v>
      </c>
      <c r="K12" s="11">
        <v>154</v>
      </c>
      <c r="L12" s="11">
        <v>223</v>
      </c>
      <c r="M12" s="11">
        <v>155</v>
      </c>
      <c r="N12" s="7">
        <f t="shared" si="0"/>
        <v>2319</v>
      </c>
      <c r="O12" s="7">
        <f t="shared" si="1"/>
        <v>193.25</v>
      </c>
    </row>
    <row r="13" spans="1:15" x14ac:dyDescent="0.25">
      <c r="A13" s="10" t="s">
        <v>24</v>
      </c>
      <c r="B13" s="11">
        <v>98</v>
      </c>
      <c r="C13" s="11">
        <v>124</v>
      </c>
      <c r="D13" s="11">
        <v>100</v>
      </c>
      <c r="E13" s="11">
        <v>90</v>
      </c>
      <c r="F13" s="11">
        <v>95</v>
      </c>
      <c r="G13" s="11">
        <v>103</v>
      </c>
      <c r="H13" s="11">
        <v>85</v>
      </c>
      <c r="I13" s="11">
        <v>130</v>
      </c>
      <c r="J13" s="11">
        <v>105</v>
      </c>
      <c r="K13" s="11">
        <v>97</v>
      </c>
      <c r="L13" s="11">
        <v>117</v>
      </c>
      <c r="M13" s="11">
        <v>109</v>
      </c>
      <c r="N13" s="7">
        <f t="shared" si="0"/>
        <v>1253</v>
      </c>
      <c r="O13" s="7">
        <f t="shared" si="1"/>
        <v>104.41666666666667</v>
      </c>
    </row>
    <row r="14" spans="1:15" x14ac:dyDescent="0.25">
      <c r="A14" s="10" t="s">
        <v>25</v>
      </c>
      <c r="B14" s="11">
        <v>139</v>
      </c>
      <c r="C14" s="11">
        <v>195</v>
      </c>
      <c r="D14" s="11">
        <v>170</v>
      </c>
      <c r="E14" s="11">
        <v>144</v>
      </c>
      <c r="F14" s="11">
        <v>195</v>
      </c>
      <c r="G14" s="11">
        <v>174</v>
      </c>
      <c r="H14" s="11">
        <v>135</v>
      </c>
      <c r="I14" s="11">
        <v>184</v>
      </c>
      <c r="J14" s="11">
        <v>158</v>
      </c>
      <c r="K14" s="11">
        <v>137</v>
      </c>
      <c r="L14" s="11">
        <v>128</v>
      </c>
      <c r="M14" s="11">
        <v>184</v>
      </c>
      <c r="N14" s="7">
        <f t="shared" si="0"/>
        <v>1943</v>
      </c>
      <c r="O14" s="7">
        <f t="shared" si="1"/>
        <v>161.91666666666666</v>
      </c>
    </row>
    <row r="15" spans="1:15" x14ac:dyDescent="0.25">
      <c r="A15" s="10" t="s">
        <v>26</v>
      </c>
      <c r="B15" s="11">
        <v>31</v>
      </c>
      <c r="C15" s="11">
        <v>42</v>
      </c>
      <c r="D15" s="11">
        <v>38</v>
      </c>
      <c r="E15" s="11">
        <v>32</v>
      </c>
      <c r="F15" s="11">
        <v>38</v>
      </c>
      <c r="G15" s="11">
        <v>29</v>
      </c>
      <c r="H15" s="11">
        <v>37</v>
      </c>
      <c r="I15" s="11">
        <v>29</v>
      </c>
      <c r="J15" s="11">
        <v>36</v>
      </c>
      <c r="K15" s="11">
        <v>29</v>
      </c>
      <c r="L15" s="11">
        <v>44</v>
      </c>
      <c r="M15" s="11">
        <v>43</v>
      </c>
      <c r="N15" s="7">
        <f t="shared" si="0"/>
        <v>428</v>
      </c>
      <c r="O15" s="7">
        <f t="shared" si="1"/>
        <v>35.666666666666664</v>
      </c>
    </row>
    <row r="16" spans="1:15" x14ac:dyDescent="0.25">
      <c r="A16" s="10" t="s">
        <v>27</v>
      </c>
      <c r="B16" s="11">
        <v>54</v>
      </c>
      <c r="C16" s="11">
        <v>82</v>
      </c>
      <c r="D16" s="11">
        <v>77</v>
      </c>
      <c r="E16" s="11">
        <v>56</v>
      </c>
      <c r="F16" s="11">
        <v>66</v>
      </c>
      <c r="G16" s="11">
        <v>69</v>
      </c>
      <c r="H16" s="11">
        <v>79</v>
      </c>
      <c r="I16" s="11">
        <v>55</v>
      </c>
      <c r="J16" s="11">
        <v>76</v>
      </c>
      <c r="K16" s="11">
        <v>64</v>
      </c>
      <c r="L16" s="11">
        <v>52</v>
      </c>
      <c r="M16" s="11">
        <v>60</v>
      </c>
      <c r="N16" s="7">
        <f t="shared" si="0"/>
        <v>790</v>
      </c>
      <c r="O16" s="7">
        <f t="shared" si="1"/>
        <v>65.833333333333329</v>
      </c>
    </row>
    <row r="17" spans="1:15" x14ac:dyDescent="0.25">
      <c r="A17" s="10" t="s">
        <v>28</v>
      </c>
      <c r="B17" s="11">
        <v>46</v>
      </c>
      <c r="C17" s="11">
        <v>66</v>
      </c>
      <c r="D17" s="11">
        <v>65</v>
      </c>
      <c r="E17" s="11">
        <v>44</v>
      </c>
      <c r="F17" s="11">
        <v>68</v>
      </c>
      <c r="G17" s="11">
        <v>62</v>
      </c>
      <c r="H17" s="11">
        <v>63</v>
      </c>
      <c r="I17" s="11">
        <v>63</v>
      </c>
      <c r="J17" s="11">
        <v>64</v>
      </c>
      <c r="K17" s="11">
        <v>67</v>
      </c>
      <c r="L17" s="11">
        <v>56</v>
      </c>
      <c r="M17" s="11">
        <v>67</v>
      </c>
      <c r="N17" s="7">
        <f t="shared" si="0"/>
        <v>731</v>
      </c>
      <c r="O17" s="7">
        <f t="shared" si="1"/>
        <v>60.916666666666664</v>
      </c>
    </row>
    <row r="18" spans="1:15" x14ac:dyDescent="0.25">
      <c r="A18" s="10" t="s">
        <v>29</v>
      </c>
      <c r="B18" s="11">
        <v>63</v>
      </c>
      <c r="C18" s="11">
        <v>61</v>
      </c>
      <c r="D18" s="11">
        <v>46</v>
      </c>
      <c r="E18" s="11">
        <v>61</v>
      </c>
      <c r="F18" s="11">
        <v>52</v>
      </c>
      <c r="G18" s="11">
        <v>49</v>
      </c>
      <c r="H18" s="11">
        <v>61</v>
      </c>
      <c r="I18" s="11">
        <v>42</v>
      </c>
      <c r="J18" s="11">
        <v>50</v>
      </c>
      <c r="K18" s="11">
        <v>44</v>
      </c>
      <c r="L18" s="11">
        <v>61</v>
      </c>
      <c r="M18" s="11">
        <v>64</v>
      </c>
      <c r="N18" s="7">
        <f t="shared" si="0"/>
        <v>654</v>
      </c>
      <c r="O18" s="7">
        <f t="shared" si="1"/>
        <v>54.5</v>
      </c>
    </row>
    <row r="19" spans="1:15" x14ac:dyDescent="0.25">
      <c r="A19" s="10" t="s">
        <v>30</v>
      </c>
      <c r="B19" s="11">
        <v>43</v>
      </c>
      <c r="C19" s="11">
        <v>42</v>
      </c>
      <c r="D19" s="11">
        <v>40</v>
      </c>
      <c r="E19" s="11">
        <v>36</v>
      </c>
      <c r="F19" s="11">
        <v>38</v>
      </c>
      <c r="G19" s="11">
        <v>41</v>
      </c>
      <c r="H19" s="11">
        <v>46</v>
      </c>
      <c r="I19" s="11">
        <v>31</v>
      </c>
      <c r="J19" s="11">
        <v>38</v>
      </c>
      <c r="K19" s="11">
        <v>31</v>
      </c>
      <c r="L19" s="11">
        <v>33</v>
      </c>
      <c r="M19" s="11">
        <v>44</v>
      </c>
      <c r="N19" s="7">
        <f t="shared" si="0"/>
        <v>463</v>
      </c>
      <c r="O19" s="7">
        <f t="shared" si="1"/>
        <v>38.583333333333336</v>
      </c>
    </row>
    <row r="20" spans="1:15" x14ac:dyDescent="0.25">
      <c r="A20" s="10" t="s">
        <v>31</v>
      </c>
      <c r="B20" s="11">
        <v>26</v>
      </c>
      <c r="C20" s="11">
        <v>19</v>
      </c>
      <c r="D20" s="11">
        <v>26</v>
      </c>
      <c r="E20" s="11">
        <v>19</v>
      </c>
      <c r="F20" s="11">
        <v>18</v>
      </c>
      <c r="G20" s="11">
        <v>28</v>
      </c>
      <c r="H20" s="11">
        <v>26</v>
      </c>
      <c r="I20" s="11">
        <v>24</v>
      </c>
      <c r="J20" s="11">
        <v>29</v>
      </c>
      <c r="K20" s="11">
        <v>25</v>
      </c>
      <c r="L20" s="11">
        <v>25</v>
      </c>
      <c r="M20" s="11">
        <v>23</v>
      </c>
      <c r="N20" s="7">
        <f t="shared" si="0"/>
        <v>288</v>
      </c>
      <c r="O20" s="7">
        <f t="shared" si="1"/>
        <v>24</v>
      </c>
    </row>
    <row r="21" spans="1:15" x14ac:dyDescent="0.25">
      <c r="A21" s="10" t="s">
        <v>32</v>
      </c>
      <c r="B21" s="11">
        <v>39</v>
      </c>
      <c r="C21" s="11">
        <v>44</v>
      </c>
      <c r="D21" s="11">
        <v>41</v>
      </c>
      <c r="E21" s="11">
        <v>41</v>
      </c>
      <c r="F21" s="11">
        <v>45</v>
      </c>
      <c r="G21" s="11">
        <v>44</v>
      </c>
      <c r="H21" s="11">
        <v>31</v>
      </c>
      <c r="I21" s="11">
        <v>42</v>
      </c>
      <c r="J21" s="11">
        <v>45</v>
      </c>
      <c r="K21" s="11">
        <v>39</v>
      </c>
      <c r="L21" s="11">
        <v>29</v>
      </c>
      <c r="M21" s="11">
        <v>43</v>
      </c>
      <c r="N21" s="7">
        <f t="shared" si="0"/>
        <v>483</v>
      </c>
      <c r="O21" s="7">
        <f t="shared" si="1"/>
        <v>40.25</v>
      </c>
    </row>
    <row r="22" spans="1:15" x14ac:dyDescent="0.25">
      <c r="A22" s="10" t="s">
        <v>33</v>
      </c>
      <c r="B22" s="11">
        <v>25</v>
      </c>
      <c r="C22" s="11">
        <v>33</v>
      </c>
      <c r="D22" s="11">
        <v>23</v>
      </c>
      <c r="E22" s="11">
        <v>29</v>
      </c>
      <c r="F22" s="11">
        <v>34</v>
      </c>
      <c r="G22" s="11">
        <v>30</v>
      </c>
      <c r="H22" s="11">
        <v>24</v>
      </c>
      <c r="I22" s="11">
        <v>32</v>
      </c>
      <c r="J22" s="11">
        <v>32</v>
      </c>
      <c r="K22" s="11">
        <v>34</v>
      </c>
      <c r="L22" s="11">
        <v>24</v>
      </c>
      <c r="M22" s="11">
        <v>105</v>
      </c>
      <c r="N22" s="7">
        <f t="shared" si="0"/>
        <v>425</v>
      </c>
      <c r="O22" s="7">
        <f t="shared" si="1"/>
        <v>35.416666666666664</v>
      </c>
    </row>
    <row r="23" spans="1:15" x14ac:dyDescent="0.25">
      <c r="A23" s="10" t="s">
        <v>34</v>
      </c>
      <c r="B23" s="11">
        <v>85</v>
      </c>
      <c r="C23" s="11">
        <v>60</v>
      </c>
      <c r="D23" s="11">
        <v>59</v>
      </c>
      <c r="E23" s="11">
        <v>56</v>
      </c>
      <c r="F23" s="11">
        <v>82</v>
      </c>
      <c r="G23" s="11">
        <v>166</v>
      </c>
      <c r="H23" s="11">
        <v>178</v>
      </c>
      <c r="I23" s="11">
        <v>83</v>
      </c>
      <c r="J23" s="11">
        <v>70</v>
      </c>
      <c r="K23" s="11">
        <v>65</v>
      </c>
      <c r="L23" s="11">
        <v>68</v>
      </c>
      <c r="M23" s="11">
        <v>177</v>
      </c>
      <c r="N23" s="7">
        <f t="shared" si="0"/>
        <v>1149</v>
      </c>
      <c r="O23" s="7">
        <f t="shared" si="1"/>
        <v>95.75</v>
      </c>
    </row>
    <row r="24" spans="1:15" x14ac:dyDescent="0.25">
      <c r="A24" s="10" t="s">
        <v>35</v>
      </c>
      <c r="B24" s="11">
        <v>51</v>
      </c>
      <c r="C24" s="11">
        <v>45</v>
      </c>
      <c r="D24" s="11">
        <v>43</v>
      </c>
      <c r="E24" s="11">
        <v>101</v>
      </c>
      <c r="F24" s="11">
        <v>78</v>
      </c>
      <c r="G24" s="11">
        <v>42</v>
      </c>
      <c r="H24" s="11">
        <v>50</v>
      </c>
      <c r="I24" s="11">
        <v>43</v>
      </c>
      <c r="J24" s="11">
        <v>49</v>
      </c>
      <c r="K24" s="11">
        <v>102</v>
      </c>
      <c r="L24" s="11">
        <v>39</v>
      </c>
      <c r="M24" s="11">
        <v>54</v>
      </c>
      <c r="N24" s="7">
        <f t="shared" si="0"/>
        <v>697</v>
      </c>
      <c r="O24" s="7">
        <f t="shared" si="1"/>
        <v>58.083333333333336</v>
      </c>
    </row>
    <row r="25" spans="1:15" x14ac:dyDescent="0.25">
      <c r="A25" s="10" t="s">
        <v>36</v>
      </c>
      <c r="B25" s="11">
        <v>24</v>
      </c>
      <c r="C25" s="11">
        <v>22</v>
      </c>
      <c r="D25" s="11">
        <v>19</v>
      </c>
      <c r="E25" s="11">
        <v>27</v>
      </c>
      <c r="F25" s="11">
        <v>22</v>
      </c>
      <c r="G25" s="11">
        <v>28</v>
      </c>
      <c r="H25" s="11">
        <v>27</v>
      </c>
      <c r="I25" s="11">
        <v>18</v>
      </c>
      <c r="J25" s="11">
        <v>25</v>
      </c>
      <c r="K25" s="11">
        <v>22</v>
      </c>
      <c r="L25" s="11">
        <v>23</v>
      </c>
      <c r="M25" s="11">
        <v>18</v>
      </c>
      <c r="N25" s="7">
        <f t="shared" si="0"/>
        <v>275</v>
      </c>
      <c r="O25" s="7">
        <f t="shared" si="1"/>
        <v>22.916666666666668</v>
      </c>
    </row>
    <row r="26" spans="1:15" x14ac:dyDescent="0.25">
      <c r="A26" s="10" t="s">
        <v>37</v>
      </c>
      <c r="B26" s="11">
        <v>41</v>
      </c>
      <c r="C26" s="11">
        <v>36</v>
      </c>
      <c r="D26" s="11">
        <v>39</v>
      </c>
      <c r="E26" s="11">
        <v>55</v>
      </c>
      <c r="F26" s="11">
        <v>44</v>
      </c>
      <c r="G26" s="11">
        <v>45</v>
      </c>
      <c r="H26" s="11">
        <v>56</v>
      </c>
      <c r="I26" s="11">
        <v>41</v>
      </c>
      <c r="J26" s="11">
        <v>60</v>
      </c>
      <c r="K26" s="11">
        <v>38</v>
      </c>
      <c r="L26" s="11">
        <v>37</v>
      </c>
      <c r="M26" s="11">
        <v>53</v>
      </c>
      <c r="N26" s="7">
        <f t="shared" si="0"/>
        <v>545</v>
      </c>
      <c r="O26" s="7">
        <f t="shared" si="1"/>
        <v>45.416666666666664</v>
      </c>
    </row>
    <row r="27" spans="1:15" x14ac:dyDescent="0.25">
      <c r="A27" s="4" t="s">
        <v>38</v>
      </c>
      <c r="B27" s="6">
        <f t="shared" ref="B27:M27" si="2">SUM(B7:B26)</f>
        <v>2904</v>
      </c>
      <c r="C27" s="6">
        <f t="shared" si="2"/>
        <v>2890</v>
      </c>
      <c r="D27" s="6">
        <f t="shared" si="2"/>
        <v>2759</v>
      </c>
      <c r="E27" s="6">
        <f t="shared" si="2"/>
        <v>3017</v>
      </c>
      <c r="F27" s="6">
        <f t="shared" si="2"/>
        <v>3331</v>
      </c>
      <c r="G27" s="6">
        <f t="shared" si="2"/>
        <v>2687</v>
      </c>
      <c r="H27" s="6">
        <f t="shared" si="2"/>
        <v>3356</v>
      </c>
      <c r="I27" s="6">
        <f t="shared" si="2"/>
        <v>3080</v>
      </c>
      <c r="J27" s="6">
        <f t="shared" si="2"/>
        <v>2869</v>
      </c>
      <c r="K27" s="6">
        <f t="shared" si="2"/>
        <v>3100</v>
      </c>
      <c r="L27" s="6">
        <f t="shared" si="2"/>
        <v>3058</v>
      </c>
      <c r="M27" s="6">
        <f t="shared" si="2"/>
        <v>3174</v>
      </c>
      <c r="N27" s="6">
        <f t="shared" si="0"/>
        <v>36225</v>
      </c>
      <c r="O27" s="2"/>
    </row>
    <row r="28" spans="1:15" x14ac:dyDescent="0.25">
      <c r="A28" s="4" t="s">
        <v>39</v>
      </c>
      <c r="B28" s="12">
        <f t="shared" ref="B28:N28" si="3">IFERROR((B3-B27)/B3,0)</f>
        <v>0.41920000000000002</v>
      </c>
      <c r="C28" s="12">
        <f t="shared" si="3"/>
        <v>0.42199999999999999</v>
      </c>
      <c r="D28" s="12">
        <f t="shared" si="3"/>
        <v>0.44819999999999999</v>
      </c>
      <c r="E28" s="12">
        <f t="shared" si="3"/>
        <v>0.39660000000000001</v>
      </c>
      <c r="F28" s="12">
        <f t="shared" si="3"/>
        <v>0.33379999999999999</v>
      </c>
      <c r="G28" s="12">
        <f t="shared" si="3"/>
        <v>0.46260000000000001</v>
      </c>
      <c r="H28" s="12">
        <f t="shared" si="3"/>
        <v>0.32879999999999998</v>
      </c>
      <c r="I28" s="12">
        <f t="shared" si="3"/>
        <v>0.38400000000000001</v>
      </c>
      <c r="J28" s="12">
        <f t="shared" si="3"/>
        <v>0.42620000000000002</v>
      </c>
      <c r="K28" s="12">
        <f t="shared" si="3"/>
        <v>0.38</v>
      </c>
      <c r="L28" s="12">
        <f t="shared" si="3"/>
        <v>0.38840000000000002</v>
      </c>
      <c r="M28" s="12">
        <f t="shared" si="3"/>
        <v>0.36520000000000002</v>
      </c>
      <c r="N28" s="13">
        <f t="shared" si="3"/>
        <v>0.39624999999999999</v>
      </c>
      <c r="O28" s="2"/>
    </row>
  </sheetData>
  <conditionalFormatting sqref="O7:O26">
    <cfRule type="aboveAverage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showGridLines="0" workbookViewId="0"/>
  </sheetViews>
  <sheetFormatPr defaultRowHeight="15" x14ac:dyDescent="0.25"/>
  <cols>
    <col min="1" max="1" width="33" customWidth="1"/>
    <col min="2" max="3" width="18" customWidth="1"/>
    <col min="4" max="5" width="27" customWidth="1"/>
    <col min="6" max="6" width="29" customWidth="1"/>
    <col min="7" max="7" width="21" customWidth="1"/>
  </cols>
  <sheetData>
    <row r="1" spans="1:7" ht="18" x14ac:dyDescent="0.25">
      <c r="A1" s="1" t="s">
        <v>41</v>
      </c>
      <c r="B1" s="2"/>
      <c r="C1" s="2"/>
      <c r="D1" s="2"/>
      <c r="E1" s="2"/>
      <c r="F1" s="2"/>
      <c r="G1" s="2"/>
    </row>
    <row r="2" spans="1:7" x14ac:dyDescent="0.25">
      <c r="A2" s="9" t="s">
        <v>17</v>
      </c>
      <c r="B2" s="3" t="s">
        <v>13</v>
      </c>
      <c r="C2" s="3" t="s">
        <v>14</v>
      </c>
      <c r="D2" s="3" t="s">
        <v>42</v>
      </c>
      <c r="E2" s="3" t="s">
        <v>43</v>
      </c>
      <c r="F2" s="3" t="s">
        <v>44</v>
      </c>
      <c r="G2" s="3" t="s">
        <v>45</v>
      </c>
    </row>
    <row r="3" spans="1:7" x14ac:dyDescent="0.25">
      <c r="A3" s="10" t="s">
        <v>18</v>
      </c>
      <c r="B3" s="7">
        <f>'This Year'!N7</f>
        <v>18193</v>
      </c>
      <c r="C3" s="7">
        <f>'This Year'!O7</f>
        <v>1516.0833333333333</v>
      </c>
      <c r="D3" s="7">
        <f>MAX('This Year'!B7:M7)</f>
        <v>1835</v>
      </c>
      <c r="E3" s="7">
        <f>MIN('This Year'!B7:M7)</f>
        <v>1149</v>
      </c>
      <c r="F3" s="7">
        <f>STDEV('This Year'!B7:M7)</f>
        <v>238.88051723644529</v>
      </c>
      <c r="G3" s="14">
        <f t="shared" ref="G3:G22" si="0">IFERROR(F3/C3,0)</f>
        <v>0.15756423936884206</v>
      </c>
    </row>
    <row r="4" spans="1:7" x14ac:dyDescent="0.25">
      <c r="A4" s="10" t="s">
        <v>19</v>
      </c>
      <c r="B4" s="7">
        <f>'This Year'!N8</f>
        <v>2059</v>
      </c>
      <c r="C4" s="7">
        <f>'This Year'!O8</f>
        <v>171.58333333333334</v>
      </c>
      <c r="D4" s="7">
        <f>MAX('This Year'!B8:M8)</f>
        <v>240</v>
      </c>
      <c r="E4" s="7">
        <f>MIN('This Year'!B8:M8)</f>
        <v>122</v>
      </c>
      <c r="F4" s="7">
        <f>STDEV('This Year'!B8:M8)</f>
        <v>36.300409046864729</v>
      </c>
      <c r="G4" s="14">
        <f t="shared" si="0"/>
        <v>0.21156139318231021</v>
      </c>
    </row>
    <row r="5" spans="1:7" x14ac:dyDescent="0.25">
      <c r="A5" s="10" t="s">
        <v>20</v>
      </c>
      <c r="B5" s="7">
        <f>'This Year'!N9</f>
        <v>4812</v>
      </c>
      <c r="C5" s="7">
        <f>'This Year'!O9</f>
        <v>401</v>
      </c>
      <c r="D5" s="7">
        <f>MAX('This Year'!B9:M9)</f>
        <v>498</v>
      </c>
      <c r="E5" s="7">
        <f>MIN('This Year'!B9:M9)</f>
        <v>329</v>
      </c>
      <c r="F5" s="7">
        <f>STDEV('This Year'!B9:M9)</f>
        <v>58.340692176527725</v>
      </c>
      <c r="G5" s="14">
        <f t="shared" si="0"/>
        <v>0.14548801041528112</v>
      </c>
    </row>
    <row r="6" spans="1:7" x14ac:dyDescent="0.25">
      <c r="A6" s="10" t="s">
        <v>21</v>
      </c>
      <c r="B6" s="7">
        <f>'This Year'!N10</f>
        <v>1449</v>
      </c>
      <c r="C6" s="7">
        <f>'This Year'!O10</f>
        <v>120.75</v>
      </c>
      <c r="D6" s="7">
        <f>MAX('This Year'!B10:M10)</f>
        <v>148</v>
      </c>
      <c r="E6" s="7">
        <f>MIN('This Year'!B10:M10)</f>
        <v>102</v>
      </c>
      <c r="F6" s="7">
        <f>STDEV('This Year'!B10:M10)</f>
        <v>16.842181892768256</v>
      </c>
      <c r="G6" s="14">
        <f t="shared" si="0"/>
        <v>0.13947976722789446</v>
      </c>
    </row>
    <row r="7" spans="1:7" x14ac:dyDescent="0.25">
      <c r="A7" s="10" t="s">
        <v>22</v>
      </c>
      <c r="B7" s="7">
        <f>'This Year'!N11</f>
        <v>1252</v>
      </c>
      <c r="C7" s="7">
        <f>'This Year'!O11</f>
        <v>104.33333333333333</v>
      </c>
      <c r="D7" s="7">
        <f>MAX('This Year'!B11:M11)</f>
        <v>130</v>
      </c>
      <c r="E7" s="7">
        <f>MIN('This Year'!B11:M11)</f>
        <v>83</v>
      </c>
      <c r="F7" s="7">
        <f>STDEV('This Year'!B11:M11)</f>
        <v>15.813304716617791</v>
      </c>
      <c r="G7" s="14">
        <f t="shared" si="0"/>
        <v>0.15156522092604913</v>
      </c>
    </row>
    <row r="8" spans="1:7" x14ac:dyDescent="0.25">
      <c r="A8" s="10" t="s">
        <v>23</v>
      </c>
      <c r="B8" s="7">
        <f>'This Year'!N12</f>
        <v>2305</v>
      </c>
      <c r="C8" s="7">
        <f>'This Year'!O12</f>
        <v>192.08333333333334</v>
      </c>
      <c r="D8" s="7">
        <f>MAX('This Year'!B12:M12)</f>
        <v>244</v>
      </c>
      <c r="E8" s="7">
        <f>MIN('This Year'!B12:M12)</f>
        <v>152</v>
      </c>
      <c r="F8" s="7">
        <f>STDEV('This Year'!B12:M12)</f>
        <v>30.782103222292665</v>
      </c>
      <c r="G8" s="14">
        <f t="shared" si="0"/>
        <v>0.16025389963883382</v>
      </c>
    </row>
    <row r="9" spans="1:7" x14ac:dyDescent="0.25">
      <c r="A9" s="10" t="s">
        <v>24</v>
      </c>
      <c r="B9" s="7">
        <f>'This Year'!N13</f>
        <v>1419</v>
      </c>
      <c r="C9" s="7">
        <f>'This Year'!O13</f>
        <v>118.25</v>
      </c>
      <c r="D9" s="7">
        <f>MAX('This Year'!B13:M13)</f>
        <v>139</v>
      </c>
      <c r="E9" s="7">
        <f>MIN('This Year'!B13:M13)</f>
        <v>98</v>
      </c>
      <c r="F9" s="7">
        <f>STDEV('This Year'!B13:M13)</f>
        <v>15.56876243111069</v>
      </c>
      <c r="G9" s="14">
        <f t="shared" si="0"/>
        <v>0.13165972457598893</v>
      </c>
    </row>
    <row r="10" spans="1:7" x14ac:dyDescent="0.25">
      <c r="A10" s="10" t="s">
        <v>25</v>
      </c>
      <c r="B10" s="7">
        <f>'This Year'!N14</f>
        <v>2011</v>
      </c>
      <c r="C10" s="7">
        <f>'This Year'!O14</f>
        <v>167.58333333333334</v>
      </c>
      <c r="D10" s="7">
        <f>MAX('This Year'!B14:M14)</f>
        <v>210</v>
      </c>
      <c r="E10" s="7">
        <f>MIN('This Year'!B14:M14)</f>
        <v>131</v>
      </c>
      <c r="F10" s="7">
        <f>STDEV('This Year'!B14:M14)</f>
        <v>29.690703575157674</v>
      </c>
      <c r="G10" s="14">
        <f t="shared" si="0"/>
        <v>0.17716978761904131</v>
      </c>
    </row>
    <row r="11" spans="1:7" x14ac:dyDescent="0.25">
      <c r="A11" s="10" t="s">
        <v>26</v>
      </c>
      <c r="B11" s="7">
        <f>'This Year'!N15</f>
        <v>565</v>
      </c>
      <c r="C11" s="7">
        <f>'This Year'!O15</f>
        <v>47.083333333333336</v>
      </c>
      <c r="D11" s="7">
        <f>MAX('This Year'!B15:M15)</f>
        <v>56</v>
      </c>
      <c r="E11" s="7">
        <f>MIN('This Year'!B15:M15)</f>
        <v>35</v>
      </c>
      <c r="F11" s="7">
        <f>STDEV('This Year'!B15:M15)</f>
        <v>7.6331613054586773</v>
      </c>
      <c r="G11" s="14">
        <f t="shared" si="0"/>
        <v>0.16212024011593651</v>
      </c>
    </row>
    <row r="12" spans="1:7" x14ac:dyDescent="0.25">
      <c r="A12" s="10" t="s">
        <v>27</v>
      </c>
      <c r="B12" s="7">
        <f>'This Year'!N16</f>
        <v>933</v>
      </c>
      <c r="C12" s="7">
        <f>'This Year'!O16</f>
        <v>77.75</v>
      </c>
      <c r="D12" s="7">
        <f>MAX('This Year'!B16:M16)</f>
        <v>93</v>
      </c>
      <c r="E12" s="7">
        <f>MIN('This Year'!B16:M16)</f>
        <v>59</v>
      </c>
      <c r="F12" s="7">
        <f>STDEV('This Year'!B16:M16)</f>
        <v>11.498023545572755</v>
      </c>
      <c r="G12" s="14">
        <f t="shared" si="0"/>
        <v>0.14788454720993896</v>
      </c>
    </row>
    <row r="13" spans="1:7" x14ac:dyDescent="0.25">
      <c r="A13" s="10" t="s">
        <v>28</v>
      </c>
      <c r="B13" s="7">
        <f>'This Year'!N17</f>
        <v>760</v>
      </c>
      <c r="C13" s="7">
        <f>'This Year'!O17</f>
        <v>63.333333333333336</v>
      </c>
      <c r="D13" s="7">
        <f>MAX('This Year'!B17:M17)</f>
        <v>78</v>
      </c>
      <c r="E13" s="7">
        <f>MIN('This Year'!B17:M17)</f>
        <v>49</v>
      </c>
      <c r="F13" s="7">
        <f>STDEV('This Year'!B17:M17)</f>
        <v>10.577276959538672</v>
      </c>
      <c r="G13" s="14">
        <f t="shared" si="0"/>
        <v>0.16700963620324219</v>
      </c>
    </row>
    <row r="14" spans="1:7" x14ac:dyDescent="0.25">
      <c r="A14" s="10" t="s">
        <v>29</v>
      </c>
      <c r="B14" s="7">
        <f>'This Year'!N18</f>
        <v>599</v>
      </c>
      <c r="C14" s="7">
        <f>'This Year'!O18</f>
        <v>49.916666666666664</v>
      </c>
      <c r="D14" s="7">
        <f>MAX('This Year'!B18:M18)</f>
        <v>59</v>
      </c>
      <c r="E14" s="7">
        <f>MIN('This Year'!B18:M18)</f>
        <v>42</v>
      </c>
      <c r="F14" s="7">
        <f>STDEV('This Year'!B18:M18)</f>
        <v>5.1426617326992936</v>
      </c>
      <c r="G14" s="14">
        <f t="shared" si="0"/>
        <v>0.10302494289213944</v>
      </c>
    </row>
    <row r="15" spans="1:7" x14ac:dyDescent="0.25">
      <c r="A15" s="10" t="s">
        <v>30</v>
      </c>
      <c r="B15" s="7">
        <f>'This Year'!N19</f>
        <v>567</v>
      </c>
      <c r="C15" s="7">
        <f>'This Year'!O19</f>
        <v>47.25</v>
      </c>
      <c r="D15" s="7">
        <f>MAX('This Year'!B19:M19)</f>
        <v>56</v>
      </c>
      <c r="E15" s="7">
        <f>MIN('This Year'!B19:M19)</f>
        <v>39</v>
      </c>
      <c r="F15" s="7">
        <f>STDEV('This Year'!B19:M19)</f>
        <v>6.2249497989943663</v>
      </c>
      <c r="G15" s="14">
        <f t="shared" si="0"/>
        <v>0.13174496929088605</v>
      </c>
    </row>
    <row r="16" spans="1:7" x14ac:dyDescent="0.25">
      <c r="A16" s="10" t="s">
        <v>31</v>
      </c>
      <c r="B16" s="7">
        <f>'This Year'!N20</f>
        <v>370</v>
      </c>
      <c r="C16" s="7">
        <f>'This Year'!O20</f>
        <v>30.833333333333332</v>
      </c>
      <c r="D16" s="7">
        <f>MAX('This Year'!B20:M20)</f>
        <v>37</v>
      </c>
      <c r="E16" s="7">
        <f>MIN('This Year'!B20:M20)</f>
        <v>23</v>
      </c>
      <c r="F16" s="7">
        <f>STDEV('This Year'!B20:M20)</f>
        <v>4.6871843328054545</v>
      </c>
      <c r="G16" s="14">
        <f t="shared" si="0"/>
        <v>0.15201678917206879</v>
      </c>
    </row>
    <row r="17" spans="1:7" x14ac:dyDescent="0.25">
      <c r="A17" s="10" t="s">
        <v>32</v>
      </c>
      <c r="B17" s="7">
        <f>'This Year'!N21</f>
        <v>476</v>
      </c>
      <c r="C17" s="7">
        <f>'This Year'!O21</f>
        <v>39.666666666666664</v>
      </c>
      <c r="D17" s="7">
        <f>MAX('This Year'!B21:M21)</f>
        <v>47</v>
      </c>
      <c r="E17" s="7">
        <f>MIN('This Year'!B21:M21)</f>
        <v>31</v>
      </c>
      <c r="F17" s="7">
        <f>STDEV('This Year'!B21:M21)</f>
        <v>5.5486826173316937</v>
      </c>
      <c r="G17" s="14">
        <f t="shared" si="0"/>
        <v>0.1398827550587822</v>
      </c>
    </row>
    <row r="18" spans="1:7" x14ac:dyDescent="0.25">
      <c r="A18" s="10" t="s">
        <v>33</v>
      </c>
      <c r="B18" s="7">
        <f>'This Year'!N22</f>
        <v>480</v>
      </c>
      <c r="C18" s="7">
        <f>'This Year'!O22</f>
        <v>40</v>
      </c>
      <c r="D18" s="7">
        <f>MAX('This Year'!B22:M22)</f>
        <v>117</v>
      </c>
      <c r="E18" s="7">
        <f>MIN('This Year'!B22:M22)</f>
        <v>26</v>
      </c>
      <c r="F18" s="7">
        <f>STDEV('This Year'!B22:M22)</f>
        <v>24.679767200905868</v>
      </c>
      <c r="G18" s="14">
        <f t="shared" si="0"/>
        <v>0.61699418002264672</v>
      </c>
    </row>
    <row r="19" spans="1:7" x14ac:dyDescent="0.25">
      <c r="A19" s="10" t="s">
        <v>34</v>
      </c>
      <c r="B19" s="7">
        <f>'This Year'!N23</f>
        <v>1284</v>
      </c>
      <c r="C19" s="7">
        <f>'This Year'!O23</f>
        <v>107</v>
      </c>
      <c r="D19" s="7">
        <f>MAX('This Year'!B23:M23)</f>
        <v>237</v>
      </c>
      <c r="E19" s="7">
        <f>MIN('This Year'!B23:M23)</f>
        <v>61</v>
      </c>
      <c r="F19" s="7">
        <f>STDEV('This Year'!B23:M23)</f>
        <v>58.15965486955244</v>
      </c>
      <c r="G19" s="14">
        <f t="shared" si="0"/>
        <v>0.54354817635095742</v>
      </c>
    </row>
    <row r="20" spans="1:7" x14ac:dyDescent="0.25">
      <c r="A20" s="10" t="s">
        <v>35</v>
      </c>
      <c r="B20" s="7">
        <f>'This Year'!N24</f>
        <v>728</v>
      </c>
      <c r="C20" s="7">
        <f>'This Year'!O24</f>
        <v>60.666666666666664</v>
      </c>
      <c r="D20" s="7">
        <f>MAX('This Year'!B24:M24)</f>
        <v>96</v>
      </c>
      <c r="E20" s="7">
        <f>MIN('This Year'!B24:M24)</f>
        <v>42</v>
      </c>
      <c r="F20" s="7">
        <f>STDEV('This Year'!B24:M24)</f>
        <v>15.364263928369814</v>
      </c>
      <c r="G20" s="14">
        <f t="shared" si="0"/>
        <v>0.25325709772038157</v>
      </c>
    </row>
    <row r="21" spans="1:7" x14ac:dyDescent="0.25">
      <c r="A21" s="10" t="s">
        <v>36</v>
      </c>
      <c r="B21" s="7">
        <f>'This Year'!N25</f>
        <v>300</v>
      </c>
      <c r="C21" s="7">
        <f>'This Year'!O25</f>
        <v>25</v>
      </c>
      <c r="D21" s="7">
        <f>MAX('This Year'!B25:M25)</f>
        <v>30</v>
      </c>
      <c r="E21" s="7">
        <f>MIN('This Year'!B25:M25)</f>
        <v>19</v>
      </c>
      <c r="F21" s="7">
        <f>STDEV('This Year'!B25:M25)</f>
        <v>4.6904157598234297</v>
      </c>
      <c r="G21" s="14">
        <f t="shared" si="0"/>
        <v>0.18761663039293719</v>
      </c>
    </row>
    <row r="22" spans="1:7" x14ac:dyDescent="0.25">
      <c r="A22" s="10" t="s">
        <v>37</v>
      </c>
      <c r="B22" s="7">
        <f>'This Year'!N26</f>
        <v>691</v>
      </c>
      <c r="C22" s="7">
        <f>'This Year'!O26</f>
        <v>57.583333333333336</v>
      </c>
      <c r="D22" s="7">
        <f>MAX('This Year'!B26:M26)</f>
        <v>73</v>
      </c>
      <c r="E22" s="7">
        <f>MIN('This Year'!B26:M26)</f>
        <v>46</v>
      </c>
      <c r="F22" s="7">
        <f>STDEV('This Year'!B26:M26)</f>
        <v>8.8775337825662959</v>
      </c>
      <c r="G22" s="14">
        <f t="shared" si="0"/>
        <v>0.15416845932097764</v>
      </c>
    </row>
  </sheetData>
  <conditionalFormatting sqref="G3:G22">
    <cfRule type="cellIs" dxfId="3" priority="1" operator="greaterThan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"/>
  <sheetViews>
    <sheetView showGridLines="0" workbookViewId="0">
      <selection activeCell="A14" sqref="A14"/>
    </sheetView>
  </sheetViews>
  <sheetFormatPr defaultRowHeight="15" x14ac:dyDescent="0.25"/>
  <cols>
    <col min="1" max="1" width="40" customWidth="1"/>
    <col min="2" max="2" width="18" customWidth="1"/>
    <col min="3" max="3" width="30" customWidth="1"/>
    <col min="4" max="4" width="10" customWidth="1"/>
    <col min="5" max="5" width="21" customWidth="1"/>
    <col min="6" max="6" width="40" customWidth="1"/>
  </cols>
  <sheetData>
    <row r="1" spans="1:6" ht="18" x14ac:dyDescent="0.25">
      <c r="A1" s="1" t="s">
        <v>46</v>
      </c>
      <c r="B1" s="2"/>
      <c r="C1" s="2"/>
      <c r="D1" s="2"/>
      <c r="E1" s="2"/>
      <c r="F1" s="2"/>
    </row>
    <row r="2" spans="1:6" x14ac:dyDescent="0.25">
      <c r="A2" s="9" t="s">
        <v>17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 x14ac:dyDescent="0.25">
      <c r="A3" s="10" t="s">
        <v>18</v>
      </c>
      <c r="B3" s="7">
        <f>'This Year'!N7</f>
        <v>18193</v>
      </c>
      <c r="C3" s="7">
        <f>IFERROR('Prior Year'!N7,0)</f>
        <v>14619</v>
      </c>
      <c r="D3" s="7">
        <f t="shared" ref="D3:D22" si="0">B3-C3</f>
        <v>3574</v>
      </c>
      <c r="E3" s="12">
        <f t="shared" ref="E3:E22" si="1">IFERROR(D3/C3,0)</f>
        <v>0.2444763663725289</v>
      </c>
      <c r="F3" s="10">
        <f t="shared" ref="F3:F22" si="2">1+SUMPRODUCT(--(ABS($D$3:$D$22)&gt;ABS(D3)))</f>
        <v>1</v>
      </c>
    </row>
    <row r="4" spans="1:6" x14ac:dyDescent="0.25">
      <c r="A4" s="10" t="s">
        <v>19</v>
      </c>
      <c r="B4" s="7">
        <f>'This Year'!N8</f>
        <v>2059</v>
      </c>
      <c r="C4" s="7">
        <f>IFERROR('Prior Year'!N8,0)</f>
        <v>1796</v>
      </c>
      <c r="D4" s="7">
        <f t="shared" si="0"/>
        <v>263</v>
      </c>
      <c r="E4" s="12">
        <f t="shared" si="1"/>
        <v>0.14643652561247217</v>
      </c>
      <c r="F4" s="10">
        <f t="shared" si="2"/>
        <v>2</v>
      </c>
    </row>
    <row r="5" spans="1:6" x14ac:dyDescent="0.25">
      <c r="A5" s="10" t="s">
        <v>20</v>
      </c>
      <c r="B5" s="7">
        <f>'This Year'!N9</f>
        <v>4812</v>
      </c>
      <c r="C5" s="7">
        <f>IFERROR('Prior Year'!N9,0)</f>
        <v>4683</v>
      </c>
      <c r="D5" s="7">
        <f t="shared" si="0"/>
        <v>129</v>
      </c>
      <c r="E5" s="12">
        <f t="shared" si="1"/>
        <v>2.7546444586803331E-2</v>
      </c>
      <c r="F5" s="10">
        <f t="shared" si="2"/>
        <v>8</v>
      </c>
    </row>
    <row r="6" spans="1:6" x14ac:dyDescent="0.25">
      <c r="A6" s="10" t="s">
        <v>21</v>
      </c>
      <c r="B6" s="7">
        <f>'This Year'!N10</f>
        <v>1449</v>
      </c>
      <c r="C6" s="7">
        <f>IFERROR('Prior Year'!N10,0)</f>
        <v>1456</v>
      </c>
      <c r="D6" s="7">
        <f t="shared" si="0"/>
        <v>-7</v>
      </c>
      <c r="E6" s="12">
        <f t="shared" si="1"/>
        <v>-4.807692307692308E-3</v>
      </c>
      <c r="F6" s="10">
        <f t="shared" si="2"/>
        <v>19</v>
      </c>
    </row>
    <row r="7" spans="1:6" x14ac:dyDescent="0.25">
      <c r="A7" s="10" t="s">
        <v>22</v>
      </c>
      <c r="B7" s="7">
        <f>'This Year'!N11</f>
        <v>1252</v>
      </c>
      <c r="C7" s="7">
        <f>IFERROR('Prior Year'!N11,0)</f>
        <v>1228</v>
      </c>
      <c r="D7" s="7">
        <f t="shared" si="0"/>
        <v>24</v>
      </c>
      <c r="E7" s="12">
        <f t="shared" si="1"/>
        <v>1.9543973941368076E-2</v>
      </c>
      <c r="F7" s="10">
        <f t="shared" si="2"/>
        <v>17</v>
      </c>
    </row>
    <row r="8" spans="1:6" x14ac:dyDescent="0.25">
      <c r="A8" s="10" t="s">
        <v>23</v>
      </c>
      <c r="B8" s="7">
        <f>'This Year'!N12</f>
        <v>2305</v>
      </c>
      <c r="C8" s="7">
        <f>IFERROR('Prior Year'!N12,0)</f>
        <v>2319</v>
      </c>
      <c r="D8" s="7">
        <f t="shared" si="0"/>
        <v>-14</v>
      </c>
      <c r="E8" s="12">
        <f t="shared" si="1"/>
        <v>-6.0370849504096597E-3</v>
      </c>
      <c r="F8" s="10">
        <f t="shared" si="2"/>
        <v>18</v>
      </c>
    </row>
    <row r="9" spans="1:6" x14ac:dyDescent="0.25">
      <c r="A9" s="10" t="s">
        <v>24</v>
      </c>
      <c r="B9" s="7">
        <f>'This Year'!N13</f>
        <v>1419</v>
      </c>
      <c r="C9" s="7">
        <f>IFERROR('Prior Year'!N13,0)</f>
        <v>1253</v>
      </c>
      <c r="D9" s="7">
        <f t="shared" si="0"/>
        <v>166</v>
      </c>
      <c r="E9" s="12">
        <f t="shared" si="1"/>
        <v>0.13248204309656825</v>
      </c>
      <c r="F9" s="10">
        <f t="shared" si="2"/>
        <v>3</v>
      </c>
    </row>
    <row r="10" spans="1:6" x14ac:dyDescent="0.25">
      <c r="A10" s="10" t="s">
        <v>25</v>
      </c>
      <c r="B10" s="7">
        <f>'This Year'!N14</f>
        <v>2011</v>
      </c>
      <c r="C10" s="7">
        <f>IFERROR('Prior Year'!N14,0)</f>
        <v>1943</v>
      </c>
      <c r="D10" s="7">
        <f t="shared" si="0"/>
        <v>68</v>
      </c>
      <c r="E10" s="12">
        <f t="shared" si="1"/>
        <v>3.4997426659804425E-2</v>
      </c>
      <c r="F10" s="10">
        <f t="shared" si="2"/>
        <v>11</v>
      </c>
    </row>
    <row r="11" spans="1:6" x14ac:dyDescent="0.25">
      <c r="A11" s="10" t="s">
        <v>26</v>
      </c>
      <c r="B11" s="7">
        <f>'This Year'!N15</f>
        <v>565</v>
      </c>
      <c r="C11" s="7">
        <f>IFERROR('Prior Year'!N15,0)</f>
        <v>428</v>
      </c>
      <c r="D11" s="7">
        <f t="shared" si="0"/>
        <v>137</v>
      </c>
      <c r="E11" s="12">
        <f t="shared" si="1"/>
        <v>0.32009345794392524</v>
      </c>
      <c r="F11" s="10">
        <f t="shared" si="2"/>
        <v>6</v>
      </c>
    </row>
    <row r="12" spans="1:6" x14ac:dyDescent="0.25">
      <c r="A12" s="10" t="s">
        <v>27</v>
      </c>
      <c r="B12" s="7">
        <f>'This Year'!N16</f>
        <v>933</v>
      </c>
      <c r="C12" s="7">
        <f>IFERROR('Prior Year'!N16,0)</f>
        <v>790</v>
      </c>
      <c r="D12" s="7">
        <f t="shared" si="0"/>
        <v>143</v>
      </c>
      <c r="E12" s="12">
        <f t="shared" si="1"/>
        <v>0.18101265822784809</v>
      </c>
      <c r="F12" s="10">
        <f t="shared" si="2"/>
        <v>5</v>
      </c>
    </row>
    <row r="13" spans="1:6" x14ac:dyDescent="0.25">
      <c r="A13" s="10" t="s">
        <v>28</v>
      </c>
      <c r="B13" s="7">
        <f>'This Year'!N17</f>
        <v>760</v>
      </c>
      <c r="C13" s="7">
        <f>IFERROR('Prior Year'!N17,0)</f>
        <v>731</v>
      </c>
      <c r="D13" s="7">
        <f t="shared" si="0"/>
        <v>29</v>
      </c>
      <c r="E13" s="12">
        <f t="shared" si="1"/>
        <v>3.9671682626538987E-2</v>
      </c>
      <c r="F13" s="10">
        <f t="shared" si="2"/>
        <v>15</v>
      </c>
    </row>
    <row r="14" spans="1:6" x14ac:dyDescent="0.25">
      <c r="A14" s="10" t="s">
        <v>29</v>
      </c>
      <c r="B14" s="7">
        <f>'This Year'!N18</f>
        <v>599</v>
      </c>
      <c r="C14" s="7">
        <f>IFERROR('Prior Year'!N18,0)</f>
        <v>654</v>
      </c>
      <c r="D14" s="7">
        <f t="shared" si="0"/>
        <v>-55</v>
      </c>
      <c r="E14" s="12">
        <f t="shared" si="1"/>
        <v>-8.4097859327217125E-2</v>
      </c>
      <c r="F14" s="10">
        <f t="shared" si="2"/>
        <v>12</v>
      </c>
    </row>
    <row r="15" spans="1:6" x14ac:dyDescent="0.25">
      <c r="A15" s="10" t="s">
        <v>30</v>
      </c>
      <c r="B15" s="7">
        <f>'This Year'!N19</f>
        <v>567</v>
      </c>
      <c r="C15" s="7">
        <f>IFERROR('Prior Year'!N19,0)</f>
        <v>463</v>
      </c>
      <c r="D15" s="7">
        <f t="shared" si="0"/>
        <v>104</v>
      </c>
      <c r="E15" s="12">
        <f t="shared" si="1"/>
        <v>0.22462203023758098</v>
      </c>
      <c r="F15" s="10">
        <f t="shared" si="2"/>
        <v>9</v>
      </c>
    </row>
    <row r="16" spans="1:6" x14ac:dyDescent="0.25">
      <c r="A16" s="10" t="s">
        <v>31</v>
      </c>
      <c r="B16" s="7">
        <f>'This Year'!N20</f>
        <v>370</v>
      </c>
      <c r="C16" s="7">
        <f>IFERROR('Prior Year'!N20,0)</f>
        <v>288</v>
      </c>
      <c r="D16" s="7">
        <f t="shared" si="0"/>
        <v>82</v>
      </c>
      <c r="E16" s="12">
        <f t="shared" si="1"/>
        <v>0.28472222222222221</v>
      </c>
      <c r="F16" s="10">
        <f t="shared" si="2"/>
        <v>10</v>
      </c>
    </row>
    <row r="17" spans="1:6" x14ac:dyDescent="0.25">
      <c r="A17" s="10" t="s">
        <v>32</v>
      </c>
      <c r="B17" s="7">
        <f>'This Year'!N21</f>
        <v>476</v>
      </c>
      <c r="C17" s="7">
        <f>IFERROR('Prior Year'!N21,0)</f>
        <v>483</v>
      </c>
      <c r="D17" s="7">
        <f t="shared" si="0"/>
        <v>-7</v>
      </c>
      <c r="E17" s="12">
        <f t="shared" si="1"/>
        <v>-1.4492753623188406E-2</v>
      </c>
      <c r="F17" s="10">
        <f t="shared" si="2"/>
        <v>19</v>
      </c>
    </row>
    <row r="18" spans="1:6" x14ac:dyDescent="0.25">
      <c r="A18" s="10" t="s">
        <v>33</v>
      </c>
      <c r="B18" s="7">
        <f>'This Year'!N22</f>
        <v>480</v>
      </c>
      <c r="C18" s="7">
        <f>IFERROR('Prior Year'!N22,0)</f>
        <v>425</v>
      </c>
      <c r="D18" s="7">
        <f t="shared" si="0"/>
        <v>55</v>
      </c>
      <c r="E18" s="12">
        <f t="shared" si="1"/>
        <v>0.12941176470588237</v>
      </c>
      <c r="F18" s="10">
        <f t="shared" si="2"/>
        <v>12</v>
      </c>
    </row>
    <row r="19" spans="1:6" x14ac:dyDescent="0.25">
      <c r="A19" s="10" t="s">
        <v>34</v>
      </c>
      <c r="B19" s="7">
        <f>'This Year'!N23</f>
        <v>1284</v>
      </c>
      <c r="C19" s="7">
        <f>IFERROR('Prior Year'!N23,0)</f>
        <v>1149</v>
      </c>
      <c r="D19" s="7">
        <f t="shared" si="0"/>
        <v>135</v>
      </c>
      <c r="E19" s="12">
        <f t="shared" si="1"/>
        <v>0.1174934725848564</v>
      </c>
      <c r="F19" s="10">
        <f t="shared" si="2"/>
        <v>7</v>
      </c>
    </row>
    <row r="20" spans="1:6" x14ac:dyDescent="0.25">
      <c r="A20" s="10" t="s">
        <v>35</v>
      </c>
      <c r="B20" s="7">
        <f>'This Year'!N24</f>
        <v>728</v>
      </c>
      <c r="C20" s="7">
        <f>IFERROR('Prior Year'!N24,0)</f>
        <v>697</v>
      </c>
      <c r="D20" s="7">
        <f t="shared" si="0"/>
        <v>31</v>
      </c>
      <c r="E20" s="12">
        <f t="shared" si="1"/>
        <v>4.4476327116212341E-2</v>
      </c>
      <c r="F20" s="10">
        <f t="shared" si="2"/>
        <v>14</v>
      </c>
    </row>
    <row r="21" spans="1:6" x14ac:dyDescent="0.25">
      <c r="A21" s="10" t="s">
        <v>36</v>
      </c>
      <c r="B21" s="7">
        <f>'This Year'!N25</f>
        <v>300</v>
      </c>
      <c r="C21" s="7">
        <f>IFERROR('Prior Year'!N25,0)</f>
        <v>275</v>
      </c>
      <c r="D21" s="7">
        <f t="shared" si="0"/>
        <v>25</v>
      </c>
      <c r="E21" s="12">
        <f t="shared" si="1"/>
        <v>9.0909090909090912E-2</v>
      </c>
      <c r="F21" s="10">
        <f t="shared" si="2"/>
        <v>16</v>
      </c>
    </row>
    <row r="22" spans="1:6" x14ac:dyDescent="0.25">
      <c r="A22" s="10" t="s">
        <v>37</v>
      </c>
      <c r="B22" s="7">
        <f>'This Year'!N26</f>
        <v>691</v>
      </c>
      <c r="C22" s="7">
        <f>IFERROR('Prior Year'!N26,0)</f>
        <v>545</v>
      </c>
      <c r="D22" s="7">
        <f t="shared" si="0"/>
        <v>146</v>
      </c>
      <c r="E22" s="12">
        <f t="shared" si="1"/>
        <v>0.26788990825688075</v>
      </c>
      <c r="F22" s="10">
        <f t="shared" si="2"/>
        <v>4</v>
      </c>
    </row>
    <row r="23" spans="1:6" x14ac:dyDescent="0.25">
      <c r="A23" s="19"/>
      <c r="B23" s="19"/>
      <c r="C23" s="19"/>
      <c r="D23" s="2"/>
      <c r="E23" s="2"/>
      <c r="F23" s="2"/>
    </row>
    <row r="24" spans="1:6" x14ac:dyDescent="0.25">
      <c r="A24" s="18" t="s">
        <v>52</v>
      </c>
      <c r="B24" s="19"/>
      <c r="C24" s="19"/>
      <c r="D24" s="2"/>
      <c r="E24" s="2"/>
      <c r="F24" s="2"/>
    </row>
    <row r="25" spans="1:6" x14ac:dyDescent="0.25">
      <c r="A25" s="21" t="s">
        <v>53</v>
      </c>
      <c r="B25" s="20">
        <f>SUM(B3:B22)</f>
        <v>41253</v>
      </c>
      <c r="C25" s="19"/>
      <c r="D25" s="2"/>
      <c r="E25" s="2"/>
      <c r="F25" s="2"/>
    </row>
    <row r="26" spans="1:6" x14ac:dyDescent="0.25">
      <c r="A26" s="21" t="s">
        <v>54</v>
      </c>
      <c r="B26" s="20">
        <f>SUM(C3:C22)</f>
        <v>36225</v>
      </c>
      <c r="C26" s="19"/>
      <c r="D26" s="2"/>
      <c r="E26" s="2"/>
      <c r="F26" s="2"/>
    </row>
    <row r="27" spans="1:6" x14ac:dyDescent="0.25">
      <c r="A27" s="21" t="s">
        <v>55</v>
      </c>
      <c r="B27" s="20">
        <f>B25-B26</f>
        <v>5028</v>
      </c>
      <c r="C27" s="19"/>
      <c r="D27" s="2"/>
      <c r="E27" s="2"/>
      <c r="F27" s="2"/>
    </row>
    <row r="28" spans="1:6" x14ac:dyDescent="0.25">
      <c r="A28" s="19"/>
      <c r="B28" s="19"/>
      <c r="C28" s="19"/>
      <c r="D28" s="2"/>
      <c r="E28" s="2"/>
      <c r="F28" s="2"/>
    </row>
    <row r="29" spans="1:6" x14ac:dyDescent="0.25">
      <c r="A29" s="18" t="s">
        <v>56</v>
      </c>
      <c r="B29" s="19"/>
      <c r="C29" s="19"/>
      <c r="D29" s="2"/>
      <c r="E29" s="2"/>
      <c r="F29" s="2"/>
    </row>
    <row r="30" spans="1:6" x14ac:dyDescent="0.25">
      <c r="A30" s="21" t="str">
        <f>INDEX(A3:A22,MATCH(LARGE(D3:D22,1),D3:D22,0))</f>
        <v>Rent/Mortgage</v>
      </c>
      <c r="B30" s="22">
        <f>LARGE(D3:D22,1)</f>
        <v>3574</v>
      </c>
      <c r="C30" s="19"/>
      <c r="D30" s="2"/>
      <c r="E30" s="2"/>
      <c r="F30" s="2"/>
    </row>
    <row r="31" spans="1:6" x14ac:dyDescent="0.25">
      <c r="A31" s="21" t="str">
        <f>INDEX(A3:A22,MATCH(LARGE(D3:D22,2),D3:D22,0))</f>
        <v>Utilities</v>
      </c>
      <c r="B31" s="22">
        <f>LARGE(D3:D22,2)</f>
        <v>263</v>
      </c>
      <c r="C31" s="19"/>
      <c r="D31" s="2"/>
      <c r="E31" s="2"/>
      <c r="F31" s="2"/>
    </row>
    <row r="32" spans="1:6" x14ac:dyDescent="0.25">
      <c r="A32" s="21" t="str">
        <f>INDEX(A3:A22,MATCH(LARGE(D3:D22,3),D3:D22,0))</f>
        <v>Phone/Internet</v>
      </c>
      <c r="B32" s="22">
        <f>LARGE(D3:D22,3)</f>
        <v>166</v>
      </c>
      <c r="C32" s="19"/>
      <c r="D32" s="2"/>
      <c r="E32" s="2"/>
      <c r="F32" s="2"/>
    </row>
    <row r="33" spans="1:6" x14ac:dyDescent="0.25">
      <c r="A33" s="19"/>
      <c r="B33" s="19"/>
      <c r="C33" s="19"/>
      <c r="D33" s="2"/>
      <c r="E33" s="2"/>
      <c r="F33" s="2"/>
    </row>
    <row r="34" spans="1:6" x14ac:dyDescent="0.25">
      <c r="A34" s="18" t="s">
        <v>57</v>
      </c>
      <c r="B34" s="19"/>
      <c r="C34" s="19"/>
      <c r="D34" s="2"/>
      <c r="E34" s="2"/>
      <c r="F34" s="2"/>
    </row>
    <row r="35" spans="1:6" x14ac:dyDescent="0.25">
      <c r="A35" s="21" t="str">
        <f>INDEX(A3:A22,MATCH(SMALL(D3:D22,1),D3:D22,0))</f>
        <v>Subscriptions</v>
      </c>
      <c r="B35" s="22">
        <f>SMALL(D3:D22,1)</f>
        <v>-55</v>
      </c>
      <c r="C35" s="19"/>
      <c r="D35" s="2"/>
      <c r="E35" s="2"/>
      <c r="F35" s="2"/>
    </row>
    <row r="36" spans="1:6" x14ac:dyDescent="0.25">
      <c r="A36" s="21" t="str">
        <f>INDEX(A3:A22,MATCH(SMALL(D3:D22,2),D3:D22,0))</f>
        <v>Health Insurance</v>
      </c>
      <c r="B36" s="22">
        <f>SMALL(D3:D22,2)</f>
        <v>-14</v>
      </c>
      <c r="C36" s="19"/>
      <c r="D36" s="2"/>
      <c r="E36" s="2"/>
      <c r="F36" s="2"/>
    </row>
    <row r="37" spans="1:6" x14ac:dyDescent="0.25">
      <c r="A37" s="21" t="str">
        <f>INDEX(A3:A22,MATCH(SMALL(D3:D22,3),D3:D22,0))</f>
        <v>Gas</v>
      </c>
      <c r="B37" s="22">
        <f>SMALL(D3:D22,3)</f>
        <v>-7</v>
      </c>
      <c r="C37" s="19"/>
      <c r="D37" s="2"/>
      <c r="E37" s="2"/>
      <c r="F37" s="2"/>
    </row>
    <row r="38" spans="1:6" x14ac:dyDescent="0.25">
      <c r="A38" s="23"/>
      <c r="B38" s="23"/>
      <c r="C38" s="23"/>
    </row>
    <row r="39" spans="1:6" x14ac:dyDescent="0.25">
      <c r="A39" s="23"/>
      <c r="B39" s="23"/>
      <c r="C39" s="23"/>
    </row>
    <row r="40" spans="1:6" x14ac:dyDescent="0.25">
      <c r="A40" s="23"/>
      <c r="B40" s="23"/>
      <c r="C40" s="23"/>
    </row>
  </sheetData>
  <conditionalFormatting sqref="D3:D22">
    <cfRule type="cellIs" dxfId="2" priority="1" operator="greaterThan">
      <formula>0</formula>
    </cfRule>
    <cfRule type="cellIs" dxfId="1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"/>
  <sheetViews>
    <sheetView showGridLines="0" zoomScale="115" zoomScaleNormal="115" workbookViewId="0">
      <selection activeCell="B8" sqref="B8"/>
    </sheetView>
  </sheetViews>
  <sheetFormatPr defaultRowHeight="15" x14ac:dyDescent="0.25"/>
  <cols>
    <col min="1" max="1" width="20" customWidth="1"/>
    <col min="2" max="2" width="31" customWidth="1"/>
    <col min="3" max="3" width="10" customWidth="1"/>
    <col min="4" max="4" width="22" customWidth="1"/>
    <col min="5" max="5" width="18" customWidth="1"/>
    <col min="6" max="6" width="22" customWidth="1"/>
  </cols>
  <sheetData>
    <row r="1" spans="1:6" ht="18" x14ac:dyDescent="0.25">
      <c r="A1" s="1" t="s">
        <v>58</v>
      </c>
      <c r="B1" s="2"/>
      <c r="C1" s="2"/>
      <c r="D1" s="2"/>
      <c r="E1" s="2"/>
      <c r="F1" s="2"/>
    </row>
    <row r="2" spans="1:6" x14ac:dyDescent="0.25">
      <c r="A2" s="9" t="s">
        <v>17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 x14ac:dyDescent="0.25">
      <c r="A3" s="10" t="s">
        <v>18</v>
      </c>
      <c r="B3" s="7">
        <f>AVERAGE('This Year'!H7:M7)</f>
        <v>1472.1666666666667</v>
      </c>
      <c r="C3" s="5"/>
      <c r="D3" s="7">
        <f t="shared" ref="D3:D22" si="0">IF(C3&lt;&gt;"",C3,B3)</f>
        <v>1472.1666666666667</v>
      </c>
      <c r="E3" s="7">
        <f t="shared" ref="E3:E22" si="1">D3*12</f>
        <v>17666</v>
      </c>
      <c r="F3" s="7">
        <f>E3-'This Year'!N7</f>
        <v>-527</v>
      </c>
    </row>
    <row r="4" spans="1:6" x14ac:dyDescent="0.25">
      <c r="A4" s="10" t="s">
        <v>19</v>
      </c>
      <c r="B4" s="7">
        <f>AVERAGE('This Year'!H8:M8)</f>
        <v>158.16666666666666</v>
      </c>
      <c r="C4" s="5"/>
      <c r="D4" s="7">
        <f t="shared" si="0"/>
        <v>158.16666666666666</v>
      </c>
      <c r="E4" s="7">
        <f t="shared" si="1"/>
        <v>1898</v>
      </c>
      <c r="F4" s="7">
        <f>E4-'This Year'!N8</f>
        <v>-161</v>
      </c>
    </row>
    <row r="5" spans="1:6" x14ac:dyDescent="0.25">
      <c r="A5" s="10" t="s">
        <v>20</v>
      </c>
      <c r="B5" s="7">
        <f>AVERAGE('This Year'!H9:M9)</f>
        <v>385.16666666666669</v>
      </c>
      <c r="C5" s="5"/>
      <c r="D5" s="7">
        <f t="shared" si="0"/>
        <v>385.16666666666669</v>
      </c>
      <c r="E5" s="7">
        <f t="shared" si="1"/>
        <v>4622</v>
      </c>
      <c r="F5" s="7">
        <f>E5-'This Year'!N9</f>
        <v>-190</v>
      </c>
    </row>
    <row r="6" spans="1:6" x14ac:dyDescent="0.25">
      <c r="A6" s="10" t="s">
        <v>21</v>
      </c>
      <c r="B6" s="7">
        <f>AVERAGE('This Year'!H10:M10)</f>
        <v>124.16666666666667</v>
      </c>
      <c r="C6" s="5"/>
      <c r="D6" s="7">
        <f t="shared" si="0"/>
        <v>124.16666666666667</v>
      </c>
      <c r="E6" s="7">
        <f t="shared" si="1"/>
        <v>1490</v>
      </c>
      <c r="F6" s="7">
        <f>E6-'This Year'!N10</f>
        <v>41</v>
      </c>
    </row>
    <row r="7" spans="1:6" x14ac:dyDescent="0.25">
      <c r="A7" s="10" t="s">
        <v>22</v>
      </c>
      <c r="B7" s="7">
        <f>AVERAGE('This Year'!H11:M11)</f>
        <v>98.5</v>
      </c>
      <c r="C7" s="5"/>
      <c r="D7" s="7">
        <f t="shared" si="0"/>
        <v>98.5</v>
      </c>
      <c r="E7" s="7">
        <f t="shared" si="1"/>
        <v>1182</v>
      </c>
      <c r="F7" s="7">
        <f>E7-'This Year'!N11</f>
        <v>-70</v>
      </c>
    </row>
    <row r="8" spans="1:6" x14ac:dyDescent="0.25">
      <c r="A8" s="10" t="s">
        <v>23</v>
      </c>
      <c r="B8" s="7">
        <f>AVERAGE('This Year'!H12:M12)</f>
        <v>188.5</v>
      </c>
      <c r="C8" s="5"/>
      <c r="D8" s="7">
        <f t="shared" si="0"/>
        <v>188.5</v>
      </c>
      <c r="E8" s="7">
        <f t="shared" si="1"/>
        <v>2262</v>
      </c>
      <c r="F8" s="7">
        <f>E8-'This Year'!N12</f>
        <v>-43</v>
      </c>
    </row>
    <row r="9" spans="1:6" x14ac:dyDescent="0.25">
      <c r="A9" s="10" t="s">
        <v>24</v>
      </c>
      <c r="B9" s="7">
        <f>AVERAGE('This Year'!H13:M13)</f>
        <v>111.5</v>
      </c>
      <c r="C9" s="5"/>
      <c r="D9" s="7">
        <f t="shared" si="0"/>
        <v>111.5</v>
      </c>
      <c r="E9" s="7">
        <f t="shared" si="1"/>
        <v>1338</v>
      </c>
      <c r="F9" s="7">
        <f>E9-'This Year'!N13</f>
        <v>-81</v>
      </c>
    </row>
    <row r="10" spans="1:6" x14ac:dyDescent="0.25">
      <c r="A10" s="10" t="s">
        <v>25</v>
      </c>
      <c r="B10" s="7">
        <f>AVERAGE('This Year'!H14:M14)</f>
        <v>173.33333333333334</v>
      </c>
      <c r="C10" s="5"/>
      <c r="D10" s="7">
        <f t="shared" si="0"/>
        <v>173.33333333333334</v>
      </c>
      <c r="E10" s="7">
        <f t="shared" si="1"/>
        <v>2080</v>
      </c>
      <c r="F10" s="7">
        <f>E10-'This Year'!N14</f>
        <v>69</v>
      </c>
    </row>
    <row r="11" spans="1:6" x14ac:dyDescent="0.25">
      <c r="A11" s="10" t="s">
        <v>26</v>
      </c>
      <c r="B11" s="7">
        <f>AVERAGE('This Year'!H15:M15)</f>
        <v>48.333333333333336</v>
      </c>
      <c r="C11" s="5"/>
      <c r="D11" s="7">
        <f t="shared" si="0"/>
        <v>48.333333333333336</v>
      </c>
      <c r="E11" s="7">
        <f t="shared" si="1"/>
        <v>580</v>
      </c>
      <c r="F11" s="7">
        <f>E11-'This Year'!N15</f>
        <v>15</v>
      </c>
    </row>
    <row r="12" spans="1:6" x14ac:dyDescent="0.25">
      <c r="A12" s="10" t="s">
        <v>27</v>
      </c>
      <c r="B12" s="7">
        <f>AVERAGE('This Year'!H16:M16)</f>
        <v>80.166666666666671</v>
      </c>
      <c r="C12" s="5"/>
      <c r="D12" s="7">
        <f t="shared" si="0"/>
        <v>80.166666666666671</v>
      </c>
      <c r="E12" s="7">
        <f t="shared" si="1"/>
        <v>962</v>
      </c>
      <c r="F12" s="7">
        <f>E12-'This Year'!N16</f>
        <v>29</v>
      </c>
    </row>
    <row r="13" spans="1:6" x14ac:dyDescent="0.25">
      <c r="A13" s="10" t="s">
        <v>28</v>
      </c>
      <c r="B13" s="7">
        <f>AVERAGE('This Year'!H17:M17)</f>
        <v>64.5</v>
      </c>
      <c r="C13" s="5"/>
      <c r="D13" s="7">
        <f t="shared" si="0"/>
        <v>64.5</v>
      </c>
      <c r="E13" s="7">
        <f t="shared" si="1"/>
        <v>774</v>
      </c>
      <c r="F13" s="7">
        <f>E13-'This Year'!N17</f>
        <v>14</v>
      </c>
    </row>
    <row r="14" spans="1:6" x14ac:dyDescent="0.25">
      <c r="A14" s="10" t="s">
        <v>29</v>
      </c>
      <c r="B14" s="7">
        <f>AVERAGE('This Year'!H18:M18)</f>
        <v>49.833333333333336</v>
      </c>
      <c r="C14" s="5"/>
      <c r="D14" s="7">
        <f t="shared" si="0"/>
        <v>49.833333333333336</v>
      </c>
      <c r="E14" s="7">
        <f t="shared" si="1"/>
        <v>598</v>
      </c>
      <c r="F14" s="7">
        <f>E14-'This Year'!N18</f>
        <v>-1</v>
      </c>
    </row>
    <row r="15" spans="1:6" x14ac:dyDescent="0.25">
      <c r="A15" s="10" t="s">
        <v>30</v>
      </c>
      <c r="B15" s="7">
        <f>AVERAGE('This Year'!H19:M19)</f>
        <v>44.5</v>
      </c>
      <c r="C15" s="5"/>
      <c r="D15" s="7">
        <f t="shared" si="0"/>
        <v>44.5</v>
      </c>
      <c r="E15" s="7">
        <f t="shared" si="1"/>
        <v>534</v>
      </c>
      <c r="F15" s="7">
        <f>E15-'This Year'!N19</f>
        <v>-33</v>
      </c>
    </row>
    <row r="16" spans="1:6" x14ac:dyDescent="0.25">
      <c r="A16" s="10" t="s">
        <v>31</v>
      </c>
      <c r="B16" s="7">
        <f>AVERAGE('This Year'!H20:M20)</f>
        <v>30</v>
      </c>
      <c r="C16" s="5"/>
      <c r="D16" s="7">
        <f t="shared" si="0"/>
        <v>30</v>
      </c>
      <c r="E16" s="7">
        <f t="shared" si="1"/>
        <v>360</v>
      </c>
      <c r="F16" s="7">
        <f>E16-'This Year'!N20</f>
        <v>-10</v>
      </c>
    </row>
    <row r="17" spans="1:6" x14ac:dyDescent="0.25">
      <c r="A17" s="10" t="s">
        <v>32</v>
      </c>
      <c r="B17" s="7">
        <f>AVERAGE('This Year'!H21:M21)</f>
        <v>39.666666666666664</v>
      </c>
      <c r="C17" s="5"/>
      <c r="D17" s="7">
        <f t="shared" si="0"/>
        <v>39.666666666666664</v>
      </c>
      <c r="E17" s="7">
        <f t="shared" si="1"/>
        <v>476</v>
      </c>
      <c r="F17" s="7">
        <f>E17-'This Year'!N21</f>
        <v>0</v>
      </c>
    </row>
    <row r="18" spans="1:6" x14ac:dyDescent="0.25">
      <c r="A18" s="10" t="s">
        <v>33</v>
      </c>
      <c r="B18" s="7">
        <f>AVERAGE('This Year'!H22:M22)</f>
        <v>48.166666666666664</v>
      </c>
      <c r="C18" s="5"/>
      <c r="D18" s="7">
        <f t="shared" si="0"/>
        <v>48.166666666666664</v>
      </c>
      <c r="E18" s="7">
        <f t="shared" si="1"/>
        <v>578</v>
      </c>
      <c r="F18" s="7">
        <f>E18-'This Year'!N22</f>
        <v>98</v>
      </c>
    </row>
    <row r="19" spans="1:6" x14ac:dyDescent="0.25">
      <c r="A19" s="10" t="s">
        <v>34</v>
      </c>
      <c r="B19" s="7">
        <f>AVERAGE('This Year'!H23:M23)</f>
        <v>124.66666666666667</v>
      </c>
      <c r="C19" s="5"/>
      <c r="D19" s="7">
        <f t="shared" si="0"/>
        <v>124.66666666666667</v>
      </c>
      <c r="E19" s="7">
        <f t="shared" si="1"/>
        <v>1496</v>
      </c>
      <c r="F19" s="7">
        <f>E19-'This Year'!N23</f>
        <v>212</v>
      </c>
    </row>
    <row r="20" spans="1:6" x14ac:dyDescent="0.25">
      <c r="A20" s="10" t="s">
        <v>35</v>
      </c>
      <c r="B20" s="7">
        <f>AVERAGE('This Year'!H24:M24)</f>
        <v>58.666666666666664</v>
      </c>
      <c r="C20" s="5"/>
      <c r="D20" s="7">
        <f t="shared" si="0"/>
        <v>58.666666666666664</v>
      </c>
      <c r="E20" s="7">
        <f t="shared" si="1"/>
        <v>704</v>
      </c>
      <c r="F20" s="7">
        <f>E20-'This Year'!N24</f>
        <v>-24</v>
      </c>
    </row>
    <row r="21" spans="1:6" x14ac:dyDescent="0.25">
      <c r="A21" s="10" t="s">
        <v>36</v>
      </c>
      <c r="B21" s="7">
        <f>AVERAGE('This Year'!H25:M25)</f>
        <v>23.333333333333332</v>
      </c>
      <c r="C21" s="5"/>
      <c r="D21" s="7">
        <f t="shared" si="0"/>
        <v>23.333333333333332</v>
      </c>
      <c r="E21" s="7">
        <f t="shared" si="1"/>
        <v>280</v>
      </c>
      <c r="F21" s="7">
        <f>E21-'This Year'!N25</f>
        <v>-20</v>
      </c>
    </row>
    <row r="22" spans="1:6" x14ac:dyDescent="0.25">
      <c r="A22" s="10" t="s">
        <v>37</v>
      </c>
      <c r="B22" s="7">
        <f>AVERAGE('This Year'!H26:M26)</f>
        <v>53.166666666666664</v>
      </c>
      <c r="C22" s="5"/>
      <c r="D22" s="7">
        <f t="shared" si="0"/>
        <v>53.166666666666664</v>
      </c>
      <c r="E22" s="7">
        <f t="shared" si="1"/>
        <v>638</v>
      </c>
      <c r="F22" s="7">
        <f>E22-'This Year'!N26</f>
        <v>-53</v>
      </c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18" t="s">
        <v>64</v>
      </c>
      <c r="B24" s="19"/>
      <c r="C24" s="19"/>
      <c r="D24" s="19"/>
      <c r="E24" s="20">
        <f>SUM(E3:E22)</f>
        <v>40518</v>
      </c>
      <c r="F24" s="2"/>
    </row>
    <row r="25" spans="1:6" x14ac:dyDescent="0.25">
      <c r="A25" s="21" t="s">
        <v>65</v>
      </c>
      <c r="B25" s="19"/>
      <c r="C25" s="19"/>
      <c r="D25" s="19"/>
      <c r="E25" s="22">
        <f>'This Year'!N27</f>
        <v>41253</v>
      </c>
      <c r="F25" s="2"/>
    </row>
    <row r="26" spans="1:6" x14ac:dyDescent="0.25">
      <c r="A26" s="18" t="s">
        <v>66</v>
      </c>
      <c r="B26" s="19"/>
      <c r="C26" s="19"/>
      <c r="D26" s="19"/>
      <c r="E26" s="20">
        <f>E24-E25</f>
        <v>-735</v>
      </c>
      <c r="F26" s="2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4"/>
  <sheetViews>
    <sheetView showGridLines="0" zoomScale="70" zoomScaleNormal="70" workbookViewId="0">
      <selection activeCell="P32" sqref="P32"/>
    </sheetView>
  </sheetViews>
  <sheetFormatPr defaultRowHeight="15" x14ac:dyDescent="0.25"/>
  <cols>
    <col min="1" max="1" width="24" customWidth="1"/>
    <col min="2" max="2" width="23" customWidth="1"/>
    <col min="3" max="3" width="30" customWidth="1"/>
  </cols>
  <sheetData>
    <row r="1" spans="1:3" ht="18" x14ac:dyDescent="0.25">
      <c r="A1" s="1" t="s">
        <v>67</v>
      </c>
      <c r="B1" s="2"/>
      <c r="C1" s="2"/>
    </row>
    <row r="2" spans="1:3" x14ac:dyDescent="0.25">
      <c r="A2" s="8" t="s">
        <v>68</v>
      </c>
      <c r="B2" s="2"/>
      <c r="C2" s="2"/>
    </row>
    <row r="3" spans="1:3" x14ac:dyDescent="0.25">
      <c r="A3" s="10" t="s">
        <v>69</v>
      </c>
      <c r="B3" s="6">
        <f>'This Year'!N27</f>
        <v>41253</v>
      </c>
      <c r="C3" s="2"/>
    </row>
    <row r="4" spans="1:3" x14ac:dyDescent="0.25">
      <c r="A4" s="10" t="s">
        <v>70</v>
      </c>
      <c r="B4" s="6">
        <f>'Prior Year'!N27</f>
        <v>36225</v>
      </c>
      <c r="C4" s="2"/>
    </row>
    <row r="5" spans="1:3" x14ac:dyDescent="0.25">
      <c r="A5" s="10" t="s">
        <v>71</v>
      </c>
      <c r="B5" s="13">
        <f>'This Year'!N28</f>
        <v>0.33889423076923075</v>
      </c>
      <c r="C5" s="2"/>
    </row>
    <row r="6" spans="1:3" x14ac:dyDescent="0.25">
      <c r="A6" s="10" t="s">
        <v>72</v>
      </c>
      <c r="B6" s="6">
        <f>Forecast!E24</f>
        <v>40518</v>
      </c>
      <c r="C6" s="2"/>
    </row>
    <row r="7" spans="1:3" x14ac:dyDescent="0.25">
      <c r="A7" s="2"/>
      <c r="B7" s="2"/>
      <c r="C7" s="2"/>
    </row>
    <row r="8" spans="1:3" x14ac:dyDescent="0.25">
      <c r="A8" s="2"/>
      <c r="B8" s="2"/>
      <c r="C8" s="2"/>
    </row>
    <row r="9" spans="1:3" x14ac:dyDescent="0.25">
      <c r="A9" s="15" t="s">
        <v>73</v>
      </c>
      <c r="B9" s="15" t="s">
        <v>47</v>
      </c>
      <c r="C9" s="15" t="s">
        <v>48</v>
      </c>
    </row>
    <row r="10" spans="1:3" x14ac:dyDescent="0.25">
      <c r="A10" s="10" t="s">
        <v>1</v>
      </c>
      <c r="B10" s="7">
        <f>'This Year'!B27</f>
        <v>3790</v>
      </c>
      <c r="C10" s="7">
        <f>IFERROR('Prior Year'!B27,0)</f>
        <v>2904</v>
      </c>
    </row>
    <row r="11" spans="1:3" x14ac:dyDescent="0.25">
      <c r="A11" s="10" t="s">
        <v>2</v>
      </c>
      <c r="B11" s="7">
        <f>'This Year'!C27</f>
        <v>3245</v>
      </c>
      <c r="C11" s="7">
        <f>IFERROR('Prior Year'!C27,0)</f>
        <v>2890</v>
      </c>
    </row>
    <row r="12" spans="1:3" x14ac:dyDescent="0.25">
      <c r="A12" s="10" t="s">
        <v>3</v>
      </c>
      <c r="B12" s="7">
        <f>'This Year'!D27</f>
        <v>3448</v>
      </c>
      <c r="C12" s="7">
        <f>IFERROR('Prior Year'!D27,0)</f>
        <v>2759</v>
      </c>
    </row>
    <row r="13" spans="1:3" x14ac:dyDescent="0.25">
      <c r="A13" s="10" t="s">
        <v>4</v>
      </c>
      <c r="B13" s="7">
        <f>'This Year'!E27</f>
        <v>3658</v>
      </c>
      <c r="C13" s="7">
        <f>IFERROR('Prior Year'!E27,0)</f>
        <v>3017</v>
      </c>
    </row>
    <row r="14" spans="1:3" x14ac:dyDescent="0.25">
      <c r="A14" s="10" t="s">
        <v>5</v>
      </c>
      <c r="B14" s="7">
        <f>'This Year'!F27</f>
        <v>3272</v>
      </c>
      <c r="C14" s="7">
        <f>IFERROR('Prior Year'!F27,0)</f>
        <v>3331</v>
      </c>
    </row>
    <row r="15" spans="1:3" x14ac:dyDescent="0.25">
      <c r="A15" s="10" t="s">
        <v>6</v>
      </c>
      <c r="B15" s="7">
        <f>'This Year'!G27</f>
        <v>3581</v>
      </c>
      <c r="C15" s="7">
        <f>IFERROR('Prior Year'!G27,0)</f>
        <v>2687</v>
      </c>
    </row>
    <row r="16" spans="1:3" x14ac:dyDescent="0.25">
      <c r="A16" s="10" t="s">
        <v>7</v>
      </c>
      <c r="B16" s="7">
        <f>'This Year'!H27</f>
        <v>3590</v>
      </c>
      <c r="C16" s="7">
        <f>IFERROR('Prior Year'!H27,0)</f>
        <v>3356</v>
      </c>
    </row>
    <row r="17" spans="1:3" x14ac:dyDescent="0.25">
      <c r="A17" s="10" t="s">
        <v>8</v>
      </c>
      <c r="B17" s="7">
        <f>'This Year'!I27</f>
        <v>3713</v>
      </c>
      <c r="C17" s="7">
        <f>IFERROR('Prior Year'!I27,0)</f>
        <v>3080</v>
      </c>
    </row>
    <row r="18" spans="1:3" x14ac:dyDescent="0.25">
      <c r="A18" s="10" t="s">
        <v>9</v>
      </c>
      <c r="B18" s="7">
        <f>'This Year'!J27</f>
        <v>3006</v>
      </c>
      <c r="C18" s="7">
        <f>IFERROR('Prior Year'!J27,0)</f>
        <v>2869</v>
      </c>
    </row>
    <row r="19" spans="1:3" x14ac:dyDescent="0.25">
      <c r="A19" s="10" t="s">
        <v>10</v>
      </c>
      <c r="B19" s="7">
        <f>'This Year'!K27</f>
        <v>2924</v>
      </c>
      <c r="C19" s="7">
        <f>IFERROR('Prior Year'!K27,0)</f>
        <v>3100</v>
      </c>
    </row>
    <row r="20" spans="1:3" x14ac:dyDescent="0.25">
      <c r="A20" s="10" t="s">
        <v>11</v>
      </c>
      <c r="B20" s="7">
        <f>'This Year'!L27</f>
        <v>3149</v>
      </c>
      <c r="C20" s="7">
        <f>IFERROR('Prior Year'!L27,0)</f>
        <v>3058</v>
      </c>
    </row>
    <row r="21" spans="1:3" x14ac:dyDescent="0.25">
      <c r="A21" s="10" t="s">
        <v>12</v>
      </c>
      <c r="B21" s="7">
        <f>'This Year'!M27</f>
        <v>3877</v>
      </c>
      <c r="C21" s="7">
        <f>IFERROR('Prior Year'!M27,0)</f>
        <v>3174</v>
      </c>
    </row>
    <row r="22" spans="1:3" x14ac:dyDescent="0.25">
      <c r="A22" s="2"/>
      <c r="B22" s="2"/>
      <c r="C22" s="2"/>
    </row>
    <row r="23" spans="1:3" x14ac:dyDescent="0.25">
      <c r="A23" s="2"/>
      <c r="B23" s="2"/>
      <c r="C23" s="2"/>
    </row>
    <row r="24" spans="1:3" x14ac:dyDescent="0.25">
      <c r="A24" s="15" t="s">
        <v>17</v>
      </c>
      <c r="B24" s="15" t="s">
        <v>49</v>
      </c>
      <c r="C24" s="2"/>
    </row>
    <row r="25" spans="1:3" x14ac:dyDescent="0.25">
      <c r="A25" s="10" t="str">
        <f>'YoY Comparison'!A3</f>
        <v>Rent/Mortgage</v>
      </c>
      <c r="B25" s="7">
        <f>'YoY Comparison'!D3</f>
        <v>3574</v>
      </c>
      <c r="C25" s="2"/>
    </row>
    <row r="26" spans="1:3" x14ac:dyDescent="0.25">
      <c r="A26" s="10" t="str">
        <f>'YoY Comparison'!A4</f>
        <v>Utilities</v>
      </c>
      <c r="B26" s="7">
        <f>'YoY Comparison'!D4</f>
        <v>263</v>
      </c>
      <c r="C26" s="2"/>
    </row>
    <row r="27" spans="1:3" x14ac:dyDescent="0.25">
      <c r="A27" s="10" t="str">
        <f>'YoY Comparison'!A5</f>
        <v>Groceries</v>
      </c>
      <c r="B27" s="7">
        <f>'YoY Comparison'!D5</f>
        <v>129</v>
      </c>
      <c r="C27" s="2"/>
    </row>
    <row r="28" spans="1:3" x14ac:dyDescent="0.25">
      <c r="A28" s="10" t="str">
        <f>'YoY Comparison'!A6</f>
        <v>Gas</v>
      </c>
      <c r="B28" s="7">
        <f>'YoY Comparison'!D6</f>
        <v>-7</v>
      </c>
      <c r="C28" s="2"/>
    </row>
    <row r="29" spans="1:3" x14ac:dyDescent="0.25">
      <c r="A29" s="10" t="str">
        <f>'YoY Comparison'!A7</f>
        <v>Auto Insurance</v>
      </c>
      <c r="B29" s="7">
        <f>'YoY Comparison'!D7</f>
        <v>24</v>
      </c>
      <c r="C29" s="2"/>
    </row>
    <row r="30" spans="1:3" x14ac:dyDescent="0.25">
      <c r="A30" s="10" t="str">
        <f>'YoY Comparison'!A8</f>
        <v>Health Insurance</v>
      </c>
      <c r="B30" s="7">
        <f>'YoY Comparison'!D8</f>
        <v>-14</v>
      </c>
      <c r="C30" s="2"/>
    </row>
    <row r="31" spans="1:3" x14ac:dyDescent="0.25">
      <c r="A31" s="10" t="str">
        <f>'YoY Comparison'!A9</f>
        <v>Phone/Internet</v>
      </c>
      <c r="B31" s="7">
        <f>'YoY Comparison'!D9</f>
        <v>166</v>
      </c>
      <c r="C31" s="2"/>
    </row>
    <row r="32" spans="1:3" x14ac:dyDescent="0.25">
      <c r="A32" s="10" t="str">
        <f>'YoY Comparison'!A10</f>
        <v>Dining Out</v>
      </c>
      <c r="B32" s="7">
        <f>'YoY Comparison'!D10</f>
        <v>68</v>
      </c>
      <c r="C32" s="2"/>
    </row>
    <row r="33" spans="1:3" x14ac:dyDescent="0.25">
      <c r="A33" s="10" t="str">
        <f>'YoY Comparison'!A11</f>
        <v>Coffee</v>
      </c>
      <c r="B33" s="7">
        <f>'YoY Comparison'!D11</f>
        <v>137</v>
      </c>
      <c r="C33" s="2"/>
    </row>
    <row r="34" spans="1:3" x14ac:dyDescent="0.25">
      <c r="A34" s="10" t="str">
        <f>'YoY Comparison'!A12</f>
        <v>Entertainment</v>
      </c>
      <c r="B34" s="7">
        <f>'YoY Comparison'!D12</f>
        <v>143</v>
      </c>
      <c r="C34" s="2"/>
    </row>
    <row r="35" spans="1:3" x14ac:dyDescent="0.25">
      <c r="A35" s="10" t="str">
        <f>'YoY Comparison'!A13</f>
        <v>Clothing</v>
      </c>
      <c r="B35" s="7">
        <f>'YoY Comparison'!D13</f>
        <v>29</v>
      </c>
      <c r="C35" s="2"/>
    </row>
    <row r="36" spans="1:3" x14ac:dyDescent="0.25">
      <c r="A36" s="10" t="str">
        <f>'YoY Comparison'!A14</f>
        <v>Subscriptions</v>
      </c>
      <c r="B36" s="7">
        <f>'YoY Comparison'!D14</f>
        <v>-55</v>
      </c>
      <c r="C36" s="2"/>
    </row>
    <row r="37" spans="1:3" x14ac:dyDescent="0.25">
      <c r="A37" s="10" t="str">
        <f>'YoY Comparison'!A15</f>
        <v>Gym/Fitness</v>
      </c>
      <c r="B37" s="7">
        <f>'YoY Comparison'!D15</f>
        <v>104</v>
      </c>
      <c r="C37" s="2"/>
    </row>
    <row r="38" spans="1:3" x14ac:dyDescent="0.25">
      <c r="A38" s="10" t="str">
        <f>'YoY Comparison'!A16</f>
        <v>Personal Care</v>
      </c>
      <c r="B38" s="7">
        <f>'YoY Comparison'!D16</f>
        <v>82</v>
      </c>
      <c r="C38" s="2"/>
    </row>
    <row r="39" spans="1:3" x14ac:dyDescent="0.25">
      <c r="A39" s="10" t="str">
        <f>'YoY Comparison'!A17</f>
        <v>Medical</v>
      </c>
      <c r="B39" s="7">
        <f>'YoY Comparison'!D17</f>
        <v>-7</v>
      </c>
      <c r="C39" s="2"/>
    </row>
    <row r="40" spans="1:3" x14ac:dyDescent="0.25">
      <c r="A40" s="10" t="str">
        <f>'YoY Comparison'!A18</f>
        <v>Gifts</v>
      </c>
      <c r="B40" s="7">
        <f>'YoY Comparison'!D18</f>
        <v>55</v>
      </c>
      <c r="C40" s="2"/>
    </row>
    <row r="41" spans="1:3" x14ac:dyDescent="0.25">
      <c r="A41" s="10" t="str">
        <f>'YoY Comparison'!A19</f>
        <v>Travel</v>
      </c>
      <c r="B41" s="7">
        <f>'YoY Comparison'!D19</f>
        <v>135</v>
      </c>
      <c r="C41" s="2"/>
    </row>
    <row r="42" spans="1:3" x14ac:dyDescent="0.25">
      <c r="A42" s="10" t="str">
        <f>'YoY Comparison'!A20</f>
        <v>Home Maintenance</v>
      </c>
      <c r="B42" s="7">
        <f>'YoY Comparison'!D20</f>
        <v>31</v>
      </c>
      <c r="C42" s="2"/>
    </row>
    <row r="43" spans="1:3" x14ac:dyDescent="0.25">
      <c r="A43" s="10" t="str">
        <f>'YoY Comparison'!A21</f>
        <v>Education</v>
      </c>
      <c r="B43" s="7">
        <f>'YoY Comparison'!D21</f>
        <v>25</v>
      </c>
      <c r="C43" s="2"/>
    </row>
    <row r="44" spans="1:3" x14ac:dyDescent="0.25">
      <c r="A44" s="10" t="str">
        <f>'YoY Comparison'!A22</f>
        <v>Miscellaneous</v>
      </c>
      <c r="B44" s="7">
        <f>'YoY Comparison'!D22</f>
        <v>146</v>
      </c>
      <c r="C44" s="2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8"/>
  <sheetViews>
    <sheetView showGridLines="0" zoomScale="160" zoomScaleNormal="160" workbookViewId="0"/>
  </sheetViews>
  <sheetFormatPr defaultRowHeight="15" x14ac:dyDescent="0.25"/>
  <cols>
    <col min="1" max="1" width="70.5703125" bestFit="1" customWidth="1"/>
  </cols>
  <sheetData>
    <row r="1" spans="1:1" x14ac:dyDescent="0.25">
      <c r="A1" s="16" t="s">
        <v>74</v>
      </c>
    </row>
    <row r="2" spans="1:1" x14ac:dyDescent="0.25">
      <c r="A2" s="17" t="s">
        <v>75</v>
      </c>
    </row>
    <row r="3" spans="1:1" x14ac:dyDescent="0.25">
      <c r="A3" s="17" t="s">
        <v>76</v>
      </c>
    </row>
    <row r="4" spans="1:1" x14ac:dyDescent="0.25">
      <c r="A4" s="17" t="s">
        <v>77</v>
      </c>
    </row>
    <row r="5" spans="1:1" x14ac:dyDescent="0.25">
      <c r="A5" s="17" t="s">
        <v>78</v>
      </c>
    </row>
    <row r="6" spans="1:1" x14ac:dyDescent="0.25">
      <c r="A6" s="17" t="s">
        <v>79</v>
      </c>
    </row>
    <row r="7" spans="1:1" x14ac:dyDescent="0.25">
      <c r="A7" s="17" t="s">
        <v>80</v>
      </c>
    </row>
    <row r="8" spans="1:1" x14ac:dyDescent="0.25">
      <c r="A8" s="17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This Year</vt:lpstr>
      <vt:lpstr>Prior Year</vt:lpstr>
      <vt:lpstr>Category Stats</vt:lpstr>
      <vt:lpstr>YoY Comparison</vt:lpstr>
      <vt:lpstr>Forecast</vt:lpstr>
      <vt:lpstr>Summary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2026-04-10T00:14:40Z</dcterms:created>
  <dcterms:modified xsi:type="dcterms:W3CDTF">2026-04-10T00:18:54Z</dcterms:modified>
</cp:coreProperties>
</file>