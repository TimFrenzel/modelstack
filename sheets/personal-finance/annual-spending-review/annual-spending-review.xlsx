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Year" sheetId="1" state="visible" r:id="rId1"/>
    <sheet xmlns:r="http://schemas.openxmlformats.org/officeDocument/2006/relationships" name="Prior Year" sheetId="2" state="visible" r:id="rId2"/>
    <sheet xmlns:r="http://schemas.openxmlformats.org/officeDocument/2006/relationships" name="Category Stats" sheetId="3" state="visible" r:id="rId3"/>
    <sheet xmlns:r="http://schemas.openxmlformats.org/officeDocument/2006/relationships" name="YoY Comparison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3E3428"/>
      <sz val="14"/>
    </font>
    <font>
      <name val="Calibri"/>
      <b val="1"/>
      <color rgb="00F2EDE3"/>
      <sz val="11"/>
    </font>
    <font>
      <name val="Calibri"/>
      <b val="1"/>
      <color rgb="003E3428"/>
      <sz val="11"/>
    </font>
    <font>
      <name val="Calibri"/>
      <color rgb="003E3428"/>
      <sz val="11"/>
    </font>
    <font>
      <name val="Calibri"/>
      <b val="1"/>
      <color rgb="005B6B4A"/>
      <sz val="11"/>
    </font>
    <font>
      <name val="Calibri"/>
      <color rgb="00999999"/>
      <sz val="11"/>
    </font>
    <font>
      <name val="Arial"/>
      <b val="1"/>
      <color rgb="003E3428"/>
      <sz val="14"/>
    </font>
    <font>
      <name val="Arial"/>
      <family val="2"/>
      <color theme="1"/>
      <sz val="11"/>
      <scheme val="minor"/>
    </font>
    <font>
      <name val="Arial"/>
      <b val="1"/>
      <color rgb="00F2EDE3"/>
      <sz val="11"/>
    </font>
    <font>
      <name val="Arial"/>
      <b val="1"/>
      <color rgb="003E3428"/>
      <sz val="11"/>
    </font>
    <font>
      <name val="Arial"/>
      <color rgb="003E3428"/>
      <sz val="11"/>
    </font>
    <font>
      <name val="Arial"/>
      <b val="1"/>
      <color rgb="005B6B4A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6B4A"/>
      </patternFill>
    </fill>
    <fill>
      <patternFill patternType="solid">
        <fgColor rgb="00EAE4D8"/>
      </patternFill>
    </fill>
  </fills>
  <borders count="3">
    <border>
      <left/>
      <right/>
      <top/>
      <bottom/>
      <diagonal/>
    </border>
    <border>
      <bottom style="thin">
        <color rgb="00B5ADA2"/>
      </bottom>
    </border>
    <border>
      <right style="hair">
        <color rgb="00B5ADA2"/>
      </right>
      <bottom style="hair">
        <color rgb="00B5ADA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4" fontId="11" fillId="3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3" borderId="2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E8D8A0"/>
        </patternFill>
      </fill>
    </dxf>
    <dxf>
      <fill>
        <patternFill patternType="solid">
          <fgColor rgb="00E8C88A"/>
        </patternFill>
      </fill>
    </dxf>
    <dxf>
      <fill>
        <patternFill patternType="solid">
          <fgColor rgb="00C8D8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Spending: This Year vs Prior Year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'Summary'!$B$12:$B$23</f>
            </numRef>
          </cat>
          <val>
            <numRef>
              <f>'Summary'!$C$12:$C$23</f>
            </numRef>
          </val>
        </ser>
        <ser>
          <idx val="1"/>
          <order val="1"/>
          <tx>
            <strRef>
              <f>'Summary'!D11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'Summary'!$B$12:$B$23</f>
            </numRef>
          </cat>
          <val>
            <numRef>
              <f>'Summary'!$D$12:$D$23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YoY Dollar Change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'Summary'!$B$27:$B$46</f>
            </numRef>
          </cat>
          <val>
            <numRef>
              <f>'Summary'!$C$27:$C$46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>
      <c r="B2" s="1" t="inlineStr">
        <is>
          <t>This Year (2025)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2" t="n"/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  <c r="O3" s="3" t="inlineStr">
        <is>
          <t>Annual Total</t>
        </is>
      </c>
      <c r="P3" s="3" t="inlineStr">
        <is>
          <t>Monthly Avg</t>
        </is>
      </c>
    </row>
    <row r="4">
      <c r="B4" s="4" t="inlineStr">
        <is>
          <t>Monthly Income</t>
        </is>
      </c>
      <c r="C4" s="5" t="n">
        <v>5200</v>
      </c>
      <c r="D4" s="5" t="n">
        <v>5200</v>
      </c>
      <c r="E4" s="5" t="n">
        <v>5200</v>
      </c>
      <c r="F4" s="5" t="n">
        <v>5200</v>
      </c>
      <c r="G4" s="5" t="n">
        <v>5200</v>
      </c>
      <c r="H4" s="5" t="n">
        <v>5200</v>
      </c>
      <c r="I4" s="5" t="n">
        <v>5200</v>
      </c>
      <c r="J4" s="5" t="n">
        <v>5200</v>
      </c>
      <c r="K4" s="5" t="n">
        <v>5200</v>
      </c>
      <c r="L4" s="5" t="n">
        <v>5200</v>
      </c>
      <c r="M4" s="5" t="n">
        <v>5200</v>
      </c>
      <c r="N4" s="5" t="n">
        <v>5200</v>
      </c>
      <c r="O4" s="6">
        <f>SUM(C4:N4)</f>
        <v/>
      </c>
      <c r="P4" s="7">
        <f>O4/12</f>
        <v/>
      </c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B6" s="8" t="inlineStr">
        <is>
          <t>Spending by Category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B7" s="9" t="inlineStr">
        <is>
          <t>Category</t>
        </is>
      </c>
      <c r="C7" s="3" t="inlineStr">
        <is>
          <t>Jan</t>
        </is>
      </c>
      <c r="D7" s="3" t="inlineStr">
        <is>
          <t>Feb</t>
        </is>
      </c>
      <c r="E7" s="3" t="inlineStr">
        <is>
          <t>Mar</t>
        </is>
      </c>
      <c r="F7" s="3" t="inlineStr">
        <is>
          <t>Apr</t>
        </is>
      </c>
      <c r="G7" s="3" t="inlineStr">
        <is>
          <t>May</t>
        </is>
      </c>
      <c r="H7" s="3" t="inlineStr">
        <is>
          <t>Jun</t>
        </is>
      </c>
      <c r="I7" s="3" t="inlineStr">
        <is>
          <t>Jul</t>
        </is>
      </c>
      <c r="J7" s="3" t="inlineStr">
        <is>
          <t>Aug</t>
        </is>
      </c>
      <c r="K7" s="3" t="inlineStr">
        <is>
          <t>Sep</t>
        </is>
      </c>
      <c r="L7" s="3" t="inlineStr">
        <is>
          <t>Oct</t>
        </is>
      </c>
      <c r="M7" s="3" t="inlineStr">
        <is>
          <t>Nov</t>
        </is>
      </c>
      <c r="N7" s="3" t="inlineStr">
        <is>
          <t>Dec</t>
        </is>
      </c>
      <c r="O7" s="3" t="inlineStr">
        <is>
          <t>Annual Total</t>
        </is>
      </c>
      <c r="P7" s="3" t="inlineStr">
        <is>
          <t>Monthly Avg</t>
        </is>
      </c>
    </row>
    <row r="8">
      <c r="B8" s="10" t="inlineStr">
        <is>
          <t>Rent/Mortgage</t>
        </is>
      </c>
      <c r="C8" s="11" t="n">
        <v>1791</v>
      </c>
      <c r="D8" s="11" t="n">
        <v>1425</v>
      </c>
      <c r="E8" s="11" t="n">
        <v>1566</v>
      </c>
      <c r="F8" s="11" t="n">
        <v>1770</v>
      </c>
      <c r="G8" s="11" t="n">
        <v>1296</v>
      </c>
      <c r="H8" s="11" t="n">
        <v>1512</v>
      </c>
      <c r="I8" s="11" t="n">
        <v>1563</v>
      </c>
      <c r="J8" s="11" t="n">
        <v>1835</v>
      </c>
      <c r="K8" s="11" t="n">
        <v>1149</v>
      </c>
      <c r="L8" s="11" t="n">
        <v>1177</v>
      </c>
      <c r="M8" s="11" t="n">
        <v>1365</v>
      </c>
      <c r="N8" s="11" t="n">
        <v>1744</v>
      </c>
      <c r="O8" s="7">
        <f>SUM(C8:N8)</f>
        <v/>
      </c>
      <c r="P8" s="7">
        <f>O8/12</f>
        <v/>
      </c>
    </row>
    <row r="9">
      <c r="B9" s="10" t="inlineStr">
        <is>
          <t>Utilities</t>
        </is>
      </c>
      <c r="C9" s="11" t="n">
        <v>227</v>
      </c>
      <c r="D9" s="11" t="n">
        <v>158</v>
      </c>
      <c r="E9" s="11" t="n">
        <v>188</v>
      </c>
      <c r="F9" s="11" t="n">
        <v>157</v>
      </c>
      <c r="G9" s="11" t="n">
        <v>191</v>
      </c>
      <c r="H9" s="11" t="n">
        <v>189</v>
      </c>
      <c r="I9" s="11" t="n">
        <v>154</v>
      </c>
      <c r="J9" s="11" t="n">
        <v>240</v>
      </c>
      <c r="K9" s="11" t="n">
        <v>153</v>
      </c>
      <c r="L9" s="11" t="n">
        <v>128</v>
      </c>
      <c r="M9" s="11" t="n">
        <v>152</v>
      </c>
      <c r="N9" s="11" t="n">
        <v>122</v>
      </c>
      <c r="O9" s="7">
        <f>SUM(C9:N9)</f>
        <v/>
      </c>
      <c r="P9" s="7">
        <f>O9/12</f>
        <v/>
      </c>
    </row>
    <row r="10">
      <c r="B10" s="10" t="inlineStr">
        <is>
          <t>Groceries</t>
        </is>
      </c>
      <c r="C10" s="11" t="n">
        <v>472</v>
      </c>
      <c r="D10" s="11" t="n">
        <v>429</v>
      </c>
      <c r="E10" s="11" t="n">
        <v>338</v>
      </c>
      <c r="F10" s="11" t="n">
        <v>363</v>
      </c>
      <c r="G10" s="11" t="n">
        <v>421</v>
      </c>
      <c r="H10" s="11" t="n">
        <v>478</v>
      </c>
      <c r="I10" s="11" t="n">
        <v>373</v>
      </c>
      <c r="J10" s="11" t="n">
        <v>337</v>
      </c>
      <c r="K10" s="11" t="n">
        <v>389</v>
      </c>
      <c r="L10" s="11" t="n">
        <v>329</v>
      </c>
      <c r="M10" s="11" t="n">
        <v>385</v>
      </c>
      <c r="N10" s="11" t="n">
        <v>498</v>
      </c>
      <c r="O10" s="7">
        <f>SUM(C10:N10)</f>
        <v/>
      </c>
      <c r="P10" s="7">
        <f>O10/12</f>
        <v/>
      </c>
    </row>
    <row r="11">
      <c r="B11" s="10" t="inlineStr">
        <is>
          <t>Gas</t>
        </is>
      </c>
      <c r="C11" s="11" t="n">
        <v>109</v>
      </c>
      <c r="D11" s="11" t="n">
        <v>117</v>
      </c>
      <c r="E11" s="11" t="n">
        <v>148</v>
      </c>
      <c r="F11" s="11" t="n">
        <v>111</v>
      </c>
      <c r="G11" s="11" t="n">
        <v>105</v>
      </c>
      <c r="H11" s="11" t="n">
        <v>114</v>
      </c>
      <c r="I11" s="11" t="n">
        <v>137</v>
      </c>
      <c r="J11" s="11" t="n">
        <v>144</v>
      </c>
      <c r="K11" s="11" t="n">
        <v>141</v>
      </c>
      <c r="L11" s="11" t="n">
        <v>102</v>
      </c>
      <c r="M11" s="11" t="n">
        <v>116</v>
      </c>
      <c r="N11" s="11" t="n">
        <v>105</v>
      </c>
      <c r="O11" s="7">
        <f>SUM(C11:N11)</f>
        <v/>
      </c>
      <c r="P11" s="7">
        <f>O11/12</f>
        <v/>
      </c>
    </row>
    <row r="12">
      <c r="B12" s="10" t="inlineStr">
        <is>
          <t>Auto Insurance</t>
        </is>
      </c>
      <c r="C12" s="11" t="n">
        <v>113</v>
      </c>
      <c r="D12" s="11" t="n">
        <v>103</v>
      </c>
      <c r="E12" s="11" t="n">
        <v>124</v>
      </c>
      <c r="F12" s="11" t="n">
        <v>114</v>
      </c>
      <c r="G12" s="11" t="n">
        <v>115</v>
      </c>
      <c r="H12" s="11" t="n">
        <v>92</v>
      </c>
      <c r="I12" s="11" t="n">
        <v>112</v>
      </c>
      <c r="J12" s="11" t="n">
        <v>86</v>
      </c>
      <c r="K12" s="11" t="n">
        <v>88</v>
      </c>
      <c r="L12" s="11" t="n">
        <v>130</v>
      </c>
      <c r="M12" s="11" t="n">
        <v>92</v>
      </c>
      <c r="N12" s="11" t="n">
        <v>83</v>
      </c>
      <c r="O12" s="7">
        <f>SUM(C12:N12)</f>
        <v/>
      </c>
      <c r="P12" s="7">
        <f>O12/12</f>
        <v/>
      </c>
    </row>
    <row r="13">
      <c r="B13" s="10" t="inlineStr">
        <is>
          <t>Health Insurance</t>
        </is>
      </c>
      <c r="C13" s="11" t="n">
        <v>222</v>
      </c>
      <c r="D13" s="11" t="n">
        <v>169</v>
      </c>
      <c r="E13" s="11" t="n">
        <v>180</v>
      </c>
      <c r="F13" s="11" t="n">
        <v>207</v>
      </c>
      <c r="G13" s="11" t="n">
        <v>244</v>
      </c>
      <c r="H13" s="11" t="n">
        <v>152</v>
      </c>
      <c r="I13" s="11" t="n">
        <v>215</v>
      </c>
      <c r="J13" s="11" t="n">
        <v>154</v>
      </c>
      <c r="K13" s="11" t="n">
        <v>227</v>
      </c>
      <c r="L13" s="11" t="n">
        <v>187</v>
      </c>
      <c r="M13" s="11" t="n">
        <v>159</v>
      </c>
      <c r="N13" s="11" t="n">
        <v>189</v>
      </c>
      <c r="O13" s="7">
        <f>SUM(C13:N13)</f>
        <v/>
      </c>
      <c r="P13" s="7">
        <f>O13/12</f>
        <v/>
      </c>
    </row>
    <row r="14">
      <c r="B14" s="10" t="inlineStr">
        <is>
          <t>Phone/Internet</t>
        </is>
      </c>
      <c r="C14" s="11" t="n">
        <v>129</v>
      </c>
      <c r="D14" s="11" t="n">
        <v>98</v>
      </c>
      <c r="E14" s="11" t="n">
        <v>113</v>
      </c>
      <c r="F14" s="11" t="n">
        <v>137</v>
      </c>
      <c r="G14" s="11" t="n">
        <v>139</v>
      </c>
      <c r="H14" s="11" t="n">
        <v>134</v>
      </c>
      <c r="I14" s="11" t="n">
        <v>118</v>
      </c>
      <c r="J14" s="11" t="n">
        <v>132</v>
      </c>
      <c r="K14" s="11" t="n">
        <v>99</v>
      </c>
      <c r="L14" s="11" t="n">
        <v>113</v>
      </c>
      <c r="M14" s="11" t="n">
        <v>109</v>
      </c>
      <c r="N14" s="11" t="n">
        <v>98</v>
      </c>
      <c r="O14" s="7">
        <f>SUM(C14:N14)</f>
        <v/>
      </c>
      <c r="P14" s="7">
        <f>O14/12</f>
        <v/>
      </c>
    </row>
    <row r="15">
      <c r="B15" s="10" t="inlineStr">
        <is>
          <t>Dining Out</t>
        </is>
      </c>
      <c r="C15" s="11" t="n">
        <v>131</v>
      </c>
      <c r="D15" s="11" t="n">
        <v>132</v>
      </c>
      <c r="E15" s="11" t="n">
        <v>210</v>
      </c>
      <c r="F15" s="11" t="n">
        <v>160</v>
      </c>
      <c r="G15" s="11" t="n">
        <v>155</v>
      </c>
      <c r="H15" s="11" t="n">
        <v>183</v>
      </c>
      <c r="I15" s="11" t="n">
        <v>189</v>
      </c>
      <c r="J15" s="11" t="n">
        <v>204</v>
      </c>
      <c r="K15" s="11" t="n">
        <v>205</v>
      </c>
      <c r="L15" s="11" t="n">
        <v>132</v>
      </c>
      <c r="M15" s="11" t="n">
        <v>149</v>
      </c>
      <c r="N15" s="11" t="n">
        <v>161</v>
      </c>
      <c r="O15" s="7">
        <f>SUM(C15:N15)</f>
        <v/>
      </c>
      <c r="P15" s="7">
        <f>O15/12</f>
        <v/>
      </c>
    </row>
    <row r="16">
      <c r="B16" s="10" t="inlineStr">
        <is>
          <t>Coffee</t>
        </is>
      </c>
      <c r="C16" s="11" t="n">
        <v>41</v>
      </c>
      <c r="D16" s="11" t="n">
        <v>46</v>
      </c>
      <c r="E16" s="11" t="n">
        <v>39</v>
      </c>
      <c r="F16" s="11" t="n">
        <v>54</v>
      </c>
      <c r="G16" s="11" t="n">
        <v>41</v>
      </c>
      <c r="H16" s="11" t="n">
        <v>54</v>
      </c>
      <c r="I16" s="11" t="n">
        <v>55</v>
      </c>
      <c r="J16" s="11" t="n">
        <v>49</v>
      </c>
      <c r="K16" s="11" t="n">
        <v>40</v>
      </c>
      <c r="L16" s="11" t="n">
        <v>35</v>
      </c>
      <c r="M16" s="11" t="n">
        <v>56</v>
      </c>
      <c r="N16" s="11" t="n">
        <v>55</v>
      </c>
      <c r="O16" s="7">
        <f>SUM(C16:N16)</f>
        <v/>
      </c>
      <c r="P16" s="7">
        <f>O16/12</f>
        <v/>
      </c>
    </row>
    <row r="17">
      <c r="B17" s="10" t="inlineStr">
        <is>
          <t>Entertainment</t>
        </is>
      </c>
      <c r="C17" s="11" t="n">
        <v>75</v>
      </c>
      <c r="D17" s="11" t="n">
        <v>59</v>
      </c>
      <c r="E17" s="11" t="n">
        <v>85</v>
      </c>
      <c r="F17" s="11" t="n">
        <v>67</v>
      </c>
      <c r="G17" s="11" t="n">
        <v>73</v>
      </c>
      <c r="H17" s="11" t="n">
        <v>93</v>
      </c>
      <c r="I17" s="11" t="n">
        <v>91</v>
      </c>
      <c r="J17" s="11" t="n">
        <v>88</v>
      </c>
      <c r="K17" s="11" t="n">
        <v>59</v>
      </c>
      <c r="L17" s="11" t="n">
        <v>81</v>
      </c>
      <c r="M17" s="11" t="n">
        <v>79</v>
      </c>
      <c r="N17" s="11" t="n">
        <v>83</v>
      </c>
      <c r="O17" s="7">
        <f>SUM(C17:N17)</f>
        <v/>
      </c>
      <c r="P17" s="7">
        <f>O17/12</f>
        <v/>
      </c>
    </row>
    <row r="18">
      <c r="B18" s="10" t="inlineStr">
        <is>
          <t>Clothing</t>
        </is>
      </c>
      <c r="C18" s="11" t="n">
        <v>49</v>
      </c>
      <c r="D18" s="11" t="n">
        <v>78</v>
      </c>
      <c r="E18" s="11" t="n">
        <v>54</v>
      </c>
      <c r="F18" s="11" t="n">
        <v>49</v>
      </c>
      <c r="G18" s="11" t="n">
        <v>70</v>
      </c>
      <c r="H18" s="11" t="n">
        <v>73</v>
      </c>
      <c r="I18" s="11" t="n">
        <v>72</v>
      </c>
      <c r="J18" s="11" t="n">
        <v>52</v>
      </c>
      <c r="K18" s="11" t="n">
        <v>56</v>
      </c>
      <c r="L18" s="11" t="n">
        <v>66</v>
      </c>
      <c r="M18" s="11" t="n">
        <v>68</v>
      </c>
      <c r="N18" s="11" t="n">
        <v>73</v>
      </c>
      <c r="O18" s="7">
        <f>SUM(C18:N18)</f>
        <v/>
      </c>
      <c r="P18" s="7">
        <f>O18/12</f>
        <v/>
      </c>
    </row>
    <row r="19">
      <c r="B19" s="10" t="inlineStr">
        <is>
          <t>Subscriptions</t>
        </is>
      </c>
      <c r="C19" s="11" t="n">
        <v>42</v>
      </c>
      <c r="D19" s="11" t="n">
        <v>59</v>
      </c>
      <c r="E19" s="11" t="n">
        <v>47</v>
      </c>
      <c r="F19" s="11" t="n">
        <v>51</v>
      </c>
      <c r="G19" s="11" t="n">
        <v>46</v>
      </c>
      <c r="H19" s="11" t="n">
        <v>55</v>
      </c>
      <c r="I19" s="11" t="n">
        <v>48</v>
      </c>
      <c r="J19" s="11" t="n">
        <v>58</v>
      </c>
      <c r="K19" s="11" t="n">
        <v>49</v>
      </c>
      <c r="L19" s="11" t="n">
        <v>45</v>
      </c>
      <c r="M19" s="11" t="n">
        <v>50</v>
      </c>
      <c r="N19" s="11" t="n">
        <v>49</v>
      </c>
      <c r="O19" s="7">
        <f>SUM(C19:N19)</f>
        <v/>
      </c>
      <c r="P19" s="7">
        <f>O19/12</f>
        <v/>
      </c>
    </row>
    <row r="20">
      <c r="B20" s="10" t="inlineStr">
        <is>
          <t>Gym/Fitness</t>
        </is>
      </c>
      <c r="C20" s="11" t="n">
        <v>40</v>
      </c>
      <c r="D20" s="11" t="n">
        <v>56</v>
      </c>
      <c r="E20" s="11" t="n">
        <v>47</v>
      </c>
      <c r="F20" s="11" t="n">
        <v>53</v>
      </c>
      <c r="G20" s="11" t="n">
        <v>48</v>
      </c>
      <c r="H20" s="11" t="n">
        <v>56</v>
      </c>
      <c r="I20" s="11" t="n">
        <v>45</v>
      </c>
      <c r="J20" s="11" t="n">
        <v>44</v>
      </c>
      <c r="K20" s="11" t="n">
        <v>40</v>
      </c>
      <c r="L20" s="11" t="n">
        <v>39</v>
      </c>
      <c r="M20" s="11" t="n">
        <v>54</v>
      </c>
      <c r="N20" s="11" t="n">
        <v>45</v>
      </c>
      <c r="O20" s="7">
        <f>SUM(C20:N20)</f>
        <v/>
      </c>
      <c r="P20" s="7">
        <f>O20/12</f>
        <v/>
      </c>
    </row>
    <row r="21">
      <c r="B21" s="10" t="inlineStr">
        <is>
          <t>Personal Care</t>
        </is>
      </c>
      <c r="C21" s="11" t="n">
        <v>32</v>
      </c>
      <c r="D21" s="11" t="n">
        <v>36</v>
      </c>
      <c r="E21" s="11" t="n">
        <v>30</v>
      </c>
      <c r="F21" s="11" t="n">
        <v>25</v>
      </c>
      <c r="G21" s="11" t="n">
        <v>33</v>
      </c>
      <c r="H21" s="11" t="n">
        <v>34</v>
      </c>
      <c r="I21" s="11" t="n">
        <v>37</v>
      </c>
      <c r="J21" s="11" t="n">
        <v>29</v>
      </c>
      <c r="K21" s="11" t="n">
        <v>24</v>
      </c>
      <c r="L21" s="11" t="n">
        <v>33</v>
      </c>
      <c r="M21" s="11" t="n">
        <v>34</v>
      </c>
      <c r="N21" s="11" t="n">
        <v>23</v>
      </c>
      <c r="O21" s="7">
        <f>SUM(C21:N21)</f>
        <v/>
      </c>
      <c r="P21" s="7">
        <f>O21/12</f>
        <v/>
      </c>
    </row>
    <row r="22">
      <c r="B22" s="10" t="inlineStr">
        <is>
          <t>Medical</t>
        </is>
      </c>
      <c r="C22" s="11" t="n">
        <v>46</v>
      </c>
      <c r="D22" s="11" t="n">
        <v>47</v>
      </c>
      <c r="E22" s="11" t="n">
        <v>31</v>
      </c>
      <c r="F22" s="11" t="n">
        <v>42</v>
      </c>
      <c r="G22" s="11" t="n">
        <v>32</v>
      </c>
      <c r="H22" s="11" t="n">
        <v>40</v>
      </c>
      <c r="I22" s="11" t="n">
        <v>33</v>
      </c>
      <c r="J22" s="11" t="n">
        <v>41</v>
      </c>
      <c r="K22" s="11" t="n">
        <v>36</v>
      </c>
      <c r="L22" s="11" t="n">
        <v>40</v>
      </c>
      <c r="M22" s="11" t="n">
        <v>42</v>
      </c>
      <c r="N22" s="11" t="n">
        <v>46</v>
      </c>
      <c r="O22" s="7">
        <f>SUM(C22:N22)</f>
        <v/>
      </c>
      <c r="P22" s="7">
        <f>O22/12</f>
        <v/>
      </c>
    </row>
    <row r="23">
      <c r="B23" s="10" t="inlineStr">
        <is>
          <t>Gifts</t>
        </is>
      </c>
      <c r="C23" s="11" t="n">
        <v>34</v>
      </c>
      <c r="D23" s="11" t="n">
        <v>29</v>
      </c>
      <c r="E23" s="11" t="n">
        <v>32</v>
      </c>
      <c r="F23" s="11" t="n">
        <v>34</v>
      </c>
      <c r="G23" s="11" t="n">
        <v>32</v>
      </c>
      <c r="H23" s="11" t="n">
        <v>30</v>
      </c>
      <c r="I23" s="11" t="n">
        <v>43</v>
      </c>
      <c r="J23" s="11" t="n">
        <v>32</v>
      </c>
      <c r="K23" s="11" t="n">
        <v>26</v>
      </c>
      <c r="L23" s="11" t="n">
        <v>31</v>
      </c>
      <c r="M23" s="11" t="n">
        <v>40</v>
      </c>
      <c r="N23" s="11" t="n">
        <v>117</v>
      </c>
      <c r="O23" s="7">
        <f>SUM(C23:N23)</f>
        <v/>
      </c>
      <c r="P23" s="7">
        <f>O23/12</f>
        <v/>
      </c>
    </row>
    <row r="24">
      <c r="B24" s="10" t="inlineStr">
        <is>
          <t>Travel</t>
        </is>
      </c>
      <c r="C24" s="11" t="n">
        <v>79</v>
      </c>
      <c r="D24" s="11" t="n">
        <v>62</v>
      </c>
      <c r="E24" s="11" t="n">
        <v>73</v>
      </c>
      <c r="F24" s="11" t="n">
        <v>97</v>
      </c>
      <c r="G24" s="11" t="n">
        <v>66</v>
      </c>
      <c r="H24" s="11" t="n">
        <v>159</v>
      </c>
      <c r="I24" s="11" t="n">
        <v>195</v>
      </c>
      <c r="J24" s="11" t="n">
        <v>61</v>
      </c>
      <c r="K24" s="11" t="n">
        <v>96</v>
      </c>
      <c r="L24" s="11" t="n">
        <v>93</v>
      </c>
      <c r="M24" s="11" t="n">
        <v>66</v>
      </c>
      <c r="N24" s="11" t="n">
        <v>237</v>
      </c>
      <c r="O24" s="7">
        <f>SUM(C24:N24)</f>
        <v/>
      </c>
      <c r="P24" s="7">
        <f>O24/12</f>
        <v/>
      </c>
    </row>
    <row r="25">
      <c r="B25" s="10" t="inlineStr">
        <is>
          <t>Home Maintenance</t>
        </is>
      </c>
      <c r="C25" s="11" t="n">
        <v>62</v>
      </c>
      <c r="D25" s="11" t="n">
        <v>57</v>
      </c>
      <c r="E25" s="11" t="n">
        <v>57</v>
      </c>
      <c r="F25" s="11" t="n">
        <v>73</v>
      </c>
      <c r="G25" s="11" t="n">
        <v>78</v>
      </c>
      <c r="H25" s="11" t="n">
        <v>49</v>
      </c>
      <c r="I25" s="11" t="n">
        <v>42</v>
      </c>
      <c r="J25" s="11" t="n">
        <v>58</v>
      </c>
      <c r="K25" s="11" t="n">
        <v>47</v>
      </c>
      <c r="L25" s="11" t="n">
        <v>96</v>
      </c>
      <c r="M25" s="11" t="n">
        <v>47</v>
      </c>
      <c r="N25" s="11" t="n">
        <v>62</v>
      </c>
      <c r="O25" s="7">
        <f>SUM(C25:N25)</f>
        <v/>
      </c>
      <c r="P25" s="7">
        <f>O25/12</f>
        <v/>
      </c>
    </row>
    <row r="26">
      <c r="B26" s="10" t="inlineStr">
        <is>
          <t>Education</t>
        </is>
      </c>
      <c r="C26" s="11" t="n">
        <v>23</v>
      </c>
      <c r="D26" s="11" t="n">
        <v>30</v>
      </c>
      <c r="E26" s="11" t="n">
        <v>30</v>
      </c>
      <c r="F26" s="11" t="n">
        <v>27</v>
      </c>
      <c r="G26" s="11" t="n">
        <v>20</v>
      </c>
      <c r="H26" s="11" t="n">
        <v>30</v>
      </c>
      <c r="I26" s="11" t="n">
        <v>21</v>
      </c>
      <c r="J26" s="11" t="n">
        <v>20</v>
      </c>
      <c r="K26" s="11" t="n">
        <v>29</v>
      </c>
      <c r="L26" s="11" t="n">
        <v>21</v>
      </c>
      <c r="M26" s="11" t="n">
        <v>19</v>
      </c>
      <c r="N26" s="11" t="n">
        <v>30</v>
      </c>
      <c r="O26" s="7">
        <f>SUM(C26:N26)</f>
        <v/>
      </c>
      <c r="P26" s="7">
        <f>O26/12</f>
        <v/>
      </c>
    </row>
    <row r="27">
      <c r="B27" s="10" t="inlineStr">
        <is>
          <t>Miscellaneous</t>
        </is>
      </c>
      <c r="C27" s="11" t="n">
        <v>73</v>
      </c>
      <c r="D27" s="11" t="n">
        <v>55</v>
      </c>
      <c r="E27" s="11" t="n">
        <v>56</v>
      </c>
      <c r="F27" s="11" t="n">
        <v>67</v>
      </c>
      <c r="G27" s="11" t="n">
        <v>67</v>
      </c>
      <c r="H27" s="11" t="n">
        <v>54</v>
      </c>
      <c r="I27" s="11" t="n">
        <v>47</v>
      </c>
      <c r="J27" s="11" t="n">
        <v>49</v>
      </c>
      <c r="K27" s="11" t="n">
        <v>53</v>
      </c>
      <c r="L27" s="11" t="n">
        <v>46</v>
      </c>
      <c r="M27" s="11" t="n">
        <v>67</v>
      </c>
      <c r="N27" s="11" t="n">
        <v>57</v>
      </c>
      <c r="O27" s="7">
        <f>SUM(C27:N27)</f>
        <v/>
      </c>
      <c r="P27" s="7">
        <f>O27/12</f>
        <v/>
      </c>
    </row>
    <row r="28">
      <c r="B28" s="4" t="inlineStr">
        <is>
          <t>Total Spent</t>
        </is>
      </c>
      <c r="C28" s="6">
        <f>SUM(C8:C27)</f>
        <v/>
      </c>
      <c r="D28" s="6">
        <f>SUM(D8:D27)</f>
        <v/>
      </c>
      <c r="E28" s="6">
        <f>SUM(E8:E27)</f>
        <v/>
      </c>
      <c r="F28" s="6">
        <f>SUM(F8:F27)</f>
        <v/>
      </c>
      <c r="G28" s="6">
        <f>SUM(G8:G27)</f>
        <v/>
      </c>
      <c r="H28" s="6">
        <f>SUM(H8:H27)</f>
        <v/>
      </c>
      <c r="I28" s="6">
        <f>SUM(I8:I27)</f>
        <v/>
      </c>
      <c r="J28" s="6">
        <f>SUM(J8:J27)</f>
        <v/>
      </c>
      <c r="K28" s="6">
        <f>SUM(K8:K27)</f>
        <v/>
      </c>
      <c r="L28" s="6">
        <f>SUM(L8:L27)</f>
        <v/>
      </c>
      <c r="M28" s="6">
        <f>SUM(M8:M27)</f>
        <v/>
      </c>
      <c r="N28" s="6">
        <f>SUM(N8:N27)</f>
        <v/>
      </c>
      <c r="O28" s="6">
        <f>SUM(C28:N28)</f>
        <v/>
      </c>
      <c r="P28" s="2" t="n"/>
    </row>
    <row r="29">
      <c r="B29" s="4" t="inlineStr">
        <is>
          <t>Savings Rate</t>
        </is>
      </c>
      <c r="C29" s="12">
        <f>IFERROR((C4-C28)/C4,0)</f>
        <v/>
      </c>
      <c r="D29" s="12">
        <f>IFERROR((D4-D28)/D4,0)</f>
        <v/>
      </c>
      <c r="E29" s="12">
        <f>IFERROR((E4-E28)/E4,0)</f>
        <v/>
      </c>
      <c r="F29" s="12">
        <f>IFERROR((F4-F28)/F4,0)</f>
        <v/>
      </c>
      <c r="G29" s="12">
        <f>IFERROR((G4-G28)/G4,0)</f>
        <v/>
      </c>
      <c r="H29" s="12">
        <f>IFERROR((H4-H28)/H4,0)</f>
        <v/>
      </c>
      <c r="I29" s="12">
        <f>IFERROR((I4-I28)/I4,0)</f>
        <v/>
      </c>
      <c r="J29" s="12">
        <f>IFERROR((J4-J28)/J4,0)</f>
        <v/>
      </c>
      <c r="K29" s="12">
        <f>IFERROR((K4-K28)/K4,0)</f>
        <v/>
      </c>
      <c r="L29" s="12">
        <f>IFERROR((L4-L28)/L4,0)</f>
        <v/>
      </c>
      <c r="M29" s="12">
        <f>IFERROR((M4-M28)/M4,0)</f>
        <v/>
      </c>
      <c r="N29" s="12">
        <f>IFERROR((N4-N28)/N4,0)</f>
        <v/>
      </c>
      <c r="O29" s="13">
        <f>IFERROR((O4-O28)/O4,0)</f>
        <v/>
      </c>
      <c r="P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>
      <c r="B2" s="1" t="inlineStr">
        <is>
          <t>Prior Year (2024)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2" t="n"/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  <c r="O3" s="3" t="inlineStr">
        <is>
          <t>Annual Total</t>
        </is>
      </c>
      <c r="P3" s="3" t="inlineStr">
        <is>
          <t>Monthly Avg</t>
        </is>
      </c>
    </row>
    <row r="4">
      <c r="B4" s="4" t="inlineStr">
        <is>
          <t>Monthly Income</t>
        </is>
      </c>
      <c r="C4" s="5" t="n">
        <v>5000</v>
      </c>
      <c r="D4" s="5" t="n">
        <v>5000</v>
      </c>
      <c r="E4" s="5" t="n">
        <v>5000</v>
      </c>
      <c r="F4" s="5" t="n">
        <v>5000</v>
      </c>
      <c r="G4" s="5" t="n">
        <v>5000</v>
      </c>
      <c r="H4" s="5" t="n">
        <v>5000</v>
      </c>
      <c r="I4" s="5" t="n">
        <v>5000</v>
      </c>
      <c r="J4" s="5" t="n">
        <v>5000</v>
      </c>
      <c r="K4" s="5" t="n">
        <v>5000</v>
      </c>
      <c r="L4" s="5" t="n">
        <v>5000</v>
      </c>
      <c r="M4" s="5" t="n">
        <v>5000</v>
      </c>
      <c r="N4" s="5" t="n">
        <v>5000</v>
      </c>
      <c r="O4" s="6">
        <f>SUM(C4:N4)</f>
        <v/>
      </c>
      <c r="P4" s="7">
        <f>O4/12</f>
        <v/>
      </c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B6" s="8" t="inlineStr">
        <is>
          <t>Spending by Category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B7" s="9" t="inlineStr">
        <is>
          <t>Category</t>
        </is>
      </c>
      <c r="C7" s="3" t="inlineStr">
        <is>
          <t>Jan</t>
        </is>
      </c>
      <c r="D7" s="3" t="inlineStr">
        <is>
          <t>Feb</t>
        </is>
      </c>
      <c r="E7" s="3" t="inlineStr">
        <is>
          <t>Mar</t>
        </is>
      </c>
      <c r="F7" s="3" t="inlineStr">
        <is>
          <t>Apr</t>
        </is>
      </c>
      <c r="G7" s="3" t="inlineStr">
        <is>
          <t>May</t>
        </is>
      </c>
      <c r="H7" s="3" t="inlineStr">
        <is>
          <t>Jun</t>
        </is>
      </c>
      <c r="I7" s="3" t="inlineStr">
        <is>
          <t>Jul</t>
        </is>
      </c>
      <c r="J7" s="3" t="inlineStr">
        <is>
          <t>Aug</t>
        </is>
      </c>
      <c r="K7" s="3" t="inlineStr">
        <is>
          <t>Sep</t>
        </is>
      </c>
      <c r="L7" s="3" t="inlineStr">
        <is>
          <t>Oct</t>
        </is>
      </c>
      <c r="M7" s="3" t="inlineStr">
        <is>
          <t>Nov</t>
        </is>
      </c>
      <c r="N7" s="3" t="inlineStr">
        <is>
          <t>Dec</t>
        </is>
      </c>
      <c r="O7" s="3" t="inlineStr">
        <is>
          <t>Annual Total</t>
        </is>
      </c>
      <c r="P7" s="3" t="inlineStr">
        <is>
          <t>Monthly Avg</t>
        </is>
      </c>
    </row>
    <row r="8">
      <c r="B8" s="10" t="inlineStr">
        <is>
          <t>Rent/Mortgage</t>
        </is>
      </c>
      <c r="C8" s="11" t="n">
        <v>1199</v>
      </c>
      <c r="D8" s="11" t="n">
        <v>1024</v>
      </c>
      <c r="E8" s="11" t="n">
        <v>1017</v>
      </c>
      <c r="F8" s="11" t="n">
        <v>1281</v>
      </c>
      <c r="G8" s="11" t="n">
        <v>1388</v>
      </c>
      <c r="H8" s="11" t="n">
        <v>1018</v>
      </c>
      <c r="I8" s="11" t="n">
        <v>1443</v>
      </c>
      <c r="J8" s="11" t="n">
        <v>1235</v>
      </c>
      <c r="K8" s="11" t="n">
        <v>1087</v>
      </c>
      <c r="L8" s="11" t="n">
        <v>1413</v>
      </c>
      <c r="M8" s="11" t="n">
        <v>1281</v>
      </c>
      <c r="N8" s="11" t="n">
        <v>1233</v>
      </c>
      <c r="O8" s="7">
        <f>SUM(C8:N8)</f>
        <v/>
      </c>
      <c r="P8" s="7">
        <f>O8/12</f>
        <v/>
      </c>
    </row>
    <row r="9">
      <c r="B9" s="10" t="inlineStr">
        <is>
          <t>Utilities</t>
        </is>
      </c>
      <c r="C9" s="11" t="n">
        <v>200</v>
      </c>
      <c r="D9" s="11" t="n">
        <v>169</v>
      </c>
      <c r="E9" s="11" t="n">
        <v>122</v>
      </c>
      <c r="F9" s="11" t="n">
        <v>133</v>
      </c>
      <c r="G9" s="11" t="n">
        <v>159</v>
      </c>
      <c r="H9" s="11" t="n">
        <v>108</v>
      </c>
      <c r="I9" s="11" t="n">
        <v>178</v>
      </c>
      <c r="J9" s="11" t="n">
        <v>200</v>
      </c>
      <c r="K9" s="11" t="n">
        <v>141</v>
      </c>
      <c r="L9" s="11" t="n">
        <v>105</v>
      </c>
      <c r="M9" s="11" t="n">
        <v>149</v>
      </c>
      <c r="N9" s="11" t="n">
        <v>132</v>
      </c>
      <c r="O9" s="7">
        <f>SUM(C9:N9)</f>
        <v/>
      </c>
      <c r="P9" s="7">
        <f>O9/12</f>
        <v/>
      </c>
    </row>
    <row r="10">
      <c r="B10" s="10" t="inlineStr">
        <is>
          <t>Groceries</t>
        </is>
      </c>
      <c r="C10" s="11" t="n">
        <v>304</v>
      </c>
      <c r="D10" s="11" t="n">
        <v>398</v>
      </c>
      <c r="E10" s="11" t="n">
        <v>429</v>
      </c>
      <c r="F10" s="11" t="n">
        <v>403</v>
      </c>
      <c r="G10" s="11" t="n">
        <v>443</v>
      </c>
      <c r="H10" s="11" t="n">
        <v>298</v>
      </c>
      <c r="I10" s="11" t="n">
        <v>451</v>
      </c>
      <c r="J10" s="11" t="n">
        <v>426</v>
      </c>
      <c r="K10" s="11" t="n">
        <v>335</v>
      </c>
      <c r="L10" s="11" t="n">
        <v>368</v>
      </c>
      <c r="M10" s="11" t="n">
        <v>422</v>
      </c>
      <c r="N10" s="11" t="n">
        <v>406</v>
      </c>
      <c r="O10" s="7">
        <f>SUM(C10:N10)</f>
        <v/>
      </c>
      <c r="P10" s="7">
        <f>O10/12</f>
        <v/>
      </c>
    </row>
    <row r="11">
      <c r="B11" s="10" t="inlineStr">
        <is>
          <t>Gas</t>
        </is>
      </c>
      <c r="C11" s="11" t="n">
        <v>118</v>
      </c>
      <c r="D11" s="11" t="n">
        <v>100</v>
      </c>
      <c r="E11" s="11" t="n">
        <v>118</v>
      </c>
      <c r="F11" s="11" t="n">
        <v>143</v>
      </c>
      <c r="G11" s="11" t="n">
        <v>140</v>
      </c>
      <c r="H11" s="11" t="n">
        <v>103</v>
      </c>
      <c r="I11" s="11" t="n">
        <v>91</v>
      </c>
      <c r="J11" s="11" t="n">
        <v>113</v>
      </c>
      <c r="K11" s="11" t="n">
        <v>124</v>
      </c>
      <c r="L11" s="11" t="n">
        <v>143</v>
      </c>
      <c r="M11" s="11" t="n">
        <v>142</v>
      </c>
      <c r="N11" s="11" t="n">
        <v>121</v>
      </c>
      <c r="O11" s="7">
        <f>SUM(C11:N11)</f>
        <v/>
      </c>
      <c r="P11" s="7">
        <f>O11/12</f>
        <v/>
      </c>
    </row>
    <row r="12">
      <c r="B12" s="10" t="inlineStr">
        <is>
          <t>Auto Insurance</t>
        </is>
      </c>
      <c r="C12" s="11" t="n">
        <v>90</v>
      </c>
      <c r="D12" s="11" t="n">
        <v>116</v>
      </c>
      <c r="E12" s="11" t="n">
        <v>105</v>
      </c>
      <c r="F12" s="11" t="n">
        <v>81</v>
      </c>
      <c r="G12" s="11" t="n">
        <v>99</v>
      </c>
      <c r="H12" s="11" t="n">
        <v>107</v>
      </c>
      <c r="I12" s="11" t="n">
        <v>98</v>
      </c>
      <c r="J12" s="11" t="n">
        <v>105</v>
      </c>
      <c r="K12" s="11" t="n">
        <v>116</v>
      </c>
      <c r="L12" s="11" t="n">
        <v>123</v>
      </c>
      <c r="M12" s="11" t="n">
        <v>105</v>
      </c>
      <c r="N12" s="11" t="n">
        <v>83</v>
      </c>
      <c r="O12" s="7">
        <f>SUM(C12:N12)</f>
        <v/>
      </c>
      <c r="P12" s="7">
        <f>O12/12</f>
        <v/>
      </c>
    </row>
    <row r="13">
      <c r="B13" s="10" t="inlineStr">
        <is>
          <t>Health Insurance</t>
        </is>
      </c>
      <c r="C13" s="11" t="n">
        <v>228</v>
      </c>
      <c r="D13" s="11" t="n">
        <v>212</v>
      </c>
      <c r="E13" s="11" t="n">
        <v>182</v>
      </c>
      <c r="F13" s="11" t="n">
        <v>185</v>
      </c>
      <c r="G13" s="11" t="n">
        <v>227</v>
      </c>
      <c r="H13" s="11" t="n">
        <v>143</v>
      </c>
      <c r="I13" s="11" t="n">
        <v>197</v>
      </c>
      <c r="J13" s="11" t="n">
        <v>184</v>
      </c>
      <c r="K13" s="11" t="n">
        <v>229</v>
      </c>
      <c r="L13" s="11" t="n">
        <v>154</v>
      </c>
      <c r="M13" s="11" t="n">
        <v>223</v>
      </c>
      <c r="N13" s="11" t="n">
        <v>155</v>
      </c>
      <c r="O13" s="7">
        <f>SUM(C13:N13)</f>
        <v/>
      </c>
      <c r="P13" s="7">
        <f>O13/12</f>
        <v/>
      </c>
    </row>
    <row r="14">
      <c r="B14" s="10" t="inlineStr">
        <is>
          <t>Phone/Internet</t>
        </is>
      </c>
      <c r="C14" s="11" t="n">
        <v>98</v>
      </c>
      <c r="D14" s="11" t="n">
        <v>124</v>
      </c>
      <c r="E14" s="11" t="n">
        <v>100</v>
      </c>
      <c r="F14" s="11" t="n">
        <v>90</v>
      </c>
      <c r="G14" s="11" t="n">
        <v>95</v>
      </c>
      <c r="H14" s="11" t="n">
        <v>103</v>
      </c>
      <c r="I14" s="11" t="n">
        <v>85</v>
      </c>
      <c r="J14" s="11" t="n">
        <v>130</v>
      </c>
      <c r="K14" s="11" t="n">
        <v>105</v>
      </c>
      <c r="L14" s="11" t="n">
        <v>97</v>
      </c>
      <c r="M14" s="11" t="n">
        <v>117</v>
      </c>
      <c r="N14" s="11" t="n">
        <v>109</v>
      </c>
      <c r="O14" s="7">
        <f>SUM(C14:N14)</f>
        <v/>
      </c>
      <c r="P14" s="7">
        <f>O14/12</f>
        <v/>
      </c>
    </row>
    <row r="15">
      <c r="B15" s="10" t="inlineStr">
        <is>
          <t>Dining Out</t>
        </is>
      </c>
      <c r="C15" s="11" t="n">
        <v>139</v>
      </c>
      <c r="D15" s="11" t="n">
        <v>195</v>
      </c>
      <c r="E15" s="11" t="n">
        <v>170</v>
      </c>
      <c r="F15" s="11" t="n">
        <v>144</v>
      </c>
      <c r="G15" s="11" t="n">
        <v>195</v>
      </c>
      <c r="H15" s="11" t="n">
        <v>174</v>
      </c>
      <c r="I15" s="11" t="n">
        <v>135</v>
      </c>
      <c r="J15" s="11" t="n">
        <v>184</v>
      </c>
      <c r="K15" s="11" t="n">
        <v>158</v>
      </c>
      <c r="L15" s="11" t="n">
        <v>137</v>
      </c>
      <c r="M15" s="11" t="n">
        <v>128</v>
      </c>
      <c r="N15" s="11" t="n">
        <v>184</v>
      </c>
      <c r="O15" s="7">
        <f>SUM(C15:N15)</f>
        <v/>
      </c>
      <c r="P15" s="7">
        <f>O15/12</f>
        <v/>
      </c>
    </row>
    <row r="16">
      <c r="B16" s="10" t="inlineStr">
        <is>
          <t>Coffee</t>
        </is>
      </c>
      <c r="C16" s="11" t="n">
        <v>31</v>
      </c>
      <c r="D16" s="11" t="n">
        <v>42</v>
      </c>
      <c r="E16" s="11" t="n">
        <v>38</v>
      </c>
      <c r="F16" s="11" t="n">
        <v>32</v>
      </c>
      <c r="G16" s="11" t="n">
        <v>38</v>
      </c>
      <c r="H16" s="11" t="n">
        <v>29</v>
      </c>
      <c r="I16" s="11" t="n">
        <v>37</v>
      </c>
      <c r="J16" s="11" t="n">
        <v>29</v>
      </c>
      <c r="K16" s="11" t="n">
        <v>36</v>
      </c>
      <c r="L16" s="11" t="n">
        <v>29</v>
      </c>
      <c r="M16" s="11" t="n">
        <v>44</v>
      </c>
      <c r="N16" s="11" t="n">
        <v>43</v>
      </c>
      <c r="O16" s="7">
        <f>SUM(C16:N16)</f>
        <v/>
      </c>
      <c r="P16" s="7">
        <f>O16/12</f>
        <v/>
      </c>
    </row>
    <row r="17">
      <c r="B17" s="10" t="inlineStr">
        <is>
          <t>Entertainment</t>
        </is>
      </c>
      <c r="C17" s="11" t="n">
        <v>54</v>
      </c>
      <c r="D17" s="11" t="n">
        <v>82</v>
      </c>
      <c r="E17" s="11" t="n">
        <v>77</v>
      </c>
      <c r="F17" s="11" t="n">
        <v>56</v>
      </c>
      <c r="G17" s="11" t="n">
        <v>66</v>
      </c>
      <c r="H17" s="11" t="n">
        <v>69</v>
      </c>
      <c r="I17" s="11" t="n">
        <v>79</v>
      </c>
      <c r="J17" s="11" t="n">
        <v>55</v>
      </c>
      <c r="K17" s="11" t="n">
        <v>76</v>
      </c>
      <c r="L17" s="11" t="n">
        <v>64</v>
      </c>
      <c r="M17" s="11" t="n">
        <v>52</v>
      </c>
      <c r="N17" s="11" t="n">
        <v>60</v>
      </c>
      <c r="O17" s="7">
        <f>SUM(C17:N17)</f>
        <v/>
      </c>
      <c r="P17" s="7">
        <f>O17/12</f>
        <v/>
      </c>
    </row>
    <row r="18">
      <c r="B18" s="10" t="inlineStr">
        <is>
          <t>Clothing</t>
        </is>
      </c>
      <c r="C18" s="11" t="n">
        <v>46</v>
      </c>
      <c r="D18" s="11" t="n">
        <v>66</v>
      </c>
      <c r="E18" s="11" t="n">
        <v>65</v>
      </c>
      <c r="F18" s="11" t="n">
        <v>44</v>
      </c>
      <c r="G18" s="11" t="n">
        <v>68</v>
      </c>
      <c r="H18" s="11" t="n">
        <v>62</v>
      </c>
      <c r="I18" s="11" t="n">
        <v>63</v>
      </c>
      <c r="J18" s="11" t="n">
        <v>63</v>
      </c>
      <c r="K18" s="11" t="n">
        <v>64</v>
      </c>
      <c r="L18" s="11" t="n">
        <v>67</v>
      </c>
      <c r="M18" s="11" t="n">
        <v>56</v>
      </c>
      <c r="N18" s="11" t="n">
        <v>67</v>
      </c>
      <c r="O18" s="7">
        <f>SUM(C18:N18)</f>
        <v/>
      </c>
      <c r="P18" s="7">
        <f>O18/12</f>
        <v/>
      </c>
    </row>
    <row r="19">
      <c r="B19" s="10" t="inlineStr">
        <is>
          <t>Subscriptions</t>
        </is>
      </c>
      <c r="C19" s="11" t="n">
        <v>63</v>
      </c>
      <c r="D19" s="11" t="n">
        <v>61</v>
      </c>
      <c r="E19" s="11" t="n">
        <v>46</v>
      </c>
      <c r="F19" s="11" t="n">
        <v>61</v>
      </c>
      <c r="G19" s="11" t="n">
        <v>52</v>
      </c>
      <c r="H19" s="11" t="n">
        <v>49</v>
      </c>
      <c r="I19" s="11" t="n">
        <v>61</v>
      </c>
      <c r="J19" s="11" t="n">
        <v>42</v>
      </c>
      <c r="K19" s="11" t="n">
        <v>50</v>
      </c>
      <c r="L19" s="11" t="n">
        <v>44</v>
      </c>
      <c r="M19" s="11" t="n">
        <v>61</v>
      </c>
      <c r="N19" s="11" t="n">
        <v>64</v>
      </c>
      <c r="O19" s="7">
        <f>SUM(C19:N19)</f>
        <v/>
      </c>
      <c r="P19" s="7">
        <f>O19/12</f>
        <v/>
      </c>
    </row>
    <row r="20">
      <c r="B20" s="10" t="inlineStr">
        <is>
          <t>Gym/Fitness</t>
        </is>
      </c>
      <c r="C20" s="11" t="n">
        <v>43</v>
      </c>
      <c r="D20" s="11" t="n">
        <v>42</v>
      </c>
      <c r="E20" s="11" t="n">
        <v>40</v>
      </c>
      <c r="F20" s="11" t="n">
        <v>36</v>
      </c>
      <c r="G20" s="11" t="n">
        <v>38</v>
      </c>
      <c r="H20" s="11" t="n">
        <v>41</v>
      </c>
      <c r="I20" s="11" t="n">
        <v>46</v>
      </c>
      <c r="J20" s="11" t="n">
        <v>31</v>
      </c>
      <c r="K20" s="11" t="n">
        <v>38</v>
      </c>
      <c r="L20" s="11" t="n">
        <v>31</v>
      </c>
      <c r="M20" s="11" t="n">
        <v>33</v>
      </c>
      <c r="N20" s="11" t="n">
        <v>44</v>
      </c>
      <c r="O20" s="7">
        <f>SUM(C20:N20)</f>
        <v/>
      </c>
      <c r="P20" s="7">
        <f>O20/12</f>
        <v/>
      </c>
    </row>
    <row r="21">
      <c r="B21" s="10" t="inlineStr">
        <is>
          <t>Personal Care</t>
        </is>
      </c>
      <c r="C21" s="11" t="n">
        <v>26</v>
      </c>
      <c r="D21" s="11" t="n">
        <v>19</v>
      </c>
      <c r="E21" s="11" t="n">
        <v>26</v>
      </c>
      <c r="F21" s="11" t="n">
        <v>19</v>
      </c>
      <c r="G21" s="11" t="n">
        <v>18</v>
      </c>
      <c r="H21" s="11" t="n">
        <v>28</v>
      </c>
      <c r="I21" s="11" t="n">
        <v>26</v>
      </c>
      <c r="J21" s="11" t="n">
        <v>24</v>
      </c>
      <c r="K21" s="11" t="n">
        <v>29</v>
      </c>
      <c r="L21" s="11" t="n">
        <v>25</v>
      </c>
      <c r="M21" s="11" t="n">
        <v>25</v>
      </c>
      <c r="N21" s="11" t="n">
        <v>23</v>
      </c>
      <c r="O21" s="7">
        <f>SUM(C21:N21)</f>
        <v/>
      </c>
      <c r="P21" s="7">
        <f>O21/12</f>
        <v/>
      </c>
    </row>
    <row r="22">
      <c r="B22" s="10" t="inlineStr">
        <is>
          <t>Medical</t>
        </is>
      </c>
      <c r="C22" s="11" t="n">
        <v>39</v>
      </c>
      <c r="D22" s="11" t="n">
        <v>44</v>
      </c>
      <c r="E22" s="11" t="n">
        <v>41</v>
      </c>
      <c r="F22" s="11" t="n">
        <v>41</v>
      </c>
      <c r="G22" s="11" t="n">
        <v>45</v>
      </c>
      <c r="H22" s="11" t="n">
        <v>44</v>
      </c>
      <c r="I22" s="11" t="n">
        <v>31</v>
      </c>
      <c r="J22" s="11" t="n">
        <v>42</v>
      </c>
      <c r="K22" s="11" t="n">
        <v>45</v>
      </c>
      <c r="L22" s="11" t="n">
        <v>39</v>
      </c>
      <c r="M22" s="11" t="n">
        <v>29</v>
      </c>
      <c r="N22" s="11" t="n">
        <v>43</v>
      </c>
      <c r="O22" s="7">
        <f>SUM(C22:N22)</f>
        <v/>
      </c>
      <c r="P22" s="7">
        <f>O22/12</f>
        <v/>
      </c>
    </row>
    <row r="23">
      <c r="B23" s="10" t="inlineStr">
        <is>
          <t>Gifts</t>
        </is>
      </c>
      <c r="C23" s="11" t="n">
        <v>25</v>
      </c>
      <c r="D23" s="11" t="n">
        <v>33</v>
      </c>
      <c r="E23" s="11" t="n">
        <v>23</v>
      </c>
      <c r="F23" s="11" t="n">
        <v>29</v>
      </c>
      <c r="G23" s="11" t="n">
        <v>34</v>
      </c>
      <c r="H23" s="11" t="n">
        <v>30</v>
      </c>
      <c r="I23" s="11" t="n">
        <v>24</v>
      </c>
      <c r="J23" s="11" t="n">
        <v>32</v>
      </c>
      <c r="K23" s="11" t="n">
        <v>32</v>
      </c>
      <c r="L23" s="11" t="n">
        <v>34</v>
      </c>
      <c r="M23" s="11" t="n">
        <v>24</v>
      </c>
      <c r="N23" s="11" t="n">
        <v>105</v>
      </c>
      <c r="O23" s="7">
        <f>SUM(C23:N23)</f>
        <v/>
      </c>
      <c r="P23" s="7">
        <f>O23/12</f>
        <v/>
      </c>
    </row>
    <row r="24">
      <c r="B24" s="10" t="inlineStr">
        <is>
          <t>Travel</t>
        </is>
      </c>
      <c r="C24" s="11" t="n">
        <v>85</v>
      </c>
      <c r="D24" s="11" t="n">
        <v>60</v>
      </c>
      <c r="E24" s="11" t="n">
        <v>59</v>
      </c>
      <c r="F24" s="11" t="n">
        <v>56</v>
      </c>
      <c r="G24" s="11" t="n">
        <v>82</v>
      </c>
      <c r="H24" s="11" t="n">
        <v>166</v>
      </c>
      <c r="I24" s="11" t="n">
        <v>178</v>
      </c>
      <c r="J24" s="11" t="n">
        <v>83</v>
      </c>
      <c r="K24" s="11" t="n">
        <v>70</v>
      </c>
      <c r="L24" s="11" t="n">
        <v>65</v>
      </c>
      <c r="M24" s="11" t="n">
        <v>68</v>
      </c>
      <c r="N24" s="11" t="n">
        <v>177</v>
      </c>
      <c r="O24" s="7">
        <f>SUM(C24:N24)</f>
        <v/>
      </c>
      <c r="P24" s="7">
        <f>O24/12</f>
        <v/>
      </c>
    </row>
    <row r="25">
      <c r="B25" s="10" t="inlineStr">
        <is>
          <t>Home Maintenance</t>
        </is>
      </c>
      <c r="C25" s="11" t="n">
        <v>51</v>
      </c>
      <c r="D25" s="11" t="n">
        <v>45</v>
      </c>
      <c r="E25" s="11" t="n">
        <v>43</v>
      </c>
      <c r="F25" s="11" t="n">
        <v>101</v>
      </c>
      <c r="G25" s="11" t="n">
        <v>78</v>
      </c>
      <c r="H25" s="11" t="n">
        <v>42</v>
      </c>
      <c r="I25" s="11" t="n">
        <v>50</v>
      </c>
      <c r="J25" s="11" t="n">
        <v>43</v>
      </c>
      <c r="K25" s="11" t="n">
        <v>49</v>
      </c>
      <c r="L25" s="11" t="n">
        <v>102</v>
      </c>
      <c r="M25" s="11" t="n">
        <v>39</v>
      </c>
      <c r="N25" s="11" t="n">
        <v>54</v>
      </c>
      <c r="O25" s="7">
        <f>SUM(C25:N25)</f>
        <v/>
      </c>
      <c r="P25" s="7">
        <f>O25/12</f>
        <v/>
      </c>
    </row>
    <row r="26">
      <c r="B26" s="10" t="inlineStr">
        <is>
          <t>Education</t>
        </is>
      </c>
      <c r="C26" s="11" t="n">
        <v>24</v>
      </c>
      <c r="D26" s="11" t="n">
        <v>22</v>
      </c>
      <c r="E26" s="11" t="n">
        <v>19</v>
      </c>
      <c r="F26" s="11" t="n">
        <v>27</v>
      </c>
      <c r="G26" s="11" t="n">
        <v>22</v>
      </c>
      <c r="H26" s="11" t="n">
        <v>28</v>
      </c>
      <c r="I26" s="11" t="n">
        <v>27</v>
      </c>
      <c r="J26" s="11" t="n">
        <v>18</v>
      </c>
      <c r="K26" s="11" t="n">
        <v>25</v>
      </c>
      <c r="L26" s="11" t="n">
        <v>22</v>
      </c>
      <c r="M26" s="11" t="n">
        <v>23</v>
      </c>
      <c r="N26" s="11" t="n">
        <v>18</v>
      </c>
      <c r="O26" s="7">
        <f>SUM(C26:N26)</f>
        <v/>
      </c>
      <c r="P26" s="7">
        <f>O26/12</f>
        <v/>
      </c>
    </row>
    <row r="27">
      <c r="B27" s="10" t="inlineStr">
        <is>
          <t>Miscellaneous</t>
        </is>
      </c>
      <c r="C27" s="11" t="n">
        <v>41</v>
      </c>
      <c r="D27" s="11" t="n">
        <v>36</v>
      </c>
      <c r="E27" s="11" t="n">
        <v>39</v>
      </c>
      <c r="F27" s="11" t="n">
        <v>55</v>
      </c>
      <c r="G27" s="11" t="n">
        <v>44</v>
      </c>
      <c r="H27" s="11" t="n">
        <v>45</v>
      </c>
      <c r="I27" s="11" t="n">
        <v>56</v>
      </c>
      <c r="J27" s="11" t="n">
        <v>41</v>
      </c>
      <c r="K27" s="11" t="n">
        <v>60</v>
      </c>
      <c r="L27" s="11" t="n">
        <v>38</v>
      </c>
      <c r="M27" s="11" t="n">
        <v>37</v>
      </c>
      <c r="N27" s="11" t="n">
        <v>53</v>
      </c>
      <c r="O27" s="7">
        <f>SUM(C27:N27)</f>
        <v/>
      </c>
      <c r="P27" s="7">
        <f>O27/12</f>
        <v/>
      </c>
    </row>
    <row r="28">
      <c r="B28" s="4" t="inlineStr">
        <is>
          <t>Total Spent</t>
        </is>
      </c>
      <c r="C28" s="6">
        <f>SUM(C8:C27)</f>
        <v/>
      </c>
      <c r="D28" s="6">
        <f>SUM(D8:D27)</f>
        <v/>
      </c>
      <c r="E28" s="6">
        <f>SUM(E8:E27)</f>
        <v/>
      </c>
      <c r="F28" s="6">
        <f>SUM(F8:F27)</f>
        <v/>
      </c>
      <c r="G28" s="6">
        <f>SUM(G8:G27)</f>
        <v/>
      </c>
      <c r="H28" s="6">
        <f>SUM(H8:H27)</f>
        <v/>
      </c>
      <c r="I28" s="6">
        <f>SUM(I8:I27)</f>
        <v/>
      </c>
      <c r="J28" s="6">
        <f>SUM(J8:J27)</f>
        <v/>
      </c>
      <c r="K28" s="6">
        <f>SUM(K8:K27)</f>
        <v/>
      </c>
      <c r="L28" s="6">
        <f>SUM(L8:L27)</f>
        <v/>
      </c>
      <c r="M28" s="6">
        <f>SUM(M8:M27)</f>
        <v/>
      </c>
      <c r="N28" s="6">
        <f>SUM(N8:N27)</f>
        <v/>
      </c>
      <c r="O28" s="6">
        <f>SUM(C28:N28)</f>
        <v/>
      </c>
      <c r="P28" s="2" t="n"/>
    </row>
    <row r="29">
      <c r="B29" s="4" t="inlineStr">
        <is>
          <t>Savings Rate</t>
        </is>
      </c>
      <c r="C29" s="12">
        <f>IFERROR((C4-C28)/C4,0)</f>
        <v/>
      </c>
      <c r="D29" s="12">
        <f>IFERROR((D4-D28)/D4,0)</f>
        <v/>
      </c>
      <c r="E29" s="12">
        <f>IFERROR((E4-E28)/E4,0)</f>
        <v/>
      </c>
      <c r="F29" s="12">
        <f>IFERROR((F4-F28)/F4,0)</f>
        <v/>
      </c>
      <c r="G29" s="12">
        <f>IFERROR((G4-G28)/G4,0)</f>
        <v/>
      </c>
      <c r="H29" s="12">
        <f>IFERROR((H4-H28)/H4,0)</f>
        <v/>
      </c>
      <c r="I29" s="12">
        <f>IFERROR((I4-I28)/I4,0)</f>
        <v/>
      </c>
      <c r="J29" s="12">
        <f>IFERROR((J4-J28)/J4,0)</f>
        <v/>
      </c>
      <c r="K29" s="12">
        <f>IFERROR((K4-K28)/K4,0)</f>
        <v/>
      </c>
      <c r="L29" s="12">
        <f>IFERROR((L4-L28)/L4,0)</f>
        <v/>
      </c>
      <c r="M29" s="12">
        <f>IFERROR((M4-M28)/M4,0)</f>
        <v/>
      </c>
      <c r="N29" s="12">
        <f>IFERROR((N4-N28)/N4,0)</f>
        <v/>
      </c>
      <c r="O29" s="13">
        <f>IFERROR((O4-O28)/O4,0)</f>
        <v/>
      </c>
      <c r="P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Category Statistics (This Year)</t>
        </is>
      </c>
      <c r="C2" s="2" t="n"/>
      <c r="D2" s="2" t="n"/>
      <c r="E2" s="2" t="n"/>
      <c r="F2" s="2" t="n"/>
      <c r="G2" s="2" t="n"/>
      <c r="H2" s="2" t="n"/>
    </row>
    <row r="3">
      <c r="B3" s="9" t="inlineStr">
        <is>
          <t>Category</t>
        </is>
      </c>
      <c r="C3" s="3" t="inlineStr">
        <is>
          <t>Annual Total</t>
        </is>
      </c>
      <c r="D3" s="3" t="inlineStr">
        <is>
          <t>Monthly Avg</t>
        </is>
      </c>
      <c r="E3" s="3" t="inlineStr">
        <is>
          <t>Highest Month</t>
        </is>
      </c>
      <c r="F3" s="3" t="inlineStr">
        <is>
          <t>Lowest Month</t>
        </is>
      </c>
      <c r="G3" s="3" t="inlineStr">
        <is>
          <t>Std Dev</t>
        </is>
      </c>
      <c r="H3" s="3" t="inlineStr">
        <is>
          <t>Coeff of Variation</t>
        </is>
      </c>
    </row>
    <row r="4">
      <c r="B4" s="10" t="inlineStr">
        <is>
          <t>Rent/Mortgage</t>
        </is>
      </c>
      <c r="C4" s="7">
        <f>'This Year'!O8</f>
        <v/>
      </c>
      <c r="D4" s="7">
        <f>'This Year'!P8</f>
        <v/>
      </c>
      <c r="E4" s="7">
        <f>MAX('This Year'!C8:N8)</f>
        <v/>
      </c>
      <c r="F4" s="7">
        <f>MIN('This Year'!C8:N8)</f>
        <v/>
      </c>
      <c r="G4" s="7">
        <f>STDEV('This Year'!C8:N8)</f>
        <v/>
      </c>
      <c r="H4" s="14">
        <f>IFERROR(G4/D4,0)</f>
        <v/>
      </c>
    </row>
    <row r="5">
      <c r="B5" s="10" t="inlineStr">
        <is>
          <t>Utilities</t>
        </is>
      </c>
      <c r="C5" s="7">
        <f>'This Year'!O9</f>
        <v/>
      </c>
      <c r="D5" s="7">
        <f>'This Year'!P9</f>
        <v/>
      </c>
      <c r="E5" s="7">
        <f>MAX('This Year'!C9:N9)</f>
        <v/>
      </c>
      <c r="F5" s="7">
        <f>MIN('This Year'!C9:N9)</f>
        <v/>
      </c>
      <c r="G5" s="7">
        <f>STDEV('This Year'!C9:N9)</f>
        <v/>
      </c>
      <c r="H5" s="14">
        <f>IFERROR(G5/D5,0)</f>
        <v/>
      </c>
    </row>
    <row r="6">
      <c r="B6" s="10" t="inlineStr">
        <is>
          <t>Groceries</t>
        </is>
      </c>
      <c r="C6" s="7">
        <f>'This Year'!O10</f>
        <v/>
      </c>
      <c r="D6" s="7">
        <f>'This Year'!P10</f>
        <v/>
      </c>
      <c r="E6" s="7">
        <f>MAX('This Year'!C10:N10)</f>
        <v/>
      </c>
      <c r="F6" s="7">
        <f>MIN('This Year'!C10:N10)</f>
        <v/>
      </c>
      <c r="G6" s="7">
        <f>STDEV('This Year'!C10:N10)</f>
        <v/>
      </c>
      <c r="H6" s="14">
        <f>IFERROR(G6/D6,0)</f>
        <v/>
      </c>
    </row>
    <row r="7">
      <c r="B7" s="10" t="inlineStr">
        <is>
          <t>Gas</t>
        </is>
      </c>
      <c r="C7" s="7">
        <f>'This Year'!O11</f>
        <v/>
      </c>
      <c r="D7" s="7">
        <f>'This Year'!P11</f>
        <v/>
      </c>
      <c r="E7" s="7">
        <f>MAX('This Year'!C11:N11)</f>
        <v/>
      </c>
      <c r="F7" s="7">
        <f>MIN('This Year'!C11:N11)</f>
        <v/>
      </c>
      <c r="G7" s="7">
        <f>STDEV('This Year'!C11:N11)</f>
        <v/>
      </c>
      <c r="H7" s="14">
        <f>IFERROR(G7/D7,0)</f>
        <v/>
      </c>
    </row>
    <row r="8">
      <c r="B8" s="10" t="inlineStr">
        <is>
          <t>Auto Insurance</t>
        </is>
      </c>
      <c r="C8" s="7">
        <f>'This Year'!O12</f>
        <v/>
      </c>
      <c r="D8" s="7">
        <f>'This Year'!P12</f>
        <v/>
      </c>
      <c r="E8" s="7">
        <f>MAX('This Year'!C12:N12)</f>
        <v/>
      </c>
      <c r="F8" s="7">
        <f>MIN('This Year'!C12:N12)</f>
        <v/>
      </c>
      <c r="G8" s="7">
        <f>STDEV('This Year'!C12:N12)</f>
        <v/>
      </c>
      <c r="H8" s="14">
        <f>IFERROR(G8/D8,0)</f>
        <v/>
      </c>
    </row>
    <row r="9">
      <c r="B9" s="10" t="inlineStr">
        <is>
          <t>Health Insurance</t>
        </is>
      </c>
      <c r="C9" s="7">
        <f>'This Year'!O13</f>
        <v/>
      </c>
      <c r="D9" s="7">
        <f>'This Year'!P13</f>
        <v/>
      </c>
      <c r="E9" s="7">
        <f>MAX('This Year'!C13:N13)</f>
        <v/>
      </c>
      <c r="F9" s="7">
        <f>MIN('This Year'!C13:N13)</f>
        <v/>
      </c>
      <c r="G9" s="7">
        <f>STDEV('This Year'!C13:N13)</f>
        <v/>
      </c>
      <c r="H9" s="14">
        <f>IFERROR(G9/D9,0)</f>
        <v/>
      </c>
    </row>
    <row r="10">
      <c r="B10" s="10" t="inlineStr">
        <is>
          <t>Phone/Internet</t>
        </is>
      </c>
      <c r="C10" s="7">
        <f>'This Year'!O14</f>
        <v/>
      </c>
      <c r="D10" s="7">
        <f>'This Year'!P14</f>
        <v/>
      </c>
      <c r="E10" s="7">
        <f>MAX('This Year'!C14:N14)</f>
        <v/>
      </c>
      <c r="F10" s="7">
        <f>MIN('This Year'!C14:N14)</f>
        <v/>
      </c>
      <c r="G10" s="7">
        <f>STDEV('This Year'!C14:N14)</f>
        <v/>
      </c>
      <c r="H10" s="14">
        <f>IFERROR(G10/D10,0)</f>
        <v/>
      </c>
    </row>
    <row r="11">
      <c r="B11" s="10" t="inlineStr">
        <is>
          <t>Dining Out</t>
        </is>
      </c>
      <c r="C11" s="7">
        <f>'This Year'!O15</f>
        <v/>
      </c>
      <c r="D11" s="7">
        <f>'This Year'!P15</f>
        <v/>
      </c>
      <c r="E11" s="7">
        <f>MAX('This Year'!C15:N15)</f>
        <v/>
      </c>
      <c r="F11" s="7">
        <f>MIN('This Year'!C15:N15)</f>
        <v/>
      </c>
      <c r="G11" s="7">
        <f>STDEV('This Year'!C15:N15)</f>
        <v/>
      </c>
      <c r="H11" s="14">
        <f>IFERROR(G11/D11,0)</f>
        <v/>
      </c>
    </row>
    <row r="12">
      <c r="B12" s="10" t="inlineStr">
        <is>
          <t>Coffee</t>
        </is>
      </c>
      <c r="C12" s="7">
        <f>'This Year'!O16</f>
        <v/>
      </c>
      <c r="D12" s="7">
        <f>'This Year'!P16</f>
        <v/>
      </c>
      <c r="E12" s="7">
        <f>MAX('This Year'!C16:N16)</f>
        <v/>
      </c>
      <c r="F12" s="7">
        <f>MIN('This Year'!C16:N16)</f>
        <v/>
      </c>
      <c r="G12" s="7">
        <f>STDEV('This Year'!C16:N16)</f>
        <v/>
      </c>
      <c r="H12" s="14">
        <f>IFERROR(G12/D12,0)</f>
        <v/>
      </c>
    </row>
    <row r="13">
      <c r="B13" s="10" t="inlineStr">
        <is>
          <t>Entertainment</t>
        </is>
      </c>
      <c r="C13" s="7">
        <f>'This Year'!O17</f>
        <v/>
      </c>
      <c r="D13" s="7">
        <f>'This Year'!P17</f>
        <v/>
      </c>
      <c r="E13" s="7">
        <f>MAX('This Year'!C17:N17)</f>
        <v/>
      </c>
      <c r="F13" s="7">
        <f>MIN('This Year'!C17:N17)</f>
        <v/>
      </c>
      <c r="G13" s="7">
        <f>STDEV('This Year'!C17:N17)</f>
        <v/>
      </c>
      <c r="H13" s="14">
        <f>IFERROR(G13/D13,0)</f>
        <v/>
      </c>
    </row>
    <row r="14">
      <c r="B14" s="10" t="inlineStr">
        <is>
          <t>Clothing</t>
        </is>
      </c>
      <c r="C14" s="7">
        <f>'This Year'!O18</f>
        <v/>
      </c>
      <c r="D14" s="7">
        <f>'This Year'!P18</f>
        <v/>
      </c>
      <c r="E14" s="7">
        <f>MAX('This Year'!C18:N18)</f>
        <v/>
      </c>
      <c r="F14" s="7">
        <f>MIN('This Year'!C18:N18)</f>
        <v/>
      </c>
      <c r="G14" s="7">
        <f>STDEV('This Year'!C18:N18)</f>
        <v/>
      </c>
      <c r="H14" s="14">
        <f>IFERROR(G14/D14,0)</f>
        <v/>
      </c>
    </row>
    <row r="15">
      <c r="B15" s="10" t="inlineStr">
        <is>
          <t>Subscriptions</t>
        </is>
      </c>
      <c r="C15" s="7">
        <f>'This Year'!O19</f>
        <v/>
      </c>
      <c r="D15" s="7">
        <f>'This Year'!P19</f>
        <v/>
      </c>
      <c r="E15" s="7">
        <f>MAX('This Year'!C19:N19)</f>
        <v/>
      </c>
      <c r="F15" s="7">
        <f>MIN('This Year'!C19:N19)</f>
        <v/>
      </c>
      <c r="G15" s="7">
        <f>STDEV('This Year'!C19:N19)</f>
        <v/>
      </c>
      <c r="H15" s="14">
        <f>IFERROR(G15/D15,0)</f>
        <v/>
      </c>
    </row>
    <row r="16">
      <c r="B16" s="10" t="inlineStr">
        <is>
          <t>Gym/Fitness</t>
        </is>
      </c>
      <c r="C16" s="7">
        <f>'This Year'!O20</f>
        <v/>
      </c>
      <c r="D16" s="7">
        <f>'This Year'!P20</f>
        <v/>
      </c>
      <c r="E16" s="7">
        <f>MAX('This Year'!C20:N20)</f>
        <v/>
      </c>
      <c r="F16" s="7">
        <f>MIN('This Year'!C20:N20)</f>
        <v/>
      </c>
      <c r="G16" s="7">
        <f>STDEV('This Year'!C20:N20)</f>
        <v/>
      </c>
      <c r="H16" s="14">
        <f>IFERROR(G16/D16,0)</f>
        <v/>
      </c>
    </row>
    <row r="17">
      <c r="B17" s="10" t="inlineStr">
        <is>
          <t>Personal Care</t>
        </is>
      </c>
      <c r="C17" s="7">
        <f>'This Year'!O21</f>
        <v/>
      </c>
      <c r="D17" s="7">
        <f>'This Year'!P21</f>
        <v/>
      </c>
      <c r="E17" s="7">
        <f>MAX('This Year'!C21:N21)</f>
        <v/>
      </c>
      <c r="F17" s="7">
        <f>MIN('This Year'!C21:N21)</f>
        <v/>
      </c>
      <c r="G17" s="7">
        <f>STDEV('This Year'!C21:N21)</f>
        <v/>
      </c>
      <c r="H17" s="14">
        <f>IFERROR(G17/D17,0)</f>
        <v/>
      </c>
    </row>
    <row r="18">
      <c r="B18" s="10" t="inlineStr">
        <is>
          <t>Medical</t>
        </is>
      </c>
      <c r="C18" s="7">
        <f>'This Year'!O22</f>
        <v/>
      </c>
      <c r="D18" s="7">
        <f>'This Year'!P22</f>
        <v/>
      </c>
      <c r="E18" s="7">
        <f>MAX('This Year'!C22:N22)</f>
        <v/>
      </c>
      <c r="F18" s="7">
        <f>MIN('This Year'!C22:N22)</f>
        <v/>
      </c>
      <c r="G18" s="7">
        <f>STDEV('This Year'!C22:N22)</f>
        <v/>
      </c>
      <c r="H18" s="14">
        <f>IFERROR(G18/D18,0)</f>
        <v/>
      </c>
    </row>
    <row r="19">
      <c r="B19" s="10" t="inlineStr">
        <is>
          <t>Gifts</t>
        </is>
      </c>
      <c r="C19" s="7">
        <f>'This Year'!O23</f>
        <v/>
      </c>
      <c r="D19" s="7">
        <f>'This Year'!P23</f>
        <v/>
      </c>
      <c r="E19" s="7">
        <f>MAX('This Year'!C23:N23)</f>
        <v/>
      </c>
      <c r="F19" s="7">
        <f>MIN('This Year'!C23:N23)</f>
        <v/>
      </c>
      <c r="G19" s="7">
        <f>STDEV('This Year'!C23:N23)</f>
        <v/>
      </c>
      <c r="H19" s="14">
        <f>IFERROR(G19/D19,0)</f>
        <v/>
      </c>
    </row>
    <row r="20">
      <c r="B20" s="10" t="inlineStr">
        <is>
          <t>Travel</t>
        </is>
      </c>
      <c r="C20" s="7">
        <f>'This Year'!O24</f>
        <v/>
      </c>
      <c r="D20" s="7">
        <f>'This Year'!P24</f>
        <v/>
      </c>
      <c r="E20" s="7">
        <f>MAX('This Year'!C24:N24)</f>
        <v/>
      </c>
      <c r="F20" s="7">
        <f>MIN('This Year'!C24:N24)</f>
        <v/>
      </c>
      <c r="G20" s="7">
        <f>STDEV('This Year'!C24:N24)</f>
        <v/>
      </c>
      <c r="H20" s="14">
        <f>IFERROR(G20/D20,0)</f>
        <v/>
      </c>
    </row>
    <row r="21">
      <c r="B21" s="10" t="inlineStr">
        <is>
          <t>Home Maintenance</t>
        </is>
      </c>
      <c r="C21" s="7">
        <f>'This Year'!O25</f>
        <v/>
      </c>
      <c r="D21" s="7">
        <f>'This Year'!P25</f>
        <v/>
      </c>
      <c r="E21" s="7">
        <f>MAX('This Year'!C25:N25)</f>
        <v/>
      </c>
      <c r="F21" s="7">
        <f>MIN('This Year'!C25:N25)</f>
        <v/>
      </c>
      <c r="G21" s="7">
        <f>STDEV('This Year'!C25:N25)</f>
        <v/>
      </c>
      <c r="H21" s="14">
        <f>IFERROR(G21/D21,0)</f>
        <v/>
      </c>
    </row>
    <row r="22">
      <c r="B22" s="10" t="inlineStr">
        <is>
          <t>Education</t>
        </is>
      </c>
      <c r="C22" s="7">
        <f>'This Year'!O26</f>
        <v/>
      </c>
      <c r="D22" s="7">
        <f>'This Year'!P26</f>
        <v/>
      </c>
      <c r="E22" s="7">
        <f>MAX('This Year'!C26:N26)</f>
        <v/>
      </c>
      <c r="F22" s="7">
        <f>MIN('This Year'!C26:N26)</f>
        <v/>
      </c>
      <c r="G22" s="7">
        <f>STDEV('This Year'!C26:N26)</f>
        <v/>
      </c>
      <c r="H22" s="14">
        <f>IFERROR(G22/D22,0)</f>
        <v/>
      </c>
    </row>
    <row r="23">
      <c r="B23" s="10" t="inlineStr">
        <is>
          <t>Miscellaneous</t>
        </is>
      </c>
      <c r="C23" s="7">
        <f>'This Year'!O27</f>
        <v/>
      </c>
      <c r="D23" s="7">
        <f>'This Year'!P27</f>
        <v/>
      </c>
      <c r="E23" s="7">
        <f>MAX('This Year'!C27:N27)</f>
        <v/>
      </c>
      <c r="F23" s="7">
        <f>MIN('This Year'!C27:N27)</f>
        <v/>
      </c>
      <c r="G23" s="7">
        <f>STDEV('This Year'!C27:N27)</f>
        <v/>
      </c>
      <c r="H23" s="14">
        <f>IFERROR(G23/D23,0)</f>
        <v/>
      </c>
    </row>
  </sheetData>
  <conditionalFormatting sqref="H4:H23">
    <cfRule type="cellIs" priority="1" operator="greaterThan" dxfId="0"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/>
    <row r="2">
      <c r="B2" s="1" t="inlineStr">
        <is>
          <t>Year-over-Year Comparison</t>
        </is>
      </c>
      <c r="C2" s="2" t="n"/>
      <c r="D2" s="2" t="n"/>
      <c r="E2" s="2" t="n"/>
      <c r="F2" s="2" t="n"/>
      <c r="G2" s="2" t="n"/>
    </row>
    <row r="3">
      <c r="B3" s="9" t="inlineStr">
        <is>
          <t>Category</t>
        </is>
      </c>
      <c r="C3" s="3" t="inlineStr">
        <is>
          <t>This Year</t>
        </is>
      </c>
      <c r="D3" s="3" t="inlineStr">
        <is>
          <t>Prior Year</t>
        </is>
      </c>
      <c r="E3" s="3" t="inlineStr">
        <is>
          <t>$ Change</t>
        </is>
      </c>
      <c r="F3" s="3" t="inlineStr">
        <is>
          <t>% Change</t>
        </is>
      </c>
      <c r="G3" s="3" t="inlineStr">
        <is>
          <t>Rank (abs)</t>
        </is>
      </c>
    </row>
    <row r="4">
      <c r="B4" s="10" t="inlineStr">
        <is>
          <t>Rent/Mortgage</t>
        </is>
      </c>
      <c r="C4" s="7">
        <f>'This Year'!O8</f>
        <v/>
      </c>
      <c r="D4" s="7">
        <f>IFERROR('Prior Year'!O8,0)</f>
        <v/>
      </c>
      <c r="E4" s="7">
        <f>C4-D4</f>
        <v/>
      </c>
      <c r="F4" s="12">
        <f>IFERROR(E4/D4,0)</f>
        <v/>
      </c>
      <c r="G4" s="10">
        <f>1+SUMPRODUCT(--(ABS($E$4:$E$23)&gt;ABS(E4)))</f>
        <v/>
      </c>
    </row>
    <row r="5">
      <c r="B5" s="10" t="inlineStr">
        <is>
          <t>Utilities</t>
        </is>
      </c>
      <c r="C5" s="7">
        <f>'This Year'!O9</f>
        <v/>
      </c>
      <c r="D5" s="7">
        <f>IFERROR('Prior Year'!O9,0)</f>
        <v/>
      </c>
      <c r="E5" s="7">
        <f>C5-D5</f>
        <v/>
      </c>
      <c r="F5" s="12">
        <f>IFERROR(E5/D5,0)</f>
        <v/>
      </c>
      <c r="G5" s="10">
        <f>1+SUMPRODUCT(--(ABS($E$4:$E$23)&gt;ABS(E5)))</f>
        <v/>
      </c>
    </row>
    <row r="6">
      <c r="B6" s="10" t="inlineStr">
        <is>
          <t>Groceries</t>
        </is>
      </c>
      <c r="C6" s="7">
        <f>'This Year'!O10</f>
        <v/>
      </c>
      <c r="D6" s="7">
        <f>IFERROR('Prior Year'!O10,0)</f>
        <v/>
      </c>
      <c r="E6" s="7">
        <f>C6-D6</f>
        <v/>
      </c>
      <c r="F6" s="12">
        <f>IFERROR(E6/D6,0)</f>
        <v/>
      </c>
      <c r="G6" s="10">
        <f>1+SUMPRODUCT(--(ABS($E$4:$E$23)&gt;ABS(E6)))</f>
        <v/>
      </c>
    </row>
    <row r="7">
      <c r="B7" s="10" t="inlineStr">
        <is>
          <t>Gas</t>
        </is>
      </c>
      <c r="C7" s="7">
        <f>'This Year'!O11</f>
        <v/>
      </c>
      <c r="D7" s="7">
        <f>IFERROR('Prior Year'!O11,0)</f>
        <v/>
      </c>
      <c r="E7" s="7">
        <f>C7-D7</f>
        <v/>
      </c>
      <c r="F7" s="12">
        <f>IFERROR(E7/D7,0)</f>
        <v/>
      </c>
      <c r="G7" s="10">
        <f>1+SUMPRODUCT(--(ABS($E$4:$E$23)&gt;ABS(E7)))</f>
        <v/>
      </c>
    </row>
    <row r="8">
      <c r="B8" s="10" t="inlineStr">
        <is>
          <t>Auto Insurance</t>
        </is>
      </c>
      <c r="C8" s="7">
        <f>'This Year'!O12</f>
        <v/>
      </c>
      <c r="D8" s="7">
        <f>IFERROR('Prior Year'!O12,0)</f>
        <v/>
      </c>
      <c r="E8" s="7">
        <f>C8-D8</f>
        <v/>
      </c>
      <c r="F8" s="12">
        <f>IFERROR(E8/D8,0)</f>
        <v/>
      </c>
      <c r="G8" s="10">
        <f>1+SUMPRODUCT(--(ABS($E$4:$E$23)&gt;ABS(E8)))</f>
        <v/>
      </c>
    </row>
    <row r="9">
      <c r="B9" s="10" t="inlineStr">
        <is>
          <t>Health Insurance</t>
        </is>
      </c>
      <c r="C9" s="7">
        <f>'This Year'!O13</f>
        <v/>
      </c>
      <c r="D9" s="7">
        <f>IFERROR('Prior Year'!O13,0)</f>
        <v/>
      </c>
      <c r="E9" s="7">
        <f>C9-D9</f>
        <v/>
      </c>
      <c r="F9" s="12">
        <f>IFERROR(E9/D9,0)</f>
        <v/>
      </c>
      <c r="G9" s="10">
        <f>1+SUMPRODUCT(--(ABS($E$4:$E$23)&gt;ABS(E9)))</f>
        <v/>
      </c>
    </row>
    <row r="10">
      <c r="B10" s="10" t="inlineStr">
        <is>
          <t>Phone/Internet</t>
        </is>
      </c>
      <c r="C10" s="7">
        <f>'This Year'!O14</f>
        <v/>
      </c>
      <c r="D10" s="7">
        <f>IFERROR('Prior Year'!O14,0)</f>
        <v/>
      </c>
      <c r="E10" s="7">
        <f>C10-D10</f>
        <v/>
      </c>
      <c r="F10" s="12">
        <f>IFERROR(E10/D10,0)</f>
        <v/>
      </c>
      <c r="G10" s="10">
        <f>1+SUMPRODUCT(--(ABS($E$4:$E$23)&gt;ABS(E10)))</f>
        <v/>
      </c>
    </row>
    <row r="11">
      <c r="B11" s="10" t="inlineStr">
        <is>
          <t>Dining Out</t>
        </is>
      </c>
      <c r="C11" s="7">
        <f>'This Year'!O15</f>
        <v/>
      </c>
      <c r="D11" s="7">
        <f>IFERROR('Prior Year'!O15,0)</f>
        <v/>
      </c>
      <c r="E11" s="7">
        <f>C11-D11</f>
        <v/>
      </c>
      <c r="F11" s="12">
        <f>IFERROR(E11/D11,0)</f>
        <v/>
      </c>
      <c r="G11" s="10">
        <f>1+SUMPRODUCT(--(ABS($E$4:$E$23)&gt;ABS(E11)))</f>
        <v/>
      </c>
    </row>
    <row r="12">
      <c r="B12" s="10" t="inlineStr">
        <is>
          <t>Coffee</t>
        </is>
      </c>
      <c r="C12" s="7">
        <f>'This Year'!O16</f>
        <v/>
      </c>
      <c r="D12" s="7">
        <f>IFERROR('Prior Year'!O16,0)</f>
        <v/>
      </c>
      <c r="E12" s="7">
        <f>C12-D12</f>
        <v/>
      </c>
      <c r="F12" s="12">
        <f>IFERROR(E12/D12,0)</f>
        <v/>
      </c>
      <c r="G12" s="10">
        <f>1+SUMPRODUCT(--(ABS($E$4:$E$23)&gt;ABS(E12)))</f>
        <v/>
      </c>
    </row>
    <row r="13">
      <c r="B13" s="10" t="inlineStr">
        <is>
          <t>Entertainment</t>
        </is>
      </c>
      <c r="C13" s="7">
        <f>'This Year'!O17</f>
        <v/>
      </c>
      <c r="D13" s="7">
        <f>IFERROR('Prior Year'!O17,0)</f>
        <v/>
      </c>
      <c r="E13" s="7">
        <f>C13-D13</f>
        <v/>
      </c>
      <c r="F13" s="12">
        <f>IFERROR(E13/D13,0)</f>
        <v/>
      </c>
      <c r="G13" s="10">
        <f>1+SUMPRODUCT(--(ABS($E$4:$E$23)&gt;ABS(E13)))</f>
        <v/>
      </c>
    </row>
    <row r="14">
      <c r="B14" s="10" t="inlineStr">
        <is>
          <t>Clothing</t>
        </is>
      </c>
      <c r="C14" s="7">
        <f>'This Year'!O18</f>
        <v/>
      </c>
      <c r="D14" s="7">
        <f>IFERROR('Prior Year'!O18,0)</f>
        <v/>
      </c>
      <c r="E14" s="7">
        <f>C14-D14</f>
        <v/>
      </c>
      <c r="F14" s="12">
        <f>IFERROR(E14/D14,0)</f>
        <v/>
      </c>
      <c r="G14" s="10">
        <f>1+SUMPRODUCT(--(ABS($E$4:$E$23)&gt;ABS(E14)))</f>
        <v/>
      </c>
    </row>
    <row r="15">
      <c r="B15" s="10" t="inlineStr">
        <is>
          <t>Subscriptions</t>
        </is>
      </c>
      <c r="C15" s="7">
        <f>'This Year'!O19</f>
        <v/>
      </c>
      <c r="D15" s="7">
        <f>IFERROR('Prior Year'!O19,0)</f>
        <v/>
      </c>
      <c r="E15" s="7">
        <f>C15-D15</f>
        <v/>
      </c>
      <c r="F15" s="12">
        <f>IFERROR(E15/D15,0)</f>
        <v/>
      </c>
      <c r="G15" s="10">
        <f>1+SUMPRODUCT(--(ABS($E$4:$E$23)&gt;ABS(E15)))</f>
        <v/>
      </c>
    </row>
    <row r="16">
      <c r="B16" s="10" t="inlineStr">
        <is>
          <t>Gym/Fitness</t>
        </is>
      </c>
      <c r="C16" s="7">
        <f>'This Year'!O20</f>
        <v/>
      </c>
      <c r="D16" s="7">
        <f>IFERROR('Prior Year'!O20,0)</f>
        <v/>
      </c>
      <c r="E16" s="7">
        <f>C16-D16</f>
        <v/>
      </c>
      <c r="F16" s="12">
        <f>IFERROR(E16/D16,0)</f>
        <v/>
      </c>
      <c r="G16" s="10">
        <f>1+SUMPRODUCT(--(ABS($E$4:$E$23)&gt;ABS(E16)))</f>
        <v/>
      </c>
    </row>
    <row r="17">
      <c r="B17" s="10" t="inlineStr">
        <is>
          <t>Personal Care</t>
        </is>
      </c>
      <c r="C17" s="7">
        <f>'This Year'!O21</f>
        <v/>
      </c>
      <c r="D17" s="7">
        <f>IFERROR('Prior Year'!O21,0)</f>
        <v/>
      </c>
      <c r="E17" s="7">
        <f>C17-D17</f>
        <v/>
      </c>
      <c r="F17" s="12">
        <f>IFERROR(E17/D17,0)</f>
        <v/>
      </c>
      <c r="G17" s="10">
        <f>1+SUMPRODUCT(--(ABS($E$4:$E$23)&gt;ABS(E17)))</f>
        <v/>
      </c>
    </row>
    <row r="18">
      <c r="B18" s="10" t="inlineStr">
        <is>
          <t>Medical</t>
        </is>
      </c>
      <c r="C18" s="7">
        <f>'This Year'!O22</f>
        <v/>
      </c>
      <c r="D18" s="7">
        <f>IFERROR('Prior Year'!O22,0)</f>
        <v/>
      </c>
      <c r="E18" s="7">
        <f>C18-D18</f>
        <v/>
      </c>
      <c r="F18" s="12">
        <f>IFERROR(E18/D18,0)</f>
        <v/>
      </c>
      <c r="G18" s="10">
        <f>1+SUMPRODUCT(--(ABS($E$4:$E$23)&gt;ABS(E18)))</f>
        <v/>
      </c>
    </row>
    <row r="19">
      <c r="B19" s="10" t="inlineStr">
        <is>
          <t>Gifts</t>
        </is>
      </c>
      <c r="C19" s="7">
        <f>'This Year'!O23</f>
        <v/>
      </c>
      <c r="D19" s="7">
        <f>IFERROR('Prior Year'!O23,0)</f>
        <v/>
      </c>
      <c r="E19" s="7">
        <f>C19-D19</f>
        <v/>
      </c>
      <c r="F19" s="12">
        <f>IFERROR(E19/D19,0)</f>
        <v/>
      </c>
      <c r="G19" s="10">
        <f>1+SUMPRODUCT(--(ABS($E$4:$E$23)&gt;ABS(E19)))</f>
        <v/>
      </c>
    </row>
    <row r="20">
      <c r="B20" s="10" t="inlineStr">
        <is>
          <t>Travel</t>
        </is>
      </c>
      <c r="C20" s="7">
        <f>'This Year'!O24</f>
        <v/>
      </c>
      <c r="D20" s="7">
        <f>IFERROR('Prior Year'!O24,0)</f>
        <v/>
      </c>
      <c r="E20" s="7">
        <f>C20-D20</f>
        <v/>
      </c>
      <c r="F20" s="12">
        <f>IFERROR(E20/D20,0)</f>
        <v/>
      </c>
      <c r="G20" s="10">
        <f>1+SUMPRODUCT(--(ABS($E$4:$E$23)&gt;ABS(E20)))</f>
        <v/>
      </c>
    </row>
    <row r="21">
      <c r="B21" s="10" t="inlineStr">
        <is>
          <t>Home Maintenance</t>
        </is>
      </c>
      <c r="C21" s="7">
        <f>'This Year'!O25</f>
        <v/>
      </c>
      <c r="D21" s="7">
        <f>IFERROR('Prior Year'!O25,0)</f>
        <v/>
      </c>
      <c r="E21" s="7">
        <f>C21-D21</f>
        <v/>
      </c>
      <c r="F21" s="12">
        <f>IFERROR(E21/D21,0)</f>
        <v/>
      </c>
      <c r="G21" s="10">
        <f>1+SUMPRODUCT(--(ABS($E$4:$E$23)&gt;ABS(E21)))</f>
        <v/>
      </c>
    </row>
    <row r="22">
      <c r="B22" s="10" t="inlineStr">
        <is>
          <t>Education</t>
        </is>
      </c>
      <c r="C22" s="7">
        <f>'This Year'!O26</f>
        <v/>
      </c>
      <c r="D22" s="7">
        <f>IFERROR('Prior Year'!O26,0)</f>
        <v/>
      </c>
      <c r="E22" s="7">
        <f>C22-D22</f>
        <v/>
      </c>
      <c r="F22" s="12">
        <f>IFERROR(E22/D22,0)</f>
        <v/>
      </c>
      <c r="G22" s="10">
        <f>1+SUMPRODUCT(--(ABS($E$4:$E$23)&gt;ABS(E22)))</f>
        <v/>
      </c>
    </row>
    <row r="23">
      <c r="B23" s="10" t="inlineStr">
        <is>
          <t>Miscellaneous</t>
        </is>
      </c>
      <c r="C23" s="7">
        <f>'This Year'!O27</f>
        <v/>
      </c>
      <c r="D23" s="7">
        <f>IFERROR('Prior Year'!O27,0)</f>
        <v/>
      </c>
      <c r="E23" s="7">
        <f>C23-D23</f>
        <v/>
      </c>
      <c r="F23" s="12">
        <f>IFERROR(E23/D23,0)</f>
        <v/>
      </c>
      <c r="G23" s="10">
        <f>1+SUMPRODUCT(--(ABS($E$4:$E$23)&gt;ABS(E23)))</f>
        <v/>
      </c>
    </row>
    <row r="24">
      <c r="B24" s="2" t="n"/>
      <c r="C24" s="2" t="n"/>
      <c r="D24" s="2" t="n"/>
      <c r="E24" s="2" t="n"/>
      <c r="F24" s="2" t="n"/>
      <c r="G24" s="2" t="n"/>
    </row>
    <row r="25">
      <c r="B25" s="8" t="inlineStr">
        <is>
          <t>Summary</t>
        </is>
      </c>
      <c r="C25" s="2" t="n"/>
      <c r="D25" s="2" t="n"/>
      <c r="E25" s="2" t="n"/>
      <c r="F25" s="2" t="n"/>
      <c r="G25" s="2" t="n"/>
    </row>
    <row r="26">
      <c r="B26" s="10" t="inlineStr">
        <is>
          <t>Total This Year</t>
        </is>
      </c>
      <c r="C26" s="6">
        <f>SUM(C4:C23)</f>
        <v/>
      </c>
      <c r="D26" s="2" t="n"/>
      <c r="E26" s="2" t="n"/>
      <c r="F26" s="2" t="n"/>
      <c r="G26" s="2" t="n"/>
    </row>
    <row r="27">
      <c r="B27" s="10" t="inlineStr">
        <is>
          <t>Total Prior Year</t>
        </is>
      </c>
      <c r="C27" s="6">
        <f>SUM(D4:D23)</f>
        <v/>
      </c>
      <c r="D27" s="2" t="n"/>
      <c r="E27" s="2" t="n"/>
      <c r="F27" s="2" t="n"/>
      <c r="G27" s="2" t="n"/>
    </row>
    <row r="28">
      <c r="B28" s="10" t="inlineStr">
        <is>
          <t>Net Change</t>
        </is>
      </c>
      <c r="C28" s="6">
        <f>C26-C27</f>
        <v/>
      </c>
      <c r="D28" s="2" t="n"/>
      <c r="E28" s="2" t="n"/>
      <c r="F28" s="2" t="n"/>
      <c r="G28" s="2" t="n"/>
    </row>
    <row r="29">
      <c r="B29" s="2" t="n"/>
      <c r="C29" s="2" t="n"/>
      <c r="D29" s="2" t="n"/>
      <c r="E29" s="2" t="n"/>
      <c r="F29" s="2" t="n"/>
      <c r="G29" s="2" t="n"/>
    </row>
    <row r="30">
      <c r="B30" s="8" t="inlineStr">
        <is>
          <t>Top 3 Increases</t>
        </is>
      </c>
      <c r="C30" s="2" t="n"/>
      <c r="D30" s="2" t="n"/>
      <c r="E30" s="2" t="n"/>
      <c r="F30" s="2" t="n"/>
      <c r="G30" s="2" t="n"/>
    </row>
    <row r="31">
      <c r="B31" s="10">
        <f>INDEX(B4:B23,MATCH(LARGE(E4:E23,1),E4:E23,0))</f>
        <v/>
      </c>
      <c r="C31" s="7">
        <f>LARGE(E4:E23,1)</f>
        <v/>
      </c>
      <c r="D31" s="2" t="n"/>
      <c r="E31" s="2" t="n"/>
      <c r="F31" s="2" t="n"/>
      <c r="G31" s="2" t="n"/>
    </row>
    <row r="32">
      <c r="B32" s="10">
        <f>INDEX(B4:B23,MATCH(LARGE(E4:E23,2),E4:E23,0))</f>
        <v/>
      </c>
      <c r="C32" s="7">
        <f>LARGE(E4:E23,2)</f>
        <v/>
      </c>
      <c r="D32" s="2" t="n"/>
      <c r="E32" s="2" t="n"/>
      <c r="F32" s="2" t="n"/>
      <c r="G32" s="2" t="n"/>
    </row>
    <row r="33">
      <c r="B33" s="10">
        <f>INDEX(B4:B23,MATCH(LARGE(E4:E23,3),E4:E23,0))</f>
        <v/>
      </c>
      <c r="C33" s="7">
        <f>LARGE(E4:E23,3)</f>
        <v/>
      </c>
      <c r="D33" s="2" t="n"/>
      <c r="E33" s="2" t="n"/>
      <c r="F33" s="2" t="n"/>
      <c r="G33" s="2" t="n"/>
    </row>
    <row r="34">
      <c r="B34" s="2" t="n"/>
      <c r="C34" s="2" t="n"/>
      <c r="D34" s="2" t="n"/>
      <c r="E34" s="2" t="n"/>
      <c r="F34" s="2" t="n"/>
      <c r="G34" s="2" t="n"/>
    </row>
    <row r="35">
      <c r="B35" s="8" t="inlineStr">
        <is>
          <t>Top 3 Decreases</t>
        </is>
      </c>
      <c r="C35" s="2" t="n"/>
      <c r="D35" s="2" t="n"/>
      <c r="E35" s="2" t="n"/>
      <c r="F35" s="2" t="n"/>
      <c r="G35" s="2" t="n"/>
    </row>
    <row r="36">
      <c r="B36" s="10">
        <f>INDEX(B4:B23,MATCH(SMALL(E4:E23,1),E4:E23,0))</f>
        <v/>
      </c>
      <c r="C36" s="7">
        <f>SMALL(E4:E23,1)</f>
        <v/>
      </c>
      <c r="D36" s="2" t="n"/>
      <c r="E36" s="2" t="n"/>
      <c r="F36" s="2" t="n"/>
      <c r="G36" s="2" t="n"/>
    </row>
    <row r="37">
      <c r="B37" s="10">
        <f>INDEX(B4:B23,MATCH(SMALL(E4:E23,2),E4:E23,0))</f>
        <v/>
      </c>
      <c r="C37" s="7">
        <f>SMALL(E4:E23,2)</f>
        <v/>
      </c>
      <c r="D37" s="2" t="n"/>
      <c r="E37" s="2" t="n"/>
      <c r="F37" s="2" t="n"/>
      <c r="G37" s="2" t="n"/>
    </row>
    <row r="38">
      <c r="B38" s="10">
        <f>INDEX(B4:B23,MATCH(SMALL(E4:E23,3),E4:E23,0))</f>
        <v/>
      </c>
      <c r="C38" s="7">
        <f>SMALL(E4:E23,3)</f>
        <v/>
      </c>
      <c r="D38" s="2" t="n"/>
      <c r="E38" s="2" t="n"/>
      <c r="F38" s="2" t="n"/>
      <c r="G38" s="2" t="n"/>
    </row>
  </sheetData>
  <conditionalFormatting sqref="E4:E23">
    <cfRule type="cellIs" priority="1" operator="greaterThan" dxfId="1">
      <formula>0</formula>
    </cfRule>
    <cfRule type="cellIs" priority="2" operator="less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" t="inlineStr">
        <is>
          <t>Next Year Forecast</t>
        </is>
      </c>
      <c r="C2" s="2" t="n"/>
      <c r="D2" s="2" t="n"/>
      <c r="E2" s="2" t="n"/>
      <c r="F2" s="2" t="n"/>
      <c r="G2" s="2" t="n"/>
    </row>
    <row r="3">
      <c r="B3" s="9" t="inlineStr">
        <is>
          <t>Category</t>
        </is>
      </c>
      <c r="C3" s="3" t="inlineStr">
        <is>
          <t>Trailing 6-Mo Avg</t>
        </is>
      </c>
      <c r="D3" s="3" t="inlineStr">
        <is>
          <t>Override</t>
        </is>
      </c>
      <c r="E3" s="3" t="inlineStr">
        <is>
          <t>Projected Monthly</t>
        </is>
      </c>
      <c r="F3" s="3" t="inlineStr">
        <is>
          <t>Projected Annual</t>
        </is>
      </c>
      <c r="G3" s="3" t="inlineStr">
        <is>
          <t>vs This Year</t>
        </is>
      </c>
    </row>
    <row r="4">
      <c r="B4" s="10" t="inlineStr">
        <is>
          <t>Rent/Mortgage</t>
        </is>
      </c>
      <c r="C4" s="7">
        <f>AVERAGE('This Year'!I8:N8)</f>
        <v/>
      </c>
      <c r="D4" s="5" t="n"/>
      <c r="E4" s="7">
        <f>IF(D4&lt;&gt;"",D4,C4)</f>
        <v/>
      </c>
      <c r="F4" s="7">
        <f>E4*12</f>
        <v/>
      </c>
      <c r="G4" s="7">
        <f>F4-'This Year'!O8</f>
        <v/>
      </c>
    </row>
    <row r="5">
      <c r="B5" s="10" t="inlineStr">
        <is>
          <t>Utilities</t>
        </is>
      </c>
      <c r="C5" s="7">
        <f>AVERAGE('This Year'!I9:N9)</f>
        <v/>
      </c>
      <c r="D5" s="5" t="n"/>
      <c r="E5" s="7">
        <f>IF(D5&lt;&gt;"",D5,C5)</f>
        <v/>
      </c>
      <c r="F5" s="7">
        <f>E5*12</f>
        <v/>
      </c>
      <c r="G5" s="7">
        <f>F5-'This Year'!O9</f>
        <v/>
      </c>
    </row>
    <row r="6">
      <c r="B6" s="10" t="inlineStr">
        <is>
          <t>Groceries</t>
        </is>
      </c>
      <c r="C6" s="7">
        <f>AVERAGE('This Year'!I10:N10)</f>
        <v/>
      </c>
      <c r="D6" s="5" t="n"/>
      <c r="E6" s="7">
        <f>IF(D6&lt;&gt;"",D6,C6)</f>
        <v/>
      </c>
      <c r="F6" s="7">
        <f>E6*12</f>
        <v/>
      </c>
      <c r="G6" s="7">
        <f>F6-'This Year'!O10</f>
        <v/>
      </c>
    </row>
    <row r="7">
      <c r="B7" s="10" t="inlineStr">
        <is>
          <t>Gas</t>
        </is>
      </c>
      <c r="C7" s="7">
        <f>AVERAGE('This Year'!I11:N11)</f>
        <v/>
      </c>
      <c r="D7" s="5" t="n"/>
      <c r="E7" s="7">
        <f>IF(D7&lt;&gt;"",D7,C7)</f>
        <v/>
      </c>
      <c r="F7" s="7">
        <f>E7*12</f>
        <v/>
      </c>
      <c r="G7" s="7">
        <f>F7-'This Year'!O11</f>
        <v/>
      </c>
    </row>
    <row r="8">
      <c r="B8" s="10" t="inlineStr">
        <is>
          <t>Auto Insurance</t>
        </is>
      </c>
      <c r="C8" s="7">
        <f>AVERAGE('This Year'!I12:N12)</f>
        <v/>
      </c>
      <c r="D8" s="5" t="n"/>
      <c r="E8" s="7">
        <f>IF(D8&lt;&gt;"",D8,C8)</f>
        <v/>
      </c>
      <c r="F8" s="7">
        <f>E8*12</f>
        <v/>
      </c>
      <c r="G8" s="7">
        <f>F8-'This Year'!O12</f>
        <v/>
      </c>
    </row>
    <row r="9">
      <c r="B9" s="10" t="inlineStr">
        <is>
          <t>Health Insurance</t>
        </is>
      </c>
      <c r="C9" s="7">
        <f>AVERAGE('This Year'!I13:N13)</f>
        <v/>
      </c>
      <c r="D9" s="5" t="n"/>
      <c r="E9" s="7">
        <f>IF(D9&lt;&gt;"",D9,C9)</f>
        <v/>
      </c>
      <c r="F9" s="7">
        <f>E9*12</f>
        <v/>
      </c>
      <c r="G9" s="7">
        <f>F9-'This Year'!O13</f>
        <v/>
      </c>
    </row>
    <row r="10">
      <c r="B10" s="10" t="inlineStr">
        <is>
          <t>Phone/Internet</t>
        </is>
      </c>
      <c r="C10" s="7">
        <f>AVERAGE('This Year'!I14:N14)</f>
        <v/>
      </c>
      <c r="D10" s="5" t="n"/>
      <c r="E10" s="7">
        <f>IF(D10&lt;&gt;"",D10,C10)</f>
        <v/>
      </c>
      <c r="F10" s="7">
        <f>E10*12</f>
        <v/>
      </c>
      <c r="G10" s="7">
        <f>F10-'This Year'!O14</f>
        <v/>
      </c>
    </row>
    <row r="11">
      <c r="B11" s="10" t="inlineStr">
        <is>
          <t>Dining Out</t>
        </is>
      </c>
      <c r="C11" s="7">
        <f>AVERAGE('This Year'!I15:N15)</f>
        <v/>
      </c>
      <c r="D11" s="5" t="n"/>
      <c r="E11" s="7">
        <f>IF(D11&lt;&gt;"",D11,C11)</f>
        <v/>
      </c>
      <c r="F11" s="7">
        <f>E11*12</f>
        <v/>
      </c>
      <c r="G11" s="7">
        <f>F11-'This Year'!O15</f>
        <v/>
      </c>
    </row>
    <row r="12">
      <c r="B12" s="10" t="inlineStr">
        <is>
          <t>Coffee</t>
        </is>
      </c>
      <c r="C12" s="7">
        <f>AVERAGE('This Year'!I16:N16)</f>
        <v/>
      </c>
      <c r="D12" s="5" t="n"/>
      <c r="E12" s="7">
        <f>IF(D12&lt;&gt;"",D12,C12)</f>
        <v/>
      </c>
      <c r="F12" s="7">
        <f>E12*12</f>
        <v/>
      </c>
      <c r="G12" s="7">
        <f>F12-'This Year'!O16</f>
        <v/>
      </c>
    </row>
    <row r="13">
      <c r="B13" s="10" t="inlineStr">
        <is>
          <t>Entertainment</t>
        </is>
      </c>
      <c r="C13" s="7">
        <f>AVERAGE('This Year'!I17:N17)</f>
        <v/>
      </c>
      <c r="D13" s="5" t="n"/>
      <c r="E13" s="7">
        <f>IF(D13&lt;&gt;"",D13,C13)</f>
        <v/>
      </c>
      <c r="F13" s="7">
        <f>E13*12</f>
        <v/>
      </c>
      <c r="G13" s="7">
        <f>F13-'This Year'!O17</f>
        <v/>
      </c>
    </row>
    <row r="14">
      <c r="B14" s="10" t="inlineStr">
        <is>
          <t>Clothing</t>
        </is>
      </c>
      <c r="C14" s="7">
        <f>AVERAGE('This Year'!I18:N18)</f>
        <v/>
      </c>
      <c r="D14" s="5" t="n"/>
      <c r="E14" s="7">
        <f>IF(D14&lt;&gt;"",D14,C14)</f>
        <v/>
      </c>
      <c r="F14" s="7">
        <f>E14*12</f>
        <v/>
      </c>
      <c r="G14" s="7">
        <f>F14-'This Year'!O18</f>
        <v/>
      </c>
    </row>
    <row r="15">
      <c r="B15" s="10" t="inlineStr">
        <is>
          <t>Subscriptions</t>
        </is>
      </c>
      <c r="C15" s="7">
        <f>AVERAGE('This Year'!I19:N19)</f>
        <v/>
      </c>
      <c r="D15" s="5" t="n"/>
      <c r="E15" s="7">
        <f>IF(D15&lt;&gt;"",D15,C15)</f>
        <v/>
      </c>
      <c r="F15" s="7">
        <f>E15*12</f>
        <v/>
      </c>
      <c r="G15" s="7">
        <f>F15-'This Year'!O19</f>
        <v/>
      </c>
    </row>
    <row r="16">
      <c r="B16" s="10" t="inlineStr">
        <is>
          <t>Gym/Fitness</t>
        </is>
      </c>
      <c r="C16" s="7">
        <f>AVERAGE('This Year'!I20:N20)</f>
        <v/>
      </c>
      <c r="D16" s="5" t="n"/>
      <c r="E16" s="7">
        <f>IF(D16&lt;&gt;"",D16,C16)</f>
        <v/>
      </c>
      <c r="F16" s="7">
        <f>E16*12</f>
        <v/>
      </c>
      <c r="G16" s="7">
        <f>F16-'This Year'!O20</f>
        <v/>
      </c>
    </row>
    <row r="17">
      <c r="B17" s="10" t="inlineStr">
        <is>
          <t>Personal Care</t>
        </is>
      </c>
      <c r="C17" s="7">
        <f>AVERAGE('This Year'!I21:N21)</f>
        <v/>
      </c>
      <c r="D17" s="5" t="n"/>
      <c r="E17" s="7">
        <f>IF(D17&lt;&gt;"",D17,C17)</f>
        <v/>
      </c>
      <c r="F17" s="7">
        <f>E17*12</f>
        <v/>
      </c>
      <c r="G17" s="7">
        <f>F17-'This Year'!O21</f>
        <v/>
      </c>
    </row>
    <row r="18">
      <c r="B18" s="10" t="inlineStr">
        <is>
          <t>Medical</t>
        </is>
      </c>
      <c r="C18" s="7">
        <f>AVERAGE('This Year'!I22:N22)</f>
        <v/>
      </c>
      <c r="D18" s="5" t="n"/>
      <c r="E18" s="7">
        <f>IF(D18&lt;&gt;"",D18,C18)</f>
        <v/>
      </c>
      <c r="F18" s="7">
        <f>E18*12</f>
        <v/>
      </c>
      <c r="G18" s="7">
        <f>F18-'This Year'!O22</f>
        <v/>
      </c>
    </row>
    <row r="19">
      <c r="B19" s="10" t="inlineStr">
        <is>
          <t>Gifts</t>
        </is>
      </c>
      <c r="C19" s="7">
        <f>AVERAGE('This Year'!I23:N23)</f>
        <v/>
      </c>
      <c r="D19" s="5" t="n"/>
      <c r="E19" s="7">
        <f>IF(D19&lt;&gt;"",D19,C19)</f>
        <v/>
      </c>
      <c r="F19" s="7">
        <f>E19*12</f>
        <v/>
      </c>
      <c r="G19" s="7">
        <f>F19-'This Year'!O23</f>
        <v/>
      </c>
    </row>
    <row r="20">
      <c r="B20" s="10" t="inlineStr">
        <is>
          <t>Travel</t>
        </is>
      </c>
      <c r="C20" s="7">
        <f>AVERAGE('This Year'!I24:N24)</f>
        <v/>
      </c>
      <c r="D20" s="5" t="n"/>
      <c r="E20" s="7">
        <f>IF(D20&lt;&gt;"",D20,C20)</f>
        <v/>
      </c>
      <c r="F20" s="7">
        <f>E20*12</f>
        <v/>
      </c>
      <c r="G20" s="7">
        <f>F20-'This Year'!O24</f>
        <v/>
      </c>
    </row>
    <row r="21">
      <c r="B21" s="10" t="inlineStr">
        <is>
          <t>Home Maintenance</t>
        </is>
      </c>
      <c r="C21" s="7">
        <f>AVERAGE('This Year'!I25:N25)</f>
        <v/>
      </c>
      <c r="D21" s="5" t="n"/>
      <c r="E21" s="7">
        <f>IF(D21&lt;&gt;"",D21,C21)</f>
        <v/>
      </c>
      <c r="F21" s="7">
        <f>E21*12</f>
        <v/>
      </c>
      <c r="G21" s="7">
        <f>F21-'This Year'!O25</f>
        <v/>
      </c>
    </row>
    <row r="22">
      <c r="B22" s="10" t="inlineStr">
        <is>
          <t>Education</t>
        </is>
      </c>
      <c r="C22" s="7">
        <f>AVERAGE('This Year'!I26:N26)</f>
        <v/>
      </c>
      <c r="D22" s="5" t="n"/>
      <c r="E22" s="7">
        <f>IF(D22&lt;&gt;"",D22,C22)</f>
        <v/>
      </c>
      <c r="F22" s="7">
        <f>E22*12</f>
        <v/>
      </c>
      <c r="G22" s="7">
        <f>F22-'This Year'!O26</f>
        <v/>
      </c>
    </row>
    <row r="23">
      <c r="B23" s="10" t="inlineStr">
        <is>
          <t>Miscellaneous</t>
        </is>
      </c>
      <c r="C23" s="7">
        <f>AVERAGE('This Year'!I27:N27)</f>
        <v/>
      </c>
      <c r="D23" s="5" t="n"/>
      <c r="E23" s="7">
        <f>IF(D23&lt;&gt;"",D23,C23)</f>
        <v/>
      </c>
      <c r="F23" s="7">
        <f>E23*12</f>
        <v/>
      </c>
      <c r="G23" s="7">
        <f>F23-'This Year'!O27</f>
        <v/>
      </c>
    </row>
    <row r="24">
      <c r="B24" s="2" t="n"/>
      <c r="C24" s="2" t="n"/>
      <c r="D24" s="2" t="n"/>
      <c r="E24" s="2" t="n"/>
      <c r="F24" s="2" t="n"/>
      <c r="G24" s="2" t="n"/>
    </row>
    <row r="25">
      <c r="B25" s="4" t="inlineStr">
        <is>
          <t>Projected Total</t>
        </is>
      </c>
      <c r="C25" s="2" t="n"/>
      <c r="D25" s="2" t="n"/>
      <c r="E25" s="2" t="n"/>
      <c r="F25" s="6">
        <f>SUM(F4:F23)</f>
        <v/>
      </c>
      <c r="G25" s="2" t="n"/>
    </row>
    <row r="26">
      <c r="B26" s="10" t="inlineStr">
        <is>
          <t>This Year Total</t>
        </is>
      </c>
      <c r="C26" s="2" t="n"/>
      <c r="D26" s="2" t="n"/>
      <c r="E26" s="2" t="n"/>
      <c r="F26" s="7">
        <f>'This Year'!O28</f>
        <v/>
      </c>
      <c r="G26" s="2" t="n"/>
    </row>
    <row r="27">
      <c r="B27" s="4" t="inlineStr">
        <is>
          <t>Projected Change</t>
        </is>
      </c>
      <c r="C27" s="2" t="n"/>
      <c r="D27" s="2" t="n"/>
      <c r="E27" s="2" t="n"/>
      <c r="F27" s="6">
        <f>F25-F26</f>
        <v/>
      </c>
      <c r="G2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/>
    <row r="2">
      <c r="B2" s="1" t="inlineStr">
        <is>
          <t>Annual Summary</t>
        </is>
      </c>
      <c r="C2" s="2" t="n"/>
      <c r="D2" s="2" t="n"/>
    </row>
    <row r="3">
      <c r="B3" s="2" t="n"/>
      <c r="C3" s="2" t="n"/>
      <c r="D3" s="2" t="n"/>
    </row>
    <row r="4">
      <c r="B4" s="8" t="inlineStr">
        <is>
          <t>KPIs</t>
        </is>
      </c>
      <c r="C4" s="2" t="n"/>
      <c r="D4" s="2" t="n"/>
    </row>
    <row r="5">
      <c r="B5" s="10" t="inlineStr">
        <is>
          <t>Total Spent This Year</t>
        </is>
      </c>
      <c r="C5" s="6">
        <f>'This Year'!O28</f>
        <v/>
      </c>
      <c r="D5" s="2" t="n"/>
    </row>
    <row r="6">
      <c r="B6" s="10" t="inlineStr">
        <is>
          <t>Total Spent Prior Year</t>
        </is>
      </c>
      <c r="C6" s="6">
        <f>'Prior Year'!O28</f>
        <v/>
      </c>
      <c r="D6" s="2" t="n"/>
    </row>
    <row r="7">
      <c r="B7" s="10" t="inlineStr">
        <is>
          <t>Savings Rate This Year</t>
        </is>
      </c>
      <c r="C7" s="13">
        <f>'This Year'!O29</f>
        <v/>
      </c>
      <c r="D7" s="2" t="n"/>
    </row>
    <row r="8">
      <c r="B8" s="10" t="inlineStr">
        <is>
          <t>Projected Next Year</t>
        </is>
      </c>
      <c r="C8" s="6">
        <f>Forecast!F25</f>
        <v/>
      </c>
      <c r="D8" s="2" t="n"/>
    </row>
    <row r="9">
      <c r="B9" s="2" t="n"/>
      <c r="C9" s="2" t="n"/>
      <c r="D9" s="2" t="n"/>
    </row>
    <row r="10">
      <c r="B10" s="2" t="n"/>
      <c r="C10" s="2" t="n"/>
      <c r="D10" s="2" t="n"/>
    </row>
    <row r="11">
      <c r="B11" s="15" t="inlineStr">
        <is>
          <t>Month</t>
        </is>
      </c>
      <c r="C11" s="15" t="inlineStr">
        <is>
          <t>This Year</t>
        </is>
      </c>
      <c r="D11" s="15" t="inlineStr">
        <is>
          <t>Prior Year</t>
        </is>
      </c>
    </row>
    <row r="12">
      <c r="B12" s="10" t="inlineStr">
        <is>
          <t>Jan</t>
        </is>
      </c>
      <c r="C12" s="7">
        <f>'This Year'!C28</f>
        <v/>
      </c>
      <c r="D12" s="7">
        <f>IFERROR('Prior Year'!C28,0)</f>
        <v/>
      </c>
    </row>
    <row r="13">
      <c r="B13" s="10" t="inlineStr">
        <is>
          <t>Feb</t>
        </is>
      </c>
      <c r="C13" s="7">
        <f>'This Year'!D28</f>
        <v/>
      </c>
      <c r="D13" s="7">
        <f>IFERROR('Prior Year'!D28,0)</f>
        <v/>
      </c>
    </row>
    <row r="14">
      <c r="B14" s="10" t="inlineStr">
        <is>
          <t>Mar</t>
        </is>
      </c>
      <c r="C14" s="7">
        <f>'This Year'!E28</f>
        <v/>
      </c>
      <c r="D14" s="7">
        <f>IFERROR('Prior Year'!E28,0)</f>
        <v/>
      </c>
    </row>
    <row r="15">
      <c r="B15" s="10" t="inlineStr">
        <is>
          <t>Apr</t>
        </is>
      </c>
      <c r="C15" s="7">
        <f>'This Year'!F28</f>
        <v/>
      </c>
      <c r="D15" s="7">
        <f>IFERROR('Prior Year'!F28,0)</f>
        <v/>
      </c>
    </row>
    <row r="16">
      <c r="B16" s="10" t="inlineStr">
        <is>
          <t>May</t>
        </is>
      </c>
      <c r="C16" s="7">
        <f>'This Year'!G28</f>
        <v/>
      </c>
      <c r="D16" s="7">
        <f>IFERROR('Prior Year'!G28,0)</f>
        <v/>
      </c>
    </row>
    <row r="17">
      <c r="B17" s="10" t="inlineStr">
        <is>
          <t>Jun</t>
        </is>
      </c>
      <c r="C17" s="7">
        <f>'This Year'!H28</f>
        <v/>
      </c>
      <c r="D17" s="7">
        <f>IFERROR('Prior Year'!H28,0)</f>
        <v/>
      </c>
    </row>
    <row r="18">
      <c r="B18" s="10" t="inlineStr">
        <is>
          <t>Jul</t>
        </is>
      </c>
      <c r="C18" s="7">
        <f>'This Year'!I28</f>
        <v/>
      </c>
      <c r="D18" s="7">
        <f>IFERROR('Prior Year'!I28,0)</f>
        <v/>
      </c>
    </row>
    <row r="19">
      <c r="B19" s="10" t="inlineStr">
        <is>
          <t>Aug</t>
        </is>
      </c>
      <c r="C19" s="7">
        <f>'This Year'!J28</f>
        <v/>
      </c>
      <c r="D19" s="7">
        <f>IFERROR('Prior Year'!J28,0)</f>
        <v/>
      </c>
    </row>
    <row r="20">
      <c r="B20" s="10" t="inlineStr">
        <is>
          <t>Sep</t>
        </is>
      </c>
      <c r="C20" s="7">
        <f>'This Year'!K28</f>
        <v/>
      </c>
      <c r="D20" s="7">
        <f>IFERROR('Prior Year'!K28,0)</f>
        <v/>
      </c>
    </row>
    <row r="21">
      <c r="B21" s="10" t="inlineStr">
        <is>
          <t>Oct</t>
        </is>
      </c>
      <c r="C21" s="7">
        <f>'This Year'!L28</f>
        <v/>
      </c>
      <c r="D21" s="7">
        <f>IFERROR('Prior Year'!L28,0)</f>
        <v/>
      </c>
    </row>
    <row r="22">
      <c r="B22" s="10" t="inlineStr">
        <is>
          <t>Nov</t>
        </is>
      </c>
      <c r="C22" s="7">
        <f>'This Year'!M28</f>
        <v/>
      </c>
      <c r="D22" s="7">
        <f>IFERROR('Prior Year'!M28,0)</f>
        <v/>
      </c>
    </row>
    <row r="23">
      <c r="B23" s="10" t="inlineStr">
        <is>
          <t>Dec</t>
        </is>
      </c>
      <c r="C23" s="7">
        <f>'This Year'!N28</f>
        <v/>
      </c>
      <c r="D23" s="7">
        <f>IFERROR('Prior Year'!N28,0)</f>
        <v/>
      </c>
    </row>
    <row r="24">
      <c r="B24" s="2" t="n"/>
      <c r="C24" s="2" t="n"/>
      <c r="D24" s="2" t="n"/>
    </row>
    <row r="25">
      <c r="B25" s="2" t="n"/>
      <c r="C25" s="2" t="n"/>
      <c r="D25" s="2" t="n"/>
    </row>
    <row r="26">
      <c r="B26" s="15" t="inlineStr">
        <is>
          <t>Category</t>
        </is>
      </c>
      <c r="C26" s="15" t="inlineStr">
        <is>
          <t>$ Change</t>
        </is>
      </c>
      <c r="D26" s="2" t="n"/>
    </row>
    <row r="27">
      <c r="B27" s="10">
        <f>'YoY Comparison'!B4</f>
        <v/>
      </c>
      <c r="C27" s="7">
        <f>'YoY Comparison'!E4</f>
        <v/>
      </c>
      <c r="D27" s="2" t="n"/>
    </row>
    <row r="28">
      <c r="B28" s="10">
        <f>'YoY Comparison'!B5</f>
        <v/>
      </c>
      <c r="C28" s="7">
        <f>'YoY Comparison'!E5</f>
        <v/>
      </c>
      <c r="D28" s="2" t="n"/>
    </row>
    <row r="29">
      <c r="B29" s="10">
        <f>'YoY Comparison'!B6</f>
        <v/>
      </c>
      <c r="C29" s="7">
        <f>'YoY Comparison'!E6</f>
        <v/>
      </c>
      <c r="D29" s="2" t="n"/>
    </row>
    <row r="30">
      <c r="B30" s="10">
        <f>'YoY Comparison'!B7</f>
        <v/>
      </c>
      <c r="C30" s="7">
        <f>'YoY Comparison'!E7</f>
        <v/>
      </c>
      <c r="D30" s="2" t="n"/>
    </row>
    <row r="31">
      <c r="B31" s="10">
        <f>'YoY Comparison'!B8</f>
        <v/>
      </c>
      <c r="C31" s="7">
        <f>'YoY Comparison'!E8</f>
        <v/>
      </c>
      <c r="D31" s="2" t="n"/>
    </row>
    <row r="32">
      <c r="B32" s="10">
        <f>'YoY Comparison'!B9</f>
        <v/>
      </c>
      <c r="C32" s="7">
        <f>'YoY Comparison'!E9</f>
        <v/>
      </c>
      <c r="D32" s="2" t="n"/>
    </row>
    <row r="33">
      <c r="B33" s="10">
        <f>'YoY Comparison'!B10</f>
        <v/>
      </c>
      <c r="C33" s="7">
        <f>'YoY Comparison'!E10</f>
        <v/>
      </c>
      <c r="D33" s="2" t="n"/>
    </row>
    <row r="34">
      <c r="B34" s="10">
        <f>'YoY Comparison'!B11</f>
        <v/>
      </c>
      <c r="C34" s="7">
        <f>'YoY Comparison'!E11</f>
        <v/>
      </c>
      <c r="D34" s="2" t="n"/>
    </row>
    <row r="35">
      <c r="B35" s="10">
        <f>'YoY Comparison'!B12</f>
        <v/>
      </c>
      <c r="C35" s="7">
        <f>'YoY Comparison'!E12</f>
        <v/>
      </c>
      <c r="D35" s="2" t="n"/>
    </row>
    <row r="36">
      <c r="B36" s="10">
        <f>'YoY Comparison'!B13</f>
        <v/>
      </c>
      <c r="C36" s="7">
        <f>'YoY Comparison'!E13</f>
        <v/>
      </c>
      <c r="D36" s="2" t="n"/>
    </row>
    <row r="37">
      <c r="B37" s="10">
        <f>'YoY Comparison'!B14</f>
        <v/>
      </c>
      <c r="C37" s="7">
        <f>'YoY Comparison'!E14</f>
        <v/>
      </c>
      <c r="D37" s="2" t="n"/>
    </row>
    <row r="38">
      <c r="B38" s="10">
        <f>'YoY Comparison'!B15</f>
        <v/>
      </c>
      <c r="C38" s="7">
        <f>'YoY Comparison'!E15</f>
        <v/>
      </c>
      <c r="D38" s="2" t="n"/>
    </row>
    <row r="39">
      <c r="B39" s="10">
        <f>'YoY Comparison'!B16</f>
        <v/>
      </c>
      <c r="C39" s="7">
        <f>'YoY Comparison'!E16</f>
        <v/>
      </c>
      <c r="D39" s="2" t="n"/>
    </row>
    <row r="40">
      <c r="B40" s="10">
        <f>'YoY Comparison'!B17</f>
        <v/>
      </c>
      <c r="C40" s="7">
        <f>'YoY Comparison'!E17</f>
        <v/>
      </c>
      <c r="D40" s="2" t="n"/>
    </row>
    <row r="41">
      <c r="B41" s="10">
        <f>'YoY Comparison'!B18</f>
        <v/>
      </c>
      <c r="C41" s="7">
        <f>'YoY Comparison'!E18</f>
        <v/>
      </c>
      <c r="D41" s="2" t="n"/>
    </row>
    <row r="42">
      <c r="B42" s="10">
        <f>'YoY Comparison'!B19</f>
        <v/>
      </c>
      <c r="C42" s="7">
        <f>'YoY Comparison'!E19</f>
        <v/>
      </c>
      <c r="D42" s="2" t="n"/>
    </row>
    <row r="43">
      <c r="B43" s="10">
        <f>'YoY Comparison'!B20</f>
        <v/>
      </c>
      <c r="C43" s="7">
        <f>'YoY Comparison'!E20</f>
        <v/>
      </c>
      <c r="D43" s="2" t="n"/>
    </row>
    <row r="44">
      <c r="B44" s="10">
        <f>'YoY Comparison'!B21</f>
        <v/>
      </c>
      <c r="C44" s="7">
        <f>'YoY Comparison'!E21</f>
        <v/>
      </c>
      <c r="D44" s="2" t="n"/>
    </row>
    <row r="45">
      <c r="B45" s="10">
        <f>'YoY Comparison'!B22</f>
        <v/>
      </c>
      <c r="C45" s="7">
        <f>'YoY Comparison'!E22</f>
        <v/>
      </c>
      <c r="D45" s="2" t="n"/>
    </row>
    <row r="46">
      <c r="B46" s="10">
        <f>'YoY Comparison'!B23</f>
        <v/>
      </c>
      <c r="C46" s="7">
        <f>'YoY Comparison'!E23</f>
        <v/>
      </c>
      <c r="D46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2" max="2"/>
  </cols>
  <sheetData>
    <row r="1"/>
    <row r="2">
      <c r="B2" s="2" t="n"/>
      <c r="C2" s="2" t="n"/>
    </row>
    <row r="3">
      <c r="B3" s="2" t="n"/>
      <c r="C3" s="16" t="inlineStr">
        <is>
          <t>Annual Spending Review</t>
        </is>
      </c>
    </row>
    <row r="4">
      <c r="B4" s="2" t="n"/>
      <c r="C4" s="16" t="inlineStr"/>
    </row>
    <row r="5">
      <c r="B5" s="2" t="n"/>
      <c r="C5" s="16" t="inlineStr">
        <is>
          <t>This Year uses sample 2025 data. Prior Year uses sample 2024 data.</t>
        </is>
      </c>
    </row>
    <row r="6">
      <c r="B6" s="2" t="n"/>
      <c r="C6" s="16" t="inlineStr">
        <is>
          <t>All amounts are fictional.</t>
        </is>
      </c>
    </row>
    <row r="7">
      <c r="B7" s="2" t="n"/>
      <c r="C7" s="16" t="inlineStr">
        <is>
          <t>Enter or paste your own monthly spending into This Year and Prior Year.</t>
        </is>
      </c>
    </row>
    <row r="8">
      <c r="B8" s="2" t="n"/>
      <c r="C8" s="16" t="inlineStr">
        <is>
          <t>Category Stats and YoY Comparison update automatically.</t>
        </is>
      </c>
    </row>
    <row r="9">
      <c r="B9" s="2" t="n"/>
      <c r="C9" s="16" t="inlineStr">
        <is>
          <t>Use the Override column on the Forecast sheet to adjust projections.</t>
        </is>
      </c>
    </row>
    <row r="10">
      <c r="B10" s="2" t="n"/>
      <c r="C10" s="16" t="inlineStr">
        <is>
          <t>Do not insert or delete rows inside the category ranges.</t>
        </is>
      </c>
    </row>
    <row r="11">
      <c r="B11" s="2" t="n"/>
      <c r="C11" s="16" t="inlineStr">
        <is>
          <t>This is not financial advice. Talk to a professional about your situation.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McBride</dc:creator>
  <dcterms:created xsi:type="dcterms:W3CDTF">2021-08-16T08:44:59Z</dcterms:created>
  <dcterms:modified xsi:type="dcterms:W3CDTF">2023-01-26T16:36:00Z</dcterms:modified>
  <cp:lastModifiedBy>Lauren McBride</cp:lastModifiedBy>
  <cp:revision>1</cp:revision>
</cp:coreProperties>
</file>