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drawings/drawing1.xml" ContentType="application/vnd.openxmlformats-officedocument.drawing+xml"/>
  <Override PartName="/xl/worksheets/sheet6.xml" ContentType="application/vnd.openxmlformats-officedocument.spreadsheetml.worksheet+xml"/>
  <Override PartName="/xl/charts/chart1.xml" ContentType="application/vnd.openxmlformats-officedocument.drawingml.chart+xml"/>
  <Override PartName="/xl/charts/chart2.xml" ContentType="application/vnd.openxmlformats-officedocument.drawingml.char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Envelopes" sheetId="1" state="visible" r:id="rId1"/>
    <sheet xmlns:r="http://schemas.openxmlformats.org/officeDocument/2006/relationships" name="Funding" sheetId="2" state="visible" r:id="rId2"/>
    <sheet xmlns:r="http://schemas.openxmlformats.org/officeDocument/2006/relationships" name="Spending" sheetId="3" state="visible" r:id="rId3"/>
    <sheet xmlns:r="http://schemas.openxmlformats.org/officeDocument/2006/relationships" name="Monthly Balances" sheetId="4" state="visible" r:id="rId4"/>
    <sheet xmlns:r="http://schemas.openxmlformats.org/officeDocument/2006/relationships" name="Dashboard" sheetId="5" state="visible" r:id="rId5"/>
    <sheet xmlns:r="http://schemas.openxmlformats.org/officeDocument/2006/relationships" name="Readme" sheetId="6" state="visible" r:id="rId6"/>
  </sheets>
  <definedNames/>
  <calcPr calcId="124519" fullCalcOnLoad="1"/>
</workbook>
</file>

<file path=xl/styles.xml><?xml version="1.0" encoding="utf-8"?>
<styleSheet xmlns="http://schemas.openxmlformats.org/spreadsheetml/2006/main">
  <numFmts count="4">
    <numFmt numFmtId="164" formatCode="&quot;$&quot;#,##0"/>
    <numFmt numFmtId="165" formatCode="yyyy-mm-dd"/>
    <numFmt numFmtId="166" formatCode="m/d/yyyy"/>
    <numFmt numFmtId="167" formatCode="&quot;$&quot;#,##0.00"/>
  </numFmts>
  <fonts count="10">
    <font>
      <name val="Calibri"/>
      <family val="2"/>
      <color theme="1"/>
      <sz val="11"/>
      <scheme val="minor"/>
    </font>
    <font>
      <name val="Calibri"/>
      <b val="1"/>
      <color rgb="003E3A36"/>
      <sz val="14"/>
    </font>
    <font>
      <name val="Calibri"/>
      <b val="1"/>
      <color rgb="00F4F1EC"/>
      <sz val="11"/>
    </font>
    <font>
      <name val="Calibri"/>
      <color rgb="003E3A36"/>
      <sz val="11"/>
    </font>
    <font>
      <name val="Calibri"/>
      <b val="1"/>
      <color rgb="003E3A36"/>
      <sz val="11"/>
    </font>
    <font>
      <name val="Calibri"/>
      <color rgb="00999999"/>
      <sz val="11"/>
    </font>
    <font>
      <name val="Arial"/>
      <b val="1"/>
      <color rgb="00000000"/>
      <sz val="14"/>
    </font>
    <font>
      <name val="Arial"/>
      <family val="2"/>
      <color theme="1"/>
      <sz val="11"/>
      <scheme val="minor"/>
    </font>
    <font>
      <name val="Arial"/>
      <b val="1"/>
      <color rgb="00000000"/>
      <sz val="11"/>
    </font>
    <font>
      <name val="Arial"/>
      <color rgb="00000000"/>
      <sz val="11"/>
    </font>
  </fonts>
  <fills count="4">
    <fill>
      <patternFill/>
    </fill>
    <fill>
      <patternFill patternType="gray125"/>
    </fill>
    <fill>
      <patternFill patternType="solid">
        <fgColor rgb="004A7C7E"/>
      </patternFill>
    </fill>
    <fill>
      <patternFill patternType="solid">
        <fgColor rgb="00E8E3DB"/>
      </patternFill>
    </fill>
  </fills>
  <borders count="4">
    <border>
      <left/>
      <right/>
      <top/>
      <bottom/>
      <diagonal/>
    </border>
    <border>
      <bottom style="thin">
        <color rgb="00B5AFA6"/>
      </bottom>
    </border>
    <border>
      <right style="hair">
        <color rgb="00B5AFA6"/>
      </right>
      <bottom style="hair">
        <color rgb="00B5AFA6"/>
      </bottom>
    </border>
    <border>
      <left style="thin">
        <color rgb="004A7C7E"/>
      </left>
      <bottom style="thin">
        <color rgb="00B5AFA6"/>
      </bottom>
    </border>
  </borders>
  <cellStyleXfs count="1">
    <xf numFmtId="0" fontId="0" fillId="0" borderId="0"/>
  </cellStyleXfs>
  <cellXfs count="16">
    <xf numFmtId="0" fontId="0" fillId="0" borderId="0" pivotButton="0" quotePrefix="0" xfId="0"/>
    <xf numFmtId="0" fontId="6" fillId="0" borderId="0" applyAlignment="1" pivotButton="0" quotePrefix="0" xfId="0">
      <alignment vertical="center"/>
    </xf>
    <xf numFmtId="0" fontId="7" fillId="0" borderId="0" applyAlignment="1" pivotButton="0" quotePrefix="0" xfId="0">
      <alignment vertical="center"/>
    </xf>
    <xf numFmtId="0" fontId="8" fillId="2" borderId="1" applyAlignment="1" pivotButton="0" quotePrefix="0" xfId="0">
      <alignment horizontal="center" vertical="center"/>
    </xf>
    <xf numFmtId="0" fontId="9" fillId="0" borderId="0" applyAlignment="1" pivotButton="0" quotePrefix="0" xfId="0">
      <alignment vertical="center"/>
    </xf>
    <xf numFmtId="164" fontId="9" fillId="3" borderId="0" applyAlignment="1" pivotButton="0" quotePrefix="0" xfId="0">
      <alignment vertical="center"/>
    </xf>
    <xf numFmtId="164" fontId="9" fillId="0" borderId="0" applyAlignment="1" pivotButton="0" quotePrefix="0" xfId="0">
      <alignment vertical="center"/>
    </xf>
    <xf numFmtId="166" fontId="9" fillId="0" borderId="0" applyAlignment="1" pivotButton="0" quotePrefix="0" xfId="0">
      <alignment vertical="center"/>
    </xf>
    <xf numFmtId="164" fontId="9" fillId="3" borderId="2" applyAlignment="1" pivotButton="0" quotePrefix="0" xfId="0">
      <alignment vertical="center"/>
    </xf>
    <xf numFmtId="164" fontId="8" fillId="0" borderId="0" applyAlignment="1" pivotButton="0" quotePrefix="0" xfId="0">
      <alignment vertical="center"/>
    </xf>
    <xf numFmtId="0" fontId="8" fillId="2" borderId="1" applyAlignment="1" pivotButton="0" quotePrefix="0" xfId="0">
      <alignment vertical="center"/>
    </xf>
    <xf numFmtId="167" fontId="9" fillId="0" borderId="0" applyAlignment="1" pivotButton="0" quotePrefix="0" xfId="0">
      <alignment vertical="center"/>
    </xf>
    <xf numFmtId="0" fontId="8" fillId="2" borderId="3" applyAlignment="1" pivotButton="0" quotePrefix="0" xfId="0">
      <alignment horizontal="center" vertical="center"/>
    </xf>
    <xf numFmtId="164" fontId="9" fillId="0" borderId="2" applyAlignment="1" pivotButton="0" quotePrefix="0" xfId="0">
      <alignment vertical="center"/>
    </xf>
    <xf numFmtId="0" fontId="8" fillId="0" borderId="0" applyAlignment="1" pivotButton="0" quotePrefix="0" xfId="0">
      <alignment vertical="center"/>
    </xf>
    <xf numFmtId="0" fontId="8" fillId="2" borderId="0" applyAlignment="1" pivotButton="0" quotePrefix="0" xfId="0">
      <alignment vertical="center"/>
    </xf>
  </cellXfs>
  <cellStyles count="1">
    <cellStyle name="Normal" xfId="0" builtinId="0" hidden="0"/>
  </cellStyles>
  <dxfs count="1">
    <dxf>
      <fill>
        <patternFill patternType="solid">
          <fgColor rgb="00C9625E"/>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styles" Target="styles.xml" Id="rId7"/><Relationship Type="http://schemas.openxmlformats.org/officeDocument/2006/relationships/theme" Target="theme/theme1.xml" Id="rId8"/></Relationships>
</file>

<file path=xl/charts/chart1.xml><?xml version="1.0" encoding="utf-8"?>
<chartSpace xmlns="http://schemas.openxmlformats.org/drawingml/2006/chart">
  <chart>
    <title>
      <tx>
        <rich>
          <a:bodyPr xmlns:a="http://schemas.openxmlformats.org/drawingml/2006/main"/>
          <a:p xmlns:a="http://schemas.openxmlformats.org/drawingml/2006/main">
            <a:pPr>
              <a:defRPr/>
            </a:pPr>
            <a:r>
              <a:t>December Envelope Balances</a:t>
            </a:r>
          </a:p>
        </rich>
      </tx>
    </title>
    <plotArea>
      <barChart>
        <barDir val="bar"/>
        <grouping val="clustered"/>
        <ser>
          <idx val="0"/>
          <order val="0"/>
          <tx>
            <strRef>
              <f>'Dashboard'!C8</f>
            </strRef>
          </tx>
          <spPr>
            <a:ln xmlns:a="http://schemas.openxmlformats.org/drawingml/2006/main">
              <a:prstDash val="solid"/>
            </a:ln>
          </spPr>
          <cat>
            <numRef>
              <f>'Dashboard'!$B$9:$B$24</f>
            </numRef>
          </cat>
          <val>
            <numRef>
              <f>'Dashboard'!$C$9:$C$24</f>
            </numRef>
          </val>
        </ser>
        <gapWidth val="150"/>
        <axId val="10"/>
        <axId val="100"/>
      </barChart>
      <catAx>
        <axId val="10"/>
        <scaling>
          <orientation val="minMax"/>
        </scaling>
        <axPos val="l"/>
        <title>
          <tx>
            <rich>
              <a:bodyPr xmlns:a="http://schemas.openxmlformats.org/drawingml/2006/main"/>
              <a:p xmlns:a="http://schemas.openxmlformats.org/drawingml/2006/main">
                <a:pPr>
                  <a:defRPr/>
                </a:pPr>
                <a:r>
                  <a:t>Balance</a:t>
                </a:r>
              </a:p>
            </rich>
          </tx>
        </title>
        <majorTickMark val="none"/>
        <minorTickMark val="none"/>
        <crossAx val="100"/>
        <lblOffset val="100"/>
      </catAx>
      <valAx>
        <axId val="100"/>
        <scaling>
          <orientation val="minMax"/>
        </scaling>
        <axPos val="l"/>
        <majorGridlines/>
        <title>
          <tx>
            <rich>
              <a:bodyPr xmlns:a="http://schemas.openxmlformats.org/drawingml/2006/main"/>
              <a:p xmlns:a="http://schemas.openxmlformats.org/drawingml/2006/main">
                <a:pPr>
                  <a:defRPr/>
                </a:pPr>
                <a:r>
                  <a:t>Envelope</a:t>
                </a:r>
              </a:p>
            </rich>
          </tx>
        </title>
        <majorTickMark val="none"/>
        <minorTickMark val="none"/>
        <crossAx val="10"/>
      </valAx>
    </plotArea>
    <legend>
      <legendPos val="r"/>
    </legend>
    <plotVisOnly val="1"/>
    <dispBlanksAs val="gap"/>
  </chart>
</chartSpace>
</file>

<file path=xl/charts/chart2.xml><?xml version="1.0" encoding="utf-8"?>
<chartSpace xmlns="http://schemas.openxmlformats.org/drawingml/2006/chart">
  <chart>
    <title>
      <tx>
        <rich>
          <a:bodyPr xmlns:a="http://schemas.openxmlformats.org/drawingml/2006/main"/>
          <a:p xmlns:a="http://schemas.openxmlformats.org/drawingml/2006/main">
            <a:pPr>
              <a:defRPr/>
            </a:pPr>
            <a:r>
              <a:t>Monthly Funded vs Spent</a:t>
            </a:r>
          </a:p>
        </rich>
      </tx>
    </title>
    <plotArea>
      <lineChart>
        <grouping val="standard"/>
        <ser>
          <idx val="0"/>
          <order val="0"/>
          <tx>
            <strRef>
              <f>'Dashboard'!C27</f>
            </strRef>
          </tx>
          <spPr>
            <a:ln xmlns:a="http://schemas.openxmlformats.org/drawingml/2006/main">
              <a:prstDash val="solid"/>
            </a:ln>
          </spPr>
          <marker>
            <symbol val="none"/>
            <spPr>
              <a:ln xmlns:a="http://schemas.openxmlformats.org/drawingml/2006/main">
                <a:prstDash val="solid"/>
              </a:ln>
            </spPr>
          </marker>
          <cat>
            <numRef>
              <f>'Dashboard'!$B$28:$B$39</f>
            </numRef>
          </cat>
          <val>
            <numRef>
              <f>'Dashboard'!$C$28:$C$39</f>
            </numRef>
          </val>
        </ser>
        <ser>
          <idx val="1"/>
          <order val="1"/>
          <tx>
            <strRef>
              <f>'Dashboard'!D27</f>
            </strRef>
          </tx>
          <spPr>
            <a:ln xmlns:a="http://schemas.openxmlformats.org/drawingml/2006/main">
              <a:prstDash val="solid"/>
            </a:ln>
          </spPr>
          <marker>
            <symbol val="none"/>
            <spPr>
              <a:ln xmlns:a="http://schemas.openxmlformats.org/drawingml/2006/main">
                <a:prstDash val="solid"/>
              </a:ln>
            </spPr>
          </marker>
          <cat>
            <numRef>
              <f>'Dashboard'!$B$28:$B$39</f>
            </numRef>
          </cat>
          <val>
            <numRef>
              <f>'Dashboard'!$D$28:$D$39</f>
            </numRef>
          </val>
        </ser>
        <axId val="10"/>
        <axId val="100"/>
      </lineChart>
      <catAx>
        <axId val="10"/>
        <scaling>
          <orientation val="minMax"/>
        </scaling>
        <axPos val="l"/>
        <majorTickMark val="none"/>
        <minorTickMark val="none"/>
        <crossAx val="100"/>
        <lblOffset val="100"/>
      </catAx>
      <valAx>
        <axId val="100"/>
        <scaling>
          <orientation val="minMax"/>
        </scaling>
        <axPos val="l"/>
        <majorGridlines/>
        <title>
          <tx>
            <rich>
              <a:bodyPr xmlns:a="http://schemas.openxmlformats.org/drawingml/2006/main"/>
              <a:p xmlns:a="http://schemas.openxmlformats.org/drawingml/2006/main">
                <a:pPr>
                  <a:defRPr/>
                </a:pPr>
                <a:r>
                  <a:t>Dollars</a:t>
                </a:r>
              </a:p>
            </rich>
          </tx>
        </title>
        <majorTickMark val="none"/>
        <minorTickMark val="none"/>
        <crossAx val="10"/>
      </valAx>
    </plotArea>
    <legend>
      <legendPos val="r"/>
    </legend>
    <plotVisOnly val="1"/>
    <dispBlanksAs val="gap"/>
  </chart>
</chartSpace>
</file>

<file path=xl/drawings/_rels/drawing1.xml.rels><Relationships xmlns="http://schemas.openxmlformats.org/package/2006/relationships"><Relationship Type="http://schemas.openxmlformats.org/officeDocument/2006/relationships/chart" Target="/xl/charts/chart1.xml" Id="rId1"/><Relationship Type="http://schemas.openxmlformats.org/officeDocument/2006/relationships/chart" Target="/xl/charts/chart2.xml" Id="rId2"/></Relationships>
</file>

<file path=xl/drawings/drawing1.xml><?xml version="1.0" encoding="utf-8"?>
<wsDr xmlns="http://schemas.openxmlformats.org/drawingml/2006/spreadsheetDrawing">
  <oneCellAnchor>
    <from>
      <col>4</col>
      <colOff>0</colOff>
      <row>6</row>
      <rowOff>0</rowOff>
    </from>
    <ext cx="5760000" cy="4320000"/>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oneCellAnchor>
  <oneCellAnchor>
    <from>
      <col>4</col>
      <colOff>0</colOff>
      <row>26</row>
      <rowOff>0</rowOff>
    </from>
    <ext cx="5760000" cy="3600000"/>
    <graphicFrame>
      <nvGraphicFramePr>
        <cNvPr id="2" name="Chart 2"/>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
        </a:graphicData>
      </a:graphic>
    </graphicFrame>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5.xml.rels><Relationships xmlns="http://schemas.openxmlformats.org/package/2006/relationships"><Relationship Type="http://schemas.openxmlformats.org/officeDocument/2006/relationships/drawing" Target="/xl/drawings/drawing1.xml" Id="rId1"/></Relationships>
</file>

<file path=xl/worksheets/sheet1.xml><?xml version="1.0" encoding="utf-8"?>
<worksheet xmlns="http://schemas.openxmlformats.org/spreadsheetml/2006/main">
  <sheetPr>
    <outlinePr summaryBelow="1" summaryRight="1"/>
    <pageSetUpPr/>
  </sheetPr>
  <dimension ref="A1:G19"/>
  <sheetViews>
    <sheetView showGridLines="0" workbookViewId="0">
      <pane xSplit="1" ySplit="3" topLeftCell="B4" activePane="bottomRight" state="frozen"/>
      <selection pane="topRight"/>
      <selection pane="bottomLeft"/>
      <selection pane="bottomRight" activeCell="A1" sqref="A1"/>
    </sheetView>
  </sheetViews>
  <sheetFormatPr baseColWidth="8" defaultRowHeight="15"/>
  <cols>
    <col width="20" customWidth="1" min="1" max="1"/>
    <col width="14" customWidth="1" min="2" max="2"/>
    <col width="16" customWidth="1" min="3" max="3"/>
    <col width="11" customWidth="1" min="4" max="4"/>
    <col width="10" customWidth="1" min="5" max="5"/>
    <col width="15" customWidth="1" min="6" max="6"/>
  </cols>
  <sheetData>
    <row r="1"/>
    <row r="2">
      <c r="B2" s="1" t="inlineStr">
        <is>
          <t>Envelope Setup</t>
        </is>
      </c>
      <c r="C2" s="2" t="n"/>
      <c r="D2" s="2" t="n"/>
      <c r="E2" s="2" t="n"/>
      <c r="F2" s="2" t="n"/>
      <c r="G2" s="2" t="n"/>
    </row>
    <row r="3">
      <c r="B3" s="3" t="inlineStr">
        <is>
          <t>Envelope</t>
        </is>
      </c>
      <c r="C3" s="3" t="inlineStr">
        <is>
          <t>Group</t>
        </is>
      </c>
      <c r="D3" s="3" t="inlineStr">
        <is>
          <t>Monthly Target</t>
        </is>
      </c>
      <c r="E3" s="3" t="inlineStr">
        <is>
          <t>Rollover</t>
        </is>
      </c>
      <c r="F3" s="3" t="inlineStr">
        <is>
          <t>Priority</t>
        </is>
      </c>
      <c r="G3" s="3" t="inlineStr">
        <is>
          <t>Annual Target</t>
        </is>
      </c>
    </row>
    <row r="4">
      <c r="B4" s="4" t="inlineStr">
        <is>
          <t>Rent</t>
        </is>
      </c>
      <c r="C4" s="4" t="inlineStr">
        <is>
          <t>Essentials</t>
        </is>
      </c>
      <c r="D4" s="5" t="n">
        <v>1500</v>
      </c>
      <c r="E4" s="4" t="inlineStr">
        <is>
          <t>Yes</t>
        </is>
      </c>
      <c r="F4" s="4" t="n">
        <v>1</v>
      </c>
      <c r="G4" s="6">
        <f>D4*12</f>
        <v/>
      </c>
    </row>
    <row r="5">
      <c r="B5" s="4" t="inlineStr">
        <is>
          <t>Utilities</t>
        </is>
      </c>
      <c r="C5" s="4" t="inlineStr">
        <is>
          <t>Essentials</t>
        </is>
      </c>
      <c r="D5" s="5" t="n">
        <v>170</v>
      </c>
      <c r="E5" s="4" t="inlineStr">
        <is>
          <t>Yes</t>
        </is>
      </c>
      <c r="F5" s="4" t="n">
        <v>2</v>
      </c>
      <c r="G5" s="6">
        <f>D5*12</f>
        <v/>
      </c>
    </row>
    <row r="6">
      <c r="B6" s="4" t="inlineStr">
        <is>
          <t>Groceries</t>
        </is>
      </c>
      <c r="C6" s="4" t="inlineStr">
        <is>
          <t>Essentials</t>
        </is>
      </c>
      <c r="D6" s="5" t="n">
        <v>400</v>
      </c>
      <c r="E6" s="4" t="inlineStr">
        <is>
          <t>Yes</t>
        </is>
      </c>
      <c r="F6" s="4" t="n">
        <v>3</v>
      </c>
      <c r="G6" s="6">
        <f>D6*12</f>
        <v/>
      </c>
    </row>
    <row r="7">
      <c r="B7" s="4" t="inlineStr">
        <is>
          <t>Gas</t>
        </is>
      </c>
      <c r="C7" s="4" t="inlineStr">
        <is>
          <t>Essentials</t>
        </is>
      </c>
      <c r="D7" s="5" t="n">
        <v>130</v>
      </c>
      <c r="E7" s="4" t="inlineStr">
        <is>
          <t>Yes</t>
        </is>
      </c>
      <c r="F7" s="4" t="n">
        <v>4</v>
      </c>
      <c r="G7" s="6">
        <f>D7*12</f>
        <v/>
      </c>
    </row>
    <row r="8">
      <c r="B8" s="4" t="inlineStr">
        <is>
          <t>Auto Insurance</t>
        </is>
      </c>
      <c r="C8" s="4" t="inlineStr">
        <is>
          <t>Essentials</t>
        </is>
      </c>
      <c r="D8" s="5" t="n">
        <v>110</v>
      </c>
      <c r="E8" s="4" t="inlineStr">
        <is>
          <t>Yes</t>
        </is>
      </c>
      <c r="F8" s="4" t="n">
        <v>5</v>
      </c>
      <c r="G8" s="6">
        <f>D8*12</f>
        <v/>
      </c>
    </row>
    <row r="9">
      <c r="B9" s="4" t="inlineStr">
        <is>
          <t>Phone</t>
        </is>
      </c>
      <c r="C9" s="4" t="inlineStr">
        <is>
          <t>Essentials</t>
        </is>
      </c>
      <c r="D9" s="5" t="n">
        <v>75</v>
      </c>
      <c r="E9" s="4" t="inlineStr">
        <is>
          <t>Yes</t>
        </is>
      </c>
      <c r="F9" s="4" t="n">
        <v>6</v>
      </c>
      <c r="G9" s="6">
        <f>D9*12</f>
        <v/>
      </c>
    </row>
    <row r="10">
      <c r="B10" s="4" t="inlineStr">
        <is>
          <t>Medical</t>
        </is>
      </c>
      <c r="C10" s="4" t="inlineStr">
        <is>
          <t>Essentials</t>
        </is>
      </c>
      <c r="D10" s="5" t="n">
        <v>60</v>
      </c>
      <c r="E10" s="4" t="inlineStr">
        <is>
          <t>Yes</t>
        </is>
      </c>
      <c r="F10" s="4" t="n">
        <v>7</v>
      </c>
      <c r="G10" s="6">
        <f>D10*12</f>
        <v/>
      </c>
    </row>
    <row r="11">
      <c r="B11" s="4" t="inlineStr">
        <is>
          <t>Dining Out</t>
        </is>
      </c>
      <c r="C11" s="4" t="inlineStr">
        <is>
          <t>Lifestyle</t>
        </is>
      </c>
      <c r="D11" s="5" t="n">
        <v>160</v>
      </c>
      <c r="E11" s="4" t="inlineStr">
        <is>
          <t>No</t>
        </is>
      </c>
      <c r="F11" s="4" t="n">
        <v>8</v>
      </c>
      <c r="G11" s="6">
        <f>D11*12</f>
        <v/>
      </c>
    </row>
    <row r="12">
      <c r="B12" s="4" t="inlineStr">
        <is>
          <t>Coffee</t>
        </is>
      </c>
      <c r="C12" s="4" t="inlineStr">
        <is>
          <t>Lifestyle</t>
        </is>
      </c>
      <c r="D12" s="5" t="n">
        <v>40</v>
      </c>
      <c r="E12" s="4" t="inlineStr">
        <is>
          <t>No</t>
        </is>
      </c>
      <c r="F12" s="4" t="n">
        <v>9</v>
      </c>
      <c r="G12" s="6">
        <f>D12*12</f>
        <v/>
      </c>
    </row>
    <row r="13">
      <c r="B13" s="4" t="inlineStr">
        <is>
          <t>Entertainment</t>
        </is>
      </c>
      <c r="C13" s="4" t="inlineStr">
        <is>
          <t>Lifestyle</t>
        </is>
      </c>
      <c r="D13" s="5" t="n">
        <v>80</v>
      </c>
      <c r="E13" s="4" t="inlineStr">
        <is>
          <t>No</t>
        </is>
      </c>
      <c r="F13" s="4" t="n">
        <v>10</v>
      </c>
      <c r="G13" s="6">
        <f>D13*12</f>
        <v/>
      </c>
    </row>
    <row r="14">
      <c r="B14" s="4" t="inlineStr">
        <is>
          <t>Clothing</t>
        </is>
      </c>
      <c r="C14" s="4" t="inlineStr">
        <is>
          <t>Lifestyle</t>
        </is>
      </c>
      <c r="D14" s="5" t="n">
        <v>70</v>
      </c>
      <c r="E14" s="4" t="inlineStr">
        <is>
          <t>No</t>
        </is>
      </c>
      <c r="F14" s="4" t="n">
        <v>11</v>
      </c>
      <c r="G14" s="6">
        <f>D14*12</f>
        <v/>
      </c>
    </row>
    <row r="15">
      <c r="B15" s="4" t="inlineStr">
        <is>
          <t>Personal Care</t>
        </is>
      </c>
      <c r="C15" s="4" t="inlineStr">
        <is>
          <t>Lifestyle</t>
        </is>
      </c>
      <c r="D15" s="5" t="n">
        <v>35</v>
      </c>
      <c r="E15" s="4" t="inlineStr">
        <is>
          <t>No</t>
        </is>
      </c>
      <c r="F15" s="4" t="n">
        <v>12</v>
      </c>
      <c r="G15" s="6">
        <f>D15*12</f>
        <v/>
      </c>
    </row>
    <row r="16">
      <c r="B16" s="4" t="inlineStr">
        <is>
          <t>Subscriptions</t>
        </is>
      </c>
      <c r="C16" s="4" t="inlineStr">
        <is>
          <t>Lifestyle</t>
        </is>
      </c>
      <c r="D16" s="5" t="n">
        <v>50</v>
      </c>
      <c r="E16" s="4" t="inlineStr">
        <is>
          <t>No</t>
        </is>
      </c>
      <c r="F16" s="4" t="n">
        <v>13</v>
      </c>
      <c r="G16" s="6">
        <f>D16*12</f>
        <v/>
      </c>
    </row>
    <row r="17">
      <c r="B17" s="4" t="inlineStr">
        <is>
          <t>Emergency Fund</t>
        </is>
      </c>
      <c r="C17" s="4" t="inlineStr">
        <is>
          <t>Goals</t>
        </is>
      </c>
      <c r="D17" s="5" t="n">
        <v>250</v>
      </c>
      <c r="E17" s="4" t="inlineStr">
        <is>
          <t>Yes</t>
        </is>
      </c>
      <c r="F17" s="4" t="n">
        <v>14</v>
      </c>
      <c r="G17" s="6">
        <f>D17*12</f>
        <v/>
      </c>
    </row>
    <row r="18">
      <c r="B18" s="4" t="inlineStr">
        <is>
          <t>Vacation</t>
        </is>
      </c>
      <c r="C18" s="4" t="inlineStr">
        <is>
          <t>Goals</t>
        </is>
      </c>
      <c r="D18" s="5" t="n">
        <v>120</v>
      </c>
      <c r="E18" s="4" t="inlineStr">
        <is>
          <t>Yes</t>
        </is>
      </c>
      <c r="F18" s="4" t="n">
        <v>15</v>
      </c>
      <c r="G18" s="6">
        <f>D18*12</f>
        <v/>
      </c>
    </row>
    <row r="19">
      <c r="B19" s="4" t="inlineStr">
        <is>
          <t>Car Repair Fund</t>
        </is>
      </c>
      <c r="C19" s="4" t="inlineStr">
        <is>
          <t>Goals</t>
        </is>
      </c>
      <c r="D19" s="5" t="n">
        <v>80</v>
      </c>
      <c r="E19" s="4" t="inlineStr">
        <is>
          <t>Yes</t>
        </is>
      </c>
      <c r="F19" s="4" t="n">
        <v>16</v>
      </c>
      <c r="G19" s="6">
        <f>D19*12</f>
        <v/>
      </c>
    </row>
  </sheetData>
  <dataValidations count="2">
    <dataValidation sqref="C4 C5 C6 C7 C8 C9 C10 C11 C12 C13 C14 C15 C16 C17 C18 C19" showDropDown="0" showInputMessage="0" showErrorMessage="0" allowBlank="0" type="list">
      <formula1>"Essentials,Lifestyle,Goals"</formula1>
    </dataValidation>
    <dataValidation sqref="E4 E5 E6 E7 E8 E9 E10 E11 E12 E13 E14 E15 E16 E17 E18 E19" showDropDown="0" showInputMessage="0" showErrorMessage="0" allowBlank="0"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U29"/>
  <sheetViews>
    <sheetView showGridLines="0" workbookViewId="0">
      <pane xSplit="1" ySplit="3" topLeftCell="B4" activePane="bottomRight" state="frozen"/>
      <selection pane="topRight"/>
      <selection pane="bottomLeft"/>
      <selection pane="bottomRight" activeCell="A1" sqref="A1"/>
    </sheetView>
  </sheetViews>
  <sheetFormatPr baseColWidth="8" defaultRowHeight="15"/>
  <cols>
    <col width="14" customWidth="1" min="1" max="1"/>
    <col width="12" customWidth="1" min="2" max="2"/>
    <col width="12"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s>
  <sheetData>
    <row r="1"/>
    <row r="2">
      <c r="B2" s="1" t="inlineStr">
        <is>
          <t>Paycheck Funding</t>
        </is>
      </c>
      <c r="C2" s="2" t="n"/>
      <c r="D2" s="2" t="n"/>
      <c r="E2" s="2" t="n"/>
      <c r="F2" s="2" t="n"/>
      <c r="G2" s="2" t="n"/>
      <c r="H2" s="2" t="n"/>
      <c r="I2" s="2" t="n"/>
      <c r="J2" s="2" t="n"/>
      <c r="K2" s="2" t="n"/>
      <c r="L2" s="2" t="n"/>
      <c r="M2" s="2" t="n"/>
      <c r="N2" s="2" t="n"/>
      <c r="O2" s="2" t="n"/>
      <c r="P2" s="2" t="n"/>
      <c r="Q2" s="2" t="n"/>
      <c r="R2" s="2" t="n"/>
      <c r="S2" s="2" t="n"/>
      <c r="T2" s="2" t="n"/>
      <c r="U2" s="2" t="n"/>
    </row>
    <row r="3">
      <c r="B3" s="3" t="inlineStr">
        <is>
          <t>Pay Date</t>
        </is>
      </c>
      <c r="C3" s="3" t="inlineStr">
        <is>
          <t>Gross Pay</t>
        </is>
      </c>
      <c r="D3" s="3" t="inlineStr">
        <is>
          <t>Net Pay</t>
        </is>
      </c>
      <c r="E3" s="3" t="inlineStr">
        <is>
          <t>Rent</t>
        </is>
      </c>
      <c r="F3" s="3" t="inlineStr">
        <is>
          <t>Utilities</t>
        </is>
      </c>
      <c r="G3" s="3" t="inlineStr">
        <is>
          <t>Groceries</t>
        </is>
      </c>
      <c r="H3" s="3" t="inlineStr">
        <is>
          <t>Gas</t>
        </is>
      </c>
      <c r="I3" s="3" t="inlineStr">
        <is>
          <t>Auto Insurance</t>
        </is>
      </c>
      <c r="J3" s="3" t="inlineStr">
        <is>
          <t>Phone</t>
        </is>
      </c>
      <c r="K3" s="3" t="inlineStr">
        <is>
          <t>Medical</t>
        </is>
      </c>
      <c r="L3" s="3" t="inlineStr">
        <is>
          <t>Dining Out</t>
        </is>
      </c>
      <c r="M3" s="3" t="inlineStr">
        <is>
          <t>Coffee</t>
        </is>
      </c>
      <c r="N3" s="3" t="inlineStr">
        <is>
          <t>Entertainment</t>
        </is>
      </c>
      <c r="O3" s="3" t="inlineStr">
        <is>
          <t>Clothing</t>
        </is>
      </c>
      <c r="P3" s="3" t="inlineStr">
        <is>
          <t>Personal Care</t>
        </is>
      </c>
      <c r="Q3" s="3" t="inlineStr">
        <is>
          <t>Subscriptions</t>
        </is>
      </c>
      <c r="R3" s="3" t="inlineStr">
        <is>
          <t>Emergency Fund</t>
        </is>
      </c>
      <c r="S3" s="3" t="inlineStr">
        <is>
          <t>Vacation</t>
        </is>
      </c>
      <c r="T3" s="3" t="inlineStr">
        <is>
          <t>Car Repair Fund</t>
        </is>
      </c>
      <c r="U3" s="3" t="inlineStr">
        <is>
          <t>Remainder</t>
        </is>
      </c>
    </row>
    <row r="4">
      <c r="B4" s="7" t="n">
        <v>45660</v>
      </c>
      <c r="C4" s="5" t="n">
        <v>3200</v>
      </c>
      <c r="D4" s="5" t="n">
        <v>2400</v>
      </c>
      <c r="E4" s="8" t="n">
        <v>690</v>
      </c>
      <c r="F4" s="8" t="n">
        <v>72</v>
      </c>
      <c r="G4" s="8" t="n">
        <v>188</v>
      </c>
      <c r="H4" s="8" t="n">
        <v>61</v>
      </c>
      <c r="I4" s="8" t="n">
        <v>44</v>
      </c>
      <c r="J4" s="8" t="n">
        <v>39</v>
      </c>
      <c r="K4" s="8" t="n">
        <v>37</v>
      </c>
      <c r="L4" s="8" t="n">
        <v>79</v>
      </c>
      <c r="M4" s="8" t="n">
        <v>27</v>
      </c>
      <c r="N4" s="8" t="n">
        <v>27</v>
      </c>
      <c r="O4" s="8" t="n">
        <v>38</v>
      </c>
      <c r="P4" s="8" t="n">
        <v>19</v>
      </c>
      <c r="Q4" s="8" t="n">
        <v>31</v>
      </c>
      <c r="R4" s="8" t="n">
        <v>115</v>
      </c>
      <c r="S4" s="8" t="n">
        <v>55</v>
      </c>
      <c r="T4" s="8" t="n">
        <v>37</v>
      </c>
      <c r="U4" s="9">
        <f>D4-SUM(E4:T4)</f>
        <v/>
      </c>
    </row>
    <row r="5">
      <c r="B5" s="7" t="n">
        <v>45674</v>
      </c>
      <c r="C5" s="5" t="n">
        <v>3200</v>
      </c>
      <c r="D5" s="5" t="n">
        <v>2400</v>
      </c>
      <c r="E5" s="8" t="n">
        <v>700</v>
      </c>
      <c r="F5" s="8" t="n">
        <v>85</v>
      </c>
      <c r="G5" s="8" t="n">
        <v>187</v>
      </c>
      <c r="H5" s="8" t="n">
        <v>62</v>
      </c>
      <c r="I5" s="8" t="n">
        <v>46</v>
      </c>
      <c r="J5" s="8" t="n">
        <v>26</v>
      </c>
      <c r="K5" s="8" t="n">
        <v>21</v>
      </c>
      <c r="L5" s="8" t="n">
        <v>67</v>
      </c>
      <c r="M5" s="8" t="n">
        <v>20</v>
      </c>
      <c r="N5" s="8" t="n">
        <v>31</v>
      </c>
      <c r="O5" s="8" t="n">
        <v>25</v>
      </c>
      <c r="P5" s="8" t="n">
        <v>11</v>
      </c>
      <c r="Q5" s="8" t="n">
        <v>29</v>
      </c>
      <c r="R5" s="8" t="n">
        <v>115</v>
      </c>
      <c r="S5" s="8" t="n">
        <v>55</v>
      </c>
      <c r="T5" s="8" t="n">
        <v>37</v>
      </c>
      <c r="U5" s="9">
        <f>D5-SUM(E5:T5)</f>
        <v/>
      </c>
    </row>
    <row r="6">
      <c r="B6" s="7" t="n">
        <v>45688</v>
      </c>
      <c r="C6" s="5" t="n">
        <v>3400</v>
      </c>
      <c r="D6" s="5" t="n">
        <v>2550</v>
      </c>
      <c r="E6" s="8" t="n">
        <v>685</v>
      </c>
      <c r="F6" s="8" t="n">
        <v>80</v>
      </c>
      <c r="G6" s="8" t="n">
        <v>193</v>
      </c>
      <c r="H6" s="8" t="n">
        <v>66</v>
      </c>
      <c r="I6" s="8" t="n">
        <v>49</v>
      </c>
      <c r="J6" s="8" t="n">
        <v>43</v>
      </c>
      <c r="K6" s="8" t="n">
        <v>23</v>
      </c>
      <c r="L6" s="8" t="n">
        <v>76</v>
      </c>
      <c r="M6" s="8" t="n">
        <v>10</v>
      </c>
      <c r="N6" s="8" t="n">
        <v>28</v>
      </c>
      <c r="O6" s="8" t="n">
        <v>40</v>
      </c>
      <c r="P6" s="8" t="n">
        <v>7</v>
      </c>
      <c r="Q6" s="8" t="n">
        <v>18</v>
      </c>
      <c r="R6" s="8" t="n">
        <v>115</v>
      </c>
      <c r="S6" s="8" t="n">
        <v>55</v>
      </c>
      <c r="T6" s="8" t="n">
        <v>37</v>
      </c>
      <c r="U6" s="9">
        <f>D6-SUM(E6:T6)</f>
        <v/>
      </c>
    </row>
    <row r="7">
      <c r="B7" s="7" t="n">
        <v>45702</v>
      </c>
      <c r="C7" s="5" t="n">
        <v>3200</v>
      </c>
      <c r="D7" s="5" t="n">
        <v>2400</v>
      </c>
      <c r="E7" s="8" t="n">
        <v>686</v>
      </c>
      <c r="F7" s="8" t="n">
        <v>77</v>
      </c>
      <c r="G7" s="8" t="n">
        <v>182</v>
      </c>
      <c r="H7" s="8" t="n">
        <v>52</v>
      </c>
      <c r="I7" s="8" t="n">
        <v>57</v>
      </c>
      <c r="J7" s="8" t="n">
        <v>44</v>
      </c>
      <c r="K7" s="8" t="n">
        <v>21</v>
      </c>
      <c r="L7" s="8" t="n">
        <v>82</v>
      </c>
      <c r="M7" s="8" t="n">
        <v>28</v>
      </c>
      <c r="N7" s="8" t="n">
        <v>47</v>
      </c>
      <c r="O7" s="8" t="n">
        <v>23</v>
      </c>
      <c r="P7" s="8" t="n">
        <v>9</v>
      </c>
      <c r="Q7" s="8" t="n">
        <v>32</v>
      </c>
      <c r="R7" s="8" t="n">
        <v>115</v>
      </c>
      <c r="S7" s="8" t="n">
        <v>55</v>
      </c>
      <c r="T7" s="8" t="n">
        <v>37</v>
      </c>
      <c r="U7" s="9">
        <f>D7-SUM(E7:T7)</f>
        <v/>
      </c>
    </row>
    <row r="8">
      <c r="B8" s="7" t="n">
        <v>45716</v>
      </c>
      <c r="C8" s="5" t="n">
        <v>3400</v>
      </c>
      <c r="D8" s="5" t="n">
        <v>2550</v>
      </c>
      <c r="E8" s="8" t="n">
        <v>701</v>
      </c>
      <c r="F8" s="8" t="n">
        <v>78</v>
      </c>
      <c r="G8" s="8" t="n">
        <v>184</v>
      </c>
      <c r="H8" s="8" t="n">
        <v>66</v>
      </c>
      <c r="I8" s="8" t="n">
        <v>55</v>
      </c>
      <c r="J8" s="8" t="n">
        <v>30</v>
      </c>
      <c r="K8" s="8" t="n">
        <v>22</v>
      </c>
      <c r="L8" s="8" t="n">
        <v>66</v>
      </c>
      <c r="M8" s="8" t="n">
        <v>18</v>
      </c>
      <c r="N8" s="8" t="n">
        <v>28</v>
      </c>
      <c r="O8" s="8" t="n">
        <v>40</v>
      </c>
      <c r="P8" s="8" t="n">
        <v>14</v>
      </c>
      <c r="Q8" s="8" t="n">
        <v>24</v>
      </c>
      <c r="R8" s="8" t="n">
        <v>115</v>
      </c>
      <c r="S8" s="8" t="n">
        <v>55</v>
      </c>
      <c r="T8" s="8" t="n">
        <v>37</v>
      </c>
      <c r="U8" s="9">
        <f>D8-SUM(E8:T8)</f>
        <v/>
      </c>
    </row>
    <row r="9">
      <c r="B9" s="7" t="n">
        <v>45730</v>
      </c>
      <c r="C9" s="5" t="n">
        <v>3200</v>
      </c>
      <c r="D9" s="5" t="n">
        <v>2400</v>
      </c>
      <c r="E9" s="8" t="n">
        <v>700</v>
      </c>
      <c r="F9" s="8" t="n">
        <v>70</v>
      </c>
      <c r="G9" s="8" t="n">
        <v>191</v>
      </c>
      <c r="H9" s="8" t="n">
        <v>53</v>
      </c>
      <c r="I9" s="8" t="n">
        <v>50</v>
      </c>
      <c r="J9" s="8" t="n">
        <v>40</v>
      </c>
      <c r="K9" s="8" t="n">
        <v>29</v>
      </c>
      <c r="L9" s="8" t="n">
        <v>77</v>
      </c>
      <c r="M9" s="8" t="n">
        <v>9</v>
      </c>
      <c r="N9" s="8" t="n">
        <v>42</v>
      </c>
      <c r="O9" s="8" t="n">
        <v>35</v>
      </c>
      <c r="P9" s="8" t="n">
        <v>25</v>
      </c>
      <c r="Q9" s="8" t="n">
        <v>15</v>
      </c>
      <c r="R9" s="8" t="n">
        <v>115</v>
      </c>
      <c r="S9" s="8" t="n">
        <v>55</v>
      </c>
      <c r="T9" s="8" t="n">
        <v>37</v>
      </c>
      <c r="U9" s="9">
        <f>D9-SUM(E9:T9)</f>
        <v/>
      </c>
    </row>
    <row r="10">
      <c r="B10" s="7" t="n">
        <v>45744</v>
      </c>
      <c r="C10" s="5" t="n">
        <v>3200</v>
      </c>
      <c r="D10" s="5" t="n">
        <v>2400</v>
      </c>
      <c r="E10" s="8" t="n">
        <v>685</v>
      </c>
      <c r="F10" s="8" t="n">
        <v>88</v>
      </c>
      <c r="G10" s="8" t="n">
        <v>176</v>
      </c>
      <c r="H10" s="8" t="n">
        <v>54</v>
      </c>
      <c r="I10" s="8" t="n">
        <v>59</v>
      </c>
      <c r="J10" s="8" t="n">
        <v>34</v>
      </c>
      <c r="K10" s="8" t="n">
        <v>21</v>
      </c>
      <c r="L10" s="8" t="n">
        <v>81</v>
      </c>
      <c r="M10" s="8" t="n">
        <v>21</v>
      </c>
      <c r="N10" s="8" t="n">
        <v>41</v>
      </c>
      <c r="O10" s="8" t="n">
        <v>40</v>
      </c>
      <c r="P10" s="8" t="n">
        <v>7</v>
      </c>
      <c r="Q10" s="8" t="n">
        <v>17</v>
      </c>
      <c r="R10" s="8" t="n">
        <v>115</v>
      </c>
      <c r="S10" s="8" t="n">
        <v>55</v>
      </c>
      <c r="T10" s="8" t="n">
        <v>37</v>
      </c>
      <c r="U10" s="9">
        <f>D10-SUM(E10:T10)</f>
        <v/>
      </c>
    </row>
    <row r="11">
      <c r="B11" s="7" t="n">
        <v>45758</v>
      </c>
      <c r="C11" s="5" t="n">
        <v>3200</v>
      </c>
      <c r="D11" s="5" t="n">
        <v>2400</v>
      </c>
      <c r="E11" s="8" t="n">
        <v>684</v>
      </c>
      <c r="F11" s="8" t="n">
        <v>71</v>
      </c>
      <c r="G11" s="8" t="n">
        <v>178</v>
      </c>
      <c r="H11" s="8" t="n">
        <v>50</v>
      </c>
      <c r="I11" s="8" t="n">
        <v>51</v>
      </c>
      <c r="J11" s="8" t="n">
        <v>28</v>
      </c>
      <c r="K11" s="8" t="n">
        <v>35</v>
      </c>
      <c r="L11" s="8" t="n">
        <v>79</v>
      </c>
      <c r="M11" s="8" t="n">
        <v>16</v>
      </c>
      <c r="N11" s="8" t="n">
        <v>41</v>
      </c>
      <c r="O11" s="8" t="n">
        <v>32</v>
      </c>
      <c r="P11" s="8" t="n">
        <v>18</v>
      </c>
      <c r="Q11" s="8" t="n">
        <v>15</v>
      </c>
      <c r="R11" s="8" t="n">
        <v>115</v>
      </c>
      <c r="S11" s="8" t="n">
        <v>55</v>
      </c>
      <c r="T11" s="8" t="n">
        <v>37</v>
      </c>
      <c r="U11" s="9">
        <f>D11-SUM(E11:T11)</f>
        <v/>
      </c>
    </row>
    <row r="12">
      <c r="B12" s="7" t="n">
        <v>45772</v>
      </c>
      <c r="C12" s="5" t="n">
        <v>3200</v>
      </c>
      <c r="D12" s="5" t="n">
        <v>2400</v>
      </c>
      <c r="E12" s="8" t="n">
        <v>683</v>
      </c>
      <c r="F12" s="8" t="n">
        <v>74</v>
      </c>
      <c r="G12" s="8" t="n">
        <v>186</v>
      </c>
      <c r="H12" s="8" t="n">
        <v>56</v>
      </c>
      <c r="I12" s="8" t="n">
        <v>59</v>
      </c>
      <c r="J12" s="8" t="n">
        <v>37</v>
      </c>
      <c r="K12" s="8" t="n">
        <v>26</v>
      </c>
      <c r="L12" s="8" t="n">
        <v>83</v>
      </c>
      <c r="M12" s="8" t="n">
        <v>26</v>
      </c>
      <c r="N12" s="8" t="n">
        <v>40</v>
      </c>
      <c r="O12" s="8" t="n">
        <v>32</v>
      </c>
      <c r="P12" s="8" t="n">
        <v>18</v>
      </c>
      <c r="Q12" s="8" t="n">
        <v>24</v>
      </c>
      <c r="R12" s="8" t="n">
        <v>115</v>
      </c>
      <c r="S12" s="8" t="n">
        <v>55</v>
      </c>
      <c r="T12" s="8" t="n">
        <v>37</v>
      </c>
      <c r="U12" s="9">
        <f>D12-SUM(E12:T12)</f>
        <v/>
      </c>
    </row>
    <row r="13">
      <c r="B13" s="7" t="n">
        <v>45786</v>
      </c>
      <c r="C13" s="5" t="n">
        <v>3200</v>
      </c>
      <c r="D13" s="5" t="n">
        <v>2400</v>
      </c>
      <c r="E13" s="8" t="n">
        <v>686</v>
      </c>
      <c r="F13" s="8" t="n">
        <v>85</v>
      </c>
      <c r="G13" s="8" t="n">
        <v>179</v>
      </c>
      <c r="H13" s="8" t="n">
        <v>56</v>
      </c>
      <c r="I13" s="8" t="n">
        <v>42</v>
      </c>
      <c r="J13" s="8" t="n">
        <v>32</v>
      </c>
      <c r="K13" s="8" t="n">
        <v>27</v>
      </c>
      <c r="L13" s="8" t="n">
        <v>71</v>
      </c>
      <c r="M13" s="8" t="n">
        <v>19</v>
      </c>
      <c r="N13" s="8" t="n">
        <v>33</v>
      </c>
      <c r="O13" s="8" t="n">
        <v>28</v>
      </c>
      <c r="P13" s="8" t="n">
        <v>18</v>
      </c>
      <c r="Q13" s="8" t="n">
        <v>25</v>
      </c>
      <c r="R13" s="8" t="n">
        <v>115</v>
      </c>
      <c r="S13" s="8" t="n">
        <v>55</v>
      </c>
      <c r="T13" s="8" t="n">
        <v>37</v>
      </c>
      <c r="U13" s="9">
        <f>D13-SUM(E13:T13)</f>
        <v/>
      </c>
    </row>
    <row r="14">
      <c r="B14" s="7" t="n">
        <v>45800</v>
      </c>
      <c r="C14" s="5" t="n">
        <v>3200</v>
      </c>
      <c r="D14" s="5" t="n">
        <v>2400</v>
      </c>
      <c r="E14" s="8" t="n">
        <v>682</v>
      </c>
      <c r="F14" s="8" t="n">
        <v>82</v>
      </c>
      <c r="G14" s="8" t="n">
        <v>190</v>
      </c>
      <c r="H14" s="8" t="n">
        <v>51</v>
      </c>
      <c r="I14" s="8" t="n">
        <v>44</v>
      </c>
      <c r="J14" s="8" t="n">
        <v>25</v>
      </c>
      <c r="K14" s="8" t="n">
        <v>18</v>
      </c>
      <c r="L14" s="8" t="n">
        <v>81</v>
      </c>
      <c r="M14" s="8" t="n">
        <v>27</v>
      </c>
      <c r="N14" s="8" t="n">
        <v>43</v>
      </c>
      <c r="O14" s="8" t="n">
        <v>38</v>
      </c>
      <c r="P14" s="8" t="n">
        <v>22</v>
      </c>
      <c r="Q14" s="8" t="n">
        <v>16</v>
      </c>
      <c r="R14" s="8" t="n">
        <v>115</v>
      </c>
      <c r="S14" s="8" t="n">
        <v>55</v>
      </c>
      <c r="T14" s="8" t="n">
        <v>37</v>
      </c>
      <c r="U14" s="9">
        <f>D14-SUM(E14:T14)</f>
        <v/>
      </c>
    </row>
    <row r="15">
      <c r="B15" s="7" t="n">
        <v>45814</v>
      </c>
      <c r="C15" s="5" t="n">
        <v>3200</v>
      </c>
      <c r="D15" s="5" t="n">
        <v>2400</v>
      </c>
      <c r="E15" s="8" t="n">
        <v>689</v>
      </c>
      <c r="F15" s="8" t="n">
        <v>75</v>
      </c>
      <c r="G15" s="8" t="n">
        <v>178</v>
      </c>
      <c r="H15" s="8" t="n">
        <v>64</v>
      </c>
      <c r="I15" s="8" t="n">
        <v>53</v>
      </c>
      <c r="J15" s="8" t="n">
        <v>29</v>
      </c>
      <c r="K15" s="8" t="n">
        <v>25</v>
      </c>
      <c r="L15" s="8" t="n">
        <v>64</v>
      </c>
      <c r="M15" s="8" t="n">
        <v>11</v>
      </c>
      <c r="N15" s="8" t="n">
        <v>34</v>
      </c>
      <c r="O15" s="8" t="n">
        <v>25</v>
      </c>
      <c r="P15" s="8" t="n">
        <v>24</v>
      </c>
      <c r="Q15" s="8" t="n">
        <v>32</v>
      </c>
      <c r="R15" s="8" t="n">
        <v>115</v>
      </c>
      <c r="S15" s="8" t="n">
        <v>55</v>
      </c>
      <c r="T15" s="8" t="n">
        <v>37</v>
      </c>
      <c r="U15" s="9">
        <f>D15-SUM(E15:T15)</f>
        <v/>
      </c>
    </row>
    <row r="16">
      <c r="B16" s="7" t="n">
        <v>45828</v>
      </c>
      <c r="C16" s="5" t="n">
        <v>3400</v>
      </c>
      <c r="D16" s="5" t="n">
        <v>2550</v>
      </c>
      <c r="E16" s="8" t="n">
        <v>687</v>
      </c>
      <c r="F16" s="8" t="n">
        <v>80</v>
      </c>
      <c r="G16" s="8" t="n">
        <v>187</v>
      </c>
      <c r="H16" s="8" t="n">
        <v>53</v>
      </c>
      <c r="I16" s="8" t="n">
        <v>41</v>
      </c>
      <c r="J16" s="8" t="n">
        <v>30</v>
      </c>
      <c r="K16" s="8" t="n">
        <v>30</v>
      </c>
      <c r="L16" s="8" t="n">
        <v>67</v>
      </c>
      <c r="M16" s="8" t="n">
        <v>18</v>
      </c>
      <c r="N16" s="8" t="n">
        <v>37</v>
      </c>
      <c r="O16" s="8" t="n">
        <v>30</v>
      </c>
      <c r="P16" s="8" t="n">
        <v>23</v>
      </c>
      <c r="Q16" s="8" t="n">
        <v>17</v>
      </c>
      <c r="R16" s="8" t="n">
        <v>115</v>
      </c>
      <c r="S16" s="8" t="n">
        <v>55</v>
      </c>
      <c r="T16" s="8" t="n">
        <v>37</v>
      </c>
      <c r="U16" s="9">
        <f>D16-SUM(E16:T16)</f>
        <v/>
      </c>
    </row>
    <row r="17">
      <c r="B17" s="7" t="n">
        <v>45842</v>
      </c>
      <c r="C17" s="5" t="n">
        <v>3200</v>
      </c>
      <c r="D17" s="5" t="n">
        <v>2400</v>
      </c>
      <c r="E17" s="8" t="n">
        <v>688</v>
      </c>
      <c r="F17" s="8" t="n">
        <v>74</v>
      </c>
      <c r="G17" s="8" t="n">
        <v>181</v>
      </c>
      <c r="H17" s="8" t="n">
        <v>51</v>
      </c>
      <c r="I17" s="8" t="n">
        <v>43</v>
      </c>
      <c r="J17" s="8" t="n">
        <v>33</v>
      </c>
      <c r="K17" s="8" t="n">
        <v>33</v>
      </c>
      <c r="L17" s="8" t="n">
        <v>72</v>
      </c>
      <c r="M17" s="8" t="n">
        <v>28</v>
      </c>
      <c r="N17" s="8" t="n">
        <v>29</v>
      </c>
      <c r="O17" s="8" t="n">
        <v>37</v>
      </c>
      <c r="P17" s="8" t="n">
        <v>16</v>
      </c>
      <c r="Q17" s="8" t="n">
        <v>17</v>
      </c>
      <c r="R17" s="8" t="n">
        <v>115</v>
      </c>
      <c r="S17" s="8" t="n">
        <v>55</v>
      </c>
      <c r="T17" s="8" t="n">
        <v>37</v>
      </c>
      <c r="U17" s="9">
        <f>D17-SUM(E17:T17)</f>
        <v/>
      </c>
    </row>
    <row r="18">
      <c r="B18" s="7" t="n">
        <v>45856</v>
      </c>
      <c r="C18" s="5" t="n">
        <v>3200</v>
      </c>
      <c r="D18" s="5" t="n">
        <v>2400</v>
      </c>
      <c r="E18" s="8" t="n">
        <v>688</v>
      </c>
      <c r="F18" s="8" t="n">
        <v>68</v>
      </c>
      <c r="G18" s="8" t="n">
        <v>180</v>
      </c>
      <c r="H18" s="8" t="n">
        <v>65</v>
      </c>
      <c r="I18" s="8" t="n">
        <v>61</v>
      </c>
      <c r="J18" s="8" t="n">
        <v>29</v>
      </c>
      <c r="K18" s="8" t="n">
        <v>27</v>
      </c>
      <c r="L18" s="8" t="n">
        <v>82</v>
      </c>
      <c r="M18" s="8" t="n">
        <v>22</v>
      </c>
      <c r="N18" s="8" t="n">
        <v>36</v>
      </c>
      <c r="O18" s="8" t="n">
        <v>37</v>
      </c>
      <c r="P18" s="8" t="n">
        <v>20</v>
      </c>
      <c r="Q18" s="8" t="n">
        <v>22</v>
      </c>
      <c r="R18" s="8" t="n">
        <v>115</v>
      </c>
      <c r="S18" s="8" t="n">
        <v>55</v>
      </c>
      <c r="T18" s="8" t="n">
        <v>37</v>
      </c>
      <c r="U18" s="9">
        <f>D18-SUM(E18:T18)</f>
        <v/>
      </c>
    </row>
    <row r="19">
      <c r="B19" s="7" t="n">
        <v>45870</v>
      </c>
      <c r="C19" s="5" t="n">
        <v>3400</v>
      </c>
      <c r="D19" s="5" t="n">
        <v>2550</v>
      </c>
      <c r="E19" s="8" t="n">
        <v>698</v>
      </c>
      <c r="F19" s="8" t="n">
        <v>87</v>
      </c>
      <c r="G19" s="8" t="n">
        <v>187</v>
      </c>
      <c r="H19" s="8" t="n">
        <v>63</v>
      </c>
      <c r="I19" s="8" t="n">
        <v>57</v>
      </c>
      <c r="J19" s="8" t="n">
        <v>43</v>
      </c>
      <c r="K19" s="8" t="n">
        <v>20</v>
      </c>
      <c r="L19" s="8" t="n">
        <v>70</v>
      </c>
      <c r="M19" s="8" t="n">
        <v>27</v>
      </c>
      <c r="N19" s="8" t="n">
        <v>47</v>
      </c>
      <c r="O19" s="8" t="n">
        <v>26</v>
      </c>
      <c r="P19" s="8" t="n">
        <v>25</v>
      </c>
      <c r="Q19" s="8" t="n">
        <v>13</v>
      </c>
      <c r="R19" s="8" t="n">
        <v>115</v>
      </c>
      <c r="S19" s="8" t="n">
        <v>55</v>
      </c>
      <c r="T19" s="8" t="n">
        <v>37</v>
      </c>
      <c r="U19" s="9">
        <f>D19-SUM(E19:T19)</f>
        <v/>
      </c>
    </row>
    <row r="20">
      <c r="B20" s="7" t="n">
        <v>45884</v>
      </c>
      <c r="C20" s="5" t="n">
        <v>3200</v>
      </c>
      <c r="D20" s="5" t="n">
        <v>2400</v>
      </c>
      <c r="E20" s="8" t="n">
        <v>701</v>
      </c>
      <c r="F20" s="8" t="n">
        <v>70</v>
      </c>
      <c r="G20" s="8" t="n">
        <v>194</v>
      </c>
      <c r="H20" s="8" t="n">
        <v>57</v>
      </c>
      <c r="I20" s="8" t="n">
        <v>47</v>
      </c>
      <c r="J20" s="8" t="n">
        <v>31</v>
      </c>
      <c r="K20" s="8" t="n">
        <v>37</v>
      </c>
      <c r="L20" s="8" t="n">
        <v>80</v>
      </c>
      <c r="M20" s="8" t="n">
        <v>9</v>
      </c>
      <c r="N20" s="8" t="n">
        <v>35</v>
      </c>
      <c r="O20" s="8" t="n">
        <v>27</v>
      </c>
      <c r="P20" s="8" t="n">
        <v>21</v>
      </c>
      <c r="Q20" s="8" t="n">
        <v>27</v>
      </c>
      <c r="R20" s="8" t="n">
        <v>115</v>
      </c>
      <c r="S20" s="8" t="n">
        <v>55</v>
      </c>
      <c r="T20" s="8" t="n">
        <v>37</v>
      </c>
      <c r="U20" s="9">
        <f>D20-SUM(E20:T20)</f>
        <v/>
      </c>
    </row>
    <row r="21">
      <c r="B21" s="7" t="n">
        <v>45898</v>
      </c>
      <c r="C21" s="5" t="n">
        <v>3400</v>
      </c>
      <c r="D21" s="5" t="n">
        <v>2550</v>
      </c>
      <c r="E21" s="8" t="n">
        <v>690</v>
      </c>
      <c r="F21" s="8" t="n">
        <v>70</v>
      </c>
      <c r="G21" s="8" t="n">
        <v>184</v>
      </c>
      <c r="H21" s="8" t="n">
        <v>64</v>
      </c>
      <c r="I21" s="8" t="n">
        <v>55</v>
      </c>
      <c r="J21" s="8" t="n">
        <v>33</v>
      </c>
      <c r="K21" s="8" t="n">
        <v>33</v>
      </c>
      <c r="L21" s="8" t="n">
        <v>68</v>
      </c>
      <c r="M21" s="8" t="n">
        <v>11</v>
      </c>
      <c r="N21" s="8" t="n">
        <v>37</v>
      </c>
      <c r="O21" s="8" t="n">
        <v>33</v>
      </c>
      <c r="P21" s="8" t="n">
        <v>16</v>
      </c>
      <c r="Q21" s="8" t="n">
        <v>24</v>
      </c>
      <c r="R21" s="8" t="n">
        <v>115</v>
      </c>
      <c r="S21" s="8" t="n">
        <v>55</v>
      </c>
      <c r="T21" s="8" t="n">
        <v>37</v>
      </c>
      <c r="U21" s="9">
        <f>D21-SUM(E21:T21)</f>
        <v/>
      </c>
    </row>
    <row r="22">
      <c r="B22" s="7" t="n">
        <v>45912</v>
      </c>
      <c r="C22" s="5" t="n">
        <v>3200</v>
      </c>
      <c r="D22" s="5" t="n">
        <v>2400</v>
      </c>
      <c r="E22" s="8" t="n">
        <v>693</v>
      </c>
      <c r="F22" s="8" t="n">
        <v>82</v>
      </c>
      <c r="G22" s="8" t="n">
        <v>184</v>
      </c>
      <c r="H22" s="8" t="n">
        <v>59</v>
      </c>
      <c r="I22" s="8" t="n">
        <v>47</v>
      </c>
      <c r="J22" s="8" t="n">
        <v>32</v>
      </c>
      <c r="K22" s="8" t="n">
        <v>32</v>
      </c>
      <c r="L22" s="8" t="n">
        <v>69</v>
      </c>
      <c r="M22" s="8" t="n">
        <v>19</v>
      </c>
      <c r="N22" s="8" t="n">
        <v>36</v>
      </c>
      <c r="O22" s="8" t="n">
        <v>35</v>
      </c>
      <c r="P22" s="8" t="n">
        <v>13</v>
      </c>
      <c r="Q22" s="8" t="n">
        <v>31</v>
      </c>
      <c r="R22" s="8" t="n">
        <v>115</v>
      </c>
      <c r="S22" s="8" t="n">
        <v>55</v>
      </c>
      <c r="T22" s="8" t="n">
        <v>37</v>
      </c>
      <c r="U22" s="9">
        <f>D22-SUM(E22:T22)</f>
        <v/>
      </c>
    </row>
    <row r="23">
      <c r="B23" s="7" t="n">
        <v>45926</v>
      </c>
      <c r="C23" s="5" t="n">
        <v>3200</v>
      </c>
      <c r="D23" s="5" t="n">
        <v>2400</v>
      </c>
      <c r="E23" s="8" t="n">
        <v>697</v>
      </c>
      <c r="F23" s="8" t="n">
        <v>88</v>
      </c>
      <c r="G23" s="8" t="n">
        <v>175</v>
      </c>
      <c r="H23" s="8" t="n">
        <v>55</v>
      </c>
      <c r="I23" s="8" t="n">
        <v>50</v>
      </c>
      <c r="J23" s="8" t="n">
        <v>29</v>
      </c>
      <c r="K23" s="8" t="n">
        <v>22</v>
      </c>
      <c r="L23" s="8" t="n">
        <v>70</v>
      </c>
      <c r="M23" s="8" t="n">
        <v>12</v>
      </c>
      <c r="N23" s="8" t="n">
        <v>32</v>
      </c>
      <c r="O23" s="8" t="n">
        <v>42</v>
      </c>
      <c r="P23" s="8" t="n">
        <v>24</v>
      </c>
      <c r="Q23" s="8" t="n">
        <v>29</v>
      </c>
      <c r="R23" s="8" t="n">
        <v>115</v>
      </c>
      <c r="S23" s="8" t="n">
        <v>55</v>
      </c>
      <c r="T23" s="8" t="n">
        <v>37</v>
      </c>
      <c r="U23" s="9">
        <f>D23-SUM(E23:T23)</f>
        <v/>
      </c>
    </row>
    <row r="24">
      <c r="B24" s="7" t="n">
        <v>45940</v>
      </c>
      <c r="C24" s="5" t="n">
        <v>3200</v>
      </c>
      <c r="D24" s="5" t="n">
        <v>2400</v>
      </c>
      <c r="E24" s="8" t="n">
        <v>689</v>
      </c>
      <c r="F24" s="8" t="n">
        <v>83</v>
      </c>
      <c r="G24" s="8" t="n">
        <v>186</v>
      </c>
      <c r="H24" s="8" t="n">
        <v>66</v>
      </c>
      <c r="I24" s="8" t="n">
        <v>46</v>
      </c>
      <c r="J24" s="8" t="n">
        <v>33</v>
      </c>
      <c r="K24" s="8" t="n">
        <v>21</v>
      </c>
      <c r="L24" s="8" t="n">
        <v>80</v>
      </c>
      <c r="M24" s="8" t="n">
        <v>19</v>
      </c>
      <c r="N24" s="8" t="n">
        <v>31</v>
      </c>
      <c r="O24" s="8" t="n">
        <v>25</v>
      </c>
      <c r="P24" s="8" t="n">
        <v>19</v>
      </c>
      <c r="Q24" s="8" t="n">
        <v>22</v>
      </c>
      <c r="R24" s="8" t="n">
        <v>115</v>
      </c>
      <c r="S24" s="8" t="n">
        <v>55</v>
      </c>
      <c r="T24" s="8" t="n">
        <v>37</v>
      </c>
      <c r="U24" s="9">
        <f>D24-SUM(E24:T24)</f>
        <v/>
      </c>
    </row>
    <row r="25">
      <c r="B25" s="7" t="n">
        <v>45954</v>
      </c>
      <c r="C25" s="5" t="n">
        <v>3200</v>
      </c>
      <c r="D25" s="5" t="n">
        <v>2400</v>
      </c>
      <c r="E25" s="8" t="n">
        <v>684</v>
      </c>
      <c r="F25" s="8" t="n">
        <v>72</v>
      </c>
      <c r="G25" s="8" t="n">
        <v>192</v>
      </c>
      <c r="H25" s="8" t="n">
        <v>66</v>
      </c>
      <c r="I25" s="8" t="n">
        <v>53</v>
      </c>
      <c r="J25" s="8" t="n">
        <v>26</v>
      </c>
      <c r="K25" s="8" t="n">
        <v>30</v>
      </c>
      <c r="L25" s="8" t="n">
        <v>82</v>
      </c>
      <c r="M25" s="8" t="n">
        <v>22</v>
      </c>
      <c r="N25" s="8" t="n">
        <v>47</v>
      </c>
      <c r="O25" s="8" t="n">
        <v>36</v>
      </c>
      <c r="P25" s="8" t="n">
        <v>23</v>
      </c>
      <c r="Q25" s="8" t="n">
        <v>28</v>
      </c>
      <c r="R25" s="8" t="n">
        <v>115</v>
      </c>
      <c r="S25" s="8" t="n">
        <v>55</v>
      </c>
      <c r="T25" s="8" t="n">
        <v>37</v>
      </c>
      <c r="U25" s="9">
        <f>D25-SUM(E25:T25)</f>
        <v/>
      </c>
    </row>
    <row r="26">
      <c r="B26" s="7" t="n">
        <v>45968</v>
      </c>
      <c r="C26" s="5" t="n">
        <v>3200</v>
      </c>
      <c r="D26" s="5" t="n">
        <v>2400</v>
      </c>
      <c r="E26" s="8" t="n">
        <v>681</v>
      </c>
      <c r="F26" s="8" t="n">
        <v>83</v>
      </c>
      <c r="G26" s="8" t="n">
        <v>189</v>
      </c>
      <c r="H26" s="8" t="n">
        <v>52</v>
      </c>
      <c r="I26" s="8" t="n">
        <v>50</v>
      </c>
      <c r="J26" s="8" t="n">
        <v>28</v>
      </c>
      <c r="K26" s="8" t="n">
        <v>24</v>
      </c>
      <c r="L26" s="8" t="n">
        <v>78</v>
      </c>
      <c r="M26" s="8" t="n">
        <v>10</v>
      </c>
      <c r="N26" s="8" t="n">
        <v>44</v>
      </c>
      <c r="O26" s="8" t="n">
        <v>35</v>
      </c>
      <c r="P26" s="8" t="n">
        <v>21</v>
      </c>
      <c r="Q26" s="8" t="n">
        <v>17</v>
      </c>
      <c r="R26" s="8" t="n">
        <v>115</v>
      </c>
      <c r="S26" s="8" t="n">
        <v>55</v>
      </c>
      <c r="T26" s="8" t="n">
        <v>37</v>
      </c>
      <c r="U26" s="9">
        <f>D26-SUM(E26:T26)</f>
        <v/>
      </c>
    </row>
    <row r="27">
      <c r="B27" s="7" t="n">
        <v>45982</v>
      </c>
      <c r="C27" s="5" t="n">
        <v>3200</v>
      </c>
      <c r="D27" s="5" t="n">
        <v>2400</v>
      </c>
      <c r="E27" s="8" t="n">
        <v>692</v>
      </c>
      <c r="F27" s="8" t="n">
        <v>68</v>
      </c>
      <c r="G27" s="8" t="n">
        <v>176</v>
      </c>
      <c r="H27" s="8" t="n">
        <v>58</v>
      </c>
      <c r="I27" s="8" t="n">
        <v>51</v>
      </c>
      <c r="J27" s="8" t="n">
        <v>26</v>
      </c>
      <c r="K27" s="8" t="n">
        <v>20</v>
      </c>
      <c r="L27" s="8" t="n">
        <v>81</v>
      </c>
      <c r="M27" s="8" t="n">
        <v>18</v>
      </c>
      <c r="N27" s="8" t="n">
        <v>32</v>
      </c>
      <c r="O27" s="8" t="n">
        <v>22</v>
      </c>
      <c r="P27" s="8" t="n">
        <v>26</v>
      </c>
      <c r="Q27" s="8" t="n">
        <v>24</v>
      </c>
      <c r="R27" s="8" t="n">
        <v>115</v>
      </c>
      <c r="S27" s="8" t="n">
        <v>55</v>
      </c>
      <c r="T27" s="8" t="n">
        <v>37</v>
      </c>
      <c r="U27" s="9">
        <f>D27-SUM(E27:T27)</f>
        <v/>
      </c>
    </row>
    <row r="28">
      <c r="B28" s="7" t="n">
        <v>45996</v>
      </c>
      <c r="C28" s="5" t="n">
        <v>3200</v>
      </c>
      <c r="D28" s="5" t="n">
        <v>2400</v>
      </c>
      <c r="E28" s="8" t="n">
        <v>691</v>
      </c>
      <c r="F28" s="8" t="n">
        <v>71</v>
      </c>
      <c r="G28" s="8" t="n">
        <v>187</v>
      </c>
      <c r="H28" s="8" t="n">
        <v>64</v>
      </c>
      <c r="I28" s="8" t="n">
        <v>42</v>
      </c>
      <c r="J28" s="8" t="n">
        <v>25</v>
      </c>
      <c r="K28" s="8" t="n">
        <v>38</v>
      </c>
      <c r="L28" s="8" t="n">
        <v>66</v>
      </c>
      <c r="M28" s="8" t="n">
        <v>15</v>
      </c>
      <c r="N28" s="8" t="n">
        <v>30</v>
      </c>
      <c r="O28" s="8" t="n">
        <v>28</v>
      </c>
      <c r="P28" s="8" t="n">
        <v>25</v>
      </c>
      <c r="Q28" s="8" t="n">
        <v>19</v>
      </c>
      <c r="R28" s="8" t="n">
        <v>115</v>
      </c>
      <c r="S28" s="8" t="n">
        <v>55</v>
      </c>
      <c r="T28" s="8" t="n">
        <v>37</v>
      </c>
      <c r="U28" s="9">
        <f>D28-SUM(E28:T28)</f>
        <v/>
      </c>
    </row>
    <row r="29">
      <c r="B29" s="7" t="n">
        <v>46010</v>
      </c>
      <c r="C29" s="5" t="n">
        <v>3200</v>
      </c>
      <c r="D29" s="5" t="n">
        <v>2400</v>
      </c>
      <c r="E29" s="8" t="n">
        <v>682</v>
      </c>
      <c r="F29" s="8" t="n">
        <v>80</v>
      </c>
      <c r="G29" s="8" t="n">
        <v>175</v>
      </c>
      <c r="H29" s="8" t="n">
        <v>53</v>
      </c>
      <c r="I29" s="8" t="n">
        <v>44</v>
      </c>
      <c r="J29" s="8" t="n">
        <v>34</v>
      </c>
      <c r="K29" s="8" t="n">
        <v>18</v>
      </c>
      <c r="L29" s="8" t="n">
        <v>66</v>
      </c>
      <c r="M29" s="8" t="n">
        <v>27</v>
      </c>
      <c r="N29" s="8" t="n">
        <v>43</v>
      </c>
      <c r="O29" s="8" t="n">
        <v>29</v>
      </c>
      <c r="P29" s="8" t="n">
        <v>14</v>
      </c>
      <c r="Q29" s="8" t="n">
        <v>21</v>
      </c>
      <c r="R29" s="8" t="n">
        <v>115</v>
      </c>
      <c r="S29" s="8" t="n">
        <v>55</v>
      </c>
      <c r="T29" s="8" t="n">
        <v>37</v>
      </c>
      <c r="U29" s="9">
        <f>D29-SUM(E29:T29)</f>
        <v/>
      </c>
    </row>
  </sheetData>
  <conditionalFormatting sqref="U4:U29">
    <cfRule type="cellIs" priority="1" operator="notEqual" dxfId="0">
      <formula>0</formula>
    </cfRule>
  </conditionalFormatting>
  <pageMargins left="0.75" right="0.75" top="1" bottom="1" header="0.5" footer="0.5"/>
</worksheet>
</file>

<file path=xl/worksheets/sheet3.xml><?xml version="1.0" encoding="utf-8"?>
<worksheet xmlns="http://schemas.openxmlformats.org/spreadsheetml/2006/main">
  <sheetPr>
    <outlinePr summaryBelow="1" summaryRight="1"/>
    <pageSetUpPr/>
  </sheetPr>
  <dimension ref="A1:F278"/>
  <sheetViews>
    <sheetView showGridLines="0" workbookViewId="0">
      <pane xSplit="1" ySplit="3" topLeftCell="B4" activePane="bottomRight" state="frozen"/>
      <selection pane="topRight"/>
      <selection pane="bottomLeft"/>
      <selection pane="bottomRight" activeCell="A1" sqref="A1"/>
    </sheetView>
  </sheetViews>
  <sheetFormatPr baseColWidth="8" defaultRowHeight="15"/>
  <cols>
    <col width="18" customWidth="1" min="1" max="1"/>
    <col width="18" customWidth="1" min="2" max="2"/>
    <col width="18" customWidth="1" min="3" max="3"/>
    <col width="18" customWidth="1" min="4" max="4"/>
    <col width="18" customWidth="1" min="5" max="5"/>
  </cols>
  <sheetData>
    <row r="1"/>
    <row r="2">
      <c r="B2" s="1" t="inlineStr">
        <is>
          <t>Spending Log</t>
        </is>
      </c>
      <c r="C2" s="2" t="n"/>
      <c r="D2" s="2" t="n"/>
      <c r="E2" s="2" t="n"/>
      <c r="F2" s="2" t="n"/>
    </row>
    <row r="3">
      <c r="B3" s="10" t="inlineStr">
        <is>
          <t>Date</t>
        </is>
      </c>
      <c r="C3" s="10" t="inlineStr">
        <is>
          <t>Payee</t>
        </is>
      </c>
      <c r="D3" s="10" t="inlineStr">
        <is>
          <t>Amount</t>
        </is>
      </c>
      <c r="E3" s="10" t="inlineStr">
        <is>
          <t>Envelope</t>
        </is>
      </c>
      <c r="F3" s="10" t="inlineStr">
        <is>
          <t>Notes</t>
        </is>
      </c>
    </row>
    <row r="4">
      <c r="B4" s="7" t="n">
        <v>45671</v>
      </c>
      <c r="C4" s="4" t="inlineStr">
        <is>
          <t>Landlord</t>
        </is>
      </c>
      <c r="D4" s="11" t="n">
        <v>1500</v>
      </c>
      <c r="E4" s="4" t="inlineStr">
        <is>
          <t>Rent</t>
        </is>
      </c>
      <c r="F4" s="2" t="n"/>
    </row>
    <row r="5">
      <c r="B5" s="7" t="n">
        <v>45667</v>
      </c>
      <c r="C5" s="4" t="inlineStr">
        <is>
          <t>Power Co</t>
        </is>
      </c>
      <c r="D5" s="11" t="n">
        <v>153.62</v>
      </c>
      <c r="E5" s="4" t="inlineStr">
        <is>
          <t>Utilities</t>
        </is>
      </c>
      <c r="F5" s="2" t="n"/>
    </row>
    <row r="6">
      <c r="B6" s="7" t="n">
        <v>45663</v>
      </c>
      <c r="C6" s="4" t="inlineStr">
        <is>
          <t>Trader Joes</t>
        </is>
      </c>
      <c r="D6" s="11" t="n">
        <v>154</v>
      </c>
      <c r="E6" s="4" t="inlineStr">
        <is>
          <t>Groceries</t>
        </is>
      </c>
      <c r="F6" s="2" t="n"/>
    </row>
    <row r="7">
      <c r="B7" s="7" t="n">
        <v>45680</v>
      </c>
      <c r="C7" s="4" t="inlineStr">
        <is>
          <t>Costco</t>
        </is>
      </c>
      <c r="D7" s="11" t="n">
        <v>141.06</v>
      </c>
      <c r="E7" s="4" t="inlineStr">
        <is>
          <t>Groceries</t>
        </is>
      </c>
      <c r="F7" s="2" t="n"/>
    </row>
    <row r="8">
      <c r="B8" s="7" t="n">
        <v>45669</v>
      </c>
      <c r="C8" s="4" t="inlineStr">
        <is>
          <t>Shell</t>
        </is>
      </c>
      <c r="D8" s="11" t="n">
        <v>78.84</v>
      </c>
      <c r="E8" s="4" t="inlineStr">
        <is>
          <t>Gas</t>
        </is>
      </c>
      <c r="F8" s="2" t="n"/>
    </row>
    <row r="9">
      <c r="B9" s="7" t="n">
        <v>45668</v>
      </c>
      <c r="C9" s="4" t="inlineStr">
        <is>
          <t>BP</t>
        </is>
      </c>
      <c r="D9" s="11" t="n">
        <v>73.84</v>
      </c>
      <c r="E9" s="4" t="inlineStr">
        <is>
          <t>Gas</t>
        </is>
      </c>
      <c r="F9" s="2" t="n"/>
    </row>
    <row r="10">
      <c r="B10" s="7" t="n">
        <v>45677</v>
      </c>
      <c r="C10" s="4" t="inlineStr">
        <is>
          <t>Geico</t>
        </is>
      </c>
      <c r="D10" s="11" t="n">
        <v>110</v>
      </c>
      <c r="E10" s="4" t="inlineStr">
        <is>
          <t>Auto Insurance</t>
        </is>
      </c>
      <c r="F10" s="2" t="n"/>
    </row>
    <row r="11">
      <c r="B11" s="7" t="n">
        <v>45661</v>
      </c>
      <c r="C11" s="4" t="inlineStr">
        <is>
          <t>T-Mobile</t>
        </is>
      </c>
      <c r="D11" s="11" t="n">
        <v>75</v>
      </c>
      <c r="E11" s="4" t="inlineStr">
        <is>
          <t>Phone</t>
        </is>
      </c>
      <c r="F11" s="2" t="n"/>
    </row>
    <row r="12">
      <c r="B12" s="7" t="n">
        <v>45668</v>
      </c>
      <c r="C12" s="4" t="inlineStr">
        <is>
          <t>CVS</t>
        </is>
      </c>
      <c r="D12" s="11" t="n">
        <v>48.96</v>
      </c>
      <c r="E12" s="4" t="inlineStr">
        <is>
          <t>Medical</t>
        </is>
      </c>
      <c r="F12" s="2" t="n"/>
    </row>
    <row r="13">
      <c r="B13" s="7" t="n">
        <v>45673</v>
      </c>
      <c r="C13" s="4" t="inlineStr">
        <is>
          <t>Thai Kitchen</t>
        </is>
      </c>
      <c r="D13" s="11" t="n">
        <v>47.72</v>
      </c>
      <c r="E13" s="4" t="inlineStr">
        <is>
          <t>Dining Out</t>
        </is>
      </c>
      <c r="F13" s="2" t="n"/>
    </row>
    <row r="14">
      <c r="B14" s="7" t="n">
        <v>45664</v>
      </c>
      <c r="C14" s="4" t="inlineStr">
        <is>
          <t>Thai Kitchen</t>
        </is>
      </c>
      <c r="D14" s="11" t="n">
        <v>34.95</v>
      </c>
      <c r="E14" s="4" t="inlineStr">
        <is>
          <t>Dining Out</t>
        </is>
      </c>
      <c r="F14" s="2" t="n"/>
    </row>
    <row r="15">
      <c r="B15" s="7" t="n">
        <v>45666</v>
      </c>
      <c r="C15" s="4" t="inlineStr">
        <is>
          <t>Thai Kitchen</t>
        </is>
      </c>
      <c r="D15" s="11" t="n">
        <v>36.27</v>
      </c>
      <c r="E15" s="4" t="inlineStr">
        <is>
          <t>Dining Out</t>
        </is>
      </c>
      <c r="F15" s="2" t="n"/>
    </row>
    <row r="16">
      <c r="B16" s="7" t="n">
        <v>45682</v>
      </c>
      <c r="C16" s="4" t="inlineStr">
        <is>
          <t>Chipotle</t>
        </is>
      </c>
      <c r="D16" s="11" t="n">
        <v>30.3</v>
      </c>
      <c r="E16" s="4" t="inlineStr">
        <is>
          <t>Dining Out</t>
        </is>
      </c>
      <c r="F16" s="2" t="n"/>
    </row>
    <row r="17">
      <c r="B17" s="7" t="n">
        <v>45671</v>
      </c>
      <c r="C17" s="4" t="inlineStr">
        <is>
          <t>Local Roast</t>
        </is>
      </c>
      <c r="D17" s="11" t="n">
        <v>22.08</v>
      </c>
      <c r="E17" s="4" t="inlineStr">
        <is>
          <t>Coffee</t>
        </is>
      </c>
      <c r="F17" s="2" t="n"/>
    </row>
    <row r="18">
      <c r="B18" s="7" t="n">
        <v>45659</v>
      </c>
      <c r="C18" s="4" t="inlineStr">
        <is>
          <t>Local Roast</t>
        </is>
      </c>
      <c r="D18" s="11" t="n">
        <v>23.8</v>
      </c>
      <c r="E18" s="4" t="inlineStr">
        <is>
          <t>Coffee</t>
        </is>
      </c>
      <c r="F18" s="2" t="n"/>
    </row>
    <row r="19">
      <c r="B19" s="7" t="n">
        <v>45672</v>
      </c>
      <c r="C19" s="4" t="inlineStr">
        <is>
          <t>Bowling Alley</t>
        </is>
      </c>
      <c r="D19" s="11" t="n">
        <v>35.82</v>
      </c>
      <c r="E19" s="4" t="inlineStr">
        <is>
          <t>Entertainment</t>
        </is>
      </c>
      <c r="F19" s="2" t="n"/>
    </row>
    <row r="20">
      <c r="B20" s="7" t="n">
        <v>45665</v>
      </c>
      <c r="C20" s="4" t="inlineStr">
        <is>
          <t>Spotify</t>
        </is>
      </c>
      <c r="D20" s="11" t="n">
        <v>39.07</v>
      </c>
      <c r="E20" s="4" t="inlineStr">
        <is>
          <t>Entertainment</t>
        </is>
      </c>
      <c r="F20" s="2" t="n"/>
    </row>
    <row r="21">
      <c r="B21" s="7" t="n">
        <v>45669</v>
      </c>
      <c r="C21" s="4" t="inlineStr">
        <is>
          <t>TJ Maxx</t>
        </is>
      </c>
      <c r="D21" s="11" t="n">
        <v>48.82</v>
      </c>
      <c r="E21" s="4" t="inlineStr">
        <is>
          <t>Clothing</t>
        </is>
      </c>
      <c r="F21" s="2" t="n"/>
    </row>
    <row r="22">
      <c r="B22" s="7" t="n">
        <v>45684</v>
      </c>
      <c r="C22" s="4" t="inlineStr">
        <is>
          <t>TJ Maxx</t>
        </is>
      </c>
      <c r="D22" s="11" t="n">
        <v>41.63</v>
      </c>
      <c r="E22" s="4" t="inlineStr">
        <is>
          <t>Clothing</t>
        </is>
      </c>
      <c r="F22" s="2" t="n"/>
    </row>
    <row r="23">
      <c r="B23" s="7" t="n">
        <v>45658</v>
      </c>
      <c r="C23" s="4" t="inlineStr">
        <is>
          <t>Great Clips</t>
        </is>
      </c>
      <c r="D23" s="11" t="n">
        <v>28.78</v>
      </c>
      <c r="E23" s="4" t="inlineStr">
        <is>
          <t>Personal Care</t>
        </is>
      </c>
      <c r="F23" s="2" t="n"/>
    </row>
    <row r="24">
      <c r="B24" s="7" t="n">
        <v>45677</v>
      </c>
      <c r="C24" s="4" t="inlineStr">
        <is>
          <t>NYT</t>
        </is>
      </c>
      <c r="D24" s="11" t="n">
        <v>53.2</v>
      </c>
      <c r="E24" s="4" t="inlineStr">
        <is>
          <t>Subscriptions</t>
        </is>
      </c>
      <c r="F24" s="2" t="n"/>
    </row>
    <row r="25">
      <c r="B25" s="7" t="n">
        <v>45706</v>
      </c>
      <c r="C25" s="4" t="inlineStr">
        <is>
          <t>Landlord</t>
        </is>
      </c>
      <c r="D25" s="11" t="n">
        <v>1500</v>
      </c>
      <c r="E25" s="4" t="inlineStr">
        <is>
          <t>Rent</t>
        </is>
      </c>
      <c r="F25" s="2" t="n"/>
    </row>
    <row r="26">
      <c r="B26" s="7" t="n">
        <v>45700</v>
      </c>
      <c r="C26" s="4" t="inlineStr">
        <is>
          <t>Water Dept</t>
        </is>
      </c>
      <c r="D26" s="11" t="n">
        <v>89.31999999999999</v>
      </c>
      <c r="E26" s="4" t="inlineStr">
        <is>
          <t>Utilities</t>
        </is>
      </c>
      <c r="F26" s="2" t="n"/>
    </row>
    <row r="27">
      <c r="B27" s="7" t="n">
        <v>45692</v>
      </c>
      <c r="C27" s="4" t="inlineStr">
        <is>
          <t>Power Co</t>
        </is>
      </c>
      <c r="D27" s="11" t="n">
        <v>78.51000000000001</v>
      </c>
      <c r="E27" s="4" t="inlineStr">
        <is>
          <t>Utilities</t>
        </is>
      </c>
      <c r="F27" s="2" t="n"/>
    </row>
    <row r="28">
      <c r="B28" s="7" t="n">
        <v>45704</v>
      </c>
      <c r="C28" s="4" t="inlineStr">
        <is>
          <t>Kroger</t>
        </is>
      </c>
      <c r="D28" s="11" t="n">
        <v>113</v>
      </c>
      <c r="E28" s="4" t="inlineStr">
        <is>
          <t>Groceries</t>
        </is>
      </c>
      <c r="F28" s="2" t="n"/>
    </row>
    <row r="29">
      <c r="B29" s="7" t="n">
        <v>45693</v>
      </c>
      <c r="C29" s="4" t="inlineStr">
        <is>
          <t>Aldi</t>
        </is>
      </c>
      <c r="D29" s="11" t="n">
        <v>129.94</v>
      </c>
      <c r="E29" s="4" t="inlineStr">
        <is>
          <t>Groceries</t>
        </is>
      </c>
      <c r="F29" s="2" t="n"/>
    </row>
    <row r="30">
      <c r="B30" s="7" t="n">
        <v>45709</v>
      </c>
      <c r="C30" s="4" t="inlineStr">
        <is>
          <t>Kroger</t>
        </is>
      </c>
      <c r="D30" s="11" t="n">
        <v>115.64</v>
      </c>
      <c r="E30" s="4" t="inlineStr">
        <is>
          <t>Groceries</t>
        </is>
      </c>
      <c r="F30" s="2" t="n"/>
    </row>
    <row r="31">
      <c r="B31" s="7" t="n">
        <v>45708</v>
      </c>
      <c r="C31" s="4" t="inlineStr">
        <is>
          <t>Trader Joes</t>
        </is>
      </c>
      <c r="D31" s="11" t="n">
        <v>110.55</v>
      </c>
      <c r="E31" s="4" t="inlineStr">
        <is>
          <t>Groceries</t>
        </is>
      </c>
      <c r="F31" s="2" t="n"/>
    </row>
    <row r="32">
      <c r="B32" s="7" t="n">
        <v>45689</v>
      </c>
      <c r="C32" s="4" t="inlineStr">
        <is>
          <t>BP</t>
        </is>
      </c>
      <c r="D32" s="11" t="n">
        <v>106.29</v>
      </c>
      <c r="E32" s="4" t="inlineStr">
        <is>
          <t>Gas</t>
        </is>
      </c>
      <c r="F32" s="2" t="n"/>
    </row>
    <row r="33">
      <c r="B33" s="7" t="n">
        <v>45697</v>
      </c>
      <c r="C33" s="4" t="inlineStr">
        <is>
          <t>Geico</t>
        </is>
      </c>
      <c r="D33" s="11" t="n">
        <v>110</v>
      </c>
      <c r="E33" s="4" t="inlineStr">
        <is>
          <t>Auto Insurance</t>
        </is>
      </c>
      <c r="F33" s="2" t="n"/>
    </row>
    <row r="34">
      <c r="B34" s="7" t="n">
        <v>45711</v>
      </c>
      <c r="C34" s="4" t="inlineStr">
        <is>
          <t>T-Mobile</t>
        </is>
      </c>
      <c r="D34" s="11" t="n">
        <v>75</v>
      </c>
      <c r="E34" s="4" t="inlineStr">
        <is>
          <t>Phone</t>
        </is>
      </c>
      <c r="F34" s="2" t="n"/>
    </row>
    <row r="35">
      <c r="B35" s="7" t="n">
        <v>45697</v>
      </c>
      <c r="C35" s="4" t="inlineStr">
        <is>
          <t>CVS</t>
        </is>
      </c>
      <c r="D35" s="11" t="n">
        <v>49.41</v>
      </c>
      <c r="E35" s="4" t="inlineStr">
        <is>
          <t>Medical</t>
        </is>
      </c>
      <c r="F35" s="2" t="n"/>
    </row>
    <row r="36">
      <c r="B36" s="7" t="n">
        <v>45691</v>
      </c>
      <c r="C36" s="4" t="inlineStr">
        <is>
          <t>Olive Garden</t>
        </is>
      </c>
      <c r="D36" s="11" t="n">
        <v>46.03</v>
      </c>
      <c r="E36" s="4" t="inlineStr">
        <is>
          <t>Dining Out</t>
        </is>
      </c>
      <c r="F36" s="2" t="n"/>
    </row>
    <row r="37">
      <c r="B37" s="7" t="n">
        <v>45704</v>
      </c>
      <c r="C37" s="4" t="inlineStr">
        <is>
          <t>Olive Garden</t>
        </is>
      </c>
      <c r="D37" s="11" t="n">
        <v>46.92</v>
      </c>
      <c r="E37" s="4" t="inlineStr">
        <is>
          <t>Dining Out</t>
        </is>
      </c>
      <c r="F37" s="2" t="n"/>
    </row>
    <row r="38">
      <c r="B38" s="7" t="n">
        <v>45701</v>
      </c>
      <c r="C38" s="4" t="inlineStr">
        <is>
          <t>Panera</t>
        </is>
      </c>
      <c r="D38" s="11" t="n">
        <v>35.92</v>
      </c>
      <c r="E38" s="4" t="inlineStr">
        <is>
          <t>Dining Out</t>
        </is>
      </c>
      <c r="F38" s="2" t="n"/>
    </row>
    <row r="39">
      <c r="B39" s="7" t="n">
        <v>45698</v>
      </c>
      <c r="C39" s="4" t="inlineStr">
        <is>
          <t>Panera</t>
        </is>
      </c>
      <c r="D39" s="11" t="n">
        <v>47.14</v>
      </c>
      <c r="E39" s="4" t="inlineStr">
        <is>
          <t>Dining Out</t>
        </is>
      </c>
      <c r="F39" s="2" t="n"/>
    </row>
    <row r="40">
      <c r="B40" s="7" t="n">
        <v>45693</v>
      </c>
      <c r="C40" s="4" t="inlineStr">
        <is>
          <t>Local Roast</t>
        </is>
      </c>
      <c r="D40" s="11" t="n">
        <v>17.81</v>
      </c>
      <c r="E40" s="4" t="inlineStr">
        <is>
          <t>Coffee</t>
        </is>
      </c>
      <c r="F40" s="2" t="n"/>
    </row>
    <row r="41">
      <c r="B41" s="7" t="n">
        <v>45693</v>
      </c>
      <c r="C41" s="4" t="inlineStr">
        <is>
          <t>Starbucks</t>
        </is>
      </c>
      <c r="D41" s="11" t="n">
        <v>15.58</v>
      </c>
      <c r="E41" s="4" t="inlineStr">
        <is>
          <t>Coffee</t>
        </is>
      </c>
      <c r="F41" s="2" t="n"/>
    </row>
    <row r="42">
      <c r="B42" s="7" t="n">
        <v>45703</v>
      </c>
      <c r="C42" s="4" t="inlineStr">
        <is>
          <t>AMC</t>
        </is>
      </c>
      <c r="D42" s="11" t="n">
        <v>36.67</v>
      </c>
      <c r="E42" s="4" t="inlineStr">
        <is>
          <t>Entertainment</t>
        </is>
      </c>
      <c r="F42" s="2" t="n"/>
    </row>
    <row r="43">
      <c r="B43" s="7" t="n">
        <v>45697</v>
      </c>
      <c r="C43" s="4" t="inlineStr">
        <is>
          <t>Bowling Alley</t>
        </is>
      </c>
      <c r="D43" s="11" t="n">
        <v>35.05</v>
      </c>
      <c r="E43" s="4" t="inlineStr">
        <is>
          <t>Entertainment</t>
        </is>
      </c>
      <c r="F43" s="2" t="n"/>
    </row>
    <row r="44">
      <c r="B44" s="7" t="n">
        <v>45700</v>
      </c>
      <c r="C44" s="4" t="inlineStr">
        <is>
          <t>Target</t>
        </is>
      </c>
      <c r="D44" s="11" t="n">
        <v>41.88</v>
      </c>
      <c r="E44" s="4" t="inlineStr">
        <is>
          <t>Clothing</t>
        </is>
      </c>
      <c r="F44" s="2" t="n"/>
    </row>
    <row r="45">
      <c r="B45" s="7" t="n">
        <v>45690</v>
      </c>
      <c r="C45" s="4" t="inlineStr">
        <is>
          <t>TJ Maxx</t>
        </is>
      </c>
      <c r="D45" s="11" t="n">
        <v>35.09</v>
      </c>
      <c r="E45" s="4" t="inlineStr">
        <is>
          <t>Clothing</t>
        </is>
      </c>
      <c r="F45" s="2" t="n"/>
    </row>
    <row r="46">
      <c r="B46" s="7" t="n">
        <v>45691</v>
      </c>
      <c r="C46" s="4" t="inlineStr">
        <is>
          <t>Target Beauty</t>
        </is>
      </c>
      <c r="D46" s="11" t="n">
        <v>36.68</v>
      </c>
      <c r="E46" s="4" t="inlineStr">
        <is>
          <t>Personal Care</t>
        </is>
      </c>
      <c r="F46" s="2" t="n"/>
    </row>
    <row r="47">
      <c r="B47" s="7" t="n">
        <v>45703</v>
      </c>
      <c r="C47" s="4" t="inlineStr">
        <is>
          <t>iCloud</t>
        </is>
      </c>
      <c r="D47" s="11" t="n">
        <v>28.84</v>
      </c>
      <c r="E47" s="4" t="inlineStr">
        <is>
          <t>Subscriptions</t>
        </is>
      </c>
      <c r="F47" s="2" t="n"/>
    </row>
    <row r="48">
      <c r="B48" s="7" t="n">
        <v>45693</v>
      </c>
      <c r="C48" s="4" t="inlineStr">
        <is>
          <t>Netflix</t>
        </is>
      </c>
      <c r="D48" s="11" t="n">
        <v>34.78</v>
      </c>
      <c r="E48" s="4" t="inlineStr">
        <is>
          <t>Subscriptions</t>
        </is>
      </c>
      <c r="F48" s="2" t="n"/>
    </row>
    <row r="49">
      <c r="B49" s="7" t="n">
        <v>45746</v>
      </c>
      <c r="C49" s="4" t="inlineStr">
        <is>
          <t>Landlord</t>
        </is>
      </c>
      <c r="D49" s="11" t="n">
        <v>1500</v>
      </c>
      <c r="E49" s="4" t="inlineStr">
        <is>
          <t>Rent</t>
        </is>
      </c>
      <c r="F49" s="2" t="n"/>
    </row>
    <row r="50">
      <c r="B50" s="7" t="n">
        <v>45727</v>
      </c>
      <c r="C50" s="4" t="inlineStr">
        <is>
          <t>Water Dept</t>
        </is>
      </c>
      <c r="D50" s="11" t="n">
        <v>145.4</v>
      </c>
      <c r="E50" s="4" t="inlineStr">
        <is>
          <t>Utilities</t>
        </is>
      </c>
      <c r="F50" s="2" t="n"/>
    </row>
    <row r="51">
      <c r="B51" s="7" t="n">
        <v>45746</v>
      </c>
      <c r="C51" s="4" t="inlineStr">
        <is>
          <t>Costco</t>
        </is>
      </c>
      <c r="D51" s="11" t="n">
        <v>249.11</v>
      </c>
      <c r="E51" s="4" t="inlineStr">
        <is>
          <t>Groceries</t>
        </is>
      </c>
      <c r="F51" s="2" t="n"/>
    </row>
    <row r="52">
      <c r="B52" s="7" t="n">
        <v>45747</v>
      </c>
      <c r="C52" s="4" t="inlineStr">
        <is>
          <t>Costco</t>
        </is>
      </c>
      <c r="D52" s="11" t="n">
        <v>149.48</v>
      </c>
      <c r="E52" s="4" t="inlineStr">
        <is>
          <t>Groceries</t>
        </is>
      </c>
      <c r="F52" s="2" t="n"/>
    </row>
    <row r="53">
      <c r="B53" s="7" t="n">
        <v>45747</v>
      </c>
      <c r="C53" s="4" t="inlineStr">
        <is>
          <t>Costco Gas</t>
        </is>
      </c>
      <c r="D53" s="11" t="n">
        <v>68.91</v>
      </c>
      <c r="E53" s="4" t="inlineStr">
        <is>
          <t>Gas</t>
        </is>
      </c>
      <c r="F53" s="2" t="n"/>
    </row>
    <row r="54">
      <c r="B54" s="7" t="n">
        <v>45733</v>
      </c>
      <c r="C54" s="4" t="inlineStr">
        <is>
          <t>BP</t>
        </is>
      </c>
      <c r="D54" s="11" t="n">
        <v>71.88</v>
      </c>
      <c r="E54" s="4" t="inlineStr">
        <is>
          <t>Gas</t>
        </is>
      </c>
      <c r="F54" s="2" t="n"/>
    </row>
    <row r="55">
      <c r="B55" s="7" t="n">
        <v>45724</v>
      </c>
      <c r="C55" s="4" t="inlineStr">
        <is>
          <t>Geico</t>
        </is>
      </c>
      <c r="D55" s="11" t="n">
        <v>110</v>
      </c>
      <c r="E55" s="4" t="inlineStr">
        <is>
          <t>Auto Insurance</t>
        </is>
      </c>
      <c r="F55" s="2" t="n"/>
    </row>
    <row r="56">
      <c r="B56" s="7" t="n">
        <v>45722</v>
      </c>
      <c r="C56" s="4" t="inlineStr">
        <is>
          <t>T-Mobile</t>
        </is>
      </c>
      <c r="D56" s="11" t="n">
        <v>75</v>
      </c>
      <c r="E56" s="4" t="inlineStr">
        <is>
          <t>Phone</t>
        </is>
      </c>
      <c r="F56" s="2" t="n"/>
    </row>
    <row r="57">
      <c r="B57" s="7" t="n">
        <v>45717</v>
      </c>
      <c r="C57" s="4" t="inlineStr">
        <is>
          <t>Dr. Kim</t>
        </is>
      </c>
      <c r="D57" s="11" t="n">
        <v>52.02</v>
      </c>
      <c r="E57" s="4" t="inlineStr">
        <is>
          <t>Medical</t>
        </is>
      </c>
      <c r="F57" s="2" t="n"/>
    </row>
    <row r="58">
      <c r="B58" s="7" t="n">
        <v>45720</v>
      </c>
      <c r="C58" s="4" t="inlineStr">
        <is>
          <t>Chipotle</t>
        </is>
      </c>
      <c r="D58" s="11" t="n">
        <v>33.08</v>
      </c>
      <c r="E58" s="4" t="inlineStr">
        <is>
          <t>Dining Out</t>
        </is>
      </c>
      <c r="F58" s="2" t="n"/>
    </row>
    <row r="59">
      <c r="B59" s="7" t="n">
        <v>45729</v>
      </c>
      <c r="C59" s="4" t="inlineStr">
        <is>
          <t>Chipotle</t>
        </is>
      </c>
      <c r="D59" s="11" t="n">
        <v>31.1</v>
      </c>
      <c r="E59" s="4" t="inlineStr">
        <is>
          <t>Dining Out</t>
        </is>
      </c>
      <c r="F59" s="2" t="n"/>
    </row>
    <row r="60">
      <c r="B60" s="7" t="n">
        <v>45737</v>
      </c>
      <c r="C60" s="4" t="inlineStr">
        <is>
          <t>Olive Garden</t>
        </is>
      </c>
      <c r="D60" s="11" t="n">
        <v>32.51</v>
      </c>
      <c r="E60" s="4" t="inlineStr">
        <is>
          <t>Dining Out</t>
        </is>
      </c>
      <c r="F60" s="2" t="n"/>
    </row>
    <row r="61">
      <c r="B61" s="7" t="n">
        <v>45729</v>
      </c>
      <c r="C61" s="4" t="inlineStr">
        <is>
          <t>Thai Kitchen</t>
        </is>
      </c>
      <c r="D61" s="11" t="n">
        <v>28.38</v>
      </c>
      <c r="E61" s="4" t="inlineStr">
        <is>
          <t>Dining Out</t>
        </is>
      </c>
      <c r="F61" s="2" t="n"/>
    </row>
    <row r="62">
      <c r="B62" s="7" t="n">
        <v>45739</v>
      </c>
      <c r="C62" s="4" t="inlineStr">
        <is>
          <t>Starbucks</t>
        </is>
      </c>
      <c r="D62" s="11" t="n">
        <v>16.69</v>
      </c>
      <c r="E62" s="4" t="inlineStr">
        <is>
          <t>Coffee</t>
        </is>
      </c>
      <c r="F62" s="2" t="n"/>
    </row>
    <row r="63">
      <c r="B63" s="7" t="n">
        <v>45727</v>
      </c>
      <c r="C63" s="4" t="inlineStr">
        <is>
          <t>Local Roast</t>
        </is>
      </c>
      <c r="D63" s="11" t="n">
        <v>14.39</v>
      </c>
      <c r="E63" s="4" t="inlineStr">
        <is>
          <t>Coffee</t>
        </is>
      </c>
      <c r="F63" s="2" t="n"/>
    </row>
    <row r="64">
      <c r="B64" s="7" t="n">
        <v>45735</v>
      </c>
      <c r="C64" s="4" t="inlineStr">
        <is>
          <t>Dunkin</t>
        </is>
      </c>
      <c r="D64" s="11" t="n">
        <v>14.76</v>
      </c>
      <c r="E64" s="4" t="inlineStr">
        <is>
          <t>Coffee</t>
        </is>
      </c>
      <c r="F64" s="2" t="n"/>
    </row>
    <row r="65">
      <c r="B65" s="7" t="n">
        <v>45720</v>
      </c>
      <c r="C65" s="4" t="inlineStr">
        <is>
          <t>Bowling Alley</t>
        </is>
      </c>
      <c r="D65" s="11" t="n">
        <v>24.52</v>
      </c>
      <c r="E65" s="4" t="inlineStr">
        <is>
          <t>Entertainment</t>
        </is>
      </c>
      <c r="F65" s="2" t="n"/>
    </row>
    <row r="66">
      <c r="B66" s="7" t="n">
        <v>45717</v>
      </c>
      <c r="C66" s="4" t="inlineStr">
        <is>
          <t>Bowling Alley</t>
        </is>
      </c>
      <c r="D66" s="11" t="n">
        <v>49.46</v>
      </c>
      <c r="E66" s="4" t="inlineStr">
        <is>
          <t>Entertainment</t>
        </is>
      </c>
      <c r="F66" s="2" t="n"/>
    </row>
    <row r="67">
      <c r="B67" s="7" t="n">
        <v>45720</v>
      </c>
      <c r="C67" s="4" t="inlineStr">
        <is>
          <t>Target</t>
        </is>
      </c>
      <c r="D67" s="11" t="n">
        <v>51.71</v>
      </c>
      <c r="E67" s="4" t="inlineStr">
        <is>
          <t>Clothing</t>
        </is>
      </c>
      <c r="F67" s="2" t="n"/>
    </row>
    <row r="68">
      <c r="B68" s="7" t="n">
        <v>45729</v>
      </c>
      <c r="C68" s="4" t="inlineStr">
        <is>
          <t>Target Beauty</t>
        </is>
      </c>
      <c r="D68" s="11" t="n">
        <v>20.27</v>
      </c>
      <c r="E68" s="4" t="inlineStr">
        <is>
          <t>Personal Care</t>
        </is>
      </c>
      <c r="F68" s="2" t="n"/>
    </row>
    <row r="69">
      <c r="B69" s="7" t="n">
        <v>45724</v>
      </c>
      <c r="C69" s="4" t="inlineStr">
        <is>
          <t>Target Beauty</t>
        </is>
      </c>
      <c r="D69" s="11" t="n">
        <v>14.32</v>
      </c>
      <c r="E69" s="4" t="inlineStr">
        <is>
          <t>Personal Care</t>
        </is>
      </c>
      <c r="F69" s="2" t="n"/>
    </row>
    <row r="70">
      <c r="B70" s="7" t="n">
        <v>45741</v>
      </c>
      <c r="C70" s="4" t="inlineStr">
        <is>
          <t>iCloud</t>
        </is>
      </c>
      <c r="D70" s="11" t="n">
        <v>41.98</v>
      </c>
      <c r="E70" s="4" t="inlineStr">
        <is>
          <t>Subscriptions</t>
        </is>
      </c>
      <c r="F70" s="2" t="n"/>
    </row>
    <row r="71">
      <c r="B71" s="7" t="n">
        <v>45772</v>
      </c>
      <c r="C71" s="4" t="inlineStr">
        <is>
          <t>Landlord</t>
        </is>
      </c>
      <c r="D71" s="11" t="n">
        <v>1500</v>
      </c>
      <c r="E71" s="4" t="inlineStr">
        <is>
          <t>Rent</t>
        </is>
      </c>
      <c r="F71" s="2" t="n"/>
    </row>
    <row r="72">
      <c r="B72" s="7" t="n">
        <v>45757</v>
      </c>
      <c r="C72" s="4" t="inlineStr">
        <is>
          <t>Water Dept</t>
        </is>
      </c>
      <c r="D72" s="11" t="n">
        <v>167.3</v>
      </c>
      <c r="E72" s="4" t="inlineStr">
        <is>
          <t>Utilities</t>
        </is>
      </c>
      <c r="F72" s="2" t="n"/>
    </row>
    <row r="73">
      <c r="B73" s="7" t="n">
        <v>45776</v>
      </c>
      <c r="C73" s="4" t="inlineStr">
        <is>
          <t>Costco</t>
        </is>
      </c>
      <c r="D73" s="11" t="n">
        <v>131.12</v>
      </c>
      <c r="E73" s="4" t="inlineStr">
        <is>
          <t>Groceries</t>
        </is>
      </c>
      <c r="F73" s="2" t="n"/>
    </row>
    <row r="74">
      <c r="B74" s="7" t="n">
        <v>45763</v>
      </c>
      <c r="C74" s="4" t="inlineStr">
        <is>
          <t>Costco</t>
        </is>
      </c>
      <c r="D74" s="11" t="n">
        <v>156.45</v>
      </c>
      <c r="E74" s="4" t="inlineStr">
        <is>
          <t>Groceries</t>
        </is>
      </c>
      <c r="F74" s="2" t="n"/>
    </row>
    <row r="75">
      <c r="B75" s="7" t="n">
        <v>45763</v>
      </c>
      <c r="C75" s="4" t="inlineStr">
        <is>
          <t>Costco</t>
        </is>
      </c>
      <c r="D75" s="11" t="n">
        <v>148.43</v>
      </c>
      <c r="E75" s="4" t="inlineStr">
        <is>
          <t>Groceries</t>
        </is>
      </c>
      <c r="F75" s="2" t="n"/>
    </row>
    <row r="76">
      <c r="B76" s="7" t="n">
        <v>45756</v>
      </c>
      <c r="C76" s="4" t="inlineStr">
        <is>
          <t>Costco Gas</t>
        </is>
      </c>
      <c r="D76" s="11" t="n">
        <v>161.41</v>
      </c>
      <c r="E76" s="4" t="inlineStr">
        <is>
          <t>Gas</t>
        </is>
      </c>
      <c r="F76" s="2" t="n"/>
    </row>
    <row r="77">
      <c r="B77" s="7" t="n">
        <v>45754</v>
      </c>
      <c r="C77" s="4" t="inlineStr">
        <is>
          <t>Geico</t>
        </is>
      </c>
      <c r="D77" s="11" t="n">
        <v>110</v>
      </c>
      <c r="E77" s="4" t="inlineStr">
        <is>
          <t>Auto Insurance</t>
        </is>
      </c>
      <c r="F77" s="2" t="n"/>
    </row>
    <row r="78">
      <c r="B78" s="7" t="n">
        <v>45774</v>
      </c>
      <c r="C78" s="4" t="inlineStr">
        <is>
          <t>T-Mobile</t>
        </is>
      </c>
      <c r="D78" s="11" t="n">
        <v>75</v>
      </c>
      <c r="E78" s="4" t="inlineStr">
        <is>
          <t>Phone</t>
        </is>
      </c>
      <c r="F78" s="2" t="n"/>
    </row>
    <row r="79">
      <c r="B79" s="7" t="n">
        <v>45759</v>
      </c>
      <c r="C79" s="4" t="inlineStr">
        <is>
          <t>CVS</t>
        </is>
      </c>
      <c r="D79" s="11" t="n">
        <v>39.43</v>
      </c>
      <c r="E79" s="4" t="inlineStr">
        <is>
          <t>Medical</t>
        </is>
      </c>
      <c r="F79" s="2" t="n"/>
    </row>
    <row r="80">
      <c r="B80" s="7" t="n">
        <v>45759</v>
      </c>
      <c r="C80" s="4" t="inlineStr">
        <is>
          <t>CVS</t>
        </is>
      </c>
      <c r="D80" s="11" t="n">
        <v>36.6</v>
      </c>
      <c r="E80" s="4" t="inlineStr">
        <is>
          <t>Medical</t>
        </is>
      </c>
      <c r="F80" s="2" t="n"/>
    </row>
    <row r="81">
      <c r="B81" s="7" t="n">
        <v>45770</v>
      </c>
      <c r="C81" s="4" t="inlineStr">
        <is>
          <t>Panera</t>
        </is>
      </c>
      <c r="D81" s="11" t="n">
        <v>51.07</v>
      </c>
      <c r="E81" s="4" t="inlineStr">
        <is>
          <t>Dining Out</t>
        </is>
      </c>
      <c r="F81" s="2" t="n"/>
    </row>
    <row r="82">
      <c r="B82" s="7" t="n">
        <v>45751</v>
      </c>
      <c r="C82" s="4" t="inlineStr">
        <is>
          <t>Chipotle</t>
        </is>
      </c>
      <c r="D82" s="11" t="n">
        <v>38.39</v>
      </c>
      <c r="E82" s="4" t="inlineStr">
        <is>
          <t>Dining Out</t>
        </is>
      </c>
      <c r="F82" s="2" t="n"/>
    </row>
    <row r="83">
      <c r="B83" s="7" t="n">
        <v>45755</v>
      </c>
      <c r="C83" s="4" t="inlineStr">
        <is>
          <t>Olive Garden</t>
        </is>
      </c>
      <c r="D83" s="11" t="n">
        <v>46.07</v>
      </c>
      <c r="E83" s="4" t="inlineStr">
        <is>
          <t>Dining Out</t>
        </is>
      </c>
      <c r="F83" s="2" t="n"/>
    </row>
    <row r="84">
      <c r="B84" s="7" t="n">
        <v>45769</v>
      </c>
      <c r="C84" s="4" t="inlineStr">
        <is>
          <t>Local Roast</t>
        </is>
      </c>
      <c r="D84" s="11" t="n">
        <v>16.07</v>
      </c>
      <c r="E84" s="4" t="inlineStr">
        <is>
          <t>Coffee</t>
        </is>
      </c>
      <c r="F84" s="2" t="n"/>
    </row>
    <row r="85">
      <c r="B85" s="7" t="n">
        <v>45758</v>
      </c>
      <c r="C85" s="4" t="inlineStr">
        <is>
          <t>Local Roast</t>
        </is>
      </c>
      <c r="D85" s="11" t="n">
        <v>21.66</v>
      </c>
      <c r="E85" s="4" t="inlineStr">
        <is>
          <t>Coffee</t>
        </is>
      </c>
      <c r="F85" s="2" t="n"/>
    </row>
    <row r="86">
      <c r="B86" s="7" t="n">
        <v>45766</v>
      </c>
      <c r="C86" s="4" t="inlineStr">
        <is>
          <t>AMC</t>
        </is>
      </c>
      <c r="D86" s="11" t="n">
        <v>38.2</v>
      </c>
      <c r="E86" s="4" t="inlineStr">
        <is>
          <t>Entertainment</t>
        </is>
      </c>
      <c r="F86" s="2" t="n"/>
    </row>
    <row r="87">
      <c r="B87" s="7" t="n">
        <v>45757</v>
      </c>
      <c r="C87" s="4" t="inlineStr">
        <is>
          <t>Bowling Alley</t>
        </is>
      </c>
      <c r="D87" s="11" t="n">
        <v>54.31</v>
      </c>
      <c r="E87" s="4" t="inlineStr">
        <is>
          <t>Entertainment</t>
        </is>
      </c>
      <c r="F87" s="2" t="n"/>
    </row>
    <row r="88">
      <c r="B88" s="7" t="n">
        <v>45758</v>
      </c>
      <c r="C88" s="4" t="inlineStr">
        <is>
          <t>TJ Maxx</t>
        </is>
      </c>
      <c r="D88" s="11" t="n">
        <v>84.45</v>
      </c>
      <c r="E88" s="4" t="inlineStr">
        <is>
          <t>Clothing</t>
        </is>
      </c>
      <c r="F88" s="2" t="n"/>
    </row>
    <row r="89">
      <c r="B89" s="7" t="n">
        <v>45753</v>
      </c>
      <c r="C89" s="4" t="inlineStr">
        <is>
          <t>Great Clips</t>
        </is>
      </c>
      <c r="D89" s="11" t="n">
        <v>47.39</v>
      </c>
      <c r="E89" s="4" t="inlineStr">
        <is>
          <t>Personal Care</t>
        </is>
      </c>
      <c r="F89" s="2" t="n"/>
    </row>
    <row r="90">
      <c r="B90" s="7" t="n">
        <v>45757</v>
      </c>
      <c r="C90" s="4" t="inlineStr">
        <is>
          <t>iCloud</t>
        </is>
      </c>
      <c r="D90" s="11" t="n">
        <v>15.97</v>
      </c>
      <c r="E90" s="4" t="inlineStr">
        <is>
          <t>Subscriptions</t>
        </is>
      </c>
      <c r="F90" s="2" t="n"/>
    </row>
    <row r="91">
      <c r="B91" s="7" t="n">
        <v>45751</v>
      </c>
      <c r="C91" s="4" t="inlineStr">
        <is>
          <t>Netflix</t>
        </is>
      </c>
      <c r="D91" s="11" t="n">
        <v>28.85</v>
      </c>
      <c r="E91" s="4" t="inlineStr">
        <is>
          <t>Subscriptions</t>
        </is>
      </c>
      <c r="F91" s="2" t="n"/>
    </row>
    <row r="92">
      <c r="B92" s="7" t="n">
        <v>45792</v>
      </c>
      <c r="C92" s="4" t="inlineStr">
        <is>
          <t>Landlord</t>
        </is>
      </c>
      <c r="D92" s="11" t="n">
        <v>1500</v>
      </c>
      <c r="E92" s="4" t="inlineStr">
        <is>
          <t>Rent</t>
        </is>
      </c>
      <c r="F92" s="2" t="n"/>
    </row>
    <row r="93">
      <c r="B93" s="7" t="n">
        <v>45794</v>
      </c>
      <c r="C93" s="4" t="inlineStr">
        <is>
          <t>Power Co</t>
        </is>
      </c>
      <c r="D93" s="11" t="n">
        <v>223.06</v>
      </c>
      <c r="E93" s="4" t="inlineStr">
        <is>
          <t>Utilities</t>
        </is>
      </c>
      <c r="F93" s="2" t="n"/>
    </row>
    <row r="94">
      <c r="B94" s="7" t="n">
        <v>45795</v>
      </c>
      <c r="C94" s="4" t="inlineStr">
        <is>
          <t>Trader Joes</t>
        </is>
      </c>
      <c r="D94" s="11" t="n">
        <v>99.51000000000001</v>
      </c>
      <c r="E94" s="4" t="inlineStr">
        <is>
          <t>Groceries</t>
        </is>
      </c>
      <c r="F94" s="2" t="n"/>
    </row>
    <row r="95">
      <c r="B95" s="7" t="n">
        <v>45804</v>
      </c>
      <c r="C95" s="4" t="inlineStr">
        <is>
          <t>Costco</t>
        </is>
      </c>
      <c r="D95" s="11" t="n">
        <v>157.16</v>
      </c>
      <c r="E95" s="4" t="inlineStr">
        <is>
          <t>Groceries</t>
        </is>
      </c>
      <c r="F95" s="2" t="n"/>
    </row>
    <row r="96">
      <c r="B96" s="7" t="n">
        <v>45781</v>
      </c>
      <c r="C96" s="4" t="inlineStr">
        <is>
          <t>Trader Joes</t>
        </is>
      </c>
      <c r="D96" s="11" t="n">
        <v>97.7</v>
      </c>
      <c r="E96" s="4" t="inlineStr">
        <is>
          <t>Groceries</t>
        </is>
      </c>
      <c r="F96" s="2" t="n"/>
    </row>
    <row r="97">
      <c r="B97" s="7" t="n">
        <v>45795</v>
      </c>
      <c r="C97" s="4" t="inlineStr">
        <is>
          <t>BP</t>
        </is>
      </c>
      <c r="D97" s="11" t="n">
        <v>50.9</v>
      </c>
      <c r="E97" s="4" t="inlineStr">
        <is>
          <t>Gas</t>
        </is>
      </c>
      <c r="F97" s="2" t="n"/>
    </row>
    <row r="98">
      <c r="B98" s="7" t="n">
        <v>45778</v>
      </c>
      <c r="C98" s="4" t="inlineStr">
        <is>
          <t>Shell</t>
        </is>
      </c>
      <c r="D98" s="11" t="n">
        <v>84.95</v>
      </c>
      <c r="E98" s="4" t="inlineStr">
        <is>
          <t>Gas</t>
        </is>
      </c>
      <c r="F98" s="2" t="n"/>
    </row>
    <row r="99">
      <c r="B99" s="7" t="n">
        <v>45778</v>
      </c>
      <c r="C99" s="4" t="inlineStr">
        <is>
          <t>Geico</t>
        </is>
      </c>
      <c r="D99" s="11" t="n">
        <v>110</v>
      </c>
      <c r="E99" s="4" t="inlineStr">
        <is>
          <t>Auto Insurance</t>
        </is>
      </c>
      <c r="F99" s="2" t="n"/>
    </row>
    <row r="100">
      <c r="B100" s="7" t="n">
        <v>45778</v>
      </c>
      <c r="C100" s="4" t="inlineStr">
        <is>
          <t>T-Mobile</t>
        </is>
      </c>
      <c r="D100" s="11" t="n">
        <v>75</v>
      </c>
      <c r="E100" s="4" t="inlineStr">
        <is>
          <t>Phone</t>
        </is>
      </c>
      <c r="F100" s="2" t="n"/>
    </row>
    <row r="101">
      <c r="B101" s="7" t="n">
        <v>45797</v>
      </c>
      <c r="C101" s="4" t="inlineStr">
        <is>
          <t>CVS</t>
        </is>
      </c>
      <c r="D101" s="11" t="n">
        <v>78.69</v>
      </c>
      <c r="E101" s="4" t="inlineStr">
        <is>
          <t>Medical</t>
        </is>
      </c>
      <c r="F101" s="2" t="n"/>
    </row>
    <row r="102">
      <c r="B102" s="7" t="n">
        <v>45793</v>
      </c>
      <c r="C102" s="4" t="inlineStr">
        <is>
          <t>Thai Kitchen</t>
        </is>
      </c>
      <c r="D102" s="11" t="n">
        <v>42.62</v>
      </c>
      <c r="E102" s="4" t="inlineStr">
        <is>
          <t>Dining Out</t>
        </is>
      </c>
      <c r="F102" s="2" t="n"/>
    </row>
    <row r="103">
      <c r="B103" s="7" t="n">
        <v>45780</v>
      </c>
      <c r="C103" s="4" t="inlineStr">
        <is>
          <t>Panera</t>
        </is>
      </c>
      <c r="D103" s="11" t="n">
        <v>41.24</v>
      </c>
      <c r="E103" s="4" t="inlineStr">
        <is>
          <t>Dining Out</t>
        </is>
      </c>
      <c r="F103" s="2" t="n"/>
    </row>
    <row r="104">
      <c r="B104" s="7" t="n">
        <v>45781</v>
      </c>
      <c r="C104" s="4" t="inlineStr">
        <is>
          <t>Thai Kitchen</t>
        </is>
      </c>
      <c r="D104" s="11" t="n">
        <v>41.4</v>
      </c>
      <c r="E104" s="4" t="inlineStr">
        <is>
          <t>Dining Out</t>
        </is>
      </c>
      <c r="F104" s="2" t="n"/>
    </row>
    <row r="105">
      <c r="B105" s="7" t="n">
        <v>45784</v>
      </c>
      <c r="C105" s="4" t="inlineStr">
        <is>
          <t>Chipotle</t>
        </is>
      </c>
      <c r="D105" s="11" t="n">
        <v>29.29</v>
      </c>
      <c r="E105" s="4" t="inlineStr">
        <is>
          <t>Dining Out</t>
        </is>
      </c>
      <c r="F105" s="2" t="n"/>
    </row>
    <row r="106">
      <c r="B106" s="7" t="n">
        <v>45807</v>
      </c>
      <c r="C106" s="4" t="inlineStr">
        <is>
          <t>Local Roast</t>
        </is>
      </c>
      <c r="D106" s="11" t="n">
        <v>16.42</v>
      </c>
      <c r="E106" s="4" t="inlineStr">
        <is>
          <t>Coffee</t>
        </is>
      </c>
      <c r="F106" s="2" t="n"/>
    </row>
    <row r="107">
      <c r="B107" s="7" t="n">
        <v>45788</v>
      </c>
      <c r="C107" s="4" t="inlineStr">
        <is>
          <t>Starbucks</t>
        </is>
      </c>
      <c r="D107" s="11" t="n">
        <v>11.57</v>
      </c>
      <c r="E107" s="4" t="inlineStr">
        <is>
          <t>Coffee</t>
        </is>
      </c>
      <c r="F107" s="2" t="n"/>
    </row>
    <row r="108">
      <c r="B108" s="7" t="n">
        <v>45797</v>
      </c>
      <c r="C108" s="4" t="inlineStr">
        <is>
          <t>Local Roast</t>
        </is>
      </c>
      <c r="D108" s="11" t="n">
        <v>15.79</v>
      </c>
      <c r="E108" s="4" t="inlineStr">
        <is>
          <t>Coffee</t>
        </is>
      </c>
      <c r="F108" s="2" t="n"/>
    </row>
    <row r="109">
      <c r="B109" s="7" t="n">
        <v>45784</v>
      </c>
      <c r="C109" s="4" t="inlineStr">
        <is>
          <t>Spotify</t>
        </is>
      </c>
      <c r="D109" s="11" t="n">
        <v>46.27</v>
      </c>
      <c r="E109" s="4" t="inlineStr">
        <is>
          <t>Entertainment</t>
        </is>
      </c>
      <c r="F109" s="2" t="n"/>
    </row>
    <row r="110">
      <c r="B110" s="7" t="n">
        <v>45778</v>
      </c>
      <c r="C110" s="4" t="inlineStr">
        <is>
          <t>Spotify</t>
        </is>
      </c>
      <c r="D110" s="11" t="n">
        <v>24.85</v>
      </c>
      <c r="E110" s="4" t="inlineStr">
        <is>
          <t>Entertainment</t>
        </is>
      </c>
      <c r="F110" s="2" t="n"/>
    </row>
    <row r="111">
      <c r="B111" s="7" t="n">
        <v>45784</v>
      </c>
      <c r="C111" s="4" t="inlineStr">
        <is>
          <t>Target</t>
        </is>
      </c>
      <c r="D111" s="11" t="n">
        <v>24.84</v>
      </c>
      <c r="E111" s="4" t="inlineStr">
        <is>
          <t>Clothing</t>
        </is>
      </c>
      <c r="F111" s="2" t="n"/>
    </row>
    <row r="112">
      <c r="B112" s="7" t="n">
        <v>45802</v>
      </c>
      <c r="C112" s="4" t="inlineStr">
        <is>
          <t>TJ Maxx</t>
        </is>
      </c>
      <c r="D112" s="11" t="n">
        <v>32.07</v>
      </c>
      <c r="E112" s="4" t="inlineStr">
        <is>
          <t>Clothing</t>
        </is>
      </c>
      <c r="F112" s="2" t="n"/>
    </row>
    <row r="113">
      <c r="B113" s="7" t="n">
        <v>45788</v>
      </c>
      <c r="C113" s="4" t="inlineStr">
        <is>
          <t>Great Clips</t>
        </is>
      </c>
      <c r="D113" s="11" t="n">
        <v>16.47</v>
      </c>
      <c r="E113" s="4" t="inlineStr">
        <is>
          <t>Personal Care</t>
        </is>
      </c>
      <c r="F113" s="2" t="n"/>
    </row>
    <row r="114">
      <c r="B114" s="7" t="n">
        <v>45790</v>
      </c>
      <c r="C114" s="4" t="inlineStr">
        <is>
          <t>Target Beauty</t>
        </is>
      </c>
      <c r="D114" s="11" t="n">
        <v>16.39</v>
      </c>
      <c r="E114" s="4" t="inlineStr">
        <is>
          <t>Personal Care</t>
        </is>
      </c>
      <c r="F114" s="2" t="n"/>
    </row>
    <row r="115">
      <c r="B115" s="7" t="n">
        <v>45796</v>
      </c>
      <c r="C115" s="4" t="inlineStr">
        <is>
          <t>iCloud</t>
        </is>
      </c>
      <c r="D115" s="11" t="n">
        <v>27.68</v>
      </c>
      <c r="E115" s="4" t="inlineStr">
        <is>
          <t>Subscriptions</t>
        </is>
      </c>
      <c r="F115" s="2" t="n"/>
    </row>
    <row r="116">
      <c r="B116" s="7" t="n">
        <v>45783</v>
      </c>
      <c r="C116" s="4" t="inlineStr">
        <is>
          <t>Netflix</t>
        </is>
      </c>
      <c r="D116" s="11" t="n">
        <v>25.75</v>
      </c>
      <c r="E116" s="4" t="inlineStr">
        <is>
          <t>Subscriptions</t>
        </is>
      </c>
      <c r="F116" s="2" t="n"/>
    </row>
    <row r="117">
      <c r="B117" s="7" t="n">
        <v>45824</v>
      </c>
      <c r="C117" s="4" t="inlineStr">
        <is>
          <t>Landlord</t>
        </is>
      </c>
      <c r="D117" s="11" t="n">
        <v>1500</v>
      </c>
      <c r="E117" s="4" t="inlineStr">
        <is>
          <t>Rent</t>
        </is>
      </c>
      <c r="F117" s="2" t="n"/>
    </row>
    <row r="118">
      <c r="B118" s="7" t="n">
        <v>45818</v>
      </c>
      <c r="C118" s="4" t="inlineStr">
        <is>
          <t>Power Co</t>
        </is>
      </c>
      <c r="D118" s="11" t="n">
        <v>232.9</v>
      </c>
      <c r="E118" s="4" t="inlineStr">
        <is>
          <t>Utilities</t>
        </is>
      </c>
      <c r="F118" s="2" t="n"/>
    </row>
    <row r="119">
      <c r="B119" s="7" t="n">
        <v>45809</v>
      </c>
      <c r="C119" s="4" t="inlineStr">
        <is>
          <t>Kroger</t>
        </is>
      </c>
      <c r="D119" s="11" t="n">
        <v>115.96</v>
      </c>
      <c r="E119" s="4" t="inlineStr">
        <is>
          <t>Groceries</t>
        </is>
      </c>
      <c r="F119" s="2" t="n"/>
    </row>
    <row r="120">
      <c r="B120" s="7" t="n">
        <v>45815</v>
      </c>
      <c r="C120" s="4" t="inlineStr">
        <is>
          <t>Costco</t>
        </is>
      </c>
      <c r="D120" s="11" t="n">
        <v>104.04</v>
      </c>
      <c r="E120" s="4" t="inlineStr">
        <is>
          <t>Groceries</t>
        </is>
      </c>
      <c r="F120" s="2" t="n"/>
    </row>
    <row r="121">
      <c r="B121" s="7" t="n">
        <v>45818</v>
      </c>
      <c r="C121" s="4" t="inlineStr">
        <is>
          <t>Aldi</t>
        </is>
      </c>
      <c r="D121" s="11" t="n">
        <v>101.87</v>
      </c>
      <c r="E121" s="4" t="inlineStr">
        <is>
          <t>Groceries</t>
        </is>
      </c>
      <c r="F121" s="2" t="n"/>
    </row>
    <row r="122">
      <c r="B122" s="7" t="n">
        <v>45825</v>
      </c>
      <c r="C122" s="4" t="inlineStr">
        <is>
          <t>Aldi</t>
        </is>
      </c>
      <c r="D122" s="11" t="n">
        <v>82.77</v>
      </c>
      <c r="E122" s="4" t="inlineStr">
        <is>
          <t>Groceries</t>
        </is>
      </c>
      <c r="F122" s="2" t="n"/>
    </row>
    <row r="123">
      <c r="B123" s="7" t="n">
        <v>45826</v>
      </c>
      <c r="C123" s="4" t="inlineStr">
        <is>
          <t>Shell</t>
        </is>
      </c>
      <c r="D123" s="11" t="n">
        <v>47.19</v>
      </c>
      <c r="E123" s="4" t="inlineStr">
        <is>
          <t>Gas</t>
        </is>
      </c>
      <c r="F123" s="2" t="n"/>
    </row>
    <row r="124">
      <c r="B124" s="7" t="n">
        <v>45822</v>
      </c>
      <c r="C124" s="4" t="inlineStr">
        <is>
          <t>BP</t>
        </is>
      </c>
      <c r="D124" s="11" t="n">
        <v>39.39</v>
      </c>
      <c r="E124" s="4" t="inlineStr">
        <is>
          <t>Gas</t>
        </is>
      </c>
      <c r="F124" s="2" t="n"/>
    </row>
    <row r="125">
      <c r="B125" s="7" t="n">
        <v>45826</v>
      </c>
      <c r="C125" s="4" t="inlineStr">
        <is>
          <t>Geico</t>
        </is>
      </c>
      <c r="D125" s="11" t="n">
        <v>110</v>
      </c>
      <c r="E125" s="4" t="inlineStr">
        <is>
          <t>Auto Insurance</t>
        </is>
      </c>
      <c r="F125" s="2" t="n"/>
    </row>
    <row r="126">
      <c r="B126" s="7" t="n">
        <v>45828</v>
      </c>
      <c r="C126" s="4" t="inlineStr">
        <is>
          <t>T-Mobile</t>
        </is>
      </c>
      <c r="D126" s="11" t="n">
        <v>75</v>
      </c>
      <c r="E126" s="4" t="inlineStr">
        <is>
          <t>Phone</t>
        </is>
      </c>
      <c r="F126" s="2" t="n"/>
    </row>
    <row r="127">
      <c r="B127" s="7" t="n">
        <v>45838</v>
      </c>
      <c r="C127" s="4" t="inlineStr">
        <is>
          <t>Urgent Care</t>
        </is>
      </c>
      <c r="D127" s="11" t="n">
        <v>59.29</v>
      </c>
      <c r="E127" s="4" t="inlineStr">
        <is>
          <t>Medical</t>
        </is>
      </c>
      <c r="F127" s="2" t="n"/>
    </row>
    <row r="128">
      <c r="B128" s="7" t="n">
        <v>45836</v>
      </c>
      <c r="C128" s="4" t="inlineStr">
        <is>
          <t>Panera</t>
        </is>
      </c>
      <c r="D128" s="11" t="n">
        <v>35.79</v>
      </c>
      <c r="E128" s="4" t="inlineStr">
        <is>
          <t>Dining Out</t>
        </is>
      </c>
      <c r="F128" s="2" t="n"/>
    </row>
    <row r="129">
      <c r="B129" s="7" t="n">
        <v>45820</v>
      </c>
      <c r="C129" s="4" t="inlineStr">
        <is>
          <t>Chipotle</t>
        </is>
      </c>
      <c r="D129" s="11" t="n">
        <v>51.76</v>
      </c>
      <c r="E129" s="4" t="inlineStr">
        <is>
          <t>Dining Out</t>
        </is>
      </c>
      <c r="F129" s="2" t="n"/>
    </row>
    <row r="130">
      <c r="B130" s="7" t="n">
        <v>45820</v>
      </c>
      <c r="C130" s="4" t="inlineStr">
        <is>
          <t>Olive Garden</t>
        </is>
      </c>
      <c r="D130" s="11" t="n">
        <v>37.5</v>
      </c>
      <c r="E130" s="4" t="inlineStr">
        <is>
          <t>Dining Out</t>
        </is>
      </c>
      <c r="F130" s="2" t="n"/>
    </row>
    <row r="131">
      <c r="B131" s="7" t="n">
        <v>45811</v>
      </c>
      <c r="C131" s="4" t="inlineStr">
        <is>
          <t>Chipotle</t>
        </is>
      </c>
      <c r="D131" s="11" t="n">
        <v>43.22</v>
      </c>
      <c r="E131" s="4" t="inlineStr">
        <is>
          <t>Dining Out</t>
        </is>
      </c>
      <c r="F131" s="2" t="n"/>
    </row>
    <row r="132">
      <c r="B132" s="7" t="n">
        <v>45825</v>
      </c>
      <c r="C132" s="4" t="inlineStr">
        <is>
          <t>Starbucks</t>
        </is>
      </c>
      <c r="D132" s="11" t="n">
        <v>25.84</v>
      </c>
      <c r="E132" s="4" t="inlineStr">
        <is>
          <t>Coffee</t>
        </is>
      </c>
      <c r="F132" s="2" t="n"/>
    </row>
    <row r="133">
      <c r="B133" s="7" t="n">
        <v>45833</v>
      </c>
      <c r="C133" s="4" t="inlineStr">
        <is>
          <t>Dunkin</t>
        </is>
      </c>
      <c r="D133" s="11" t="n">
        <v>20.59</v>
      </c>
      <c r="E133" s="4" t="inlineStr">
        <is>
          <t>Coffee</t>
        </is>
      </c>
      <c r="F133" s="2" t="n"/>
    </row>
    <row r="134">
      <c r="B134" s="7" t="n">
        <v>45809</v>
      </c>
      <c r="C134" s="4" t="inlineStr">
        <is>
          <t>Bowling Alley</t>
        </is>
      </c>
      <c r="D134" s="11" t="n">
        <v>35.22</v>
      </c>
      <c r="E134" s="4" t="inlineStr">
        <is>
          <t>Entertainment</t>
        </is>
      </c>
      <c r="F134" s="2" t="n"/>
    </row>
    <row r="135">
      <c r="B135" s="7" t="n">
        <v>45817</v>
      </c>
      <c r="C135" s="4" t="inlineStr">
        <is>
          <t>Spotify</t>
        </is>
      </c>
      <c r="D135" s="11" t="n">
        <v>54.53</v>
      </c>
      <c r="E135" s="4" t="inlineStr">
        <is>
          <t>Entertainment</t>
        </is>
      </c>
      <c r="F135" s="2" t="n"/>
    </row>
    <row r="136">
      <c r="B136" s="7" t="n">
        <v>45811</v>
      </c>
      <c r="C136" s="4" t="inlineStr">
        <is>
          <t>Target</t>
        </is>
      </c>
      <c r="D136" s="11" t="n">
        <v>21.97</v>
      </c>
      <c r="E136" s="4" t="inlineStr">
        <is>
          <t>Clothing</t>
        </is>
      </c>
      <c r="F136" s="2" t="n"/>
    </row>
    <row r="137">
      <c r="B137" s="7" t="n">
        <v>45819</v>
      </c>
      <c r="C137" s="4" t="inlineStr">
        <is>
          <t>Old Navy</t>
        </is>
      </c>
      <c r="D137" s="11" t="n">
        <v>28.4</v>
      </c>
      <c r="E137" s="4" t="inlineStr">
        <is>
          <t>Clothing</t>
        </is>
      </c>
      <c r="F137" s="2" t="n"/>
    </row>
    <row r="138">
      <c r="B138" s="7" t="n">
        <v>45832</v>
      </c>
      <c r="C138" s="4" t="inlineStr">
        <is>
          <t>Target Beauty</t>
        </is>
      </c>
      <c r="D138" s="11" t="n">
        <v>10.66</v>
      </c>
      <c r="E138" s="4" t="inlineStr">
        <is>
          <t>Personal Care</t>
        </is>
      </c>
      <c r="F138" s="2" t="n"/>
    </row>
    <row r="139">
      <c r="B139" s="7" t="n">
        <v>45829</v>
      </c>
      <c r="C139" s="4" t="inlineStr">
        <is>
          <t>Target Beauty</t>
        </is>
      </c>
      <c r="D139" s="11" t="n">
        <v>11.93</v>
      </c>
      <c r="E139" s="4" t="inlineStr">
        <is>
          <t>Personal Care</t>
        </is>
      </c>
      <c r="F139" s="2" t="n"/>
    </row>
    <row r="140">
      <c r="B140" s="7" t="n">
        <v>45810</v>
      </c>
      <c r="C140" s="4" t="inlineStr">
        <is>
          <t>Netflix</t>
        </is>
      </c>
      <c r="D140" s="11" t="n">
        <v>42.3</v>
      </c>
      <c r="E140" s="4" t="inlineStr">
        <is>
          <t>Subscriptions</t>
        </is>
      </c>
      <c r="F140" s="2" t="n"/>
    </row>
    <row r="141">
      <c r="B141" s="7" t="n">
        <v>45850</v>
      </c>
      <c r="C141" s="4" t="inlineStr">
        <is>
          <t>Landlord</t>
        </is>
      </c>
      <c r="D141" s="11" t="n">
        <v>1500</v>
      </c>
      <c r="E141" s="4" t="inlineStr">
        <is>
          <t>Rent</t>
        </is>
      </c>
      <c r="F141" s="2" t="n"/>
    </row>
    <row r="142">
      <c r="B142" s="7" t="n">
        <v>45865</v>
      </c>
      <c r="C142" s="4" t="inlineStr">
        <is>
          <t>Water Dept</t>
        </is>
      </c>
      <c r="D142" s="11" t="n">
        <v>70.37</v>
      </c>
      <c r="E142" s="4" t="inlineStr">
        <is>
          <t>Utilities</t>
        </is>
      </c>
      <c r="F142" s="2" t="n"/>
    </row>
    <row r="143">
      <c r="B143" s="7" t="n">
        <v>45839</v>
      </c>
      <c r="C143" s="4" t="inlineStr">
        <is>
          <t>Water Dept</t>
        </is>
      </c>
      <c r="D143" s="11" t="n">
        <v>86.8</v>
      </c>
      <c r="E143" s="4" t="inlineStr">
        <is>
          <t>Utilities</t>
        </is>
      </c>
      <c r="F143" s="2" t="n"/>
    </row>
    <row r="144">
      <c r="B144" s="7" t="n">
        <v>45851</v>
      </c>
      <c r="C144" s="4" t="inlineStr">
        <is>
          <t>Costco</t>
        </is>
      </c>
      <c r="D144" s="11" t="n">
        <v>153.89</v>
      </c>
      <c r="E144" s="4" t="inlineStr">
        <is>
          <t>Groceries</t>
        </is>
      </c>
      <c r="F144" s="2" t="n"/>
    </row>
    <row r="145">
      <c r="B145" s="7" t="n">
        <v>45863</v>
      </c>
      <c r="C145" s="4" t="inlineStr">
        <is>
          <t>Aldi</t>
        </is>
      </c>
      <c r="D145" s="11" t="n">
        <v>216.06</v>
      </c>
      <c r="E145" s="4" t="inlineStr">
        <is>
          <t>Groceries</t>
        </is>
      </c>
      <c r="F145" s="2" t="n"/>
    </row>
    <row r="146">
      <c r="B146" s="7" t="n">
        <v>45864</v>
      </c>
      <c r="C146" s="4" t="inlineStr">
        <is>
          <t>BP</t>
        </is>
      </c>
      <c r="D146" s="11" t="n">
        <v>110.99</v>
      </c>
      <c r="E146" s="4" t="inlineStr">
        <is>
          <t>Gas</t>
        </is>
      </c>
      <c r="F146" s="2" t="n"/>
    </row>
    <row r="147">
      <c r="B147" s="7" t="n">
        <v>45851</v>
      </c>
      <c r="C147" s="4" t="inlineStr">
        <is>
          <t>Geico</t>
        </is>
      </c>
      <c r="D147" s="11" t="n">
        <v>110</v>
      </c>
      <c r="E147" s="4" t="inlineStr">
        <is>
          <t>Auto Insurance</t>
        </is>
      </c>
      <c r="F147" s="2" t="n"/>
    </row>
    <row r="148">
      <c r="B148" s="7" t="n">
        <v>45843</v>
      </c>
      <c r="C148" s="4" t="inlineStr">
        <is>
          <t>T-Mobile</t>
        </is>
      </c>
      <c r="D148" s="11" t="n">
        <v>75</v>
      </c>
      <c r="E148" s="4" t="inlineStr">
        <is>
          <t>Phone</t>
        </is>
      </c>
      <c r="F148" s="2" t="n"/>
    </row>
    <row r="149">
      <c r="B149" s="7" t="n">
        <v>45857</v>
      </c>
      <c r="C149" s="4" t="inlineStr">
        <is>
          <t>CVS</t>
        </is>
      </c>
      <c r="D149" s="11" t="n">
        <v>25.05</v>
      </c>
      <c r="E149" s="4" t="inlineStr">
        <is>
          <t>Medical</t>
        </is>
      </c>
      <c r="F149" s="2" t="n"/>
    </row>
    <row r="150">
      <c r="B150" s="7" t="n">
        <v>45858</v>
      </c>
      <c r="C150" s="4" t="inlineStr">
        <is>
          <t>Urgent Care</t>
        </is>
      </c>
      <c r="D150" s="11" t="n">
        <v>27.35</v>
      </c>
      <c r="E150" s="4" t="inlineStr">
        <is>
          <t>Medical</t>
        </is>
      </c>
      <c r="F150" s="2" t="n"/>
    </row>
    <row r="151">
      <c r="B151" s="7" t="n">
        <v>45849</v>
      </c>
      <c r="C151" s="4" t="inlineStr">
        <is>
          <t>Thai Kitchen</t>
        </is>
      </c>
      <c r="D151" s="11" t="n">
        <v>37.88</v>
      </c>
      <c r="E151" s="4" t="inlineStr">
        <is>
          <t>Dining Out</t>
        </is>
      </c>
      <c r="F151" s="2" t="n"/>
    </row>
    <row r="152">
      <c r="B152" s="7" t="n">
        <v>45858</v>
      </c>
      <c r="C152" s="4" t="inlineStr">
        <is>
          <t>Panera</t>
        </is>
      </c>
      <c r="D152" s="11" t="n">
        <v>53.75</v>
      </c>
      <c r="E152" s="4" t="inlineStr">
        <is>
          <t>Dining Out</t>
        </is>
      </c>
      <c r="F152" s="2" t="n"/>
    </row>
    <row r="153">
      <c r="B153" s="7" t="n">
        <v>45860</v>
      </c>
      <c r="C153" s="4" t="inlineStr">
        <is>
          <t>Chipotle</t>
        </is>
      </c>
      <c r="D153" s="11" t="n">
        <v>51.11</v>
      </c>
      <c r="E153" s="4" t="inlineStr">
        <is>
          <t>Dining Out</t>
        </is>
      </c>
      <c r="F153" s="2" t="n"/>
    </row>
    <row r="154">
      <c r="B154" s="7" t="n">
        <v>45843</v>
      </c>
      <c r="C154" s="4" t="inlineStr">
        <is>
          <t>Local Roast</t>
        </is>
      </c>
      <c r="D154" s="11" t="n">
        <v>12.57</v>
      </c>
      <c r="E154" s="4" t="inlineStr">
        <is>
          <t>Coffee</t>
        </is>
      </c>
      <c r="F154" s="2" t="n"/>
    </row>
    <row r="155">
      <c r="B155" s="7" t="n">
        <v>45841</v>
      </c>
      <c r="C155" s="4" t="inlineStr">
        <is>
          <t>Starbucks</t>
        </is>
      </c>
      <c r="D155" s="11" t="n">
        <v>8.859999999999999</v>
      </c>
      <c r="E155" s="4" t="inlineStr">
        <is>
          <t>Coffee</t>
        </is>
      </c>
      <c r="F155" s="2" t="n"/>
    </row>
    <row r="156">
      <c r="B156" s="7" t="n">
        <v>45861</v>
      </c>
      <c r="C156" s="4" t="inlineStr">
        <is>
          <t>Starbucks</t>
        </is>
      </c>
      <c r="D156" s="11" t="n">
        <v>10.09</v>
      </c>
      <c r="E156" s="4" t="inlineStr">
        <is>
          <t>Coffee</t>
        </is>
      </c>
      <c r="F156" s="2" t="n"/>
    </row>
    <row r="157">
      <c r="B157" s="7" t="n">
        <v>45840</v>
      </c>
      <c r="C157" s="4" t="inlineStr">
        <is>
          <t>Starbucks</t>
        </is>
      </c>
      <c r="D157" s="11" t="n">
        <v>12.83</v>
      </c>
      <c r="E157" s="4" t="inlineStr">
        <is>
          <t>Coffee</t>
        </is>
      </c>
      <c r="F157" s="2" t="n"/>
    </row>
    <row r="158">
      <c r="B158" s="7" t="n">
        <v>45859</v>
      </c>
      <c r="C158" s="4" t="inlineStr">
        <is>
          <t>AMC</t>
        </is>
      </c>
      <c r="D158" s="11" t="n">
        <v>56.28</v>
      </c>
      <c r="E158" s="4" t="inlineStr">
        <is>
          <t>Entertainment</t>
        </is>
      </c>
      <c r="F158" s="2" t="n"/>
    </row>
    <row r="159">
      <c r="B159" s="7" t="n">
        <v>45868</v>
      </c>
      <c r="C159" s="4" t="inlineStr">
        <is>
          <t>Target</t>
        </is>
      </c>
      <c r="D159" s="11" t="n">
        <v>30.61</v>
      </c>
      <c r="E159" s="4" t="inlineStr">
        <is>
          <t>Clothing</t>
        </is>
      </c>
      <c r="F159" s="2" t="n"/>
    </row>
    <row r="160">
      <c r="B160" s="7" t="n">
        <v>45855</v>
      </c>
      <c r="C160" s="4" t="inlineStr">
        <is>
          <t>TJ Maxx</t>
        </is>
      </c>
      <c r="D160" s="11" t="n">
        <v>22.59</v>
      </c>
      <c r="E160" s="4" t="inlineStr">
        <is>
          <t>Clothing</t>
        </is>
      </c>
      <c r="F160" s="2" t="n"/>
    </row>
    <row r="161">
      <c r="B161" s="7" t="n">
        <v>45856</v>
      </c>
      <c r="C161" s="4" t="inlineStr">
        <is>
          <t>Great Clips</t>
        </is>
      </c>
      <c r="D161" s="11" t="n">
        <v>48.83</v>
      </c>
      <c r="E161" s="4" t="inlineStr">
        <is>
          <t>Personal Care</t>
        </is>
      </c>
      <c r="F161" s="2" t="n"/>
    </row>
    <row r="162">
      <c r="B162" s="7" t="n">
        <v>45842</v>
      </c>
      <c r="C162" s="4" t="inlineStr">
        <is>
          <t>iCloud</t>
        </is>
      </c>
      <c r="D162" s="11" t="n">
        <v>32.62</v>
      </c>
      <c r="E162" s="4" t="inlineStr">
        <is>
          <t>Subscriptions</t>
        </is>
      </c>
      <c r="F162" s="2" t="n"/>
    </row>
    <row r="163">
      <c r="B163" s="7" t="n">
        <v>45850</v>
      </c>
      <c r="C163" s="4" t="inlineStr">
        <is>
          <t>iCloud</t>
        </is>
      </c>
      <c r="D163" s="11" t="n">
        <v>15.71</v>
      </c>
      <c r="E163" s="4" t="inlineStr">
        <is>
          <t>Subscriptions</t>
        </is>
      </c>
      <c r="F163" s="2" t="n"/>
    </row>
    <row r="164">
      <c r="B164" s="7" t="n">
        <v>45896</v>
      </c>
      <c r="C164" s="4" t="inlineStr">
        <is>
          <t>Landlord</t>
        </is>
      </c>
      <c r="D164" s="11" t="n">
        <v>1500</v>
      </c>
      <c r="E164" s="4" t="inlineStr">
        <is>
          <t>Rent</t>
        </is>
      </c>
      <c r="F164" s="2" t="n"/>
    </row>
    <row r="165">
      <c r="B165" s="7" t="n">
        <v>45895</v>
      </c>
      <c r="C165" s="4" t="inlineStr">
        <is>
          <t>Power Co</t>
        </is>
      </c>
      <c r="D165" s="11" t="n">
        <v>76.31</v>
      </c>
      <c r="E165" s="4" t="inlineStr">
        <is>
          <t>Utilities</t>
        </is>
      </c>
      <c r="F165" s="2" t="n"/>
    </row>
    <row r="166">
      <c r="B166" s="7" t="n">
        <v>45885</v>
      </c>
      <c r="C166" s="4" t="inlineStr">
        <is>
          <t>Power Co</t>
        </is>
      </c>
      <c r="D166" s="11" t="n">
        <v>109.02</v>
      </c>
      <c r="E166" s="4" t="inlineStr">
        <is>
          <t>Utilities</t>
        </is>
      </c>
      <c r="F166" s="2" t="n"/>
    </row>
    <row r="167">
      <c r="B167" s="7" t="n">
        <v>45892</v>
      </c>
      <c r="C167" s="4" t="inlineStr">
        <is>
          <t>Trader Joes</t>
        </is>
      </c>
      <c r="D167" s="11" t="n">
        <v>188.24</v>
      </c>
      <c r="E167" s="4" t="inlineStr">
        <is>
          <t>Groceries</t>
        </is>
      </c>
      <c r="F167" s="2" t="n"/>
    </row>
    <row r="168">
      <c r="B168" s="7" t="n">
        <v>45883</v>
      </c>
      <c r="C168" s="4" t="inlineStr">
        <is>
          <t>Trader Joes</t>
        </is>
      </c>
      <c r="D168" s="11" t="n">
        <v>241.2</v>
      </c>
      <c r="E168" s="4" t="inlineStr">
        <is>
          <t>Groceries</t>
        </is>
      </c>
      <c r="F168" s="2" t="n"/>
    </row>
    <row r="169">
      <c r="B169" s="7" t="n">
        <v>45870</v>
      </c>
      <c r="C169" s="4" t="inlineStr">
        <is>
          <t>BP</t>
        </is>
      </c>
      <c r="D169" s="11" t="n">
        <v>77.31999999999999</v>
      </c>
      <c r="E169" s="4" t="inlineStr">
        <is>
          <t>Gas</t>
        </is>
      </c>
      <c r="F169" s="2" t="n"/>
    </row>
    <row r="170">
      <c r="B170" s="7" t="n">
        <v>45874</v>
      </c>
      <c r="C170" s="4" t="inlineStr">
        <is>
          <t>BP</t>
        </is>
      </c>
      <c r="D170" s="11" t="n">
        <v>67.59999999999999</v>
      </c>
      <c r="E170" s="4" t="inlineStr">
        <is>
          <t>Gas</t>
        </is>
      </c>
      <c r="F170" s="2" t="n"/>
    </row>
    <row r="171">
      <c r="B171" s="7" t="n">
        <v>45888</v>
      </c>
      <c r="C171" s="4" t="inlineStr">
        <is>
          <t>Geico</t>
        </is>
      </c>
      <c r="D171" s="11" t="n">
        <v>110</v>
      </c>
      <c r="E171" s="4" t="inlineStr">
        <is>
          <t>Auto Insurance</t>
        </is>
      </c>
      <c r="F171" s="2" t="n"/>
    </row>
    <row r="172">
      <c r="B172" s="7" t="n">
        <v>45880</v>
      </c>
      <c r="C172" s="4" t="inlineStr">
        <is>
          <t>T-Mobile</t>
        </is>
      </c>
      <c r="D172" s="11" t="n">
        <v>75</v>
      </c>
      <c r="E172" s="4" t="inlineStr">
        <is>
          <t>Phone</t>
        </is>
      </c>
      <c r="F172" s="2" t="n"/>
    </row>
    <row r="173">
      <c r="B173" s="7" t="n">
        <v>45876</v>
      </c>
      <c r="C173" s="4" t="inlineStr">
        <is>
          <t>CVS</t>
        </is>
      </c>
      <c r="D173" s="11" t="n">
        <v>39.72</v>
      </c>
      <c r="E173" s="4" t="inlineStr">
        <is>
          <t>Medical</t>
        </is>
      </c>
      <c r="F173" s="2" t="n"/>
    </row>
    <row r="174">
      <c r="B174" s="7" t="n">
        <v>45887</v>
      </c>
      <c r="C174" s="4" t="inlineStr">
        <is>
          <t>Dr. Kim</t>
        </is>
      </c>
      <c r="D174" s="11" t="n">
        <v>35.48</v>
      </c>
      <c r="E174" s="4" t="inlineStr">
        <is>
          <t>Medical</t>
        </is>
      </c>
      <c r="F174" s="2" t="n"/>
    </row>
    <row r="175">
      <c r="B175" s="7" t="n">
        <v>45895</v>
      </c>
      <c r="C175" s="4" t="inlineStr">
        <is>
          <t>Panera</t>
        </is>
      </c>
      <c r="D175" s="11" t="n">
        <v>43.98</v>
      </c>
      <c r="E175" s="4" t="inlineStr">
        <is>
          <t>Dining Out</t>
        </is>
      </c>
      <c r="F175" s="2" t="n"/>
    </row>
    <row r="176">
      <c r="B176" s="7" t="n">
        <v>45871</v>
      </c>
      <c r="C176" s="4" t="inlineStr">
        <is>
          <t>Panera</t>
        </is>
      </c>
      <c r="D176" s="11" t="n">
        <v>43.8</v>
      </c>
      <c r="E176" s="4" t="inlineStr">
        <is>
          <t>Dining Out</t>
        </is>
      </c>
      <c r="F176" s="2" t="n"/>
    </row>
    <row r="177">
      <c r="B177" s="7" t="n">
        <v>45874</v>
      </c>
      <c r="C177" s="4" t="inlineStr">
        <is>
          <t>Chipotle</t>
        </is>
      </c>
      <c r="D177" s="11" t="n">
        <v>38.38</v>
      </c>
      <c r="E177" s="4" t="inlineStr">
        <is>
          <t>Dining Out</t>
        </is>
      </c>
      <c r="F177" s="2" t="n"/>
    </row>
    <row r="178">
      <c r="B178" s="7" t="n">
        <v>45895</v>
      </c>
      <c r="C178" s="4" t="inlineStr">
        <is>
          <t>Panera</t>
        </is>
      </c>
      <c r="D178" s="11" t="n">
        <v>42.15</v>
      </c>
      <c r="E178" s="4" t="inlineStr">
        <is>
          <t>Dining Out</t>
        </is>
      </c>
      <c r="F178" s="2" t="n"/>
    </row>
    <row r="179">
      <c r="B179" s="7" t="n">
        <v>45872</v>
      </c>
      <c r="C179" s="4" t="inlineStr">
        <is>
          <t>Local Roast</t>
        </is>
      </c>
      <c r="D179" s="11" t="n">
        <v>10.9</v>
      </c>
      <c r="E179" s="4" t="inlineStr">
        <is>
          <t>Coffee</t>
        </is>
      </c>
      <c r="F179" s="2" t="n"/>
    </row>
    <row r="180">
      <c r="B180" s="7" t="n">
        <v>45875</v>
      </c>
      <c r="C180" s="4" t="inlineStr">
        <is>
          <t>Starbucks</t>
        </is>
      </c>
      <c r="D180" s="11" t="n">
        <v>12.48</v>
      </c>
      <c r="E180" s="4" t="inlineStr">
        <is>
          <t>Coffee</t>
        </is>
      </c>
      <c r="F180" s="2" t="n"/>
    </row>
    <row r="181">
      <c r="B181" s="7" t="n">
        <v>45881</v>
      </c>
      <c r="C181" s="4" t="inlineStr">
        <is>
          <t>Starbucks</t>
        </is>
      </c>
      <c r="D181" s="11" t="n">
        <v>7.26</v>
      </c>
      <c r="E181" s="4" t="inlineStr">
        <is>
          <t>Coffee</t>
        </is>
      </c>
      <c r="F181" s="2" t="n"/>
    </row>
    <row r="182">
      <c r="B182" s="7" t="n">
        <v>45889</v>
      </c>
      <c r="C182" s="4" t="inlineStr">
        <is>
          <t>Local Roast</t>
        </is>
      </c>
      <c r="D182" s="11" t="n">
        <v>12.79</v>
      </c>
      <c r="E182" s="4" t="inlineStr">
        <is>
          <t>Coffee</t>
        </is>
      </c>
      <c r="F182" s="2" t="n"/>
    </row>
    <row r="183">
      <c r="B183" s="7" t="n">
        <v>45890</v>
      </c>
      <c r="C183" s="4" t="inlineStr">
        <is>
          <t>Spotify</t>
        </is>
      </c>
      <c r="D183" s="11" t="n">
        <v>64.91</v>
      </c>
      <c r="E183" s="4" t="inlineStr">
        <is>
          <t>Entertainment</t>
        </is>
      </c>
      <c r="F183" s="2" t="n"/>
    </row>
    <row r="184">
      <c r="B184" s="7" t="n">
        <v>45890</v>
      </c>
      <c r="C184" s="4" t="inlineStr">
        <is>
          <t>Old Navy</t>
        </is>
      </c>
      <c r="D184" s="11" t="n">
        <v>75.78</v>
      </c>
      <c r="E184" s="4" t="inlineStr">
        <is>
          <t>Clothing</t>
        </is>
      </c>
      <c r="F184" s="2" t="n"/>
    </row>
    <row r="185">
      <c r="B185" s="7" t="n">
        <v>45879</v>
      </c>
      <c r="C185" s="4" t="inlineStr">
        <is>
          <t>Target Beauty</t>
        </is>
      </c>
      <c r="D185" s="11" t="n">
        <v>24.29</v>
      </c>
      <c r="E185" s="4" t="inlineStr">
        <is>
          <t>Personal Care</t>
        </is>
      </c>
      <c r="F185" s="2" t="n"/>
    </row>
    <row r="186">
      <c r="B186" s="7" t="n">
        <v>45889</v>
      </c>
      <c r="C186" s="4" t="inlineStr">
        <is>
          <t>Great Clips</t>
        </is>
      </c>
      <c r="D186" s="11" t="n">
        <v>12.51</v>
      </c>
      <c r="E186" s="4" t="inlineStr">
        <is>
          <t>Personal Care</t>
        </is>
      </c>
      <c r="F186" s="2" t="n"/>
    </row>
    <row r="187">
      <c r="B187" s="7" t="n">
        <v>45896</v>
      </c>
      <c r="C187" s="4" t="inlineStr">
        <is>
          <t>NYT</t>
        </is>
      </c>
      <c r="D187" s="11" t="n">
        <v>34.54</v>
      </c>
      <c r="E187" s="4" t="inlineStr">
        <is>
          <t>Subscriptions</t>
        </is>
      </c>
      <c r="F187" s="2" t="n"/>
    </row>
    <row r="188">
      <c r="B188" s="7" t="n">
        <v>45909</v>
      </c>
      <c r="C188" s="4" t="inlineStr">
        <is>
          <t>Landlord</t>
        </is>
      </c>
      <c r="D188" s="11" t="n">
        <v>1500</v>
      </c>
      <c r="E188" s="4" t="inlineStr">
        <is>
          <t>Rent</t>
        </is>
      </c>
      <c r="F188" s="2" t="n"/>
    </row>
    <row r="189">
      <c r="B189" s="7" t="n">
        <v>45905</v>
      </c>
      <c r="C189" s="4" t="inlineStr">
        <is>
          <t>Power Co</t>
        </is>
      </c>
      <c r="D189" s="11" t="n">
        <v>212.23</v>
      </c>
      <c r="E189" s="4" t="inlineStr">
        <is>
          <t>Utilities</t>
        </is>
      </c>
      <c r="F189" s="2" t="n"/>
    </row>
    <row r="190">
      <c r="B190" s="7" t="n">
        <v>45910</v>
      </c>
      <c r="C190" s="4" t="inlineStr">
        <is>
          <t>Aldi</t>
        </is>
      </c>
      <c r="D190" s="11" t="n">
        <v>119.71</v>
      </c>
      <c r="E190" s="4" t="inlineStr">
        <is>
          <t>Groceries</t>
        </is>
      </c>
      <c r="F190" s="2" t="n"/>
    </row>
    <row r="191">
      <c r="B191" s="7" t="n">
        <v>45920</v>
      </c>
      <c r="C191" s="4" t="inlineStr">
        <is>
          <t>Kroger</t>
        </is>
      </c>
      <c r="D191" s="11" t="n">
        <v>94.98999999999999</v>
      </c>
      <c r="E191" s="4" t="inlineStr">
        <is>
          <t>Groceries</t>
        </is>
      </c>
      <c r="F191" s="2" t="n"/>
    </row>
    <row r="192">
      <c r="B192" s="7" t="n">
        <v>45921</v>
      </c>
      <c r="C192" s="4" t="inlineStr">
        <is>
          <t>Aldi</t>
        </is>
      </c>
      <c r="D192" s="11" t="n">
        <v>71.94</v>
      </c>
      <c r="E192" s="4" t="inlineStr">
        <is>
          <t>Groceries</t>
        </is>
      </c>
      <c r="F192" s="2" t="n"/>
    </row>
    <row r="193">
      <c r="B193" s="7" t="n">
        <v>45902</v>
      </c>
      <c r="C193" s="4" t="inlineStr">
        <is>
          <t>Trader Joes</t>
        </is>
      </c>
      <c r="D193" s="11" t="n">
        <v>76.23999999999999</v>
      </c>
      <c r="E193" s="4" t="inlineStr">
        <is>
          <t>Groceries</t>
        </is>
      </c>
      <c r="F193" s="2" t="n"/>
    </row>
    <row r="194">
      <c r="B194" s="7" t="n">
        <v>45926</v>
      </c>
      <c r="C194" s="4" t="inlineStr">
        <is>
          <t>Shell</t>
        </is>
      </c>
      <c r="D194" s="11" t="n">
        <v>75.31</v>
      </c>
      <c r="E194" s="4" t="inlineStr">
        <is>
          <t>Gas</t>
        </is>
      </c>
      <c r="F194" s="2" t="n"/>
    </row>
    <row r="195">
      <c r="B195" s="7" t="n">
        <v>45908</v>
      </c>
      <c r="C195" s="4" t="inlineStr">
        <is>
          <t>Shell</t>
        </is>
      </c>
      <c r="D195" s="11" t="n">
        <v>77.98</v>
      </c>
      <c r="E195" s="4" t="inlineStr">
        <is>
          <t>Gas</t>
        </is>
      </c>
      <c r="F195" s="2" t="n"/>
    </row>
    <row r="196">
      <c r="B196" s="7" t="n">
        <v>45911</v>
      </c>
      <c r="C196" s="4" t="inlineStr">
        <is>
          <t>Geico</t>
        </is>
      </c>
      <c r="D196" s="11" t="n">
        <v>110</v>
      </c>
      <c r="E196" s="4" t="inlineStr">
        <is>
          <t>Auto Insurance</t>
        </is>
      </c>
      <c r="F196" s="2" t="n"/>
    </row>
    <row r="197">
      <c r="B197" s="7" t="n">
        <v>45924</v>
      </c>
      <c r="C197" s="4" t="inlineStr">
        <is>
          <t>T-Mobile</t>
        </is>
      </c>
      <c r="D197" s="11" t="n">
        <v>75</v>
      </c>
      <c r="E197" s="4" t="inlineStr">
        <is>
          <t>Phone</t>
        </is>
      </c>
      <c r="F197" s="2" t="n"/>
    </row>
    <row r="198">
      <c r="B198" s="7" t="n">
        <v>45923</v>
      </c>
      <c r="C198" s="4" t="inlineStr">
        <is>
          <t>Urgent Care</t>
        </is>
      </c>
      <c r="D198" s="11" t="n">
        <v>55.89</v>
      </c>
      <c r="E198" s="4" t="inlineStr">
        <is>
          <t>Medical</t>
        </is>
      </c>
      <c r="F198" s="2" t="n"/>
    </row>
    <row r="199">
      <c r="B199" s="7" t="n">
        <v>45927</v>
      </c>
      <c r="C199" s="4" t="inlineStr">
        <is>
          <t>Thai Kitchen</t>
        </is>
      </c>
      <c r="D199" s="11" t="n">
        <v>85.56999999999999</v>
      </c>
      <c r="E199" s="4" t="inlineStr">
        <is>
          <t>Dining Out</t>
        </is>
      </c>
      <c r="F199" s="2" t="n"/>
    </row>
    <row r="200">
      <c r="B200" s="7" t="n">
        <v>45902</v>
      </c>
      <c r="C200" s="4" t="inlineStr">
        <is>
          <t>Chipotle</t>
        </is>
      </c>
      <c r="D200" s="11" t="n">
        <v>62.97</v>
      </c>
      <c r="E200" s="4" t="inlineStr">
        <is>
          <t>Dining Out</t>
        </is>
      </c>
      <c r="F200" s="2" t="n"/>
    </row>
    <row r="201">
      <c r="B201" s="7" t="n">
        <v>45914</v>
      </c>
      <c r="C201" s="4" t="inlineStr">
        <is>
          <t>Dunkin</t>
        </is>
      </c>
      <c r="D201" s="11" t="n">
        <v>14</v>
      </c>
      <c r="E201" s="4" t="inlineStr">
        <is>
          <t>Coffee</t>
        </is>
      </c>
      <c r="F201" s="2" t="n"/>
    </row>
    <row r="202">
      <c r="B202" s="7" t="n">
        <v>45919</v>
      </c>
      <c r="C202" s="4" t="inlineStr">
        <is>
          <t>Dunkin</t>
        </is>
      </c>
      <c r="D202" s="11" t="n">
        <v>9.359999999999999</v>
      </c>
      <c r="E202" s="4" t="inlineStr">
        <is>
          <t>Coffee</t>
        </is>
      </c>
      <c r="F202" s="2" t="n"/>
    </row>
    <row r="203">
      <c r="B203" s="7" t="n">
        <v>45914</v>
      </c>
      <c r="C203" s="4" t="inlineStr">
        <is>
          <t>Local Roast</t>
        </is>
      </c>
      <c r="D203" s="11" t="n">
        <v>12.69</v>
      </c>
      <c r="E203" s="4" t="inlineStr">
        <is>
          <t>Coffee</t>
        </is>
      </c>
      <c r="F203" s="2" t="n"/>
    </row>
    <row r="204">
      <c r="B204" s="7" t="n">
        <v>45927</v>
      </c>
      <c r="C204" s="4" t="inlineStr">
        <is>
          <t>Spotify</t>
        </is>
      </c>
      <c r="D204" s="11" t="n">
        <v>35.62</v>
      </c>
      <c r="E204" s="4" t="inlineStr">
        <is>
          <t>Entertainment</t>
        </is>
      </c>
      <c r="F204" s="2" t="n"/>
    </row>
    <row r="205">
      <c r="B205" s="7" t="n">
        <v>45902</v>
      </c>
      <c r="C205" s="4" t="inlineStr">
        <is>
          <t>Spotify</t>
        </is>
      </c>
      <c r="D205" s="11" t="n">
        <v>53.94</v>
      </c>
      <c r="E205" s="4" t="inlineStr">
        <is>
          <t>Entertainment</t>
        </is>
      </c>
      <c r="F205" s="2" t="n"/>
    </row>
    <row r="206">
      <c r="B206" s="7" t="n">
        <v>45913</v>
      </c>
      <c r="C206" s="4" t="inlineStr">
        <is>
          <t>Old Navy</t>
        </is>
      </c>
      <c r="D206" s="11" t="n">
        <v>88.92</v>
      </c>
      <c r="E206" s="4" t="inlineStr">
        <is>
          <t>Clothing</t>
        </is>
      </c>
      <c r="F206" s="2" t="n"/>
    </row>
    <row r="207">
      <c r="B207" s="7" t="n">
        <v>45914</v>
      </c>
      <c r="C207" s="4" t="inlineStr">
        <is>
          <t>Target Beauty</t>
        </is>
      </c>
      <c r="D207" s="11" t="n">
        <v>20.98</v>
      </c>
      <c r="E207" s="4" t="inlineStr">
        <is>
          <t>Personal Care</t>
        </is>
      </c>
      <c r="F207" s="2" t="n"/>
    </row>
    <row r="208">
      <c r="B208" s="7" t="n">
        <v>45914</v>
      </c>
      <c r="C208" s="4" t="inlineStr">
        <is>
          <t>Great Clips</t>
        </is>
      </c>
      <c r="D208" s="11" t="n">
        <v>21.58</v>
      </c>
      <c r="E208" s="4" t="inlineStr">
        <is>
          <t>Personal Care</t>
        </is>
      </c>
      <c r="F208" s="2" t="n"/>
    </row>
    <row r="209">
      <c r="B209" s="7" t="n">
        <v>45906</v>
      </c>
      <c r="C209" s="4" t="inlineStr">
        <is>
          <t>iCloud</t>
        </is>
      </c>
      <c r="D209" s="11" t="n">
        <v>29.34</v>
      </c>
      <c r="E209" s="4" t="inlineStr">
        <is>
          <t>Subscriptions</t>
        </is>
      </c>
      <c r="F209" s="2" t="n"/>
    </row>
    <row r="210">
      <c r="B210" s="7" t="n">
        <v>45930</v>
      </c>
      <c r="C210" s="4" t="inlineStr">
        <is>
          <t>Netflix</t>
        </is>
      </c>
      <c r="D210" s="11" t="n">
        <v>28.44</v>
      </c>
      <c r="E210" s="4" t="inlineStr">
        <is>
          <t>Subscriptions</t>
        </is>
      </c>
      <c r="F210" s="2" t="n"/>
    </row>
    <row r="211">
      <c r="B211" s="7" t="n">
        <v>45957</v>
      </c>
      <c r="C211" s="4" t="inlineStr">
        <is>
          <t>Landlord</t>
        </is>
      </c>
      <c r="D211" s="11" t="n">
        <v>1500</v>
      </c>
      <c r="E211" s="4" t="inlineStr">
        <is>
          <t>Rent</t>
        </is>
      </c>
      <c r="F211" s="2" t="n"/>
    </row>
    <row r="212">
      <c r="B212" s="7" t="n">
        <v>45947</v>
      </c>
      <c r="C212" s="4" t="inlineStr">
        <is>
          <t>Water Dept</t>
        </is>
      </c>
      <c r="D212" s="11" t="n">
        <v>125.55</v>
      </c>
      <c r="E212" s="4" t="inlineStr">
        <is>
          <t>Utilities</t>
        </is>
      </c>
      <c r="F212" s="2" t="n"/>
    </row>
    <row r="213">
      <c r="B213" s="7" t="n">
        <v>45958</v>
      </c>
      <c r="C213" s="4" t="inlineStr">
        <is>
          <t>Trader Joes</t>
        </is>
      </c>
      <c r="D213" s="11" t="n">
        <v>111.88</v>
      </c>
      <c r="E213" s="4" t="inlineStr">
        <is>
          <t>Groceries</t>
        </is>
      </c>
      <c r="F213" s="2" t="n"/>
    </row>
    <row r="214">
      <c r="B214" s="7" t="n">
        <v>45949</v>
      </c>
      <c r="C214" s="4" t="inlineStr">
        <is>
          <t>Costco</t>
        </is>
      </c>
      <c r="D214" s="11" t="n">
        <v>128.26</v>
      </c>
      <c r="E214" s="4" t="inlineStr">
        <is>
          <t>Groceries</t>
        </is>
      </c>
      <c r="F214" s="2" t="n"/>
    </row>
    <row r="215">
      <c r="B215" s="7" t="n">
        <v>45955</v>
      </c>
      <c r="C215" s="4" t="inlineStr">
        <is>
          <t>Costco</t>
        </is>
      </c>
      <c r="D215" s="11" t="n">
        <v>129.28</v>
      </c>
      <c r="E215" s="4" t="inlineStr">
        <is>
          <t>Groceries</t>
        </is>
      </c>
      <c r="F215" s="2" t="n"/>
    </row>
    <row r="216">
      <c r="B216" s="7" t="n">
        <v>45956</v>
      </c>
      <c r="C216" s="4" t="inlineStr">
        <is>
          <t>Kroger</t>
        </is>
      </c>
      <c r="D216" s="11" t="n">
        <v>107.36</v>
      </c>
      <c r="E216" s="4" t="inlineStr">
        <is>
          <t>Groceries</t>
        </is>
      </c>
      <c r="F216" s="2" t="n"/>
    </row>
    <row r="217">
      <c r="B217" s="7" t="n">
        <v>45932</v>
      </c>
      <c r="C217" s="4" t="inlineStr">
        <is>
          <t>Costco Gas</t>
        </is>
      </c>
      <c r="D217" s="11" t="n">
        <v>65.43000000000001</v>
      </c>
      <c r="E217" s="4" t="inlineStr">
        <is>
          <t>Gas</t>
        </is>
      </c>
      <c r="F217" s="2" t="n"/>
    </row>
    <row r="218">
      <c r="B218" s="7" t="n">
        <v>45953</v>
      </c>
      <c r="C218" s="4" t="inlineStr">
        <is>
          <t>Shell</t>
        </is>
      </c>
      <c r="D218" s="11" t="n">
        <v>43.17</v>
      </c>
      <c r="E218" s="4" t="inlineStr">
        <is>
          <t>Gas</t>
        </is>
      </c>
      <c r="F218" s="2" t="n"/>
    </row>
    <row r="219">
      <c r="B219" s="7" t="n">
        <v>45950</v>
      </c>
      <c r="C219" s="4" t="inlineStr">
        <is>
          <t>Geico</t>
        </is>
      </c>
      <c r="D219" s="11" t="n">
        <v>110</v>
      </c>
      <c r="E219" s="4" t="inlineStr">
        <is>
          <t>Auto Insurance</t>
        </is>
      </c>
      <c r="F219" s="2" t="n"/>
    </row>
    <row r="220">
      <c r="B220" s="7" t="n">
        <v>45958</v>
      </c>
      <c r="C220" s="4" t="inlineStr">
        <is>
          <t>T-Mobile</t>
        </is>
      </c>
      <c r="D220" s="11" t="n">
        <v>75</v>
      </c>
      <c r="E220" s="4" t="inlineStr">
        <is>
          <t>Phone</t>
        </is>
      </c>
      <c r="F220" s="2" t="n"/>
    </row>
    <row r="221">
      <c r="B221" s="7" t="n">
        <v>45941</v>
      </c>
      <c r="C221" s="4" t="inlineStr">
        <is>
          <t>CVS</t>
        </is>
      </c>
      <c r="D221" s="11" t="n">
        <v>76.23999999999999</v>
      </c>
      <c r="E221" s="4" t="inlineStr">
        <is>
          <t>Medical</t>
        </is>
      </c>
      <c r="F221" s="2" t="n"/>
    </row>
    <row r="222">
      <c r="B222" s="7" t="n">
        <v>45936</v>
      </c>
      <c r="C222" s="4" t="inlineStr">
        <is>
          <t>Olive Garden</t>
        </is>
      </c>
      <c r="D222" s="11" t="n">
        <v>48.52</v>
      </c>
      <c r="E222" s="4" t="inlineStr">
        <is>
          <t>Dining Out</t>
        </is>
      </c>
      <c r="F222" s="2" t="n"/>
    </row>
    <row r="223">
      <c r="B223" s="7" t="n">
        <v>45943</v>
      </c>
      <c r="C223" s="4" t="inlineStr">
        <is>
          <t>Panera</t>
        </is>
      </c>
      <c r="D223" s="11" t="n">
        <v>38.08</v>
      </c>
      <c r="E223" s="4" t="inlineStr">
        <is>
          <t>Dining Out</t>
        </is>
      </c>
      <c r="F223" s="2" t="n"/>
    </row>
    <row r="224">
      <c r="B224" s="7" t="n">
        <v>45959</v>
      </c>
      <c r="C224" s="4" t="inlineStr">
        <is>
          <t>Olive Garden</t>
        </is>
      </c>
      <c r="D224" s="11" t="n">
        <v>67.61</v>
      </c>
      <c r="E224" s="4" t="inlineStr">
        <is>
          <t>Dining Out</t>
        </is>
      </c>
      <c r="F224" s="2" t="n"/>
    </row>
    <row r="225">
      <c r="B225" s="7" t="n">
        <v>45941</v>
      </c>
      <c r="C225" s="4" t="inlineStr">
        <is>
          <t>Dunkin</t>
        </is>
      </c>
      <c r="D225" s="11" t="n">
        <v>22.67</v>
      </c>
      <c r="E225" s="4" t="inlineStr">
        <is>
          <t>Coffee</t>
        </is>
      </c>
      <c r="F225" s="2" t="n"/>
    </row>
    <row r="226">
      <c r="B226" s="7" t="n">
        <v>45944</v>
      </c>
      <c r="C226" s="4" t="inlineStr">
        <is>
          <t>Dunkin</t>
        </is>
      </c>
      <c r="D226" s="11" t="n">
        <v>15.32</v>
      </c>
      <c r="E226" s="4" t="inlineStr">
        <is>
          <t>Coffee</t>
        </is>
      </c>
      <c r="F226" s="2" t="n"/>
    </row>
    <row r="227">
      <c r="B227" s="7" t="n">
        <v>45946</v>
      </c>
      <c r="C227" s="4" t="inlineStr">
        <is>
          <t>Bowling Alley</t>
        </is>
      </c>
      <c r="D227" s="11" t="n">
        <v>103.22</v>
      </c>
      <c r="E227" s="4" t="inlineStr">
        <is>
          <t>Entertainment</t>
        </is>
      </c>
      <c r="F227" s="2" t="n"/>
    </row>
    <row r="228">
      <c r="B228" s="7" t="n">
        <v>45952</v>
      </c>
      <c r="C228" s="4" t="inlineStr">
        <is>
          <t>Target</t>
        </is>
      </c>
      <c r="D228" s="11" t="n">
        <v>35.17</v>
      </c>
      <c r="E228" s="4" t="inlineStr">
        <is>
          <t>Clothing</t>
        </is>
      </c>
      <c r="F228" s="2" t="n"/>
    </row>
    <row r="229">
      <c r="B229" s="7" t="n">
        <v>45948</v>
      </c>
      <c r="C229" s="4" t="inlineStr">
        <is>
          <t>TJ Maxx</t>
        </is>
      </c>
      <c r="D229" s="11" t="n">
        <v>41.36</v>
      </c>
      <c r="E229" s="4" t="inlineStr">
        <is>
          <t>Clothing</t>
        </is>
      </c>
      <c r="F229" s="2" t="n"/>
    </row>
    <row r="230">
      <c r="B230" s="7" t="n">
        <v>45938</v>
      </c>
      <c r="C230" s="4" t="inlineStr">
        <is>
          <t>Target Beauty</t>
        </is>
      </c>
      <c r="D230" s="11" t="n">
        <v>19.36</v>
      </c>
      <c r="E230" s="4" t="inlineStr">
        <is>
          <t>Personal Care</t>
        </is>
      </c>
      <c r="F230" s="2" t="n"/>
    </row>
    <row r="231">
      <c r="B231" s="7" t="n">
        <v>45940</v>
      </c>
      <c r="C231" s="4" t="inlineStr">
        <is>
          <t>Great Clips</t>
        </is>
      </c>
      <c r="D231" s="11" t="n">
        <v>17.15</v>
      </c>
      <c r="E231" s="4" t="inlineStr">
        <is>
          <t>Personal Care</t>
        </is>
      </c>
      <c r="F231" s="2" t="n"/>
    </row>
    <row r="232">
      <c r="B232" s="7" t="n">
        <v>45954</v>
      </c>
      <c r="C232" s="4" t="inlineStr">
        <is>
          <t>NYT</t>
        </is>
      </c>
      <c r="D232" s="11" t="n">
        <v>27.76</v>
      </c>
      <c r="E232" s="4" t="inlineStr">
        <is>
          <t>Subscriptions</t>
        </is>
      </c>
      <c r="F232" s="2" t="n"/>
    </row>
    <row r="233">
      <c r="B233" s="7" t="n">
        <v>45960</v>
      </c>
      <c r="C233" s="4" t="inlineStr">
        <is>
          <t>NYT</t>
        </is>
      </c>
      <c r="D233" s="11" t="n">
        <v>29.91</v>
      </c>
      <c r="E233" s="4" t="inlineStr">
        <is>
          <t>Subscriptions</t>
        </is>
      </c>
      <c r="F233" s="2" t="n"/>
    </row>
    <row r="234">
      <c r="B234" s="7" t="n">
        <v>45982</v>
      </c>
      <c r="C234" s="4" t="inlineStr">
        <is>
          <t>Landlord</t>
        </is>
      </c>
      <c r="D234" s="11" t="n">
        <v>1500</v>
      </c>
      <c r="E234" s="4" t="inlineStr">
        <is>
          <t>Rent</t>
        </is>
      </c>
      <c r="F234" s="2" t="n"/>
    </row>
    <row r="235">
      <c r="B235" s="7" t="n">
        <v>45983</v>
      </c>
      <c r="C235" s="4" t="inlineStr">
        <is>
          <t>Power Co</t>
        </is>
      </c>
      <c r="D235" s="11" t="n">
        <v>82.76000000000001</v>
      </c>
      <c r="E235" s="4" t="inlineStr">
        <is>
          <t>Utilities</t>
        </is>
      </c>
      <c r="F235" s="2" t="n"/>
    </row>
    <row r="236">
      <c r="B236" s="7" t="n">
        <v>45975</v>
      </c>
      <c r="C236" s="4" t="inlineStr">
        <is>
          <t>Water Dept</t>
        </is>
      </c>
      <c r="D236" s="11" t="n">
        <v>72.33</v>
      </c>
      <c r="E236" s="4" t="inlineStr">
        <is>
          <t>Utilities</t>
        </is>
      </c>
      <c r="F236" s="2" t="n"/>
    </row>
    <row r="237">
      <c r="B237" s="7" t="n">
        <v>45974</v>
      </c>
      <c r="C237" s="4" t="inlineStr">
        <is>
          <t>Kroger</t>
        </is>
      </c>
      <c r="D237" s="11" t="n">
        <v>222.49</v>
      </c>
      <c r="E237" s="4" t="inlineStr">
        <is>
          <t>Groceries</t>
        </is>
      </c>
      <c r="F237" s="2" t="n"/>
    </row>
    <row r="238">
      <c r="B238" s="7" t="n">
        <v>45971</v>
      </c>
      <c r="C238" s="4" t="inlineStr">
        <is>
          <t>Trader Joes</t>
        </is>
      </c>
      <c r="D238" s="11" t="n">
        <v>158.68</v>
      </c>
      <c r="E238" s="4" t="inlineStr">
        <is>
          <t>Groceries</t>
        </is>
      </c>
      <c r="F238" s="2" t="n"/>
    </row>
    <row r="239">
      <c r="B239" s="7" t="n">
        <v>45986</v>
      </c>
      <c r="C239" s="4" t="inlineStr">
        <is>
          <t>BP</t>
        </is>
      </c>
      <c r="D239" s="11" t="n">
        <v>120.94</v>
      </c>
      <c r="E239" s="4" t="inlineStr">
        <is>
          <t>Gas</t>
        </is>
      </c>
      <c r="F239" s="2" t="n"/>
    </row>
    <row r="240">
      <c r="B240" s="7" t="n">
        <v>45979</v>
      </c>
      <c r="C240" s="4" t="inlineStr">
        <is>
          <t>Geico</t>
        </is>
      </c>
      <c r="D240" s="11" t="n">
        <v>110</v>
      </c>
      <c r="E240" s="4" t="inlineStr">
        <is>
          <t>Auto Insurance</t>
        </is>
      </c>
      <c r="F240" s="2" t="n"/>
    </row>
    <row r="241">
      <c r="B241" s="7" t="n">
        <v>45964</v>
      </c>
      <c r="C241" s="4" t="inlineStr">
        <is>
          <t>T-Mobile</t>
        </is>
      </c>
      <c r="D241" s="11" t="n">
        <v>75</v>
      </c>
      <c r="E241" s="4" t="inlineStr">
        <is>
          <t>Phone</t>
        </is>
      </c>
      <c r="F241" s="2" t="n"/>
    </row>
    <row r="242">
      <c r="B242" s="7" t="n">
        <v>45972</v>
      </c>
      <c r="C242" s="4" t="inlineStr">
        <is>
          <t>Dr. Kim</t>
        </is>
      </c>
      <c r="D242" s="11" t="n">
        <v>70.45</v>
      </c>
      <c r="E242" s="4" t="inlineStr">
        <is>
          <t>Medical</t>
        </is>
      </c>
      <c r="F242" s="2" t="n"/>
    </row>
    <row r="243">
      <c r="B243" s="7" t="n">
        <v>45964</v>
      </c>
      <c r="C243" s="4" t="inlineStr">
        <is>
          <t>Olive Garden</t>
        </is>
      </c>
      <c r="D243" s="11" t="n">
        <v>40.87</v>
      </c>
      <c r="E243" s="4" t="inlineStr">
        <is>
          <t>Dining Out</t>
        </is>
      </c>
      <c r="F243" s="2" t="n"/>
    </row>
    <row r="244">
      <c r="B244" s="7" t="n">
        <v>45983</v>
      </c>
      <c r="C244" s="4" t="inlineStr">
        <is>
          <t>Thai Kitchen</t>
        </is>
      </c>
      <c r="D244" s="11" t="n">
        <v>32.16</v>
      </c>
      <c r="E244" s="4" t="inlineStr">
        <is>
          <t>Dining Out</t>
        </is>
      </c>
      <c r="F244" s="2" t="n"/>
    </row>
    <row r="245">
      <c r="B245" s="7" t="n">
        <v>45979</v>
      </c>
      <c r="C245" s="4" t="inlineStr">
        <is>
          <t>Panera</t>
        </is>
      </c>
      <c r="D245" s="11" t="n">
        <v>49.13</v>
      </c>
      <c r="E245" s="4" t="inlineStr">
        <is>
          <t>Dining Out</t>
        </is>
      </c>
      <c r="F245" s="2" t="n"/>
    </row>
    <row r="246">
      <c r="B246" s="7" t="n">
        <v>45989</v>
      </c>
      <c r="C246" s="4" t="inlineStr">
        <is>
          <t>Thai Kitchen</t>
        </is>
      </c>
      <c r="D246" s="11" t="n">
        <v>33.67</v>
      </c>
      <c r="E246" s="4" t="inlineStr">
        <is>
          <t>Dining Out</t>
        </is>
      </c>
      <c r="F246" s="2" t="n"/>
    </row>
    <row r="247">
      <c r="B247" s="7" t="n">
        <v>45963</v>
      </c>
      <c r="C247" s="4" t="inlineStr">
        <is>
          <t>Starbucks</t>
        </is>
      </c>
      <c r="D247" s="11" t="n">
        <v>17.17</v>
      </c>
      <c r="E247" s="4" t="inlineStr">
        <is>
          <t>Coffee</t>
        </is>
      </c>
      <c r="F247" s="2" t="n"/>
    </row>
    <row r="248">
      <c r="B248" s="7" t="n">
        <v>45968</v>
      </c>
      <c r="C248" s="4" t="inlineStr">
        <is>
          <t>Dunkin</t>
        </is>
      </c>
      <c r="D248" s="11" t="n">
        <v>14.86</v>
      </c>
      <c r="E248" s="4" t="inlineStr">
        <is>
          <t>Coffee</t>
        </is>
      </c>
      <c r="F248" s="2" t="n"/>
    </row>
    <row r="249">
      <c r="B249" s="7" t="n">
        <v>45979</v>
      </c>
      <c r="C249" s="4" t="inlineStr">
        <is>
          <t>Starbucks</t>
        </is>
      </c>
      <c r="D249" s="11" t="n">
        <v>14.63</v>
      </c>
      <c r="E249" s="4" t="inlineStr">
        <is>
          <t>Coffee</t>
        </is>
      </c>
      <c r="F249" s="2" t="n"/>
    </row>
    <row r="250">
      <c r="B250" s="7" t="n">
        <v>45982</v>
      </c>
      <c r="C250" s="4" t="inlineStr">
        <is>
          <t>Steam</t>
        </is>
      </c>
      <c r="D250" s="11" t="n">
        <v>41.91</v>
      </c>
      <c r="E250" s="4" t="inlineStr">
        <is>
          <t>Entertainment</t>
        </is>
      </c>
      <c r="F250" s="2" t="n"/>
    </row>
    <row r="251">
      <c r="B251" s="7" t="n">
        <v>45981</v>
      </c>
      <c r="C251" s="4" t="inlineStr">
        <is>
          <t>Bowling Alley</t>
        </is>
      </c>
      <c r="D251" s="11" t="n">
        <v>49.85</v>
      </c>
      <c r="E251" s="4" t="inlineStr">
        <is>
          <t>Entertainment</t>
        </is>
      </c>
      <c r="F251" s="2" t="n"/>
    </row>
    <row r="252">
      <c r="B252" s="7" t="n">
        <v>45962</v>
      </c>
      <c r="C252" s="4" t="inlineStr">
        <is>
          <t>TJ Maxx</t>
        </is>
      </c>
      <c r="D252" s="11" t="n">
        <v>78.73999999999999</v>
      </c>
      <c r="E252" s="4" t="inlineStr">
        <is>
          <t>Clothing</t>
        </is>
      </c>
      <c r="F252" s="2" t="n"/>
    </row>
    <row r="253">
      <c r="B253" s="7" t="n">
        <v>45964</v>
      </c>
      <c r="C253" s="4" t="inlineStr">
        <is>
          <t>Target Beauty</t>
        </is>
      </c>
      <c r="D253" s="11" t="n">
        <v>12.41</v>
      </c>
      <c r="E253" s="4" t="inlineStr">
        <is>
          <t>Personal Care</t>
        </is>
      </c>
      <c r="F253" s="2" t="n"/>
    </row>
    <row r="254">
      <c r="B254" s="7" t="n">
        <v>45989</v>
      </c>
      <c r="C254" s="4" t="inlineStr">
        <is>
          <t>Great Clips</t>
        </is>
      </c>
      <c r="D254" s="11" t="n">
        <v>20.98</v>
      </c>
      <c r="E254" s="4" t="inlineStr">
        <is>
          <t>Personal Care</t>
        </is>
      </c>
      <c r="F254" s="2" t="n"/>
    </row>
    <row r="255">
      <c r="B255" s="7" t="n">
        <v>45972</v>
      </c>
      <c r="C255" s="4" t="inlineStr">
        <is>
          <t>Netflix</t>
        </is>
      </c>
      <c r="D255" s="11" t="n">
        <v>69.22</v>
      </c>
      <c r="E255" s="4" t="inlineStr">
        <is>
          <t>Subscriptions</t>
        </is>
      </c>
      <c r="F255" s="2" t="n"/>
    </row>
    <row r="256">
      <c r="B256" s="7" t="n">
        <v>46009</v>
      </c>
      <c r="C256" s="4" t="inlineStr">
        <is>
          <t>Landlord</t>
        </is>
      </c>
      <c r="D256" s="11" t="n">
        <v>1500</v>
      </c>
      <c r="E256" s="4" t="inlineStr">
        <is>
          <t>Rent</t>
        </is>
      </c>
      <c r="F256" s="2" t="n"/>
    </row>
    <row r="257">
      <c r="B257" s="7" t="n">
        <v>46005</v>
      </c>
      <c r="C257" s="4" t="inlineStr">
        <is>
          <t>Power Co</t>
        </is>
      </c>
      <c r="D257" s="11" t="n">
        <v>209.35</v>
      </c>
      <c r="E257" s="4" t="inlineStr">
        <is>
          <t>Utilities</t>
        </is>
      </c>
      <c r="F257" s="2" t="n"/>
    </row>
    <row r="258">
      <c r="B258" s="7" t="n">
        <v>46017</v>
      </c>
      <c r="C258" s="4" t="inlineStr">
        <is>
          <t>Costco</t>
        </is>
      </c>
      <c r="D258" s="11" t="n">
        <v>132.03</v>
      </c>
      <c r="E258" s="4" t="inlineStr">
        <is>
          <t>Groceries</t>
        </is>
      </c>
      <c r="F258" s="2" t="n"/>
    </row>
    <row r="259">
      <c r="B259" s="7" t="n">
        <v>46010</v>
      </c>
      <c r="C259" s="4" t="inlineStr">
        <is>
          <t>Kroger</t>
        </is>
      </c>
      <c r="D259" s="11" t="n">
        <v>104.02</v>
      </c>
      <c r="E259" s="4" t="inlineStr">
        <is>
          <t>Groceries</t>
        </is>
      </c>
      <c r="F259" s="2" t="n"/>
    </row>
    <row r="260">
      <c r="B260" s="7" t="n">
        <v>46009</v>
      </c>
      <c r="C260" s="4" t="inlineStr">
        <is>
          <t>Aldi</t>
        </is>
      </c>
      <c r="D260" s="11" t="n">
        <v>119.14</v>
      </c>
      <c r="E260" s="4" t="inlineStr">
        <is>
          <t>Groceries</t>
        </is>
      </c>
      <c r="F260" s="2" t="n"/>
    </row>
    <row r="261">
      <c r="B261" s="7" t="n">
        <v>45997</v>
      </c>
      <c r="C261" s="4" t="inlineStr">
        <is>
          <t>BP</t>
        </is>
      </c>
      <c r="D261" s="11" t="n">
        <v>87.64</v>
      </c>
      <c r="E261" s="4" t="inlineStr">
        <is>
          <t>Gas</t>
        </is>
      </c>
      <c r="F261" s="2" t="n"/>
    </row>
    <row r="262">
      <c r="B262" s="7" t="n">
        <v>46004</v>
      </c>
      <c r="C262" s="4" t="inlineStr">
        <is>
          <t>BP</t>
        </is>
      </c>
      <c r="D262" s="11" t="n">
        <v>54.65</v>
      </c>
      <c r="E262" s="4" t="inlineStr">
        <is>
          <t>Gas</t>
        </is>
      </c>
      <c r="F262" s="2" t="n"/>
    </row>
    <row r="263">
      <c r="B263" s="7" t="n">
        <v>45997</v>
      </c>
      <c r="C263" s="4" t="inlineStr">
        <is>
          <t>Geico</t>
        </is>
      </c>
      <c r="D263" s="11" t="n">
        <v>110</v>
      </c>
      <c r="E263" s="4" t="inlineStr">
        <is>
          <t>Auto Insurance</t>
        </is>
      </c>
      <c r="F263" s="2" t="n"/>
    </row>
    <row r="264">
      <c r="B264" s="7" t="n">
        <v>46000</v>
      </c>
      <c r="C264" s="4" t="inlineStr">
        <is>
          <t>T-Mobile</t>
        </is>
      </c>
      <c r="D264" s="11" t="n">
        <v>75</v>
      </c>
      <c r="E264" s="4" t="inlineStr">
        <is>
          <t>Phone</t>
        </is>
      </c>
      <c r="F264" s="2" t="n"/>
    </row>
    <row r="265">
      <c r="B265" s="7" t="n">
        <v>46019</v>
      </c>
      <c r="C265" s="4" t="inlineStr">
        <is>
          <t>Dr. Kim</t>
        </is>
      </c>
      <c r="D265" s="11" t="n">
        <v>18.16</v>
      </c>
      <c r="E265" s="4" t="inlineStr">
        <is>
          <t>Medical</t>
        </is>
      </c>
      <c r="F265" s="2" t="n"/>
    </row>
    <row r="266">
      <c r="B266" s="7" t="n">
        <v>45994</v>
      </c>
      <c r="C266" s="4" t="inlineStr">
        <is>
          <t>Dr. Kim</t>
        </is>
      </c>
      <c r="D266" s="11" t="n">
        <v>31.67</v>
      </c>
      <c r="E266" s="4" t="inlineStr">
        <is>
          <t>Medical</t>
        </is>
      </c>
      <c r="F266" s="2" t="n"/>
    </row>
    <row r="267">
      <c r="B267" s="7" t="n">
        <v>46008</v>
      </c>
      <c r="C267" s="4" t="inlineStr">
        <is>
          <t>Panera</t>
        </is>
      </c>
      <c r="D267" s="11" t="n">
        <v>47.69</v>
      </c>
      <c r="E267" s="4" t="inlineStr">
        <is>
          <t>Dining Out</t>
        </is>
      </c>
      <c r="F267" s="2" t="n"/>
    </row>
    <row r="268">
      <c r="B268" s="7" t="n">
        <v>46001</v>
      </c>
      <c r="C268" s="4" t="inlineStr">
        <is>
          <t>Thai Kitchen</t>
        </is>
      </c>
      <c r="D268" s="11" t="n">
        <v>55.93</v>
      </c>
      <c r="E268" s="4" t="inlineStr">
        <is>
          <t>Dining Out</t>
        </is>
      </c>
      <c r="F268" s="2" t="n"/>
    </row>
    <row r="269">
      <c r="B269" s="7" t="n">
        <v>46018</v>
      </c>
      <c r="C269" s="4" t="inlineStr">
        <is>
          <t>Olive Garden</t>
        </is>
      </c>
      <c r="D269" s="11" t="n">
        <v>56.78</v>
      </c>
      <c r="E269" s="4" t="inlineStr">
        <is>
          <t>Dining Out</t>
        </is>
      </c>
      <c r="F269" s="2" t="n"/>
    </row>
    <row r="270">
      <c r="B270" s="7" t="n">
        <v>46012</v>
      </c>
      <c r="C270" s="4" t="inlineStr">
        <is>
          <t>Starbucks</t>
        </is>
      </c>
      <c r="D270" s="11" t="n">
        <v>15.3</v>
      </c>
      <c r="E270" s="4" t="inlineStr">
        <is>
          <t>Coffee</t>
        </is>
      </c>
      <c r="F270" s="2" t="n"/>
    </row>
    <row r="271">
      <c r="B271" s="7" t="n">
        <v>46017</v>
      </c>
      <c r="C271" s="4" t="inlineStr">
        <is>
          <t>Starbucks</t>
        </is>
      </c>
      <c r="D271" s="11" t="n">
        <v>12.07</v>
      </c>
      <c r="E271" s="4" t="inlineStr">
        <is>
          <t>Coffee</t>
        </is>
      </c>
      <c r="F271" s="2" t="n"/>
    </row>
    <row r="272">
      <c r="B272" s="7" t="n">
        <v>46014</v>
      </c>
      <c r="C272" s="4" t="inlineStr">
        <is>
          <t>Starbucks</t>
        </is>
      </c>
      <c r="D272" s="11" t="n">
        <v>14.54</v>
      </c>
      <c r="E272" s="4" t="inlineStr">
        <is>
          <t>Coffee</t>
        </is>
      </c>
      <c r="F272" s="2" t="n"/>
    </row>
    <row r="273">
      <c r="B273" s="7" t="n">
        <v>46005</v>
      </c>
      <c r="C273" s="4" t="inlineStr">
        <is>
          <t>Bowling Alley</t>
        </is>
      </c>
      <c r="D273" s="11" t="n">
        <v>24.3</v>
      </c>
      <c r="E273" s="4" t="inlineStr">
        <is>
          <t>Entertainment</t>
        </is>
      </c>
      <c r="F273" s="2" t="n"/>
    </row>
    <row r="274">
      <c r="B274" s="7" t="n">
        <v>45992</v>
      </c>
      <c r="C274" s="4" t="inlineStr">
        <is>
          <t>Bowling Alley</t>
        </is>
      </c>
      <c r="D274" s="11" t="n">
        <v>42.4</v>
      </c>
      <c r="E274" s="4" t="inlineStr">
        <is>
          <t>Entertainment</t>
        </is>
      </c>
      <c r="F274" s="2" t="n"/>
    </row>
    <row r="275">
      <c r="B275" s="7" t="n">
        <v>46019</v>
      </c>
      <c r="C275" s="4" t="inlineStr">
        <is>
          <t>TJ Maxx</t>
        </is>
      </c>
      <c r="D275" s="11" t="n">
        <v>24.04</v>
      </c>
      <c r="E275" s="4" t="inlineStr">
        <is>
          <t>Clothing</t>
        </is>
      </c>
      <c r="F275" s="2" t="n"/>
    </row>
    <row r="276">
      <c r="B276" s="7" t="n">
        <v>46007</v>
      </c>
      <c r="C276" s="4" t="inlineStr">
        <is>
          <t>Old Navy</t>
        </is>
      </c>
      <c r="D276" s="11" t="n">
        <v>48.44</v>
      </c>
      <c r="E276" s="4" t="inlineStr">
        <is>
          <t>Clothing</t>
        </is>
      </c>
      <c r="F276" s="2" t="n"/>
    </row>
    <row r="277">
      <c r="B277" s="7" t="n">
        <v>45997</v>
      </c>
      <c r="C277" s="4" t="inlineStr">
        <is>
          <t>Target Beauty</t>
        </is>
      </c>
      <c r="D277" s="11" t="n">
        <v>23.56</v>
      </c>
      <c r="E277" s="4" t="inlineStr">
        <is>
          <t>Personal Care</t>
        </is>
      </c>
      <c r="F277" s="2" t="n"/>
    </row>
    <row r="278">
      <c r="B278" s="7" t="n">
        <v>46016</v>
      </c>
      <c r="C278" s="4" t="inlineStr">
        <is>
          <t>Netflix</t>
        </is>
      </c>
      <c r="D278" s="11" t="n">
        <v>52.06</v>
      </c>
      <c r="E278" s="4" t="inlineStr">
        <is>
          <t>Subscriptions</t>
        </is>
      </c>
      <c r="F278" s="2" t="n"/>
    </row>
  </sheetData>
  <dataValidations count="1">
    <dataValidation sqref="E4 E5 E6 E7 E8 E9 E10 E11 E12 E13 E14 E15 E16 E17 E18 E19 E20 E21 E22 E23 E24 E25 E26 E27 E28 E29 E30 E31 E32 E33 E34 E35 E36 E37 E38 E39 E40 E41 E42 E43 E44 E45 E46 E47 E48 E49 E50 E51 E52 E53 E54 E55 E56 E57 E58 E59 E60 E61 E62 E63 E64 E65 E66 E67 E68 E69 E70 E71 E72 E73 E74 E75 E76 E77 E78 E79 E80 E81 E82 E83 E84 E85 E86 E87 E88 E89 E90 E91 E92 E93 E94 E95 E96 E97 E98 E99 E100 E101 E102 E103 E104 E105 E106 E107 E108 E109 E110 E111 E112 E113 E114 E115 E116 E117 E118 E119 E120 E121 E122 E123 E124 E125 E126 E127 E128 E129 E130 E131 E132 E133 E134 E135 E136 E137 E138 E139 E140 E141 E142 E143 E144 E145 E146 E147 E148 E149 E150 E151 E152 E153 E154 E155 E156 E157 E158 E159 E160 E161 E162 E163 E164 E165 E166 E167 E168 E169 E170 E171 E172 E173 E174 E175 E176 E177 E178 E179 E180 E181 E182 E183 E184 E185 E186 E187 E188 E189 E190 E191 E192 E193 E194 E195 E196 E197 E198 E199 E200 E201 E202 E203 E204 E205 E206 E207 E208 E209 E210 E211 E212 E213 E214 E215 E216 E217 E218 E219 E220 E221 E222 E223 E224 E225 E226 E227 E228 E229 E230 E231 E232 E233 E234 E235 E236 E237 E238 E239 E240 E241 E242 E243 E244 E245 E246 E247 E248 E249 E250 E251 E252 E253 E254 E255 E256 E257 E258 E259 E260 E261 E262 E263 E264 E265 E266 E267 E268 E269 E270 E271 E272 E273 E274 E275 E276 E277 E278" showDropDown="0" showInputMessage="0" showErrorMessage="0" allowBlank="1" type="list">
      <formula1>"Rent,Utilities,Groceries,Gas,Auto Insurance,Phone,Medical,Dining Out,Coffee,Entertainment,Clothing,Personal Care,Subscriptions,Emergency Fund,Vacation,Car Repair Fund"</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AX19"/>
  <sheetViews>
    <sheetView showGridLines="0" workbookViewId="0">
      <pane xSplit="1" ySplit="3" topLeftCell="B4" activePane="bottomRight" state="frozen"/>
      <selection pane="topRight"/>
      <selection pane="bottomLeft"/>
      <selection pane="bottomRight" activeCell="A1" sqref="A1"/>
    </sheetView>
  </sheetViews>
  <sheetFormatPr baseColWidth="8" defaultRowHeight="15"/>
  <cols>
    <col width="18" customWidth="1" min="1" max="1"/>
    <col width="11" customWidth="1" min="2" max="2"/>
    <col width="11" customWidth="1" min="3" max="3"/>
    <col width="11" customWidth="1" min="4" max="4"/>
    <col width="11" customWidth="1" min="5" max="5"/>
    <col width="11" customWidth="1" min="6" max="6"/>
    <col width="11" customWidth="1" min="7" max="7"/>
    <col width="11" customWidth="1" min="8" max="8"/>
    <col width="11" customWidth="1" min="9" max="9"/>
    <col width="11" customWidth="1" min="10" max="10"/>
    <col width="11" customWidth="1" min="11" max="11"/>
    <col width="11" customWidth="1" min="12" max="12"/>
    <col width="11" customWidth="1" min="13" max="13"/>
    <col width="11" customWidth="1" min="14" max="14"/>
    <col width="11" customWidth="1" min="15" max="15"/>
    <col width="11" customWidth="1" min="16" max="16"/>
    <col width="11" customWidth="1" min="17" max="17"/>
    <col width="11" customWidth="1" min="18" max="18"/>
    <col width="11" customWidth="1" min="19" max="19"/>
    <col width="11" customWidth="1" min="20" max="20"/>
    <col width="11" customWidth="1" min="21" max="21"/>
    <col width="11" customWidth="1" min="22" max="22"/>
    <col width="11" customWidth="1" min="23" max="23"/>
    <col width="11" customWidth="1" min="24" max="24"/>
    <col width="11" customWidth="1" min="25" max="25"/>
    <col width="11" customWidth="1" min="26" max="26"/>
    <col width="11" customWidth="1" min="27" max="27"/>
    <col width="11" customWidth="1" min="28" max="28"/>
    <col width="11" customWidth="1" min="29" max="29"/>
    <col width="11" customWidth="1" min="30" max="30"/>
    <col width="11" customWidth="1" min="31" max="31"/>
    <col width="11" customWidth="1" min="32" max="32"/>
    <col width="11" customWidth="1" min="33" max="33"/>
    <col width="11" customWidth="1" min="34" max="34"/>
    <col width="11" customWidth="1" min="35" max="35"/>
    <col width="11" customWidth="1" min="36" max="36"/>
    <col width="11" customWidth="1" min="37" max="37"/>
    <col width="11" customWidth="1" min="38" max="38"/>
    <col width="11" customWidth="1" min="39" max="39"/>
    <col width="11" customWidth="1" min="40" max="40"/>
    <col width="11" customWidth="1" min="41" max="41"/>
    <col width="11" customWidth="1" min="42" max="42"/>
    <col width="11" customWidth="1" min="43" max="43"/>
    <col width="11" customWidth="1" min="44" max="44"/>
    <col width="11" customWidth="1" min="45" max="45"/>
    <col width="11" customWidth="1" min="46" max="46"/>
    <col width="11" customWidth="1" min="47" max="47"/>
    <col width="11" customWidth="1" min="48" max="48"/>
    <col width="11" customWidth="1" min="49" max="49"/>
    <col width="11" customWidth="1" min="50" max="50"/>
  </cols>
  <sheetData>
    <row r="1"/>
    <row r="2">
      <c r="B2" s="1" t="inlineStr">
        <is>
          <t>Monthly Envelope Balances</t>
        </is>
      </c>
      <c r="C2" s="2" t="n"/>
      <c r="D2" s="2" t="n"/>
      <c r="E2" s="2" t="n"/>
      <c r="F2" s="2" t="n"/>
      <c r="G2" s="2" t="n"/>
      <c r="H2" s="2" t="n"/>
      <c r="I2" s="2" t="n"/>
      <c r="J2" s="2" t="n"/>
      <c r="K2" s="2" t="n"/>
      <c r="L2" s="2" t="n"/>
      <c r="M2" s="2" t="n"/>
      <c r="N2" s="2" t="n"/>
      <c r="O2" s="2" t="n"/>
      <c r="P2" s="2" t="n"/>
      <c r="Q2" s="2" t="n"/>
      <c r="R2" s="2" t="n"/>
      <c r="S2" s="2" t="n"/>
      <c r="T2" s="2" t="n"/>
      <c r="U2" s="2" t="n"/>
      <c r="V2" s="2" t="n"/>
      <c r="W2" s="2" t="n"/>
      <c r="X2" s="2" t="n"/>
      <c r="Y2" s="2" t="n"/>
      <c r="Z2" s="2" t="n"/>
      <c r="AA2" s="2" t="n"/>
      <c r="AB2" s="2" t="n"/>
      <c r="AC2" s="2" t="n"/>
      <c r="AD2" s="2" t="n"/>
      <c r="AE2" s="2" t="n"/>
      <c r="AF2" s="2" t="n"/>
      <c r="AG2" s="2" t="n"/>
      <c r="AH2" s="2" t="n"/>
      <c r="AI2" s="2" t="n"/>
      <c r="AJ2" s="2" t="n"/>
      <c r="AK2" s="2" t="n"/>
      <c r="AL2" s="2" t="n"/>
      <c r="AM2" s="2" t="n"/>
      <c r="AN2" s="2" t="n"/>
      <c r="AO2" s="2" t="n"/>
      <c r="AP2" s="2" t="n"/>
      <c r="AQ2" s="2" t="n"/>
      <c r="AR2" s="2" t="n"/>
      <c r="AS2" s="2" t="n"/>
      <c r="AT2" s="2" t="n"/>
      <c r="AU2" s="2" t="n"/>
      <c r="AV2" s="2" t="n"/>
      <c r="AW2" s="2" t="n"/>
      <c r="AX2" s="2" t="n"/>
    </row>
    <row r="3">
      <c r="B3" s="10" t="inlineStr">
        <is>
          <t>Envelope</t>
        </is>
      </c>
      <c r="C3" s="12" t="inlineStr">
        <is>
          <t>Jan Starting</t>
        </is>
      </c>
      <c r="D3" s="3" t="inlineStr">
        <is>
          <t>Jan Funded</t>
        </is>
      </c>
      <c r="E3" s="3" t="inlineStr">
        <is>
          <t>Jan Spent</t>
        </is>
      </c>
      <c r="F3" s="3" t="inlineStr">
        <is>
          <t>Jan Ending</t>
        </is>
      </c>
      <c r="G3" s="12" t="inlineStr">
        <is>
          <t>Feb Starting</t>
        </is>
      </c>
      <c r="H3" s="3" t="inlineStr">
        <is>
          <t>Feb Funded</t>
        </is>
      </c>
      <c r="I3" s="3" t="inlineStr">
        <is>
          <t>Feb Spent</t>
        </is>
      </c>
      <c r="J3" s="3" t="inlineStr">
        <is>
          <t>Feb Ending</t>
        </is>
      </c>
      <c r="K3" s="12" t="inlineStr">
        <is>
          <t>Mar Starting</t>
        </is>
      </c>
      <c r="L3" s="3" t="inlineStr">
        <is>
          <t>Mar Funded</t>
        </is>
      </c>
      <c r="M3" s="3" t="inlineStr">
        <is>
          <t>Mar Spent</t>
        </is>
      </c>
      <c r="N3" s="3" t="inlineStr">
        <is>
          <t>Mar Ending</t>
        </is>
      </c>
      <c r="O3" s="12" t="inlineStr">
        <is>
          <t>Apr Starting</t>
        </is>
      </c>
      <c r="P3" s="3" t="inlineStr">
        <is>
          <t>Apr Funded</t>
        </is>
      </c>
      <c r="Q3" s="3" t="inlineStr">
        <is>
          <t>Apr Spent</t>
        </is>
      </c>
      <c r="R3" s="3" t="inlineStr">
        <is>
          <t>Apr Ending</t>
        </is>
      </c>
      <c r="S3" s="12" t="inlineStr">
        <is>
          <t>May Starting</t>
        </is>
      </c>
      <c r="T3" s="3" t="inlineStr">
        <is>
          <t>May Funded</t>
        </is>
      </c>
      <c r="U3" s="3" t="inlineStr">
        <is>
          <t>May Spent</t>
        </is>
      </c>
      <c r="V3" s="3" t="inlineStr">
        <is>
          <t>May Ending</t>
        </is>
      </c>
      <c r="W3" s="12" t="inlineStr">
        <is>
          <t>Jun Starting</t>
        </is>
      </c>
      <c r="X3" s="3" t="inlineStr">
        <is>
          <t>Jun Funded</t>
        </is>
      </c>
      <c r="Y3" s="3" t="inlineStr">
        <is>
          <t>Jun Spent</t>
        </is>
      </c>
      <c r="Z3" s="3" t="inlineStr">
        <is>
          <t>Jun Ending</t>
        </is>
      </c>
      <c r="AA3" s="12" t="inlineStr">
        <is>
          <t>Jul Starting</t>
        </is>
      </c>
      <c r="AB3" s="3" t="inlineStr">
        <is>
          <t>Jul Funded</t>
        </is>
      </c>
      <c r="AC3" s="3" t="inlineStr">
        <is>
          <t>Jul Spent</t>
        </is>
      </c>
      <c r="AD3" s="3" t="inlineStr">
        <is>
          <t>Jul Ending</t>
        </is>
      </c>
      <c r="AE3" s="12" t="inlineStr">
        <is>
          <t>Aug Starting</t>
        </is>
      </c>
      <c r="AF3" s="3" t="inlineStr">
        <is>
          <t>Aug Funded</t>
        </is>
      </c>
      <c r="AG3" s="3" t="inlineStr">
        <is>
          <t>Aug Spent</t>
        </is>
      </c>
      <c r="AH3" s="3" t="inlineStr">
        <is>
          <t>Aug Ending</t>
        </is>
      </c>
      <c r="AI3" s="12" t="inlineStr">
        <is>
          <t>Sep Starting</t>
        </is>
      </c>
      <c r="AJ3" s="3" t="inlineStr">
        <is>
          <t>Sep Funded</t>
        </is>
      </c>
      <c r="AK3" s="3" t="inlineStr">
        <is>
          <t>Sep Spent</t>
        </is>
      </c>
      <c r="AL3" s="3" t="inlineStr">
        <is>
          <t>Sep Ending</t>
        </is>
      </c>
      <c r="AM3" s="12" t="inlineStr">
        <is>
          <t>Oct Starting</t>
        </is>
      </c>
      <c r="AN3" s="3" t="inlineStr">
        <is>
          <t>Oct Funded</t>
        </is>
      </c>
      <c r="AO3" s="3" t="inlineStr">
        <is>
          <t>Oct Spent</t>
        </is>
      </c>
      <c r="AP3" s="3" t="inlineStr">
        <is>
          <t>Oct Ending</t>
        </is>
      </c>
      <c r="AQ3" s="12" t="inlineStr">
        <is>
          <t>Nov Starting</t>
        </is>
      </c>
      <c r="AR3" s="3" t="inlineStr">
        <is>
          <t>Nov Funded</t>
        </is>
      </c>
      <c r="AS3" s="3" t="inlineStr">
        <is>
          <t>Nov Spent</t>
        </is>
      </c>
      <c r="AT3" s="3" t="inlineStr">
        <is>
          <t>Nov Ending</t>
        </is>
      </c>
      <c r="AU3" s="12" t="inlineStr">
        <is>
          <t>Dec Starting</t>
        </is>
      </c>
      <c r="AV3" s="3" t="inlineStr">
        <is>
          <t>Dec Funded</t>
        </is>
      </c>
      <c r="AW3" s="3" t="inlineStr">
        <is>
          <t>Dec Spent</t>
        </is>
      </c>
      <c r="AX3" s="3" t="inlineStr">
        <is>
          <t>Dec Ending</t>
        </is>
      </c>
    </row>
    <row r="4">
      <c r="B4" s="4" t="inlineStr">
        <is>
          <t>Rent</t>
        </is>
      </c>
      <c r="C4" s="13" t="n">
        <v>0</v>
      </c>
      <c r="D4" s="13">
        <f>SUMPRODUCT((MONTH(Funding!$B$4:$B$29)=1)*Funding!E$4:E$29)</f>
        <v/>
      </c>
      <c r="E4" s="13">
        <f>SUMPRODUCT((MONTH(Spending!$B$4:$B$278)=1)*(Spending!$E$4:$E$278="Rent")*Spending!$D$4:$D$278)</f>
        <v/>
      </c>
      <c r="F4" s="13">
        <f>C4+D4-E4</f>
        <v/>
      </c>
      <c r="G4" s="13">
        <f>IF(Envelopes!$E$4="Yes",F4,0)</f>
        <v/>
      </c>
      <c r="H4" s="13">
        <f>SUMPRODUCT((MONTH(Funding!$B$4:$B$29)=2)*Funding!E$4:E$29)</f>
        <v/>
      </c>
      <c r="I4" s="13">
        <f>SUMPRODUCT((MONTH(Spending!$B$4:$B$278)=2)*(Spending!$E$4:$E$278="Rent")*Spending!$D$4:$D$278)</f>
        <v/>
      </c>
      <c r="J4" s="13">
        <f>G4+H4-I4</f>
        <v/>
      </c>
      <c r="K4" s="13">
        <f>IF(Envelopes!$E$4="Yes",J4,0)</f>
        <v/>
      </c>
      <c r="L4" s="13">
        <f>SUMPRODUCT((MONTH(Funding!$B$4:$B$29)=3)*Funding!E$4:E$29)</f>
        <v/>
      </c>
      <c r="M4" s="13">
        <f>SUMPRODUCT((MONTH(Spending!$B$4:$B$278)=3)*(Spending!$E$4:$E$278="Rent")*Spending!$D$4:$D$278)</f>
        <v/>
      </c>
      <c r="N4" s="13">
        <f>K4+L4-M4</f>
        <v/>
      </c>
      <c r="O4" s="13">
        <f>IF(Envelopes!$E$4="Yes",N4,0)</f>
        <v/>
      </c>
      <c r="P4" s="13">
        <f>SUMPRODUCT((MONTH(Funding!$B$4:$B$29)=4)*Funding!E$4:E$29)</f>
        <v/>
      </c>
      <c r="Q4" s="13">
        <f>SUMPRODUCT((MONTH(Spending!$B$4:$B$278)=4)*(Spending!$E$4:$E$278="Rent")*Spending!$D$4:$D$278)</f>
        <v/>
      </c>
      <c r="R4" s="13">
        <f>O4+P4-Q4</f>
        <v/>
      </c>
      <c r="S4" s="13">
        <f>IF(Envelopes!$E$4="Yes",R4,0)</f>
        <v/>
      </c>
      <c r="T4" s="13">
        <f>SUMPRODUCT((MONTH(Funding!$B$4:$B$29)=5)*Funding!E$4:E$29)</f>
        <v/>
      </c>
      <c r="U4" s="13">
        <f>SUMPRODUCT((MONTH(Spending!$B$4:$B$278)=5)*(Spending!$E$4:$E$278="Rent")*Spending!$D$4:$D$278)</f>
        <v/>
      </c>
      <c r="V4" s="13">
        <f>S4+T4-U4</f>
        <v/>
      </c>
      <c r="W4" s="13">
        <f>IF(Envelopes!$E$4="Yes",V4,0)</f>
        <v/>
      </c>
      <c r="X4" s="13">
        <f>SUMPRODUCT((MONTH(Funding!$B$4:$B$29)=6)*Funding!E$4:E$29)</f>
        <v/>
      </c>
      <c r="Y4" s="13">
        <f>SUMPRODUCT((MONTH(Spending!$B$4:$B$278)=6)*(Spending!$E$4:$E$278="Rent")*Spending!$D$4:$D$278)</f>
        <v/>
      </c>
      <c r="Z4" s="13">
        <f>W4+X4-Y4</f>
        <v/>
      </c>
      <c r="AA4" s="13">
        <f>IF(Envelopes!$E$4="Yes",Z4,0)</f>
        <v/>
      </c>
      <c r="AB4" s="13">
        <f>SUMPRODUCT((MONTH(Funding!$B$4:$B$29)=7)*Funding!E$4:E$29)</f>
        <v/>
      </c>
      <c r="AC4" s="13">
        <f>SUMPRODUCT((MONTH(Spending!$B$4:$B$278)=7)*(Spending!$E$4:$E$278="Rent")*Spending!$D$4:$D$278)</f>
        <v/>
      </c>
      <c r="AD4" s="13">
        <f>AA4+AB4-AC4</f>
        <v/>
      </c>
      <c r="AE4" s="13">
        <f>IF(Envelopes!$E$4="Yes",AD4,0)</f>
        <v/>
      </c>
      <c r="AF4" s="13">
        <f>SUMPRODUCT((MONTH(Funding!$B$4:$B$29)=8)*Funding!E$4:E$29)</f>
        <v/>
      </c>
      <c r="AG4" s="13">
        <f>SUMPRODUCT((MONTH(Spending!$B$4:$B$278)=8)*(Spending!$E$4:$E$278="Rent")*Spending!$D$4:$D$278)</f>
        <v/>
      </c>
      <c r="AH4" s="13">
        <f>AE4+AF4-AG4</f>
        <v/>
      </c>
      <c r="AI4" s="13">
        <f>IF(Envelopes!$E$4="Yes",AH4,0)</f>
        <v/>
      </c>
      <c r="AJ4" s="13">
        <f>SUMPRODUCT((MONTH(Funding!$B$4:$B$29)=9)*Funding!E$4:E$29)</f>
        <v/>
      </c>
      <c r="AK4" s="13">
        <f>SUMPRODUCT((MONTH(Spending!$B$4:$B$278)=9)*(Spending!$E$4:$E$278="Rent")*Spending!$D$4:$D$278)</f>
        <v/>
      </c>
      <c r="AL4" s="13">
        <f>AI4+AJ4-AK4</f>
        <v/>
      </c>
      <c r="AM4" s="13">
        <f>IF(Envelopes!$E$4="Yes",AL4,0)</f>
        <v/>
      </c>
      <c r="AN4" s="13">
        <f>SUMPRODUCT((MONTH(Funding!$B$4:$B$29)=10)*Funding!E$4:E$29)</f>
        <v/>
      </c>
      <c r="AO4" s="13">
        <f>SUMPRODUCT((MONTH(Spending!$B$4:$B$278)=10)*(Spending!$E$4:$E$278="Rent")*Spending!$D$4:$D$278)</f>
        <v/>
      </c>
      <c r="AP4" s="13">
        <f>AM4+AN4-AO4</f>
        <v/>
      </c>
      <c r="AQ4" s="13">
        <f>IF(Envelopes!$E$4="Yes",AP4,0)</f>
        <v/>
      </c>
      <c r="AR4" s="13">
        <f>SUMPRODUCT((MONTH(Funding!$B$4:$B$29)=11)*Funding!E$4:E$29)</f>
        <v/>
      </c>
      <c r="AS4" s="13">
        <f>SUMPRODUCT((MONTH(Spending!$B$4:$B$278)=11)*(Spending!$E$4:$E$278="Rent")*Spending!$D$4:$D$278)</f>
        <v/>
      </c>
      <c r="AT4" s="13">
        <f>AQ4+AR4-AS4</f>
        <v/>
      </c>
      <c r="AU4" s="13">
        <f>IF(Envelopes!$E$4="Yes",AT4,0)</f>
        <v/>
      </c>
      <c r="AV4" s="13">
        <f>SUMPRODUCT((MONTH(Funding!$B$4:$B$29)=12)*Funding!E$4:E$29)</f>
        <v/>
      </c>
      <c r="AW4" s="13">
        <f>SUMPRODUCT((MONTH(Spending!$B$4:$B$278)=12)*(Spending!$E$4:$E$278="Rent")*Spending!$D$4:$D$278)</f>
        <v/>
      </c>
      <c r="AX4" s="13">
        <f>AU4+AV4-AW4</f>
        <v/>
      </c>
    </row>
    <row r="5">
      <c r="B5" s="4" t="inlineStr">
        <is>
          <t>Utilities</t>
        </is>
      </c>
      <c r="C5" s="13" t="n">
        <v>0</v>
      </c>
      <c r="D5" s="13">
        <f>SUMPRODUCT((MONTH(Funding!$B$4:$B$29)=1)*Funding!F$4:F$29)</f>
        <v/>
      </c>
      <c r="E5" s="13">
        <f>SUMPRODUCT((MONTH(Spending!$B$4:$B$278)=1)*(Spending!$E$4:$E$278="Utilities")*Spending!$D$4:$D$278)</f>
        <v/>
      </c>
      <c r="F5" s="13">
        <f>C5+D5-E5</f>
        <v/>
      </c>
      <c r="G5" s="13">
        <f>IF(Envelopes!$E$5="Yes",F5,0)</f>
        <v/>
      </c>
      <c r="H5" s="13">
        <f>SUMPRODUCT((MONTH(Funding!$B$4:$B$29)=2)*Funding!F$4:F$29)</f>
        <v/>
      </c>
      <c r="I5" s="13">
        <f>SUMPRODUCT((MONTH(Spending!$B$4:$B$278)=2)*(Spending!$E$4:$E$278="Utilities")*Spending!$D$4:$D$278)</f>
        <v/>
      </c>
      <c r="J5" s="13">
        <f>G5+H5-I5</f>
        <v/>
      </c>
      <c r="K5" s="13">
        <f>IF(Envelopes!$E$5="Yes",J5,0)</f>
        <v/>
      </c>
      <c r="L5" s="13">
        <f>SUMPRODUCT((MONTH(Funding!$B$4:$B$29)=3)*Funding!F$4:F$29)</f>
        <v/>
      </c>
      <c r="M5" s="13">
        <f>SUMPRODUCT((MONTH(Spending!$B$4:$B$278)=3)*(Spending!$E$4:$E$278="Utilities")*Spending!$D$4:$D$278)</f>
        <v/>
      </c>
      <c r="N5" s="13">
        <f>K5+L5-M5</f>
        <v/>
      </c>
      <c r="O5" s="13">
        <f>IF(Envelopes!$E$5="Yes",N5,0)</f>
        <v/>
      </c>
      <c r="P5" s="13">
        <f>SUMPRODUCT((MONTH(Funding!$B$4:$B$29)=4)*Funding!F$4:F$29)</f>
        <v/>
      </c>
      <c r="Q5" s="13">
        <f>SUMPRODUCT((MONTH(Spending!$B$4:$B$278)=4)*(Spending!$E$4:$E$278="Utilities")*Spending!$D$4:$D$278)</f>
        <v/>
      </c>
      <c r="R5" s="13">
        <f>O5+P5-Q5</f>
        <v/>
      </c>
      <c r="S5" s="13">
        <f>IF(Envelopes!$E$5="Yes",R5,0)</f>
        <v/>
      </c>
      <c r="T5" s="13">
        <f>SUMPRODUCT((MONTH(Funding!$B$4:$B$29)=5)*Funding!F$4:F$29)</f>
        <v/>
      </c>
      <c r="U5" s="13">
        <f>SUMPRODUCT((MONTH(Spending!$B$4:$B$278)=5)*(Spending!$E$4:$E$278="Utilities")*Spending!$D$4:$D$278)</f>
        <v/>
      </c>
      <c r="V5" s="13">
        <f>S5+T5-U5</f>
        <v/>
      </c>
      <c r="W5" s="13">
        <f>IF(Envelopes!$E$5="Yes",V5,0)</f>
        <v/>
      </c>
      <c r="X5" s="13">
        <f>SUMPRODUCT((MONTH(Funding!$B$4:$B$29)=6)*Funding!F$4:F$29)</f>
        <v/>
      </c>
      <c r="Y5" s="13">
        <f>SUMPRODUCT((MONTH(Spending!$B$4:$B$278)=6)*(Spending!$E$4:$E$278="Utilities")*Spending!$D$4:$D$278)</f>
        <v/>
      </c>
      <c r="Z5" s="13">
        <f>W5+X5-Y5</f>
        <v/>
      </c>
      <c r="AA5" s="13">
        <f>IF(Envelopes!$E$5="Yes",Z5,0)</f>
        <v/>
      </c>
      <c r="AB5" s="13">
        <f>SUMPRODUCT((MONTH(Funding!$B$4:$B$29)=7)*Funding!F$4:F$29)</f>
        <v/>
      </c>
      <c r="AC5" s="13">
        <f>SUMPRODUCT((MONTH(Spending!$B$4:$B$278)=7)*(Spending!$E$4:$E$278="Utilities")*Spending!$D$4:$D$278)</f>
        <v/>
      </c>
      <c r="AD5" s="13">
        <f>AA5+AB5-AC5</f>
        <v/>
      </c>
      <c r="AE5" s="13">
        <f>IF(Envelopes!$E$5="Yes",AD5,0)</f>
        <v/>
      </c>
      <c r="AF5" s="13">
        <f>SUMPRODUCT((MONTH(Funding!$B$4:$B$29)=8)*Funding!F$4:F$29)</f>
        <v/>
      </c>
      <c r="AG5" s="13">
        <f>SUMPRODUCT((MONTH(Spending!$B$4:$B$278)=8)*(Spending!$E$4:$E$278="Utilities")*Spending!$D$4:$D$278)</f>
        <v/>
      </c>
      <c r="AH5" s="13">
        <f>AE5+AF5-AG5</f>
        <v/>
      </c>
      <c r="AI5" s="13">
        <f>IF(Envelopes!$E$5="Yes",AH5,0)</f>
        <v/>
      </c>
      <c r="AJ5" s="13">
        <f>SUMPRODUCT((MONTH(Funding!$B$4:$B$29)=9)*Funding!F$4:F$29)</f>
        <v/>
      </c>
      <c r="AK5" s="13">
        <f>SUMPRODUCT((MONTH(Spending!$B$4:$B$278)=9)*(Spending!$E$4:$E$278="Utilities")*Spending!$D$4:$D$278)</f>
        <v/>
      </c>
      <c r="AL5" s="13">
        <f>AI5+AJ5-AK5</f>
        <v/>
      </c>
      <c r="AM5" s="13">
        <f>IF(Envelopes!$E$5="Yes",AL5,0)</f>
        <v/>
      </c>
      <c r="AN5" s="13">
        <f>SUMPRODUCT((MONTH(Funding!$B$4:$B$29)=10)*Funding!F$4:F$29)</f>
        <v/>
      </c>
      <c r="AO5" s="13">
        <f>SUMPRODUCT((MONTH(Spending!$B$4:$B$278)=10)*(Spending!$E$4:$E$278="Utilities")*Spending!$D$4:$D$278)</f>
        <v/>
      </c>
      <c r="AP5" s="13">
        <f>AM5+AN5-AO5</f>
        <v/>
      </c>
      <c r="AQ5" s="13">
        <f>IF(Envelopes!$E$5="Yes",AP5,0)</f>
        <v/>
      </c>
      <c r="AR5" s="13">
        <f>SUMPRODUCT((MONTH(Funding!$B$4:$B$29)=11)*Funding!F$4:F$29)</f>
        <v/>
      </c>
      <c r="AS5" s="13">
        <f>SUMPRODUCT((MONTH(Spending!$B$4:$B$278)=11)*(Spending!$E$4:$E$278="Utilities")*Spending!$D$4:$D$278)</f>
        <v/>
      </c>
      <c r="AT5" s="13">
        <f>AQ5+AR5-AS5</f>
        <v/>
      </c>
      <c r="AU5" s="13">
        <f>IF(Envelopes!$E$5="Yes",AT5,0)</f>
        <v/>
      </c>
      <c r="AV5" s="13">
        <f>SUMPRODUCT((MONTH(Funding!$B$4:$B$29)=12)*Funding!F$4:F$29)</f>
        <v/>
      </c>
      <c r="AW5" s="13">
        <f>SUMPRODUCT((MONTH(Spending!$B$4:$B$278)=12)*(Spending!$E$4:$E$278="Utilities")*Spending!$D$4:$D$278)</f>
        <v/>
      </c>
      <c r="AX5" s="13">
        <f>AU5+AV5-AW5</f>
        <v/>
      </c>
    </row>
    <row r="6">
      <c r="B6" s="4" t="inlineStr">
        <is>
          <t>Groceries</t>
        </is>
      </c>
      <c r="C6" s="13" t="n">
        <v>0</v>
      </c>
      <c r="D6" s="13">
        <f>SUMPRODUCT((MONTH(Funding!$B$4:$B$29)=1)*Funding!G$4:G$29)</f>
        <v/>
      </c>
      <c r="E6" s="13">
        <f>SUMPRODUCT((MONTH(Spending!$B$4:$B$278)=1)*(Spending!$E$4:$E$278="Groceries")*Spending!$D$4:$D$278)</f>
        <v/>
      </c>
      <c r="F6" s="13">
        <f>C6+D6-E6</f>
        <v/>
      </c>
      <c r="G6" s="13">
        <f>IF(Envelopes!$E$6="Yes",F6,0)</f>
        <v/>
      </c>
      <c r="H6" s="13">
        <f>SUMPRODUCT((MONTH(Funding!$B$4:$B$29)=2)*Funding!G$4:G$29)</f>
        <v/>
      </c>
      <c r="I6" s="13">
        <f>SUMPRODUCT((MONTH(Spending!$B$4:$B$278)=2)*(Spending!$E$4:$E$278="Groceries")*Spending!$D$4:$D$278)</f>
        <v/>
      </c>
      <c r="J6" s="13">
        <f>G6+H6-I6</f>
        <v/>
      </c>
      <c r="K6" s="13">
        <f>IF(Envelopes!$E$6="Yes",J6,0)</f>
        <v/>
      </c>
      <c r="L6" s="13">
        <f>SUMPRODUCT((MONTH(Funding!$B$4:$B$29)=3)*Funding!G$4:G$29)</f>
        <v/>
      </c>
      <c r="M6" s="13">
        <f>SUMPRODUCT((MONTH(Spending!$B$4:$B$278)=3)*(Spending!$E$4:$E$278="Groceries")*Spending!$D$4:$D$278)</f>
        <v/>
      </c>
      <c r="N6" s="13">
        <f>K6+L6-M6</f>
        <v/>
      </c>
      <c r="O6" s="13">
        <f>IF(Envelopes!$E$6="Yes",N6,0)</f>
        <v/>
      </c>
      <c r="P6" s="13">
        <f>SUMPRODUCT((MONTH(Funding!$B$4:$B$29)=4)*Funding!G$4:G$29)</f>
        <v/>
      </c>
      <c r="Q6" s="13">
        <f>SUMPRODUCT((MONTH(Spending!$B$4:$B$278)=4)*(Spending!$E$4:$E$278="Groceries")*Spending!$D$4:$D$278)</f>
        <v/>
      </c>
      <c r="R6" s="13">
        <f>O6+P6-Q6</f>
        <v/>
      </c>
      <c r="S6" s="13">
        <f>IF(Envelopes!$E$6="Yes",R6,0)</f>
        <v/>
      </c>
      <c r="T6" s="13">
        <f>SUMPRODUCT((MONTH(Funding!$B$4:$B$29)=5)*Funding!G$4:G$29)</f>
        <v/>
      </c>
      <c r="U6" s="13">
        <f>SUMPRODUCT((MONTH(Spending!$B$4:$B$278)=5)*(Spending!$E$4:$E$278="Groceries")*Spending!$D$4:$D$278)</f>
        <v/>
      </c>
      <c r="V6" s="13">
        <f>S6+T6-U6</f>
        <v/>
      </c>
      <c r="W6" s="13">
        <f>IF(Envelopes!$E$6="Yes",V6,0)</f>
        <v/>
      </c>
      <c r="X6" s="13">
        <f>SUMPRODUCT((MONTH(Funding!$B$4:$B$29)=6)*Funding!G$4:G$29)</f>
        <v/>
      </c>
      <c r="Y6" s="13">
        <f>SUMPRODUCT((MONTH(Spending!$B$4:$B$278)=6)*(Spending!$E$4:$E$278="Groceries")*Spending!$D$4:$D$278)</f>
        <v/>
      </c>
      <c r="Z6" s="13">
        <f>W6+X6-Y6</f>
        <v/>
      </c>
      <c r="AA6" s="13">
        <f>IF(Envelopes!$E$6="Yes",Z6,0)</f>
        <v/>
      </c>
      <c r="AB6" s="13">
        <f>SUMPRODUCT((MONTH(Funding!$B$4:$B$29)=7)*Funding!G$4:G$29)</f>
        <v/>
      </c>
      <c r="AC6" s="13">
        <f>SUMPRODUCT((MONTH(Spending!$B$4:$B$278)=7)*(Spending!$E$4:$E$278="Groceries")*Spending!$D$4:$D$278)</f>
        <v/>
      </c>
      <c r="AD6" s="13">
        <f>AA6+AB6-AC6</f>
        <v/>
      </c>
      <c r="AE6" s="13">
        <f>IF(Envelopes!$E$6="Yes",AD6,0)</f>
        <v/>
      </c>
      <c r="AF6" s="13">
        <f>SUMPRODUCT((MONTH(Funding!$B$4:$B$29)=8)*Funding!G$4:G$29)</f>
        <v/>
      </c>
      <c r="AG6" s="13">
        <f>SUMPRODUCT((MONTH(Spending!$B$4:$B$278)=8)*(Spending!$E$4:$E$278="Groceries")*Spending!$D$4:$D$278)</f>
        <v/>
      </c>
      <c r="AH6" s="13">
        <f>AE6+AF6-AG6</f>
        <v/>
      </c>
      <c r="AI6" s="13">
        <f>IF(Envelopes!$E$6="Yes",AH6,0)</f>
        <v/>
      </c>
      <c r="AJ6" s="13">
        <f>SUMPRODUCT((MONTH(Funding!$B$4:$B$29)=9)*Funding!G$4:G$29)</f>
        <v/>
      </c>
      <c r="AK6" s="13">
        <f>SUMPRODUCT((MONTH(Spending!$B$4:$B$278)=9)*(Spending!$E$4:$E$278="Groceries")*Spending!$D$4:$D$278)</f>
        <v/>
      </c>
      <c r="AL6" s="13">
        <f>AI6+AJ6-AK6</f>
        <v/>
      </c>
      <c r="AM6" s="13">
        <f>IF(Envelopes!$E$6="Yes",AL6,0)</f>
        <v/>
      </c>
      <c r="AN6" s="13">
        <f>SUMPRODUCT((MONTH(Funding!$B$4:$B$29)=10)*Funding!G$4:G$29)</f>
        <v/>
      </c>
      <c r="AO6" s="13">
        <f>SUMPRODUCT((MONTH(Spending!$B$4:$B$278)=10)*(Spending!$E$4:$E$278="Groceries")*Spending!$D$4:$D$278)</f>
        <v/>
      </c>
      <c r="AP6" s="13">
        <f>AM6+AN6-AO6</f>
        <v/>
      </c>
      <c r="AQ6" s="13">
        <f>IF(Envelopes!$E$6="Yes",AP6,0)</f>
        <v/>
      </c>
      <c r="AR6" s="13">
        <f>SUMPRODUCT((MONTH(Funding!$B$4:$B$29)=11)*Funding!G$4:G$29)</f>
        <v/>
      </c>
      <c r="AS6" s="13">
        <f>SUMPRODUCT((MONTH(Spending!$B$4:$B$278)=11)*(Spending!$E$4:$E$278="Groceries")*Spending!$D$4:$D$278)</f>
        <v/>
      </c>
      <c r="AT6" s="13">
        <f>AQ6+AR6-AS6</f>
        <v/>
      </c>
      <c r="AU6" s="13">
        <f>IF(Envelopes!$E$6="Yes",AT6,0)</f>
        <v/>
      </c>
      <c r="AV6" s="13">
        <f>SUMPRODUCT((MONTH(Funding!$B$4:$B$29)=12)*Funding!G$4:G$29)</f>
        <v/>
      </c>
      <c r="AW6" s="13">
        <f>SUMPRODUCT((MONTH(Spending!$B$4:$B$278)=12)*(Spending!$E$4:$E$278="Groceries")*Spending!$D$4:$D$278)</f>
        <v/>
      </c>
      <c r="AX6" s="13">
        <f>AU6+AV6-AW6</f>
        <v/>
      </c>
    </row>
    <row r="7">
      <c r="B7" s="4" t="inlineStr">
        <is>
          <t>Gas</t>
        </is>
      </c>
      <c r="C7" s="13" t="n">
        <v>0</v>
      </c>
      <c r="D7" s="13">
        <f>SUMPRODUCT((MONTH(Funding!$B$4:$B$29)=1)*Funding!H$4:H$29)</f>
        <v/>
      </c>
      <c r="E7" s="13">
        <f>SUMPRODUCT((MONTH(Spending!$B$4:$B$278)=1)*(Spending!$E$4:$E$278="Gas")*Spending!$D$4:$D$278)</f>
        <v/>
      </c>
      <c r="F7" s="13">
        <f>C7+D7-E7</f>
        <v/>
      </c>
      <c r="G7" s="13">
        <f>IF(Envelopes!$E$7="Yes",F7,0)</f>
        <v/>
      </c>
      <c r="H7" s="13">
        <f>SUMPRODUCT((MONTH(Funding!$B$4:$B$29)=2)*Funding!H$4:H$29)</f>
        <v/>
      </c>
      <c r="I7" s="13">
        <f>SUMPRODUCT((MONTH(Spending!$B$4:$B$278)=2)*(Spending!$E$4:$E$278="Gas")*Spending!$D$4:$D$278)</f>
        <v/>
      </c>
      <c r="J7" s="13">
        <f>G7+H7-I7</f>
        <v/>
      </c>
      <c r="K7" s="13">
        <f>IF(Envelopes!$E$7="Yes",J7,0)</f>
        <v/>
      </c>
      <c r="L7" s="13">
        <f>SUMPRODUCT((MONTH(Funding!$B$4:$B$29)=3)*Funding!H$4:H$29)</f>
        <v/>
      </c>
      <c r="M7" s="13">
        <f>SUMPRODUCT((MONTH(Spending!$B$4:$B$278)=3)*(Spending!$E$4:$E$278="Gas")*Spending!$D$4:$D$278)</f>
        <v/>
      </c>
      <c r="N7" s="13">
        <f>K7+L7-M7</f>
        <v/>
      </c>
      <c r="O7" s="13">
        <f>IF(Envelopes!$E$7="Yes",N7,0)</f>
        <v/>
      </c>
      <c r="P7" s="13">
        <f>SUMPRODUCT((MONTH(Funding!$B$4:$B$29)=4)*Funding!H$4:H$29)</f>
        <v/>
      </c>
      <c r="Q7" s="13">
        <f>SUMPRODUCT((MONTH(Spending!$B$4:$B$278)=4)*(Spending!$E$4:$E$278="Gas")*Spending!$D$4:$D$278)</f>
        <v/>
      </c>
      <c r="R7" s="13">
        <f>O7+P7-Q7</f>
        <v/>
      </c>
      <c r="S7" s="13">
        <f>IF(Envelopes!$E$7="Yes",R7,0)</f>
        <v/>
      </c>
      <c r="T7" s="13">
        <f>SUMPRODUCT((MONTH(Funding!$B$4:$B$29)=5)*Funding!H$4:H$29)</f>
        <v/>
      </c>
      <c r="U7" s="13">
        <f>SUMPRODUCT((MONTH(Spending!$B$4:$B$278)=5)*(Spending!$E$4:$E$278="Gas")*Spending!$D$4:$D$278)</f>
        <v/>
      </c>
      <c r="V7" s="13">
        <f>S7+T7-U7</f>
        <v/>
      </c>
      <c r="W7" s="13">
        <f>IF(Envelopes!$E$7="Yes",V7,0)</f>
        <v/>
      </c>
      <c r="X7" s="13">
        <f>SUMPRODUCT((MONTH(Funding!$B$4:$B$29)=6)*Funding!H$4:H$29)</f>
        <v/>
      </c>
      <c r="Y7" s="13">
        <f>SUMPRODUCT((MONTH(Spending!$B$4:$B$278)=6)*(Spending!$E$4:$E$278="Gas")*Spending!$D$4:$D$278)</f>
        <v/>
      </c>
      <c r="Z7" s="13">
        <f>W7+X7-Y7</f>
        <v/>
      </c>
      <c r="AA7" s="13">
        <f>IF(Envelopes!$E$7="Yes",Z7,0)</f>
        <v/>
      </c>
      <c r="AB7" s="13">
        <f>SUMPRODUCT((MONTH(Funding!$B$4:$B$29)=7)*Funding!H$4:H$29)</f>
        <v/>
      </c>
      <c r="AC7" s="13">
        <f>SUMPRODUCT((MONTH(Spending!$B$4:$B$278)=7)*(Spending!$E$4:$E$278="Gas")*Spending!$D$4:$D$278)</f>
        <v/>
      </c>
      <c r="AD7" s="13">
        <f>AA7+AB7-AC7</f>
        <v/>
      </c>
      <c r="AE7" s="13">
        <f>IF(Envelopes!$E$7="Yes",AD7,0)</f>
        <v/>
      </c>
      <c r="AF7" s="13">
        <f>SUMPRODUCT((MONTH(Funding!$B$4:$B$29)=8)*Funding!H$4:H$29)</f>
        <v/>
      </c>
      <c r="AG7" s="13">
        <f>SUMPRODUCT((MONTH(Spending!$B$4:$B$278)=8)*(Spending!$E$4:$E$278="Gas")*Spending!$D$4:$D$278)</f>
        <v/>
      </c>
      <c r="AH7" s="13">
        <f>AE7+AF7-AG7</f>
        <v/>
      </c>
      <c r="AI7" s="13">
        <f>IF(Envelopes!$E$7="Yes",AH7,0)</f>
        <v/>
      </c>
      <c r="AJ7" s="13">
        <f>SUMPRODUCT((MONTH(Funding!$B$4:$B$29)=9)*Funding!H$4:H$29)</f>
        <v/>
      </c>
      <c r="AK7" s="13">
        <f>SUMPRODUCT((MONTH(Spending!$B$4:$B$278)=9)*(Spending!$E$4:$E$278="Gas")*Spending!$D$4:$D$278)</f>
        <v/>
      </c>
      <c r="AL7" s="13">
        <f>AI7+AJ7-AK7</f>
        <v/>
      </c>
      <c r="AM7" s="13">
        <f>IF(Envelopes!$E$7="Yes",AL7,0)</f>
        <v/>
      </c>
      <c r="AN7" s="13">
        <f>SUMPRODUCT((MONTH(Funding!$B$4:$B$29)=10)*Funding!H$4:H$29)</f>
        <v/>
      </c>
      <c r="AO7" s="13">
        <f>SUMPRODUCT((MONTH(Spending!$B$4:$B$278)=10)*(Spending!$E$4:$E$278="Gas")*Spending!$D$4:$D$278)</f>
        <v/>
      </c>
      <c r="AP7" s="13">
        <f>AM7+AN7-AO7</f>
        <v/>
      </c>
      <c r="AQ7" s="13">
        <f>IF(Envelopes!$E$7="Yes",AP7,0)</f>
        <v/>
      </c>
      <c r="AR7" s="13">
        <f>SUMPRODUCT((MONTH(Funding!$B$4:$B$29)=11)*Funding!H$4:H$29)</f>
        <v/>
      </c>
      <c r="AS7" s="13">
        <f>SUMPRODUCT((MONTH(Spending!$B$4:$B$278)=11)*(Spending!$E$4:$E$278="Gas")*Spending!$D$4:$D$278)</f>
        <v/>
      </c>
      <c r="AT7" s="13">
        <f>AQ7+AR7-AS7</f>
        <v/>
      </c>
      <c r="AU7" s="13">
        <f>IF(Envelopes!$E$7="Yes",AT7,0)</f>
        <v/>
      </c>
      <c r="AV7" s="13">
        <f>SUMPRODUCT((MONTH(Funding!$B$4:$B$29)=12)*Funding!H$4:H$29)</f>
        <v/>
      </c>
      <c r="AW7" s="13">
        <f>SUMPRODUCT((MONTH(Spending!$B$4:$B$278)=12)*(Spending!$E$4:$E$278="Gas")*Spending!$D$4:$D$278)</f>
        <v/>
      </c>
      <c r="AX7" s="13">
        <f>AU7+AV7-AW7</f>
        <v/>
      </c>
    </row>
    <row r="8">
      <c r="B8" s="4" t="inlineStr">
        <is>
          <t>Auto Insurance</t>
        </is>
      </c>
      <c r="C8" s="13" t="n">
        <v>0</v>
      </c>
      <c r="D8" s="13">
        <f>SUMPRODUCT((MONTH(Funding!$B$4:$B$29)=1)*Funding!I$4:I$29)</f>
        <v/>
      </c>
      <c r="E8" s="13">
        <f>SUMPRODUCT((MONTH(Spending!$B$4:$B$278)=1)*(Spending!$E$4:$E$278="Auto Insurance")*Spending!$D$4:$D$278)</f>
        <v/>
      </c>
      <c r="F8" s="13">
        <f>C8+D8-E8</f>
        <v/>
      </c>
      <c r="G8" s="13">
        <f>IF(Envelopes!$E$8="Yes",F8,0)</f>
        <v/>
      </c>
      <c r="H8" s="13">
        <f>SUMPRODUCT((MONTH(Funding!$B$4:$B$29)=2)*Funding!I$4:I$29)</f>
        <v/>
      </c>
      <c r="I8" s="13">
        <f>SUMPRODUCT((MONTH(Spending!$B$4:$B$278)=2)*(Spending!$E$4:$E$278="Auto Insurance")*Spending!$D$4:$D$278)</f>
        <v/>
      </c>
      <c r="J8" s="13">
        <f>G8+H8-I8</f>
        <v/>
      </c>
      <c r="K8" s="13">
        <f>IF(Envelopes!$E$8="Yes",J8,0)</f>
        <v/>
      </c>
      <c r="L8" s="13">
        <f>SUMPRODUCT((MONTH(Funding!$B$4:$B$29)=3)*Funding!I$4:I$29)</f>
        <v/>
      </c>
      <c r="M8" s="13">
        <f>SUMPRODUCT((MONTH(Spending!$B$4:$B$278)=3)*(Spending!$E$4:$E$278="Auto Insurance")*Spending!$D$4:$D$278)</f>
        <v/>
      </c>
      <c r="N8" s="13">
        <f>K8+L8-M8</f>
        <v/>
      </c>
      <c r="O8" s="13">
        <f>IF(Envelopes!$E$8="Yes",N8,0)</f>
        <v/>
      </c>
      <c r="P8" s="13">
        <f>SUMPRODUCT((MONTH(Funding!$B$4:$B$29)=4)*Funding!I$4:I$29)</f>
        <v/>
      </c>
      <c r="Q8" s="13">
        <f>SUMPRODUCT((MONTH(Spending!$B$4:$B$278)=4)*(Spending!$E$4:$E$278="Auto Insurance")*Spending!$D$4:$D$278)</f>
        <v/>
      </c>
      <c r="R8" s="13">
        <f>O8+P8-Q8</f>
        <v/>
      </c>
      <c r="S8" s="13">
        <f>IF(Envelopes!$E$8="Yes",R8,0)</f>
        <v/>
      </c>
      <c r="T8" s="13">
        <f>SUMPRODUCT((MONTH(Funding!$B$4:$B$29)=5)*Funding!I$4:I$29)</f>
        <v/>
      </c>
      <c r="U8" s="13">
        <f>SUMPRODUCT((MONTH(Spending!$B$4:$B$278)=5)*(Spending!$E$4:$E$278="Auto Insurance")*Spending!$D$4:$D$278)</f>
        <v/>
      </c>
      <c r="V8" s="13">
        <f>S8+T8-U8</f>
        <v/>
      </c>
      <c r="W8" s="13">
        <f>IF(Envelopes!$E$8="Yes",V8,0)</f>
        <v/>
      </c>
      <c r="X8" s="13">
        <f>SUMPRODUCT((MONTH(Funding!$B$4:$B$29)=6)*Funding!I$4:I$29)</f>
        <v/>
      </c>
      <c r="Y8" s="13">
        <f>SUMPRODUCT((MONTH(Spending!$B$4:$B$278)=6)*(Spending!$E$4:$E$278="Auto Insurance")*Spending!$D$4:$D$278)</f>
        <v/>
      </c>
      <c r="Z8" s="13">
        <f>W8+X8-Y8</f>
        <v/>
      </c>
      <c r="AA8" s="13">
        <f>IF(Envelopes!$E$8="Yes",Z8,0)</f>
        <v/>
      </c>
      <c r="AB8" s="13">
        <f>SUMPRODUCT((MONTH(Funding!$B$4:$B$29)=7)*Funding!I$4:I$29)</f>
        <v/>
      </c>
      <c r="AC8" s="13">
        <f>SUMPRODUCT((MONTH(Spending!$B$4:$B$278)=7)*(Spending!$E$4:$E$278="Auto Insurance")*Spending!$D$4:$D$278)</f>
        <v/>
      </c>
      <c r="AD8" s="13">
        <f>AA8+AB8-AC8</f>
        <v/>
      </c>
      <c r="AE8" s="13">
        <f>IF(Envelopes!$E$8="Yes",AD8,0)</f>
        <v/>
      </c>
      <c r="AF8" s="13">
        <f>SUMPRODUCT((MONTH(Funding!$B$4:$B$29)=8)*Funding!I$4:I$29)</f>
        <v/>
      </c>
      <c r="AG8" s="13">
        <f>SUMPRODUCT((MONTH(Spending!$B$4:$B$278)=8)*(Spending!$E$4:$E$278="Auto Insurance")*Spending!$D$4:$D$278)</f>
        <v/>
      </c>
      <c r="AH8" s="13">
        <f>AE8+AF8-AG8</f>
        <v/>
      </c>
      <c r="AI8" s="13">
        <f>IF(Envelopes!$E$8="Yes",AH8,0)</f>
        <v/>
      </c>
      <c r="AJ8" s="13">
        <f>SUMPRODUCT((MONTH(Funding!$B$4:$B$29)=9)*Funding!I$4:I$29)</f>
        <v/>
      </c>
      <c r="AK8" s="13">
        <f>SUMPRODUCT((MONTH(Spending!$B$4:$B$278)=9)*(Spending!$E$4:$E$278="Auto Insurance")*Spending!$D$4:$D$278)</f>
        <v/>
      </c>
      <c r="AL8" s="13">
        <f>AI8+AJ8-AK8</f>
        <v/>
      </c>
      <c r="AM8" s="13">
        <f>IF(Envelopes!$E$8="Yes",AL8,0)</f>
        <v/>
      </c>
      <c r="AN8" s="13">
        <f>SUMPRODUCT((MONTH(Funding!$B$4:$B$29)=10)*Funding!I$4:I$29)</f>
        <v/>
      </c>
      <c r="AO8" s="13">
        <f>SUMPRODUCT((MONTH(Spending!$B$4:$B$278)=10)*(Spending!$E$4:$E$278="Auto Insurance")*Spending!$D$4:$D$278)</f>
        <v/>
      </c>
      <c r="AP8" s="13">
        <f>AM8+AN8-AO8</f>
        <v/>
      </c>
      <c r="AQ8" s="13">
        <f>IF(Envelopes!$E$8="Yes",AP8,0)</f>
        <v/>
      </c>
      <c r="AR8" s="13">
        <f>SUMPRODUCT((MONTH(Funding!$B$4:$B$29)=11)*Funding!I$4:I$29)</f>
        <v/>
      </c>
      <c r="AS8" s="13">
        <f>SUMPRODUCT((MONTH(Spending!$B$4:$B$278)=11)*(Spending!$E$4:$E$278="Auto Insurance")*Spending!$D$4:$D$278)</f>
        <v/>
      </c>
      <c r="AT8" s="13">
        <f>AQ8+AR8-AS8</f>
        <v/>
      </c>
      <c r="AU8" s="13">
        <f>IF(Envelopes!$E$8="Yes",AT8,0)</f>
        <v/>
      </c>
      <c r="AV8" s="13">
        <f>SUMPRODUCT((MONTH(Funding!$B$4:$B$29)=12)*Funding!I$4:I$29)</f>
        <v/>
      </c>
      <c r="AW8" s="13">
        <f>SUMPRODUCT((MONTH(Spending!$B$4:$B$278)=12)*(Spending!$E$4:$E$278="Auto Insurance")*Spending!$D$4:$D$278)</f>
        <v/>
      </c>
      <c r="AX8" s="13">
        <f>AU8+AV8-AW8</f>
        <v/>
      </c>
    </row>
    <row r="9">
      <c r="B9" s="4" t="inlineStr">
        <is>
          <t>Phone</t>
        </is>
      </c>
      <c r="C9" s="13" t="n">
        <v>0</v>
      </c>
      <c r="D9" s="13">
        <f>SUMPRODUCT((MONTH(Funding!$B$4:$B$29)=1)*Funding!J$4:J$29)</f>
        <v/>
      </c>
      <c r="E9" s="13">
        <f>SUMPRODUCT((MONTH(Spending!$B$4:$B$278)=1)*(Spending!$E$4:$E$278="Phone")*Spending!$D$4:$D$278)</f>
        <v/>
      </c>
      <c r="F9" s="13">
        <f>C9+D9-E9</f>
        <v/>
      </c>
      <c r="G9" s="13">
        <f>IF(Envelopes!$E$9="Yes",F9,0)</f>
        <v/>
      </c>
      <c r="H9" s="13">
        <f>SUMPRODUCT((MONTH(Funding!$B$4:$B$29)=2)*Funding!J$4:J$29)</f>
        <v/>
      </c>
      <c r="I9" s="13">
        <f>SUMPRODUCT((MONTH(Spending!$B$4:$B$278)=2)*(Spending!$E$4:$E$278="Phone")*Spending!$D$4:$D$278)</f>
        <v/>
      </c>
      <c r="J9" s="13">
        <f>G9+H9-I9</f>
        <v/>
      </c>
      <c r="K9" s="13">
        <f>IF(Envelopes!$E$9="Yes",J9,0)</f>
        <v/>
      </c>
      <c r="L9" s="13">
        <f>SUMPRODUCT((MONTH(Funding!$B$4:$B$29)=3)*Funding!J$4:J$29)</f>
        <v/>
      </c>
      <c r="M9" s="13">
        <f>SUMPRODUCT((MONTH(Spending!$B$4:$B$278)=3)*(Spending!$E$4:$E$278="Phone")*Spending!$D$4:$D$278)</f>
        <v/>
      </c>
      <c r="N9" s="13">
        <f>K9+L9-M9</f>
        <v/>
      </c>
      <c r="O9" s="13">
        <f>IF(Envelopes!$E$9="Yes",N9,0)</f>
        <v/>
      </c>
      <c r="P9" s="13">
        <f>SUMPRODUCT((MONTH(Funding!$B$4:$B$29)=4)*Funding!J$4:J$29)</f>
        <v/>
      </c>
      <c r="Q9" s="13">
        <f>SUMPRODUCT((MONTH(Spending!$B$4:$B$278)=4)*(Spending!$E$4:$E$278="Phone")*Spending!$D$4:$D$278)</f>
        <v/>
      </c>
      <c r="R9" s="13">
        <f>O9+P9-Q9</f>
        <v/>
      </c>
      <c r="S9" s="13">
        <f>IF(Envelopes!$E$9="Yes",R9,0)</f>
        <v/>
      </c>
      <c r="T9" s="13">
        <f>SUMPRODUCT((MONTH(Funding!$B$4:$B$29)=5)*Funding!J$4:J$29)</f>
        <v/>
      </c>
      <c r="U9" s="13">
        <f>SUMPRODUCT((MONTH(Spending!$B$4:$B$278)=5)*(Spending!$E$4:$E$278="Phone")*Spending!$D$4:$D$278)</f>
        <v/>
      </c>
      <c r="V9" s="13">
        <f>S9+T9-U9</f>
        <v/>
      </c>
      <c r="W9" s="13">
        <f>IF(Envelopes!$E$9="Yes",V9,0)</f>
        <v/>
      </c>
      <c r="X9" s="13">
        <f>SUMPRODUCT((MONTH(Funding!$B$4:$B$29)=6)*Funding!J$4:J$29)</f>
        <v/>
      </c>
      <c r="Y9" s="13">
        <f>SUMPRODUCT((MONTH(Spending!$B$4:$B$278)=6)*(Spending!$E$4:$E$278="Phone")*Spending!$D$4:$D$278)</f>
        <v/>
      </c>
      <c r="Z9" s="13">
        <f>W9+X9-Y9</f>
        <v/>
      </c>
      <c r="AA9" s="13">
        <f>IF(Envelopes!$E$9="Yes",Z9,0)</f>
        <v/>
      </c>
      <c r="AB9" s="13">
        <f>SUMPRODUCT((MONTH(Funding!$B$4:$B$29)=7)*Funding!J$4:J$29)</f>
        <v/>
      </c>
      <c r="AC9" s="13">
        <f>SUMPRODUCT((MONTH(Spending!$B$4:$B$278)=7)*(Spending!$E$4:$E$278="Phone")*Spending!$D$4:$D$278)</f>
        <v/>
      </c>
      <c r="AD9" s="13">
        <f>AA9+AB9-AC9</f>
        <v/>
      </c>
      <c r="AE9" s="13">
        <f>IF(Envelopes!$E$9="Yes",AD9,0)</f>
        <v/>
      </c>
      <c r="AF9" s="13">
        <f>SUMPRODUCT((MONTH(Funding!$B$4:$B$29)=8)*Funding!J$4:J$29)</f>
        <v/>
      </c>
      <c r="AG9" s="13">
        <f>SUMPRODUCT((MONTH(Spending!$B$4:$B$278)=8)*(Spending!$E$4:$E$278="Phone")*Spending!$D$4:$D$278)</f>
        <v/>
      </c>
      <c r="AH9" s="13">
        <f>AE9+AF9-AG9</f>
        <v/>
      </c>
      <c r="AI9" s="13">
        <f>IF(Envelopes!$E$9="Yes",AH9,0)</f>
        <v/>
      </c>
      <c r="AJ9" s="13">
        <f>SUMPRODUCT((MONTH(Funding!$B$4:$B$29)=9)*Funding!J$4:J$29)</f>
        <v/>
      </c>
      <c r="AK9" s="13">
        <f>SUMPRODUCT((MONTH(Spending!$B$4:$B$278)=9)*(Spending!$E$4:$E$278="Phone")*Spending!$D$4:$D$278)</f>
        <v/>
      </c>
      <c r="AL9" s="13">
        <f>AI9+AJ9-AK9</f>
        <v/>
      </c>
      <c r="AM9" s="13">
        <f>IF(Envelopes!$E$9="Yes",AL9,0)</f>
        <v/>
      </c>
      <c r="AN9" s="13">
        <f>SUMPRODUCT((MONTH(Funding!$B$4:$B$29)=10)*Funding!J$4:J$29)</f>
        <v/>
      </c>
      <c r="AO9" s="13">
        <f>SUMPRODUCT((MONTH(Spending!$B$4:$B$278)=10)*(Spending!$E$4:$E$278="Phone")*Spending!$D$4:$D$278)</f>
        <v/>
      </c>
      <c r="AP9" s="13">
        <f>AM9+AN9-AO9</f>
        <v/>
      </c>
      <c r="AQ9" s="13">
        <f>IF(Envelopes!$E$9="Yes",AP9,0)</f>
        <v/>
      </c>
      <c r="AR9" s="13">
        <f>SUMPRODUCT((MONTH(Funding!$B$4:$B$29)=11)*Funding!J$4:J$29)</f>
        <v/>
      </c>
      <c r="AS9" s="13">
        <f>SUMPRODUCT((MONTH(Spending!$B$4:$B$278)=11)*(Spending!$E$4:$E$278="Phone")*Spending!$D$4:$D$278)</f>
        <v/>
      </c>
      <c r="AT9" s="13">
        <f>AQ9+AR9-AS9</f>
        <v/>
      </c>
      <c r="AU9" s="13">
        <f>IF(Envelopes!$E$9="Yes",AT9,0)</f>
        <v/>
      </c>
      <c r="AV9" s="13">
        <f>SUMPRODUCT((MONTH(Funding!$B$4:$B$29)=12)*Funding!J$4:J$29)</f>
        <v/>
      </c>
      <c r="AW9" s="13">
        <f>SUMPRODUCT((MONTH(Spending!$B$4:$B$278)=12)*(Spending!$E$4:$E$278="Phone")*Spending!$D$4:$D$278)</f>
        <v/>
      </c>
      <c r="AX9" s="13">
        <f>AU9+AV9-AW9</f>
        <v/>
      </c>
    </row>
    <row r="10">
      <c r="B10" s="4" t="inlineStr">
        <is>
          <t>Medical</t>
        </is>
      </c>
      <c r="C10" s="13" t="n">
        <v>0</v>
      </c>
      <c r="D10" s="13">
        <f>SUMPRODUCT((MONTH(Funding!$B$4:$B$29)=1)*Funding!K$4:K$29)</f>
        <v/>
      </c>
      <c r="E10" s="13">
        <f>SUMPRODUCT((MONTH(Spending!$B$4:$B$278)=1)*(Spending!$E$4:$E$278="Medical")*Spending!$D$4:$D$278)</f>
        <v/>
      </c>
      <c r="F10" s="13">
        <f>C10+D10-E10</f>
        <v/>
      </c>
      <c r="G10" s="13">
        <f>IF(Envelopes!$E$10="Yes",F10,0)</f>
        <v/>
      </c>
      <c r="H10" s="13">
        <f>SUMPRODUCT((MONTH(Funding!$B$4:$B$29)=2)*Funding!K$4:K$29)</f>
        <v/>
      </c>
      <c r="I10" s="13">
        <f>SUMPRODUCT((MONTH(Spending!$B$4:$B$278)=2)*(Spending!$E$4:$E$278="Medical")*Spending!$D$4:$D$278)</f>
        <v/>
      </c>
      <c r="J10" s="13">
        <f>G10+H10-I10</f>
        <v/>
      </c>
      <c r="K10" s="13">
        <f>IF(Envelopes!$E$10="Yes",J10,0)</f>
        <v/>
      </c>
      <c r="L10" s="13">
        <f>SUMPRODUCT((MONTH(Funding!$B$4:$B$29)=3)*Funding!K$4:K$29)</f>
        <v/>
      </c>
      <c r="M10" s="13">
        <f>SUMPRODUCT((MONTH(Spending!$B$4:$B$278)=3)*(Spending!$E$4:$E$278="Medical")*Spending!$D$4:$D$278)</f>
        <v/>
      </c>
      <c r="N10" s="13">
        <f>K10+L10-M10</f>
        <v/>
      </c>
      <c r="O10" s="13">
        <f>IF(Envelopes!$E$10="Yes",N10,0)</f>
        <v/>
      </c>
      <c r="P10" s="13">
        <f>SUMPRODUCT((MONTH(Funding!$B$4:$B$29)=4)*Funding!K$4:K$29)</f>
        <v/>
      </c>
      <c r="Q10" s="13">
        <f>SUMPRODUCT((MONTH(Spending!$B$4:$B$278)=4)*(Spending!$E$4:$E$278="Medical")*Spending!$D$4:$D$278)</f>
        <v/>
      </c>
      <c r="R10" s="13">
        <f>O10+P10-Q10</f>
        <v/>
      </c>
      <c r="S10" s="13">
        <f>IF(Envelopes!$E$10="Yes",R10,0)</f>
        <v/>
      </c>
      <c r="T10" s="13">
        <f>SUMPRODUCT((MONTH(Funding!$B$4:$B$29)=5)*Funding!K$4:K$29)</f>
        <v/>
      </c>
      <c r="U10" s="13">
        <f>SUMPRODUCT((MONTH(Spending!$B$4:$B$278)=5)*(Spending!$E$4:$E$278="Medical")*Spending!$D$4:$D$278)</f>
        <v/>
      </c>
      <c r="V10" s="13">
        <f>S10+T10-U10</f>
        <v/>
      </c>
      <c r="W10" s="13">
        <f>IF(Envelopes!$E$10="Yes",V10,0)</f>
        <v/>
      </c>
      <c r="X10" s="13">
        <f>SUMPRODUCT((MONTH(Funding!$B$4:$B$29)=6)*Funding!K$4:K$29)</f>
        <v/>
      </c>
      <c r="Y10" s="13">
        <f>SUMPRODUCT((MONTH(Spending!$B$4:$B$278)=6)*(Spending!$E$4:$E$278="Medical")*Spending!$D$4:$D$278)</f>
        <v/>
      </c>
      <c r="Z10" s="13">
        <f>W10+X10-Y10</f>
        <v/>
      </c>
      <c r="AA10" s="13">
        <f>IF(Envelopes!$E$10="Yes",Z10,0)</f>
        <v/>
      </c>
      <c r="AB10" s="13">
        <f>SUMPRODUCT((MONTH(Funding!$B$4:$B$29)=7)*Funding!K$4:K$29)</f>
        <v/>
      </c>
      <c r="AC10" s="13">
        <f>SUMPRODUCT((MONTH(Spending!$B$4:$B$278)=7)*(Spending!$E$4:$E$278="Medical")*Spending!$D$4:$D$278)</f>
        <v/>
      </c>
      <c r="AD10" s="13">
        <f>AA10+AB10-AC10</f>
        <v/>
      </c>
      <c r="AE10" s="13">
        <f>IF(Envelopes!$E$10="Yes",AD10,0)</f>
        <v/>
      </c>
      <c r="AF10" s="13">
        <f>SUMPRODUCT((MONTH(Funding!$B$4:$B$29)=8)*Funding!K$4:K$29)</f>
        <v/>
      </c>
      <c r="AG10" s="13">
        <f>SUMPRODUCT((MONTH(Spending!$B$4:$B$278)=8)*(Spending!$E$4:$E$278="Medical")*Spending!$D$4:$D$278)</f>
        <v/>
      </c>
      <c r="AH10" s="13">
        <f>AE10+AF10-AG10</f>
        <v/>
      </c>
      <c r="AI10" s="13">
        <f>IF(Envelopes!$E$10="Yes",AH10,0)</f>
        <v/>
      </c>
      <c r="AJ10" s="13">
        <f>SUMPRODUCT((MONTH(Funding!$B$4:$B$29)=9)*Funding!K$4:K$29)</f>
        <v/>
      </c>
      <c r="AK10" s="13">
        <f>SUMPRODUCT((MONTH(Spending!$B$4:$B$278)=9)*(Spending!$E$4:$E$278="Medical")*Spending!$D$4:$D$278)</f>
        <v/>
      </c>
      <c r="AL10" s="13">
        <f>AI10+AJ10-AK10</f>
        <v/>
      </c>
      <c r="AM10" s="13">
        <f>IF(Envelopes!$E$10="Yes",AL10,0)</f>
        <v/>
      </c>
      <c r="AN10" s="13">
        <f>SUMPRODUCT((MONTH(Funding!$B$4:$B$29)=10)*Funding!K$4:K$29)</f>
        <v/>
      </c>
      <c r="AO10" s="13">
        <f>SUMPRODUCT((MONTH(Spending!$B$4:$B$278)=10)*(Spending!$E$4:$E$278="Medical")*Spending!$D$4:$D$278)</f>
        <v/>
      </c>
      <c r="AP10" s="13">
        <f>AM10+AN10-AO10</f>
        <v/>
      </c>
      <c r="AQ10" s="13">
        <f>IF(Envelopes!$E$10="Yes",AP10,0)</f>
        <v/>
      </c>
      <c r="AR10" s="13">
        <f>SUMPRODUCT((MONTH(Funding!$B$4:$B$29)=11)*Funding!K$4:K$29)</f>
        <v/>
      </c>
      <c r="AS10" s="13">
        <f>SUMPRODUCT((MONTH(Spending!$B$4:$B$278)=11)*(Spending!$E$4:$E$278="Medical")*Spending!$D$4:$D$278)</f>
        <v/>
      </c>
      <c r="AT10" s="13">
        <f>AQ10+AR10-AS10</f>
        <v/>
      </c>
      <c r="AU10" s="13">
        <f>IF(Envelopes!$E$10="Yes",AT10,0)</f>
        <v/>
      </c>
      <c r="AV10" s="13">
        <f>SUMPRODUCT((MONTH(Funding!$B$4:$B$29)=12)*Funding!K$4:K$29)</f>
        <v/>
      </c>
      <c r="AW10" s="13">
        <f>SUMPRODUCT((MONTH(Spending!$B$4:$B$278)=12)*(Spending!$E$4:$E$278="Medical")*Spending!$D$4:$D$278)</f>
        <v/>
      </c>
      <c r="AX10" s="13">
        <f>AU10+AV10-AW10</f>
        <v/>
      </c>
    </row>
    <row r="11">
      <c r="B11" s="4" t="inlineStr">
        <is>
          <t>Dining Out</t>
        </is>
      </c>
      <c r="C11" s="13" t="n">
        <v>0</v>
      </c>
      <c r="D11" s="13">
        <f>SUMPRODUCT((MONTH(Funding!$B$4:$B$29)=1)*Funding!L$4:L$29)</f>
        <v/>
      </c>
      <c r="E11" s="13">
        <f>SUMPRODUCT((MONTH(Spending!$B$4:$B$278)=1)*(Spending!$E$4:$E$278="Dining Out")*Spending!$D$4:$D$278)</f>
        <v/>
      </c>
      <c r="F11" s="13">
        <f>C11+D11-E11</f>
        <v/>
      </c>
      <c r="G11" s="13">
        <f>IF(Envelopes!$E$11="Yes",F11,0)</f>
        <v/>
      </c>
      <c r="H11" s="13">
        <f>SUMPRODUCT((MONTH(Funding!$B$4:$B$29)=2)*Funding!L$4:L$29)</f>
        <v/>
      </c>
      <c r="I11" s="13">
        <f>SUMPRODUCT((MONTH(Spending!$B$4:$B$278)=2)*(Spending!$E$4:$E$278="Dining Out")*Spending!$D$4:$D$278)</f>
        <v/>
      </c>
      <c r="J11" s="13">
        <f>G11+H11-I11</f>
        <v/>
      </c>
      <c r="K11" s="13">
        <f>IF(Envelopes!$E$11="Yes",J11,0)</f>
        <v/>
      </c>
      <c r="L11" s="13">
        <f>SUMPRODUCT((MONTH(Funding!$B$4:$B$29)=3)*Funding!L$4:L$29)</f>
        <v/>
      </c>
      <c r="M11" s="13">
        <f>SUMPRODUCT((MONTH(Spending!$B$4:$B$278)=3)*(Spending!$E$4:$E$278="Dining Out")*Spending!$D$4:$D$278)</f>
        <v/>
      </c>
      <c r="N11" s="13">
        <f>K11+L11-M11</f>
        <v/>
      </c>
      <c r="O11" s="13">
        <f>IF(Envelopes!$E$11="Yes",N11,0)</f>
        <v/>
      </c>
      <c r="P11" s="13">
        <f>SUMPRODUCT((MONTH(Funding!$B$4:$B$29)=4)*Funding!L$4:L$29)</f>
        <v/>
      </c>
      <c r="Q11" s="13">
        <f>SUMPRODUCT((MONTH(Spending!$B$4:$B$278)=4)*(Spending!$E$4:$E$278="Dining Out")*Spending!$D$4:$D$278)</f>
        <v/>
      </c>
      <c r="R11" s="13">
        <f>O11+P11-Q11</f>
        <v/>
      </c>
      <c r="S11" s="13">
        <f>IF(Envelopes!$E$11="Yes",R11,0)</f>
        <v/>
      </c>
      <c r="T11" s="13">
        <f>SUMPRODUCT((MONTH(Funding!$B$4:$B$29)=5)*Funding!L$4:L$29)</f>
        <v/>
      </c>
      <c r="U11" s="13">
        <f>SUMPRODUCT((MONTH(Spending!$B$4:$B$278)=5)*(Spending!$E$4:$E$278="Dining Out")*Spending!$D$4:$D$278)</f>
        <v/>
      </c>
      <c r="V11" s="13">
        <f>S11+T11-U11</f>
        <v/>
      </c>
      <c r="W11" s="13">
        <f>IF(Envelopes!$E$11="Yes",V11,0)</f>
        <v/>
      </c>
      <c r="X11" s="13">
        <f>SUMPRODUCT((MONTH(Funding!$B$4:$B$29)=6)*Funding!L$4:L$29)</f>
        <v/>
      </c>
      <c r="Y11" s="13">
        <f>SUMPRODUCT((MONTH(Spending!$B$4:$B$278)=6)*(Spending!$E$4:$E$278="Dining Out")*Spending!$D$4:$D$278)</f>
        <v/>
      </c>
      <c r="Z11" s="13">
        <f>W11+X11-Y11</f>
        <v/>
      </c>
      <c r="AA11" s="13">
        <f>IF(Envelopes!$E$11="Yes",Z11,0)</f>
        <v/>
      </c>
      <c r="AB11" s="13">
        <f>SUMPRODUCT((MONTH(Funding!$B$4:$B$29)=7)*Funding!L$4:L$29)</f>
        <v/>
      </c>
      <c r="AC11" s="13">
        <f>SUMPRODUCT((MONTH(Spending!$B$4:$B$278)=7)*(Spending!$E$4:$E$278="Dining Out")*Spending!$D$4:$D$278)</f>
        <v/>
      </c>
      <c r="AD11" s="13">
        <f>AA11+AB11-AC11</f>
        <v/>
      </c>
      <c r="AE11" s="13">
        <f>IF(Envelopes!$E$11="Yes",AD11,0)</f>
        <v/>
      </c>
      <c r="AF11" s="13">
        <f>SUMPRODUCT((MONTH(Funding!$B$4:$B$29)=8)*Funding!L$4:L$29)</f>
        <v/>
      </c>
      <c r="AG11" s="13">
        <f>SUMPRODUCT((MONTH(Spending!$B$4:$B$278)=8)*(Spending!$E$4:$E$278="Dining Out")*Spending!$D$4:$D$278)</f>
        <v/>
      </c>
      <c r="AH11" s="13">
        <f>AE11+AF11-AG11</f>
        <v/>
      </c>
      <c r="AI11" s="13">
        <f>IF(Envelopes!$E$11="Yes",AH11,0)</f>
        <v/>
      </c>
      <c r="AJ11" s="13">
        <f>SUMPRODUCT((MONTH(Funding!$B$4:$B$29)=9)*Funding!L$4:L$29)</f>
        <v/>
      </c>
      <c r="AK11" s="13">
        <f>SUMPRODUCT((MONTH(Spending!$B$4:$B$278)=9)*(Spending!$E$4:$E$278="Dining Out")*Spending!$D$4:$D$278)</f>
        <v/>
      </c>
      <c r="AL11" s="13">
        <f>AI11+AJ11-AK11</f>
        <v/>
      </c>
      <c r="AM11" s="13">
        <f>IF(Envelopes!$E$11="Yes",AL11,0)</f>
        <v/>
      </c>
      <c r="AN11" s="13">
        <f>SUMPRODUCT((MONTH(Funding!$B$4:$B$29)=10)*Funding!L$4:L$29)</f>
        <v/>
      </c>
      <c r="AO11" s="13">
        <f>SUMPRODUCT((MONTH(Spending!$B$4:$B$278)=10)*(Spending!$E$4:$E$278="Dining Out")*Spending!$D$4:$D$278)</f>
        <v/>
      </c>
      <c r="AP11" s="13">
        <f>AM11+AN11-AO11</f>
        <v/>
      </c>
      <c r="AQ11" s="13">
        <f>IF(Envelopes!$E$11="Yes",AP11,0)</f>
        <v/>
      </c>
      <c r="AR11" s="13">
        <f>SUMPRODUCT((MONTH(Funding!$B$4:$B$29)=11)*Funding!L$4:L$29)</f>
        <v/>
      </c>
      <c r="AS11" s="13">
        <f>SUMPRODUCT((MONTH(Spending!$B$4:$B$278)=11)*(Spending!$E$4:$E$278="Dining Out")*Spending!$D$4:$D$278)</f>
        <v/>
      </c>
      <c r="AT11" s="13">
        <f>AQ11+AR11-AS11</f>
        <v/>
      </c>
      <c r="AU11" s="13">
        <f>IF(Envelopes!$E$11="Yes",AT11,0)</f>
        <v/>
      </c>
      <c r="AV11" s="13">
        <f>SUMPRODUCT((MONTH(Funding!$B$4:$B$29)=12)*Funding!L$4:L$29)</f>
        <v/>
      </c>
      <c r="AW11" s="13">
        <f>SUMPRODUCT((MONTH(Spending!$B$4:$B$278)=12)*(Spending!$E$4:$E$278="Dining Out")*Spending!$D$4:$D$278)</f>
        <v/>
      </c>
      <c r="AX11" s="13">
        <f>AU11+AV11-AW11</f>
        <v/>
      </c>
    </row>
    <row r="12">
      <c r="B12" s="4" t="inlineStr">
        <is>
          <t>Coffee</t>
        </is>
      </c>
      <c r="C12" s="13" t="n">
        <v>0</v>
      </c>
      <c r="D12" s="13">
        <f>SUMPRODUCT((MONTH(Funding!$B$4:$B$29)=1)*Funding!M$4:M$29)</f>
        <v/>
      </c>
      <c r="E12" s="13">
        <f>SUMPRODUCT((MONTH(Spending!$B$4:$B$278)=1)*(Spending!$E$4:$E$278="Coffee")*Spending!$D$4:$D$278)</f>
        <v/>
      </c>
      <c r="F12" s="13">
        <f>C12+D12-E12</f>
        <v/>
      </c>
      <c r="G12" s="13">
        <f>IF(Envelopes!$E$12="Yes",F12,0)</f>
        <v/>
      </c>
      <c r="H12" s="13">
        <f>SUMPRODUCT((MONTH(Funding!$B$4:$B$29)=2)*Funding!M$4:M$29)</f>
        <v/>
      </c>
      <c r="I12" s="13">
        <f>SUMPRODUCT((MONTH(Spending!$B$4:$B$278)=2)*(Spending!$E$4:$E$278="Coffee")*Spending!$D$4:$D$278)</f>
        <v/>
      </c>
      <c r="J12" s="13">
        <f>G12+H12-I12</f>
        <v/>
      </c>
      <c r="K12" s="13">
        <f>IF(Envelopes!$E$12="Yes",J12,0)</f>
        <v/>
      </c>
      <c r="L12" s="13">
        <f>SUMPRODUCT((MONTH(Funding!$B$4:$B$29)=3)*Funding!M$4:M$29)</f>
        <v/>
      </c>
      <c r="M12" s="13">
        <f>SUMPRODUCT((MONTH(Spending!$B$4:$B$278)=3)*(Spending!$E$4:$E$278="Coffee")*Spending!$D$4:$D$278)</f>
        <v/>
      </c>
      <c r="N12" s="13">
        <f>K12+L12-M12</f>
        <v/>
      </c>
      <c r="O12" s="13">
        <f>IF(Envelopes!$E$12="Yes",N12,0)</f>
        <v/>
      </c>
      <c r="P12" s="13">
        <f>SUMPRODUCT((MONTH(Funding!$B$4:$B$29)=4)*Funding!M$4:M$29)</f>
        <v/>
      </c>
      <c r="Q12" s="13">
        <f>SUMPRODUCT((MONTH(Spending!$B$4:$B$278)=4)*(Spending!$E$4:$E$278="Coffee")*Spending!$D$4:$D$278)</f>
        <v/>
      </c>
      <c r="R12" s="13">
        <f>O12+P12-Q12</f>
        <v/>
      </c>
      <c r="S12" s="13">
        <f>IF(Envelopes!$E$12="Yes",R12,0)</f>
        <v/>
      </c>
      <c r="T12" s="13">
        <f>SUMPRODUCT((MONTH(Funding!$B$4:$B$29)=5)*Funding!M$4:M$29)</f>
        <v/>
      </c>
      <c r="U12" s="13">
        <f>SUMPRODUCT((MONTH(Spending!$B$4:$B$278)=5)*(Spending!$E$4:$E$278="Coffee")*Spending!$D$4:$D$278)</f>
        <v/>
      </c>
      <c r="V12" s="13">
        <f>S12+T12-U12</f>
        <v/>
      </c>
      <c r="W12" s="13">
        <f>IF(Envelopes!$E$12="Yes",V12,0)</f>
        <v/>
      </c>
      <c r="X12" s="13">
        <f>SUMPRODUCT((MONTH(Funding!$B$4:$B$29)=6)*Funding!M$4:M$29)</f>
        <v/>
      </c>
      <c r="Y12" s="13">
        <f>SUMPRODUCT((MONTH(Spending!$B$4:$B$278)=6)*(Spending!$E$4:$E$278="Coffee")*Spending!$D$4:$D$278)</f>
        <v/>
      </c>
      <c r="Z12" s="13">
        <f>W12+X12-Y12</f>
        <v/>
      </c>
      <c r="AA12" s="13">
        <f>IF(Envelopes!$E$12="Yes",Z12,0)</f>
        <v/>
      </c>
      <c r="AB12" s="13">
        <f>SUMPRODUCT((MONTH(Funding!$B$4:$B$29)=7)*Funding!M$4:M$29)</f>
        <v/>
      </c>
      <c r="AC12" s="13">
        <f>SUMPRODUCT((MONTH(Spending!$B$4:$B$278)=7)*(Spending!$E$4:$E$278="Coffee")*Spending!$D$4:$D$278)</f>
        <v/>
      </c>
      <c r="AD12" s="13">
        <f>AA12+AB12-AC12</f>
        <v/>
      </c>
      <c r="AE12" s="13">
        <f>IF(Envelopes!$E$12="Yes",AD12,0)</f>
        <v/>
      </c>
      <c r="AF12" s="13">
        <f>SUMPRODUCT((MONTH(Funding!$B$4:$B$29)=8)*Funding!M$4:M$29)</f>
        <v/>
      </c>
      <c r="AG12" s="13">
        <f>SUMPRODUCT((MONTH(Spending!$B$4:$B$278)=8)*(Spending!$E$4:$E$278="Coffee")*Spending!$D$4:$D$278)</f>
        <v/>
      </c>
      <c r="AH12" s="13">
        <f>AE12+AF12-AG12</f>
        <v/>
      </c>
      <c r="AI12" s="13">
        <f>IF(Envelopes!$E$12="Yes",AH12,0)</f>
        <v/>
      </c>
      <c r="AJ12" s="13">
        <f>SUMPRODUCT((MONTH(Funding!$B$4:$B$29)=9)*Funding!M$4:M$29)</f>
        <v/>
      </c>
      <c r="AK12" s="13">
        <f>SUMPRODUCT((MONTH(Spending!$B$4:$B$278)=9)*(Spending!$E$4:$E$278="Coffee")*Spending!$D$4:$D$278)</f>
        <v/>
      </c>
      <c r="AL12" s="13">
        <f>AI12+AJ12-AK12</f>
        <v/>
      </c>
      <c r="AM12" s="13">
        <f>IF(Envelopes!$E$12="Yes",AL12,0)</f>
        <v/>
      </c>
      <c r="AN12" s="13">
        <f>SUMPRODUCT((MONTH(Funding!$B$4:$B$29)=10)*Funding!M$4:M$29)</f>
        <v/>
      </c>
      <c r="AO12" s="13">
        <f>SUMPRODUCT((MONTH(Spending!$B$4:$B$278)=10)*(Spending!$E$4:$E$278="Coffee")*Spending!$D$4:$D$278)</f>
        <v/>
      </c>
      <c r="AP12" s="13">
        <f>AM12+AN12-AO12</f>
        <v/>
      </c>
      <c r="AQ12" s="13">
        <f>IF(Envelopes!$E$12="Yes",AP12,0)</f>
        <v/>
      </c>
      <c r="AR12" s="13">
        <f>SUMPRODUCT((MONTH(Funding!$B$4:$B$29)=11)*Funding!M$4:M$29)</f>
        <v/>
      </c>
      <c r="AS12" s="13">
        <f>SUMPRODUCT((MONTH(Spending!$B$4:$B$278)=11)*(Spending!$E$4:$E$278="Coffee")*Spending!$D$4:$D$278)</f>
        <v/>
      </c>
      <c r="AT12" s="13">
        <f>AQ12+AR12-AS12</f>
        <v/>
      </c>
      <c r="AU12" s="13">
        <f>IF(Envelopes!$E$12="Yes",AT12,0)</f>
        <v/>
      </c>
      <c r="AV12" s="13">
        <f>SUMPRODUCT((MONTH(Funding!$B$4:$B$29)=12)*Funding!M$4:M$29)</f>
        <v/>
      </c>
      <c r="AW12" s="13">
        <f>SUMPRODUCT((MONTH(Spending!$B$4:$B$278)=12)*(Spending!$E$4:$E$278="Coffee")*Spending!$D$4:$D$278)</f>
        <v/>
      </c>
      <c r="AX12" s="13">
        <f>AU12+AV12-AW12</f>
        <v/>
      </c>
    </row>
    <row r="13">
      <c r="B13" s="4" t="inlineStr">
        <is>
          <t>Entertainment</t>
        </is>
      </c>
      <c r="C13" s="13" t="n">
        <v>0</v>
      </c>
      <c r="D13" s="13">
        <f>SUMPRODUCT((MONTH(Funding!$B$4:$B$29)=1)*Funding!N$4:N$29)</f>
        <v/>
      </c>
      <c r="E13" s="13">
        <f>SUMPRODUCT((MONTH(Spending!$B$4:$B$278)=1)*(Spending!$E$4:$E$278="Entertainment")*Spending!$D$4:$D$278)</f>
        <v/>
      </c>
      <c r="F13" s="13">
        <f>C13+D13-E13</f>
        <v/>
      </c>
      <c r="G13" s="13">
        <f>IF(Envelopes!$E$13="Yes",F13,0)</f>
        <v/>
      </c>
      <c r="H13" s="13">
        <f>SUMPRODUCT((MONTH(Funding!$B$4:$B$29)=2)*Funding!N$4:N$29)</f>
        <v/>
      </c>
      <c r="I13" s="13">
        <f>SUMPRODUCT((MONTH(Spending!$B$4:$B$278)=2)*(Spending!$E$4:$E$278="Entertainment")*Spending!$D$4:$D$278)</f>
        <v/>
      </c>
      <c r="J13" s="13">
        <f>G13+H13-I13</f>
        <v/>
      </c>
      <c r="K13" s="13">
        <f>IF(Envelopes!$E$13="Yes",J13,0)</f>
        <v/>
      </c>
      <c r="L13" s="13">
        <f>SUMPRODUCT((MONTH(Funding!$B$4:$B$29)=3)*Funding!N$4:N$29)</f>
        <v/>
      </c>
      <c r="M13" s="13">
        <f>SUMPRODUCT((MONTH(Spending!$B$4:$B$278)=3)*(Spending!$E$4:$E$278="Entertainment")*Spending!$D$4:$D$278)</f>
        <v/>
      </c>
      <c r="N13" s="13">
        <f>K13+L13-M13</f>
        <v/>
      </c>
      <c r="O13" s="13">
        <f>IF(Envelopes!$E$13="Yes",N13,0)</f>
        <v/>
      </c>
      <c r="P13" s="13">
        <f>SUMPRODUCT((MONTH(Funding!$B$4:$B$29)=4)*Funding!N$4:N$29)</f>
        <v/>
      </c>
      <c r="Q13" s="13">
        <f>SUMPRODUCT((MONTH(Spending!$B$4:$B$278)=4)*(Spending!$E$4:$E$278="Entertainment")*Spending!$D$4:$D$278)</f>
        <v/>
      </c>
      <c r="R13" s="13">
        <f>O13+P13-Q13</f>
        <v/>
      </c>
      <c r="S13" s="13">
        <f>IF(Envelopes!$E$13="Yes",R13,0)</f>
        <v/>
      </c>
      <c r="T13" s="13">
        <f>SUMPRODUCT((MONTH(Funding!$B$4:$B$29)=5)*Funding!N$4:N$29)</f>
        <v/>
      </c>
      <c r="U13" s="13">
        <f>SUMPRODUCT((MONTH(Spending!$B$4:$B$278)=5)*(Spending!$E$4:$E$278="Entertainment")*Spending!$D$4:$D$278)</f>
        <v/>
      </c>
      <c r="V13" s="13">
        <f>S13+T13-U13</f>
        <v/>
      </c>
      <c r="W13" s="13">
        <f>IF(Envelopes!$E$13="Yes",V13,0)</f>
        <v/>
      </c>
      <c r="X13" s="13">
        <f>SUMPRODUCT((MONTH(Funding!$B$4:$B$29)=6)*Funding!N$4:N$29)</f>
        <v/>
      </c>
      <c r="Y13" s="13">
        <f>SUMPRODUCT((MONTH(Spending!$B$4:$B$278)=6)*(Spending!$E$4:$E$278="Entertainment")*Spending!$D$4:$D$278)</f>
        <v/>
      </c>
      <c r="Z13" s="13">
        <f>W13+X13-Y13</f>
        <v/>
      </c>
      <c r="AA13" s="13">
        <f>IF(Envelopes!$E$13="Yes",Z13,0)</f>
        <v/>
      </c>
      <c r="AB13" s="13">
        <f>SUMPRODUCT((MONTH(Funding!$B$4:$B$29)=7)*Funding!N$4:N$29)</f>
        <v/>
      </c>
      <c r="AC13" s="13">
        <f>SUMPRODUCT((MONTH(Spending!$B$4:$B$278)=7)*(Spending!$E$4:$E$278="Entertainment")*Spending!$D$4:$D$278)</f>
        <v/>
      </c>
      <c r="AD13" s="13">
        <f>AA13+AB13-AC13</f>
        <v/>
      </c>
      <c r="AE13" s="13">
        <f>IF(Envelopes!$E$13="Yes",AD13,0)</f>
        <v/>
      </c>
      <c r="AF13" s="13">
        <f>SUMPRODUCT((MONTH(Funding!$B$4:$B$29)=8)*Funding!N$4:N$29)</f>
        <v/>
      </c>
      <c r="AG13" s="13">
        <f>SUMPRODUCT((MONTH(Spending!$B$4:$B$278)=8)*(Spending!$E$4:$E$278="Entertainment")*Spending!$D$4:$D$278)</f>
        <v/>
      </c>
      <c r="AH13" s="13">
        <f>AE13+AF13-AG13</f>
        <v/>
      </c>
      <c r="AI13" s="13">
        <f>IF(Envelopes!$E$13="Yes",AH13,0)</f>
        <v/>
      </c>
      <c r="AJ13" s="13">
        <f>SUMPRODUCT((MONTH(Funding!$B$4:$B$29)=9)*Funding!N$4:N$29)</f>
        <v/>
      </c>
      <c r="AK13" s="13">
        <f>SUMPRODUCT((MONTH(Spending!$B$4:$B$278)=9)*(Spending!$E$4:$E$278="Entertainment")*Spending!$D$4:$D$278)</f>
        <v/>
      </c>
      <c r="AL13" s="13">
        <f>AI13+AJ13-AK13</f>
        <v/>
      </c>
      <c r="AM13" s="13">
        <f>IF(Envelopes!$E$13="Yes",AL13,0)</f>
        <v/>
      </c>
      <c r="AN13" s="13">
        <f>SUMPRODUCT((MONTH(Funding!$B$4:$B$29)=10)*Funding!N$4:N$29)</f>
        <v/>
      </c>
      <c r="AO13" s="13">
        <f>SUMPRODUCT((MONTH(Spending!$B$4:$B$278)=10)*(Spending!$E$4:$E$278="Entertainment")*Spending!$D$4:$D$278)</f>
        <v/>
      </c>
      <c r="AP13" s="13">
        <f>AM13+AN13-AO13</f>
        <v/>
      </c>
      <c r="AQ13" s="13">
        <f>IF(Envelopes!$E$13="Yes",AP13,0)</f>
        <v/>
      </c>
      <c r="AR13" s="13">
        <f>SUMPRODUCT((MONTH(Funding!$B$4:$B$29)=11)*Funding!N$4:N$29)</f>
        <v/>
      </c>
      <c r="AS13" s="13">
        <f>SUMPRODUCT((MONTH(Spending!$B$4:$B$278)=11)*(Spending!$E$4:$E$278="Entertainment")*Spending!$D$4:$D$278)</f>
        <v/>
      </c>
      <c r="AT13" s="13">
        <f>AQ13+AR13-AS13</f>
        <v/>
      </c>
      <c r="AU13" s="13">
        <f>IF(Envelopes!$E$13="Yes",AT13,0)</f>
        <v/>
      </c>
      <c r="AV13" s="13">
        <f>SUMPRODUCT((MONTH(Funding!$B$4:$B$29)=12)*Funding!N$4:N$29)</f>
        <v/>
      </c>
      <c r="AW13" s="13">
        <f>SUMPRODUCT((MONTH(Spending!$B$4:$B$278)=12)*(Spending!$E$4:$E$278="Entertainment")*Spending!$D$4:$D$278)</f>
        <v/>
      </c>
      <c r="AX13" s="13">
        <f>AU13+AV13-AW13</f>
        <v/>
      </c>
    </row>
    <row r="14">
      <c r="B14" s="4" t="inlineStr">
        <is>
          <t>Clothing</t>
        </is>
      </c>
      <c r="C14" s="13" t="n">
        <v>0</v>
      </c>
      <c r="D14" s="13">
        <f>SUMPRODUCT((MONTH(Funding!$B$4:$B$29)=1)*Funding!O$4:O$29)</f>
        <v/>
      </c>
      <c r="E14" s="13">
        <f>SUMPRODUCT((MONTH(Spending!$B$4:$B$278)=1)*(Spending!$E$4:$E$278="Clothing")*Spending!$D$4:$D$278)</f>
        <v/>
      </c>
      <c r="F14" s="13">
        <f>C14+D14-E14</f>
        <v/>
      </c>
      <c r="G14" s="13">
        <f>IF(Envelopes!$E$14="Yes",F14,0)</f>
        <v/>
      </c>
      <c r="H14" s="13">
        <f>SUMPRODUCT((MONTH(Funding!$B$4:$B$29)=2)*Funding!O$4:O$29)</f>
        <v/>
      </c>
      <c r="I14" s="13">
        <f>SUMPRODUCT((MONTH(Spending!$B$4:$B$278)=2)*(Spending!$E$4:$E$278="Clothing")*Spending!$D$4:$D$278)</f>
        <v/>
      </c>
      <c r="J14" s="13">
        <f>G14+H14-I14</f>
        <v/>
      </c>
      <c r="K14" s="13">
        <f>IF(Envelopes!$E$14="Yes",J14,0)</f>
        <v/>
      </c>
      <c r="L14" s="13">
        <f>SUMPRODUCT((MONTH(Funding!$B$4:$B$29)=3)*Funding!O$4:O$29)</f>
        <v/>
      </c>
      <c r="M14" s="13">
        <f>SUMPRODUCT((MONTH(Spending!$B$4:$B$278)=3)*(Spending!$E$4:$E$278="Clothing")*Spending!$D$4:$D$278)</f>
        <v/>
      </c>
      <c r="N14" s="13">
        <f>K14+L14-M14</f>
        <v/>
      </c>
      <c r="O14" s="13">
        <f>IF(Envelopes!$E$14="Yes",N14,0)</f>
        <v/>
      </c>
      <c r="P14" s="13">
        <f>SUMPRODUCT((MONTH(Funding!$B$4:$B$29)=4)*Funding!O$4:O$29)</f>
        <v/>
      </c>
      <c r="Q14" s="13">
        <f>SUMPRODUCT((MONTH(Spending!$B$4:$B$278)=4)*(Spending!$E$4:$E$278="Clothing")*Spending!$D$4:$D$278)</f>
        <v/>
      </c>
      <c r="R14" s="13">
        <f>O14+P14-Q14</f>
        <v/>
      </c>
      <c r="S14" s="13">
        <f>IF(Envelopes!$E$14="Yes",R14,0)</f>
        <v/>
      </c>
      <c r="T14" s="13">
        <f>SUMPRODUCT((MONTH(Funding!$B$4:$B$29)=5)*Funding!O$4:O$29)</f>
        <v/>
      </c>
      <c r="U14" s="13">
        <f>SUMPRODUCT((MONTH(Spending!$B$4:$B$278)=5)*(Spending!$E$4:$E$278="Clothing")*Spending!$D$4:$D$278)</f>
        <v/>
      </c>
      <c r="V14" s="13">
        <f>S14+T14-U14</f>
        <v/>
      </c>
      <c r="W14" s="13">
        <f>IF(Envelopes!$E$14="Yes",V14,0)</f>
        <v/>
      </c>
      <c r="X14" s="13">
        <f>SUMPRODUCT((MONTH(Funding!$B$4:$B$29)=6)*Funding!O$4:O$29)</f>
        <v/>
      </c>
      <c r="Y14" s="13">
        <f>SUMPRODUCT((MONTH(Spending!$B$4:$B$278)=6)*(Spending!$E$4:$E$278="Clothing")*Spending!$D$4:$D$278)</f>
        <v/>
      </c>
      <c r="Z14" s="13">
        <f>W14+X14-Y14</f>
        <v/>
      </c>
      <c r="AA14" s="13">
        <f>IF(Envelopes!$E$14="Yes",Z14,0)</f>
        <v/>
      </c>
      <c r="AB14" s="13">
        <f>SUMPRODUCT((MONTH(Funding!$B$4:$B$29)=7)*Funding!O$4:O$29)</f>
        <v/>
      </c>
      <c r="AC14" s="13">
        <f>SUMPRODUCT((MONTH(Spending!$B$4:$B$278)=7)*(Spending!$E$4:$E$278="Clothing")*Spending!$D$4:$D$278)</f>
        <v/>
      </c>
      <c r="AD14" s="13">
        <f>AA14+AB14-AC14</f>
        <v/>
      </c>
      <c r="AE14" s="13">
        <f>IF(Envelopes!$E$14="Yes",AD14,0)</f>
        <v/>
      </c>
      <c r="AF14" s="13">
        <f>SUMPRODUCT((MONTH(Funding!$B$4:$B$29)=8)*Funding!O$4:O$29)</f>
        <v/>
      </c>
      <c r="AG14" s="13">
        <f>SUMPRODUCT((MONTH(Spending!$B$4:$B$278)=8)*(Spending!$E$4:$E$278="Clothing")*Spending!$D$4:$D$278)</f>
        <v/>
      </c>
      <c r="AH14" s="13">
        <f>AE14+AF14-AG14</f>
        <v/>
      </c>
      <c r="AI14" s="13">
        <f>IF(Envelopes!$E$14="Yes",AH14,0)</f>
        <v/>
      </c>
      <c r="AJ14" s="13">
        <f>SUMPRODUCT((MONTH(Funding!$B$4:$B$29)=9)*Funding!O$4:O$29)</f>
        <v/>
      </c>
      <c r="AK14" s="13">
        <f>SUMPRODUCT((MONTH(Spending!$B$4:$B$278)=9)*(Spending!$E$4:$E$278="Clothing")*Spending!$D$4:$D$278)</f>
        <v/>
      </c>
      <c r="AL14" s="13">
        <f>AI14+AJ14-AK14</f>
        <v/>
      </c>
      <c r="AM14" s="13">
        <f>IF(Envelopes!$E$14="Yes",AL14,0)</f>
        <v/>
      </c>
      <c r="AN14" s="13">
        <f>SUMPRODUCT((MONTH(Funding!$B$4:$B$29)=10)*Funding!O$4:O$29)</f>
        <v/>
      </c>
      <c r="AO14" s="13">
        <f>SUMPRODUCT((MONTH(Spending!$B$4:$B$278)=10)*(Spending!$E$4:$E$278="Clothing")*Spending!$D$4:$D$278)</f>
        <v/>
      </c>
      <c r="AP14" s="13">
        <f>AM14+AN14-AO14</f>
        <v/>
      </c>
      <c r="AQ14" s="13">
        <f>IF(Envelopes!$E$14="Yes",AP14,0)</f>
        <v/>
      </c>
      <c r="AR14" s="13">
        <f>SUMPRODUCT((MONTH(Funding!$B$4:$B$29)=11)*Funding!O$4:O$29)</f>
        <v/>
      </c>
      <c r="AS14" s="13">
        <f>SUMPRODUCT((MONTH(Spending!$B$4:$B$278)=11)*(Spending!$E$4:$E$278="Clothing")*Spending!$D$4:$D$278)</f>
        <v/>
      </c>
      <c r="AT14" s="13">
        <f>AQ14+AR14-AS14</f>
        <v/>
      </c>
      <c r="AU14" s="13">
        <f>IF(Envelopes!$E$14="Yes",AT14,0)</f>
        <v/>
      </c>
      <c r="AV14" s="13">
        <f>SUMPRODUCT((MONTH(Funding!$B$4:$B$29)=12)*Funding!O$4:O$29)</f>
        <v/>
      </c>
      <c r="AW14" s="13">
        <f>SUMPRODUCT((MONTH(Spending!$B$4:$B$278)=12)*(Spending!$E$4:$E$278="Clothing")*Spending!$D$4:$D$278)</f>
        <v/>
      </c>
      <c r="AX14" s="13">
        <f>AU14+AV14-AW14</f>
        <v/>
      </c>
    </row>
    <row r="15">
      <c r="B15" s="4" t="inlineStr">
        <is>
          <t>Personal Care</t>
        </is>
      </c>
      <c r="C15" s="13" t="n">
        <v>0</v>
      </c>
      <c r="D15" s="13">
        <f>SUMPRODUCT((MONTH(Funding!$B$4:$B$29)=1)*Funding!P$4:P$29)</f>
        <v/>
      </c>
      <c r="E15" s="13">
        <f>SUMPRODUCT((MONTH(Spending!$B$4:$B$278)=1)*(Spending!$E$4:$E$278="Personal Care")*Spending!$D$4:$D$278)</f>
        <v/>
      </c>
      <c r="F15" s="13">
        <f>C15+D15-E15</f>
        <v/>
      </c>
      <c r="G15" s="13">
        <f>IF(Envelopes!$E$15="Yes",F15,0)</f>
        <v/>
      </c>
      <c r="H15" s="13">
        <f>SUMPRODUCT((MONTH(Funding!$B$4:$B$29)=2)*Funding!P$4:P$29)</f>
        <v/>
      </c>
      <c r="I15" s="13">
        <f>SUMPRODUCT((MONTH(Spending!$B$4:$B$278)=2)*(Spending!$E$4:$E$278="Personal Care")*Spending!$D$4:$D$278)</f>
        <v/>
      </c>
      <c r="J15" s="13">
        <f>G15+H15-I15</f>
        <v/>
      </c>
      <c r="K15" s="13">
        <f>IF(Envelopes!$E$15="Yes",J15,0)</f>
        <v/>
      </c>
      <c r="L15" s="13">
        <f>SUMPRODUCT((MONTH(Funding!$B$4:$B$29)=3)*Funding!P$4:P$29)</f>
        <v/>
      </c>
      <c r="M15" s="13">
        <f>SUMPRODUCT((MONTH(Spending!$B$4:$B$278)=3)*(Spending!$E$4:$E$278="Personal Care")*Spending!$D$4:$D$278)</f>
        <v/>
      </c>
      <c r="N15" s="13">
        <f>K15+L15-M15</f>
        <v/>
      </c>
      <c r="O15" s="13">
        <f>IF(Envelopes!$E$15="Yes",N15,0)</f>
        <v/>
      </c>
      <c r="P15" s="13">
        <f>SUMPRODUCT((MONTH(Funding!$B$4:$B$29)=4)*Funding!P$4:P$29)</f>
        <v/>
      </c>
      <c r="Q15" s="13">
        <f>SUMPRODUCT((MONTH(Spending!$B$4:$B$278)=4)*(Spending!$E$4:$E$278="Personal Care")*Spending!$D$4:$D$278)</f>
        <v/>
      </c>
      <c r="R15" s="13">
        <f>O15+P15-Q15</f>
        <v/>
      </c>
      <c r="S15" s="13">
        <f>IF(Envelopes!$E$15="Yes",R15,0)</f>
        <v/>
      </c>
      <c r="T15" s="13">
        <f>SUMPRODUCT((MONTH(Funding!$B$4:$B$29)=5)*Funding!P$4:P$29)</f>
        <v/>
      </c>
      <c r="U15" s="13">
        <f>SUMPRODUCT((MONTH(Spending!$B$4:$B$278)=5)*(Spending!$E$4:$E$278="Personal Care")*Spending!$D$4:$D$278)</f>
        <v/>
      </c>
      <c r="V15" s="13">
        <f>S15+T15-U15</f>
        <v/>
      </c>
      <c r="W15" s="13">
        <f>IF(Envelopes!$E$15="Yes",V15,0)</f>
        <v/>
      </c>
      <c r="X15" s="13">
        <f>SUMPRODUCT((MONTH(Funding!$B$4:$B$29)=6)*Funding!P$4:P$29)</f>
        <v/>
      </c>
      <c r="Y15" s="13">
        <f>SUMPRODUCT((MONTH(Spending!$B$4:$B$278)=6)*(Spending!$E$4:$E$278="Personal Care")*Spending!$D$4:$D$278)</f>
        <v/>
      </c>
      <c r="Z15" s="13">
        <f>W15+X15-Y15</f>
        <v/>
      </c>
      <c r="AA15" s="13">
        <f>IF(Envelopes!$E$15="Yes",Z15,0)</f>
        <v/>
      </c>
      <c r="AB15" s="13">
        <f>SUMPRODUCT((MONTH(Funding!$B$4:$B$29)=7)*Funding!P$4:P$29)</f>
        <v/>
      </c>
      <c r="AC15" s="13">
        <f>SUMPRODUCT((MONTH(Spending!$B$4:$B$278)=7)*(Spending!$E$4:$E$278="Personal Care")*Spending!$D$4:$D$278)</f>
        <v/>
      </c>
      <c r="AD15" s="13">
        <f>AA15+AB15-AC15</f>
        <v/>
      </c>
      <c r="AE15" s="13">
        <f>IF(Envelopes!$E$15="Yes",AD15,0)</f>
        <v/>
      </c>
      <c r="AF15" s="13">
        <f>SUMPRODUCT((MONTH(Funding!$B$4:$B$29)=8)*Funding!P$4:P$29)</f>
        <v/>
      </c>
      <c r="AG15" s="13">
        <f>SUMPRODUCT((MONTH(Spending!$B$4:$B$278)=8)*(Spending!$E$4:$E$278="Personal Care")*Spending!$D$4:$D$278)</f>
        <v/>
      </c>
      <c r="AH15" s="13">
        <f>AE15+AF15-AG15</f>
        <v/>
      </c>
      <c r="AI15" s="13">
        <f>IF(Envelopes!$E$15="Yes",AH15,0)</f>
        <v/>
      </c>
      <c r="AJ15" s="13">
        <f>SUMPRODUCT((MONTH(Funding!$B$4:$B$29)=9)*Funding!P$4:P$29)</f>
        <v/>
      </c>
      <c r="AK15" s="13">
        <f>SUMPRODUCT((MONTH(Spending!$B$4:$B$278)=9)*(Spending!$E$4:$E$278="Personal Care")*Spending!$D$4:$D$278)</f>
        <v/>
      </c>
      <c r="AL15" s="13">
        <f>AI15+AJ15-AK15</f>
        <v/>
      </c>
      <c r="AM15" s="13">
        <f>IF(Envelopes!$E$15="Yes",AL15,0)</f>
        <v/>
      </c>
      <c r="AN15" s="13">
        <f>SUMPRODUCT((MONTH(Funding!$B$4:$B$29)=10)*Funding!P$4:P$29)</f>
        <v/>
      </c>
      <c r="AO15" s="13">
        <f>SUMPRODUCT((MONTH(Spending!$B$4:$B$278)=10)*(Spending!$E$4:$E$278="Personal Care")*Spending!$D$4:$D$278)</f>
        <v/>
      </c>
      <c r="AP15" s="13">
        <f>AM15+AN15-AO15</f>
        <v/>
      </c>
      <c r="AQ15" s="13">
        <f>IF(Envelopes!$E$15="Yes",AP15,0)</f>
        <v/>
      </c>
      <c r="AR15" s="13">
        <f>SUMPRODUCT((MONTH(Funding!$B$4:$B$29)=11)*Funding!P$4:P$29)</f>
        <v/>
      </c>
      <c r="AS15" s="13">
        <f>SUMPRODUCT((MONTH(Spending!$B$4:$B$278)=11)*(Spending!$E$4:$E$278="Personal Care")*Spending!$D$4:$D$278)</f>
        <v/>
      </c>
      <c r="AT15" s="13">
        <f>AQ15+AR15-AS15</f>
        <v/>
      </c>
      <c r="AU15" s="13">
        <f>IF(Envelopes!$E$15="Yes",AT15,0)</f>
        <v/>
      </c>
      <c r="AV15" s="13">
        <f>SUMPRODUCT((MONTH(Funding!$B$4:$B$29)=12)*Funding!P$4:P$29)</f>
        <v/>
      </c>
      <c r="AW15" s="13">
        <f>SUMPRODUCT((MONTH(Spending!$B$4:$B$278)=12)*(Spending!$E$4:$E$278="Personal Care")*Spending!$D$4:$D$278)</f>
        <v/>
      </c>
      <c r="AX15" s="13">
        <f>AU15+AV15-AW15</f>
        <v/>
      </c>
    </row>
    <row r="16">
      <c r="B16" s="4" t="inlineStr">
        <is>
          <t>Subscriptions</t>
        </is>
      </c>
      <c r="C16" s="13" t="n">
        <v>0</v>
      </c>
      <c r="D16" s="13">
        <f>SUMPRODUCT((MONTH(Funding!$B$4:$B$29)=1)*Funding!Q$4:Q$29)</f>
        <v/>
      </c>
      <c r="E16" s="13">
        <f>SUMPRODUCT((MONTH(Spending!$B$4:$B$278)=1)*(Spending!$E$4:$E$278="Subscriptions")*Spending!$D$4:$D$278)</f>
        <v/>
      </c>
      <c r="F16" s="13">
        <f>C16+D16-E16</f>
        <v/>
      </c>
      <c r="G16" s="13">
        <f>IF(Envelopes!$E$16="Yes",F16,0)</f>
        <v/>
      </c>
      <c r="H16" s="13">
        <f>SUMPRODUCT((MONTH(Funding!$B$4:$B$29)=2)*Funding!Q$4:Q$29)</f>
        <v/>
      </c>
      <c r="I16" s="13">
        <f>SUMPRODUCT((MONTH(Spending!$B$4:$B$278)=2)*(Spending!$E$4:$E$278="Subscriptions")*Spending!$D$4:$D$278)</f>
        <v/>
      </c>
      <c r="J16" s="13">
        <f>G16+H16-I16</f>
        <v/>
      </c>
      <c r="K16" s="13">
        <f>IF(Envelopes!$E$16="Yes",J16,0)</f>
        <v/>
      </c>
      <c r="L16" s="13">
        <f>SUMPRODUCT((MONTH(Funding!$B$4:$B$29)=3)*Funding!Q$4:Q$29)</f>
        <v/>
      </c>
      <c r="M16" s="13">
        <f>SUMPRODUCT((MONTH(Spending!$B$4:$B$278)=3)*(Spending!$E$4:$E$278="Subscriptions")*Spending!$D$4:$D$278)</f>
        <v/>
      </c>
      <c r="N16" s="13">
        <f>K16+L16-M16</f>
        <v/>
      </c>
      <c r="O16" s="13">
        <f>IF(Envelopes!$E$16="Yes",N16,0)</f>
        <v/>
      </c>
      <c r="P16" s="13">
        <f>SUMPRODUCT((MONTH(Funding!$B$4:$B$29)=4)*Funding!Q$4:Q$29)</f>
        <v/>
      </c>
      <c r="Q16" s="13">
        <f>SUMPRODUCT((MONTH(Spending!$B$4:$B$278)=4)*(Spending!$E$4:$E$278="Subscriptions")*Spending!$D$4:$D$278)</f>
        <v/>
      </c>
      <c r="R16" s="13">
        <f>O16+P16-Q16</f>
        <v/>
      </c>
      <c r="S16" s="13">
        <f>IF(Envelopes!$E$16="Yes",R16,0)</f>
        <v/>
      </c>
      <c r="T16" s="13">
        <f>SUMPRODUCT((MONTH(Funding!$B$4:$B$29)=5)*Funding!Q$4:Q$29)</f>
        <v/>
      </c>
      <c r="U16" s="13">
        <f>SUMPRODUCT((MONTH(Spending!$B$4:$B$278)=5)*(Spending!$E$4:$E$278="Subscriptions")*Spending!$D$4:$D$278)</f>
        <v/>
      </c>
      <c r="V16" s="13">
        <f>S16+T16-U16</f>
        <v/>
      </c>
      <c r="W16" s="13">
        <f>IF(Envelopes!$E$16="Yes",V16,0)</f>
        <v/>
      </c>
      <c r="X16" s="13">
        <f>SUMPRODUCT((MONTH(Funding!$B$4:$B$29)=6)*Funding!Q$4:Q$29)</f>
        <v/>
      </c>
      <c r="Y16" s="13">
        <f>SUMPRODUCT((MONTH(Spending!$B$4:$B$278)=6)*(Spending!$E$4:$E$278="Subscriptions")*Spending!$D$4:$D$278)</f>
        <v/>
      </c>
      <c r="Z16" s="13">
        <f>W16+X16-Y16</f>
        <v/>
      </c>
      <c r="AA16" s="13">
        <f>IF(Envelopes!$E$16="Yes",Z16,0)</f>
        <v/>
      </c>
      <c r="AB16" s="13">
        <f>SUMPRODUCT((MONTH(Funding!$B$4:$B$29)=7)*Funding!Q$4:Q$29)</f>
        <v/>
      </c>
      <c r="AC16" s="13">
        <f>SUMPRODUCT((MONTH(Spending!$B$4:$B$278)=7)*(Spending!$E$4:$E$278="Subscriptions")*Spending!$D$4:$D$278)</f>
        <v/>
      </c>
      <c r="AD16" s="13">
        <f>AA16+AB16-AC16</f>
        <v/>
      </c>
      <c r="AE16" s="13">
        <f>IF(Envelopes!$E$16="Yes",AD16,0)</f>
        <v/>
      </c>
      <c r="AF16" s="13">
        <f>SUMPRODUCT((MONTH(Funding!$B$4:$B$29)=8)*Funding!Q$4:Q$29)</f>
        <v/>
      </c>
      <c r="AG16" s="13">
        <f>SUMPRODUCT((MONTH(Spending!$B$4:$B$278)=8)*(Spending!$E$4:$E$278="Subscriptions")*Spending!$D$4:$D$278)</f>
        <v/>
      </c>
      <c r="AH16" s="13">
        <f>AE16+AF16-AG16</f>
        <v/>
      </c>
      <c r="AI16" s="13">
        <f>IF(Envelopes!$E$16="Yes",AH16,0)</f>
        <v/>
      </c>
      <c r="AJ16" s="13">
        <f>SUMPRODUCT((MONTH(Funding!$B$4:$B$29)=9)*Funding!Q$4:Q$29)</f>
        <v/>
      </c>
      <c r="AK16" s="13">
        <f>SUMPRODUCT((MONTH(Spending!$B$4:$B$278)=9)*(Spending!$E$4:$E$278="Subscriptions")*Spending!$D$4:$D$278)</f>
        <v/>
      </c>
      <c r="AL16" s="13">
        <f>AI16+AJ16-AK16</f>
        <v/>
      </c>
      <c r="AM16" s="13">
        <f>IF(Envelopes!$E$16="Yes",AL16,0)</f>
        <v/>
      </c>
      <c r="AN16" s="13">
        <f>SUMPRODUCT((MONTH(Funding!$B$4:$B$29)=10)*Funding!Q$4:Q$29)</f>
        <v/>
      </c>
      <c r="AO16" s="13">
        <f>SUMPRODUCT((MONTH(Spending!$B$4:$B$278)=10)*(Spending!$E$4:$E$278="Subscriptions")*Spending!$D$4:$D$278)</f>
        <v/>
      </c>
      <c r="AP16" s="13">
        <f>AM16+AN16-AO16</f>
        <v/>
      </c>
      <c r="AQ16" s="13">
        <f>IF(Envelopes!$E$16="Yes",AP16,0)</f>
        <v/>
      </c>
      <c r="AR16" s="13">
        <f>SUMPRODUCT((MONTH(Funding!$B$4:$B$29)=11)*Funding!Q$4:Q$29)</f>
        <v/>
      </c>
      <c r="AS16" s="13">
        <f>SUMPRODUCT((MONTH(Spending!$B$4:$B$278)=11)*(Spending!$E$4:$E$278="Subscriptions")*Spending!$D$4:$D$278)</f>
        <v/>
      </c>
      <c r="AT16" s="13">
        <f>AQ16+AR16-AS16</f>
        <v/>
      </c>
      <c r="AU16" s="13">
        <f>IF(Envelopes!$E$16="Yes",AT16,0)</f>
        <v/>
      </c>
      <c r="AV16" s="13">
        <f>SUMPRODUCT((MONTH(Funding!$B$4:$B$29)=12)*Funding!Q$4:Q$29)</f>
        <v/>
      </c>
      <c r="AW16" s="13">
        <f>SUMPRODUCT((MONTH(Spending!$B$4:$B$278)=12)*(Spending!$E$4:$E$278="Subscriptions")*Spending!$D$4:$D$278)</f>
        <v/>
      </c>
      <c r="AX16" s="13">
        <f>AU16+AV16-AW16</f>
        <v/>
      </c>
    </row>
    <row r="17">
      <c r="B17" s="4" t="inlineStr">
        <is>
          <t>Emergency Fund</t>
        </is>
      </c>
      <c r="C17" s="13" t="n">
        <v>0</v>
      </c>
      <c r="D17" s="13">
        <f>SUMPRODUCT((MONTH(Funding!$B$4:$B$29)=1)*Funding!R$4:R$29)</f>
        <v/>
      </c>
      <c r="E17" s="13">
        <f>SUMPRODUCT((MONTH(Spending!$B$4:$B$278)=1)*(Spending!$E$4:$E$278="Emergency Fund")*Spending!$D$4:$D$278)</f>
        <v/>
      </c>
      <c r="F17" s="13">
        <f>C17+D17-E17</f>
        <v/>
      </c>
      <c r="G17" s="13">
        <f>IF(Envelopes!$E$17="Yes",F17,0)</f>
        <v/>
      </c>
      <c r="H17" s="13">
        <f>SUMPRODUCT((MONTH(Funding!$B$4:$B$29)=2)*Funding!R$4:R$29)</f>
        <v/>
      </c>
      <c r="I17" s="13">
        <f>SUMPRODUCT((MONTH(Spending!$B$4:$B$278)=2)*(Spending!$E$4:$E$278="Emergency Fund")*Spending!$D$4:$D$278)</f>
        <v/>
      </c>
      <c r="J17" s="13">
        <f>G17+H17-I17</f>
        <v/>
      </c>
      <c r="K17" s="13">
        <f>IF(Envelopes!$E$17="Yes",J17,0)</f>
        <v/>
      </c>
      <c r="L17" s="13">
        <f>SUMPRODUCT((MONTH(Funding!$B$4:$B$29)=3)*Funding!R$4:R$29)</f>
        <v/>
      </c>
      <c r="M17" s="13">
        <f>SUMPRODUCT((MONTH(Spending!$B$4:$B$278)=3)*(Spending!$E$4:$E$278="Emergency Fund")*Spending!$D$4:$D$278)</f>
        <v/>
      </c>
      <c r="N17" s="13">
        <f>K17+L17-M17</f>
        <v/>
      </c>
      <c r="O17" s="13">
        <f>IF(Envelopes!$E$17="Yes",N17,0)</f>
        <v/>
      </c>
      <c r="P17" s="13">
        <f>SUMPRODUCT((MONTH(Funding!$B$4:$B$29)=4)*Funding!R$4:R$29)</f>
        <v/>
      </c>
      <c r="Q17" s="13">
        <f>SUMPRODUCT((MONTH(Spending!$B$4:$B$278)=4)*(Spending!$E$4:$E$278="Emergency Fund")*Spending!$D$4:$D$278)</f>
        <v/>
      </c>
      <c r="R17" s="13">
        <f>O17+P17-Q17</f>
        <v/>
      </c>
      <c r="S17" s="13">
        <f>IF(Envelopes!$E$17="Yes",R17,0)</f>
        <v/>
      </c>
      <c r="T17" s="13">
        <f>SUMPRODUCT((MONTH(Funding!$B$4:$B$29)=5)*Funding!R$4:R$29)</f>
        <v/>
      </c>
      <c r="U17" s="13">
        <f>SUMPRODUCT((MONTH(Spending!$B$4:$B$278)=5)*(Spending!$E$4:$E$278="Emergency Fund")*Spending!$D$4:$D$278)</f>
        <v/>
      </c>
      <c r="V17" s="13">
        <f>S17+T17-U17</f>
        <v/>
      </c>
      <c r="W17" s="13">
        <f>IF(Envelopes!$E$17="Yes",V17,0)</f>
        <v/>
      </c>
      <c r="X17" s="13">
        <f>SUMPRODUCT((MONTH(Funding!$B$4:$B$29)=6)*Funding!R$4:R$29)</f>
        <v/>
      </c>
      <c r="Y17" s="13">
        <f>SUMPRODUCT((MONTH(Spending!$B$4:$B$278)=6)*(Spending!$E$4:$E$278="Emergency Fund")*Spending!$D$4:$D$278)</f>
        <v/>
      </c>
      <c r="Z17" s="13">
        <f>W17+X17-Y17</f>
        <v/>
      </c>
      <c r="AA17" s="13">
        <f>IF(Envelopes!$E$17="Yes",Z17,0)</f>
        <v/>
      </c>
      <c r="AB17" s="13">
        <f>SUMPRODUCT((MONTH(Funding!$B$4:$B$29)=7)*Funding!R$4:R$29)</f>
        <v/>
      </c>
      <c r="AC17" s="13">
        <f>SUMPRODUCT((MONTH(Spending!$B$4:$B$278)=7)*(Spending!$E$4:$E$278="Emergency Fund")*Spending!$D$4:$D$278)</f>
        <v/>
      </c>
      <c r="AD17" s="13">
        <f>AA17+AB17-AC17</f>
        <v/>
      </c>
      <c r="AE17" s="13">
        <f>IF(Envelopes!$E$17="Yes",AD17,0)</f>
        <v/>
      </c>
      <c r="AF17" s="13">
        <f>SUMPRODUCT((MONTH(Funding!$B$4:$B$29)=8)*Funding!R$4:R$29)</f>
        <v/>
      </c>
      <c r="AG17" s="13">
        <f>SUMPRODUCT((MONTH(Spending!$B$4:$B$278)=8)*(Spending!$E$4:$E$278="Emergency Fund")*Spending!$D$4:$D$278)</f>
        <v/>
      </c>
      <c r="AH17" s="13">
        <f>AE17+AF17-AG17</f>
        <v/>
      </c>
      <c r="AI17" s="13">
        <f>IF(Envelopes!$E$17="Yes",AH17,0)</f>
        <v/>
      </c>
      <c r="AJ17" s="13">
        <f>SUMPRODUCT((MONTH(Funding!$B$4:$B$29)=9)*Funding!R$4:R$29)</f>
        <v/>
      </c>
      <c r="AK17" s="13">
        <f>SUMPRODUCT((MONTH(Spending!$B$4:$B$278)=9)*(Spending!$E$4:$E$278="Emergency Fund")*Spending!$D$4:$D$278)</f>
        <v/>
      </c>
      <c r="AL17" s="13">
        <f>AI17+AJ17-AK17</f>
        <v/>
      </c>
      <c r="AM17" s="13">
        <f>IF(Envelopes!$E$17="Yes",AL17,0)</f>
        <v/>
      </c>
      <c r="AN17" s="13">
        <f>SUMPRODUCT((MONTH(Funding!$B$4:$B$29)=10)*Funding!R$4:R$29)</f>
        <v/>
      </c>
      <c r="AO17" s="13">
        <f>SUMPRODUCT((MONTH(Spending!$B$4:$B$278)=10)*(Spending!$E$4:$E$278="Emergency Fund")*Spending!$D$4:$D$278)</f>
        <v/>
      </c>
      <c r="AP17" s="13">
        <f>AM17+AN17-AO17</f>
        <v/>
      </c>
      <c r="AQ17" s="13">
        <f>IF(Envelopes!$E$17="Yes",AP17,0)</f>
        <v/>
      </c>
      <c r="AR17" s="13">
        <f>SUMPRODUCT((MONTH(Funding!$B$4:$B$29)=11)*Funding!R$4:R$29)</f>
        <v/>
      </c>
      <c r="AS17" s="13">
        <f>SUMPRODUCT((MONTH(Spending!$B$4:$B$278)=11)*(Spending!$E$4:$E$278="Emergency Fund")*Spending!$D$4:$D$278)</f>
        <v/>
      </c>
      <c r="AT17" s="13">
        <f>AQ17+AR17-AS17</f>
        <v/>
      </c>
      <c r="AU17" s="13">
        <f>IF(Envelopes!$E$17="Yes",AT17,0)</f>
        <v/>
      </c>
      <c r="AV17" s="13">
        <f>SUMPRODUCT((MONTH(Funding!$B$4:$B$29)=12)*Funding!R$4:R$29)</f>
        <v/>
      </c>
      <c r="AW17" s="13">
        <f>SUMPRODUCT((MONTH(Spending!$B$4:$B$278)=12)*(Spending!$E$4:$E$278="Emergency Fund")*Spending!$D$4:$D$278)</f>
        <v/>
      </c>
      <c r="AX17" s="13">
        <f>AU17+AV17-AW17</f>
        <v/>
      </c>
    </row>
    <row r="18">
      <c r="B18" s="4" t="inlineStr">
        <is>
          <t>Vacation</t>
        </is>
      </c>
      <c r="C18" s="13" t="n">
        <v>0</v>
      </c>
      <c r="D18" s="13">
        <f>SUMPRODUCT((MONTH(Funding!$B$4:$B$29)=1)*Funding!S$4:S$29)</f>
        <v/>
      </c>
      <c r="E18" s="13">
        <f>SUMPRODUCT((MONTH(Spending!$B$4:$B$278)=1)*(Spending!$E$4:$E$278="Vacation")*Spending!$D$4:$D$278)</f>
        <v/>
      </c>
      <c r="F18" s="13">
        <f>C18+D18-E18</f>
        <v/>
      </c>
      <c r="G18" s="13">
        <f>IF(Envelopes!$E$18="Yes",F18,0)</f>
        <v/>
      </c>
      <c r="H18" s="13">
        <f>SUMPRODUCT((MONTH(Funding!$B$4:$B$29)=2)*Funding!S$4:S$29)</f>
        <v/>
      </c>
      <c r="I18" s="13">
        <f>SUMPRODUCT((MONTH(Spending!$B$4:$B$278)=2)*(Spending!$E$4:$E$278="Vacation")*Spending!$D$4:$D$278)</f>
        <v/>
      </c>
      <c r="J18" s="13">
        <f>G18+H18-I18</f>
        <v/>
      </c>
      <c r="K18" s="13">
        <f>IF(Envelopes!$E$18="Yes",J18,0)</f>
        <v/>
      </c>
      <c r="L18" s="13">
        <f>SUMPRODUCT((MONTH(Funding!$B$4:$B$29)=3)*Funding!S$4:S$29)</f>
        <v/>
      </c>
      <c r="M18" s="13">
        <f>SUMPRODUCT((MONTH(Spending!$B$4:$B$278)=3)*(Spending!$E$4:$E$278="Vacation")*Spending!$D$4:$D$278)</f>
        <v/>
      </c>
      <c r="N18" s="13">
        <f>K18+L18-M18</f>
        <v/>
      </c>
      <c r="O18" s="13">
        <f>IF(Envelopes!$E$18="Yes",N18,0)</f>
        <v/>
      </c>
      <c r="P18" s="13">
        <f>SUMPRODUCT((MONTH(Funding!$B$4:$B$29)=4)*Funding!S$4:S$29)</f>
        <v/>
      </c>
      <c r="Q18" s="13">
        <f>SUMPRODUCT((MONTH(Spending!$B$4:$B$278)=4)*(Spending!$E$4:$E$278="Vacation")*Spending!$D$4:$D$278)</f>
        <v/>
      </c>
      <c r="R18" s="13">
        <f>O18+P18-Q18</f>
        <v/>
      </c>
      <c r="S18" s="13">
        <f>IF(Envelopes!$E$18="Yes",R18,0)</f>
        <v/>
      </c>
      <c r="T18" s="13">
        <f>SUMPRODUCT((MONTH(Funding!$B$4:$B$29)=5)*Funding!S$4:S$29)</f>
        <v/>
      </c>
      <c r="U18" s="13">
        <f>SUMPRODUCT((MONTH(Spending!$B$4:$B$278)=5)*(Spending!$E$4:$E$278="Vacation")*Spending!$D$4:$D$278)</f>
        <v/>
      </c>
      <c r="V18" s="13">
        <f>S18+T18-U18</f>
        <v/>
      </c>
      <c r="W18" s="13">
        <f>IF(Envelopes!$E$18="Yes",V18,0)</f>
        <v/>
      </c>
      <c r="X18" s="13">
        <f>SUMPRODUCT((MONTH(Funding!$B$4:$B$29)=6)*Funding!S$4:S$29)</f>
        <v/>
      </c>
      <c r="Y18" s="13">
        <f>SUMPRODUCT((MONTH(Spending!$B$4:$B$278)=6)*(Spending!$E$4:$E$278="Vacation")*Spending!$D$4:$D$278)</f>
        <v/>
      </c>
      <c r="Z18" s="13">
        <f>W18+X18-Y18</f>
        <v/>
      </c>
      <c r="AA18" s="13">
        <f>IF(Envelopes!$E$18="Yes",Z18,0)</f>
        <v/>
      </c>
      <c r="AB18" s="13">
        <f>SUMPRODUCT((MONTH(Funding!$B$4:$B$29)=7)*Funding!S$4:S$29)</f>
        <v/>
      </c>
      <c r="AC18" s="13">
        <f>SUMPRODUCT((MONTH(Spending!$B$4:$B$278)=7)*(Spending!$E$4:$E$278="Vacation")*Spending!$D$4:$D$278)</f>
        <v/>
      </c>
      <c r="AD18" s="13">
        <f>AA18+AB18-AC18</f>
        <v/>
      </c>
      <c r="AE18" s="13">
        <f>IF(Envelopes!$E$18="Yes",AD18,0)</f>
        <v/>
      </c>
      <c r="AF18" s="13">
        <f>SUMPRODUCT((MONTH(Funding!$B$4:$B$29)=8)*Funding!S$4:S$29)</f>
        <v/>
      </c>
      <c r="AG18" s="13">
        <f>SUMPRODUCT((MONTH(Spending!$B$4:$B$278)=8)*(Spending!$E$4:$E$278="Vacation")*Spending!$D$4:$D$278)</f>
        <v/>
      </c>
      <c r="AH18" s="13">
        <f>AE18+AF18-AG18</f>
        <v/>
      </c>
      <c r="AI18" s="13">
        <f>IF(Envelopes!$E$18="Yes",AH18,0)</f>
        <v/>
      </c>
      <c r="AJ18" s="13">
        <f>SUMPRODUCT((MONTH(Funding!$B$4:$B$29)=9)*Funding!S$4:S$29)</f>
        <v/>
      </c>
      <c r="AK18" s="13">
        <f>SUMPRODUCT((MONTH(Spending!$B$4:$B$278)=9)*(Spending!$E$4:$E$278="Vacation")*Spending!$D$4:$D$278)</f>
        <v/>
      </c>
      <c r="AL18" s="13">
        <f>AI18+AJ18-AK18</f>
        <v/>
      </c>
      <c r="AM18" s="13">
        <f>IF(Envelopes!$E$18="Yes",AL18,0)</f>
        <v/>
      </c>
      <c r="AN18" s="13">
        <f>SUMPRODUCT((MONTH(Funding!$B$4:$B$29)=10)*Funding!S$4:S$29)</f>
        <v/>
      </c>
      <c r="AO18" s="13">
        <f>SUMPRODUCT((MONTH(Spending!$B$4:$B$278)=10)*(Spending!$E$4:$E$278="Vacation")*Spending!$D$4:$D$278)</f>
        <v/>
      </c>
      <c r="AP18" s="13">
        <f>AM18+AN18-AO18</f>
        <v/>
      </c>
      <c r="AQ18" s="13">
        <f>IF(Envelopes!$E$18="Yes",AP18,0)</f>
        <v/>
      </c>
      <c r="AR18" s="13">
        <f>SUMPRODUCT((MONTH(Funding!$B$4:$B$29)=11)*Funding!S$4:S$29)</f>
        <v/>
      </c>
      <c r="AS18" s="13">
        <f>SUMPRODUCT((MONTH(Spending!$B$4:$B$278)=11)*(Spending!$E$4:$E$278="Vacation")*Spending!$D$4:$D$278)</f>
        <v/>
      </c>
      <c r="AT18" s="13">
        <f>AQ18+AR18-AS18</f>
        <v/>
      </c>
      <c r="AU18" s="13">
        <f>IF(Envelopes!$E$18="Yes",AT18,0)</f>
        <v/>
      </c>
      <c r="AV18" s="13">
        <f>SUMPRODUCT((MONTH(Funding!$B$4:$B$29)=12)*Funding!S$4:S$29)</f>
        <v/>
      </c>
      <c r="AW18" s="13">
        <f>SUMPRODUCT((MONTH(Spending!$B$4:$B$278)=12)*(Spending!$E$4:$E$278="Vacation")*Spending!$D$4:$D$278)</f>
        <v/>
      </c>
      <c r="AX18" s="13">
        <f>AU18+AV18-AW18</f>
        <v/>
      </c>
    </row>
    <row r="19">
      <c r="B19" s="4" t="inlineStr">
        <is>
          <t>Car Repair Fund</t>
        </is>
      </c>
      <c r="C19" s="13" t="n">
        <v>0</v>
      </c>
      <c r="D19" s="13">
        <f>SUMPRODUCT((MONTH(Funding!$B$4:$B$29)=1)*Funding!T$4:T$29)</f>
        <v/>
      </c>
      <c r="E19" s="13">
        <f>SUMPRODUCT((MONTH(Spending!$B$4:$B$278)=1)*(Spending!$E$4:$E$278="Car Repair Fund")*Spending!$D$4:$D$278)</f>
        <v/>
      </c>
      <c r="F19" s="13">
        <f>C19+D19-E19</f>
        <v/>
      </c>
      <c r="G19" s="13">
        <f>IF(Envelopes!$E$19="Yes",F19,0)</f>
        <v/>
      </c>
      <c r="H19" s="13">
        <f>SUMPRODUCT((MONTH(Funding!$B$4:$B$29)=2)*Funding!T$4:T$29)</f>
        <v/>
      </c>
      <c r="I19" s="13">
        <f>SUMPRODUCT((MONTH(Spending!$B$4:$B$278)=2)*(Spending!$E$4:$E$278="Car Repair Fund")*Spending!$D$4:$D$278)</f>
        <v/>
      </c>
      <c r="J19" s="13">
        <f>G19+H19-I19</f>
        <v/>
      </c>
      <c r="K19" s="13">
        <f>IF(Envelopes!$E$19="Yes",J19,0)</f>
        <v/>
      </c>
      <c r="L19" s="13">
        <f>SUMPRODUCT((MONTH(Funding!$B$4:$B$29)=3)*Funding!T$4:T$29)</f>
        <v/>
      </c>
      <c r="M19" s="13">
        <f>SUMPRODUCT((MONTH(Spending!$B$4:$B$278)=3)*(Spending!$E$4:$E$278="Car Repair Fund")*Spending!$D$4:$D$278)</f>
        <v/>
      </c>
      <c r="N19" s="13">
        <f>K19+L19-M19</f>
        <v/>
      </c>
      <c r="O19" s="13">
        <f>IF(Envelopes!$E$19="Yes",N19,0)</f>
        <v/>
      </c>
      <c r="P19" s="13">
        <f>SUMPRODUCT((MONTH(Funding!$B$4:$B$29)=4)*Funding!T$4:T$29)</f>
        <v/>
      </c>
      <c r="Q19" s="13">
        <f>SUMPRODUCT((MONTH(Spending!$B$4:$B$278)=4)*(Spending!$E$4:$E$278="Car Repair Fund")*Spending!$D$4:$D$278)</f>
        <v/>
      </c>
      <c r="R19" s="13">
        <f>O19+P19-Q19</f>
        <v/>
      </c>
      <c r="S19" s="13">
        <f>IF(Envelopes!$E$19="Yes",R19,0)</f>
        <v/>
      </c>
      <c r="T19" s="13">
        <f>SUMPRODUCT((MONTH(Funding!$B$4:$B$29)=5)*Funding!T$4:T$29)</f>
        <v/>
      </c>
      <c r="U19" s="13">
        <f>SUMPRODUCT((MONTH(Spending!$B$4:$B$278)=5)*(Spending!$E$4:$E$278="Car Repair Fund")*Spending!$D$4:$D$278)</f>
        <v/>
      </c>
      <c r="V19" s="13">
        <f>S19+T19-U19</f>
        <v/>
      </c>
      <c r="W19" s="13">
        <f>IF(Envelopes!$E$19="Yes",V19,0)</f>
        <v/>
      </c>
      <c r="X19" s="13">
        <f>SUMPRODUCT((MONTH(Funding!$B$4:$B$29)=6)*Funding!T$4:T$29)</f>
        <v/>
      </c>
      <c r="Y19" s="13">
        <f>SUMPRODUCT((MONTH(Spending!$B$4:$B$278)=6)*(Spending!$E$4:$E$278="Car Repair Fund")*Spending!$D$4:$D$278)</f>
        <v/>
      </c>
      <c r="Z19" s="13">
        <f>W19+X19-Y19</f>
        <v/>
      </c>
      <c r="AA19" s="13">
        <f>IF(Envelopes!$E$19="Yes",Z19,0)</f>
        <v/>
      </c>
      <c r="AB19" s="13">
        <f>SUMPRODUCT((MONTH(Funding!$B$4:$B$29)=7)*Funding!T$4:T$29)</f>
        <v/>
      </c>
      <c r="AC19" s="13">
        <f>SUMPRODUCT((MONTH(Spending!$B$4:$B$278)=7)*(Spending!$E$4:$E$278="Car Repair Fund")*Spending!$D$4:$D$278)</f>
        <v/>
      </c>
      <c r="AD19" s="13">
        <f>AA19+AB19-AC19</f>
        <v/>
      </c>
      <c r="AE19" s="13">
        <f>IF(Envelopes!$E$19="Yes",AD19,0)</f>
        <v/>
      </c>
      <c r="AF19" s="13">
        <f>SUMPRODUCT((MONTH(Funding!$B$4:$B$29)=8)*Funding!T$4:T$29)</f>
        <v/>
      </c>
      <c r="AG19" s="13">
        <f>SUMPRODUCT((MONTH(Spending!$B$4:$B$278)=8)*(Spending!$E$4:$E$278="Car Repair Fund")*Spending!$D$4:$D$278)</f>
        <v/>
      </c>
      <c r="AH19" s="13">
        <f>AE19+AF19-AG19</f>
        <v/>
      </c>
      <c r="AI19" s="13">
        <f>IF(Envelopes!$E$19="Yes",AH19,0)</f>
        <v/>
      </c>
      <c r="AJ19" s="13">
        <f>SUMPRODUCT((MONTH(Funding!$B$4:$B$29)=9)*Funding!T$4:T$29)</f>
        <v/>
      </c>
      <c r="AK19" s="13">
        <f>SUMPRODUCT((MONTH(Spending!$B$4:$B$278)=9)*(Spending!$E$4:$E$278="Car Repair Fund")*Spending!$D$4:$D$278)</f>
        <v/>
      </c>
      <c r="AL19" s="13">
        <f>AI19+AJ19-AK19</f>
        <v/>
      </c>
      <c r="AM19" s="13">
        <f>IF(Envelopes!$E$19="Yes",AL19,0)</f>
        <v/>
      </c>
      <c r="AN19" s="13">
        <f>SUMPRODUCT((MONTH(Funding!$B$4:$B$29)=10)*Funding!T$4:T$29)</f>
        <v/>
      </c>
      <c r="AO19" s="13">
        <f>SUMPRODUCT((MONTH(Spending!$B$4:$B$278)=10)*(Spending!$E$4:$E$278="Car Repair Fund")*Spending!$D$4:$D$278)</f>
        <v/>
      </c>
      <c r="AP19" s="13">
        <f>AM19+AN19-AO19</f>
        <v/>
      </c>
      <c r="AQ19" s="13">
        <f>IF(Envelopes!$E$19="Yes",AP19,0)</f>
        <v/>
      </c>
      <c r="AR19" s="13">
        <f>SUMPRODUCT((MONTH(Funding!$B$4:$B$29)=11)*Funding!T$4:T$29)</f>
        <v/>
      </c>
      <c r="AS19" s="13">
        <f>SUMPRODUCT((MONTH(Spending!$B$4:$B$278)=11)*(Spending!$E$4:$E$278="Car Repair Fund")*Spending!$D$4:$D$278)</f>
        <v/>
      </c>
      <c r="AT19" s="13">
        <f>AQ19+AR19-AS19</f>
        <v/>
      </c>
      <c r="AU19" s="13">
        <f>IF(Envelopes!$E$19="Yes",AT19,0)</f>
        <v/>
      </c>
      <c r="AV19" s="13">
        <f>SUMPRODUCT((MONTH(Funding!$B$4:$B$29)=12)*Funding!T$4:T$29)</f>
        <v/>
      </c>
      <c r="AW19" s="13">
        <f>SUMPRODUCT((MONTH(Spending!$B$4:$B$278)=12)*(Spending!$E$4:$E$278="Car Repair Fund")*Spending!$D$4:$D$278)</f>
        <v/>
      </c>
      <c r="AX19" s="13">
        <f>AU19+AV19-AW19</f>
        <v/>
      </c>
    </row>
  </sheetData>
  <conditionalFormatting sqref="F4:F19">
    <cfRule type="cellIs" priority="1" operator="lessThan" dxfId="0">
      <formula>0</formula>
    </cfRule>
  </conditionalFormatting>
  <conditionalFormatting sqref="J4:J19">
    <cfRule type="cellIs" priority="2" operator="lessThan" dxfId="0">
      <formula>0</formula>
    </cfRule>
  </conditionalFormatting>
  <conditionalFormatting sqref="N4:N19">
    <cfRule type="cellIs" priority="3" operator="lessThan" dxfId="0">
      <formula>0</formula>
    </cfRule>
  </conditionalFormatting>
  <conditionalFormatting sqref="R4:R19">
    <cfRule type="cellIs" priority="4" operator="lessThan" dxfId="0">
      <formula>0</formula>
    </cfRule>
  </conditionalFormatting>
  <conditionalFormatting sqref="V4:V19">
    <cfRule type="cellIs" priority="5" operator="lessThan" dxfId="0">
      <formula>0</formula>
    </cfRule>
  </conditionalFormatting>
  <conditionalFormatting sqref="Z4:Z19">
    <cfRule type="cellIs" priority="6" operator="lessThan" dxfId="0">
      <formula>0</formula>
    </cfRule>
  </conditionalFormatting>
  <conditionalFormatting sqref="AD4:AD19">
    <cfRule type="cellIs" priority="7" operator="lessThan" dxfId="0">
      <formula>0</formula>
    </cfRule>
  </conditionalFormatting>
  <conditionalFormatting sqref="AH4:AH19">
    <cfRule type="cellIs" priority="8" operator="lessThan" dxfId="0">
      <formula>0</formula>
    </cfRule>
  </conditionalFormatting>
  <conditionalFormatting sqref="AL4:AL19">
    <cfRule type="cellIs" priority="9" operator="lessThan" dxfId="0">
      <formula>0</formula>
    </cfRule>
  </conditionalFormatting>
  <conditionalFormatting sqref="AP4:AP19">
    <cfRule type="cellIs" priority="10" operator="lessThan" dxfId="0">
      <formula>0</formula>
    </cfRule>
  </conditionalFormatting>
  <conditionalFormatting sqref="AT4:AT19">
    <cfRule type="cellIs" priority="11" operator="lessThan" dxfId="0">
      <formula>0</formula>
    </cfRule>
  </conditionalFormatting>
  <conditionalFormatting sqref="AX4:AX19">
    <cfRule type="cellIs" priority="12" operator="lessThan" dxfId="0">
      <formula>0</formula>
    </cfRule>
  </conditionalFormatting>
  <pageMargins left="0.75" right="0.75" top="1" bottom="1" header="0.5" footer="0.5"/>
</worksheet>
</file>

<file path=xl/worksheets/sheet5.xml><?xml version="1.0" encoding="utf-8"?>
<worksheet xmlns="http://schemas.openxmlformats.org/spreadsheetml/2006/main">
  <sheetPr>
    <outlinePr summaryBelow="1" summaryRight="1"/>
    <pageSetUpPr/>
  </sheetPr>
  <dimension ref="A1:E39"/>
  <sheetViews>
    <sheetView showGridLines="0" workbookViewId="0">
      <pane xSplit="1" ySplit="3" topLeftCell="B4" activePane="bottomRight" state="frozen"/>
      <selection pane="topRight"/>
      <selection pane="bottomLeft"/>
      <selection pane="bottomRight" activeCell="A1" sqref="A1"/>
    </sheetView>
  </sheetViews>
  <sheetFormatPr baseColWidth="8" defaultRowHeight="15"/>
  <cols>
    <col width="20" customWidth="1" min="1" max="1"/>
    <col width="20" customWidth="1" min="2" max="2"/>
    <col width="16" customWidth="1" min="3" max="3"/>
    <col width="14" customWidth="1" min="4" max="4"/>
  </cols>
  <sheetData>
    <row r="1"/>
    <row r="2">
      <c r="B2" s="1" t="inlineStr">
        <is>
          <t>Envelope Dashboard</t>
        </is>
      </c>
      <c r="C2" s="2" t="n"/>
      <c r="D2" s="2" t="n"/>
      <c r="E2" s="2" t="n"/>
    </row>
    <row r="3">
      <c r="B3" s="2" t="n"/>
      <c r="C3" s="2" t="n"/>
      <c r="D3" s="2" t="n"/>
      <c r="E3" s="2" t="n"/>
    </row>
    <row r="4">
      <c r="B4" s="10" t="inlineStr">
        <is>
          <t>Total Funded YTD</t>
        </is>
      </c>
      <c r="C4" s="10" t="inlineStr">
        <is>
          <t>Total Spent YTD</t>
        </is>
      </c>
      <c r="D4" s="10" t="inlineStr">
        <is>
          <t>Envelopes Overspent (Dec)</t>
        </is>
      </c>
      <c r="E4" s="10" t="inlineStr">
        <is>
          <t>Net YTD</t>
        </is>
      </c>
    </row>
    <row r="5">
      <c r="B5" s="9">
        <f>SUM(Funding!D4:D29)</f>
        <v/>
      </c>
      <c r="C5" s="9">
        <f>SUM(E4:E19)+SUM(I4:I19)+SUM(M4:M19)+SUM(Q4:Q19)+SUM(U4:U19)+SUM(Y4:Y19)+SUM(AC4:AC19)+SUM(AG4:AG19)+SUM(AK4:AK19)+SUM(AO4:AO19)+SUM(AS4:AS19)+SUM(AW4:AW19)</f>
        <v/>
      </c>
      <c r="D5" s="14">
        <f>COUNTIF('Monthly Balances'!AX4:AX19,"&lt;0")</f>
        <v/>
      </c>
      <c r="E5" s="9">
        <f>B5-C5</f>
        <v/>
      </c>
    </row>
    <row r="6">
      <c r="B6" s="2" t="n"/>
      <c r="C6" s="2" t="n"/>
      <c r="D6" s="2" t="n"/>
      <c r="E6" s="2" t="n"/>
    </row>
    <row r="7">
      <c r="B7" s="2" t="n"/>
      <c r="C7" s="2" t="n"/>
      <c r="D7" s="2" t="n"/>
      <c r="E7" s="2" t="n"/>
    </row>
    <row r="8">
      <c r="B8" s="15" t="inlineStr">
        <is>
          <t>Envelope</t>
        </is>
      </c>
      <c r="C8" s="15" t="inlineStr">
        <is>
          <t>Dec Ending Balance</t>
        </is>
      </c>
      <c r="D8" s="2" t="n"/>
      <c r="E8" s="2" t="n"/>
    </row>
    <row r="9">
      <c r="B9" s="4" t="inlineStr">
        <is>
          <t>Rent</t>
        </is>
      </c>
      <c r="C9" s="6">
        <f>'Monthly Balances'!AX4</f>
        <v/>
      </c>
      <c r="D9" s="2" t="n"/>
      <c r="E9" s="2" t="n"/>
    </row>
    <row r="10">
      <c r="B10" s="4" t="inlineStr">
        <is>
          <t>Utilities</t>
        </is>
      </c>
      <c r="C10" s="6">
        <f>'Monthly Balances'!AX5</f>
        <v/>
      </c>
      <c r="D10" s="2" t="n"/>
      <c r="E10" s="2" t="n"/>
    </row>
    <row r="11">
      <c r="B11" s="4" t="inlineStr">
        <is>
          <t>Groceries</t>
        </is>
      </c>
      <c r="C11" s="6">
        <f>'Monthly Balances'!AX6</f>
        <v/>
      </c>
      <c r="D11" s="2" t="n"/>
      <c r="E11" s="2" t="n"/>
    </row>
    <row r="12">
      <c r="B12" s="4" t="inlineStr">
        <is>
          <t>Gas</t>
        </is>
      </c>
      <c r="C12" s="6">
        <f>'Monthly Balances'!AX7</f>
        <v/>
      </c>
      <c r="D12" s="2" t="n"/>
      <c r="E12" s="2" t="n"/>
    </row>
    <row r="13">
      <c r="B13" s="4" t="inlineStr">
        <is>
          <t>Auto Insurance</t>
        </is>
      </c>
      <c r="C13" s="6">
        <f>'Monthly Balances'!AX8</f>
        <v/>
      </c>
      <c r="D13" s="2" t="n"/>
      <c r="E13" s="2" t="n"/>
    </row>
    <row r="14">
      <c r="B14" s="4" t="inlineStr">
        <is>
          <t>Phone</t>
        </is>
      </c>
      <c r="C14" s="6">
        <f>'Monthly Balances'!AX9</f>
        <v/>
      </c>
      <c r="D14" s="2" t="n"/>
      <c r="E14" s="2" t="n"/>
    </row>
    <row r="15">
      <c r="B15" s="4" t="inlineStr">
        <is>
          <t>Medical</t>
        </is>
      </c>
      <c r="C15" s="6">
        <f>'Monthly Balances'!AX10</f>
        <v/>
      </c>
      <c r="D15" s="2" t="n"/>
      <c r="E15" s="2" t="n"/>
    </row>
    <row r="16">
      <c r="B16" s="4" t="inlineStr">
        <is>
          <t>Dining Out</t>
        </is>
      </c>
      <c r="C16" s="6">
        <f>'Monthly Balances'!AX11</f>
        <v/>
      </c>
      <c r="D16" s="2" t="n"/>
      <c r="E16" s="2" t="n"/>
    </row>
    <row r="17">
      <c r="B17" s="4" t="inlineStr">
        <is>
          <t>Coffee</t>
        </is>
      </c>
      <c r="C17" s="6">
        <f>'Monthly Balances'!AX12</f>
        <v/>
      </c>
      <c r="D17" s="2" t="n"/>
      <c r="E17" s="2" t="n"/>
    </row>
    <row r="18">
      <c r="B18" s="4" t="inlineStr">
        <is>
          <t>Entertainment</t>
        </is>
      </c>
      <c r="C18" s="6">
        <f>'Monthly Balances'!AX13</f>
        <v/>
      </c>
      <c r="D18" s="2" t="n"/>
      <c r="E18" s="2" t="n"/>
    </row>
    <row r="19">
      <c r="B19" s="4" t="inlineStr">
        <is>
          <t>Clothing</t>
        </is>
      </c>
      <c r="C19" s="6">
        <f>'Monthly Balances'!AX14</f>
        <v/>
      </c>
      <c r="D19" s="2" t="n"/>
      <c r="E19" s="2" t="n"/>
    </row>
    <row r="20">
      <c r="B20" s="4" t="inlineStr">
        <is>
          <t>Personal Care</t>
        </is>
      </c>
      <c r="C20" s="6">
        <f>'Monthly Balances'!AX15</f>
        <v/>
      </c>
      <c r="D20" s="2" t="n"/>
      <c r="E20" s="2" t="n"/>
    </row>
    <row r="21">
      <c r="B21" s="4" t="inlineStr">
        <is>
          <t>Subscriptions</t>
        </is>
      </c>
      <c r="C21" s="6">
        <f>'Monthly Balances'!AX16</f>
        <v/>
      </c>
      <c r="D21" s="2" t="n"/>
      <c r="E21" s="2" t="n"/>
    </row>
    <row r="22">
      <c r="B22" s="4" t="inlineStr">
        <is>
          <t>Emergency Fund</t>
        </is>
      </c>
      <c r="C22" s="6">
        <f>'Monthly Balances'!AX17</f>
        <v/>
      </c>
      <c r="D22" s="2" t="n"/>
      <c r="E22" s="2" t="n"/>
    </row>
    <row r="23">
      <c r="B23" s="4" t="inlineStr">
        <is>
          <t>Vacation</t>
        </is>
      </c>
      <c r="C23" s="6">
        <f>'Monthly Balances'!AX18</f>
        <v/>
      </c>
      <c r="D23" s="2" t="n"/>
      <c r="E23" s="2" t="n"/>
    </row>
    <row r="24">
      <c r="B24" s="4" t="inlineStr">
        <is>
          <t>Car Repair Fund</t>
        </is>
      </c>
      <c r="C24" s="6">
        <f>'Monthly Balances'!AX19</f>
        <v/>
      </c>
      <c r="D24" s="2" t="n"/>
      <c r="E24" s="2" t="n"/>
    </row>
    <row r="25">
      <c r="B25" s="2" t="n"/>
      <c r="C25" s="2" t="n"/>
      <c r="D25" s="2" t="n"/>
      <c r="E25" s="2" t="n"/>
    </row>
    <row r="26">
      <c r="B26" s="2" t="n"/>
      <c r="C26" s="2" t="n"/>
      <c r="D26" s="2" t="n"/>
      <c r="E26" s="2" t="n"/>
    </row>
    <row r="27">
      <c r="B27" s="15" t="inlineStr">
        <is>
          <t>Month</t>
        </is>
      </c>
      <c r="C27" s="15" t="inlineStr">
        <is>
          <t>Total Funded</t>
        </is>
      </c>
      <c r="D27" s="15" t="inlineStr">
        <is>
          <t>Total Spent</t>
        </is>
      </c>
      <c r="E27" s="2" t="n"/>
    </row>
    <row r="28">
      <c r="B28" s="4" t="inlineStr">
        <is>
          <t>Jan</t>
        </is>
      </c>
      <c r="C28" s="6">
        <f>SUM('Monthly Balances'!D4:D19)</f>
        <v/>
      </c>
      <c r="D28" s="6">
        <f>SUM('Monthly Balances'!E4:E19)</f>
        <v/>
      </c>
      <c r="E28" s="2" t="n"/>
    </row>
    <row r="29">
      <c r="B29" s="4" t="inlineStr">
        <is>
          <t>Feb</t>
        </is>
      </c>
      <c r="C29" s="6">
        <f>SUM('Monthly Balances'!H4:H19)</f>
        <v/>
      </c>
      <c r="D29" s="6">
        <f>SUM('Monthly Balances'!I4:I19)</f>
        <v/>
      </c>
      <c r="E29" s="2" t="n"/>
    </row>
    <row r="30">
      <c r="B30" s="4" t="inlineStr">
        <is>
          <t>Mar</t>
        </is>
      </c>
      <c r="C30" s="6">
        <f>SUM('Monthly Balances'!L4:L19)</f>
        <v/>
      </c>
      <c r="D30" s="6">
        <f>SUM('Monthly Balances'!M4:M19)</f>
        <v/>
      </c>
      <c r="E30" s="2" t="n"/>
    </row>
    <row r="31">
      <c r="B31" s="4" t="inlineStr">
        <is>
          <t>Apr</t>
        </is>
      </c>
      <c r="C31" s="6">
        <f>SUM('Monthly Balances'!P4:P19)</f>
        <v/>
      </c>
      <c r="D31" s="6">
        <f>SUM('Monthly Balances'!Q4:Q19)</f>
        <v/>
      </c>
      <c r="E31" s="2" t="n"/>
    </row>
    <row r="32">
      <c r="B32" s="4" t="inlineStr">
        <is>
          <t>May</t>
        </is>
      </c>
      <c r="C32" s="6">
        <f>SUM('Monthly Balances'!T4:T19)</f>
        <v/>
      </c>
      <c r="D32" s="6">
        <f>SUM('Monthly Balances'!U4:U19)</f>
        <v/>
      </c>
      <c r="E32" s="2" t="n"/>
    </row>
    <row r="33">
      <c r="B33" s="4" t="inlineStr">
        <is>
          <t>Jun</t>
        </is>
      </c>
      <c r="C33" s="6">
        <f>SUM('Monthly Balances'!X4:X19)</f>
        <v/>
      </c>
      <c r="D33" s="6">
        <f>SUM('Monthly Balances'!Y4:Y19)</f>
        <v/>
      </c>
      <c r="E33" s="2" t="n"/>
    </row>
    <row r="34">
      <c r="B34" s="4" t="inlineStr">
        <is>
          <t>Jul</t>
        </is>
      </c>
      <c r="C34" s="6">
        <f>SUM('Monthly Balances'!AB4:AB19)</f>
        <v/>
      </c>
      <c r="D34" s="6">
        <f>SUM('Monthly Balances'!AC4:AC19)</f>
        <v/>
      </c>
      <c r="E34" s="2" t="n"/>
    </row>
    <row r="35">
      <c r="B35" s="4" t="inlineStr">
        <is>
          <t>Aug</t>
        </is>
      </c>
      <c r="C35" s="6">
        <f>SUM('Monthly Balances'!AF4:AF19)</f>
        <v/>
      </c>
      <c r="D35" s="6">
        <f>SUM('Monthly Balances'!AG4:AG19)</f>
        <v/>
      </c>
      <c r="E35" s="2" t="n"/>
    </row>
    <row r="36">
      <c r="B36" s="4" t="inlineStr">
        <is>
          <t>Sep</t>
        </is>
      </c>
      <c r="C36" s="6">
        <f>SUM('Monthly Balances'!AJ4:AJ19)</f>
        <v/>
      </c>
      <c r="D36" s="6">
        <f>SUM('Monthly Balances'!AK4:AK19)</f>
        <v/>
      </c>
      <c r="E36" s="2" t="n"/>
    </row>
    <row r="37">
      <c r="B37" s="4" t="inlineStr">
        <is>
          <t>Oct</t>
        </is>
      </c>
      <c r="C37" s="6">
        <f>SUM('Monthly Balances'!AN4:AN19)</f>
        <v/>
      </c>
      <c r="D37" s="6">
        <f>SUM('Monthly Balances'!AO4:AO19)</f>
        <v/>
      </c>
      <c r="E37" s="2" t="n"/>
    </row>
    <row r="38">
      <c r="B38" s="4" t="inlineStr">
        <is>
          <t>Nov</t>
        </is>
      </c>
      <c r="C38" s="6">
        <f>SUM('Monthly Balances'!AR4:AR19)</f>
        <v/>
      </c>
      <c r="D38" s="6">
        <f>SUM('Monthly Balances'!AS4:AS19)</f>
        <v/>
      </c>
      <c r="E38" s="2" t="n"/>
    </row>
    <row r="39">
      <c r="B39" s="4" t="inlineStr">
        <is>
          <t>Dec</t>
        </is>
      </c>
      <c r="C39" s="6">
        <f>SUM('Monthly Balances'!AV4:AV19)</f>
        <v/>
      </c>
      <c r="D39" s="6">
        <f>SUM('Monthly Balances'!AW4:AW19)</f>
        <v/>
      </c>
      <c r="E39" s="2" t="n"/>
    </row>
  </sheetData>
  <pageMargins left="0.75" right="0.75" top="1" bottom="1" header="0.5" footer="0.5"/>
  <drawing xmlns:r="http://schemas.openxmlformats.org/officeDocument/2006/relationships" r:id="rId1"/>
</worksheet>
</file>

<file path=xl/worksheets/sheet6.xml><?xml version="1.0" encoding="utf-8"?>
<worksheet xmlns="http://schemas.openxmlformats.org/spreadsheetml/2006/main">
  <sheetPr>
    <outlinePr summaryBelow="1" summaryRight="1"/>
    <pageSetUpPr/>
  </sheetPr>
  <dimension ref="A1:C12"/>
  <sheetViews>
    <sheetView showGridLines="0" workbookViewId="0">
      <pane xSplit="1" ySplit="1" topLeftCell="B2" activePane="bottomRight" state="frozen"/>
      <selection pane="topRight"/>
      <selection pane="bottomLeft"/>
      <selection pane="bottomRight" activeCell="A1" sqref="A1"/>
    </sheetView>
  </sheetViews>
  <sheetFormatPr baseColWidth="8" defaultRowHeight="15"/>
  <cols>
    <col width="65" customWidth="1" min="2" max="2"/>
  </cols>
  <sheetData>
    <row r="1"/>
    <row r="2">
      <c r="B2" s="2" t="n"/>
      <c r="C2" s="2" t="n"/>
    </row>
    <row r="3">
      <c r="B3" s="2" t="n"/>
      <c r="C3" s="4" t="inlineStr">
        <is>
          <t>Envelope Budget System</t>
        </is>
      </c>
    </row>
    <row r="4">
      <c r="B4" s="2" t="n"/>
      <c r="C4" s="4" t="inlineStr"/>
    </row>
    <row r="5">
      <c r="B5" s="2" t="n"/>
      <c r="C5" s="4" t="inlineStr">
        <is>
          <t>Sample data covers 26 bi-weekly paychecks in 2025.</t>
        </is>
      </c>
    </row>
    <row r="6">
      <c r="B6" s="2" t="n"/>
      <c r="C6" s="4" t="inlineStr">
        <is>
          <t>All transactions and amounts are fictional.</t>
        </is>
      </c>
    </row>
    <row r="7">
      <c r="B7" s="2" t="n"/>
      <c r="C7" s="4" t="inlineStr">
        <is>
          <t>Start on the Envelopes sheet to set targets and rollover rules.</t>
        </is>
      </c>
    </row>
    <row r="8">
      <c r="B8" s="2" t="n"/>
      <c r="C8" s="4" t="inlineStr">
        <is>
          <t>Split each paycheck across envelopes on the Funding sheet.</t>
        </is>
      </c>
    </row>
    <row r="9">
      <c r="B9" s="2" t="n"/>
      <c r="C9" s="4" t="inlineStr">
        <is>
          <t>Log spending on the Spending sheet using the envelope dropdown.</t>
        </is>
      </c>
    </row>
    <row r="10">
      <c r="B10" s="2" t="n"/>
      <c r="C10" s="4" t="inlineStr">
        <is>
          <t>Monthly Balances runs the rollover math automatically.</t>
        </is>
      </c>
    </row>
    <row r="11">
      <c r="B11" s="2" t="n"/>
      <c r="C11" s="4" t="inlineStr">
        <is>
          <t>Do not insert or delete rows inside the data ranges.</t>
        </is>
      </c>
    </row>
    <row r="12">
      <c r="B12" s="2" t="n"/>
      <c r="C12" s="4" t="inlineStr">
        <is>
          <t>This is not financial advice. Talk to a professional about your situation.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Samuel Reed</dc:creator>
  <dcterms:created xsi:type="dcterms:W3CDTF">2024-07-07T16:02:40Z</dcterms:created>
  <dcterms:modified xsi:type="dcterms:W3CDTF">2025-02-14T17:17:40Z</dcterms:modified>
  <cp:lastModifiedBy>Samuel Reed</cp:lastModifiedBy>
  <cp:revision>1</cp:revision>
</cp:coreProperties>
</file>