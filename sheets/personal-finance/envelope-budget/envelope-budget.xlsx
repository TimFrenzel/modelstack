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I:\My Drive\000_drive_drive\600_PROJECTS\modelstack\sheets\personal-finance\envelope-budget\"/>
    </mc:Choice>
  </mc:AlternateContent>
  <xr:revisionPtr revIDLastSave="0" documentId="13_ncr:1_{290F3F3C-560A-42E1-995B-96BFA55689AD}" xr6:coauthVersionLast="47" xr6:coauthVersionMax="47" xr10:uidLastSave="{00000000-0000-0000-0000-000000000000}"/>
  <bookViews>
    <workbookView xWindow="38280" yWindow="-120" windowWidth="29040" windowHeight="15720" activeTab="4" xr2:uid="{00000000-000D-0000-FFFF-FFFF00000000}"/>
  </bookViews>
  <sheets>
    <sheet name="Envelopes" sheetId="1" r:id="rId1"/>
    <sheet name="Funding" sheetId="2" r:id="rId2"/>
    <sheet name="Spending" sheetId="3" r:id="rId3"/>
    <sheet name="Monthly Balances" sheetId="4" r:id="rId4"/>
    <sheet name="Dashboard" sheetId="5" r:id="rId5"/>
    <sheet name="Readm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F2" i="4"/>
  <c r="A3" i="5"/>
  <c r="AV17" i="4"/>
  <c r="AU17" i="4"/>
  <c r="AR17" i="4"/>
  <c r="AQ17" i="4"/>
  <c r="AN17" i="4"/>
  <c r="AM17" i="4"/>
  <c r="AJ17" i="4"/>
  <c r="AI17" i="4"/>
  <c r="AF17" i="4"/>
  <c r="AE17" i="4"/>
  <c r="AB17" i="4"/>
  <c r="AA17" i="4"/>
  <c r="X17" i="4"/>
  <c r="W17" i="4"/>
  <c r="T17" i="4"/>
  <c r="S17" i="4"/>
  <c r="P17" i="4"/>
  <c r="O17" i="4"/>
  <c r="L17" i="4"/>
  <c r="K17" i="4"/>
  <c r="H17" i="4"/>
  <c r="G17" i="4"/>
  <c r="D17" i="4"/>
  <c r="C17" i="4"/>
  <c r="AV16" i="4"/>
  <c r="AU16" i="4"/>
  <c r="AR16" i="4"/>
  <c r="AQ16" i="4"/>
  <c r="AN16" i="4"/>
  <c r="AM16" i="4"/>
  <c r="AJ16" i="4"/>
  <c r="AI16" i="4"/>
  <c r="AF16" i="4"/>
  <c r="AE16" i="4"/>
  <c r="AB16" i="4"/>
  <c r="AA16" i="4"/>
  <c r="X16" i="4"/>
  <c r="W16" i="4"/>
  <c r="T16" i="4"/>
  <c r="S16" i="4"/>
  <c r="P16" i="4"/>
  <c r="O16" i="4"/>
  <c r="L16" i="4"/>
  <c r="K16" i="4"/>
  <c r="H16" i="4"/>
  <c r="G16" i="4"/>
  <c r="D16" i="4"/>
  <c r="C16" i="4"/>
  <c r="AV15" i="4"/>
  <c r="AU15" i="4"/>
  <c r="AR15" i="4"/>
  <c r="AQ15" i="4"/>
  <c r="AN15" i="4"/>
  <c r="AM15" i="4"/>
  <c r="AJ15" i="4"/>
  <c r="AI15" i="4"/>
  <c r="AF15" i="4"/>
  <c r="AE15" i="4"/>
  <c r="AB15" i="4"/>
  <c r="AA15" i="4"/>
  <c r="X15" i="4"/>
  <c r="W15" i="4"/>
  <c r="T15" i="4"/>
  <c r="S15" i="4"/>
  <c r="P15" i="4"/>
  <c r="O15" i="4"/>
  <c r="L15" i="4"/>
  <c r="K15" i="4"/>
  <c r="H15" i="4"/>
  <c r="G15" i="4"/>
  <c r="D15" i="4"/>
  <c r="C15" i="4"/>
  <c r="AV14" i="4"/>
  <c r="AU14" i="4"/>
  <c r="AT14" i="4"/>
  <c r="AR14" i="4"/>
  <c r="AQ14" i="4"/>
  <c r="AP14" i="4"/>
  <c r="AN14" i="4"/>
  <c r="AM14" i="4"/>
  <c r="AL14" i="4"/>
  <c r="AJ14" i="4"/>
  <c r="AI14" i="4"/>
  <c r="AH14" i="4"/>
  <c r="AF14" i="4"/>
  <c r="AE14" i="4"/>
  <c r="AD14" i="4"/>
  <c r="AB14" i="4"/>
  <c r="AA14" i="4"/>
  <c r="Z14" i="4"/>
  <c r="Y14" i="4"/>
  <c r="X14" i="4"/>
  <c r="W14" i="4"/>
  <c r="V14" i="4"/>
  <c r="T14" i="4"/>
  <c r="S14" i="4"/>
  <c r="R14" i="4"/>
  <c r="P14" i="4"/>
  <c r="O14" i="4"/>
  <c r="N14" i="4"/>
  <c r="L14" i="4"/>
  <c r="K14" i="4"/>
  <c r="J14" i="4"/>
  <c r="H14" i="4"/>
  <c r="G14" i="4"/>
  <c r="F14" i="4"/>
  <c r="E14" i="4"/>
  <c r="D14" i="4"/>
  <c r="C14" i="4"/>
  <c r="AV13" i="4"/>
  <c r="AU13" i="4"/>
  <c r="AT13" i="4"/>
  <c r="AR13" i="4"/>
  <c r="AQ13" i="4"/>
  <c r="AP13" i="4"/>
  <c r="AN13" i="4"/>
  <c r="AM13" i="4"/>
  <c r="AL13" i="4"/>
  <c r="AJ13" i="4"/>
  <c r="AK13" i="4" s="1"/>
  <c r="AI13" i="4"/>
  <c r="AH13" i="4"/>
  <c r="AF13" i="4"/>
  <c r="AE13" i="4"/>
  <c r="AD13" i="4"/>
  <c r="AB13" i="4"/>
  <c r="AA13" i="4"/>
  <c r="Z13" i="4"/>
  <c r="X13" i="4"/>
  <c r="W13" i="4"/>
  <c r="V13" i="4"/>
  <c r="T13" i="4"/>
  <c r="S13" i="4"/>
  <c r="R13" i="4"/>
  <c r="P13" i="4"/>
  <c r="O13" i="4"/>
  <c r="N13" i="4"/>
  <c r="L13" i="4"/>
  <c r="M13" i="4" s="1"/>
  <c r="K13" i="4"/>
  <c r="J13" i="4"/>
  <c r="H13" i="4"/>
  <c r="G13" i="4"/>
  <c r="F13" i="4"/>
  <c r="D13" i="4"/>
  <c r="C13" i="4"/>
  <c r="AV12" i="4"/>
  <c r="AU12" i="4"/>
  <c r="AT12" i="4"/>
  <c r="AR12" i="4"/>
  <c r="AQ12" i="4"/>
  <c r="AP12" i="4"/>
  <c r="AN12" i="4"/>
  <c r="AM12" i="4"/>
  <c r="AL12" i="4"/>
  <c r="AJ12" i="4"/>
  <c r="AI12" i="4"/>
  <c r="AH12" i="4"/>
  <c r="AF12" i="4"/>
  <c r="AE12" i="4"/>
  <c r="AD12" i="4"/>
  <c r="AB12" i="4"/>
  <c r="AA12" i="4"/>
  <c r="Z12" i="4"/>
  <c r="X12" i="4"/>
  <c r="W12" i="4"/>
  <c r="V12" i="4"/>
  <c r="T12" i="4"/>
  <c r="S12" i="4"/>
  <c r="R12" i="4"/>
  <c r="P12" i="4"/>
  <c r="O12" i="4"/>
  <c r="N12" i="4"/>
  <c r="L12" i="4"/>
  <c r="K12" i="4"/>
  <c r="J12" i="4"/>
  <c r="H12" i="4"/>
  <c r="G12" i="4"/>
  <c r="F12" i="4"/>
  <c r="D12" i="4"/>
  <c r="C12" i="4"/>
  <c r="E12" i="4" s="1"/>
  <c r="AV11" i="4"/>
  <c r="AU11" i="4"/>
  <c r="AT11" i="4"/>
  <c r="AR11" i="4"/>
  <c r="AQ11" i="4"/>
  <c r="AP11" i="4"/>
  <c r="AS11" i="4" s="1"/>
  <c r="AN11" i="4"/>
  <c r="AM11" i="4"/>
  <c r="AL11" i="4"/>
  <c r="AJ11" i="4"/>
  <c r="AI11" i="4"/>
  <c r="AH11" i="4"/>
  <c r="AK11" i="4" s="1"/>
  <c r="AF11" i="4"/>
  <c r="AE11" i="4"/>
  <c r="AD11" i="4"/>
  <c r="AB11" i="4"/>
  <c r="AA11" i="4"/>
  <c r="Z11" i="4"/>
  <c r="AC11" i="4" s="1"/>
  <c r="X11" i="4"/>
  <c r="W11" i="4"/>
  <c r="V11" i="4"/>
  <c r="T11" i="4"/>
  <c r="S11" i="4"/>
  <c r="R11" i="4"/>
  <c r="P11" i="4"/>
  <c r="O11" i="4"/>
  <c r="N11" i="4"/>
  <c r="L11" i="4"/>
  <c r="K11" i="4"/>
  <c r="J11" i="4"/>
  <c r="M11" i="4" s="1"/>
  <c r="H11" i="4"/>
  <c r="G11" i="4"/>
  <c r="F11" i="4"/>
  <c r="D11" i="4"/>
  <c r="C11" i="4"/>
  <c r="E11" i="4" s="1"/>
  <c r="AV10" i="4"/>
  <c r="AU10" i="4"/>
  <c r="AT10" i="4"/>
  <c r="AR10" i="4"/>
  <c r="AQ10" i="4"/>
  <c r="AP10" i="4"/>
  <c r="AN10" i="4"/>
  <c r="AM10" i="4"/>
  <c r="AL10" i="4"/>
  <c r="AJ10" i="4"/>
  <c r="AI10" i="4"/>
  <c r="AK10" i="4" s="1"/>
  <c r="AH10" i="4"/>
  <c r="AF10" i="4"/>
  <c r="AE10" i="4"/>
  <c r="AD10" i="4"/>
  <c r="AB10" i="4"/>
  <c r="AA10" i="4"/>
  <c r="Z10" i="4"/>
  <c r="X10" i="4"/>
  <c r="W10" i="4"/>
  <c r="V10" i="4"/>
  <c r="T10" i="4"/>
  <c r="S10" i="4"/>
  <c r="R10" i="4"/>
  <c r="P10" i="4"/>
  <c r="O10" i="4"/>
  <c r="N10" i="4"/>
  <c r="L10" i="4"/>
  <c r="K10" i="4"/>
  <c r="M10" i="4" s="1"/>
  <c r="J10" i="4"/>
  <c r="H10" i="4"/>
  <c r="G10" i="4"/>
  <c r="F10" i="4"/>
  <c r="D10" i="4"/>
  <c r="C10" i="4"/>
  <c r="AV9" i="4"/>
  <c r="AU9" i="4"/>
  <c r="AT9" i="4"/>
  <c r="AR9" i="4"/>
  <c r="AQ9" i="4"/>
  <c r="AP9" i="4"/>
  <c r="AN9" i="4"/>
  <c r="AM9" i="4"/>
  <c r="AL9" i="4"/>
  <c r="AJ9" i="4"/>
  <c r="AI9" i="4"/>
  <c r="AH9" i="4"/>
  <c r="AF9" i="4"/>
  <c r="AE9" i="4"/>
  <c r="AD9" i="4"/>
  <c r="AB9" i="4"/>
  <c r="AA9" i="4"/>
  <c r="Z9" i="4"/>
  <c r="X9" i="4"/>
  <c r="W9" i="4"/>
  <c r="V9" i="4"/>
  <c r="T9" i="4"/>
  <c r="S9" i="4"/>
  <c r="R9" i="4"/>
  <c r="P9" i="4"/>
  <c r="O9" i="4"/>
  <c r="N9" i="4"/>
  <c r="L9" i="4"/>
  <c r="K9" i="4"/>
  <c r="J9" i="4"/>
  <c r="H9" i="4"/>
  <c r="G9" i="4"/>
  <c r="F9" i="4"/>
  <c r="D9" i="4"/>
  <c r="C9" i="4"/>
  <c r="AV8" i="4"/>
  <c r="AU8" i="4"/>
  <c r="AR8" i="4"/>
  <c r="AQ8" i="4"/>
  <c r="AN8" i="4"/>
  <c r="AM8" i="4"/>
  <c r="AJ8" i="4"/>
  <c r="AI8" i="4"/>
  <c r="AF8" i="4"/>
  <c r="AE8" i="4"/>
  <c r="AB8" i="4"/>
  <c r="AA8" i="4"/>
  <c r="X8" i="4"/>
  <c r="W8" i="4"/>
  <c r="T8" i="4"/>
  <c r="S8" i="4"/>
  <c r="P8" i="4"/>
  <c r="O8" i="4"/>
  <c r="L8" i="4"/>
  <c r="K8" i="4"/>
  <c r="H8" i="4"/>
  <c r="G8" i="4"/>
  <c r="D8" i="4"/>
  <c r="C8" i="4"/>
  <c r="AV7" i="4"/>
  <c r="AU7" i="4"/>
  <c r="AR7" i="4"/>
  <c r="AQ7" i="4"/>
  <c r="AN7" i="4"/>
  <c r="AM7" i="4"/>
  <c r="AJ7" i="4"/>
  <c r="AI7" i="4"/>
  <c r="AF7" i="4"/>
  <c r="AE7" i="4"/>
  <c r="AB7" i="4"/>
  <c r="AA7" i="4"/>
  <c r="X7" i="4"/>
  <c r="W7" i="4"/>
  <c r="T7" i="4"/>
  <c r="S7" i="4"/>
  <c r="P7" i="4"/>
  <c r="O7" i="4"/>
  <c r="L7" i="4"/>
  <c r="K7" i="4"/>
  <c r="H7" i="4"/>
  <c r="G7" i="4"/>
  <c r="D7" i="4"/>
  <c r="C7" i="4"/>
  <c r="AV6" i="4"/>
  <c r="AU6" i="4"/>
  <c r="AR6" i="4"/>
  <c r="AQ6" i="4"/>
  <c r="AN6" i="4"/>
  <c r="AM6" i="4"/>
  <c r="AJ6" i="4"/>
  <c r="AI6" i="4"/>
  <c r="AF6" i="4"/>
  <c r="AE6" i="4"/>
  <c r="AB6" i="4"/>
  <c r="AA6" i="4"/>
  <c r="X6" i="4"/>
  <c r="W6" i="4"/>
  <c r="T6" i="4"/>
  <c r="S6" i="4"/>
  <c r="P6" i="4"/>
  <c r="O6" i="4"/>
  <c r="L6" i="4"/>
  <c r="K6" i="4"/>
  <c r="H6" i="4"/>
  <c r="G6" i="4"/>
  <c r="D6" i="4"/>
  <c r="E6" i="4" s="1"/>
  <c r="F6" i="4" s="1"/>
  <c r="C6" i="4"/>
  <c r="AV5" i="4"/>
  <c r="AU5" i="4"/>
  <c r="AR5" i="4"/>
  <c r="AQ5" i="4"/>
  <c r="AN5" i="4"/>
  <c r="AM5" i="4"/>
  <c r="AJ5" i="4"/>
  <c r="AI5" i="4"/>
  <c r="AF5" i="4"/>
  <c r="AE5" i="4"/>
  <c r="AB5" i="4"/>
  <c r="AA5" i="4"/>
  <c r="X5" i="4"/>
  <c r="W5" i="4"/>
  <c r="T5" i="4"/>
  <c r="S5" i="4"/>
  <c r="P5" i="4"/>
  <c r="O5" i="4"/>
  <c r="L5" i="4"/>
  <c r="K5" i="4"/>
  <c r="H5" i="4"/>
  <c r="G5" i="4"/>
  <c r="D5" i="4"/>
  <c r="C5" i="4"/>
  <c r="AV4" i="4"/>
  <c r="AU4" i="4"/>
  <c r="AR4" i="4"/>
  <c r="AQ4" i="4"/>
  <c r="AN4" i="4"/>
  <c r="AM4" i="4"/>
  <c r="AJ4" i="4"/>
  <c r="AI4" i="4"/>
  <c r="AF4" i="4"/>
  <c r="AE4" i="4"/>
  <c r="AB4" i="4"/>
  <c r="AA4" i="4"/>
  <c r="X4" i="4"/>
  <c r="W4" i="4"/>
  <c r="T4" i="4"/>
  <c r="S4" i="4"/>
  <c r="P4" i="4"/>
  <c r="O4" i="4"/>
  <c r="L4" i="4"/>
  <c r="K4" i="4"/>
  <c r="H4" i="4"/>
  <c r="G4" i="4"/>
  <c r="D4" i="4"/>
  <c r="C4" i="4"/>
  <c r="AV3" i="4"/>
  <c r="AU3" i="4"/>
  <c r="AR3" i="4"/>
  <c r="AQ3" i="4"/>
  <c r="AN3" i="4"/>
  <c r="AM3" i="4"/>
  <c r="AJ3" i="4"/>
  <c r="AI3" i="4"/>
  <c r="AF3" i="4"/>
  <c r="AE3" i="4"/>
  <c r="AB3" i="4"/>
  <c r="AA3" i="4"/>
  <c r="X3" i="4"/>
  <c r="W3" i="4"/>
  <c r="T3" i="4"/>
  <c r="S3" i="4"/>
  <c r="P3" i="4"/>
  <c r="O3" i="4"/>
  <c r="L3" i="4"/>
  <c r="K3" i="4"/>
  <c r="H3" i="4"/>
  <c r="G3" i="4"/>
  <c r="D3" i="4"/>
  <c r="C3" i="4"/>
  <c r="AV2" i="4"/>
  <c r="C37" i="5" s="1"/>
  <c r="AU2" i="4"/>
  <c r="AR2" i="4"/>
  <c r="AQ2" i="4"/>
  <c r="AN2" i="4"/>
  <c r="C35" i="5" s="1"/>
  <c r="AM2" i="4"/>
  <c r="AJ2" i="4"/>
  <c r="AI2" i="4"/>
  <c r="AF2" i="4"/>
  <c r="C33" i="5" s="1"/>
  <c r="AE2" i="4"/>
  <c r="AB2" i="4"/>
  <c r="AA2" i="4"/>
  <c r="X2" i="4"/>
  <c r="C31" i="5" s="1"/>
  <c r="W2" i="4"/>
  <c r="T2" i="4"/>
  <c r="C30" i="5" s="1"/>
  <c r="S2" i="4"/>
  <c r="P2" i="4"/>
  <c r="C29" i="5" s="1"/>
  <c r="O2" i="4"/>
  <c r="L2" i="4"/>
  <c r="K2" i="4"/>
  <c r="H2" i="4"/>
  <c r="C27" i="5" s="1"/>
  <c r="G2" i="4"/>
  <c r="D2" i="4"/>
  <c r="C2" i="4"/>
  <c r="E2" i="4" s="1"/>
  <c r="I2" i="4" s="1"/>
  <c r="J2" i="4" s="1"/>
  <c r="M2" i="4" s="1"/>
  <c r="N2" i="4" s="1"/>
  <c r="Q2" i="4" s="1"/>
  <c r="R2" i="4" s="1"/>
  <c r="U2" i="4" s="1"/>
  <c r="V2" i="4" s="1"/>
  <c r="Y2" i="4" s="1"/>
  <c r="Z2" i="4" s="1"/>
  <c r="T27" i="2"/>
  <c r="T26" i="2"/>
  <c r="T25" i="2"/>
  <c r="T24" i="2"/>
  <c r="T23" i="2"/>
  <c r="T22" i="2"/>
  <c r="T21" i="2"/>
  <c r="T20" i="2"/>
  <c r="T19" i="2"/>
  <c r="T18" i="2"/>
  <c r="T17" i="2"/>
  <c r="T16" i="2"/>
  <c r="T15" i="2"/>
  <c r="T14" i="2"/>
  <c r="T13" i="2"/>
  <c r="T12" i="2"/>
  <c r="T11" i="2"/>
  <c r="T10" i="2"/>
  <c r="T9" i="2"/>
  <c r="T8" i="2"/>
  <c r="T7" i="2"/>
  <c r="T6" i="2"/>
  <c r="T5" i="2"/>
  <c r="T4" i="2"/>
  <c r="T3" i="2"/>
  <c r="T2" i="2"/>
  <c r="F17" i="1"/>
  <c r="F16" i="1"/>
  <c r="F15" i="1"/>
  <c r="F14" i="1"/>
  <c r="F13" i="1"/>
  <c r="F12" i="1"/>
  <c r="F11" i="1"/>
  <c r="F10" i="1"/>
  <c r="F9" i="1"/>
  <c r="F8" i="1"/>
  <c r="F7" i="1"/>
  <c r="F6" i="1"/>
  <c r="F5" i="1"/>
  <c r="F4" i="1"/>
  <c r="F3" i="1"/>
  <c r="F2" i="1"/>
  <c r="E7" i="4" l="1"/>
  <c r="F7" i="4" s="1"/>
  <c r="I7" i="4" s="1"/>
  <c r="J7" i="4" s="1"/>
  <c r="M7" i="4" s="1"/>
  <c r="N7" i="4" s="1"/>
  <c r="Q7" i="4" s="1"/>
  <c r="R7" i="4" s="1"/>
  <c r="U7" i="4" s="1"/>
  <c r="V7" i="4" s="1"/>
  <c r="Y7" i="4" s="1"/>
  <c r="Z7" i="4" s="1"/>
  <c r="AC7" i="4" s="1"/>
  <c r="AD7" i="4" s="1"/>
  <c r="AG7" i="4" s="1"/>
  <c r="AH7" i="4" s="1"/>
  <c r="AK7" i="4" s="1"/>
  <c r="AL7" i="4" s="1"/>
  <c r="AO7" i="4" s="1"/>
  <c r="AP7" i="4" s="1"/>
  <c r="AS7" i="4" s="1"/>
  <c r="AT7" i="4" s="1"/>
  <c r="AW7" i="4" s="1"/>
  <c r="B12" i="5" s="1"/>
  <c r="E8" i="4"/>
  <c r="F8" i="4" s="1"/>
  <c r="I8" i="4" s="1"/>
  <c r="J8" i="4" s="1"/>
  <c r="M8" i="4" s="1"/>
  <c r="N8" i="4" s="1"/>
  <c r="Q8" i="4" s="1"/>
  <c r="R8" i="4" s="1"/>
  <c r="U8" i="4" s="1"/>
  <c r="V8" i="4" s="1"/>
  <c r="Y8" i="4" s="1"/>
  <c r="Z8" i="4" s="1"/>
  <c r="AC8" i="4" s="1"/>
  <c r="AD8" i="4" s="1"/>
  <c r="AG8" i="4" s="1"/>
  <c r="AH8" i="4" s="1"/>
  <c r="AK8" i="4" s="1"/>
  <c r="AL8" i="4" s="1"/>
  <c r="AO8" i="4" s="1"/>
  <c r="AP8" i="4" s="1"/>
  <c r="AS8" i="4" s="1"/>
  <c r="AT8" i="4" s="1"/>
  <c r="AW8" i="4" s="1"/>
  <c r="B13" i="5" s="1"/>
  <c r="E9" i="4"/>
  <c r="U9" i="4"/>
  <c r="I6" i="4"/>
  <c r="J6" i="4" s="1"/>
  <c r="M6" i="4" s="1"/>
  <c r="N6" i="4" s="1"/>
  <c r="Q6" i="4" s="1"/>
  <c r="R6" i="4" s="1"/>
  <c r="U6" i="4" s="1"/>
  <c r="V6" i="4" s="1"/>
  <c r="Y6" i="4" s="1"/>
  <c r="Z6" i="4" s="1"/>
  <c r="AC6" i="4" s="1"/>
  <c r="AD6" i="4" s="1"/>
  <c r="AG6" i="4" s="1"/>
  <c r="AH6" i="4" s="1"/>
  <c r="AK6" i="4" s="1"/>
  <c r="AL6" i="4" s="1"/>
  <c r="AO6" i="4" s="1"/>
  <c r="AP6" i="4" s="1"/>
  <c r="AS6" i="4" s="1"/>
  <c r="AT6" i="4" s="1"/>
  <c r="AW6" i="4" s="1"/>
  <c r="B11" i="5" s="1"/>
  <c r="I10" i="4"/>
  <c r="Y10" i="4"/>
  <c r="I12" i="4"/>
  <c r="Y12" i="4"/>
  <c r="AO12" i="4"/>
  <c r="I13" i="4"/>
  <c r="AO14" i="4"/>
  <c r="B27" i="5"/>
  <c r="AC10" i="4"/>
  <c r="AC14" i="4"/>
  <c r="M14" i="4"/>
  <c r="C34" i="5"/>
  <c r="AC9" i="4"/>
  <c r="Q13" i="4"/>
  <c r="Q14" i="4"/>
  <c r="AS10" i="4"/>
  <c r="AW9" i="4"/>
  <c r="B14" i="5" s="1"/>
  <c r="AG10" i="4"/>
  <c r="AW10" i="4"/>
  <c r="B15" i="5" s="1"/>
  <c r="AW14" i="4"/>
  <c r="B19" i="5" s="1"/>
  <c r="AG9" i="4"/>
  <c r="U10" i="4"/>
  <c r="AK14" i="4"/>
  <c r="B33" i="5"/>
  <c r="Y9" i="4"/>
  <c r="Q12" i="4"/>
  <c r="AG12" i="4"/>
  <c r="AW12" i="4"/>
  <c r="B17" i="5" s="1"/>
  <c r="AG13" i="4"/>
  <c r="B28" i="5"/>
  <c r="B34" i="5"/>
  <c r="I9" i="4"/>
  <c r="AO9" i="4"/>
  <c r="Q11" i="4"/>
  <c r="AG11" i="4"/>
  <c r="AW11" i="4"/>
  <c r="B16" i="5" s="1"/>
  <c r="AW13" i="4"/>
  <c r="B18" i="5" s="1"/>
  <c r="AS14" i="4"/>
  <c r="C28" i="5"/>
  <c r="B29" i="5"/>
  <c r="B35" i="5"/>
  <c r="M9" i="4"/>
  <c r="U12" i="4"/>
  <c r="AK12" i="4"/>
  <c r="E13" i="4"/>
  <c r="U13" i="4"/>
  <c r="AG14" i="4"/>
  <c r="U11" i="4"/>
  <c r="U14" i="4"/>
  <c r="AC2" i="4"/>
  <c r="AD2" i="4" s="1"/>
  <c r="AG2" i="4" s="1"/>
  <c r="AH2" i="4" s="1"/>
  <c r="AK2" i="4" s="1"/>
  <c r="AL2" i="4" s="1"/>
  <c r="AO2" i="4" s="1"/>
  <c r="AP2" i="4" s="1"/>
  <c r="AS2" i="4" s="1"/>
  <c r="AT2" i="4" s="1"/>
  <c r="AW2" i="4" s="1"/>
  <c r="B7" i="5" s="1"/>
  <c r="B30" i="5"/>
  <c r="B36" i="5"/>
  <c r="AS9" i="4"/>
  <c r="AO10" i="4"/>
  <c r="AO13" i="4"/>
  <c r="I14" i="4"/>
  <c r="C36" i="5"/>
  <c r="B31" i="5"/>
  <c r="B37" i="5"/>
  <c r="Q9" i="4"/>
  <c r="Q10" i="4"/>
  <c r="I11" i="4"/>
  <c r="Y11" i="4"/>
  <c r="AO11" i="4"/>
  <c r="Y13" i="4"/>
  <c r="C32" i="5"/>
  <c r="B26" i="5"/>
  <c r="AC13" i="4"/>
  <c r="C26" i="5"/>
  <c r="B32" i="5"/>
  <c r="E3" i="4"/>
  <c r="F3" i="4" s="1"/>
  <c r="I3" i="4" s="1"/>
  <c r="J3" i="4" s="1"/>
  <c r="M3" i="4" s="1"/>
  <c r="N3" i="4" s="1"/>
  <c r="Q3" i="4" s="1"/>
  <c r="R3" i="4" s="1"/>
  <c r="U3" i="4" s="1"/>
  <c r="V3" i="4" s="1"/>
  <c r="Y3" i="4" s="1"/>
  <c r="Z3" i="4" s="1"/>
  <c r="AC3" i="4" s="1"/>
  <c r="AD3" i="4" s="1"/>
  <c r="AG3" i="4" s="1"/>
  <c r="AH3" i="4" s="1"/>
  <c r="AK3" i="4" s="1"/>
  <c r="AL3" i="4" s="1"/>
  <c r="AO3" i="4" s="1"/>
  <c r="AP3" i="4" s="1"/>
  <c r="AS3" i="4" s="1"/>
  <c r="AT3" i="4" s="1"/>
  <c r="AW3" i="4" s="1"/>
  <c r="B8" i="5" s="1"/>
  <c r="E4" i="4"/>
  <c r="F4" i="4" s="1"/>
  <c r="I4" i="4" s="1"/>
  <c r="J4" i="4" s="1"/>
  <c r="M4" i="4" s="1"/>
  <c r="N4" i="4" s="1"/>
  <c r="Q4" i="4" s="1"/>
  <c r="R4" i="4" s="1"/>
  <c r="U4" i="4" s="1"/>
  <c r="V4" i="4" s="1"/>
  <c r="Y4" i="4" s="1"/>
  <c r="Z4" i="4" s="1"/>
  <c r="AC4" i="4" s="1"/>
  <c r="AD4" i="4" s="1"/>
  <c r="AG4" i="4" s="1"/>
  <c r="AH4" i="4" s="1"/>
  <c r="AK4" i="4" s="1"/>
  <c r="AL4" i="4" s="1"/>
  <c r="AO4" i="4" s="1"/>
  <c r="AP4" i="4" s="1"/>
  <c r="AS4" i="4" s="1"/>
  <c r="AT4" i="4" s="1"/>
  <c r="AW4" i="4" s="1"/>
  <c r="B9" i="5" s="1"/>
  <c r="E5" i="4"/>
  <c r="F5" i="4" s="1"/>
  <c r="I5" i="4" s="1"/>
  <c r="J5" i="4" s="1"/>
  <c r="M5" i="4" s="1"/>
  <c r="N5" i="4" s="1"/>
  <c r="Q5" i="4" s="1"/>
  <c r="R5" i="4" s="1"/>
  <c r="U5" i="4" s="1"/>
  <c r="V5" i="4" s="1"/>
  <c r="Y5" i="4" s="1"/>
  <c r="Z5" i="4" s="1"/>
  <c r="AC5" i="4" s="1"/>
  <c r="AD5" i="4" s="1"/>
  <c r="AG5" i="4" s="1"/>
  <c r="AH5" i="4" s="1"/>
  <c r="AK5" i="4" s="1"/>
  <c r="AL5" i="4" s="1"/>
  <c r="AO5" i="4" s="1"/>
  <c r="AP5" i="4" s="1"/>
  <c r="AS5" i="4" s="1"/>
  <c r="AT5" i="4" s="1"/>
  <c r="AW5" i="4" s="1"/>
  <c r="B10" i="5" s="1"/>
  <c r="AK9" i="4"/>
  <c r="E10" i="4"/>
  <c r="M12" i="4"/>
  <c r="AC12" i="4"/>
  <c r="AS12" i="4"/>
  <c r="AS13" i="4"/>
  <c r="E15" i="4"/>
  <c r="F15" i="4" s="1"/>
  <c r="I15" i="4" s="1"/>
  <c r="J15" i="4" s="1"/>
  <c r="M15" i="4" s="1"/>
  <c r="N15" i="4" s="1"/>
  <c r="Q15" i="4" s="1"/>
  <c r="R15" i="4" s="1"/>
  <c r="U15" i="4" s="1"/>
  <c r="V15" i="4" s="1"/>
  <c r="Y15" i="4" s="1"/>
  <c r="Z15" i="4" s="1"/>
  <c r="AC15" i="4" s="1"/>
  <c r="AD15" i="4" s="1"/>
  <c r="AG15" i="4" s="1"/>
  <c r="AH15" i="4" s="1"/>
  <c r="AK15" i="4" s="1"/>
  <c r="AL15" i="4" s="1"/>
  <c r="AO15" i="4" s="1"/>
  <c r="AP15" i="4" s="1"/>
  <c r="AS15" i="4" s="1"/>
  <c r="AT15" i="4" s="1"/>
  <c r="AW15" i="4" s="1"/>
  <c r="B20" i="5" s="1"/>
  <c r="E16" i="4"/>
  <c r="F16" i="4" s="1"/>
  <c r="I16" i="4" s="1"/>
  <c r="J16" i="4" s="1"/>
  <c r="M16" i="4" s="1"/>
  <c r="N16" i="4" s="1"/>
  <c r="Q16" i="4" s="1"/>
  <c r="R16" i="4" s="1"/>
  <c r="U16" i="4" s="1"/>
  <c r="V16" i="4" s="1"/>
  <c r="Y16" i="4" s="1"/>
  <c r="Z16" i="4" s="1"/>
  <c r="AC16" i="4" s="1"/>
  <c r="AD16" i="4" s="1"/>
  <c r="AG16" i="4" s="1"/>
  <c r="AH16" i="4" s="1"/>
  <c r="AK16" i="4" s="1"/>
  <c r="AL16" i="4" s="1"/>
  <c r="AO16" i="4" s="1"/>
  <c r="AP16" i="4" s="1"/>
  <c r="AS16" i="4" s="1"/>
  <c r="AT16" i="4" s="1"/>
  <c r="AW16" i="4" s="1"/>
  <c r="B21" i="5" s="1"/>
  <c r="E17" i="4"/>
  <c r="F17" i="4" s="1"/>
  <c r="I17" i="4" s="1"/>
  <c r="J17" i="4" s="1"/>
  <c r="M17" i="4" s="1"/>
  <c r="N17" i="4" s="1"/>
  <c r="Q17" i="4" s="1"/>
  <c r="R17" i="4" s="1"/>
  <c r="U17" i="4" s="1"/>
  <c r="V17" i="4" s="1"/>
  <c r="Y17" i="4" s="1"/>
  <c r="Z17" i="4" s="1"/>
  <c r="AC17" i="4" s="1"/>
  <c r="AD17" i="4" s="1"/>
  <c r="AG17" i="4" s="1"/>
  <c r="AH17" i="4" s="1"/>
  <c r="AK17" i="4" s="1"/>
  <c r="AL17" i="4" s="1"/>
  <c r="AO17" i="4" s="1"/>
  <c r="AP17" i="4" s="1"/>
  <c r="AS17" i="4" s="1"/>
  <c r="AT17" i="4" s="1"/>
  <c r="AW17" i="4" s="1"/>
  <c r="B22" i="5" s="1"/>
  <c r="C3" i="5"/>
  <c r="D3" i="5" l="1"/>
</calcChain>
</file>

<file path=xl/sharedStrings.xml><?xml version="1.0" encoding="utf-8"?>
<sst xmlns="http://schemas.openxmlformats.org/spreadsheetml/2006/main" count="740" uniqueCount="146">
  <si>
    <t>Envelope</t>
  </si>
  <si>
    <t>Group</t>
  </si>
  <si>
    <t>Monthly Target</t>
  </si>
  <si>
    <t>Rollover</t>
  </si>
  <si>
    <t>Priority</t>
  </si>
  <si>
    <t>Annual Target</t>
  </si>
  <si>
    <t>Rent</t>
  </si>
  <si>
    <t>Essentials</t>
  </si>
  <si>
    <t>Yes</t>
  </si>
  <si>
    <t>Utilities</t>
  </si>
  <si>
    <t>Groceries</t>
  </si>
  <si>
    <t>Gas</t>
  </si>
  <si>
    <t>Auto Insurance</t>
  </si>
  <si>
    <t>Phone</t>
  </si>
  <si>
    <t>Medical</t>
  </si>
  <si>
    <t>Dining Out</t>
  </si>
  <si>
    <t>Lifestyle</t>
  </si>
  <si>
    <t>No</t>
  </si>
  <si>
    <t>Coffee</t>
  </si>
  <si>
    <t>Entertainment</t>
  </si>
  <si>
    <t>Clothing</t>
  </si>
  <si>
    <t>Personal Care</t>
  </si>
  <si>
    <t>Subscriptions</t>
  </si>
  <si>
    <t>Emergency Fund</t>
  </si>
  <si>
    <t>Goals</t>
  </si>
  <si>
    <t>Vacation</t>
  </si>
  <si>
    <t>Car Repair Fund</t>
  </si>
  <si>
    <t>Pay Date</t>
  </si>
  <si>
    <t>Gross Pay</t>
  </si>
  <si>
    <t>Net Pay</t>
  </si>
  <si>
    <t>Remainder</t>
  </si>
  <si>
    <t>Date</t>
  </si>
  <si>
    <t>Payee</t>
  </si>
  <si>
    <t>Amount</t>
  </si>
  <si>
    <t>Notes</t>
  </si>
  <si>
    <t>Landlord</t>
  </si>
  <si>
    <t>Power Co</t>
  </si>
  <si>
    <t>Trader Joes</t>
  </si>
  <si>
    <t>Costco</t>
  </si>
  <si>
    <t>Shell</t>
  </si>
  <si>
    <t>BP</t>
  </si>
  <si>
    <t>Geico</t>
  </si>
  <si>
    <t>T-Mobile</t>
  </si>
  <si>
    <t>CVS</t>
  </si>
  <si>
    <t>Thai Kitchen</t>
  </si>
  <si>
    <t>Chipotle</t>
  </si>
  <si>
    <t>Local Roast</t>
  </si>
  <si>
    <t>Bowling Alley</t>
  </si>
  <si>
    <t>Spotify</t>
  </si>
  <si>
    <t>TJ Maxx</t>
  </si>
  <si>
    <t>Great Clips</t>
  </si>
  <si>
    <t>NYT</t>
  </si>
  <si>
    <t>Water Dept</t>
  </si>
  <si>
    <t>Kroger</t>
  </si>
  <si>
    <t>Aldi</t>
  </si>
  <si>
    <t>Olive Garden</t>
  </si>
  <si>
    <t>Panera</t>
  </si>
  <si>
    <t>Starbucks</t>
  </si>
  <si>
    <t>AMC</t>
  </si>
  <si>
    <t>Target</t>
  </si>
  <si>
    <t>Target Beauty</t>
  </si>
  <si>
    <t>iCloud</t>
  </si>
  <si>
    <t>Netflix</t>
  </si>
  <si>
    <t>Costco Gas</t>
  </si>
  <si>
    <t>Dr. Kim</t>
  </si>
  <si>
    <t>Dunkin</t>
  </si>
  <si>
    <t>Urgent Care</t>
  </si>
  <si>
    <t>Old Navy</t>
  </si>
  <si>
    <t>Steam</t>
  </si>
  <si>
    <t>Jan Starting</t>
  </si>
  <si>
    <t>Jan Funded</t>
  </si>
  <si>
    <t>Jan Spent</t>
  </si>
  <si>
    <t>Jan Ending</t>
  </si>
  <si>
    <t>Feb Starting</t>
  </si>
  <si>
    <t>Feb Funded</t>
  </si>
  <si>
    <t>Feb Spent</t>
  </si>
  <si>
    <t>Feb Ending</t>
  </si>
  <si>
    <t>Mar Starting</t>
  </si>
  <si>
    <t>Mar Funded</t>
  </si>
  <si>
    <t>Mar Spent</t>
  </si>
  <si>
    <t>Mar Ending</t>
  </si>
  <si>
    <t>Apr Starting</t>
  </si>
  <si>
    <t>Apr Funded</t>
  </si>
  <si>
    <t>Apr Spent</t>
  </si>
  <si>
    <t>Apr Ending</t>
  </si>
  <si>
    <t>May Starting</t>
  </si>
  <si>
    <t>May Funded</t>
  </si>
  <si>
    <t>May Spent</t>
  </si>
  <si>
    <t>May Ending</t>
  </si>
  <si>
    <t>Jun Starting</t>
  </si>
  <si>
    <t>Jun Funded</t>
  </si>
  <si>
    <t>Jun Spent</t>
  </si>
  <si>
    <t>Jun Ending</t>
  </si>
  <si>
    <t>Jul Starting</t>
  </si>
  <si>
    <t>Jul Funded</t>
  </si>
  <si>
    <t>Jul Spent</t>
  </si>
  <si>
    <t>Jul Ending</t>
  </si>
  <si>
    <t>Aug Starting</t>
  </si>
  <si>
    <t>Aug Funded</t>
  </si>
  <si>
    <t>Aug Spent</t>
  </si>
  <si>
    <t>Aug Ending</t>
  </si>
  <si>
    <t>Sep Starting</t>
  </si>
  <si>
    <t>Sep Funded</t>
  </si>
  <si>
    <t>Sep Spent</t>
  </si>
  <si>
    <t>Sep Ending</t>
  </si>
  <si>
    <t>Oct Starting</t>
  </si>
  <si>
    <t>Oct Funded</t>
  </si>
  <si>
    <t>Oct Spent</t>
  </si>
  <si>
    <t>Oct Ending</t>
  </si>
  <si>
    <t>Nov Starting</t>
  </si>
  <si>
    <t>Nov Funded</t>
  </si>
  <si>
    <t>Nov Spent</t>
  </si>
  <si>
    <t>Nov Ending</t>
  </si>
  <si>
    <t>Dec Starting</t>
  </si>
  <si>
    <t>Dec Funded</t>
  </si>
  <si>
    <t>Dec Spent</t>
  </si>
  <si>
    <t>Dec Ending</t>
  </si>
  <si>
    <t>Total Funded YTD</t>
  </si>
  <si>
    <t>Total Spent YTD</t>
  </si>
  <si>
    <t>Envelopes Overspent (Dec)</t>
  </si>
  <si>
    <t>Net YTD</t>
  </si>
  <si>
    <t>Dec Ending Balance</t>
  </si>
  <si>
    <t>Month</t>
  </si>
  <si>
    <t>Total Funded</t>
  </si>
  <si>
    <t>Total Spent</t>
  </si>
  <si>
    <t>Jan</t>
  </si>
  <si>
    <t>Feb</t>
  </si>
  <si>
    <t>Mar</t>
  </si>
  <si>
    <t>Apr</t>
  </si>
  <si>
    <t>May</t>
  </si>
  <si>
    <t>Jun</t>
  </si>
  <si>
    <t>Jul</t>
  </si>
  <si>
    <t>Aug</t>
  </si>
  <si>
    <t>Sep</t>
  </si>
  <si>
    <t>Oct</t>
  </si>
  <si>
    <t>Nov</t>
  </si>
  <si>
    <t>Dec</t>
  </si>
  <si>
    <t>Envelope Budget System</t>
  </si>
  <si>
    <t>Sample data covers 26 bi-weekly paychecks in 2025.</t>
  </si>
  <si>
    <t>All transactions and amounts are fictional.</t>
  </si>
  <si>
    <t>Start on the Envelopes sheet to set targets and rollover rules.</t>
  </si>
  <si>
    <t>Split each paycheck across envelopes on the Funding sheet.</t>
  </si>
  <si>
    <t>Log spending on the Spending sheet using the envelope dropdown.</t>
  </si>
  <si>
    <t>Monthly Balances runs the rollover math automatically.</t>
  </si>
  <si>
    <t>Do not insert or delete rows inside the data ranges.</t>
  </si>
  <si>
    <t>This is not financial advice. Talk to a professional about your situation.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</si>
</sst>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
    <numFmt numFmtId="166" formatCode="&quot;$&quot;#,##0.00"/>
  </numFmts>
  <fonts count="5" x14ac:knownFonts="1">
    <font>
      <sz val="11"/>
      <color theme="1"/>
      <name val="Calibri"/>
      <family val="2"/>
      <scheme val="minor"/>
    </font>
    <font>
      <sz val="11"/>
      <color theme="1"/>
      <name val="Calibri"/>
      <family val="2"/>
      <scheme val="minor"/>
    </font>
    <font>
      <b/>
      <sz val="11"/>
      <color rgb="FF000000"/>
      <name val="Arial"/>
      <family val="2"/>
    </font>
    <font>
      <sz val="11"/>
      <color rgb="FF000000"/>
      <name val="Arial"/>
      <family val="2"/>
    </font>
    <font>
      <i/>
      <sz val="11"/>
      <color rgb="FF000000"/>
      <name val="Arial"/>
      <family val="2"/>
    </font>
  </fonts>
  <fills count="4">
    <fill>
      <patternFill patternType="none"/>
    </fill>
    <fill>
      <patternFill patternType="gray125"/>
    </fill>
    <fill>
      <patternFill patternType="solid">
        <fgColor rgb="FFE8E3DB"/>
      </patternFill>
    </fill>
    <fill>
      <patternFill patternType="solid">
        <fgColor theme="6" tint="0.59999389629810485"/>
        <bgColor indexed="64"/>
      </patternFill>
    </fill>
  </fills>
  <borders count="3">
    <border>
      <left/>
      <right/>
      <top/>
      <bottom/>
      <diagonal/>
    </border>
    <border>
      <left/>
      <right/>
      <top/>
      <bottom style="thin">
        <color rgb="FFB5AFA6"/>
      </bottom>
      <diagonal/>
    </border>
    <border>
      <left/>
      <right style="hair">
        <color rgb="FFB5AFA6"/>
      </right>
      <top/>
      <bottom style="hair">
        <color rgb="FFB5AFA6"/>
      </bottom>
      <diagonal/>
    </border>
  </borders>
  <cellStyleXfs count="1">
    <xf numFmtId="0" fontId="0" fillId="0" borderId="0"/>
  </cellStyleXfs>
  <cellXfs count="13">
    <xf numFmtId="0" fontId="0" fillId="0" borderId="0" xfId="0"/>
    <xf numFmtId="0" fontId="1" fillId="0" borderId="0" xfId="0" applyFont="1" applyAlignment="1">
      <alignment vertical="center"/>
    </xf>
    <xf numFmtId="0" fontId="3" fillId="0" borderId="0" xfId="0" applyFont="1" applyAlignment="1">
      <alignment vertical="center"/>
    </xf>
    <xf numFmtId="164" fontId="3" fillId="2" borderId="0" xfId="0" applyNumberFormat="1" applyFont="1" applyFill="1" applyAlignment="1">
      <alignment vertical="center"/>
    </xf>
    <xf numFmtId="164" fontId="3" fillId="0" borderId="0" xfId="0" applyNumberFormat="1" applyFont="1" applyAlignment="1">
      <alignment vertical="center"/>
    </xf>
    <xf numFmtId="14" fontId="3" fillId="0" borderId="0" xfId="0" applyNumberFormat="1" applyFont="1" applyAlignment="1">
      <alignment vertical="center"/>
    </xf>
    <xf numFmtId="164" fontId="3" fillId="2" borderId="2" xfId="0" applyNumberFormat="1" applyFont="1" applyFill="1" applyBorder="1" applyAlignment="1">
      <alignment vertical="center"/>
    </xf>
    <xf numFmtId="164" fontId="2" fillId="0" borderId="0" xfId="0" applyNumberFormat="1" applyFont="1" applyAlignment="1">
      <alignment vertical="center"/>
    </xf>
    <xf numFmtId="166" fontId="3" fillId="0" borderId="0" xfId="0" applyNumberFormat="1" applyFont="1" applyAlignment="1">
      <alignment vertical="center"/>
    </xf>
    <xf numFmtId="164" fontId="3" fillId="0" borderId="2" xfId="0" applyNumberFormat="1" applyFont="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3" borderId="1" xfId="0" applyFont="1" applyFill="1" applyBorder="1" applyAlignment="1">
      <alignment horizontal="center" vertical="center"/>
    </xf>
  </cellXfs>
  <cellStyles count="1">
    <cellStyle name="Normal" xfId="0" builtinId="0"/>
  </cellStyles>
  <dxfs count="13">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
      <fill>
        <patternFill patternType="solid">
          <fgColor rgb="FFC9625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bar"/>
        <c:grouping val="clustered"/>
        <c:varyColors val="0"/>
        <c:ser>
          <c:idx val="0"/>
          <c:order val="0"/>
          <c:tx>
            <c:strRef>
              <c:f>Dashboard!$B$6</c:f>
              <c:strCache>
                <c:ptCount val="1"/>
                <c:pt idx="0">
                  <c:v>Dec Ending Balance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Dashboard!$A$7:$A$22</c:f>
              <c:strCache>
                <c:ptCount val="16"/>
                <c:pt idx="0">
                  <c:v>Rent</c:v>
                </c:pt>
                <c:pt idx="1">
                  <c:v>Utilities</c:v>
                </c:pt>
                <c:pt idx="2">
                  <c:v>Groceries</c:v>
                </c:pt>
                <c:pt idx="3">
                  <c:v>Gas</c:v>
                </c:pt>
                <c:pt idx="4">
                  <c:v>Auto Insurance</c:v>
                </c:pt>
                <c:pt idx="5">
                  <c:v>Phone</c:v>
                </c:pt>
                <c:pt idx="6">
                  <c:v>Medical</c:v>
                </c:pt>
                <c:pt idx="7">
                  <c:v>Dining Out</c:v>
                </c:pt>
                <c:pt idx="8">
                  <c:v>Coffee</c:v>
                </c:pt>
                <c:pt idx="9">
                  <c:v>Entertainment</c:v>
                </c:pt>
                <c:pt idx="10">
                  <c:v>Clothing</c:v>
                </c:pt>
                <c:pt idx="11">
                  <c:v>Personal Care</c:v>
                </c:pt>
                <c:pt idx="12">
                  <c:v>Subscriptions</c:v>
                </c:pt>
                <c:pt idx="13">
                  <c:v>Emergency Fund</c:v>
                </c:pt>
                <c:pt idx="14">
                  <c:v>Vacation</c:v>
                </c:pt>
                <c:pt idx="15">
                  <c:v>Car Repair Fund</c:v>
                </c:pt>
              </c:strCache>
            </c:strRef>
          </c:cat>
          <c:val>
            <c:numRef>
              <c:f>Dashboard!$B$7:$B$22</c:f>
              <c:numCache>
                <c:formatCode>"$"#,##0</c:formatCode>
                <c:ptCount val="16"/>
                <c:pt idx="0">
                  <c:v>-68</c:v>
                </c:pt>
                <c:pt idx="1">
                  <c:v>-121.83</c:v>
                </c:pt>
                <c:pt idx="2">
                  <c:v>55.799999999999955</c:v>
                </c:pt>
                <c:pt idx="3">
                  <c:v>-47.63000000000001</c:v>
                </c:pt>
                <c:pt idx="4">
                  <c:v>-24</c:v>
                </c:pt>
                <c:pt idx="5">
                  <c:v>-61</c:v>
                </c:pt>
                <c:pt idx="6">
                  <c:v>-54.41</c:v>
                </c:pt>
                <c:pt idx="7">
                  <c:v>-28.400000000000006</c:v>
                </c:pt>
                <c:pt idx="8">
                  <c:v>9.0000000000003411E-2</c:v>
                </c:pt>
                <c:pt idx="9">
                  <c:v>6.2999999999999972</c:v>
                </c:pt>
                <c:pt idx="10">
                  <c:v>-15.47999999999999</c:v>
                </c:pt>
                <c:pt idx="11">
                  <c:v>15.440000000000001</c:v>
                </c:pt>
                <c:pt idx="12">
                  <c:v>-12.060000000000002</c:v>
                </c:pt>
                <c:pt idx="13">
                  <c:v>2990</c:v>
                </c:pt>
                <c:pt idx="14">
                  <c:v>1430</c:v>
                </c:pt>
                <c:pt idx="15">
                  <c:v>962</c:v>
                </c:pt>
              </c:numCache>
            </c:numRef>
          </c:val>
          <c:extLst>
            <c:ext xmlns:c16="http://schemas.microsoft.com/office/drawing/2014/chart" uri="{C3380CC4-5D6E-409C-BE32-E72D297353CC}">
              <c16:uniqueId val="{00000000-3713-4C10-AE69-4551F58C0ACB}"/>
            </c:ext>
          </c:extLst>
        </c:ser>
        <c:dLbls>
          <c:showLegendKey val="0"/>
          <c:showVal val="0"/>
          <c:showCatName val="0"/>
          <c:showSerName val="0"/>
          <c:showPercent val="0"/>
          <c:showBubbleSize val="0"/>
        </c:dLbls>
        <c:gapWidth val="100"/>
        <c:axId val="1244681711"/>
        <c:axId val="1457180847"/>
      </c:barChart>
      <c:catAx>
        <c:axId val="1244681711"/>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7180847"/>
        <c:crosses val="autoZero"/>
        <c:auto val="1"/>
        <c:lblAlgn val="ctr"/>
        <c:lblOffset val="100"/>
        <c:noMultiLvlLbl val="0"/>
      </c:catAx>
      <c:valAx>
        <c:axId val="1457180847"/>
        <c:scaling>
          <c:orientation val="minMax"/>
        </c:scaling>
        <c:delete val="0"/>
        <c:axPos val="b"/>
        <c:majorGridlines>
          <c:spPr>
            <a:ln w="9525" cap="flat" cmpd="sng" algn="ctr">
              <a:solidFill>
                <a:schemeClr val="tx2">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44681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Dashboard!$B$25</c:f>
              <c:strCache>
                <c:ptCount val="1"/>
                <c:pt idx="0">
                  <c:v>Total Funded</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Dashboard!$A$26:$A$37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Dashboard!$B$26:$B$37</c:f>
              <c:numCache>
                <c:formatCode>"$"#,##0</c:formatCode>
                <c:ptCount val="12"/>
                <c:pt idx="0">
                  <c:v>4601</c:v>
                </c:pt>
                <c:pt idx="1">
                  <c:v>3080</c:v>
                </c:pt>
                <c:pt idx="2">
                  <c:v>3074</c:v>
                </c:pt>
                <c:pt idx="3">
                  <c:v>3056</c:v>
                </c:pt>
                <c:pt idx="4">
                  <c:v>3034</c:v>
                </c:pt>
                <c:pt idx="5">
                  <c:v>3017</c:v>
                </c:pt>
                <c:pt idx="6">
                  <c:v>3053</c:v>
                </c:pt>
                <c:pt idx="7">
                  <c:v>4638</c:v>
                </c:pt>
                <c:pt idx="8">
                  <c:v>3071</c:v>
                </c:pt>
                <c:pt idx="9">
                  <c:v>3095</c:v>
                </c:pt>
                <c:pt idx="10">
                  <c:v>3020</c:v>
                </c:pt>
                <c:pt idx="11">
                  <c:v>3001</c:v>
                </c:pt>
              </c:numCache>
            </c:numRef>
          </c:val>
          <c:extLst>
            <c:ext xmlns:c16="http://schemas.microsoft.com/office/drawing/2014/chart" uri="{C3380CC4-5D6E-409C-BE32-E72D297353CC}">
              <c16:uniqueId val="{00000000-9623-435E-A48D-D722283FC8D6}"/>
            </c:ext>
          </c:extLst>
        </c:ser>
        <c:ser>
          <c:idx val="1"/>
          <c:order val="1"/>
          <c:tx>
            <c:strRef>
              <c:f>Dashboard!$C$25</c:f>
              <c:strCache>
                <c:ptCount val="1"/>
                <c:pt idx="0">
                  <c:v>Total Spent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Dashboard!$A$26:$A$37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Dashboard!$C$26:$C$37</c:f>
              <c:numCache>
                <c:formatCode>"$"#,##0</c:formatCode>
                <c:ptCount val="12"/>
                <c:pt idx="0">
                  <c:v>2777.7599999999993</c:v>
                </c:pt>
                <c:pt idx="1">
                  <c:v>2936.0499999999993</c:v>
                </c:pt>
                <c:pt idx="2">
                  <c:v>2794.9700000000007</c:v>
                </c:pt>
                <c:pt idx="3">
                  <c:v>2968.1700000000005</c:v>
                </c:pt>
                <c:pt idx="4">
                  <c:v>2889.62</c:v>
                </c:pt>
                <c:pt idx="5">
                  <c:v>2888.12</c:v>
                </c:pt>
                <c:pt idx="6">
                  <c:v>2769.24</c:v>
                </c:pt>
                <c:pt idx="7">
                  <c:v>2943.66</c:v>
                </c:pt>
                <c:pt idx="8">
                  <c:v>2932.7000000000003</c:v>
                </c:pt>
                <c:pt idx="9">
                  <c:v>2938.2999999999997</c:v>
                </c:pt>
                <c:pt idx="10">
                  <c:v>2888.2499999999991</c:v>
                </c:pt>
                <c:pt idx="11">
                  <c:v>2858.7699999999995</c:v>
                </c:pt>
              </c:numCache>
            </c:numRef>
          </c:val>
          <c:extLst>
            <c:ext xmlns:c16="http://schemas.microsoft.com/office/drawing/2014/chart" uri="{C3380CC4-5D6E-409C-BE32-E72D297353CC}">
              <c16:uniqueId val="{00000001-9623-435E-A48D-D722283FC8D6}"/>
            </c:ext>
          </c:extLst>
        </c:ser>
        <c:dLbls>
          <c:showLegendKey val="0"/>
          <c:showVal val="0"/>
          <c:showCatName val="0"/>
          <c:showSerName val="0"/>
          <c:showPercent val="0"/>
          <c:showBubbleSize val="0"/>
        </c:dLbls>
        <c:gapWidth val="150"/>
        <c:overlap val="100"/>
        <c:axId val="1452130463"/>
        <c:axId val="1567259135"/>
      </c:barChart>
      <c:catAx>
        <c:axId val="145213046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567259135"/>
        <c:crosses val="autoZero"/>
        <c:auto val="1"/>
        <c:lblAlgn val="ctr"/>
        <c:lblOffset val="100"/>
        <c:noMultiLvlLbl val="0"/>
      </c:catAx>
      <c:valAx>
        <c:axId val="1567259135"/>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2130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295275</xdr:colOff>
      <xdr:row>4</xdr:row>
      <xdr:rowOff>157162</xdr:rowOff>
    </xdr:from>
    <xdr:to>
      <xdr:col>10</xdr:col>
      <xdr:colOff>438150</xdr:colOff>
      <xdr:row>21</xdr:row>
      <xdr:rowOff>114300</xdr:rowOff>
    </xdr:to>
    <xdr:graphicFrame macro="">
      <xdr:nvGraphicFramePr>
        <xdr:cNvPr id="4" name="Chart 3">
          <a:extLst>
            <a:ext uri="{FF2B5EF4-FFF2-40B4-BE49-F238E27FC236}">
              <a16:creationId xmlns:a16="http://schemas.microsoft.com/office/drawing/2014/main" id="{1A4BD25B-3C59-1A19-6FC9-68E9E6666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285749</xdr:colOff>
      <xdr:row>23</xdr:row>
      <xdr:rowOff>176212</xdr:rowOff>
    </xdr:from>
    <xdr:to>
      <xdr:col>11</xdr:col>
      <xdr:colOff>76199</xdr:colOff>
      <xdr:row>37</xdr:row>
      <xdr:rowOff>9525</xdr:rowOff>
    </xdr:to>
    <xdr:graphicFrame macro="">
      <xdr:nvGraphicFramePr>
        <xdr:cNvPr id="5" name="Chart 4">
          <a:extLst>
            <a:ext uri="{FF2B5EF4-FFF2-40B4-BE49-F238E27FC236}">
              <a16:creationId xmlns:a16="http://schemas.microsoft.com/office/drawing/2014/main" id="{FF49841C-81E2-087E-CB35-7DB2FD112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7"/>
  <sheetViews>
    <sheetView showGridLines="0" workbookViewId="0"/>
  </sheetViews>
  <sheetFormatPr defaultRowHeight="15" x14ac:dyDescent="0.25"/>
  <cols>
    <col min="1" max="1" width="17.28515625" bestFit="1" customWidth="1"/>
    <col min="2" max="2" width="14.140625" customWidth="1"/>
    <col min="3" max="3" width="16.42578125" bestFit="1" customWidth="1"/>
    <col min="4" max="4" width="9.7109375" bestFit="1" customWidth="1"/>
    <col min="5" max="5" width="8.28515625" bestFit="1" customWidth="1"/>
    <col min="6" max="6" width="15.28515625" bestFit="1" customWidth="1"/>
  </cols>
  <sheetData>
    <row r="1" spans="1:6" x14ac:dyDescent="0.25">
      <c r="A1" s="12" t="s">
        <v>0</v>
      </c>
      <c r="B1" s="12" t="s">
        <v>1</v>
      </c>
      <c r="C1" s="12" t="s">
        <v>2</v>
      </c>
      <c r="D1" s="12" t="s">
        <v>3</v>
      </c>
      <c r="E1" s="12" t="s">
        <v>4</v>
      </c>
      <c r="F1" s="12" t="s">
        <v>5</v>
      </c>
    </row>
    <row r="2" spans="1:6" x14ac:dyDescent="0.25">
      <c r="A2" s="2" t="s">
        <v>6</v>
      </c>
      <c r="B2" s="2" t="s">
        <v>7</v>
      </c>
      <c r="C2" s="3">
        <v>1500</v>
      </c>
      <c r="D2" s="2" t="s">
        <v>8</v>
      </c>
      <c r="E2" s="2">
        <v>1</v>
      </c>
      <c r="F2" s="4">
        <f t="shared" ref="F2:F17" si="0">C2*12</f>
        <v>18000</v>
      </c>
    </row>
    <row r="3" spans="1:6" x14ac:dyDescent="0.25">
      <c r="A3" s="2" t="s">
        <v>9</v>
      </c>
      <c r="B3" s="2" t="s">
        <v>7</v>
      </c>
      <c r="C3" s="3">
        <v>170</v>
      </c>
      <c r="D3" s="2" t="s">
        <v>8</v>
      </c>
      <c r="E3" s="2">
        <v>2</v>
      </c>
      <c r="F3" s="4">
        <f t="shared" si="0"/>
        <v>2040</v>
      </c>
    </row>
    <row r="4" spans="1:6" x14ac:dyDescent="0.25">
      <c r="A4" s="2" t="s">
        <v>10</v>
      </c>
      <c r="B4" s="2" t="s">
        <v>7</v>
      </c>
      <c r="C4" s="3">
        <v>400</v>
      </c>
      <c r="D4" s="2" t="s">
        <v>8</v>
      </c>
      <c r="E4" s="2">
        <v>3</v>
      </c>
      <c r="F4" s="4">
        <f t="shared" si="0"/>
        <v>4800</v>
      </c>
    </row>
    <row r="5" spans="1:6" x14ac:dyDescent="0.25">
      <c r="A5" s="2" t="s">
        <v>11</v>
      </c>
      <c r="B5" s="2" t="s">
        <v>7</v>
      </c>
      <c r="C5" s="3">
        <v>130</v>
      </c>
      <c r="D5" s="2" t="s">
        <v>8</v>
      </c>
      <c r="E5" s="2">
        <v>4</v>
      </c>
      <c r="F5" s="4">
        <f t="shared" si="0"/>
        <v>1560</v>
      </c>
    </row>
    <row r="6" spans="1:6" x14ac:dyDescent="0.25">
      <c r="A6" s="2" t="s">
        <v>12</v>
      </c>
      <c r="B6" s="2" t="s">
        <v>7</v>
      </c>
      <c r="C6" s="3">
        <v>110</v>
      </c>
      <c r="D6" s="2" t="s">
        <v>8</v>
      </c>
      <c r="E6" s="2">
        <v>5</v>
      </c>
      <c r="F6" s="4">
        <f t="shared" si="0"/>
        <v>1320</v>
      </c>
    </row>
    <row r="7" spans="1:6" x14ac:dyDescent="0.25">
      <c r="A7" s="2" t="s">
        <v>13</v>
      </c>
      <c r="B7" s="2" t="s">
        <v>7</v>
      </c>
      <c r="C7" s="3">
        <v>75</v>
      </c>
      <c r="D7" s="2" t="s">
        <v>8</v>
      </c>
      <c r="E7" s="2">
        <v>6</v>
      </c>
      <c r="F7" s="4">
        <f t="shared" si="0"/>
        <v>900</v>
      </c>
    </row>
    <row r="8" spans="1:6" x14ac:dyDescent="0.25">
      <c r="A8" s="2" t="s">
        <v>14</v>
      </c>
      <c r="B8" s="2" t="s">
        <v>7</v>
      </c>
      <c r="C8" s="3">
        <v>60</v>
      </c>
      <c r="D8" s="2" t="s">
        <v>8</v>
      </c>
      <c r="E8" s="2">
        <v>7</v>
      </c>
      <c r="F8" s="4">
        <f t="shared" si="0"/>
        <v>720</v>
      </c>
    </row>
    <row r="9" spans="1:6" x14ac:dyDescent="0.25">
      <c r="A9" s="2" t="s">
        <v>15</v>
      </c>
      <c r="B9" s="2" t="s">
        <v>16</v>
      </c>
      <c r="C9" s="3">
        <v>160</v>
      </c>
      <c r="D9" s="2" t="s">
        <v>17</v>
      </c>
      <c r="E9" s="2">
        <v>8</v>
      </c>
      <c r="F9" s="4">
        <f t="shared" si="0"/>
        <v>1920</v>
      </c>
    </row>
    <row r="10" spans="1:6" x14ac:dyDescent="0.25">
      <c r="A10" s="2" t="s">
        <v>18</v>
      </c>
      <c r="B10" s="2" t="s">
        <v>16</v>
      </c>
      <c r="C10" s="3">
        <v>40</v>
      </c>
      <c r="D10" s="2" t="s">
        <v>17</v>
      </c>
      <c r="E10" s="2">
        <v>9</v>
      </c>
      <c r="F10" s="4">
        <f t="shared" si="0"/>
        <v>480</v>
      </c>
    </row>
    <row r="11" spans="1:6" x14ac:dyDescent="0.25">
      <c r="A11" s="2" t="s">
        <v>19</v>
      </c>
      <c r="B11" s="2" t="s">
        <v>16</v>
      </c>
      <c r="C11" s="3">
        <v>80</v>
      </c>
      <c r="D11" s="2" t="s">
        <v>17</v>
      </c>
      <c r="E11" s="2">
        <v>10</v>
      </c>
      <c r="F11" s="4">
        <f t="shared" si="0"/>
        <v>960</v>
      </c>
    </row>
    <row r="12" spans="1:6" x14ac:dyDescent="0.25">
      <c r="A12" s="2" t="s">
        <v>20</v>
      </c>
      <c r="B12" s="2" t="s">
        <v>16</v>
      </c>
      <c r="C12" s="3">
        <v>70</v>
      </c>
      <c r="D12" s="2" t="s">
        <v>17</v>
      </c>
      <c r="E12" s="2">
        <v>11</v>
      </c>
      <c r="F12" s="4">
        <f t="shared" si="0"/>
        <v>840</v>
      </c>
    </row>
    <row r="13" spans="1:6" x14ac:dyDescent="0.25">
      <c r="A13" s="2" t="s">
        <v>21</v>
      </c>
      <c r="B13" s="2" t="s">
        <v>16</v>
      </c>
      <c r="C13" s="3">
        <v>35</v>
      </c>
      <c r="D13" s="2" t="s">
        <v>17</v>
      </c>
      <c r="E13" s="2">
        <v>12</v>
      </c>
      <c r="F13" s="4">
        <f t="shared" si="0"/>
        <v>420</v>
      </c>
    </row>
    <row r="14" spans="1:6" x14ac:dyDescent="0.25">
      <c r="A14" s="2" t="s">
        <v>22</v>
      </c>
      <c r="B14" s="2" t="s">
        <v>16</v>
      </c>
      <c r="C14" s="3">
        <v>50</v>
      </c>
      <c r="D14" s="2" t="s">
        <v>17</v>
      </c>
      <c r="E14" s="2">
        <v>13</v>
      </c>
      <c r="F14" s="4">
        <f t="shared" si="0"/>
        <v>600</v>
      </c>
    </row>
    <row r="15" spans="1:6" x14ac:dyDescent="0.25">
      <c r="A15" s="2" t="s">
        <v>23</v>
      </c>
      <c r="B15" s="2" t="s">
        <v>24</v>
      </c>
      <c r="C15" s="3">
        <v>250</v>
      </c>
      <c r="D15" s="2" t="s">
        <v>8</v>
      </c>
      <c r="E15" s="2">
        <v>14</v>
      </c>
      <c r="F15" s="4">
        <f t="shared" si="0"/>
        <v>3000</v>
      </c>
    </row>
    <row r="16" spans="1:6" x14ac:dyDescent="0.25">
      <c r="A16" s="2" t="s">
        <v>25</v>
      </c>
      <c r="B16" s="2" t="s">
        <v>24</v>
      </c>
      <c r="C16" s="3">
        <v>120</v>
      </c>
      <c r="D16" s="2" t="s">
        <v>8</v>
      </c>
      <c r="E16" s="2">
        <v>15</v>
      </c>
      <c r="F16" s="4">
        <f t="shared" si="0"/>
        <v>1440</v>
      </c>
    </row>
    <row r="17" spans="1:6" x14ac:dyDescent="0.25">
      <c r="A17" s="2" t="s">
        <v>26</v>
      </c>
      <c r="B17" s="2" t="s">
        <v>24</v>
      </c>
      <c r="C17" s="3">
        <v>80</v>
      </c>
      <c r="D17" s="2" t="s">
        <v>8</v>
      </c>
      <c r="E17" s="2">
        <v>16</v>
      </c>
      <c r="F17" s="4">
        <f t="shared" si="0"/>
        <v>960</v>
      </c>
    </row>
  </sheetData>
  <dataValidations count="2">
    <dataValidation type="list" sqref="B2 B3 B4 B5 B6 B7 B8 B9 B10 B11 B12 B13 B14 B15 B16 B17" xr:uid="{00000000-0002-0000-0000-000000000000}">
      <formula1>"Essentials,Lifestyle,Goals"</formula1>
    </dataValidation>
    <dataValidation type="list" sqref="D2 D3 D4 D5 D6 D7 D8 D9 D10 D11 D12 D13 D14 D15 D16 D17" xr:uid="{00000000-0002-0000-0000-000001000000}">
      <formula1>"Yes,No"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7"/>
  <sheetViews>
    <sheetView showGridLines="0" workbookViewId="0">
      <selection activeCell="F1" sqref="F1"/>
    </sheetView>
  </sheetViews>
  <sheetFormatPr defaultRowHeight="15" x14ac:dyDescent="0.25"/>
  <cols>
    <col min="1" max="1" width="11.28515625" bestFit="1" customWidth="1"/>
    <col min="2" max="5" width="13" customWidth="1"/>
    <col min="6" max="6" width="11.140625" bestFit="1" customWidth="1"/>
    <col min="7" max="7" width="5" bestFit="1" customWidth="1"/>
    <col min="8" max="8" width="16.28515625" bestFit="1" customWidth="1"/>
    <col min="9" max="9" width="7.5703125" bestFit="1" customWidth="1"/>
    <col min="10" max="10" width="8.85546875" bestFit="1" customWidth="1"/>
    <col min="11" max="11" width="11.85546875" bestFit="1" customWidth="1"/>
    <col min="12" max="12" width="7.85546875" bestFit="1" customWidth="1"/>
    <col min="13" max="13" width="15.42578125" bestFit="1" customWidth="1"/>
    <col min="14" max="14" width="9.5703125" bestFit="1" customWidth="1"/>
    <col min="15" max="15" width="15.5703125" bestFit="1" customWidth="1"/>
    <col min="16" max="16" width="15.140625" bestFit="1" customWidth="1"/>
    <col min="17" max="17" width="18.28515625" bestFit="1" customWidth="1"/>
    <col min="18" max="18" width="9.5703125" bestFit="1" customWidth="1"/>
    <col min="19" max="19" width="17.85546875" bestFit="1" customWidth="1"/>
    <col min="20" max="20" width="12" bestFit="1" customWidth="1"/>
  </cols>
  <sheetData>
    <row r="1" spans="1:20" x14ac:dyDescent="0.25">
      <c r="A1" s="12" t="s">
        <v>27</v>
      </c>
      <c r="B1" s="12" t="s">
        <v>28</v>
      </c>
      <c r="C1" s="12" t="s">
        <v>29</v>
      </c>
      <c r="D1" s="12" t="s">
        <v>6</v>
      </c>
      <c r="E1" s="12" t="s">
        <v>9</v>
      </c>
      <c r="F1" s="12" t="s">
        <v>10</v>
      </c>
      <c r="G1" s="12" t="s">
        <v>11</v>
      </c>
      <c r="H1" s="12" t="s">
        <v>12</v>
      </c>
      <c r="I1" s="12" t="s">
        <v>13</v>
      </c>
      <c r="J1" s="12" t="s">
        <v>14</v>
      </c>
      <c r="K1" s="12" t="s">
        <v>15</v>
      </c>
      <c r="L1" s="12" t="s">
        <v>18</v>
      </c>
      <c r="M1" s="12" t="s">
        <v>19</v>
      </c>
      <c r="N1" s="12" t="s">
        <v>20</v>
      </c>
      <c r="O1" s="12" t="s">
        <v>21</v>
      </c>
      <c r="P1" s="12" t="s">
        <v>22</v>
      </c>
      <c r="Q1" s="12" t="s">
        <v>23</v>
      </c>
      <c r="R1" s="12" t="s">
        <v>25</v>
      </c>
      <c r="S1" s="12" t="s">
        <v>26</v>
      </c>
      <c r="T1" s="12" t="s">
        <v>30</v>
      </c>
    </row>
    <row r="2" spans="1:20" x14ac:dyDescent="0.25">
      <c r="A2" s="5">
        <v>45660</v>
      </c>
      <c r="B2" s="3">
        <v>3200</v>
      </c>
      <c r="C2" s="3">
        <v>2400</v>
      </c>
      <c r="D2" s="6">
        <v>690</v>
      </c>
      <c r="E2" s="6">
        <v>72</v>
      </c>
      <c r="F2" s="6">
        <v>188</v>
      </c>
      <c r="G2" s="6">
        <v>61</v>
      </c>
      <c r="H2" s="6">
        <v>44</v>
      </c>
      <c r="I2" s="6">
        <v>39</v>
      </c>
      <c r="J2" s="6">
        <v>37</v>
      </c>
      <c r="K2" s="6">
        <v>79</v>
      </c>
      <c r="L2" s="6">
        <v>27</v>
      </c>
      <c r="M2" s="6">
        <v>27</v>
      </c>
      <c r="N2" s="6">
        <v>38</v>
      </c>
      <c r="O2" s="6">
        <v>19</v>
      </c>
      <c r="P2" s="6">
        <v>31</v>
      </c>
      <c r="Q2" s="6">
        <v>115</v>
      </c>
      <c r="R2" s="6">
        <v>55</v>
      </c>
      <c r="S2" s="6">
        <v>37</v>
      </c>
      <c r="T2" s="7">
        <f t="shared" ref="T2:T27" si="0">C2-SUM(D2:S2)</f>
        <v>841</v>
      </c>
    </row>
    <row r="3" spans="1:20" x14ac:dyDescent="0.25">
      <c r="A3" s="5">
        <v>45674</v>
      </c>
      <c r="B3" s="3">
        <v>3200</v>
      </c>
      <c r="C3" s="3">
        <v>2400</v>
      </c>
      <c r="D3" s="6">
        <v>700</v>
      </c>
      <c r="E3" s="6">
        <v>85</v>
      </c>
      <c r="F3" s="6">
        <v>187</v>
      </c>
      <c r="G3" s="6">
        <v>62</v>
      </c>
      <c r="H3" s="6">
        <v>46</v>
      </c>
      <c r="I3" s="6">
        <v>26</v>
      </c>
      <c r="J3" s="6">
        <v>21</v>
      </c>
      <c r="K3" s="6">
        <v>67</v>
      </c>
      <c r="L3" s="6">
        <v>20</v>
      </c>
      <c r="M3" s="6">
        <v>31</v>
      </c>
      <c r="N3" s="6">
        <v>25</v>
      </c>
      <c r="O3" s="6">
        <v>11</v>
      </c>
      <c r="P3" s="6">
        <v>29</v>
      </c>
      <c r="Q3" s="6">
        <v>115</v>
      </c>
      <c r="R3" s="6">
        <v>55</v>
      </c>
      <c r="S3" s="6">
        <v>37</v>
      </c>
      <c r="T3" s="7">
        <f t="shared" si="0"/>
        <v>883</v>
      </c>
    </row>
    <row r="4" spans="1:20" x14ac:dyDescent="0.25">
      <c r="A4" s="5">
        <v>45688</v>
      </c>
      <c r="B4" s="3">
        <v>3400</v>
      </c>
      <c r="C4" s="3">
        <v>2550</v>
      </c>
      <c r="D4" s="6">
        <v>685</v>
      </c>
      <c r="E4" s="6">
        <v>80</v>
      </c>
      <c r="F4" s="6">
        <v>193</v>
      </c>
      <c r="G4" s="6">
        <v>66</v>
      </c>
      <c r="H4" s="6">
        <v>49</v>
      </c>
      <c r="I4" s="6">
        <v>43</v>
      </c>
      <c r="J4" s="6">
        <v>23</v>
      </c>
      <c r="K4" s="6">
        <v>76</v>
      </c>
      <c r="L4" s="6">
        <v>10</v>
      </c>
      <c r="M4" s="6">
        <v>28</v>
      </c>
      <c r="N4" s="6">
        <v>40</v>
      </c>
      <c r="O4" s="6">
        <v>7</v>
      </c>
      <c r="P4" s="6">
        <v>18</v>
      </c>
      <c r="Q4" s="6">
        <v>115</v>
      </c>
      <c r="R4" s="6">
        <v>55</v>
      </c>
      <c r="S4" s="6">
        <v>37</v>
      </c>
      <c r="T4" s="7">
        <f t="shared" si="0"/>
        <v>1025</v>
      </c>
    </row>
    <row r="5" spans="1:20" x14ac:dyDescent="0.25">
      <c r="A5" s="5">
        <v>45702</v>
      </c>
      <c r="B5" s="3">
        <v>3200</v>
      </c>
      <c r="C5" s="3">
        <v>2400</v>
      </c>
      <c r="D5" s="6">
        <v>686</v>
      </c>
      <c r="E5" s="6">
        <v>77</v>
      </c>
      <c r="F5" s="6">
        <v>182</v>
      </c>
      <c r="G5" s="6">
        <v>52</v>
      </c>
      <c r="H5" s="6">
        <v>57</v>
      </c>
      <c r="I5" s="6">
        <v>44</v>
      </c>
      <c r="J5" s="6">
        <v>21</v>
      </c>
      <c r="K5" s="6">
        <v>82</v>
      </c>
      <c r="L5" s="6">
        <v>28</v>
      </c>
      <c r="M5" s="6">
        <v>47</v>
      </c>
      <c r="N5" s="6">
        <v>23</v>
      </c>
      <c r="O5" s="6">
        <v>9</v>
      </c>
      <c r="P5" s="6">
        <v>32</v>
      </c>
      <c r="Q5" s="6">
        <v>115</v>
      </c>
      <c r="R5" s="6">
        <v>55</v>
      </c>
      <c r="S5" s="6">
        <v>37</v>
      </c>
      <c r="T5" s="7">
        <f t="shared" si="0"/>
        <v>853</v>
      </c>
    </row>
    <row r="6" spans="1:20" x14ac:dyDescent="0.25">
      <c r="A6" s="5">
        <v>45716</v>
      </c>
      <c r="B6" s="3">
        <v>3400</v>
      </c>
      <c r="C6" s="3">
        <v>2550</v>
      </c>
      <c r="D6" s="6">
        <v>701</v>
      </c>
      <c r="E6" s="6">
        <v>78</v>
      </c>
      <c r="F6" s="6">
        <v>184</v>
      </c>
      <c r="G6" s="6">
        <v>66</v>
      </c>
      <c r="H6" s="6">
        <v>55</v>
      </c>
      <c r="I6" s="6">
        <v>30</v>
      </c>
      <c r="J6" s="6">
        <v>22</v>
      </c>
      <c r="K6" s="6">
        <v>66</v>
      </c>
      <c r="L6" s="6">
        <v>18</v>
      </c>
      <c r="M6" s="6">
        <v>28</v>
      </c>
      <c r="N6" s="6">
        <v>40</v>
      </c>
      <c r="O6" s="6">
        <v>14</v>
      </c>
      <c r="P6" s="6">
        <v>24</v>
      </c>
      <c r="Q6" s="6">
        <v>115</v>
      </c>
      <c r="R6" s="6">
        <v>55</v>
      </c>
      <c r="S6" s="6">
        <v>37</v>
      </c>
      <c r="T6" s="7">
        <f t="shared" si="0"/>
        <v>1017</v>
      </c>
    </row>
    <row r="7" spans="1:20" x14ac:dyDescent="0.25">
      <c r="A7" s="5">
        <v>45730</v>
      </c>
      <c r="B7" s="3">
        <v>3200</v>
      </c>
      <c r="C7" s="3">
        <v>2400</v>
      </c>
      <c r="D7" s="6">
        <v>700</v>
      </c>
      <c r="E7" s="6">
        <v>70</v>
      </c>
      <c r="F7" s="6">
        <v>191</v>
      </c>
      <c r="G7" s="6">
        <v>53</v>
      </c>
      <c r="H7" s="6">
        <v>50</v>
      </c>
      <c r="I7" s="6">
        <v>40</v>
      </c>
      <c r="J7" s="6">
        <v>29</v>
      </c>
      <c r="K7" s="6">
        <v>77</v>
      </c>
      <c r="L7" s="6">
        <v>9</v>
      </c>
      <c r="M7" s="6">
        <v>42</v>
      </c>
      <c r="N7" s="6">
        <v>35</v>
      </c>
      <c r="O7" s="6">
        <v>25</v>
      </c>
      <c r="P7" s="6">
        <v>15</v>
      </c>
      <c r="Q7" s="6">
        <v>115</v>
      </c>
      <c r="R7" s="6">
        <v>55</v>
      </c>
      <c r="S7" s="6">
        <v>37</v>
      </c>
      <c r="T7" s="7">
        <f t="shared" si="0"/>
        <v>857</v>
      </c>
    </row>
    <row r="8" spans="1:20" x14ac:dyDescent="0.25">
      <c r="A8" s="5">
        <v>45744</v>
      </c>
      <c r="B8" s="3">
        <v>3200</v>
      </c>
      <c r="C8" s="3">
        <v>2400</v>
      </c>
      <c r="D8" s="6">
        <v>685</v>
      </c>
      <c r="E8" s="6">
        <v>88</v>
      </c>
      <c r="F8" s="6">
        <v>176</v>
      </c>
      <c r="G8" s="6">
        <v>54</v>
      </c>
      <c r="H8" s="6">
        <v>59</v>
      </c>
      <c r="I8" s="6">
        <v>34</v>
      </c>
      <c r="J8" s="6">
        <v>21</v>
      </c>
      <c r="K8" s="6">
        <v>81</v>
      </c>
      <c r="L8" s="6">
        <v>21</v>
      </c>
      <c r="M8" s="6">
        <v>41</v>
      </c>
      <c r="N8" s="6">
        <v>40</v>
      </c>
      <c r="O8" s="6">
        <v>7</v>
      </c>
      <c r="P8" s="6">
        <v>17</v>
      </c>
      <c r="Q8" s="6">
        <v>115</v>
      </c>
      <c r="R8" s="6">
        <v>55</v>
      </c>
      <c r="S8" s="6">
        <v>37</v>
      </c>
      <c r="T8" s="7">
        <f t="shared" si="0"/>
        <v>869</v>
      </c>
    </row>
    <row r="9" spans="1:20" x14ac:dyDescent="0.25">
      <c r="A9" s="5">
        <v>45758</v>
      </c>
      <c r="B9" s="3">
        <v>3200</v>
      </c>
      <c r="C9" s="3">
        <v>2400</v>
      </c>
      <c r="D9" s="6">
        <v>684</v>
      </c>
      <c r="E9" s="6">
        <v>71</v>
      </c>
      <c r="F9" s="6">
        <v>178</v>
      </c>
      <c r="G9" s="6">
        <v>50</v>
      </c>
      <c r="H9" s="6">
        <v>51</v>
      </c>
      <c r="I9" s="6">
        <v>28</v>
      </c>
      <c r="J9" s="6">
        <v>35</v>
      </c>
      <c r="K9" s="6">
        <v>79</v>
      </c>
      <c r="L9" s="6">
        <v>16</v>
      </c>
      <c r="M9" s="6">
        <v>41</v>
      </c>
      <c r="N9" s="6">
        <v>32</v>
      </c>
      <c r="O9" s="6">
        <v>18</v>
      </c>
      <c r="P9" s="6">
        <v>15</v>
      </c>
      <c r="Q9" s="6">
        <v>115</v>
      </c>
      <c r="R9" s="6">
        <v>55</v>
      </c>
      <c r="S9" s="6">
        <v>37</v>
      </c>
      <c r="T9" s="7">
        <f t="shared" si="0"/>
        <v>895</v>
      </c>
    </row>
    <row r="10" spans="1:20" x14ac:dyDescent="0.25">
      <c r="A10" s="5">
        <v>45772</v>
      </c>
      <c r="B10" s="3">
        <v>3200</v>
      </c>
      <c r="C10" s="3">
        <v>2400</v>
      </c>
      <c r="D10" s="6">
        <v>683</v>
      </c>
      <c r="E10" s="6">
        <v>74</v>
      </c>
      <c r="F10" s="6">
        <v>186</v>
      </c>
      <c r="G10" s="6">
        <v>56</v>
      </c>
      <c r="H10" s="6">
        <v>59</v>
      </c>
      <c r="I10" s="6">
        <v>37</v>
      </c>
      <c r="J10" s="6">
        <v>26</v>
      </c>
      <c r="K10" s="6">
        <v>83</v>
      </c>
      <c r="L10" s="6">
        <v>26</v>
      </c>
      <c r="M10" s="6">
        <v>40</v>
      </c>
      <c r="N10" s="6">
        <v>32</v>
      </c>
      <c r="O10" s="6">
        <v>18</v>
      </c>
      <c r="P10" s="6">
        <v>24</v>
      </c>
      <c r="Q10" s="6">
        <v>115</v>
      </c>
      <c r="R10" s="6">
        <v>55</v>
      </c>
      <c r="S10" s="6">
        <v>37</v>
      </c>
      <c r="T10" s="7">
        <f t="shared" si="0"/>
        <v>849</v>
      </c>
    </row>
    <row r="11" spans="1:20" x14ac:dyDescent="0.25">
      <c r="A11" s="5">
        <v>45786</v>
      </c>
      <c r="B11" s="3">
        <v>3200</v>
      </c>
      <c r="C11" s="3">
        <v>2400</v>
      </c>
      <c r="D11" s="6">
        <v>686</v>
      </c>
      <c r="E11" s="6">
        <v>85</v>
      </c>
      <c r="F11" s="6">
        <v>179</v>
      </c>
      <c r="G11" s="6">
        <v>56</v>
      </c>
      <c r="H11" s="6">
        <v>42</v>
      </c>
      <c r="I11" s="6">
        <v>32</v>
      </c>
      <c r="J11" s="6">
        <v>27</v>
      </c>
      <c r="K11" s="6">
        <v>71</v>
      </c>
      <c r="L11" s="6">
        <v>19</v>
      </c>
      <c r="M11" s="6">
        <v>33</v>
      </c>
      <c r="N11" s="6">
        <v>28</v>
      </c>
      <c r="O11" s="6">
        <v>18</v>
      </c>
      <c r="P11" s="6">
        <v>25</v>
      </c>
      <c r="Q11" s="6">
        <v>115</v>
      </c>
      <c r="R11" s="6">
        <v>55</v>
      </c>
      <c r="S11" s="6">
        <v>37</v>
      </c>
      <c r="T11" s="7">
        <f t="shared" si="0"/>
        <v>892</v>
      </c>
    </row>
    <row r="12" spans="1:20" x14ac:dyDescent="0.25">
      <c r="A12" s="5">
        <v>45800</v>
      </c>
      <c r="B12" s="3">
        <v>3200</v>
      </c>
      <c r="C12" s="3">
        <v>2400</v>
      </c>
      <c r="D12" s="6">
        <v>682</v>
      </c>
      <c r="E12" s="6">
        <v>82</v>
      </c>
      <c r="F12" s="6">
        <v>190</v>
      </c>
      <c r="G12" s="6">
        <v>51</v>
      </c>
      <c r="H12" s="6">
        <v>44</v>
      </c>
      <c r="I12" s="6">
        <v>25</v>
      </c>
      <c r="J12" s="6">
        <v>18</v>
      </c>
      <c r="K12" s="6">
        <v>81</v>
      </c>
      <c r="L12" s="6">
        <v>27</v>
      </c>
      <c r="M12" s="6">
        <v>43</v>
      </c>
      <c r="N12" s="6">
        <v>38</v>
      </c>
      <c r="O12" s="6">
        <v>22</v>
      </c>
      <c r="P12" s="6">
        <v>16</v>
      </c>
      <c r="Q12" s="6">
        <v>115</v>
      </c>
      <c r="R12" s="6">
        <v>55</v>
      </c>
      <c r="S12" s="6">
        <v>37</v>
      </c>
      <c r="T12" s="7">
        <f t="shared" si="0"/>
        <v>874</v>
      </c>
    </row>
    <row r="13" spans="1:20" x14ac:dyDescent="0.25">
      <c r="A13" s="5">
        <v>45814</v>
      </c>
      <c r="B13" s="3">
        <v>3200</v>
      </c>
      <c r="C13" s="3">
        <v>2400</v>
      </c>
      <c r="D13" s="6">
        <v>689</v>
      </c>
      <c r="E13" s="6">
        <v>75</v>
      </c>
      <c r="F13" s="6">
        <v>178</v>
      </c>
      <c r="G13" s="6">
        <v>64</v>
      </c>
      <c r="H13" s="6">
        <v>53</v>
      </c>
      <c r="I13" s="6">
        <v>29</v>
      </c>
      <c r="J13" s="6">
        <v>25</v>
      </c>
      <c r="K13" s="6">
        <v>64</v>
      </c>
      <c r="L13" s="6">
        <v>11</v>
      </c>
      <c r="M13" s="6">
        <v>34</v>
      </c>
      <c r="N13" s="6">
        <v>25</v>
      </c>
      <c r="O13" s="6">
        <v>24</v>
      </c>
      <c r="P13" s="6">
        <v>32</v>
      </c>
      <c r="Q13" s="6">
        <v>115</v>
      </c>
      <c r="R13" s="6">
        <v>55</v>
      </c>
      <c r="S13" s="6">
        <v>37</v>
      </c>
      <c r="T13" s="7">
        <f t="shared" si="0"/>
        <v>890</v>
      </c>
    </row>
    <row r="14" spans="1:20" x14ac:dyDescent="0.25">
      <c r="A14" s="5">
        <v>45828</v>
      </c>
      <c r="B14" s="3">
        <v>3400</v>
      </c>
      <c r="C14" s="3">
        <v>2550</v>
      </c>
      <c r="D14" s="6">
        <v>687</v>
      </c>
      <c r="E14" s="6">
        <v>80</v>
      </c>
      <c r="F14" s="6">
        <v>187</v>
      </c>
      <c r="G14" s="6">
        <v>53</v>
      </c>
      <c r="H14" s="6">
        <v>41</v>
      </c>
      <c r="I14" s="6">
        <v>30</v>
      </c>
      <c r="J14" s="6">
        <v>30</v>
      </c>
      <c r="K14" s="6">
        <v>67</v>
      </c>
      <c r="L14" s="6">
        <v>18</v>
      </c>
      <c r="M14" s="6">
        <v>37</v>
      </c>
      <c r="N14" s="6">
        <v>30</v>
      </c>
      <c r="O14" s="6">
        <v>23</v>
      </c>
      <c r="P14" s="6">
        <v>17</v>
      </c>
      <c r="Q14" s="6">
        <v>115</v>
      </c>
      <c r="R14" s="6">
        <v>55</v>
      </c>
      <c r="S14" s="6">
        <v>37</v>
      </c>
      <c r="T14" s="7">
        <f t="shared" si="0"/>
        <v>1043</v>
      </c>
    </row>
    <row r="15" spans="1:20" x14ac:dyDescent="0.25">
      <c r="A15" s="5">
        <v>45842</v>
      </c>
      <c r="B15" s="3">
        <v>3200</v>
      </c>
      <c r="C15" s="3">
        <v>2400</v>
      </c>
      <c r="D15" s="6">
        <v>688</v>
      </c>
      <c r="E15" s="6">
        <v>74</v>
      </c>
      <c r="F15" s="6">
        <v>181</v>
      </c>
      <c r="G15" s="6">
        <v>51</v>
      </c>
      <c r="H15" s="6">
        <v>43</v>
      </c>
      <c r="I15" s="6">
        <v>33</v>
      </c>
      <c r="J15" s="6">
        <v>33</v>
      </c>
      <c r="K15" s="6">
        <v>72</v>
      </c>
      <c r="L15" s="6">
        <v>28</v>
      </c>
      <c r="M15" s="6">
        <v>29</v>
      </c>
      <c r="N15" s="6">
        <v>37</v>
      </c>
      <c r="O15" s="6">
        <v>16</v>
      </c>
      <c r="P15" s="6">
        <v>17</v>
      </c>
      <c r="Q15" s="6">
        <v>115</v>
      </c>
      <c r="R15" s="6">
        <v>55</v>
      </c>
      <c r="S15" s="6">
        <v>37</v>
      </c>
      <c r="T15" s="7">
        <f t="shared" si="0"/>
        <v>891</v>
      </c>
    </row>
    <row r="16" spans="1:20" x14ac:dyDescent="0.25">
      <c r="A16" s="5">
        <v>45856</v>
      </c>
      <c r="B16" s="3">
        <v>3200</v>
      </c>
      <c r="C16" s="3">
        <v>2400</v>
      </c>
      <c r="D16" s="6">
        <v>688</v>
      </c>
      <c r="E16" s="6">
        <v>68</v>
      </c>
      <c r="F16" s="6">
        <v>180</v>
      </c>
      <c r="G16" s="6">
        <v>65</v>
      </c>
      <c r="H16" s="6">
        <v>61</v>
      </c>
      <c r="I16" s="6">
        <v>29</v>
      </c>
      <c r="J16" s="6">
        <v>27</v>
      </c>
      <c r="K16" s="6">
        <v>82</v>
      </c>
      <c r="L16" s="6">
        <v>22</v>
      </c>
      <c r="M16" s="6">
        <v>36</v>
      </c>
      <c r="N16" s="6">
        <v>37</v>
      </c>
      <c r="O16" s="6">
        <v>20</v>
      </c>
      <c r="P16" s="6">
        <v>22</v>
      </c>
      <c r="Q16" s="6">
        <v>115</v>
      </c>
      <c r="R16" s="6">
        <v>55</v>
      </c>
      <c r="S16" s="6">
        <v>37</v>
      </c>
      <c r="T16" s="7">
        <f t="shared" si="0"/>
        <v>856</v>
      </c>
    </row>
    <row r="17" spans="1:20" x14ac:dyDescent="0.25">
      <c r="A17" s="5">
        <v>45870</v>
      </c>
      <c r="B17" s="3">
        <v>3400</v>
      </c>
      <c r="C17" s="3">
        <v>2550</v>
      </c>
      <c r="D17" s="6">
        <v>698</v>
      </c>
      <c r="E17" s="6">
        <v>87</v>
      </c>
      <c r="F17" s="6">
        <v>187</v>
      </c>
      <c r="G17" s="6">
        <v>63</v>
      </c>
      <c r="H17" s="6">
        <v>57</v>
      </c>
      <c r="I17" s="6">
        <v>43</v>
      </c>
      <c r="J17" s="6">
        <v>20</v>
      </c>
      <c r="K17" s="6">
        <v>70</v>
      </c>
      <c r="L17" s="6">
        <v>27</v>
      </c>
      <c r="M17" s="6">
        <v>47</v>
      </c>
      <c r="N17" s="6">
        <v>26</v>
      </c>
      <c r="O17" s="6">
        <v>25</v>
      </c>
      <c r="P17" s="6">
        <v>13</v>
      </c>
      <c r="Q17" s="6">
        <v>115</v>
      </c>
      <c r="R17" s="6">
        <v>55</v>
      </c>
      <c r="S17" s="6">
        <v>37</v>
      </c>
      <c r="T17" s="7">
        <f t="shared" si="0"/>
        <v>980</v>
      </c>
    </row>
    <row r="18" spans="1:20" x14ac:dyDescent="0.25">
      <c r="A18" s="5">
        <v>45884</v>
      </c>
      <c r="B18" s="3">
        <v>3200</v>
      </c>
      <c r="C18" s="3">
        <v>2400</v>
      </c>
      <c r="D18" s="6">
        <v>701</v>
      </c>
      <c r="E18" s="6">
        <v>70</v>
      </c>
      <c r="F18" s="6">
        <v>194</v>
      </c>
      <c r="G18" s="6">
        <v>57</v>
      </c>
      <c r="H18" s="6">
        <v>47</v>
      </c>
      <c r="I18" s="6">
        <v>31</v>
      </c>
      <c r="J18" s="6">
        <v>37</v>
      </c>
      <c r="K18" s="6">
        <v>80</v>
      </c>
      <c r="L18" s="6">
        <v>9</v>
      </c>
      <c r="M18" s="6">
        <v>35</v>
      </c>
      <c r="N18" s="6">
        <v>27</v>
      </c>
      <c r="O18" s="6">
        <v>21</v>
      </c>
      <c r="P18" s="6">
        <v>27</v>
      </c>
      <c r="Q18" s="6">
        <v>115</v>
      </c>
      <c r="R18" s="6">
        <v>55</v>
      </c>
      <c r="S18" s="6">
        <v>37</v>
      </c>
      <c r="T18" s="7">
        <f t="shared" si="0"/>
        <v>857</v>
      </c>
    </row>
    <row r="19" spans="1:20" x14ac:dyDescent="0.25">
      <c r="A19" s="5">
        <v>45898</v>
      </c>
      <c r="B19" s="3">
        <v>3400</v>
      </c>
      <c r="C19" s="3">
        <v>2550</v>
      </c>
      <c r="D19" s="6">
        <v>690</v>
      </c>
      <c r="E19" s="6">
        <v>70</v>
      </c>
      <c r="F19" s="6">
        <v>184</v>
      </c>
      <c r="G19" s="6">
        <v>64</v>
      </c>
      <c r="H19" s="6">
        <v>55</v>
      </c>
      <c r="I19" s="6">
        <v>33</v>
      </c>
      <c r="J19" s="6">
        <v>33</v>
      </c>
      <c r="K19" s="6">
        <v>68</v>
      </c>
      <c r="L19" s="6">
        <v>11</v>
      </c>
      <c r="M19" s="6">
        <v>37</v>
      </c>
      <c r="N19" s="6">
        <v>33</v>
      </c>
      <c r="O19" s="6">
        <v>16</v>
      </c>
      <c r="P19" s="6">
        <v>24</v>
      </c>
      <c r="Q19" s="6">
        <v>115</v>
      </c>
      <c r="R19" s="6">
        <v>55</v>
      </c>
      <c r="S19" s="6">
        <v>37</v>
      </c>
      <c r="T19" s="7">
        <f t="shared" si="0"/>
        <v>1025</v>
      </c>
    </row>
    <row r="20" spans="1:20" x14ac:dyDescent="0.25">
      <c r="A20" s="5">
        <v>45912</v>
      </c>
      <c r="B20" s="3">
        <v>3200</v>
      </c>
      <c r="C20" s="3">
        <v>2400</v>
      </c>
      <c r="D20" s="6">
        <v>693</v>
      </c>
      <c r="E20" s="6">
        <v>82</v>
      </c>
      <c r="F20" s="6">
        <v>184</v>
      </c>
      <c r="G20" s="6">
        <v>59</v>
      </c>
      <c r="H20" s="6">
        <v>47</v>
      </c>
      <c r="I20" s="6">
        <v>32</v>
      </c>
      <c r="J20" s="6">
        <v>32</v>
      </c>
      <c r="K20" s="6">
        <v>69</v>
      </c>
      <c r="L20" s="6">
        <v>19</v>
      </c>
      <c r="M20" s="6">
        <v>36</v>
      </c>
      <c r="N20" s="6">
        <v>35</v>
      </c>
      <c r="O20" s="6">
        <v>13</v>
      </c>
      <c r="P20" s="6">
        <v>31</v>
      </c>
      <c r="Q20" s="6">
        <v>115</v>
      </c>
      <c r="R20" s="6">
        <v>55</v>
      </c>
      <c r="S20" s="6">
        <v>37</v>
      </c>
      <c r="T20" s="7">
        <f t="shared" si="0"/>
        <v>861</v>
      </c>
    </row>
    <row r="21" spans="1:20" x14ac:dyDescent="0.25">
      <c r="A21" s="5">
        <v>45926</v>
      </c>
      <c r="B21" s="3">
        <v>3200</v>
      </c>
      <c r="C21" s="3">
        <v>2400</v>
      </c>
      <c r="D21" s="6">
        <v>697</v>
      </c>
      <c r="E21" s="6">
        <v>88</v>
      </c>
      <c r="F21" s="6">
        <v>175</v>
      </c>
      <c r="G21" s="6">
        <v>55</v>
      </c>
      <c r="H21" s="6">
        <v>50</v>
      </c>
      <c r="I21" s="6">
        <v>29</v>
      </c>
      <c r="J21" s="6">
        <v>22</v>
      </c>
      <c r="K21" s="6">
        <v>70</v>
      </c>
      <c r="L21" s="6">
        <v>12</v>
      </c>
      <c r="M21" s="6">
        <v>32</v>
      </c>
      <c r="N21" s="6">
        <v>42</v>
      </c>
      <c r="O21" s="6">
        <v>24</v>
      </c>
      <c r="P21" s="6">
        <v>29</v>
      </c>
      <c r="Q21" s="6">
        <v>115</v>
      </c>
      <c r="R21" s="6">
        <v>55</v>
      </c>
      <c r="S21" s="6">
        <v>37</v>
      </c>
      <c r="T21" s="7">
        <f t="shared" si="0"/>
        <v>868</v>
      </c>
    </row>
    <row r="22" spans="1:20" x14ac:dyDescent="0.25">
      <c r="A22" s="5">
        <v>45940</v>
      </c>
      <c r="B22" s="3">
        <v>3200</v>
      </c>
      <c r="C22" s="3">
        <v>2400</v>
      </c>
      <c r="D22" s="6">
        <v>689</v>
      </c>
      <c r="E22" s="6">
        <v>83</v>
      </c>
      <c r="F22" s="6">
        <v>186</v>
      </c>
      <c r="G22" s="6">
        <v>66</v>
      </c>
      <c r="H22" s="6">
        <v>46</v>
      </c>
      <c r="I22" s="6">
        <v>33</v>
      </c>
      <c r="J22" s="6">
        <v>21</v>
      </c>
      <c r="K22" s="6">
        <v>80</v>
      </c>
      <c r="L22" s="6">
        <v>19</v>
      </c>
      <c r="M22" s="6">
        <v>31</v>
      </c>
      <c r="N22" s="6">
        <v>25</v>
      </c>
      <c r="O22" s="6">
        <v>19</v>
      </c>
      <c r="P22" s="6">
        <v>22</v>
      </c>
      <c r="Q22" s="6">
        <v>115</v>
      </c>
      <c r="R22" s="6">
        <v>55</v>
      </c>
      <c r="S22" s="6">
        <v>37</v>
      </c>
      <c r="T22" s="7">
        <f t="shared" si="0"/>
        <v>873</v>
      </c>
    </row>
    <row r="23" spans="1:20" x14ac:dyDescent="0.25">
      <c r="A23" s="5">
        <v>45954</v>
      </c>
      <c r="B23" s="3">
        <v>3200</v>
      </c>
      <c r="C23" s="3">
        <v>2400</v>
      </c>
      <c r="D23" s="6">
        <v>684</v>
      </c>
      <c r="E23" s="6">
        <v>72</v>
      </c>
      <c r="F23" s="6">
        <v>192</v>
      </c>
      <c r="G23" s="6">
        <v>66</v>
      </c>
      <c r="H23" s="6">
        <v>53</v>
      </c>
      <c r="I23" s="6">
        <v>26</v>
      </c>
      <c r="J23" s="6">
        <v>30</v>
      </c>
      <c r="K23" s="6">
        <v>82</v>
      </c>
      <c r="L23" s="6">
        <v>22</v>
      </c>
      <c r="M23" s="6">
        <v>47</v>
      </c>
      <c r="N23" s="6">
        <v>36</v>
      </c>
      <c r="O23" s="6">
        <v>23</v>
      </c>
      <c r="P23" s="6">
        <v>28</v>
      </c>
      <c r="Q23" s="6">
        <v>115</v>
      </c>
      <c r="R23" s="6">
        <v>55</v>
      </c>
      <c r="S23" s="6">
        <v>37</v>
      </c>
      <c r="T23" s="7">
        <f t="shared" si="0"/>
        <v>832</v>
      </c>
    </row>
    <row r="24" spans="1:20" x14ac:dyDescent="0.25">
      <c r="A24" s="5">
        <v>45968</v>
      </c>
      <c r="B24" s="3">
        <v>3200</v>
      </c>
      <c r="C24" s="3">
        <v>2400</v>
      </c>
      <c r="D24" s="6">
        <v>681</v>
      </c>
      <c r="E24" s="6">
        <v>83</v>
      </c>
      <c r="F24" s="6">
        <v>189</v>
      </c>
      <c r="G24" s="6">
        <v>52</v>
      </c>
      <c r="H24" s="6">
        <v>50</v>
      </c>
      <c r="I24" s="6">
        <v>28</v>
      </c>
      <c r="J24" s="6">
        <v>24</v>
      </c>
      <c r="K24" s="6">
        <v>78</v>
      </c>
      <c r="L24" s="6">
        <v>10</v>
      </c>
      <c r="M24" s="6">
        <v>44</v>
      </c>
      <c r="N24" s="6">
        <v>35</v>
      </c>
      <c r="O24" s="6">
        <v>21</v>
      </c>
      <c r="P24" s="6">
        <v>17</v>
      </c>
      <c r="Q24" s="6">
        <v>115</v>
      </c>
      <c r="R24" s="6">
        <v>55</v>
      </c>
      <c r="S24" s="6">
        <v>37</v>
      </c>
      <c r="T24" s="7">
        <f t="shared" si="0"/>
        <v>881</v>
      </c>
    </row>
    <row r="25" spans="1:20" x14ac:dyDescent="0.25">
      <c r="A25" s="5">
        <v>45982</v>
      </c>
      <c r="B25" s="3">
        <v>3200</v>
      </c>
      <c r="C25" s="3">
        <v>2400</v>
      </c>
      <c r="D25" s="6">
        <v>692</v>
      </c>
      <c r="E25" s="6">
        <v>68</v>
      </c>
      <c r="F25" s="6">
        <v>176</v>
      </c>
      <c r="G25" s="6">
        <v>58</v>
      </c>
      <c r="H25" s="6">
        <v>51</v>
      </c>
      <c r="I25" s="6">
        <v>26</v>
      </c>
      <c r="J25" s="6">
        <v>20</v>
      </c>
      <c r="K25" s="6">
        <v>81</v>
      </c>
      <c r="L25" s="6">
        <v>18</v>
      </c>
      <c r="M25" s="6">
        <v>32</v>
      </c>
      <c r="N25" s="6">
        <v>22</v>
      </c>
      <c r="O25" s="6">
        <v>26</v>
      </c>
      <c r="P25" s="6">
        <v>24</v>
      </c>
      <c r="Q25" s="6">
        <v>115</v>
      </c>
      <c r="R25" s="6">
        <v>55</v>
      </c>
      <c r="S25" s="6">
        <v>37</v>
      </c>
      <c r="T25" s="7">
        <f t="shared" si="0"/>
        <v>899</v>
      </c>
    </row>
    <row r="26" spans="1:20" x14ac:dyDescent="0.25">
      <c r="A26" s="5">
        <v>45996</v>
      </c>
      <c r="B26" s="3">
        <v>3200</v>
      </c>
      <c r="C26" s="3">
        <v>2400</v>
      </c>
      <c r="D26" s="6">
        <v>691</v>
      </c>
      <c r="E26" s="6">
        <v>71</v>
      </c>
      <c r="F26" s="6">
        <v>187</v>
      </c>
      <c r="G26" s="6">
        <v>64</v>
      </c>
      <c r="H26" s="6">
        <v>42</v>
      </c>
      <c r="I26" s="6">
        <v>25</v>
      </c>
      <c r="J26" s="6">
        <v>38</v>
      </c>
      <c r="K26" s="6">
        <v>66</v>
      </c>
      <c r="L26" s="6">
        <v>15</v>
      </c>
      <c r="M26" s="6">
        <v>30</v>
      </c>
      <c r="N26" s="6">
        <v>28</v>
      </c>
      <c r="O26" s="6">
        <v>25</v>
      </c>
      <c r="P26" s="6">
        <v>19</v>
      </c>
      <c r="Q26" s="6">
        <v>115</v>
      </c>
      <c r="R26" s="6">
        <v>55</v>
      </c>
      <c r="S26" s="6">
        <v>37</v>
      </c>
      <c r="T26" s="7">
        <f t="shared" si="0"/>
        <v>892</v>
      </c>
    </row>
    <row r="27" spans="1:20" x14ac:dyDescent="0.25">
      <c r="A27" s="5">
        <v>46010</v>
      </c>
      <c r="B27" s="3">
        <v>3200</v>
      </c>
      <c r="C27" s="3">
        <v>2400</v>
      </c>
      <c r="D27" s="6">
        <v>682</v>
      </c>
      <c r="E27" s="6">
        <v>80</v>
      </c>
      <c r="F27" s="6">
        <v>175</v>
      </c>
      <c r="G27" s="6">
        <v>53</v>
      </c>
      <c r="H27" s="6">
        <v>44</v>
      </c>
      <c r="I27" s="6">
        <v>34</v>
      </c>
      <c r="J27" s="6">
        <v>18</v>
      </c>
      <c r="K27" s="6">
        <v>66</v>
      </c>
      <c r="L27" s="6">
        <v>27</v>
      </c>
      <c r="M27" s="6">
        <v>43</v>
      </c>
      <c r="N27" s="6">
        <v>29</v>
      </c>
      <c r="O27" s="6">
        <v>14</v>
      </c>
      <c r="P27" s="6">
        <v>21</v>
      </c>
      <c r="Q27" s="6">
        <v>115</v>
      </c>
      <c r="R27" s="6">
        <v>55</v>
      </c>
      <c r="S27" s="6">
        <v>37</v>
      </c>
      <c r="T27" s="7">
        <f t="shared" si="0"/>
        <v>907</v>
      </c>
    </row>
  </sheetData>
  <conditionalFormatting sqref="T2:T27">
    <cfRule type="cellIs" dxfId="12" priority="1" operator="notEqual">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76"/>
  <sheetViews>
    <sheetView showGridLines="0" workbookViewId="0">
      <selection activeCell="C11" sqref="C11"/>
    </sheetView>
  </sheetViews>
  <sheetFormatPr defaultRowHeight="15" x14ac:dyDescent="0.25"/>
  <cols>
    <col min="1" max="1" width="11.28515625" bestFit="1" customWidth="1"/>
    <col min="2" max="4" width="19.28515625" customWidth="1"/>
    <col min="5" max="5" width="31.7109375" customWidth="1"/>
  </cols>
  <sheetData>
    <row r="1" spans="1:5" x14ac:dyDescent="0.25">
      <c r="A1" s="12" t="s">
        <v>31</v>
      </c>
      <c r="B1" s="12" t="s">
        <v>32</v>
      </c>
      <c r="C1" s="12" t="s">
        <v>33</v>
      </c>
      <c r="D1" s="12" t="s">
        <v>0</v>
      </c>
      <c r="E1" s="12" t="s">
        <v>34</v>
      </c>
    </row>
    <row r="2" spans="1:5" x14ac:dyDescent="0.25">
      <c r="A2" s="5">
        <v>45671</v>
      </c>
      <c r="B2" s="2" t="s">
        <v>35</v>
      </c>
      <c r="C2" s="8">
        <v>1500</v>
      </c>
      <c r="D2" s="2" t="s">
        <v>6</v>
      </c>
      <c r="E2" s="1"/>
    </row>
    <row r="3" spans="1:5" x14ac:dyDescent="0.25">
      <c r="A3" s="5">
        <v>45667</v>
      </c>
      <c r="B3" s="2" t="s">
        <v>36</v>
      </c>
      <c r="C3" s="8">
        <v>153.62</v>
      </c>
      <c r="D3" s="2" t="s">
        <v>9</v>
      </c>
      <c r="E3" s="1"/>
    </row>
    <row r="4" spans="1:5" x14ac:dyDescent="0.25">
      <c r="A4" s="5">
        <v>45663</v>
      </c>
      <c r="B4" s="2" t="s">
        <v>37</v>
      </c>
      <c r="C4" s="8">
        <v>154</v>
      </c>
      <c r="D4" s="2" t="s">
        <v>10</v>
      </c>
      <c r="E4" s="1"/>
    </row>
    <row r="5" spans="1:5" x14ac:dyDescent="0.25">
      <c r="A5" s="5">
        <v>45680</v>
      </c>
      <c r="B5" s="2" t="s">
        <v>38</v>
      </c>
      <c r="C5" s="8">
        <v>141.06</v>
      </c>
      <c r="D5" s="2" t="s">
        <v>10</v>
      </c>
      <c r="E5" s="1"/>
    </row>
    <row r="6" spans="1:5" x14ac:dyDescent="0.25">
      <c r="A6" s="5">
        <v>45669</v>
      </c>
      <c r="B6" s="2" t="s">
        <v>39</v>
      </c>
      <c r="C6" s="8">
        <v>78.84</v>
      </c>
      <c r="D6" s="2" t="s">
        <v>11</v>
      </c>
      <c r="E6" s="1"/>
    </row>
    <row r="7" spans="1:5" x14ac:dyDescent="0.25">
      <c r="A7" s="5">
        <v>45668</v>
      </c>
      <c r="B7" s="2" t="s">
        <v>40</v>
      </c>
      <c r="C7" s="8">
        <v>73.84</v>
      </c>
      <c r="D7" s="2" t="s">
        <v>11</v>
      </c>
      <c r="E7" s="1"/>
    </row>
    <row r="8" spans="1:5" x14ac:dyDescent="0.25">
      <c r="A8" s="5">
        <v>45677</v>
      </c>
      <c r="B8" s="2" t="s">
        <v>41</v>
      </c>
      <c r="C8" s="8">
        <v>110</v>
      </c>
      <c r="D8" s="2" t="s">
        <v>12</v>
      </c>
      <c r="E8" s="1"/>
    </row>
    <row r="9" spans="1:5" x14ac:dyDescent="0.25">
      <c r="A9" s="5">
        <v>45661</v>
      </c>
      <c r="B9" s="2" t="s">
        <v>42</v>
      </c>
      <c r="C9" s="8">
        <v>75</v>
      </c>
      <c r="D9" s="2" t="s">
        <v>13</v>
      </c>
      <c r="E9" s="1"/>
    </row>
    <row r="10" spans="1:5" x14ac:dyDescent="0.25">
      <c r="A10" s="5">
        <v>45668</v>
      </c>
      <c r="B10" s="2" t="s">
        <v>43</v>
      </c>
      <c r="C10" s="8">
        <v>48.96</v>
      </c>
      <c r="D10" s="2" t="s">
        <v>14</v>
      </c>
      <c r="E10" s="1"/>
    </row>
    <row r="11" spans="1:5" x14ac:dyDescent="0.25">
      <c r="A11" s="5">
        <v>45673</v>
      </c>
      <c r="B11" s="2" t="s">
        <v>44</v>
      </c>
      <c r="C11" s="8">
        <v>47.72</v>
      </c>
      <c r="D11" s="2" t="s">
        <v>15</v>
      </c>
      <c r="E11" s="1"/>
    </row>
    <row r="12" spans="1:5" x14ac:dyDescent="0.25">
      <c r="A12" s="5">
        <v>45664</v>
      </c>
      <c r="B12" s="2" t="s">
        <v>44</v>
      </c>
      <c r="C12" s="8">
        <v>34.950000000000003</v>
      </c>
      <c r="D12" s="2" t="s">
        <v>15</v>
      </c>
      <c r="E12" s="1"/>
    </row>
    <row r="13" spans="1:5" x14ac:dyDescent="0.25">
      <c r="A13" s="5">
        <v>45666</v>
      </c>
      <c r="B13" s="2" t="s">
        <v>44</v>
      </c>
      <c r="C13" s="8">
        <v>36.270000000000003</v>
      </c>
      <c r="D13" s="2" t="s">
        <v>15</v>
      </c>
      <c r="E13" s="1"/>
    </row>
    <row r="14" spans="1:5" x14ac:dyDescent="0.25">
      <c r="A14" s="5">
        <v>45682</v>
      </c>
      <c r="B14" s="2" t="s">
        <v>45</v>
      </c>
      <c r="C14" s="8">
        <v>30.3</v>
      </c>
      <c r="D14" s="2" t="s">
        <v>15</v>
      </c>
      <c r="E14" s="1"/>
    </row>
    <row r="15" spans="1:5" x14ac:dyDescent="0.25">
      <c r="A15" s="5">
        <v>45671</v>
      </c>
      <c r="B15" s="2" t="s">
        <v>46</v>
      </c>
      <c r="C15" s="8">
        <v>22.08</v>
      </c>
      <c r="D15" s="2" t="s">
        <v>18</v>
      </c>
      <c r="E15" s="1"/>
    </row>
    <row r="16" spans="1:5" x14ac:dyDescent="0.25">
      <c r="A16" s="5">
        <v>45659</v>
      </c>
      <c r="B16" s="2" t="s">
        <v>46</v>
      </c>
      <c r="C16" s="8">
        <v>23.8</v>
      </c>
      <c r="D16" s="2" t="s">
        <v>18</v>
      </c>
      <c r="E16" s="1"/>
    </row>
    <row r="17" spans="1:5" x14ac:dyDescent="0.25">
      <c r="A17" s="5">
        <v>45672</v>
      </c>
      <c r="B17" s="2" t="s">
        <v>47</v>
      </c>
      <c r="C17" s="8">
        <v>35.82</v>
      </c>
      <c r="D17" s="2" t="s">
        <v>19</v>
      </c>
      <c r="E17" s="1"/>
    </row>
    <row r="18" spans="1:5" x14ac:dyDescent="0.25">
      <c r="A18" s="5">
        <v>45665</v>
      </c>
      <c r="B18" s="2" t="s">
        <v>48</v>
      </c>
      <c r="C18" s="8">
        <v>39.07</v>
      </c>
      <c r="D18" s="2" t="s">
        <v>19</v>
      </c>
      <c r="E18" s="1"/>
    </row>
    <row r="19" spans="1:5" x14ac:dyDescent="0.25">
      <c r="A19" s="5">
        <v>45669</v>
      </c>
      <c r="B19" s="2" t="s">
        <v>49</v>
      </c>
      <c r="C19" s="8">
        <v>48.82</v>
      </c>
      <c r="D19" s="2" t="s">
        <v>20</v>
      </c>
      <c r="E19" s="1"/>
    </row>
    <row r="20" spans="1:5" x14ac:dyDescent="0.25">
      <c r="A20" s="5">
        <v>45684</v>
      </c>
      <c r="B20" s="2" t="s">
        <v>49</v>
      </c>
      <c r="C20" s="8">
        <v>41.63</v>
      </c>
      <c r="D20" s="2" t="s">
        <v>20</v>
      </c>
      <c r="E20" s="1"/>
    </row>
    <row r="21" spans="1:5" x14ac:dyDescent="0.25">
      <c r="A21" s="5">
        <v>45658</v>
      </c>
      <c r="B21" s="2" t="s">
        <v>50</v>
      </c>
      <c r="C21" s="8">
        <v>28.78</v>
      </c>
      <c r="D21" s="2" t="s">
        <v>21</v>
      </c>
      <c r="E21" s="1"/>
    </row>
    <row r="22" spans="1:5" x14ac:dyDescent="0.25">
      <c r="A22" s="5">
        <v>45677</v>
      </c>
      <c r="B22" s="2" t="s">
        <v>51</v>
      </c>
      <c r="C22" s="8">
        <v>53.2</v>
      </c>
      <c r="D22" s="2" t="s">
        <v>22</v>
      </c>
      <c r="E22" s="1"/>
    </row>
    <row r="23" spans="1:5" x14ac:dyDescent="0.25">
      <c r="A23" s="5">
        <v>45706</v>
      </c>
      <c r="B23" s="2" t="s">
        <v>35</v>
      </c>
      <c r="C23" s="8">
        <v>1500</v>
      </c>
      <c r="D23" s="2" t="s">
        <v>6</v>
      </c>
      <c r="E23" s="1"/>
    </row>
    <row r="24" spans="1:5" x14ac:dyDescent="0.25">
      <c r="A24" s="5">
        <v>45700</v>
      </c>
      <c r="B24" s="2" t="s">
        <v>52</v>
      </c>
      <c r="C24" s="8">
        <v>89.32</v>
      </c>
      <c r="D24" s="2" t="s">
        <v>9</v>
      </c>
      <c r="E24" s="1"/>
    </row>
    <row r="25" spans="1:5" x14ac:dyDescent="0.25">
      <c r="A25" s="5">
        <v>45692</v>
      </c>
      <c r="B25" s="2" t="s">
        <v>36</v>
      </c>
      <c r="C25" s="8">
        <v>78.510000000000005</v>
      </c>
      <c r="D25" s="2" t="s">
        <v>9</v>
      </c>
      <c r="E25" s="1"/>
    </row>
    <row r="26" spans="1:5" x14ac:dyDescent="0.25">
      <c r="A26" s="5">
        <v>45704</v>
      </c>
      <c r="B26" s="2" t="s">
        <v>53</v>
      </c>
      <c r="C26" s="8">
        <v>113</v>
      </c>
      <c r="D26" s="2" t="s">
        <v>10</v>
      </c>
      <c r="E26" s="1"/>
    </row>
    <row r="27" spans="1:5" x14ac:dyDescent="0.25">
      <c r="A27" s="5">
        <v>45693</v>
      </c>
      <c r="B27" s="2" t="s">
        <v>54</v>
      </c>
      <c r="C27" s="8">
        <v>129.94</v>
      </c>
      <c r="D27" s="2" t="s">
        <v>10</v>
      </c>
      <c r="E27" s="1"/>
    </row>
    <row r="28" spans="1:5" x14ac:dyDescent="0.25">
      <c r="A28" s="5">
        <v>45709</v>
      </c>
      <c r="B28" s="2" t="s">
        <v>53</v>
      </c>
      <c r="C28" s="8">
        <v>115.64</v>
      </c>
      <c r="D28" s="2" t="s">
        <v>10</v>
      </c>
      <c r="E28" s="1"/>
    </row>
    <row r="29" spans="1:5" x14ac:dyDescent="0.25">
      <c r="A29" s="5">
        <v>45708</v>
      </c>
      <c r="B29" s="2" t="s">
        <v>37</v>
      </c>
      <c r="C29" s="8">
        <v>110.55</v>
      </c>
      <c r="D29" s="2" t="s">
        <v>10</v>
      </c>
      <c r="E29" s="1"/>
    </row>
    <row r="30" spans="1:5" x14ac:dyDescent="0.25">
      <c r="A30" s="5">
        <v>45689</v>
      </c>
      <c r="B30" s="2" t="s">
        <v>40</v>
      </c>
      <c r="C30" s="8">
        <v>106.29</v>
      </c>
      <c r="D30" s="2" t="s">
        <v>11</v>
      </c>
      <c r="E30" s="1"/>
    </row>
    <row r="31" spans="1:5" x14ac:dyDescent="0.25">
      <c r="A31" s="5">
        <v>45697</v>
      </c>
      <c r="B31" s="2" t="s">
        <v>41</v>
      </c>
      <c r="C31" s="8">
        <v>110</v>
      </c>
      <c r="D31" s="2" t="s">
        <v>12</v>
      </c>
      <c r="E31" s="1"/>
    </row>
    <row r="32" spans="1:5" x14ac:dyDescent="0.25">
      <c r="A32" s="5">
        <v>45711</v>
      </c>
      <c r="B32" s="2" t="s">
        <v>42</v>
      </c>
      <c r="C32" s="8">
        <v>75</v>
      </c>
      <c r="D32" s="2" t="s">
        <v>13</v>
      </c>
      <c r="E32" s="1"/>
    </row>
    <row r="33" spans="1:5" x14ac:dyDescent="0.25">
      <c r="A33" s="5">
        <v>45697</v>
      </c>
      <c r="B33" s="2" t="s">
        <v>43</v>
      </c>
      <c r="C33" s="8">
        <v>49.41</v>
      </c>
      <c r="D33" s="2" t="s">
        <v>14</v>
      </c>
      <c r="E33" s="1"/>
    </row>
    <row r="34" spans="1:5" x14ac:dyDescent="0.25">
      <c r="A34" s="5">
        <v>45691</v>
      </c>
      <c r="B34" s="2" t="s">
        <v>55</v>
      </c>
      <c r="C34" s="8">
        <v>46.03</v>
      </c>
      <c r="D34" s="2" t="s">
        <v>15</v>
      </c>
      <c r="E34" s="1"/>
    </row>
    <row r="35" spans="1:5" x14ac:dyDescent="0.25">
      <c r="A35" s="5">
        <v>45704</v>
      </c>
      <c r="B35" s="2" t="s">
        <v>55</v>
      </c>
      <c r="C35" s="8">
        <v>46.92</v>
      </c>
      <c r="D35" s="2" t="s">
        <v>15</v>
      </c>
      <c r="E35" s="1"/>
    </row>
    <row r="36" spans="1:5" x14ac:dyDescent="0.25">
      <c r="A36" s="5">
        <v>45701</v>
      </c>
      <c r="B36" s="2" t="s">
        <v>56</v>
      </c>
      <c r="C36" s="8">
        <v>35.92</v>
      </c>
      <c r="D36" s="2" t="s">
        <v>15</v>
      </c>
      <c r="E36" s="1"/>
    </row>
    <row r="37" spans="1:5" x14ac:dyDescent="0.25">
      <c r="A37" s="5">
        <v>45698</v>
      </c>
      <c r="B37" s="2" t="s">
        <v>56</v>
      </c>
      <c r="C37" s="8">
        <v>47.14</v>
      </c>
      <c r="D37" s="2" t="s">
        <v>15</v>
      </c>
      <c r="E37" s="1"/>
    </row>
    <row r="38" spans="1:5" x14ac:dyDescent="0.25">
      <c r="A38" s="5">
        <v>45693</v>
      </c>
      <c r="B38" s="2" t="s">
        <v>46</v>
      </c>
      <c r="C38" s="8">
        <v>17.809999999999999</v>
      </c>
      <c r="D38" s="2" t="s">
        <v>18</v>
      </c>
      <c r="E38" s="1"/>
    </row>
    <row r="39" spans="1:5" x14ac:dyDescent="0.25">
      <c r="A39" s="5">
        <v>45693</v>
      </c>
      <c r="B39" s="2" t="s">
        <v>57</v>
      </c>
      <c r="C39" s="8">
        <v>15.58</v>
      </c>
      <c r="D39" s="2" t="s">
        <v>18</v>
      </c>
      <c r="E39" s="1"/>
    </row>
    <row r="40" spans="1:5" x14ac:dyDescent="0.25">
      <c r="A40" s="5">
        <v>45703</v>
      </c>
      <c r="B40" s="2" t="s">
        <v>58</v>
      </c>
      <c r="C40" s="8">
        <v>36.67</v>
      </c>
      <c r="D40" s="2" t="s">
        <v>19</v>
      </c>
      <c r="E40" s="1"/>
    </row>
    <row r="41" spans="1:5" x14ac:dyDescent="0.25">
      <c r="A41" s="5">
        <v>45697</v>
      </c>
      <c r="B41" s="2" t="s">
        <v>47</v>
      </c>
      <c r="C41" s="8">
        <v>35.049999999999997</v>
      </c>
      <c r="D41" s="2" t="s">
        <v>19</v>
      </c>
      <c r="E41" s="1"/>
    </row>
    <row r="42" spans="1:5" x14ac:dyDescent="0.25">
      <c r="A42" s="5">
        <v>45700</v>
      </c>
      <c r="B42" s="2" t="s">
        <v>59</v>
      </c>
      <c r="C42" s="8">
        <v>41.88</v>
      </c>
      <c r="D42" s="2" t="s">
        <v>20</v>
      </c>
      <c r="E42" s="1"/>
    </row>
    <row r="43" spans="1:5" x14ac:dyDescent="0.25">
      <c r="A43" s="5">
        <v>45690</v>
      </c>
      <c r="B43" s="2" t="s">
        <v>49</v>
      </c>
      <c r="C43" s="8">
        <v>35.090000000000003</v>
      </c>
      <c r="D43" s="2" t="s">
        <v>20</v>
      </c>
      <c r="E43" s="1"/>
    </row>
    <row r="44" spans="1:5" x14ac:dyDescent="0.25">
      <c r="A44" s="5">
        <v>45691</v>
      </c>
      <c r="B44" s="2" t="s">
        <v>60</v>
      </c>
      <c r="C44" s="8">
        <v>36.68</v>
      </c>
      <c r="D44" s="2" t="s">
        <v>21</v>
      </c>
      <c r="E44" s="1"/>
    </row>
    <row r="45" spans="1:5" x14ac:dyDescent="0.25">
      <c r="A45" s="5">
        <v>45703</v>
      </c>
      <c r="B45" s="2" t="s">
        <v>61</v>
      </c>
      <c r="C45" s="8">
        <v>28.84</v>
      </c>
      <c r="D45" s="2" t="s">
        <v>22</v>
      </c>
      <c r="E45" s="1"/>
    </row>
    <row r="46" spans="1:5" x14ac:dyDescent="0.25">
      <c r="A46" s="5">
        <v>45693</v>
      </c>
      <c r="B46" s="2" t="s">
        <v>62</v>
      </c>
      <c r="C46" s="8">
        <v>34.78</v>
      </c>
      <c r="D46" s="2" t="s">
        <v>22</v>
      </c>
      <c r="E46" s="1"/>
    </row>
    <row r="47" spans="1:5" x14ac:dyDescent="0.25">
      <c r="A47" s="5">
        <v>45746</v>
      </c>
      <c r="B47" s="2" t="s">
        <v>35</v>
      </c>
      <c r="C47" s="8">
        <v>1500</v>
      </c>
      <c r="D47" s="2" t="s">
        <v>6</v>
      </c>
      <c r="E47" s="1"/>
    </row>
    <row r="48" spans="1:5" x14ac:dyDescent="0.25">
      <c r="A48" s="5">
        <v>45727</v>
      </c>
      <c r="B48" s="2" t="s">
        <v>52</v>
      </c>
      <c r="C48" s="8">
        <v>145.4</v>
      </c>
      <c r="D48" s="2" t="s">
        <v>9</v>
      </c>
      <c r="E48" s="1"/>
    </row>
    <row r="49" spans="1:5" x14ac:dyDescent="0.25">
      <c r="A49" s="5">
        <v>45746</v>
      </c>
      <c r="B49" s="2" t="s">
        <v>38</v>
      </c>
      <c r="C49" s="8">
        <v>249.11</v>
      </c>
      <c r="D49" s="2" t="s">
        <v>10</v>
      </c>
      <c r="E49" s="1"/>
    </row>
    <row r="50" spans="1:5" x14ac:dyDescent="0.25">
      <c r="A50" s="5">
        <v>45747</v>
      </c>
      <c r="B50" s="2" t="s">
        <v>38</v>
      </c>
      <c r="C50" s="8">
        <v>149.47999999999999</v>
      </c>
      <c r="D50" s="2" t="s">
        <v>10</v>
      </c>
      <c r="E50" s="1"/>
    </row>
    <row r="51" spans="1:5" x14ac:dyDescent="0.25">
      <c r="A51" s="5">
        <v>45747</v>
      </c>
      <c r="B51" s="2" t="s">
        <v>63</v>
      </c>
      <c r="C51" s="8">
        <v>68.91</v>
      </c>
      <c r="D51" s="2" t="s">
        <v>11</v>
      </c>
      <c r="E51" s="1"/>
    </row>
    <row r="52" spans="1:5" x14ac:dyDescent="0.25">
      <c r="A52" s="5">
        <v>45733</v>
      </c>
      <c r="B52" s="2" t="s">
        <v>40</v>
      </c>
      <c r="C52" s="8">
        <v>71.88</v>
      </c>
      <c r="D52" s="2" t="s">
        <v>11</v>
      </c>
      <c r="E52" s="1"/>
    </row>
    <row r="53" spans="1:5" x14ac:dyDescent="0.25">
      <c r="A53" s="5">
        <v>45724</v>
      </c>
      <c r="B53" s="2" t="s">
        <v>41</v>
      </c>
      <c r="C53" s="8">
        <v>110</v>
      </c>
      <c r="D53" s="2" t="s">
        <v>12</v>
      </c>
      <c r="E53" s="1"/>
    </row>
    <row r="54" spans="1:5" x14ac:dyDescent="0.25">
      <c r="A54" s="5">
        <v>45722</v>
      </c>
      <c r="B54" s="2" t="s">
        <v>42</v>
      </c>
      <c r="C54" s="8">
        <v>75</v>
      </c>
      <c r="D54" s="2" t="s">
        <v>13</v>
      </c>
      <c r="E54" s="1"/>
    </row>
    <row r="55" spans="1:5" x14ac:dyDescent="0.25">
      <c r="A55" s="5">
        <v>45717</v>
      </c>
      <c r="B55" s="2" t="s">
        <v>64</v>
      </c>
      <c r="C55" s="8">
        <v>52.02</v>
      </c>
      <c r="D55" s="2" t="s">
        <v>14</v>
      </c>
      <c r="E55" s="1"/>
    </row>
    <row r="56" spans="1:5" x14ac:dyDescent="0.25">
      <c r="A56" s="5">
        <v>45720</v>
      </c>
      <c r="B56" s="2" t="s">
        <v>45</v>
      </c>
      <c r="C56" s="8">
        <v>33.08</v>
      </c>
      <c r="D56" s="2" t="s">
        <v>15</v>
      </c>
      <c r="E56" s="1"/>
    </row>
    <row r="57" spans="1:5" x14ac:dyDescent="0.25">
      <c r="A57" s="5">
        <v>45729</v>
      </c>
      <c r="B57" s="2" t="s">
        <v>45</v>
      </c>
      <c r="C57" s="8">
        <v>31.1</v>
      </c>
      <c r="D57" s="2" t="s">
        <v>15</v>
      </c>
      <c r="E57" s="1"/>
    </row>
    <row r="58" spans="1:5" x14ac:dyDescent="0.25">
      <c r="A58" s="5">
        <v>45737</v>
      </c>
      <c r="B58" s="2" t="s">
        <v>55</v>
      </c>
      <c r="C58" s="8">
        <v>32.51</v>
      </c>
      <c r="D58" s="2" t="s">
        <v>15</v>
      </c>
      <c r="E58" s="1"/>
    </row>
    <row r="59" spans="1:5" x14ac:dyDescent="0.25">
      <c r="A59" s="5">
        <v>45729</v>
      </c>
      <c r="B59" s="2" t="s">
        <v>44</v>
      </c>
      <c r="C59" s="8">
        <v>28.38</v>
      </c>
      <c r="D59" s="2" t="s">
        <v>15</v>
      </c>
      <c r="E59" s="1"/>
    </row>
    <row r="60" spans="1:5" x14ac:dyDescent="0.25">
      <c r="A60" s="5">
        <v>45739</v>
      </c>
      <c r="B60" s="2" t="s">
        <v>57</v>
      </c>
      <c r="C60" s="8">
        <v>16.690000000000001</v>
      </c>
      <c r="D60" s="2" t="s">
        <v>18</v>
      </c>
      <c r="E60" s="1"/>
    </row>
    <row r="61" spans="1:5" x14ac:dyDescent="0.25">
      <c r="A61" s="5">
        <v>45727</v>
      </c>
      <c r="B61" s="2" t="s">
        <v>46</v>
      </c>
      <c r="C61" s="8">
        <v>14.39</v>
      </c>
      <c r="D61" s="2" t="s">
        <v>18</v>
      </c>
      <c r="E61" s="1"/>
    </row>
    <row r="62" spans="1:5" x14ac:dyDescent="0.25">
      <c r="A62" s="5">
        <v>45735</v>
      </c>
      <c r="B62" s="2" t="s">
        <v>65</v>
      </c>
      <c r="C62" s="8">
        <v>14.76</v>
      </c>
      <c r="D62" s="2" t="s">
        <v>18</v>
      </c>
      <c r="E62" s="1"/>
    </row>
    <row r="63" spans="1:5" x14ac:dyDescent="0.25">
      <c r="A63" s="5">
        <v>45720</v>
      </c>
      <c r="B63" s="2" t="s">
        <v>47</v>
      </c>
      <c r="C63" s="8">
        <v>24.52</v>
      </c>
      <c r="D63" s="2" t="s">
        <v>19</v>
      </c>
      <c r="E63" s="1"/>
    </row>
    <row r="64" spans="1:5" x14ac:dyDescent="0.25">
      <c r="A64" s="5">
        <v>45717</v>
      </c>
      <c r="B64" s="2" t="s">
        <v>47</v>
      </c>
      <c r="C64" s="8">
        <v>49.46</v>
      </c>
      <c r="D64" s="2" t="s">
        <v>19</v>
      </c>
      <c r="E64" s="1"/>
    </row>
    <row r="65" spans="1:5" x14ac:dyDescent="0.25">
      <c r="A65" s="5">
        <v>45720</v>
      </c>
      <c r="B65" s="2" t="s">
        <v>59</v>
      </c>
      <c r="C65" s="8">
        <v>51.71</v>
      </c>
      <c r="D65" s="2" t="s">
        <v>20</v>
      </c>
      <c r="E65" s="1"/>
    </row>
    <row r="66" spans="1:5" x14ac:dyDescent="0.25">
      <c r="A66" s="5">
        <v>45729</v>
      </c>
      <c r="B66" s="2" t="s">
        <v>60</v>
      </c>
      <c r="C66" s="8">
        <v>20.27</v>
      </c>
      <c r="D66" s="2" t="s">
        <v>21</v>
      </c>
      <c r="E66" s="1"/>
    </row>
    <row r="67" spans="1:5" x14ac:dyDescent="0.25">
      <c r="A67" s="5">
        <v>45724</v>
      </c>
      <c r="B67" s="2" t="s">
        <v>60</v>
      </c>
      <c r="C67" s="8">
        <v>14.32</v>
      </c>
      <c r="D67" s="2" t="s">
        <v>21</v>
      </c>
      <c r="E67" s="1"/>
    </row>
    <row r="68" spans="1:5" x14ac:dyDescent="0.25">
      <c r="A68" s="5">
        <v>45741</v>
      </c>
      <c r="B68" s="2" t="s">
        <v>61</v>
      </c>
      <c r="C68" s="8">
        <v>41.98</v>
      </c>
      <c r="D68" s="2" t="s">
        <v>22</v>
      </c>
      <c r="E68" s="1"/>
    </row>
    <row r="69" spans="1:5" x14ac:dyDescent="0.25">
      <c r="A69" s="5">
        <v>45772</v>
      </c>
      <c r="B69" s="2" t="s">
        <v>35</v>
      </c>
      <c r="C69" s="8">
        <v>1500</v>
      </c>
      <c r="D69" s="2" t="s">
        <v>6</v>
      </c>
      <c r="E69" s="1"/>
    </row>
    <row r="70" spans="1:5" x14ac:dyDescent="0.25">
      <c r="A70" s="5">
        <v>45757</v>
      </c>
      <c r="B70" s="2" t="s">
        <v>52</v>
      </c>
      <c r="C70" s="8">
        <v>167.3</v>
      </c>
      <c r="D70" s="2" t="s">
        <v>9</v>
      </c>
      <c r="E70" s="1"/>
    </row>
    <row r="71" spans="1:5" x14ac:dyDescent="0.25">
      <c r="A71" s="5">
        <v>45776</v>
      </c>
      <c r="B71" s="2" t="s">
        <v>38</v>
      </c>
      <c r="C71" s="8">
        <v>131.12</v>
      </c>
      <c r="D71" s="2" t="s">
        <v>10</v>
      </c>
      <c r="E71" s="1"/>
    </row>
    <row r="72" spans="1:5" x14ac:dyDescent="0.25">
      <c r="A72" s="5">
        <v>45763</v>
      </c>
      <c r="B72" s="2" t="s">
        <v>38</v>
      </c>
      <c r="C72" s="8">
        <v>156.44999999999999</v>
      </c>
      <c r="D72" s="2" t="s">
        <v>10</v>
      </c>
      <c r="E72" s="1"/>
    </row>
    <row r="73" spans="1:5" x14ac:dyDescent="0.25">
      <c r="A73" s="5">
        <v>45763</v>
      </c>
      <c r="B73" s="2" t="s">
        <v>38</v>
      </c>
      <c r="C73" s="8">
        <v>148.43</v>
      </c>
      <c r="D73" s="2" t="s">
        <v>10</v>
      </c>
      <c r="E73" s="1"/>
    </row>
    <row r="74" spans="1:5" x14ac:dyDescent="0.25">
      <c r="A74" s="5">
        <v>45756</v>
      </c>
      <c r="B74" s="2" t="s">
        <v>63</v>
      </c>
      <c r="C74" s="8">
        <v>161.41</v>
      </c>
      <c r="D74" s="2" t="s">
        <v>11</v>
      </c>
      <c r="E74" s="1"/>
    </row>
    <row r="75" spans="1:5" x14ac:dyDescent="0.25">
      <c r="A75" s="5">
        <v>45754</v>
      </c>
      <c r="B75" s="2" t="s">
        <v>41</v>
      </c>
      <c r="C75" s="8">
        <v>110</v>
      </c>
      <c r="D75" s="2" t="s">
        <v>12</v>
      </c>
      <c r="E75" s="1"/>
    </row>
    <row r="76" spans="1:5" x14ac:dyDescent="0.25">
      <c r="A76" s="5">
        <v>45774</v>
      </c>
      <c r="B76" s="2" t="s">
        <v>42</v>
      </c>
      <c r="C76" s="8">
        <v>75</v>
      </c>
      <c r="D76" s="2" t="s">
        <v>13</v>
      </c>
      <c r="E76" s="1"/>
    </row>
    <row r="77" spans="1:5" x14ac:dyDescent="0.25">
      <c r="A77" s="5">
        <v>45759</v>
      </c>
      <c r="B77" s="2" t="s">
        <v>43</v>
      </c>
      <c r="C77" s="8">
        <v>39.43</v>
      </c>
      <c r="D77" s="2" t="s">
        <v>14</v>
      </c>
      <c r="E77" s="1"/>
    </row>
    <row r="78" spans="1:5" x14ac:dyDescent="0.25">
      <c r="A78" s="5">
        <v>45759</v>
      </c>
      <c r="B78" s="2" t="s">
        <v>43</v>
      </c>
      <c r="C78" s="8">
        <v>36.6</v>
      </c>
      <c r="D78" s="2" t="s">
        <v>14</v>
      </c>
      <c r="E78" s="1"/>
    </row>
    <row r="79" spans="1:5" x14ac:dyDescent="0.25">
      <c r="A79" s="5">
        <v>45770</v>
      </c>
      <c r="B79" s="2" t="s">
        <v>56</v>
      </c>
      <c r="C79" s="8">
        <v>51.07</v>
      </c>
      <c r="D79" s="2" t="s">
        <v>15</v>
      </c>
      <c r="E79" s="1"/>
    </row>
    <row r="80" spans="1:5" x14ac:dyDescent="0.25">
      <c r="A80" s="5">
        <v>45751</v>
      </c>
      <c r="B80" s="2" t="s">
        <v>45</v>
      </c>
      <c r="C80" s="8">
        <v>38.39</v>
      </c>
      <c r="D80" s="2" t="s">
        <v>15</v>
      </c>
      <c r="E80" s="1"/>
    </row>
    <row r="81" spans="1:5" x14ac:dyDescent="0.25">
      <c r="A81" s="5">
        <v>45755</v>
      </c>
      <c r="B81" s="2" t="s">
        <v>55</v>
      </c>
      <c r="C81" s="8">
        <v>46.07</v>
      </c>
      <c r="D81" s="2" t="s">
        <v>15</v>
      </c>
      <c r="E81" s="1"/>
    </row>
    <row r="82" spans="1:5" x14ac:dyDescent="0.25">
      <c r="A82" s="5">
        <v>45769</v>
      </c>
      <c r="B82" s="2" t="s">
        <v>46</v>
      </c>
      <c r="C82" s="8">
        <v>16.07</v>
      </c>
      <c r="D82" s="2" t="s">
        <v>18</v>
      </c>
      <c r="E82" s="1"/>
    </row>
    <row r="83" spans="1:5" x14ac:dyDescent="0.25">
      <c r="A83" s="5">
        <v>45758</v>
      </c>
      <c r="B83" s="2" t="s">
        <v>46</v>
      </c>
      <c r="C83" s="8">
        <v>21.66</v>
      </c>
      <c r="D83" s="2" t="s">
        <v>18</v>
      </c>
      <c r="E83" s="1"/>
    </row>
    <row r="84" spans="1:5" x14ac:dyDescent="0.25">
      <c r="A84" s="5">
        <v>45766</v>
      </c>
      <c r="B84" s="2" t="s">
        <v>58</v>
      </c>
      <c r="C84" s="8">
        <v>38.200000000000003</v>
      </c>
      <c r="D84" s="2" t="s">
        <v>19</v>
      </c>
      <c r="E84" s="1"/>
    </row>
    <row r="85" spans="1:5" x14ac:dyDescent="0.25">
      <c r="A85" s="5">
        <v>45757</v>
      </c>
      <c r="B85" s="2" t="s">
        <v>47</v>
      </c>
      <c r="C85" s="8">
        <v>54.31</v>
      </c>
      <c r="D85" s="2" t="s">
        <v>19</v>
      </c>
      <c r="E85" s="1"/>
    </row>
    <row r="86" spans="1:5" x14ac:dyDescent="0.25">
      <c r="A86" s="5">
        <v>45758</v>
      </c>
      <c r="B86" s="2" t="s">
        <v>49</v>
      </c>
      <c r="C86" s="8">
        <v>84.45</v>
      </c>
      <c r="D86" s="2" t="s">
        <v>20</v>
      </c>
      <c r="E86" s="1"/>
    </row>
    <row r="87" spans="1:5" x14ac:dyDescent="0.25">
      <c r="A87" s="5">
        <v>45753</v>
      </c>
      <c r="B87" s="2" t="s">
        <v>50</v>
      </c>
      <c r="C87" s="8">
        <v>47.39</v>
      </c>
      <c r="D87" s="2" t="s">
        <v>21</v>
      </c>
      <c r="E87" s="1"/>
    </row>
    <row r="88" spans="1:5" x14ac:dyDescent="0.25">
      <c r="A88" s="5">
        <v>45757</v>
      </c>
      <c r="B88" s="2" t="s">
        <v>61</v>
      </c>
      <c r="C88" s="8">
        <v>15.97</v>
      </c>
      <c r="D88" s="2" t="s">
        <v>22</v>
      </c>
      <c r="E88" s="1"/>
    </row>
    <row r="89" spans="1:5" x14ac:dyDescent="0.25">
      <c r="A89" s="5">
        <v>45751</v>
      </c>
      <c r="B89" s="2" t="s">
        <v>62</v>
      </c>
      <c r="C89" s="8">
        <v>28.85</v>
      </c>
      <c r="D89" s="2" t="s">
        <v>22</v>
      </c>
      <c r="E89" s="1"/>
    </row>
    <row r="90" spans="1:5" x14ac:dyDescent="0.25">
      <c r="A90" s="5">
        <v>45792</v>
      </c>
      <c r="B90" s="2" t="s">
        <v>35</v>
      </c>
      <c r="C90" s="8">
        <v>1500</v>
      </c>
      <c r="D90" s="2" t="s">
        <v>6</v>
      </c>
      <c r="E90" s="1"/>
    </row>
    <row r="91" spans="1:5" x14ac:dyDescent="0.25">
      <c r="A91" s="5">
        <v>45794</v>
      </c>
      <c r="B91" s="2" t="s">
        <v>36</v>
      </c>
      <c r="C91" s="8">
        <v>223.06</v>
      </c>
      <c r="D91" s="2" t="s">
        <v>9</v>
      </c>
      <c r="E91" s="1"/>
    </row>
    <row r="92" spans="1:5" x14ac:dyDescent="0.25">
      <c r="A92" s="5">
        <v>45795</v>
      </c>
      <c r="B92" s="2" t="s">
        <v>37</v>
      </c>
      <c r="C92" s="8">
        <v>99.51</v>
      </c>
      <c r="D92" s="2" t="s">
        <v>10</v>
      </c>
      <c r="E92" s="1"/>
    </row>
    <row r="93" spans="1:5" x14ac:dyDescent="0.25">
      <c r="A93" s="5">
        <v>45804</v>
      </c>
      <c r="B93" s="2" t="s">
        <v>38</v>
      </c>
      <c r="C93" s="8">
        <v>157.16</v>
      </c>
      <c r="D93" s="2" t="s">
        <v>10</v>
      </c>
      <c r="E93" s="1"/>
    </row>
    <row r="94" spans="1:5" x14ac:dyDescent="0.25">
      <c r="A94" s="5">
        <v>45781</v>
      </c>
      <c r="B94" s="2" t="s">
        <v>37</v>
      </c>
      <c r="C94" s="8">
        <v>97.7</v>
      </c>
      <c r="D94" s="2" t="s">
        <v>10</v>
      </c>
      <c r="E94" s="1"/>
    </row>
    <row r="95" spans="1:5" x14ac:dyDescent="0.25">
      <c r="A95" s="5">
        <v>45795</v>
      </c>
      <c r="B95" s="2" t="s">
        <v>40</v>
      </c>
      <c r="C95" s="8">
        <v>50.9</v>
      </c>
      <c r="D95" s="2" t="s">
        <v>11</v>
      </c>
      <c r="E95" s="1"/>
    </row>
    <row r="96" spans="1:5" x14ac:dyDescent="0.25">
      <c r="A96" s="5">
        <v>45778</v>
      </c>
      <c r="B96" s="2" t="s">
        <v>39</v>
      </c>
      <c r="C96" s="8">
        <v>84.95</v>
      </c>
      <c r="D96" s="2" t="s">
        <v>11</v>
      </c>
      <c r="E96" s="1"/>
    </row>
    <row r="97" spans="1:5" x14ac:dyDescent="0.25">
      <c r="A97" s="5">
        <v>45778</v>
      </c>
      <c r="B97" s="2" t="s">
        <v>41</v>
      </c>
      <c r="C97" s="8">
        <v>110</v>
      </c>
      <c r="D97" s="2" t="s">
        <v>12</v>
      </c>
      <c r="E97" s="1"/>
    </row>
    <row r="98" spans="1:5" x14ac:dyDescent="0.25">
      <c r="A98" s="5">
        <v>45778</v>
      </c>
      <c r="B98" s="2" t="s">
        <v>42</v>
      </c>
      <c r="C98" s="8">
        <v>75</v>
      </c>
      <c r="D98" s="2" t="s">
        <v>13</v>
      </c>
      <c r="E98" s="1"/>
    </row>
    <row r="99" spans="1:5" x14ac:dyDescent="0.25">
      <c r="A99" s="5">
        <v>45797</v>
      </c>
      <c r="B99" s="2" t="s">
        <v>43</v>
      </c>
      <c r="C99" s="8">
        <v>78.69</v>
      </c>
      <c r="D99" s="2" t="s">
        <v>14</v>
      </c>
      <c r="E99" s="1"/>
    </row>
    <row r="100" spans="1:5" x14ac:dyDescent="0.25">
      <c r="A100" s="5">
        <v>45793</v>
      </c>
      <c r="B100" s="2" t="s">
        <v>44</v>
      </c>
      <c r="C100" s="8">
        <v>42.62</v>
      </c>
      <c r="D100" s="2" t="s">
        <v>15</v>
      </c>
      <c r="E100" s="1"/>
    </row>
    <row r="101" spans="1:5" x14ac:dyDescent="0.25">
      <c r="A101" s="5">
        <v>45780</v>
      </c>
      <c r="B101" s="2" t="s">
        <v>56</v>
      </c>
      <c r="C101" s="8">
        <v>41.24</v>
      </c>
      <c r="D101" s="2" t="s">
        <v>15</v>
      </c>
      <c r="E101" s="1"/>
    </row>
    <row r="102" spans="1:5" x14ac:dyDescent="0.25">
      <c r="A102" s="5">
        <v>45781</v>
      </c>
      <c r="B102" s="2" t="s">
        <v>44</v>
      </c>
      <c r="C102" s="8">
        <v>41.4</v>
      </c>
      <c r="D102" s="2" t="s">
        <v>15</v>
      </c>
      <c r="E102" s="1"/>
    </row>
    <row r="103" spans="1:5" x14ac:dyDescent="0.25">
      <c r="A103" s="5">
        <v>45784</v>
      </c>
      <c r="B103" s="2" t="s">
        <v>45</v>
      </c>
      <c r="C103" s="8">
        <v>29.29</v>
      </c>
      <c r="D103" s="2" t="s">
        <v>15</v>
      </c>
      <c r="E103" s="1"/>
    </row>
    <row r="104" spans="1:5" x14ac:dyDescent="0.25">
      <c r="A104" s="5">
        <v>45807</v>
      </c>
      <c r="B104" s="2" t="s">
        <v>46</v>
      </c>
      <c r="C104" s="8">
        <v>16.420000000000002</v>
      </c>
      <c r="D104" s="2" t="s">
        <v>18</v>
      </c>
      <c r="E104" s="1"/>
    </row>
    <row r="105" spans="1:5" x14ac:dyDescent="0.25">
      <c r="A105" s="5">
        <v>45788</v>
      </c>
      <c r="B105" s="2" t="s">
        <v>57</v>
      </c>
      <c r="C105" s="8">
        <v>11.57</v>
      </c>
      <c r="D105" s="2" t="s">
        <v>18</v>
      </c>
      <c r="E105" s="1"/>
    </row>
    <row r="106" spans="1:5" x14ac:dyDescent="0.25">
      <c r="A106" s="5">
        <v>45797</v>
      </c>
      <c r="B106" s="2" t="s">
        <v>46</v>
      </c>
      <c r="C106" s="8">
        <v>15.79</v>
      </c>
      <c r="D106" s="2" t="s">
        <v>18</v>
      </c>
      <c r="E106" s="1"/>
    </row>
    <row r="107" spans="1:5" x14ac:dyDescent="0.25">
      <c r="A107" s="5">
        <v>45784</v>
      </c>
      <c r="B107" s="2" t="s">
        <v>48</v>
      </c>
      <c r="C107" s="8">
        <v>46.27</v>
      </c>
      <c r="D107" s="2" t="s">
        <v>19</v>
      </c>
      <c r="E107" s="1"/>
    </row>
    <row r="108" spans="1:5" x14ac:dyDescent="0.25">
      <c r="A108" s="5">
        <v>45778</v>
      </c>
      <c r="B108" s="2" t="s">
        <v>48</v>
      </c>
      <c r="C108" s="8">
        <v>24.85</v>
      </c>
      <c r="D108" s="2" t="s">
        <v>19</v>
      </c>
      <c r="E108" s="1"/>
    </row>
    <row r="109" spans="1:5" x14ac:dyDescent="0.25">
      <c r="A109" s="5">
        <v>45784</v>
      </c>
      <c r="B109" s="2" t="s">
        <v>59</v>
      </c>
      <c r="C109" s="8">
        <v>24.84</v>
      </c>
      <c r="D109" s="2" t="s">
        <v>20</v>
      </c>
      <c r="E109" s="1"/>
    </row>
    <row r="110" spans="1:5" x14ac:dyDescent="0.25">
      <c r="A110" s="5">
        <v>45802</v>
      </c>
      <c r="B110" s="2" t="s">
        <v>49</v>
      </c>
      <c r="C110" s="8">
        <v>32.07</v>
      </c>
      <c r="D110" s="2" t="s">
        <v>20</v>
      </c>
      <c r="E110" s="1"/>
    </row>
    <row r="111" spans="1:5" x14ac:dyDescent="0.25">
      <c r="A111" s="5">
        <v>45788</v>
      </c>
      <c r="B111" s="2" t="s">
        <v>50</v>
      </c>
      <c r="C111" s="8">
        <v>16.47</v>
      </c>
      <c r="D111" s="2" t="s">
        <v>21</v>
      </c>
      <c r="E111" s="1"/>
    </row>
    <row r="112" spans="1:5" x14ac:dyDescent="0.25">
      <c r="A112" s="5">
        <v>45790</v>
      </c>
      <c r="B112" s="2" t="s">
        <v>60</v>
      </c>
      <c r="C112" s="8">
        <v>16.39</v>
      </c>
      <c r="D112" s="2" t="s">
        <v>21</v>
      </c>
      <c r="E112" s="1"/>
    </row>
    <row r="113" spans="1:5" x14ac:dyDescent="0.25">
      <c r="A113" s="5">
        <v>45796</v>
      </c>
      <c r="B113" s="2" t="s">
        <v>61</v>
      </c>
      <c r="C113" s="8">
        <v>27.68</v>
      </c>
      <c r="D113" s="2" t="s">
        <v>22</v>
      </c>
      <c r="E113" s="1"/>
    </row>
    <row r="114" spans="1:5" x14ac:dyDescent="0.25">
      <c r="A114" s="5">
        <v>45783</v>
      </c>
      <c r="B114" s="2" t="s">
        <v>62</v>
      </c>
      <c r="C114" s="8">
        <v>25.75</v>
      </c>
      <c r="D114" s="2" t="s">
        <v>22</v>
      </c>
      <c r="E114" s="1"/>
    </row>
    <row r="115" spans="1:5" x14ac:dyDescent="0.25">
      <c r="A115" s="5">
        <v>45824</v>
      </c>
      <c r="B115" s="2" t="s">
        <v>35</v>
      </c>
      <c r="C115" s="8">
        <v>1500</v>
      </c>
      <c r="D115" s="2" t="s">
        <v>6</v>
      </c>
      <c r="E115" s="1"/>
    </row>
    <row r="116" spans="1:5" x14ac:dyDescent="0.25">
      <c r="A116" s="5">
        <v>45818</v>
      </c>
      <c r="B116" s="2" t="s">
        <v>36</v>
      </c>
      <c r="C116" s="8">
        <v>232.9</v>
      </c>
      <c r="D116" s="2" t="s">
        <v>9</v>
      </c>
      <c r="E116" s="1"/>
    </row>
    <row r="117" spans="1:5" x14ac:dyDescent="0.25">
      <c r="A117" s="5">
        <v>45809</v>
      </c>
      <c r="B117" s="2" t="s">
        <v>53</v>
      </c>
      <c r="C117" s="8">
        <v>115.96</v>
      </c>
      <c r="D117" s="2" t="s">
        <v>10</v>
      </c>
      <c r="E117" s="1"/>
    </row>
    <row r="118" spans="1:5" x14ac:dyDescent="0.25">
      <c r="A118" s="5">
        <v>45815</v>
      </c>
      <c r="B118" s="2" t="s">
        <v>38</v>
      </c>
      <c r="C118" s="8">
        <v>104.04</v>
      </c>
      <c r="D118" s="2" t="s">
        <v>10</v>
      </c>
      <c r="E118" s="1"/>
    </row>
    <row r="119" spans="1:5" x14ac:dyDescent="0.25">
      <c r="A119" s="5">
        <v>45818</v>
      </c>
      <c r="B119" s="2" t="s">
        <v>54</v>
      </c>
      <c r="C119" s="8">
        <v>101.87</v>
      </c>
      <c r="D119" s="2" t="s">
        <v>10</v>
      </c>
      <c r="E119" s="1"/>
    </row>
    <row r="120" spans="1:5" x14ac:dyDescent="0.25">
      <c r="A120" s="5">
        <v>45825</v>
      </c>
      <c r="B120" s="2" t="s">
        <v>54</v>
      </c>
      <c r="C120" s="8">
        <v>82.77</v>
      </c>
      <c r="D120" s="2" t="s">
        <v>10</v>
      </c>
      <c r="E120" s="1"/>
    </row>
    <row r="121" spans="1:5" x14ac:dyDescent="0.25">
      <c r="A121" s="5">
        <v>45826</v>
      </c>
      <c r="B121" s="2" t="s">
        <v>39</v>
      </c>
      <c r="C121" s="8">
        <v>47.19</v>
      </c>
      <c r="D121" s="2" t="s">
        <v>11</v>
      </c>
      <c r="E121" s="1"/>
    </row>
    <row r="122" spans="1:5" x14ac:dyDescent="0.25">
      <c r="A122" s="5">
        <v>45822</v>
      </c>
      <c r="B122" s="2" t="s">
        <v>40</v>
      </c>
      <c r="C122" s="8">
        <v>39.39</v>
      </c>
      <c r="D122" s="2" t="s">
        <v>11</v>
      </c>
      <c r="E122" s="1"/>
    </row>
    <row r="123" spans="1:5" x14ac:dyDescent="0.25">
      <c r="A123" s="5">
        <v>45826</v>
      </c>
      <c r="B123" s="2" t="s">
        <v>41</v>
      </c>
      <c r="C123" s="8">
        <v>110</v>
      </c>
      <c r="D123" s="2" t="s">
        <v>12</v>
      </c>
      <c r="E123" s="1"/>
    </row>
    <row r="124" spans="1:5" x14ac:dyDescent="0.25">
      <c r="A124" s="5">
        <v>45828</v>
      </c>
      <c r="B124" s="2" t="s">
        <v>42</v>
      </c>
      <c r="C124" s="8">
        <v>75</v>
      </c>
      <c r="D124" s="2" t="s">
        <v>13</v>
      </c>
      <c r="E124" s="1"/>
    </row>
    <row r="125" spans="1:5" x14ac:dyDescent="0.25">
      <c r="A125" s="5">
        <v>45838</v>
      </c>
      <c r="B125" s="2" t="s">
        <v>66</v>
      </c>
      <c r="C125" s="8">
        <v>59.29</v>
      </c>
      <c r="D125" s="2" t="s">
        <v>14</v>
      </c>
      <c r="E125" s="1"/>
    </row>
    <row r="126" spans="1:5" x14ac:dyDescent="0.25">
      <c r="A126" s="5">
        <v>45836</v>
      </c>
      <c r="B126" s="2" t="s">
        <v>56</v>
      </c>
      <c r="C126" s="8">
        <v>35.79</v>
      </c>
      <c r="D126" s="2" t="s">
        <v>15</v>
      </c>
      <c r="E126" s="1"/>
    </row>
    <row r="127" spans="1:5" x14ac:dyDescent="0.25">
      <c r="A127" s="5">
        <v>45820</v>
      </c>
      <c r="B127" s="2" t="s">
        <v>45</v>
      </c>
      <c r="C127" s="8">
        <v>51.76</v>
      </c>
      <c r="D127" s="2" t="s">
        <v>15</v>
      </c>
      <c r="E127" s="1"/>
    </row>
    <row r="128" spans="1:5" x14ac:dyDescent="0.25">
      <c r="A128" s="5">
        <v>45820</v>
      </c>
      <c r="B128" s="2" t="s">
        <v>55</v>
      </c>
      <c r="C128" s="8">
        <v>37.5</v>
      </c>
      <c r="D128" s="2" t="s">
        <v>15</v>
      </c>
      <c r="E128" s="1"/>
    </row>
    <row r="129" spans="1:5" x14ac:dyDescent="0.25">
      <c r="A129" s="5">
        <v>45811</v>
      </c>
      <c r="B129" s="2" t="s">
        <v>45</v>
      </c>
      <c r="C129" s="8">
        <v>43.22</v>
      </c>
      <c r="D129" s="2" t="s">
        <v>15</v>
      </c>
      <c r="E129" s="1"/>
    </row>
    <row r="130" spans="1:5" x14ac:dyDescent="0.25">
      <c r="A130" s="5">
        <v>45825</v>
      </c>
      <c r="B130" s="2" t="s">
        <v>57</v>
      </c>
      <c r="C130" s="8">
        <v>25.84</v>
      </c>
      <c r="D130" s="2" t="s">
        <v>18</v>
      </c>
      <c r="E130" s="1"/>
    </row>
    <row r="131" spans="1:5" x14ac:dyDescent="0.25">
      <c r="A131" s="5">
        <v>45833</v>
      </c>
      <c r="B131" s="2" t="s">
        <v>65</v>
      </c>
      <c r="C131" s="8">
        <v>20.59</v>
      </c>
      <c r="D131" s="2" t="s">
        <v>18</v>
      </c>
      <c r="E131" s="1"/>
    </row>
    <row r="132" spans="1:5" x14ac:dyDescent="0.25">
      <c r="A132" s="5">
        <v>45809</v>
      </c>
      <c r="B132" s="2" t="s">
        <v>47</v>
      </c>
      <c r="C132" s="8">
        <v>35.22</v>
      </c>
      <c r="D132" s="2" t="s">
        <v>19</v>
      </c>
      <c r="E132" s="1"/>
    </row>
    <row r="133" spans="1:5" x14ac:dyDescent="0.25">
      <c r="A133" s="5">
        <v>45817</v>
      </c>
      <c r="B133" s="2" t="s">
        <v>48</v>
      </c>
      <c r="C133" s="8">
        <v>54.53</v>
      </c>
      <c r="D133" s="2" t="s">
        <v>19</v>
      </c>
      <c r="E133" s="1"/>
    </row>
    <row r="134" spans="1:5" x14ac:dyDescent="0.25">
      <c r="A134" s="5">
        <v>45811</v>
      </c>
      <c r="B134" s="2" t="s">
        <v>59</v>
      </c>
      <c r="C134" s="8">
        <v>21.97</v>
      </c>
      <c r="D134" s="2" t="s">
        <v>20</v>
      </c>
      <c r="E134" s="1"/>
    </row>
    <row r="135" spans="1:5" x14ac:dyDescent="0.25">
      <c r="A135" s="5">
        <v>45819</v>
      </c>
      <c r="B135" s="2" t="s">
        <v>67</v>
      </c>
      <c r="C135" s="8">
        <v>28.4</v>
      </c>
      <c r="D135" s="2" t="s">
        <v>20</v>
      </c>
      <c r="E135" s="1"/>
    </row>
    <row r="136" spans="1:5" x14ac:dyDescent="0.25">
      <c r="A136" s="5">
        <v>45832</v>
      </c>
      <c r="B136" s="2" t="s">
        <v>60</v>
      </c>
      <c r="C136" s="8">
        <v>10.66</v>
      </c>
      <c r="D136" s="2" t="s">
        <v>21</v>
      </c>
      <c r="E136" s="1"/>
    </row>
    <row r="137" spans="1:5" x14ac:dyDescent="0.25">
      <c r="A137" s="5">
        <v>45829</v>
      </c>
      <c r="B137" s="2" t="s">
        <v>60</v>
      </c>
      <c r="C137" s="8">
        <v>11.93</v>
      </c>
      <c r="D137" s="2" t="s">
        <v>21</v>
      </c>
      <c r="E137" s="1"/>
    </row>
    <row r="138" spans="1:5" x14ac:dyDescent="0.25">
      <c r="A138" s="5">
        <v>45810</v>
      </c>
      <c r="B138" s="2" t="s">
        <v>62</v>
      </c>
      <c r="C138" s="8">
        <v>42.3</v>
      </c>
      <c r="D138" s="2" t="s">
        <v>22</v>
      </c>
      <c r="E138" s="1"/>
    </row>
    <row r="139" spans="1:5" x14ac:dyDescent="0.25">
      <c r="A139" s="5">
        <v>45850</v>
      </c>
      <c r="B139" s="2" t="s">
        <v>35</v>
      </c>
      <c r="C139" s="8">
        <v>1500</v>
      </c>
      <c r="D139" s="2" t="s">
        <v>6</v>
      </c>
      <c r="E139" s="1"/>
    </row>
    <row r="140" spans="1:5" x14ac:dyDescent="0.25">
      <c r="A140" s="5">
        <v>45865</v>
      </c>
      <c r="B140" s="2" t="s">
        <v>52</v>
      </c>
      <c r="C140" s="8">
        <v>70.37</v>
      </c>
      <c r="D140" s="2" t="s">
        <v>9</v>
      </c>
      <c r="E140" s="1"/>
    </row>
    <row r="141" spans="1:5" x14ac:dyDescent="0.25">
      <c r="A141" s="5">
        <v>45839</v>
      </c>
      <c r="B141" s="2" t="s">
        <v>52</v>
      </c>
      <c r="C141" s="8">
        <v>86.8</v>
      </c>
      <c r="D141" s="2" t="s">
        <v>9</v>
      </c>
      <c r="E141" s="1"/>
    </row>
    <row r="142" spans="1:5" x14ac:dyDescent="0.25">
      <c r="A142" s="5">
        <v>45851</v>
      </c>
      <c r="B142" s="2" t="s">
        <v>38</v>
      </c>
      <c r="C142" s="8">
        <v>153.88999999999999</v>
      </c>
      <c r="D142" s="2" t="s">
        <v>10</v>
      </c>
      <c r="E142" s="1"/>
    </row>
    <row r="143" spans="1:5" x14ac:dyDescent="0.25">
      <c r="A143" s="5">
        <v>45863</v>
      </c>
      <c r="B143" s="2" t="s">
        <v>54</v>
      </c>
      <c r="C143" s="8">
        <v>216.06</v>
      </c>
      <c r="D143" s="2" t="s">
        <v>10</v>
      </c>
      <c r="E143" s="1"/>
    </row>
    <row r="144" spans="1:5" x14ac:dyDescent="0.25">
      <c r="A144" s="5">
        <v>45864</v>
      </c>
      <c r="B144" s="2" t="s">
        <v>40</v>
      </c>
      <c r="C144" s="8">
        <v>110.99</v>
      </c>
      <c r="D144" s="2" t="s">
        <v>11</v>
      </c>
      <c r="E144" s="1"/>
    </row>
    <row r="145" spans="1:5" x14ac:dyDescent="0.25">
      <c r="A145" s="5">
        <v>45851</v>
      </c>
      <c r="B145" s="2" t="s">
        <v>41</v>
      </c>
      <c r="C145" s="8">
        <v>110</v>
      </c>
      <c r="D145" s="2" t="s">
        <v>12</v>
      </c>
      <c r="E145" s="1"/>
    </row>
    <row r="146" spans="1:5" x14ac:dyDescent="0.25">
      <c r="A146" s="5">
        <v>45843</v>
      </c>
      <c r="B146" s="2" t="s">
        <v>42</v>
      </c>
      <c r="C146" s="8">
        <v>75</v>
      </c>
      <c r="D146" s="2" t="s">
        <v>13</v>
      </c>
      <c r="E146" s="1"/>
    </row>
    <row r="147" spans="1:5" x14ac:dyDescent="0.25">
      <c r="A147" s="5">
        <v>45857</v>
      </c>
      <c r="B147" s="2" t="s">
        <v>43</v>
      </c>
      <c r="C147" s="8">
        <v>25.05</v>
      </c>
      <c r="D147" s="2" t="s">
        <v>14</v>
      </c>
      <c r="E147" s="1"/>
    </row>
    <row r="148" spans="1:5" x14ac:dyDescent="0.25">
      <c r="A148" s="5">
        <v>45858</v>
      </c>
      <c r="B148" s="2" t="s">
        <v>66</v>
      </c>
      <c r="C148" s="8">
        <v>27.35</v>
      </c>
      <c r="D148" s="2" t="s">
        <v>14</v>
      </c>
      <c r="E148" s="1"/>
    </row>
    <row r="149" spans="1:5" x14ac:dyDescent="0.25">
      <c r="A149" s="5">
        <v>45849</v>
      </c>
      <c r="B149" s="2" t="s">
        <v>44</v>
      </c>
      <c r="C149" s="8">
        <v>37.880000000000003</v>
      </c>
      <c r="D149" s="2" t="s">
        <v>15</v>
      </c>
      <c r="E149" s="1"/>
    </row>
    <row r="150" spans="1:5" x14ac:dyDescent="0.25">
      <c r="A150" s="5">
        <v>45858</v>
      </c>
      <c r="B150" s="2" t="s">
        <v>56</v>
      </c>
      <c r="C150" s="8">
        <v>53.75</v>
      </c>
      <c r="D150" s="2" t="s">
        <v>15</v>
      </c>
      <c r="E150" s="1"/>
    </row>
    <row r="151" spans="1:5" x14ac:dyDescent="0.25">
      <c r="A151" s="5">
        <v>45860</v>
      </c>
      <c r="B151" s="2" t="s">
        <v>45</v>
      </c>
      <c r="C151" s="8">
        <v>51.11</v>
      </c>
      <c r="D151" s="2" t="s">
        <v>15</v>
      </c>
      <c r="E151" s="1"/>
    </row>
    <row r="152" spans="1:5" x14ac:dyDescent="0.25">
      <c r="A152" s="5">
        <v>45843</v>
      </c>
      <c r="B152" s="2" t="s">
        <v>46</v>
      </c>
      <c r="C152" s="8">
        <v>12.57</v>
      </c>
      <c r="D152" s="2" t="s">
        <v>18</v>
      </c>
      <c r="E152" s="1"/>
    </row>
    <row r="153" spans="1:5" x14ac:dyDescent="0.25">
      <c r="A153" s="5">
        <v>45841</v>
      </c>
      <c r="B153" s="2" t="s">
        <v>57</v>
      </c>
      <c r="C153" s="8">
        <v>8.86</v>
      </c>
      <c r="D153" s="2" t="s">
        <v>18</v>
      </c>
      <c r="E153" s="1"/>
    </row>
    <row r="154" spans="1:5" x14ac:dyDescent="0.25">
      <c r="A154" s="5">
        <v>45861</v>
      </c>
      <c r="B154" s="2" t="s">
        <v>57</v>
      </c>
      <c r="C154" s="8">
        <v>10.09</v>
      </c>
      <c r="D154" s="2" t="s">
        <v>18</v>
      </c>
      <c r="E154" s="1"/>
    </row>
    <row r="155" spans="1:5" x14ac:dyDescent="0.25">
      <c r="A155" s="5">
        <v>45840</v>
      </c>
      <c r="B155" s="2" t="s">
        <v>57</v>
      </c>
      <c r="C155" s="8">
        <v>12.83</v>
      </c>
      <c r="D155" s="2" t="s">
        <v>18</v>
      </c>
      <c r="E155" s="1"/>
    </row>
    <row r="156" spans="1:5" x14ac:dyDescent="0.25">
      <c r="A156" s="5">
        <v>45859</v>
      </c>
      <c r="B156" s="2" t="s">
        <v>58</v>
      </c>
      <c r="C156" s="8">
        <v>56.28</v>
      </c>
      <c r="D156" s="2" t="s">
        <v>19</v>
      </c>
      <c r="E156" s="1"/>
    </row>
    <row r="157" spans="1:5" x14ac:dyDescent="0.25">
      <c r="A157" s="5">
        <v>45868</v>
      </c>
      <c r="B157" s="2" t="s">
        <v>59</v>
      </c>
      <c r="C157" s="8">
        <v>30.61</v>
      </c>
      <c r="D157" s="2" t="s">
        <v>20</v>
      </c>
      <c r="E157" s="1"/>
    </row>
    <row r="158" spans="1:5" x14ac:dyDescent="0.25">
      <c r="A158" s="5">
        <v>45855</v>
      </c>
      <c r="B158" s="2" t="s">
        <v>49</v>
      </c>
      <c r="C158" s="8">
        <v>22.59</v>
      </c>
      <c r="D158" s="2" t="s">
        <v>20</v>
      </c>
      <c r="E158" s="1"/>
    </row>
    <row r="159" spans="1:5" x14ac:dyDescent="0.25">
      <c r="A159" s="5">
        <v>45856</v>
      </c>
      <c r="B159" s="2" t="s">
        <v>50</v>
      </c>
      <c r="C159" s="8">
        <v>48.83</v>
      </c>
      <c r="D159" s="2" t="s">
        <v>21</v>
      </c>
      <c r="E159" s="1"/>
    </row>
    <row r="160" spans="1:5" x14ac:dyDescent="0.25">
      <c r="A160" s="5">
        <v>45842</v>
      </c>
      <c r="B160" s="2" t="s">
        <v>61</v>
      </c>
      <c r="C160" s="8">
        <v>32.619999999999997</v>
      </c>
      <c r="D160" s="2" t="s">
        <v>22</v>
      </c>
      <c r="E160" s="1"/>
    </row>
    <row r="161" spans="1:5" x14ac:dyDescent="0.25">
      <c r="A161" s="5">
        <v>45850</v>
      </c>
      <c r="B161" s="2" t="s">
        <v>61</v>
      </c>
      <c r="C161" s="8">
        <v>15.71</v>
      </c>
      <c r="D161" s="2" t="s">
        <v>22</v>
      </c>
      <c r="E161" s="1"/>
    </row>
    <row r="162" spans="1:5" x14ac:dyDescent="0.25">
      <c r="A162" s="5">
        <v>45896</v>
      </c>
      <c r="B162" s="2" t="s">
        <v>35</v>
      </c>
      <c r="C162" s="8">
        <v>1500</v>
      </c>
      <c r="D162" s="2" t="s">
        <v>6</v>
      </c>
      <c r="E162" s="1"/>
    </row>
    <row r="163" spans="1:5" x14ac:dyDescent="0.25">
      <c r="A163" s="5">
        <v>45895</v>
      </c>
      <c r="B163" s="2" t="s">
        <v>36</v>
      </c>
      <c r="C163" s="8">
        <v>76.31</v>
      </c>
      <c r="D163" s="2" t="s">
        <v>9</v>
      </c>
      <c r="E163" s="1"/>
    </row>
    <row r="164" spans="1:5" x14ac:dyDescent="0.25">
      <c r="A164" s="5">
        <v>45885</v>
      </c>
      <c r="B164" s="2" t="s">
        <v>36</v>
      </c>
      <c r="C164" s="8">
        <v>109.02</v>
      </c>
      <c r="D164" s="2" t="s">
        <v>9</v>
      </c>
      <c r="E164" s="1"/>
    </row>
    <row r="165" spans="1:5" x14ac:dyDescent="0.25">
      <c r="A165" s="5">
        <v>45892</v>
      </c>
      <c r="B165" s="2" t="s">
        <v>37</v>
      </c>
      <c r="C165" s="8">
        <v>188.24</v>
      </c>
      <c r="D165" s="2" t="s">
        <v>10</v>
      </c>
      <c r="E165" s="1"/>
    </row>
    <row r="166" spans="1:5" x14ac:dyDescent="0.25">
      <c r="A166" s="5">
        <v>45883</v>
      </c>
      <c r="B166" s="2" t="s">
        <v>37</v>
      </c>
      <c r="C166" s="8">
        <v>241.2</v>
      </c>
      <c r="D166" s="2" t="s">
        <v>10</v>
      </c>
      <c r="E166" s="1"/>
    </row>
    <row r="167" spans="1:5" x14ac:dyDescent="0.25">
      <c r="A167" s="5">
        <v>45870</v>
      </c>
      <c r="B167" s="2" t="s">
        <v>40</v>
      </c>
      <c r="C167" s="8">
        <v>77.319999999999993</v>
      </c>
      <c r="D167" s="2" t="s">
        <v>11</v>
      </c>
      <c r="E167" s="1"/>
    </row>
    <row r="168" spans="1:5" x14ac:dyDescent="0.25">
      <c r="A168" s="5">
        <v>45874</v>
      </c>
      <c r="B168" s="2" t="s">
        <v>40</v>
      </c>
      <c r="C168" s="8">
        <v>67.599999999999994</v>
      </c>
      <c r="D168" s="2" t="s">
        <v>11</v>
      </c>
      <c r="E168" s="1"/>
    </row>
    <row r="169" spans="1:5" x14ac:dyDescent="0.25">
      <c r="A169" s="5">
        <v>45888</v>
      </c>
      <c r="B169" s="2" t="s">
        <v>41</v>
      </c>
      <c r="C169" s="8">
        <v>110</v>
      </c>
      <c r="D169" s="2" t="s">
        <v>12</v>
      </c>
      <c r="E169" s="1"/>
    </row>
    <row r="170" spans="1:5" x14ac:dyDescent="0.25">
      <c r="A170" s="5">
        <v>45880</v>
      </c>
      <c r="B170" s="2" t="s">
        <v>42</v>
      </c>
      <c r="C170" s="8">
        <v>75</v>
      </c>
      <c r="D170" s="2" t="s">
        <v>13</v>
      </c>
      <c r="E170" s="1"/>
    </row>
    <row r="171" spans="1:5" x14ac:dyDescent="0.25">
      <c r="A171" s="5">
        <v>45876</v>
      </c>
      <c r="B171" s="2" t="s">
        <v>43</v>
      </c>
      <c r="C171" s="8">
        <v>39.72</v>
      </c>
      <c r="D171" s="2" t="s">
        <v>14</v>
      </c>
      <c r="E171" s="1"/>
    </row>
    <row r="172" spans="1:5" x14ac:dyDescent="0.25">
      <c r="A172" s="5">
        <v>45887</v>
      </c>
      <c r="B172" s="2" t="s">
        <v>64</v>
      </c>
      <c r="C172" s="8">
        <v>35.479999999999997</v>
      </c>
      <c r="D172" s="2" t="s">
        <v>14</v>
      </c>
      <c r="E172" s="1"/>
    </row>
    <row r="173" spans="1:5" x14ac:dyDescent="0.25">
      <c r="A173" s="5">
        <v>45895</v>
      </c>
      <c r="B173" s="2" t="s">
        <v>56</v>
      </c>
      <c r="C173" s="8">
        <v>43.98</v>
      </c>
      <c r="D173" s="2" t="s">
        <v>15</v>
      </c>
      <c r="E173" s="1"/>
    </row>
    <row r="174" spans="1:5" x14ac:dyDescent="0.25">
      <c r="A174" s="5">
        <v>45871</v>
      </c>
      <c r="B174" s="2" t="s">
        <v>56</v>
      </c>
      <c r="C174" s="8">
        <v>43.8</v>
      </c>
      <c r="D174" s="2" t="s">
        <v>15</v>
      </c>
      <c r="E174" s="1"/>
    </row>
    <row r="175" spans="1:5" x14ac:dyDescent="0.25">
      <c r="A175" s="5">
        <v>45874</v>
      </c>
      <c r="B175" s="2" t="s">
        <v>45</v>
      </c>
      <c r="C175" s="8">
        <v>38.380000000000003</v>
      </c>
      <c r="D175" s="2" t="s">
        <v>15</v>
      </c>
      <c r="E175" s="1"/>
    </row>
    <row r="176" spans="1:5" x14ac:dyDescent="0.25">
      <c r="A176" s="5">
        <v>45895</v>
      </c>
      <c r="B176" s="2" t="s">
        <v>56</v>
      </c>
      <c r="C176" s="8">
        <v>42.15</v>
      </c>
      <c r="D176" s="2" t="s">
        <v>15</v>
      </c>
      <c r="E176" s="1"/>
    </row>
    <row r="177" spans="1:5" x14ac:dyDescent="0.25">
      <c r="A177" s="5">
        <v>45872</v>
      </c>
      <c r="B177" s="2" t="s">
        <v>46</v>
      </c>
      <c r="C177" s="8">
        <v>10.9</v>
      </c>
      <c r="D177" s="2" t="s">
        <v>18</v>
      </c>
      <c r="E177" s="1"/>
    </row>
    <row r="178" spans="1:5" x14ac:dyDescent="0.25">
      <c r="A178" s="5">
        <v>45875</v>
      </c>
      <c r="B178" s="2" t="s">
        <v>57</v>
      </c>
      <c r="C178" s="8">
        <v>12.48</v>
      </c>
      <c r="D178" s="2" t="s">
        <v>18</v>
      </c>
      <c r="E178" s="1"/>
    </row>
    <row r="179" spans="1:5" x14ac:dyDescent="0.25">
      <c r="A179" s="5">
        <v>45881</v>
      </c>
      <c r="B179" s="2" t="s">
        <v>57</v>
      </c>
      <c r="C179" s="8">
        <v>7.26</v>
      </c>
      <c r="D179" s="2" t="s">
        <v>18</v>
      </c>
      <c r="E179" s="1"/>
    </row>
    <row r="180" spans="1:5" x14ac:dyDescent="0.25">
      <c r="A180" s="5">
        <v>45889</v>
      </c>
      <c r="B180" s="2" t="s">
        <v>46</v>
      </c>
      <c r="C180" s="8">
        <v>12.79</v>
      </c>
      <c r="D180" s="2" t="s">
        <v>18</v>
      </c>
      <c r="E180" s="1"/>
    </row>
    <row r="181" spans="1:5" x14ac:dyDescent="0.25">
      <c r="A181" s="5">
        <v>45890</v>
      </c>
      <c r="B181" s="2" t="s">
        <v>48</v>
      </c>
      <c r="C181" s="8">
        <v>64.91</v>
      </c>
      <c r="D181" s="2" t="s">
        <v>19</v>
      </c>
      <c r="E181" s="1"/>
    </row>
    <row r="182" spans="1:5" x14ac:dyDescent="0.25">
      <c r="A182" s="5">
        <v>45890</v>
      </c>
      <c r="B182" s="2" t="s">
        <v>67</v>
      </c>
      <c r="C182" s="8">
        <v>75.78</v>
      </c>
      <c r="D182" s="2" t="s">
        <v>20</v>
      </c>
      <c r="E182" s="1"/>
    </row>
    <row r="183" spans="1:5" x14ac:dyDescent="0.25">
      <c r="A183" s="5">
        <v>45879</v>
      </c>
      <c r="B183" s="2" t="s">
        <v>60</v>
      </c>
      <c r="C183" s="8">
        <v>24.29</v>
      </c>
      <c r="D183" s="2" t="s">
        <v>21</v>
      </c>
      <c r="E183" s="1"/>
    </row>
    <row r="184" spans="1:5" x14ac:dyDescent="0.25">
      <c r="A184" s="5">
        <v>45889</v>
      </c>
      <c r="B184" s="2" t="s">
        <v>50</v>
      </c>
      <c r="C184" s="8">
        <v>12.51</v>
      </c>
      <c r="D184" s="2" t="s">
        <v>21</v>
      </c>
      <c r="E184" s="1"/>
    </row>
    <row r="185" spans="1:5" x14ac:dyDescent="0.25">
      <c r="A185" s="5">
        <v>45896</v>
      </c>
      <c r="B185" s="2" t="s">
        <v>51</v>
      </c>
      <c r="C185" s="8">
        <v>34.54</v>
      </c>
      <c r="D185" s="2" t="s">
        <v>22</v>
      </c>
      <c r="E185" s="1"/>
    </row>
    <row r="186" spans="1:5" x14ac:dyDescent="0.25">
      <c r="A186" s="5">
        <v>45909</v>
      </c>
      <c r="B186" s="2" t="s">
        <v>35</v>
      </c>
      <c r="C186" s="8">
        <v>1500</v>
      </c>
      <c r="D186" s="2" t="s">
        <v>6</v>
      </c>
      <c r="E186" s="1"/>
    </row>
    <row r="187" spans="1:5" x14ac:dyDescent="0.25">
      <c r="A187" s="5">
        <v>45905</v>
      </c>
      <c r="B187" s="2" t="s">
        <v>36</v>
      </c>
      <c r="C187" s="8">
        <v>212.23</v>
      </c>
      <c r="D187" s="2" t="s">
        <v>9</v>
      </c>
      <c r="E187" s="1"/>
    </row>
    <row r="188" spans="1:5" x14ac:dyDescent="0.25">
      <c r="A188" s="5">
        <v>45910</v>
      </c>
      <c r="B188" s="2" t="s">
        <v>54</v>
      </c>
      <c r="C188" s="8">
        <v>119.71</v>
      </c>
      <c r="D188" s="2" t="s">
        <v>10</v>
      </c>
      <c r="E188" s="1"/>
    </row>
    <row r="189" spans="1:5" x14ac:dyDescent="0.25">
      <c r="A189" s="5">
        <v>45920</v>
      </c>
      <c r="B189" s="2" t="s">
        <v>53</v>
      </c>
      <c r="C189" s="8">
        <v>94.99</v>
      </c>
      <c r="D189" s="2" t="s">
        <v>10</v>
      </c>
      <c r="E189" s="1"/>
    </row>
    <row r="190" spans="1:5" x14ac:dyDescent="0.25">
      <c r="A190" s="5">
        <v>45921</v>
      </c>
      <c r="B190" s="2" t="s">
        <v>54</v>
      </c>
      <c r="C190" s="8">
        <v>71.94</v>
      </c>
      <c r="D190" s="2" t="s">
        <v>10</v>
      </c>
      <c r="E190" s="1"/>
    </row>
    <row r="191" spans="1:5" x14ac:dyDescent="0.25">
      <c r="A191" s="5">
        <v>45902</v>
      </c>
      <c r="B191" s="2" t="s">
        <v>37</v>
      </c>
      <c r="C191" s="8">
        <v>76.239999999999995</v>
      </c>
      <c r="D191" s="2" t="s">
        <v>10</v>
      </c>
      <c r="E191" s="1"/>
    </row>
    <row r="192" spans="1:5" x14ac:dyDescent="0.25">
      <c r="A192" s="5">
        <v>45926</v>
      </c>
      <c r="B192" s="2" t="s">
        <v>39</v>
      </c>
      <c r="C192" s="8">
        <v>75.31</v>
      </c>
      <c r="D192" s="2" t="s">
        <v>11</v>
      </c>
      <c r="E192" s="1"/>
    </row>
    <row r="193" spans="1:5" x14ac:dyDescent="0.25">
      <c r="A193" s="5">
        <v>45908</v>
      </c>
      <c r="B193" s="2" t="s">
        <v>39</v>
      </c>
      <c r="C193" s="8">
        <v>77.98</v>
      </c>
      <c r="D193" s="2" t="s">
        <v>11</v>
      </c>
      <c r="E193" s="1"/>
    </row>
    <row r="194" spans="1:5" x14ac:dyDescent="0.25">
      <c r="A194" s="5">
        <v>45911</v>
      </c>
      <c r="B194" s="2" t="s">
        <v>41</v>
      </c>
      <c r="C194" s="8">
        <v>110</v>
      </c>
      <c r="D194" s="2" t="s">
        <v>12</v>
      </c>
      <c r="E194" s="1"/>
    </row>
    <row r="195" spans="1:5" x14ac:dyDescent="0.25">
      <c r="A195" s="5">
        <v>45924</v>
      </c>
      <c r="B195" s="2" t="s">
        <v>42</v>
      </c>
      <c r="C195" s="8">
        <v>75</v>
      </c>
      <c r="D195" s="2" t="s">
        <v>13</v>
      </c>
      <c r="E195" s="1"/>
    </row>
    <row r="196" spans="1:5" x14ac:dyDescent="0.25">
      <c r="A196" s="5">
        <v>45923</v>
      </c>
      <c r="B196" s="2" t="s">
        <v>66</v>
      </c>
      <c r="C196" s="8">
        <v>55.89</v>
      </c>
      <c r="D196" s="2" t="s">
        <v>14</v>
      </c>
      <c r="E196" s="1"/>
    </row>
    <row r="197" spans="1:5" x14ac:dyDescent="0.25">
      <c r="A197" s="5">
        <v>45927</v>
      </c>
      <c r="B197" s="2" t="s">
        <v>44</v>
      </c>
      <c r="C197" s="8">
        <v>85.57</v>
      </c>
      <c r="D197" s="2" t="s">
        <v>15</v>
      </c>
      <c r="E197" s="1"/>
    </row>
    <row r="198" spans="1:5" x14ac:dyDescent="0.25">
      <c r="A198" s="5">
        <v>45902</v>
      </c>
      <c r="B198" s="2" t="s">
        <v>45</v>
      </c>
      <c r="C198" s="8">
        <v>62.97</v>
      </c>
      <c r="D198" s="2" t="s">
        <v>15</v>
      </c>
      <c r="E198" s="1"/>
    </row>
    <row r="199" spans="1:5" x14ac:dyDescent="0.25">
      <c r="A199" s="5">
        <v>45914</v>
      </c>
      <c r="B199" s="2" t="s">
        <v>65</v>
      </c>
      <c r="C199" s="8">
        <v>14</v>
      </c>
      <c r="D199" s="2" t="s">
        <v>18</v>
      </c>
      <c r="E199" s="1"/>
    </row>
    <row r="200" spans="1:5" x14ac:dyDescent="0.25">
      <c r="A200" s="5">
        <v>45919</v>
      </c>
      <c r="B200" s="2" t="s">
        <v>65</v>
      </c>
      <c r="C200" s="8">
        <v>9.36</v>
      </c>
      <c r="D200" s="2" t="s">
        <v>18</v>
      </c>
      <c r="E200" s="1"/>
    </row>
    <row r="201" spans="1:5" x14ac:dyDescent="0.25">
      <c r="A201" s="5">
        <v>45914</v>
      </c>
      <c r="B201" s="2" t="s">
        <v>46</v>
      </c>
      <c r="C201" s="8">
        <v>12.69</v>
      </c>
      <c r="D201" s="2" t="s">
        <v>18</v>
      </c>
      <c r="E201" s="1"/>
    </row>
    <row r="202" spans="1:5" x14ac:dyDescent="0.25">
      <c r="A202" s="5">
        <v>45927</v>
      </c>
      <c r="B202" s="2" t="s">
        <v>48</v>
      </c>
      <c r="C202" s="8">
        <v>35.619999999999997</v>
      </c>
      <c r="D202" s="2" t="s">
        <v>19</v>
      </c>
      <c r="E202" s="1"/>
    </row>
    <row r="203" spans="1:5" x14ac:dyDescent="0.25">
      <c r="A203" s="5">
        <v>45902</v>
      </c>
      <c r="B203" s="2" t="s">
        <v>48</v>
      </c>
      <c r="C203" s="8">
        <v>53.94</v>
      </c>
      <c r="D203" s="2" t="s">
        <v>19</v>
      </c>
      <c r="E203" s="1"/>
    </row>
    <row r="204" spans="1:5" x14ac:dyDescent="0.25">
      <c r="A204" s="5">
        <v>45913</v>
      </c>
      <c r="B204" s="2" t="s">
        <v>67</v>
      </c>
      <c r="C204" s="8">
        <v>88.92</v>
      </c>
      <c r="D204" s="2" t="s">
        <v>20</v>
      </c>
      <c r="E204" s="1"/>
    </row>
    <row r="205" spans="1:5" x14ac:dyDescent="0.25">
      <c r="A205" s="5">
        <v>45914</v>
      </c>
      <c r="B205" s="2" t="s">
        <v>60</v>
      </c>
      <c r="C205" s="8">
        <v>20.98</v>
      </c>
      <c r="D205" s="2" t="s">
        <v>21</v>
      </c>
      <c r="E205" s="1"/>
    </row>
    <row r="206" spans="1:5" x14ac:dyDescent="0.25">
      <c r="A206" s="5">
        <v>45914</v>
      </c>
      <c r="B206" s="2" t="s">
        <v>50</v>
      </c>
      <c r="C206" s="8">
        <v>21.58</v>
      </c>
      <c r="D206" s="2" t="s">
        <v>21</v>
      </c>
      <c r="E206" s="1"/>
    </row>
    <row r="207" spans="1:5" x14ac:dyDescent="0.25">
      <c r="A207" s="5">
        <v>45906</v>
      </c>
      <c r="B207" s="2" t="s">
        <v>61</v>
      </c>
      <c r="C207" s="8">
        <v>29.34</v>
      </c>
      <c r="D207" s="2" t="s">
        <v>22</v>
      </c>
      <c r="E207" s="1"/>
    </row>
    <row r="208" spans="1:5" x14ac:dyDescent="0.25">
      <c r="A208" s="5">
        <v>45930</v>
      </c>
      <c r="B208" s="2" t="s">
        <v>62</v>
      </c>
      <c r="C208" s="8">
        <v>28.44</v>
      </c>
      <c r="D208" s="2" t="s">
        <v>22</v>
      </c>
      <c r="E208" s="1"/>
    </row>
    <row r="209" spans="1:5" x14ac:dyDescent="0.25">
      <c r="A209" s="5">
        <v>45957</v>
      </c>
      <c r="B209" s="2" t="s">
        <v>35</v>
      </c>
      <c r="C209" s="8">
        <v>1500</v>
      </c>
      <c r="D209" s="2" t="s">
        <v>6</v>
      </c>
      <c r="E209" s="1"/>
    </row>
    <row r="210" spans="1:5" x14ac:dyDescent="0.25">
      <c r="A210" s="5">
        <v>45947</v>
      </c>
      <c r="B210" s="2" t="s">
        <v>52</v>
      </c>
      <c r="C210" s="8">
        <v>125.55</v>
      </c>
      <c r="D210" s="2" t="s">
        <v>9</v>
      </c>
      <c r="E210" s="1"/>
    </row>
    <row r="211" spans="1:5" x14ac:dyDescent="0.25">
      <c r="A211" s="5">
        <v>45958</v>
      </c>
      <c r="B211" s="2" t="s">
        <v>37</v>
      </c>
      <c r="C211" s="8">
        <v>111.88</v>
      </c>
      <c r="D211" s="2" t="s">
        <v>10</v>
      </c>
      <c r="E211" s="1"/>
    </row>
    <row r="212" spans="1:5" x14ac:dyDescent="0.25">
      <c r="A212" s="5">
        <v>45949</v>
      </c>
      <c r="B212" s="2" t="s">
        <v>38</v>
      </c>
      <c r="C212" s="8">
        <v>128.26</v>
      </c>
      <c r="D212" s="2" t="s">
        <v>10</v>
      </c>
      <c r="E212" s="1"/>
    </row>
    <row r="213" spans="1:5" x14ac:dyDescent="0.25">
      <c r="A213" s="5">
        <v>45955</v>
      </c>
      <c r="B213" s="2" t="s">
        <v>38</v>
      </c>
      <c r="C213" s="8">
        <v>129.28</v>
      </c>
      <c r="D213" s="2" t="s">
        <v>10</v>
      </c>
      <c r="E213" s="1"/>
    </row>
    <row r="214" spans="1:5" x14ac:dyDescent="0.25">
      <c r="A214" s="5">
        <v>45956</v>
      </c>
      <c r="B214" s="2" t="s">
        <v>53</v>
      </c>
      <c r="C214" s="8">
        <v>107.36</v>
      </c>
      <c r="D214" s="2" t="s">
        <v>10</v>
      </c>
      <c r="E214" s="1"/>
    </row>
    <row r="215" spans="1:5" x14ac:dyDescent="0.25">
      <c r="A215" s="5">
        <v>45932</v>
      </c>
      <c r="B215" s="2" t="s">
        <v>63</v>
      </c>
      <c r="C215" s="8">
        <v>65.430000000000007</v>
      </c>
      <c r="D215" s="2" t="s">
        <v>11</v>
      </c>
      <c r="E215" s="1"/>
    </row>
    <row r="216" spans="1:5" x14ac:dyDescent="0.25">
      <c r="A216" s="5">
        <v>45953</v>
      </c>
      <c r="B216" s="2" t="s">
        <v>39</v>
      </c>
      <c r="C216" s="8">
        <v>43.17</v>
      </c>
      <c r="D216" s="2" t="s">
        <v>11</v>
      </c>
      <c r="E216" s="1"/>
    </row>
    <row r="217" spans="1:5" x14ac:dyDescent="0.25">
      <c r="A217" s="5">
        <v>45950</v>
      </c>
      <c r="B217" s="2" t="s">
        <v>41</v>
      </c>
      <c r="C217" s="8">
        <v>110</v>
      </c>
      <c r="D217" s="2" t="s">
        <v>12</v>
      </c>
      <c r="E217" s="1"/>
    </row>
    <row r="218" spans="1:5" x14ac:dyDescent="0.25">
      <c r="A218" s="5">
        <v>45958</v>
      </c>
      <c r="B218" s="2" t="s">
        <v>42</v>
      </c>
      <c r="C218" s="8">
        <v>75</v>
      </c>
      <c r="D218" s="2" t="s">
        <v>13</v>
      </c>
      <c r="E218" s="1"/>
    </row>
    <row r="219" spans="1:5" x14ac:dyDescent="0.25">
      <c r="A219" s="5">
        <v>45941</v>
      </c>
      <c r="B219" s="2" t="s">
        <v>43</v>
      </c>
      <c r="C219" s="8">
        <v>76.239999999999995</v>
      </c>
      <c r="D219" s="2" t="s">
        <v>14</v>
      </c>
      <c r="E219" s="1"/>
    </row>
    <row r="220" spans="1:5" x14ac:dyDescent="0.25">
      <c r="A220" s="5">
        <v>45936</v>
      </c>
      <c r="B220" s="2" t="s">
        <v>55</v>
      </c>
      <c r="C220" s="8">
        <v>48.52</v>
      </c>
      <c r="D220" s="2" t="s">
        <v>15</v>
      </c>
      <c r="E220" s="1"/>
    </row>
    <row r="221" spans="1:5" x14ac:dyDescent="0.25">
      <c r="A221" s="5">
        <v>45943</v>
      </c>
      <c r="B221" s="2" t="s">
        <v>56</v>
      </c>
      <c r="C221" s="8">
        <v>38.08</v>
      </c>
      <c r="D221" s="2" t="s">
        <v>15</v>
      </c>
      <c r="E221" s="1"/>
    </row>
    <row r="222" spans="1:5" x14ac:dyDescent="0.25">
      <c r="A222" s="5">
        <v>45959</v>
      </c>
      <c r="B222" s="2" t="s">
        <v>55</v>
      </c>
      <c r="C222" s="8">
        <v>67.61</v>
      </c>
      <c r="D222" s="2" t="s">
        <v>15</v>
      </c>
      <c r="E222" s="1"/>
    </row>
    <row r="223" spans="1:5" x14ac:dyDescent="0.25">
      <c r="A223" s="5">
        <v>45941</v>
      </c>
      <c r="B223" s="2" t="s">
        <v>65</v>
      </c>
      <c r="C223" s="8">
        <v>22.67</v>
      </c>
      <c r="D223" s="2" t="s">
        <v>18</v>
      </c>
      <c r="E223" s="1"/>
    </row>
    <row r="224" spans="1:5" x14ac:dyDescent="0.25">
      <c r="A224" s="5">
        <v>45944</v>
      </c>
      <c r="B224" s="2" t="s">
        <v>65</v>
      </c>
      <c r="C224" s="8">
        <v>15.32</v>
      </c>
      <c r="D224" s="2" t="s">
        <v>18</v>
      </c>
      <c r="E224" s="1"/>
    </row>
    <row r="225" spans="1:5" x14ac:dyDescent="0.25">
      <c r="A225" s="5">
        <v>45946</v>
      </c>
      <c r="B225" s="2" t="s">
        <v>47</v>
      </c>
      <c r="C225" s="8">
        <v>103.22</v>
      </c>
      <c r="D225" s="2" t="s">
        <v>19</v>
      </c>
      <c r="E225" s="1"/>
    </row>
    <row r="226" spans="1:5" x14ac:dyDescent="0.25">
      <c r="A226" s="5">
        <v>45952</v>
      </c>
      <c r="B226" s="2" t="s">
        <v>59</v>
      </c>
      <c r="C226" s="8">
        <v>35.17</v>
      </c>
      <c r="D226" s="2" t="s">
        <v>20</v>
      </c>
      <c r="E226" s="1"/>
    </row>
    <row r="227" spans="1:5" x14ac:dyDescent="0.25">
      <c r="A227" s="5">
        <v>45948</v>
      </c>
      <c r="B227" s="2" t="s">
        <v>49</v>
      </c>
      <c r="C227" s="8">
        <v>41.36</v>
      </c>
      <c r="D227" s="2" t="s">
        <v>20</v>
      </c>
      <c r="E227" s="1"/>
    </row>
    <row r="228" spans="1:5" x14ac:dyDescent="0.25">
      <c r="A228" s="5">
        <v>45938</v>
      </c>
      <c r="B228" s="2" t="s">
        <v>60</v>
      </c>
      <c r="C228" s="8">
        <v>19.36</v>
      </c>
      <c r="D228" s="2" t="s">
        <v>21</v>
      </c>
      <c r="E228" s="1"/>
    </row>
    <row r="229" spans="1:5" x14ac:dyDescent="0.25">
      <c r="A229" s="5">
        <v>45940</v>
      </c>
      <c r="B229" s="2" t="s">
        <v>50</v>
      </c>
      <c r="C229" s="8">
        <v>17.149999999999999</v>
      </c>
      <c r="D229" s="2" t="s">
        <v>21</v>
      </c>
      <c r="E229" s="1"/>
    </row>
    <row r="230" spans="1:5" x14ac:dyDescent="0.25">
      <c r="A230" s="5">
        <v>45954</v>
      </c>
      <c r="B230" s="2" t="s">
        <v>51</v>
      </c>
      <c r="C230" s="8">
        <v>27.76</v>
      </c>
      <c r="D230" s="2" t="s">
        <v>22</v>
      </c>
      <c r="E230" s="1"/>
    </row>
    <row r="231" spans="1:5" x14ac:dyDescent="0.25">
      <c r="A231" s="5">
        <v>45960</v>
      </c>
      <c r="B231" s="2" t="s">
        <v>51</v>
      </c>
      <c r="C231" s="8">
        <v>29.91</v>
      </c>
      <c r="D231" s="2" t="s">
        <v>22</v>
      </c>
      <c r="E231" s="1"/>
    </row>
    <row r="232" spans="1:5" x14ac:dyDescent="0.25">
      <c r="A232" s="5">
        <v>45982</v>
      </c>
      <c r="B232" s="2" t="s">
        <v>35</v>
      </c>
      <c r="C232" s="8">
        <v>1500</v>
      </c>
      <c r="D232" s="2" t="s">
        <v>6</v>
      </c>
      <c r="E232" s="1"/>
    </row>
    <row r="233" spans="1:5" x14ac:dyDescent="0.25">
      <c r="A233" s="5">
        <v>45983</v>
      </c>
      <c r="B233" s="2" t="s">
        <v>36</v>
      </c>
      <c r="C233" s="8">
        <v>82.76</v>
      </c>
      <c r="D233" s="2" t="s">
        <v>9</v>
      </c>
      <c r="E233" s="1"/>
    </row>
    <row r="234" spans="1:5" x14ac:dyDescent="0.25">
      <c r="A234" s="5">
        <v>45975</v>
      </c>
      <c r="B234" s="2" t="s">
        <v>52</v>
      </c>
      <c r="C234" s="8">
        <v>72.33</v>
      </c>
      <c r="D234" s="2" t="s">
        <v>9</v>
      </c>
      <c r="E234" s="1"/>
    </row>
    <row r="235" spans="1:5" x14ac:dyDescent="0.25">
      <c r="A235" s="5">
        <v>45974</v>
      </c>
      <c r="B235" s="2" t="s">
        <v>53</v>
      </c>
      <c r="C235" s="8">
        <v>222.49</v>
      </c>
      <c r="D235" s="2" t="s">
        <v>10</v>
      </c>
      <c r="E235" s="1"/>
    </row>
    <row r="236" spans="1:5" x14ac:dyDescent="0.25">
      <c r="A236" s="5">
        <v>45971</v>
      </c>
      <c r="B236" s="2" t="s">
        <v>37</v>
      </c>
      <c r="C236" s="8">
        <v>158.68</v>
      </c>
      <c r="D236" s="2" t="s">
        <v>10</v>
      </c>
      <c r="E236" s="1"/>
    </row>
    <row r="237" spans="1:5" x14ac:dyDescent="0.25">
      <c r="A237" s="5">
        <v>45986</v>
      </c>
      <c r="B237" s="2" t="s">
        <v>40</v>
      </c>
      <c r="C237" s="8">
        <v>120.94</v>
      </c>
      <c r="D237" s="2" t="s">
        <v>11</v>
      </c>
      <c r="E237" s="1"/>
    </row>
    <row r="238" spans="1:5" x14ac:dyDescent="0.25">
      <c r="A238" s="5">
        <v>45979</v>
      </c>
      <c r="B238" s="2" t="s">
        <v>41</v>
      </c>
      <c r="C238" s="8">
        <v>110</v>
      </c>
      <c r="D238" s="2" t="s">
        <v>12</v>
      </c>
      <c r="E238" s="1"/>
    </row>
    <row r="239" spans="1:5" x14ac:dyDescent="0.25">
      <c r="A239" s="5">
        <v>45964</v>
      </c>
      <c r="B239" s="2" t="s">
        <v>42</v>
      </c>
      <c r="C239" s="8">
        <v>75</v>
      </c>
      <c r="D239" s="2" t="s">
        <v>13</v>
      </c>
      <c r="E239" s="1"/>
    </row>
    <row r="240" spans="1:5" x14ac:dyDescent="0.25">
      <c r="A240" s="5">
        <v>45972</v>
      </c>
      <c r="B240" s="2" t="s">
        <v>64</v>
      </c>
      <c r="C240" s="8">
        <v>70.45</v>
      </c>
      <c r="D240" s="2" t="s">
        <v>14</v>
      </c>
      <c r="E240" s="1"/>
    </row>
    <row r="241" spans="1:5" x14ac:dyDescent="0.25">
      <c r="A241" s="5">
        <v>45964</v>
      </c>
      <c r="B241" s="2" t="s">
        <v>55</v>
      </c>
      <c r="C241" s="8">
        <v>40.869999999999997</v>
      </c>
      <c r="D241" s="2" t="s">
        <v>15</v>
      </c>
      <c r="E241" s="1"/>
    </row>
    <row r="242" spans="1:5" x14ac:dyDescent="0.25">
      <c r="A242" s="5">
        <v>45983</v>
      </c>
      <c r="B242" s="2" t="s">
        <v>44</v>
      </c>
      <c r="C242" s="8">
        <v>32.159999999999997</v>
      </c>
      <c r="D242" s="2" t="s">
        <v>15</v>
      </c>
      <c r="E242" s="1"/>
    </row>
    <row r="243" spans="1:5" x14ac:dyDescent="0.25">
      <c r="A243" s="5">
        <v>45979</v>
      </c>
      <c r="B243" s="2" t="s">
        <v>56</v>
      </c>
      <c r="C243" s="8">
        <v>49.13</v>
      </c>
      <c r="D243" s="2" t="s">
        <v>15</v>
      </c>
      <c r="E243" s="1"/>
    </row>
    <row r="244" spans="1:5" x14ac:dyDescent="0.25">
      <c r="A244" s="5">
        <v>45989</v>
      </c>
      <c r="B244" s="2" t="s">
        <v>44</v>
      </c>
      <c r="C244" s="8">
        <v>33.67</v>
      </c>
      <c r="D244" s="2" t="s">
        <v>15</v>
      </c>
      <c r="E244" s="1"/>
    </row>
    <row r="245" spans="1:5" x14ac:dyDescent="0.25">
      <c r="A245" s="5">
        <v>45963</v>
      </c>
      <c r="B245" s="2" t="s">
        <v>57</v>
      </c>
      <c r="C245" s="8">
        <v>17.170000000000002</v>
      </c>
      <c r="D245" s="2" t="s">
        <v>18</v>
      </c>
      <c r="E245" s="1"/>
    </row>
    <row r="246" spans="1:5" x14ac:dyDescent="0.25">
      <c r="A246" s="5">
        <v>45968</v>
      </c>
      <c r="B246" s="2" t="s">
        <v>65</v>
      </c>
      <c r="C246" s="8">
        <v>14.86</v>
      </c>
      <c r="D246" s="2" t="s">
        <v>18</v>
      </c>
      <c r="E246" s="1"/>
    </row>
    <row r="247" spans="1:5" x14ac:dyDescent="0.25">
      <c r="A247" s="5">
        <v>45979</v>
      </c>
      <c r="B247" s="2" t="s">
        <v>57</v>
      </c>
      <c r="C247" s="8">
        <v>14.63</v>
      </c>
      <c r="D247" s="2" t="s">
        <v>18</v>
      </c>
      <c r="E247" s="1"/>
    </row>
    <row r="248" spans="1:5" x14ac:dyDescent="0.25">
      <c r="A248" s="5">
        <v>45982</v>
      </c>
      <c r="B248" s="2" t="s">
        <v>68</v>
      </c>
      <c r="C248" s="8">
        <v>41.91</v>
      </c>
      <c r="D248" s="2" t="s">
        <v>19</v>
      </c>
      <c r="E248" s="1"/>
    </row>
    <row r="249" spans="1:5" x14ac:dyDescent="0.25">
      <c r="A249" s="5">
        <v>45981</v>
      </c>
      <c r="B249" s="2" t="s">
        <v>47</v>
      </c>
      <c r="C249" s="8">
        <v>49.85</v>
      </c>
      <c r="D249" s="2" t="s">
        <v>19</v>
      </c>
      <c r="E249" s="1"/>
    </row>
    <row r="250" spans="1:5" x14ac:dyDescent="0.25">
      <c r="A250" s="5">
        <v>45962</v>
      </c>
      <c r="B250" s="2" t="s">
        <v>49</v>
      </c>
      <c r="C250" s="8">
        <v>78.739999999999995</v>
      </c>
      <c r="D250" s="2" t="s">
        <v>20</v>
      </c>
      <c r="E250" s="1"/>
    </row>
    <row r="251" spans="1:5" x14ac:dyDescent="0.25">
      <c r="A251" s="5">
        <v>45964</v>
      </c>
      <c r="B251" s="2" t="s">
        <v>60</v>
      </c>
      <c r="C251" s="8">
        <v>12.41</v>
      </c>
      <c r="D251" s="2" t="s">
        <v>21</v>
      </c>
      <c r="E251" s="1"/>
    </row>
    <row r="252" spans="1:5" x14ac:dyDescent="0.25">
      <c r="A252" s="5">
        <v>45989</v>
      </c>
      <c r="B252" s="2" t="s">
        <v>50</v>
      </c>
      <c r="C252" s="8">
        <v>20.98</v>
      </c>
      <c r="D252" s="2" t="s">
        <v>21</v>
      </c>
      <c r="E252" s="1"/>
    </row>
    <row r="253" spans="1:5" x14ac:dyDescent="0.25">
      <c r="A253" s="5">
        <v>45972</v>
      </c>
      <c r="B253" s="2" t="s">
        <v>62</v>
      </c>
      <c r="C253" s="8">
        <v>69.22</v>
      </c>
      <c r="D253" s="2" t="s">
        <v>22</v>
      </c>
      <c r="E253" s="1"/>
    </row>
    <row r="254" spans="1:5" x14ac:dyDescent="0.25">
      <c r="A254" s="5">
        <v>46009</v>
      </c>
      <c r="B254" s="2" t="s">
        <v>35</v>
      </c>
      <c r="C254" s="8">
        <v>1500</v>
      </c>
      <c r="D254" s="2" t="s">
        <v>6</v>
      </c>
      <c r="E254" s="1"/>
    </row>
    <row r="255" spans="1:5" x14ac:dyDescent="0.25">
      <c r="A255" s="5">
        <v>46005</v>
      </c>
      <c r="B255" s="2" t="s">
        <v>36</v>
      </c>
      <c r="C255" s="8">
        <v>209.35</v>
      </c>
      <c r="D255" s="2" t="s">
        <v>9</v>
      </c>
      <c r="E255" s="1"/>
    </row>
    <row r="256" spans="1:5" x14ac:dyDescent="0.25">
      <c r="A256" s="5">
        <v>46017</v>
      </c>
      <c r="B256" s="2" t="s">
        <v>38</v>
      </c>
      <c r="C256" s="8">
        <v>132.03</v>
      </c>
      <c r="D256" s="2" t="s">
        <v>10</v>
      </c>
      <c r="E256" s="1"/>
    </row>
    <row r="257" spans="1:5" x14ac:dyDescent="0.25">
      <c r="A257" s="5">
        <v>46010</v>
      </c>
      <c r="B257" s="2" t="s">
        <v>53</v>
      </c>
      <c r="C257" s="8">
        <v>104.02</v>
      </c>
      <c r="D257" s="2" t="s">
        <v>10</v>
      </c>
      <c r="E257" s="1"/>
    </row>
    <row r="258" spans="1:5" x14ac:dyDescent="0.25">
      <c r="A258" s="5">
        <v>46009</v>
      </c>
      <c r="B258" s="2" t="s">
        <v>54</v>
      </c>
      <c r="C258" s="8">
        <v>119.14</v>
      </c>
      <c r="D258" s="2" t="s">
        <v>10</v>
      </c>
      <c r="E258" s="1"/>
    </row>
    <row r="259" spans="1:5" x14ac:dyDescent="0.25">
      <c r="A259" s="5">
        <v>45997</v>
      </c>
      <c r="B259" s="2" t="s">
        <v>40</v>
      </c>
      <c r="C259" s="8">
        <v>87.64</v>
      </c>
      <c r="D259" s="2" t="s">
        <v>11</v>
      </c>
      <c r="E259" s="1"/>
    </row>
    <row r="260" spans="1:5" x14ac:dyDescent="0.25">
      <c r="A260" s="5">
        <v>46004</v>
      </c>
      <c r="B260" s="2" t="s">
        <v>40</v>
      </c>
      <c r="C260" s="8">
        <v>54.65</v>
      </c>
      <c r="D260" s="2" t="s">
        <v>11</v>
      </c>
      <c r="E260" s="1"/>
    </row>
    <row r="261" spans="1:5" x14ac:dyDescent="0.25">
      <c r="A261" s="5">
        <v>45997</v>
      </c>
      <c r="B261" s="2" t="s">
        <v>41</v>
      </c>
      <c r="C261" s="8">
        <v>110</v>
      </c>
      <c r="D261" s="2" t="s">
        <v>12</v>
      </c>
      <c r="E261" s="1"/>
    </row>
    <row r="262" spans="1:5" x14ac:dyDescent="0.25">
      <c r="A262" s="5">
        <v>46000</v>
      </c>
      <c r="B262" s="2" t="s">
        <v>42</v>
      </c>
      <c r="C262" s="8">
        <v>75</v>
      </c>
      <c r="D262" s="2" t="s">
        <v>13</v>
      </c>
      <c r="E262" s="1"/>
    </row>
    <row r="263" spans="1:5" x14ac:dyDescent="0.25">
      <c r="A263" s="5">
        <v>46019</v>
      </c>
      <c r="B263" s="2" t="s">
        <v>64</v>
      </c>
      <c r="C263" s="8">
        <v>18.16</v>
      </c>
      <c r="D263" s="2" t="s">
        <v>14</v>
      </c>
      <c r="E263" s="1"/>
    </row>
    <row r="264" spans="1:5" x14ac:dyDescent="0.25">
      <c r="A264" s="5">
        <v>45994</v>
      </c>
      <c r="B264" s="2" t="s">
        <v>64</v>
      </c>
      <c r="C264" s="8">
        <v>31.67</v>
      </c>
      <c r="D264" s="2" t="s">
        <v>14</v>
      </c>
      <c r="E264" s="1"/>
    </row>
    <row r="265" spans="1:5" x14ac:dyDescent="0.25">
      <c r="A265" s="5">
        <v>46008</v>
      </c>
      <c r="B265" s="2" t="s">
        <v>56</v>
      </c>
      <c r="C265" s="8">
        <v>47.69</v>
      </c>
      <c r="D265" s="2" t="s">
        <v>15</v>
      </c>
      <c r="E265" s="1"/>
    </row>
    <row r="266" spans="1:5" x14ac:dyDescent="0.25">
      <c r="A266" s="5">
        <v>46001</v>
      </c>
      <c r="B266" s="2" t="s">
        <v>44</v>
      </c>
      <c r="C266" s="8">
        <v>55.93</v>
      </c>
      <c r="D266" s="2" t="s">
        <v>15</v>
      </c>
      <c r="E266" s="1"/>
    </row>
    <row r="267" spans="1:5" x14ac:dyDescent="0.25">
      <c r="A267" s="5">
        <v>46018</v>
      </c>
      <c r="B267" s="2" t="s">
        <v>55</v>
      </c>
      <c r="C267" s="8">
        <v>56.78</v>
      </c>
      <c r="D267" s="2" t="s">
        <v>15</v>
      </c>
      <c r="E267" s="1"/>
    </row>
    <row r="268" spans="1:5" x14ac:dyDescent="0.25">
      <c r="A268" s="5">
        <v>46012</v>
      </c>
      <c r="B268" s="2" t="s">
        <v>57</v>
      </c>
      <c r="C268" s="8">
        <v>15.3</v>
      </c>
      <c r="D268" s="2" t="s">
        <v>18</v>
      </c>
      <c r="E268" s="1"/>
    </row>
    <row r="269" spans="1:5" x14ac:dyDescent="0.25">
      <c r="A269" s="5">
        <v>46017</v>
      </c>
      <c r="B269" s="2" t="s">
        <v>57</v>
      </c>
      <c r="C269" s="8">
        <v>12.07</v>
      </c>
      <c r="D269" s="2" t="s">
        <v>18</v>
      </c>
      <c r="E269" s="1"/>
    </row>
    <row r="270" spans="1:5" x14ac:dyDescent="0.25">
      <c r="A270" s="5">
        <v>46014</v>
      </c>
      <c r="B270" s="2" t="s">
        <v>57</v>
      </c>
      <c r="C270" s="8">
        <v>14.54</v>
      </c>
      <c r="D270" s="2" t="s">
        <v>18</v>
      </c>
      <c r="E270" s="1"/>
    </row>
    <row r="271" spans="1:5" x14ac:dyDescent="0.25">
      <c r="A271" s="5">
        <v>46005</v>
      </c>
      <c r="B271" s="2" t="s">
        <v>47</v>
      </c>
      <c r="C271" s="8">
        <v>24.3</v>
      </c>
      <c r="D271" s="2" t="s">
        <v>19</v>
      </c>
      <c r="E271" s="1"/>
    </row>
    <row r="272" spans="1:5" x14ac:dyDescent="0.25">
      <c r="A272" s="5">
        <v>45992</v>
      </c>
      <c r="B272" s="2" t="s">
        <v>47</v>
      </c>
      <c r="C272" s="8">
        <v>42.4</v>
      </c>
      <c r="D272" s="2" t="s">
        <v>19</v>
      </c>
      <c r="E272" s="1"/>
    </row>
    <row r="273" spans="1:5" x14ac:dyDescent="0.25">
      <c r="A273" s="5">
        <v>46019</v>
      </c>
      <c r="B273" s="2" t="s">
        <v>49</v>
      </c>
      <c r="C273" s="8">
        <v>24.04</v>
      </c>
      <c r="D273" s="2" t="s">
        <v>20</v>
      </c>
      <c r="E273" s="1"/>
    </row>
    <row r="274" spans="1:5" x14ac:dyDescent="0.25">
      <c r="A274" s="5">
        <v>46007</v>
      </c>
      <c r="B274" s="2" t="s">
        <v>67</v>
      </c>
      <c r="C274" s="8">
        <v>48.44</v>
      </c>
      <c r="D274" s="2" t="s">
        <v>20</v>
      </c>
      <c r="E274" s="1"/>
    </row>
    <row r="275" spans="1:5" x14ac:dyDescent="0.25">
      <c r="A275" s="5">
        <v>45997</v>
      </c>
      <c r="B275" s="2" t="s">
        <v>60</v>
      </c>
      <c r="C275" s="8">
        <v>23.56</v>
      </c>
      <c r="D275" s="2" t="s">
        <v>21</v>
      </c>
      <c r="E275" s="1"/>
    </row>
    <row r="276" spans="1:5" x14ac:dyDescent="0.25">
      <c r="A276" s="5">
        <v>46016</v>
      </c>
      <c r="B276" s="2" t="s">
        <v>62</v>
      </c>
      <c r="C276" s="8">
        <v>52.06</v>
      </c>
      <c r="D276" s="2" t="s">
        <v>22</v>
      </c>
      <c r="E276" s="1"/>
    </row>
  </sheetData>
  <dataValidations count="1">
    <dataValidation type="list" allowBlank="1"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xr:uid="{00000000-0002-0000-0200-000000000000}">
      <formula1>"Rent,Utilities,Groceries,Gas,Auto Insurance,Phone,Medical,Dining Out,Coffee,Entertainment,Clothing,Personal Care,Subscriptions,Emergency Fund,Vacation,Car Repair Fund"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W17"/>
  <sheetViews>
    <sheetView showGridLines="0" workbookViewId="0">
      <selection activeCell="K7" sqref="K7"/>
    </sheetView>
  </sheetViews>
  <sheetFormatPr defaultRowHeight="15" x14ac:dyDescent="0.25"/>
  <cols>
    <col min="1" max="1" width="17.28515625" bestFit="1" customWidth="1"/>
    <col min="2" max="2" width="13.28515625" bestFit="1" customWidth="1"/>
    <col min="3" max="3" width="12.85546875" bestFit="1" customWidth="1"/>
    <col min="4" max="4" width="11.140625" bestFit="1" customWidth="1"/>
    <col min="5" max="5" width="12.28515625" bestFit="1" customWidth="1"/>
    <col min="6" max="6" width="13.5703125" bestFit="1" customWidth="1"/>
    <col min="7" max="7" width="13.28515625" bestFit="1" customWidth="1"/>
    <col min="8" max="8" width="11.42578125" bestFit="1" customWidth="1"/>
    <col min="9" max="9" width="12.5703125" bestFit="1" customWidth="1"/>
    <col min="10" max="10" width="13.5703125" bestFit="1" customWidth="1"/>
    <col min="11" max="11" width="13.28515625" bestFit="1" customWidth="1"/>
    <col min="12" max="12" width="11.42578125" bestFit="1" customWidth="1"/>
    <col min="13" max="13" width="12.5703125" bestFit="1" customWidth="1"/>
    <col min="14" max="14" width="13.140625" bestFit="1" customWidth="1"/>
    <col min="15" max="15" width="12.7109375" bestFit="1" customWidth="1"/>
    <col min="16" max="16" width="11" customWidth="1"/>
    <col min="17" max="17" width="12.140625" bestFit="1" customWidth="1"/>
    <col min="18" max="18" width="13.7109375" bestFit="1" customWidth="1"/>
    <col min="19" max="19" width="13.42578125" bestFit="1" customWidth="1"/>
    <col min="20" max="20" width="11.5703125" bestFit="1" customWidth="1"/>
    <col min="21" max="21" width="12.7109375" bestFit="1" customWidth="1"/>
    <col min="22" max="22" width="13.42578125" bestFit="1" customWidth="1"/>
    <col min="23" max="23" width="13.140625" bestFit="1" customWidth="1"/>
    <col min="24" max="24" width="11.28515625" bestFit="1" customWidth="1"/>
    <col min="25" max="25" width="12.42578125" bestFit="1" customWidth="1"/>
    <col min="26" max="26" width="12.5703125" bestFit="1" customWidth="1"/>
    <col min="27" max="27" width="12.28515625" bestFit="1" customWidth="1"/>
    <col min="28" max="28" width="10.5703125" bestFit="1" customWidth="1"/>
    <col min="29" max="29" width="11.7109375" bestFit="1" customWidth="1"/>
    <col min="30" max="30" width="13.5703125" bestFit="1" customWidth="1"/>
    <col min="31" max="31" width="13.28515625" bestFit="1" customWidth="1"/>
    <col min="32" max="32" width="11.42578125" bestFit="1" customWidth="1"/>
    <col min="33" max="33" width="12.5703125" bestFit="1" customWidth="1"/>
    <col min="34" max="34" width="13.7109375" bestFit="1" customWidth="1"/>
    <col min="35" max="35" width="13.42578125" bestFit="1" customWidth="1"/>
    <col min="36" max="36" width="11.5703125" bestFit="1" customWidth="1"/>
    <col min="37" max="37" width="12.7109375" bestFit="1" customWidth="1"/>
    <col min="38" max="38" width="13.28515625" bestFit="1" customWidth="1"/>
    <col min="39" max="39" width="12.85546875" bestFit="1" customWidth="1"/>
    <col min="40" max="40" width="11.140625" bestFit="1" customWidth="1"/>
    <col min="41" max="41" width="12.28515625" bestFit="1" customWidth="1"/>
    <col min="42" max="42" width="13.85546875" bestFit="1" customWidth="1"/>
    <col min="43" max="43" width="13.5703125" bestFit="1" customWidth="1"/>
    <col min="44" max="44" width="11.7109375" bestFit="1" customWidth="1"/>
    <col min="45" max="45" width="12.85546875" bestFit="1" customWidth="1"/>
    <col min="46" max="46" width="13.7109375" bestFit="1" customWidth="1"/>
    <col min="47" max="47" width="13.42578125" bestFit="1" customWidth="1"/>
    <col min="48" max="48" width="11.5703125" bestFit="1" customWidth="1"/>
    <col min="49" max="49" width="12.7109375" bestFit="1" customWidth="1"/>
  </cols>
  <sheetData>
    <row r="1" spans="1:49" x14ac:dyDescent="0.25">
      <c r="A1" s="12" t="s">
        <v>0</v>
      </c>
      <c r="B1" s="12" t="s">
        <v>69</v>
      </c>
      <c r="C1" s="12" t="s">
        <v>70</v>
      </c>
      <c r="D1" s="12" t="s">
        <v>71</v>
      </c>
      <c r="E1" s="12" t="s">
        <v>72</v>
      </c>
      <c r="F1" s="12" t="s">
        <v>73</v>
      </c>
      <c r="G1" s="12" t="s">
        <v>74</v>
      </c>
      <c r="H1" s="12" t="s">
        <v>75</v>
      </c>
      <c r="I1" s="12" t="s">
        <v>76</v>
      </c>
      <c r="J1" s="12" t="s">
        <v>77</v>
      </c>
      <c r="K1" s="12" t="s">
        <v>78</v>
      </c>
      <c r="L1" s="12" t="s">
        <v>79</v>
      </c>
      <c r="M1" s="12" t="s">
        <v>80</v>
      </c>
      <c r="N1" s="12" t="s">
        <v>81</v>
      </c>
      <c r="O1" s="12" t="s">
        <v>82</v>
      </c>
      <c r="P1" s="12" t="s">
        <v>83</v>
      </c>
      <c r="Q1" s="12" t="s">
        <v>84</v>
      </c>
      <c r="R1" s="12" t="s">
        <v>85</v>
      </c>
      <c r="S1" s="12" t="s">
        <v>86</v>
      </c>
      <c r="T1" s="12" t="s">
        <v>87</v>
      </c>
      <c r="U1" s="12" t="s">
        <v>88</v>
      </c>
      <c r="V1" s="12" t="s">
        <v>89</v>
      </c>
      <c r="W1" s="12" t="s">
        <v>90</v>
      </c>
      <c r="X1" s="12" t="s">
        <v>91</v>
      </c>
      <c r="Y1" s="12" t="s">
        <v>92</v>
      </c>
      <c r="Z1" s="12" t="s">
        <v>93</v>
      </c>
      <c r="AA1" s="12" t="s">
        <v>94</v>
      </c>
      <c r="AB1" s="12" t="s">
        <v>95</v>
      </c>
      <c r="AC1" s="12" t="s">
        <v>96</v>
      </c>
      <c r="AD1" s="12" t="s">
        <v>97</v>
      </c>
      <c r="AE1" s="12" t="s">
        <v>98</v>
      </c>
      <c r="AF1" s="12" t="s">
        <v>99</v>
      </c>
      <c r="AG1" s="12" t="s">
        <v>100</v>
      </c>
      <c r="AH1" s="12" t="s">
        <v>101</v>
      </c>
      <c r="AI1" s="12" t="s">
        <v>102</v>
      </c>
      <c r="AJ1" s="12" t="s">
        <v>103</v>
      </c>
      <c r="AK1" s="12" t="s">
        <v>104</v>
      </c>
      <c r="AL1" s="12" t="s">
        <v>105</v>
      </c>
      <c r="AM1" s="12" t="s">
        <v>106</v>
      </c>
      <c r="AN1" s="12" t="s">
        <v>107</v>
      </c>
      <c r="AO1" s="12" t="s">
        <v>108</v>
      </c>
      <c r="AP1" s="12" t="s">
        <v>109</v>
      </c>
      <c r="AQ1" s="12" t="s">
        <v>110</v>
      </c>
      <c r="AR1" s="12" t="s">
        <v>111</v>
      </c>
      <c r="AS1" s="12" t="s">
        <v>112</v>
      </c>
      <c r="AT1" s="12" t="s">
        <v>113</v>
      </c>
      <c r="AU1" s="12" t="s">
        <v>114</v>
      </c>
      <c r="AV1" s="12" t="s">
        <v>115</v>
      </c>
      <c r="AW1" s="12" t="s">
        <v>116</v>
      </c>
    </row>
    <row r="2" spans="1:49" x14ac:dyDescent="0.25">
      <c r="A2" s="2" t="s">
        <v>6</v>
      </c>
      <c r="B2" s="9">
        <v>0</v>
      </c>
      <c r="C2" s="9">
        <f>SUMPRODUCT((MONTH(Funding!$A$2:$A$27)=1)*Funding!D$2:D$27)</f>
        <v>2075</v>
      </c>
      <c r="D2" s="9">
        <f>SUMPRODUCT((MONTH(Spending!$A$2:$A$276)=1)*(Spending!$D$2:$D$276="Rent")*Spending!$C$2:$C$276)</f>
        <v>1500</v>
      </c>
      <c r="E2" s="9">
        <f t="shared" ref="E2:E17" si="0">B2+C2-D2</f>
        <v>575</v>
      </c>
      <c r="F2" s="9">
        <f>IF(Envelopes!$D$2="Yes",E2,0)</f>
        <v>575</v>
      </c>
      <c r="G2" s="9">
        <f>SUMPRODUCT((MONTH(Funding!$A$2:$A$27)=2)*Funding!D$2:D$27)</f>
        <v>1387</v>
      </c>
      <c r="H2" s="9">
        <f>SUMPRODUCT((MONTH(Spending!$A$2:$A$276)=2)*(Spending!$D$2:$D$276="Rent")*Spending!$C$2:$C$276)</f>
        <v>1500</v>
      </c>
      <c r="I2" s="9">
        <f t="shared" ref="I2:I17" si="1">F2+G2-H2</f>
        <v>462</v>
      </c>
      <c r="J2" s="9">
        <f>IF(Envelopes!$D$2="Yes",I2,0)</f>
        <v>462</v>
      </c>
      <c r="K2" s="9">
        <f>SUMPRODUCT((MONTH(Funding!$A$2:$A$27)=3)*Funding!D$2:D$27)</f>
        <v>1385</v>
      </c>
      <c r="L2" s="9">
        <f>SUMPRODUCT((MONTH(Spending!$A$2:$A$276)=3)*(Spending!$D$2:$D$276="Rent")*Spending!$C$2:$C$276)</f>
        <v>1500</v>
      </c>
      <c r="M2" s="9">
        <f t="shared" ref="M2:M17" si="2">J2+K2-L2</f>
        <v>347</v>
      </c>
      <c r="N2" s="9">
        <f>IF(Envelopes!$D$2="Yes",M2,0)</f>
        <v>347</v>
      </c>
      <c r="O2" s="9">
        <f>SUMPRODUCT((MONTH(Funding!$A$2:$A$27)=4)*Funding!D$2:D$27)</f>
        <v>1367</v>
      </c>
      <c r="P2" s="9">
        <f>SUMPRODUCT((MONTH(Spending!$A$2:$A$276)=4)*(Spending!$D$2:$D$276="Rent")*Spending!$C$2:$C$276)</f>
        <v>1500</v>
      </c>
      <c r="Q2" s="9">
        <f t="shared" ref="Q2:Q17" si="3">N2+O2-P2</f>
        <v>214</v>
      </c>
      <c r="R2" s="9">
        <f>IF(Envelopes!$D$2="Yes",Q2,0)</f>
        <v>214</v>
      </c>
      <c r="S2" s="9">
        <f>SUMPRODUCT((MONTH(Funding!$A$2:$A$27)=5)*Funding!D$2:D$27)</f>
        <v>1368</v>
      </c>
      <c r="T2" s="9">
        <f>SUMPRODUCT((MONTH(Spending!$A$2:$A$276)=5)*(Spending!$D$2:$D$276="Rent")*Spending!$C$2:$C$276)</f>
        <v>1500</v>
      </c>
      <c r="U2" s="9">
        <f t="shared" ref="U2:U17" si="4">R2+S2-T2</f>
        <v>82</v>
      </c>
      <c r="V2" s="9">
        <f>IF(Envelopes!$D$2="Yes",U2,0)</f>
        <v>82</v>
      </c>
      <c r="W2" s="9">
        <f>SUMPRODUCT((MONTH(Funding!$A$2:$A$27)=6)*Funding!D$2:D$27)</f>
        <v>1376</v>
      </c>
      <c r="X2" s="9">
        <f>SUMPRODUCT((MONTH(Spending!$A$2:$A$276)=6)*(Spending!$D$2:$D$276="Rent")*Spending!$C$2:$C$276)</f>
        <v>1500</v>
      </c>
      <c r="Y2" s="9">
        <f t="shared" ref="Y2:Y17" si="5">V2+W2-X2</f>
        <v>-42</v>
      </c>
      <c r="Z2" s="9">
        <f>IF(Envelopes!$D$2="Yes",Y2,0)</f>
        <v>-42</v>
      </c>
      <c r="AA2" s="9">
        <f>SUMPRODUCT((MONTH(Funding!$A$2:$A$27)=7)*Funding!D$2:D$27)</f>
        <v>1376</v>
      </c>
      <c r="AB2" s="9">
        <f>SUMPRODUCT((MONTH(Spending!$A$2:$A$276)=7)*(Spending!$D$2:$D$276="Rent")*Spending!$C$2:$C$276)</f>
        <v>1500</v>
      </c>
      <c r="AC2" s="9">
        <f t="shared" ref="AC2:AC17" si="6">Z2+AA2-AB2</f>
        <v>-166</v>
      </c>
      <c r="AD2" s="9">
        <f>IF(Envelopes!$D$2="Yes",AC2,0)</f>
        <v>-166</v>
      </c>
      <c r="AE2" s="9">
        <f>SUMPRODUCT((MONTH(Funding!$A$2:$A$27)=8)*Funding!D$2:D$27)</f>
        <v>2089</v>
      </c>
      <c r="AF2" s="9">
        <f>SUMPRODUCT((MONTH(Spending!$A$2:$A$276)=8)*(Spending!$D$2:$D$276="Rent")*Spending!$C$2:$C$276)</f>
        <v>1500</v>
      </c>
      <c r="AG2" s="9">
        <f t="shared" ref="AG2:AG17" si="7">AD2+AE2-AF2</f>
        <v>423</v>
      </c>
      <c r="AH2" s="9">
        <f>IF(Envelopes!$D$2="Yes",AG2,0)</f>
        <v>423</v>
      </c>
      <c r="AI2" s="9">
        <f>SUMPRODUCT((MONTH(Funding!$A$2:$A$27)=9)*Funding!D$2:D$27)</f>
        <v>1390</v>
      </c>
      <c r="AJ2" s="9">
        <f>SUMPRODUCT((MONTH(Spending!$A$2:$A$276)=9)*(Spending!$D$2:$D$276="Rent")*Spending!$C$2:$C$276)</f>
        <v>1500</v>
      </c>
      <c r="AK2" s="9">
        <f t="shared" ref="AK2:AK17" si="8">AH2+AI2-AJ2</f>
        <v>313</v>
      </c>
      <c r="AL2" s="9">
        <f>IF(Envelopes!$D$2="Yes",AK2,0)</f>
        <v>313</v>
      </c>
      <c r="AM2" s="9">
        <f>SUMPRODUCT((MONTH(Funding!$A$2:$A$27)=10)*Funding!D$2:D$27)</f>
        <v>1373</v>
      </c>
      <c r="AN2" s="9">
        <f>SUMPRODUCT((MONTH(Spending!$A$2:$A$276)=10)*(Spending!$D$2:$D$276="Rent")*Spending!$C$2:$C$276)</f>
        <v>1500</v>
      </c>
      <c r="AO2" s="9">
        <f t="shared" ref="AO2:AO17" si="9">AL2+AM2-AN2</f>
        <v>186</v>
      </c>
      <c r="AP2" s="9">
        <f>IF(Envelopes!$D$2="Yes",AO2,0)</f>
        <v>186</v>
      </c>
      <c r="AQ2" s="9">
        <f>SUMPRODUCT((MONTH(Funding!$A$2:$A$27)=11)*Funding!D$2:D$27)</f>
        <v>1373</v>
      </c>
      <c r="AR2" s="9">
        <f>SUMPRODUCT((MONTH(Spending!$A$2:$A$276)=11)*(Spending!$D$2:$D$276="Rent")*Spending!$C$2:$C$276)</f>
        <v>1500</v>
      </c>
      <c r="AS2" s="9">
        <f t="shared" ref="AS2:AS17" si="10">AP2+AQ2-AR2</f>
        <v>59</v>
      </c>
      <c r="AT2" s="9">
        <f>IF(Envelopes!$D$2="Yes",AS2,0)</f>
        <v>59</v>
      </c>
      <c r="AU2" s="9">
        <f>SUMPRODUCT((MONTH(Funding!$A$2:$A$27)=12)*Funding!D$2:D$27)</f>
        <v>1373</v>
      </c>
      <c r="AV2" s="9">
        <f>SUMPRODUCT((MONTH(Spending!$A$2:$A$276)=12)*(Spending!$D$2:$D$276="Rent")*Spending!$C$2:$C$276)</f>
        <v>1500</v>
      </c>
      <c r="AW2" s="9">
        <f t="shared" ref="AW2:AW17" si="11">AT2+AU2-AV2</f>
        <v>-68</v>
      </c>
    </row>
    <row r="3" spans="1:49" x14ac:dyDescent="0.25">
      <c r="A3" s="2" t="s">
        <v>9</v>
      </c>
      <c r="B3" s="9">
        <v>0</v>
      </c>
      <c r="C3" s="9">
        <f>SUMPRODUCT((MONTH(Funding!$A$2:$A$27)=1)*Funding!E$2:E$27)</f>
        <v>237</v>
      </c>
      <c r="D3" s="9">
        <f>SUMPRODUCT((MONTH(Spending!$A$2:$A$276)=1)*(Spending!$D$2:$D$276="Utilities")*Spending!$C$2:$C$276)</f>
        <v>153.62</v>
      </c>
      <c r="E3" s="9">
        <f t="shared" si="0"/>
        <v>83.38</v>
      </c>
      <c r="F3" s="9">
        <f>IF(Envelopes!$D$3="Yes",E3,0)</f>
        <v>83.38</v>
      </c>
      <c r="G3" s="9">
        <f>SUMPRODUCT((MONTH(Funding!$A$2:$A$27)=2)*Funding!E$2:E$27)</f>
        <v>155</v>
      </c>
      <c r="H3" s="9">
        <f>SUMPRODUCT((MONTH(Spending!$A$2:$A$276)=2)*(Spending!$D$2:$D$276="Utilities")*Spending!$C$2:$C$276)</f>
        <v>167.82999999999998</v>
      </c>
      <c r="I3" s="9">
        <f t="shared" si="1"/>
        <v>70.550000000000011</v>
      </c>
      <c r="J3" s="9">
        <f>IF(Envelopes!$D$3="Yes",I3,0)</f>
        <v>70.550000000000011</v>
      </c>
      <c r="K3" s="9">
        <f>SUMPRODUCT((MONTH(Funding!$A$2:$A$27)=3)*Funding!E$2:E$27)</f>
        <v>158</v>
      </c>
      <c r="L3" s="9">
        <f>SUMPRODUCT((MONTH(Spending!$A$2:$A$276)=3)*(Spending!$D$2:$D$276="Utilities")*Spending!$C$2:$C$276)</f>
        <v>145.4</v>
      </c>
      <c r="M3" s="9">
        <f t="shared" si="2"/>
        <v>83.15</v>
      </c>
      <c r="N3" s="9">
        <f>IF(Envelopes!$D$3="Yes",M3,0)</f>
        <v>83.15</v>
      </c>
      <c r="O3" s="9">
        <f>SUMPRODUCT((MONTH(Funding!$A$2:$A$27)=4)*Funding!E$2:E$27)</f>
        <v>145</v>
      </c>
      <c r="P3" s="9">
        <f>SUMPRODUCT((MONTH(Spending!$A$2:$A$276)=4)*(Spending!$D$2:$D$276="Utilities")*Spending!$C$2:$C$276)</f>
        <v>167.3</v>
      </c>
      <c r="Q3" s="9">
        <f t="shared" si="3"/>
        <v>60.849999999999994</v>
      </c>
      <c r="R3" s="9">
        <f>IF(Envelopes!$D$3="Yes",Q3,0)</f>
        <v>60.849999999999994</v>
      </c>
      <c r="S3" s="9">
        <f>SUMPRODUCT((MONTH(Funding!$A$2:$A$27)=5)*Funding!E$2:E$27)</f>
        <v>167</v>
      </c>
      <c r="T3" s="9">
        <f>SUMPRODUCT((MONTH(Spending!$A$2:$A$276)=5)*(Spending!$D$2:$D$276="Utilities")*Spending!$C$2:$C$276)</f>
        <v>223.06</v>
      </c>
      <c r="U3" s="9">
        <f t="shared" si="4"/>
        <v>4.789999999999992</v>
      </c>
      <c r="V3" s="9">
        <f>IF(Envelopes!$D$3="Yes",U3,0)</f>
        <v>4.789999999999992</v>
      </c>
      <c r="W3" s="9">
        <f>SUMPRODUCT((MONTH(Funding!$A$2:$A$27)=6)*Funding!E$2:E$27)</f>
        <v>155</v>
      </c>
      <c r="X3" s="9">
        <f>SUMPRODUCT((MONTH(Spending!$A$2:$A$276)=6)*(Spending!$D$2:$D$276="Utilities")*Spending!$C$2:$C$276)</f>
        <v>232.9</v>
      </c>
      <c r="Y3" s="9">
        <f t="shared" si="5"/>
        <v>-73.110000000000014</v>
      </c>
      <c r="Z3" s="9">
        <f>IF(Envelopes!$D$3="Yes",Y3,0)</f>
        <v>-73.110000000000014</v>
      </c>
      <c r="AA3" s="9">
        <f>SUMPRODUCT((MONTH(Funding!$A$2:$A$27)=7)*Funding!E$2:E$27)</f>
        <v>142</v>
      </c>
      <c r="AB3" s="9">
        <f>SUMPRODUCT((MONTH(Spending!$A$2:$A$276)=7)*(Spending!$D$2:$D$276="Utilities")*Spending!$C$2:$C$276)</f>
        <v>157.17000000000002</v>
      </c>
      <c r="AC3" s="9">
        <f t="shared" si="6"/>
        <v>-88.28000000000003</v>
      </c>
      <c r="AD3" s="9">
        <f>IF(Envelopes!$D$3="Yes",AC3,0)</f>
        <v>-88.28000000000003</v>
      </c>
      <c r="AE3" s="9">
        <f>SUMPRODUCT((MONTH(Funding!$A$2:$A$27)=8)*Funding!E$2:E$27)</f>
        <v>227</v>
      </c>
      <c r="AF3" s="9">
        <f>SUMPRODUCT((MONTH(Spending!$A$2:$A$276)=8)*(Spending!$D$2:$D$276="Utilities")*Spending!$C$2:$C$276)</f>
        <v>185.32999999999998</v>
      </c>
      <c r="AG3" s="9">
        <f t="shared" si="7"/>
        <v>-46.610000000000014</v>
      </c>
      <c r="AH3" s="9">
        <f>IF(Envelopes!$D$3="Yes",AG3,0)</f>
        <v>-46.610000000000014</v>
      </c>
      <c r="AI3" s="9">
        <f>SUMPRODUCT((MONTH(Funding!$A$2:$A$27)=9)*Funding!E$2:E$27)</f>
        <v>170</v>
      </c>
      <c r="AJ3" s="9">
        <f>SUMPRODUCT((MONTH(Spending!$A$2:$A$276)=9)*(Spending!$D$2:$D$276="Utilities")*Spending!$C$2:$C$276)</f>
        <v>212.23</v>
      </c>
      <c r="AK3" s="9">
        <f t="shared" si="8"/>
        <v>-88.84</v>
      </c>
      <c r="AL3" s="9">
        <f>IF(Envelopes!$D$3="Yes",AK3,0)</f>
        <v>-88.84</v>
      </c>
      <c r="AM3" s="9">
        <f>SUMPRODUCT((MONTH(Funding!$A$2:$A$27)=10)*Funding!E$2:E$27)</f>
        <v>155</v>
      </c>
      <c r="AN3" s="9">
        <f>SUMPRODUCT((MONTH(Spending!$A$2:$A$276)=10)*(Spending!$D$2:$D$276="Utilities")*Spending!$C$2:$C$276)</f>
        <v>125.55</v>
      </c>
      <c r="AO3" s="9">
        <f t="shared" si="9"/>
        <v>-59.39</v>
      </c>
      <c r="AP3" s="9">
        <f>IF(Envelopes!$D$3="Yes",AO3,0)</f>
        <v>-59.39</v>
      </c>
      <c r="AQ3" s="9">
        <f>SUMPRODUCT((MONTH(Funding!$A$2:$A$27)=11)*Funding!E$2:E$27)</f>
        <v>151</v>
      </c>
      <c r="AR3" s="9">
        <f>SUMPRODUCT((MONTH(Spending!$A$2:$A$276)=11)*(Spending!$D$2:$D$276="Utilities")*Spending!$C$2:$C$276)</f>
        <v>155.09</v>
      </c>
      <c r="AS3" s="9">
        <f t="shared" si="10"/>
        <v>-63.480000000000004</v>
      </c>
      <c r="AT3" s="9">
        <f>IF(Envelopes!$D$3="Yes",AS3,0)</f>
        <v>-63.480000000000004</v>
      </c>
      <c r="AU3" s="9">
        <f>SUMPRODUCT((MONTH(Funding!$A$2:$A$27)=12)*Funding!E$2:E$27)</f>
        <v>151</v>
      </c>
      <c r="AV3" s="9">
        <f>SUMPRODUCT((MONTH(Spending!$A$2:$A$276)=12)*(Spending!$D$2:$D$276="Utilities")*Spending!$C$2:$C$276)</f>
        <v>209.35</v>
      </c>
      <c r="AW3" s="9">
        <f t="shared" si="11"/>
        <v>-121.83</v>
      </c>
    </row>
    <row r="4" spans="1:49" x14ac:dyDescent="0.25">
      <c r="A4" s="2" t="s">
        <v>10</v>
      </c>
      <c r="B4" s="9">
        <v>0</v>
      </c>
      <c r="C4" s="9">
        <f>SUMPRODUCT((MONTH(Funding!$A$2:$A$27)=1)*Funding!F$2:F$27)</f>
        <v>568</v>
      </c>
      <c r="D4" s="9">
        <f>SUMPRODUCT((MONTH(Spending!$A$2:$A$276)=1)*(Spending!$D$2:$D$276="Groceries")*Spending!$C$2:$C$276)</f>
        <v>295.06</v>
      </c>
      <c r="E4" s="9">
        <f t="shared" si="0"/>
        <v>272.94</v>
      </c>
      <c r="F4" s="9">
        <f>IF(Envelopes!$D$4="Yes",E4,0)</f>
        <v>272.94</v>
      </c>
      <c r="G4" s="9">
        <f>SUMPRODUCT((MONTH(Funding!$A$2:$A$27)=2)*Funding!F$2:F$27)</f>
        <v>366</v>
      </c>
      <c r="H4" s="9">
        <f>SUMPRODUCT((MONTH(Spending!$A$2:$A$276)=2)*(Spending!$D$2:$D$276="Groceries")*Spending!$C$2:$C$276)</f>
        <v>469.13</v>
      </c>
      <c r="I4" s="9">
        <f t="shared" si="1"/>
        <v>169.81000000000006</v>
      </c>
      <c r="J4" s="9">
        <f>IF(Envelopes!$D$4="Yes",I4,0)</f>
        <v>169.81000000000006</v>
      </c>
      <c r="K4" s="9">
        <f>SUMPRODUCT((MONTH(Funding!$A$2:$A$27)=3)*Funding!F$2:F$27)</f>
        <v>367</v>
      </c>
      <c r="L4" s="9">
        <f>SUMPRODUCT((MONTH(Spending!$A$2:$A$276)=3)*(Spending!$D$2:$D$276="Groceries")*Spending!$C$2:$C$276)</f>
        <v>398.59000000000003</v>
      </c>
      <c r="M4" s="9">
        <f t="shared" si="2"/>
        <v>138.22000000000003</v>
      </c>
      <c r="N4" s="9">
        <f>IF(Envelopes!$D$4="Yes",M4,0)</f>
        <v>138.22000000000003</v>
      </c>
      <c r="O4" s="9">
        <f>SUMPRODUCT((MONTH(Funding!$A$2:$A$27)=4)*Funding!F$2:F$27)</f>
        <v>364</v>
      </c>
      <c r="P4" s="9">
        <f>SUMPRODUCT((MONTH(Spending!$A$2:$A$276)=4)*(Spending!$D$2:$D$276="Groceries")*Spending!$C$2:$C$276)</f>
        <v>436</v>
      </c>
      <c r="Q4" s="9">
        <f t="shared" si="3"/>
        <v>66.220000000000027</v>
      </c>
      <c r="R4" s="9">
        <f>IF(Envelopes!$D$4="Yes",Q4,0)</f>
        <v>66.220000000000027</v>
      </c>
      <c r="S4" s="9">
        <f>SUMPRODUCT((MONTH(Funding!$A$2:$A$27)=5)*Funding!F$2:F$27)</f>
        <v>369</v>
      </c>
      <c r="T4" s="9">
        <f>SUMPRODUCT((MONTH(Spending!$A$2:$A$276)=5)*(Spending!$D$2:$D$276="Groceries")*Spending!$C$2:$C$276)</f>
        <v>354.37</v>
      </c>
      <c r="U4" s="9">
        <f t="shared" si="4"/>
        <v>80.850000000000023</v>
      </c>
      <c r="V4" s="9">
        <f>IF(Envelopes!$D$4="Yes",U4,0)</f>
        <v>80.850000000000023</v>
      </c>
      <c r="W4" s="9">
        <f>SUMPRODUCT((MONTH(Funding!$A$2:$A$27)=6)*Funding!F$2:F$27)</f>
        <v>365</v>
      </c>
      <c r="X4" s="9">
        <f>SUMPRODUCT((MONTH(Spending!$A$2:$A$276)=6)*(Spending!$D$2:$D$276="Groceries")*Spending!$C$2:$C$276)</f>
        <v>404.64</v>
      </c>
      <c r="Y4" s="9">
        <f t="shared" si="5"/>
        <v>41.210000000000036</v>
      </c>
      <c r="Z4" s="9">
        <f>IF(Envelopes!$D$4="Yes",Y4,0)</f>
        <v>41.210000000000036</v>
      </c>
      <c r="AA4" s="9">
        <f>SUMPRODUCT((MONTH(Funding!$A$2:$A$27)=7)*Funding!F$2:F$27)</f>
        <v>361</v>
      </c>
      <c r="AB4" s="9">
        <f>SUMPRODUCT((MONTH(Spending!$A$2:$A$276)=7)*(Spending!$D$2:$D$276="Groceries")*Spending!$C$2:$C$276)</f>
        <v>369.95</v>
      </c>
      <c r="AC4" s="9">
        <f t="shared" si="6"/>
        <v>32.260000000000048</v>
      </c>
      <c r="AD4" s="9">
        <f>IF(Envelopes!$D$4="Yes",AC4,0)</f>
        <v>32.260000000000048</v>
      </c>
      <c r="AE4" s="9">
        <f>SUMPRODUCT((MONTH(Funding!$A$2:$A$27)=8)*Funding!F$2:F$27)</f>
        <v>565</v>
      </c>
      <c r="AF4" s="9">
        <f>SUMPRODUCT((MONTH(Spending!$A$2:$A$276)=8)*(Spending!$D$2:$D$276="Groceries")*Spending!$C$2:$C$276)</f>
        <v>429.44</v>
      </c>
      <c r="AG4" s="9">
        <f t="shared" si="7"/>
        <v>167.82</v>
      </c>
      <c r="AH4" s="9">
        <f>IF(Envelopes!$D$4="Yes",AG4,0)</f>
        <v>167.82</v>
      </c>
      <c r="AI4" s="9">
        <f>SUMPRODUCT((MONTH(Funding!$A$2:$A$27)=9)*Funding!F$2:F$27)</f>
        <v>359</v>
      </c>
      <c r="AJ4" s="9">
        <f>SUMPRODUCT((MONTH(Spending!$A$2:$A$276)=9)*(Spending!$D$2:$D$276="Groceries")*Spending!$C$2:$C$276)</f>
        <v>362.88</v>
      </c>
      <c r="AK4" s="9">
        <f t="shared" si="8"/>
        <v>163.93999999999994</v>
      </c>
      <c r="AL4" s="9">
        <f>IF(Envelopes!$D$4="Yes",AK4,0)</f>
        <v>163.93999999999994</v>
      </c>
      <c r="AM4" s="9">
        <f>SUMPRODUCT((MONTH(Funding!$A$2:$A$27)=10)*Funding!F$2:F$27)</f>
        <v>378</v>
      </c>
      <c r="AN4" s="9">
        <f>SUMPRODUCT((MONTH(Spending!$A$2:$A$276)=10)*(Spending!$D$2:$D$276="Groceries")*Spending!$C$2:$C$276)</f>
        <v>476.78</v>
      </c>
      <c r="AO4" s="9">
        <f t="shared" si="9"/>
        <v>65.159999999999968</v>
      </c>
      <c r="AP4" s="9">
        <f>IF(Envelopes!$D$4="Yes",AO4,0)</f>
        <v>65.159999999999968</v>
      </c>
      <c r="AQ4" s="9">
        <f>SUMPRODUCT((MONTH(Funding!$A$2:$A$27)=11)*Funding!F$2:F$27)</f>
        <v>365</v>
      </c>
      <c r="AR4" s="9">
        <f>SUMPRODUCT((MONTH(Spending!$A$2:$A$276)=11)*(Spending!$D$2:$D$276="Groceries")*Spending!$C$2:$C$276)</f>
        <v>381.17</v>
      </c>
      <c r="AS4" s="9">
        <f t="shared" si="10"/>
        <v>48.989999999999952</v>
      </c>
      <c r="AT4" s="9">
        <f>IF(Envelopes!$D$4="Yes",AS4,0)</f>
        <v>48.989999999999952</v>
      </c>
      <c r="AU4" s="9">
        <f>SUMPRODUCT((MONTH(Funding!$A$2:$A$27)=12)*Funding!F$2:F$27)</f>
        <v>362</v>
      </c>
      <c r="AV4" s="9">
        <f>SUMPRODUCT((MONTH(Spending!$A$2:$A$276)=12)*(Spending!$D$2:$D$276="Groceries")*Spending!$C$2:$C$276)</f>
        <v>355.19</v>
      </c>
      <c r="AW4" s="9">
        <f t="shared" si="11"/>
        <v>55.799999999999955</v>
      </c>
    </row>
    <row r="5" spans="1:49" x14ac:dyDescent="0.25">
      <c r="A5" s="2" t="s">
        <v>11</v>
      </c>
      <c r="B5" s="9">
        <v>0</v>
      </c>
      <c r="C5" s="9">
        <f>SUMPRODUCT((MONTH(Funding!$A$2:$A$27)=1)*Funding!G$2:G$27)</f>
        <v>189</v>
      </c>
      <c r="D5" s="9">
        <f>SUMPRODUCT((MONTH(Spending!$A$2:$A$276)=1)*(Spending!$D$2:$D$276="Gas")*Spending!$C$2:$C$276)</f>
        <v>152.68</v>
      </c>
      <c r="E5" s="9">
        <f t="shared" si="0"/>
        <v>36.319999999999993</v>
      </c>
      <c r="F5" s="9">
        <f>IF(Envelopes!$D$5="Yes",E5,0)</f>
        <v>36.319999999999993</v>
      </c>
      <c r="G5" s="9">
        <f>SUMPRODUCT((MONTH(Funding!$A$2:$A$27)=2)*Funding!G$2:G$27)</f>
        <v>118</v>
      </c>
      <c r="H5" s="9">
        <f>SUMPRODUCT((MONTH(Spending!$A$2:$A$276)=2)*(Spending!$D$2:$D$276="Gas")*Spending!$C$2:$C$276)</f>
        <v>106.29</v>
      </c>
      <c r="I5" s="9">
        <f t="shared" si="1"/>
        <v>48.029999999999987</v>
      </c>
      <c r="J5" s="9">
        <f>IF(Envelopes!$D$5="Yes",I5,0)</f>
        <v>48.029999999999987</v>
      </c>
      <c r="K5" s="9">
        <f>SUMPRODUCT((MONTH(Funding!$A$2:$A$27)=3)*Funding!G$2:G$27)</f>
        <v>107</v>
      </c>
      <c r="L5" s="9">
        <f>SUMPRODUCT((MONTH(Spending!$A$2:$A$276)=3)*(Spending!$D$2:$D$276="Gas")*Spending!$C$2:$C$276)</f>
        <v>140.79</v>
      </c>
      <c r="M5" s="9">
        <f t="shared" si="2"/>
        <v>14.239999999999981</v>
      </c>
      <c r="N5" s="9">
        <f>IF(Envelopes!$D$5="Yes",M5,0)</f>
        <v>14.239999999999981</v>
      </c>
      <c r="O5" s="9">
        <f>SUMPRODUCT((MONTH(Funding!$A$2:$A$27)=4)*Funding!G$2:G$27)</f>
        <v>106</v>
      </c>
      <c r="P5" s="9">
        <f>SUMPRODUCT((MONTH(Spending!$A$2:$A$276)=4)*(Spending!$D$2:$D$276="Gas")*Spending!$C$2:$C$276)</f>
        <v>161.41</v>
      </c>
      <c r="Q5" s="9">
        <f t="shared" si="3"/>
        <v>-41.170000000000016</v>
      </c>
      <c r="R5" s="9">
        <f>IF(Envelopes!$D$5="Yes",Q5,0)</f>
        <v>-41.170000000000016</v>
      </c>
      <c r="S5" s="9">
        <f>SUMPRODUCT((MONTH(Funding!$A$2:$A$27)=5)*Funding!G$2:G$27)</f>
        <v>107</v>
      </c>
      <c r="T5" s="9">
        <f>SUMPRODUCT((MONTH(Spending!$A$2:$A$276)=5)*(Spending!$D$2:$D$276="Gas")*Spending!$C$2:$C$276)</f>
        <v>135.85</v>
      </c>
      <c r="U5" s="9">
        <f t="shared" si="4"/>
        <v>-70.02000000000001</v>
      </c>
      <c r="V5" s="9">
        <f>IF(Envelopes!$D$5="Yes",U5,0)</f>
        <v>-70.02000000000001</v>
      </c>
      <c r="W5" s="9">
        <f>SUMPRODUCT((MONTH(Funding!$A$2:$A$27)=6)*Funding!G$2:G$27)</f>
        <v>117</v>
      </c>
      <c r="X5" s="9">
        <f>SUMPRODUCT((MONTH(Spending!$A$2:$A$276)=6)*(Spending!$D$2:$D$276="Gas")*Spending!$C$2:$C$276)</f>
        <v>86.58</v>
      </c>
      <c r="Y5" s="9">
        <f t="shared" si="5"/>
        <v>-39.600000000000009</v>
      </c>
      <c r="Z5" s="9">
        <f>IF(Envelopes!$D$5="Yes",Y5,0)</f>
        <v>-39.600000000000009</v>
      </c>
      <c r="AA5" s="9">
        <f>SUMPRODUCT((MONTH(Funding!$A$2:$A$27)=7)*Funding!G$2:G$27)</f>
        <v>116</v>
      </c>
      <c r="AB5" s="9">
        <f>SUMPRODUCT((MONTH(Spending!$A$2:$A$276)=7)*(Spending!$D$2:$D$276="Gas")*Spending!$C$2:$C$276)</f>
        <v>110.99</v>
      </c>
      <c r="AC5" s="9">
        <f t="shared" si="6"/>
        <v>-34.590000000000003</v>
      </c>
      <c r="AD5" s="9">
        <f>IF(Envelopes!$D$5="Yes",AC5,0)</f>
        <v>-34.590000000000003</v>
      </c>
      <c r="AE5" s="9">
        <f>SUMPRODUCT((MONTH(Funding!$A$2:$A$27)=8)*Funding!G$2:G$27)</f>
        <v>184</v>
      </c>
      <c r="AF5" s="9">
        <f>SUMPRODUCT((MONTH(Spending!$A$2:$A$276)=8)*(Spending!$D$2:$D$276="Gas")*Spending!$C$2:$C$276)</f>
        <v>144.91999999999999</v>
      </c>
      <c r="AG5" s="9">
        <f t="shared" si="7"/>
        <v>4.4900000000000091</v>
      </c>
      <c r="AH5" s="9">
        <f>IF(Envelopes!$D$5="Yes",AG5,0)</f>
        <v>4.4900000000000091</v>
      </c>
      <c r="AI5" s="9">
        <f>SUMPRODUCT((MONTH(Funding!$A$2:$A$27)=9)*Funding!G$2:G$27)</f>
        <v>114</v>
      </c>
      <c r="AJ5" s="9">
        <f>SUMPRODUCT((MONTH(Spending!$A$2:$A$276)=9)*(Spending!$D$2:$D$276="Gas")*Spending!$C$2:$C$276)</f>
        <v>153.29000000000002</v>
      </c>
      <c r="AK5" s="9">
        <f t="shared" si="8"/>
        <v>-34.800000000000011</v>
      </c>
      <c r="AL5" s="9">
        <f>IF(Envelopes!$D$5="Yes",AK5,0)</f>
        <v>-34.800000000000011</v>
      </c>
      <c r="AM5" s="9">
        <f>SUMPRODUCT((MONTH(Funding!$A$2:$A$27)=10)*Funding!G$2:G$27)</f>
        <v>132</v>
      </c>
      <c r="AN5" s="9">
        <f>SUMPRODUCT((MONTH(Spending!$A$2:$A$276)=10)*(Spending!$D$2:$D$276="Gas")*Spending!$C$2:$C$276)</f>
        <v>108.60000000000001</v>
      </c>
      <c r="AO5" s="9">
        <f t="shared" si="9"/>
        <v>-11.40000000000002</v>
      </c>
      <c r="AP5" s="9">
        <f>IF(Envelopes!$D$5="Yes",AO5,0)</f>
        <v>-11.40000000000002</v>
      </c>
      <c r="AQ5" s="9">
        <f>SUMPRODUCT((MONTH(Funding!$A$2:$A$27)=11)*Funding!G$2:G$27)</f>
        <v>110</v>
      </c>
      <c r="AR5" s="9">
        <f>SUMPRODUCT((MONTH(Spending!$A$2:$A$276)=11)*(Spending!$D$2:$D$276="Gas")*Spending!$C$2:$C$276)</f>
        <v>120.94</v>
      </c>
      <c r="AS5" s="9">
        <f t="shared" si="10"/>
        <v>-22.340000000000018</v>
      </c>
      <c r="AT5" s="9">
        <f>IF(Envelopes!$D$5="Yes",AS5,0)</f>
        <v>-22.340000000000018</v>
      </c>
      <c r="AU5" s="9">
        <f>SUMPRODUCT((MONTH(Funding!$A$2:$A$27)=12)*Funding!G$2:G$27)</f>
        <v>117</v>
      </c>
      <c r="AV5" s="9">
        <f>SUMPRODUCT((MONTH(Spending!$A$2:$A$276)=12)*(Spending!$D$2:$D$276="Gas")*Spending!$C$2:$C$276)</f>
        <v>142.29</v>
      </c>
      <c r="AW5" s="9">
        <f t="shared" si="11"/>
        <v>-47.63000000000001</v>
      </c>
    </row>
    <row r="6" spans="1:49" x14ac:dyDescent="0.25">
      <c r="A6" s="2" t="s">
        <v>12</v>
      </c>
      <c r="B6" s="9">
        <v>0</v>
      </c>
      <c r="C6" s="9">
        <f>SUMPRODUCT((MONTH(Funding!$A$2:$A$27)=1)*Funding!H$2:H$27)</f>
        <v>139</v>
      </c>
      <c r="D6" s="9">
        <f>SUMPRODUCT((MONTH(Spending!$A$2:$A$276)=1)*(Spending!$D$2:$D$276="Auto Insurance")*Spending!$C$2:$C$276)</f>
        <v>110</v>
      </c>
      <c r="E6" s="9">
        <f t="shared" si="0"/>
        <v>29</v>
      </c>
      <c r="F6" s="9">
        <f>IF(Envelopes!$D$6="Yes",E6,0)</f>
        <v>29</v>
      </c>
      <c r="G6" s="9">
        <f>SUMPRODUCT((MONTH(Funding!$A$2:$A$27)=2)*Funding!H$2:H$27)</f>
        <v>112</v>
      </c>
      <c r="H6" s="9">
        <f>SUMPRODUCT((MONTH(Spending!$A$2:$A$276)=2)*(Spending!$D$2:$D$276="Auto Insurance")*Spending!$C$2:$C$276)</f>
        <v>110</v>
      </c>
      <c r="I6" s="9">
        <f t="shared" si="1"/>
        <v>31</v>
      </c>
      <c r="J6" s="9">
        <f>IF(Envelopes!$D$6="Yes",I6,0)</f>
        <v>31</v>
      </c>
      <c r="K6" s="9">
        <f>SUMPRODUCT((MONTH(Funding!$A$2:$A$27)=3)*Funding!H$2:H$27)</f>
        <v>109</v>
      </c>
      <c r="L6" s="9">
        <f>SUMPRODUCT((MONTH(Spending!$A$2:$A$276)=3)*(Spending!$D$2:$D$276="Auto Insurance")*Spending!$C$2:$C$276)</f>
        <v>110</v>
      </c>
      <c r="M6" s="9">
        <f t="shared" si="2"/>
        <v>30</v>
      </c>
      <c r="N6" s="9">
        <f>IF(Envelopes!$D$6="Yes",M6,0)</f>
        <v>30</v>
      </c>
      <c r="O6" s="9">
        <f>SUMPRODUCT((MONTH(Funding!$A$2:$A$27)=4)*Funding!H$2:H$27)</f>
        <v>110</v>
      </c>
      <c r="P6" s="9">
        <f>SUMPRODUCT((MONTH(Spending!$A$2:$A$276)=4)*(Spending!$D$2:$D$276="Auto Insurance")*Spending!$C$2:$C$276)</f>
        <v>110</v>
      </c>
      <c r="Q6" s="9">
        <f t="shared" si="3"/>
        <v>30</v>
      </c>
      <c r="R6" s="9">
        <f>IF(Envelopes!$D$6="Yes",Q6,0)</f>
        <v>30</v>
      </c>
      <c r="S6" s="9">
        <f>SUMPRODUCT((MONTH(Funding!$A$2:$A$27)=5)*Funding!H$2:H$27)</f>
        <v>86</v>
      </c>
      <c r="T6" s="9">
        <f>SUMPRODUCT((MONTH(Spending!$A$2:$A$276)=5)*(Spending!$D$2:$D$276="Auto Insurance")*Spending!$C$2:$C$276)</f>
        <v>110</v>
      </c>
      <c r="U6" s="9">
        <f t="shared" si="4"/>
        <v>6</v>
      </c>
      <c r="V6" s="9">
        <f>IF(Envelopes!$D$6="Yes",U6,0)</f>
        <v>6</v>
      </c>
      <c r="W6" s="9">
        <f>SUMPRODUCT((MONTH(Funding!$A$2:$A$27)=6)*Funding!H$2:H$27)</f>
        <v>94</v>
      </c>
      <c r="X6" s="9">
        <f>SUMPRODUCT((MONTH(Spending!$A$2:$A$276)=6)*(Spending!$D$2:$D$276="Auto Insurance")*Spending!$C$2:$C$276)</f>
        <v>110</v>
      </c>
      <c r="Y6" s="9">
        <f t="shared" si="5"/>
        <v>-10</v>
      </c>
      <c r="Z6" s="9">
        <f>IF(Envelopes!$D$6="Yes",Y6,0)</f>
        <v>-10</v>
      </c>
      <c r="AA6" s="9">
        <f>SUMPRODUCT((MONTH(Funding!$A$2:$A$27)=7)*Funding!H$2:H$27)</f>
        <v>104</v>
      </c>
      <c r="AB6" s="9">
        <f>SUMPRODUCT((MONTH(Spending!$A$2:$A$276)=7)*(Spending!$D$2:$D$276="Auto Insurance")*Spending!$C$2:$C$276)</f>
        <v>110</v>
      </c>
      <c r="AC6" s="9">
        <f t="shared" si="6"/>
        <v>-16</v>
      </c>
      <c r="AD6" s="9">
        <f>IF(Envelopes!$D$6="Yes",AC6,0)</f>
        <v>-16</v>
      </c>
      <c r="AE6" s="9">
        <f>SUMPRODUCT((MONTH(Funding!$A$2:$A$27)=8)*Funding!H$2:H$27)</f>
        <v>159</v>
      </c>
      <c r="AF6" s="9">
        <f>SUMPRODUCT((MONTH(Spending!$A$2:$A$276)=8)*(Spending!$D$2:$D$276="Auto Insurance")*Spending!$C$2:$C$276)</f>
        <v>110</v>
      </c>
      <c r="AG6" s="9">
        <f t="shared" si="7"/>
        <v>33</v>
      </c>
      <c r="AH6" s="9">
        <f>IF(Envelopes!$D$6="Yes",AG6,0)</f>
        <v>33</v>
      </c>
      <c r="AI6" s="9">
        <f>SUMPRODUCT((MONTH(Funding!$A$2:$A$27)=9)*Funding!H$2:H$27)</f>
        <v>97</v>
      </c>
      <c r="AJ6" s="9">
        <f>SUMPRODUCT((MONTH(Spending!$A$2:$A$276)=9)*(Spending!$D$2:$D$276="Auto Insurance")*Spending!$C$2:$C$276)</f>
        <v>110</v>
      </c>
      <c r="AK6" s="9">
        <f t="shared" si="8"/>
        <v>20</v>
      </c>
      <c r="AL6" s="9">
        <f>IF(Envelopes!$D$6="Yes",AK6,0)</f>
        <v>20</v>
      </c>
      <c r="AM6" s="9">
        <f>SUMPRODUCT((MONTH(Funding!$A$2:$A$27)=10)*Funding!H$2:H$27)</f>
        <v>99</v>
      </c>
      <c r="AN6" s="9">
        <f>SUMPRODUCT((MONTH(Spending!$A$2:$A$276)=10)*(Spending!$D$2:$D$276="Auto Insurance")*Spending!$C$2:$C$276)</f>
        <v>110</v>
      </c>
      <c r="AO6" s="9">
        <f t="shared" si="9"/>
        <v>9</v>
      </c>
      <c r="AP6" s="9">
        <f>IF(Envelopes!$D$6="Yes",AO6,0)</f>
        <v>9</v>
      </c>
      <c r="AQ6" s="9">
        <f>SUMPRODUCT((MONTH(Funding!$A$2:$A$27)=11)*Funding!H$2:H$27)</f>
        <v>101</v>
      </c>
      <c r="AR6" s="9">
        <f>SUMPRODUCT((MONTH(Spending!$A$2:$A$276)=11)*(Spending!$D$2:$D$276="Auto Insurance")*Spending!$C$2:$C$276)</f>
        <v>110</v>
      </c>
      <c r="AS6" s="9">
        <f t="shared" si="10"/>
        <v>0</v>
      </c>
      <c r="AT6" s="9">
        <f>IF(Envelopes!$D$6="Yes",AS6,0)</f>
        <v>0</v>
      </c>
      <c r="AU6" s="9">
        <f>SUMPRODUCT((MONTH(Funding!$A$2:$A$27)=12)*Funding!H$2:H$27)</f>
        <v>86</v>
      </c>
      <c r="AV6" s="9">
        <f>SUMPRODUCT((MONTH(Spending!$A$2:$A$276)=12)*(Spending!$D$2:$D$276="Auto Insurance")*Spending!$C$2:$C$276)</f>
        <v>110</v>
      </c>
      <c r="AW6" s="9">
        <f t="shared" si="11"/>
        <v>-24</v>
      </c>
    </row>
    <row r="7" spans="1:49" x14ac:dyDescent="0.25">
      <c r="A7" s="2" t="s">
        <v>13</v>
      </c>
      <c r="B7" s="9">
        <v>0</v>
      </c>
      <c r="C7" s="9">
        <f>SUMPRODUCT((MONTH(Funding!$A$2:$A$27)=1)*Funding!I$2:I$27)</f>
        <v>108</v>
      </c>
      <c r="D7" s="9">
        <f>SUMPRODUCT((MONTH(Spending!$A$2:$A$276)=1)*(Spending!$D$2:$D$276="Phone")*Spending!$C$2:$C$276)</f>
        <v>75</v>
      </c>
      <c r="E7" s="9">
        <f t="shared" si="0"/>
        <v>33</v>
      </c>
      <c r="F7" s="9">
        <f>IF(Envelopes!$D$7="Yes",E7,0)</f>
        <v>33</v>
      </c>
      <c r="G7" s="9">
        <f>SUMPRODUCT((MONTH(Funding!$A$2:$A$27)=2)*Funding!I$2:I$27)</f>
        <v>74</v>
      </c>
      <c r="H7" s="9">
        <f>SUMPRODUCT((MONTH(Spending!$A$2:$A$276)=2)*(Spending!$D$2:$D$276="Phone")*Spending!$C$2:$C$276)</f>
        <v>75</v>
      </c>
      <c r="I7" s="9">
        <f t="shared" si="1"/>
        <v>32</v>
      </c>
      <c r="J7" s="9">
        <f>IF(Envelopes!$D$7="Yes",I7,0)</f>
        <v>32</v>
      </c>
      <c r="K7" s="9">
        <f>SUMPRODUCT((MONTH(Funding!$A$2:$A$27)=3)*Funding!I$2:I$27)</f>
        <v>74</v>
      </c>
      <c r="L7" s="9">
        <f>SUMPRODUCT((MONTH(Spending!$A$2:$A$276)=3)*(Spending!$D$2:$D$276="Phone")*Spending!$C$2:$C$276)</f>
        <v>75</v>
      </c>
      <c r="M7" s="9">
        <f t="shared" si="2"/>
        <v>31</v>
      </c>
      <c r="N7" s="9">
        <f>IF(Envelopes!$D$7="Yes",M7,0)</f>
        <v>31</v>
      </c>
      <c r="O7" s="9">
        <f>SUMPRODUCT((MONTH(Funding!$A$2:$A$27)=4)*Funding!I$2:I$27)</f>
        <v>65</v>
      </c>
      <c r="P7" s="9">
        <f>SUMPRODUCT((MONTH(Spending!$A$2:$A$276)=4)*(Spending!$D$2:$D$276="Phone")*Spending!$C$2:$C$276)</f>
        <v>75</v>
      </c>
      <c r="Q7" s="9">
        <f t="shared" si="3"/>
        <v>21</v>
      </c>
      <c r="R7" s="9">
        <f>IF(Envelopes!$D$7="Yes",Q7,0)</f>
        <v>21</v>
      </c>
      <c r="S7" s="9">
        <f>SUMPRODUCT((MONTH(Funding!$A$2:$A$27)=5)*Funding!I$2:I$27)</f>
        <v>57</v>
      </c>
      <c r="T7" s="9">
        <f>SUMPRODUCT((MONTH(Spending!$A$2:$A$276)=5)*(Spending!$D$2:$D$276="Phone")*Spending!$C$2:$C$276)</f>
        <v>75</v>
      </c>
      <c r="U7" s="9">
        <f t="shared" si="4"/>
        <v>3</v>
      </c>
      <c r="V7" s="9">
        <f>IF(Envelopes!$D$7="Yes",U7,0)</f>
        <v>3</v>
      </c>
      <c r="W7" s="9">
        <f>SUMPRODUCT((MONTH(Funding!$A$2:$A$27)=6)*Funding!I$2:I$27)</f>
        <v>59</v>
      </c>
      <c r="X7" s="9">
        <f>SUMPRODUCT((MONTH(Spending!$A$2:$A$276)=6)*(Spending!$D$2:$D$276="Phone")*Spending!$C$2:$C$276)</f>
        <v>75</v>
      </c>
      <c r="Y7" s="9">
        <f t="shared" si="5"/>
        <v>-13</v>
      </c>
      <c r="Z7" s="9">
        <f>IF(Envelopes!$D$7="Yes",Y7,0)</f>
        <v>-13</v>
      </c>
      <c r="AA7" s="9">
        <f>SUMPRODUCT((MONTH(Funding!$A$2:$A$27)=7)*Funding!I$2:I$27)</f>
        <v>62</v>
      </c>
      <c r="AB7" s="9">
        <f>SUMPRODUCT((MONTH(Spending!$A$2:$A$276)=7)*(Spending!$D$2:$D$276="Phone")*Spending!$C$2:$C$276)</f>
        <v>75</v>
      </c>
      <c r="AC7" s="9">
        <f t="shared" si="6"/>
        <v>-26</v>
      </c>
      <c r="AD7" s="9">
        <f>IF(Envelopes!$D$7="Yes",AC7,0)</f>
        <v>-26</v>
      </c>
      <c r="AE7" s="9">
        <f>SUMPRODUCT((MONTH(Funding!$A$2:$A$27)=8)*Funding!I$2:I$27)</f>
        <v>107</v>
      </c>
      <c r="AF7" s="9">
        <f>SUMPRODUCT((MONTH(Spending!$A$2:$A$276)=8)*(Spending!$D$2:$D$276="Phone")*Spending!$C$2:$C$276)</f>
        <v>75</v>
      </c>
      <c r="AG7" s="9">
        <f t="shared" si="7"/>
        <v>6</v>
      </c>
      <c r="AH7" s="9">
        <f>IF(Envelopes!$D$7="Yes",AG7,0)</f>
        <v>6</v>
      </c>
      <c r="AI7" s="9">
        <f>SUMPRODUCT((MONTH(Funding!$A$2:$A$27)=9)*Funding!I$2:I$27)</f>
        <v>61</v>
      </c>
      <c r="AJ7" s="9">
        <f>SUMPRODUCT((MONTH(Spending!$A$2:$A$276)=9)*(Spending!$D$2:$D$276="Phone")*Spending!$C$2:$C$276)</f>
        <v>75</v>
      </c>
      <c r="AK7" s="9">
        <f t="shared" si="8"/>
        <v>-8</v>
      </c>
      <c r="AL7" s="9">
        <f>IF(Envelopes!$D$7="Yes",AK7,0)</f>
        <v>-8</v>
      </c>
      <c r="AM7" s="9">
        <f>SUMPRODUCT((MONTH(Funding!$A$2:$A$27)=10)*Funding!I$2:I$27)</f>
        <v>59</v>
      </c>
      <c r="AN7" s="9">
        <f>SUMPRODUCT((MONTH(Spending!$A$2:$A$276)=10)*(Spending!$D$2:$D$276="Phone")*Spending!$C$2:$C$276)</f>
        <v>75</v>
      </c>
      <c r="AO7" s="9">
        <f t="shared" si="9"/>
        <v>-24</v>
      </c>
      <c r="AP7" s="9">
        <f>IF(Envelopes!$D$7="Yes",AO7,0)</f>
        <v>-24</v>
      </c>
      <c r="AQ7" s="9">
        <f>SUMPRODUCT((MONTH(Funding!$A$2:$A$27)=11)*Funding!I$2:I$27)</f>
        <v>54</v>
      </c>
      <c r="AR7" s="9">
        <f>SUMPRODUCT((MONTH(Spending!$A$2:$A$276)=11)*(Spending!$D$2:$D$276="Phone")*Spending!$C$2:$C$276)</f>
        <v>75</v>
      </c>
      <c r="AS7" s="9">
        <f t="shared" si="10"/>
        <v>-45</v>
      </c>
      <c r="AT7" s="9">
        <f>IF(Envelopes!$D$7="Yes",AS7,0)</f>
        <v>-45</v>
      </c>
      <c r="AU7" s="9">
        <f>SUMPRODUCT((MONTH(Funding!$A$2:$A$27)=12)*Funding!I$2:I$27)</f>
        <v>59</v>
      </c>
      <c r="AV7" s="9">
        <f>SUMPRODUCT((MONTH(Spending!$A$2:$A$276)=12)*(Spending!$D$2:$D$276="Phone")*Spending!$C$2:$C$276)</f>
        <v>75</v>
      </c>
      <c r="AW7" s="9">
        <f t="shared" si="11"/>
        <v>-61</v>
      </c>
    </row>
    <row r="8" spans="1:49" x14ac:dyDescent="0.25">
      <c r="A8" s="2" t="s">
        <v>14</v>
      </c>
      <c r="B8" s="9">
        <v>0</v>
      </c>
      <c r="C8" s="9">
        <f>SUMPRODUCT((MONTH(Funding!$A$2:$A$27)=1)*Funding!J$2:J$27)</f>
        <v>81</v>
      </c>
      <c r="D8" s="9">
        <f>SUMPRODUCT((MONTH(Spending!$A$2:$A$276)=1)*(Spending!$D$2:$D$276="Medical")*Spending!$C$2:$C$276)</f>
        <v>48.96</v>
      </c>
      <c r="E8" s="9">
        <f t="shared" si="0"/>
        <v>32.04</v>
      </c>
      <c r="F8" s="9">
        <f>IF(Envelopes!$D$8="Yes",E8,0)</f>
        <v>32.04</v>
      </c>
      <c r="G8" s="9">
        <f>SUMPRODUCT((MONTH(Funding!$A$2:$A$27)=2)*Funding!J$2:J$27)</f>
        <v>43</v>
      </c>
      <c r="H8" s="9">
        <f>SUMPRODUCT((MONTH(Spending!$A$2:$A$276)=2)*(Spending!$D$2:$D$276="Medical")*Spending!$C$2:$C$276)</f>
        <v>49.41</v>
      </c>
      <c r="I8" s="9">
        <f t="shared" si="1"/>
        <v>25.629999999999995</v>
      </c>
      <c r="J8" s="9">
        <f>IF(Envelopes!$D$8="Yes",I8,0)</f>
        <v>25.629999999999995</v>
      </c>
      <c r="K8" s="9">
        <f>SUMPRODUCT((MONTH(Funding!$A$2:$A$27)=3)*Funding!J$2:J$27)</f>
        <v>50</v>
      </c>
      <c r="L8" s="9">
        <f>SUMPRODUCT((MONTH(Spending!$A$2:$A$276)=3)*(Spending!$D$2:$D$276="Medical")*Spending!$C$2:$C$276)</f>
        <v>52.02</v>
      </c>
      <c r="M8" s="9">
        <f t="shared" si="2"/>
        <v>23.609999999999992</v>
      </c>
      <c r="N8" s="9">
        <f>IF(Envelopes!$D$8="Yes",M8,0)</f>
        <v>23.609999999999992</v>
      </c>
      <c r="O8" s="9">
        <f>SUMPRODUCT((MONTH(Funding!$A$2:$A$27)=4)*Funding!J$2:J$27)</f>
        <v>61</v>
      </c>
      <c r="P8" s="9">
        <f>SUMPRODUCT((MONTH(Spending!$A$2:$A$276)=4)*(Spending!$D$2:$D$276="Medical")*Spending!$C$2:$C$276)</f>
        <v>76.03</v>
      </c>
      <c r="Q8" s="9">
        <f t="shared" si="3"/>
        <v>8.5799999999999841</v>
      </c>
      <c r="R8" s="9">
        <f>IF(Envelopes!$D$8="Yes",Q8,0)</f>
        <v>8.5799999999999841</v>
      </c>
      <c r="S8" s="9">
        <f>SUMPRODUCT((MONTH(Funding!$A$2:$A$27)=5)*Funding!J$2:J$27)</f>
        <v>45</v>
      </c>
      <c r="T8" s="9">
        <f>SUMPRODUCT((MONTH(Spending!$A$2:$A$276)=5)*(Spending!$D$2:$D$276="Medical")*Spending!$C$2:$C$276)</f>
        <v>78.69</v>
      </c>
      <c r="U8" s="9">
        <f t="shared" si="4"/>
        <v>-25.110000000000014</v>
      </c>
      <c r="V8" s="9">
        <f>IF(Envelopes!$D$8="Yes",U8,0)</f>
        <v>-25.110000000000014</v>
      </c>
      <c r="W8" s="9">
        <f>SUMPRODUCT((MONTH(Funding!$A$2:$A$27)=6)*Funding!J$2:J$27)</f>
        <v>55</v>
      </c>
      <c r="X8" s="9">
        <f>SUMPRODUCT((MONTH(Spending!$A$2:$A$276)=6)*(Spending!$D$2:$D$276="Medical")*Spending!$C$2:$C$276)</f>
        <v>59.29</v>
      </c>
      <c r="Y8" s="9">
        <f t="shared" si="5"/>
        <v>-29.400000000000013</v>
      </c>
      <c r="Z8" s="9">
        <f>IF(Envelopes!$D$8="Yes",Y8,0)</f>
        <v>-29.400000000000013</v>
      </c>
      <c r="AA8" s="9">
        <f>SUMPRODUCT((MONTH(Funding!$A$2:$A$27)=7)*Funding!J$2:J$27)</f>
        <v>60</v>
      </c>
      <c r="AB8" s="9">
        <f>SUMPRODUCT((MONTH(Spending!$A$2:$A$276)=7)*(Spending!$D$2:$D$276="Medical")*Spending!$C$2:$C$276)</f>
        <v>52.400000000000006</v>
      </c>
      <c r="AC8" s="9">
        <f t="shared" si="6"/>
        <v>-21.800000000000018</v>
      </c>
      <c r="AD8" s="9">
        <f>IF(Envelopes!$D$8="Yes",AC8,0)</f>
        <v>-21.800000000000018</v>
      </c>
      <c r="AE8" s="9">
        <f>SUMPRODUCT((MONTH(Funding!$A$2:$A$27)=8)*Funding!J$2:J$27)</f>
        <v>90</v>
      </c>
      <c r="AF8" s="9">
        <f>SUMPRODUCT((MONTH(Spending!$A$2:$A$276)=8)*(Spending!$D$2:$D$276="Medical")*Spending!$C$2:$C$276)</f>
        <v>75.199999999999989</v>
      </c>
      <c r="AG8" s="9">
        <f t="shared" si="7"/>
        <v>-7</v>
      </c>
      <c r="AH8" s="9">
        <f>IF(Envelopes!$D$8="Yes",AG8,0)</f>
        <v>-7</v>
      </c>
      <c r="AI8" s="9">
        <f>SUMPRODUCT((MONTH(Funding!$A$2:$A$27)=9)*Funding!J$2:J$27)</f>
        <v>54</v>
      </c>
      <c r="AJ8" s="9">
        <f>SUMPRODUCT((MONTH(Spending!$A$2:$A$276)=9)*(Spending!$D$2:$D$276="Medical")*Spending!$C$2:$C$276)</f>
        <v>55.89</v>
      </c>
      <c r="AK8" s="9">
        <f t="shared" si="8"/>
        <v>-8.89</v>
      </c>
      <c r="AL8" s="9">
        <f>IF(Envelopes!$D$8="Yes",AK8,0)</f>
        <v>-8.89</v>
      </c>
      <c r="AM8" s="9">
        <f>SUMPRODUCT((MONTH(Funding!$A$2:$A$27)=10)*Funding!J$2:J$27)</f>
        <v>51</v>
      </c>
      <c r="AN8" s="9">
        <f>SUMPRODUCT((MONTH(Spending!$A$2:$A$276)=10)*(Spending!$D$2:$D$276="Medical")*Spending!$C$2:$C$276)</f>
        <v>76.239999999999995</v>
      </c>
      <c r="AO8" s="9">
        <f t="shared" si="9"/>
        <v>-34.129999999999995</v>
      </c>
      <c r="AP8" s="9">
        <f>IF(Envelopes!$D$8="Yes",AO8,0)</f>
        <v>-34.129999999999995</v>
      </c>
      <c r="AQ8" s="9">
        <f>SUMPRODUCT((MONTH(Funding!$A$2:$A$27)=11)*Funding!J$2:J$27)</f>
        <v>44</v>
      </c>
      <c r="AR8" s="9">
        <f>SUMPRODUCT((MONTH(Spending!$A$2:$A$276)=11)*(Spending!$D$2:$D$276="Medical")*Spending!$C$2:$C$276)</f>
        <v>70.45</v>
      </c>
      <c r="AS8" s="9">
        <f t="shared" si="10"/>
        <v>-60.58</v>
      </c>
      <c r="AT8" s="9">
        <f>IF(Envelopes!$D$8="Yes",AS8,0)</f>
        <v>-60.58</v>
      </c>
      <c r="AU8" s="9">
        <f>SUMPRODUCT((MONTH(Funding!$A$2:$A$27)=12)*Funding!J$2:J$27)</f>
        <v>56</v>
      </c>
      <c r="AV8" s="9">
        <f>SUMPRODUCT((MONTH(Spending!$A$2:$A$276)=12)*(Spending!$D$2:$D$276="Medical")*Spending!$C$2:$C$276)</f>
        <v>49.83</v>
      </c>
      <c r="AW8" s="9">
        <f t="shared" si="11"/>
        <v>-54.41</v>
      </c>
    </row>
    <row r="9" spans="1:49" x14ac:dyDescent="0.25">
      <c r="A9" s="2" t="s">
        <v>15</v>
      </c>
      <c r="B9" s="9">
        <v>0</v>
      </c>
      <c r="C9" s="9">
        <f>SUMPRODUCT((MONTH(Funding!$A$2:$A$27)=1)*Funding!K$2:K$27)</f>
        <v>222</v>
      </c>
      <c r="D9" s="9">
        <f>SUMPRODUCT((MONTH(Spending!$A$2:$A$276)=1)*(Spending!$D$2:$D$276="Dining Out")*Spending!$C$2:$C$276)</f>
        <v>149.24</v>
      </c>
      <c r="E9" s="9">
        <f t="shared" si="0"/>
        <v>72.759999999999991</v>
      </c>
      <c r="F9" s="9">
        <f>IF(Envelopes!$D$9="Yes",E9,0)</f>
        <v>0</v>
      </c>
      <c r="G9" s="9">
        <f>SUMPRODUCT((MONTH(Funding!$A$2:$A$27)=2)*Funding!K$2:K$27)</f>
        <v>148</v>
      </c>
      <c r="H9" s="9">
        <f>SUMPRODUCT((MONTH(Spending!$A$2:$A$276)=2)*(Spending!$D$2:$D$276="Dining Out")*Spending!$C$2:$C$276)</f>
        <v>176.01</v>
      </c>
      <c r="I9" s="9">
        <f t="shared" si="1"/>
        <v>-28.009999999999991</v>
      </c>
      <c r="J9" s="9">
        <f>IF(Envelopes!$D$9="Yes",I9,0)</f>
        <v>0</v>
      </c>
      <c r="K9" s="9">
        <f>SUMPRODUCT((MONTH(Funding!$A$2:$A$27)=3)*Funding!K$2:K$27)</f>
        <v>158</v>
      </c>
      <c r="L9" s="9">
        <f>SUMPRODUCT((MONTH(Spending!$A$2:$A$276)=3)*(Spending!$D$2:$D$276="Dining Out")*Spending!$C$2:$C$276)</f>
        <v>125.07</v>
      </c>
      <c r="M9" s="9">
        <f t="shared" si="2"/>
        <v>32.930000000000007</v>
      </c>
      <c r="N9" s="9">
        <f>IF(Envelopes!$D$9="Yes",M9,0)</f>
        <v>0</v>
      </c>
      <c r="O9" s="9">
        <f>SUMPRODUCT((MONTH(Funding!$A$2:$A$27)=4)*Funding!K$2:K$27)</f>
        <v>162</v>
      </c>
      <c r="P9" s="9">
        <f>SUMPRODUCT((MONTH(Spending!$A$2:$A$276)=4)*(Spending!$D$2:$D$276="Dining Out")*Spending!$C$2:$C$276)</f>
        <v>135.53</v>
      </c>
      <c r="Q9" s="9">
        <f t="shared" si="3"/>
        <v>26.47</v>
      </c>
      <c r="R9" s="9">
        <f>IF(Envelopes!$D$9="Yes",Q9,0)</f>
        <v>0</v>
      </c>
      <c r="S9" s="9">
        <f>SUMPRODUCT((MONTH(Funding!$A$2:$A$27)=5)*Funding!K$2:K$27)</f>
        <v>152</v>
      </c>
      <c r="T9" s="9">
        <f>SUMPRODUCT((MONTH(Spending!$A$2:$A$276)=5)*(Spending!$D$2:$D$276="Dining Out")*Spending!$C$2:$C$276)</f>
        <v>154.54999999999998</v>
      </c>
      <c r="U9" s="9">
        <f t="shared" si="4"/>
        <v>-2.5499999999999829</v>
      </c>
      <c r="V9" s="9">
        <f>IF(Envelopes!$D$9="Yes",U9,0)</f>
        <v>0</v>
      </c>
      <c r="W9" s="9">
        <f>SUMPRODUCT((MONTH(Funding!$A$2:$A$27)=6)*Funding!K$2:K$27)</f>
        <v>131</v>
      </c>
      <c r="X9" s="9">
        <f>SUMPRODUCT((MONTH(Spending!$A$2:$A$276)=6)*(Spending!$D$2:$D$276="Dining Out")*Spending!$C$2:$C$276)</f>
        <v>168.26999999999998</v>
      </c>
      <c r="Y9" s="9">
        <f t="shared" si="5"/>
        <v>-37.269999999999982</v>
      </c>
      <c r="Z9" s="9">
        <f>IF(Envelopes!$D$9="Yes",Y9,0)</f>
        <v>0</v>
      </c>
      <c r="AA9" s="9">
        <f>SUMPRODUCT((MONTH(Funding!$A$2:$A$27)=7)*Funding!K$2:K$27)</f>
        <v>154</v>
      </c>
      <c r="AB9" s="9">
        <f>SUMPRODUCT((MONTH(Spending!$A$2:$A$276)=7)*(Spending!$D$2:$D$276="Dining Out")*Spending!$C$2:$C$276)</f>
        <v>142.74</v>
      </c>
      <c r="AC9" s="9">
        <f t="shared" si="6"/>
        <v>11.259999999999991</v>
      </c>
      <c r="AD9" s="9">
        <f>IF(Envelopes!$D$9="Yes",AC9,0)</f>
        <v>0</v>
      </c>
      <c r="AE9" s="9">
        <f>SUMPRODUCT((MONTH(Funding!$A$2:$A$27)=8)*Funding!K$2:K$27)</f>
        <v>218</v>
      </c>
      <c r="AF9" s="9">
        <f>SUMPRODUCT((MONTH(Spending!$A$2:$A$276)=8)*(Spending!$D$2:$D$276="Dining Out")*Spending!$C$2:$C$276)</f>
        <v>168.31</v>
      </c>
      <c r="AG9" s="9">
        <f t="shared" si="7"/>
        <v>49.69</v>
      </c>
      <c r="AH9" s="9">
        <f>IF(Envelopes!$D$9="Yes",AG9,0)</f>
        <v>0</v>
      </c>
      <c r="AI9" s="9">
        <f>SUMPRODUCT((MONTH(Funding!$A$2:$A$27)=9)*Funding!K$2:K$27)</f>
        <v>139</v>
      </c>
      <c r="AJ9" s="9">
        <f>SUMPRODUCT((MONTH(Spending!$A$2:$A$276)=9)*(Spending!$D$2:$D$276="Dining Out")*Spending!$C$2:$C$276)</f>
        <v>148.54</v>
      </c>
      <c r="AK9" s="9">
        <f t="shared" si="8"/>
        <v>-9.539999999999992</v>
      </c>
      <c r="AL9" s="9">
        <f>IF(Envelopes!$D$9="Yes",AK9,0)</f>
        <v>0</v>
      </c>
      <c r="AM9" s="9">
        <f>SUMPRODUCT((MONTH(Funding!$A$2:$A$27)=10)*Funding!K$2:K$27)</f>
        <v>162</v>
      </c>
      <c r="AN9" s="9">
        <f>SUMPRODUCT((MONTH(Spending!$A$2:$A$276)=10)*(Spending!$D$2:$D$276="Dining Out")*Spending!$C$2:$C$276)</f>
        <v>154.20999999999998</v>
      </c>
      <c r="AO9" s="9">
        <f t="shared" si="9"/>
        <v>7.7900000000000205</v>
      </c>
      <c r="AP9" s="9">
        <f>IF(Envelopes!$D$9="Yes",AO9,0)</f>
        <v>0</v>
      </c>
      <c r="AQ9" s="9">
        <f>SUMPRODUCT((MONTH(Funding!$A$2:$A$27)=11)*Funding!K$2:K$27)</f>
        <v>159</v>
      </c>
      <c r="AR9" s="9">
        <f>SUMPRODUCT((MONTH(Spending!$A$2:$A$276)=11)*(Spending!$D$2:$D$276="Dining Out")*Spending!$C$2:$C$276)</f>
        <v>155.82999999999998</v>
      </c>
      <c r="AS9" s="9">
        <f t="shared" si="10"/>
        <v>3.1700000000000159</v>
      </c>
      <c r="AT9" s="9">
        <f>IF(Envelopes!$D$9="Yes",AS9,0)</f>
        <v>0</v>
      </c>
      <c r="AU9" s="9">
        <f>SUMPRODUCT((MONTH(Funding!$A$2:$A$27)=12)*Funding!K$2:K$27)</f>
        <v>132</v>
      </c>
      <c r="AV9" s="9">
        <f>SUMPRODUCT((MONTH(Spending!$A$2:$A$276)=12)*(Spending!$D$2:$D$276="Dining Out")*Spending!$C$2:$C$276)</f>
        <v>160.4</v>
      </c>
      <c r="AW9" s="9">
        <f t="shared" si="11"/>
        <v>-28.400000000000006</v>
      </c>
    </row>
    <row r="10" spans="1:49" x14ac:dyDescent="0.25">
      <c r="A10" s="2" t="s">
        <v>18</v>
      </c>
      <c r="B10" s="9">
        <v>0</v>
      </c>
      <c r="C10" s="9">
        <f>SUMPRODUCT((MONTH(Funding!$A$2:$A$27)=1)*Funding!L$2:L$27)</f>
        <v>57</v>
      </c>
      <c r="D10" s="9">
        <f>SUMPRODUCT((MONTH(Spending!$A$2:$A$276)=1)*(Spending!$D$2:$D$276="Coffee")*Spending!$C$2:$C$276)</f>
        <v>45.879999999999995</v>
      </c>
      <c r="E10" s="9">
        <f t="shared" si="0"/>
        <v>11.120000000000005</v>
      </c>
      <c r="F10" s="9">
        <f>IF(Envelopes!$D$10="Yes",E10,0)</f>
        <v>0</v>
      </c>
      <c r="G10" s="9">
        <f>SUMPRODUCT((MONTH(Funding!$A$2:$A$27)=2)*Funding!L$2:L$27)</f>
        <v>46</v>
      </c>
      <c r="H10" s="9">
        <f>SUMPRODUCT((MONTH(Spending!$A$2:$A$276)=2)*(Spending!$D$2:$D$276="Coffee")*Spending!$C$2:$C$276)</f>
        <v>33.39</v>
      </c>
      <c r="I10" s="9">
        <f t="shared" si="1"/>
        <v>12.61</v>
      </c>
      <c r="J10" s="9">
        <f>IF(Envelopes!$D$10="Yes",I10,0)</f>
        <v>0</v>
      </c>
      <c r="K10" s="9">
        <f>SUMPRODUCT((MONTH(Funding!$A$2:$A$27)=3)*Funding!L$2:L$27)</f>
        <v>30</v>
      </c>
      <c r="L10" s="9">
        <f>SUMPRODUCT((MONTH(Spending!$A$2:$A$276)=3)*(Spending!$D$2:$D$276="Coffee")*Spending!$C$2:$C$276)</f>
        <v>45.84</v>
      </c>
      <c r="M10" s="9">
        <f t="shared" si="2"/>
        <v>-15.840000000000003</v>
      </c>
      <c r="N10" s="9">
        <f>IF(Envelopes!$D$10="Yes",M10,0)</f>
        <v>0</v>
      </c>
      <c r="O10" s="9">
        <f>SUMPRODUCT((MONTH(Funding!$A$2:$A$27)=4)*Funding!L$2:L$27)</f>
        <v>42</v>
      </c>
      <c r="P10" s="9">
        <f>SUMPRODUCT((MONTH(Spending!$A$2:$A$276)=4)*(Spending!$D$2:$D$276="Coffee")*Spending!$C$2:$C$276)</f>
        <v>37.730000000000004</v>
      </c>
      <c r="Q10" s="9">
        <f t="shared" si="3"/>
        <v>4.269999999999996</v>
      </c>
      <c r="R10" s="9">
        <f>IF(Envelopes!$D$10="Yes",Q10,0)</f>
        <v>0</v>
      </c>
      <c r="S10" s="9">
        <f>SUMPRODUCT((MONTH(Funding!$A$2:$A$27)=5)*Funding!L$2:L$27)</f>
        <v>46</v>
      </c>
      <c r="T10" s="9">
        <f>SUMPRODUCT((MONTH(Spending!$A$2:$A$276)=5)*(Spending!$D$2:$D$276="Coffee")*Spending!$C$2:$C$276)</f>
        <v>43.78</v>
      </c>
      <c r="U10" s="9">
        <f t="shared" si="4"/>
        <v>2.2199999999999989</v>
      </c>
      <c r="V10" s="9">
        <f>IF(Envelopes!$D$10="Yes",U10,0)</f>
        <v>0</v>
      </c>
      <c r="W10" s="9">
        <f>SUMPRODUCT((MONTH(Funding!$A$2:$A$27)=6)*Funding!L$2:L$27)</f>
        <v>29</v>
      </c>
      <c r="X10" s="9">
        <f>SUMPRODUCT((MONTH(Spending!$A$2:$A$276)=6)*(Spending!$D$2:$D$276="Coffee")*Spending!$C$2:$C$276)</f>
        <v>46.43</v>
      </c>
      <c r="Y10" s="9">
        <f t="shared" si="5"/>
        <v>-17.43</v>
      </c>
      <c r="Z10" s="9">
        <f>IF(Envelopes!$D$10="Yes",Y10,0)</f>
        <v>0</v>
      </c>
      <c r="AA10" s="9">
        <f>SUMPRODUCT((MONTH(Funding!$A$2:$A$27)=7)*Funding!L$2:L$27)</f>
        <v>50</v>
      </c>
      <c r="AB10" s="9">
        <f>SUMPRODUCT((MONTH(Spending!$A$2:$A$276)=7)*(Spending!$D$2:$D$276="Coffee")*Spending!$C$2:$C$276)</f>
        <v>44.35</v>
      </c>
      <c r="AC10" s="9">
        <f t="shared" si="6"/>
        <v>5.6499999999999986</v>
      </c>
      <c r="AD10" s="9">
        <f>IF(Envelopes!$D$10="Yes",AC10,0)</f>
        <v>0</v>
      </c>
      <c r="AE10" s="9">
        <f>SUMPRODUCT((MONTH(Funding!$A$2:$A$27)=8)*Funding!L$2:L$27)</f>
        <v>47</v>
      </c>
      <c r="AF10" s="9">
        <f>SUMPRODUCT((MONTH(Spending!$A$2:$A$276)=8)*(Spending!$D$2:$D$276="Coffee")*Spending!$C$2:$C$276)</f>
        <v>43.43</v>
      </c>
      <c r="AG10" s="9">
        <f t="shared" si="7"/>
        <v>3.5700000000000003</v>
      </c>
      <c r="AH10" s="9">
        <f>IF(Envelopes!$D$10="Yes",AG10,0)</f>
        <v>0</v>
      </c>
      <c r="AI10" s="9">
        <f>SUMPRODUCT((MONTH(Funding!$A$2:$A$27)=9)*Funding!L$2:L$27)</f>
        <v>31</v>
      </c>
      <c r="AJ10" s="9">
        <f>SUMPRODUCT((MONTH(Spending!$A$2:$A$276)=9)*(Spending!$D$2:$D$276="Coffee")*Spending!$C$2:$C$276)</f>
        <v>36.049999999999997</v>
      </c>
      <c r="AK10" s="9">
        <f t="shared" si="8"/>
        <v>-5.0499999999999972</v>
      </c>
      <c r="AL10" s="9">
        <f>IF(Envelopes!$D$10="Yes",AK10,0)</f>
        <v>0</v>
      </c>
      <c r="AM10" s="9">
        <f>SUMPRODUCT((MONTH(Funding!$A$2:$A$27)=10)*Funding!L$2:L$27)</f>
        <v>41</v>
      </c>
      <c r="AN10" s="9">
        <f>SUMPRODUCT((MONTH(Spending!$A$2:$A$276)=10)*(Spending!$D$2:$D$276="Coffee")*Spending!$C$2:$C$276)</f>
        <v>37.99</v>
      </c>
      <c r="AO10" s="9">
        <f t="shared" si="9"/>
        <v>3.009999999999998</v>
      </c>
      <c r="AP10" s="9">
        <f>IF(Envelopes!$D$10="Yes",AO10,0)</f>
        <v>0</v>
      </c>
      <c r="AQ10" s="9">
        <f>SUMPRODUCT((MONTH(Funding!$A$2:$A$27)=11)*Funding!L$2:L$27)</f>
        <v>28</v>
      </c>
      <c r="AR10" s="9">
        <f>SUMPRODUCT((MONTH(Spending!$A$2:$A$276)=11)*(Spending!$D$2:$D$276="Coffee")*Spending!$C$2:$C$276)</f>
        <v>46.660000000000004</v>
      </c>
      <c r="AS10" s="9">
        <f t="shared" si="10"/>
        <v>-18.660000000000004</v>
      </c>
      <c r="AT10" s="9">
        <f>IF(Envelopes!$D$10="Yes",AS10,0)</f>
        <v>0</v>
      </c>
      <c r="AU10" s="9">
        <f>SUMPRODUCT((MONTH(Funding!$A$2:$A$27)=12)*Funding!L$2:L$27)</f>
        <v>42</v>
      </c>
      <c r="AV10" s="9">
        <f>SUMPRODUCT((MONTH(Spending!$A$2:$A$276)=12)*(Spending!$D$2:$D$276="Coffee")*Spending!$C$2:$C$276)</f>
        <v>41.91</v>
      </c>
      <c r="AW10" s="9">
        <f t="shared" si="11"/>
        <v>9.0000000000003411E-2</v>
      </c>
    </row>
    <row r="11" spans="1:49" x14ac:dyDescent="0.25">
      <c r="A11" s="2" t="s">
        <v>19</v>
      </c>
      <c r="B11" s="9">
        <v>0</v>
      </c>
      <c r="C11" s="9">
        <f>SUMPRODUCT((MONTH(Funding!$A$2:$A$27)=1)*Funding!M$2:M$27)</f>
        <v>86</v>
      </c>
      <c r="D11" s="9">
        <f>SUMPRODUCT((MONTH(Spending!$A$2:$A$276)=1)*(Spending!$D$2:$D$276="Entertainment")*Spending!$C$2:$C$276)</f>
        <v>74.89</v>
      </c>
      <c r="E11" s="9">
        <f t="shared" si="0"/>
        <v>11.11</v>
      </c>
      <c r="F11" s="9">
        <f>IF(Envelopes!$D$11="Yes",E11,0)</f>
        <v>0</v>
      </c>
      <c r="G11" s="9">
        <f>SUMPRODUCT((MONTH(Funding!$A$2:$A$27)=2)*Funding!M$2:M$27)</f>
        <v>75</v>
      </c>
      <c r="H11" s="9">
        <f>SUMPRODUCT((MONTH(Spending!$A$2:$A$276)=2)*(Spending!$D$2:$D$276="Entertainment")*Spending!$C$2:$C$276)</f>
        <v>71.72</v>
      </c>
      <c r="I11" s="9">
        <f t="shared" si="1"/>
        <v>3.2800000000000011</v>
      </c>
      <c r="J11" s="9">
        <f>IF(Envelopes!$D$11="Yes",I11,0)</f>
        <v>0</v>
      </c>
      <c r="K11" s="9">
        <f>SUMPRODUCT((MONTH(Funding!$A$2:$A$27)=3)*Funding!M$2:M$27)</f>
        <v>83</v>
      </c>
      <c r="L11" s="9">
        <f>SUMPRODUCT((MONTH(Spending!$A$2:$A$276)=3)*(Spending!$D$2:$D$276="Entertainment")*Spending!$C$2:$C$276)</f>
        <v>73.98</v>
      </c>
      <c r="M11" s="9">
        <f t="shared" si="2"/>
        <v>9.019999999999996</v>
      </c>
      <c r="N11" s="9">
        <f>IF(Envelopes!$D$11="Yes",M11,0)</f>
        <v>0</v>
      </c>
      <c r="O11" s="9">
        <f>SUMPRODUCT((MONTH(Funding!$A$2:$A$27)=4)*Funding!M$2:M$27)</f>
        <v>81</v>
      </c>
      <c r="P11" s="9">
        <f>SUMPRODUCT((MONTH(Spending!$A$2:$A$276)=4)*(Spending!$D$2:$D$276="Entertainment")*Spending!$C$2:$C$276)</f>
        <v>92.51</v>
      </c>
      <c r="Q11" s="9">
        <f t="shared" si="3"/>
        <v>-11.510000000000005</v>
      </c>
      <c r="R11" s="9">
        <f>IF(Envelopes!$D$11="Yes",Q11,0)</f>
        <v>0</v>
      </c>
      <c r="S11" s="9">
        <f>SUMPRODUCT((MONTH(Funding!$A$2:$A$27)=5)*Funding!M$2:M$27)</f>
        <v>76</v>
      </c>
      <c r="T11" s="9">
        <f>SUMPRODUCT((MONTH(Spending!$A$2:$A$276)=5)*(Spending!$D$2:$D$276="Entertainment")*Spending!$C$2:$C$276)</f>
        <v>71.12</v>
      </c>
      <c r="U11" s="9">
        <f t="shared" si="4"/>
        <v>4.8799999999999955</v>
      </c>
      <c r="V11" s="9">
        <f>IF(Envelopes!$D$11="Yes",U11,0)</f>
        <v>0</v>
      </c>
      <c r="W11" s="9">
        <f>SUMPRODUCT((MONTH(Funding!$A$2:$A$27)=6)*Funding!M$2:M$27)</f>
        <v>71</v>
      </c>
      <c r="X11" s="9">
        <f>SUMPRODUCT((MONTH(Spending!$A$2:$A$276)=6)*(Spending!$D$2:$D$276="Entertainment")*Spending!$C$2:$C$276)</f>
        <v>89.75</v>
      </c>
      <c r="Y11" s="9">
        <f t="shared" si="5"/>
        <v>-18.75</v>
      </c>
      <c r="Z11" s="9">
        <f>IF(Envelopes!$D$11="Yes",Y11,0)</f>
        <v>0</v>
      </c>
      <c r="AA11" s="9">
        <f>SUMPRODUCT((MONTH(Funding!$A$2:$A$27)=7)*Funding!M$2:M$27)</f>
        <v>65</v>
      </c>
      <c r="AB11" s="9">
        <f>SUMPRODUCT((MONTH(Spending!$A$2:$A$276)=7)*(Spending!$D$2:$D$276="Entertainment")*Spending!$C$2:$C$276)</f>
        <v>56.28</v>
      </c>
      <c r="AC11" s="9">
        <f t="shared" si="6"/>
        <v>8.7199999999999989</v>
      </c>
      <c r="AD11" s="9">
        <f>IF(Envelopes!$D$11="Yes",AC11,0)</f>
        <v>0</v>
      </c>
      <c r="AE11" s="9">
        <f>SUMPRODUCT((MONTH(Funding!$A$2:$A$27)=8)*Funding!M$2:M$27)</f>
        <v>119</v>
      </c>
      <c r="AF11" s="9">
        <f>SUMPRODUCT((MONTH(Spending!$A$2:$A$276)=8)*(Spending!$D$2:$D$276="Entertainment")*Spending!$C$2:$C$276)</f>
        <v>64.91</v>
      </c>
      <c r="AG11" s="9">
        <f t="shared" si="7"/>
        <v>54.09</v>
      </c>
      <c r="AH11" s="9">
        <f>IF(Envelopes!$D$11="Yes",AG11,0)</f>
        <v>0</v>
      </c>
      <c r="AI11" s="9">
        <f>SUMPRODUCT((MONTH(Funding!$A$2:$A$27)=9)*Funding!M$2:M$27)</f>
        <v>68</v>
      </c>
      <c r="AJ11" s="9">
        <f>SUMPRODUCT((MONTH(Spending!$A$2:$A$276)=9)*(Spending!$D$2:$D$276="Entertainment")*Spending!$C$2:$C$276)</f>
        <v>89.56</v>
      </c>
      <c r="AK11" s="9">
        <f t="shared" si="8"/>
        <v>-21.560000000000002</v>
      </c>
      <c r="AL11" s="9">
        <f>IF(Envelopes!$D$11="Yes",AK11,0)</f>
        <v>0</v>
      </c>
      <c r="AM11" s="9">
        <f>SUMPRODUCT((MONTH(Funding!$A$2:$A$27)=10)*Funding!M$2:M$27)</f>
        <v>78</v>
      </c>
      <c r="AN11" s="9">
        <f>SUMPRODUCT((MONTH(Spending!$A$2:$A$276)=10)*(Spending!$D$2:$D$276="Entertainment")*Spending!$C$2:$C$276)</f>
        <v>103.22</v>
      </c>
      <c r="AO11" s="9">
        <f t="shared" si="9"/>
        <v>-25.22</v>
      </c>
      <c r="AP11" s="9">
        <f>IF(Envelopes!$D$11="Yes",AO11,0)</f>
        <v>0</v>
      </c>
      <c r="AQ11" s="9">
        <f>SUMPRODUCT((MONTH(Funding!$A$2:$A$27)=11)*Funding!M$2:M$27)</f>
        <v>76</v>
      </c>
      <c r="AR11" s="9">
        <f>SUMPRODUCT((MONTH(Spending!$A$2:$A$276)=11)*(Spending!$D$2:$D$276="Entertainment")*Spending!$C$2:$C$276)</f>
        <v>91.759999999999991</v>
      </c>
      <c r="AS11" s="9">
        <f t="shared" si="10"/>
        <v>-15.759999999999991</v>
      </c>
      <c r="AT11" s="9">
        <f>IF(Envelopes!$D$11="Yes",AS11,0)</f>
        <v>0</v>
      </c>
      <c r="AU11" s="9">
        <f>SUMPRODUCT((MONTH(Funding!$A$2:$A$27)=12)*Funding!M$2:M$27)</f>
        <v>73</v>
      </c>
      <c r="AV11" s="9">
        <f>SUMPRODUCT((MONTH(Spending!$A$2:$A$276)=12)*(Spending!$D$2:$D$276="Entertainment")*Spending!$C$2:$C$276)</f>
        <v>66.7</v>
      </c>
      <c r="AW11" s="9">
        <f t="shared" si="11"/>
        <v>6.2999999999999972</v>
      </c>
    </row>
    <row r="12" spans="1:49" x14ac:dyDescent="0.25">
      <c r="A12" s="2" t="s">
        <v>20</v>
      </c>
      <c r="B12" s="9">
        <v>0</v>
      </c>
      <c r="C12" s="9">
        <f>SUMPRODUCT((MONTH(Funding!$A$2:$A$27)=1)*Funding!N$2:N$27)</f>
        <v>103</v>
      </c>
      <c r="D12" s="9">
        <f>SUMPRODUCT((MONTH(Spending!$A$2:$A$276)=1)*(Spending!$D$2:$D$276="Clothing")*Spending!$C$2:$C$276)</f>
        <v>90.45</v>
      </c>
      <c r="E12" s="9">
        <f t="shared" si="0"/>
        <v>12.549999999999997</v>
      </c>
      <c r="F12" s="9">
        <f>IF(Envelopes!$D$12="Yes",E12,0)</f>
        <v>0</v>
      </c>
      <c r="G12" s="9">
        <f>SUMPRODUCT((MONTH(Funding!$A$2:$A$27)=2)*Funding!N$2:N$27)</f>
        <v>63</v>
      </c>
      <c r="H12" s="9">
        <f>SUMPRODUCT((MONTH(Spending!$A$2:$A$276)=2)*(Spending!$D$2:$D$276="Clothing")*Spending!$C$2:$C$276)</f>
        <v>76.97</v>
      </c>
      <c r="I12" s="9">
        <f t="shared" si="1"/>
        <v>-13.969999999999999</v>
      </c>
      <c r="J12" s="9">
        <f>IF(Envelopes!$D$12="Yes",I12,0)</f>
        <v>0</v>
      </c>
      <c r="K12" s="9">
        <f>SUMPRODUCT((MONTH(Funding!$A$2:$A$27)=3)*Funding!N$2:N$27)</f>
        <v>75</v>
      </c>
      <c r="L12" s="9">
        <f>SUMPRODUCT((MONTH(Spending!$A$2:$A$276)=3)*(Spending!$D$2:$D$276="Clothing")*Spending!$C$2:$C$276)</f>
        <v>51.71</v>
      </c>
      <c r="M12" s="9">
        <f t="shared" si="2"/>
        <v>23.29</v>
      </c>
      <c r="N12" s="9">
        <f>IF(Envelopes!$D$12="Yes",M12,0)</f>
        <v>0</v>
      </c>
      <c r="O12" s="9">
        <f>SUMPRODUCT((MONTH(Funding!$A$2:$A$27)=4)*Funding!N$2:N$27)</f>
        <v>64</v>
      </c>
      <c r="P12" s="9">
        <f>SUMPRODUCT((MONTH(Spending!$A$2:$A$276)=4)*(Spending!$D$2:$D$276="Clothing")*Spending!$C$2:$C$276)</f>
        <v>84.45</v>
      </c>
      <c r="Q12" s="9">
        <f t="shared" si="3"/>
        <v>-20.450000000000003</v>
      </c>
      <c r="R12" s="9">
        <f>IF(Envelopes!$D$12="Yes",Q12,0)</f>
        <v>0</v>
      </c>
      <c r="S12" s="9">
        <f>SUMPRODUCT((MONTH(Funding!$A$2:$A$27)=5)*Funding!N$2:N$27)</f>
        <v>66</v>
      </c>
      <c r="T12" s="9">
        <f>SUMPRODUCT((MONTH(Spending!$A$2:$A$276)=5)*(Spending!$D$2:$D$276="Clothing")*Spending!$C$2:$C$276)</f>
        <v>56.91</v>
      </c>
      <c r="U12" s="9">
        <f t="shared" si="4"/>
        <v>9.0900000000000034</v>
      </c>
      <c r="V12" s="9">
        <f>IF(Envelopes!$D$12="Yes",U12,0)</f>
        <v>0</v>
      </c>
      <c r="W12" s="9">
        <f>SUMPRODUCT((MONTH(Funding!$A$2:$A$27)=6)*Funding!N$2:N$27)</f>
        <v>55</v>
      </c>
      <c r="X12" s="9">
        <f>SUMPRODUCT((MONTH(Spending!$A$2:$A$276)=6)*(Spending!$D$2:$D$276="Clothing")*Spending!$C$2:$C$276)</f>
        <v>50.37</v>
      </c>
      <c r="Y12" s="9">
        <f t="shared" si="5"/>
        <v>4.6300000000000026</v>
      </c>
      <c r="Z12" s="9">
        <f>IF(Envelopes!$D$12="Yes",Y12,0)</f>
        <v>0</v>
      </c>
      <c r="AA12" s="9">
        <f>SUMPRODUCT((MONTH(Funding!$A$2:$A$27)=7)*Funding!N$2:N$27)</f>
        <v>74</v>
      </c>
      <c r="AB12" s="9">
        <f>SUMPRODUCT((MONTH(Spending!$A$2:$A$276)=7)*(Spending!$D$2:$D$276="Clothing")*Spending!$C$2:$C$276)</f>
        <v>53.2</v>
      </c>
      <c r="AC12" s="9">
        <f t="shared" si="6"/>
        <v>20.799999999999997</v>
      </c>
      <c r="AD12" s="9">
        <f>IF(Envelopes!$D$12="Yes",AC12,0)</f>
        <v>0</v>
      </c>
      <c r="AE12" s="9">
        <f>SUMPRODUCT((MONTH(Funding!$A$2:$A$27)=8)*Funding!N$2:N$27)</f>
        <v>86</v>
      </c>
      <c r="AF12" s="9">
        <f>SUMPRODUCT((MONTH(Spending!$A$2:$A$276)=8)*(Spending!$D$2:$D$276="Clothing")*Spending!$C$2:$C$276)</f>
        <v>75.78</v>
      </c>
      <c r="AG12" s="9">
        <f t="shared" si="7"/>
        <v>10.219999999999999</v>
      </c>
      <c r="AH12" s="9">
        <f>IF(Envelopes!$D$12="Yes",AG12,0)</f>
        <v>0</v>
      </c>
      <c r="AI12" s="9">
        <f>SUMPRODUCT((MONTH(Funding!$A$2:$A$27)=9)*Funding!N$2:N$27)</f>
        <v>77</v>
      </c>
      <c r="AJ12" s="9">
        <f>SUMPRODUCT((MONTH(Spending!$A$2:$A$276)=9)*(Spending!$D$2:$D$276="Clothing")*Spending!$C$2:$C$276)</f>
        <v>88.92</v>
      </c>
      <c r="AK12" s="9">
        <f t="shared" si="8"/>
        <v>-11.920000000000002</v>
      </c>
      <c r="AL12" s="9">
        <f>IF(Envelopes!$D$12="Yes",AK12,0)</f>
        <v>0</v>
      </c>
      <c r="AM12" s="9">
        <f>SUMPRODUCT((MONTH(Funding!$A$2:$A$27)=10)*Funding!N$2:N$27)</f>
        <v>61</v>
      </c>
      <c r="AN12" s="9">
        <f>SUMPRODUCT((MONTH(Spending!$A$2:$A$276)=10)*(Spending!$D$2:$D$276="Clothing")*Spending!$C$2:$C$276)</f>
        <v>76.53</v>
      </c>
      <c r="AO12" s="9">
        <f t="shared" si="9"/>
        <v>-15.530000000000001</v>
      </c>
      <c r="AP12" s="9">
        <f>IF(Envelopes!$D$12="Yes",AO12,0)</f>
        <v>0</v>
      </c>
      <c r="AQ12" s="9">
        <f>SUMPRODUCT((MONTH(Funding!$A$2:$A$27)=11)*Funding!N$2:N$27)</f>
        <v>57</v>
      </c>
      <c r="AR12" s="9">
        <f>SUMPRODUCT((MONTH(Spending!$A$2:$A$276)=11)*(Spending!$D$2:$D$276="Clothing")*Spending!$C$2:$C$276)</f>
        <v>78.739999999999995</v>
      </c>
      <c r="AS12" s="9">
        <f t="shared" si="10"/>
        <v>-21.739999999999995</v>
      </c>
      <c r="AT12" s="9">
        <f>IF(Envelopes!$D$12="Yes",AS12,0)</f>
        <v>0</v>
      </c>
      <c r="AU12" s="9">
        <f>SUMPRODUCT((MONTH(Funding!$A$2:$A$27)=12)*Funding!N$2:N$27)</f>
        <v>57</v>
      </c>
      <c r="AV12" s="9">
        <f>SUMPRODUCT((MONTH(Spending!$A$2:$A$276)=12)*(Spending!$D$2:$D$276="Clothing")*Spending!$C$2:$C$276)</f>
        <v>72.47999999999999</v>
      </c>
      <c r="AW12" s="9">
        <f t="shared" si="11"/>
        <v>-15.47999999999999</v>
      </c>
    </row>
    <row r="13" spans="1:49" x14ac:dyDescent="0.25">
      <c r="A13" s="2" t="s">
        <v>21</v>
      </c>
      <c r="B13" s="9">
        <v>0</v>
      </c>
      <c r="C13" s="9">
        <f>SUMPRODUCT((MONTH(Funding!$A$2:$A$27)=1)*Funding!O$2:O$27)</f>
        <v>37</v>
      </c>
      <c r="D13" s="9">
        <f>SUMPRODUCT((MONTH(Spending!$A$2:$A$276)=1)*(Spending!$D$2:$D$276="Personal Care")*Spending!$C$2:$C$276)</f>
        <v>28.78</v>
      </c>
      <c r="E13" s="9">
        <f t="shared" si="0"/>
        <v>8.2199999999999989</v>
      </c>
      <c r="F13" s="9">
        <f>IF(Envelopes!$D$13="Yes",E13,0)</f>
        <v>0</v>
      </c>
      <c r="G13" s="9">
        <f>SUMPRODUCT((MONTH(Funding!$A$2:$A$27)=2)*Funding!O$2:O$27)</f>
        <v>23</v>
      </c>
      <c r="H13" s="9">
        <f>SUMPRODUCT((MONTH(Spending!$A$2:$A$276)=2)*(Spending!$D$2:$D$276="Personal Care")*Spending!$C$2:$C$276)</f>
        <v>36.68</v>
      </c>
      <c r="I13" s="9">
        <f t="shared" si="1"/>
        <v>-13.68</v>
      </c>
      <c r="J13" s="9">
        <f>IF(Envelopes!$D$13="Yes",I13,0)</f>
        <v>0</v>
      </c>
      <c r="K13" s="9">
        <f>SUMPRODUCT((MONTH(Funding!$A$2:$A$27)=3)*Funding!O$2:O$27)</f>
        <v>32</v>
      </c>
      <c r="L13" s="9">
        <f>SUMPRODUCT((MONTH(Spending!$A$2:$A$276)=3)*(Spending!$D$2:$D$276="Personal Care")*Spending!$C$2:$C$276)</f>
        <v>34.590000000000003</v>
      </c>
      <c r="M13" s="9">
        <f t="shared" si="2"/>
        <v>-2.5900000000000034</v>
      </c>
      <c r="N13" s="9">
        <f>IF(Envelopes!$D$13="Yes",M13,0)</f>
        <v>0</v>
      </c>
      <c r="O13" s="9">
        <f>SUMPRODUCT((MONTH(Funding!$A$2:$A$27)=4)*Funding!O$2:O$27)</f>
        <v>36</v>
      </c>
      <c r="P13" s="9">
        <f>SUMPRODUCT((MONTH(Spending!$A$2:$A$276)=4)*(Spending!$D$2:$D$276="Personal Care")*Spending!$C$2:$C$276)</f>
        <v>47.39</v>
      </c>
      <c r="Q13" s="9">
        <f t="shared" si="3"/>
        <v>-11.39</v>
      </c>
      <c r="R13" s="9">
        <f>IF(Envelopes!$D$13="Yes",Q13,0)</f>
        <v>0</v>
      </c>
      <c r="S13" s="9">
        <f>SUMPRODUCT((MONTH(Funding!$A$2:$A$27)=5)*Funding!O$2:O$27)</f>
        <v>40</v>
      </c>
      <c r="T13" s="9">
        <f>SUMPRODUCT((MONTH(Spending!$A$2:$A$276)=5)*(Spending!$D$2:$D$276="Personal Care")*Spending!$C$2:$C$276)</f>
        <v>32.86</v>
      </c>
      <c r="U13" s="9">
        <f t="shared" si="4"/>
        <v>7.1400000000000006</v>
      </c>
      <c r="V13" s="9">
        <f>IF(Envelopes!$D$13="Yes",U13,0)</f>
        <v>0</v>
      </c>
      <c r="W13" s="9">
        <f>SUMPRODUCT((MONTH(Funding!$A$2:$A$27)=6)*Funding!O$2:O$27)</f>
        <v>47</v>
      </c>
      <c r="X13" s="9">
        <f>SUMPRODUCT((MONTH(Spending!$A$2:$A$276)=6)*(Spending!$D$2:$D$276="Personal Care")*Spending!$C$2:$C$276)</f>
        <v>22.59</v>
      </c>
      <c r="Y13" s="9">
        <f t="shared" si="5"/>
        <v>24.41</v>
      </c>
      <c r="Z13" s="9">
        <f>IF(Envelopes!$D$13="Yes",Y13,0)</f>
        <v>0</v>
      </c>
      <c r="AA13" s="9">
        <f>SUMPRODUCT((MONTH(Funding!$A$2:$A$27)=7)*Funding!O$2:O$27)</f>
        <v>36</v>
      </c>
      <c r="AB13" s="9">
        <f>SUMPRODUCT((MONTH(Spending!$A$2:$A$276)=7)*(Spending!$D$2:$D$276="Personal Care")*Spending!$C$2:$C$276)</f>
        <v>48.83</v>
      </c>
      <c r="AC13" s="9">
        <f t="shared" si="6"/>
        <v>-12.829999999999998</v>
      </c>
      <c r="AD13" s="9">
        <f>IF(Envelopes!$D$13="Yes",AC13,0)</f>
        <v>0</v>
      </c>
      <c r="AE13" s="9">
        <f>SUMPRODUCT((MONTH(Funding!$A$2:$A$27)=8)*Funding!O$2:O$27)</f>
        <v>62</v>
      </c>
      <c r="AF13" s="9">
        <f>SUMPRODUCT((MONTH(Spending!$A$2:$A$276)=8)*(Spending!$D$2:$D$276="Personal Care")*Spending!$C$2:$C$276)</f>
        <v>36.799999999999997</v>
      </c>
      <c r="AG13" s="9">
        <f t="shared" si="7"/>
        <v>25.200000000000003</v>
      </c>
      <c r="AH13" s="9">
        <f>IF(Envelopes!$D$13="Yes",AG13,0)</f>
        <v>0</v>
      </c>
      <c r="AI13" s="9">
        <f>SUMPRODUCT((MONTH(Funding!$A$2:$A$27)=9)*Funding!O$2:O$27)</f>
        <v>37</v>
      </c>
      <c r="AJ13" s="9">
        <f>SUMPRODUCT((MONTH(Spending!$A$2:$A$276)=9)*(Spending!$D$2:$D$276="Personal Care")*Spending!$C$2:$C$276)</f>
        <v>42.56</v>
      </c>
      <c r="AK13" s="9">
        <f t="shared" si="8"/>
        <v>-5.5600000000000023</v>
      </c>
      <c r="AL13" s="9">
        <f>IF(Envelopes!$D$13="Yes",AK13,0)</f>
        <v>0</v>
      </c>
      <c r="AM13" s="9">
        <f>SUMPRODUCT((MONTH(Funding!$A$2:$A$27)=10)*Funding!O$2:O$27)</f>
        <v>42</v>
      </c>
      <c r="AN13" s="9">
        <f>SUMPRODUCT((MONTH(Spending!$A$2:$A$276)=10)*(Spending!$D$2:$D$276="Personal Care")*Spending!$C$2:$C$276)</f>
        <v>36.51</v>
      </c>
      <c r="AO13" s="9">
        <f t="shared" si="9"/>
        <v>5.490000000000002</v>
      </c>
      <c r="AP13" s="9">
        <f>IF(Envelopes!$D$13="Yes",AO13,0)</f>
        <v>0</v>
      </c>
      <c r="AQ13" s="9">
        <f>SUMPRODUCT((MONTH(Funding!$A$2:$A$27)=11)*Funding!O$2:O$27)</f>
        <v>47</v>
      </c>
      <c r="AR13" s="9">
        <f>SUMPRODUCT((MONTH(Spending!$A$2:$A$276)=11)*(Spending!$D$2:$D$276="Personal Care")*Spending!$C$2:$C$276)</f>
        <v>33.39</v>
      </c>
      <c r="AS13" s="9">
        <f t="shared" si="10"/>
        <v>13.61</v>
      </c>
      <c r="AT13" s="9">
        <f>IF(Envelopes!$D$13="Yes",AS13,0)</f>
        <v>0</v>
      </c>
      <c r="AU13" s="9">
        <f>SUMPRODUCT((MONTH(Funding!$A$2:$A$27)=12)*Funding!O$2:O$27)</f>
        <v>39</v>
      </c>
      <c r="AV13" s="9">
        <f>SUMPRODUCT((MONTH(Spending!$A$2:$A$276)=12)*(Spending!$D$2:$D$276="Personal Care")*Spending!$C$2:$C$276)</f>
        <v>23.56</v>
      </c>
      <c r="AW13" s="9">
        <f t="shared" si="11"/>
        <v>15.440000000000001</v>
      </c>
    </row>
    <row r="14" spans="1:49" x14ac:dyDescent="0.25">
      <c r="A14" s="2" t="s">
        <v>22</v>
      </c>
      <c r="B14" s="9">
        <v>0</v>
      </c>
      <c r="C14" s="9">
        <f>SUMPRODUCT((MONTH(Funding!$A$2:$A$27)=1)*Funding!P$2:P$27)</f>
        <v>78</v>
      </c>
      <c r="D14" s="9">
        <f>SUMPRODUCT((MONTH(Spending!$A$2:$A$276)=1)*(Spending!$D$2:$D$276="Subscriptions")*Spending!$C$2:$C$276)</f>
        <v>53.2</v>
      </c>
      <c r="E14" s="9">
        <f t="shared" si="0"/>
        <v>24.799999999999997</v>
      </c>
      <c r="F14" s="9">
        <f>IF(Envelopes!$D$14="Yes",E14,0)</f>
        <v>0</v>
      </c>
      <c r="G14" s="9">
        <f>SUMPRODUCT((MONTH(Funding!$A$2:$A$27)=2)*Funding!P$2:P$27)</f>
        <v>56</v>
      </c>
      <c r="H14" s="9">
        <f>SUMPRODUCT((MONTH(Spending!$A$2:$A$276)=2)*(Spending!$D$2:$D$276="Subscriptions")*Spending!$C$2:$C$276)</f>
        <v>63.620000000000005</v>
      </c>
      <c r="I14" s="9">
        <f t="shared" si="1"/>
        <v>-7.6200000000000045</v>
      </c>
      <c r="J14" s="9">
        <f>IF(Envelopes!$D$14="Yes",I14,0)</f>
        <v>0</v>
      </c>
      <c r="K14" s="9">
        <f>SUMPRODUCT((MONTH(Funding!$A$2:$A$27)=3)*Funding!P$2:P$27)</f>
        <v>32</v>
      </c>
      <c r="L14" s="9">
        <f>SUMPRODUCT((MONTH(Spending!$A$2:$A$276)=3)*(Spending!$D$2:$D$276="Subscriptions")*Spending!$C$2:$C$276)</f>
        <v>41.98</v>
      </c>
      <c r="M14" s="9">
        <f t="shared" si="2"/>
        <v>-9.9799999999999969</v>
      </c>
      <c r="N14" s="9">
        <f>IF(Envelopes!$D$14="Yes",M14,0)</f>
        <v>0</v>
      </c>
      <c r="O14" s="9">
        <f>SUMPRODUCT((MONTH(Funding!$A$2:$A$27)=4)*Funding!P$2:P$27)</f>
        <v>39</v>
      </c>
      <c r="P14" s="9">
        <f>SUMPRODUCT((MONTH(Spending!$A$2:$A$276)=4)*(Spending!$D$2:$D$276="Subscriptions")*Spending!$C$2:$C$276)</f>
        <v>44.82</v>
      </c>
      <c r="Q14" s="9">
        <f t="shared" si="3"/>
        <v>-5.82</v>
      </c>
      <c r="R14" s="9">
        <f>IF(Envelopes!$D$14="Yes",Q14,0)</f>
        <v>0</v>
      </c>
      <c r="S14" s="9">
        <f>SUMPRODUCT((MONTH(Funding!$A$2:$A$27)=5)*Funding!P$2:P$27)</f>
        <v>41</v>
      </c>
      <c r="T14" s="9">
        <f>SUMPRODUCT((MONTH(Spending!$A$2:$A$276)=5)*(Spending!$D$2:$D$276="Subscriptions")*Spending!$C$2:$C$276)</f>
        <v>53.43</v>
      </c>
      <c r="U14" s="9">
        <f t="shared" si="4"/>
        <v>-12.43</v>
      </c>
      <c r="V14" s="9">
        <f>IF(Envelopes!$D$14="Yes",U14,0)</f>
        <v>0</v>
      </c>
      <c r="W14" s="9">
        <f>SUMPRODUCT((MONTH(Funding!$A$2:$A$27)=6)*Funding!P$2:P$27)</f>
        <v>49</v>
      </c>
      <c r="X14" s="9">
        <f>SUMPRODUCT((MONTH(Spending!$A$2:$A$276)=6)*(Spending!$D$2:$D$276="Subscriptions")*Spending!$C$2:$C$276)</f>
        <v>42.3</v>
      </c>
      <c r="Y14" s="9">
        <f t="shared" si="5"/>
        <v>6.7000000000000028</v>
      </c>
      <c r="Z14" s="9">
        <f>IF(Envelopes!$D$14="Yes",Y14,0)</f>
        <v>0</v>
      </c>
      <c r="AA14" s="9">
        <f>SUMPRODUCT((MONTH(Funding!$A$2:$A$27)=7)*Funding!P$2:P$27)</f>
        <v>39</v>
      </c>
      <c r="AB14" s="9">
        <f>SUMPRODUCT((MONTH(Spending!$A$2:$A$276)=7)*(Spending!$D$2:$D$276="Subscriptions")*Spending!$C$2:$C$276)</f>
        <v>48.33</v>
      </c>
      <c r="AC14" s="9">
        <f t="shared" si="6"/>
        <v>-9.3299999999999983</v>
      </c>
      <c r="AD14" s="9">
        <f>IF(Envelopes!$D$14="Yes",AC14,0)</f>
        <v>0</v>
      </c>
      <c r="AE14" s="9">
        <f>SUMPRODUCT((MONTH(Funding!$A$2:$A$27)=8)*Funding!P$2:P$27)</f>
        <v>64</v>
      </c>
      <c r="AF14" s="9">
        <f>SUMPRODUCT((MONTH(Spending!$A$2:$A$276)=8)*(Spending!$D$2:$D$276="Subscriptions")*Spending!$C$2:$C$276)</f>
        <v>34.54</v>
      </c>
      <c r="AG14" s="9">
        <f t="shared" si="7"/>
        <v>29.46</v>
      </c>
      <c r="AH14" s="9">
        <f>IF(Envelopes!$D$14="Yes",AG14,0)</f>
        <v>0</v>
      </c>
      <c r="AI14" s="9">
        <f>SUMPRODUCT((MONTH(Funding!$A$2:$A$27)=9)*Funding!P$2:P$27)</f>
        <v>60</v>
      </c>
      <c r="AJ14" s="9">
        <f>SUMPRODUCT((MONTH(Spending!$A$2:$A$276)=9)*(Spending!$D$2:$D$276="Subscriptions")*Spending!$C$2:$C$276)</f>
        <v>57.78</v>
      </c>
      <c r="AK14" s="9">
        <f t="shared" si="8"/>
        <v>2.2199999999999989</v>
      </c>
      <c r="AL14" s="9">
        <f>IF(Envelopes!$D$14="Yes",AK14,0)</f>
        <v>0</v>
      </c>
      <c r="AM14" s="9">
        <f>SUMPRODUCT((MONTH(Funding!$A$2:$A$27)=10)*Funding!P$2:P$27)</f>
        <v>50</v>
      </c>
      <c r="AN14" s="9">
        <f>SUMPRODUCT((MONTH(Spending!$A$2:$A$276)=10)*(Spending!$D$2:$D$276="Subscriptions")*Spending!$C$2:$C$276)</f>
        <v>57.67</v>
      </c>
      <c r="AO14" s="9">
        <f t="shared" si="9"/>
        <v>-7.6700000000000017</v>
      </c>
      <c r="AP14" s="9">
        <f>IF(Envelopes!$D$14="Yes",AO14,0)</f>
        <v>0</v>
      </c>
      <c r="AQ14" s="9">
        <f>SUMPRODUCT((MONTH(Funding!$A$2:$A$27)=11)*Funding!P$2:P$27)</f>
        <v>41</v>
      </c>
      <c r="AR14" s="9">
        <f>SUMPRODUCT((MONTH(Spending!$A$2:$A$276)=11)*(Spending!$D$2:$D$276="Subscriptions")*Spending!$C$2:$C$276)</f>
        <v>69.22</v>
      </c>
      <c r="AS14" s="9">
        <f t="shared" si="10"/>
        <v>-28.22</v>
      </c>
      <c r="AT14" s="9">
        <f>IF(Envelopes!$D$14="Yes",AS14,0)</f>
        <v>0</v>
      </c>
      <c r="AU14" s="9">
        <f>SUMPRODUCT((MONTH(Funding!$A$2:$A$27)=12)*Funding!P$2:P$27)</f>
        <v>40</v>
      </c>
      <c r="AV14" s="9">
        <f>SUMPRODUCT((MONTH(Spending!$A$2:$A$276)=12)*(Spending!$D$2:$D$276="Subscriptions")*Spending!$C$2:$C$276)</f>
        <v>52.06</v>
      </c>
      <c r="AW14" s="9">
        <f t="shared" si="11"/>
        <v>-12.060000000000002</v>
      </c>
    </row>
    <row r="15" spans="1:49" x14ac:dyDescent="0.25">
      <c r="A15" s="2" t="s">
        <v>23</v>
      </c>
      <c r="B15" s="9">
        <v>0</v>
      </c>
      <c r="C15" s="9">
        <f>SUMPRODUCT((MONTH(Funding!$A$2:$A$27)=1)*Funding!Q$2:Q$27)</f>
        <v>345</v>
      </c>
      <c r="D15" s="9">
        <f>SUMPRODUCT((MONTH(Spending!$A$2:$A$276)=1)*(Spending!$D$2:$D$276="Emergency Fund")*Spending!$C$2:$C$276)</f>
        <v>0</v>
      </c>
      <c r="E15" s="9">
        <f t="shared" si="0"/>
        <v>345</v>
      </c>
      <c r="F15" s="9">
        <f>IF(Envelopes!$D$15="Yes",E15,0)</f>
        <v>345</v>
      </c>
      <c r="G15" s="9">
        <f>SUMPRODUCT((MONTH(Funding!$A$2:$A$27)=2)*Funding!Q$2:Q$27)</f>
        <v>230</v>
      </c>
      <c r="H15" s="9">
        <f>SUMPRODUCT((MONTH(Spending!$A$2:$A$276)=2)*(Spending!$D$2:$D$276="Emergency Fund")*Spending!$C$2:$C$276)</f>
        <v>0</v>
      </c>
      <c r="I15" s="9">
        <f t="shared" si="1"/>
        <v>575</v>
      </c>
      <c r="J15" s="9">
        <f>IF(Envelopes!$D$15="Yes",I15,0)</f>
        <v>575</v>
      </c>
      <c r="K15" s="9">
        <f>SUMPRODUCT((MONTH(Funding!$A$2:$A$27)=3)*Funding!Q$2:Q$27)</f>
        <v>230</v>
      </c>
      <c r="L15" s="9">
        <f>SUMPRODUCT((MONTH(Spending!$A$2:$A$276)=3)*(Spending!$D$2:$D$276="Emergency Fund")*Spending!$C$2:$C$276)</f>
        <v>0</v>
      </c>
      <c r="M15" s="9">
        <f t="shared" si="2"/>
        <v>805</v>
      </c>
      <c r="N15" s="9">
        <f>IF(Envelopes!$D$15="Yes",M15,0)</f>
        <v>805</v>
      </c>
      <c r="O15" s="9">
        <f>SUMPRODUCT((MONTH(Funding!$A$2:$A$27)=4)*Funding!Q$2:Q$27)</f>
        <v>230</v>
      </c>
      <c r="P15" s="9">
        <f>SUMPRODUCT((MONTH(Spending!$A$2:$A$276)=4)*(Spending!$D$2:$D$276="Emergency Fund")*Spending!$C$2:$C$276)</f>
        <v>0</v>
      </c>
      <c r="Q15" s="9">
        <f t="shared" si="3"/>
        <v>1035</v>
      </c>
      <c r="R15" s="9">
        <f>IF(Envelopes!$D$15="Yes",Q15,0)</f>
        <v>1035</v>
      </c>
      <c r="S15" s="9">
        <f>SUMPRODUCT((MONTH(Funding!$A$2:$A$27)=5)*Funding!Q$2:Q$27)</f>
        <v>230</v>
      </c>
      <c r="T15" s="9">
        <f>SUMPRODUCT((MONTH(Spending!$A$2:$A$276)=5)*(Spending!$D$2:$D$276="Emergency Fund")*Spending!$C$2:$C$276)</f>
        <v>0</v>
      </c>
      <c r="U15" s="9">
        <f t="shared" si="4"/>
        <v>1265</v>
      </c>
      <c r="V15" s="9">
        <f>IF(Envelopes!$D$15="Yes",U15,0)</f>
        <v>1265</v>
      </c>
      <c r="W15" s="9">
        <f>SUMPRODUCT((MONTH(Funding!$A$2:$A$27)=6)*Funding!Q$2:Q$27)</f>
        <v>230</v>
      </c>
      <c r="X15" s="9">
        <f>SUMPRODUCT((MONTH(Spending!$A$2:$A$276)=6)*(Spending!$D$2:$D$276="Emergency Fund")*Spending!$C$2:$C$276)</f>
        <v>0</v>
      </c>
      <c r="Y15" s="9">
        <f t="shared" si="5"/>
        <v>1495</v>
      </c>
      <c r="Z15" s="9">
        <f>IF(Envelopes!$D$15="Yes",Y15,0)</f>
        <v>1495</v>
      </c>
      <c r="AA15" s="9">
        <f>SUMPRODUCT((MONTH(Funding!$A$2:$A$27)=7)*Funding!Q$2:Q$27)</f>
        <v>230</v>
      </c>
      <c r="AB15" s="9">
        <f>SUMPRODUCT((MONTH(Spending!$A$2:$A$276)=7)*(Spending!$D$2:$D$276="Emergency Fund")*Spending!$C$2:$C$276)</f>
        <v>0</v>
      </c>
      <c r="AC15" s="9">
        <f t="shared" si="6"/>
        <v>1725</v>
      </c>
      <c r="AD15" s="9">
        <f>IF(Envelopes!$D$15="Yes",AC15,0)</f>
        <v>1725</v>
      </c>
      <c r="AE15" s="9">
        <f>SUMPRODUCT((MONTH(Funding!$A$2:$A$27)=8)*Funding!Q$2:Q$27)</f>
        <v>345</v>
      </c>
      <c r="AF15" s="9">
        <f>SUMPRODUCT((MONTH(Spending!$A$2:$A$276)=8)*(Spending!$D$2:$D$276="Emergency Fund")*Spending!$C$2:$C$276)</f>
        <v>0</v>
      </c>
      <c r="AG15" s="9">
        <f t="shared" si="7"/>
        <v>2070</v>
      </c>
      <c r="AH15" s="9">
        <f>IF(Envelopes!$D$15="Yes",AG15,0)</f>
        <v>2070</v>
      </c>
      <c r="AI15" s="9">
        <f>SUMPRODUCT((MONTH(Funding!$A$2:$A$27)=9)*Funding!Q$2:Q$27)</f>
        <v>230</v>
      </c>
      <c r="AJ15" s="9">
        <f>SUMPRODUCT((MONTH(Spending!$A$2:$A$276)=9)*(Spending!$D$2:$D$276="Emergency Fund")*Spending!$C$2:$C$276)</f>
        <v>0</v>
      </c>
      <c r="AK15" s="9">
        <f t="shared" si="8"/>
        <v>2300</v>
      </c>
      <c r="AL15" s="9">
        <f>IF(Envelopes!$D$15="Yes",AK15,0)</f>
        <v>2300</v>
      </c>
      <c r="AM15" s="9">
        <f>SUMPRODUCT((MONTH(Funding!$A$2:$A$27)=10)*Funding!Q$2:Q$27)</f>
        <v>230</v>
      </c>
      <c r="AN15" s="9">
        <f>SUMPRODUCT((MONTH(Spending!$A$2:$A$276)=10)*(Spending!$D$2:$D$276="Emergency Fund")*Spending!$C$2:$C$276)</f>
        <v>0</v>
      </c>
      <c r="AO15" s="9">
        <f t="shared" si="9"/>
        <v>2530</v>
      </c>
      <c r="AP15" s="9">
        <f>IF(Envelopes!$D$15="Yes",AO15,0)</f>
        <v>2530</v>
      </c>
      <c r="AQ15" s="9">
        <f>SUMPRODUCT((MONTH(Funding!$A$2:$A$27)=11)*Funding!Q$2:Q$27)</f>
        <v>230</v>
      </c>
      <c r="AR15" s="9">
        <f>SUMPRODUCT((MONTH(Spending!$A$2:$A$276)=11)*(Spending!$D$2:$D$276="Emergency Fund")*Spending!$C$2:$C$276)</f>
        <v>0</v>
      </c>
      <c r="AS15" s="9">
        <f t="shared" si="10"/>
        <v>2760</v>
      </c>
      <c r="AT15" s="9">
        <f>IF(Envelopes!$D$15="Yes",AS15,0)</f>
        <v>2760</v>
      </c>
      <c r="AU15" s="9">
        <f>SUMPRODUCT((MONTH(Funding!$A$2:$A$27)=12)*Funding!Q$2:Q$27)</f>
        <v>230</v>
      </c>
      <c r="AV15" s="9">
        <f>SUMPRODUCT((MONTH(Spending!$A$2:$A$276)=12)*(Spending!$D$2:$D$276="Emergency Fund")*Spending!$C$2:$C$276)</f>
        <v>0</v>
      </c>
      <c r="AW15" s="9">
        <f t="shared" si="11"/>
        <v>2990</v>
      </c>
    </row>
    <row r="16" spans="1:49" x14ac:dyDescent="0.25">
      <c r="A16" s="2" t="s">
        <v>25</v>
      </c>
      <c r="B16" s="9">
        <v>0</v>
      </c>
      <c r="C16" s="9">
        <f>SUMPRODUCT((MONTH(Funding!$A$2:$A$27)=1)*Funding!R$2:R$27)</f>
        <v>165</v>
      </c>
      <c r="D16" s="9">
        <f>SUMPRODUCT((MONTH(Spending!$A$2:$A$276)=1)*(Spending!$D$2:$D$276="Vacation")*Spending!$C$2:$C$276)</f>
        <v>0</v>
      </c>
      <c r="E16" s="9">
        <f t="shared" si="0"/>
        <v>165</v>
      </c>
      <c r="F16" s="9">
        <f>IF(Envelopes!$D$16="Yes",E16,0)</f>
        <v>165</v>
      </c>
      <c r="G16" s="9">
        <f>SUMPRODUCT((MONTH(Funding!$A$2:$A$27)=2)*Funding!R$2:R$27)</f>
        <v>110</v>
      </c>
      <c r="H16" s="9">
        <f>SUMPRODUCT((MONTH(Spending!$A$2:$A$276)=2)*(Spending!$D$2:$D$276="Vacation")*Spending!$C$2:$C$276)</f>
        <v>0</v>
      </c>
      <c r="I16" s="9">
        <f t="shared" si="1"/>
        <v>275</v>
      </c>
      <c r="J16" s="9">
        <f>IF(Envelopes!$D$16="Yes",I16,0)</f>
        <v>275</v>
      </c>
      <c r="K16" s="9">
        <f>SUMPRODUCT((MONTH(Funding!$A$2:$A$27)=3)*Funding!R$2:R$27)</f>
        <v>110</v>
      </c>
      <c r="L16" s="9">
        <f>SUMPRODUCT((MONTH(Spending!$A$2:$A$276)=3)*(Spending!$D$2:$D$276="Vacation")*Spending!$C$2:$C$276)</f>
        <v>0</v>
      </c>
      <c r="M16" s="9">
        <f t="shared" si="2"/>
        <v>385</v>
      </c>
      <c r="N16" s="9">
        <f>IF(Envelopes!$D$16="Yes",M16,0)</f>
        <v>385</v>
      </c>
      <c r="O16" s="9">
        <f>SUMPRODUCT((MONTH(Funding!$A$2:$A$27)=4)*Funding!R$2:R$27)</f>
        <v>110</v>
      </c>
      <c r="P16" s="9">
        <f>SUMPRODUCT((MONTH(Spending!$A$2:$A$276)=4)*(Spending!$D$2:$D$276="Vacation")*Spending!$C$2:$C$276)</f>
        <v>0</v>
      </c>
      <c r="Q16" s="9">
        <f t="shared" si="3"/>
        <v>495</v>
      </c>
      <c r="R16" s="9">
        <f>IF(Envelopes!$D$16="Yes",Q16,0)</f>
        <v>495</v>
      </c>
      <c r="S16" s="9">
        <f>SUMPRODUCT((MONTH(Funding!$A$2:$A$27)=5)*Funding!R$2:R$27)</f>
        <v>110</v>
      </c>
      <c r="T16" s="9">
        <f>SUMPRODUCT((MONTH(Spending!$A$2:$A$276)=5)*(Spending!$D$2:$D$276="Vacation")*Spending!$C$2:$C$276)</f>
        <v>0</v>
      </c>
      <c r="U16" s="9">
        <f t="shared" si="4"/>
        <v>605</v>
      </c>
      <c r="V16" s="9">
        <f>IF(Envelopes!$D$16="Yes",U16,0)</f>
        <v>605</v>
      </c>
      <c r="W16" s="9">
        <f>SUMPRODUCT((MONTH(Funding!$A$2:$A$27)=6)*Funding!R$2:R$27)</f>
        <v>110</v>
      </c>
      <c r="X16" s="9">
        <f>SUMPRODUCT((MONTH(Spending!$A$2:$A$276)=6)*(Spending!$D$2:$D$276="Vacation")*Spending!$C$2:$C$276)</f>
        <v>0</v>
      </c>
      <c r="Y16" s="9">
        <f t="shared" si="5"/>
        <v>715</v>
      </c>
      <c r="Z16" s="9">
        <f>IF(Envelopes!$D$16="Yes",Y16,0)</f>
        <v>715</v>
      </c>
      <c r="AA16" s="9">
        <f>SUMPRODUCT((MONTH(Funding!$A$2:$A$27)=7)*Funding!R$2:R$27)</f>
        <v>110</v>
      </c>
      <c r="AB16" s="9">
        <f>SUMPRODUCT((MONTH(Spending!$A$2:$A$276)=7)*(Spending!$D$2:$D$276="Vacation")*Spending!$C$2:$C$276)</f>
        <v>0</v>
      </c>
      <c r="AC16" s="9">
        <f t="shared" si="6"/>
        <v>825</v>
      </c>
      <c r="AD16" s="9">
        <f>IF(Envelopes!$D$16="Yes",AC16,0)</f>
        <v>825</v>
      </c>
      <c r="AE16" s="9">
        <f>SUMPRODUCT((MONTH(Funding!$A$2:$A$27)=8)*Funding!R$2:R$27)</f>
        <v>165</v>
      </c>
      <c r="AF16" s="9">
        <f>SUMPRODUCT((MONTH(Spending!$A$2:$A$276)=8)*(Spending!$D$2:$D$276="Vacation")*Spending!$C$2:$C$276)</f>
        <v>0</v>
      </c>
      <c r="AG16" s="9">
        <f t="shared" si="7"/>
        <v>990</v>
      </c>
      <c r="AH16" s="9">
        <f>IF(Envelopes!$D$16="Yes",AG16,0)</f>
        <v>990</v>
      </c>
      <c r="AI16" s="9">
        <f>SUMPRODUCT((MONTH(Funding!$A$2:$A$27)=9)*Funding!R$2:R$27)</f>
        <v>110</v>
      </c>
      <c r="AJ16" s="9">
        <f>SUMPRODUCT((MONTH(Spending!$A$2:$A$276)=9)*(Spending!$D$2:$D$276="Vacation")*Spending!$C$2:$C$276)</f>
        <v>0</v>
      </c>
      <c r="AK16" s="9">
        <f t="shared" si="8"/>
        <v>1100</v>
      </c>
      <c r="AL16" s="9">
        <f>IF(Envelopes!$D$16="Yes",AK16,0)</f>
        <v>1100</v>
      </c>
      <c r="AM16" s="9">
        <f>SUMPRODUCT((MONTH(Funding!$A$2:$A$27)=10)*Funding!R$2:R$27)</f>
        <v>110</v>
      </c>
      <c r="AN16" s="9">
        <f>SUMPRODUCT((MONTH(Spending!$A$2:$A$276)=10)*(Spending!$D$2:$D$276="Vacation")*Spending!$C$2:$C$276)</f>
        <v>0</v>
      </c>
      <c r="AO16" s="9">
        <f t="shared" si="9"/>
        <v>1210</v>
      </c>
      <c r="AP16" s="9">
        <f>IF(Envelopes!$D$16="Yes",AO16,0)</f>
        <v>1210</v>
      </c>
      <c r="AQ16" s="9">
        <f>SUMPRODUCT((MONTH(Funding!$A$2:$A$27)=11)*Funding!R$2:R$27)</f>
        <v>110</v>
      </c>
      <c r="AR16" s="9">
        <f>SUMPRODUCT((MONTH(Spending!$A$2:$A$276)=11)*(Spending!$D$2:$D$276="Vacation")*Spending!$C$2:$C$276)</f>
        <v>0</v>
      </c>
      <c r="AS16" s="9">
        <f t="shared" si="10"/>
        <v>1320</v>
      </c>
      <c r="AT16" s="9">
        <f>IF(Envelopes!$D$16="Yes",AS16,0)</f>
        <v>1320</v>
      </c>
      <c r="AU16" s="9">
        <f>SUMPRODUCT((MONTH(Funding!$A$2:$A$27)=12)*Funding!R$2:R$27)</f>
        <v>110</v>
      </c>
      <c r="AV16" s="9">
        <f>SUMPRODUCT((MONTH(Spending!$A$2:$A$276)=12)*(Spending!$D$2:$D$276="Vacation")*Spending!$C$2:$C$276)</f>
        <v>0</v>
      </c>
      <c r="AW16" s="9">
        <f t="shared" si="11"/>
        <v>1430</v>
      </c>
    </row>
    <row r="17" spans="1:49" x14ac:dyDescent="0.25">
      <c r="A17" s="2" t="s">
        <v>26</v>
      </c>
      <c r="B17" s="9">
        <v>0</v>
      </c>
      <c r="C17" s="9">
        <f>SUMPRODUCT((MONTH(Funding!$A$2:$A$27)=1)*Funding!S$2:S$27)</f>
        <v>111</v>
      </c>
      <c r="D17" s="9">
        <f>SUMPRODUCT((MONTH(Spending!$A$2:$A$276)=1)*(Spending!$D$2:$D$276="Car Repair Fund")*Spending!$C$2:$C$276)</f>
        <v>0</v>
      </c>
      <c r="E17" s="9">
        <f t="shared" si="0"/>
        <v>111</v>
      </c>
      <c r="F17" s="9">
        <f>IF(Envelopes!$D$17="Yes",E17,0)</f>
        <v>111</v>
      </c>
      <c r="G17" s="9">
        <f>SUMPRODUCT((MONTH(Funding!$A$2:$A$27)=2)*Funding!S$2:S$27)</f>
        <v>74</v>
      </c>
      <c r="H17" s="9">
        <f>SUMPRODUCT((MONTH(Spending!$A$2:$A$276)=2)*(Spending!$D$2:$D$276="Car Repair Fund")*Spending!$C$2:$C$276)</f>
        <v>0</v>
      </c>
      <c r="I17" s="9">
        <f t="shared" si="1"/>
        <v>185</v>
      </c>
      <c r="J17" s="9">
        <f>IF(Envelopes!$D$17="Yes",I17,0)</f>
        <v>185</v>
      </c>
      <c r="K17" s="9">
        <f>SUMPRODUCT((MONTH(Funding!$A$2:$A$27)=3)*Funding!S$2:S$27)</f>
        <v>74</v>
      </c>
      <c r="L17" s="9">
        <f>SUMPRODUCT((MONTH(Spending!$A$2:$A$276)=3)*(Spending!$D$2:$D$276="Car Repair Fund")*Spending!$C$2:$C$276)</f>
        <v>0</v>
      </c>
      <c r="M17" s="9">
        <f t="shared" si="2"/>
        <v>259</v>
      </c>
      <c r="N17" s="9">
        <f>IF(Envelopes!$D$17="Yes",M17,0)</f>
        <v>259</v>
      </c>
      <c r="O17" s="9">
        <f>SUMPRODUCT((MONTH(Funding!$A$2:$A$27)=4)*Funding!S$2:S$27)</f>
        <v>74</v>
      </c>
      <c r="P17" s="9">
        <f>SUMPRODUCT((MONTH(Spending!$A$2:$A$276)=4)*(Spending!$D$2:$D$276="Car Repair Fund")*Spending!$C$2:$C$276)</f>
        <v>0</v>
      </c>
      <c r="Q17" s="9">
        <f t="shared" si="3"/>
        <v>333</v>
      </c>
      <c r="R17" s="9">
        <f>IF(Envelopes!$D$17="Yes",Q17,0)</f>
        <v>333</v>
      </c>
      <c r="S17" s="9">
        <f>SUMPRODUCT((MONTH(Funding!$A$2:$A$27)=5)*Funding!S$2:S$27)</f>
        <v>74</v>
      </c>
      <c r="T17" s="9">
        <f>SUMPRODUCT((MONTH(Spending!$A$2:$A$276)=5)*(Spending!$D$2:$D$276="Car Repair Fund")*Spending!$C$2:$C$276)</f>
        <v>0</v>
      </c>
      <c r="U17" s="9">
        <f t="shared" si="4"/>
        <v>407</v>
      </c>
      <c r="V17" s="9">
        <f>IF(Envelopes!$D$17="Yes",U17,0)</f>
        <v>407</v>
      </c>
      <c r="W17" s="9">
        <f>SUMPRODUCT((MONTH(Funding!$A$2:$A$27)=6)*Funding!S$2:S$27)</f>
        <v>74</v>
      </c>
      <c r="X17" s="9">
        <f>SUMPRODUCT((MONTH(Spending!$A$2:$A$276)=6)*(Spending!$D$2:$D$276="Car Repair Fund")*Spending!$C$2:$C$276)</f>
        <v>0</v>
      </c>
      <c r="Y17" s="9">
        <f t="shared" si="5"/>
        <v>481</v>
      </c>
      <c r="Z17" s="9">
        <f>IF(Envelopes!$D$17="Yes",Y17,0)</f>
        <v>481</v>
      </c>
      <c r="AA17" s="9">
        <f>SUMPRODUCT((MONTH(Funding!$A$2:$A$27)=7)*Funding!S$2:S$27)</f>
        <v>74</v>
      </c>
      <c r="AB17" s="9">
        <f>SUMPRODUCT((MONTH(Spending!$A$2:$A$276)=7)*(Spending!$D$2:$D$276="Car Repair Fund")*Spending!$C$2:$C$276)</f>
        <v>0</v>
      </c>
      <c r="AC17" s="9">
        <f t="shared" si="6"/>
        <v>555</v>
      </c>
      <c r="AD17" s="9">
        <f>IF(Envelopes!$D$17="Yes",AC17,0)</f>
        <v>555</v>
      </c>
      <c r="AE17" s="9">
        <f>SUMPRODUCT((MONTH(Funding!$A$2:$A$27)=8)*Funding!S$2:S$27)</f>
        <v>111</v>
      </c>
      <c r="AF17" s="9">
        <f>SUMPRODUCT((MONTH(Spending!$A$2:$A$276)=8)*(Spending!$D$2:$D$276="Car Repair Fund")*Spending!$C$2:$C$276)</f>
        <v>0</v>
      </c>
      <c r="AG17" s="9">
        <f t="shared" si="7"/>
        <v>666</v>
      </c>
      <c r="AH17" s="9">
        <f>IF(Envelopes!$D$17="Yes",AG17,0)</f>
        <v>666</v>
      </c>
      <c r="AI17" s="9">
        <f>SUMPRODUCT((MONTH(Funding!$A$2:$A$27)=9)*Funding!S$2:S$27)</f>
        <v>74</v>
      </c>
      <c r="AJ17" s="9">
        <f>SUMPRODUCT((MONTH(Spending!$A$2:$A$276)=9)*(Spending!$D$2:$D$276="Car Repair Fund")*Spending!$C$2:$C$276)</f>
        <v>0</v>
      </c>
      <c r="AK17" s="9">
        <f t="shared" si="8"/>
        <v>740</v>
      </c>
      <c r="AL17" s="9">
        <f>IF(Envelopes!$D$17="Yes",AK17,0)</f>
        <v>740</v>
      </c>
      <c r="AM17" s="9">
        <f>SUMPRODUCT((MONTH(Funding!$A$2:$A$27)=10)*Funding!S$2:S$27)</f>
        <v>74</v>
      </c>
      <c r="AN17" s="9">
        <f>SUMPRODUCT((MONTH(Spending!$A$2:$A$276)=10)*(Spending!$D$2:$D$276="Car Repair Fund")*Spending!$C$2:$C$276)</f>
        <v>0</v>
      </c>
      <c r="AO17" s="9">
        <f t="shared" si="9"/>
        <v>814</v>
      </c>
      <c r="AP17" s="9">
        <f>IF(Envelopes!$D$17="Yes",AO17,0)</f>
        <v>814</v>
      </c>
      <c r="AQ17" s="9">
        <f>SUMPRODUCT((MONTH(Funding!$A$2:$A$27)=11)*Funding!S$2:S$27)</f>
        <v>74</v>
      </c>
      <c r="AR17" s="9">
        <f>SUMPRODUCT((MONTH(Spending!$A$2:$A$276)=11)*(Spending!$D$2:$D$276="Car Repair Fund")*Spending!$C$2:$C$276)</f>
        <v>0</v>
      </c>
      <c r="AS17" s="9">
        <f t="shared" si="10"/>
        <v>888</v>
      </c>
      <c r="AT17" s="9">
        <f>IF(Envelopes!$D$17="Yes",AS17,0)</f>
        <v>888</v>
      </c>
      <c r="AU17" s="9">
        <f>SUMPRODUCT((MONTH(Funding!$A$2:$A$27)=12)*Funding!S$2:S$27)</f>
        <v>74</v>
      </c>
      <c r="AV17" s="9">
        <f>SUMPRODUCT((MONTH(Spending!$A$2:$A$276)=12)*(Spending!$D$2:$D$276="Car Repair Fund")*Spending!$C$2:$C$276)</f>
        <v>0</v>
      </c>
      <c r="AW17" s="9">
        <f t="shared" si="11"/>
        <v>962</v>
      </c>
    </row>
  </sheetData>
  <conditionalFormatting sqref="E2:E17">
    <cfRule type="cellIs" dxfId="11" priority="1" operator="lessThan">
      <formula>0</formula>
    </cfRule>
  </conditionalFormatting>
  <conditionalFormatting sqref="I2:I17">
    <cfRule type="cellIs" dxfId="10" priority="2" operator="lessThan">
      <formula>0</formula>
    </cfRule>
  </conditionalFormatting>
  <conditionalFormatting sqref="M2:M17">
    <cfRule type="cellIs" dxfId="9" priority="3" operator="lessThan">
      <formula>0</formula>
    </cfRule>
  </conditionalFormatting>
  <conditionalFormatting sqref="Q2:Q17">
    <cfRule type="cellIs" dxfId="8" priority="4" operator="lessThan">
      <formula>0</formula>
    </cfRule>
  </conditionalFormatting>
  <conditionalFormatting sqref="U2:U17">
    <cfRule type="cellIs" dxfId="7" priority="5" operator="lessThan">
      <formula>0</formula>
    </cfRule>
  </conditionalFormatting>
  <conditionalFormatting sqref="Y2:Y17">
    <cfRule type="cellIs" dxfId="6" priority="6" operator="lessThan">
      <formula>0</formula>
    </cfRule>
  </conditionalFormatting>
  <conditionalFormatting sqref="AC2:AC17">
    <cfRule type="cellIs" dxfId="5" priority="7" operator="lessThan">
      <formula>0</formula>
    </cfRule>
  </conditionalFormatting>
  <conditionalFormatting sqref="AG2:AG17">
    <cfRule type="cellIs" dxfId="4" priority="8" operator="lessThan">
      <formula>0</formula>
    </cfRule>
  </conditionalFormatting>
  <conditionalFormatting sqref="AK2:AK17">
    <cfRule type="cellIs" dxfId="3" priority="9" operator="lessThan">
      <formula>0</formula>
    </cfRule>
  </conditionalFormatting>
  <conditionalFormatting sqref="AO2:AO17">
    <cfRule type="cellIs" dxfId="2" priority="10" operator="lessThan">
      <formula>0</formula>
    </cfRule>
  </conditionalFormatting>
  <conditionalFormatting sqref="AS2:AS17">
    <cfRule type="cellIs" dxfId="1" priority="11" operator="lessThan">
      <formula>0</formula>
    </cfRule>
  </conditionalFormatting>
  <conditionalFormatting sqref="AW2:AW17">
    <cfRule type="cellIs" dxfId="0" priority="12" operator="lessThan">
      <formula>0</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showGridLines="0" tabSelected="1" topLeftCell="A2" zoomScale="85" zoomScaleNormal="85" workbookViewId="0">
      <selection activeCell="C3" sqref="C3"/>
    </sheetView>
  </sheetViews>
  <sheetFormatPr defaultRowHeight="15" x14ac:dyDescent="0.25"/>
  <cols>
    <col min="1" max="1" width="19.7109375" bestFit="1" customWidth="1"/>
    <col min="2" max="2" width="21.85546875" bestFit="1" customWidth="1"/>
    <col min="3" max="3" width="30" bestFit="1" customWidth="1"/>
    <col min="4" max="4" width="9.5703125" bestFit="1" customWidth="1"/>
  </cols>
  <sheetData>
    <row r="1" spans="1:4" x14ac:dyDescent="0.25">
      <c r="A1" s="1"/>
      <c r="B1" s="1"/>
      <c r="C1" s="1"/>
      <c r="D1" s="1"/>
    </row>
    <row r="2" spans="1:4" x14ac:dyDescent="0.25">
      <c r="A2" s="12" t="s">
        <v>117</v>
      </c>
      <c r="B2" s="12" t="s">
        <v>118</v>
      </c>
      <c r="C2" s="12" t="s">
        <v>119</v>
      </c>
      <c r="D2" s="12" t="s">
        <v>120</v>
      </c>
    </row>
    <row r="3" spans="1:4" x14ac:dyDescent="0.25">
      <c r="A3" s="7">
        <f>SUM(Funding!C2:C27)</f>
        <v>63150</v>
      </c>
      <c r="B3" s="7">
        <f>SUM('Monthly Balances'!D2:D17)+SUM('Monthly Balances'!H2:H17)+SUM('Monthly Balances'!L2:L17)+SUM('Monthly Balances'!P2:P17)+SUM('Monthly Balances'!T2:T17)+SUM('Monthly Balances'!X2:X17)+SUM('Monthly Balances'!AB2:AB17)+SUM('Monthly Balances'!AF2:AF17)+SUM('Monthly Balances'!AJ2:AJ17)+SUM('Monthly Balances'!AN2:AN17)+SUM('Monthly Balances'!AR2:AR17)+SUM('Monthly Balances'!AV2:AV17)</f>
        <v>34585.61</v>
      </c>
      <c r="C3" s="10">
        <f>COUNTIF('Monthly Balances'!AW2:AW17,"&lt;0")</f>
        <v>9</v>
      </c>
      <c r="D3" s="7">
        <f>A3-B3</f>
        <v>28564.39</v>
      </c>
    </row>
    <row r="4" spans="1:4" x14ac:dyDescent="0.25">
      <c r="A4" s="1"/>
      <c r="B4" s="1"/>
      <c r="C4" s="1"/>
      <c r="D4" s="1"/>
    </row>
    <row r="5" spans="1:4" x14ac:dyDescent="0.25">
      <c r="A5" s="1"/>
      <c r="B5" s="1"/>
      <c r="C5" s="1"/>
      <c r="D5" s="1"/>
    </row>
    <row r="6" spans="1:4" x14ac:dyDescent="0.25">
      <c r="A6" s="12" t="s">
        <v>0</v>
      </c>
      <c r="B6" s="12" t="s">
        <v>121</v>
      </c>
      <c r="C6" s="1"/>
      <c r="D6" s="1"/>
    </row>
    <row r="7" spans="1:4" x14ac:dyDescent="0.25">
      <c r="A7" s="2" t="s">
        <v>6</v>
      </c>
      <c r="B7" s="4">
        <f>'Monthly Balances'!AW2</f>
        <v>-68</v>
      </c>
      <c r="C7" s="1"/>
      <c r="D7" s="1"/>
    </row>
    <row r="8" spans="1:4" x14ac:dyDescent="0.25">
      <c r="A8" s="2" t="s">
        <v>9</v>
      </c>
      <c r="B8" s="4">
        <f>'Monthly Balances'!AW3</f>
        <v>-121.83</v>
      </c>
      <c r="C8" s="1"/>
      <c r="D8" s="1"/>
    </row>
    <row r="9" spans="1:4" x14ac:dyDescent="0.25">
      <c r="A9" s="2" t="s">
        <v>10</v>
      </c>
      <c r="B9" s="4">
        <f>'Monthly Balances'!AW4</f>
        <v>55.799999999999955</v>
      </c>
      <c r="C9" s="1"/>
      <c r="D9" s="1"/>
    </row>
    <row r="10" spans="1:4" x14ac:dyDescent="0.25">
      <c r="A10" s="2" t="s">
        <v>11</v>
      </c>
      <c r="B10" s="4">
        <f>'Monthly Balances'!AW5</f>
        <v>-47.63000000000001</v>
      </c>
      <c r="C10" s="1"/>
      <c r="D10" s="1"/>
    </row>
    <row r="11" spans="1:4" x14ac:dyDescent="0.25">
      <c r="A11" s="2" t="s">
        <v>12</v>
      </c>
      <c r="B11" s="4">
        <f>'Monthly Balances'!AW6</f>
        <v>-24</v>
      </c>
      <c r="C11" s="1"/>
      <c r="D11" s="1"/>
    </row>
    <row r="12" spans="1:4" x14ac:dyDescent="0.25">
      <c r="A12" s="2" t="s">
        <v>13</v>
      </c>
      <c r="B12" s="4">
        <f>'Monthly Balances'!AW7</f>
        <v>-61</v>
      </c>
      <c r="C12" s="1"/>
      <c r="D12" s="1"/>
    </row>
    <row r="13" spans="1:4" x14ac:dyDescent="0.25">
      <c r="A13" s="2" t="s">
        <v>14</v>
      </c>
      <c r="B13" s="4">
        <f>'Monthly Balances'!AW8</f>
        <v>-54.41</v>
      </c>
      <c r="C13" s="1"/>
      <c r="D13" s="1"/>
    </row>
    <row r="14" spans="1:4" x14ac:dyDescent="0.25">
      <c r="A14" s="2" t="s">
        <v>15</v>
      </c>
      <c r="B14" s="4">
        <f>'Monthly Balances'!AW9</f>
        <v>-28.400000000000006</v>
      </c>
      <c r="C14" s="1"/>
      <c r="D14" s="1"/>
    </row>
    <row r="15" spans="1:4" x14ac:dyDescent="0.25">
      <c r="A15" s="2" t="s">
        <v>18</v>
      </c>
      <c r="B15" s="4">
        <f>'Monthly Balances'!AW10</f>
        <v>9.0000000000003411E-2</v>
      </c>
      <c r="C15" s="1"/>
      <c r="D15" s="1"/>
    </row>
    <row r="16" spans="1:4" x14ac:dyDescent="0.25">
      <c r="A16" s="2" t="s">
        <v>19</v>
      </c>
      <c r="B16" s="4">
        <f>'Monthly Balances'!AW11</f>
        <v>6.2999999999999972</v>
      </c>
      <c r="C16" s="1"/>
      <c r="D16" s="1"/>
    </row>
    <row r="17" spans="1:4" x14ac:dyDescent="0.25">
      <c r="A17" s="2" t="s">
        <v>20</v>
      </c>
      <c r="B17" s="4">
        <f>'Monthly Balances'!AW12</f>
        <v>-15.47999999999999</v>
      </c>
      <c r="C17" s="1"/>
      <c r="D17" s="1"/>
    </row>
    <row r="18" spans="1:4" x14ac:dyDescent="0.25">
      <c r="A18" s="2" t="s">
        <v>21</v>
      </c>
      <c r="B18" s="4">
        <f>'Monthly Balances'!AW13</f>
        <v>15.440000000000001</v>
      </c>
      <c r="C18" s="1"/>
      <c r="D18" s="1"/>
    </row>
    <row r="19" spans="1:4" x14ac:dyDescent="0.25">
      <c r="A19" s="2" t="s">
        <v>22</v>
      </c>
      <c r="B19" s="4">
        <f>'Monthly Balances'!AW14</f>
        <v>-12.060000000000002</v>
      </c>
      <c r="C19" s="1"/>
      <c r="D19" s="1"/>
    </row>
    <row r="20" spans="1:4" x14ac:dyDescent="0.25">
      <c r="A20" s="2" t="s">
        <v>23</v>
      </c>
      <c r="B20" s="4">
        <f>'Monthly Balances'!AW15</f>
        <v>2990</v>
      </c>
      <c r="C20" s="1"/>
      <c r="D20" s="1"/>
    </row>
    <row r="21" spans="1:4" x14ac:dyDescent="0.25">
      <c r="A21" s="2" t="s">
        <v>25</v>
      </c>
      <c r="B21" s="4">
        <f>'Monthly Balances'!AW16</f>
        <v>1430</v>
      </c>
      <c r="C21" s="1"/>
      <c r="D21" s="1"/>
    </row>
    <row r="22" spans="1:4" x14ac:dyDescent="0.25">
      <c r="A22" s="2" t="s">
        <v>26</v>
      </c>
      <c r="B22" s="4">
        <f>'Monthly Balances'!AW17</f>
        <v>962</v>
      </c>
      <c r="C22" s="1"/>
      <c r="D22" s="1"/>
    </row>
    <row r="23" spans="1:4" x14ac:dyDescent="0.25">
      <c r="A23" s="1"/>
      <c r="B23" s="1"/>
      <c r="C23" s="1"/>
      <c r="D23" s="1"/>
    </row>
    <row r="24" spans="1:4" x14ac:dyDescent="0.25">
      <c r="A24" s="1"/>
      <c r="B24" s="1"/>
      <c r="C24" s="1"/>
      <c r="D24" s="1"/>
    </row>
    <row r="25" spans="1:4" x14ac:dyDescent="0.25">
      <c r="A25" s="12" t="s">
        <v>122</v>
      </c>
      <c r="B25" s="12" t="s">
        <v>123</v>
      </c>
      <c r="C25" s="12" t="s">
        <v>124</v>
      </c>
      <c r="D25" s="1"/>
    </row>
    <row r="26" spans="1:4" x14ac:dyDescent="0.25">
      <c r="A26" s="2" t="s">
        <v>125</v>
      </c>
      <c r="B26" s="4">
        <f>SUM('Monthly Balances'!C2:C17)</f>
        <v>4601</v>
      </c>
      <c r="C26" s="4">
        <f>SUM('Monthly Balances'!D2:D17)</f>
        <v>2777.7599999999993</v>
      </c>
      <c r="D26" s="1"/>
    </row>
    <row r="27" spans="1:4" x14ac:dyDescent="0.25">
      <c r="A27" s="2" t="s">
        <v>126</v>
      </c>
      <c r="B27" s="4">
        <f>SUM('Monthly Balances'!G2:G17)</f>
        <v>3080</v>
      </c>
      <c r="C27" s="4">
        <f>SUM('Monthly Balances'!H2:H17)</f>
        <v>2936.0499999999993</v>
      </c>
      <c r="D27" s="1"/>
    </row>
    <row r="28" spans="1:4" x14ac:dyDescent="0.25">
      <c r="A28" s="2" t="s">
        <v>127</v>
      </c>
      <c r="B28" s="4">
        <f>SUM('Monthly Balances'!K2:K17)</f>
        <v>3074</v>
      </c>
      <c r="C28" s="4">
        <f>SUM('Monthly Balances'!L2:L17)</f>
        <v>2794.9700000000007</v>
      </c>
      <c r="D28" s="1"/>
    </row>
    <row r="29" spans="1:4" x14ac:dyDescent="0.25">
      <c r="A29" s="2" t="s">
        <v>128</v>
      </c>
      <c r="B29" s="4">
        <f>SUM('Monthly Balances'!O2:O17)</f>
        <v>3056</v>
      </c>
      <c r="C29" s="4">
        <f>SUM('Monthly Balances'!P2:P17)</f>
        <v>2968.1700000000005</v>
      </c>
      <c r="D29" s="1"/>
    </row>
    <row r="30" spans="1:4" x14ac:dyDescent="0.25">
      <c r="A30" s="2" t="s">
        <v>129</v>
      </c>
      <c r="B30" s="4">
        <f>SUM('Monthly Balances'!S2:S17)</f>
        <v>3034</v>
      </c>
      <c r="C30" s="4">
        <f>SUM('Monthly Balances'!T2:T17)</f>
        <v>2889.62</v>
      </c>
      <c r="D30" s="1"/>
    </row>
    <row r="31" spans="1:4" x14ac:dyDescent="0.25">
      <c r="A31" s="2" t="s">
        <v>130</v>
      </c>
      <c r="B31" s="4">
        <f>SUM('Monthly Balances'!W2:W17)</f>
        <v>3017</v>
      </c>
      <c r="C31" s="4">
        <f>SUM('Monthly Balances'!X2:X17)</f>
        <v>2888.12</v>
      </c>
      <c r="D31" s="1"/>
    </row>
    <row r="32" spans="1:4" x14ac:dyDescent="0.25">
      <c r="A32" s="2" t="s">
        <v>131</v>
      </c>
      <c r="B32" s="4">
        <f>SUM('Monthly Balances'!AA2:AA17)</f>
        <v>3053</v>
      </c>
      <c r="C32" s="4">
        <f>SUM('Monthly Balances'!AB2:AB17)</f>
        <v>2769.24</v>
      </c>
      <c r="D32" s="1"/>
    </row>
    <row r="33" spans="1:4" x14ac:dyDescent="0.25">
      <c r="A33" s="2" t="s">
        <v>132</v>
      </c>
      <c r="B33" s="4">
        <f>SUM('Monthly Balances'!AE2:AE17)</f>
        <v>4638</v>
      </c>
      <c r="C33" s="4">
        <f>SUM('Monthly Balances'!AF2:AF17)</f>
        <v>2943.66</v>
      </c>
      <c r="D33" s="1"/>
    </row>
    <row r="34" spans="1:4" x14ac:dyDescent="0.25">
      <c r="A34" s="2" t="s">
        <v>133</v>
      </c>
      <c r="B34" s="4">
        <f>SUM('Monthly Balances'!AI2:AI17)</f>
        <v>3071</v>
      </c>
      <c r="C34" s="4">
        <f>SUM('Monthly Balances'!AJ2:AJ17)</f>
        <v>2932.7000000000003</v>
      </c>
      <c r="D34" s="1"/>
    </row>
    <row r="35" spans="1:4" x14ac:dyDescent="0.25">
      <c r="A35" s="2" t="s">
        <v>134</v>
      </c>
      <c r="B35" s="4">
        <f>SUM('Monthly Balances'!AM2:AM17)</f>
        <v>3095</v>
      </c>
      <c r="C35" s="4">
        <f>SUM('Monthly Balances'!AN2:AN17)</f>
        <v>2938.2999999999997</v>
      </c>
      <c r="D35" s="1"/>
    </row>
    <row r="36" spans="1:4" x14ac:dyDescent="0.25">
      <c r="A36" s="2" t="s">
        <v>135</v>
      </c>
      <c r="B36" s="4">
        <f>SUM('Monthly Balances'!AQ2:AQ17)</f>
        <v>3020</v>
      </c>
      <c r="C36" s="4">
        <f>SUM('Monthly Balances'!AR2:AR17)</f>
        <v>2888.2499999999991</v>
      </c>
      <c r="D36" s="1"/>
    </row>
    <row r="37" spans="1:4" x14ac:dyDescent="0.25">
      <c r="A37" s="2" t="s">
        <v>136</v>
      </c>
      <c r="B37" s="4">
        <f>SUM('Monthly Balances'!AU2:AU17)</f>
        <v>3001</v>
      </c>
      <c r="C37" s="4">
        <f>SUM('Monthly Balances'!AV2:AV17)</f>
        <v>2858.7699999999995</v>
      </c>
      <c r="D37" s="1"/>
    </row>
  </sheetData>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
  <sheetViews>
    <sheetView showGridLines="0" zoomScaleNormal="100" workbookViewId="0">
      <selection activeCell="A7" sqref="A7"/>
    </sheetView>
  </sheetViews>
  <sheetFormatPr defaultRowHeight="15" x14ac:dyDescent="0.25"/>
  <cols>
    <col min="1" max="1" width="67.28515625" bestFit="1" customWidth="1"/>
  </cols>
  <sheetData>
    <row r="1" spans="1:1" x14ac:dyDescent="0.25">
      <c r="A1" s="10" t="s">
        <v>137</v>
      </c>
    </row>
    <row r="2" spans="1:1" x14ac:dyDescent="0.25">
      <c r="A2" s="2"/>
    </row>
    <row r="3" spans="1:1" x14ac:dyDescent="0.25">
      <c r="A3" s="11" t="s">
        <v>138</v>
      </c>
    </row>
    <row r="4" spans="1:1" x14ac:dyDescent="0.25">
      <c r="A4" s="11" t="s">
        <v>139</v>
      </c>
    </row>
    <row r="5" spans="1:1" x14ac:dyDescent="0.25">
      <c r="A5" s="11" t="s">
        <v>140</v>
      </c>
    </row>
    <row r="6" spans="1:1" x14ac:dyDescent="0.25">
      <c r="A6" s="11" t="s">
        <v>141</v>
      </c>
    </row>
    <row r="7" spans="1:1" x14ac:dyDescent="0.25">
      <c r="A7" s="11" t="s">
        <v>142</v>
      </c>
    </row>
    <row r="8" spans="1:1" x14ac:dyDescent="0.25">
      <c r="A8" s="11" t="s">
        <v>143</v>
      </c>
    </row>
    <row r="9" spans="1:1" x14ac:dyDescent="0.25">
      <c r="A9" s="11" t="s">
        <v>144</v>
      </c>
    </row>
    <row r="10" spans="1:1" x14ac:dyDescent="0.25">
      <c r="A10" s="11" t="s">
        <v>145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Envelopes</vt:lpstr>
      <vt:lpstr>Funding</vt:lpstr>
      <vt:lpstr>Spending</vt:lpstr>
      <vt:lpstr>Monthly Balances</vt:lpstr>
      <vt:lpstr>Dashboard</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Samuel Reed</dc:creator>
  <cp:lastModifiedBy>Frenzel, Tim</cp:lastModifiedBy>
  <cp:revision>1</cp:revision>
  <dcterms:created xsi:type="dcterms:W3CDTF">2024-07-07T16:02:40Z</dcterms:created>
  <dcterms:modified xsi:type="dcterms:W3CDTF">2026-04-09T22:19:07Z</dcterms:modified>
</cp:coreProperties>
</file>