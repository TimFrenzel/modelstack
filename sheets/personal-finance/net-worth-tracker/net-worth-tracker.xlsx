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Monthly Balances" sheetId="2" state="visible" r:id="rId2"/>
    <sheet xmlns:r="http://schemas.openxmlformats.org/officeDocument/2006/relationships" name="History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yyyy-mm-dd"/>
    <numFmt numFmtId="166" formatCode="m/d/yyyy"/>
    <numFmt numFmtId="167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3E3428"/>
      <sz val="14"/>
    </font>
    <font>
      <name val="Calibri"/>
      <b val="1"/>
      <color rgb="00F4F1EC"/>
      <sz val="11"/>
    </font>
    <font>
      <name val="Calibri"/>
      <color rgb="003E3428"/>
      <sz val="11"/>
    </font>
    <font>
      <name val="Calibri"/>
      <b val="1"/>
      <color rgb="003E3428"/>
      <sz val="11"/>
    </font>
    <font>
      <name val="Calibri"/>
      <color rgb="00999999"/>
      <sz val="11"/>
    </font>
    <font>
      <name val="Arial"/>
      <b val="1"/>
      <color rgb="003E3428"/>
      <sz val="14"/>
    </font>
    <font>
      <name val="Arial"/>
      <family val="2"/>
      <color theme="1"/>
      <sz val="11"/>
      <scheme val="minor"/>
    </font>
    <font>
      <name val="Arial"/>
      <b val="1"/>
      <color rgb="00000000"/>
      <sz val="11"/>
    </font>
    <font>
      <name val="Arial"/>
      <color rgb="003E3428"/>
      <sz val="11"/>
    </font>
    <font>
      <name val="Arial"/>
      <b val="1"/>
      <color rgb="003E3428"/>
      <sz val="11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06878"/>
      </patternFill>
    </fill>
    <fill>
      <patternFill patternType="solid">
        <fgColor rgb="00E8E3DA"/>
      </patternFill>
    </fill>
  </fills>
  <borders count="3">
    <border>
      <left/>
      <right/>
      <top/>
      <bottom/>
      <diagonal/>
    </border>
    <border>
      <bottom style="thin">
        <color rgb="00C4BAB0"/>
      </bottom>
    </border>
    <border>
      <right style="hair">
        <color rgb="00C4BAB0"/>
      </right>
      <bottom style="hair">
        <color rgb="00C4BA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2" borderId="1" applyAlignment="1" pivotButton="0" quotePrefix="0" xfId="0">
      <alignment vertical="center"/>
    </xf>
    <xf numFmtId="0" fontId="8" fillId="2" borderId="1" applyAlignment="1" pivotButton="0" quotePrefix="0" xfId="0">
      <alignment horizontal="center" vertical="center"/>
    </xf>
    <xf numFmtId="0" fontId="8" fillId="2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9" fillId="3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164" fontId="9" fillId="3" borderId="2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7" fontId="10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7" fontId="9" fillId="0" borderId="0" applyAlignment="1" pivotButton="0" quotePrefix="0" xfId="0">
      <alignment vertical="center"/>
    </xf>
    <xf numFmtId="3" fontId="9" fillId="0" borderId="0" applyAlignment="1" pivotButton="0" quotePrefix="0" xfId="0">
      <alignment vertical="center"/>
    </xf>
    <xf numFmtId="166" fontId="9" fillId="3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ill>
        <patternFill patternType="solid">
          <fgColor rgb="00C8D8B0"/>
        </patternFill>
      </fill>
    </dxf>
    <dxf>
      <fill>
        <patternFill patternType="solid">
          <fgColor rgb="00D8A8A0"/>
        </patternFill>
      </fill>
    </dxf>
    <dxf>
      <fill>
        <patternFill patternType="solid">
          <fgColor rgb="00B0C8D8"/>
        </patternFill>
      </fill>
    </dxf>
    <dxf>
      <fill>
        <patternFill patternType="solid">
          <fgColor rgb="00E8C8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Worth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'History'!E3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'History'!$B$4:$B$27</f>
            </numRef>
          </cat>
          <val>
            <numRef>
              <f>'History'!$E$4:$E$27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Worth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Assets vs Liabilities</a:t>
            </a:r>
          </a:p>
        </rich>
      </tx>
    </title>
    <plotArea>
      <areaChart>
        <grouping val="standard"/>
        <ser>
          <idx val="0"/>
          <order val="0"/>
          <tx>
            <strRef>
              <f>'History'!C3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'History'!$B$4:$B$27</f>
            </numRef>
          </cat>
          <val>
            <numRef>
              <f>'History'!$C$4:$C$27</f>
            </numRef>
          </val>
        </ser>
        <ser>
          <idx val="1"/>
          <order val="1"/>
          <tx>
            <strRef>
              <f>'History'!D3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'History'!$B$4:$B$27</f>
            </numRef>
          </cat>
          <val>
            <numRef>
              <f>'History'!$D$4:$D$27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Balance by Asset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'Dashboard'!C39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'Dashboard'!$B$40:$B$49</f>
            </numRef>
          </cat>
          <val>
            <numRef>
              <f>'Dashboard'!$C$40:$C$49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Balance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20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50</row>
      <rowOff>0</rowOff>
    </from>
    <ext cx="72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6" customWidth="1" min="4" max="4"/>
    <col width="16" customWidth="1" min="5" max="5"/>
    <col width="14" customWidth="1" min="6" max="6"/>
    <col width="16" customWidth="1" min="8" max="8"/>
    <col width="14" customWidth="1" min="9" max="9"/>
  </cols>
  <sheetData>
    <row r="1"/>
    <row r="2">
      <c r="B2" s="1" t="inlineStr">
        <is>
          <t>Account Registry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B3" s="3" t="inlineStr">
        <is>
          <t>Account Name</t>
        </is>
      </c>
      <c r="C3" s="4" t="inlineStr">
        <is>
          <t>Institution</t>
        </is>
      </c>
      <c r="D3" s="4" t="inlineStr">
        <is>
          <t>Type</t>
        </is>
      </c>
      <c r="E3" s="4" t="inlineStr">
        <is>
          <t>Asset/Liability</t>
        </is>
      </c>
      <c r="F3" s="4" t="inlineStr">
        <is>
          <t>Opening Balance</t>
        </is>
      </c>
      <c r="G3" s="4" t="inlineStr">
        <is>
          <t>Opening Date</t>
        </is>
      </c>
      <c r="H3" s="2" t="n"/>
      <c r="I3" s="5" t="inlineStr">
        <is>
          <t>Type</t>
        </is>
      </c>
      <c r="J3" s="5" t="inlineStr">
        <is>
          <t>Classification</t>
        </is>
      </c>
    </row>
    <row r="4">
      <c r="B4" s="6" t="inlineStr">
        <is>
          <t>Chase Checking</t>
        </is>
      </c>
      <c r="C4" s="6" t="inlineStr">
        <is>
          <t>Chase</t>
        </is>
      </c>
      <c r="D4" s="6" t="inlineStr">
        <is>
          <t>Checking</t>
        </is>
      </c>
      <c r="E4" s="6">
        <f>VLOOKUP(D4,$I$4:$J$18,2,FALSE)</f>
        <v/>
      </c>
      <c r="F4" s="7" t="n">
        <v>4200</v>
      </c>
      <c r="G4" s="8" t="n">
        <v>45292</v>
      </c>
      <c r="H4" s="2" t="n"/>
      <c r="I4" s="6" t="inlineStr">
        <is>
          <t>Checking</t>
        </is>
      </c>
      <c r="J4" s="6" t="inlineStr">
        <is>
          <t>Asset</t>
        </is>
      </c>
    </row>
    <row r="5">
      <c r="B5" s="6" t="inlineStr">
        <is>
          <t>Ally Savings</t>
        </is>
      </c>
      <c r="C5" s="6" t="inlineStr">
        <is>
          <t>Ally</t>
        </is>
      </c>
      <c r="D5" s="6" t="inlineStr">
        <is>
          <t>Savings</t>
        </is>
      </c>
      <c r="E5" s="6">
        <f>VLOOKUP(D5,$I$4:$J$18,2,FALSE)</f>
        <v/>
      </c>
      <c r="F5" s="7" t="n">
        <v>12500</v>
      </c>
      <c r="G5" s="8" t="n">
        <v>45292</v>
      </c>
      <c r="H5" s="2" t="n"/>
      <c r="I5" s="6" t="inlineStr">
        <is>
          <t>Savings</t>
        </is>
      </c>
      <c r="J5" s="6" t="inlineStr">
        <is>
          <t>Asset</t>
        </is>
      </c>
    </row>
    <row r="6">
      <c r="B6" s="6" t="inlineStr">
        <is>
          <t>Fidelity Brokerage</t>
        </is>
      </c>
      <c r="C6" s="6" t="inlineStr">
        <is>
          <t>Fidelity</t>
        </is>
      </c>
      <c r="D6" s="6" t="inlineStr">
        <is>
          <t>Brokerage</t>
        </is>
      </c>
      <c r="E6" s="6">
        <f>VLOOKUP(D6,$I$4:$J$18,2,FALSE)</f>
        <v/>
      </c>
      <c r="F6" s="7" t="n">
        <v>28000</v>
      </c>
      <c r="G6" s="8" t="n">
        <v>45292</v>
      </c>
      <c r="H6" s="2" t="n"/>
      <c r="I6" s="6" t="inlineStr">
        <is>
          <t>Money Market</t>
        </is>
      </c>
      <c r="J6" s="6" t="inlineStr">
        <is>
          <t>Asset</t>
        </is>
      </c>
    </row>
    <row r="7">
      <c r="B7" s="6" t="inlineStr">
        <is>
          <t>Vanguard 401k</t>
        </is>
      </c>
      <c r="C7" s="6" t="inlineStr">
        <is>
          <t>Vanguard</t>
        </is>
      </c>
      <c r="D7" s="6" t="inlineStr">
        <is>
          <t>401k</t>
        </is>
      </c>
      <c r="E7" s="6">
        <f>VLOOKUP(D7,$I$4:$J$18,2,FALSE)</f>
        <v/>
      </c>
      <c r="F7" s="7" t="n">
        <v>68000</v>
      </c>
      <c r="G7" s="8" t="n">
        <v>45292</v>
      </c>
      <c r="H7" s="2" t="n"/>
      <c r="I7" s="6" t="inlineStr">
        <is>
          <t>Brokerage</t>
        </is>
      </c>
      <c r="J7" s="6" t="inlineStr">
        <is>
          <t>Asset</t>
        </is>
      </c>
    </row>
    <row r="8">
      <c r="B8" s="6" t="inlineStr">
        <is>
          <t>Roth IRA</t>
        </is>
      </c>
      <c r="C8" s="6" t="inlineStr">
        <is>
          <t>Vanguard</t>
        </is>
      </c>
      <c r="D8" s="6" t="inlineStr">
        <is>
          <t>IRA</t>
        </is>
      </c>
      <c r="E8" s="6">
        <f>VLOOKUP(D8,$I$4:$J$18,2,FALSE)</f>
        <v/>
      </c>
      <c r="F8" s="7" t="n">
        <v>22000</v>
      </c>
      <c r="G8" s="8" t="n">
        <v>45292</v>
      </c>
      <c r="H8" s="2" t="n"/>
      <c r="I8" s="6" t="inlineStr">
        <is>
          <t>401k</t>
        </is>
      </c>
      <c r="J8" s="6" t="inlineStr">
        <is>
          <t>Asset</t>
        </is>
      </c>
    </row>
    <row r="9">
      <c r="B9" s="6" t="inlineStr">
        <is>
          <t>HSA Account</t>
        </is>
      </c>
      <c r="C9" s="6" t="inlineStr">
        <is>
          <t>Optum</t>
        </is>
      </c>
      <c r="D9" s="6" t="inlineStr">
        <is>
          <t>HSA</t>
        </is>
      </c>
      <c r="E9" s="6">
        <f>VLOOKUP(D9,$I$4:$J$18,2,FALSE)</f>
        <v/>
      </c>
      <c r="F9" s="7" t="n">
        <v>4800</v>
      </c>
      <c r="G9" s="8" t="n">
        <v>45292</v>
      </c>
      <c r="H9" s="2" t="n"/>
      <c r="I9" s="6" t="inlineStr">
        <is>
          <t>IRA</t>
        </is>
      </c>
      <c r="J9" s="6" t="inlineStr">
        <is>
          <t>Asset</t>
        </is>
      </c>
    </row>
    <row r="10">
      <c r="B10" s="6" t="inlineStr">
        <is>
          <t>529 College</t>
        </is>
      </c>
      <c r="C10" s="6" t="inlineStr">
        <is>
          <t>Vanguard</t>
        </is>
      </c>
      <c r="D10" s="6" t="inlineStr">
        <is>
          <t>529</t>
        </is>
      </c>
      <c r="E10" s="6">
        <f>VLOOKUP(D10,$I$4:$J$18,2,FALSE)</f>
        <v/>
      </c>
      <c r="F10" s="7" t="n">
        <v>3200</v>
      </c>
      <c r="G10" s="8" t="n">
        <v>45292</v>
      </c>
      <c r="H10" s="2" t="n"/>
      <c r="I10" s="6" t="inlineStr">
        <is>
          <t>HSA</t>
        </is>
      </c>
      <c r="J10" s="6" t="inlineStr">
        <is>
          <t>Asset</t>
        </is>
      </c>
    </row>
    <row r="11">
      <c r="B11" s="6" t="inlineStr">
        <is>
          <t>Home Equity</t>
        </is>
      </c>
      <c r="C11" s="6" t="inlineStr">
        <is>
          <t>Zillow Est.</t>
        </is>
      </c>
      <c r="D11" s="6" t="inlineStr">
        <is>
          <t>Real Estate</t>
        </is>
      </c>
      <c r="E11" s="6">
        <f>VLOOKUP(D11,$I$4:$J$18,2,FALSE)</f>
        <v/>
      </c>
      <c r="F11" s="7" t="n">
        <v>85000</v>
      </c>
      <c r="G11" s="8" t="n">
        <v>45292</v>
      </c>
      <c r="H11" s="2" t="n"/>
      <c r="I11" s="6" t="inlineStr">
        <is>
          <t>529</t>
        </is>
      </c>
      <c r="J11" s="6" t="inlineStr">
        <is>
          <t>Asset</t>
        </is>
      </c>
    </row>
    <row r="12">
      <c r="B12" s="6" t="inlineStr">
        <is>
          <t>Car Value</t>
        </is>
      </c>
      <c r="C12" s="6" t="inlineStr">
        <is>
          <t>KBB Est.</t>
        </is>
      </c>
      <c r="D12" s="6" t="inlineStr">
        <is>
          <t>Vehicle</t>
        </is>
      </c>
      <c r="E12" s="6">
        <f>VLOOKUP(D12,$I$4:$J$18,2,FALSE)</f>
        <v/>
      </c>
      <c r="F12" s="7" t="n">
        <v>14000</v>
      </c>
      <c r="G12" s="8" t="n">
        <v>45292</v>
      </c>
      <c r="H12" s="2" t="n"/>
      <c r="I12" s="6" t="inlineStr">
        <is>
          <t>Real Estate</t>
        </is>
      </c>
      <c r="J12" s="6" t="inlineStr">
        <is>
          <t>Asset</t>
        </is>
      </c>
    </row>
    <row r="13">
      <c r="B13" s="6" t="inlineStr">
        <is>
          <t>Chase Visa</t>
        </is>
      </c>
      <c r="C13" s="6" t="inlineStr">
        <is>
          <t>Chase</t>
        </is>
      </c>
      <c r="D13" s="6" t="inlineStr">
        <is>
          <t>Credit Card</t>
        </is>
      </c>
      <c r="E13" s="6">
        <f>VLOOKUP(D13,$I$4:$J$18,2,FALSE)</f>
        <v/>
      </c>
      <c r="F13" s="7" t="n">
        <v>2800</v>
      </c>
      <c r="G13" s="8" t="n">
        <v>45292</v>
      </c>
      <c r="H13" s="2" t="n"/>
      <c r="I13" s="6" t="inlineStr">
        <is>
          <t>Vehicle</t>
        </is>
      </c>
      <c r="J13" s="6" t="inlineStr">
        <is>
          <t>Asset</t>
        </is>
      </c>
    </row>
    <row r="14">
      <c r="B14" s="6" t="inlineStr">
        <is>
          <t>Student Loans</t>
        </is>
      </c>
      <c r="C14" s="6" t="inlineStr">
        <is>
          <t>Navient</t>
        </is>
      </c>
      <c r="D14" s="6" t="inlineStr">
        <is>
          <t>Student Loan</t>
        </is>
      </c>
      <c r="E14" s="6">
        <f>VLOOKUP(D14,$I$4:$J$18,2,FALSE)</f>
        <v/>
      </c>
      <c r="F14" s="7" t="n">
        <v>24000</v>
      </c>
      <c r="G14" s="8" t="n">
        <v>45292</v>
      </c>
      <c r="H14" s="2" t="n"/>
      <c r="I14" s="6" t="inlineStr">
        <is>
          <t>Credit Card</t>
        </is>
      </c>
      <c r="J14" s="6" t="inlineStr">
        <is>
          <t>Liability</t>
        </is>
      </c>
    </row>
    <row r="15">
      <c r="B15" s="6" t="inlineStr">
        <is>
          <t>Mortgage</t>
        </is>
      </c>
      <c r="C15" s="6" t="inlineStr">
        <is>
          <t>Wells Fargo</t>
        </is>
      </c>
      <c r="D15" s="6" t="inlineStr">
        <is>
          <t>Mortgage</t>
        </is>
      </c>
      <c r="E15" s="6">
        <f>VLOOKUP(D15,$I$4:$J$18,2,FALSE)</f>
        <v/>
      </c>
      <c r="F15" s="7" t="n">
        <v>195000</v>
      </c>
      <c r="G15" s="8" t="n">
        <v>45292</v>
      </c>
      <c r="H15" s="2" t="n"/>
      <c r="I15" s="6" t="inlineStr">
        <is>
          <t>Student Loan</t>
        </is>
      </c>
      <c r="J15" s="6" t="inlineStr">
        <is>
          <t>Liability</t>
        </is>
      </c>
    </row>
    <row r="16">
      <c r="B16" s="6" t="inlineStr">
        <is>
          <t>Auto Loan</t>
        </is>
      </c>
      <c r="C16" s="6" t="inlineStr">
        <is>
          <t>Capital One</t>
        </is>
      </c>
      <c r="D16" s="6" t="inlineStr">
        <is>
          <t>Auto Loan</t>
        </is>
      </c>
      <c r="E16" s="6">
        <f>VLOOKUP(D16,$I$4:$J$18,2,FALSE)</f>
        <v/>
      </c>
      <c r="F16" s="7" t="n">
        <v>8500</v>
      </c>
      <c r="G16" s="8" t="n">
        <v>45292</v>
      </c>
      <c r="H16" s="2" t="n"/>
      <c r="I16" s="6" t="inlineStr">
        <is>
          <t>Mortgage</t>
        </is>
      </c>
      <c r="J16" s="6" t="inlineStr">
        <is>
          <t>Liability</t>
        </is>
      </c>
    </row>
    <row r="17">
      <c r="B17" s="6" t="inlineStr">
        <is>
          <t>Medical Debt</t>
        </is>
      </c>
      <c r="C17" s="6" t="inlineStr">
        <is>
          <t>Collection</t>
        </is>
      </c>
      <c r="D17" s="6" t="inlineStr">
        <is>
          <t>Other Debt</t>
        </is>
      </c>
      <c r="E17" s="6">
        <f>VLOOKUP(D17,$I$4:$J$18,2,FALSE)</f>
        <v/>
      </c>
      <c r="F17" s="7" t="n">
        <v>1200</v>
      </c>
      <c r="G17" s="8" t="n">
        <v>45292</v>
      </c>
      <c r="H17" s="2" t="n"/>
      <c r="I17" s="6" t="inlineStr">
        <is>
          <t>Auto Loan</t>
        </is>
      </c>
      <c r="J17" s="6" t="inlineStr">
        <is>
          <t>Liability</t>
        </is>
      </c>
    </row>
    <row r="18">
      <c r="B18" s="2" t="n"/>
      <c r="C18" s="2" t="n"/>
      <c r="D18" s="2" t="n"/>
      <c r="E18" s="2" t="n"/>
      <c r="F18" s="2" t="n"/>
      <c r="G18" s="2" t="n"/>
      <c r="H18" s="2" t="n"/>
      <c r="I18" s="6" t="inlineStr">
        <is>
          <t>Other Debt</t>
        </is>
      </c>
      <c r="J18" s="6" t="inlineStr">
        <is>
          <t>Liability</t>
        </is>
      </c>
    </row>
  </sheetData>
  <dataValidations count="1">
    <dataValidation sqref="D4 D5 D6 D7 D8 D9 D10 D11 D12 D13 D14 D15 D16 D17" showDropDown="0" showInputMessage="0" showErrorMessage="0" allowBlank="0" type="list">
      <formula1>"Checking,Savings,Money Market,Brokerage,401k,IRA,HSA,529,Real Estate,Vehicle,Credit Card,Student Loan,Mortgage,Auto Loan,Other Debt"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/>
    <row r="2">
      <c r="B2" s="1" t="inlineStr">
        <is>
          <t>Monthly Balances (2025)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B3" s="5" t="inlineStr">
        <is>
          <t>Account</t>
        </is>
      </c>
      <c r="C3" s="9" t="inlineStr">
        <is>
          <t>Jan</t>
        </is>
      </c>
      <c r="D3" s="9" t="inlineStr">
        <is>
          <t>Feb</t>
        </is>
      </c>
      <c r="E3" s="9" t="inlineStr">
        <is>
          <t>Mar</t>
        </is>
      </c>
      <c r="F3" s="9" t="inlineStr">
        <is>
          <t>Apr</t>
        </is>
      </c>
      <c r="G3" s="9" t="inlineStr">
        <is>
          <t>May</t>
        </is>
      </c>
      <c r="H3" s="9" t="inlineStr">
        <is>
          <t>Jun</t>
        </is>
      </c>
      <c r="I3" s="9" t="inlineStr">
        <is>
          <t>Jul</t>
        </is>
      </c>
      <c r="J3" s="9" t="inlineStr">
        <is>
          <t>Aug</t>
        </is>
      </c>
      <c r="K3" s="9" t="inlineStr">
        <is>
          <t>Sep</t>
        </is>
      </c>
      <c r="L3" s="9" t="inlineStr">
        <is>
          <t>Oct</t>
        </is>
      </c>
      <c r="M3" s="9" t="inlineStr">
        <is>
          <t>Nov</t>
        </is>
      </c>
      <c r="N3" s="9" t="inlineStr">
        <is>
          <t>Dec</t>
        </is>
      </c>
    </row>
    <row r="4">
      <c r="B4" s="6" t="inlineStr">
        <is>
          <t>Chase Checking</t>
        </is>
      </c>
      <c r="C4" s="10" t="n">
        <v>4093</v>
      </c>
      <c r="D4" s="10" t="n">
        <v>4107</v>
      </c>
      <c r="E4" s="10" t="n">
        <v>4167</v>
      </c>
      <c r="F4" s="10" t="n">
        <v>4225</v>
      </c>
      <c r="G4" s="10" t="n">
        <v>4242</v>
      </c>
      <c r="H4" s="10" t="n">
        <v>4216</v>
      </c>
      <c r="I4" s="10" t="n">
        <v>4227</v>
      </c>
      <c r="J4" s="10" t="n">
        <v>4218</v>
      </c>
      <c r="K4" s="10" t="n">
        <v>4284</v>
      </c>
      <c r="L4" s="10" t="n">
        <v>4233</v>
      </c>
      <c r="M4" s="10" t="n">
        <v>4225</v>
      </c>
      <c r="N4" s="10" t="n">
        <v>4257</v>
      </c>
    </row>
    <row r="5">
      <c r="B5" s="6" t="inlineStr">
        <is>
          <t>Ally Savings</t>
        </is>
      </c>
      <c r="C5" s="10" t="n">
        <v>12815</v>
      </c>
      <c r="D5" s="10" t="n">
        <v>12987</v>
      </c>
      <c r="E5" s="10" t="n">
        <v>13179</v>
      </c>
      <c r="F5" s="10" t="n">
        <v>13342</v>
      </c>
      <c r="G5" s="10" t="n">
        <v>13256</v>
      </c>
      <c r="H5" s="10" t="n">
        <v>13380</v>
      </c>
      <c r="I5" s="10" t="n">
        <v>13516</v>
      </c>
      <c r="J5" s="10" t="n">
        <v>13585</v>
      </c>
      <c r="K5" s="10" t="n">
        <v>13683</v>
      </c>
      <c r="L5" s="10" t="n">
        <v>13623</v>
      </c>
      <c r="M5" s="10" t="n">
        <v>13762</v>
      </c>
      <c r="N5" s="10" t="n">
        <v>13682</v>
      </c>
    </row>
    <row r="6">
      <c r="B6" s="6" t="inlineStr">
        <is>
          <t>Fidelity Brokerage</t>
        </is>
      </c>
      <c r="C6" s="10" t="n">
        <v>30767</v>
      </c>
      <c r="D6" s="10" t="n">
        <v>31440</v>
      </c>
      <c r="E6" s="10" t="n">
        <v>32149</v>
      </c>
      <c r="F6" s="10" t="n">
        <v>32462</v>
      </c>
      <c r="G6" s="10" t="n">
        <v>32667</v>
      </c>
      <c r="H6" s="10" t="n">
        <v>33400</v>
      </c>
      <c r="I6" s="10" t="n">
        <v>33714</v>
      </c>
      <c r="J6" s="10" t="n">
        <v>34292</v>
      </c>
      <c r="K6" s="10" t="n">
        <v>34137</v>
      </c>
      <c r="L6" s="10" t="n">
        <v>34170</v>
      </c>
      <c r="M6" s="10" t="n">
        <v>34764</v>
      </c>
      <c r="N6" s="10" t="n">
        <v>35091</v>
      </c>
    </row>
    <row r="7">
      <c r="B7" s="6" t="inlineStr">
        <is>
          <t>Vanguard 401k</t>
        </is>
      </c>
      <c r="C7" s="10" t="n">
        <v>75581</v>
      </c>
      <c r="D7" s="10" t="n">
        <v>75603</v>
      </c>
      <c r="E7" s="10" t="n">
        <v>75858</v>
      </c>
      <c r="F7" s="10" t="n">
        <v>77589</v>
      </c>
      <c r="G7" s="10" t="n">
        <v>79276</v>
      </c>
      <c r="H7" s="10" t="n">
        <v>80366</v>
      </c>
      <c r="I7" s="10" t="n">
        <v>80229</v>
      </c>
      <c r="J7" s="10" t="n">
        <v>81884</v>
      </c>
      <c r="K7" s="10" t="n">
        <v>81625</v>
      </c>
      <c r="L7" s="10" t="n">
        <v>81388</v>
      </c>
      <c r="M7" s="10" t="n">
        <v>82735</v>
      </c>
      <c r="N7" s="10" t="n">
        <v>83010</v>
      </c>
    </row>
    <row r="8">
      <c r="B8" s="6" t="inlineStr">
        <is>
          <t>Roth IRA</t>
        </is>
      </c>
      <c r="C8" s="10" t="n">
        <v>22785</v>
      </c>
      <c r="D8" s="10" t="n">
        <v>23011</v>
      </c>
      <c r="E8" s="10" t="n">
        <v>22857</v>
      </c>
      <c r="F8" s="10" t="n">
        <v>22748</v>
      </c>
      <c r="G8" s="10" t="n">
        <v>23159</v>
      </c>
      <c r="H8" s="10" t="n">
        <v>23637</v>
      </c>
      <c r="I8" s="10" t="n">
        <v>23711</v>
      </c>
      <c r="J8" s="10" t="n">
        <v>24162</v>
      </c>
      <c r="K8" s="10" t="n">
        <v>24629</v>
      </c>
      <c r="L8" s="10" t="n">
        <v>24630</v>
      </c>
      <c r="M8" s="10" t="n">
        <v>24503</v>
      </c>
      <c r="N8" s="10" t="n">
        <v>24422</v>
      </c>
    </row>
    <row r="9">
      <c r="B9" s="6" t="inlineStr">
        <is>
          <t>HSA Account</t>
        </is>
      </c>
      <c r="C9" s="10" t="n">
        <v>5171</v>
      </c>
      <c r="D9" s="10" t="n">
        <v>5272</v>
      </c>
      <c r="E9" s="10" t="n">
        <v>5290</v>
      </c>
      <c r="F9" s="10" t="n">
        <v>5299</v>
      </c>
      <c r="G9" s="10" t="n">
        <v>5299</v>
      </c>
      <c r="H9" s="10" t="n">
        <v>5386</v>
      </c>
      <c r="I9" s="10" t="n">
        <v>5417</v>
      </c>
      <c r="J9" s="10" t="n">
        <v>5391</v>
      </c>
      <c r="K9" s="10" t="n">
        <v>5499</v>
      </c>
      <c r="L9" s="10" t="n">
        <v>5469</v>
      </c>
      <c r="M9" s="10" t="n">
        <v>5495</v>
      </c>
      <c r="N9" s="10" t="n">
        <v>5575</v>
      </c>
    </row>
    <row r="10">
      <c r="B10" s="6" t="inlineStr">
        <is>
          <t>529 College</t>
        </is>
      </c>
      <c r="C10" s="10" t="n">
        <v>3412</v>
      </c>
      <c r="D10" s="10" t="n">
        <v>3391</v>
      </c>
      <c r="E10" s="10" t="n">
        <v>3407</v>
      </c>
      <c r="F10" s="10" t="n">
        <v>3423</v>
      </c>
      <c r="G10" s="10" t="n">
        <v>3421</v>
      </c>
      <c r="H10" s="10" t="n">
        <v>3446</v>
      </c>
      <c r="I10" s="10" t="n">
        <v>3487</v>
      </c>
      <c r="J10" s="10" t="n">
        <v>3552</v>
      </c>
      <c r="K10" s="10" t="n">
        <v>3623</v>
      </c>
      <c r="L10" s="10" t="n">
        <v>3611</v>
      </c>
      <c r="M10" s="10" t="n">
        <v>3652</v>
      </c>
      <c r="N10" s="10" t="n">
        <v>3624</v>
      </c>
    </row>
    <row r="11">
      <c r="B11" s="6" t="inlineStr">
        <is>
          <t>Home Equity</t>
        </is>
      </c>
      <c r="C11" s="10" t="n">
        <v>91535</v>
      </c>
      <c r="D11" s="10" t="n">
        <v>92448</v>
      </c>
      <c r="E11" s="10" t="n">
        <v>91592</v>
      </c>
      <c r="F11" s="10" t="n">
        <v>93074</v>
      </c>
      <c r="G11" s="10" t="n">
        <v>93388</v>
      </c>
      <c r="H11" s="10" t="n">
        <v>93122</v>
      </c>
      <c r="I11" s="10" t="n">
        <v>94668</v>
      </c>
      <c r="J11" s="10" t="n">
        <v>95063</v>
      </c>
      <c r="K11" s="10" t="n">
        <v>94949</v>
      </c>
      <c r="L11" s="10" t="n">
        <v>94120</v>
      </c>
      <c r="M11" s="10" t="n">
        <v>95625</v>
      </c>
      <c r="N11" s="10" t="n">
        <v>96930</v>
      </c>
    </row>
    <row r="12">
      <c r="B12" s="6" t="inlineStr">
        <is>
          <t>Car Value</t>
        </is>
      </c>
      <c r="C12" s="10" t="n">
        <v>13047</v>
      </c>
      <c r="D12" s="10" t="n">
        <v>13051</v>
      </c>
      <c r="E12" s="10" t="n">
        <v>12875</v>
      </c>
      <c r="F12" s="10" t="n">
        <v>12839</v>
      </c>
      <c r="G12" s="10" t="n">
        <v>12604</v>
      </c>
      <c r="H12" s="10" t="n">
        <v>12495</v>
      </c>
      <c r="I12" s="10" t="n">
        <v>12218</v>
      </c>
      <c r="J12" s="10" t="n">
        <v>12254</v>
      </c>
      <c r="K12" s="10" t="n">
        <v>12163</v>
      </c>
      <c r="L12" s="10" t="n">
        <v>12107</v>
      </c>
      <c r="M12" s="10" t="n">
        <v>12141</v>
      </c>
      <c r="N12" s="10" t="n">
        <v>11969</v>
      </c>
    </row>
    <row r="13">
      <c r="B13" s="6" t="inlineStr">
        <is>
          <t>Chase Visa</t>
        </is>
      </c>
      <c r="C13" s="10" t="n">
        <v>1955</v>
      </c>
      <c r="D13" s="10" t="n">
        <v>1902</v>
      </c>
      <c r="E13" s="10" t="n">
        <v>1850</v>
      </c>
      <c r="F13" s="10" t="n">
        <v>1801</v>
      </c>
      <c r="G13" s="10" t="n">
        <v>1745</v>
      </c>
      <c r="H13" s="10" t="n">
        <v>1696</v>
      </c>
      <c r="I13" s="10" t="n">
        <v>1654</v>
      </c>
      <c r="J13" s="10" t="n">
        <v>1598</v>
      </c>
      <c r="K13" s="10" t="n">
        <v>1528</v>
      </c>
      <c r="L13" s="10" t="n">
        <v>1487</v>
      </c>
      <c r="M13" s="10" t="n">
        <v>1428</v>
      </c>
      <c r="N13" s="10" t="n">
        <v>1367</v>
      </c>
    </row>
    <row r="14">
      <c r="B14" s="6" t="inlineStr">
        <is>
          <t>Student Loans</t>
        </is>
      </c>
      <c r="C14" s="10" t="n">
        <v>19602</v>
      </c>
      <c r="D14" s="10" t="n">
        <v>19133</v>
      </c>
      <c r="E14" s="10" t="n">
        <v>19070</v>
      </c>
      <c r="F14" s="10" t="n">
        <v>18791</v>
      </c>
      <c r="G14" s="10" t="n">
        <v>18785</v>
      </c>
      <c r="H14" s="10" t="n">
        <v>18337</v>
      </c>
      <c r="I14" s="10" t="n">
        <v>18181</v>
      </c>
      <c r="J14" s="10" t="n">
        <v>18183</v>
      </c>
      <c r="K14" s="10" t="n">
        <v>17964</v>
      </c>
      <c r="L14" s="10" t="n">
        <v>17716</v>
      </c>
      <c r="M14" s="10" t="n">
        <v>17678</v>
      </c>
      <c r="N14" s="10" t="n">
        <v>17410</v>
      </c>
    </row>
    <row r="15">
      <c r="B15" s="6" t="inlineStr">
        <is>
          <t>Mortgage</t>
        </is>
      </c>
      <c r="C15" s="10" t="n">
        <v>189836</v>
      </c>
      <c r="D15" s="10" t="n">
        <v>186588</v>
      </c>
      <c r="E15" s="10" t="n">
        <v>186726</v>
      </c>
      <c r="F15" s="10" t="n">
        <v>183820</v>
      </c>
      <c r="G15" s="10" t="n">
        <v>181748</v>
      </c>
      <c r="H15" s="10" t="n">
        <v>181988</v>
      </c>
      <c r="I15" s="10" t="n">
        <v>181485</v>
      </c>
      <c r="J15" s="10" t="n">
        <v>182102</v>
      </c>
      <c r="K15" s="10" t="n">
        <v>182997</v>
      </c>
      <c r="L15" s="10" t="n">
        <v>181386</v>
      </c>
      <c r="M15" s="10" t="n">
        <v>181416</v>
      </c>
      <c r="N15" s="10" t="n">
        <v>183121</v>
      </c>
    </row>
    <row r="16">
      <c r="B16" s="6" t="inlineStr">
        <is>
          <t>Auto Loan</t>
        </is>
      </c>
      <c r="C16" s="10" t="n">
        <v>7100</v>
      </c>
      <c r="D16" s="10" t="n">
        <v>7034</v>
      </c>
      <c r="E16" s="10" t="n">
        <v>6895</v>
      </c>
      <c r="F16" s="10" t="n">
        <v>6888</v>
      </c>
      <c r="G16" s="10" t="n">
        <v>6719</v>
      </c>
      <c r="H16" s="10" t="n">
        <v>6641</v>
      </c>
      <c r="I16" s="10" t="n">
        <v>6605</v>
      </c>
      <c r="J16" s="10" t="n">
        <v>6442</v>
      </c>
      <c r="K16" s="10" t="n">
        <v>6292</v>
      </c>
      <c r="L16" s="10" t="n">
        <v>6196</v>
      </c>
      <c r="M16" s="10" t="n">
        <v>6093</v>
      </c>
      <c r="N16" s="10" t="n">
        <v>6104</v>
      </c>
    </row>
    <row r="17">
      <c r="B17" s="6" t="inlineStr">
        <is>
          <t>Medical Debt</t>
        </is>
      </c>
      <c r="C17" s="10" t="n">
        <v>801</v>
      </c>
      <c r="D17" s="10" t="n">
        <v>781</v>
      </c>
      <c r="E17" s="10" t="n">
        <v>768</v>
      </c>
      <c r="F17" s="10" t="n">
        <v>743</v>
      </c>
      <c r="G17" s="10" t="n">
        <v>722</v>
      </c>
      <c r="H17" s="10" t="n">
        <v>706</v>
      </c>
      <c r="I17" s="10" t="n">
        <v>689</v>
      </c>
      <c r="J17" s="10" t="n">
        <v>665</v>
      </c>
      <c r="K17" s="10" t="n">
        <v>645</v>
      </c>
      <c r="L17" s="10" t="n">
        <v>624</v>
      </c>
      <c r="M17" s="10" t="n">
        <v>604</v>
      </c>
      <c r="N17" s="10" t="n">
        <v>589</v>
      </c>
    </row>
    <row r="18"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B19" s="11" t="inlineStr">
        <is>
          <t>Total Assets</t>
        </is>
      </c>
      <c r="C19" s="12">
        <f>SUMPRODUCT((Accounts!$E$4:$E$17="Asset")*C$4:C$17)</f>
        <v/>
      </c>
      <c r="D19" s="12">
        <f>SUMPRODUCT((Accounts!$E$4:$E$17="Asset")*D$4:D$17)</f>
        <v/>
      </c>
      <c r="E19" s="12">
        <f>SUMPRODUCT((Accounts!$E$4:$E$17="Asset")*E$4:E$17)</f>
        <v/>
      </c>
      <c r="F19" s="12">
        <f>SUMPRODUCT((Accounts!$E$4:$E$17="Asset")*F$4:F$17)</f>
        <v/>
      </c>
      <c r="G19" s="12">
        <f>SUMPRODUCT((Accounts!$E$4:$E$17="Asset")*G$4:G$17)</f>
        <v/>
      </c>
      <c r="H19" s="12">
        <f>SUMPRODUCT((Accounts!$E$4:$E$17="Asset")*H$4:H$17)</f>
        <v/>
      </c>
      <c r="I19" s="12">
        <f>SUMPRODUCT((Accounts!$E$4:$E$17="Asset")*I$4:I$17)</f>
        <v/>
      </c>
      <c r="J19" s="12">
        <f>SUMPRODUCT((Accounts!$E$4:$E$17="Asset")*J$4:J$17)</f>
        <v/>
      </c>
      <c r="K19" s="12">
        <f>SUMPRODUCT((Accounts!$E$4:$E$17="Asset")*K$4:K$17)</f>
        <v/>
      </c>
      <c r="L19" s="12">
        <f>SUMPRODUCT((Accounts!$E$4:$E$17="Asset")*L$4:L$17)</f>
        <v/>
      </c>
      <c r="M19" s="12">
        <f>SUMPRODUCT((Accounts!$E$4:$E$17="Asset")*M$4:M$17)</f>
        <v/>
      </c>
      <c r="N19" s="12">
        <f>SUMPRODUCT((Accounts!$E$4:$E$17="Asset")*N$4:N$17)</f>
        <v/>
      </c>
    </row>
    <row r="20">
      <c r="B20" s="11" t="inlineStr">
        <is>
          <t>Total Liabilities</t>
        </is>
      </c>
      <c r="C20" s="12">
        <f>SUMPRODUCT((Accounts!$E$4:$E$17="Liability")*C$4:C$17)</f>
        <v/>
      </c>
      <c r="D20" s="12">
        <f>SUMPRODUCT((Accounts!$E$4:$E$17="Liability")*D$4:D$17)</f>
        <v/>
      </c>
      <c r="E20" s="12">
        <f>SUMPRODUCT((Accounts!$E$4:$E$17="Liability")*E$4:E$17)</f>
        <v/>
      </c>
      <c r="F20" s="12">
        <f>SUMPRODUCT((Accounts!$E$4:$E$17="Liability")*F$4:F$17)</f>
        <v/>
      </c>
      <c r="G20" s="12">
        <f>SUMPRODUCT((Accounts!$E$4:$E$17="Liability")*G$4:G$17)</f>
        <v/>
      </c>
      <c r="H20" s="12">
        <f>SUMPRODUCT((Accounts!$E$4:$E$17="Liability")*H$4:H$17)</f>
        <v/>
      </c>
      <c r="I20" s="12">
        <f>SUMPRODUCT((Accounts!$E$4:$E$17="Liability")*I$4:I$17)</f>
        <v/>
      </c>
      <c r="J20" s="12">
        <f>SUMPRODUCT((Accounts!$E$4:$E$17="Liability")*J$4:J$17)</f>
        <v/>
      </c>
      <c r="K20" s="12">
        <f>SUMPRODUCT((Accounts!$E$4:$E$17="Liability")*K$4:K$17)</f>
        <v/>
      </c>
      <c r="L20" s="12">
        <f>SUMPRODUCT((Accounts!$E$4:$E$17="Liability")*L$4:L$17)</f>
        <v/>
      </c>
      <c r="M20" s="12">
        <f>SUMPRODUCT((Accounts!$E$4:$E$17="Liability")*M$4:M$17)</f>
        <v/>
      </c>
      <c r="N20" s="12">
        <f>SUMPRODUCT((Accounts!$E$4:$E$17="Liability")*N$4:N$17)</f>
        <v/>
      </c>
    </row>
    <row r="21">
      <c r="B21" s="11" t="inlineStr">
        <is>
          <t>Net Worth</t>
        </is>
      </c>
      <c r="C21" s="12">
        <f>C19-C20</f>
        <v/>
      </c>
      <c r="D21" s="12">
        <f>D19-D20</f>
        <v/>
      </c>
      <c r="E21" s="12">
        <f>E19-E20</f>
        <v/>
      </c>
      <c r="F21" s="12">
        <f>F19-F20</f>
        <v/>
      </c>
      <c r="G21" s="12">
        <f>G19-G20</f>
        <v/>
      </c>
      <c r="H21" s="12">
        <f>H19-H20</f>
        <v/>
      </c>
      <c r="I21" s="12">
        <f>I19-I20</f>
        <v/>
      </c>
      <c r="J21" s="12">
        <f>J19-J20</f>
        <v/>
      </c>
      <c r="K21" s="12">
        <f>K19-K20</f>
        <v/>
      </c>
      <c r="L21" s="12">
        <f>L19-L20</f>
        <v/>
      </c>
      <c r="M21" s="12">
        <f>M19-M20</f>
        <v/>
      </c>
      <c r="N21" s="12">
        <f>N19-N20</f>
        <v/>
      </c>
    </row>
    <row r="22">
      <c r="B22" s="11" t="inlineStr">
        <is>
          <t>MoM Change ($)</t>
        </is>
      </c>
      <c r="C22" s="12">
        <f>C21</f>
        <v/>
      </c>
      <c r="D22" s="12">
        <f>D21-C21</f>
        <v/>
      </c>
      <c r="E22" s="12">
        <f>E21-D21</f>
        <v/>
      </c>
      <c r="F22" s="12">
        <f>F21-E21</f>
        <v/>
      </c>
      <c r="G22" s="12">
        <f>G21-F21</f>
        <v/>
      </c>
      <c r="H22" s="12">
        <f>H21-G21</f>
        <v/>
      </c>
      <c r="I22" s="12">
        <f>I21-H21</f>
        <v/>
      </c>
      <c r="J22" s="12">
        <f>J21-I21</f>
        <v/>
      </c>
      <c r="K22" s="12">
        <f>K21-J21</f>
        <v/>
      </c>
      <c r="L22" s="12">
        <f>L21-K21</f>
        <v/>
      </c>
      <c r="M22" s="12">
        <f>M21-L21</f>
        <v/>
      </c>
      <c r="N22" s="12">
        <f>N21-M21</f>
        <v/>
      </c>
    </row>
    <row r="23">
      <c r="B23" s="11" t="inlineStr">
        <is>
          <t>MoM Change (%)</t>
        </is>
      </c>
      <c r="C23" s="13" t="n">
        <v>0</v>
      </c>
      <c r="D23" s="13">
        <f>IFERROR(D22/C21,0)</f>
        <v/>
      </c>
      <c r="E23" s="13">
        <f>IFERROR(E22/D21,0)</f>
        <v/>
      </c>
      <c r="F23" s="13">
        <f>IFERROR(F22/E21,0)</f>
        <v/>
      </c>
      <c r="G23" s="13">
        <f>IFERROR(G22/F21,0)</f>
        <v/>
      </c>
      <c r="H23" s="13">
        <f>IFERROR(H22/G21,0)</f>
        <v/>
      </c>
      <c r="I23" s="13">
        <f>IFERROR(I22/H21,0)</f>
        <v/>
      </c>
      <c r="J23" s="13">
        <f>IFERROR(J22/I21,0)</f>
        <v/>
      </c>
      <c r="K23" s="13">
        <f>IFERROR(K22/J21,0)</f>
        <v/>
      </c>
      <c r="L23" s="13">
        <f>IFERROR(L22/K21,0)</f>
        <v/>
      </c>
      <c r="M23" s="13">
        <f>IFERROR(M22/L21,0)</f>
        <v/>
      </c>
      <c r="N23" s="13">
        <f>IFERROR(N22/M21,0)</f>
        <v/>
      </c>
    </row>
  </sheetData>
  <conditionalFormatting sqref="C2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K2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L2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M2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N22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/>
    <row r="2">
      <c r="B2" s="1" t="inlineStr">
        <is>
          <t>Net Worth History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B3" s="3" t="inlineStr">
        <is>
          <t>Month/Year</t>
        </is>
      </c>
      <c r="C3" s="4" t="inlineStr">
        <is>
          <t>Total Assets</t>
        </is>
      </c>
      <c r="D3" s="4" t="inlineStr">
        <is>
          <t>Total Liabilities</t>
        </is>
      </c>
      <c r="E3" s="4" t="inlineStr">
        <is>
          <t>Net Worth</t>
        </is>
      </c>
      <c r="F3" s="4" t="inlineStr">
        <is>
          <t>MoM Change ($)</t>
        </is>
      </c>
      <c r="G3" s="4" t="inlineStr">
        <is>
          <t>MoM Change (%)</t>
        </is>
      </c>
      <c r="H3" s="4" t="inlineStr">
        <is>
          <t>3-Mo Avg Change</t>
        </is>
      </c>
      <c r="I3" s="4" t="inlineStr">
        <is>
          <t>6-Mo Avg Change</t>
        </is>
      </c>
      <c r="J3" s="4" t="inlineStr">
        <is>
          <t>12-Mo Avg Change</t>
        </is>
      </c>
    </row>
    <row r="4">
      <c r="B4" s="6" t="inlineStr">
        <is>
          <t>Jan 2024</t>
        </is>
      </c>
      <c r="C4" s="14" t="n">
        <v>242909</v>
      </c>
      <c r="D4" s="14" t="n">
        <v>230238</v>
      </c>
      <c r="E4" s="14">
        <f>C4-D4</f>
        <v/>
      </c>
      <c r="F4" s="14" t="n">
        <v>0</v>
      </c>
      <c r="G4" s="15" t="n">
        <v>0</v>
      </c>
      <c r="H4" s="14">
        <f>IFERROR(AVERAGE(F$4:F4),0)</f>
        <v/>
      </c>
      <c r="I4" s="14">
        <f>IFERROR(AVERAGE(F$4:F4),0)</f>
        <v/>
      </c>
      <c r="J4" s="14">
        <f>IFERROR(AVERAGE(F$4:F4),0)</f>
        <v/>
      </c>
    </row>
    <row r="5">
      <c r="B5" s="6" t="inlineStr">
        <is>
          <t>Feb 2024</t>
        </is>
      </c>
      <c r="C5" s="14" t="n">
        <v>243439</v>
      </c>
      <c r="D5" s="14" t="n">
        <v>228661</v>
      </c>
      <c r="E5" s="14">
        <f>C5-D5</f>
        <v/>
      </c>
      <c r="F5" s="14">
        <f>E5-E4</f>
        <v/>
      </c>
      <c r="G5" s="15">
        <f>IFERROR(F5/E4,0)</f>
        <v/>
      </c>
      <c r="H5" s="14">
        <f>IFERROR(AVERAGE(F$4:F5),0)</f>
        <v/>
      </c>
      <c r="I5" s="14">
        <f>IFERROR(AVERAGE(F$4:F5),0)</f>
        <v/>
      </c>
      <c r="J5" s="14">
        <f>IFERROR(AVERAGE(F$4:F5),0)</f>
        <v/>
      </c>
    </row>
    <row r="6">
      <c r="B6" s="6" t="inlineStr">
        <is>
          <t>Mar 2024</t>
        </is>
      </c>
      <c r="C6" s="14" t="n">
        <v>244138</v>
      </c>
      <c r="D6" s="14" t="n">
        <v>229761</v>
      </c>
      <c r="E6" s="14">
        <f>C6-D6</f>
        <v/>
      </c>
      <c r="F6" s="14">
        <f>E6-E5</f>
        <v/>
      </c>
      <c r="G6" s="15">
        <f>IFERROR(F6/E5,0)</f>
        <v/>
      </c>
      <c r="H6" s="14">
        <f>AVERAGE(F4:F6)</f>
        <v/>
      </c>
      <c r="I6" s="14">
        <f>IFERROR(AVERAGE(F$4:F6),0)</f>
        <v/>
      </c>
      <c r="J6" s="14">
        <f>IFERROR(AVERAGE(F$4:F6),0)</f>
        <v/>
      </c>
    </row>
    <row r="7">
      <c r="B7" s="6" t="inlineStr">
        <is>
          <t>Apr 2024</t>
        </is>
      </c>
      <c r="C7" s="14" t="n">
        <v>244439</v>
      </c>
      <c r="D7" s="14" t="n">
        <v>227618</v>
      </c>
      <c r="E7" s="14">
        <f>C7-D7</f>
        <v/>
      </c>
      <c r="F7" s="14">
        <f>E7-E6</f>
        <v/>
      </c>
      <c r="G7" s="15">
        <f>IFERROR(F7/E6,0)</f>
        <v/>
      </c>
      <c r="H7" s="14">
        <f>AVERAGE(F5:F7)</f>
        <v/>
      </c>
      <c r="I7" s="14">
        <f>IFERROR(AVERAGE(F$4:F7),0)</f>
        <v/>
      </c>
      <c r="J7" s="14">
        <f>IFERROR(AVERAGE(F$4:F7),0)</f>
        <v/>
      </c>
    </row>
    <row r="8">
      <c r="B8" s="6" t="inlineStr">
        <is>
          <t>May 2024</t>
        </is>
      </c>
      <c r="C8" s="14" t="n">
        <v>245978</v>
      </c>
      <c r="D8" s="14" t="n">
        <v>228299</v>
      </c>
      <c r="E8" s="14">
        <f>C8-D8</f>
        <v/>
      </c>
      <c r="F8" s="14">
        <f>E8-E7</f>
        <v/>
      </c>
      <c r="G8" s="15">
        <f>IFERROR(F8/E7,0)</f>
        <v/>
      </c>
      <c r="H8" s="14">
        <f>AVERAGE(F6:F8)</f>
        <v/>
      </c>
      <c r="I8" s="14">
        <f>IFERROR(AVERAGE(F$4:F8),0)</f>
        <v/>
      </c>
      <c r="J8" s="14">
        <f>IFERROR(AVERAGE(F$4:F8),0)</f>
        <v/>
      </c>
    </row>
    <row r="9">
      <c r="B9" s="6" t="inlineStr">
        <is>
          <t>Jun 2024</t>
        </is>
      </c>
      <c r="C9" s="14" t="n">
        <v>248183</v>
      </c>
      <c r="D9" s="14" t="n">
        <v>224743</v>
      </c>
      <c r="E9" s="14">
        <f>C9-D9</f>
        <v/>
      </c>
      <c r="F9" s="14">
        <f>E9-E8</f>
        <v/>
      </c>
      <c r="G9" s="15">
        <f>IFERROR(F9/E8,0)</f>
        <v/>
      </c>
      <c r="H9" s="14">
        <f>AVERAGE(F7:F9)</f>
        <v/>
      </c>
      <c r="I9" s="14">
        <f>AVERAGE(F4:F9)</f>
        <v/>
      </c>
      <c r="J9" s="14">
        <f>IFERROR(AVERAGE(F$4:F9),0)</f>
        <v/>
      </c>
    </row>
    <row r="10">
      <c r="B10" s="6" t="inlineStr">
        <is>
          <t>Jul 2024</t>
        </is>
      </c>
      <c r="C10" s="14" t="n">
        <v>248886</v>
      </c>
      <c r="D10" s="14" t="n">
        <v>224744</v>
      </c>
      <c r="E10" s="14">
        <f>C10-D10</f>
        <v/>
      </c>
      <c r="F10" s="14">
        <f>E10-E9</f>
        <v/>
      </c>
      <c r="G10" s="15">
        <f>IFERROR(F10/E9,0)</f>
        <v/>
      </c>
      <c r="H10" s="14">
        <f>AVERAGE(F8:F10)</f>
        <v/>
      </c>
      <c r="I10" s="14">
        <f>AVERAGE(F5:F10)</f>
        <v/>
      </c>
      <c r="J10" s="14">
        <f>IFERROR(AVERAGE(F$4:F10),0)</f>
        <v/>
      </c>
    </row>
    <row r="11">
      <c r="B11" s="6" t="inlineStr">
        <is>
          <t>Aug 2024</t>
        </is>
      </c>
      <c r="C11" s="14" t="n">
        <v>250418</v>
      </c>
      <c r="D11" s="14" t="n">
        <v>223606</v>
      </c>
      <c r="E11" s="14">
        <f>C11-D11</f>
        <v/>
      </c>
      <c r="F11" s="14">
        <f>E11-E10</f>
        <v/>
      </c>
      <c r="G11" s="15">
        <f>IFERROR(F11/E10,0)</f>
        <v/>
      </c>
      <c r="H11" s="14">
        <f>AVERAGE(F9:F11)</f>
        <v/>
      </c>
      <c r="I11" s="14">
        <f>AVERAGE(F6:F11)</f>
        <v/>
      </c>
      <c r="J11" s="14">
        <f>IFERROR(AVERAGE(F$4:F11),0)</f>
        <v/>
      </c>
    </row>
    <row r="12">
      <c r="B12" s="6" t="inlineStr">
        <is>
          <t>Sep 2024</t>
        </is>
      </c>
      <c r="C12" s="14" t="n">
        <v>252378</v>
      </c>
      <c r="D12" s="14" t="n">
        <v>223377</v>
      </c>
      <c r="E12" s="14">
        <f>C12-D12</f>
        <v/>
      </c>
      <c r="F12" s="14">
        <f>E12-E11</f>
        <v/>
      </c>
      <c r="G12" s="15">
        <f>IFERROR(F12/E11,0)</f>
        <v/>
      </c>
      <c r="H12" s="14">
        <f>AVERAGE(F10:F12)</f>
        <v/>
      </c>
      <c r="I12" s="14">
        <f>AVERAGE(F7:F12)</f>
        <v/>
      </c>
      <c r="J12" s="14">
        <f>IFERROR(AVERAGE(F$4:F12),0)</f>
        <v/>
      </c>
    </row>
    <row r="13">
      <c r="B13" s="6" t="inlineStr">
        <is>
          <t>Oct 2024</t>
        </is>
      </c>
      <c r="C13" s="14" t="n">
        <v>254475</v>
      </c>
      <c r="D13" s="14" t="n">
        <v>220254</v>
      </c>
      <c r="E13" s="14">
        <f>C13-D13</f>
        <v/>
      </c>
      <c r="F13" s="14">
        <f>E13-E12</f>
        <v/>
      </c>
      <c r="G13" s="15">
        <f>IFERROR(F13/E12,0)</f>
        <v/>
      </c>
      <c r="H13" s="14">
        <f>AVERAGE(F11:F13)</f>
        <v/>
      </c>
      <c r="I13" s="14">
        <f>AVERAGE(F8:F13)</f>
        <v/>
      </c>
      <c r="J13" s="14">
        <f>IFERROR(AVERAGE(F$4:F13),0)</f>
        <v/>
      </c>
    </row>
    <row r="14">
      <c r="B14" s="6" t="inlineStr">
        <is>
          <t>Nov 2024</t>
        </is>
      </c>
      <c r="C14" s="14" t="n">
        <v>256547</v>
      </c>
      <c r="D14" s="14" t="n">
        <v>219365</v>
      </c>
      <c r="E14" s="14">
        <f>C14-D14</f>
        <v/>
      </c>
      <c r="F14" s="14">
        <f>E14-E13</f>
        <v/>
      </c>
      <c r="G14" s="15">
        <f>IFERROR(F14/E13,0)</f>
        <v/>
      </c>
      <c r="H14" s="14">
        <f>AVERAGE(F12:F14)</f>
        <v/>
      </c>
      <c r="I14" s="14">
        <f>AVERAGE(F9:F14)</f>
        <v/>
      </c>
      <c r="J14" s="14">
        <f>IFERROR(AVERAGE(F$4:F14),0)</f>
        <v/>
      </c>
    </row>
    <row r="15">
      <c r="B15" s="6" t="inlineStr">
        <is>
          <t>Dec 2024</t>
        </is>
      </c>
      <c r="C15" s="14" t="n">
        <v>257938</v>
      </c>
      <c r="D15" s="14" t="n">
        <v>221154</v>
      </c>
      <c r="E15" s="14">
        <f>C15-D15</f>
        <v/>
      </c>
      <c r="F15" s="14">
        <f>E15-E14</f>
        <v/>
      </c>
      <c r="G15" s="15">
        <f>IFERROR(F15/E14,0)</f>
        <v/>
      </c>
      <c r="H15" s="14">
        <f>AVERAGE(F13:F15)</f>
        <v/>
      </c>
      <c r="I15" s="14">
        <f>AVERAGE(F10:F15)</f>
        <v/>
      </c>
      <c r="J15" s="14">
        <f>AVERAGE(F4:F15)</f>
        <v/>
      </c>
    </row>
    <row r="16">
      <c r="B16" s="6" t="inlineStr">
        <is>
          <t>Jan 2025</t>
        </is>
      </c>
      <c r="C16" s="14" t="n">
        <v>259206</v>
      </c>
      <c r="D16" s="14" t="n">
        <v>219294</v>
      </c>
      <c r="E16" s="14">
        <f>C16-D16</f>
        <v/>
      </c>
      <c r="F16" s="14">
        <f>E16-E15</f>
        <v/>
      </c>
      <c r="G16" s="15">
        <f>IFERROR(F16/E15,0)</f>
        <v/>
      </c>
      <c r="H16" s="14">
        <f>AVERAGE(F14:F16)</f>
        <v/>
      </c>
      <c r="I16" s="14">
        <f>AVERAGE(F11:F16)</f>
        <v/>
      </c>
      <c r="J16" s="14">
        <f>AVERAGE(F5:F16)</f>
        <v/>
      </c>
    </row>
    <row r="17">
      <c r="B17" s="6" t="inlineStr">
        <is>
          <t>Feb 2025</t>
        </is>
      </c>
      <c r="C17" s="14" t="n">
        <v>261310</v>
      </c>
      <c r="D17" s="14" t="n">
        <v>215438</v>
      </c>
      <c r="E17" s="14">
        <f>C17-D17</f>
        <v/>
      </c>
      <c r="F17" s="14">
        <f>E17-E16</f>
        <v/>
      </c>
      <c r="G17" s="15">
        <f>IFERROR(F17/E16,0)</f>
        <v/>
      </c>
      <c r="H17" s="14">
        <f>AVERAGE(F15:F17)</f>
        <v/>
      </c>
      <c r="I17" s="14">
        <f>AVERAGE(F12:F17)</f>
        <v/>
      </c>
      <c r="J17" s="14">
        <f>AVERAGE(F6:F17)</f>
        <v/>
      </c>
    </row>
    <row r="18">
      <c r="B18" s="6" t="inlineStr">
        <is>
          <t>Mar 2025</t>
        </is>
      </c>
      <c r="C18" s="14" t="n">
        <v>261374</v>
      </c>
      <c r="D18" s="14" t="n">
        <v>215309</v>
      </c>
      <c r="E18" s="14">
        <f>C18-D18</f>
        <v/>
      </c>
      <c r="F18" s="14">
        <f>E18-E17</f>
        <v/>
      </c>
      <c r="G18" s="15">
        <f>IFERROR(F18/E17,0)</f>
        <v/>
      </c>
      <c r="H18" s="14">
        <f>AVERAGE(F16:F18)</f>
        <v/>
      </c>
      <c r="I18" s="14">
        <f>AVERAGE(F13:F18)</f>
        <v/>
      </c>
      <c r="J18" s="14">
        <f>AVERAGE(F7:F18)</f>
        <v/>
      </c>
    </row>
    <row r="19">
      <c r="B19" s="6" t="inlineStr">
        <is>
          <t>Apr 2025</t>
        </is>
      </c>
      <c r="C19" s="14" t="n">
        <v>265001</v>
      </c>
      <c r="D19" s="14" t="n">
        <v>212043</v>
      </c>
      <c r="E19" s="14">
        <f>C19-D19</f>
        <v/>
      </c>
      <c r="F19" s="14">
        <f>E19-E18</f>
        <v/>
      </c>
      <c r="G19" s="15">
        <f>IFERROR(F19/E18,0)</f>
        <v/>
      </c>
      <c r="H19" s="14">
        <f>AVERAGE(F17:F19)</f>
        <v/>
      </c>
      <c r="I19" s="14">
        <f>AVERAGE(F14:F19)</f>
        <v/>
      </c>
      <c r="J19" s="14">
        <f>AVERAGE(F8:F19)</f>
        <v/>
      </c>
    </row>
    <row r="20">
      <c r="B20" s="6" t="inlineStr">
        <is>
          <t>May 2025</t>
        </is>
      </c>
      <c r="C20" s="14" t="n">
        <v>267312</v>
      </c>
      <c r="D20" s="14" t="n">
        <v>209719</v>
      </c>
      <c r="E20" s="14">
        <f>C20-D20</f>
        <v/>
      </c>
      <c r="F20" s="14">
        <f>E20-E19</f>
        <v/>
      </c>
      <c r="G20" s="15">
        <f>IFERROR(F20/E19,0)</f>
        <v/>
      </c>
      <c r="H20" s="14">
        <f>AVERAGE(F18:F20)</f>
        <v/>
      </c>
      <c r="I20" s="14">
        <f>AVERAGE(F15:F20)</f>
        <v/>
      </c>
      <c r="J20" s="14">
        <f>AVERAGE(F9:F20)</f>
        <v/>
      </c>
    </row>
    <row r="21">
      <c r="B21" s="6" t="inlineStr">
        <is>
          <t>Jun 2025</t>
        </is>
      </c>
      <c r="C21" s="14" t="n">
        <v>269448</v>
      </c>
      <c r="D21" s="14" t="n">
        <v>209368</v>
      </c>
      <c r="E21" s="14">
        <f>C21-D21</f>
        <v/>
      </c>
      <c r="F21" s="14">
        <f>E21-E20</f>
        <v/>
      </c>
      <c r="G21" s="15">
        <f>IFERROR(F21/E20,0)</f>
        <v/>
      </c>
      <c r="H21" s="14">
        <f>AVERAGE(F19:F21)</f>
        <v/>
      </c>
      <c r="I21" s="14">
        <f>AVERAGE(F16:F21)</f>
        <v/>
      </c>
      <c r="J21" s="14">
        <f>AVERAGE(F10:F21)</f>
        <v/>
      </c>
    </row>
    <row r="22">
      <c r="B22" s="6" t="inlineStr">
        <is>
          <t>Jul 2025</t>
        </is>
      </c>
      <c r="C22" s="14" t="n">
        <v>271187</v>
      </c>
      <c r="D22" s="14" t="n">
        <v>208614</v>
      </c>
      <c r="E22" s="14">
        <f>C22-D22</f>
        <v/>
      </c>
      <c r="F22" s="14">
        <f>E22-E21</f>
        <v/>
      </c>
      <c r="G22" s="15">
        <f>IFERROR(F22/E21,0)</f>
        <v/>
      </c>
      <c r="H22" s="14">
        <f>AVERAGE(F20:F22)</f>
        <v/>
      </c>
      <c r="I22" s="14">
        <f>AVERAGE(F17:F22)</f>
        <v/>
      </c>
      <c r="J22" s="14">
        <f>AVERAGE(F11:F22)</f>
        <v/>
      </c>
    </row>
    <row r="23">
      <c r="B23" s="6" t="inlineStr">
        <is>
          <t>Aug 2025</t>
        </is>
      </c>
      <c r="C23" s="14" t="n">
        <v>274401</v>
      </c>
      <c r="D23" s="14" t="n">
        <v>208990</v>
      </c>
      <c r="E23" s="14">
        <f>C23-D23</f>
        <v/>
      </c>
      <c r="F23" s="14">
        <f>E23-E22</f>
        <v/>
      </c>
      <c r="G23" s="15">
        <f>IFERROR(F23/E22,0)</f>
        <v/>
      </c>
      <c r="H23" s="14">
        <f>AVERAGE(F21:F23)</f>
        <v/>
      </c>
      <c r="I23" s="14">
        <f>AVERAGE(F18:F23)</f>
        <v/>
      </c>
      <c r="J23" s="14">
        <f>AVERAGE(F12:F23)</f>
        <v/>
      </c>
    </row>
    <row r="24">
      <c r="B24" s="6" t="inlineStr">
        <is>
          <t>Sep 2025</t>
        </is>
      </c>
      <c r="C24" s="14" t="n">
        <v>274592</v>
      </c>
      <c r="D24" s="14" t="n">
        <v>209426</v>
      </c>
      <c r="E24" s="14">
        <f>C24-D24</f>
        <v/>
      </c>
      <c r="F24" s="14">
        <f>E24-E23</f>
        <v/>
      </c>
      <c r="G24" s="15">
        <f>IFERROR(F24/E23,0)</f>
        <v/>
      </c>
      <c r="H24" s="14">
        <f>AVERAGE(F22:F24)</f>
        <v/>
      </c>
      <c r="I24" s="14">
        <f>AVERAGE(F19:F24)</f>
        <v/>
      </c>
      <c r="J24" s="14">
        <f>AVERAGE(F13:F24)</f>
        <v/>
      </c>
    </row>
    <row r="25">
      <c r="B25" s="6" t="inlineStr">
        <is>
          <t>Oct 2025</t>
        </is>
      </c>
      <c r="C25" s="14" t="n">
        <v>273351</v>
      </c>
      <c r="D25" s="14" t="n">
        <v>207409</v>
      </c>
      <c r="E25" s="14">
        <f>C25-D25</f>
        <v/>
      </c>
      <c r="F25" s="14">
        <f>E25-E24</f>
        <v/>
      </c>
      <c r="G25" s="15">
        <f>IFERROR(F25/E24,0)</f>
        <v/>
      </c>
      <c r="H25" s="14">
        <f>AVERAGE(F23:F25)</f>
        <v/>
      </c>
      <c r="I25" s="14">
        <f>AVERAGE(F20:F25)</f>
        <v/>
      </c>
      <c r="J25" s="14">
        <f>AVERAGE(F14:F25)</f>
        <v/>
      </c>
    </row>
    <row r="26">
      <c r="B26" s="6" t="inlineStr">
        <is>
          <t>Nov 2025</t>
        </is>
      </c>
      <c r="C26" s="14" t="n">
        <v>276902</v>
      </c>
      <c r="D26" s="14" t="n">
        <v>207219</v>
      </c>
      <c r="E26" s="14">
        <f>C26-D26</f>
        <v/>
      </c>
      <c r="F26" s="14">
        <f>E26-E25</f>
        <v/>
      </c>
      <c r="G26" s="15">
        <f>IFERROR(F26/E25,0)</f>
        <v/>
      </c>
      <c r="H26" s="14">
        <f>AVERAGE(F24:F26)</f>
        <v/>
      </c>
      <c r="I26" s="14">
        <f>AVERAGE(F21:F26)</f>
        <v/>
      </c>
      <c r="J26" s="14">
        <f>AVERAGE(F15:F26)</f>
        <v/>
      </c>
    </row>
    <row r="27">
      <c r="B27" s="6" t="inlineStr">
        <is>
          <t>Dec 2025</t>
        </is>
      </c>
      <c r="C27" s="14" t="n">
        <v>278560</v>
      </c>
      <c r="D27" s="14" t="n">
        <v>208591</v>
      </c>
      <c r="E27" s="14">
        <f>C27-D27</f>
        <v/>
      </c>
      <c r="F27" s="14">
        <f>E27-E26</f>
        <v/>
      </c>
      <c r="G27" s="15">
        <f>IFERROR(F27/E26,0)</f>
        <v/>
      </c>
      <c r="H27" s="14">
        <f>AVERAGE(F25:F27)</f>
        <v/>
      </c>
      <c r="I27" s="14">
        <f>AVERAGE(F22:F27)</f>
        <v/>
      </c>
      <c r="J27" s="14">
        <f>AVERAGE(F16:F27)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/>
    <row r="2">
      <c r="B2" s="1" t="inlineStr">
        <is>
          <t>Net Worth Milestones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B3" s="3" t="inlineStr">
        <is>
          <t>Milestone</t>
        </is>
      </c>
      <c r="C3" s="4" t="inlineStr">
        <is>
          <t>Target</t>
        </is>
      </c>
      <c r="D3" s="4" t="inlineStr">
        <is>
          <t>Current NW</t>
        </is>
      </c>
      <c r="E3" s="4" t="inlineStr">
        <is>
          <t>Remaining</t>
        </is>
      </c>
      <c r="F3" s="4" t="inlineStr">
        <is>
          <t>Avg Mo Growth</t>
        </is>
      </c>
      <c r="G3" s="4" t="inlineStr">
        <is>
          <t>Proj. Months</t>
        </is>
      </c>
      <c r="H3" s="4" t="inlineStr">
        <is>
          <t>Proj. Date</t>
        </is>
      </c>
      <c r="I3" s="4" t="inlineStr">
        <is>
          <t>Target Date</t>
        </is>
      </c>
      <c r="J3" s="4" t="inlineStr">
        <is>
          <t>Status</t>
        </is>
      </c>
    </row>
    <row r="4">
      <c r="B4" s="6" t="inlineStr">
        <is>
          <t>$50K Net Worth</t>
        </is>
      </c>
      <c r="C4" s="14" t="n">
        <v>50000</v>
      </c>
      <c r="D4" s="14">
        <f>History!E27</f>
        <v/>
      </c>
      <c r="E4" s="14">
        <f>MAX(0,C4-D4)</f>
        <v/>
      </c>
      <c r="F4" s="14">
        <f>History!I27</f>
        <v/>
      </c>
      <c r="G4" s="16">
        <f>IFERROR(IF(E4&lt;=0,0,E4/F4),0)</f>
        <v/>
      </c>
      <c r="H4" s="8">
        <f>IF(G4=0,TODAY(),TODAY()+G4*30.44)</f>
        <v/>
      </c>
      <c r="I4" s="17" t="n">
        <v>45809</v>
      </c>
      <c r="J4" s="6">
        <f>IF(D4&gt;=C4,"Reached",IF(H4&lt;=I4,"On Track","Behind"))</f>
        <v/>
      </c>
    </row>
    <row r="5">
      <c r="B5" s="6" t="inlineStr">
        <is>
          <t>$100K Net Worth</t>
        </is>
      </c>
      <c r="C5" s="14" t="n">
        <v>100000</v>
      </c>
      <c r="D5" s="14">
        <f>History!E27</f>
        <v/>
      </c>
      <c r="E5" s="14">
        <f>MAX(0,C5-D5)</f>
        <v/>
      </c>
      <c r="F5" s="14">
        <f>History!I27</f>
        <v/>
      </c>
      <c r="G5" s="16">
        <f>IFERROR(IF(E5&lt;=0,0,E5/F5),0)</f>
        <v/>
      </c>
      <c r="H5" s="8">
        <f>IF(G5=0,TODAY(),TODAY()+G5*30.44)</f>
        <v/>
      </c>
      <c r="I5" s="17" t="n">
        <v>46022</v>
      </c>
      <c r="J5" s="6">
        <f>IF(D5&gt;=C5,"Reached",IF(H5&lt;=I5,"On Track","Behind"))</f>
        <v/>
      </c>
    </row>
    <row r="6">
      <c r="B6" s="6" t="inlineStr">
        <is>
          <t>$150K Net Worth</t>
        </is>
      </c>
      <c r="C6" s="14" t="n">
        <v>150000</v>
      </c>
      <c r="D6" s="14">
        <f>History!E27</f>
        <v/>
      </c>
      <c r="E6" s="14">
        <f>MAX(0,C6-D6)</f>
        <v/>
      </c>
      <c r="F6" s="14">
        <f>History!I27</f>
        <v/>
      </c>
      <c r="G6" s="16">
        <f>IFERROR(IF(E6&lt;=0,0,E6/F6),0)</f>
        <v/>
      </c>
      <c r="H6" s="8">
        <f>IF(G6=0,TODAY(),TODAY()+G6*30.44)</f>
        <v/>
      </c>
      <c r="I6" s="17" t="n">
        <v>46387</v>
      </c>
      <c r="J6" s="6">
        <f>IF(D6&gt;=C6,"Reached",IF(H6&lt;=I6,"On Track","Behind"))</f>
        <v/>
      </c>
    </row>
    <row r="7">
      <c r="B7" s="6" t="inlineStr">
        <is>
          <t>$250K Net Worth</t>
        </is>
      </c>
      <c r="C7" s="14" t="n">
        <v>250000</v>
      </c>
      <c r="D7" s="14">
        <f>History!E27</f>
        <v/>
      </c>
      <c r="E7" s="14">
        <f>MAX(0,C7-D7)</f>
        <v/>
      </c>
      <c r="F7" s="14">
        <f>History!I27</f>
        <v/>
      </c>
      <c r="G7" s="16">
        <f>IFERROR(IF(E7&lt;=0,0,E7/F7),0)</f>
        <v/>
      </c>
      <c r="H7" s="8">
        <f>IF(G7=0,TODAY(),TODAY()+G7*30.44)</f>
        <v/>
      </c>
      <c r="I7" s="17" t="n">
        <v>47118</v>
      </c>
      <c r="J7" s="6">
        <f>IF(D7&gt;=C7,"Reached",IF(H7&lt;=I7,"On Track","Behind"))</f>
        <v/>
      </c>
    </row>
    <row r="8">
      <c r="B8" s="6" t="inlineStr">
        <is>
          <t>$500K Net Worth</t>
        </is>
      </c>
      <c r="C8" s="14" t="n">
        <v>500000</v>
      </c>
      <c r="D8" s="14">
        <f>History!E27</f>
        <v/>
      </c>
      <c r="E8" s="14">
        <f>MAX(0,C8-D8)</f>
        <v/>
      </c>
      <c r="F8" s="14">
        <f>History!I27</f>
        <v/>
      </c>
      <c r="G8" s="16">
        <f>IFERROR(IF(E8&lt;=0,0,E8/F8),0)</f>
        <v/>
      </c>
      <c r="H8" s="8">
        <f>IF(G8=0,TODAY(),TODAY()+G8*30.44)</f>
        <v/>
      </c>
      <c r="I8" s="17" t="n">
        <v>48579</v>
      </c>
      <c r="J8" s="6">
        <f>IF(D8&gt;=C8,"Reached",IF(H8&lt;=I8,"On Track","Behind"))</f>
        <v/>
      </c>
    </row>
    <row r="9">
      <c r="B9" s="6" t="inlineStr">
        <is>
          <t>$1M Net Worth</t>
        </is>
      </c>
      <c r="C9" s="14" t="n">
        <v>1000000</v>
      </c>
      <c r="D9" s="14">
        <f>History!E27</f>
        <v/>
      </c>
      <c r="E9" s="14">
        <f>MAX(0,C9-D9)</f>
        <v/>
      </c>
      <c r="F9" s="14">
        <f>History!I27</f>
        <v/>
      </c>
      <c r="G9" s="16">
        <f>IFERROR(IF(E9&lt;=0,0,E9/F9),0)</f>
        <v/>
      </c>
      <c r="H9" s="8">
        <f>IF(G9=0,TODAY(),TODAY()+G9*30.44)</f>
        <v/>
      </c>
      <c r="I9" s="17" t="n">
        <v>50770</v>
      </c>
      <c r="J9" s="6">
        <f>IF(D9&gt;=C9,"Reached",IF(H9&lt;=I9,"On Track","Behind"))</f>
        <v/>
      </c>
    </row>
  </sheetData>
  <conditionalFormatting sqref="J4:J9">
    <cfRule type="cellIs" priority="1" operator="equal" dxfId="0">
      <formula>"Reached"</formula>
    </cfRule>
    <cfRule type="cellIs" priority="2" operator="equal" dxfId="2">
      <formula>"On Track"</formula>
    </cfRule>
    <cfRule type="cellIs" priority="3" operator="equal" dxfId="3">
      <formula>"Behind"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</cols>
  <sheetData>
    <row r="1"/>
    <row r="2">
      <c r="B2" s="1" t="inlineStr">
        <is>
          <t>Net Worth Dashboard</t>
        </is>
      </c>
      <c r="C2" s="2" t="n"/>
      <c r="D2" s="2" t="n"/>
      <c r="E2" s="2" t="n"/>
    </row>
    <row r="3">
      <c r="B3" s="2" t="n"/>
      <c r="C3" s="2" t="n"/>
      <c r="D3" s="2" t="n"/>
      <c r="E3" s="2" t="n"/>
    </row>
    <row r="4">
      <c r="B4" s="2" t="n"/>
      <c r="C4" s="2" t="n"/>
      <c r="D4" s="2" t="n"/>
      <c r="E4" s="2" t="n"/>
    </row>
    <row r="5">
      <c r="B5" s="2" t="n"/>
      <c r="C5" s="2" t="n"/>
      <c r="D5" s="2" t="n"/>
      <c r="E5" s="2" t="n"/>
    </row>
    <row r="6">
      <c r="B6" s="2" t="n"/>
      <c r="C6" s="2" t="n"/>
      <c r="D6" s="2" t="n"/>
      <c r="E6" s="2" t="n"/>
    </row>
    <row r="7">
      <c r="B7" s="2" t="n"/>
      <c r="C7" s="2" t="n"/>
      <c r="D7" s="2" t="n"/>
      <c r="E7" s="2" t="n"/>
    </row>
    <row r="8">
      <c r="B8" s="2" t="n"/>
      <c r="C8" s="2" t="n"/>
      <c r="D8" s="2" t="n"/>
      <c r="E8" s="2" t="n"/>
    </row>
    <row r="9">
      <c r="B9" s="2" t="n"/>
      <c r="C9" s="2" t="n"/>
      <c r="D9" s="2" t="n"/>
      <c r="E9" s="2" t="n"/>
    </row>
    <row r="10">
      <c r="B10" s="2" t="n"/>
      <c r="C10" s="2" t="n"/>
      <c r="D10" s="2" t="n"/>
      <c r="E10" s="2" t="n"/>
    </row>
    <row r="11">
      <c r="B11" s="2" t="n"/>
      <c r="C11" s="2" t="n"/>
      <c r="D11" s="2" t="n"/>
      <c r="E11" s="2" t="n"/>
    </row>
    <row r="12">
      <c r="B12" s="2" t="n"/>
      <c r="C12" s="2" t="n"/>
      <c r="D12" s="2" t="n"/>
      <c r="E12" s="2" t="n"/>
    </row>
    <row r="13">
      <c r="B13" s="2" t="n"/>
      <c r="C13" s="2" t="n"/>
      <c r="D13" s="2" t="n"/>
      <c r="E13" s="2" t="n"/>
    </row>
    <row r="14">
      <c r="B14" s="2" t="n"/>
      <c r="C14" s="2" t="n"/>
      <c r="D14" s="2" t="n"/>
      <c r="E14" s="2" t="n"/>
    </row>
    <row r="15">
      <c r="B15" s="2" t="n"/>
      <c r="C15" s="2" t="n"/>
      <c r="D15" s="2" t="n"/>
      <c r="E15" s="2" t="n"/>
    </row>
    <row r="16">
      <c r="B16" s="2" t="n"/>
      <c r="C16" s="2" t="n"/>
      <c r="D16" s="2" t="n"/>
      <c r="E16" s="2" t="n"/>
    </row>
    <row r="17">
      <c r="B17" s="2" t="n"/>
      <c r="C17" s="2" t="n"/>
      <c r="D17" s="2" t="n"/>
      <c r="E17" s="2" t="n"/>
    </row>
    <row r="18">
      <c r="B18" s="2" t="n"/>
      <c r="C18" s="2" t="n"/>
      <c r="D18" s="2" t="n"/>
      <c r="E18" s="2" t="n"/>
    </row>
    <row r="19">
      <c r="B19" s="2" t="n"/>
      <c r="C19" s="2" t="n"/>
      <c r="D19" s="2" t="n"/>
      <c r="E19" s="2" t="n"/>
    </row>
    <row r="20">
      <c r="B20" s="2" t="n"/>
      <c r="C20" s="2" t="n"/>
      <c r="D20" s="2" t="n"/>
      <c r="E20" s="2" t="n"/>
    </row>
    <row r="21">
      <c r="B21" s="2" t="n"/>
      <c r="C21" s="2" t="n"/>
      <c r="D21" s="2" t="n"/>
      <c r="E21" s="2" t="n"/>
    </row>
    <row r="22">
      <c r="B22" s="2" t="n"/>
      <c r="C22" s="2" t="n"/>
      <c r="D22" s="2" t="n"/>
      <c r="E22" s="2" t="n"/>
    </row>
    <row r="23">
      <c r="B23" s="2" t="n"/>
      <c r="C23" s="2" t="n"/>
      <c r="D23" s="2" t="n"/>
      <c r="E23" s="2" t="n"/>
    </row>
    <row r="24">
      <c r="B24" s="2" t="n"/>
      <c r="C24" s="2" t="n"/>
      <c r="D24" s="2" t="n"/>
      <c r="E24" s="2" t="n"/>
    </row>
    <row r="25">
      <c r="B25" s="2" t="n"/>
      <c r="C25" s="2" t="n"/>
      <c r="D25" s="2" t="n"/>
      <c r="E25" s="2" t="n"/>
    </row>
    <row r="26">
      <c r="B26" s="2" t="n"/>
      <c r="C26" s="2" t="n"/>
      <c r="D26" s="2" t="n"/>
      <c r="E26" s="2" t="n"/>
    </row>
    <row r="27">
      <c r="B27" s="2" t="n"/>
      <c r="C27" s="2" t="n"/>
      <c r="D27" s="2" t="n"/>
      <c r="E27" s="2" t="n"/>
    </row>
    <row r="28">
      <c r="B28" s="2" t="n"/>
      <c r="C28" s="2" t="n"/>
      <c r="D28" s="2" t="n"/>
      <c r="E28" s="2" t="n"/>
    </row>
    <row r="29">
      <c r="B29" s="2" t="n"/>
      <c r="C29" s="2" t="n"/>
      <c r="D29" s="2" t="n"/>
      <c r="E29" s="2" t="n"/>
    </row>
    <row r="30">
      <c r="B30" s="2" t="n"/>
      <c r="C30" s="2" t="n"/>
      <c r="D30" s="2" t="n"/>
      <c r="E30" s="2" t="n"/>
    </row>
    <row r="31">
      <c r="B31" s="2" t="n"/>
      <c r="C31" s="2" t="n"/>
      <c r="D31" s="2" t="n"/>
      <c r="E31" s="2" t="n"/>
    </row>
    <row r="32">
      <c r="B32" s="2" t="n"/>
      <c r="C32" s="2" t="n"/>
      <c r="D32" s="2" t="n"/>
      <c r="E32" s="2" t="n"/>
    </row>
    <row r="33">
      <c r="B33" s="2" t="n"/>
      <c r="C33" s="2" t="n"/>
      <c r="D33" s="2" t="n"/>
      <c r="E33" s="2" t="n"/>
    </row>
    <row r="34">
      <c r="B34" s="2" t="n"/>
      <c r="C34" s="2" t="n"/>
      <c r="D34" s="2" t="n"/>
      <c r="E34" s="2" t="n"/>
    </row>
    <row r="35">
      <c r="B35" s="2" t="n"/>
      <c r="C35" s="2" t="n"/>
      <c r="D35" s="2" t="n"/>
      <c r="E35" s="2" t="n"/>
    </row>
    <row r="36">
      <c r="B36" s="2" t="n"/>
      <c r="C36" s="2" t="n"/>
      <c r="D36" s="2" t="n"/>
      <c r="E36" s="2" t="n"/>
    </row>
    <row r="37">
      <c r="B37" s="2" t="n"/>
      <c r="C37" s="2" t="n"/>
      <c r="D37" s="2" t="n"/>
      <c r="E37" s="2" t="n"/>
    </row>
    <row r="38">
      <c r="B38" s="2" t="n"/>
      <c r="C38" s="2" t="n"/>
      <c r="D38" s="2" t="n"/>
      <c r="E38" s="2" t="n"/>
    </row>
    <row r="39">
      <c r="B39" s="5" t="inlineStr">
        <is>
          <t>Account Type</t>
        </is>
      </c>
      <c r="C39" s="5" t="inlineStr">
        <is>
          <t>Current Balance</t>
        </is>
      </c>
      <c r="D39" s="2" t="n"/>
      <c r="E39" s="2" t="n"/>
    </row>
    <row r="40">
      <c r="B40" s="6" t="inlineStr">
        <is>
          <t>Checking</t>
        </is>
      </c>
      <c r="C40" s="14">
        <f>SUMPRODUCT((Accounts!$D$4:$D$17="Checking")*'Monthly Balances'!$N$4:$N$17)</f>
        <v/>
      </c>
      <c r="D40" s="2" t="n"/>
      <c r="E40" s="2" t="n"/>
    </row>
    <row r="41">
      <c r="B41" s="6" t="inlineStr">
        <is>
          <t>Savings</t>
        </is>
      </c>
      <c r="C41" s="14">
        <f>SUMPRODUCT((Accounts!$D$4:$D$17="Savings")*'Monthly Balances'!$N$4:$N$17)</f>
        <v/>
      </c>
      <c r="D41" s="2" t="n"/>
      <c r="E41" s="2" t="n"/>
    </row>
    <row r="42">
      <c r="B42" s="6" t="inlineStr">
        <is>
          <t>Money Market</t>
        </is>
      </c>
      <c r="C42" s="14">
        <f>SUMPRODUCT((Accounts!$D$4:$D$17="Money Market")*'Monthly Balances'!$N$4:$N$17)</f>
        <v/>
      </c>
      <c r="D42" s="2" t="n"/>
      <c r="E42" s="2" t="n"/>
    </row>
    <row r="43">
      <c r="B43" s="6" t="inlineStr">
        <is>
          <t>Brokerage</t>
        </is>
      </c>
      <c r="C43" s="14">
        <f>SUMPRODUCT((Accounts!$D$4:$D$17="Brokerage")*'Monthly Balances'!$N$4:$N$17)</f>
        <v/>
      </c>
      <c r="D43" s="2" t="n"/>
      <c r="E43" s="2" t="n"/>
    </row>
    <row r="44">
      <c r="B44" s="6" t="inlineStr">
        <is>
          <t>401k</t>
        </is>
      </c>
      <c r="C44" s="14">
        <f>SUMPRODUCT((Accounts!$D$4:$D$17="401k")*'Monthly Balances'!$N$4:$N$17)</f>
        <v/>
      </c>
      <c r="D44" s="2" t="n"/>
      <c r="E44" s="2" t="n"/>
    </row>
    <row r="45">
      <c r="B45" s="6" t="inlineStr">
        <is>
          <t>IRA</t>
        </is>
      </c>
      <c r="C45" s="14">
        <f>SUMPRODUCT((Accounts!$D$4:$D$17="IRA")*'Monthly Balances'!$N$4:$N$17)</f>
        <v/>
      </c>
      <c r="D45" s="2" t="n"/>
      <c r="E45" s="2" t="n"/>
    </row>
    <row r="46">
      <c r="B46" s="6" t="inlineStr">
        <is>
          <t>HSA</t>
        </is>
      </c>
      <c r="C46" s="14">
        <f>SUMPRODUCT((Accounts!$D$4:$D$17="HSA")*'Monthly Balances'!$N$4:$N$17)</f>
        <v/>
      </c>
      <c r="D46" s="2" t="n"/>
      <c r="E46" s="2" t="n"/>
    </row>
    <row r="47">
      <c r="B47" s="6" t="inlineStr">
        <is>
          <t>529</t>
        </is>
      </c>
      <c r="C47" s="14">
        <f>SUMPRODUCT((Accounts!$D$4:$D$17="529")*'Monthly Balances'!$N$4:$N$17)</f>
        <v/>
      </c>
      <c r="D47" s="2" t="n"/>
      <c r="E47" s="2" t="n"/>
    </row>
    <row r="48">
      <c r="B48" s="6" t="inlineStr">
        <is>
          <t>Real Estate</t>
        </is>
      </c>
      <c r="C48" s="14">
        <f>SUMPRODUCT((Accounts!$D$4:$D$17="Real Estate")*'Monthly Balances'!$N$4:$N$17)</f>
        <v/>
      </c>
      <c r="D48" s="2" t="n"/>
      <c r="E48" s="2" t="n"/>
    </row>
    <row r="49">
      <c r="B49" s="6" t="inlineStr">
        <is>
          <t>Vehicle</t>
        </is>
      </c>
      <c r="C49" s="14">
        <f>SUMPRODUCT((Accounts!$D$4:$D$17="Vehicle")*'Monthly Balances'!$N$4:$N$17)</f>
        <v/>
      </c>
      <c r="D49" s="2" t="n"/>
      <c r="E49" s="2" t="n"/>
    </row>
    <row r="50">
      <c r="B50" s="2" t="n"/>
      <c r="C50" s="2" t="n"/>
      <c r="D50" s="2" t="n"/>
      <c r="E50" s="2" t="n"/>
    </row>
    <row r="51">
      <c r="B51" s="2" t="n"/>
      <c r="C51" s="2" t="n"/>
      <c r="D51" s="2" t="n"/>
      <c r="E51" s="2" t="n"/>
    </row>
    <row r="52">
      <c r="B52" s="2" t="n"/>
      <c r="C52" s="2" t="n"/>
      <c r="D52" s="2" t="n"/>
      <c r="E52" s="2" t="n"/>
    </row>
    <row r="53">
      <c r="B53" s="2" t="n"/>
      <c r="C53" s="2" t="n"/>
      <c r="D53" s="2" t="n"/>
      <c r="E53" s="2" t="n"/>
    </row>
    <row r="54">
      <c r="B54" s="2" t="n"/>
      <c r="C54" s="2" t="n"/>
      <c r="D54" s="2" t="n"/>
      <c r="E54" s="2" t="n"/>
    </row>
    <row r="55">
      <c r="B55" s="2" t="n"/>
      <c r="C55" s="2" t="n"/>
      <c r="D55" s="2" t="n"/>
      <c r="E55" s="2" t="n"/>
    </row>
    <row r="56">
      <c r="B56" s="2" t="n"/>
      <c r="C56" s="2" t="n"/>
      <c r="D56" s="2" t="n"/>
      <c r="E56" s="2" t="n"/>
    </row>
    <row r="57">
      <c r="B57" s="2" t="n"/>
      <c r="C57" s="2" t="n"/>
      <c r="D57" s="2" t="n"/>
      <c r="E57" s="2" t="n"/>
    </row>
    <row r="58">
      <c r="B58" s="2" t="n"/>
      <c r="C58" s="2" t="n"/>
      <c r="D58" s="2" t="n"/>
      <c r="E58" s="2" t="n"/>
    </row>
    <row r="59">
      <c r="B59" s="2" t="n"/>
      <c r="C59" s="2" t="n"/>
      <c r="D59" s="2" t="n"/>
      <c r="E59" s="2" t="n"/>
    </row>
    <row r="60">
      <c r="B60" s="2" t="n"/>
      <c r="C60" s="2" t="n"/>
      <c r="D60" s="2" t="n"/>
      <c r="E60" s="2" t="n"/>
    </row>
    <row r="61">
      <c r="B61" s="2" t="n"/>
      <c r="C61" s="2" t="n"/>
      <c r="D61" s="2" t="n"/>
      <c r="E61" s="2" t="n"/>
    </row>
    <row r="62">
      <c r="B62" s="2" t="n"/>
      <c r="C62" s="2" t="n"/>
      <c r="D62" s="2" t="n"/>
      <c r="E62" s="2" t="n"/>
    </row>
    <row r="63">
      <c r="B63" s="2" t="n"/>
      <c r="C63" s="2" t="n"/>
      <c r="D63" s="2" t="n"/>
      <c r="E63" s="2" t="n"/>
    </row>
    <row r="64">
      <c r="B64" s="2" t="n"/>
      <c r="C64" s="2" t="n"/>
      <c r="D64" s="2" t="n"/>
      <c r="E64" s="2" t="n"/>
    </row>
    <row r="65">
      <c r="B65" s="2" t="n"/>
      <c r="C65" s="2" t="n"/>
      <c r="D65" s="2" t="n"/>
      <c r="E65" s="2" t="n"/>
    </row>
    <row r="66">
      <c r="B66" s="2" t="n"/>
      <c r="C66" s="2" t="n"/>
      <c r="D66" s="2" t="n"/>
      <c r="E66" s="2" t="n"/>
    </row>
    <row r="67">
      <c r="B67" s="2" t="n"/>
      <c r="C67" s="2" t="n"/>
      <c r="D67" s="2" t="n"/>
      <c r="E67" s="2" t="n"/>
    </row>
    <row r="68">
      <c r="B68" s="2" t="n"/>
      <c r="C68" s="2" t="n"/>
      <c r="D68" s="2" t="n"/>
      <c r="E68" s="2" t="n"/>
    </row>
    <row r="69">
      <c r="B69" s="5" t="inlineStr">
        <is>
          <t>Milestone</t>
        </is>
      </c>
      <c r="C69" s="5" t="inlineStr">
        <is>
          <t>Target</t>
        </is>
      </c>
      <c r="D69" s="5" t="inlineStr">
        <is>
          <t>Current</t>
        </is>
      </c>
      <c r="E69" s="5" t="inlineStr">
        <is>
          <t>% Complete</t>
        </is>
      </c>
    </row>
    <row r="70">
      <c r="B70" s="6">
        <f>Milestones!B4</f>
        <v/>
      </c>
      <c r="C70" s="14">
        <f>Milestones!C4</f>
        <v/>
      </c>
      <c r="D70" s="14">
        <f>Milestones!D4</f>
        <v/>
      </c>
      <c r="E70" s="15">
        <f>MIN(1,Milestones!D4/Milestones!C4)</f>
        <v/>
      </c>
    </row>
    <row r="71">
      <c r="B71" s="6">
        <f>Milestones!B5</f>
        <v/>
      </c>
      <c r="C71" s="14">
        <f>Milestones!C5</f>
        <v/>
      </c>
      <c r="D71" s="14">
        <f>Milestones!D5</f>
        <v/>
      </c>
      <c r="E71" s="15">
        <f>MIN(1,Milestones!D5/Milestones!C5)</f>
        <v/>
      </c>
    </row>
    <row r="72">
      <c r="B72" s="6">
        <f>Milestones!B6</f>
        <v/>
      </c>
      <c r="C72" s="14">
        <f>Milestones!C6</f>
        <v/>
      </c>
      <c r="D72" s="14">
        <f>Milestones!D6</f>
        <v/>
      </c>
      <c r="E72" s="15">
        <f>MIN(1,Milestones!D6/Milestones!C6)</f>
        <v/>
      </c>
    </row>
    <row r="73">
      <c r="B73" s="6">
        <f>Milestones!B7</f>
        <v/>
      </c>
      <c r="C73" s="14">
        <f>Milestones!C7</f>
        <v/>
      </c>
      <c r="D73" s="14">
        <f>Milestones!D7</f>
        <v/>
      </c>
      <c r="E73" s="15">
        <f>MIN(1,Milestones!D7/Milestones!C7)</f>
        <v/>
      </c>
    </row>
    <row r="74">
      <c r="B74" s="6">
        <f>Milestones!B8</f>
        <v/>
      </c>
      <c r="C74" s="14">
        <f>Milestones!C8</f>
        <v/>
      </c>
      <c r="D74" s="14">
        <f>Milestones!D8</f>
        <v/>
      </c>
      <c r="E74" s="15">
        <f>MIN(1,Milestones!D8/Milestones!C8)</f>
        <v/>
      </c>
    </row>
    <row r="75">
      <c r="B75" s="6">
        <f>Milestones!B9</f>
        <v/>
      </c>
      <c r="C75" s="14">
        <f>Milestones!C9</f>
        <v/>
      </c>
      <c r="D75" s="14">
        <f>Milestones!D9</f>
        <v/>
      </c>
      <c r="E75" s="15">
        <f>MIN(1,Milestones!D9/Milestones!C9)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5" customWidth="1" min="2" max="2"/>
  </cols>
  <sheetData>
    <row r="1"/>
    <row r="2">
      <c r="B2" s="2" t="n"/>
      <c r="C2" s="2" t="n"/>
    </row>
    <row r="3">
      <c r="B3" s="2" t="n"/>
      <c r="C3" s="18" t="inlineStr">
        <is>
          <t>Net Worth Tracker</t>
        </is>
      </c>
    </row>
    <row r="4">
      <c r="B4" s="2" t="n"/>
      <c r="C4" s="18" t="inlineStr"/>
    </row>
    <row r="5">
      <c r="B5" s="2" t="n"/>
      <c r="C5" s="18" t="inlineStr">
        <is>
          <t>Sample data covers January 2024 through December 2025.</t>
        </is>
      </c>
    </row>
    <row r="6">
      <c r="B6" s="2" t="n"/>
      <c r="C6" s="18" t="inlineStr">
        <is>
          <t>All account names and balances are fictional.</t>
        </is>
      </c>
    </row>
    <row r="7">
      <c r="B7" s="2" t="n"/>
      <c r="C7" s="18" t="inlineStr">
        <is>
          <t>Update the Monthly Balances sheet once a month with current figures.</t>
        </is>
      </c>
    </row>
    <row r="8">
      <c r="B8" s="2" t="n"/>
      <c r="C8" s="18" t="inlineStr">
        <is>
          <t>Copy each year's totals into the History sheet for multi-year tracking.</t>
        </is>
      </c>
    </row>
    <row r="9">
      <c r="B9" s="2" t="n"/>
      <c r="C9" s="18" t="inlineStr">
        <is>
          <t>Milestones project forward using the trailing 6-month average growth.</t>
        </is>
      </c>
    </row>
    <row r="10">
      <c r="B10" s="2" t="n"/>
      <c r="C10" s="18" t="inlineStr">
        <is>
          <t>Do not insert or delete rows inside the account ranges.</t>
        </is>
      </c>
    </row>
    <row r="11">
      <c r="B11" s="2" t="n"/>
      <c r="C11" s="18" t="inlineStr">
        <is>
          <t>This is not financial advice. Talk to a professional about your situation.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Samuel Reed</dc:creator>
  <dcterms:created xsi:type="dcterms:W3CDTF">2024-07-07T16:02:40Z</dcterms:created>
  <dcterms:modified xsi:type="dcterms:W3CDTF">2025-02-14T17:17:40Z</dcterms:modified>
  <cp:lastModifiedBy>Samuel Reed</cp:lastModifiedBy>
  <cp:revision>1</cp:revision>
</cp:coreProperties>
</file>