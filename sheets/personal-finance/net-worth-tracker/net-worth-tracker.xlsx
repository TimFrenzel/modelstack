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300_WORK\xAI\002_xAI\project\excel-scraping\task_024\"/>
    </mc:Choice>
  </mc:AlternateContent>
  <xr:revisionPtr revIDLastSave="0" documentId="13_ncr:1_{51820378-27D3-4D88-9A5E-0C46DD34DD73}" xr6:coauthVersionLast="47" xr6:coauthVersionMax="47" xr10:uidLastSave="{00000000-0000-0000-0000-000000000000}"/>
  <bookViews>
    <workbookView xWindow="38280" yWindow="-120" windowWidth="29040" windowHeight="15720" activeTab="4" xr2:uid="{00000000-000D-0000-FFFF-FFFF00000000}"/>
  </bookViews>
  <sheets>
    <sheet name="Accounts" sheetId="1" r:id="rId1"/>
    <sheet name="Monthly Balances" sheetId="2" r:id="rId2"/>
    <sheet name="History" sheetId="3" r:id="rId3"/>
    <sheet name="Milestones" sheetId="4" r:id="rId4"/>
    <sheet name="Dashboard" sheetId="5" r:id="rId5"/>
    <sheet name="Readm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5" l="1"/>
  <c r="A69" i="5"/>
  <c r="B68" i="5"/>
  <c r="A68" i="5"/>
  <c r="B67" i="5"/>
  <c r="A67" i="5"/>
  <c r="B66" i="5"/>
  <c r="A66" i="5"/>
  <c r="B65" i="5"/>
  <c r="A65" i="5"/>
  <c r="B64" i="5"/>
  <c r="A64" i="5"/>
  <c r="B43" i="5"/>
  <c r="B42" i="5"/>
  <c r="B41" i="5"/>
  <c r="B40" i="5"/>
  <c r="B39" i="5"/>
  <c r="B38" i="5"/>
  <c r="B37" i="5"/>
  <c r="B36" i="5"/>
  <c r="B35" i="5"/>
  <c r="B34" i="5"/>
  <c r="C7" i="4"/>
  <c r="D68" i="5" s="1"/>
  <c r="C5" i="4"/>
  <c r="D66" i="5" s="1"/>
  <c r="I3" i="4"/>
  <c r="C3" i="4"/>
  <c r="D3" i="4" s="1"/>
  <c r="F3" i="4" s="1"/>
  <c r="G3" i="4" s="1"/>
  <c r="D26" i="3"/>
  <c r="C8" i="4" s="1"/>
  <c r="D25" i="3"/>
  <c r="E25" i="3" s="1"/>
  <c r="F25" i="3" s="1"/>
  <c r="D24" i="3"/>
  <c r="E24" i="3" s="1"/>
  <c r="D23" i="3"/>
  <c r="E23" i="3" s="1"/>
  <c r="D22" i="3"/>
  <c r="E22" i="3" s="1"/>
  <c r="D21" i="3"/>
  <c r="E21" i="3" s="1"/>
  <c r="D20" i="3"/>
  <c r="E20" i="3" s="1"/>
  <c r="D19" i="3"/>
  <c r="E19" i="3" s="1"/>
  <c r="D18" i="3"/>
  <c r="E18" i="3" s="1"/>
  <c r="D17" i="3"/>
  <c r="E17" i="3" s="1"/>
  <c r="D16" i="3"/>
  <c r="E16" i="3" s="1"/>
  <c r="D15" i="3"/>
  <c r="E15" i="3" s="1"/>
  <c r="D14" i="3"/>
  <c r="E14" i="3" s="1"/>
  <c r="D13" i="3"/>
  <c r="E13" i="3" s="1"/>
  <c r="D12" i="3"/>
  <c r="E12" i="3" s="1"/>
  <c r="D11" i="3"/>
  <c r="E11" i="3" s="1"/>
  <c r="D10" i="3"/>
  <c r="E10" i="3" s="1"/>
  <c r="D9" i="3"/>
  <c r="E9" i="3" s="1"/>
  <c r="D8" i="3"/>
  <c r="E8" i="3" s="1"/>
  <c r="D7" i="3"/>
  <c r="E7" i="3" s="1"/>
  <c r="D6" i="3"/>
  <c r="E6" i="3" s="1"/>
  <c r="D5" i="3"/>
  <c r="E5" i="3" s="1"/>
  <c r="D4" i="3"/>
  <c r="E4" i="3" s="1"/>
  <c r="I3" i="3"/>
  <c r="H3" i="3"/>
  <c r="G3" i="3"/>
  <c r="D3" i="3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H19" i="2" l="1"/>
  <c r="E18" i="2"/>
  <c r="G9" i="3"/>
  <c r="F7" i="3"/>
  <c r="I18" i="3"/>
  <c r="H12" i="3"/>
  <c r="G21" i="3"/>
  <c r="F19" i="3"/>
  <c r="H24" i="3"/>
  <c r="G10" i="3"/>
  <c r="F8" i="3"/>
  <c r="H13" i="3"/>
  <c r="I19" i="3"/>
  <c r="G22" i="3"/>
  <c r="F20" i="3"/>
  <c r="H25" i="3"/>
  <c r="G19" i="3"/>
  <c r="F17" i="3"/>
  <c r="H22" i="3"/>
  <c r="G7" i="3"/>
  <c r="F5" i="3"/>
  <c r="I16" i="3"/>
  <c r="H10" i="3"/>
  <c r="G8" i="3"/>
  <c r="F6" i="3"/>
  <c r="H11" i="3"/>
  <c r="I17" i="3"/>
  <c r="G12" i="3"/>
  <c r="F10" i="3"/>
  <c r="H15" i="3"/>
  <c r="I21" i="3"/>
  <c r="G24" i="3"/>
  <c r="F22" i="3"/>
  <c r="G20" i="3"/>
  <c r="F18" i="3"/>
  <c r="H23" i="3"/>
  <c r="G23" i="3"/>
  <c r="F21" i="3"/>
  <c r="G25" i="3"/>
  <c r="F23" i="3"/>
  <c r="F24" i="3"/>
  <c r="G15" i="3"/>
  <c r="F13" i="3"/>
  <c r="I24" i="3"/>
  <c r="H18" i="3"/>
  <c r="G16" i="3"/>
  <c r="I25" i="3"/>
  <c r="H19" i="3"/>
  <c r="F14" i="3"/>
  <c r="D69" i="5"/>
  <c r="C69" i="5"/>
  <c r="D8" i="4"/>
  <c r="G11" i="3"/>
  <c r="F9" i="3"/>
  <c r="I20" i="3"/>
  <c r="H14" i="3"/>
  <c r="G13" i="3"/>
  <c r="F11" i="3"/>
  <c r="I22" i="3"/>
  <c r="H16" i="3"/>
  <c r="G14" i="3"/>
  <c r="F12" i="3"/>
  <c r="H17" i="3"/>
  <c r="I23" i="3"/>
  <c r="G17" i="3"/>
  <c r="F15" i="3"/>
  <c r="I26" i="3"/>
  <c r="H20" i="3"/>
  <c r="G6" i="3"/>
  <c r="G4" i="3"/>
  <c r="I13" i="3"/>
  <c r="F4" i="3"/>
  <c r="I5" i="3"/>
  <c r="H5" i="3"/>
  <c r="G5" i="3"/>
  <c r="H9" i="3"/>
  <c r="I14" i="3"/>
  <c r="I12" i="3"/>
  <c r="I10" i="3"/>
  <c r="I8" i="3"/>
  <c r="I6" i="3"/>
  <c r="I4" i="3"/>
  <c r="I11" i="3"/>
  <c r="I7" i="3"/>
  <c r="H7" i="3"/>
  <c r="H8" i="3"/>
  <c r="H6" i="3"/>
  <c r="H4" i="3"/>
  <c r="I15" i="3"/>
  <c r="I9" i="3"/>
  <c r="G18" i="3"/>
  <c r="F16" i="3"/>
  <c r="H21" i="3"/>
  <c r="D18" i="2"/>
  <c r="D20" i="2" s="1"/>
  <c r="F19" i="2"/>
  <c r="E26" i="3"/>
  <c r="F26" i="3" s="1"/>
  <c r="I18" i="2"/>
  <c r="I19" i="2"/>
  <c r="C18" i="2"/>
  <c r="F18" i="2"/>
  <c r="J18" i="2"/>
  <c r="J19" i="2"/>
  <c r="C64" i="5"/>
  <c r="D64" i="5"/>
  <c r="K19" i="2"/>
  <c r="L19" i="2"/>
  <c r="D5" i="4"/>
  <c r="M18" i="2"/>
  <c r="M19" i="2"/>
  <c r="K18" i="2"/>
  <c r="L18" i="2"/>
  <c r="D7" i="4"/>
  <c r="B18" i="2"/>
  <c r="B19" i="2"/>
  <c r="C68" i="5"/>
  <c r="C19" i="2"/>
  <c r="E19" i="2"/>
  <c r="E20" i="2" s="1"/>
  <c r="C6" i="4"/>
  <c r="G18" i="2"/>
  <c r="G19" i="2"/>
  <c r="C66" i="5"/>
  <c r="D19" i="2"/>
  <c r="C4" i="4"/>
  <c r="H18" i="2"/>
  <c r="H20" i="2" s="1"/>
  <c r="E21" i="2" l="1"/>
  <c r="E22" i="2" s="1"/>
  <c r="G20" i="2"/>
  <c r="F20" i="2"/>
  <c r="F21" i="2" s="1"/>
  <c r="F22" i="2" s="1"/>
  <c r="B20" i="2"/>
  <c r="B21" i="2" s="1"/>
  <c r="L20" i="2"/>
  <c r="C20" i="2"/>
  <c r="C21" i="2" s="1"/>
  <c r="C22" i="2" s="1"/>
  <c r="G26" i="3"/>
  <c r="H21" i="2"/>
  <c r="H22" i="2" s="1"/>
  <c r="D4" i="4"/>
  <c r="D65" i="5"/>
  <c r="C65" i="5"/>
  <c r="K20" i="2"/>
  <c r="D6" i="4"/>
  <c r="D67" i="5"/>
  <c r="C67" i="5"/>
  <c r="J20" i="2"/>
  <c r="I20" i="2"/>
  <c r="I21" i="2" s="1"/>
  <c r="I22" i="2" s="1"/>
  <c r="M20" i="2"/>
  <c r="M21" i="2" s="1"/>
  <c r="M22" i="2" s="1"/>
  <c r="H26" i="3"/>
  <c r="G21" i="2" l="1"/>
  <c r="G22" i="2" s="1"/>
  <c r="L21" i="2"/>
  <c r="L22" i="2" s="1"/>
  <c r="E8" i="4"/>
  <c r="F8" i="4" s="1"/>
  <c r="G8" i="4" s="1"/>
  <c r="I8" i="4" s="1"/>
  <c r="E6" i="4"/>
  <c r="F6" i="4" s="1"/>
  <c r="G6" i="4" s="1"/>
  <c r="I6" i="4" s="1"/>
  <c r="E4" i="4"/>
  <c r="F4" i="4" s="1"/>
  <c r="G4" i="4" s="1"/>
  <c r="I4" i="4" s="1"/>
  <c r="E7" i="4"/>
  <c r="F7" i="4" s="1"/>
  <c r="G7" i="4" s="1"/>
  <c r="I7" i="4" s="1"/>
  <c r="E5" i="4"/>
  <c r="F5" i="4" s="1"/>
  <c r="G5" i="4" s="1"/>
  <c r="I5" i="4" s="1"/>
  <c r="E3" i="4"/>
  <c r="J21" i="2"/>
  <c r="J22" i="2" s="1"/>
  <c r="K21" i="2"/>
  <c r="K22" i="2" s="1"/>
  <c r="D21" i="2"/>
  <c r="D22" i="2" s="1"/>
</calcChain>
</file>

<file path=xl/sharedStrings.xml><?xml version="1.0" encoding="utf-8"?>
<sst xmlns="http://schemas.openxmlformats.org/spreadsheetml/2006/main" count="190" uniqueCount="126">
  <si>
    <t>Account Registry</t>
  </si>
  <si>
    <t>Account Name</t>
  </si>
  <si>
    <t>Institution</t>
  </si>
  <si>
    <t>Type</t>
  </si>
  <si>
    <t>Asset/Liability</t>
  </si>
  <si>
    <t>Opening Balance</t>
  </si>
  <si>
    <t>Opening Date</t>
  </si>
  <si>
    <t>Classification</t>
  </si>
  <si>
    <t>Chase Checking</t>
  </si>
  <si>
    <t>Chase</t>
  </si>
  <si>
    <t>Checking</t>
  </si>
  <si>
    <t>Asset</t>
  </si>
  <si>
    <t>Ally Savings</t>
  </si>
  <si>
    <t>Ally</t>
  </si>
  <si>
    <t>Savings</t>
  </si>
  <si>
    <t>Fidelity Brokerage</t>
  </si>
  <si>
    <t>Fidelity</t>
  </si>
  <si>
    <t>Brokerage</t>
  </si>
  <si>
    <t>Money Market</t>
  </si>
  <si>
    <t>Vanguard 401k</t>
  </si>
  <si>
    <t>Vanguard</t>
  </si>
  <si>
    <t>401k</t>
  </si>
  <si>
    <t>Roth IRA</t>
  </si>
  <si>
    <t>IRA</t>
  </si>
  <si>
    <t>HSA Account</t>
  </si>
  <si>
    <t>Optum</t>
  </si>
  <si>
    <t>HSA</t>
  </si>
  <si>
    <t>529 College</t>
  </si>
  <si>
    <t>529</t>
  </si>
  <si>
    <t>Home Equity</t>
  </si>
  <si>
    <t>Zillow Est.</t>
  </si>
  <si>
    <t>Real Estate</t>
  </si>
  <si>
    <t>Car Value</t>
  </si>
  <si>
    <t>KBB Est.</t>
  </si>
  <si>
    <t>Vehicle</t>
  </si>
  <si>
    <t>Chase Visa</t>
  </si>
  <si>
    <t>Credit Card</t>
  </si>
  <si>
    <t>Student Loans</t>
  </si>
  <si>
    <t>Navient</t>
  </si>
  <si>
    <t>Student Loan</t>
  </si>
  <si>
    <t>Liability</t>
  </si>
  <si>
    <t>Mortgage</t>
  </si>
  <si>
    <t>Wells Fargo</t>
  </si>
  <si>
    <t>Auto Loan</t>
  </si>
  <si>
    <t>Capital One</t>
  </si>
  <si>
    <t>Medical Debt</t>
  </si>
  <si>
    <t>Collection</t>
  </si>
  <si>
    <t>Other Debt</t>
  </si>
  <si>
    <t>Monthly Balances (2025)</t>
  </si>
  <si>
    <t>Account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</si>
  <si>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</si>
  <si>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</si>
  <si>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</si>
  <si>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</si>
  <si>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</si>
  <si>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</si>
  <si>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</si>
  <si>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</si>
  <si>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</si>
  <si>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</si>
  <si>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</si>
  <si>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</si>
  <si>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Assets</t>
  </si>
  <si>
    <t>Total Liabilities</t>
  </si>
  <si>
    <t>Net Worth</t>
  </si>
  <si>
    <t>MoM Change ($)</t>
  </si>
  <si>
    <t>MoM Change (%)</t>
  </si>
  <si>
    <t>Net Worth History</t>
  </si>
  <si>
    <t>Month/Year</t>
  </si>
  <si>
    <t>3-Mo Avg Change</t>
  </si>
  <si>
    <t>6-Mo Avg Change</t>
  </si>
  <si>
    <t>12-Mo Avg Change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</si>
  <si>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</si>
  <si>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</si>
  <si>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</si>
  <si>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</si>
  <si>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</si>
  <si>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</si>
  <si>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</si>
  <si>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</si>
  <si>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</si>
  <si>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</si>
  <si>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</si>
  <si>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</si>
  <si>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</si>
  <si>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</si>
  <si>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</si>
  <si>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</si>
  <si>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</si>
  <si>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</si>
  <si>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</si>
  <si>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</si>
  <si>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</si>
  <si>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</si>
  <si>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</si>
  <si>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</si>
  <si>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Net Worth Milestones</t>
  </si>
  <si>
    <t>Milestone</t>
  </si>
  <si>
    <t>Target</t>
  </si>
  <si>
    <t>Current NW</t>
  </si>
  <si>
    <t>Remaining</t>
  </si>
  <si>
    <t>Avg Mo Growth</t>
  </si>
  <si>
    <t>Proj. Months</t>
  </si>
  <si>
    <t>Proj. Date</t>
  </si>
  <si>
    <t>Target Date</t>
  </si>
  <si>
    <t>Status</t>
  </si>
  <si>
    <t>$50K Net Worth</t>
  </si>
  <si>
    <t>$100K Net Worth</t>
  </si>
  <si>
    <t>$150K Net Worth</t>
  </si>
  <si>
    <t>$250K Net Worth</t>
  </si>
  <si>
    <t>$500K Net Worth</t>
  </si>
  <si>
    <t>$1M Net Worth</t>
  </si>
  <si>
    <t>Net Worth Dashboard</t>
  </si>
  <si>
    <t>History and milestone view</t>
  </si>
  <si>
    <t>Account Type</t>
  </si>
  <si>
    <t>Current Balance</t>
  </si>
  <si>
    <t>Current</t>
  </si>
  <si>
    <t>% Complete</t>
  </si>
  <si>
    <t>Net Worth Tracker</t>
  </si>
  <si>
    <t>Sample data covers January 2024 through December 2025.</t>
  </si>
  <si>
    <t>All account names and balances are fictional.</t>
  </si>
  <si>
    <t>Update the Monthly Balances sheet once a month with current figures.</t>
  </si>
  <si>
    <t>Copy each year's totals into the History sheet for multi-year tracking.</t>
  </si>
  <si>
    <t>Milestones project forward using the trailing 6-month average growth.</t>
  </si>
  <si>
    <t>Do not insert or delete rows inside the account ranges.</t>
  </si>
  <si>
    <t>This is not financial advice. Talk to a professional about your situation.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</si>
</sst>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4"/>
      <color rgb="FF3E3428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3E3428"/>
      <name val="Arial"/>
      <family val="2"/>
    </font>
    <font>
      <b/>
      <sz val="11"/>
      <color rgb="FF3E3428"/>
      <name val="Arial"/>
      <family val="2"/>
    </font>
    <font>
      <b/>
      <sz val="11"/>
      <color rgb="FF506878"/>
      <name val="Arial"/>
      <family val="2"/>
    </font>
    <font>
      <b/>
      <u/>
      <sz val="11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506878"/>
      </patternFill>
    </fill>
    <fill>
      <patternFill patternType="solid">
        <fgColor rgb="FFE8E3DA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C4BAB0"/>
      </bottom>
      <diagonal/>
    </border>
    <border>
      <left/>
      <right style="hair">
        <color rgb="FFC4BAB0"/>
      </right>
      <top/>
      <bottom style="hair">
        <color rgb="FFC4BAB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164" fontId="4" fillId="3" borderId="0" xfId="0" applyNumberFormat="1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164" fontId="4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4" fontId="4" fillId="3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E8C88A"/>
        </patternFill>
      </fill>
    </dxf>
    <dxf>
      <fill>
        <patternFill patternType="solid">
          <fgColor rgb="FFB0C8D8"/>
        </patternFill>
      </fill>
    </dxf>
    <dxf>
      <fill>
        <patternFill patternType="solid">
          <fgColor rgb="FFC8D8B0"/>
        </patternFill>
      </fill>
    </dxf>
    <dxf>
      <fill>
        <patternFill patternType="solid">
          <fgColor rgb="FFD8A8A0"/>
        </patternFill>
      </fill>
    </dxf>
    <dxf>
      <fill>
        <patternFill patternType="solid">
          <fgColor rgb="FFC8D8B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26705091258405E-2"/>
          <c:y val="0.17171296296296296"/>
          <c:w val="0.87807306134435692"/>
          <c:h val="0.67003098571011954"/>
        </c:manualLayout>
      </c:layout>
      <c:lineChart>
        <c:grouping val="standard"/>
        <c:varyColors val="0"/>
        <c:ser>
          <c:idx val="0"/>
          <c:order val="0"/>
          <c:tx>
            <c:strRef>
              <c:f>History!$D$2</c:f>
              <c:strCache>
                <c:ptCount val="1"/>
                <c:pt idx="0">
                  <c:v>Net Worth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History!$A$3:$A$26</c:f>
              <c:strCache>
                <c:ptCount val="24"/>
                <c:pt idx="0">
                  <c:v>Jan 2024</c:v>
                </c:pt>
                <c:pt idx="1">
                  <c:v>Feb 2024</c:v>
                </c:pt>
                <c:pt idx="2">
                  <c:v>Mar 2024</c:v>
                </c:pt>
                <c:pt idx="3">
                  <c:v>Apr 2024</c:v>
                </c:pt>
                <c:pt idx="4">
                  <c:v>May 2024</c:v>
                </c:pt>
                <c:pt idx="5">
                  <c:v>Jun 2024</c:v>
                </c:pt>
                <c:pt idx="6">
                  <c:v>Jul 2024</c:v>
                </c:pt>
                <c:pt idx="7">
                  <c:v>Aug 2024</c:v>
                </c:pt>
                <c:pt idx="8">
                  <c:v>Sep 2024</c:v>
                </c:pt>
                <c:pt idx="9">
                  <c:v>Oct 2024</c:v>
                </c:pt>
                <c:pt idx="10">
                  <c:v>Nov 2024</c:v>
                </c:pt>
                <c:pt idx="11">
                  <c:v>Dec 2024</c:v>
                </c:pt>
                <c:pt idx="12">
                  <c:v>Jan 2025</c:v>
                </c:pt>
                <c:pt idx="13">
                  <c:v>Feb 2025</c:v>
                </c:pt>
                <c:pt idx="14">
                  <c:v>Mar 2025</c:v>
                </c:pt>
                <c:pt idx="15">
                  <c:v>Apr 2025</c:v>
                </c:pt>
                <c:pt idx="16">
                  <c:v>May 2025</c:v>
                </c:pt>
                <c:pt idx="17">
                  <c:v>Jun 2025</c:v>
                </c:pt>
                <c:pt idx="18">
                  <c:v>Jul 2025</c:v>
                </c:pt>
                <c:pt idx="19">
                  <c:v>Aug 2025</c:v>
                </c:pt>
                <c:pt idx="20">
                  <c:v>Sep 2025</c:v>
                </c:pt>
                <c:pt idx="21">
                  <c:v>Oct 2025</c:v>
                </c:pt>
                <c:pt idx="22">
                  <c:v>Nov 2025</c:v>
                </c:pt>
                <c:pt idx="23">
                  <c:v>Dec 2025</c:v>
                </c:pt>
              </c:strCache>
            </c:strRef>
          </c:cat>
          <c:val>
            <c:numRef>
              <c:f>History!$D$3:$D$26</c:f>
              <c:numCache>
                <c:formatCode>"$"#,##0</c:formatCode>
                <c:ptCount val="24"/>
                <c:pt idx="0">
                  <c:v>12671</c:v>
                </c:pt>
                <c:pt idx="1">
                  <c:v>14778</c:v>
                </c:pt>
                <c:pt idx="2">
                  <c:v>14377</c:v>
                </c:pt>
                <c:pt idx="3">
                  <c:v>16821</c:v>
                </c:pt>
                <c:pt idx="4">
                  <c:v>17679</c:v>
                </c:pt>
                <c:pt idx="5">
                  <c:v>23440</c:v>
                </c:pt>
                <c:pt idx="6">
                  <c:v>24142</c:v>
                </c:pt>
                <c:pt idx="7">
                  <c:v>26812</c:v>
                </c:pt>
                <c:pt idx="8">
                  <c:v>29001</c:v>
                </c:pt>
                <c:pt idx="9">
                  <c:v>34221</c:v>
                </c:pt>
                <c:pt idx="10">
                  <c:v>37182</c:v>
                </c:pt>
                <c:pt idx="11">
                  <c:v>36784</c:v>
                </c:pt>
                <c:pt idx="12">
                  <c:v>39912</c:v>
                </c:pt>
                <c:pt idx="13">
                  <c:v>45872</c:v>
                </c:pt>
                <c:pt idx="14">
                  <c:v>46065</c:v>
                </c:pt>
                <c:pt idx="15">
                  <c:v>52958</c:v>
                </c:pt>
                <c:pt idx="16">
                  <c:v>57593</c:v>
                </c:pt>
                <c:pt idx="17">
                  <c:v>60080</c:v>
                </c:pt>
                <c:pt idx="18">
                  <c:v>62573</c:v>
                </c:pt>
                <c:pt idx="19">
                  <c:v>65411</c:v>
                </c:pt>
                <c:pt idx="20">
                  <c:v>65166</c:v>
                </c:pt>
                <c:pt idx="21">
                  <c:v>65942</c:v>
                </c:pt>
                <c:pt idx="22">
                  <c:v>69683</c:v>
                </c:pt>
                <c:pt idx="23">
                  <c:v>69969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DF-45CD-94BB-835D78CD0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0626447"/>
        <c:axId val="1270624527"/>
      </c:lineChart>
      <c:catAx>
        <c:axId val="1270626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624527"/>
        <c:crosses val="autoZero"/>
        <c:auto val="1"/>
        <c:lblAlgn val="ctr"/>
        <c:lblOffset val="100"/>
        <c:tickMarkSkip val="3"/>
        <c:noMultiLvlLbl val="0"/>
      </c:catAx>
      <c:valAx>
        <c:axId val="127062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626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ysClr val="windowText" lastClr="000000"/>
                </a:solidFill>
              </a:rPr>
              <a:t>Assets vs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History!$B$2</c:f>
              <c:strCache>
                <c:ptCount val="1"/>
                <c:pt idx="0">
                  <c:v>Total Assets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History!$A$3:$A$26</c:f>
              <c:strCache>
                <c:ptCount val="24"/>
                <c:pt idx="0">
                  <c:v>Jan 2024</c:v>
                </c:pt>
                <c:pt idx="1">
                  <c:v>Feb 2024</c:v>
                </c:pt>
                <c:pt idx="2">
                  <c:v>Mar 2024</c:v>
                </c:pt>
                <c:pt idx="3">
                  <c:v>Apr 2024</c:v>
                </c:pt>
                <c:pt idx="4">
                  <c:v>May 2024</c:v>
                </c:pt>
                <c:pt idx="5">
                  <c:v>Jun 2024</c:v>
                </c:pt>
                <c:pt idx="6">
                  <c:v>Jul 2024</c:v>
                </c:pt>
                <c:pt idx="7">
                  <c:v>Aug 2024</c:v>
                </c:pt>
                <c:pt idx="8">
                  <c:v>Sep 2024</c:v>
                </c:pt>
                <c:pt idx="9">
                  <c:v>Oct 2024</c:v>
                </c:pt>
                <c:pt idx="10">
                  <c:v>Nov 2024</c:v>
                </c:pt>
                <c:pt idx="11">
                  <c:v>Dec 2024</c:v>
                </c:pt>
                <c:pt idx="12">
                  <c:v>Jan 2025</c:v>
                </c:pt>
                <c:pt idx="13">
                  <c:v>Feb 2025</c:v>
                </c:pt>
                <c:pt idx="14">
                  <c:v>Mar 2025</c:v>
                </c:pt>
                <c:pt idx="15">
                  <c:v>Apr 2025</c:v>
                </c:pt>
                <c:pt idx="16">
                  <c:v>May 2025</c:v>
                </c:pt>
                <c:pt idx="17">
                  <c:v>Jun 2025</c:v>
                </c:pt>
                <c:pt idx="18">
                  <c:v>Jul 2025</c:v>
                </c:pt>
                <c:pt idx="19">
                  <c:v>Aug 2025</c:v>
                </c:pt>
                <c:pt idx="20">
                  <c:v>Sep 2025</c:v>
                </c:pt>
                <c:pt idx="21">
                  <c:v>Oct 2025</c:v>
                </c:pt>
                <c:pt idx="22">
                  <c:v>Nov 2025</c:v>
                </c:pt>
                <c:pt idx="23">
                  <c:v>Dec 2025</c:v>
                </c:pt>
              </c:strCache>
            </c:strRef>
          </c:cat>
          <c:val>
            <c:numRef>
              <c:f>History!$B$3:$B$26</c:f>
              <c:numCache>
                <c:formatCode>"$"#,##0</c:formatCode>
                <c:ptCount val="24"/>
                <c:pt idx="0">
                  <c:v>242909</c:v>
                </c:pt>
                <c:pt idx="1">
                  <c:v>243439</c:v>
                </c:pt>
                <c:pt idx="2">
                  <c:v>244138</c:v>
                </c:pt>
                <c:pt idx="3">
                  <c:v>244439</c:v>
                </c:pt>
                <c:pt idx="4">
                  <c:v>245978</c:v>
                </c:pt>
                <c:pt idx="5">
                  <c:v>248183</c:v>
                </c:pt>
                <c:pt idx="6">
                  <c:v>248886</c:v>
                </c:pt>
                <c:pt idx="7">
                  <c:v>250418</c:v>
                </c:pt>
                <c:pt idx="8">
                  <c:v>252378</c:v>
                </c:pt>
                <c:pt idx="9">
                  <c:v>254475</c:v>
                </c:pt>
                <c:pt idx="10">
                  <c:v>256547</c:v>
                </c:pt>
                <c:pt idx="11">
                  <c:v>257938</c:v>
                </c:pt>
                <c:pt idx="12">
                  <c:v>259206</c:v>
                </c:pt>
                <c:pt idx="13">
                  <c:v>261310</c:v>
                </c:pt>
                <c:pt idx="14">
                  <c:v>261374</c:v>
                </c:pt>
                <c:pt idx="15">
                  <c:v>265001</c:v>
                </c:pt>
                <c:pt idx="16">
                  <c:v>267312</c:v>
                </c:pt>
                <c:pt idx="17">
                  <c:v>269448</c:v>
                </c:pt>
                <c:pt idx="18">
                  <c:v>271187</c:v>
                </c:pt>
                <c:pt idx="19">
                  <c:v>274401</c:v>
                </c:pt>
                <c:pt idx="20">
                  <c:v>274592</c:v>
                </c:pt>
                <c:pt idx="21">
                  <c:v>273351</c:v>
                </c:pt>
                <c:pt idx="22">
                  <c:v>276902</c:v>
                </c:pt>
                <c:pt idx="23">
                  <c:v>278560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A-48E2-B200-48DD55EDAE20}"/>
            </c:ext>
          </c:extLst>
        </c:ser>
        <c:ser>
          <c:idx val="1"/>
          <c:order val="1"/>
          <c:tx>
            <c:strRef>
              <c:f>History!$C$2</c:f>
              <c:strCache>
                <c:ptCount val="1"/>
                <c:pt idx="0">
                  <c:v>Total Liabilities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History!$A$3:$A$26</c:f>
              <c:strCache>
                <c:ptCount val="24"/>
                <c:pt idx="0">
                  <c:v>Jan 2024</c:v>
                </c:pt>
                <c:pt idx="1">
                  <c:v>Feb 2024</c:v>
                </c:pt>
                <c:pt idx="2">
                  <c:v>Mar 2024</c:v>
                </c:pt>
                <c:pt idx="3">
                  <c:v>Apr 2024</c:v>
                </c:pt>
                <c:pt idx="4">
                  <c:v>May 2024</c:v>
                </c:pt>
                <c:pt idx="5">
                  <c:v>Jun 2024</c:v>
                </c:pt>
                <c:pt idx="6">
                  <c:v>Jul 2024</c:v>
                </c:pt>
                <c:pt idx="7">
                  <c:v>Aug 2024</c:v>
                </c:pt>
                <c:pt idx="8">
                  <c:v>Sep 2024</c:v>
                </c:pt>
                <c:pt idx="9">
                  <c:v>Oct 2024</c:v>
                </c:pt>
                <c:pt idx="10">
                  <c:v>Nov 2024</c:v>
                </c:pt>
                <c:pt idx="11">
                  <c:v>Dec 2024</c:v>
                </c:pt>
                <c:pt idx="12">
                  <c:v>Jan 2025</c:v>
                </c:pt>
                <c:pt idx="13">
                  <c:v>Feb 2025</c:v>
                </c:pt>
                <c:pt idx="14">
                  <c:v>Mar 2025</c:v>
                </c:pt>
                <c:pt idx="15">
                  <c:v>Apr 2025</c:v>
                </c:pt>
                <c:pt idx="16">
                  <c:v>May 2025</c:v>
                </c:pt>
                <c:pt idx="17">
                  <c:v>Jun 2025</c:v>
                </c:pt>
                <c:pt idx="18">
                  <c:v>Jul 2025</c:v>
                </c:pt>
                <c:pt idx="19">
                  <c:v>Aug 2025</c:v>
                </c:pt>
                <c:pt idx="20">
                  <c:v>Sep 2025</c:v>
                </c:pt>
                <c:pt idx="21">
                  <c:v>Oct 2025</c:v>
                </c:pt>
                <c:pt idx="22">
                  <c:v>Nov 2025</c:v>
                </c:pt>
                <c:pt idx="23">
                  <c:v>Dec 2025</c:v>
                </c:pt>
              </c:strCache>
            </c:strRef>
          </c:cat>
          <c:val>
            <c:numRef>
              <c:f>History!$C$3:$C$26</c:f>
              <c:numCache>
                <c:formatCode>"$"#,##0</c:formatCode>
                <c:ptCount val="24"/>
                <c:pt idx="0">
                  <c:v>230238</c:v>
                </c:pt>
                <c:pt idx="1">
                  <c:v>228661</c:v>
                </c:pt>
                <c:pt idx="2">
                  <c:v>229761</c:v>
                </c:pt>
                <c:pt idx="3">
                  <c:v>227618</c:v>
                </c:pt>
                <c:pt idx="4">
                  <c:v>228299</c:v>
                </c:pt>
                <c:pt idx="5">
                  <c:v>224743</c:v>
                </c:pt>
                <c:pt idx="6">
                  <c:v>224744</c:v>
                </c:pt>
                <c:pt idx="7">
                  <c:v>223606</c:v>
                </c:pt>
                <c:pt idx="8">
                  <c:v>223377</c:v>
                </c:pt>
                <c:pt idx="9">
                  <c:v>220254</c:v>
                </c:pt>
                <c:pt idx="10">
                  <c:v>219365</c:v>
                </c:pt>
                <c:pt idx="11">
                  <c:v>221154</c:v>
                </c:pt>
                <c:pt idx="12">
                  <c:v>219294</c:v>
                </c:pt>
                <c:pt idx="13">
                  <c:v>215438</c:v>
                </c:pt>
                <c:pt idx="14">
                  <c:v>215309</c:v>
                </c:pt>
                <c:pt idx="15">
                  <c:v>212043</c:v>
                </c:pt>
                <c:pt idx="16">
                  <c:v>209719</c:v>
                </c:pt>
                <c:pt idx="17">
                  <c:v>209368</c:v>
                </c:pt>
                <c:pt idx="18">
                  <c:v>208614</c:v>
                </c:pt>
                <c:pt idx="19">
                  <c:v>208990</c:v>
                </c:pt>
                <c:pt idx="20">
                  <c:v>209426</c:v>
                </c:pt>
                <c:pt idx="21">
                  <c:v>207409</c:v>
                </c:pt>
                <c:pt idx="22">
                  <c:v>207219</c:v>
                </c:pt>
                <c:pt idx="23">
                  <c:v>208591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CA-48E2-B200-48DD55EDA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42687"/>
        <c:axId val="1273643167"/>
      </c:areaChart>
      <c:catAx>
        <c:axId val="12736426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43167"/>
        <c:crosses val="autoZero"/>
        <c:auto val="1"/>
        <c:lblAlgn val="ctr"/>
        <c:lblOffset val="100"/>
        <c:noMultiLvlLbl val="0"/>
      </c:catAx>
      <c:valAx>
        <c:axId val="127364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4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Dashboard!$A$34</c:f>
              <c:strCache>
                <c:ptCount val="1"/>
                <c:pt idx="0">
                  <c:v>Checking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Dashboard!$B$34</c:f>
              <c:numCache>
                <c:formatCode>"$"#,##0</c:formatCode>
                <c:ptCount val="1"/>
                <c:pt idx="0">
                  <c:v>4257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6-4C5E-A369-433974D7A024}"/>
            </c:ext>
          </c:extLst>
        </c:ser>
        <c:ser>
          <c:idx val="1"/>
          <c:order val="1"/>
          <c:tx>
            <c:strRef>
              <c:f>Dashboard!$A$35</c:f>
              <c:strCache>
                <c:ptCount val="1"/>
                <c:pt idx="0">
                  <c:v>Savings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50000"/>
                    <a:satMod val="300000"/>
                  </a:schemeClr>
                </a:gs>
                <a:gs pos="35000">
                  <a:schemeClr val="accent2">
                    <a:tint val="37000"/>
                    <a:satMod val="300000"/>
                  </a:schemeClr>
                </a:gs>
                <a:gs pos="100000">
                  <a:schemeClr val="accent2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Dashboard!$B$35</c:f>
              <c:numCache>
                <c:formatCode>"$"#,##0</c:formatCode>
                <c:ptCount val="1"/>
                <c:pt idx="0">
                  <c:v>13682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A6-4C5E-A369-433974D7A024}"/>
            </c:ext>
          </c:extLst>
        </c:ser>
        <c:ser>
          <c:idx val="2"/>
          <c:order val="2"/>
          <c:tx>
            <c:strRef>
              <c:f>Dashboard!$A$36</c:f>
              <c:strCache>
                <c:ptCount val="1"/>
                <c:pt idx="0">
                  <c:v>Money Market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0000"/>
                    <a:satMod val="300000"/>
                  </a:schemeClr>
                </a:gs>
                <a:gs pos="35000">
                  <a:schemeClr val="accent3">
                    <a:tint val="37000"/>
                    <a:satMod val="300000"/>
                  </a:schemeClr>
                </a:gs>
                <a:gs pos="100000">
                  <a:schemeClr val="accent3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Dashboard!$B$36</c:f>
              <c:numCache>
                <c:formatCode>"$"#,##0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A6-4C5E-A369-433974D7A024}"/>
            </c:ext>
          </c:extLst>
        </c:ser>
        <c:ser>
          <c:idx val="3"/>
          <c:order val="3"/>
          <c:tx>
            <c:strRef>
              <c:f>Dashboard!$A$37</c:f>
              <c:strCache>
                <c:ptCount val="1"/>
                <c:pt idx="0">
                  <c:v>Brokerage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Dashboard!$B$37</c:f>
              <c:numCache>
                <c:formatCode>"$"#,##0</c:formatCode>
                <c:ptCount val="1"/>
                <c:pt idx="0">
                  <c:v>35091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A6-4C5E-A369-433974D7A024}"/>
            </c:ext>
          </c:extLst>
        </c:ser>
        <c:ser>
          <c:idx val="4"/>
          <c:order val="4"/>
          <c:tx>
            <c:strRef>
              <c:f>Dashboard!$A$38</c:f>
              <c:strCache>
                <c:ptCount val="1"/>
                <c:pt idx="0">
                  <c:v>401k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tint val="50000"/>
                    <a:satMod val="300000"/>
                  </a:schemeClr>
                </a:gs>
                <a:gs pos="35000">
                  <a:schemeClr val="accent5">
                    <a:tint val="37000"/>
                    <a:satMod val="300000"/>
                  </a:schemeClr>
                </a:gs>
                <a:gs pos="100000">
                  <a:schemeClr val="accent5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Dashboard!$B$38</c:f>
              <c:numCache>
                <c:formatCode>"$"#,##0</c:formatCode>
                <c:ptCount val="1"/>
                <c:pt idx="0">
                  <c:v>83010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A6-4C5E-A369-433974D7A024}"/>
            </c:ext>
          </c:extLst>
        </c:ser>
        <c:ser>
          <c:idx val="5"/>
          <c:order val="5"/>
          <c:tx>
            <c:strRef>
              <c:f>Dashboard!$A$39</c:f>
              <c:strCache>
                <c:ptCount val="1"/>
                <c:pt idx="0">
                  <c:v>IRA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tint val="50000"/>
                    <a:satMod val="300000"/>
                  </a:schemeClr>
                </a:gs>
                <a:gs pos="35000">
                  <a:schemeClr val="accent6">
                    <a:tint val="37000"/>
                    <a:satMod val="300000"/>
                  </a:schemeClr>
                </a:gs>
                <a:gs pos="100000">
                  <a:schemeClr val="accent6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6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Dashboard!$B$39</c:f>
              <c:numCache>
                <c:formatCode>"$"#,##0</c:formatCode>
                <c:ptCount val="1"/>
                <c:pt idx="0">
                  <c:v>24422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A6-4C5E-A369-433974D7A024}"/>
            </c:ext>
          </c:extLst>
        </c:ser>
        <c:ser>
          <c:idx val="6"/>
          <c:order val="6"/>
          <c:tx>
            <c:strRef>
              <c:f>Dashboard!$A$40</c:f>
              <c:strCache>
                <c:ptCount val="1"/>
                <c:pt idx="0">
                  <c:v>HSA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tint val="50000"/>
                    <a:satMod val="300000"/>
                  </a:schemeClr>
                </a:gs>
                <a:gs pos="35000">
                  <a:schemeClr val="accent1">
                    <a:lumMod val="60000"/>
                    <a:tint val="37000"/>
                    <a:satMod val="300000"/>
                  </a:schemeClr>
                </a:gs>
                <a:gs pos="100000">
                  <a:schemeClr val="accent1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Dashboard!$B$40</c:f>
              <c:numCache>
                <c:formatCode>"$"#,##0</c:formatCode>
                <c:ptCount val="1"/>
                <c:pt idx="0">
                  <c:v>5575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A6-4C5E-A369-433974D7A024}"/>
            </c:ext>
          </c:extLst>
        </c:ser>
        <c:ser>
          <c:idx val="7"/>
          <c:order val="7"/>
          <c:tx>
            <c:strRef>
              <c:f>Dashboard!$A$41</c:f>
              <c:strCache>
                <c:ptCount val="1"/>
                <c:pt idx="0">
                  <c:v>529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tint val="50000"/>
                    <a:satMod val="300000"/>
                  </a:schemeClr>
                </a:gs>
                <a:gs pos="35000">
                  <a:schemeClr val="accent2">
                    <a:lumMod val="60000"/>
                    <a:tint val="37000"/>
                    <a:satMod val="300000"/>
                  </a:schemeClr>
                </a:gs>
                <a:gs pos="100000">
                  <a:schemeClr val="accent2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Dashboard!$B$41</c:f>
              <c:numCache>
                <c:formatCode>"$"#,##0</c:formatCode>
                <c:ptCount val="1"/>
                <c:pt idx="0">
                  <c:v>3624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A6-4C5E-A369-433974D7A024}"/>
            </c:ext>
          </c:extLst>
        </c:ser>
        <c:ser>
          <c:idx val="8"/>
          <c:order val="8"/>
          <c:tx>
            <c:strRef>
              <c:f>Dashboard!$A$42</c:f>
              <c:strCache>
                <c:ptCount val="1"/>
                <c:pt idx="0">
                  <c:v>Real Estate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tint val="50000"/>
                    <a:satMod val="300000"/>
                  </a:schemeClr>
                </a:gs>
                <a:gs pos="35000">
                  <a:schemeClr val="accent3">
                    <a:lumMod val="60000"/>
                    <a:tint val="37000"/>
                    <a:satMod val="300000"/>
                  </a:schemeClr>
                </a:gs>
                <a:gs pos="100000">
                  <a:schemeClr val="accent3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3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Dashboard!$B$42</c:f>
              <c:numCache>
                <c:formatCode>"$"#,##0</c:formatCode>
                <c:ptCount val="1"/>
                <c:pt idx="0">
                  <c:v>96930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A6-4C5E-A369-433974D7A024}"/>
            </c:ext>
          </c:extLst>
        </c:ser>
        <c:ser>
          <c:idx val="9"/>
          <c:order val="9"/>
          <c:tx>
            <c:strRef>
              <c:f>Dashboard!$A$43</c:f>
              <c:strCache>
                <c:ptCount val="1"/>
                <c:pt idx="0">
                  <c:v>Vehicle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tint val="50000"/>
                    <a:satMod val="300000"/>
                  </a:schemeClr>
                </a:gs>
                <a:gs pos="35000">
                  <a:schemeClr val="accent4">
                    <a:lumMod val="60000"/>
                    <a:tint val="37000"/>
                    <a:satMod val="300000"/>
                  </a:schemeClr>
                </a:gs>
                <a:gs pos="100000">
                  <a:schemeClr val="accent4">
                    <a:lumMod val="60000"/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lumMod val="60000"/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Dashboard!$B$33</c:f>
              <c:strCache>
                <c:ptCount val="1"/>
                <c:pt idx="0">
                  <c:v>Current Balance</c:v>
                </c:pt>
              </c:strCache>
            </c:strRef>
          </c:cat>
          <c:val>
            <c:numRef>
              <c:f>Dashboard!$B$43</c:f>
              <c:numCache>
                <c:formatCode>"$"#,##0</c:formatCode>
                <c:ptCount val="1"/>
                <c:pt idx="0">
                  <c:v>11969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A6-4C5E-A369-433974D7A02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68076927"/>
        <c:axId val="1268083647"/>
      </c:barChart>
      <c:catAx>
        <c:axId val="126807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083647"/>
        <c:crosses val="autoZero"/>
        <c:auto val="1"/>
        <c:lblAlgn val="ctr"/>
        <c:lblOffset val="100"/>
        <c:noMultiLvlLbl val="0"/>
      </c:catAx>
      <c:valAx>
        <c:axId val="1268083647"/>
        <c:scaling>
          <c:orientation val="minMax"/>
        </c:scaling>
        <c:delete val="0"/>
        <c:axPos val="l"/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07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400049</xdr:colOff>
      <xdr:row>2</xdr:row>
      <xdr:rowOff>171450</xdr:rowOff>
    </xdr:from>
    <xdr:to>
      <xdr:col>2</xdr:col>
      <xdr:colOff>704850</xdr:colOff>
      <xdr:row>17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8803A1-A686-4781-9256-AB8A8EEE18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781050</xdr:colOff>
      <xdr:row>2</xdr:row>
      <xdr:rowOff>152400</xdr:rowOff>
    </xdr:from>
    <xdr:to>
      <xdr:col>6</xdr:col>
      <xdr:colOff>266700</xdr:colOff>
      <xdr:row>17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BFE2B1-7DC6-4CF8-975C-8B71E85B5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419100</xdr:colOff>
      <xdr:row>17</xdr:row>
      <xdr:rowOff>95250</xdr:rowOff>
    </xdr:from>
    <xdr:to>
      <xdr:col>6</xdr:col>
      <xdr:colOff>257175</xdr:colOff>
      <xdr:row>30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585C2F-EFCE-4F4A-A6FE-3A4456688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showGridLines="0" workbookViewId="0">
      <selection activeCell="F11" sqref="F11"/>
    </sheetView>
  </sheetViews>
  <sheetFormatPr defaultRowHeight="15" x14ac:dyDescent="0.25"/>
  <cols>
    <col min="1" max="1" width="20" customWidth="1"/>
    <col min="2" max="3" width="20.28515625" customWidth="1"/>
    <col min="4" max="4" width="20.28515625" style="19" customWidth="1"/>
    <col min="5" max="6" width="20.28515625" customWidth="1"/>
    <col min="8" max="8" width="14" customWidth="1"/>
    <col min="9" max="9" width="16" customWidth="1"/>
  </cols>
  <sheetData>
    <row r="1" spans="1:9" ht="18" x14ac:dyDescent="0.25">
      <c r="A1" s="1" t="s">
        <v>0</v>
      </c>
      <c r="B1" s="2"/>
      <c r="C1" s="2"/>
      <c r="D1" s="17"/>
      <c r="E1" s="2"/>
      <c r="F1" s="2"/>
      <c r="G1" s="2"/>
      <c r="H1" s="2"/>
      <c r="I1" s="2"/>
    </row>
    <row r="2" spans="1:9" x14ac:dyDescent="0.25">
      <c r="A2" s="23" t="s">
        <v>1</v>
      </c>
      <c r="B2" s="23" t="s">
        <v>2</v>
      </c>
      <c r="C2" s="23" t="s">
        <v>3</v>
      </c>
      <c r="D2" s="23" t="s">
        <v>4</v>
      </c>
      <c r="E2" s="23" t="s">
        <v>5</v>
      </c>
      <c r="F2" s="23" t="s">
        <v>6</v>
      </c>
      <c r="G2" s="2"/>
      <c r="H2" s="23" t="s">
        <v>3</v>
      </c>
      <c r="I2" s="23" t="s">
        <v>7</v>
      </c>
    </row>
    <row r="3" spans="1:9" x14ac:dyDescent="0.25">
      <c r="A3" s="4" t="s">
        <v>8</v>
      </c>
      <c r="B3" s="4" t="s">
        <v>9</v>
      </c>
      <c r="C3" s="4" t="s">
        <v>10</v>
      </c>
      <c r="D3" s="18" t="str">
        <f t="shared" ref="D3:D16" si="0">VLOOKUP(C3,$H$3:$I$17,2,FALSE)</f>
        <v>Asset</v>
      </c>
      <c r="E3" s="5">
        <v>4200</v>
      </c>
      <c r="F3" s="6">
        <v>45292</v>
      </c>
      <c r="G3" s="2"/>
      <c r="H3" s="4" t="s">
        <v>10</v>
      </c>
      <c r="I3" s="4" t="s">
        <v>11</v>
      </c>
    </row>
    <row r="4" spans="1:9" x14ac:dyDescent="0.25">
      <c r="A4" s="4" t="s">
        <v>12</v>
      </c>
      <c r="B4" s="4" t="s">
        <v>13</v>
      </c>
      <c r="C4" s="4" t="s">
        <v>14</v>
      </c>
      <c r="D4" s="18" t="str">
        <f t="shared" si="0"/>
        <v>Asset</v>
      </c>
      <c r="E4" s="5">
        <v>12500</v>
      </c>
      <c r="F4" s="6">
        <v>45292</v>
      </c>
      <c r="G4" s="2"/>
      <c r="H4" s="4" t="s">
        <v>14</v>
      </c>
      <c r="I4" s="4" t="s">
        <v>11</v>
      </c>
    </row>
    <row r="5" spans="1:9" x14ac:dyDescent="0.25">
      <c r="A5" s="4" t="s">
        <v>15</v>
      </c>
      <c r="B5" s="4" t="s">
        <v>16</v>
      </c>
      <c r="C5" s="4" t="s">
        <v>17</v>
      </c>
      <c r="D5" s="18" t="str">
        <f t="shared" si="0"/>
        <v>Asset</v>
      </c>
      <c r="E5" s="5">
        <v>28000</v>
      </c>
      <c r="F5" s="6">
        <v>45292</v>
      </c>
      <c r="G5" s="2"/>
      <c r="H5" s="4" t="s">
        <v>18</v>
      </c>
      <c r="I5" s="4" t="s">
        <v>11</v>
      </c>
    </row>
    <row r="6" spans="1:9" x14ac:dyDescent="0.25">
      <c r="A6" s="4" t="s">
        <v>19</v>
      </c>
      <c r="B6" s="4" t="s">
        <v>20</v>
      </c>
      <c r="C6" s="4" t="s">
        <v>21</v>
      </c>
      <c r="D6" s="18" t="str">
        <f t="shared" si="0"/>
        <v>Asset</v>
      </c>
      <c r="E6" s="5">
        <v>68000</v>
      </c>
      <c r="F6" s="6">
        <v>45292</v>
      </c>
      <c r="G6" s="2"/>
      <c r="H6" s="4" t="s">
        <v>17</v>
      </c>
      <c r="I6" s="4" t="s">
        <v>11</v>
      </c>
    </row>
    <row r="7" spans="1:9" x14ac:dyDescent="0.25">
      <c r="A7" s="4" t="s">
        <v>22</v>
      </c>
      <c r="B7" s="4" t="s">
        <v>20</v>
      </c>
      <c r="C7" s="4" t="s">
        <v>23</v>
      </c>
      <c r="D7" s="18" t="str">
        <f t="shared" si="0"/>
        <v>Asset</v>
      </c>
      <c r="E7" s="5">
        <v>22000</v>
      </c>
      <c r="F7" s="6">
        <v>45292</v>
      </c>
      <c r="G7" s="2"/>
      <c r="H7" s="4" t="s">
        <v>21</v>
      </c>
      <c r="I7" s="4" t="s">
        <v>11</v>
      </c>
    </row>
    <row r="8" spans="1:9" x14ac:dyDescent="0.25">
      <c r="A8" s="4" t="s">
        <v>24</v>
      </c>
      <c r="B8" s="4" t="s">
        <v>25</v>
      </c>
      <c r="C8" s="4" t="s">
        <v>26</v>
      </c>
      <c r="D8" s="18" t="str">
        <f t="shared" si="0"/>
        <v>Asset</v>
      </c>
      <c r="E8" s="5">
        <v>4800</v>
      </c>
      <c r="F8" s="6">
        <v>45292</v>
      </c>
      <c r="G8" s="2"/>
      <c r="H8" s="4" t="s">
        <v>23</v>
      </c>
      <c r="I8" s="4" t="s">
        <v>11</v>
      </c>
    </row>
    <row r="9" spans="1:9" x14ac:dyDescent="0.25">
      <c r="A9" s="4" t="s">
        <v>27</v>
      </c>
      <c r="B9" s="4" t="s">
        <v>20</v>
      </c>
      <c r="C9" s="16" t="s">
        <v>28</v>
      </c>
      <c r="D9" s="18" t="str">
        <f t="shared" si="0"/>
        <v>Asset</v>
      </c>
      <c r="E9" s="5">
        <v>3200</v>
      </c>
      <c r="F9" s="6">
        <v>45292</v>
      </c>
      <c r="G9" s="2"/>
      <c r="H9" s="4" t="s">
        <v>26</v>
      </c>
      <c r="I9" s="4" t="s">
        <v>11</v>
      </c>
    </row>
    <row r="10" spans="1:9" x14ac:dyDescent="0.25">
      <c r="A10" s="4" t="s">
        <v>29</v>
      </c>
      <c r="B10" s="4" t="s">
        <v>30</v>
      </c>
      <c r="C10" s="4" t="s">
        <v>31</v>
      </c>
      <c r="D10" s="18" t="str">
        <f t="shared" si="0"/>
        <v>Asset</v>
      </c>
      <c r="E10" s="5">
        <v>85000</v>
      </c>
      <c r="F10" s="6">
        <v>45292</v>
      </c>
      <c r="G10" s="2"/>
      <c r="H10" s="16" t="s">
        <v>28</v>
      </c>
      <c r="I10" s="4" t="s">
        <v>11</v>
      </c>
    </row>
    <row r="11" spans="1:9" x14ac:dyDescent="0.25">
      <c r="A11" s="4" t="s">
        <v>32</v>
      </c>
      <c r="B11" s="4" t="s">
        <v>33</v>
      </c>
      <c r="C11" s="4" t="s">
        <v>34</v>
      </c>
      <c r="D11" s="18" t="str">
        <f t="shared" si="0"/>
        <v>Asset</v>
      </c>
      <c r="E11" s="5">
        <v>14000</v>
      </c>
      <c r="F11" s="6">
        <v>45292</v>
      </c>
      <c r="G11" s="2"/>
      <c r="H11" s="4" t="s">
        <v>31</v>
      </c>
      <c r="I11" s="4" t="s">
        <v>11</v>
      </c>
    </row>
    <row r="12" spans="1:9" x14ac:dyDescent="0.25">
      <c r="A12" s="4" t="s">
        <v>35</v>
      </c>
      <c r="B12" s="4" t="s">
        <v>9</v>
      </c>
      <c r="C12" s="4" t="s">
        <v>36</v>
      </c>
      <c r="D12" s="18" t="str">
        <f t="shared" si="0"/>
        <v>Liability</v>
      </c>
      <c r="E12" s="5">
        <v>2800</v>
      </c>
      <c r="F12" s="6">
        <v>45292</v>
      </c>
      <c r="G12" s="2"/>
      <c r="H12" s="4" t="s">
        <v>34</v>
      </c>
      <c r="I12" s="4" t="s">
        <v>11</v>
      </c>
    </row>
    <row r="13" spans="1:9" x14ac:dyDescent="0.25">
      <c r="A13" s="4" t="s">
        <v>37</v>
      </c>
      <c r="B13" s="4" t="s">
        <v>38</v>
      </c>
      <c r="C13" s="4" t="s">
        <v>39</v>
      </c>
      <c r="D13" s="18" t="str">
        <f t="shared" si="0"/>
        <v>Liability</v>
      </c>
      <c r="E13" s="5">
        <v>24000</v>
      </c>
      <c r="F13" s="6">
        <v>45292</v>
      </c>
      <c r="G13" s="2"/>
      <c r="H13" s="4" t="s">
        <v>36</v>
      </c>
      <c r="I13" s="4" t="s">
        <v>40</v>
      </c>
    </row>
    <row r="14" spans="1:9" x14ac:dyDescent="0.25">
      <c r="A14" s="4" t="s">
        <v>41</v>
      </c>
      <c r="B14" s="4" t="s">
        <v>42</v>
      </c>
      <c r="C14" s="4" t="s">
        <v>41</v>
      </c>
      <c r="D14" s="18" t="str">
        <f t="shared" si="0"/>
        <v>Liability</v>
      </c>
      <c r="E14" s="5">
        <v>195000</v>
      </c>
      <c r="F14" s="6">
        <v>45292</v>
      </c>
      <c r="G14" s="2"/>
      <c r="H14" s="4" t="s">
        <v>39</v>
      </c>
      <c r="I14" s="4" t="s">
        <v>40</v>
      </c>
    </row>
    <row r="15" spans="1:9" x14ac:dyDescent="0.25">
      <c r="A15" s="4" t="s">
        <v>43</v>
      </c>
      <c r="B15" s="4" t="s">
        <v>44</v>
      </c>
      <c r="C15" s="4" t="s">
        <v>43</v>
      </c>
      <c r="D15" s="18" t="str">
        <f t="shared" si="0"/>
        <v>Liability</v>
      </c>
      <c r="E15" s="5">
        <v>8500</v>
      </c>
      <c r="F15" s="6">
        <v>45292</v>
      </c>
      <c r="G15" s="2"/>
      <c r="H15" s="4" t="s">
        <v>41</v>
      </c>
      <c r="I15" s="4" t="s">
        <v>40</v>
      </c>
    </row>
    <row r="16" spans="1:9" x14ac:dyDescent="0.25">
      <c r="A16" s="4" t="s">
        <v>45</v>
      </c>
      <c r="B16" s="4" t="s">
        <v>46</v>
      </c>
      <c r="C16" s="4" t="s">
        <v>47</v>
      </c>
      <c r="D16" s="18" t="str">
        <f t="shared" si="0"/>
        <v>Liability</v>
      </c>
      <c r="E16" s="5">
        <v>1200</v>
      </c>
      <c r="F16" s="6">
        <v>45292</v>
      </c>
      <c r="G16" s="2"/>
      <c r="H16" s="4" t="s">
        <v>43</v>
      </c>
      <c r="I16" s="4" t="s">
        <v>40</v>
      </c>
    </row>
    <row r="17" spans="1:9" x14ac:dyDescent="0.25">
      <c r="A17" s="2"/>
      <c r="B17" s="2"/>
      <c r="C17" s="2"/>
      <c r="D17" s="17"/>
      <c r="E17" s="2"/>
      <c r="F17" s="2"/>
      <c r="G17" s="2"/>
      <c r="H17" s="4" t="s">
        <v>47</v>
      </c>
      <c r="I17" s="4" t="s">
        <v>40</v>
      </c>
    </row>
  </sheetData>
  <dataValidations count="1">
    <dataValidation type="list" sqref="C3:C8 C10:C16" xr:uid="{00000000-0002-0000-0000-000000000000}">
      <formula1>"Checking,Savings,Money Market,Brokerage,401k,IRA,HSA,529,Real Estate,Vehicle,Credit Card,Student Loan,Mortgage,Auto Loan,Other Debt"</formula1>
    </dataValidation>
  </dataValidations>
  <pageMargins left="0.75" right="0.75" top="1" bottom="1" header="0.5" footer="0.5"/>
  <ignoredErrors>
    <ignoredError sqref="H10 C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showGridLines="0" workbookViewId="0">
      <selection activeCell="C2" sqref="C2"/>
    </sheetView>
  </sheetViews>
  <sheetFormatPr defaultRowHeight="15" x14ac:dyDescent="0.25"/>
  <cols>
    <col min="1" max="1" width="25" customWidth="1"/>
    <col min="2" max="13" width="13" customWidth="1"/>
  </cols>
  <sheetData>
    <row r="1" spans="1:13" ht="18" x14ac:dyDescent="0.25">
      <c r="A1" s="1" t="s">
        <v>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x14ac:dyDescent="0.25">
      <c r="A2" s="23" t="s">
        <v>49</v>
      </c>
      <c r="B2" s="23" t="s">
        <v>50</v>
      </c>
      <c r="C2" s="23" t="s">
        <v>51</v>
      </c>
      <c r="D2" s="23" t="s">
        <v>52</v>
      </c>
      <c r="E2" s="23" t="s">
        <v>53</v>
      </c>
      <c r="F2" s="23" t="s">
        <v>54</v>
      </c>
      <c r="G2" s="23" t="s">
        <v>55</v>
      </c>
      <c r="H2" s="23" t="s">
        <v>56</v>
      </c>
      <c r="I2" s="23" t="s">
        <v>57</v>
      </c>
      <c r="J2" s="23" t="s">
        <v>58</v>
      </c>
      <c r="K2" s="23" t="s">
        <v>59</v>
      </c>
      <c r="L2" s="23" t="s">
        <v>60</v>
      </c>
      <c r="M2" s="23" t="s">
        <v>61</v>
      </c>
    </row>
    <row r="3" spans="1:13" x14ac:dyDescent="0.25">
      <c r="A3" s="4" t="s">
        <v>8</v>
      </c>
      <c r="B3" s="7">
        <v>4093</v>
      </c>
      <c r="C3" s="7">
        <v>4107</v>
      </c>
      <c r="D3" s="7">
        <v>4167</v>
      </c>
      <c r="E3" s="7">
        <v>4225</v>
      </c>
      <c r="F3" s="7">
        <v>4242</v>
      </c>
      <c r="G3" s="7">
        <v>4216</v>
      </c>
      <c r="H3" s="7">
        <v>4227</v>
      </c>
      <c r="I3" s="7">
        <v>4218</v>
      </c>
      <c r="J3" s="7">
        <v>4284</v>
      </c>
      <c r="K3" s="7">
        <v>4233</v>
      </c>
      <c r="L3" s="7">
        <v>4225</v>
      </c>
      <c r="M3" s="7">
        <v>4257</v>
      </c>
    </row>
    <row r="4" spans="1:13" x14ac:dyDescent="0.25">
      <c r="A4" s="4" t="s">
        <v>12</v>
      </c>
      <c r="B4" s="7">
        <v>12815</v>
      </c>
      <c r="C4" s="7">
        <v>12987</v>
      </c>
      <c r="D4" s="7">
        <v>13179</v>
      </c>
      <c r="E4" s="7">
        <v>13342</v>
      </c>
      <c r="F4" s="7">
        <v>13256</v>
      </c>
      <c r="G4" s="7">
        <v>13380</v>
      </c>
      <c r="H4" s="7">
        <v>13516</v>
      </c>
      <c r="I4" s="7">
        <v>13585</v>
      </c>
      <c r="J4" s="7">
        <v>13683</v>
      </c>
      <c r="K4" s="7">
        <v>13623</v>
      </c>
      <c r="L4" s="7">
        <v>13762</v>
      </c>
      <c r="M4" s="7">
        <v>13682</v>
      </c>
    </row>
    <row r="5" spans="1:13" x14ac:dyDescent="0.25">
      <c r="A5" s="4" t="s">
        <v>15</v>
      </c>
      <c r="B5" s="7">
        <v>30767</v>
      </c>
      <c r="C5" s="7">
        <v>31440</v>
      </c>
      <c r="D5" s="7">
        <v>32149</v>
      </c>
      <c r="E5" s="7">
        <v>32462</v>
      </c>
      <c r="F5" s="7">
        <v>32667</v>
      </c>
      <c r="G5" s="7">
        <v>33400</v>
      </c>
      <c r="H5" s="7">
        <v>33714</v>
      </c>
      <c r="I5" s="7">
        <v>34292</v>
      </c>
      <c r="J5" s="7">
        <v>34137</v>
      </c>
      <c r="K5" s="7">
        <v>34170</v>
      </c>
      <c r="L5" s="7">
        <v>34764</v>
      </c>
      <c r="M5" s="7">
        <v>35091</v>
      </c>
    </row>
    <row r="6" spans="1:13" x14ac:dyDescent="0.25">
      <c r="A6" s="4" t="s">
        <v>19</v>
      </c>
      <c r="B6" s="7">
        <v>75581</v>
      </c>
      <c r="C6" s="7">
        <v>75603</v>
      </c>
      <c r="D6" s="7">
        <v>75858</v>
      </c>
      <c r="E6" s="7">
        <v>77589</v>
      </c>
      <c r="F6" s="7">
        <v>79276</v>
      </c>
      <c r="G6" s="7">
        <v>80366</v>
      </c>
      <c r="H6" s="7">
        <v>80229</v>
      </c>
      <c r="I6" s="7">
        <v>81884</v>
      </c>
      <c r="J6" s="7">
        <v>81625</v>
      </c>
      <c r="K6" s="7">
        <v>81388</v>
      </c>
      <c r="L6" s="7">
        <v>82735</v>
      </c>
      <c r="M6" s="7">
        <v>83010</v>
      </c>
    </row>
    <row r="7" spans="1:13" x14ac:dyDescent="0.25">
      <c r="A7" s="4" t="s">
        <v>22</v>
      </c>
      <c r="B7" s="7">
        <v>22785</v>
      </c>
      <c r="C7" s="7">
        <v>23011</v>
      </c>
      <c r="D7" s="7">
        <v>22857</v>
      </c>
      <c r="E7" s="7">
        <v>22748</v>
      </c>
      <c r="F7" s="7">
        <v>23159</v>
      </c>
      <c r="G7" s="7">
        <v>23637</v>
      </c>
      <c r="H7" s="7">
        <v>23711</v>
      </c>
      <c r="I7" s="7">
        <v>24162</v>
      </c>
      <c r="J7" s="7">
        <v>24629</v>
      </c>
      <c r="K7" s="7">
        <v>24630</v>
      </c>
      <c r="L7" s="7">
        <v>24503</v>
      </c>
      <c r="M7" s="7">
        <v>24422</v>
      </c>
    </row>
    <row r="8" spans="1:13" x14ac:dyDescent="0.25">
      <c r="A8" s="4" t="s">
        <v>24</v>
      </c>
      <c r="B8" s="7">
        <v>5171</v>
      </c>
      <c r="C8" s="7">
        <v>5272</v>
      </c>
      <c r="D8" s="7">
        <v>5290</v>
      </c>
      <c r="E8" s="7">
        <v>5299</v>
      </c>
      <c r="F8" s="7">
        <v>5299</v>
      </c>
      <c r="G8" s="7">
        <v>5386</v>
      </c>
      <c r="H8" s="7">
        <v>5417</v>
      </c>
      <c r="I8" s="7">
        <v>5391</v>
      </c>
      <c r="J8" s="7">
        <v>5499</v>
      </c>
      <c r="K8" s="7">
        <v>5469</v>
      </c>
      <c r="L8" s="7">
        <v>5495</v>
      </c>
      <c r="M8" s="7">
        <v>5575</v>
      </c>
    </row>
    <row r="9" spans="1:13" x14ac:dyDescent="0.25">
      <c r="A9" s="4" t="s">
        <v>27</v>
      </c>
      <c r="B9" s="7">
        <v>3412</v>
      </c>
      <c r="C9" s="7">
        <v>3391</v>
      </c>
      <c r="D9" s="7">
        <v>3407</v>
      </c>
      <c r="E9" s="7">
        <v>3423</v>
      </c>
      <c r="F9" s="7">
        <v>3421</v>
      </c>
      <c r="G9" s="7">
        <v>3446</v>
      </c>
      <c r="H9" s="7">
        <v>3487</v>
      </c>
      <c r="I9" s="7">
        <v>3552</v>
      </c>
      <c r="J9" s="7">
        <v>3623</v>
      </c>
      <c r="K9" s="7">
        <v>3611</v>
      </c>
      <c r="L9" s="7">
        <v>3652</v>
      </c>
      <c r="M9" s="7">
        <v>3624</v>
      </c>
    </row>
    <row r="10" spans="1:13" x14ac:dyDescent="0.25">
      <c r="A10" s="4" t="s">
        <v>29</v>
      </c>
      <c r="B10" s="7">
        <v>91535</v>
      </c>
      <c r="C10" s="7">
        <v>92448</v>
      </c>
      <c r="D10" s="7">
        <v>91592</v>
      </c>
      <c r="E10" s="7">
        <v>93074</v>
      </c>
      <c r="F10" s="7">
        <v>93388</v>
      </c>
      <c r="G10" s="7">
        <v>93122</v>
      </c>
      <c r="H10" s="7">
        <v>94668</v>
      </c>
      <c r="I10" s="7">
        <v>95063</v>
      </c>
      <c r="J10" s="7">
        <v>94949</v>
      </c>
      <c r="K10" s="7">
        <v>94120</v>
      </c>
      <c r="L10" s="7">
        <v>95625</v>
      </c>
      <c r="M10" s="7">
        <v>96930</v>
      </c>
    </row>
    <row r="11" spans="1:13" x14ac:dyDescent="0.25">
      <c r="A11" s="4" t="s">
        <v>32</v>
      </c>
      <c r="B11" s="7">
        <v>13047</v>
      </c>
      <c r="C11" s="7">
        <v>13051</v>
      </c>
      <c r="D11" s="7">
        <v>12875</v>
      </c>
      <c r="E11" s="7">
        <v>12839</v>
      </c>
      <c r="F11" s="7">
        <v>12604</v>
      </c>
      <c r="G11" s="7">
        <v>12495</v>
      </c>
      <c r="H11" s="7">
        <v>12218</v>
      </c>
      <c r="I11" s="7">
        <v>12254</v>
      </c>
      <c r="J11" s="7">
        <v>12163</v>
      </c>
      <c r="K11" s="7">
        <v>12107</v>
      </c>
      <c r="L11" s="7">
        <v>12141</v>
      </c>
      <c r="M11" s="7">
        <v>11969</v>
      </c>
    </row>
    <row r="12" spans="1:13" x14ac:dyDescent="0.25">
      <c r="A12" s="4" t="s">
        <v>35</v>
      </c>
      <c r="B12" s="7">
        <v>1955</v>
      </c>
      <c r="C12" s="7">
        <v>1902</v>
      </c>
      <c r="D12" s="7">
        <v>1850</v>
      </c>
      <c r="E12" s="7">
        <v>1801</v>
      </c>
      <c r="F12" s="7">
        <v>1745</v>
      </c>
      <c r="G12" s="7">
        <v>1696</v>
      </c>
      <c r="H12" s="7">
        <v>1654</v>
      </c>
      <c r="I12" s="7">
        <v>1598</v>
      </c>
      <c r="J12" s="7">
        <v>1528</v>
      </c>
      <c r="K12" s="7">
        <v>1487</v>
      </c>
      <c r="L12" s="7">
        <v>1428</v>
      </c>
      <c r="M12" s="7">
        <v>1367</v>
      </c>
    </row>
    <row r="13" spans="1:13" x14ac:dyDescent="0.25">
      <c r="A13" s="4" t="s">
        <v>37</v>
      </c>
      <c r="B13" s="7">
        <v>19602</v>
      </c>
      <c r="C13" s="7">
        <v>19133</v>
      </c>
      <c r="D13" s="7">
        <v>19070</v>
      </c>
      <c r="E13" s="7">
        <v>18791</v>
      </c>
      <c r="F13" s="7">
        <v>18785</v>
      </c>
      <c r="G13" s="7">
        <v>18337</v>
      </c>
      <c r="H13" s="7">
        <v>18181</v>
      </c>
      <c r="I13" s="7">
        <v>18183</v>
      </c>
      <c r="J13" s="7">
        <v>17964</v>
      </c>
      <c r="K13" s="7">
        <v>17716</v>
      </c>
      <c r="L13" s="7">
        <v>17678</v>
      </c>
      <c r="M13" s="7">
        <v>17410</v>
      </c>
    </row>
    <row r="14" spans="1:13" x14ac:dyDescent="0.25">
      <c r="A14" s="4" t="s">
        <v>41</v>
      </c>
      <c r="B14" s="7">
        <v>189836</v>
      </c>
      <c r="C14" s="7">
        <v>186588</v>
      </c>
      <c r="D14" s="7">
        <v>186726</v>
      </c>
      <c r="E14" s="7">
        <v>183820</v>
      </c>
      <c r="F14" s="7">
        <v>181748</v>
      </c>
      <c r="G14" s="7">
        <v>181988</v>
      </c>
      <c r="H14" s="7">
        <v>181485</v>
      </c>
      <c r="I14" s="7">
        <v>182102</v>
      </c>
      <c r="J14" s="7">
        <v>182997</v>
      </c>
      <c r="K14" s="7">
        <v>181386</v>
      </c>
      <c r="L14" s="7">
        <v>181416</v>
      </c>
      <c r="M14" s="7">
        <v>183121</v>
      </c>
    </row>
    <row r="15" spans="1:13" x14ac:dyDescent="0.25">
      <c r="A15" s="4" t="s">
        <v>43</v>
      </c>
      <c r="B15" s="7">
        <v>7100</v>
      </c>
      <c r="C15" s="7">
        <v>7034</v>
      </c>
      <c r="D15" s="7">
        <v>6895</v>
      </c>
      <c r="E15" s="7">
        <v>6888</v>
      </c>
      <c r="F15" s="7">
        <v>6719</v>
      </c>
      <c r="G15" s="7">
        <v>6641</v>
      </c>
      <c r="H15" s="7">
        <v>6605</v>
      </c>
      <c r="I15" s="7">
        <v>6442</v>
      </c>
      <c r="J15" s="7">
        <v>6292</v>
      </c>
      <c r="K15" s="7">
        <v>6196</v>
      </c>
      <c r="L15" s="7">
        <v>6093</v>
      </c>
      <c r="M15" s="7">
        <v>6104</v>
      </c>
    </row>
    <row r="16" spans="1:13" x14ac:dyDescent="0.25">
      <c r="A16" s="4" t="s">
        <v>45</v>
      </c>
      <c r="B16" s="7">
        <v>801</v>
      </c>
      <c r="C16" s="7">
        <v>781</v>
      </c>
      <c r="D16" s="7">
        <v>768</v>
      </c>
      <c r="E16" s="7">
        <v>743</v>
      </c>
      <c r="F16" s="7">
        <v>722</v>
      </c>
      <c r="G16" s="7">
        <v>706</v>
      </c>
      <c r="H16" s="7">
        <v>689</v>
      </c>
      <c r="I16" s="7">
        <v>665</v>
      </c>
      <c r="J16" s="7">
        <v>645</v>
      </c>
      <c r="K16" s="7">
        <v>624</v>
      </c>
      <c r="L16" s="7">
        <v>604</v>
      </c>
      <c r="M16" s="7">
        <v>589</v>
      </c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8" t="s">
        <v>62</v>
      </c>
      <c r="B18" s="9">
        <f>SUMPRODUCT((Accounts!$D$3:$D$16="Asset")*B$3:B$16)</f>
        <v>259206</v>
      </c>
      <c r="C18" s="9">
        <f>SUMPRODUCT((Accounts!$D$3:$D$16="Asset")*C$3:C$16)</f>
        <v>261310</v>
      </c>
      <c r="D18" s="9">
        <f>SUMPRODUCT((Accounts!$D$3:$D$16="Asset")*D$3:D$16)</f>
        <v>261374</v>
      </c>
      <c r="E18" s="9">
        <f>SUMPRODUCT((Accounts!$D$3:$D$16="Asset")*E$3:E$16)</f>
        <v>265001</v>
      </c>
      <c r="F18" s="9">
        <f>SUMPRODUCT((Accounts!$D$3:$D$16="Asset")*F$3:F$16)</f>
        <v>267312</v>
      </c>
      <c r="G18" s="9">
        <f>SUMPRODUCT((Accounts!$D$3:$D$16="Asset")*G$3:G$16)</f>
        <v>269448</v>
      </c>
      <c r="H18" s="9">
        <f>SUMPRODUCT((Accounts!$D$3:$D$16="Asset")*H$3:H$16)</f>
        <v>271187</v>
      </c>
      <c r="I18" s="9">
        <f>SUMPRODUCT((Accounts!$D$3:$D$16="Asset")*I$3:I$16)</f>
        <v>274401</v>
      </c>
      <c r="J18" s="9">
        <f>SUMPRODUCT((Accounts!$D$3:$D$16="Asset")*J$3:J$16)</f>
        <v>274592</v>
      </c>
      <c r="K18" s="9">
        <f>SUMPRODUCT((Accounts!$D$3:$D$16="Asset")*K$3:K$16)</f>
        <v>273351</v>
      </c>
      <c r="L18" s="9">
        <f>SUMPRODUCT((Accounts!$D$3:$D$16="Asset")*L$3:L$16)</f>
        <v>276902</v>
      </c>
      <c r="M18" s="9">
        <f>SUMPRODUCT((Accounts!$D$3:$D$16="Asset")*M$3:M$16)</f>
        <v>278560</v>
      </c>
    </row>
    <row r="19" spans="1:13" x14ac:dyDescent="0.25">
      <c r="A19" s="8" t="s">
        <v>63</v>
      </c>
      <c r="B19" s="9">
        <f>SUMPRODUCT((Accounts!$D$3:$D$16="Liability")*B$3:B$16)</f>
        <v>219294</v>
      </c>
      <c r="C19" s="9">
        <f>SUMPRODUCT((Accounts!$D$3:$D$16="Liability")*C$3:C$16)</f>
        <v>215438</v>
      </c>
      <c r="D19" s="9">
        <f>SUMPRODUCT((Accounts!$D$3:$D$16="Liability")*D$3:D$16)</f>
        <v>215309</v>
      </c>
      <c r="E19" s="9">
        <f>SUMPRODUCT((Accounts!$D$3:$D$16="Liability")*E$3:E$16)</f>
        <v>212043</v>
      </c>
      <c r="F19" s="9">
        <f>SUMPRODUCT((Accounts!$D$3:$D$16="Liability")*F$3:F$16)</f>
        <v>209719</v>
      </c>
      <c r="G19" s="9">
        <f>SUMPRODUCT((Accounts!$D$3:$D$16="Liability")*G$3:G$16)</f>
        <v>209368</v>
      </c>
      <c r="H19" s="9">
        <f>SUMPRODUCT((Accounts!$D$3:$D$16="Liability")*H$3:H$16)</f>
        <v>208614</v>
      </c>
      <c r="I19" s="9">
        <f>SUMPRODUCT((Accounts!$D$3:$D$16="Liability")*I$3:I$16)</f>
        <v>208990</v>
      </c>
      <c r="J19" s="9">
        <f>SUMPRODUCT((Accounts!$D$3:$D$16="Liability")*J$3:J$16)</f>
        <v>209426</v>
      </c>
      <c r="K19" s="9">
        <f>SUMPRODUCT((Accounts!$D$3:$D$16="Liability")*K$3:K$16)</f>
        <v>207409</v>
      </c>
      <c r="L19" s="9">
        <f>SUMPRODUCT((Accounts!$D$3:$D$16="Liability")*L$3:L$16)</f>
        <v>207219</v>
      </c>
      <c r="M19" s="9">
        <f>SUMPRODUCT((Accounts!$D$3:$D$16="Liability")*M$3:M$16)</f>
        <v>208591</v>
      </c>
    </row>
    <row r="20" spans="1:13" x14ac:dyDescent="0.25">
      <c r="A20" s="8" t="s">
        <v>64</v>
      </c>
      <c r="B20" s="9">
        <f t="shared" ref="B20:M20" si="0">B18-B19</f>
        <v>39912</v>
      </c>
      <c r="C20" s="9">
        <f t="shared" si="0"/>
        <v>45872</v>
      </c>
      <c r="D20" s="9">
        <f t="shared" si="0"/>
        <v>46065</v>
      </c>
      <c r="E20" s="9">
        <f t="shared" si="0"/>
        <v>52958</v>
      </c>
      <c r="F20" s="9">
        <f t="shared" si="0"/>
        <v>57593</v>
      </c>
      <c r="G20" s="9">
        <f t="shared" si="0"/>
        <v>60080</v>
      </c>
      <c r="H20" s="9">
        <f t="shared" si="0"/>
        <v>62573</v>
      </c>
      <c r="I20" s="9">
        <f t="shared" si="0"/>
        <v>65411</v>
      </c>
      <c r="J20" s="9">
        <f t="shared" si="0"/>
        <v>65166</v>
      </c>
      <c r="K20" s="9">
        <f t="shared" si="0"/>
        <v>65942</v>
      </c>
      <c r="L20" s="9">
        <f t="shared" si="0"/>
        <v>69683</v>
      </c>
      <c r="M20" s="9">
        <f t="shared" si="0"/>
        <v>69969</v>
      </c>
    </row>
    <row r="21" spans="1:13" x14ac:dyDescent="0.25">
      <c r="A21" s="8" t="s">
        <v>65</v>
      </c>
      <c r="B21" s="9">
        <f>B20</f>
        <v>39912</v>
      </c>
      <c r="C21" s="9">
        <f t="shared" ref="C21:M21" si="1">C20-B20</f>
        <v>5960</v>
      </c>
      <c r="D21" s="9">
        <f t="shared" si="1"/>
        <v>193</v>
      </c>
      <c r="E21" s="9">
        <f t="shared" si="1"/>
        <v>6893</v>
      </c>
      <c r="F21" s="9">
        <f t="shared" si="1"/>
        <v>4635</v>
      </c>
      <c r="G21" s="9">
        <f t="shared" si="1"/>
        <v>2487</v>
      </c>
      <c r="H21" s="9">
        <f t="shared" si="1"/>
        <v>2493</v>
      </c>
      <c r="I21" s="9">
        <f t="shared" si="1"/>
        <v>2838</v>
      </c>
      <c r="J21" s="9">
        <f t="shared" si="1"/>
        <v>-245</v>
      </c>
      <c r="K21" s="9">
        <f t="shared" si="1"/>
        <v>776</v>
      </c>
      <c r="L21" s="9">
        <f t="shared" si="1"/>
        <v>3741</v>
      </c>
      <c r="M21" s="9">
        <f t="shared" si="1"/>
        <v>286</v>
      </c>
    </row>
    <row r="22" spans="1:13" x14ac:dyDescent="0.25">
      <c r="A22" s="8" t="s">
        <v>66</v>
      </c>
      <c r="B22" s="10">
        <v>0</v>
      </c>
      <c r="C22" s="10">
        <f t="shared" ref="C22:M22" si="2">IFERROR(C21/B20,0)</f>
        <v>0.1493285227500501</v>
      </c>
      <c r="D22" s="10">
        <f t="shared" si="2"/>
        <v>4.2073596093477501E-3</v>
      </c>
      <c r="E22" s="10">
        <f t="shared" si="2"/>
        <v>0.14963638337132312</v>
      </c>
      <c r="F22" s="10">
        <f t="shared" si="2"/>
        <v>8.7522187393783757E-2</v>
      </c>
      <c r="G22" s="10">
        <f t="shared" si="2"/>
        <v>4.3182331186081641E-2</v>
      </c>
      <c r="H22" s="10">
        <f t="shared" si="2"/>
        <v>4.1494673768308919E-2</v>
      </c>
      <c r="I22" s="10">
        <f t="shared" si="2"/>
        <v>4.5355025330414078E-2</v>
      </c>
      <c r="J22" s="10">
        <f t="shared" si="2"/>
        <v>-3.7455473849964073E-3</v>
      </c>
      <c r="K22" s="10">
        <f t="shared" si="2"/>
        <v>1.190805021023233E-2</v>
      </c>
      <c r="L22" s="10">
        <f t="shared" si="2"/>
        <v>5.6731673288647602E-2</v>
      </c>
      <c r="M22" s="10">
        <f t="shared" si="2"/>
        <v>4.104300905529326E-3</v>
      </c>
    </row>
  </sheetData>
  <conditionalFormatting sqref="B21:M21">
    <cfRule type="cellIs" dxfId="4" priority="1" operator="greaterThan">
      <formula>0</formula>
    </cfRule>
    <cfRule type="cellIs" dxfId="3" priority="2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showGridLines="0" workbookViewId="0">
      <selection activeCell="A2" sqref="A2"/>
    </sheetView>
  </sheetViews>
  <sheetFormatPr defaultRowHeight="15" x14ac:dyDescent="0.25"/>
  <cols>
    <col min="1" max="1" width="19" customWidth="1"/>
    <col min="2" max="2" width="14" customWidth="1"/>
    <col min="3" max="3" width="19" customWidth="1"/>
    <col min="4" max="4" width="11" customWidth="1"/>
    <col min="5" max="5" width="16" customWidth="1"/>
    <col min="6" max="6" width="21" customWidth="1"/>
    <col min="7" max="8" width="29" customWidth="1"/>
    <col min="9" max="9" width="30" customWidth="1"/>
  </cols>
  <sheetData>
    <row r="1" spans="1:9" ht="18" x14ac:dyDescent="0.25">
      <c r="A1" s="1" t="s">
        <v>67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23" t="s">
        <v>68</v>
      </c>
      <c r="B2" s="24" t="s">
        <v>62</v>
      </c>
      <c r="C2" s="24" t="s">
        <v>63</v>
      </c>
      <c r="D2" s="24" t="s">
        <v>64</v>
      </c>
      <c r="E2" s="24" t="s">
        <v>65</v>
      </c>
      <c r="F2" s="24" t="s">
        <v>66</v>
      </c>
      <c r="G2" s="24" t="s">
        <v>69</v>
      </c>
      <c r="H2" s="24" t="s">
        <v>70</v>
      </c>
      <c r="I2" s="24" t="s">
        <v>71</v>
      </c>
    </row>
    <row r="3" spans="1:9" x14ac:dyDescent="0.25">
      <c r="A3" s="4" t="s">
        <v>72</v>
      </c>
      <c r="B3" s="11">
        <v>242909</v>
      </c>
      <c r="C3" s="11">
        <v>230238</v>
      </c>
      <c r="D3" s="11">
        <f t="shared" ref="D3:D26" si="0">B3-C3</f>
        <v>12671</v>
      </c>
      <c r="E3" s="11">
        <v>0</v>
      </c>
      <c r="F3" s="12">
        <v>0</v>
      </c>
      <c r="G3" s="11">
        <f>IFERROR(AVERAGE(E$3:E3),0)</f>
        <v>0</v>
      </c>
      <c r="H3" s="11">
        <f>IFERROR(AVERAGE(E$3:E3),0)</f>
        <v>0</v>
      </c>
      <c r="I3" s="11">
        <f>IFERROR(AVERAGE(E$3:E3),0)</f>
        <v>0</v>
      </c>
    </row>
    <row r="4" spans="1:9" x14ac:dyDescent="0.25">
      <c r="A4" s="4" t="s">
        <v>73</v>
      </c>
      <c r="B4" s="11">
        <v>243439</v>
      </c>
      <c r="C4" s="11">
        <v>228661</v>
      </c>
      <c r="D4" s="11">
        <f t="shared" si="0"/>
        <v>14778</v>
      </c>
      <c r="E4" s="11">
        <f t="shared" ref="E4:E26" si="1">D4-D3</f>
        <v>2107</v>
      </c>
      <c r="F4" s="12">
        <f t="shared" ref="F4:F26" si="2">IFERROR(E4/D3,0)</f>
        <v>0.16628521821482126</v>
      </c>
      <c r="G4" s="11">
        <f>IFERROR(AVERAGE(E$3:E4),0)</f>
        <v>1053.5</v>
      </c>
      <c r="H4" s="11">
        <f>IFERROR(AVERAGE(E$3:E4),0)</f>
        <v>1053.5</v>
      </c>
      <c r="I4" s="11">
        <f>IFERROR(AVERAGE(E$3:E4),0)</f>
        <v>1053.5</v>
      </c>
    </row>
    <row r="5" spans="1:9" x14ac:dyDescent="0.25">
      <c r="A5" s="4" t="s">
        <v>74</v>
      </c>
      <c r="B5" s="11">
        <v>244138</v>
      </c>
      <c r="C5" s="11">
        <v>229761</v>
      </c>
      <c r="D5" s="11">
        <f t="shared" si="0"/>
        <v>14377</v>
      </c>
      <c r="E5" s="11">
        <f t="shared" si="1"/>
        <v>-401</v>
      </c>
      <c r="F5" s="12">
        <f t="shared" si="2"/>
        <v>-2.7134930301799972E-2</v>
      </c>
      <c r="G5" s="11">
        <f t="shared" ref="G5:G26" si="3">AVERAGE(E3:E5)</f>
        <v>568.66666666666663</v>
      </c>
      <c r="H5" s="11">
        <f>IFERROR(AVERAGE(E$3:E5),0)</f>
        <v>568.66666666666663</v>
      </c>
      <c r="I5" s="11">
        <f>IFERROR(AVERAGE(E$3:E5),0)</f>
        <v>568.66666666666663</v>
      </c>
    </row>
    <row r="6" spans="1:9" x14ac:dyDescent="0.25">
      <c r="A6" s="4" t="s">
        <v>75</v>
      </c>
      <c r="B6" s="11">
        <v>244439</v>
      </c>
      <c r="C6" s="11">
        <v>227618</v>
      </c>
      <c r="D6" s="11">
        <f t="shared" si="0"/>
        <v>16821</v>
      </c>
      <c r="E6" s="11">
        <f t="shared" si="1"/>
        <v>2444</v>
      </c>
      <c r="F6" s="12">
        <f t="shared" si="2"/>
        <v>0.16999374000139111</v>
      </c>
      <c r="G6" s="11">
        <f t="shared" si="3"/>
        <v>1383.3333333333333</v>
      </c>
      <c r="H6" s="11">
        <f>IFERROR(AVERAGE(E$3:E6),0)</f>
        <v>1037.5</v>
      </c>
      <c r="I6" s="11">
        <f>IFERROR(AVERAGE(E$3:E6),0)</f>
        <v>1037.5</v>
      </c>
    </row>
    <row r="7" spans="1:9" x14ac:dyDescent="0.25">
      <c r="A7" s="4" t="s">
        <v>76</v>
      </c>
      <c r="B7" s="11">
        <v>245978</v>
      </c>
      <c r="C7" s="11">
        <v>228299</v>
      </c>
      <c r="D7" s="11">
        <f t="shared" si="0"/>
        <v>17679</v>
      </c>
      <c r="E7" s="11">
        <f t="shared" si="1"/>
        <v>858</v>
      </c>
      <c r="F7" s="12">
        <f t="shared" si="2"/>
        <v>5.1007668985197076E-2</v>
      </c>
      <c r="G7" s="11">
        <f t="shared" si="3"/>
        <v>967</v>
      </c>
      <c r="H7" s="11">
        <f>IFERROR(AVERAGE(E$3:E7),0)</f>
        <v>1001.6</v>
      </c>
      <c r="I7" s="11">
        <f>IFERROR(AVERAGE(E$3:E7),0)</f>
        <v>1001.6</v>
      </c>
    </row>
    <row r="8" spans="1:9" x14ac:dyDescent="0.25">
      <c r="A8" s="4" t="s">
        <v>77</v>
      </c>
      <c r="B8" s="11">
        <v>248183</v>
      </c>
      <c r="C8" s="11">
        <v>224743</v>
      </c>
      <c r="D8" s="11">
        <f t="shared" si="0"/>
        <v>23440</v>
      </c>
      <c r="E8" s="11">
        <f t="shared" si="1"/>
        <v>5761</v>
      </c>
      <c r="F8" s="12">
        <f t="shared" si="2"/>
        <v>0.32586684767237967</v>
      </c>
      <c r="G8" s="11">
        <f t="shared" si="3"/>
        <v>3021</v>
      </c>
      <c r="H8" s="11">
        <f t="shared" ref="H8:H26" si="4">AVERAGE(E3:E8)</f>
        <v>1794.8333333333333</v>
      </c>
      <c r="I8" s="11">
        <f>IFERROR(AVERAGE(E$3:E8),0)</f>
        <v>1794.8333333333333</v>
      </c>
    </row>
    <row r="9" spans="1:9" x14ac:dyDescent="0.25">
      <c r="A9" s="4" t="s">
        <v>78</v>
      </c>
      <c r="B9" s="11">
        <v>248886</v>
      </c>
      <c r="C9" s="11">
        <v>224744</v>
      </c>
      <c r="D9" s="11">
        <f t="shared" si="0"/>
        <v>24142</v>
      </c>
      <c r="E9" s="11">
        <f t="shared" si="1"/>
        <v>702</v>
      </c>
      <c r="F9" s="12">
        <f t="shared" si="2"/>
        <v>2.9948805460750853E-2</v>
      </c>
      <c r="G9" s="11">
        <f t="shared" si="3"/>
        <v>2440.3333333333335</v>
      </c>
      <c r="H9" s="11">
        <f t="shared" si="4"/>
        <v>1911.8333333333333</v>
      </c>
      <c r="I9" s="11">
        <f>IFERROR(AVERAGE(E$3:E9),0)</f>
        <v>1638.7142857142858</v>
      </c>
    </row>
    <row r="10" spans="1:9" x14ac:dyDescent="0.25">
      <c r="A10" s="4" t="s">
        <v>79</v>
      </c>
      <c r="B10" s="11">
        <v>250418</v>
      </c>
      <c r="C10" s="11">
        <v>223606</v>
      </c>
      <c r="D10" s="11">
        <f t="shared" si="0"/>
        <v>26812</v>
      </c>
      <c r="E10" s="11">
        <f t="shared" si="1"/>
        <v>2670</v>
      </c>
      <c r="F10" s="12">
        <f t="shared" si="2"/>
        <v>0.11059564244884434</v>
      </c>
      <c r="G10" s="11">
        <f t="shared" si="3"/>
        <v>3044.3333333333335</v>
      </c>
      <c r="H10" s="11">
        <f t="shared" si="4"/>
        <v>2005.6666666666667</v>
      </c>
      <c r="I10" s="11">
        <f>IFERROR(AVERAGE(E$3:E10),0)</f>
        <v>1767.625</v>
      </c>
    </row>
    <row r="11" spans="1:9" x14ac:dyDescent="0.25">
      <c r="A11" s="4" t="s">
        <v>80</v>
      </c>
      <c r="B11" s="11">
        <v>252378</v>
      </c>
      <c r="C11" s="11">
        <v>223377</v>
      </c>
      <c r="D11" s="11">
        <f t="shared" si="0"/>
        <v>29001</v>
      </c>
      <c r="E11" s="11">
        <f t="shared" si="1"/>
        <v>2189</v>
      </c>
      <c r="F11" s="12">
        <f t="shared" si="2"/>
        <v>8.1642548112785318E-2</v>
      </c>
      <c r="G11" s="11">
        <f t="shared" si="3"/>
        <v>1853.6666666666667</v>
      </c>
      <c r="H11" s="11">
        <f t="shared" si="4"/>
        <v>2437.3333333333335</v>
      </c>
      <c r="I11" s="11">
        <f>IFERROR(AVERAGE(E$3:E11),0)</f>
        <v>1814.4444444444443</v>
      </c>
    </row>
    <row r="12" spans="1:9" x14ac:dyDescent="0.25">
      <c r="A12" s="4" t="s">
        <v>81</v>
      </c>
      <c r="B12" s="11">
        <v>254475</v>
      </c>
      <c r="C12" s="11">
        <v>220254</v>
      </c>
      <c r="D12" s="11">
        <f t="shared" si="0"/>
        <v>34221</v>
      </c>
      <c r="E12" s="11">
        <f t="shared" si="1"/>
        <v>5220</v>
      </c>
      <c r="F12" s="12">
        <f t="shared" si="2"/>
        <v>0.17999379331747181</v>
      </c>
      <c r="G12" s="11">
        <f t="shared" si="3"/>
        <v>3359.6666666666665</v>
      </c>
      <c r="H12" s="11">
        <f t="shared" si="4"/>
        <v>2900</v>
      </c>
      <c r="I12" s="11">
        <f>IFERROR(AVERAGE(E$3:E12),0)</f>
        <v>2155</v>
      </c>
    </row>
    <row r="13" spans="1:9" x14ac:dyDescent="0.25">
      <c r="A13" s="4" t="s">
        <v>82</v>
      </c>
      <c r="B13" s="11">
        <v>256547</v>
      </c>
      <c r="C13" s="11">
        <v>219365</v>
      </c>
      <c r="D13" s="11">
        <f t="shared" si="0"/>
        <v>37182</v>
      </c>
      <c r="E13" s="11">
        <f t="shared" si="1"/>
        <v>2961</v>
      </c>
      <c r="F13" s="12">
        <f t="shared" si="2"/>
        <v>8.6525817480494427E-2</v>
      </c>
      <c r="G13" s="11">
        <f t="shared" si="3"/>
        <v>3456.6666666666665</v>
      </c>
      <c r="H13" s="11">
        <f t="shared" si="4"/>
        <v>3250.5</v>
      </c>
      <c r="I13" s="11">
        <f>IFERROR(AVERAGE(E$3:E13),0)</f>
        <v>2228.2727272727275</v>
      </c>
    </row>
    <row r="14" spans="1:9" x14ac:dyDescent="0.25">
      <c r="A14" s="4" t="s">
        <v>83</v>
      </c>
      <c r="B14" s="11">
        <v>257938</v>
      </c>
      <c r="C14" s="11">
        <v>221154</v>
      </c>
      <c r="D14" s="11">
        <f t="shared" si="0"/>
        <v>36784</v>
      </c>
      <c r="E14" s="11">
        <f t="shared" si="1"/>
        <v>-398</v>
      </c>
      <c r="F14" s="12">
        <f t="shared" si="2"/>
        <v>-1.0704104136410091E-2</v>
      </c>
      <c r="G14" s="11">
        <f t="shared" si="3"/>
        <v>2594.3333333333335</v>
      </c>
      <c r="H14" s="11">
        <f t="shared" si="4"/>
        <v>2224</v>
      </c>
      <c r="I14" s="11">
        <f t="shared" ref="I14:I26" si="5">AVERAGE(E3:E14)</f>
        <v>2009.4166666666667</v>
      </c>
    </row>
    <row r="15" spans="1:9" x14ac:dyDescent="0.25">
      <c r="A15" s="4" t="s">
        <v>84</v>
      </c>
      <c r="B15" s="11">
        <v>259206</v>
      </c>
      <c r="C15" s="11">
        <v>219294</v>
      </c>
      <c r="D15" s="11">
        <f t="shared" si="0"/>
        <v>39912</v>
      </c>
      <c r="E15" s="11">
        <f t="shared" si="1"/>
        <v>3128</v>
      </c>
      <c r="F15" s="12">
        <f t="shared" si="2"/>
        <v>8.503697259678121E-2</v>
      </c>
      <c r="G15" s="11">
        <f t="shared" si="3"/>
        <v>1897</v>
      </c>
      <c r="H15" s="11">
        <f t="shared" si="4"/>
        <v>2628.3333333333335</v>
      </c>
      <c r="I15" s="11">
        <f t="shared" si="5"/>
        <v>2270.0833333333335</v>
      </c>
    </row>
    <row r="16" spans="1:9" x14ac:dyDescent="0.25">
      <c r="A16" s="4" t="s">
        <v>85</v>
      </c>
      <c r="B16" s="11">
        <v>261310</v>
      </c>
      <c r="C16" s="11">
        <v>215438</v>
      </c>
      <c r="D16" s="11">
        <f t="shared" si="0"/>
        <v>45872</v>
      </c>
      <c r="E16" s="11">
        <f t="shared" si="1"/>
        <v>5960</v>
      </c>
      <c r="F16" s="12">
        <f t="shared" si="2"/>
        <v>0.1493285227500501</v>
      </c>
      <c r="G16" s="11">
        <f t="shared" si="3"/>
        <v>2896.6666666666665</v>
      </c>
      <c r="H16" s="11">
        <f t="shared" si="4"/>
        <v>3176.6666666666665</v>
      </c>
      <c r="I16" s="11">
        <f t="shared" si="5"/>
        <v>2591.1666666666665</v>
      </c>
    </row>
    <row r="17" spans="1:9" x14ac:dyDescent="0.25">
      <c r="A17" s="4" t="s">
        <v>86</v>
      </c>
      <c r="B17" s="11">
        <v>261374</v>
      </c>
      <c r="C17" s="11">
        <v>215309</v>
      </c>
      <c r="D17" s="11">
        <f t="shared" si="0"/>
        <v>46065</v>
      </c>
      <c r="E17" s="11">
        <f t="shared" si="1"/>
        <v>193</v>
      </c>
      <c r="F17" s="12">
        <f t="shared" si="2"/>
        <v>4.2073596093477501E-3</v>
      </c>
      <c r="G17" s="11">
        <f t="shared" si="3"/>
        <v>3093.6666666666665</v>
      </c>
      <c r="H17" s="11">
        <f t="shared" si="4"/>
        <v>2844</v>
      </c>
      <c r="I17" s="11">
        <f t="shared" si="5"/>
        <v>2640.6666666666665</v>
      </c>
    </row>
    <row r="18" spans="1:9" x14ac:dyDescent="0.25">
      <c r="A18" s="4" t="s">
        <v>87</v>
      </c>
      <c r="B18" s="11">
        <v>265001</v>
      </c>
      <c r="C18" s="11">
        <v>212043</v>
      </c>
      <c r="D18" s="11">
        <f t="shared" si="0"/>
        <v>52958</v>
      </c>
      <c r="E18" s="11">
        <f t="shared" si="1"/>
        <v>6893</v>
      </c>
      <c r="F18" s="12">
        <f t="shared" si="2"/>
        <v>0.14963638337132312</v>
      </c>
      <c r="G18" s="11">
        <f t="shared" si="3"/>
        <v>4348.666666666667</v>
      </c>
      <c r="H18" s="11">
        <f t="shared" si="4"/>
        <v>3122.8333333333335</v>
      </c>
      <c r="I18" s="11">
        <f t="shared" si="5"/>
        <v>3011.4166666666665</v>
      </c>
    </row>
    <row r="19" spans="1:9" x14ac:dyDescent="0.25">
      <c r="A19" s="4" t="s">
        <v>88</v>
      </c>
      <c r="B19" s="11">
        <v>267312</v>
      </c>
      <c r="C19" s="11">
        <v>209719</v>
      </c>
      <c r="D19" s="11">
        <f t="shared" si="0"/>
        <v>57593</v>
      </c>
      <c r="E19" s="11">
        <f t="shared" si="1"/>
        <v>4635</v>
      </c>
      <c r="F19" s="12">
        <f t="shared" si="2"/>
        <v>8.7522187393783757E-2</v>
      </c>
      <c r="G19" s="11">
        <f t="shared" si="3"/>
        <v>3907</v>
      </c>
      <c r="H19" s="11">
        <f t="shared" si="4"/>
        <v>3401.8333333333335</v>
      </c>
      <c r="I19" s="11">
        <f t="shared" si="5"/>
        <v>3326.1666666666665</v>
      </c>
    </row>
    <row r="20" spans="1:9" x14ac:dyDescent="0.25">
      <c r="A20" s="4" t="s">
        <v>89</v>
      </c>
      <c r="B20" s="11">
        <v>269448</v>
      </c>
      <c r="C20" s="11">
        <v>209368</v>
      </c>
      <c r="D20" s="11">
        <f t="shared" si="0"/>
        <v>60080</v>
      </c>
      <c r="E20" s="11">
        <f t="shared" si="1"/>
        <v>2487</v>
      </c>
      <c r="F20" s="12">
        <f t="shared" si="2"/>
        <v>4.3182331186081641E-2</v>
      </c>
      <c r="G20" s="11">
        <f t="shared" si="3"/>
        <v>4671.666666666667</v>
      </c>
      <c r="H20" s="11">
        <f t="shared" si="4"/>
        <v>3882.6666666666665</v>
      </c>
      <c r="I20" s="11">
        <f t="shared" si="5"/>
        <v>3053.3333333333335</v>
      </c>
    </row>
    <row r="21" spans="1:9" x14ac:dyDescent="0.25">
      <c r="A21" s="4" t="s">
        <v>90</v>
      </c>
      <c r="B21" s="11">
        <v>271187</v>
      </c>
      <c r="C21" s="11">
        <v>208614</v>
      </c>
      <c r="D21" s="11">
        <f t="shared" si="0"/>
        <v>62573</v>
      </c>
      <c r="E21" s="11">
        <f t="shared" si="1"/>
        <v>2493</v>
      </c>
      <c r="F21" s="12">
        <f t="shared" si="2"/>
        <v>4.1494673768308919E-2</v>
      </c>
      <c r="G21" s="11">
        <f t="shared" si="3"/>
        <v>3205</v>
      </c>
      <c r="H21" s="11">
        <f t="shared" si="4"/>
        <v>3776.8333333333335</v>
      </c>
      <c r="I21" s="11">
        <f t="shared" si="5"/>
        <v>3202.5833333333335</v>
      </c>
    </row>
    <row r="22" spans="1:9" x14ac:dyDescent="0.25">
      <c r="A22" s="4" t="s">
        <v>91</v>
      </c>
      <c r="B22" s="11">
        <v>274401</v>
      </c>
      <c r="C22" s="11">
        <v>208990</v>
      </c>
      <c r="D22" s="11">
        <f t="shared" si="0"/>
        <v>65411</v>
      </c>
      <c r="E22" s="11">
        <f t="shared" si="1"/>
        <v>2838</v>
      </c>
      <c r="F22" s="12">
        <f t="shared" si="2"/>
        <v>4.5355025330414078E-2</v>
      </c>
      <c r="G22" s="11">
        <f t="shared" si="3"/>
        <v>2606</v>
      </c>
      <c r="H22" s="11">
        <f t="shared" si="4"/>
        <v>3256.5</v>
      </c>
      <c r="I22" s="11">
        <f t="shared" si="5"/>
        <v>3216.5833333333335</v>
      </c>
    </row>
    <row r="23" spans="1:9" x14ac:dyDescent="0.25">
      <c r="A23" s="4" t="s">
        <v>92</v>
      </c>
      <c r="B23" s="11">
        <v>274592</v>
      </c>
      <c r="C23" s="11">
        <v>209426</v>
      </c>
      <c r="D23" s="11">
        <f t="shared" si="0"/>
        <v>65166</v>
      </c>
      <c r="E23" s="11">
        <f t="shared" si="1"/>
        <v>-245</v>
      </c>
      <c r="F23" s="12">
        <f t="shared" si="2"/>
        <v>-3.7455473849964073E-3</v>
      </c>
      <c r="G23" s="11">
        <f t="shared" si="3"/>
        <v>1695.3333333333333</v>
      </c>
      <c r="H23" s="11">
        <f t="shared" si="4"/>
        <v>3183.5</v>
      </c>
      <c r="I23" s="11">
        <f t="shared" si="5"/>
        <v>3013.75</v>
      </c>
    </row>
    <row r="24" spans="1:9" x14ac:dyDescent="0.25">
      <c r="A24" s="4" t="s">
        <v>93</v>
      </c>
      <c r="B24" s="11">
        <v>273351</v>
      </c>
      <c r="C24" s="11">
        <v>207409</v>
      </c>
      <c r="D24" s="11">
        <f t="shared" si="0"/>
        <v>65942</v>
      </c>
      <c r="E24" s="11">
        <f t="shared" si="1"/>
        <v>776</v>
      </c>
      <c r="F24" s="12">
        <f t="shared" si="2"/>
        <v>1.190805021023233E-2</v>
      </c>
      <c r="G24" s="11">
        <f t="shared" si="3"/>
        <v>1123</v>
      </c>
      <c r="H24" s="11">
        <f t="shared" si="4"/>
        <v>2164</v>
      </c>
      <c r="I24" s="11">
        <f t="shared" si="5"/>
        <v>2643.4166666666665</v>
      </c>
    </row>
    <row r="25" spans="1:9" x14ac:dyDescent="0.25">
      <c r="A25" s="4" t="s">
        <v>94</v>
      </c>
      <c r="B25" s="11">
        <v>276902</v>
      </c>
      <c r="C25" s="11">
        <v>207219</v>
      </c>
      <c r="D25" s="11">
        <f t="shared" si="0"/>
        <v>69683</v>
      </c>
      <c r="E25" s="11">
        <f t="shared" si="1"/>
        <v>3741</v>
      </c>
      <c r="F25" s="12">
        <f t="shared" si="2"/>
        <v>5.6731673288647602E-2</v>
      </c>
      <c r="G25" s="11">
        <f t="shared" si="3"/>
        <v>1424</v>
      </c>
      <c r="H25" s="11">
        <f t="shared" si="4"/>
        <v>2015</v>
      </c>
      <c r="I25" s="11">
        <f t="shared" si="5"/>
        <v>2708.4166666666665</v>
      </c>
    </row>
    <row r="26" spans="1:9" x14ac:dyDescent="0.25">
      <c r="A26" s="4" t="s">
        <v>95</v>
      </c>
      <c r="B26" s="11">
        <v>278560</v>
      </c>
      <c r="C26" s="11">
        <v>208591</v>
      </c>
      <c r="D26" s="11">
        <f t="shared" si="0"/>
        <v>69969</v>
      </c>
      <c r="E26" s="11">
        <f t="shared" si="1"/>
        <v>286</v>
      </c>
      <c r="F26" s="12">
        <f t="shared" si="2"/>
        <v>4.104300905529326E-3</v>
      </c>
      <c r="G26" s="11">
        <f t="shared" si="3"/>
        <v>1601</v>
      </c>
      <c r="H26" s="11">
        <f t="shared" si="4"/>
        <v>1648.1666666666667</v>
      </c>
      <c r="I26" s="11">
        <f t="shared" si="5"/>
        <v>2765.4166666666665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"/>
  <sheetViews>
    <sheetView showGridLines="0" workbookViewId="0">
      <selection activeCell="A2" sqref="A2"/>
    </sheetView>
  </sheetViews>
  <sheetFormatPr defaultRowHeight="15" x14ac:dyDescent="0.25"/>
  <cols>
    <col min="1" max="1" width="22" customWidth="1"/>
    <col min="2" max="2" width="10" customWidth="1"/>
    <col min="3" max="3" width="14" customWidth="1"/>
    <col min="4" max="5" width="15" customWidth="1"/>
    <col min="6" max="6" width="31" customWidth="1"/>
    <col min="7" max="7" width="36" customWidth="1"/>
    <col min="8" max="8" width="13" customWidth="1"/>
    <col min="9" max="9" width="40" customWidth="1"/>
  </cols>
  <sheetData>
    <row r="1" spans="1:9" ht="18" x14ac:dyDescent="0.25">
      <c r="A1" s="1" t="s">
        <v>96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23" t="s">
        <v>97</v>
      </c>
      <c r="B2" s="23" t="s">
        <v>98</v>
      </c>
      <c r="C2" s="23" t="s">
        <v>99</v>
      </c>
      <c r="D2" s="23" t="s">
        <v>100</v>
      </c>
      <c r="E2" s="23" t="s">
        <v>101</v>
      </c>
      <c r="F2" s="23" t="s">
        <v>102</v>
      </c>
      <c r="G2" s="23" t="s">
        <v>103</v>
      </c>
      <c r="H2" s="23" t="s">
        <v>104</v>
      </c>
      <c r="I2" s="23" t="s">
        <v>105</v>
      </c>
    </row>
    <row r="3" spans="1:9" x14ac:dyDescent="0.25">
      <c r="A3" s="4" t="s">
        <v>106</v>
      </c>
      <c r="B3" s="11">
        <v>50000</v>
      </c>
      <c r="C3" s="11">
        <f>History!D26</f>
        <v>69969</v>
      </c>
      <c r="D3" s="11">
        <f t="shared" ref="D3:D8" si="0">MAX(0,B3-C3)</f>
        <v>0</v>
      </c>
      <c r="E3" s="11">
        <f>History!H26</f>
        <v>1648.1666666666667</v>
      </c>
      <c r="F3" s="13">
        <f t="shared" ref="F3:F8" si="1">IFERROR(IF(D3&lt;=0,0,D3/E3),0)</f>
        <v>0</v>
      </c>
      <c r="G3" s="6">
        <f t="shared" ref="G3:G8" ca="1" si="2">IF(F3=0,TODAY(),TODAY()+F3*30.44)</f>
        <v>46121</v>
      </c>
      <c r="H3" s="14">
        <v>45809</v>
      </c>
      <c r="I3" s="4" t="str">
        <f t="shared" ref="I3:I8" si="3">IF(C3&gt;=B3,"Reached",IF(G3&lt;=H3,"On Track","Behind"))</f>
        <v>Reached</v>
      </c>
    </row>
    <row r="4" spans="1:9" x14ac:dyDescent="0.25">
      <c r="A4" s="4" t="s">
        <v>107</v>
      </c>
      <c r="B4" s="11">
        <v>100000</v>
      </c>
      <c r="C4" s="11">
        <f>History!D26</f>
        <v>69969</v>
      </c>
      <c r="D4" s="11">
        <f t="shared" si="0"/>
        <v>30031</v>
      </c>
      <c r="E4" s="11">
        <f>History!H26</f>
        <v>1648.1666666666667</v>
      </c>
      <c r="F4" s="13">
        <f t="shared" si="1"/>
        <v>18.22085145110729</v>
      </c>
      <c r="G4" s="6">
        <f t="shared" ca="1" si="2"/>
        <v>46675.642718171708</v>
      </c>
      <c r="H4" s="14">
        <v>46022</v>
      </c>
      <c r="I4" s="4" t="str">
        <f t="shared" ca="1" si="3"/>
        <v>Behind</v>
      </c>
    </row>
    <row r="5" spans="1:9" x14ac:dyDescent="0.25">
      <c r="A5" s="4" t="s">
        <v>108</v>
      </c>
      <c r="B5" s="11">
        <v>150000</v>
      </c>
      <c r="C5" s="11">
        <f>History!D26</f>
        <v>69969</v>
      </c>
      <c r="D5" s="11">
        <f t="shared" si="0"/>
        <v>80031</v>
      </c>
      <c r="E5" s="11">
        <f>History!H26</f>
        <v>1648.1666666666667</v>
      </c>
      <c r="F5" s="13">
        <f t="shared" si="1"/>
        <v>48.55758924057033</v>
      </c>
      <c r="G5" s="6">
        <f t="shared" ca="1" si="2"/>
        <v>47599.093016482962</v>
      </c>
      <c r="H5" s="14">
        <v>46387</v>
      </c>
      <c r="I5" s="4" t="str">
        <f t="shared" ca="1" si="3"/>
        <v>Behind</v>
      </c>
    </row>
    <row r="6" spans="1:9" x14ac:dyDescent="0.25">
      <c r="A6" s="4" t="s">
        <v>109</v>
      </c>
      <c r="B6" s="11">
        <v>250000</v>
      </c>
      <c r="C6" s="11">
        <f>History!D26</f>
        <v>69969</v>
      </c>
      <c r="D6" s="11">
        <f t="shared" si="0"/>
        <v>180031</v>
      </c>
      <c r="E6" s="11">
        <f>History!H26</f>
        <v>1648.1666666666667</v>
      </c>
      <c r="F6" s="13">
        <f t="shared" si="1"/>
        <v>109.23106481949641</v>
      </c>
      <c r="G6" s="6">
        <f t="shared" ca="1" si="2"/>
        <v>49445.993613105471</v>
      </c>
      <c r="H6" s="14">
        <v>47118</v>
      </c>
      <c r="I6" s="4" t="str">
        <f t="shared" ca="1" si="3"/>
        <v>Behind</v>
      </c>
    </row>
    <row r="7" spans="1:9" x14ac:dyDescent="0.25">
      <c r="A7" s="4" t="s">
        <v>110</v>
      </c>
      <c r="B7" s="11">
        <v>500000</v>
      </c>
      <c r="C7" s="11">
        <f>History!D26</f>
        <v>69969</v>
      </c>
      <c r="D7" s="11">
        <f t="shared" si="0"/>
        <v>430031</v>
      </c>
      <c r="E7" s="11">
        <f>History!H26</f>
        <v>1648.1666666666667</v>
      </c>
      <c r="F7" s="13">
        <f t="shared" si="1"/>
        <v>260.9147537668116</v>
      </c>
      <c r="G7" s="6">
        <f t="shared" ca="1" si="2"/>
        <v>54063.245104661743</v>
      </c>
      <c r="H7" s="14">
        <v>48579</v>
      </c>
      <c r="I7" s="4" t="str">
        <f t="shared" ca="1" si="3"/>
        <v>Behind</v>
      </c>
    </row>
    <row r="8" spans="1:9" x14ac:dyDescent="0.25">
      <c r="A8" s="4" t="s">
        <v>111</v>
      </c>
      <c r="B8" s="11">
        <v>1000000</v>
      </c>
      <c r="C8" s="11">
        <f>History!D26</f>
        <v>69969</v>
      </c>
      <c r="D8" s="11">
        <f t="shared" si="0"/>
        <v>930031</v>
      </c>
      <c r="E8" s="11">
        <f>History!H26</f>
        <v>1648.1666666666667</v>
      </c>
      <c r="F8" s="13">
        <f t="shared" si="1"/>
        <v>564.28213166144201</v>
      </c>
      <c r="G8" s="6">
        <f t="shared" ca="1" si="2"/>
        <v>63297.748087774293</v>
      </c>
      <c r="H8" s="14">
        <v>50770</v>
      </c>
      <c r="I8" s="4" t="str">
        <f t="shared" ca="1" si="3"/>
        <v>Behind</v>
      </c>
    </row>
  </sheetData>
  <conditionalFormatting sqref="I3:I8">
    <cfRule type="cellIs" dxfId="2" priority="1" operator="equal">
      <formula>"Reached"</formula>
    </cfRule>
    <cfRule type="cellIs" dxfId="1" priority="2" operator="equal">
      <formula>"On Track"</formula>
    </cfRule>
    <cfRule type="cellIs" dxfId="0" priority="3" operator="equal">
      <formula>"Behind"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showGridLines="0" tabSelected="1" workbookViewId="0">
      <selection activeCell="B31" sqref="B31"/>
    </sheetView>
  </sheetViews>
  <sheetFormatPr defaultRowHeight="15" x14ac:dyDescent="0.25"/>
  <cols>
    <col min="1" max="1" width="28" customWidth="1"/>
    <col min="2" max="2" width="40" customWidth="1"/>
    <col min="3" max="3" width="16" customWidth="1"/>
    <col min="4" max="4" width="37" customWidth="1"/>
  </cols>
  <sheetData>
    <row r="1" spans="1:4" ht="18" x14ac:dyDescent="0.25">
      <c r="A1" s="1" t="s">
        <v>112</v>
      </c>
      <c r="B1" s="2"/>
      <c r="C1" s="2"/>
      <c r="D1" s="2"/>
    </row>
    <row r="2" spans="1:4" x14ac:dyDescent="0.25">
      <c r="A2" s="15" t="s">
        <v>113</v>
      </c>
      <c r="B2" s="2"/>
      <c r="C2" s="2"/>
      <c r="D2" s="2"/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2" t="s">
        <v>114</v>
      </c>
      <c r="B33" s="22" t="s">
        <v>115</v>
      </c>
      <c r="C33" s="2"/>
      <c r="D33" s="2"/>
    </row>
    <row r="34" spans="1:4" x14ac:dyDescent="0.25">
      <c r="A34" s="4" t="s">
        <v>10</v>
      </c>
      <c r="B34" s="11">
        <f>SUMPRODUCT((Accounts!$C$3:$C$16="Checking")*'Monthly Balances'!$M$3:$M$16)</f>
        <v>4257</v>
      </c>
      <c r="C34" s="2"/>
      <c r="D34" s="2"/>
    </row>
    <row r="35" spans="1:4" x14ac:dyDescent="0.25">
      <c r="A35" s="4" t="s">
        <v>14</v>
      </c>
      <c r="B35" s="11">
        <f>SUMPRODUCT((Accounts!$C$3:$C$16="Savings")*'Monthly Balances'!$M$3:$M$16)</f>
        <v>13682</v>
      </c>
      <c r="C35" s="2"/>
      <c r="D35" s="2"/>
    </row>
    <row r="36" spans="1:4" x14ac:dyDescent="0.25">
      <c r="A36" s="4" t="s">
        <v>18</v>
      </c>
      <c r="B36" s="11">
        <f>SUMPRODUCT((Accounts!$C$3:$C$16="Money Market")*'Monthly Balances'!$M$3:$M$16)</f>
        <v>0</v>
      </c>
      <c r="C36" s="2"/>
      <c r="D36" s="2"/>
    </row>
    <row r="37" spans="1:4" x14ac:dyDescent="0.25">
      <c r="A37" s="4" t="s">
        <v>17</v>
      </c>
      <c r="B37" s="11">
        <f>SUMPRODUCT((Accounts!$C$3:$C$16="Brokerage")*'Monthly Balances'!$M$3:$M$16)</f>
        <v>35091</v>
      </c>
      <c r="C37" s="2"/>
      <c r="D37" s="2"/>
    </row>
    <row r="38" spans="1:4" x14ac:dyDescent="0.25">
      <c r="A38" s="4" t="s">
        <v>21</v>
      </c>
      <c r="B38" s="11">
        <f>SUMPRODUCT((Accounts!$C$3:$C$16="401k")*'Monthly Balances'!$M$3:$M$16)</f>
        <v>83010</v>
      </c>
      <c r="C38" s="2"/>
      <c r="D38" s="2"/>
    </row>
    <row r="39" spans="1:4" x14ac:dyDescent="0.25">
      <c r="A39" s="4" t="s">
        <v>23</v>
      </c>
      <c r="B39" s="11">
        <f>SUMPRODUCT((Accounts!$C$3:$C$16="IRA")*'Monthly Balances'!$M$3:$M$16)</f>
        <v>24422</v>
      </c>
      <c r="C39" s="2"/>
      <c r="D39" s="2"/>
    </row>
    <row r="40" spans="1:4" x14ac:dyDescent="0.25">
      <c r="A40" s="4" t="s">
        <v>26</v>
      </c>
      <c r="B40" s="11">
        <f>SUMPRODUCT((Accounts!$C$3:$C$16="HSA")*'Monthly Balances'!$M$3:$M$16)</f>
        <v>5575</v>
      </c>
      <c r="C40" s="2"/>
      <c r="D40" s="2"/>
    </row>
    <row r="41" spans="1:4" x14ac:dyDescent="0.25">
      <c r="A41" s="4" t="s">
        <v>28</v>
      </c>
      <c r="B41" s="11">
        <f>SUMPRODUCT((Accounts!$C$3:$C$16="529")*'Monthly Balances'!$M$3:$M$16)</f>
        <v>3624</v>
      </c>
      <c r="C41" s="2"/>
      <c r="D41" s="2"/>
    </row>
    <row r="42" spans="1:4" x14ac:dyDescent="0.25">
      <c r="A42" s="4" t="s">
        <v>31</v>
      </c>
      <c r="B42" s="11">
        <f>SUMPRODUCT((Accounts!$C$3:$C$16="Real Estate")*'Monthly Balances'!$M$3:$M$16)</f>
        <v>96930</v>
      </c>
      <c r="C42" s="2"/>
      <c r="D42" s="2"/>
    </row>
    <row r="43" spans="1:4" x14ac:dyDescent="0.25">
      <c r="A43" s="4" t="s">
        <v>34</v>
      </c>
      <c r="B43" s="11">
        <f>SUMPRODUCT((Accounts!$C$3:$C$16="Vehicle")*'Monthly Balances'!$M$3:$M$16)</f>
        <v>11969</v>
      </c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3" t="s">
        <v>97</v>
      </c>
      <c r="B63" s="3" t="s">
        <v>98</v>
      </c>
      <c r="C63" s="3" t="s">
        <v>116</v>
      </c>
      <c r="D63" s="3" t="s">
        <v>117</v>
      </c>
    </row>
    <row r="64" spans="1:4" x14ac:dyDescent="0.25">
      <c r="A64" s="4" t="str">
        <f>Milestones!A3</f>
        <v>$50K Net Worth</v>
      </c>
      <c r="B64" s="11">
        <f>Milestones!B3</f>
        <v>50000</v>
      </c>
      <c r="C64" s="11">
        <f>Milestones!C3</f>
        <v>69969</v>
      </c>
      <c r="D64" s="12">
        <f>MIN(1,Milestones!C3/Milestones!B3)</f>
        <v>1</v>
      </c>
    </row>
    <row r="65" spans="1:4" x14ac:dyDescent="0.25">
      <c r="A65" s="4" t="str">
        <f>Milestones!A4</f>
        <v>$100K Net Worth</v>
      </c>
      <c r="B65" s="11">
        <f>Milestones!B4</f>
        <v>100000</v>
      </c>
      <c r="C65" s="11">
        <f>Milestones!C4</f>
        <v>69969</v>
      </c>
      <c r="D65" s="12">
        <f>MIN(1,Milestones!C4/Milestones!B4)</f>
        <v>0.69969000000000003</v>
      </c>
    </row>
    <row r="66" spans="1:4" x14ac:dyDescent="0.25">
      <c r="A66" s="4" t="str">
        <f>Milestones!A5</f>
        <v>$150K Net Worth</v>
      </c>
      <c r="B66" s="11">
        <f>Milestones!B5</f>
        <v>150000</v>
      </c>
      <c r="C66" s="11">
        <f>Milestones!C5</f>
        <v>69969</v>
      </c>
      <c r="D66" s="12">
        <f>MIN(1,Milestones!C5/Milestones!B5)</f>
        <v>0.46645999999999999</v>
      </c>
    </row>
    <row r="67" spans="1:4" x14ac:dyDescent="0.25">
      <c r="A67" s="4" t="str">
        <f>Milestones!A6</f>
        <v>$250K Net Worth</v>
      </c>
      <c r="B67" s="11">
        <f>Milestones!B6</f>
        <v>250000</v>
      </c>
      <c r="C67" s="11">
        <f>Milestones!C6</f>
        <v>69969</v>
      </c>
      <c r="D67" s="12">
        <f>MIN(1,Milestones!C6/Milestones!B6)</f>
        <v>0.27987600000000001</v>
      </c>
    </row>
    <row r="68" spans="1:4" x14ac:dyDescent="0.25">
      <c r="A68" s="4" t="str">
        <f>Milestones!A7</f>
        <v>$500K Net Worth</v>
      </c>
      <c r="B68" s="11">
        <f>Milestones!B7</f>
        <v>500000</v>
      </c>
      <c r="C68" s="11">
        <f>Milestones!C7</f>
        <v>69969</v>
      </c>
      <c r="D68" s="12">
        <f>MIN(1,Milestones!C7/Milestones!B7)</f>
        <v>0.13993800000000001</v>
      </c>
    </row>
    <row r="69" spans="1:4" x14ac:dyDescent="0.25">
      <c r="A69" s="4" t="str">
        <f>Milestones!A8</f>
        <v>$1M Net Worth</v>
      </c>
      <c r="B69" s="11">
        <f>Milestones!B8</f>
        <v>1000000</v>
      </c>
      <c r="C69" s="11">
        <f>Milestones!C8</f>
        <v>69969</v>
      </c>
      <c r="D69" s="12">
        <f>MIN(1,Milestones!C8/Milestones!B8)</f>
        <v>6.9969000000000003E-2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8"/>
  <sheetViews>
    <sheetView showGridLines="0" zoomScale="160" zoomScaleNormal="160" workbookViewId="0">
      <selection activeCell="A5" sqref="A5"/>
    </sheetView>
  </sheetViews>
  <sheetFormatPr defaultRowHeight="15" x14ac:dyDescent="0.25"/>
  <cols>
    <col min="1" max="1" width="40" customWidth="1"/>
  </cols>
  <sheetData>
    <row r="1" spans="1:1" x14ac:dyDescent="0.25">
      <c r="A1" s="20" t="s">
        <v>118</v>
      </c>
    </row>
    <row r="2" spans="1:1" x14ac:dyDescent="0.25">
      <c r="A2" s="21" t="s">
        <v>119</v>
      </c>
    </row>
    <row r="3" spans="1:1" x14ac:dyDescent="0.25">
      <c r="A3" s="21" t="s">
        <v>120</v>
      </c>
    </row>
    <row r="4" spans="1:1" x14ac:dyDescent="0.25">
      <c r="A4" s="21" t="s">
        <v>121</v>
      </c>
    </row>
    <row r="5" spans="1:1" x14ac:dyDescent="0.25">
      <c r="A5" s="21" t="s">
        <v>122</v>
      </c>
    </row>
    <row r="6" spans="1:1" x14ac:dyDescent="0.25">
      <c r="A6" s="21" t="s">
        <v>123</v>
      </c>
    </row>
    <row r="7" spans="1:1" x14ac:dyDescent="0.25">
      <c r="A7" s="21" t="s">
        <v>124</v>
      </c>
    </row>
    <row r="8" spans="1:1" x14ac:dyDescent="0.25">
      <c r="A8" s="21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Accounts</vt:lpstr>
      <vt:lpstr>Monthly Balances</vt:lpstr>
      <vt:lpstr>History</vt:lpstr>
      <vt:lpstr>Milestones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Frenzel, Tim</cp:lastModifiedBy>
  <dcterms:created xsi:type="dcterms:W3CDTF">2026-04-10T00:25:02Z</dcterms:created>
  <dcterms:modified xsi:type="dcterms:W3CDTF">2026-04-10T00:33:30Z</dcterms:modified>
</cp:coreProperties>
</file>