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personal-finance\refi-or-paydown\"/>
    </mc:Choice>
  </mc:AlternateContent>
  <xr:revisionPtr revIDLastSave="0" documentId="13_ncr:1_{D508C89D-1113-4847-9169-BE6EC10BD1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puts" sheetId="1" r:id="rId1"/>
    <sheet name="Refi Case" sheetId="2" r:id="rId2"/>
    <sheet name="Extra Paydown Case" sheetId="3" r:id="rId3"/>
    <sheet name="Invest Case" sheetId="4" r:id="rId4"/>
    <sheet name="Break-Even &amp;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E5" i="1" s="1"/>
  <c r="B4" i="5"/>
  <c r="E12" i="4"/>
  <c r="C12" i="4"/>
  <c r="E11" i="4"/>
  <c r="D28" i="5" s="1"/>
  <c r="C11" i="4"/>
  <c r="E10" i="4"/>
  <c r="D27" i="5" s="1"/>
  <c r="C10" i="4"/>
  <c r="E9" i="4"/>
  <c r="D26" i="5" s="1"/>
  <c r="C9" i="4"/>
  <c r="E8" i="4"/>
  <c r="D25" i="5" s="1"/>
  <c r="C8" i="4"/>
  <c r="E7" i="4"/>
  <c r="D24" i="5" s="1"/>
  <c r="C7" i="4"/>
  <c r="E6" i="4"/>
  <c r="D23" i="5" s="1"/>
  <c r="C6" i="4"/>
  <c r="E5" i="4"/>
  <c r="D22" i="5" s="1"/>
  <c r="C5" i="4"/>
  <c r="E4" i="4"/>
  <c r="D21" i="5" s="1"/>
  <c r="C4" i="4"/>
  <c r="E3" i="4"/>
  <c r="D20" i="5" s="1"/>
  <c r="C3" i="4"/>
  <c r="E2" i="4"/>
  <c r="D19" i="5" s="1"/>
  <c r="C2" i="4"/>
  <c r="C12" i="3"/>
  <c r="C11" i="3"/>
  <c r="C10" i="3"/>
  <c r="C9" i="3"/>
  <c r="C8" i="3"/>
  <c r="C7" i="3"/>
  <c r="C6" i="3"/>
  <c r="C5" i="3"/>
  <c r="E4" i="3"/>
  <c r="F4" i="3" s="1"/>
  <c r="C4" i="3"/>
  <c r="C3" i="3"/>
  <c r="K2" i="3"/>
  <c r="C2" i="3"/>
  <c r="C12" i="2"/>
  <c r="C11" i="2"/>
  <c r="C10" i="2"/>
  <c r="C9" i="2"/>
  <c r="C8" i="2"/>
  <c r="C7" i="2"/>
  <c r="C6" i="2"/>
  <c r="C5" i="2"/>
  <c r="C4" i="2"/>
  <c r="C3" i="2"/>
  <c r="C2" i="2"/>
  <c r="B13" i="1"/>
  <c r="B5" i="1"/>
  <c r="F7" i="4" s="1"/>
  <c r="E5" i="3" l="1"/>
  <c r="F5" i="3" s="1"/>
  <c r="E2" i="1"/>
  <c r="F2" i="4"/>
  <c r="B3" i="4"/>
  <c r="E7" i="3"/>
  <c r="F7" i="3" s="1"/>
  <c r="B5" i="4"/>
  <c r="D5" i="4" s="1"/>
  <c r="H5" i="4" s="1"/>
  <c r="I22" i="5" s="1"/>
  <c r="F11" i="4"/>
  <c r="B12" i="4"/>
  <c r="D12" i="4" s="1"/>
  <c r="H12" i="4" s="1"/>
  <c r="F4" i="4"/>
  <c r="B11" i="4"/>
  <c r="F5" i="4"/>
  <c r="G5" i="4" s="1"/>
  <c r="B3" i="5"/>
  <c r="D11" i="4"/>
  <c r="H11" i="4" s="1"/>
  <c r="I28" i="5" s="1"/>
  <c r="E9" i="3"/>
  <c r="F9" i="3" s="1"/>
  <c r="F12" i="4"/>
  <c r="G12" i="4" s="1"/>
  <c r="B7" i="4"/>
  <c r="G7" i="4" s="1"/>
  <c r="E2" i="3"/>
  <c r="F2" i="3" s="1"/>
  <c r="G2" i="3" s="1"/>
  <c r="C19" i="5" s="1"/>
  <c r="B11" i="3"/>
  <c r="D11" i="3" s="1"/>
  <c r="H11" i="3" s="1"/>
  <c r="H28" i="5" s="1"/>
  <c r="D7" i="4"/>
  <c r="H7" i="4" s="1"/>
  <c r="I24" i="5" s="1"/>
  <c r="D3" i="4"/>
  <c r="H3" i="4" s="1"/>
  <c r="B8" i="5" s="1"/>
  <c r="D7" i="3"/>
  <c r="H7" i="3" s="1"/>
  <c r="H24" i="5" s="1"/>
  <c r="B6" i="4"/>
  <c r="D6" i="4" s="1"/>
  <c r="H6" i="4" s="1"/>
  <c r="I23" i="5" s="1"/>
  <c r="B3" i="3"/>
  <c r="D3" i="3" s="1"/>
  <c r="H3" i="3" s="1"/>
  <c r="B8" i="4"/>
  <c r="D8" i="4" s="1"/>
  <c r="H8" i="4" s="1"/>
  <c r="I25" i="5" s="1"/>
  <c r="E12" i="3"/>
  <c r="F12" i="3" s="1"/>
  <c r="B10" i="3"/>
  <c r="D10" i="3" s="1"/>
  <c r="H10" i="3" s="1"/>
  <c r="H27" i="5" s="1"/>
  <c r="E3" i="3"/>
  <c r="F3" i="3" s="1"/>
  <c r="B2" i="4"/>
  <c r="G2" i="4" s="1"/>
  <c r="E6" i="3"/>
  <c r="F6" i="3" s="1"/>
  <c r="B7" i="3"/>
  <c r="E10" i="3"/>
  <c r="F10" i="3" s="1"/>
  <c r="G10" i="3" s="1"/>
  <c r="B4" i="3"/>
  <c r="G4" i="3" s="1"/>
  <c r="D2" i="4"/>
  <c r="H2" i="4" s="1"/>
  <c r="I19" i="5" s="1"/>
  <c r="F8" i="4"/>
  <c r="G8" i="4" s="1"/>
  <c r="D4" i="3"/>
  <c r="H4" i="3" s="1"/>
  <c r="H21" i="5" s="1"/>
  <c r="B9" i="4"/>
  <c r="D9" i="4" s="1"/>
  <c r="H9" i="4" s="1"/>
  <c r="I26" i="5" s="1"/>
  <c r="D4" i="4"/>
  <c r="H4" i="4" s="1"/>
  <c r="I21" i="5" s="1"/>
  <c r="B7" i="5"/>
  <c r="H20" i="5"/>
  <c r="D12" i="3"/>
  <c r="H12" i="3" s="1"/>
  <c r="B14" i="1"/>
  <c r="B5" i="2" s="1"/>
  <c r="D5" i="2" s="1"/>
  <c r="H5" i="2" s="1"/>
  <c r="G22" i="5" s="1"/>
  <c r="B8" i="3"/>
  <c r="D8" i="3" s="1"/>
  <c r="H8" i="3" s="1"/>
  <c r="H25" i="5" s="1"/>
  <c r="F9" i="4"/>
  <c r="B2" i="3"/>
  <c r="D2" i="3" s="1"/>
  <c r="H2" i="3" s="1"/>
  <c r="H19" i="5" s="1"/>
  <c r="B5" i="3"/>
  <c r="D5" i="3" s="1"/>
  <c r="H5" i="3" s="1"/>
  <c r="H22" i="5" s="1"/>
  <c r="F6" i="4"/>
  <c r="G6" i="4" s="1"/>
  <c r="E11" i="3"/>
  <c r="F11" i="3" s="1"/>
  <c r="F3" i="4"/>
  <c r="B1" i="5"/>
  <c r="E8" i="3"/>
  <c r="F8" i="3" s="1"/>
  <c r="B10" i="4"/>
  <c r="D10" i="4" s="1"/>
  <c r="H10" i="4" s="1"/>
  <c r="I27" i="5" s="1"/>
  <c r="B4" i="4"/>
  <c r="B12" i="3"/>
  <c r="B9" i="3"/>
  <c r="D9" i="3" s="1"/>
  <c r="H9" i="3" s="1"/>
  <c r="H26" i="5" s="1"/>
  <c r="F10" i="4"/>
  <c r="B6" i="3"/>
  <c r="D6" i="3" s="1"/>
  <c r="H6" i="3" s="1"/>
  <c r="H23" i="5" s="1"/>
  <c r="G3" i="3" l="1"/>
  <c r="G3" i="4"/>
  <c r="C20" i="5" s="1"/>
  <c r="I20" i="5"/>
  <c r="G4" i="4"/>
  <c r="B10" i="2"/>
  <c r="D10" i="2" s="1"/>
  <c r="H10" i="2" s="1"/>
  <c r="G27" i="5" s="1"/>
  <c r="G6" i="3"/>
  <c r="C21" i="5"/>
  <c r="I29" i="5"/>
  <c r="B11" i="5"/>
  <c r="C23" i="5"/>
  <c r="G11" i="3"/>
  <c r="G11" i="4"/>
  <c r="G9" i="4"/>
  <c r="B4" i="2"/>
  <c r="D4" i="2" s="1"/>
  <c r="H4" i="2" s="1"/>
  <c r="G21" i="5" s="1"/>
  <c r="G10" i="4"/>
  <c r="C27" i="5" s="1"/>
  <c r="G7" i="3"/>
  <c r="C24" i="5" s="1"/>
  <c r="G12" i="3"/>
  <c r="B9" i="2"/>
  <c r="D9" i="2" s="1"/>
  <c r="H9" i="2" s="1"/>
  <c r="G26" i="5" s="1"/>
  <c r="H29" i="5"/>
  <c r="B10" i="5"/>
  <c r="E6" i="2"/>
  <c r="F6" i="2" s="1"/>
  <c r="E9" i="2"/>
  <c r="F9" i="2" s="1"/>
  <c r="G9" i="2" s="1"/>
  <c r="E4" i="2"/>
  <c r="F4" i="2" s="1"/>
  <c r="E7" i="2"/>
  <c r="F7" i="2" s="1"/>
  <c r="E8" i="2"/>
  <c r="F8" i="2" s="1"/>
  <c r="E10" i="2"/>
  <c r="F10" i="2" s="1"/>
  <c r="E3" i="1"/>
  <c r="B11" i="2"/>
  <c r="D11" i="2" s="1"/>
  <c r="H11" i="2" s="1"/>
  <c r="G28" i="5" s="1"/>
  <c r="E11" i="2"/>
  <c r="F11" i="2" s="1"/>
  <c r="B15" i="1"/>
  <c r="B2" i="5"/>
  <c r="E3" i="2"/>
  <c r="F3" i="2" s="1"/>
  <c r="E12" i="2"/>
  <c r="F12" i="2" s="1"/>
  <c r="E2" i="2"/>
  <c r="F2" i="2" s="1"/>
  <c r="B6" i="2"/>
  <c r="D6" i="2" s="1"/>
  <c r="H6" i="2" s="1"/>
  <c r="G23" i="5" s="1"/>
  <c r="E5" i="2"/>
  <c r="F5" i="2" s="1"/>
  <c r="G5" i="2" s="1"/>
  <c r="B12" i="2"/>
  <c r="D12" i="2" s="1"/>
  <c r="H12" i="2" s="1"/>
  <c r="B3" i="2"/>
  <c r="D3" i="2" s="1"/>
  <c r="H3" i="2" s="1"/>
  <c r="B2" i="2"/>
  <c r="D2" i="2" s="1"/>
  <c r="H2" i="2" s="1"/>
  <c r="G19" i="5" s="1"/>
  <c r="G9" i="3"/>
  <c r="C26" i="5" s="1"/>
  <c r="G5" i="3"/>
  <c r="C22" i="5" s="1"/>
  <c r="B8" i="2"/>
  <c r="D8" i="2" s="1"/>
  <c r="H8" i="2" s="1"/>
  <c r="G25" i="5" s="1"/>
  <c r="G8" i="3"/>
  <c r="C25" i="5" s="1"/>
  <c r="B7" i="2"/>
  <c r="D7" i="2" s="1"/>
  <c r="H7" i="2" s="1"/>
  <c r="G24" i="5" s="1"/>
  <c r="G7" i="2" l="1"/>
  <c r="G4" i="2"/>
  <c r="C28" i="5"/>
  <c r="G10" i="2"/>
  <c r="G8" i="2"/>
  <c r="G3" i="2"/>
  <c r="B23" i="5"/>
  <c r="B22" i="5"/>
  <c r="E4" i="1"/>
  <c r="B25" i="5"/>
  <c r="B21" i="5"/>
  <c r="B24" i="5"/>
  <c r="B28" i="5"/>
  <c r="B19" i="5"/>
  <c r="B20" i="5"/>
  <c r="B27" i="5"/>
  <c r="B26" i="5"/>
  <c r="G6" i="2"/>
  <c r="G29" i="5"/>
  <c r="B9" i="5"/>
  <c r="G12" i="2"/>
  <c r="G11" i="2"/>
  <c r="G2" i="2"/>
  <c r="B6" i="5"/>
  <c r="G20" i="5"/>
</calcChain>
</file>

<file path=xl/sharedStrings.xml><?xml version="1.0" encoding="utf-8"?>
<sst xmlns="http://schemas.openxmlformats.org/spreadsheetml/2006/main" count="65" uniqueCount="48">
  <si>
    <t>Current Home Value</t>
  </si>
  <si>
    <t>Compare here</t>
  </si>
  <si>
    <t>Current Mortgage Balance</t>
  </si>
  <si>
    <t>Current payment</t>
  </si>
  <si>
    <t>Current Rate</t>
  </si>
  <si>
    <t>Refi payment</t>
  </si>
  <si>
    <t>Years Remaining</t>
  </si>
  <si>
    <t>Monthly payment difference</t>
  </si>
  <si>
    <t>Current Payment</t>
  </si>
  <si>
    <t>10-year refi break-even</t>
  </si>
  <si>
    <t>Refi Rate</t>
  </si>
  <si>
    <t>Refi Term (years)</t>
  </si>
  <si>
    <t>Refi Closing Costs</t>
  </si>
  <si>
    <t>Extra Principal / Month</t>
  </si>
  <si>
    <t>Investment Return Assumption</t>
  </si>
  <si>
    <t>Home Appreciation</t>
  </si>
  <si>
    <t>Comparison Horizon (years)</t>
  </si>
  <si>
    <t>Refi Loan Amount</t>
  </si>
  <si>
    <t>Refi Payment</t>
  </si>
  <si>
    <t>Monthly Payment Difference</t>
  </si>
  <si>
    <t>Year</t>
  </si>
  <si>
    <t>Remaining Balance</t>
  </si>
  <si>
    <t>Home Value</t>
  </si>
  <si>
    <t>Equity</t>
  </si>
  <si>
    <t>Annual Payment</t>
  </si>
  <si>
    <t>Cumulative Payments</t>
  </si>
  <si>
    <t>Approx interest</t>
  </si>
  <si>
    <t>Net worth est.</t>
  </si>
  <si>
    <t>Payoff Check</t>
  </si>
  <si>
    <t>Mortgage payoff year</t>
  </si>
  <si>
    <t>Investment Balance</t>
  </si>
  <si>
    <t>Annual Mortgage Payment</t>
  </si>
  <si>
    <t>Extra-paydown outflow</t>
  </si>
  <si>
    <t>Invest contribution</t>
  </si>
  <si>
    <t>Year 1 refi net worth</t>
  </si>
  <si>
    <t>Year 1 paydown net worth</t>
  </si>
  <si>
    <t>Year 1 invest net worth</t>
  </si>
  <si>
    <t>Year 10 refi net worth</t>
  </si>
  <si>
    <t>Year 10 paydown net worth</t>
  </si>
  <si>
    <t>Year 10 invest net worth</t>
  </si>
  <si>
    <t>Refi break-even year</t>
  </si>
  <si>
    <t>Hold Year</t>
  </si>
  <si>
    <t>Refi Savings vs Current</t>
  </si>
  <si>
    <t>Paydown Interest Saved</t>
  </si>
  <si>
    <t>Opportunity Cost</t>
  </si>
  <si>
    <t>Refi</t>
  </si>
  <si>
    <t>Paydown</t>
  </si>
  <si>
    <t>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</si>
</sst>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b/>
      <sz val="11"/>
      <color rgb="FF40404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DFD0"/>
      </patternFill>
    </fill>
    <fill>
      <patternFill patternType="solid">
        <fgColor rgb="FFEFE6D9"/>
      </patternFill>
    </fill>
    <fill>
      <patternFill patternType="solid">
        <fgColor rgb="FFF7F2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0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5" borderId="1" xfId="0" applyNumberFormat="1" applyFont="1" applyFill="1" applyBorder="1" applyAlignment="1">
      <alignment vertical="center"/>
    </xf>
    <xf numFmtId="165" fontId="1" fillId="2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Net worth lines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555555555555552E-2"/>
          <c:y val="0.11591269841269841"/>
          <c:w val="0.7365225970841236"/>
          <c:h val="0.82865079365079364"/>
        </c:manualLayout>
      </c:layout>
      <c:lineChart>
        <c:grouping val="standard"/>
        <c:varyColors val="1"/>
        <c:ser>
          <c:idx val="0"/>
          <c:order val="0"/>
          <c:tx>
            <c:strRef>
              <c:f>'Break-Even &amp; Summary'!$G$18</c:f>
              <c:strCache>
                <c:ptCount val="1"/>
                <c:pt idx="0">
                  <c:v>Refi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'Break-Even &amp; Summary'!$F$19:$F$29</c:f>
              <c:numCache>
                <c:formatCode>#,##0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'Break-Even &amp; Summary'!$G$19:$G$29</c:f>
              <c:numCache>
                <c:formatCode>"$"#,##0</c:formatCode>
                <c:ptCount val="11"/>
                <c:pt idx="0">
                  <c:v>162000</c:v>
                </c:pt>
                <c:pt idx="1">
                  <c:v>181812.95018731122</c:v>
                </c:pt>
                <c:pt idx="2">
                  <c:v>202351.58881928184</c:v>
                </c:pt>
                <c:pt idx="3">
                  <c:v>223645.57692739565</c:v>
                </c:pt>
                <c:pt idx="4">
                  <c:v>245725.93954084511</c:v>
                </c:pt>
                <c:pt idx="5">
                  <c:v>268625.13510118343</c:v>
                </c:pt>
                <c:pt idx="6">
                  <c:v>292377.12867178634</c:v>
                </c:pt>
                <c:pt idx="7">
                  <c:v>317017.46915887151</c:v>
                </c:pt>
                <c:pt idx="8">
                  <c:v>342583.37077351037</c:v>
                </c:pt>
                <c:pt idx="9">
                  <c:v>369113.79897750553</c:v>
                </c:pt>
                <c:pt idx="10">
                  <c:v>396649.5611702411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29-46F3-9245-BB7D7080E879}"/>
            </c:ext>
          </c:extLst>
        </c:ser>
        <c:ser>
          <c:idx val="1"/>
          <c:order val="1"/>
          <c:tx>
            <c:strRef>
              <c:f>'Break-Even &amp; Summary'!$H$18</c:f>
              <c:strCache>
                <c:ptCount val="1"/>
                <c:pt idx="0">
                  <c:v>Paydown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'Break-Even &amp; Summary'!$F$19:$F$29</c:f>
              <c:numCache>
                <c:formatCode>#,##0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'Break-Even &amp; Summary'!$H$19:$H$29</c:f>
              <c:numCache>
                <c:formatCode>"$"#,##0</c:formatCode>
                <c:ptCount val="11"/>
                <c:pt idx="0">
                  <c:v>177000</c:v>
                </c:pt>
                <c:pt idx="1">
                  <c:v>200580.45179871749</c:v>
                </c:pt>
                <c:pt idx="2">
                  <c:v>225207.82178184588</c:v>
                </c:pt>
                <c:pt idx="3">
                  <c:v>250937.87938525289</c:v>
                </c:pt>
                <c:pt idx="4">
                  <c:v>277829.81526810583</c:v>
                </c:pt>
                <c:pt idx="5">
                  <c:v>305946.46939116064</c:v>
                </c:pt>
                <c:pt idx="6">
                  <c:v>335354.57493873127</c:v>
                </c:pt>
                <c:pt idx="7">
                  <c:v>366125.0192055626</c:v>
                </c:pt>
                <c:pt idx="8">
                  <c:v>398333.12264980999</c:v>
                </c:pt>
                <c:pt idx="9">
                  <c:v>432058.9373990458</c:v>
                </c:pt>
                <c:pt idx="10">
                  <c:v>467387.56658805115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29-46F3-9245-BB7D7080E879}"/>
            </c:ext>
          </c:extLst>
        </c:ser>
        <c:ser>
          <c:idx val="2"/>
          <c:order val="2"/>
          <c:tx>
            <c:strRef>
              <c:f>'Break-Even &amp; Summary'!$I$18</c:f>
              <c:strCache>
                <c:ptCount val="1"/>
                <c:pt idx="0">
                  <c:v>Invest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'Break-Even &amp; Summary'!$F$19:$F$29</c:f>
              <c:numCache>
                <c:formatCode>#,##0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'Break-Even &amp; Summary'!$I$19:$I$29</c:f>
              <c:numCache>
                <c:formatCode>"$"#,##0</c:formatCode>
                <c:ptCount val="11"/>
                <c:pt idx="0">
                  <c:v>177000</c:v>
                </c:pt>
                <c:pt idx="1">
                  <c:v>200581.30940245008</c:v>
                </c:pt>
                <c:pt idx="2">
                  <c:v>225211.57978406482</c:v>
                </c:pt>
                <c:pt idx="3">
                  <c:v>250946.87039099878</c:v>
                </c:pt>
                <c:pt idx="4">
                  <c:v>277846.69284242654</c:v>
                </c:pt>
                <c:pt idx="5">
                  <c:v>305974.24219252192</c:v>
                </c:pt>
                <c:pt idx="6">
                  <c:v>335396.64410432486</c:v>
                </c:pt>
                <c:pt idx="7">
                  <c:v>366185.21927987773</c:v>
                </c:pt>
                <c:pt idx="8">
                  <c:v>398415.76637293637</c:v>
                </c:pt>
                <c:pt idx="9">
                  <c:v>432168.86469838023</c:v>
                </c:pt>
                <c:pt idx="10">
                  <c:v>467530.19814656634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E29-46F3-9245-BB7D7080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Worth Proxy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Interest vs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4615079365079364"/>
          <c:w val="0.93532407407407403"/>
          <c:h val="0.733477519855472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'Break-Even &amp; Summary'!$C$18</c:f>
              <c:strCache>
                <c:ptCount val="1"/>
                <c:pt idx="0">
                  <c:v>Paydown Interest Saved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'Break-Even &amp; Summary'!$A$19:$A$28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'Break-Even &amp; Summary'!$C$19:$C$28</c:f>
              <c:numCache>
                <c:formatCode>"$"#,##0</c:formatCode>
                <c:ptCount val="10"/>
                <c:pt idx="0">
                  <c:v>0</c:v>
                </c:pt>
                <c:pt idx="1">
                  <c:v>116.91798315953929</c:v>
                </c:pt>
                <c:pt idx="2">
                  <c:v>500.55146934709046</c:v>
                </c:pt>
                <c:pt idx="3">
                  <c:v>1170.0392073532566</c:v>
                </c:pt>
                <c:pt idx="4">
                  <c:v>2145.8932883547968</c:v>
                </c:pt>
                <c:pt idx="5">
                  <c:v>3450.0976930724573</c:v>
                </c:pt>
                <c:pt idx="6">
                  <c:v>5106.2139103946975</c:v>
                </c:pt>
                <c:pt idx="7">
                  <c:v>7139.4941348939319</c:v>
                </c:pt>
                <c:pt idx="8">
                  <c:v>9577.0025870758691</c:v>
                </c:pt>
                <c:pt idx="9">
                  <c:v>12447.745539226686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0-4CB2-8D9E-ACE5E0A06BBB}"/>
            </c:ext>
          </c:extLst>
        </c:ser>
        <c:ser>
          <c:idx val="1"/>
          <c:order val="1"/>
          <c:tx>
            <c:strRef>
              <c:f>'Break-Even &amp; Summary'!$D$18</c:f>
              <c:strCache>
                <c:ptCount val="1"/>
                <c:pt idx="0">
                  <c:v>Opportunity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'Break-Even &amp; Summary'!$A$19:$A$28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'Break-Even &amp; Summary'!$D$19:$D$28</c:f>
              <c:numCache>
                <c:formatCode>"$"#,##0</c:formatCode>
                <c:ptCount val="10"/>
                <c:pt idx="0">
                  <c:v>0</c:v>
                </c:pt>
                <c:pt idx="1">
                  <c:v>3717.7755868921313</c:v>
                </c:pt>
                <c:pt idx="2">
                  <c:v>7704.3094715660382</c:v>
                </c:pt>
                <c:pt idx="3">
                  <c:v>11979.030213099144</c:v>
                </c:pt>
                <c:pt idx="4">
                  <c:v>16562.770862675501</c:v>
                </c:pt>
                <c:pt idx="5">
                  <c:v>21477.870494433759</c:v>
                </c:pt>
                <c:pt idx="6">
                  <c:v>26748.283075988275</c:v>
                </c:pt>
                <c:pt idx="7">
                  <c:v>32399.694209209079</c:v>
                </c:pt>
                <c:pt idx="8">
                  <c:v>38459.646310202254</c:v>
                </c:pt>
                <c:pt idx="9">
                  <c:v>44957.672838561135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0-4CB2-8D9E-ACE5E0A06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3015069444444441"/>
          <c:y val="0.86243924054947674"/>
          <c:w val="0.61991874999999996"/>
          <c:h val="0.13690714285714287"/>
        </c:manualLayout>
      </c:layout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29</xdr:row>
      <xdr:rowOff>133349</xdr:rowOff>
    </xdr:from>
    <xdr:ext cx="5219700" cy="2962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1047750</xdr:colOff>
      <xdr:row>29</xdr:row>
      <xdr:rowOff>114300</xdr:rowOff>
    </xdr:from>
    <xdr:ext cx="4748625" cy="29337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workbookViewId="0">
      <pane xSplit="1" ySplit="1" topLeftCell="B2" activePane="bottomRight" state="frozen"/>
      <selection activeCell="A3" sqref="A1:XFD3"/>
      <selection pane="topRight" activeCell="A3" sqref="A1:XFD3"/>
      <selection pane="bottomLeft" activeCell="A3" sqref="A1:XFD3"/>
      <selection pane="bottomRight"/>
    </sheetView>
  </sheetViews>
  <sheetFormatPr defaultRowHeight="15" x14ac:dyDescent="0.25"/>
  <cols>
    <col min="1" max="1" width="29.140625" bestFit="1" customWidth="1"/>
    <col min="2" max="2" width="11.5703125" customWidth="1"/>
    <col min="4" max="4" width="27" bestFit="1" customWidth="1"/>
  </cols>
  <sheetData>
    <row r="1" spans="1:5" x14ac:dyDescent="0.25">
      <c r="A1" s="2" t="s">
        <v>0</v>
      </c>
      <c r="B1" s="3">
        <v>515000</v>
      </c>
      <c r="C1" s="1"/>
      <c r="D1" s="4" t="s">
        <v>1</v>
      </c>
      <c r="E1" s="1"/>
    </row>
    <row r="2" spans="1:5" x14ac:dyDescent="0.25">
      <c r="A2" s="2" t="s">
        <v>2</v>
      </c>
      <c r="B2" s="3">
        <v>338000</v>
      </c>
      <c r="C2" s="1"/>
      <c r="D2" s="5" t="s">
        <v>3</v>
      </c>
      <c r="E2" s="6">
        <f>B5</f>
        <v>2313.8086120901867</v>
      </c>
    </row>
    <row r="3" spans="1:5" x14ac:dyDescent="0.25">
      <c r="A3" s="2" t="s">
        <v>4</v>
      </c>
      <c r="B3" s="7">
        <v>6.9500000000000006E-2</v>
      </c>
      <c r="C3" s="1"/>
      <c r="D3" s="5" t="s">
        <v>5</v>
      </c>
      <c r="E3" s="6">
        <f>B14</f>
        <v>2038.2459275894316</v>
      </c>
    </row>
    <row r="4" spans="1:5" x14ac:dyDescent="0.25">
      <c r="A4" s="2" t="s">
        <v>6</v>
      </c>
      <c r="B4" s="8">
        <v>27</v>
      </c>
      <c r="C4" s="1"/>
      <c r="D4" s="5" t="s">
        <v>7</v>
      </c>
      <c r="E4" s="6">
        <f>B15</f>
        <v>275.56268450075504</v>
      </c>
    </row>
    <row r="5" spans="1:5" x14ac:dyDescent="0.25">
      <c r="A5" s="2" t="s">
        <v>8</v>
      </c>
      <c r="B5" s="9">
        <f>PMT(B3/12,B4*12,-B2)</f>
        <v>2313.8086120901867</v>
      </c>
      <c r="C5" s="1"/>
      <c r="D5" s="5" t="s">
        <v>9</v>
      </c>
      <c r="E5" s="10" t="str">
        <f ca="1">'Break-Even &amp; Summary'!B13</f>
        <v>&gt;10 years</v>
      </c>
    </row>
    <row r="6" spans="1:5" x14ac:dyDescent="0.25">
      <c r="A6" s="2" t="s">
        <v>10</v>
      </c>
      <c r="B6" s="7">
        <v>5.8500000000000003E-2</v>
      </c>
      <c r="C6" s="1"/>
      <c r="D6" s="1"/>
      <c r="E6" s="1"/>
    </row>
    <row r="7" spans="1:5" x14ac:dyDescent="0.25">
      <c r="A7" s="2" t="s">
        <v>11</v>
      </c>
      <c r="B7" s="8">
        <v>30</v>
      </c>
      <c r="C7" s="1"/>
      <c r="D7" s="1"/>
      <c r="E7" s="1"/>
    </row>
    <row r="8" spans="1:5" x14ac:dyDescent="0.25">
      <c r="A8" s="2" t="s">
        <v>12</v>
      </c>
      <c r="B8" s="3">
        <v>7500</v>
      </c>
      <c r="C8" s="1"/>
      <c r="D8" s="1"/>
      <c r="E8" s="1"/>
    </row>
    <row r="9" spans="1:5" x14ac:dyDescent="0.25">
      <c r="A9" s="2" t="s">
        <v>13</v>
      </c>
      <c r="B9" s="3">
        <v>300</v>
      </c>
      <c r="C9" s="1"/>
      <c r="D9" s="1"/>
      <c r="E9" s="1"/>
    </row>
    <row r="10" spans="1:5" x14ac:dyDescent="0.25">
      <c r="A10" s="2" t="s">
        <v>14</v>
      </c>
      <c r="B10" s="11">
        <v>7.0000000000000007E-2</v>
      </c>
      <c r="C10" s="1"/>
      <c r="D10" s="1"/>
      <c r="E10" s="1"/>
    </row>
    <row r="11" spans="1:5" x14ac:dyDescent="0.25">
      <c r="A11" s="2" t="s">
        <v>15</v>
      </c>
      <c r="B11" s="11">
        <v>0.03</v>
      </c>
      <c r="C11" s="1"/>
      <c r="D11" s="1"/>
      <c r="E11" s="1"/>
    </row>
    <row r="12" spans="1:5" x14ac:dyDescent="0.25">
      <c r="A12" s="2" t="s">
        <v>16</v>
      </c>
      <c r="B12" s="8">
        <v>10</v>
      </c>
      <c r="C12" s="1"/>
      <c r="D12" s="1"/>
      <c r="E12" s="1"/>
    </row>
    <row r="13" spans="1:5" x14ac:dyDescent="0.25">
      <c r="A13" s="2" t="s">
        <v>17</v>
      </c>
      <c r="B13" s="9">
        <f>B2+B8</f>
        <v>345500</v>
      </c>
      <c r="C13" s="1"/>
      <c r="D13" s="1"/>
      <c r="E13" s="1"/>
    </row>
    <row r="14" spans="1:5" x14ac:dyDescent="0.25">
      <c r="A14" s="2" t="s">
        <v>18</v>
      </c>
      <c r="B14" s="9">
        <f>PMT(B6/12,B7*12,-B13)</f>
        <v>2038.2459275894316</v>
      </c>
      <c r="C14" s="1"/>
      <c r="D14" s="1"/>
      <c r="E14" s="1"/>
    </row>
    <row r="15" spans="1:5" x14ac:dyDescent="0.25">
      <c r="A15" s="2" t="s">
        <v>19</v>
      </c>
      <c r="B15" s="9">
        <f>B5-B14</f>
        <v>275.56268450075504</v>
      </c>
      <c r="C15" s="1"/>
      <c r="D15" s="1"/>
      <c r="E1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pane xSplit="1" ySplit="1" topLeftCell="B2" activePane="bottomRight" state="frozen"/>
      <selection activeCell="A3" sqref="A1:XFD3"/>
      <selection pane="topRight" activeCell="A3" sqref="A1:XFD3"/>
      <selection pane="bottomLeft" activeCell="A3" sqref="A1:XFD3"/>
      <selection pane="bottomRight" activeCell="G4" sqref="G4"/>
    </sheetView>
  </sheetViews>
  <sheetFormatPr defaultRowHeight="15" x14ac:dyDescent="0.25"/>
  <cols>
    <col min="1" max="1" width="5" bestFit="1" customWidth="1"/>
    <col min="2" max="2" width="18" customWidth="1"/>
    <col min="3" max="3" width="11.85546875" bestFit="1" customWidth="1"/>
    <col min="4" max="4" width="8.5703125" bestFit="1" customWidth="1"/>
    <col min="5" max="5" width="15.7109375" bestFit="1" customWidth="1"/>
    <col min="6" max="6" width="20.5703125" bestFit="1" customWidth="1"/>
    <col min="7" max="7" width="15" bestFit="1" customWidth="1"/>
    <col min="8" max="8" width="13.85546875" bestFit="1" customWidth="1"/>
  </cols>
  <sheetData>
    <row r="1" spans="1:8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1:8" x14ac:dyDescent="0.25">
      <c r="A2" s="12">
        <v>0</v>
      </c>
      <c r="B2" s="9">
        <f>MAX(0,Inputs!$B$13*(1+Inputs!$B$6/12)^(A2*12)-Inputs!$B$14*(((1+Inputs!$B$6/12)^(A2*12)-1)/(Inputs!$B$6/12)))</f>
        <v>345500</v>
      </c>
      <c r="C2" s="9">
        <f>Inputs!$B$1*(1+Inputs!$B$11)^A2</f>
        <v>515000</v>
      </c>
      <c r="D2" s="9">
        <f t="shared" ref="D2:D12" si="0">C2-B2</f>
        <v>169500</v>
      </c>
      <c r="E2" s="9">
        <f>Inputs!$B$14*12</f>
        <v>24458.95113107318</v>
      </c>
      <c r="F2" s="9">
        <f t="shared" ref="F2:F12" si="1">E2*A2</f>
        <v>0</v>
      </c>
      <c r="G2" s="9">
        <f>F2-((Inputs!$B$13-B2))</f>
        <v>0</v>
      </c>
      <c r="H2" s="9">
        <f>D2-Inputs!$B$8</f>
        <v>162000</v>
      </c>
    </row>
    <row r="3" spans="1:8" x14ac:dyDescent="0.25">
      <c r="A3" s="12">
        <v>1</v>
      </c>
      <c r="B3" s="9">
        <f>MAX(0,Inputs!$B$13*(1+Inputs!$B$6/12)^(A3*12)-Inputs!$B$14*(((1+Inputs!$B$6/12)^(A3*12)-1)/(Inputs!$B$6/12)))</f>
        <v>341137.04981268878</v>
      </c>
      <c r="C3" s="9">
        <f>Inputs!$B$1*(1+Inputs!$B$11)^A3</f>
        <v>530450</v>
      </c>
      <c r="D3" s="9">
        <f t="shared" si="0"/>
        <v>189312.95018731122</v>
      </c>
      <c r="E3" s="9">
        <f>Inputs!$B$14*12</f>
        <v>24458.95113107318</v>
      </c>
      <c r="F3" s="9">
        <f t="shared" si="1"/>
        <v>24458.95113107318</v>
      </c>
      <c r="G3" s="9">
        <f>F3-((Inputs!$B$13-B3))</f>
        <v>20096.000943761963</v>
      </c>
      <c r="H3" s="9">
        <f>D3-Inputs!$B$8</f>
        <v>181812.95018731122</v>
      </c>
    </row>
    <row r="4" spans="1:8" x14ac:dyDescent="0.25">
      <c r="A4" s="12">
        <v>2</v>
      </c>
      <c r="B4" s="9">
        <f>MAX(0,Inputs!$B$13*(1+Inputs!$B$6/12)^(A4*12)-Inputs!$B$14*(((1+Inputs!$B$6/12)^(A4*12)-1)/(Inputs!$B$6/12)))</f>
        <v>336511.91118071816</v>
      </c>
      <c r="C4" s="9">
        <f>Inputs!$B$1*(1+Inputs!$B$11)^A4</f>
        <v>546363.5</v>
      </c>
      <c r="D4" s="9">
        <f t="shared" si="0"/>
        <v>209851.58881928184</v>
      </c>
      <c r="E4" s="9">
        <f>Inputs!$B$14*12</f>
        <v>24458.95113107318</v>
      </c>
      <c r="F4" s="9">
        <f t="shared" si="1"/>
        <v>48917.902262146359</v>
      </c>
      <c r="G4" s="9">
        <f>F4-((Inputs!$B$13-B4))</f>
        <v>39929.813442864521</v>
      </c>
      <c r="H4" s="9">
        <f>D4-Inputs!$B$8</f>
        <v>202351.58881928184</v>
      </c>
    </row>
    <row r="5" spans="1:8" x14ac:dyDescent="0.25">
      <c r="A5" s="12">
        <v>3</v>
      </c>
      <c r="B5" s="9">
        <f>MAX(0,Inputs!$B$13*(1+Inputs!$B$6/12)^(A5*12)-Inputs!$B$14*(((1+Inputs!$B$6/12)^(A5*12)-1)/(Inputs!$B$6/12)))</f>
        <v>331608.82807260437</v>
      </c>
      <c r="C5" s="9">
        <f>Inputs!$B$1*(1+Inputs!$B$11)^A5</f>
        <v>562754.40500000003</v>
      </c>
      <c r="D5" s="9">
        <f t="shared" si="0"/>
        <v>231145.57692739565</v>
      </c>
      <c r="E5" s="9">
        <f>Inputs!$B$14*12</f>
        <v>24458.95113107318</v>
      </c>
      <c r="F5" s="9">
        <f t="shared" si="1"/>
        <v>73376.853393219542</v>
      </c>
      <c r="G5" s="9">
        <f>F5-((Inputs!$B$13-B5))</f>
        <v>59485.681465823916</v>
      </c>
      <c r="H5" s="9">
        <f>D5-Inputs!$B$8</f>
        <v>223645.57692739565</v>
      </c>
    </row>
    <row r="6" spans="1:8" x14ac:dyDescent="0.25">
      <c r="A6" s="12">
        <v>4</v>
      </c>
      <c r="B6" s="9">
        <f>MAX(0,Inputs!$B$13*(1+Inputs!$B$6/12)^(A6*12)-Inputs!$B$14*(((1+Inputs!$B$6/12)^(A6*12)-1)/(Inputs!$B$6/12)))</f>
        <v>326411.09760915488</v>
      </c>
      <c r="C6" s="9">
        <f>Inputs!$B$1*(1+Inputs!$B$11)^A6</f>
        <v>579637.03714999999</v>
      </c>
      <c r="D6" s="9">
        <f t="shared" si="0"/>
        <v>253225.93954084511</v>
      </c>
      <c r="E6" s="9">
        <f>Inputs!$B$14*12</f>
        <v>24458.95113107318</v>
      </c>
      <c r="F6" s="9">
        <f t="shared" si="1"/>
        <v>97835.804524292718</v>
      </c>
      <c r="G6" s="9">
        <f>F6-((Inputs!$B$13-B6))</f>
        <v>78746.902133447598</v>
      </c>
      <c r="H6" s="9">
        <f>D6-Inputs!$B$8</f>
        <v>245725.93954084511</v>
      </c>
    </row>
    <row r="7" spans="1:8" x14ac:dyDescent="0.25">
      <c r="A7" s="12">
        <v>5</v>
      </c>
      <c r="B7" s="9">
        <f>MAX(0,Inputs!$B$13*(1+Inputs!$B$6/12)^(A7*12)-Inputs!$B$14*(((1+Inputs!$B$6/12)^(A7*12)-1)/(Inputs!$B$6/12)))</f>
        <v>320901.01316331653</v>
      </c>
      <c r="C7" s="9">
        <f>Inputs!$B$1*(1+Inputs!$B$11)^A7</f>
        <v>597026.14826449996</v>
      </c>
      <c r="D7" s="9">
        <f t="shared" si="0"/>
        <v>276125.13510118343</v>
      </c>
      <c r="E7" s="9">
        <f>Inputs!$B$14*12</f>
        <v>24458.95113107318</v>
      </c>
      <c r="F7" s="9">
        <f t="shared" si="1"/>
        <v>122294.75565536589</v>
      </c>
      <c r="G7" s="9">
        <f>F7-((Inputs!$B$13-B7))</f>
        <v>97695.768818682423</v>
      </c>
      <c r="H7" s="9">
        <f>D7-Inputs!$B$8</f>
        <v>268625.13510118343</v>
      </c>
    </row>
    <row r="8" spans="1:8" x14ac:dyDescent="0.25">
      <c r="A8" s="12">
        <v>6</v>
      </c>
      <c r="B8" s="9">
        <f>MAX(0,Inputs!$B$13*(1+Inputs!$B$6/12)^(A8*12)-Inputs!$B$14*(((1+Inputs!$B$6/12)^(A8*12)-1)/(Inputs!$B$6/12)))</f>
        <v>315059.80404064857</v>
      </c>
      <c r="C8" s="9">
        <f>Inputs!$B$1*(1+Inputs!$B$11)^A8</f>
        <v>614936.93271243491</v>
      </c>
      <c r="D8" s="9">
        <f t="shared" si="0"/>
        <v>299877.12867178634</v>
      </c>
      <c r="E8" s="9">
        <f>Inputs!$B$14*12</f>
        <v>24458.95113107318</v>
      </c>
      <c r="F8" s="9">
        <f t="shared" si="1"/>
        <v>146753.70678643908</v>
      </c>
      <c r="G8" s="9">
        <f>F8-((Inputs!$B$13-B8))</f>
        <v>116313.51082708765</v>
      </c>
      <c r="H8" s="9">
        <f>D8-Inputs!$B$8</f>
        <v>292377.12867178634</v>
      </c>
    </row>
    <row r="9" spans="1:8" x14ac:dyDescent="0.25">
      <c r="A9" s="12">
        <v>7</v>
      </c>
      <c r="B9" s="9">
        <f>MAX(0,Inputs!$B$13*(1+Inputs!$B$6/12)^(A9*12)-Inputs!$B$14*(((1+Inputs!$B$6/12)^(A9*12)-1)/(Inputs!$B$6/12)))</f>
        <v>308867.57153493649</v>
      </c>
      <c r="C9" s="9">
        <f>Inputs!$B$1*(1+Inputs!$B$11)^A9</f>
        <v>633385.040693808</v>
      </c>
      <c r="D9" s="9">
        <f t="shared" si="0"/>
        <v>324517.46915887151</v>
      </c>
      <c r="E9" s="9">
        <f>Inputs!$B$14*12</f>
        <v>24458.95113107318</v>
      </c>
      <c r="F9" s="9">
        <f t="shared" si="1"/>
        <v>171212.65791751226</v>
      </c>
      <c r="G9" s="9">
        <f>F9-((Inputs!$B$13-B9))</f>
        <v>134580.22945244875</v>
      </c>
      <c r="H9" s="9">
        <f>D9-Inputs!$B$8</f>
        <v>317017.46915887151</v>
      </c>
    </row>
    <row r="10" spans="1:8" x14ac:dyDescent="0.25">
      <c r="A10" s="12">
        <v>8</v>
      </c>
      <c r="B10" s="9">
        <f>MAX(0,Inputs!$B$13*(1+Inputs!$B$6/12)^(A10*12)-Inputs!$B$14*(((1+Inputs!$B$6/12)^(A10*12)-1)/(Inputs!$B$6/12)))</f>
        <v>302303.22114111186</v>
      </c>
      <c r="C10" s="9">
        <f>Inputs!$B$1*(1+Inputs!$B$11)^A10</f>
        <v>652386.59191462223</v>
      </c>
      <c r="D10" s="9">
        <f t="shared" si="0"/>
        <v>350083.37077351037</v>
      </c>
      <c r="E10" s="9">
        <f>Inputs!$B$14*12</f>
        <v>24458.95113107318</v>
      </c>
      <c r="F10" s="9">
        <f t="shared" si="1"/>
        <v>195671.60904858544</v>
      </c>
      <c r="G10" s="9">
        <f>F10-((Inputs!$B$13-B10))</f>
        <v>152474.8301896973</v>
      </c>
      <c r="H10" s="9">
        <f>D10-Inputs!$B$8</f>
        <v>342583.37077351037</v>
      </c>
    </row>
    <row r="11" spans="1:8" x14ac:dyDescent="0.25">
      <c r="A11" s="12">
        <v>9</v>
      </c>
      <c r="B11" s="9">
        <f>MAX(0,Inputs!$B$13*(1+Inputs!$B$6/12)^(A11*12)-Inputs!$B$14*(((1+Inputs!$B$6/12)^(A11*12)-1)/(Inputs!$B$6/12)))</f>
        <v>295344.39069455536</v>
      </c>
      <c r="C11" s="9">
        <f>Inputs!$B$1*(1+Inputs!$B$11)^A11</f>
        <v>671958.18967206089</v>
      </c>
      <c r="D11" s="9">
        <f t="shared" si="0"/>
        <v>376613.79897750553</v>
      </c>
      <c r="E11" s="9">
        <f>Inputs!$B$14*12</f>
        <v>24458.95113107318</v>
      </c>
      <c r="F11" s="9">
        <f t="shared" si="1"/>
        <v>220130.56017965861</v>
      </c>
      <c r="G11" s="9">
        <f>F11-((Inputs!$B$13-B11))</f>
        <v>169974.95087421397</v>
      </c>
      <c r="H11" s="9">
        <f>D11-Inputs!$B$8</f>
        <v>369113.79897750553</v>
      </c>
    </row>
    <row r="12" spans="1:8" x14ac:dyDescent="0.25">
      <c r="A12" s="12">
        <v>10</v>
      </c>
      <c r="B12" s="9">
        <f>MAX(0,Inputs!$B$13*(1+Inputs!$B$6/12)^(A12*12)-Inputs!$B$14*(((1+Inputs!$B$6/12)^(A12*12)-1)/(Inputs!$B$6/12)))</f>
        <v>287967.37419198162</v>
      </c>
      <c r="C12" s="9">
        <f>Inputs!$B$1*(1+Inputs!$B$11)^A12</f>
        <v>692116.93536222272</v>
      </c>
      <c r="D12" s="9">
        <f t="shared" si="0"/>
        <v>404149.5611702411</v>
      </c>
      <c r="E12" s="9">
        <f>Inputs!$B$14*12</f>
        <v>24458.95113107318</v>
      </c>
      <c r="F12" s="9">
        <f t="shared" si="1"/>
        <v>244589.51131073179</v>
      </c>
      <c r="G12" s="9">
        <f>F12-((Inputs!$B$13-B12))</f>
        <v>187056.88550271341</v>
      </c>
      <c r="H12" s="9">
        <f>D12-Inputs!$B$8</f>
        <v>396649.5611702411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showGridLines="0" topLeftCell="C1" zoomScale="265" zoomScaleNormal="265" workbookViewId="0">
      <selection activeCell="C20" sqref="C20"/>
    </sheetView>
  </sheetViews>
  <sheetFormatPr defaultRowHeight="15" x14ac:dyDescent="0.25"/>
  <cols>
    <col min="1" max="1" width="5" bestFit="1" customWidth="1"/>
    <col min="2" max="2" width="18" customWidth="1"/>
    <col min="3" max="3" width="11.85546875" bestFit="1" customWidth="1"/>
    <col min="4" max="4" width="8.85546875" bestFit="1" customWidth="1"/>
    <col min="5" max="5" width="15.7109375" bestFit="1" customWidth="1"/>
    <col min="6" max="6" width="20.5703125" bestFit="1" customWidth="1"/>
    <col min="7" max="7" width="15" bestFit="1" customWidth="1"/>
    <col min="8" max="8" width="13.85546875" bestFit="1" customWidth="1"/>
    <col min="10" max="10" width="20.140625" bestFit="1" customWidth="1"/>
  </cols>
  <sheetData>
    <row r="1" spans="1:1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1"/>
      <c r="J1" s="4" t="s">
        <v>28</v>
      </c>
      <c r="K1" s="1"/>
    </row>
    <row r="2" spans="1:11" x14ac:dyDescent="0.25">
      <c r="A2" s="12">
        <v>0</v>
      </c>
      <c r="B2" s="9">
        <f>MAX(0,Inputs!$B$2*(1+Inputs!$B$3/12)^(A2*12)-(Inputs!$B$5+Inputs!$B$9)*(((1+Inputs!$B$3/12)^(A2*12)-1)/(Inputs!$B$3/12)))</f>
        <v>338000</v>
      </c>
      <c r="C2" s="9">
        <f>Inputs!$B$1*(1+Inputs!$B$11)^A2</f>
        <v>515000</v>
      </c>
      <c r="D2" s="9">
        <f t="shared" ref="D2:D12" si="0">C2-B2</f>
        <v>177000</v>
      </c>
      <c r="E2" s="9">
        <f>(Inputs!$B$5+Inputs!$B$9)*12</f>
        <v>31365.703345082242</v>
      </c>
      <c r="F2" s="9">
        <f t="shared" ref="F2:F12" si="1">E2*A2</f>
        <v>0</v>
      </c>
      <c r="G2" s="9">
        <f>F2-((Inputs!$B$2-B2))</f>
        <v>0</v>
      </c>
      <c r="H2" s="9">
        <f t="shared" ref="H2:H12" si="2">D2</f>
        <v>177000</v>
      </c>
      <c r="I2" s="1"/>
      <c r="J2" s="2" t="s">
        <v>29</v>
      </c>
      <c r="K2" s="13" t="str">
        <f ca="1">IFERROR(_xludf.MINIFS(A2:A12,B2:B12,"&lt;=0"),"&gt;10 years")</f>
        <v>&gt;10 years</v>
      </c>
    </row>
    <row r="3" spans="1:11" x14ac:dyDescent="0.25">
      <c r="A3" s="12">
        <v>1</v>
      </c>
      <c r="B3" s="9">
        <f>MAX(0,Inputs!$B$2*(1+Inputs!$B$3/12)^(A3*12)-(Inputs!$B$5+Inputs!$B$9)*(((1+Inputs!$B$3/12)^(A3*12)-1)/(Inputs!$B$3/12)))</f>
        <v>329869.54820128251</v>
      </c>
      <c r="C3" s="9">
        <f>Inputs!$B$1*(1+Inputs!$B$11)^A3</f>
        <v>530450</v>
      </c>
      <c r="D3" s="9">
        <f t="shared" si="0"/>
        <v>200580.45179871749</v>
      </c>
      <c r="E3" s="9">
        <f>(Inputs!$B$5+Inputs!$B$9)*12</f>
        <v>31365.703345082242</v>
      </c>
      <c r="F3" s="9">
        <f t="shared" si="1"/>
        <v>31365.703345082242</v>
      </c>
      <c r="G3" s="9">
        <f>F3-((Inputs!$B$2-B3))</f>
        <v>23235.251546364751</v>
      </c>
      <c r="H3" s="9">
        <f t="shared" si="2"/>
        <v>200580.45179871749</v>
      </c>
      <c r="I3" s="1"/>
      <c r="J3" s="1"/>
      <c r="K3" s="1"/>
    </row>
    <row r="4" spans="1:11" x14ac:dyDescent="0.25">
      <c r="A4" s="12">
        <v>2</v>
      </c>
      <c r="B4" s="9">
        <f>MAX(0,Inputs!$B$2*(1+Inputs!$B$3/12)^(A4*12)-(Inputs!$B$5+Inputs!$B$9)*(((1+Inputs!$B$3/12)^(A4*12)-1)/(Inputs!$B$3/12)))</f>
        <v>321155.67821815412</v>
      </c>
      <c r="C4" s="9">
        <f>Inputs!$B$1*(1+Inputs!$B$11)^A4</f>
        <v>546363.5</v>
      </c>
      <c r="D4" s="9">
        <f t="shared" si="0"/>
        <v>225207.82178184588</v>
      </c>
      <c r="E4" s="9">
        <f>(Inputs!$B$5+Inputs!$B$9)*12</f>
        <v>31365.703345082242</v>
      </c>
      <c r="F4" s="9">
        <f t="shared" si="1"/>
        <v>62731.406690164484</v>
      </c>
      <c r="G4" s="9">
        <f>F4-((Inputs!$B$2-B4))</f>
        <v>45887.084908318604</v>
      </c>
      <c r="H4" s="9">
        <f t="shared" si="2"/>
        <v>225207.82178184588</v>
      </c>
      <c r="I4" s="1"/>
      <c r="J4" s="1"/>
      <c r="K4" s="1"/>
    </row>
    <row r="5" spans="1:11" x14ac:dyDescent="0.25">
      <c r="A5" s="12">
        <v>3</v>
      </c>
      <c r="B5" s="9">
        <f>MAX(0,Inputs!$B$2*(1+Inputs!$B$3/12)^(A5*12)-(Inputs!$B$5+Inputs!$B$9)*(((1+Inputs!$B$3/12)^(A5*12)-1)/(Inputs!$B$3/12)))</f>
        <v>311816.52561474714</v>
      </c>
      <c r="C5" s="9">
        <f>Inputs!$B$1*(1+Inputs!$B$11)^A5</f>
        <v>562754.40500000003</v>
      </c>
      <c r="D5" s="9">
        <f t="shared" si="0"/>
        <v>250937.87938525289</v>
      </c>
      <c r="E5" s="9">
        <f>(Inputs!$B$5+Inputs!$B$9)*12</f>
        <v>31365.703345082242</v>
      </c>
      <c r="F5" s="9">
        <f t="shared" si="1"/>
        <v>94097.110035246733</v>
      </c>
      <c r="G5" s="9">
        <f>F5-((Inputs!$B$2-B5))</f>
        <v>67913.63564999387</v>
      </c>
      <c r="H5" s="9">
        <f t="shared" si="2"/>
        <v>250937.87938525289</v>
      </c>
      <c r="I5" s="1"/>
      <c r="J5" s="1"/>
      <c r="K5" s="1"/>
    </row>
    <row r="6" spans="1:11" x14ac:dyDescent="0.25">
      <c r="A6" s="12">
        <v>4</v>
      </c>
      <c r="B6" s="9">
        <f>MAX(0,Inputs!$B$2*(1+Inputs!$B$3/12)^(A6*12)-(Inputs!$B$5+Inputs!$B$9)*(((1+Inputs!$B$3/12)^(A6*12)-1)/(Inputs!$B$3/12)))</f>
        <v>301807.22188189416</v>
      </c>
      <c r="C6" s="9">
        <f>Inputs!$B$1*(1+Inputs!$B$11)^A6</f>
        <v>579637.03714999999</v>
      </c>
      <c r="D6" s="9">
        <f t="shared" si="0"/>
        <v>277829.81526810583</v>
      </c>
      <c r="E6" s="9">
        <f>(Inputs!$B$5+Inputs!$B$9)*12</f>
        <v>31365.703345082242</v>
      </c>
      <c r="F6" s="9">
        <f t="shared" si="1"/>
        <v>125462.81338032897</v>
      </c>
      <c r="G6" s="9">
        <f>F6-((Inputs!$B$2-B6))</f>
        <v>89270.035262223129</v>
      </c>
      <c r="H6" s="9">
        <f t="shared" si="2"/>
        <v>277829.81526810583</v>
      </c>
      <c r="I6" s="1"/>
      <c r="J6" s="1"/>
      <c r="K6" s="1"/>
    </row>
    <row r="7" spans="1:11" x14ac:dyDescent="0.25">
      <c r="A7" s="12">
        <v>5</v>
      </c>
      <c r="B7" s="9">
        <f>MAX(0,Inputs!$B$2*(1+Inputs!$B$3/12)^(A7*12)-(Inputs!$B$5+Inputs!$B$9)*(((1+Inputs!$B$3/12)^(A7*12)-1)/(Inputs!$B$3/12)))</f>
        <v>291079.67887333932</v>
      </c>
      <c r="C7" s="9">
        <f>Inputs!$B$1*(1+Inputs!$B$11)^A7</f>
        <v>597026.14826449996</v>
      </c>
      <c r="D7" s="9">
        <f t="shared" si="0"/>
        <v>305946.46939116064</v>
      </c>
      <c r="E7" s="9">
        <f>(Inputs!$B$5+Inputs!$B$9)*12</f>
        <v>31365.703345082242</v>
      </c>
      <c r="F7" s="9">
        <f t="shared" si="1"/>
        <v>156828.5167254112</v>
      </c>
      <c r="G7" s="9">
        <f>F7-((Inputs!$B$2-B7))</f>
        <v>109908.19559875052</v>
      </c>
      <c r="H7" s="9">
        <f t="shared" si="2"/>
        <v>305946.46939116064</v>
      </c>
      <c r="I7" s="1"/>
      <c r="J7" s="1"/>
      <c r="K7" s="1"/>
    </row>
    <row r="8" spans="1:11" x14ac:dyDescent="0.25">
      <c r="A8" s="12">
        <v>6</v>
      </c>
      <c r="B8" s="9">
        <f>MAX(0,Inputs!$B$2*(1+Inputs!$B$3/12)^(A8*12)-(Inputs!$B$5+Inputs!$B$9)*(((1+Inputs!$B$3/12)^(A8*12)-1)/(Inputs!$B$3/12)))</f>
        <v>279582.35777370364</v>
      </c>
      <c r="C8" s="9">
        <f>Inputs!$B$1*(1+Inputs!$B$11)^A8</f>
        <v>614936.93271243491</v>
      </c>
      <c r="D8" s="9">
        <f t="shared" si="0"/>
        <v>335354.57493873127</v>
      </c>
      <c r="E8" s="9">
        <f>(Inputs!$B$5+Inputs!$B$9)*12</f>
        <v>31365.703345082242</v>
      </c>
      <c r="F8" s="9">
        <f t="shared" si="1"/>
        <v>188194.22007049347</v>
      </c>
      <c r="G8" s="9">
        <f>F8-((Inputs!$B$2-B8))</f>
        <v>129776.57784419711</v>
      </c>
      <c r="H8" s="9">
        <f t="shared" si="2"/>
        <v>335354.57493873127</v>
      </c>
      <c r="I8" s="1"/>
      <c r="J8" s="1"/>
      <c r="K8" s="1"/>
    </row>
    <row r="9" spans="1:11" x14ac:dyDescent="0.25">
      <c r="A9" s="12">
        <v>7</v>
      </c>
      <c r="B9" s="9">
        <f>MAX(0,Inputs!$B$2*(1+Inputs!$B$3/12)^(A9*12)-(Inputs!$B$5+Inputs!$B$9)*(((1+Inputs!$B$3/12)^(A9*12)-1)/(Inputs!$B$3/12)))</f>
        <v>267260.0214882454</v>
      </c>
      <c r="C9" s="9">
        <f>Inputs!$B$1*(1+Inputs!$B$11)^A9</f>
        <v>633385.040693808</v>
      </c>
      <c r="D9" s="9">
        <f t="shared" si="0"/>
        <v>366125.0192055626</v>
      </c>
      <c r="E9" s="9">
        <f>(Inputs!$B$5+Inputs!$B$9)*12</f>
        <v>31365.703345082242</v>
      </c>
      <c r="F9" s="9">
        <f t="shared" si="1"/>
        <v>219559.9234155757</v>
      </c>
      <c r="G9" s="9">
        <f>F9-((Inputs!$B$2-B9))</f>
        <v>148819.9449038211</v>
      </c>
      <c r="H9" s="9">
        <f t="shared" si="2"/>
        <v>366125.0192055626</v>
      </c>
      <c r="I9" s="1"/>
      <c r="J9" s="1"/>
      <c r="K9" s="1"/>
    </row>
    <row r="10" spans="1:11" x14ac:dyDescent="0.25">
      <c r="A10" s="12">
        <v>8</v>
      </c>
      <c r="B10" s="9">
        <f>MAX(0,Inputs!$B$2*(1+Inputs!$B$3/12)^(A10*12)-(Inputs!$B$5+Inputs!$B$9)*(((1+Inputs!$B$3/12)^(A10*12)-1)/(Inputs!$B$3/12)))</f>
        <v>254053.46926481224</v>
      </c>
      <c r="C10" s="9">
        <f>Inputs!$B$1*(1+Inputs!$B$11)^A10</f>
        <v>652386.59191462223</v>
      </c>
      <c r="D10" s="9">
        <f t="shared" si="0"/>
        <v>398333.12264980999</v>
      </c>
      <c r="E10" s="9">
        <f>(Inputs!$B$5+Inputs!$B$9)*12</f>
        <v>31365.703345082242</v>
      </c>
      <c r="F10" s="9">
        <f t="shared" si="1"/>
        <v>250925.62676065793</v>
      </c>
      <c r="G10" s="9">
        <f>F10-((Inputs!$B$2-B10))</f>
        <v>166979.09602547018</v>
      </c>
      <c r="H10" s="9">
        <f t="shared" si="2"/>
        <v>398333.12264980999</v>
      </c>
      <c r="I10" s="1"/>
      <c r="J10" s="1"/>
      <c r="K10" s="1"/>
    </row>
    <row r="11" spans="1:11" x14ac:dyDescent="0.25">
      <c r="A11" s="12">
        <v>9</v>
      </c>
      <c r="B11" s="9">
        <f>MAX(0,Inputs!$B$2*(1+Inputs!$B$3/12)^(A11*12)-(Inputs!$B$5+Inputs!$B$9)*(((1+Inputs!$B$3/12)^(A11*12)-1)/(Inputs!$B$3/12)))</f>
        <v>239899.2522730151</v>
      </c>
      <c r="C11" s="9">
        <f>Inputs!$B$1*(1+Inputs!$B$11)^A11</f>
        <v>671958.18967206089</v>
      </c>
      <c r="D11" s="9">
        <f t="shared" si="0"/>
        <v>432058.9373990458</v>
      </c>
      <c r="E11" s="9">
        <f>(Inputs!$B$5+Inputs!$B$9)*12</f>
        <v>31365.703345082242</v>
      </c>
      <c r="F11" s="9">
        <f t="shared" si="1"/>
        <v>282291.33010574017</v>
      </c>
      <c r="G11" s="9">
        <f>F11-((Inputs!$B$2-B11))</f>
        <v>184190.58237875527</v>
      </c>
      <c r="H11" s="9">
        <f t="shared" si="2"/>
        <v>432058.9373990458</v>
      </c>
      <c r="I11" s="1"/>
      <c r="J11" s="1"/>
      <c r="K11" s="1"/>
    </row>
    <row r="12" spans="1:11" x14ac:dyDescent="0.25">
      <c r="A12" s="12">
        <v>10</v>
      </c>
      <c r="B12" s="9">
        <f>MAX(0,Inputs!$B$2*(1+Inputs!$B$3/12)^(A12*12)-(Inputs!$B$5+Inputs!$B$9)*(((1+Inputs!$B$3/12)^(A12*12)-1)/(Inputs!$B$3/12)))</f>
        <v>224729.36877417157</v>
      </c>
      <c r="C12" s="9">
        <f>Inputs!$B$1*(1+Inputs!$B$11)^A12</f>
        <v>692116.93536222272</v>
      </c>
      <c r="D12" s="9">
        <f t="shared" si="0"/>
        <v>467387.56658805115</v>
      </c>
      <c r="E12" s="9">
        <f>(Inputs!$B$5+Inputs!$B$9)*12</f>
        <v>31365.703345082242</v>
      </c>
      <c r="F12" s="9">
        <f t="shared" si="1"/>
        <v>313657.0334508224</v>
      </c>
      <c r="G12" s="9">
        <f>F12-((Inputs!$B$2-B12))</f>
        <v>200386.40222499397</v>
      </c>
      <c r="H12" s="9">
        <f t="shared" si="2"/>
        <v>467387.56658805115</v>
      </c>
      <c r="I12" s="1"/>
      <c r="J12" s="1"/>
      <c r="K1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zoomScale="235" zoomScaleNormal="235" workbookViewId="0">
      <pane xSplit="1" ySplit="1" topLeftCell="B2" activePane="bottomRight" state="frozen"/>
      <selection activeCell="A3" sqref="A1:XFD3"/>
      <selection pane="topRight" activeCell="A3" sqref="A1:XFD3"/>
      <selection pane="bottomLeft" activeCell="A3" sqref="A1:XFD3"/>
      <selection pane="bottomRight" activeCell="D8" sqref="D8"/>
    </sheetView>
  </sheetViews>
  <sheetFormatPr defaultRowHeight="15" x14ac:dyDescent="0.25"/>
  <cols>
    <col min="1" max="1" width="5" bestFit="1" customWidth="1"/>
    <col min="2" max="2" width="18" customWidth="1"/>
    <col min="3" max="3" width="11.85546875" bestFit="1" customWidth="1"/>
    <col min="4" max="4" width="8.5703125" bestFit="1" customWidth="1"/>
    <col min="5" max="5" width="18.7109375" bestFit="1" customWidth="1"/>
    <col min="6" max="6" width="25" bestFit="1" customWidth="1"/>
    <col min="7" max="7" width="15" bestFit="1" customWidth="1"/>
    <col min="8" max="8" width="13.85546875" bestFit="1" customWidth="1"/>
  </cols>
  <sheetData>
    <row r="1" spans="1:8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30</v>
      </c>
      <c r="F1" s="4" t="s">
        <v>31</v>
      </c>
      <c r="G1" s="4" t="s">
        <v>26</v>
      </c>
      <c r="H1" s="4" t="s">
        <v>27</v>
      </c>
    </row>
    <row r="2" spans="1:8" x14ac:dyDescent="0.25">
      <c r="A2" s="12">
        <v>0</v>
      </c>
      <c r="B2" s="9">
        <f>MAX(0,Inputs!$B$2*(1+Inputs!$B$3/12)^(A2*12)-Inputs!$B$5*(((1+Inputs!$B$3/12)^(A2*12)-1)/(Inputs!$B$3/12)))</f>
        <v>338000</v>
      </c>
      <c r="C2" s="9">
        <f>Inputs!$B$1*(1+Inputs!$B$11)^A2</f>
        <v>515000</v>
      </c>
      <c r="D2" s="9">
        <f t="shared" ref="D2:D12" si="0">C2-B2</f>
        <v>177000</v>
      </c>
      <c r="E2" s="9">
        <f>IF(A2=0,0,Inputs!$B$9*((1+Inputs!$B$10/12)^(A2*12)-1)/(Inputs!$B$10/12))</f>
        <v>0</v>
      </c>
      <c r="F2" s="9">
        <f>Inputs!$B$5*12</f>
        <v>27765.703345082242</v>
      </c>
      <c r="G2" s="9">
        <f>F2*A2-((Inputs!$B$2-B2))</f>
        <v>0</v>
      </c>
      <c r="H2" s="9">
        <f t="shared" ref="H2:H12" si="1">D2+E2</f>
        <v>177000</v>
      </c>
    </row>
    <row r="3" spans="1:8" x14ac:dyDescent="0.25">
      <c r="A3" s="12">
        <v>1</v>
      </c>
      <c r="B3" s="9">
        <f>MAX(0,Inputs!$B$2*(1+Inputs!$B$3/12)^(A3*12)-Inputs!$B$5*(((1+Inputs!$B$3/12)^(A3*12)-1)/(Inputs!$B$3/12)))</f>
        <v>333586.46618444205</v>
      </c>
      <c r="C3" s="9">
        <f>Inputs!$B$1*(1+Inputs!$B$11)^A3</f>
        <v>530450</v>
      </c>
      <c r="D3" s="9">
        <f t="shared" si="0"/>
        <v>196863.53381555795</v>
      </c>
      <c r="E3" s="9">
        <f>IF(A3=0,0,Inputs!$B$9*((1+Inputs!$B$10/12)^(A3*12)-1)/(Inputs!$B$10/12))</f>
        <v>3717.7755868921313</v>
      </c>
      <c r="F3" s="9">
        <f>Inputs!$B$5*12</f>
        <v>27765.703345082242</v>
      </c>
      <c r="G3" s="9">
        <f>F3*A3-((Inputs!$B$2-B3))</f>
        <v>23352.16952952429</v>
      </c>
      <c r="H3" s="9">
        <f t="shared" si="1"/>
        <v>200581.30940245008</v>
      </c>
    </row>
    <row r="4" spans="1:8" x14ac:dyDescent="0.25">
      <c r="A4" s="12">
        <v>2</v>
      </c>
      <c r="B4" s="9">
        <f>MAX(0,Inputs!$B$2*(1+Inputs!$B$3/12)^(A4*12)-Inputs!$B$5*(((1+Inputs!$B$3/12)^(A4*12)-1)/(Inputs!$B$3/12)))</f>
        <v>328856.22968750121</v>
      </c>
      <c r="C4" s="9">
        <f>Inputs!$B$1*(1+Inputs!$B$11)^A4</f>
        <v>546363.5</v>
      </c>
      <c r="D4" s="9">
        <f t="shared" si="0"/>
        <v>217507.27031249879</v>
      </c>
      <c r="E4" s="9">
        <f>IF(A4=0,0,Inputs!$B$9*((1+Inputs!$B$10/12)^(A4*12)-1)/(Inputs!$B$10/12))</f>
        <v>7704.3094715660382</v>
      </c>
      <c r="F4" s="9">
        <f>Inputs!$B$5*12</f>
        <v>27765.703345082242</v>
      </c>
      <c r="G4" s="9">
        <f>F4*A4-((Inputs!$B$2-B4))</f>
        <v>46387.636377665694</v>
      </c>
      <c r="H4" s="9">
        <f t="shared" si="1"/>
        <v>225211.57978406482</v>
      </c>
    </row>
    <row r="5" spans="1:8" x14ac:dyDescent="0.25">
      <c r="A5" s="12">
        <v>3</v>
      </c>
      <c r="B5" s="9">
        <f>MAX(0,Inputs!$B$2*(1+Inputs!$B$3/12)^(A5*12)-Inputs!$B$5*(((1+Inputs!$B$3/12)^(A5*12)-1)/(Inputs!$B$3/12)))</f>
        <v>323786.56482210039</v>
      </c>
      <c r="C5" s="9">
        <f>Inputs!$B$1*(1+Inputs!$B$11)^A5</f>
        <v>562754.40500000003</v>
      </c>
      <c r="D5" s="9">
        <f t="shared" si="0"/>
        <v>238967.84017789963</v>
      </c>
      <c r="E5" s="9">
        <f>IF(A5=0,0,Inputs!$B$9*((1+Inputs!$B$10/12)^(A5*12)-1)/(Inputs!$B$10/12))</f>
        <v>11979.030213099144</v>
      </c>
      <c r="F5" s="9">
        <f>Inputs!$B$5*12</f>
        <v>27765.703345082242</v>
      </c>
      <c r="G5" s="9">
        <f>F5*A5-((Inputs!$B$2-B5))</f>
        <v>69083.674857347127</v>
      </c>
      <c r="H5" s="9">
        <f t="shared" si="1"/>
        <v>250946.87039099878</v>
      </c>
    </row>
    <row r="6" spans="1:8" x14ac:dyDescent="0.25">
      <c r="A6" s="12">
        <v>4</v>
      </c>
      <c r="B6" s="9">
        <f>MAX(0,Inputs!$B$2*(1+Inputs!$B$3/12)^(A6*12)-Inputs!$B$5*(((1+Inputs!$B$3/12)^(A6*12)-1)/(Inputs!$B$3/12)))</f>
        <v>318353.11517024896</v>
      </c>
      <c r="C6" s="9">
        <f>Inputs!$B$1*(1+Inputs!$B$11)^A6</f>
        <v>579637.03714999999</v>
      </c>
      <c r="D6" s="9">
        <f t="shared" si="0"/>
        <v>261283.92197975103</v>
      </c>
      <c r="E6" s="9">
        <f>IF(A6=0,0,Inputs!$B$9*((1+Inputs!$B$10/12)^(A6*12)-1)/(Inputs!$B$10/12))</f>
        <v>16562.770862675501</v>
      </c>
      <c r="F6" s="9">
        <f>Inputs!$B$5*12</f>
        <v>27765.703345082242</v>
      </c>
      <c r="G6" s="9">
        <f>F6*A6-((Inputs!$B$2-B6))</f>
        <v>91415.928550577926</v>
      </c>
      <c r="H6" s="9">
        <f t="shared" si="1"/>
        <v>277846.69284242654</v>
      </c>
    </row>
    <row r="7" spans="1:8" x14ac:dyDescent="0.25">
      <c r="A7" s="12">
        <v>5</v>
      </c>
      <c r="B7" s="9">
        <f>MAX(0,Inputs!$B$2*(1+Inputs!$B$3/12)^(A7*12)-Inputs!$B$5*(((1+Inputs!$B$3/12)^(A7*12)-1)/(Inputs!$B$3/12)))</f>
        <v>312529.77656641178</v>
      </c>
      <c r="C7" s="9">
        <f>Inputs!$B$1*(1+Inputs!$B$11)^A7</f>
        <v>597026.14826449996</v>
      </c>
      <c r="D7" s="9">
        <f t="shared" si="0"/>
        <v>284496.37169808819</v>
      </c>
      <c r="E7" s="9">
        <f>IF(A7=0,0,Inputs!$B$9*((1+Inputs!$B$10/12)^(A7*12)-1)/(Inputs!$B$10/12))</f>
        <v>21477.870494433759</v>
      </c>
      <c r="F7" s="9">
        <f>Inputs!$B$5*12</f>
        <v>27765.703345082242</v>
      </c>
      <c r="G7" s="9">
        <f>F7*A7-((Inputs!$B$2-B7))</f>
        <v>113358.29329182298</v>
      </c>
      <c r="H7" s="9">
        <f t="shared" si="1"/>
        <v>305974.24219252192</v>
      </c>
    </row>
    <row r="8" spans="1:8" x14ac:dyDescent="0.25">
      <c r="A8" s="12">
        <v>6</v>
      </c>
      <c r="B8" s="9">
        <f>MAX(0,Inputs!$B$2*(1+Inputs!$B$3/12)^(A8*12)-Inputs!$B$5*(((1+Inputs!$B$3/12)^(A8*12)-1)/(Inputs!$B$3/12)))</f>
        <v>306288.57168409834</v>
      </c>
      <c r="C8" s="9">
        <f>Inputs!$B$1*(1+Inputs!$B$11)^A8</f>
        <v>614936.93271243491</v>
      </c>
      <c r="D8" s="9">
        <f t="shared" si="0"/>
        <v>308648.36102833657</v>
      </c>
      <c r="E8" s="9">
        <f>IF(A8=0,0,Inputs!$B$9*((1+Inputs!$B$10/12)^(A8*12)-1)/(Inputs!$B$10/12))</f>
        <v>26748.283075988275</v>
      </c>
      <c r="F8" s="9">
        <f>Inputs!$B$5*12</f>
        <v>27765.703345082242</v>
      </c>
      <c r="G8" s="9">
        <f>F8*A8-((Inputs!$B$2-B8))</f>
        <v>134882.7917545918</v>
      </c>
      <c r="H8" s="9">
        <f t="shared" si="1"/>
        <v>335396.64410432486</v>
      </c>
    </row>
    <row r="9" spans="1:8" x14ac:dyDescent="0.25">
      <c r="A9" s="12">
        <v>7</v>
      </c>
      <c r="B9" s="9">
        <f>MAX(0,Inputs!$B$2*(1+Inputs!$B$3/12)^(A9*12)-Inputs!$B$5*(((1+Inputs!$B$3/12)^(A9*12)-1)/(Inputs!$B$3/12)))</f>
        <v>299599.51562313933</v>
      </c>
      <c r="C9" s="9">
        <f>Inputs!$B$1*(1+Inputs!$B$11)^A9</f>
        <v>633385.040693808</v>
      </c>
      <c r="D9" s="9">
        <f t="shared" si="0"/>
        <v>333785.52507066866</v>
      </c>
      <c r="E9" s="9">
        <f>IF(A9=0,0,Inputs!$B$9*((1+Inputs!$B$10/12)^(A9*12)-1)/(Inputs!$B$10/12))</f>
        <v>32399.694209209079</v>
      </c>
      <c r="F9" s="9">
        <f>Inputs!$B$5*12</f>
        <v>27765.703345082242</v>
      </c>
      <c r="G9" s="9">
        <f>F9*A9-((Inputs!$B$2-B9))</f>
        <v>155959.43903871503</v>
      </c>
      <c r="H9" s="9">
        <f t="shared" si="1"/>
        <v>366185.21927987773</v>
      </c>
    </row>
    <row r="10" spans="1:8" x14ac:dyDescent="0.25">
      <c r="A10" s="12">
        <v>8</v>
      </c>
      <c r="B10" s="9">
        <f>MAX(0,Inputs!$B$2*(1+Inputs!$B$3/12)^(A10*12)-Inputs!$B$5*(((1+Inputs!$B$3/12)^(A10*12)-1)/(Inputs!$B$3/12)))</f>
        <v>292430.47185188811</v>
      </c>
      <c r="C10" s="9">
        <f>Inputs!$B$1*(1+Inputs!$B$11)^A10</f>
        <v>652386.59191462223</v>
      </c>
      <c r="D10" s="9">
        <f t="shared" si="0"/>
        <v>359956.12006273412</v>
      </c>
      <c r="E10" s="9">
        <f>IF(A10=0,0,Inputs!$B$9*((1+Inputs!$B$10/12)^(A10*12)-1)/(Inputs!$B$10/12))</f>
        <v>38459.646310202254</v>
      </c>
      <c r="F10" s="9">
        <f>Inputs!$B$5*12</f>
        <v>27765.703345082242</v>
      </c>
      <c r="G10" s="9">
        <f>F10*A10-((Inputs!$B$2-B10))</f>
        <v>176556.09861254605</v>
      </c>
      <c r="H10" s="9">
        <f t="shared" si="1"/>
        <v>398415.76637293637</v>
      </c>
    </row>
    <row r="11" spans="1:8" x14ac:dyDescent="0.25">
      <c r="A11" s="12">
        <v>9</v>
      </c>
      <c r="B11" s="9">
        <f>MAX(0,Inputs!$B$2*(1+Inputs!$B$3/12)^(A11*12)-Inputs!$B$5*(((1+Inputs!$B$3/12)^(A11*12)-1)/(Inputs!$B$3/12)))</f>
        <v>284746.99781224178</v>
      </c>
      <c r="C11" s="9">
        <f>Inputs!$B$1*(1+Inputs!$B$11)^A11</f>
        <v>671958.18967206089</v>
      </c>
      <c r="D11" s="9">
        <f t="shared" si="0"/>
        <v>387211.19185981911</v>
      </c>
      <c r="E11" s="9">
        <f>IF(A11=0,0,Inputs!$B$9*((1+Inputs!$B$10/12)^(A11*12)-1)/(Inputs!$B$10/12))</f>
        <v>44957.672838561135</v>
      </c>
      <c r="F11" s="9">
        <f>Inputs!$B$5*12</f>
        <v>27765.703345082242</v>
      </c>
      <c r="G11" s="9">
        <f>F11*A11-((Inputs!$B$2-B11))</f>
        <v>196638.32791798195</v>
      </c>
      <c r="H11" s="9">
        <f t="shared" si="1"/>
        <v>432168.86469838023</v>
      </c>
    </row>
    <row r="12" spans="1:8" x14ac:dyDescent="0.25">
      <c r="A12" s="12">
        <v>10</v>
      </c>
      <c r="B12" s="9">
        <f>MAX(0,Inputs!$B$2*(1+Inputs!$B$3/12)^(A12*12)-Inputs!$B$5*(((1+Inputs!$B$3/12)^(A12*12)-1)/(Inputs!$B$3/12)))</f>
        <v>276512.17944571743</v>
      </c>
      <c r="C12" s="9">
        <f>Inputs!$B$1*(1+Inputs!$B$11)^A12</f>
        <v>692116.93536222272</v>
      </c>
      <c r="D12" s="9">
        <f t="shared" si="0"/>
        <v>415604.7559165053</v>
      </c>
      <c r="E12" s="9">
        <f>IF(A12=0,0,Inputs!$B$9*((1+Inputs!$B$10/12)^(A12*12)-1)/(Inputs!$B$10/12))</f>
        <v>51925.442230061046</v>
      </c>
      <c r="F12" s="9">
        <f>Inputs!$B$5*12</f>
        <v>27765.703345082242</v>
      </c>
      <c r="G12" s="9">
        <f>F12*A12-((Inputs!$B$2-B12))</f>
        <v>216169.21289653983</v>
      </c>
      <c r="H12" s="9">
        <f t="shared" si="1"/>
        <v>467530.19814656634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showGridLines="0" workbookViewId="0">
      <selection activeCell="L21" sqref="L21"/>
    </sheetView>
  </sheetViews>
  <sheetFormatPr defaultRowHeight="15" x14ac:dyDescent="0.25"/>
  <cols>
    <col min="1" max="1" width="25.5703125" bestFit="1" customWidth="1"/>
    <col min="2" max="2" width="21.42578125" bestFit="1" customWidth="1"/>
    <col min="3" max="3" width="22.7109375" bestFit="1" customWidth="1"/>
    <col min="4" max="4" width="16.28515625" bestFit="1" customWidth="1"/>
    <col min="8" max="11" width="14" customWidth="1"/>
  </cols>
  <sheetData>
    <row r="1" spans="1:12" x14ac:dyDescent="0.25">
      <c r="A1" s="5" t="s">
        <v>3</v>
      </c>
      <c r="B1" s="6">
        <f>Inputs!B5</f>
        <v>2313.8086120901867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5</v>
      </c>
      <c r="B2" s="6">
        <f>Inputs!B14</f>
        <v>2038.2459275894316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5" t="s">
        <v>32</v>
      </c>
      <c r="B3" s="6">
        <f>Inputs!B5+Inputs!B9</f>
        <v>2613.8086120901867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5" t="s">
        <v>33</v>
      </c>
      <c r="B4" s="6">
        <f>Inputs!B9</f>
        <v>300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5" t="s">
        <v>34</v>
      </c>
      <c r="B6" s="6">
        <f>'Refi Case'!H3</f>
        <v>181812.95018731122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5" t="s">
        <v>35</v>
      </c>
      <c r="B7" s="6">
        <f>'Extra Paydown Case'!H3</f>
        <v>200580.45179871749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5" t="s">
        <v>36</v>
      </c>
      <c r="B8" s="6">
        <f>'Invest Case'!H3</f>
        <v>200581.30940245008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5" t="s">
        <v>37</v>
      </c>
      <c r="B9" s="6">
        <f>'Refi Case'!H12</f>
        <v>396649.5611702411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5" t="s">
        <v>38</v>
      </c>
      <c r="B10" s="6">
        <f>'Extra Paydown Case'!H12</f>
        <v>467387.56658805115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5" t="s">
        <v>39</v>
      </c>
      <c r="B11" s="6">
        <f>'Invest Case'!H12</f>
        <v>467530.19814656634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5" t="s">
        <v>40</v>
      </c>
      <c r="B13" s="14" t="str">
        <f ca="1">IFERROR(_xludf.MINIFS(A19:A28,B19:B28,"&gt;=0"),"&gt;10 years")</f>
        <v>&gt;10 years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4" t="s">
        <v>41</v>
      </c>
      <c r="B18" s="4" t="s">
        <v>42</v>
      </c>
      <c r="C18" s="4" t="s">
        <v>43</v>
      </c>
      <c r="D18" s="4" t="s">
        <v>44</v>
      </c>
      <c r="E18" s="1"/>
      <c r="F18" s="4" t="s">
        <v>20</v>
      </c>
      <c r="G18" s="4" t="s">
        <v>45</v>
      </c>
      <c r="H18" s="4" t="s">
        <v>46</v>
      </c>
      <c r="I18" s="4" t="s">
        <v>47</v>
      </c>
    </row>
    <row r="19" spans="1:12" x14ac:dyDescent="0.25">
      <c r="A19" s="12">
        <v>1</v>
      </c>
      <c r="B19" s="9">
        <f>(Inputs!$B$15*12*A19)-Inputs!$B$8</f>
        <v>-4193.2477859909395</v>
      </c>
      <c r="C19" s="9">
        <f>'Invest Case'!G2-'Extra Paydown Case'!G2</f>
        <v>0</v>
      </c>
      <c r="D19" s="9">
        <f>'Invest Case'!E2</f>
        <v>0</v>
      </c>
      <c r="E19" s="1"/>
      <c r="F19" s="12">
        <v>0</v>
      </c>
      <c r="G19" s="9">
        <f>'Refi Case'!H2</f>
        <v>162000</v>
      </c>
      <c r="H19" s="9">
        <f>'Extra Paydown Case'!H2</f>
        <v>177000</v>
      </c>
      <c r="I19" s="9">
        <f>'Invest Case'!H2</f>
        <v>177000</v>
      </c>
    </row>
    <row r="20" spans="1:12" x14ac:dyDescent="0.25">
      <c r="A20" s="12">
        <v>2</v>
      </c>
      <c r="B20" s="9">
        <f>(Inputs!$B$15*12*A20)-Inputs!$B$8</f>
        <v>-886.49557198187904</v>
      </c>
      <c r="C20" s="9">
        <f>'Invest Case'!G3-'Extra Paydown Case'!G3</f>
        <v>116.91798315953929</v>
      </c>
      <c r="D20" s="9">
        <f>'Invest Case'!E3</f>
        <v>3717.7755868921313</v>
      </c>
      <c r="E20" s="1"/>
      <c r="F20" s="12">
        <v>1</v>
      </c>
      <c r="G20" s="9">
        <f>'Refi Case'!H3</f>
        <v>181812.95018731122</v>
      </c>
      <c r="H20" s="9">
        <f>'Extra Paydown Case'!H3</f>
        <v>200580.45179871749</v>
      </c>
      <c r="I20" s="9">
        <f>'Invest Case'!H3</f>
        <v>200581.30940245008</v>
      </c>
    </row>
    <row r="21" spans="1:12" x14ac:dyDescent="0.25">
      <c r="A21" s="12">
        <v>3</v>
      </c>
      <c r="B21" s="9">
        <f>(Inputs!$B$15*12*A21)-Inputs!$B$8</f>
        <v>2420.2566420271814</v>
      </c>
      <c r="C21" s="9">
        <f>'Invest Case'!G4-'Extra Paydown Case'!G4</f>
        <v>500.55146934709046</v>
      </c>
      <c r="D21" s="9">
        <f>'Invest Case'!E4</f>
        <v>7704.3094715660382</v>
      </c>
      <c r="E21" s="1"/>
      <c r="F21" s="12">
        <v>2</v>
      </c>
      <c r="G21" s="9">
        <f>'Refi Case'!H4</f>
        <v>202351.58881928184</v>
      </c>
      <c r="H21" s="9">
        <f>'Extra Paydown Case'!H4</f>
        <v>225207.82178184588</v>
      </c>
      <c r="I21" s="9">
        <f>'Invest Case'!H4</f>
        <v>225211.57978406482</v>
      </c>
    </row>
    <row r="22" spans="1:12" x14ac:dyDescent="0.25">
      <c r="A22" s="12">
        <v>4</v>
      </c>
      <c r="B22" s="9">
        <f>(Inputs!$B$15*12*A22)-Inputs!$B$8</f>
        <v>5727.0088560362419</v>
      </c>
      <c r="C22" s="9">
        <f>'Invest Case'!G5-'Extra Paydown Case'!G5</f>
        <v>1170.0392073532566</v>
      </c>
      <c r="D22" s="9">
        <f>'Invest Case'!E5</f>
        <v>11979.030213099144</v>
      </c>
      <c r="E22" s="1"/>
      <c r="F22" s="12">
        <v>3</v>
      </c>
      <c r="G22" s="9">
        <f>'Refi Case'!H5</f>
        <v>223645.57692739565</v>
      </c>
      <c r="H22" s="9">
        <f>'Extra Paydown Case'!H5</f>
        <v>250937.87938525289</v>
      </c>
      <c r="I22" s="9">
        <f>'Invest Case'!H5</f>
        <v>250946.87039099878</v>
      </c>
    </row>
    <row r="23" spans="1:12" x14ac:dyDescent="0.25">
      <c r="A23" s="12">
        <v>5</v>
      </c>
      <c r="B23" s="9">
        <f>(Inputs!$B$15*12*A23)-Inputs!$B$8</f>
        <v>9033.7610700453006</v>
      </c>
      <c r="C23" s="9">
        <f>'Invest Case'!G6-'Extra Paydown Case'!G6</f>
        <v>2145.8932883547968</v>
      </c>
      <c r="D23" s="9">
        <f>'Invest Case'!E6</f>
        <v>16562.770862675501</v>
      </c>
      <c r="E23" s="1"/>
      <c r="F23" s="12">
        <v>4</v>
      </c>
      <c r="G23" s="9">
        <f>'Refi Case'!H6</f>
        <v>245725.93954084511</v>
      </c>
      <c r="H23" s="9">
        <f>'Extra Paydown Case'!H6</f>
        <v>277829.81526810583</v>
      </c>
      <c r="I23" s="9">
        <f>'Invest Case'!H6</f>
        <v>277846.69284242654</v>
      </c>
    </row>
    <row r="24" spans="1:12" x14ac:dyDescent="0.25">
      <c r="A24" s="12">
        <v>6</v>
      </c>
      <c r="B24" s="9">
        <f>(Inputs!$B$15*12*A24)-Inputs!$B$8</f>
        <v>12340.513284054363</v>
      </c>
      <c r="C24" s="9">
        <f>'Invest Case'!G7-'Extra Paydown Case'!G7</f>
        <v>3450.0976930724573</v>
      </c>
      <c r="D24" s="9">
        <f>'Invest Case'!E7</f>
        <v>21477.870494433759</v>
      </c>
      <c r="E24" s="1"/>
      <c r="F24" s="12">
        <v>5</v>
      </c>
      <c r="G24" s="9">
        <f>'Refi Case'!H7</f>
        <v>268625.13510118343</v>
      </c>
      <c r="H24" s="9">
        <f>'Extra Paydown Case'!H7</f>
        <v>305946.46939116064</v>
      </c>
      <c r="I24" s="9">
        <f>'Invest Case'!H7</f>
        <v>305974.24219252192</v>
      </c>
    </row>
    <row r="25" spans="1:12" x14ac:dyDescent="0.25">
      <c r="A25" s="12">
        <v>7</v>
      </c>
      <c r="B25" s="9">
        <f>(Inputs!$B$15*12*A25)-Inputs!$B$8</f>
        <v>15647.265498063425</v>
      </c>
      <c r="C25" s="9">
        <f>'Invest Case'!G8-'Extra Paydown Case'!G8</f>
        <v>5106.2139103946975</v>
      </c>
      <c r="D25" s="9">
        <f>'Invest Case'!E8</f>
        <v>26748.283075988275</v>
      </c>
      <c r="E25" s="1"/>
      <c r="F25" s="12">
        <v>6</v>
      </c>
      <c r="G25" s="9">
        <f>'Refi Case'!H8</f>
        <v>292377.12867178634</v>
      </c>
      <c r="H25" s="9">
        <f>'Extra Paydown Case'!H8</f>
        <v>335354.57493873127</v>
      </c>
      <c r="I25" s="9">
        <f>'Invest Case'!H8</f>
        <v>335396.64410432486</v>
      </c>
    </row>
    <row r="26" spans="1:12" x14ac:dyDescent="0.25">
      <c r="A26" s="12">
        <v>8</v>
      </c>
      <c r="B26" s="9">
        <f>(Inputs!$B$15*12*A26)-Inputs!$B$8</f>
        <v>18954.017712072484</v>
      </c>
      <c r="C26" s="9">
        <f>'Invest Case'!G9-'Extra Paydown Case'!G9</f>
        <v>7139.4941348939319</v>
      </c>
      <c r="D26" s="9">
        <f>'Invest Case'!E9</f>
        <v>32399.694209209079</v>
      </c>
      <c r="E26" s="1"/>
      <c r="F26" s="12">
        <v>7</v>
      </c>
      <c r="G26" s="9">
        <f>'Refi Case'!H9</f>
        <v>317017.46915887151</v>
      </c>
      <c r="H26" s="9">
        <f>'Extra Paydown Case'!H9</f>
        <v>366125.0192055626</v>
      </c>
      <c r="I26" s="9">
        <f>'Invest Case'!H9</f>
        <v>366185.21927987773</v>
      </c>
    </row>
    <row r="27" spans="1:12" x14ac:dyDescent="0.25">
      <c r="A27" s="12">
        <v>9</v>
      </c>
      <c r="B27" s="9">
        <f>(Inputs!$B$15*12*A27)-Inputs!$B$8</f>
        <v>22260.769926081543</v>
      </c>
      <c r="C27" s="9">
        <f>'Invest Case'!G10-'Extra Paydown Case'!G10</f>
        <v>9577.0025870758691</v>
      </c>
      <c r="D27" s="9">
        <f>'Invest Case'!E10</f>
        <v>38459.646310202254</v>
      </c>
      <c r="E27" s="1"/>
      <c r="F27" s="12">
        <v>8</v>
      </c>
      <c r="G27" s="9">
        <f>'Refi Case'!H10</f>
        <v>342583.37077351037</v>
      </c>
      <c r="H27" s="9">
        <f>'Extra Paydown Case'!H10</f>
        <v>398333.12264980999</v>
      </c>
      <c r="I27" s="9">
        <f>'Invest Case'!H10</f>
        <v>398415.76637293637</v>
      </c>
    </row>
    <row r="28" spans="1:12" x14ac:dyDescent="0.25">
      <c r="A28" s="12">
        <v>10</v>
      </c>
      <c r="B28" s="9">
        <f>(Inputs!$B$15*12*A28)-Inputs!$B$8</f>
        <v>25567.522140090601</v>
      </c>
      <c r="C28" s="9">
        <f>'Invest Case'!G11-'Extra Paydown Case'!G11</f>
        <v>12447.745539226686</v>
      </c>
      <c r="D28" s="9">
        <f>'Invest Case'!E11</f>
        <v>44957.672838561135</v>
      </c>
      <c r="E28" s="1"/>
      <c r="F28" s="12">
        <v>9</v>
      </c>
      <c r="G28" s="9">
        <f>'Refi Case'!H11</f>
        <v>369113.79897750553</v>
      </c>
      <c r="H28" s="9">
        <f>'Extra Paydown Case'!H11</f>
        <v>432058.9373990458</v>
      </c>
      <c r="I28" s="9">
        <f>'Invest Case'!H11</f>
        <v>432168.86469838023</v>
      </c>
    </row>
    <row r="29" spans="1:12" x14ac:dyDescent="0.25">
      <c r="A29" s="1"/>
      <c r="B29" s="1"/>
      <c r="C29" s="1"/>
      <c r="D29" s="1"/>
      <c r="E29" s="1"/>
      <c r="F29" s="12">
        <v>10</v>
      </c>
      <c r="G29" s="9">
        <f>'Refi Case'!H12</f>
        <v>396649.5611702411</v>
      </c>
      <c r="H29" s="9">
        <f>'Extra Paydown Case'!H12</f>
        <v>467387.56658805115</v>
      </c>
      <c r="I29" s="9">
        <f>'Invest Case'!H12</f>
        <v>467530.19814656634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Refi Case</vt:lpstr>
      <vt:lpstr>Extra Paydown Case</vt:lpstr>
      <vt:lpstr>Invest Case</vt:lpstr>
      <vt:lpstr>Break-Even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2026-04-09T08:26:32Z</dcterms:modified>
</cp:coreProperties>
</file>