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300_WORK\xAI\002_xAI\project\excel-scraping\task_034\"/>
    </mc:Choice>
  </mc:AlternateContent>
  <xr:revisionPtr revIDLastSave="0" documentId="13_ncr:1_{1ECE384B-236F-44D3-83E4-4A323EBB9F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1-mileage" sheetId="1" r:id="rId1"/>
    <sheet name="02-expenses" sheetId="2" r:id="rId2"/>
    <sheet name="03-deduction-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" l="1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B3" i="1"/>
  <c r="B4" i="1" s="1"/>
  <c r="B7" i="3" s="1"/>
  <c r="F42" i="2" l="1"/>
  <c r="B8" i="3" s="1"/>
  <c r="B11" i="3" s="1"/>
  <c r="B28" i="3" l="1"/>
  <c r="B16" i="3"/>
  <c r="B17" i="3" s="1"/>
  <c r="B22" i="3"/>
  <c r="B21" i="3"/>
  <c r="B20" i="3"/>
  <c r="B23" i="3" s="1"/>
  <c r="B25" i="3" s="1"/>
  <c r="B26" i="3" s="1"/>
</calcChain>
</file>

<file path=xl/sharedStrings.xml><?xml version="1.0" encoding="utf-8"?>
<sst xmlns="http://schemas.openxmlformats.org/spreadsheetml/2006/main" count="323" uniqueCount="196">
  <si>
    <t>IRS Mileage Rate (2026):</t>
  </si>
  <si>
    <t>Odometer Start (Jan 1):</t>
  </si>
  <si>
    <t>Total Business Miles YTD:</t>
  </si>
  <si>
    <t>Total Mileage Deduction YTD:</t>
  </si>
  <si>
    <t>Date</t>
  </si>
  <si>
    <t>Client / Signing</t>
  </si>
  <si>
    <t>From</t>
  </si>
  <si>
    <t>To</t>
  </si>
  <si>
    <t>Miles</t>
  </si>
  <si>
    <t>Deduction</t>
  </si>
  <si>
    <t>Trip Notes</t>
  </si>
  <si>
    <t>Johnson refinance</t>
  </si>
  <si>
    <t>Home</t>
  </si>
  <si>
    <t>4521 Oak Ridge Dr</t>
  </si>
  <si>
    <t>Staples - supplies</t>
  </si>
  <si>
    <t>Staples (Elm St)</t>
  </si>
  <si>
    <t>new notary journal + stamps</t>
  </si>
  <si>
    <t>Peterson closing</t>
  </si>
  <si>
    <t>First American Title</t>
  </si>
  <si>
    <t>double signing, took 2 hrs</t>
  </si>
  <si>
    <t>Garcia loan mod</t>
  </si>
  <si>
    <t>client's home (Riverside)</t>
  </si>
  <si>
    <t>long drive, barely worth it</t>
  </si>
  <si>
    <t>Chen HELOC</t>
  </si>
  <si>
    <t>Starbucks on Main</t>
  </si>
  <si>
    <t>Wilson trust docs</t>
  </si>
  <si>
    <t>Sunrise Senior Living</t>
  </si>
  <si>
    <t>3 signers, took forever</t>
  </si>
  <si>
    <t>UPS Store</t>
  </si>
  <si>
    <t>UPS Store #4418</t>
  </si>
  <si>
    <t>drop off overnight packages x2</t>
  </si>
  <si>
    <t>Patel purchase</t>
  </si>
  <si>
    <t>Office</t>
  </si>
  <si>
    <t>client's home (Oak Park)</t>
  </si>
  <si>
    <t>referred by Johnson</t>
  </si>
  <si>
    <t>Nguyen refi</t>
  </si>
  <si>
    <t>Fidelity Title</t>
  </si>
  <si>
    <t>Rivera estate docs</t>
  </si>
  <si>
    <t>hospital (St. Mary's)</t>
  </si>
  <si>
    <t>bedside signing, got emotional</t>
  </si>
  <si>
    <t>supply run</t>
  </si>
  <si>
    <t>Office Depot</t>
  </si>
  <si>
    <t>printer ink, certified mail envelopes</t>
  </si>
  <si>
    <t>Martinez closing</t>
  </si>
  <si>
    <t>Old Republic Title</t>
  </si>
  <si>
    <t>Thompson refi</t>
  </si>
  <si>
    <t>client's home</t>
  </si>
  <si>
    <t>out past highway 9, cell service spotty</t>
  </si>
  <si>
    <t>Park HELOC</t>
  </si>
  <si>
    <t>credit union (downtown)</t>
  </si>
  <si>
    <t>Anderson trust amendment</t>
  </si>
  <si>
    <t>attorney office (2nd &amp; Main)</t>
  </si>
  <si>
    <t>quick one, 20 min total</t>
  </si>
  <si>
    <t>Williams purchase</t>
  </si>
  <si>
    <t>Stewart Title</t>
  </si>
  <si>
    <t>Davis POA + advance directive</t>
  </si>
  <si>
    <t>client's home (Sunset Hills)</t>
  </si>
  <si>
    <t>elderly couple, took extra time explaining</t>
  </si>
  <si>
    <t>Kim refinance</t>
  </si>
  <si>
    <t>Rodriguez closing</t>
  </si>
  <si>
    <t>same office as Peterson in Jan</t>
  </si>
  <si>
    <t>Staples</t>
  </si>
  <si>
    <t>more journals, running through them fast</t>
  </si>
  <si>
    <t>forgot this one - Baker docs</t>
  </si>
  <si>
    <t>coffee shop (unknown)</t>
  </si>
  <si>
    <t>forgot to track, estimate ~22?</t>
  </si>
  <si>
    <t>Cooper purchase</t>
  </si>
  <si>
    <t>client's home (Woodland)</t>
  </si>
  <si>
    <t>rural, gravel road at the end</t>
  </si>
  <si>
    <t>Santos refi</t>
  </si>
  <si>
    <t>Murphy loan mod</t>
  </si>
  <si>
    <t>client's apt (Cedar Creek)</t>
  </si>
  <si>
    <t>Lee closing</t>
  </si>
  <si>
    <t>Chicago Title</t>
  </si>
  <si>
    <t>huge loan package, 180 pages</t>
  </si>
  <si>
    <t>Brown estate</t>
  </si>
  <si>
    <t>attorney office (Park Ave)</t>
  </si>
  <si>
    <t>3 beneficiaries, all had questions</t>
  </si>
  <si>
    <t>UPS + Office Depot</t>
  </si>
  <si>
    <t>strip mall (Rt 30)</t>
  </si>
  <si>
    <t>combined trip, drop off + supplies</t>
  </si>
  <si>
    <t>Taylor purchase</t>
  </si>
  <si>
    <t>Hall HELOC</t>
  </si>
  <si>
    <t>client's office (industrial park)</t>
  </si>
  <si>
    <t>signed during his lunch break</t>
  </si>
  <si>
    <t>Mitchell trust</t>
  </si>
  <si>
    <t>same facility as Wilson in Jan</t>
  </si>
  <si>
    <t>Carter refi</t>
  </si>
  <si>
    <t>Diaz closing</t>
  </si>
  <si>
    <t>docs were wrong, had to reschedule scan-backs</t>
  </si>
  <si>
    <t>Staples + UPS</t>
  </si>
  <si>
    <t>stamps, labels</t>
  </si>
  <si>
    <t>Young purchase</t>
  </si>
  <si>
    <t>Hernandez refi</t>
  </si>
  <si>
    <t>client's home (Maple St)</t>
  </si>
  <si>
    <t>Scott trust amendment</t>
  </si>
  <si>
    <t>attorney office</t>
  </si>
  <si>
    <t>referral from Anderson back in Feb</t>
  </si>
  <si>
    <t>Jackson closing</t>
  </si>
  <si>
    <t>buyer + seller same table, awkward</t>
  </si>
  <si>
    <t>Price HELOC</t>
  </si>
  <si>
    <t>same CU as Park</t>
  </si>
  <si>
    <t>toner cartridge</t>
  </si>
  <si>
    <t>---</t>
  </si>
  <si>
    <t>need to log the ~22 mi Baker trip, just don't remember the exact route</t>
  </si>
  <si>
    <t>Rachel's phone died on 2 trips in March, might be missing one</t>
  </si>
  <si>
    <t>updated 4/10</t>
  </si>
  <si>
    <t>Home Office % (sq ft):</t>
  </si>
  <si>
    <t>Phone Business Use %:</t>
  </si>
  <si>
    <t>Expense</t>
  </si>
  <si>
    <t>Category</t>
  </si>
  <si>
    <t>Amount</t>
  </si>
  <si>
    <t>Deductible %</t>
  </si>
  <si>
    <t>Deductible Amount</t>
  </si>
  <si>
    <t>Receipt?</t>
  </si>
  <si>
    <t>Notes</t>
  </si>
  <si>
    <t>Phone/Internet</t>
  </si>
  <si>
    <t>Phone &amp; Internet</t>
  </si>
  <si>
    <t>Y</t>
  </si>
  <si>
    <t>E&amp;O Insurance</t>
  </si>
  <si>
    <t>Insurance</t>
  </si>
  <si>
    <t>SigningOrder.com membership</t>
  </si>
  <si>
    <t>Subscriptions</t>
  </si>
  <si>
    <t>Background check renewal</t>
  </si>
  <si>
    <t>Professional Fees</t>
  </si>
  <si>
    <t>NNA background check</t>
  </si>
  <si>
    <t>Notary stamp</t>
  </si>
  <si>
    <t>Supplies</t>
  </si>
  <si>
    <t>NNA stamp, expires 2030</t>
  </si>
  <si>
    <t>Notary journal (2-pack)</t>
  </si>
  <si>
    <t>Printer ink</t>
  </si>
  <si>
    <t>Professional headshot</t>
  </si>
  <si>
    <t>Marketing</t>
  </si>
  <si>
    <t>for LinkedIn and signing service profiles</t>
  </si>
  <si>
    <t>Business cards</t>
  </si>
  <si>
    <t>N</t>
  </si>
  <si>
    <t>Vistaprint, 500 ct</t>
  </si>
  <si>
    <t>Internet (home)</t>
  </si>
  <si>
    <t>Home Office</t>
  </si>
  <si>
    <t>Notary commission renewal</t>
  </si>
  <si>
    <t>Certified mail envelopes</t>
  </si>
  <si>
    <t>Dual-tray printer</t>
  </si>
  <si>
    <t>Equipment</t>
  </si>
  <si>
    <t>old one jammed constantly</t>
  </si>
  <si>
    <t>External battery pack</t>
  </si>
  <si>
    <t>phone dies during long signings</t>
  </si>
  <si>
    <t>Tax prep software</t>
  </si>
  <si>
    <t>Software</t>
  </si>
  <si>
    <t>TurboTax, also use for personal return</t>
  </si>
  <si>
    <t>Notary journal</t>
  </si>
  <si>
    <t>ran through first one fast</t>
  </si>
  <si>
    <t>Printer paper (2 reams)</t>
  </si>
  <si>
    <t>Shipping labels</t>
  </si>
  <si>
    <t>Laptop case</t>
  </si>
  <si>
    <t>use for personal too</t>
  </si>
  <si>
    <t>Home office desk organizer</t>
  </si>
  <si>
    <t>technically a home item</t>
  </si>
  <si>
    <t>Blue light blocking glasses</t>
  </si>
  <si>
    <t>use for signing sessions and personal</t>
  </si>
  <si>
    <t>Total Spent:</t>
  </si>
  <si>
    <t>Total Deductible:</t>
  </si>
  <si>
    <t>not sure if the desk organizer counts as home office, ask CPA</t>
  </si>
  <si>
    <t>need to save receipts better, some of these are from bank statement only</t>
  </si>
  <si>
    <t>Federal Marginal Rate:</t>
  </si>
  <si>
    <t>State Rate:</t>
  </si>
  <si>
    <t>SE Tax Rate:</t>
  </si>
  <si>
    <t>W-2 Income (approx):</t>
  </si>
  <si>
    <t>Deduction Category</t>
  </si>
  <si>
    <t>YTD Amount</t>
  </si>
  <si>
    <t>Mileage Deduction</t>
  </si>
  <si>
    <t>IRS standard rate method</t>
  </si>
  <si>
    <t>Business Expenses</t>
  </si>
  <si>
    <t>from expense log</t>
  </si>
  <si>
    <t>Home Office (simplified method)</t>
  </si>
  <si>
    <t>using simplified: $5/sqft x 150 sqft, capped at $1,500/yr... only claiming half-year</t>
  </si>
  <si>
    <t>TOTAL DEDUCTIONS</t>
  </si>
  <si>
    <t>NOTARY INCOME &amp; TAX IMPACT</t>
  </si>
  <si>
    <t>Gross Notary Income (Jan-Apr):</t>
  </si>
  <si>
    <t>from signing service payments</t>
  </si>
  <si>
    <t>Less: Total Deductions</t>
  </si>
  <si>
    <t>Net Notary Profit</t>
  </si>
  <si>
    <t>Estimated Taxes on Net Profit:</t>
  </si>
  <si>
    <t xml:space="preserve">  Federal Income Tax</t>
  </si>
  <si>
    <t xml:space="preserve">  State Income Tax</t>
  </si>
  <si>
    <t xml:space="preserve">  Self-Employment Tax</t>
  </si>
  <si>
    <t>92.35% factor per IRS</t>
  </si>
  <si>
    <t xml:space="preserve">  Total Estimated Tax</t>
  </si>
  <si>
    <t>Take-Home After Tax</t>
  </si>
  <si>
    <t>Effective Hourly Rate</t>
  </si>
  <si>
    <t>assuming ~120 hrs Jan-Apr (30/month)</t>
  </si>
  <si>
    <t>Tax Savings from Deductions:</t>
  </si>
  <si>
    <t>what deductions saved me vs paying on gross</t>
  </si>
  <si>
    <t>effective rate is lower than I thought... mileage kills it on the long drives</t>
  </si>
  <si>
    <t>without the mileage deduction I'd owe way more, that's the biggest one</t>
  </si>
  <si>
    <t>ask CPA about actual expense method vs standard mileage, might be better with the new printer</t>
  </si>
  <si>
    <t>Q2 estimated payment due 6/15, need to figure out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</si>
</sst>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#,##0.0"/>
    <numFmt numFmtId="167" formatCode="0.0"/>
    <numFmt numFmtId="168" formatCode="0.0%"/>
    <numFmt numFmtId="169" formatCode="\$#,##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i/>
      <sz val="11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3B9AC"/>
        <bgColor rgb="FFC3B9AC"/>
      </patternFill>
    </fill>
  </fills>
  <borders count="5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165" fontId="2" fillId="0" borderId="1" xfId="0" applyNumberFormat="1" applyFont="1" applyBorder="1"/>
    <xf numFmtId="164" fontId="2" fillId="0" borderId="1" xfId="0" applyNumberFormat="1" applyFont="1" applyBorder="1"/>
    <xf numFmtId="0" fontId="1" fillId="3" borderId="2" xfId="0" applyFont="1" applyFill="1" applyBorder="1"/>
    <xf numFmtId="0" fontId="1" fillId="3" borderId="2" xfId="0" applyFont="1" applyFill="1" applyBorder="1" applyAlignment="1">
      <alignment horizontal="center" vertical="center"/>
    </xf>
    <xf numFmtId="14" fontId="2" fillId="0" borderId="3" xfId="0" applyNumberFormat="1" applyFont="1" applyBorder="1"/>
    <xf numFmtId="0" fontId="2" fillId="0" borderId="3" xfId="0" applyFont="1" applyBorder="1"/>
    <xf numFmtId="167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/>
    <xf numFmtId="0" fontId="2" fillId="0" borderId="3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1" fillId="0" borderId="0" xfId="0" applyFont="1"/>
    <xf numFmtId="9" fontId="2" fillId="2" borderId="0" xfId="0" applyNumberFormat="1" applyFont="1" applyFill="1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14" fontId="2" fillId="0" borderId="0" xfId="0" applyNumberFormat="1" applyFont="1"/>
    <xf numFmtId="164" fontId="2" fillId="0" borderId="0" xfId="0" applyNumberFormat="1" applyFont="1"/>
    <xf numFmtId="9" fontId="2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/>
    <xf numFmtId="10" fontId="2" fillId="2" borderId="0" xfId="0" applyNumberFormat="1" applyFont="1" applyFill="1"/>
    <xf numFmtId="168" fontId="2" fillId="2" borderId="0" xfId="0" applyNumberFormat="1" applyFont="1" applyFill="1"/>
    <xf numFmtId="169" fontId="2" fillId="2" borderId="0" xfId="0" applyNumberFormat="1" applyFont="1" applyFill="1"/>
    <xf numFmtId="0" fontId="1" fillId="0" borderId="4" xfId="0" applyFont="1" applyBorder="1"/>
    <xf numFmtId="164" fontId="1" fillId="0" borderId="4" xfId="0" applyNumberFormat="1" applyFont="1" applyBorder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5" x14ac:dyDescent="0.25"/>
  <cols>
    <col min="1" max="1" width="12" customWidth="1"/>
    <col min="2" max="2" width="28" customWidth="1"/>
    <col min="3" max="4" width="18" customWidth="1"/>
    <col min="5" max="5" width="9" customWidth="1"/>
    <col min="6" max="6" width="12" customWidth="1"/>
    <col min="7" max="7" width="42" customWidth="1"/>
  </cols>
  <sheetData>
    <row r="1" spans="1:7" x14ac:dyDescent="0.25">
      <c r="A1" s="1" t="s">
        <v>0</v>
      </c>
      <c r="B1" s="2">
        <v>0.7</v>
      </c>
    </row>
    <row r="2" spans="1:7" x14ac:dyDescent="0.25">
      <c r="A2" s="1" t="s">
        <v>1</v>
      </c>
      <c r="B2" s="3">
        <v>47832</v>
      </c>
    </row>
    <row r="3" spans="1:7" x14ac:dyDescent="0.25">
      <c r="A3" s="1" t="s">
        <v>2</v>
      </c>
      <c r="B3" s="4">
        <f>SUM(E7:E45)</f>
        <v>606.5</v>
      </c>
    </row>
    <row r="4" spans="1:7" x14ac:dyDescent="0.25">
      <c r="A4" s="1" t="s">
        <v>3</v>
      </c>
      <c r="B4" s="5">
        <f>B3*B1</f>
        <v>424.54999999999995</v>
      </c>
    </row>
    <row r="6" spans="1:7" x14ac:dyDescent="0.25">
      <c r="A6" s="6" t="s">
        <v>4</v>
      </c>
      <c r="B6" s="6" t="s">
        <v>5</v>
      </c>
      <c r="C6" s="6" t="s">
        <v>6</v>
      </c>
      <c r="D6" s="6" t="s">
        <v>7</v>
      </c>
      <c r="E6" s="7" t="s">
        <v>8</v>
      </c>
      <c r="F6" s="6" t="s">
        <v>9</v>
      </c>
      <c r="G6" s="6" t="s">
        <v>10</v>
      </c>
    </row>
    <row r="7" spans="1:7" x14ac:dyDescent="0.25">
      <c r="A7" s="8">
        <v>46026</v>
      </c>
      <c r="B7" s="9" t="s">
        <v>11</v>
      </c>
      <c r="C7" s="9" t="s">
        <v>12</v>
      </c>
      <c r="D7" s="9" t="s">
        <v>13</v>
      </c>
      <c r="E7" s="10">
        <v>12.3</v>
      </c>
      <c r="F7" s="11">
        <f t="shared" ref="F7:F45" si="0">IF(E7="","",E7*$B$1)</f>
        <v>8.61</v>
      </c>
      <c r="G7" s="9"/>
    </row>
    <row r="8" spans="1:7" x14ac:dyDescent="0.25">
      <c r="A8" s="8">
        <v>46029</v>
      </c>
      <c r="B8" s="9" t="s">
        <v>14</v>
      </c>
      <c r="C8" s="9" t="s">
        <v>12</v>
      </c>
      <c r="D8" s="9" t="s">
        <v>15</v>
      </c>
      <c r="E8" s="10">
        <v>8</v>
      </c>
      <c r="F8" s="11">
        <f t="shared" si="0"/>
        <v>5.6</v>
      </c>
      <c r="G8" s="9" t="s">
        <v>16</v>
      </c>
    </row>
    <row r="9" spans="1:7" x14ac:dyDescent="0.25">
      <c r="A9" s="8">
        <v>46032</v>
      </c>
      <c r="B9" s="9" t="s">
        <v>17</v>
      </c>
      <c r="C9" s="9" t="s">
        <v>12</v>
      </c>
      <c r="D9" s="9" t="s">
        <v>18</v>
      </c>
      <c r="E9" s="10">
        <v>18</v>
      </c>
      <c r="F9" s="11">
        <f t="shared" si="0"/>
        <v>12.6</v>
      </c>
      <c r="G9" s="9" t="s">
        <v>19</v>
      </c>
    </row>
    <row r="10" spans="1:7" x14ac:dyDescent="0.25">
      <c r="A10" s="8">
        <v>46033</v>
      </c>
      <c r="B10" s="9" t="s">
        <v>20</v>
      </c>
      <c r="C10" s="9" t="s">
        <v>12</v>
      </c>
      <c r="D10" s="9" t="s">
        <v>21</v>
      </c>
      <c r="E10" s="10">
        <v>34.700000000000003</v>
      </c>
      <c r="F10" s="11">
        <f t="shared" si="0"/>
        <v>24.29</v>
      </c>
      <c r="G10" s="9" t="s">
        <v>22</v>
      </c>
    </row>
    <row r="11" spans="1:7" x14ac:dyDescent="0.25">
      <c r="A11" s="8">
        <v>46037</v>
      </c>
      <c r="B11" s="9" t="s">
        <v>23</v>
      </c>
      <c r="C11" s="9" t="s">
        <v>12</v>
      </c>
      <c r="D11" s="9" t="s">
        <v>24</v>
      </c>
      <c r="E11" s="10">
        <v>6.2</v>
      </c>
      <c r="F11" s="11">
        <f t="shared" si="0"/>
        <v>4.34</v>
      </c>
      <c r="G11" s="9"/>
    </row>
    <row r="12" spans="1:7" x14ac:dyDescent="0.25">
      <c r="A12" s="8">
        <v>46040</v>
      </c>
      <c r="B12" s="9" t="s">
        <v>25</v>
      </c>
      <c r="C12" s="9" t="s">
        <v>12</v>
      </c>
      <c r="D12" s="9" t="s">
        <v>26</v>
      </c>
      <c r="E12" s="10">
        <v>15</v>
      </c>
      <c r="F12" s="11">
        <f t="shared" si="0"/>
        <v>10.5</v>
      </c>
      <c r="G12" s="9" t="s">
        <v>27</v>
      </c>
    </row>
    <row r="13" spans="1:7" x14ac:dyDescent="0.25">
      <c r="A13" s="8">
        <v>46044</v>
      </c>
      <c r="B13" s="9" t="s">
        <v>28</v>
      </c>
      <c r="C13" s="9" t="s">
        <v>12</v>
      </c>
      <c r="D13" s="9" t="s">
        <v>29</v>
      </c>
      <c r="E13" s="10">
        <v>5</v>
      </c>
      <c r="F13" s="11">
        <f t="shared" si="0"/>
        <v>3.5</v>
      </c>
      <c r="G13" s="9" t="s">
        <v>30</v>
      </c>
    </row>
    <row r="14" spans="1:7" x14ac:dyDescent="0.25">
      <c r="A14" s="8">
        <v>46046</v>
      </c>
      <c r="B14" s="9" t="s">
        <v>31</v>
      </c>
      <c r="C14" s="9" t="s">
        <v>32</v>
      </c>
      <c r="D14" s="9" t="s">
        <v>33</v>
      </c>
      <c r="E14" s="10">
        <v>22.4</v>
      </c>
      <c r="F14" s="11">
        <f t="shared" si="0"/>
        <v>15.679999999999998</v>
      </c>
      <c r="G14" s="9" t="s">
        <v>34</v>
      </c>
    </row>
    <row r="15" spans="1:7" x14ac:dyDescent="0.25">
      <c r="A15" s="8">
        <v>46050</v>
      </c>
      <c r="B15" s="9" t="s">
        <v>35</v>
      </c>
      <c r="C15" s="9" t="s">
        <v>12</v>
      </c>
      <c r="D15" s="9" t="s">
        <v>36</v>
      </c>
      <c r="E15" s="10">
        <v>14</v>
      </c>
      <c r="F15" s="11">
        <f t="shared" si="0"/>
        <v>9.7999999999999989</v>
      </c>
      <c r="G15" s="9"/>
    </row>
    <row r="16" spans="1:7" x14ac:dyDescent="0.25">
      <c r="A16" s="8">
        <v>46053</v>
      </c>
      <c r="B16" s="9" t="s">
        <v>37</v>
      </c>
      <c r="C16" s="9" t="s">
        <v>12</v>
      </c>
      <c r="D16" s="9" t="s">
        <v>38</v>
      </c>
      <c r="E16" s="10">
        <v>19.8</v>
      </c>
      <c r="F16" s="11">
        <f t="shared" si="0"/>
        <v>13.86</v>
      </c>
      <c r="G16" s="9" t="s">
        <v>39</v>
      </c>
    </row>
    <row r="17" spans="1:7" x14ac:dyDescent="0.25">
      <c r="A17" s="8">
        <v>46055</v>
      </c>
      <c r="B17" s="9" t="s">
        <v>40</v>
      </c>
      <c r="C17" s="9" t="s">
        <v>12</v>
      </c>
      <c r="D17" s="9" t="s">
        <v>41</v>
      </c>
      <c r="E17" s="10">
        <v>7</v>
      </c>
      <c r="F17" s="11">
        <f t="shared" si="0"/>
        <v>4.8999999999999995</v>
      </c>
      <c r="G17" s="9" t="s">
        <v>42</v>
      </c>
    </row>
    <row r="18" spans="1:7" x14ac:dyDescent="0.25">
      <c r="A18" s="8">
        <v>46058</v>
      </c>
      <c r="B18" s="9" t="s">
        <v>43</v>
      </c>
      <c r="C18" s="9" t="s">
        <v>12</v>
      </c>
      <c r="D18" s="9" t="s">
        <v>44</v>
      </c>
      <c r="E18" s="10">
        <v>16.5</v>
      </c>
      <c r="F18" s="11">
        <f t="shared" si="0"/>
        <v>11.549999999999999</v>
      </c>
      <c r="G18" s="9"/>
    </row>
    <row r="19" spans="1:7" x14ac:dyDescent="0.25">
      <c r="A19" s="8">
        <v>46061</v>
      </c>
      <c r="B19" s="9" t="s">
        <v>45</v>
      </c>
      <c r="C19" s="9" t="s">
        <v>12</v>
      </c>
      <c r="D19" s="9" t="s">
        <v>46</v>
      </c>
      <c r="E19" s="10">
        <v>28</v>
      </c>
      <c r="F19" s="11">
        <f t="shared" si="0"/>
        <v>19.599999999999998</v>
      </c>
      <c r="G19" s="9" t="s">
        <v>47</v>
      </c>
    </row>
    <row r="20" spans="1:7" x14ac:dyDescent="0.25">
      <c r="A20" s="8">
        <v>46063</v>
      </c>
      <c r="B20" s="9" t="s">
        <v>48</v>
      </c>
      <c r="C20" s="9" t="s">
        <v>12</v>
      </c>
      <c r="D20" s="9" t="s">
        <v>49</v>
      </c>
      <c r="E20" s="10">
        <v>11.3</v>
      </c>
      <c r="F20" s="11">
        <f t="shared" si="0"/>
        <v>7.91</v>
      </c>
      <c r="G20" s="9"/>
    </row>
    <row r="21" spans="1:7" x14ac:dyDescent="0.25">
      <c r="A21" s="8">
        <v>46067</v>
      </c>
      <c r="B21" s="9" t="s">
        <v>50</v>
      </c>
      <c r="C21" s="9" t="s">
        <v>12</v>
      </c>
      <c r="D21" s="9" t="s">
        <v>51</v>
      </c>
      <c r="E21" s="10">
        <v>9</v>
      </c>
      <c r="F21" s="11">
        <f t="shared" si="0"/>
        <v>6.3</v>
      </c>
      <c r="G21" s="9" t="s">
        <v>52</v>
      </c>
    </row>
    <row r="22" spans="1:7" x14ac:dyDescent="0.25">
      <c r="A22" s="8">
        <v>46071</v>
      </c>
      <c r="B22" s="9" t="s">
        <v>53</v>
      </c>
      <c r="C22" s="9" t="s">
        <v>12</v>
      </c>
      <c r="D22" s="9" t="s">
        <v>54</v>
      </c>
      <c r="E22" s="10">
        <v>21</v>
      </c>
      <c r="F22" s="11">
        <f t="shared" si="0"/>
        <v>14.7</v>
      </c>
      <c r="G22" s="9"/>
    </row>
    <row r="23" spans="1:7" x14ac:dyDescent="0.25">
      <c r="A23" s="8">
        <v>46073</v>
      </c>
      <c r="B23" s="9" t="s">
        <v>55</v>
      </c>
      <c r="C23" s="9" t="s">
        <v>12</v>
      </c>
      <c r="D23" s="9" t="s">
        <v>56</v>
      </c>
      <c r="E23" s="10">
        <v>24.6</v>
      </c>
      <c r="F23" s="11">
        <f t="shared" si="0"/>
        <v>17.22</v>
      </c>
      <c r="G23" s="9" t="s">
        <v>57</v>
      </c>
    </row>
    <row r="24" spans="1:7" x14ac:dyDescent="0.25">
      <c r="A24" s="8">
        <v>46075</v>
      </c>
      <c r="B24" s="9" t="s">
        <v>58</v>
      </c>
      <c r="C24" s="9" t="s">
        <v>12</v>
      </c>
      <c r="D24" s="9" t="s">
        <v>46</v>
      </c>
      <c r="E24" s="10">
        <v>13</v>
      </c>
      <c r="F24" s="11">
        <f t="shared" si="0"/>
        <v>9.1</v>
      </c>
      <c r="G24" s="9"/>
    </row>
    <row r="25" spans="1:7" x14ac:dyDescent="0.25">
      <c r="A25" s="8">
        <v>46077</v>
      </c>
      <c r="B25" s="9" t="s">
        <v>59</v>
      </c>
      <c r="C25" s="9" t="s">
        <v>12</v>
      </c>
      <c r="D25" s="9" t="s">
        <v>18</v>
      </c>
      <c r="E25" s="10">
        <v>18</v>
      </c>
      <c r="F25" s="11">
        <f t="shared" si="0"/>
        <v>12.6</v>
      </c>
      <c r="G25" s="9" t="s">
        <v>60</v>
      </c>
    </row>
    <row r="26" spans="1:7" x14ac:dyDescent="0.25">
      <c r="A26" s="8">
        <v>46079</v>
      </c>
      <c r="B26" s="9" t="s">
        <v>61</v>
      </c>
      <c r="C26" s="9" t="s">
        <v>12</v>
      </c>
      <c r="D26" s="9" t="s">
        <v>15</v>
      </c>
      <c r="E26" s="10">
        <v>8</v>
      </c>
      <c r="F26" s="11">
        <f t="shared" si="0"/>
        <v>5.6</v>
      </c>
      <c r="G26" s="9" t="s">
        <v>62</v>
      </c>
    </row>
    <row r="27" spans="1:7" x14ac:dyDescent="0.25">
      <c r="A27" s="8">
        <v>46068</v>
      </c>
      <c r="B27" s="9" t="s">
        <v>63</v>
      </c>
      <c r="C27" s="9" t="s">
        <v>12</v>
      </c>
      <c r="D27" s="9" t="s">
        <v>64</v>
      </c>
      <c r="E27" s="12"/>
      <c r="F27" s="11" t="str">
        <f t="shared" si="0"/>
        <v/>
      </c>
      <c r="G27" s="9" t="s">
        <v>65</v>
      </c>
    </row>
    <row r="28" spans="1:7" x14ac:dyDescent="0.25">
      <c r="A28" s="8">
        <v>46082</v>
      </c>
      <c r="B28" s="9" t="s">
        <v>66</v>
      </c>
      <c r="C28" s="9" t="s">
        <v>12</v>
      </c>
      <c r="D28" s="9" t="s">
        <v>67</v>
      </c>
      <c r="E28" s="10">
        <v>31.2</v>
      </c>
      <c r="F28" s="11">
        <f t="shared" si="0"/>
        <v>21.84</v>
      </c>
      <c r="G28" s="9" t="s">
        <v>68</v>
      </c>
    </row>
    <row r="29" spans="1:7" x14ac:dyDescent="0.25">
      <c r="A29" s="8">
        <v>46085</v>
      </c>
      <c r="B29" s="9" t="s">
        <v>69</v>
      </c>
      <c r="C29" s="9" t="s">
        <v>12</v>
      </c>
      <c r="D29" s="9" t="s">
        <v>36</v>
      </c>
      <c r="E29" s="10">
        <v>14</v>
      </c>
      <c r="F29" s="11">
        <f t="shared" si="0"/>
        <v>9.7999999999999989</v>
      </c>
      <c r="G29" s="9"/>
    </row>
    <row r="30" spans="1:7" x14ac:dyDescent="0.25">
      <c r="A30" s="8">
        <v>46088</v>
      </c>
      <c r="B30" s="9" t="s">
        <v>70</v>
      </c>
      <c r="C30" s="9" t="s">
        <v>12</v>
      </c>
      <c r="D30" s="9" t="s">
        <v>71</v>
      </c>
      <c r="E30" s="10">
        <v>17.5</v>
      </c>
      <c r="F30" s="11">
        <f t="shared" si="0"/>
        <v>12.25</v>
      </c>
      <c r="G30" s="9"/>
    </row>
    <row r="31" spans="1:7" x14ac:dyDescent="0.25">
      <c r="A31" s="8">
        <v>46090</v>
      </c>
      <c r="B31" s="9" t="s">
        <v>72</v>
      </c>
      <c r="C31" s="9" t="s">
        <v>12</v>
      </c>
      <c r="D31" s="9" t="s">
        <v>73</v>
      </c>
      <c r="E31" s="10">
        <v>25.8</v>
      </c>
      <c r="F31" s="11">
        <f t="shared" si="0"/>
        <v>18.059999999999999</v>
      </c>
      <c r="G31" s="9" t="s">
        <v>74</v>
      </c>
    </row>
    <row r="32" spans="1:7" x14ac:dyDescent="0.25">
      <c r="A32" s="8">
        <v>46093</v>
      </c>
      <c r="B32" s="9" t="s">
        <v>75</v>
      </c>
      <c r="C32" s="9" t="s">
        <v>12</v>
      </c>
      <c r="D32" s="9" t="s">
        <v>76</v>
      </c>
      <c r="E32" s="10">
        <v>10</v>
      </c>
      <c r="F32" s="11">
        <f t="shared" si="0"/>
        <v>7</v>
      </c>
      <c r="G32" s="9" t="s">
        <v>77</v>
      </c>
    </row>
    <row r="33" spans="1:7" x14ac:dyDescent="0.25">
      <c r="A33" s="8">
        <v>46096</v>
      </c>
      <c r="B33" s="9" t="s">
        <v>78</v>
      </c>
      <c r="C33" s="9" t="s">
        <v>12</v>
      </c>
      <c r="D33" s="9" t="s">
        <v>79</v>
      </c>
      <c r="E33" s="10">
        <v>12</v>
      </c>
      <c r="F33" s="11">
        <f t="shared" si="0"/>
        <v>8.3999999999999986</v>
      </c>
      <c r="G33" s="9" t="s">
        <v>80</v>
      </c>
    </row>
    <row r="34" spans="1:7" x14ac:dyDescent="0.25">
      <c r="A34" s="8">
        <v>46099</v>
      </c>
      <c r="B34" s="9" t="s">
        <v>81</v>
      </c>
      <c r="C34" s="9" t="s">
        <v>12</v>
      </c>
      <c r="D34" s="9" t="s">
        <v>44</v>
      </c>
      <c r="E34" s="10">
        <v>16.5</v>
      </c>
      <c r="F34" s="11">
        <f t="shared" si="0"/>
        <v>11.549999999999999</v>
      </c>
      <c r="G34" s="9"/>
    </row>
    <row r="35" spans="1:7" x14ac:dyDescent="0.25">
      <c r="A35" s="8">
        <v>46101</v>
      </c>
      <c r="B35" s="9" t="s">
        <v>82</v>
      </c>
      <c r="C35" s="9" t="s">
        <v>12</v>
      </c>
      <c r="D35" s="9" t="s">
        <v>83</v>
      </c>
      <c r="E35" s="10">
        <v>20.3</v>
      </c>
      <c r="F35" s="11">
        <f t="shared" si="0"/>
        <v>14.209999999999999</v>
      </c>
      <c r="G35" s="9" t="s">
        <v>84</v>
      </c>
    </row>
    <row r="36" spans="1:7" x14ac:dyDescent="0.25">
      <c r="A36" s="8">
        <v>46104</v>
      </c>
      <c r="B36" s="9" t="s">
        <v>85</v>
      </c>
      <c r="C36" s="9" t="s">
        <v>12</v>
      </c>
      <c r="D36" s="9" t="s">
        <v>26</v>
      </c>
      <c r="E36" s="10">
        <v>15</v>
      </c>
      <c r="F36" s="11">
        <f t="shared" si="0"/>
        <v>10.5</v>
      </c>
      <c r="G36" s="9" t="s">
        <v>86</v>
      </c>
    </row>
    <row r="37" spans="1:7" x14ac:dyDescent="0.25">
      <c r="A37" s="8">
        <v>46106</v>
      </c>
      <c r="B37" s="9" t="s">
        <v>87</v>
      </c>
      <c r="C37" s="9" t="s">
        <v>12</v>
      </c>
      <c r="D37" s="9" t="s">
        <v>46</v>
      </c>
      <c r="E37" s="10">
        <v>19</v>
      </c>
      <c r="F37" s="11">
        <f t="shared" si="0"/>
        <v>13.299999999999999</v>
      </c>
      <c r="G37" s="9"/>
    </row>
    <row r="38" spans="1:7" x14ac:dyDescent="0.25">
      <c r="A38" s="8">
        <v>46109</v>
      </c>
      <c r="B38" s="9" t="s">
        <v>88</v>
      </c>
      <c r="C38" s="9" t="s">
        <v>12</v>
      </c>
      <c r="D38" s="9" t="s">
        <v>54</v>
      </c>
      <c r="E38" s="10">
        <v>21</v>
      </c>
      <c r="F38" s="11">
        <f t="shared" si="0"/>
        <v>14.7</v>
      </c>
      <c r="G38" s="9" t="s">
        <v>89</v>
      </c>
    </row>
    <row r="39" spans="1:7" x14ac:dyDescent="0.25">
      <c r="A39" s="8">
        <v>46111</v>
      </c>
      <c r="B39" s="9" t="s">
        <v>40</v>
      </c>
      <c r="C39" s="9" t="s">
        <v>12</v>
      </c>
      <c r="D39" s="9" t="s">
        <v>90</v>
      </c>
      <c r="E39" s="10">
        <v>9</v>
      </c>
      <c r="F39" s="11">
        <f t="shared" si="0"/>
        <v>6.3</v>
      </c>
      <c r="G39" s="9" t="s">
        <v>91</v>
      </c>
    </row>
    <row r="40" spans="1:7" x14ac:dyDescent="0.25">
      <c r="A40" s="8">
        <v>46113</v>
      </c>
      <c r="B40" s="9" t="s">
        <v>92</v>
      </c>
      <c r="C40" s="9" t="s">
        <v>12</v>
      </c>
      <c r="D40" s="9" t="s">
        <v>18</v>
      </c>
      <c r="E40" s="10">
        <v>18</v>
      </c>
      <c r="F40" s="11">
        <f t="shared" si="0"/>
        <v>12.6</v>
      </c>
      <c r="G40" s="9"/>
    </row>
    <row r="41" spans="1:7" x14ac:dyDescent="0.25">
      <c r="A41" s="8">
        <v>46115</v>
      </c>
      <c r="B41" s="9" t="s">
        <v>93</v>
      </c>
      <c r="C41" s="9" t="s">
        <v>12</v>
      </c>
      <c r="D41" s="9" t="s">
        <v>94</v>
      </c>
      <c r="E41" s="10">
        <v>11.7</v>
      </c>
      <c r="F41" s="11">
        <f t="shared" si="0"/>
        <v>8.19</v>
      </c>
      <c r="G41" s="9"/>
    </row>
    <row r="42" spans="1:7" x14ac:dyDescent="0.25">
      <c r="A42" s="8">
        <v>46117</v>
      </c>
      <c r="B42" s="9" t="s">
        <v>95</v>
      </c>
      <c r="C42" s="9" t="s">
        <v>12</v>
      </c>
      <c r="D42" s="9" t="s">
        <v>96</v>
      </c>
      <c r="E42" s="10">
        <v>9</v>
      </c>
      <c r="F42" s="11">
        <f t="shared" si="0"/>
        <v>6.3</v>
      </c>
      <c r="G42" s="9" t="s">
        <v>97</v>
      </c>
    </row>
    <row r="43" spans="1:7" x14ac:dyDescent="0.25">
      <c r="A43" s="8">
        <v>46119</v>
      </c>
      <c r="B43" s="9" t="s">
        <v>98</v>
      </c>
      <c r="C43" s="9" t="s">
        <v>12</v>
      </c>
      <c r="D43" s="9" t="s">
        <v>46</v>
      </c>
      <c r="E43" s="10">
        <v>26.4</v>
      </c>
      <c r="F43" s="11">
        <f t="shared" si="0"/>
        <v>18.479999999999997</v>
      </c>
      <c r="G43" s="9" t="s">
        <v>99</v>
      </c>
    </row>
    <row r="44" spans="1:7" x14ac:dyDescent="0.25">
      <c r="A44" s="8">
        <v>46121</v>
      </c>
      <c r="B44" s="9" t="s">
        <v>100</v>
      </c>
      <c r="C44" s="9" t="s">
        <v>12</v>
      </c>
      <c r="D44" s="9" t="s">
        <v>49</v>
      </c>
      <c r="E44" s="10">
        <v>11.3</v>
      </c>
      <c r="F44" s="11">
        <f t="shared" si="0"/>
        <v>7.91</v>
      </c>
      <c r="G44" s="9" t="s">
        <v>101</v>
      </c>
    </row>
    <row r="45" spans="1:7" x14ac:dyDescent="0.25">
      <c r="A45" s="8">
        <v>46122</v>
      </c>
      <c r="B45" s="9" t="s">
        <v>41</v>
      </c>
      <c r="C45" s="9" t="s">
        <v>12</v>
      </c>
      <c r="D45" s="9" t="s">
        <v>41</v>
      </c>
      <c r="E45" s="10">
        <v>7</v>
      </c>
      <c r="F45" s="11">
        <f t="shared" si="0"/>
        <v>4.8999999999999995</v>
      </c>
      <c r="G45" s="9" t="s">
        <v>102</v>
      </c>
    </row>
    <row r="48" spans="1:7" x14ac:dyDescent="0.25">
      <c r="A48" s="13" t="s">
        <v>103</v>
      </c>
    </row>
    <row r="49" spans="1:1" x14ac:dyDescent="0.25">
      <c r="A49" s="14" t="s">
        <v>104</v>
      </c>
    </row>
    <row r="50" spans="1:1" x14ac:dyDescent="0.25">
      <c r="A50" s="14" t="s">
        <v>105</v>
      </c>
    </row>
    <row r="51" spans="1:1" x14ac:dyDescent="0.25">
      <c r="A51" s="13" t="s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/>
  </sheetViews>
  <sheetFormatPr defaultRowHeight="15" x14ac:dyDescent="0.25"/>
  <cols>
    <col min="1" max="1" width="12" customWidth="1"/>
    <col min="2" max="2" width="30" customWidth="1"/>
    <col min="3" max="3" width="18" customWidth="1"/>
    <col min="4" max="5" width="12" customWidth="1"/>
    <col min="6" max="6" width="14" customWidth="1"/>
    <col min="7" max="7" width="9" customWidth="1"/>
    <col min="8" max="8" width="35" customWidth="1"/>
  </cols>
  <sheetData>
    <row r="1" spans="1:8" x14ac:dyDescent="0.25">
      <c r="A1" s="15" t="s">
        <v>107</v>
      </c>
      <c r="B1" s="16">
        <v>0.12</v>
      </c>
    </row>
    <row r="2" spans="1:8" x14ac:dyDescent="0.25">
      <c r="A2" s="15" t="s">
        <v>108</v>
      </c>
      <c r="B2" s="16">
        <v>0.35</v>
      </c>
    </row>
    <row r="4" spans="1:8" x14ac:dyDescent="0.25">
      <c r="A4" s="17" t="s">
        <v>4</v>
      </c>
      <c r="B4" s="17" t="s">
        <v>109</v>
      </c>
      <c r="C4" s="17" t="s">
        <v>110</v>
      </c>
      <c r="D4" s="17" t="s">
        <v>111</v>
      </c>
      <c r="E4" s="17" t="s">
        <v>112</v>
      </c>
      <c r="F4" s="17" t="s">
        <v>113</v>
      </c>
      <c r="G4" s="18" t="s">
        <v>114</v>
      </c>
      <c r="H4" s="17" t="s">
        <v>115</v>
      </c>
    </row>
    <row r="5" spans="1:8" x14ac:dyDescent="0.25">
      <c r="A5" s="19">
        <v>46025</v>
      </c>
      <c r="B5" s="14" t="s">
        <v>116</v>
      </c>
      <c r="C5" s="14" t="s">
        <v>117</v>
      </c>
      <c r="D5" s="20">
        <v>89</v>
      </c>
      <c r="E5" s="21">
        <v>0.35</v>
      </c>
      <c r="F5" s="20">
        <f t="shared" ref="F5:F38" si="0">D5*E5</f>
        <v>31.15</v>
      </c>
      <c r="G5" s="22" t="s">
        <v>118</v>
      </c>
      <c r="H5" s="14"/>
    </row>
    <row r="6" spans="1:8" x14ac:dyDescent="0.25">
      <c r="A6" s="19">
        <v>46027</v>
      </c>
      <c r="B6" s="14" t="s">
        <v>119</v>
      </c>
      <c r="C6" s="14" t="s">
        <v>120</v>
      </c>
      <c r="D6" s="20">
        <v>42</v>
      </c>
      <c r="E6" s="21">
        <v>1</v>
      </c>
      <c r="F6" s="20">
        <f t="shared" si="0"/>
        <v>42</v>
      </c>
      <c r="G6" s="22" t="s">
        <v>118</v>
      </c>
      <c r="H6" s="14"/>
    </row>
    <row r="7" spans="1:8" x14ac:dyDescent="0.25">
      <c r="A7" s="19">
        <v>46027</v>
      </c>
      <c r="B7" s="14" t="s">
        <v>121</v>
      </c>
      <c r="C7" s="14" t="s">
        <v>122</v>
      </c>
      <c r="D7" s="20">
        <v>29.99</v>
      </c>
      <c r="E7" s="21">
        <v>1</v>
      </c>
      <c r="F7" s="20">
        <f t="shared" si="0"/>
        <v>29.99</v>
      </c>
      <c r="G7" s="22" t="s">
        <v>118</v>
      </c>
      <c r="H7" s="14"/>
    </row>
    <row r="8" spans="1:8" x14ac:dyDescent="0.25">
      <c r="A8" s="19">
        <v>46028</v>
      </c>
      <c r="B8" s="14" t="s">
        <v>123</v>
      </c>
      <c r="C8" s="14" t="s">
        <v>124</v>
      </c>
      <c r="D8" s="20">
        <v>45</v>
      </c>
      <c r="E8" s="21">
        <v>1</v>
      </c>
      <c r="F8" s="20">
        <f t="shared" si="0"/>
        <v>45</v>
      </c>
      <c r="G8" s="22" t="s">
        <v>118</v>
      </c>
      <c r="H8" s="14" t="s">
        <v>125</v>
      </c>
    </row>
    <row r="9" spans="1:8" x14ac:dyDescent="0.25">
      <c r="A9" s="19">
        <v>46029</v>
      </c>
      <c r="B9" s="14" t="s">
        <v>126</v>
      </c>
      <c r="C9" s="14" t="s">
        <v>127</v>
      </c>
      <c r="D9" s="20">
        <v>28</v>
      </c>
      <c r="E9" s="21">
        <v>1</v>
      </c>
      <c r="F9" s="20">
        <f t="shared" si="0"/>
        <v>28</v>
      </c>
      <c r="G9" s="22" t="s">
        <v>118</v>
      </c>
      <c r="H9" s="14" t="s">
        <v>128</v>
      </c>
    </row>
    <row r="10" spans="1:8" x14ac:dyDescent="0.25">
      <c r="A10" s="19">
        <v>46029</v>
      </c>
      <c r="B10" s="14" t="s">
        <v>129</v>
      </c>
      <c r="C10" s="14" t="s">
        <v>127</v>
      </c>
      <c r="D10" s="20">
        <v>24</v>
      </c>
      <c r="E10" s="21">
        <v>1</v>
      </c>
      <c r="F10" s="20">
        <f t="shared" si="0"/>
        <v>24</v>
      </c>
      <c r="G10" s="22" t="s">
        <v>118</v>
      </c>
      <c r="H10" s="14"/>
    </row>
    <row r="11" spans="1:8" x14ac:dyDescent="0.25">
      <c r="A11" s="19">
        <v>46030</v>
      </c>
      <c r="B11" s="14" t="s">
        <v>130</v>
      </c>
      <c r="C11" s="14" t="s">
        <v>127</v>
      </c>
      <c r="D11" s="20">
        <v>34.5</v>
      </c>
      <c r="E11" s="21">
        <v>1</v>
      </c>
      <c r="F11" s="20">
        <f t="shared" si="0"/>
        <v>34.5</v>
      </c>
      <c r="G11" s="22" t="s">
        <v>118</v>
      </c>
      <c r="H11" s="14"/>
    </row>
    <row r="12" spans="1:8" x14ac:dyDescent="0.25">
      <c r="A12" s="19">
        <v>46034</v>
      </c>
      <c r="B12" s="14" t="s">
        <v>131</v>
      </c>
      <c r="C12" s="14" t="s">
        <v>132</v>
      </c>
      <c r="D12" s="20">
        <v>150</v>
      </c>
      <c r="E12" s="21">
        <v>1</v>
      </c>
      <c r="F12" s="20">
        <f t="shared" si="0"/>
        <v>150</v>
      </c>
      <c r="G12" s="22" t="s">
        <v>118</v>
      </c>
      <c r="H12" s="14" t="s">
        <v>133</v>
      </c>
    </row>
    <row r="13" spans="1:8" x14ac:dyDescent="0.25">
      <c r="A13" s="19">
        <v>46037</v>
      </c>
      <c r="B13" s="14" t="s">
        <v>134</v>
      </c>
      <c r="C13" s="14" t="s">
        <v>132</v>
      </c>
      <c r="D13" s="20">
        <v>32</v>
      </c>
      <c r="E13" s="21">
        <v>1</v>
      </c>
      <c r="F13" s="20">
        <f t="shared" si="0"/>
        <v>32</v>
      </c>
      <c r="G13" s="22" t="s">
        <v>135</v>
      </c>
      <c r="H13" s="14" t="s">
        <v>136</v>
      </c>
    </row>
    <row r="14" spans="1:8" x14ac:dyDescent="0.25">
      <c r="A14" s="19">
        <v>46037</v>
      </c>
      <c r="B14" s="14" t="s">
        <v>137</v>
      </c>
      <c r="C14" s="14" t="s">
        <v>138</v>
      </c>
      <c r="D14" s="20">
        <v>75</v>
      </c>
      <c r="E14" s="21">
        <v>0.12</v>
      </c>
      <c r="F14" s="20">
        <f t="shared" si="0"/>
        <v>9</v>
      </c>
      <c r="G14" s="22" t="s">
        <v>118</v>
      </c>
      <c r="H14" s="14"/>
    </row>
    <row r="15" spans="1:8" x14ac:dyDescent="0.25">
      <c r="A15" s="19">
        <v>46054</v>
      </c>
      <c r="B15" s="14" t="s">
        <v>116</v>
      </c>
      <c r="C15" s="14" t="s">
        <v>117</v>
      </c>
      <c r="D15" s="20">
        <v>89</v>
      </c>
      <c r="E15" s="21">
        <v>0.35</v>
      </c>
      <c r="F15" s="20">
        <f t="shared" si="0"/>
        <v>31.15</v>
      </c>
      <c r="G15" s="22" t="s">
        <v>118</v>
      </c>
      <c r="H15" s="14"/>
    </row>
    <row r="16" spans="1:8" x14ac:dyDescent="0.25">
      <c r="A16" s="19">
        <v>46054</v>
      </c>
      <c r="B16" s="14" t="s">
        <v>119</v>
      </c>
      <c r="C16" s="14" t="s">
        <v>120</v>
      </c>
      <c r="D16" s="20">
        <v>42</v>
      </c>
      <c r="E16" s="21">
        <v>1</v>
      </c>
      <c r="F16" s="20">
        <f t="shared" si="0"/>
        <v>42</v>
      </c>
      <c r="G16" s="22" t="s">
        <v>118</v>
      </c>
      <c r="H16" s="14"/>
    </row>
    <row r="17" spans="1:8" x14ac:dyDescent="0.25">
      <c r="A17" s="19">
        <v>46054</v>
      </c>
      <c r="B17" s="14" t="s">
        <v>121</v>
      </c>
      <c r="C17" s="14" t="s">
        <v>122</v>
      </c>
      <c r="D17" s="20">
        <v>29.99</v>
      </c>
      <c r="E17" s="21">
        <v>1</v>
      </c>
      <c r="F17" s="20">
        <f t="shared" si="0"/>
        <v>29.99</v>
      </c>
      <c r="G17" s="22" t="s">
        <v>118</v>
      </c>
      <c r="H17" s="14"/>
    </row>
    <row r="18" spans="1:8" x14ac:dyDescent="0.25">
      <c r="A18" s="19">
        <v>46058</v>
      </c>
      <c r="B18" s="14" t="s">
        <v>139</v>
      </c>
      <c r="C18" s="14" t="s">
        <v>124</v>
      </c>
      <c r="D18" s="20">
        <v>75</v>
      </c>
      <c r="E18" s="21">
        <v>1</v>
      </c>
      <c r="F18" s="20">
        <f t="shared" si="0"/>
        <v>75</v>
      </c>
      <c r="G18" s="22" t="s">
        <v>118</v>
      </c>
      <c r="H18" s="14"/>
    </row>
    <row r="19" spans="1:8" x14ac:dyDescent="0.25">
      <c r="A19" s="19">
        <v>46061</v>
      </c>
      <c r="B19" s="14" t="s">
        <v>140</v>
      </c>
      <c r="C19" s="14" t="s">
        <v>127</v>
      </c>
      <c r="D19" s="20">
        <v>18</v>
      </c>
      <c r="E19" s="21">
        <v>1</v>
      </c>
      <c r="F19" s="20">
        <f t="shared" si="0"/>
        <v>18</v>
      </c>
      <c r="G19" s="22" t="s">
        <v>135</v>
      </c>
      <c r="H19" s="14"/>
    </row>
    <row r="20" spans="1:8" x14ac:dyDescent="0.25">
      <c r="A20" s="19">
        <v>46063</v>
      </c>
      <c r="B20" s="14" t="s">
        <v>141</v>
      </c>
      <c r="C20" s="14" t="s">
        <v>142</v>
      </c>
      <c r="D20" s="20">
        <v>189</v>
      </c>
      <c r="E20" s="21">
        <v>1</v>
      </c>
      <c r="F20" s="20">
        <f t="shared" si="0"/>
        <v>189</v>
      </c>
      <c r="G20" s="22" t="s">
        <v>118</v>
      </c>
      <c r="H20" s="14" t="s">
        <v>143</v>
      </c>
    </row>
    <row r="21" spans="1:8" x14ac:dyDescent="0.25">
      <c r="A21" s="19">
        <v>46065</v>
      </c>
      <c r="B21" s="14" t="s">
        <v>144</v>
      </c>
      <c r="C21" s="14" t="s">
        <v>127</v>
      </c>
      <c r="D21" s="20">
        <v>28</v>
      </c>
      <c r="E21" s="21">
        <v>1</v>
      </c>
      <c r="F21" s="20">
        <f t="shared" si="0"/>
        <v>28</v>
      </c>
      <c r="G21" s="22" t="s">
        <v>118</v>
      </c>
      <c r="H21" s="14" t="s">
        <v>145</v>
      </c>
    </row>
    <row r="22" spans="1:8" x14ac:dyDescent="0.25">
      <c r="A22" s="19">
        <v>46068</v>
      </c>
      <c r="B22" s="14" t="s">
        <v>137</v>
      </c>
      <c r="C22" s="14" t="s">
        <v>138</v>
      </c>
      <c r="D22" s="20">
        <v>75</v>
      </c>
      <c r="E22" s="21">
        <v>0.12</v>
      </c>
      <c r="F22" s="20">
        <f t="shared" si="0"/>
        <v>9</v>
      </c>
      <c r="G22" s="22" t="s">
        <v>118</v>
      </c>
      <c r="H22" s="14"/>
    </row>
    <row r="23" spans="1:8" x14ac:dyDescent="0.25">
      <c r="A23" s="19">
        <v>46071</v>
      </c>
      <c r="B23" s="14" t="s">
        <v>146</v>
      </c>
      <c r="C23" s="14" t="s">
        <v>147</v>
      </c>
      <c r="D23" s="20">
        <v>89</v>
      </c>
      <c r="E23" s="21">
        <v>0.5</v>
      </c>
      <c r="F23" s="20">
        <f t="shared" si="0"/>
        <v>44.5</v>
      </c>
      <c r="G23" s="22" t="s">
        <v>118</v>
      </c>
      <c r="H23" s="14" t="s">
        <v>148</v>
      </c>
    </row>
    <row r="24" spans="1:8" x14ac:dyDescent="0.25">
      <c r="A24" s="19">
        <v>46082</v>
      </c>
      <c r="B24" s="14" t="s">
        <v>116</v>
      </c>
      <c r="C24" s="14" t="s">
        <v>117</v>
      </c>
      <c r="D24" s="20">
        <v>89</v>
      </c>
      <c r="E24" s="21">
        <v>0.35</v>
      </c>
      <c r="F24" s="20">
        <f t="shared" si="0"/>
        <v>31.15</v>
      </c>
      <c r="G24" s="22" t="s">
        <v>118</v>
      </c>
      <c r="H24" s="14"/>
    </row>
    <row r="25" spans="1:8" x14ac:dyDescent="0.25">
      <c r="A25" s="19">
        <v>46082</v>
      </c>
      <c r="B25" s="14" t="s">
        <v>119</v>
      </c>
      <c r="C25" s="14" t="s">
        <v>120</v>
      </c>
      <c r="D25" s="20">
        <v>42</v>
      </c>
      <c r="E25" s="21">
        <v>1</v>
      </c>
      <c r="F25" s="20">
        <f t="shared" si="0"/>
        <v>42</v>
      </c>
      <c r="G25" s="22" t="s">
        <v>118</v>
      </c>
      <c r="H25" s="14"/>
    </row>
    <row r="26" spans="1:8" x14ac:dyDescent="0.25">
      <c r="A26" s="19">
        <v>46082</v>
      </c>
      <c r="B26" s="14" t="s">
        <v>121</v>
      </c>
      <c r="C26" s="14" t="s">
        <v>122</v>
      </c>
      <c r="D26" s="20">
        <v>29.99</v>
      </c>
      <c r="E26" s="21">
        <v>1</v>
      </c>
      <c r="F26" s="20">
        <f t="shared" si="0"/>
        <v>29.99</v>
      </c>
      <c r="G26" s="22" t="s">
        <v>118</v>
      </c>
      <c r="H26" s="14"/>
    </row>
    <row r="27" spans="1:8" x14ac:dyDescent="0.25">
      <c r="A27" s="19">
        <v>46086</v>
      </c>
      <c r="B27" s="14" t="s">
        <v>149</v>
      </c>
      <c r="C27" s="14" t="s">
        <v>127</v>
      </c>
      <c r="D27" s="20">
        <v>12</v>
      </c>
      <c r="E27" s="21">
        <v>1</v>
      </c>
      <c r="F27" s="20">
        <f t="shared" si="0"/>
        <v>12</v>
      </c>
      <c r="G27" s="22" t="s">
        <v>118</v>
      </c>
      <c r="H27" s="14" t="s">
        <v>150</v>
      </c>
    </row>
    <row r="28" spans="1:8" x14ac:dyDescent="0.25">
      <c r="A28" s="19">
        <v>46091</v>
      </c>
      <c r="B28" s="14" t="s">
        <v>151</v>
      </c>
      <c r="C28" s="14" t="s">
        <v>127</v>
      </c>
      <c r="D28" s="20">
        <v>16</v>
      </c>
      <c r="E28" s="21">
        <v>1</v>
      </c>
      <c r="F28" s="20">
        <f t="shared" si="0"/>
        <v>16</v>
      </c>
      <c r="G28" s="22" t="s">
        <v>135</v>
      </c>
      <c r="H28" s="14"/>
    </row>
    <row r="29" spans="1:8" x14ac:dyDescent="0.25">
      <c r="A29" s="19">
        <v>46093</v>
      </c>
      <c r="B29" s="14" t="s">
        <v>152</v>
      </c>
      <c r="C29" s="14" t="s">
        <v>127</v>
      </c>
      <c r="D29" s="20">
        <v>22</v>
      </c>
      <c r="E29" s="21">
        <v>1</v>
      </c>
      <c r="F29" s="20">
        <f t="shared" si="0"/>
        <v>22</v>
      </c>
      <c r="G29" s="22" t="s">
        <v>135</v>
      </c>
      <c r="H29" s="14"/>
    </row>
    <row r="30" spans="1:8" x14ac:dyDescent="0.25">
      <c r="A30" s="19">
        <v>46096</v>
      </c>
      <c r="B30" s="14" t="s">
        <v>137</v>
      </c>
      <c r="C30" s="14" t="s">
        <v>138</v>
      </c>
      <c r="D30" s="20">
        <v>75</v>
      </c>
      <c r="E30" s="21">
        <v>0.12</v>
      </c>
      <c r="F30" s="20">
        <f t="shared" si="0"/>
        <v>9</v>
      </c>
      <c r="G30" s="22" t="s">
        <v>118</v>
      </c>
      <c r="H30" s="14"/>
    </row>
    <row r="31" spans="1:8" x14ac:dyDescent="0.25">
      <c r="A31" s="19">
        <v>46099</v>
      </c>
      <c r="B31" s="14" t="s">
        <v>153</v>
      </c>
      <c r="C31" s="14" t="s">
        <v>142</v>
      </c>
      <c r="D31" s="20">
        <v>35</v>
      </c>
      <c r="E31" s="21">
        <v>0.5</v>
      </c>
      <c r="F31" s="20">
        <f t="shared" si="0"/>
        <v>17.5</v>
      </c>
      <c r="G31" s="22" t="s">
        <v>118</v>
      </c>
      <c r="H31" s="14" t="s">
        <v>154</v>
      </c>
    </row>
    <row r="32" spans="1:8" x14ac:dyDescent="0.25">
      <c r="A32" s="19">
        <v>46101</v>
      </c>
      <c r="B32" s="14" t="s">
        <v>155</v>
      </c>
      <c r="C32" s="14" t="s">
        <v>138</v>
      </c>
      <c r="D32" s="20">
        <v>45</v>
      </c>
      <c r="E32" s="21">
        <v>0.12</v>
      </c>
      <c r="F32" s="20">
        <f t="shared" si="0"/>
        <v>5.3999999999999995</v>
      </c>
      <c r="G32" s="22" t="s">
        <v>135</v>
      </c>
      <c r="H32" s="14" t="s">
        <v>156</v>
      </c>
    </row>
    <row r="33" spans="1:8" x14ac:dyDescent="0.25">
      <c r="A33" s="19">
        <v>46103</v>
      </c>
      <c r="B33" s="14" t="s">
        <v>157</v>
      </c>
      <c r="C33" s="14" t="s">
        <v>127</v>
      </c>
      <c r="D33" s="20">
        <v>25</v>
      </c>
      <c r="E33" s="21">
        <v>0.5</v>
      </c>
      <c r="F33" s="20">
        <f t="shared" si="0"/>
        <v>12.5</v>
      </c>
      <c r="G33" s="22" t="s">
        <v>135</v>
      </c>
      <c r="H33" s="14" t="s">
        <v>158</v>
      </c>
    </row>
    <row r="34" spans="1:8" x14ac:dyDescent="0.25">
      <c r="A34" s="19">
        <v>46113</v>
      </c>
      <c r="B34" s="14" t="s">
        <v>116</v>
      </c>
      <c r="C34" s="14" t="s">
        <v>117</v>
      </c>
      <c r="D34" s="20">
        <v>89</v>
      </c>
      <c r="E34" s="21">
        <v>0.35</v>
      </c>
      <c r="F34" s="20">
        <f t="shared" si="0"/>
        <v>31.15</v>
      </c>
      <c r="G34" s="22" t="s">
        <v>118</v>
      </c>
      <c r="H34" s="14"/>
    </row>
    <row r="35" spans="1:8" x14ac:dyDescent="0.25">
      <c r="A35" s="19">
        <v>46113</v>
      </c>
      <c r="B35" s="14" t="s">
        <v>119</v>
      </c>
      <c r="C35" s="14" t="s">
        <v>120</v>
      </c>
      <c r="D35" s="20">
        <v>42</v>
      </c>
      <c r="E35" s="21">
        <v>1</v>
      </c>
      <c r="F35" s="20">
        <f t="shared" si="0"/>
        <v>42</v>
      </c>
      <c r="G35" s="22" t="s">
        <v>118</v>
      </c>
      <c r="H35" s="14"/>
    </row>
    <row r="36" spans="1:8" x14ac:dyDescent="0.25">
      <c r="A36" s="19">
        <v>46113</v>
      </c>
      <c r="B36" s="14" t="s">
        <v>121</v>
      </c>
      <c r="C36" s="14" t="s">
        <v>122</v>
      </c>
      <c r="D36" s="20">
        <v>29.99</v>
      </c>
      <c r="E36" s="21">
        <v>1</v>
      </c>
      <c r="F36" s="20">
        <f t="shared" si="0"/>
        <v>29.99</v>
      </c>
      <c r="G36" s="22" t="s">
        <v>118</v>
      </c>
      <c r="H36" s="14"/>
    </row>
    <row r="37" spans="1:8" x14ac:dyDescent="0.25">
      <c r="A37" s="19">
        <v>46117</v>
      </c>
      <c r="B37" s="14" t="s">
        <v>130</v>
      </c>
      <c r="C37" s="14" t="s">
        <v>127</v>
      </c>
      <c r="D37" s="20">
        <v>34.5</v>
      </c>
      <c r="E37" s="21">
        <v>1</v>
      </c>
      <c r="F37" s="20">
        <f t="shared" si="0"/>
        <v>34.5</v>
      </c>
      <c r="G37" s="22" t="s">
        <v>118</v>
      </c>
      <c r="H37" s="14"/>
    </row>
    <row r="38" spans="1:8" x14ac:dyDescent="0.25">
      <c r="A38" s="19">
        <v>46122</v>
      </c>
      <c r="B38" s="14" t="s">
        <v>137</v>
      </c>
      <c r="C38" s="14" t="s">
        <v>138</v>
      </c>
      <c r="D38" s="20">
        <v>75</v>
      </c>
      <c r="E38" s="21">
        <v>0.12</v>
      </c>
      <c r="F38" s="20">
        <f t="shared" si="0"/>
        <v>9</v>
      </c>
      <c r="G38" s="22" t="s">
        <v>118</v>
      </c>
      <c r="H38" s="14"/>
    </row>
    <row r="41" spans="1:8" x14ac:dyDescent="0.25">
      <c r="A41" s="15" t="s">
        <v>159</v>
      </c>
      <c r="D41" s="23">
        <f>SUM(D5:D38)</f>
        <v>1845.96</v>
      </c>
    </row>
    <row r="42" spans="1:8" x14ac:dyDescent="0.25">
      <c r="A42" s="15" t="s">
        <v>160</v>
      </c>
      <c r="F42" s="23">
        <f>SUM(F5:F38)</f>
        <v>1236.4600000000003</v>
      </c>
    </row>
    <row r="44" spans="1:8" x14ac:dyDescent="0.25">
      <c r="A44" s="13" t="s">
        <v>103</v>
      </c>
    </row>
    <row r="45" spans="1:8" x14ac:dyDescent="0.25">
      <c r="A45" s="14" t="s">
        <v>161</v>
      </c>
    </row>
    <row r="46" spans="1:8" x14ac:dyDescent="0.25">
      <c r="A46" s="14" t="s">
        <v>162</v>
      </c>
    </row>
    <row r="47" spans="1:8" x14ac:dyDescent="0.25">
      <c r="A47" s="13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/>
  </sheetViews>
  <sheetFormatPr defaultRowHeight="15" x14ac:dyDescent="0.25"/>
  <cols>
    <col min="1" max="1" width="30" customWidth="1"/>
    <col min="2" max="2" width="15" customWidth="1"/>
    <col min="3" max="3" width="40" customWidth="1"/>
  </cols>
  <sheetData>
    <row r="1" spans="1:3" x14ac:dyDescent="0.25">
      <c r="A1" s="15" t="s">
        <v>163</v>
      </c>
      <c r="B1" s="24">
        <v>0.22</v>
      </c>
    </row>
    <row r="2" spans="1:3" x14ac:dyDescent="0.25">
      <c r="A2" s="15" t="s">
        <v>164</v>
      </c>
      <c r="B2" s="24">
        <v>5.2499999999999998E-2</v>
      </c>
    </row>
    <row r="3" spans="1:3" x14ac:dyDescent="0.25">
      <c r="A3" s="15" t="s">
        <v>165</v>
      </c>
      <c r="B3" s="25">
        <v>0.153</v>
      </c>
    </row>
    <row r="4" spans="1:3" x14ac:dyDescent="0.25">
      <c r="A4" s="15" t="s">
        <v>166</v>
      </c>
      <c r="B4" s="26">
        <v>62000</v>
      </c>
    </row>
    <row r="6" spans="1:3" x14ac:dyDescent="0.25">
      <c r="A6" s="6" t="s">
        <v>167</v>
      </c>
      <c r="B6" s="6" t="s">
        <v>168</v>
      </c>
      <c r="C6" s="6" t="s">
        <v>115</v>
      </c>
    </row>
    <row r="7" spans="1:3" x14ac:dyDescent="0.25">
      <c r="A7" s="14" t="s">
        <v>169</v>
      </c>
      <c r="B7" s="20">
        <f>'01-mileage'!B4</f>
        <v>424.54999999999995</v>
      </c>
      <c r="C7" s="14" t="s">
        <v>170</v>
      </c>
    </row>
    <row r="8" spans="1:3" x14ac:dyDescent="0.25">
      <c r="A8" s="14" t="s">
        <v>171</v>
      </c>
      <c r="B8" s="20">
        <f>'02-expenses'!F42</f>
        <v>1236.4600000000003</v>
      </c>
      <c r="C8" s="14" t="s">
        <v>172</v>
      </c>
    </row>
    <row r="9" spans="1:3" x14ac:dyDescent="0.25">
      <c r="A9" s="14" t="s">
        <v>173</v>
      </c>
      <c r="B9" s="20">
        <v>750</v>
      </c>
      <c r="C9" s="14" t="s">
        <v>174</v>
      </c>
    </row>
    <row r="11" spans="1:3" x14ac:dyDescent="0.25">
      <c r="A11" s="27" t="s">
        <v>175</v>
      </c>
      <c r="B11" s="28">
        <f>SUM(B7:B9)</f>
        <v>2411.0100000000002</v>
      </c>
    </row>
    <row r="13" spans="1:3" x14ac:dyDescent="0.25">
      <c r="A13" s="15" t="s">
        <v>176</v>
      </c>
    </row>
    <row r="15" spans="1:3" x14ac:dyDescent="0.25">
      <c r="A15" s="14" t="s">
        <v>177</v>
      </c>
      <c r="B15" s="29">
        <v>6840</v>
      </c>
      <c r="C15" s="14" t="s">
        <v>178</v>
      </c>
    </row>
    <row r="16" spans="1:3" x14ac:dyDescent="0.25">
      <c r="A16" s="14" t="s">
        <v>179</v>
      </c>
      <c r="B16" s="20">
        <f>-B11</f>
        <v>-2411.0100000000002</v>
      </c>
    </row>
    <row r="17" spans="1:3" x14ac:dyDescent="0.25">
      <c r="A17" s="15" t="s">
        <v>180</v>
      </c>
      <c r="B17" s="23">
        <f>B15+B16</f>
        <v>4428.99</v>
      </c>
    </row>
    <row r="19" spans="1:3" x14ac:dyDescent="0.25">
      <c r="A19" s="14" t="s">
        <v>181</v>
      </c>
    </row>
    <row r="20" spans="1:3" x14ac:dyDescent="0.25">
      <c r="A20" s="14" t="s">
        <v>182</v>
      </c>
      <c r="B20" s="20">
        <f>B17*B1</f>
        <v>974.37779999999998</v>
      </c>
    </row>
    <row r="21" spans="1:3" x14ac:dyDescent="0.25">
      <c r="A21" s="14" t="s">
        <v>183</v>
      </c>
      <c r="B21" s="20">
        <f>B17*B2</f>
        <v>232.52197499999997</v>
      </c>
    </row>
    <row r="22" spans="1:3" x14ac:dyDescent="0.25">
      <c r="A22" s="14" t="s">
        <v>184</v>
      </c>
      <c r="B22" s="20">
        <f>B17*B3*0.9235</f>
        <v>625.79635654499998</v>
      </c>
      <c r="C22" s="14" t="s">
        <v>185</v>
      </c>
    </row>
    <row r="23" spans="1:3" x14ac:dyDescent="0.25">
      <c r="A23" s="27" t="s">
        <v>186</v>
      </c>
      <c r="B23" s="28">
        <f>SUM(B20:B22)</f>
        <v>1832.6961315449998</v>
      </c>
    </row>
    <row r="25" spans="1:3" x14ac:dyDescent="0.25">
      <c r="A25" s="15" t="s">
        <v>187</v>
      </c>
      <c r="B25" s="23">
        <f>B17-B23</f>
        <v>2596.2938684549999</v>
      </c>
    </row>
    <row r="26" spans="1:3" x14ac:dyDescent="0.25">
      <c r="A26" s="14" t="s">
        <v>188</v>
      </c>
      <c r="B26" s="20">
        <f>B25/120</f>
        <v>21.635782237124999</v>
      </c>
      <c r="C26" s="14" t="s">
        <v>189</v>
      </c>
    </row>
    <row r="28" spans="1:3" x14ac:dyDescent="0.25">
      <c r="A28" s="15" t="s">
        <v>190</v>
      </c>
      <c r="B28" s="23">
        <f>B11*(B1+B2+B3*0.9235)</f>
        <v>997.66508845500005</v>
      </c>
      <c r="C28" s="14" t="s">
        <v>191</v>
      </c>
    </row>
    <row r="30" spans="1:3" x14ac:dyDescent="0.25">
      <c r="A30" s="13" t="s">
        <v>103</v>
      </c>
    </row>
    <row r="31" spans="1:3" x14ac:dyDescent="0.25">
      <c r="A31" s="14" t="s">
        <v>192</v>
      </c>
    </row>
    <row r="32" spans="1:3" x14ac:dyDescent="0.25">
      <c r="A32" s="14" t="s">
        <v>193</v>
      </c>
    </row>
    <row r="33" spans="1:1" x14ac:dyDescent="0.25">
      <c r="A33" s="14" t="s">
        <v>194</v>
      </c>
    </row>
    <row r="34" spans="1:1" x14ac:dyDescent="0.25">
      <c r="A34" s="14" t="s">
        <v>195</v>
      </c>
    </row>
    <row r="36" spans="1:1" x14ac:dyDescent="0.25">
      <c r="A36" s="1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01-mileage</vt:lpstr>
      <vt:lpstr>02-expenses</vt:lpstr>
      <vt:lpstr>03-deduction-summary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Kim</dc:creator>
  <cp:lastModifiedBy>Jordan Kim</cp:lastModifiedBy>
  <dcterms:created xsi:type="dcterms:W3CDTF">2021-06-13T03:11:35Z</dcterms:created>
  <dcterms:modified xsi:type="dcterms:W3CDTF">2024-01-07T19:05:11Z</dcterms:modified>
  <cp:revision>1</cp:revision>
</cp:coreProperties>
</file>