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My Drive\000_drive_drive\600_PROJECTS\modelstack\sheets\personal-finance\zero-based-budget\"/>
    </mc:Choice>
  </mc:AlternateContent>
  <xr:revisionPtr revIDLastSave="0" documentId="13_ncr:1_{C8945799-A3D6-45AA-BCD7-DCFD973FF3B3}" xr6:coauthVersionLast="47" xr6:coauthVersionMax="47" xr10:uidLastSave="{00000000-0000-0000-0000-000000000000}"/>
  <bookViews>
    <workbookView xWindow="38280" yWindow="-120" windowWidth="29040" windowHeight="15720" activeTab="4" xr2:uid="{00000000-000D-0000-FFFF-FFFF00000000}"/>
  </bookViews>
  <sheets>
    <sheet name="Setup" sheetId="1" r:id="rId1"/>
    <sheet name="Transactions" sheetId="2" r:id="rId2"/>
    <sheet name="Monthly Plan" sheetId="3" r:id="rId3"/>
    <sheet name="Actuals vs Plan" sheetId="4" r:id="rId4"/>
    <sheet name="Trends" sheetId="5" r:id="rId5"/>
    <sheet name="Readm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 i="5" l="1"/>
  <c r="L25" i="5"/>
  <c r="K25" i="5"/>
  <c r="J25" i="5"/>
  <c r="I25" i="5"/>
  <c r="H25" i="5"/>
  <c r="G25" i="5"/>
  <c r="F25" i="5"/>
  <c r="E25" i="5"/>
  <c r="D25" i="5"/>
  <c r="C25" i="5"/>
  <c r="B25" i="5"/>
  <c r="M24" i="5"/>
  <c r="L24" i="5"/>
  <c r="K24" i="5"/>
  <c r="J24" i="5"/>
  <c r="I24" i="5"/>
  <c r="H24" i="5"/>
  <c r="G24" i="5"/>
  <c r="F24" i="5"/>
  <c r="E24" i="5"/>
  <c r="D24" i="5"/>
  <c r="C24" i="5"/>
  <c r="B24" i="5"/>
  <c r="M23" i="5"/>
  <c r="L23" i="5"/>
  <c r="K23" i="5"/>
  <c r="J23" i="5"/>
  <c r="I23" i="5"/>
  <c r="H23" i="5"/>
  <c r="G23" i="5"/>
  <c r="F23" i="5"/>
  <c r="E23" i="5"/>
  <c r="D23" i="5"/>
  <c r="C23" i="5"/>
  <c r="B23" i="5"/>
  <c r="M22" i="5"/>
  <c r="L22" i="5"/>
  <c r="K22" i="5"/>
  <c r="J22" i="5"/>
  <c r="I22" i="5"/>
  <c r="H22" i="5"/>
  <c r="G22" i="5"/>
  <c r="F22" i="5"/>
  <c r="E22" i="5"/>
  <c r="D22" i="5"/>
  <c r="C22" i="5"/>
  <c r="B22" i="5"/>
  <c r="M21" i="5"/>
  <c r="L21" i="5"/>
  <c r="K21" i="5"/>
  <c r="J21" i="5"/>
  <c r="I21" i="5"/>
  <c r="H21" i="5"/>
  <c r="G21" i="5"/>
  <c r="F21" i="5"/>
  <c r="E21" i="5"/>
  <c r="D21" i="5"/>
  <c r="C21" i="5"/>
  <c r="B21" i="5"/>
  <c r="M20" i="5"/>
  <c r="L20" i="5"/>
  <c r="K20" i="5"/>
  <c r="J20" i="5"/>
  <c r="I20" i="5"/>
  <c r="H20" i="5"/>
  <c r="G20" i="5"/>
  <c r="F20" i="5"/>
  <c r="E20" i="5"/>
  <c r="D20" i="5"/>
  <c r="C20" i="5"/>
  <c r="B20" i="5"/>
  <c r="C13" i="5"/>
  <c r="C12" i="5"/>
  <c r="C11" i="5"/>
  <c r="C10" i="5"/>
  <c r="C9" i="5"/>
  <c r="C8" i="5"/>
  <c r="C7" i="5"/>
  <c r="C6" i="5"/>
  <c r="E8" i="5" s="1"/>
  <c r="C5" i="5"/>
  <c r="C4" i="5"/>
  <c r="C3" i="5"/>
  <c r="C2" i="5"/>
  <c r="E3" i="5" s="1"/>
  <c r="AJ26" i="4"/>
  <c r="AG26" i="4"/>
  <c r="AD26" i="4"/>
  <c r="AA26" i="4"/>
  <c r="X26" i="4"/>
  <c r="U26" i="4"/>
  <c r="R26" i="4"/>
  <c r="O26" i="4"/>
  <c r="L26" i="4"/>
  <c r="I26" i="4"/>
  <c r="F26" i="4"/>
  <c r="C26" i="4"/>
  <c r="AJ25" i="4"/>
  <c r="AG25" i="4"/>
  <c r="AD25" i="4"/>
  <c r="AA25" i="4"/>
  <c r="X25" i="4"/>
  <c r="U25" i="4"/>
  <c r="R25" i="4"/>
  <c r="O25" i="4"/>
  <c r="L25" i="4"/>
  <c r="I25" i="4"/>
  <c r="F25" i="4"/>
  <c r="C25" i="4"/>
  <c r="AJ24" i="4"/>
  <c r="AG24" i="4"/>
  <c r="AD24" i="4"/>
  <c r="AA24" i="4"/>
  <c r="X24" i="4"/>
  <c r="U24" i="4"/>
  <c r="R24" i="4"/>
  <c r="O24" i="4"/>
  <c r="L24" i="4"/>
  <c r="I24" i="4"/>
  <c r="F24" i="4"/>
  <c r="C24" i="4"/>
  <c r="AJ23" i="4"/>
  <c r="AG23" i="4"/>
  <c r="AD23" i="4"/>
  <c r="AA23" i="4"/>
  <c r="X23" i="4"/>
  <c r="U23" i="4"/>
  <c r="R23" i="4"/>
  <c r="O23" i="4"/>
  <c r="L23" i="4"/>
  <c r="I23" i="4"/>
  <c r="F23" i="4"/>
  <c r="C23" i="4"/>
  <c r="AJ22" i="4"/>
  <c r="AG22" i="4"/>
  <c r="AD22" i="4"/>
  <c r="AA22" i="4"/>
  <c r="X22" i="4"/>
  <c r="U22" i="4"/>
  <c r="R22" i="4"/>
  <c r="O22" i="4"/>
  <c r="L22" i="4"/>
  <c r="I22" i="4"/>
  <c r="F22" i="4"/>
  <c r="C22" i="4"/>
  <c r="AJ21" i="4"/>
  <c r="AG21" i="4"/>
  <c r="AD21" i="4"/>
  <c r="AA21" i="4"/>
  <c r="X21" i="4"/>
  <c r="U21" i="4"/>
  <c r="R21" i="4"/>
  <c r="O21" i="4"/>
  <c r="L21" i="4"/>
  <c r="I21" i="4"/>
  <c r="F21" i="4"/>
  <c r="C21" i="4"/>
  <c r="AJ20" i="4"/>
  <c r="AG20" i="4"/>
  <c r="AD20" i="4"/>
  <c r="AA20" i="4"/>
  <c r="X20" i="4"/>
  <c r="U20" i="4"/>
  <c r="R20" i="4"/>
  <c r="O20" i="4"/>
  <c r="L20" i="4"/>
  <c r="I20" i="4"/>
  <c r="F20" i="4"/>
  <c r="C20" i="4"/>
  <c r="AJ19" i="4"/>
  <c r="AG19" i="4"/>
  <c r="AD19" i="4"/>
  <c r="AA19" i="4"/>
  <c r="X19" i="4"/>
  <c r="U19" i="4"/>
  <c r="R19" i="4"/>
  <c r="O19" i="4"/>
  <c r="L19" i="4"/>
  <c r="I19" i="4"/>
  <c r="F19" i="4"/>
  <c r="C19" i="4"/>
  <c r="AJ18" i="4"/>
  <c r="AG18" i="4"/>
  <c r="AD18" i="4"/>
  <c r="AA18" i="4"/>
  <c r="X18" i="4"/>
  <c r="U18" i="4"/>
  <c r="R18" i="4"/>
  <c r="O18" i="4"/>
  <c r="L18" i="4"/>
  <c r="I18" i="4"/>
  <c r="F18" i="4"/>
  <c r="C18" i="4"/>
  <c r="AJ17" i="4"/>
  <c r="AG17" i="4"/>
  <c r="AD17" i="4"/>
  <c r="AA17" i="4"/>
  <c r="X17" i="4"/>
  <c r="U17" i="4"/>
  <c r="R17" i="4"/>
  <c r="O17" i="4"/>
  <c r="L17" i="4"/>
  <c r="I17" i="4"/>
  <c r="F17" i="4"/>
  <c r="C17" i="4"/>
  <c r="AJ16" i="4"/>
  <c r="AG16" i="4"/>
  <c r="AD16" i="4"/>
  <c r="AA16" i="4"/>
  <c r="X16" i="4"/>
  <c r="U16" i="4"/>
  <c r="R16" i="4"/>
  <c r="O16" i="4"/>
  <c r="L16" i="4"/>
  <c r="I16" i="4"/>
  <c r="F16" i="4"/>
  <c r="C16" i="4"/>
  <c r="AJ15" i="4"/>
  <c r="AG15" i="4"/>
  <c r="AD15" i="4"/>
  <c r="AA15" i="4"/>
  <c r="X15" i="4"/>
  <c r="U15" i="4"/>
  <c r="R15" i="4"/>
  <c r="O15" i="4"/>
  <c r="L15" i="4"/>
  <c r="I15" i="4"/>
  <c r="F15" i="4"/>
  <c r="C15" i="4"/>
  <c r="AJ14" i="4"/>
  <c r="AG14" i="4"/>
  <c r="AD14" i="4"/>
  <c r="AA14" i="4"/>
  <c r="X14" i="4"/>
  <c r="U14" i="4"/>
  <c r="R14" i="4"/>
  <c r="O14" i="4"/>
  <c r="L14" i="4"/>
  <c r="I14" i="4"/>
  <c r="F14" i="4"/>
  <c r="C14" i="4"/>
  <c r="AJ13" i="4"/>
  <c r="AG13" i="4"/>
  <c r="AD13" i="4"/>
  <c r="AA13" i="4"/>
  <c r="X13" i="4"/>
  <c r="U13" i="4"/>
  <c r="R13" i="4"/>
  <c r="O13" i="4"/>
  <c r="L13" i="4"/>
  <c r="I13" i="4"/>
  <c r="F13" i="4"/>
  <c r="C13" i="4"/>
  <c r="AJ12" i="4"/>
  <c r="AG12" i="4"/>
  <c r="AD12" i="4"/>
  <c r="AA12" i="4"/>
  <c r="X12" i="4"/>
  <c r="U12" i="4"/>
  <c r="R12" i="4"/>
  <c r="O12" i="4"/>
  <c r="L12" i="4"/>
  <c r="I12" i="4"/>
  <c r="F12" i="4"/>
  <c r="C12" i="4"/>
  <c r="AJ11" i="4"/>
  <c r="AG11" i="4"/>
  <c r="AD11" i="4"/>
  <c r="AA11" i="4"/>
  <c r="X11" i="4"/>
  <c r="U11" i="4"/>
  <c r="R11" i="4"/>
  <c r="O11" i="4"/>
  <c r="L11" i="4"/>
  <c r="I11" i="4"/>
  <c r="F11" i="4"/>
  <c r="C11" i="4"/>
  <c r="AJ10" i="4"/>
  <c r="AG10" i="4"/>
  <c r="AD10" i="4"/>
  <c r="AA10" i="4"/>
  <c r="X10" i="4"/>
  <c r="U10" i="4"/>
  <c r="R10" i="4"/>
  <c r="O10" i="4"/>
  <c r="L10" i="4"/>
  <c r="I10" i="4"/>
  <c r="F10" i="4"/>
  <c r="C10" i="4"/>
  <c r="AJ9" i="4"/>
  <c r="AG9" i="4"/>
  <c r="AD9" i="4"/>
  <c r="AA9" i="4"/>
  <c r="X9" i="4"/>
  <c r="U9" i="4"/>
  <c r="R9" i="4"/>
  <c r="O9" i="4"/>
  <c r="L9" i="4"/>
  <c r="I9" i="4"/>
  <c r="F9" i="4"/>
  <c r="C9" i="4"/>
  <c r="AJ8" i="4"/>
  <c r="AG8" i="4"/>
  <c r="AD8" i="4"/>
  <c r="AA8" i="4"/>
  <c r="X8" i="4"/>
  <c r="U8" i="4"/>
  <c r="R8" i="4"/>
  <c r="O8" i="4"/>
  <c r="L8" i="4"/>
  <c r="I8" i="4"/>
  <c r="F8" i="4"/>
  <c r="C8" i="4"/>
  <c r="AJ7" i="4"/>
  <c r="AG7" i="4"/>
  <c r="AD7" i="4"/>
  <c r="AA7" i="4"/>
  <c r="X7" i="4"/>
  <c r="U7" i="4"/>
  <c r="R7" i="4"/>
  <c r="O7" i="4"/>
  <c r="L7" i="4"/>
  <c r="I7" i="4"/>
  <c r="F7" i="4"/>
  <c r="C7" i="4"/>
  <c r="AJ6" i="4"/>
  <c r="AG6" i="4"/>
  <c r="AD6" i="4"/>
  <c r="AA6" i="4"/>
  <c r="X6" i="4"/>
  <c r="U6" i="4"/>
  <c r="R6" i="4"/>
  <c r="O6" i="4"/>
  <c r="L6" i="4"/>
  <c r="I6" i="4"/>
  <c r="F6" i="4"/>
  <c r="C6" i="4"/>
  <c r="AJ5" i="4"/>
  <c r="AG5" i="4"/>
  <c r="AD5" i="4"/>
  <c r="AA5" i="4"/>
  <c r="X5" i="4"/>
  <c r="U5" i="4"/>
  <c r="R5" i="4"/>
  <c r="O5" i="4"/>
  <c r="L5" i="4"/>
  <c r="I5" i="4"/>
  <c r="F5" i="4"/>
  <c r="C5" i="4"/>
  <c r="AJ4" i="4"/>
  <c r="AG4" i="4"/>
  <c r="AD4" i="4"/>
  <c r="AA4" i="4"/>
  <c r="X4" i="4"/>
  <c r="U4" i="4"/>
  <c r="R4" i="4"/>
  <c r="O4" i="4"/>
  <c r="L4" i="4"/>
  <c r="I4" i="4"/>
  <c r="F4" i="4"/>
  <c r="C4" i="4"/>
  <c r="AJ3" i="4"/>
  <c r="AG3" i="4"/>
  <c r="AD3" i="4"/>
  <c r="AA3" i="4"/>
  <c r="X3" i="4"/>
  <c r="U3" i="4"/>
  <c r="R3" i="4"/>
  <c r="O3" i="4"/>
  <c r="L3" i="4"/>
  <c r="I3" i="4"/>
  <c r="F3" i="4"/>
  <c r="C3" i="4"/>
  <c r="AJ2" i="4"/>
  <c r="AG2" i="4"/>
  <c r="AD2" i="4"/>
  <c r="AA2" i="4"/>
  <c r="X2" i="4"/>
  <c r="U2" i="4"/>
  <c r="R2" i="4"/>
  <c r="O2" i="4"/>
  <c r="L2" i="4"/>
  <c r="I2" i="4"/>
  <c r="F2" i="4"/>
  <c r="C2" i="4"/>
  <c r="AM2" i="4" s="1"/>
  <c r="N27" i="3"/>
  <c r="AI26" i="4" s="1"/>
  <c r="AK26" i="4" s="1"/>
  <c r="M27" i="3"/>
  <c r="AF26" i="4" s="1"/>
  <c r="AH26" i="4" s="1"/>
  <c r="L27" i="3"/>
  <c r="AC26" i="4" s="1"/>
  <c r="AE26" i="4" s="1"/>
  <c r="K27" i="3"/>
  <c r="Z26" i="4" s="1"/>
  <c r="AB26" i="4" s="1"/>
  <c r="J27" i="3"/>
  <c r="W26" i="4" s="1"/>
  <c r="Y26" i="4" s="1"/>
  <c r="I27" i="3"/>
  <c r="T26" i="4" s="1"/>
  <c r="V26" i="4" s="1"/>
  <c r="H27" i="3"/>
  <c r="Q26" i="4" s="1"/>
  <c r="S26" i="4" s="1"/>
  <c r="G27" i="3"/>
  <c r="N26" i="4" s="1"/>
  <c r="P26" i="4" s="1"/>
  <c r="F27" i="3"/>
  <c r="K26" i="4" s="1"/>
  <c r="E27" i="3"/>
  <c r="H26" i="4" s="1"/>
  <c r="D27" i="3"/>
  <c r="E26" i="4" s="1"/>
  <c r="G26" i="4" s="1"/>
  <c r="C27" i="3"/>
  <c r="N26" i="3"/>
  <c r="AI25" i="4" s="1"/>
  <c r="AK25" i="4" s="1"/>
  <c r="M26" i="3"/>
  <c r="AF25" i="4" s="1"/>
  <c r="AH25" i="4" s="1"/>
  <c r="L26" i="3"/>
  <c r="AC25" i="4" s="1"/>
  <c r="AE25" i="4" s="1"/>
  <c r="K26" i="3"/>
  <c r="Z25" i="4" s="1"/>
  <c r="AB25" i="4" s="1"/>
  <c r="J26" i="3"/>
  <c r="W25" i="4" s="1"/>
  <c r="Y25" i="4" s="1"/>
  <c r="I26" i="3"/>
  <c r="T25" i="4" s="1"/>
  <c r="V25" i="4" s="1"/>
  <c r="H26" i="3"/>
  <c r="Q25" i="4" s="1"/>
  <c r="S25" i="4" s="1"/>
  <c r="G26" i="3"/>
  <c r="N25" i="4" s="1"/>
  <c r="P25" i="4" s="1"/>
  <c r="F26" i="3"/>
  <c r="K25" i="4" s="1"/>
  <c r="E26" i="3"/>
  <c r="H25" i="4" s="1"/>
  <c r="D26" i="3"/>
  <c r="E25" i="4" s="1"/>
  <c r="G25" i="4" s="1"/>
  <c r="C26" i="3"/>
  <c r="B25" i="4" s="1"/>
  <c r="D25" i="4" s="1"/>
  <c r="N25" i="3"/>
  <c r="AI24" i="4" s="1"/>
  <c r="AK24" i="4" s="1"/>
  <c r="M25" i="3"/>
  <c r="AF24" i="4" s="1"/>
  <c r="AH24" i="4" s="1"/>
  <c r="L25" i="3"/>
  <c r="AC24" i="4" s="1"/>
  <c r="AE24" i="4" s="1"/>
  <c r="K25" i="3"/>
  <c r="Z24" i="4" s="1"/>
  <c r="AB24" i="4" s="1"/>
  <c r="J25" i="3"/>
  <c r="W24" i="4" s="1"/>
  <c r="Y24" i="4" s="1"/>
  <c r="I25" i="3"/>
  <c r="T24" i="4" s="1"/>
  <c r="V24" i="4" s="1"/>
  <c r="H25" i="3"/>
  <c r="Q24" i="4" s="1"/>
  <c r="S24" i="4" s="1"/>
  <c r="G25" i="3"/>
  <c r="N24" i="4" s="1"/>
  <c r="P24" i="4" s="1"/>
  <c r="F25" i="3"/>
  <c r="K24" i="4" s="1"/>
  <c r="E25" i="3"/>
  <c r="H24" i="4" s="1"/>
  <c r="D25" i="3"/>
  <c r="E24" i="4" s="1"/>
  <c r="G24" i="4" s="1"/>
  <c r="C25" i="3"/>
  <c r="B24" i="4" s="1"/>
  <c r="D24" i="4" s="1"/>
  <c r="N24" i="3"/>
  <c r="AI23" i="4" s="1"/>
  <c r="AK23" i="4" s="1"/>
  <c r="M24" i="3"/>
  <c r="AF23" i="4" s="1"/>
  <c r="AH23" i="4" s="1"/>
  <c r="L24" i="3"/>
  <c r="AC23" i="4" s="1"/>
  <c r="AE23" i="4" s="1"/>
  <c r="K24" i="3"/>
  <c r="Z23" i="4" s="1"/>
  <c r="AB23" i="4" s="1"/>
  <c r="J24" i="3"/>
  <c r="W23" i="4" s="1"/>
  <c r="Y23" i="4" s="1"/>
  <c r="I24" i="3"/>
  <c r="T23" i="4" s="1"/>
  <c r="V23" i="4" s="1"/>
  <c r="H24" i="3"/>
  <c r="Q23" i="4" s="1"/>
  <c r="S23" i="4" s="1"/>
  <c r="G24" i="3"/>
  <c r="N23" i="4" s="1"/>
  <c r="P23" i="4" s="1"/>
  <c r="F24" i="3"/>
  <c r="K23" i="4" s="1"/>
  <c r="E24" i="3"/>
  <c r="H23" i="4" s="1"/>
  <c r="D24" i="3"/>
  <c r="E23" i="4" s="1"/>
  <c r="G23" i="4" s="1"/>
  <c r="C24" i="3"/>
  <c r="B23" i="4" s="1"/>
  <c r="N23" i="3"/>
  <c r="AI22" i="4" s="1"/>
  <c r="AK22" i="4" s="1"/>
  <c r="M23" i="3"/>
  <c r="AF22" i="4" s="1"/>
  <c r="AH22" i="4" s="1"/>
  <c r="L23" i="3"/>
  <c r="AC22" i="4" s="1"/>
  <c r="AE22" i="4" s="1"/>
  <c r="K23" i="3"/>
  <c r="Z22" i="4" s="1"/>
  <c r="AB22" i="4" s="1"/>
  <c r="J23" i="3"/>
  <c r="W22" i="4" s="1"/>
  <c r="Y22" i="4" s="1"/>
  <c r="I23" i="3"/>
  <c r="T22" i="4" s="1"/>
  <c r="V22" i="4" s="1"/>
  <c r="H23" i="3"/>
  <c r="Q22" i="4" s="1"/>
  <c r="S22" i="4" s="1"/>
  <c r="G23" i="3"/>
  <c r="N22" i="4" s="1"/>
  <c r="P22" i="4" s="1"/>
  <c r="F23" i="3"/>
  <c r="K22" i="4" s="1"/>
  <c r="E23" i="3"/>
  <c r="H22" i="4" s="1"/>
  <c r="D23" i="3"/>
  <c r="E22" i="4" s="1"/>
  <c r="G22" i="4" s="1"/>
  <c r="C23" i="3"/>
  <c r="B22" i="4" s="1"/>
  <c r="N22" i="3"/>
  <c r="AI21" i="4" s="1"/>
  <c r="AK21" i="4" s="1"/>
  <c r="M22" i="3"/>
  <c r="AF21" i="4" s="1"/>
  <c r="AH21" i="4" s="1"/>
  <c r="L22" i="3"/>
  <c r="AC21" i="4" s="1"/>
  <c r="AE21" i="4" s="1"/>
  <c r="K22" i="3"/>
  <c r="Z21" i="4" s="1"/>
  <c r="AB21" i="4" s="1"/>
  <c r="J22" i="3"/>
  <c r="W21" i="4" s="1"/>
  <c r="Y21" i="4" s="1"/>
  <c r="I22" i="3"/>
  <c r="T21" i="4" s="1"/>
  <c r="V21" i="4" s="1"/>
  <c r="H22" i="3"/>
  <c r="Q21" i="4" s="1"/>
  <c r="S21" i="4" s="1"/>
  <c r="G22" i="3"/>
  <c r="N21" i="4" s="1"/>
  <c r="P21" i="4" s="1"/>
  <c r="F22" i="3"/>
  <c r="K21" i="4" s="1"/>
  <c r="E22" i="3"/>
  <c r="H21" i="4" s="1"/>
  <c r="D22" i="3"/>
  <c r="E21" i="4" s="1"/>
  <c r="G21" i="4" s="1"/>
  <c r="C22" i="3"/>
  <c r="B21" i="4" s="1"/>
  <c r="N21" i="3"/>
  <c r="AI20" i="4" s="1"/>
  <c r="AK20" i="4" s="1"/>
  <c r="M21" i="3"/>
  <c r="AF20" i="4" s="1"/>
  <c r="AH20" i="4" s="1"/>
  <c r="L21" i="3"/>
  <c r="AC20" i="4" s="1"/>
  <c r="AE20" i="4" s="1"/>
  <c r="K21" i="3"/>
  <c r="Z20" i="4" s="1"/>
  <c r="AB20" i="4" s="1"/>
  <c r="J21" i="3"/>
  <c r="W20" i="4" s="1"/>
  <c r="Y20" i="4" s="1"/>
  <c r="I21" i="3"/>
  <c r="T20" i="4" s="1"/>
  <c r="V20" i="4" s="1"/>
  <c r="H21" i="3"/>
  <c r="Q20" i="4" s="1"/>
  <c r="S20" i="4" s="1"/>
  <c r="G21" i="3"/>
  <c r="N20" i="4" s="1"/>
  <c r="P20" i="4" s="1"/>
  <c r="F21" i="3"/>
  <c r="K20" i="4" s="1"/>
  <c r="E21" i="3"/>
  <c r="H20" i="4" s="1"/>
  <c r="D21" i="3"/>
  <c r="E20" i="4" s="1"/>
  <c r="G20" i="4" s="1"/>
  <c r="C21" i="3"/>
  <c r="B20" i="4" s="1"/>
  <c r="N20" i="3"/>
  <c r="AI19" i="4" s="1"/>
  <c r="AK19" i="4" s="1"/>
  <c r="M20" i="3"/>
  <c r="AF19" i="4" s="1"/>
  <c r="AH19" i="4" s="1"/>
  <c r="L20" i="3"/>
  <c r="AC19" i="4" s="1"/>
  <c r="AE19" i="4" s="1"/>
  <c r="K20" i="3"/>
  <c r="Z19" i="4" s="1"/>
  <c r="AB19" i="4" s="1"/>
  <c r="J20" i="3"/>
  <c r="W19" i="4" s="1"/>
  <c r="Y19" i="4" s="1"/>
  <c r="I20" i="3"/>
  <c r="T19" i="4" s="1"/>
  <c r="V19" i="4" s="1"/>
  <c r="H20" i="3"/>
  <c r="Q19" i="4" s="1"/>
  <c r="S19" i="4" s="1"/>
  <c r="G20" i="3"/>
  <c r="N19" i="4" s="1"/>
  <c r="P19" i="4" s="1"/>
  <c r="F20" i="3"/>
  <c r="K19" i="4" s="1"/>
  <c r="E20" i="3"/>
  <c r="H19" i="4" s="1"/>
  <c r="D20" i="3"/>
  <c r="E19" i="4" s="1"/>
  <c r="G19" i="4" s="1"/>
  <c r="C20" i="3"/>
  <c r="B19" i="4" s="1"/>
  <c r="N19" i="3"/>
  <c r="AI18" i="4" s="1"/>
  <c r="AK18" i="4" s="1"/>
  <c r="M19" i="3"/>
  <c r="AF18" i="4" s="1"/>
  <c r="AH18" i="4" s="1"/>
  <c r="L19" i="3"/>
  <c r="AC18" i="4" s="1"/>
  <c r="AE18" i="4" s="1"/>
  <c r="K19" i="3"/>
  <c r="Z18" i="4" s="1"/>
  <c r="AB18" i="4" s="1"/>
  <c r="J19" i="3"/>
  <c r="W18" i="4" s="1"/>
  <c r="Y18" i="4" s="1"/>
  <c r="I19" i="3"/>
  <c r="T18" i="4" s="1"/>
  <c r="V18" i="4" s="1"/>
  <c r="H19" i="3"/>
  <c r="Q18" i="4" s="1"/>
  <c r="S18" i="4" s="1"/>
  <c r="G19" i="3"/>
  <c r="N18" i="4" s="1"/>
  <c r="P18" i="4" s="1"/>
  <c r="F19" i="3"/>
  <c r="K18" i="4" s="1"/>
  <c r="E19" i="3"/>
  <c r="H18" i="4" s="1"/>
  <c r="D19" i="3"/>
  <c r="E18" i="4" s="1"/>
  <c r="G18" i="4" s="1"/>
  <c r="C19" i="3"/>
  <c r="N18" i="3"/>
  <c r="AI17" i="4" s="1"/>
  <c r="AK17" i="4" s="1"/>
  <c r="M18" i="3"/>
  <c r="AF17" i="4" s="1"/>
  <c r="AH17" i="4" s="1"/>
  <c r="L18" i="3"/>
  <c r="AC17" i="4" s="1"/>
  <c r="AE17" i="4" s="1"/>
  <c r="K18" i="3"/>
  <c r="Z17" i="4" s="1"/>
  <c r="AB17" i="4" s="1"/>
  <c r="J18" i="3"/>
  <c r="W17" i="4" s="1"/>
  <c r="Y17" i="4" s="1"/>
  <c r="I18" i="3"/>
  <c r="T17" i="4" s="1"/>
  <c r="V17" i="4" s="1"/>
  <c r="H18" i="3"/>
  <c r="Q17" i="4" s="1"/>
  <c r="S17" i="4" s="1"/>
  <c r="G18" i="3"/>
  <c r="N17" i="4" s="1"/>
  <c r="P17" i="4" s="1"/>
  <c r="F18" i="3"/>
  <c r="K17" i="4" s="1"/>
  <c r="E18" i="3"/>
  <c r="H17" i="4" s="1"/>
  <c r="D18" i="3"/>
  <c r="E17" i="4" s="1"/>
  <c r="G17" i="4" s="1"/>
  <c r="C18" i="3"/>
  <c r="B17" i="4" s="1"/>
  <c r="D17" i="4" s="1"/>
  <c r="N17" i="3"/>
  <c r="AI16" i="4" s="1"/>
  <c r="AK16" i="4" s="1"/>
  <c r="M17" i="3"/>
  <c r="AF16" i="4" s="1"/>
  <c r="AH16" i="4" s="1"/>
  <c r="L17" i="3"/>
  <c r="AC16" i="4" s="1"/>
  <c r="AE16" i="4" s="1"/>
  <c r="K17" i="3"/>
  <c r="Z16" i="4" s="1"/>
  <c r="AB16" i="4" s="1"/>
  <c r="J17" i="3"/>
  <c r="W16" i="4" s="1"/>
  <c r="Y16" i="4" s="1"/>
  <c r="I17" i="3"/>
  <c r="T16" i="4" s="1"/>
  <c r="V16" i="4" s="1"/>
  <c r="H17" i="3"/>
  <c r="Q16" i="4" s="1"/>
  <c r="S16" i="4" s="1"/>
  <c r="G17" i="3"/>
  <c r="N16" i="4" s="1"/>
  <c r="P16" i="4" s="1"/>
  <c r="F17" i="3"/>
  <c r="K16" i="4" s="1"/>
  <c r="E17" i="3"/>
  <c r="H16" i="4" s="1"/>
  <c r="D17" i="3"/>
  <c r="E16" i="4" s="1"/>
  <c r="G16" i="4" s="1"/>
  <c r="C17" i="3"/>
  <c r="B16" i="4" s="1"/>
  <c r="N16" i="3"/>
  <c r="AI15" i="4" s="1"/>
  <c r="AK15" i="4" s="1"/>
  <c r="M16" i="3"/>
  <c r="AF15" i="4" s="1"/>
  <c r="AH15" i="4" s="1"/>
  <c r="L16" i="3"/>
  <c r="AC15" i="4" s="1"/>
  <c r="AE15" i="4" s="1"/>
  <c r="K16" i="3"/>
  <c r="Z15" i="4" s="1"/>
  <c r="AB15" i="4" s="1"/>
  <c r="J16" i="3"/>
  <c r="W15" i="4" s="1"/>
  <c r="Y15" i="4" s="1"/>
  <c r="I16" i="3"/>
  <c r="T15" i="4" s="1"/>
  <c r="V15" i="4" s="1"/>
  <c r="H16" i="3"/>
  <c r="Q15" i="4" s="1"/>
  <c r="S15" i="4" s="1"/>
  <c r="G16" i="3"/>
  <c r="N15" i="4" s="1"/>
  <c r="P15" i="4" s="1"/>
  <c r="F16" i="3"/>
  <c r="K15" i="4" s="1"/>
  <c r="E16" i="3"/>
  <c r="H15" i="4" s="1"/>
  <c r="D16" i="3"/>
  <c r="E15" i="4" s="1"/>
  <c r="G15" i="4" s="1"/>
  <c r="C16" i="3"/>
  <c r="B15" i="4" s="1"/>
  <c r="N15" i="3"/>
  <c r="AI14" i="4" s="1"/>
  <c r="AK14" i="4" s="1"/>
  <c r="M15" i="3"/>
  <c r="AF14" i="4" s="1"/>
  <c r="AH14" i="4" s="1"/>
  <c r="L15" i="3"/>
  <c r="AC14" i="4" s="1"/>
  <c r="AE14" i="4" s="1"/>
  <c r="K15" i="3"/>
  <c r="Z14" i="4" s="1"/>
  <c r="AB14" i="4" s="1"/>
  <c r="J15" i="3"/>
  <c r="W14" i="4" s="1"/>
  <c r="Y14" i="4" s="1"/>
  <c r="I15" i="3"/>
  <c r="T14" i="4" s="1"/>
  <c r="V14" i="4" s="1"/>
  <c r="H15" i="3"/>
  <c r="Q14" i="4" s="1"/>
  <c r="S14" i="4" s="1"/>
  <c r="G15" i="3"/>
  <c r="N14" i="4" s="1"/>
  <c r="P14" i="4" s="1"/>
  <c r="F15" i="3"/>
  <c r="K14" i="4" s="1"/>
  <c r="E15" i="3"/>
  <c r="H14" i="4" s="1"/>
  <c r="D15" i="3"/>
  <c r="E14" i="4" s="1"/>
  <c r="G14" i="4" s="1"/>
  <c r="C15" i="3"/>
  <c r="N14" i="3"/>
  <c r="AI13" i="4" s="1"/>
  <c r="AK13" i="4" s="1"/>
  <c r="M14" i="3"/>
  <c r="AF13" i="4" s="1"/>
  <c r="AH13" i="4" s="1"/>
  <c r="L14" i="3"/>
  <c r="AC13" i="4" s="1"/>
  <c r="AE13" i="4" s="1"/>
  <c r="K14" i="3"/>
  <c r="Z13" i="4" s="1"/>
  <c r="AB13" i="4" s="1"/>
  <c r="J14" i="3"/>
  <c r="W13" i="4" s="1"/>
  <c r="Y13" i="4" s="1"/>
  <c r="I14" i="3"/>
  <c r="T13" i="4" s="1"/>
  <c r="V13" i="4" s="1"/>
  <c r="H14" i="3"/>
  <c r="Q13" i="4" s="1"/>
  <c r="S13" i="4" s="1"/>
  <c r="G14" i="3"/>
  <c r="N13" i="4" s="1"/>
  <c r="P13" i="4" s="1"/>
  <c r="F14" i="3"/>
  <c r="K13" i="4" s="1"/>
  <c r="E14" i="3"/>
  <c r="H13" i="4" s="1"/>
  <c r="D14" i="3"/>
  <c r="E13" i="4" s="1"/>
  <c r="G13" i="4" s="1"/>
  <c r="C14" i="3"/>
  <c r="B13" i="4" s="1"/>
  <c r="D13" i="4" s="1"/>
  <c r="N13" i="3"/>
  <c r="AI12" i="4" s="1"/>
  <c r="AK12" i="4" s="1"/>
  <c r="M13" i="3"/>
  <c r="AF12" i="4" s="1"/>
  <c r="AH12" i="4" s="1"/>
  <c r="L13" i="3"/>
  <c r="AC12" i="4" s="1"/>
  <c r="AE12" i="4" s="1"/>
  <c r="K13" i="3"/>
  <c r="Z12" i="4" s="1"/>
  <c r="AB12" i="4" s="1"/>
  <c r="J13" i="3"/>
  <c r="W12" i="4" s="1"/>
  <c r="Y12" i="4" s="1"/>
  <c r="I13" i="3"/>
  <c r="T12" i="4" s="1"/>
  <c r="V12" i="4" s="1"/>
  <c r="H13" i="3"/>
  <c r="Q12" i="4" s="1"/>
  <c r="S12" i="4" s="1"/>
  <c r="G13" i="3"/>
  <c r="N12" i="4" s="1"/>
  <c r="P12" i="4" s="1"/>
  <c r="F13" i="3"/>
  <c r="K12" i="4" s="1"/>
  <c r="E13" i="3"/>
  <c r="H12" i="4" s="1"/>
  <c r="D13" i="3"/>
  <c r="E12" i="4" s="1"/>
  <c r="G12" i="4" s="1"/>
  <c r="C13" i="3"/>
  <c r="B12" i="4" s="1"/>
  <c r="D12" i="4" s="1"/>
  <c r="N12" i="3"/>
  <c r="AI11" i="4" s="1"/>
  <c r="AK11" i="4" s="1"/>
  <c r="M12" i="3"/>
  <c r="AF11" i="4" s="1"/>
  <c r="AH11" i="4" s="1"/>
  <c r="L12" i="3"/>
  <c r="AC11" i="4" s="1"/>
  <c r="AE11" i="4" s="1"/>
  <c r="K12" i="3"/>
  <c r="Z11" i="4" s="1"/>
  <c r="AB11" i="4" s="1"/>
  <c r="J12" i="3"/>
  <c r="W11" i="4" s="1"/>
  <c r="Y11" i="4" s="1"/>
  <c r="I12" i="3"/>
  <c r="T11" i="4" s="1"/>
  <c r="V11" i="4" s="1"/>
  <c r="H12" i="3"/>
  <c r="Q11" i="4" s="1"/>
  <c r="S11" i="4" s="1"/>
  <c r="G12" i="3"/>
  <c r="N11" i="4" s="1"/>
  <c r="P11" i="4" s="1"/>
  <c r="F12" i="3"/>
  <c r="K11" i="4" s="1"/>
  <c r="E12" i="3"/>
  <c r="H11" i="4" s="1"/>
  <c r="D12" i="3"/>
  <c r="E11" i="4" s="1"/>
  <c r="G11" i="4" s="1"/>
  <c r="C12" i="3"/>
  <c r="B11" i="4" s="1"/>
  <c r="N11" i="3"/>
  <c r="AI10" i="4" s="1"/>
  <c r="AK10" i="4" s="1"/>
  <c r="M11" i="3"/>
  <c r="AF10" i="4" s="1"/>
  <c r="AH10" i="4" s="1"/>
  <c r="L11" i="3"/>
  <c r="AC10" i="4" s="1"/>
  <c r="AE10" i="4" s="1"/>
  <c r="K11" i="3"/>
  <c r="Z10" i="4" s="1"/>
  <c r="AB10" i="4" s="1"/>
  <c r="J11" i="3"/>
  <c r="W10" i="4" s="1"/>
  <c r="Y10" i="4" s="1"/>
  <c r="I11" i="3"/>
  <c r="T10" i="4" s="1"/>
  <c r="V10" i="4" s="1"/>
  <c r="H11" i="3"/>
  <c r="Q10" i="4" s="1"/>
  <c r="S10" i="4" s="1"/>
  <c r="G11" i="3"/>
  <c r="N10" i="4" s="1"/>
  <c r="F11" i="3"/>
  <c r="K10" i="4" s="1"/>
  <c r="E11" i="3"/>
  <c r="H10" i="4" s="1"/>
  <c r="D11" i="3"/>
  <c r="E10" i="4" s="1"/>
  <c r="G10" i="4" s="1"/>
  <c r="C11" i="3"/>
  <c r="B10" i="4" s="1"/>
  <c r="N10" i="3"/>
  <c r="AI9" i="4" s="1"/>
  <c r="AK9" i="4" s="1"/>
  <c r="M10" i="3"/>
  <c r="AF9" i="4" s="1"/>
  <c r="AH9" i="4" s="1"/>
  <c r="L10" i="3"/>
  <c r="AC9" i="4" s="1"/>
  <c r="AE9" i="4" s="1"/>
  <c r="K10" i="3"/>
  <c r="Z9" i="4" s="1"/>
  <c r="AB9" i="4" s="1"/>
  <c r="J10" i="3"/>
  <c r="W9" i="4" s="1"/>
  <c r="Y9" i="4" s="1"/>
  <c r="I10" i="3"/>
  <c r="T9" i="4" s="1"/>
  <c r="V9" i="4" s="1"/>
  <c r="H10" i="3"/>
  <c r="Q9" i="4" s="1"/>
  <c r="S9" i="4" s="1"/>
  <c r="G10" i="3"/>
  <c r="N9" i="4" s="1"/>
  <c r="F10" i="3"/>
  <c r="K9" i="4" s="1"/>
  <c r="E10" i="3"/>
  <c r="H9" i="4" s="1"/>
  <c r="D10" i="3"/>
  <c r="E9" i="4" s="1"/>
  <c r="G9" i="4" s="1"/>
  <c r="C10" i="3"/>
  <c r="B9" i="4" s="1"/>
  <c r="N9" i="3"/>
  <c r="AI8" i="4" s="1"/>
  <c r="AK8" i="4" s="1"/>
  <c r="M9" i="3"/>
  <c r="AF8" i="4" s="1"/>
  <c r="AH8" i="4" s="1"/>
  <c r="L9" i="3"/>
  <c r="AC8" i="4" s="1"/>
  <c r="AE8" i="4" s="1"/>
  <c r="K9" i="3"/>
  <c r="Z8" i="4" s="1"/>
  <c r="AB8" i="4" s="1"/>
  <c r="J9" i="3"/>
  <c r="W8" i="4" s="1"/>
  <c r="Y8" i="4" s="1"/>
  <c r="I9" i="3"/>
  <c r="T8" i="4" s="1"/>
  <c r="V8" i="4" s="1"/>
  <c r="H9" i="3"/>
  <c r="Q8" i="4" s="1"/>
  <c r="S8" i="4" s="1"/>
  <c r="G9" i="3"/>
  <c r="N8" i="4" s="1"/>
  <c r="F9" i="3"/>
  <c r="K8" i="4" s="1"/>
  <c r="E9" i="3"/>
  <c r="H8" i="4" s="1"/>
  <c r="D9" i="3"/>
  <c r="E8" i="4" s="1"/>
  <c r="G8" i="4" s="1"/>
  <c r="C9" i="3"/>
  <c r="B8" i="4" s="1"/>
  <c r="N8" i="3"/>
  <c r="AI7" i="4" s="1"/>
  <c r="AK7" i="4" s="1"/>
  <c r="M8" i="3"/>
  <c r="AF7" i="4" s="1"/>
  <c r="AH7" i="4" s="1"/>
  <c r="L8" i="3"/>
  <c r="AC7" i="4" s="1"/>
  <c r="AE7" i="4" s="1"/>
  <c r="K8" i="3"/>
  <c r="Z7" i="4" s="1"/>
  <c r="AB7" i="4" s="1"/>
  <c r="J8" i="3"/>
  <c r="W7" i="4" s="1"/>
  <c r="Y7" i="4" s="1"/>
  <c r="I8" i="3"/>
  <c r="T7" i="4" s="1"/>
  <c r="V7" i="4" s="1"/>
  <c r="H8" i="3"/>
  <c r="Q7" i="4" s="1"/>
  <c r="S7" i="4" s="1"/>
  <c r="G8" i="3"/>
  <c r="N7" i="4" s="1"/>
  <c r="F8" i="3"/>
  <c r="K7" i="4" s="1"/>
  <c r="E8" i="3"/>
  <c r="H7" i="4" s="1"/>
  <c r="D8" i="3"/>
  <c r="E7" i="4" s="1"/>
  <c r="G7" i="4" s="1"/>
  <c r="C8" i="3"/>
  <c r="B7" i="4" s="1"/>
  <c r="N7" i="3"/>
  <c r="AI6" i="4" s="1"/>
  <c r="AK6" i="4" s="1"/>
  <c r="M7" i="3"/>
  <c r="AF6" i="4" s="1"/>
  <c r="AH6" i="4" s="1"/>
  <c r="L7" i="3"/>
  <c r="AC6" i="4" s="1"/>
  <c r="AE6" i="4" s="1"/>
  <c r="K7" i="3"/>
  <c r="Z6" i="4" s="1"/>
  <c r="AB6" i="4" s="1"/>
  <c r="J7" i="3"/>
  <c r="W6" i="4" s="1"/>
  <c r="Y6" i="4" s="1"/>
  <c r="I7" i="3"/>
  <c r="T6" i="4" s="1"/>
  <c r="V6" i="4" s="1"/>
  <c r="H7" i="3"/>
  <c r="Q6" i="4" s="1"/>
  <c r="S6" i="4" s="1"/>
  <c r="G7" i="3"/>
  <c r="N6" i="4" s="1"/>
  <c r="F7" i="3"/>
  <c r="K6" i="4" s="1"/>
  <c r="E7" i="3"/>
  <c r="H6" i="4" s="1"/>
  <c r="D7" i="3"/>
  <c r="E6" i="4" s="1"/>
  <c r="G6" i="4" s="1"/>
  <c r="C7" i="3"/>
  <c r="N6" i="3"/>
  <c r="AI5" i="4" s="1"/>
  <c r="AK5" i="4" s="1"/>
  <c r="M6" i="3"/>
  <c r="AF5" i="4" s="1"/>
  <c r="AH5" i="4" s="1"/>
  <c r="L6" i="3"/>
  <c r="AC5" i="4" s="1"/>
  <c r="AE5" i="4" s="1"/>
  <c r="K6" i="3"/>
  <c r="Z5" i="4" s="1"/>
  <c r="AB5" i="4" s="1"/>
  <c r="J6" i="3"/>
  <c r="W5" i="4" s="1"/>
  <c r="Y5" i="4" s="1"/>
  <c r="I6" i="3"/>
  <c r="T5" i="4" s="1"/>
  <c r="V5" i="4" s="1"/>
  <c r="H6" i="3"/>
  <c r="Q5" i="4" s="1"/>
  <c r="S5" i="4" s="1"/>
  <c r="G6" i="3"/>
  <c r="N5" i="4" s="1"/>
  <c r="F6" i="3"/>
  <c r="K5" i="4" s="1"/>
  <c r="E6" i="3"/>
  <c r="H5" i="4" s="1"/>
  <c r="D6" i="3"/>
  <c r="E5" i="4" s="1"/>
  <c r="G5" i="4" s="1"/>
  <c r="C6" i="3"/>
  <c r="B5" i="4" s="1"/>
  <c r="N5" i="3"/>
  <c r="AI4" i="4" s="1"/>
  <c r="AK4" i="4" s="1"/>
  <c r="M5" i="3"/>
  <c r="AF4" i="4" s="1"/>
  <c r="AH4" i="4" s="1"/>
  <c r="L5" i="3"/>
  <c r="AC4" i="4" s="1"/>
  <c r="AE4" i="4" s="1"/>
  <c r="K5" i="3"/>
  <c r="Z4" i="4" s="1"/>
  <c r="AB4" i="4" s="1"/>
  <c r="J5" i="3"/>
  <c r="W4" i="4" s="1"/>
  <c r="Y4" i="4" s="1"/>
  <c r="I5" i="3"/>
  <c r="T4" i="4" s="1"/>
  <c r="V4" i="4" s="1"/>
  <c r="H5" i="3"/>
  <c r="Q4" i="4" s="1"/>
  <c r="S4" i="4" s="1"/>
  <c r="G5" i="3"/>
  <c r="N4" i="4" s="1"/>
  <c r="F5" i="3"/>
  <c r="K4" i="4" s="1"/>
  <c r="E5" i="3"/>
  <c r="H4" i="4" s="1"/>
  <c r="J4" i="4" s="1"/>
  <c r="D5" i="3"/>
  <c r="E4" i="4" s="1"/>
  <c r="G4" i="4" s="1"/>
  <c r="C5" i="3"/>
  <c r="B4" i="4" s="1"/>
  <c r="N4" i="3"/>
  <c r="AI3" i="4" s="1"/>
  <c r="AK3" i="4" s="1"/>
  <c r="M4" i="3"/>
  <c r="AF3" i="4" s="1"/>
  <c r="AH3" i="4" s="1"/>
  <c r="L4" i="3"/>
  <c r="AC3" i="4" s="1"/>
  <c r="AE3" i="4" s="1"/>
  <c r="K4" i="3"/>
  <c r="Z3" i="4" s="1"/>
  <c r="AB3" i="4" s="1"/>
  <c r="J4" i="3"/>
  <c r="W3" i="4" s="1"/>
  <c r="Y3" i="4" s="1"/>
  <c r="I4" i="3"/>
  <c r="T3" i="4" s="1"/>
  <c r="H4" i="3"/>
  <c r="Q3" i="4" s="1"/>
  <c r="G4" i="3"/>
  <c r="N3" i="4" s="1"/>
  <c r="F4" i="3"/>
  <c r="K3" i="4" s="1"/>
  <c r="M3" i="4" s="1"/>
  <c r="E4" i="3"/>
  <c r="D4" i="3"/>
  <c r="E3" i="4" s="1"/>
  <c r="C4" i="3"/>
  <c r="B3" i="4" s="1"/>
  <c r="N3" i="3"/>
  <c r="N28" i="3" s="1"/>
  <c r="M3" i="3"/>
  <c r="M28" i="3" s="1"/>
  <c r="L3" i="3"/>
  <c r="L28" i="3" s="1"/>
  <c r="K3" i="3"/>
  <c r="Z2" i="4" s="1"/>
  <c r="J3" i="3"/>
  <c r="I3" i="3"/>
  <c r="H3" i="3"/>
  <c r="H28" i="3" s="1"/>
  <c r="G3" i="3"/>
  <c r="G28" i="3" s="1"/>
  <c r="F3" i="3"/>
  <c r="K2" i="4" s="1"/>
  <c r="M2" i="4" s="1"/>
  <c r="E3" i="3"/>
  <c r="H2" i="4" s="1"/>
  <c r="J2" i="4" s="1"/>
  <c r="D3" i="3"/>
  <c r="E2" i="4" s="1"/>
  <c r="C3" i="3"/>
  <c r="C35" i="1"/>
  <c r="B5" i="1"/>
  <c r="L2" i="3" s="1"/>
  <c r="E13" i="5" l="1"/>
  <c r="D5" i="4"/>
  <c r="E6" i="5"/>
  <c r="E7" i="5"/>
  <c r="G3" i="4"/>
  <c r="I28" i="3"/>
  <c r="J28" i="3"/>
  <c r="J29" i="3" s="1"/>
  <c r="G2" i="4"/>
  <c r="Q2" i="4"/>
  <c r="C2" i="3"/>
  <c r="B2" i="5" s="1"/>
  <c r="D2" i="5" s="1"/>
  <c r="D2" i="3"/>
  <c r="B3" i="5" s="1"/>
  <c r="D3" i="5" s="1"/>
  <c r="W2" i="4"/>
  <c r="C36" i="1"/>
  <c r="H2" i="3"/>
  <c r="B7" i="5" s="1"/>
  <c r="D7" i="5" s="1"/>
  <c r="J2" i="3"/>
  <c r="B9" i="5" s="1"/>
  <c r="D9" i="5" s="1"/>
  <c r="E2" i="3"/>
  <c r="K2" i="3"/>
  <c r="B10" i="5" s="1"/>
  <c r="D10" i="5" s="1"/>
  <c r="AC2" i="4"/>
  <c r="AE2" i="4" s="1"/>
  <c r="E28" i="3"/>
  <c r="E29" i="3" s="1"/>
  <c r="J6" i="4"/>
  <c r="J8" i="4"/>
  <c r="J10" i="4"/>
  <c r="J12" i="4"/>
  <c r="J14" i="4"/>
  <c r="J17" i="4"/>
  <c r="F2" i="3"/>
  <c r="B5" i="5" s="1"/>
  <c r="D5" i="5" s="1"/>
  <c r="P4" i="4"/>
  <c r="P5" i="4"/>
  <c r="P6" i="4"/>
  <c r="P7" i="4"/>
  <c r="P8" i="4"/>
  <c r="P9" i="4"/>
  <c r="P10" i="4"/>
  <c r="G2" i="3"/>
  <c r="B6" i="5" s="1"/>
  <c r="D6" i="5" s="1"/>
  <c r="N2" i="4"/>
  <c r="P2" i="4" s="1"/>
  <c r="AB2" i="4"/>
  <c r="M5" i="4"/>
  <c r="M7" i="4"/>
  <c r="M10" i="4"/>
  <c r="M12" i="4"/>
  <c r="M14" i="4"/>
  <c r="M16" i="4"/>
  <c r="M18" i="4"/>
  <c r="M19" i="4"/>
  <c r="M21" i="4"/>
  <c r="M22" i="4"/>
  <c r="M23" i="4"/>
  <c r="M25" i="4"/>
  <c r="M26" i="4"/>
  <c r="S3" i="4"/>
  <c r="M4" i="4"/>
  <c r="M6" i="4"/>
  <c r="M8" i="4"/>
  <c r="M9" i="4"/>
  <c r="M11" i="4"/>
  <c r="M13" i="4"/>
  <c r="M15" i="4"/>
  <c r="M17" i="4"/>
  <c r="M20" i="4"/>
  <c r="M24" i="4"/>
  <c r="I2" i="3"/>
  <c r="B8" i="5" s="1"/>
  <c r="D8" i="5" s="1"/>
  <c r="AM3" i="4"/>
  <c r="J5" i="4"/>
  <c r="J7" i="4"/>
  <c r="J9" i="4"/>
  <c r="J11" i="4"/>
  <c r="J13" i="4"/>
  <c r="J15" i="4"/>
  <c r="J16" i="4"/>
  <c r="J18" i="4"/>
  <c r="J19" i="4"/>
  <c r="J20" i="4"/>
  <c r="J21" i="4"/>
  <c r="J22" i="4"/>
  <c r="J23" i="4"/>
  <c r="J24" i="4"/>
  <c r="J25" i="4"/>
  <c r="J26" i="4"/>
  <c r="AM4" i="4"/>
  <c r="M2" i="3"/>
  <c r="B12" i="5" s="1"/>
  <c r="D12" i="5" s="1"/>
  <c r="N2" i="3"/>
  <c r="B13" i="5" s="1"/>
  <c r="D13" i="5" s="1"/>
  <c r="Y2" i="4"/>
  <c r="AM5" i="4"/>
  <c r="AM6" i="4"/>
  <c r="AM7" i="4"/>
  <c r="AM8" i="4"/>
  <c r="AM9" i="4"/>
  <c r="AM10" i="4"/>
  <c r="AM11" i="4"/>
  <c r="AM12" i="4"/>
  <c r="AM13" i="4"/>
  <c r="AM14" i="4"/>
  <c r="AM15" i="4"/>
  <c r="AM16" i="4"/>
  <c r="AM17" i="4"/>
  <c r="AM18" i="4"/>
  <c r="AM19" i="4"/>
  <c r="AM20" i="4"/>
  <c r="AM21" i="4"/>
  <c r="AM22" i="4"/>
  <c r="AM23" i="4"/>
  <c r="AM24" i="4"/>
  <c r="AM25" i="4"/>
  <c r="AM26" i="4"/>
  <c r="V3" i="4"/>
  <c r="O3" i="3"/>
  <c r="O7" i="3"/>
  <c r="O15" i="3"/>
  <c r="O19" i="3"/>
  <c r="O27" i="3"/>
  <c r="B2" i="4"/>
  <c r="E5" i="5"/>
  <c r="B11" i="5"/>
  <c r="D11" i="5" s="1"/>
  <c r="L29" i="3"/>
  <c r="D3" i="4"/>
  <c r="AL4" i="4"/>
  <c r="AN4" i="4" s="1"/>
  <c r="D4" i="4"/>
  <c r="AL10" i="4"/>
  <c r="D10" i="4"/>
  <c r="AL22" i="4"/>
  <c r="D22" i="4"/>
  <c r="O4" i="3"/>
  <c r="D15" i="4"/>
  <c r="AL15" i="4"/>
  <c r="O16" i="3"/>
  <c r="C28" i="3"/>
  <c r="O5" i="3"/>
  <c r="AL16" i="4"/>
  <c r="AN16" i="4" s="1"/>
  <c r="O17" i="3"/>
  <c r="D28" i="3"/>
  <c r="D29" i="3" s="1"/>
  <c r="D16" i="4"/>
  <c r="B4" i="5"/>
  <c r="D4" i="5" s="1"/>
  <c r="O6" i="3"/>
  <c r="O18" i="3"/>
  <c r="E9" i="5"/>
  <c r="E11" i="5"/>
  <c r="D7" i="4"/>
  <c r="AL7" i="4"/>
  <c r="O20" i="3"/>
  <c r="B6" i="4"/>
  <c r="B18" i="4"/>
  <c r="F28" i="3"/>
  <c r="F29" i="3" s="1"/>
  <c r="D2" i="4"/>
  <c r="S2" i="4"/>
  <c r="O8" i="3"/>
  <c r="D19" i="4"/>
  <c r="AL19" i="4"/>
  <c r="T2" i="4"/>
  <c r="V2" i="4" s="1"/>
  <c r="E4" i="5"/>
  <c r="E12" i="5"/>
  <c r="AF2" i="4"/>
  <c r="AH2" i="4" s="1"/>
  <c r="AL8" i="4"/>
  <c r="AN8" i="4" s="1"/>
  <c r="O9" i="3"/>
  <c r="AL20" i="4"/>
  <c r="AN20" i="4" s="1"/>
  <c r="O21" i="3"/>
  <c r="G29" i="3"/>
  <c r="AL9" i="4"/>
  <c r="AN9" i="4" s="1"/>
  <c r="O10" i="3"/>
  <c r="AL21" i="4"/>
  <c r="O22" i="3"/>
  <c r="H29" i="3"/>
  <c r="P3" i="4"/>
  <c r="H3" i="4"/>
  <c r="J3" i="4" s="1"/>
  <c r="O11" i="3"/>
  <c r="O23" i="3"/>
  <c r="AI2" i="4"/>
  <c r="AK2" i="4" s="1"/>
  <c r="E10" i="5"/>
  <c r="D11" i="4"/>
  <c r="AL11" i="4"/>
  <c r="O12" i="3"/>
  <c r="D23" i="4"/>
  <c r="AL23" i="4"/>
  <c r="O24" i="3"/>
  <c r="K28" i="3"/>
  <c r="K29" i="3" s="1"/>
  <c r="B14" i="4"/>
  <c r="B26" i="4"/>
  <c r="D8" i="4"/>
  <c r="D20" i="4"/>
  <c r="AL12" i="4"/>
  <c r="AN12" i="4" s="1"/>
  <c r="O13" i="3"/>
  <c r="AL24" i="4"/>
  <c r="AN24" i="4" s="1"/>
  <c r="O14" i="3"/>
  <c r="AL5" i="4"/>
  <c r="AN5" i="4" s="1"/>
  <c r="AL17" i="4"/>
  <c r="AN17" i="4" s="1"/>
  <c r="O25" i="3"/>
  <c r="AL13" i="4"/>
  <c r="AN13" i="4" s="1"/>
  <c r="AL25" i="4"/>
  <c r="AN25" i="4" s="1"/>
  <c r="O26" i="3"/>
  <c r="M29" i="3"/>
  <c r="D9" i="4"/>
  <c r="D21" i="4"/>
  <c r="E2" i="5"/>
  <c r="C29" i="3" l="1"/>
  <c r="O2" i="3"/>
  <c r="I29" i="3"/>
  <c r="N29" i="3"/>
  <c r="AN22" i="4"/>
  <c r="AN10" i="4"/>
  <c r="AN7" i="4"/>
  <c r="AL2" i="4"/>
  <c r="AN2" i="4" s="1"/>
  <c r="AN23" i="4"/>
  <c r="AN21" i="4"/>
  <c r="AN19" i="4"/>
  <c r="AN11" i="4"/>
  <c r="AN15" i="4"/>
  <c r="D14" i="4"/>
  <c r="AL14" i="4"/>
  <c r="AN14" i="4" s="1"/>
  <c r="O28" i="3"/>
  <c r="AL3" i="4"/>
  <c r="AN3" i="4" s="1"/>
  <c r="D26" i="4"/>
  <c r="AL26" i="4"/>
  <c r="AN26" i="4" s="1"/>
  <c r="D18" i="4"/>
  <c r="AL18" i="4"/>
  <c r="AN18" i="4" s="1"/>
  <c r="D6" i="4"/>
  <c r="AL6" i="4"/>
  <c r="AN6" i="4" s="1"/>
</calcChain>
</file>

<file path=xl/sharedStrings.xml><?xml version="1.0" encoding="utf-8"?>
<sst xmlns="http://schemas.openxmlformats.org/spreadsheetml/2006/main" count="1084" uniqueCount="160">
  <si>
    <t>Label</t>
  </si>
  <si>
    <t>Value</t>
  </si>
  <si>
    <t>Primary Salary (monthly net)</t>
  </si>
  <si>
    <t>Side Income</t>
  </si>
  <si>
    <t>Other Income</t>
  </si>
  <si>
    <t>Total Monthly Income</t>
  </si>
  <si>
    <t>Budget Categories</t>
  </si>
  <si>
    <t>Category</t>
  </si>
  <si>
    <t>Group</t>
  </si>
  <si>
    <t>Default Plan</t>
  </si>
  <si>
    <t>Rent/Mortgage</t>
  </si>
  <si>
    <t>Housing</t>
  </si>
  <si>
    <t>Renters Insurance</t>
  </si>
  <si>
    <t>Utilities</t>
  </si>
  <si>
    <t>Internet</t>
  </si>
  <si>
    <t>Car Payment</t>
  </si>
  <si>
    <t>Transport</t>
  </si>
  <si>
    <t>Gas</t>
  </si>
  <si>
    <t>Auto Insurance</t>
  </si>
  <si>
    <t>Maintenance</t>
  </si>
  <si>
    <t>Parking</t>
  </si>
  <si>
    <t>Groceries</t>
  </si>
  <si>
    <t>Food</t>
  </si>
  <si>
    <t>Dining Out</t>
  </si>
  <si>
    <t>Coffee</t>
  </si>
  <si>
    <t>Clothing</t>
  </si>
  <si>
    <t>Personal</t>
  </si>
  <si>
    <t>Haircuts</t>
  </si>
  <si>
    <t>Subscriptions</t>
  </si>
  <si>
    <t>Entertainment</t>
  </si>
  <si>
    <t>Gifts</t>
  </si>
  <si>
    <t>Health Insurance</t>
  </si>
  <si>
    <t>Health</t>
  </si>
  <si>
    <t>Gym</t>
  </si>
  <si>
    <t>Prescriptions</t>
  </si>
  <si>
    <t>Emergency Fund</t>
  </si>
  <si>
    <t>Savings</t>
  </si>
  <si>
    <t>Retirement Extra</t>
  </si>
  <si>
    <t>Vacation Fund</t>
  </si>
  <si>
    <t>Student Loan</t>
  </si>
  <si>
    <t>Debt</t>
  </si>
  <si>
    <t>Credit Card Extra</t>
  </si>
  <si>
    <t>Total Planned</t>
  </si>
  <si>
    <t>Remainder (should be $0)</t>
  </si>
  <si>
    <t>Date</t>
  </si>
  <si>
    <t>Payee</t>
  </si>
  <si>
    <t>Amount</t>
  </si>
  <si>
    <t>Payment Method</t>
  </si>
  <si>
    <t>Notes</t>
  </si>
  <si>
    <t>Landlord LLC</t>
  </si>
  <si>
    <t>Debit</t>
  </si>
  <si>
    <t>Lemonade</t>
  </si>
  <si>
    <t>Xfinity</t>
  </si>
  <si>
    <t>Honda Finance</t>
  </si>
  <si>
    <t>Geico</t>
  </si>
  <si>
    <t>Blue Cross</t>
  </si>
  <si>
    <t>Planet Fitness</t>
  </si>
  <si>
    <t>Navient</t>
  </si>
  <si>
    <t>Chase Visa Extra</t>
  </si>
  <si>
    <t>Transfer</t>
  </si>
  <si>
    <t>Transfer to Savings</t>
  </si>
  <si>
    <t>Vanguard Transfer</t>
  </si>
  <si>
    <t>Transfer to Vacation</t>
  </si>
  <si>
    <t>City Power</t>
  </si>
  <si>
    <t>Chevron</t>
  </si>
  <si>
    <t>Aldi</t>
  </si>
  <si>
    <t>Credit</t>
  </si>
  <si>
    <t>Pizza Hut</t>
  </si>
  <si>
    <t>Starbucks</t>
  </si>
  <si>
    <t>Local Roast</t>
  </si>
  <si>
    <t>Cash</t>
  </si>
  <si>
    <t>ParkMobile</t>
  </si>
  <si>
    <t>CVS</t>
  </si>
  <si>
    <t>Steam</t>
  </si>
  <si>
    <t>Water Dept</t>
  </si>
  <si>
    <t>Costco Gas</t>
  </si>
  <si>
    <t>Local Bistro</t>
  </si>
  <si>
    <t>Chipotle</t>
  </si>
  <si>
    <t>City Garage</t>
  </si>
  <si>
    <t>Walgreens</t>
  </si>
  <si>
    <t>Amazon</t>
  </si>
  <si>
    <t>Shell</t>
  </si>
  <si>
    <t>Kroger</t>
  </si>
  <si>
    <t>Target</t>
  </si>
  <si>
    <t>Thai Place</t>
  </si>
  <si>
    <t>Bowling Alley</t>
  </si>
  <si>
    <t>Great Clips</t>
  </si>
  <si>
    <t>Trader Joes</t>
  </si>
  <si>
    <t>Discount Tire</t>
  </si>
  <si>
    <t>Costco</t>
  </si>
  <si>
    <t>Etsy</t>
  </si>
  <si>
    <t>Jan</t>
  </si>
  <si>
    <t>Feb</t>
  </si>
  <si>
    <t>Mar</t>
  </si>
  <si>
    <t>Apr</t>
  </si>
  <si>
    <t>May</t>
  </si>
  <si>
    <t>Jun</t>
  </si>
  <si>
    <t>Jul</t>
  </si>
  <si>
    <t>Aug</t>
  </si>
  <si>
    <t>Sep</t>
  </si>
  <si>
    <t>Oct</t>
  </si>
  <si>
    <t>Nov</t>
  </si>
  <si>
    <t>Dec</t>
  </si>
  <si>
    <t>Annual</t>
  </si>
  <si>
    <t>Monthly Income</t>
  </si>
  <si>
    <t>Remainder</t>
  </si>
  <si>
    <t>Jan Plan</t>
  </si>
  <si>
    <t>Jan Actual</t>
  </si>
  <si>
    <t>Jan Var</t>
  </si>
  <si>
    <t>Feb Plan</t>
  </si>
  <si>
    <t>Feb Actual</t>
  </si>
  <si>
    <t>Feb Var</t>
  </si>
  <si>
    <t>Mar Plan</t>
  </si>
  <si>
    <t>Mar Actual</t>
  </si>
  <si>
    <t>Mar Var</t>
  </si>
  <si>
    <t>Apr Plan</t>
  </si>
  <si>
    <t>Apr Actual</t>
  </si>
  <si>
    <t>Apr Var</t>
  </si>
  <si>
    <t>May Plan</t>
  </si>
  <si>
    <t>May Actual</t>
  </si>
  <si>
    <t>May Var</t>
  </si>
  <si>
    <t>Jun Plan</t>
  </si>
  <si>
    <t>Jun Actual</t>
  </si>
  <si>
    <t>Jun Var</t>
  </si>
  <si>
    <t>Jul Plan</t>
  </si>
  <si>
    <t>Jul Actual</t>
  </si>
  <si>
    <t>Jul Var</t>
  </si>
  <si>
    <t>Aug Plan</t>
  </si>
  <si>
    <t>Aug Actual</t>
  </si>
  <si>
    <t>Aug Var</t>
  </si>
  <si>
    <t>Sep Plan</t>
  </si>
  <si>
    <t>Sep Actual</t>
  </si>
  <si>
    <t>Sep Var</t>
  </si>
  <si>
    <t>Oct Plan</t>
  </si>
  <si>
    <t>Oct Actual</t>
  </si>
  <si>
    <t>Oct Var</t>
  </si>
  <si>
    <t>Nov Plan</t>
  </si>
  <si>
    <t>Nov Actual</t>
  </si>
  <si>
    <t>Nov Var</t>
  </si>
  <si>
    <t>Dec Plan</t>
  </si>
  <si>
    <t>Dec Actual</t>
  </si>
  <si>
    <t>Dec Var</t>
  </si>
  <si>
    <t>Annual Plan</t>
  </si>
  <si>
    <t>Annual Actual</t>
  </si>
  <si>
    <t>Annual Var</t>
  </si>
  <si>
    <t>Month</t>
  </si>
  <si>
    <t>Total Income</t>
  </si>
  <si>
    <t>Total Spent</t>
  </si>
  <si>
    <t>Surplus / Deficit</t>
  </si>
  <si>
    <t>Rolling 3-Mo Avg Spend</t>
  </si>
  <si>
    <t>Top 6 Categories by Annual Spend</t>
  </si>
  <si>
    <t>Sample data covers January through December 2025.</t>
  </si>
  <si>
    <t>All transactions and amounts are fictional.</t>
  </si>
  <si>
    <t>Start on the Setup sheet to set income and category targets.</t>
  </si>
  <si>
    <t>Log spending in the Transactions sheet as it happens.</t>
  </si>
  <si>
    <t>The Monthly Plan defaults pull from Setup but you can override any month.</t>
  </si>
  <si>
    <t>Do not insert or delete rows inside the transaction range.</t>
  </si>
  <si>
    <t>Formulas reference cell positions so keep the structure intact.</t>
  </si>
  <si>
    <t>This is not financial advice. Talk to a professional about your situation.</t>
  </si>
  <si>
    <t>Additional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</si>
</sst>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6" formatCode="&quot;$&quot;#,##0.00"/>
  </numFmts>
  <fonts count="9" x14ac:knownFonts="1">
    <font>
      <sz val="11"/>
      <color theme="1"/>
      <name val="Calibri"/>
      <family val="2"/>
      <scheme val="minor"/>
    </font>
    <font>
      <sz val="11"/>
      <color theme="1"/>
      <name val="Calibri"/>
      <family val="2"/>
      <scheme val="minor"/>
    </font>
    <font>
      <b/>
      <sz val="11"/>
      <color rgb="FFF5F0E8"/>
      <name val="Arial"/>
      <family val="2"/>
    </font>
    <font>
      <sz val="11"/>
      <color rgb="FF3E3028"/>
      <name val="Arial"/>
      <family val="2"/>
    </font>
    <font>
      <b/>
      <sz val="11"/>
      <color rgb="FF3E3028"/>
      <name val="Arial"/>
      <family val="2"/>
    </font>
    <font>
      <b/>
      <sz val="12"/>
      <color rgb="FF3E3028"/>
      <name val="Arial"/>
      <family val="2"/>
    </font>
    <font>
      <sz val="11"/>
      <color rgb="FF000000"/>
      <name val="Arial"/>
      <family val="2"/>
    </font>
    <font>
      <b/>
      <sz val="11"/>
      <color rgb="FF000000"/>
      <name val="Arial"/>
      <family val="2"/>
    </font>
    <font>
      <i/>
      <sz val="11"/>
      <color rgb="FF000000"/>
      <name val="Arial"/>
      <family val="2"/>
    </font>
  </fonts>
  <fills count="6">
    <fill>
      <patternFill patternType="none"/>
    </fill>
    <fill>
      <patternFill patternType="gray125"/>
    </fill>
    <fill>
      <patternFill patternType="solid">
        <fgColor rgb="FF8C7B6B"/>
      </patternFill>
    </fill>
    <fill>
      <patternFill patternType="solid">
        <fgColor rgb="FFEDE6DA"/>
      </patternFill>
    </fill>
    <fill>
      <patternFill patternType="solid">
        <fgColor rgb="FF3E3028"/>
      </patternFill>
    </fill>
    <fill>
      <patternFill patternType="solid">
        <fgColor theme="1"/>
        <bgColor indexed="64"/>
      </patternFill>
    </fill>
  </fills>
  <borders count="4">
    <border>
      <left/>
      <right/>
      <top/>
      <bottom/>
      <diagonal/>
    </border>
    <border>
      <left/>
      <right/>
      <top/>
      <bottom style="thin">
        <color rgb="FFC4BAB0"/>
      </bottom>
      <diagonal/>
    </border>
    <border>
      <left/>
      <right/>
      <top style="thin">
        <color rgb="FF8C7B6B"/>
      </top>
      <bottom style="double">
        <color rgb="FF8C7B6B"/>
      </bottom>
      <diagonal/>
    </border>
    <border>
      <left/>
      <right style="hair">
        <color rgb="FFC4BAB0"/>
      </right>
      <top/>
      <bottom style="hair">
        <color rgb="FFC4BAB0"/>
      </bottom>
      <diagonal/>
    </border>
  </borders>
  <cellStyleXfs count="1">
    <xf numFmtId="0" fontId="0" fillId="0" borderId="0"/>
  </cellStyleXfs>
  <cellXfs count="20">
    <xf numFmtId="0" fontId="0" fillId="0" borderId="0" xfId="0"/>
    <xf numFmtId="0" fontId="1" fillId="0" borderId="0" xfId="0" applyFont="1" applyAlignment="1">
      <alignment vertical="center"/>
    </xf>
    <xf numFmtId="0" fontId="2" fillId="2" borderId="1" xfId="0" applyFont="1" applyFill="1" applyBorder="1" applyAlignment="1">
      <alignment vertical="center"/>
    </xf>
    <xf numFmtId="0" fontId="3" fillId="0" borderId="0" xfId="0" applyFont="1" applyAlignment="1">
      <alignment vertical="center"/>
    </xf>
    <xf numFmtId="164" fontId="3" fillId="3" borderId="0" xfId="0" applyNumberFormat="1" applyFont="1" applyFill="1" applyAlignment="1">
      <alignment vertical="center"/>
    </xf>
    <xf numFmtId="0" fontId="4" fillId="0" borderId="0" xfId="0" applyFont="1" applyAlignment="1">
      <alignment vertical="center"/>
    </xf>
    <xf numFmtId="164" fontId="4" fillId="0" borderId="2" xfId="0" applyNumberFormat="1" applyFont="1" applyBorder="1" applyAlignment="1">
      <alignment vertical="center"/>
    </xf>
    <xf numFmtId="164" fontId="4" fillId="0" borderId="0" xfId="0" applyNumberFormat="1" applyFont="1" applyAlignment="1">
      <alignment vertical="center"/>
    </xf>
    <xf numFmtId="14" fontId="3" fillId="0" borderId="0" xfId="0" applyNumberFormat="1" applyFont="1" applyAlignment="1">
      <alignment vertical="center"/>
    </xf>
    <xf numFmtId="166" fontId="3" fillId="0" borderId="0" xfId="0" applyNumberFormat="1" applyFont="1" applyAlignment="1">
      <alignment vertical="center"/>
    </xf>
    <xf numFmtId="0" fontId="2" fillId="2" borderId="1" xfId="0" applyFont="1" applyFill="1" applyBorder="1" applyAlignment="1">
      <alignment horizontal="center" vertical="center"/>
    </xf>
    <xf numFmtId="164" fontId="3" fillId="3" borderId="3" xfId="0" applyNumberFormat="1" applyFont="1" applyFill="1" applyBorder="1" applyAlignment="1">
      <alignment vertical="center"/>
    </xf>
    <xf numFmtId="164" fontId="3" fillId="0" borderId="0" xfId="0" applyNumberFormat="1" applyFont="1" applyAlignment="1">
      <alignment vertical="center"/>
    </xf>
    <xf numFmtId="0" fontId="2" fillId="4" borderId="1" xfId="0" applyFont="1" applyFill="1" applyBorder="1" applyAlignment="1">
      <alignment horizontal="center" vertical="center"/>
    </xf>
    <xf numFmtId="164" fontId="3" fillId="0" borderId="3" xfId="0" applyNumberFormat="1"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2" fillId="5" borderId="1" xfId="0" applyFont="1" applyFill="1" applyBorder="1" applyAlignment="1">
      <alignment vertical="center"/>
    </xf>
  </cellXfs>
  <cellStyles count="1">
    <cellStyle name="Normal" xfId="0" builtinId="0"/>
  </cellStyles>
  <dxfs count="30">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C8D8B0"/>
        </patternFill>
      </fill>
    </dxf>
    <dxf>
      <fill>
        <patternFill patternType="solid">
          <fgColor rgb="FFE8C88A"/>
        </patternFill>
      </fill>
    </dxf>
    <dxf>
      <fill>
        <patternFill patternType="solid">
          <fgColor rgb="FFA3B18A"/>
        </patternFill>
      </fill>
    </dxf>
    <dxf>
      <fill>
        <patternFill patternType="solid">
          <fgColor rgb="FFC9625E"/>
        </patternFill>
      </fill>
    </dxf>
    <dxf>
      <fill>
        <patternFill patternType="solid">
          <fgColor rgb="FFA3B18A"/>
        </patternFill>
      </fill>
    </dxf>
    <dxf>
      <fill>
        <patternFill patternType="solid">
          <fgColor rgb="FFC9625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vs Spending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Trends!$B$1</c:f>
              <c:strCache>
                <c:ptCount val="1"/>
                <c:pt idx="0">
                  <c:v>Total Income</c:v>
                </c:pt>
              </c:strCache>
            </c:strRef>
          </c:tx>
          <c:spPr>
            <a:ln w="28575" cap="rnd">
              <a:solidFill>
                <a:schemeClr val="accent1"/>
              </a:solidFill>
              <a:round/>
            </a:ln>
            <a:effectLst/>
          </c:spPr>
          <c:marker>
            <c:symbol val="none"/>
          </c:marker>
          <c:cat>
            <c:strRef>
              <c:f>Trends!$A$2:$A$13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Trends!$B$2:$B$13</c:f>
              <c:numCache>
                <c:formatCode>"$"#,##0</c:formatCode>
                <c:ptCount val="12"/>
                <c:pt idx="0">
                  <c:v>5950</c:v>
                </c:pt>
                <c:pt idx="1">
                  <c:v>5950</c:v>
                </c:pt>
                <c:pt idx="2">
                  <c:v>5950</c:v>
                </c:pt>
                <c:pt idx="3">
                  <c:v>5950</c:v>
                </c:pt>
                <c:pt idx="4">
                  <c:v>5950</c:v>
                </c:pt>
                <c:pt idx="5">
                  <c:v>5950</c:v>
                </c:pt>
                <c:pt idx="6">
                  <c:v>5950</c:v>
                </c:pt>
                <c:pt idx="7">
                  <c:v>5950</c:v>
                </c:pt>
                <c:pt idx="8">
                  <c:v>5950</c:v>
                </c:pt>
                <c:pt idx="9">
                  <c:v>5950</c:v>
                </c:pt>
                <c:pt idx="10">
                  <c:v>5950</c:v>
                </c:pt>
                <c:pt idx="11">
                  <c:v>5950</c:v>
                </c:pt>
              </c:numCache>
            </c:numRef>
          </c:val>
          <c:smooth val="0"/>
          <c:extLst>
            <c:ext xmlns:c16="http://schemas.microsoft.com/office/drawing/2014/chart" uri="{C3380CC4-5D6E-409C-BE32-E72D297353CC}">
              <c16:uniqueId val="{00000000-DE46-4FCE-A819-2BB556EC8E41}"/>
            </c:ext>
          </c:extLst>
        </c:ser>
        <c:ser>
          <c:idx val="1"/>
          <c:order val="1"/>
          <c:tx>
            <c:strRef>
              <c:f>Trends!$C$1</c:f>
              <c:strCache>
                <c:ptCount val="1"/>
                <c:pt idx="0">
                  <c:v>Total Spent</c:v>
                </c:pt>
              </c:strCache>
            </c:strRef>
          </c:tx>
          <c:spPr>
            <a:ln w="28575" cap="rnd">
              <a:solidFill>
                <a:schemeClr val="accent2"/>
              </a:solidFill>
              <a:round/>
            </a:ln>
            <a:effectLst/>
          </c:spPr>
          <c:marker>
            <c:symbol val="none"/>
          </c:marker>
          <c:cat>
            <c:strRef>
              <c:f>Trends!$A$2:$A$13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Trends!$C$2:$C$13</c:f>
              <c:numCache>
                <c:formatCode>"$"#,##0</c:formatCode>
                <c:ptCount val="12"/>
                <c:pt idx="0">
                  <c:v>3999.48</c:v>
                </c:pt>
                <c:pt idx="1">
                  <c:v>3999.19</c:v>
                </c:pt>
                <c:pt idx="2">
                  <c:v>4242.1899999999996</c:v>
                </c:pt>
                <c:pt idx="3">
                  <c:v>4008.3799999999997</c:v>
                </c:pt>
                <c:pt idx="4">
                  <c:v>4036.42</c:v>
                </c:pt>
                <c:pt idx="5">
                  <c:v>4236.84</c:v>
                </c:pt>
                <c:pt idx="6">
                  <c:v>4256.6799999999994</c:v>
                </c:pt>
                <c:pt idx="7">
                  <c:v>4080.93</c:v>
                </c:pt>
                <c:pt idx="8">
                  <c:v>4157.6499999999996</c:v>
                </c:pt>
                <c:pt idx="9">
                  <c:v>4049.7199999999993</c:v>
                </c:pt>
                <c:pt idx="10">
                  <c:v>4047.9799999999996</c:v>
                </c:pt>
                <c:pt idx="11">
                  <c:v>4172.1600000000008</c:v>
                </c:pt>
              </c:numCache>
            </c:numRef>
          </c:val>
          <c:smooth val="0"/>
          <c:extLst>
            <c:ext xmlns:c16="http://schemas.microsoft.com/office/drawing/2014/chart" uri="{C3380CC4-5D6E-409C-BE32-E72D297353CC}">
              <c16:uniqueId val="{00000001-DE46-4FCE-A819-2BB556EC8E41}"/>
            </c:ext>
          </c:extLst>
        </c:ser>
        <c:dLbls>
          <c:showLegendKey val="0"/>
          <c:showVal val="0"/>
          <c:showCatName val="0"/>
          <c:showSerName val="0"/>
          <c:showPercent val="0"/>
          <c:showBubbleSize val="0"/>
        </c:dLbls>
        <c:smooth val="0"/>
        <c:axId val="1200565040"/>
        <c:axId val="1200565520"/>
      </c:lineChart>
      <c:catAx>
        <c:axId val="12005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65520"/>
        <c:crosses val="autoZero"/>
        <c:auto val="1"/>
        <c:lblAlgn val="ctr"/>
        <c:lblOffset val="100"/>
        <c:noMultiLvlLbl val="0"/>
      </c:catAx>
      <c:valAx>
        <c:axId val="1200565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6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 Categories by Annual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Trends!$A$20</c:f>
              <c:strCache>
                <c:ptCount val="1"/>
                <c:pt idx="0">
                  <c:v>Rent/Mortgage</c:v>
                </c:pt>
              </c:strCache>
            </c:strRef>
          </c:tx>
          <c:spPr>
            <a:solidFill>
              <a:schemeClr val="accent1"/>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Trends!$B$20:$M$20</c:f>
              <c:numCache>
                <c:formatCode>"$"#,##0</c:formatCode>
                <c:ptCount val="12"/>
                <c:pt idx="0">
                  <c:v>1550</c:v>
                </c:pt>
                <c:pt idx="1">
                  <c:v>1550</c:v>
                </c:pt>
                <c:pt idx="2">
                  <c:v>1550</c:v>
                </c:pt>
                <c:pt idx="3">
                  <c:v>1550</c:v>
                </c:pt>
                <c:pt idx="4">
                  <c:v>1550</c:v>
                </c:pt>
                <c:pt idx="5">
                  <c:v>1550</c:v>
                </c:pt>
                <c:pt idx="6">
                  <c:v>1550</c:v>
                </c:pt>
                <c:pt idx="7">
                  <c:v>1550</c:v>
                </c:pt>
                <c:pt idx="8">
                  <c:v>1550</c:v>
                </c:pt>
                <c:pt idx="9">
                  <c:v>1550</c:v>
                </c:pt>
                <c:pt idx="10">
                  <c:v>1550</c:v>
                </c:pt>
                <c:pt idx="11">
                  <c:v>1550</c:v>
                </c:pt>
              </c:numCache>
            </c:numRef>
          </c:val>
          <c:extLst>
            <c:ext xmlns:c16="http://schemas.microsoft.com/office/drawing/2014/chart" uri="{C3380CC4-5D6E-409C-BE32-E72D297353CC}">
              <c16:uniqueId val="{00000000-82BC-47E7-9598-C786909F9D3D}"/>
            </c:ext>
          </c:extLst>
        </c:ser>
        <c:ser>
          <c:idx val="1"/>
          <c:order val="1"/>
          <c:tx>
            <c:strRef>
              <c:f>Trends!$A$21</c:f>
              <c:strCache>
                <c:ptCount val="1"/>
                <c:pt idx="0">
                  <c:v>Groceries</c:v>
                </c:pt>
              </c:strCache>
            </c:strRef>
          </c:tx>
          <c:spPr>
            <a:solidFill>
              <a:schemeClr val="accent2"/>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Trends!$B$21:$M$21</c:f>
              <c:numCache>
                <c:formatCode>"$"#,##0</c:formatCode>
                <c:ptCount val="12"/>
                <c:pt idx="0">
                  <c:v>94.09</c:v>
                </c:pt>
                <c:pt idx="1">
                  <c:v>119.88</c:v>
                </c:pt>
                <c:pt idx="2">
                  <c:v>356.78999999999996</c:v>
                </c:pt>
                <c:pt idx="3">
                  <c:v>96.65</c:v>
                </c:pt>
                <c:pt idx="4">
                  <c:v>110.24</c:v>
                </c:pt>
                <c:pt idx="5">
                  <c:v>377.28000000000003</c:v>
                </c:pt>
                <c:pt idx="6">
                  <c:v>340.97</c:v>
                </c:pt>
                <c:pt idx="7">
                  <c:v>122.06</c:v>
                </c:pt>
                <c:pt idx="8">
                  <c:v>361.88</c:v>
                </c:pt>
                <c:pt idx="9">
                  <c:v>94.08</c:v>
                </c:pt>
                <c:pt idx="10">
                  <c:v>225.55</c:v>
                </c:pt>
                <c:pt idx="11">
                  <c:v>206.13</c:v>
                </c:pt>
              </c:numCache>
            </c:numRef>
          </c:val>
          <c:extLst>
            <c:ext xmlns:c16="http://schemas.microsoft.com/office/drawing/2014/chart" uri="{C3380CC4-5D6E-409C-BE32-E72D297353CC}">
              <c16:uniqueId val="{00000001-82BC-47E7-9598-C786909F9D3D}"/>
            </c:ext>
          </c:extLst>
        </c:ser>
        <c:ser>
          <c:idx val="2"/>
          <c:order val="2"/>
          <c:tx>
            <c:strRef>
              <c:f>Trends!$A$22</c:f>
              <c:strCache>
                <c:ptCount val="1"/>
                <c:pt idx="0">
                  <c:v>Car Payment</c:v>
                </c:pt>
              </c:strCache>
            </c:strRef>
          </c:tx>
          <c:spPr>
            <a:solidFill>
              <a:schemeClr val="accent3"/>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Trends!$B$22:$M$22</c:f>
              <c:numCache>
                <c:formatCode>"$"#,##0</c:formatCode>
                <c:ptCount val="12"/>
                <c:pt idx="0">
                  <c:v>380</c:v>
                </c:pt>
                <c:pt idx="1">
                  <c:v>380</c:v>
                </c:pt>
                <c:pt idx="2">
                  <c:v>380</c:v>
                </c:pt>
                <c:pt idx="3">
                  <c:v>380</c:v>
                </c:pt>
                <c:pt idx="4">
                  <c:v>380</c:v>
                </c:pt>
                <c:pt idx="5">
                  <c:v>380</c:v>
                </c:pt>
                <c:pt idx="6">
                  <c:v>380</c:v>
                </c:pt>
                <c:pt idx="7">
                  <c:v>380</c:v>
                </c:pt>
                <c:pt idx="8">
                  <c:v>380</c:v>
                </c:pt>
                <c:pt idx="9">
                  <c:v>380</c:v>
                </c:pt>
                <c:pt idx="10">
                  <c:v>380</c:v>
                </c:pt>
                <c:pt idx="11">
                  <c:v>380</c:v>
                </c:pt>
              </c:numCache>
            </c:numRef>
          </c:val>
          <c:extLst>
            <c:ext xmlns:c16="http://schemas.microsoft.com/office/drawing/2014/chart" uri="{C3380CC4-5D6E-409C-BE32-E72D297353CC}">
              <c16:uniqueId val="{00000002-82BC-47E7-9598-C786909F9D3D}"/>
            </c:ext>
          </c:extLst>
        </c:ser>
        <c:ser>
          <c:idx val="3"/>
          <c:order val="3"/>
          <c:tx>
            <c:strRef>
              <c:f>Trends!$A$23</c:f>
              <c:strCache>
                <c:ptCount val="1"/>
                <c:pt idx="0">
                  <c:v>Emergency Fund</c:v>
                </c:pt>
              </c:strCache>
            </c:strRef>
          </c:tx>
          <c:spPr>
            <a:solidFill>
              <a:schemeClr val="accent4"/>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Trends!$B$23:$M$23</c:f>
              <c:numCache>
                <c:formatCode>"$"#,##0</c:formatCode>
                <c:ptCount val="12"/>
                <c:pt idx="0">
                  <c:v>300</c:v>
                </c:pt>
                <c:pt idx="1">
                  <c:v>300</c:v>
                </c:pt>
                <c:pt idx="2">
                  <c:v>300</c:v>
                </c:pt>
                <c:pt idx="3">
                  <c:v>300</c:v>
                </c:pt>
                <c:pt idx="4">
                  <c:v>300</c:v>
                </c:pt>
                <c:pt idx="5">
                  <c:v>300</c:v>
                </c:pt>
                <c:pt idx="6">
                  <c:v>300</c:v>
                </c:pt>
                <c:pt idx="7">
                  <c:v>300</c:v>
                </c:pt>
                <c:pt idx="8">
                  <c:v>300</c:v>
                </c:pt>
                <c:pt idx="9">
                  <c:v>300</c:v>
                </c:pt>
                <c:pt idx="10">
                  <c:v>300</c:v>
                </c:pt>
                <c:pt idx="11">
                  <c:v>300</c:v>
                </c:pt>
              </c:numCache>
            </c:numRef>
          </c:val>
          <c:extLst>
            <c:ext xmlns:c16="http://schemas.microsoft.com/office/drawing/2014/chart" uri="{C3380CC4-5D6E-409C-BE32-E72D297353CC}">
              <c16:uniqueId val="{00000003-82BC-47E7-9598-C786909F9D3D}"/>
            </c:ext>
          </c:extLst>
        </c:ser>
        <c:ser>
          <c:idx val="4"/>
          <c:order val="4"/>
          <c:tx>
            <c:strRef>
              <c:f>Trends!$A$24</c:f>
              <c:strCache>
                <c:ptCount val="1"/>
                <c:pt idx="0">
                  <c:v>Student Loan</c:v>
                </c:pt>
              </c:strCache>
            </c:strRef>
          </c:tx>
          <c:spPr>
            <a:solidFill>
              <a:schemeClr val="accent5"/>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Trends!$B$24:$M$24</c:f>
              <c:numCache>
                <c:formatCode>"$"#,##0</c:formatCode>
                <c:ptCount val="12"/>
                <c:pt idx="0">
                  <c:v>280</c:v>
                </c:pt>
                <c:pt idx="1">
                  <c:v>280</c:v>
                </c:pt>
                <c:pt idx="2">
                  <c:v>280</c:v>
                </c:pt>
                <c:pt idx="3">
                  <c:v>280</c:v>
                </c:pt>
                <c:pt idx="4">
                  <c:v>280</c:v>
                </c:pt>
                <c:pt idx="5">
                  <c:v>280</c:v>
                </c:pt>
                <c:pt idx="6">
                  <c:v>280</c:v>
                </c:pt>
                <c:pt idx="7">
                  <c:v>280</c:v>
                </c:pt>
                <c:pt idx="8">
                  <c:v>280</c:v>
                </c:pt>
                <c:pt idx="9">
                  <c:v>280</c:v>
                </c:pt>
                <c:pt idx="10">
                  <c:v>280</c:v>
                </c:pt>
                <c:pt idx="11">
                  <c:v>280</c:v>
                </c:pt>
              </c:numCache>
            </c:numRef>
          </c:val>
          <c:extLst>
            <c:ext xmlns:c16="http://schemas.microsoft.com/office/drawing/2014/chart" uri="{C3380CC4-5D6E-409C-BE32-E72D297353CC}">
              <c16:uniqueId val="{00000004-82BC-47E7-9598-C786909F9D3D}"/>
            </c:ext>
          </c:extLst>
        </c:ser>
        <c:ser>
          <c:idx val="5"/>
          <c:order val="5"/>
          <c:tx>
            <c:strRef>
              <c:f>Trends!$A$25</c:f>
              <c:strCache>
                <c:ptCount val="1"/>
                <c:pt idx="0">
                  <c:v>Health Insurance</c:v>
                </c:pt>
              </c:strCache>
            </c:strRef>
          </c:tx>
          <c:spPr>
            <a:solidFill>
              <a:schemeClr val="accent6"/>
            </a:solidFill>
            <a:ln>
              <a:noFill/>
            </a:ln>
            <a:effectLst/>
          </c:spPr>
          <c:invertIfNegative val="0"/>
          <c:cat>
            <c:strRef>
              <c:f>Trends!$B$19:$M$19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Trends!$B$25:$M$25</c:f>
              <c:numCache>
                <c:formatCode>"$"#,##0</c:formatCode>
                <c:ptCount val="12"/>
                <c:pt idx="0">
                  <c:v>210</c:v>
                </c:pt>
                <c:pt idx="1">
                  <c:v>210</c:v>
                </c:pt>
                <c:pt idx="2">
                  <c:v>210</c:v>
                </c:pt>
                <c:pt idx="3">
                  <c:v>210</c:v>
                </c:pt>
                <c:pt idx="4">
                  <c:v>210</c:v>
                </c:pt>
                <c:pt idx="5">
                  <c:v>210</c:v>
                </c:pt>
                <c:pt idx="6">
                  <c:v>210</c:v>
                </c:pt>
                <c:pt idx="7">
                  <c:v>210</c:v>
                </c:pt>
                <c:pt idx="8">
                  <c:v>210</c:v>
                </c:pt>
                <c:pt idx="9">
                  <c:v>210</c:v>
                </c:pt>
                <c:pt idx="10">
                  <c:v>210</c:v>
                </c:pt>
                <c:pt idx="11">
                  <c:v>210</c:v>
                </c:pt>
              </c:numCache>
            </c:numRef>
          </c:val>
          <c:extLst>
            <c:ext xmlns:c16="http://schemas.microsoft.com/office/drawing/2014/chart" uri="{C3380CC4-5D6E-409C-BE32-E72D297353CC}">
              <c16:uniqueId val="{00000005-82BC-47E7-9598-C786909F9D3D}"/>
            </c:ext>
          </c:extLst>
        </c:ser>
        <c:dLbls>
          <c:showLegendKey val="0"/>
          <c:showVal val="0"/>
          <c:showCatName val="0"/>
          <c:showSerName val="0"/>
          <c:showPercent val="0"/>
          <c:showBubbleSize val="0"/>
        </c:dLbls>
        <c:gapWidth val="150"/>
        <c:overlap val="100"/>
        <c:axId val="1200535440"/>
        <c:axId val="1200534480"/>
      </c:barChart>
      <c:catAx>
        <c:axId val="120053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34480"/>
        <c:crosses val="autoZero"/>
        <c:auto val="1"/>
        <c:lblAlgn val="ctr"/>
        <c:lblOffset val="100"/>
        <c:noMultiLvlLbl val="0"/>
      </c:catAx>
      <c:valAx>
        <c:axId val="120053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35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295275</xdr:colOff>
      <xdr:row>0</xdr:row>
      <xdr:rowOff>33336</xdr:rowOff>
    </xdr:from>
    <xdr:to>
      <xdr:col>12</xdr:col>
      <xdr:colOff>585107</xdr:colOff>
      <xdr:row>17</xdr:row>
      <xdr:rowOff>68035</xdr:rowOff>
    </xdr:to>
    <xdr:graphicFrame macro="">
      <xdr:nvGraphicFramePr>
        <xdr:cNvPr id="4" name="Chart 3">
          <a:extLst>
            <a:ext uri="{FF2B5EF4-FFF2-40B4-BE49-F238E27FC236}">
              <a16:creationId xmlns:a16="http://schemas.microsoft.com/office/drawing/2014/main" id="{1130B714-3021-CFAF-B7BB-5243B0179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xdr:colOff>
      <xdr:row>25</xdr:row>
      <xdr:rowOff>100012</xdr:rowOff>
    </xdr:from>
    <xdr:to>
      <xdr:col>13</xdr:col>
      <xdr:colOff>40821</xdr:colOff>
      <xdr:row>39</xdr:row>
      <xdr:rowOff>176212</xdr:rowOff>
    </xdr:to>
    <xdr:graphicFrame macro="">
      <xdr:nvGraphicFramePr>
        <xdr:cNvPr id="5" name="Chart 4">
          <a:extLst>
            <a:ext uri="{FF2B5EF4-FFF2-40B4-BE49-F238E27FC236}">
              <a16:creationId xmlns:a16="http://schemas.microsoft.com/office/drawing/2014/main" id="{20B79565-91BD-2861-22E4-055663DCF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workbookViewId="0">
      <selection activeCell="C13" sqref="C13"/>
    </sheetView>
  </sheetViews>
  <sheetFormatPr defaultRowHeight="15" x14ac:dyDescent="0.25"/>
  <cols>
    <col min="1" max="1" width="28" bestFit="1" customWidth="1"/>
    <col min="2" max="3" width="17" customWidth="1"/>
  </cols>
  <sheetData>
    <row r="1" spans="1:3" x14ac:dyDescent="0.25">
      <c r="A1" s="2" t="s">
        <v>0</v>
      </c>
      <c r="B1" s="2" t="s">
        <v>1</v>
      </c>
      <c r="C1" s="1"/>
    </row>
    <row r="2" spans="1:3" x14ac:dyDescent="0.25">
      <c r="A2" s="3" t="s">
        <v>2</v>
      </c>
      <c r="B2" s="4">
        <v>5200</v>
      </c>
      <c r="C2" s="1"/>
    </row>
    <row r="3" spans="1:3" x14ac:dyDescent="0.25">
      <c r="A3" s="3" t="s">
        <v>3</v>
      </c>
      <c r="B3" s="4">
        <v>600</v>
      </c>
      <c r="C3" s="1"/>
    </row>
    <row r="4" spans="1:3" x14ac:dyDescent="0.25">
      <c r="A4" s="3" t="s">
        <v>4</v>
      </c>
      <c r="B4" s="4">
        <v>150</v>
      </c>
      <c r="C4" s="1"/>
    </row>
    <row r="5" spans="1:3" x14ac:dyDescent="0.25">
      <c r="A5" s="5" t="s">
        <v>5</v>
      </c>
      <c r="B5" s="6">
        <f>SUM(B2:B4)</f>
        <v>5950</v>
      </c>
      <c r="C5" s="1"/>
    </row>
    <row r="6" spans="1:3" x14ac:dyDescent="0.25">
      <c r="A6" s="1"/>
      <c r="B6" s="1"/>
      <c r="C6" s="1"/>
    </row>
    <row r="7" spans="1:3" x14ac:dyDescent="0.25">
      <c r="A7" s="2" t="s">
        <v>6</v>
      </c>
      <c r="B7" s="1"/>
      <c r="C7" s="1"/>
    </row>
    <row r="8" spans="1:3" x14ac:dyDescent="0.25">
      <c r="A8" s="19" t="s">
        <v>7</v>
      </c>
      <c r="B8" s="2" t="s">
        <v>8</v>
      </c>
      <c r="C8" s="2" t="s">
        <v>9</v>
      </c>
    </row>
    <row r="9" spans="1:3" x14ac:dyDescent="0.25">
      <c r="A9" s="3" t="s">
        <v>10</v>
      </c>
      <c r="B9" s="3" t="s">
        <v>11</v>
      </c>
      <c r="C9" s="4">
        <v>1550</v>
      </c>
    </row>
    <row r="10" spans="1:3" x14ac:dyDescent="0.25">
      <c r="A10" s="3" t="s">
        <v>12</v>
      </c>
      <c r="B10" s="3" t="s">
        <v>11</v>
      </c>
      <c r="C10" s="4">
        <v>25</v>
      </c>
    </row>
    <row r="11" spans="1:3" x14ac:dyDescent="0.25">
      <c r="A11" s="3" t="s">
        <v>13</v>
      </c>
      <c r="B11" s="3" t="s">
        <v>11</v>
      </c>
      <c r="C11" s="4">
        <v>160</v>
      </c>
    </row>
    <row r="12" spans="1:3" x14ac:dyDescent="0.25">
      <c r="A12" s="3" t="s">
        <v>14</v>
      </c>
      <c r="B12" s="3" t="s">
        <v>11</v>
      </c>
      <c r="C12" s="4">
        <v>65</v>
      </c>
    </row>
    <row r="13" spans="1:3" x14ac:dyDescent="0.25">
      <c r="A13" s="3" t="s">
        <v>15</v>
      </c>
      <c r="B13" s="3" t="s">
        <v>16</v>
      </c>
      <c r="C13" s="4">
        <v>380</v>
      </c>
    </row>
    <row r="14" spans="1:3" x14ac:dyDescent="0.25">
      <c r="A14" s="3" t="s">
        <v>17</v>
      </c>
      <c r="B14" s="3" t="s">
        <v>16</v>
      </c>
      <c r="C14" s="4">
        <v>140</v>
      </c>
    </row>
    <row r="15" spans="1:3" x14ac:dyDescent="0.25">
      <c r="A15" s="3" t="s">
        <v>18</v>
      </c>
      <c r="B15" s="3" t="s">
        <v>16</v>
      </c>
      <c r="C15" s="4">
        <v>110</v>
      </c>
    </row>
    <row r="16" spans="1:3" x14ac:dyDescent="0.25">
      <c r="A16" s="3" t="s">
        <v>19</v>
      </c>
      <c r="B16" s="3" t="s">
        <v>16</v>
      </c>
      <c r="C16" s="4">
        <v>50</v>
      </c>
    </row>
    <row r="17" spans="1:3" x14ac:dyDescent="0.25">
      <c r="A17" s="3" t="s">
        <v>20</v>
      </c>
      <c r="B17" s="3" t="s">
        <v>16</v>
      </c>
      <c r="C17" s="4">
        <v>30</v>
      </c>
    </row>
    <row r="18" spans="1:3" x14ac:dyDescent="0.25">
      <c r="A18" s="3" t="s">
        <v>21</v>
      </c>
      <c r="B18" s="3" t="s">
        <v>22</v>
      </c>
      <c r="C18" s="4">
        <v>420</v>
      </c>
    </row>
    <row r="19" spans="1:3" x14ac:dyDescent="0.25">
      <c r="A19" s="3" t="s">
        <v>23</v>
      </c>
      <c r="B19" s="3" t="s">
        <v>22</v>
      </c>
      <c r="C19" s="4">
        <v>180</v>
      </c>
    </row>
    <row r="20" spans="1:3" x14ac:dyDescent="0.25">
      <c r="A20" s="3" t="s">
        <v>24</v>
      </c>
      <c r="B20" s="3" t="s">
        <v>22</v>
      </c>
      <c r="C20" s="4">
        <v>45</v>
      </c>
    </row>
    <row r="21" spans="1:3" x14ac:dyDescent="0.25">
      <c r="A21" s="3" t="s">
        <v>25</v>
      </c>
      <c r="B21" s="3" t="s">
        <v>26</v>
      </c>
      <c r="C21" s="4">
        <v>75</v>
      </c>
    </row>
    <row r="22" spans="1:3" x14ac:dyDescent="0.25">
      <c r="A22" s="3" t="s">
        <v>27</v>
      </c>
      <c r="B22" s="3" t="s">
        <v>26</v>
      </c>
      <c r="C22" s="4">
        <v>30</v>
      </c>
    </row>
    <row r="23" spans="1:3" x14ac:dyDescent="0.25">
      <c r="A23" s="3" t="s">
        <v>28</v>
      </c>
      <c r="B23" s="3" t="s">
        <v>26</v>
      </c>
      <c r="C23" s="4">
        <v>55</v>
      </c>
    </row>
    <row r="24" spans="1:3" x14ac:dyDescent="0.25">
      <c r="A24" s="3" t="s">
        <v>29</v>
      </c>
      <c r="B24" s="3" t="s">
        <v>26</v>
      </c>
      <c r="C24" s="4">
        <v>80</v>
      </c>
    </row>
    <row r="25" spans="1:3" x14ac:dyDescent="0.25">
      <c r="A25" s="3" t="s">
        <v>30</v>
      </c>
      <c r="B25" s="3" t="s">
        <v>26</v>
      </c>
      <c r="C25" s="4">
        <v>40</v>
      </c>
    </row>
    <row r="26" spans="1:3" x14ac:dyDescent="0.25">
      <c r="A26" s="3" t="s">
        <v>31</v>
      </c>
      <c r="B26" s="3" t="s">
        <v>32</v>
      </c>
      <c r="C26" s="4">
        <v>210</v>
      </c>
    </row>
    <row r="27" spans="1:3" x14ac:dyDescent="0.25">
      <c r="A27" s="3" t="s">
        <v>33</v>
      </c>
      <c r="B27" s="3" t="s">
        <v>32</v>
      </c>
      <c r="C27" s="4">
        <v>45</v>
      </c>
    </row>
    <row r="28" spans="1:3" x14ac:dyDescent="0.25">
      <c r="A28" s="3" t="s">
        <v>34</v>
      </c>
      <c r="B28" s="3" t="s">
        <v>32</v>
      </c>
      <c r="C28" s="4">
        <v>20</v>
      </c>
    </row>
    <row r="29" spans="1:3" x14ac:dyDescent="0.25">
      <c r="A29" s="3" t="s">
        <v>35</v>
      </c>
      <c r="B29" s="3" t="s">
        <v>36</v>
      </c>
      <c r="C29" s="4">
        <v>300</v>
      </c>
    </row>
    <row r="30" spans="1:3" x14ac:dyDescent="0.25">
      <c r="A30" s="3" t="s">
        <v>37</v>
      </c>
      <c r="B30" s="3" t="s">
        <v>36</v>
      </c>
      <c r="C30" s="4">
        <v>200</v>
      </c>
    </row>
    <row r="31" spans="1:3" x14ac:dyDescent="0.25">
      <c r="A31" s="3" t="s">
        <v>38</v>
      </c>
      <c r="B31" s="3" t="s">
        <v>36</v>
      </c>
      <c r="C31" s="4">
        <v>100</v>
      </c>
    </row>
    <row r="32" spans="1:3" x14ac:dyDescent="0.25">
      <c r="A32" s="3" t="s">
        <v>39</v>
      </c>
      <c r="B32" s="3" t="s">
        <v>40</v>
      </c>
      <c r="C32" s="4">
        <v>280</v>
      </c>
    </row>
    <row r="33" spans="1:3" x14ac:dyDescent="0.25">
      <c r="A33" s="3" t="s">
        <v>41</v>
      </c>
      <c r="B33" s="3" t="s">
        <v>40</v>
      </c>
      <c r="C33" s="4">
        <v>160</v>
      </c>
    </row>
    <row r="34" spans="1:3" x14ac:dyDescent="0.25">
      <c r="A34" s="1"/>
      <c r="B34" s="1"/>
      <c r="C34" s="1"/>
    </row>
    <row r="35" spans="1:3" x14ac:dyDescent="0.25">
      <c r="A35" s="5" t="s">
        <v>42</v>
      </c>
      <c r="B35" s="1"/>
      <c r="C35" s="7">
        <f>SUM(C9:C33)</f>
        <v>4750</v>
      </c>
    </row>
    <row r="36" spans="1:3" x14ac:dyDescent="0.25">
      <c r="A36" s="5" t="s">
        <v>43</v>
      </c>
      <c r="B36" s="1"/>
      <c r="C36" s="7">
        <f>B5-C35</f>
        <v>1200</v>
      </c>
    </row>
  </sheetData>
  <conditionalFormatting sqref="C36">
    <cfRule type="cellIs" dxfId="29" priority="1" operator="notEqual">
      <formula>0</formula>
    </cfRule>
    <cfRule type="cellIs" dxfId="28" priority="2" operator="equal">
      <formula>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0"/>
  <sheetViews>
    <sheetView showGridLines="0" workbookViewId="0">
      <selection activeCell="C3" sqref="C3"/>
    </sheetView>
  </sheetViews>
  <sheetFormatPr defaultRowHeight="15" x14ac:dyDescent="0.25"/>
  <cols>
    <col min="1" max="5" width="18" customWidth="1"/>
  </cols>
  <sheetData>
    <row r="1" spans="1:6" x14ac:dyDescent="0.25">
      <c r="A1" s="2" t="s">
        <v>44</v>
      </c>
      <c r="B1" s="2" t="s">
        <v>45</v>
      </c>
      <c r="C1" s="2" t="s">
        <v>46</v>
      </c>
      <c r="D1" s="2" t="s">
        <v>7</v>
      </c>
      <c r="E1" s="2" t="s">
        <v>47</v>
      </c>
      <c r="F1" s="2" t="s">
        <v>48</v>
      </c>
    </row>
    <row r="2" spans="1:6" x14ac:dyDescent="0.25">
      <c r="A2" s="8">
        <v>45658</v>
      </c>
      <c r="B2" s="3" t="s">
        <v>49</v>
      </c>
      <c r="C2" s="9">
        <v>1550</v>
      </c>
      <c r="D2" s="3" t="s">
        <v>10</v>
      </c>
      <c r="E2" s="3" t="s">
        <v>50</v>
      </c>
      <c r="F2" s="1"/>
    </row>
    <row r="3" spans="1:6" x14ac:dyDescent="0.25">
      <c r="A3" s="8">
        <v>45658</v>
      </c>
      <c r="B3" s="3" t="s">
        <v>51</v>
      </c>
      <c r="C3" s="9">
        <v>25</v>
      </c>
      <c r="D3" s="3" t="s">
        <v>12</v>
      </c>
      <c r="E3" s="3" t="s">
        <v>50</v>
      </c>
      <c r="F3" s="1"/>
    </row>
    <row r="4" spans="1:6" x14ac:dyDescent="0.25">
      <c r="A4" s="8">
        <v>45662</v>
      </c>
      <c r="B4" s="3" t="s">
        <v>52</v>
      </c>
      <c r="C4" s="9">
        <v>65</v>
      </c>
      <c r="D4" s="3" t="s">
        <v>14</v>
      </c>
      <c r="E4" s="3" t="s">
        <v>50</v>
      </c>
      <c r="F4" s="1"/>
    </row>
    <row r="5" spans="1:6" x14ac:dyDescent="0.25">
      <c r="A5" s="8">
        <v>45672</v>
      </c>
      <c r="B5" s="3" t="s">
        <v>53</v>
      </c>
      <c r="C5" s="9">
        <v>380</v>
      </c>
      <c r="D5" s="3" t="s">
        <v>15</v>
      </c>
      <c r="E5" s="3" t="s">
        <v>50</v>
      </c>
      <c r="F5" s="1"/>
    </row>
    <row r="6" spans="1:6" x14ac:dyDescent="0.25">
      <c r="A6" s="8">
        <v>45658</v>
      </c>
      <c r="B6" s="3" t="s">
        <v>54</v>
      </c>
      <c r="C6" s="9">
        <v>110</v>
      </c>
      <c r="D6" s="3" t="s">
        <v>18</v>
      </c>
      <c r="E6" s="3" t="s">
        <v>50</v>
      </c>
      <c r="F6" s="1"/>
    </row>
    <row r="7" spans="1:6" x14ac:dyDescent="0.25">
      <c r="A7" s="8">
        <v>45658</v>
      </c>
      <c r="B7" s="3" t="s">
        <v>55</v>
      </c>
      <c r="C7" s="9">
        <v>210</v>
      </c>
      <c r="D7" s="3" t="s">
        <v>31</v>
      </c>
      <c r="E7" s="3" t="s">
        <v>50</v>
      </c>
      <c r="F7" s="1"/>
    </row>
    <row r="8" spans="1:6" x14ac:dyDescent="0.25">
      <c r="A8" s="8">
        <v>45658</v>
      </c>
      <c r="B8" s="3" t="s">
        <v>56</v>
      </c>
      <c r="C8" s="9">
        <v>45</v>
      </c>
      <c r="D8" s="3" t="s">
        <v>33</v>
      </c>
      <c r="E8" s="3" t="s">
        <v>50</v>
      </c>
      <c r="F8" s="1"/>
    </row>
    <row r="9" spans="1:6" x14ac:dyDescent="0.25">
      <c r="A9" s="8">
        <v>45685</v>
      </c>
      <c r="B9" s="3" t="s">
        <v>57</v>
      </c>
      <c r="C9" s="9">
        <v>280</v>
      </c>
      <c r="D9" s="3" t="s">
        <v>39</v>
      </c>
      <c r="E9" s="3" t="s">
        <v>50</v>
      </c>
      <c r="F9" s="1"/>
    </row>
    <row r="10" spans="1:6" x14ac:dyDescent="0.25">
      <c r="A10" s="8">
        <v>45677</v>
      </c>
      <c r="B10" s="3" t="s">
        <v>58</v>
      </c>
      <c r="C10" s="9">
        <v>160</v>
      </c>
      <c r="D10" s="3" t="s">
        <v>41</v>
      </c>
      <c r="E10" s="3" t="s">
        <v>59</v>
      </c>
      <c r="F10" s="1"/>
    </row>
    <row r="11" spans="1:6" x14ac:dyDescent="0.25">
      <c r="A11" s="8">
        <v>45672</v>
      </c>
      <c r="B11" s="3" t="s">
        <v>60</v>
      </c>
      <c r="C11" s="9">
        <v>300</v>
      </c>
      <c r="D11" s="3" t="s">
        <v>35</v>
      </c>
      <c r="E11" s="3" t="s">
        <v>59</v>
      </c>
      <c r="F11" s="1"/>
    </row>
    <row r="12" spans="1:6" x14ac:dyDescent="0.25">
      <c r="A12" s="8">
        <v>45672</v>
      </c>
      <c r="B12" s="3" t="s">
        <v>61</v>
      </c>
      <c r="C12" s="9">
        <v>200</v>
      </c>
      <c r="D12" s="3" t="s">
        <v>37</v>
      </c>
      <c r="E12" s="3" t="s">
        <v>59</v>
      </c>
      <c r="F12" s="1"/>
    </row>
    <row r="13" spans="1:6" x14ac:dyDescent="0.25">
      <c r="A13" s="8">
        <v>45672</v>
      </c>
      <c r="B13" s="3" t="s">
        <v>62</v>
      </c>
      <c r="C13" s="9">
        <v>100</v>
      </c>
      <c r="D13" s="3" t="s">
        <v>38</v>
      </c>
      <c r="E13" s="3" t="s">
        <v>59</v>
      </c>
      <c r="F13" s="1"/>
    </row>
    <row r="14" spans="1:6" x14ac:dyDescent="0.25">
      <c r="A14" s="8">
        <v>45683</v>
      </c>
      <c r="B14" s="3" t="s">
        <v>63</v>
      </c>
      <c r="C14" s="9">
        <v>185.53</v>
      </c>
      <c r="D14" s="3" t="s">
        <v>13</v>
      </c>
      <c r="E14" s="3" t="s">
        <v>50</v>
      </c>
      <c r="F14" s="1"/>
    </row>
    <row r="15" spans="1:6" x14ac:dyDescent="0.25">
      <c r="A15" s="8">
        <v>45680</v>
      </c>
      <c r="B15" s="3" t="s">
        <v>64</v>
      </c>
      <c r="C15" s="9">
        <v>127.22</v>
      </c>
      <c r="D15" s="3" t="s">
        <v>17</v>
      </c>
      <c r="E15" s="3" t="s">
        <v>50</v>
      </c>
      <c r="F15" s="1"/>
    </row>
    <row r="16" spans="1:6" x14ac:dyDescent="0.25">
      <c r="A16" s="8">
        <v>45688</v>
      </c>
      <c r="B16" s="3" t="s">
        <v>65</v>
      </c>
      <c r="C16" s="9">
        <v>94.09</v>
      </c>
      <c r="D16" s="3" t="s">
        <v>21</v>
      </c>
      <c r="E16" s="3" t="s">
        <v>66</v>
      </c>
      <c r="F16" s="1"/>
    </row>
    <row r="17" spans="1:6" x14ac:dyDescent="0.25">
      <c r="A17" s="8">
        <v>45669</v>
      </c>
      <c r="B17" s="3" t="s">
        <v>67</v>
      </c>
      <c r="C17" s="9">
        <v>37.96</v>
      </c>
      <c r="D17" s="3" t="s">
        <v>23</v>
      </c>
      <c r="E17" s="3" t="s">
        <v>50</v>
      </c>
      <c r="F17" s="1"/>
    </row>
    <row r="18" spans="1:6" x14ac:dyDescent="0.25">
      <c r="A18" s="8">
        <v>45672</v>
      </c>
      <c r="B18" s="3" t="s">
        <v>68</v>
      </c>
      <c r="C18" s="9">
        <v>7.89</v>
      </c>
      <c r="D18" s="3" t="s">
        <v>24</v>
      </c>
      <c r="E18" s="3" t="s">
        <v>66</v>
      </c>
      <c r="F18" s="1"/>
    </row>
    <row r="19" spans="1:6" x14ac:dyDescent="0.25">
      <c r="A19" s="8">
        <v>45660</v>
      </c>
      <c r="B19" s="3" t="s">
        <v>69</v>
      </c>
      <c r="C19" s="9">
        <v>7.32</v>
      </c>
      <c r="D19" s="3" t="s">
        <v>24</v>
      </c>
      <c r="E19" s="3" t="s">
        <v>70</v>
      </c>
      <c r="F19" s="1"/>
    </row>
    <row r="20" spans="1:6" x14ac:dyDescent="0.25">
      <c r="A20" s="8">
        <v>45686</v>
      </c>
      <c r="B20" s="3" t="s">
        <v>69</v>
      </c>
      <c r="C20" s="9">
        <v>6.31</v>
      </c>
      <c r="D20" s="3" t="s">
        <v>24</v>
      </c>
      <c r="E20" s="3" t="s">
        <v>70</v>
      </c>
      <c r="F20" s="1"/>
    </row>
    <row r="21" spans="1:6" x14ac:dyDescent="0.25">
      <c r="A21" s="8">
        <v>45660</v>
      </c>
      <c r="B21" s="3" t="s">
        <v>71</v>
      </c>
      <c r="C21" s="9">
        <v>11.61</v>
      </c>
      <c r="D21" s="3" t="s">
        <v>20</v>
      </c>
      <c r="E21" s="3" t="s">
        <v>66</v>
      </c>
      <c r="F21" s="1"/>
    </row>
    <row r="22" spans="1:6" x14ac:dyDescent="0.25">
      <c r="A22" s="8">
        <v>45660</v>
      </c>
      <c r="B22" s="3" t="s">
        <v>72</v>
      </c>
      <c r="C22" s="9">
        <v>27.33</v>
      </c>
      <c r="D22" s="3" t="s">
        <v>34</v>
      </c>
      <c r="E22" s="3" t="s">
        <v>66</v>
      </c>
      <c r="F22" s="1"/>
    </row>
    <row r="23" spans="1:6" x14ac:dyDescent="0.25">
      <c r="A23" s="8">
        <v>45672</v>
      </c>
      <c r="B23" s="3" t="s">
        <v>73</v>
      </c>
      <c r="C23" s="9">
        <v>69.22</v>
      </c>
      <c r="D23" s="3" t="s">
        <v>29</v>
      </c>
      <c r="E23" s="3" t="s">
        <v>50</v>
      </c>
      <c r="F23" s="1"/>
    </row>
    <row r="24" spans="1:6" x14ac:dyDescent="0.25">
      <c r="A24" s="8">
        <v>45689</v>
      </c>
      <c r="B24" s="3" t="s">
        <v>49</v>
      </c>
      <c r="C24" s="9">
        <v>1550</v>
      </c>
      <c r="D24" s="3" t="s">
        <v>10</v>
      </c>
      <c r="E24" s="3" t="s">
        <v>66</v>
      </c>
      <c r="F24" s="1"/>
    </row>
    <row r="25" spans="1:6" x14ac:dyDescent="0.25">
      <c r="A25" s="8">
        <v>45689</v>
      </c>
      <c r="B25" s="3" t="s">
        <v>51</v>
      </c>
      <c r="C25" s="9">
        <v>25</v>
      </c>
      <c r="D25" s="3" t="s">
        <v>12</v>
      </c>
      <c r="E25" s="3" t="s">
        <v>66</v>
      </c>
      <c r="F25" s="1"/>
    </row>
    <row r="26" spans="1:6" x14ac:dyDescent="0.25">
      <c r="A26" s="8">
        <v>45693</v>
      </c>
      <c r="B26" s="3" t="s">
        <v>52</v>
      </c>
      <c r="C26" s="9">
        <v>65</v>
      </c>
      <c r="D26" s="3" t="s">
        <v>14</v>
      </c>
      <c r="E26" s="3" t="s">
        <v>50</v>
      </c>
      <c r="F26" s="1"/>
    </row>
    <row r="27" spans="1:6" x14ac:dyDescent="0.25">
      <c r="A27" s="8">
        <v>45703</v>
      </c>
      <c r="B27" s="3" t="s">
        <v>53</v>
      </c>
      <c r="C27" s="9">
        <v>380</v>
      </c>
      <c r="D27" s="3" t="s">
        <v>15</v>
      </c>
      <c r="E27" s="3" t="s">
        <v>50</v>
      </c>
      <c r="F27" s="1"/>
    </row>
    <row r="28" spans="1:6" x14ac:dyDescent="0.25">
      <c r="A28" s="8">
        <v>45689</v>
      </c>
      <c r="B28" s="3" t="s">
        <v>54</v>
      </c>
      <c r="C28" s="9">
        <v>110</v>
      </c>
      <c r="D28" s="3" t="s">
        <v>18</v>
      </c>
      <c r="E28" s="3" t="s">
        <v>66</v>
      </c>
      <c r="F28" s="1"/>
    </row>
    <row r="29" spans="1:6" x14ac:dyDescent="0.25">
      <c r="A29" s="8">
        <v>45689</v>
      </c>
      <c r="B29" s="3" t="s">
        <v>55</v>
      </c>
      <c r="C29" s="9">
        <v>210</v>
      </c>
      <c r="D29" s="3" t="s">
        <v>31</v>
      </c>
      <c r="E29" s="3" t="s">
        <v>50</v>
      </c>
      <c r="F29" s="1"/>
    </row>
    <row r="30" spans="1:6" x14ac:dyDescent="0.25">
      <c r="A30" s="8">
        <v>45689</v>
      </c>
      <c r="B30" s="3" t="s">
        <v>56</v>
      </c>
      <c r="C30" s="9">
        <v>45</v>
      </c>
      <c r="D30" s="3" t="s">
        <v>33</v>
      </c>
      <c r="E30" s="3" t="s">
        <v>50</v>
      </c>
      <c r="F30" s="1"/>
    </row>
    <row r="31" spans="1:6" x14ac:dyDescent="0.25">
      <c r="A31" s="8">
        <v>45716</v>
      </c>
      <c r="B31" s="3" t="s">
        <v>57</v>
      </c>
      <c r="C31" s="9">
        <v>280</v>
      </c>
      <c r="D31" s="3" t="s">
        <v>39</v>
      </c>
      <c r="E31" s="3" t="s">
        <v>50</v>
      </c>
      <c r="F31" s="1"/>
    </row>
    <row r="32" spans="1:6" x14ac:dyDescent="0.25">
      <c r="A32" s="8">
        <v>45708</v>
      </c>
      <c r="B32" s="3" t="s">
        <v>58</v>
      </c>
      <c r="C32" s="9">
        <v>160</v>
      </c>
      <c r="D32" s="3" t="s">
        <v>41</v>
      </c>
      <c r="E32" s="3" t="s">
        <v>59</v>
      </c>
      <c r="F32" s="1"/>
    </row>
    <row r="33" spans="1:6" x14ac:dyDescent="0.25">
      <c r="A33" s="8">
        <v>45703</v>
      </c>
      <c r="B33" s="3" t="s">
        <v>60</v>
      </c>
      <c r="C33" s="9">
        <v>300</v>
      </c>
      <c r="D33" s="3" t="s">
        <v>35</v>
      </c>
      <c r="E33" s="3" t="s">
        <v>59</v>
      </c>
      <c r="F33" s="1"/>
    </row>
    <row r="34" spans="1:6" x14ac:dyDescent="0.25">
      <c r="A34" s="8">
        <v>45703</v>
      </c>
      <c r="B34" s="3" t="s">
        <v>61</v>
      </c>
      <c r="C34" s="9">
        <v>200</v>
      </c>
      <c r="D34" s="3" t="s">
        <v>37</v>
      </c>
      <c r="E34" s="3" t="s">
        <v>59</v>
      </c>
      <c r="F34" s="1"/>
    </row>
    <row r="35" spans="1:6" x14ac:dyDescent="0.25">
      <c r="A35" s="8">
        <v>45703</v>
      </c>
      <c r="B35" s="3" t="s">
        <v>62</v>
      </c>
      <c r="C35" s="9">
        <v>100</v>
      </c>
      <c r="D35" s="3" t="s">
        <v>38</v>
      </c>
      <c r="E35" s="3" t="s">
        <v>59</v>
      </c>
      <c r="F35" s="1"/>
    </row>
    <row r="36" spans="1:6" x14ac:dyDescent="0.25">
      <c r="A36" s="8">
        <v>45695</v>
      </c>
      <c r="B36" s="3" t="s">
        <v>74</v>
      </c>
      <c r="C36" s="9">
        <v>152.76</v>
      </c>
      <c r="D36" s="3" t="s">
        <v>13</v>
      </c>
      <c r="E36" s="3" t="s">
        <v>66</v>
      </c>
      <c r="F36" s="1"/>
    </row>
    <row r="37" spans="1:6" x14ac:dyDescent="0.25">
      <c r="A37" s="8">
        <v>45701</v>
      </c>
      <c r="B37" s="3" t="s">
        <v>75</v>
      </c>
      <c r="C37" s="9">
        <v>136.71</v>
      </c>
      <c r="D37" s="3" t="s">
        <v>17</v>
      </c>
      <c r="E37" s="3" t="s">
        <v>66</v>
      </c>
      <c r="F37" s="1"/>
    </row>
    <row r="38" spans="1:6" x14ac:dyDescent="0.25">
      <c r="A38" s="8">
        <v>45696</v>
      </c>
      <c r="B38" s="3" t="s">
        <v>65</v>
      </c>
      <c r="C38" s="9">
        <v>119.88</v>
      </c>
      <c r="D38" s="3" t="s">
        <v>21</v>
      </c>
      <c r="E38" s="3" t="s">
        <v>66</v>
      </c>
      <c r="F38" s="1"/>
    </row>
    <row r="39" spans="1:6" x14ac:dyDescent="0.25">
      <c r="A39" s="8">
        <v>45701</v>
      </c>
      <c r="B39" s="3" t="s">
        <v>67</v>
      </c>
      <c r="C39" s="9">
        <v>21.43</v>
      </c>
      <c r="D39" s="3" t="s">
        <v>23</v>
      </c>
      <c r="E39" s="3" t="s">
        <v>50</v>
      </c>
      <c r="F39" s="1"/>
    </row>
    <row r="40" spans="1:6" x14ac:dyDescent="0.25">
      <c r="A40" s="8">
        <v>45705</v>
      </c>
      <c r="B40" s="3" t="s">
        <v>76</v>
      </c>
      <c r="C40" s="9">
        <v>15.91</v>
      </c>
      <c r="D40" s="3" t="s">
        <v>23</v>
      </c>
      <c r="E40" s="3" t="s">
        <v>50</v>
      </c>
      <c r="F40" s="1"/>
    </row>
    <row r="41" spans="1:6" x14ac:dyDescent="0.25">
      <c r="A41" s="8">
        <v>45716</v>
      </c>
      <c r="B41" s="3" t="s">
        <v>77</v>
      </c>
      <c r="C41" s="9">
        <v>18.57</v>
      </c>
      <c r="D41" s="3" t="s">
        <v>23</v>
      </c>
      <c r="E41" s="3" t="s">
        <v>50</v>
      </c>
      <c r="F41" s="1"/>
    </row>
    <row r="42" spans="1:6" x14ac:dyDescent="0.25">
      <c r="A42" s="8">
        <v>45702</v>
      </c>
      <c r="B42" s="3" t="s">
        <v>68</v>
      </c>
      <c r="C42" s="9">
        <v>5.54</v>
      </c>
      <c r="D42" s="3" t="s">
        <v>24</v>
      </c>
      <c r="E42" s="3" t="s">
        <v>70</v>
      </c>
      <c r="F42" s="1"/>
    </row>
    <row r="43" spans="1:6" x14ac:dyDescent="0.25">
      <c r="A43" s="8">
        <v>45703</v>
      </c>
      <c r="B43" s="3" t="s">
        <v>69</v>
      </c>
      <c r="C43" s="9">
        <v>7.88</v>
      </c>
      <c r="D43" s="3" t="s">
        <v>24</v>
      </c>
      <c r="E43" s="3" t="s">
        <v>50</v>
      </c>
      <c r="F43" s="1"/>
    </row>
    <row r="44" spans="1:6" x14ac:dyDescent="0.25">
      <c r="A44" s="8">
        <v>45710</v>
      </c>
      <c r="B44" s="3" t="s">
        <v>68</v>
      </c>
      <c r="C44" s="9">
        <v>6.73</v>
      </c>
      <c r="D44" s="3" t="s">
        <v>24</v>
      </c>
      <c r="E44" s="3" t="s">
        <v>70</v>
      </c>
      <c r="F44" s="1"/>
    </row>
    <row r="45" spans="1:6" x14ac:dyDescent="0.25">
      <c r="A45" s="8">
        <v>45713</v>
      </c>
      <c r="B45" s="3" t="s">
        <v>78</v>
      </c>
      <c r="C45" s="9">
        <v>12.69</v>
      </c>
      <c r="D45" s="3" t="s">
        <v>20</v>
      </c>
      <c r="E45" s="3" t="s">
        <v>66</v>
      </c>
      <c r="F45" s="1"/>
    </row>
    <row r="46" spans="1:6" x14ac:dyDescent="0.25">
      <c r="A46" s="8">
        <v>45692</v>
      </c>
      <c r="B46" s="3" t="s">
        <v>79</v>
      </c>
      <c r="C46" s="9">
        <v>18.7</v>
      </c>
      <c r="D46" s="3" t="s">
        <v>34</v>
      </c>
      <c r="E46" s="3" t="s">
        <v>66</v>
      </c>
      <c r="F46" s="1"/>
    </row>
    <row r="47" spans="1:6" x14ac:dyDescent="0.25">
      <c r="A47" s="8">
        <v>45712</v>
      </c>
      <c r="B47" s="3" t="s">
        <v>80</v>
      </c>
      <c r="C47" s="9">
        <v>57.39</v>
      </c>
      <c r="D47" s="3" t="s">
        <v>25</v>
      </c>
      <c r="E47" s="3" t="s">
        <v>70</v>
      </c>
      <c r="F47" s="1"/>
    </row>
    <row r="48" spans="1:6" x14ac:dyDescent="0.25">
      <c r="A48" s="8">
        <v>45717</v>
      </c>
      <c r="B48" s="3" t="s">
        <v>49</v>
      </c>
      <c r="C48" s="9">
        <v>1550</v>
      </c>
      <c r="D48" s="3" t="s">
        <v>10</v>
      </c>
      <c r="E48" s="3" t="s">
        <v>50</v>
      </c>
      <c r="F48" s="1"/>
    </row>
    <row r="49" spans="1:6" x14ac:dyDescent="0.25">
      <c r="A49" s="8">
        <v>45717</v>
      </c>
      <c r="B49" s="3" t="s">
        <v>51</v>
      </c>
      <c r="C49" s="9">
        <v>25</v>
      </c>
      <c r="D49" s="3" t="s">
        <v>12</v>
      </c>
      <c r="E49" s="3" t="s">
        <v>50</v>
      </c>
      <c r="F49" s="1"/>
    </row>
    <row r="50" spans="1:6" x14ac:dyDescent="0.25">
      <c r="A50" s="8">
        <v>45721</v>
      </c>
      <c r="B50" s="3" t="s">
        <v>52</v>
      </c>
      <c r="C50" s="9">
        <v>65</v>
      </c>
      <c r="D50" s="3" t="s">
        <v>14</v>
      </c>
      <c r="E50" s="3" t="s">
        <v>66</v>
      </c>
      <c r="F50" s="1"/>
    </row>
    <row r="51" spans="1:6" x14ac:dyDescent="0.25">
      <c r="A51" s="8">
        <v>45731</v>
      </c>
      <c r="B51" s="3" t="s">
        <v>53</v>
      </c>
      <c r="C51" s="9">
        <v>380</v>
      </c>
      <c r="D51" s="3" t="s">
        <v>15</v>
      </c>
      <c r="E51" s="3" t="s">
        <v>50</v>
      </c>
      <c r="F51" s="1"/>
    </row>
    <row r="52" spans="1:6" x14ac:dyDescent="0.25">
      <c r="A52" s="8">
        <v>45717</v>
      </c>
      <c r="B52" s="3" t="s">
        <v>54</v>
      </c>
      <c r="C52" s="9">
        <v>110</v>
      </c>
      <c r="D52" s="3" t="s">
        <v>18</v>
      </c>
      <c r="E52" s="3" t="s">
        <v>66</v>
      </c>
      <c r="F52" s="1"/>
    </row>
    <row r="53" spans="1:6" x14ac:dyDescent="0.25">
      <c r="A53" s="8">
        <v>45717</v>
      </c>
      <c r="B53" s="3" t="s">
        <v>55</v>
      </c>
      <c r="C53" s="9">
        <v>210</v>
      </c>
      <c r="D53" s="3" t="s">
        <v>31</v>
      </c>
      <c r="E53" s="3" t="s">
        <v>50</v>
      </c>
      <c r="F53" s="1"/>
    </row>
    <row r="54" spans="1:6" x14ac:dyDescent="0.25">
      <c r="A54" s="8">
        <v>45717</v>
      </c>
      <c r="B54" s="3" t="s">
        <v>56</v>
      </c>
      <c r="C54" s="9">
        <v>45</v>
      </c>
      <c r="D54" s="3" t="s">
        <v>33</v>
      </c>
      <c r="E54" s="3" t="s">
        <v>66</v>
      </c>
      <c r="F54" s="1"/>
    </row>
    <row r="55" spans="1:6" x14ac:dyDescent="0.25">
      <c r="A55" s="8">
        <v>45744</v>
      </c>
      <c r="B55" s="3" t="s">
        <v>57</v>
      </c>
      <c r="C55" s="9">
        <v>280</v>
      </c>
      <c r="D55" s="3" t="s">
        <v>39</v>
      </c>
      <c r="E55" s="3" t="s">
        <v>50</v>
      </c>
      <c r="F55" s="1"/>
    </row>
    <row r="56" spans="1:6" x14ac:dyDescent="0.25">
      <c r="A56" s="8">
        <v>45736</v>
      </c>
      <c r="B56" s="3" t="s">
        <v>58</v>
      </c>
      <c r="C56" s="9">
        <v>160</v>
      </c>
      <c r="D56" s="3" t="s">
        <v>41</v>
      </c>
      <c r="E56" s="3" t="s">
        <v>59</v>
      </c>
      <c r="F56" s="1"/>
    </row>
    <row r="57" spans="1:6" x14ac:dyDescent="0.25">
      <c r="A57" s="8">
        <v>45731</v>
      </c>
      <c r="B57" s="3" t="s">
        <v>60</v>
      </c>
      <c r="C57" s="9">
        <v>300</v>
      </c>
      <c r="D57" s="3" t="s">
        <v>35</v>
      </c>
      <c r="E57" s="3" t="s">
        <v>59</v>
      </c>
      <c r="F57" s="1"/>
    </row>
    <row r="58" spans="1:6" x14ac:dyDescent="0.25">
      <c r="A58" s="8">
        <v>45731</v>
      </c>
      <c r="B58" s="3" t="s">
        <v>61</v>
      </c>
      <c r="C58" s="9">
        <v>200</v>
      </c>
      <c r="D58" s="3" t="s">
        <v>37</v>
      </c>
      <c r="E58" s="3" t="s">
        <v>59</v>
      </c>
      <c r="F58" s="1"/>
    </row>
    <row r="59" spans="1:6" x14ac:dyDescent="0.25">
      <c r="A59" s="8">
        <v>45731</v>
      </c>
      <c r="B59" s="3" t="s">
        <v>62</v>
      </c>
      <c r="C59" s="9">
        <v>100</v>
      </c>
      <c r="D59" s="3" t="s">
        <v>38</v>
      </c>
      <c r="E59" s="3" t="s">
        <v>59</v>
      </c>
      <c r="F59" s="1"/>
    </row>
    <row r="60" spans="1:6" x14ac:dyDescent="0.25">
      <c r="A60" s="8">
        <v>45743</v>
      </c>
      <c r="B60" s="3" t="s">
        <v>63</v>
      </c>
      <c r="C60" s="9">
        <v>198.68</v>
      </c>
      <c r="D60" s="3" t="s">
        <v>13</v>
      </c>
      <c r="E60" s="3" t="s">
        <v>70</v>
      </c>
      <c r="F60" s="1"/>
    </row>
    <row r="61" spans="1:6" x14ac:dyDescent="0.25">
      <c r="A61" s="8">
        <v>45741</v>
      </c>
      <c r="B61" s="3" t="s">
        <v>81</v>
      </c>
      <c r="C61" s="9">
        <v>110.27</v>
      </c>
      <c r="D61" s="3" t="s">
        <v>17</v>
      </c>
      <c r="E61" s="3" t="s">
        <v>66</v>
      </c>
      <c r="F61" s="1"/>
    </row>
    <row r="62" spans="1:6" x14ac:dyDescent="0.25">
      <c r="A62" s="8">
        <v>45722</v>
      </c>
      <c r="B62" s="3" t="s">
        <v>65</v>
      </c>
      <c r="C62" s="9">
        <v>111.11</v>
      </c>
      <c r="D62" s="3" t="s">
        <v>21</v>
      </c>
      <c r="E62" s="3" t="s">
        <v>70</v>
      </c>
      <c r="F62" s="1"/>
    </row>
    <row r="63" spans="1:6" x14ac:dyDescent="0.25">
      <c r="A63" s="8">
        <v>45730</v>
      </c>
      <c r="B63" s="3" t="s">
        <v>82</v>
      </c>
      <c r="C63" s="9">
        <v>127.16</v>
      </c>
      <c r="D63" s="3" t="s">
        <v>21</v>
      </c>
      <c r="E63" s="3" t="s">
        <v>70</v>
      </c>
      <c r="F63" s="1"/>
    </row>
    <row r="64" spans="1:6" x14ac:dyDescent="0.25">
      <c r="A64" s="8">
        <v>45739</v>
      </c>
      <c r="B64" s="3" t="s">
        <v>82</v>
      </c>
      <c r="C64" s="9">
        <v>118.52</v>
      </c>
      <c r="D64" s="3" t="s">
        <v>21</v>
      </c>
      <c r="E64" s="3" t="s">
        <v>66</v>
      </c>
      <c r="F64" s="1"/>
    </row>
    <row r="65" spans="1:6" x14ac:dyDescent="0.25">
      <c r="A65" s="8">
        <v>45737</v>
      </c>
      <c r="B65" s="3" t="s">
        <v>67</v>
      </c>
      <c r="C65" s="9">
        <v>30.84</v>
      </c>
      <c r="D65" s="3" t="s">
        <v>23</v>
      </c>
      <c r="E65" s="3" t="s">
        <v>70</v>
      </c>
      <c r="F65" s="1"/>
    </row>
    <row r="66" spans="1:6" x14ac:dyDescent="0.25">
      <c r="A66" s="8">
        <v>45731</v>
      </c>
      <c r="B66" s="3" t="s">
        <v>77</v>
      </c>
      <c r="C66" s="9">
        <v>22.66</v>
      </c>
      <c r="D66" s="3" t="s">
        <v>23</v>
      </c>
      <c r="E66" s="3" t="s">
        <v>50</v>
      </c>
      <c r="F66" s="1"/>
    </row>
    <row r="67" spans="1:6" x14ac:dyDescent="0.25">
      <c r="A67" s="8">
        <v>45727</v>
      </c>
      <c r="B67" s="3" t="s">
        <v>77</v>
      </c>
      <c r="C67" s="9">
        <v>37.299999999999997</v>
      </c>
      <c r="D67" s="3" t="s">
        <v>23</v>
      </c>
      <c r="E67" s="3" t="s">
        <v>50</v>
      </c>
      <c r="F67" s="1"/>
    </row>
    <row r="68" spans="1:6" x14ac:dyDescent="0.25">
      <c r="A68" s="8">
        <v>45724</v>
      </c>
      <c r="B68" s="3" t="s">
        <v>68</v>
      </c>
      <c r="C68" s="9">
        <v>4.28</v>
      </c>
      <c r="D68" s="3" t="s">
        <v>24</v>
      </c>
      <c r="E68" s="3" t="s">
        <v>70</v>
      </c>
      <c r="F68" s="1"/>
    </row>
    <row r="69" spans="1:6" x14ac:dyDescent="0.25">
      <c r="A69" s="8">
        <v>45718</v>
      </c>
      <c r="B69" s="3" t="s">
        <v>68</v>
      </c>
      <c r="C69" s="9">
        <v>4.2699999999999996</v>
      </c>
      <c r="D69" s="3" t="s">
        <v>24</v>
      </c>
      <c r="E69" s="3" t="s">
        <v>50</v>
      </c>
      <c r="F69" s="1"/>
    </row>
    <row r="70" spans="1:6" x14ac:dyDescent="0.25">
      <c r="A70" s="8">
        <v>45744</v>
      </c>
      <c r="B70" s="3" t="s">
        <v>69</v>
      </c>
      <c r="C70" s="9">
        <v>4.28</v>
      </c>
      <c r="D70" s="3" t="s">
        <v>24</v>
      </c>
      <c r="E70" s="3" t="s">
        <v>50</v>
      </c>
      <c r="F70" s="1"/>
    </row>
    <row r="71" spans="1:6" x14ac:dyDescent="0.25">
      <c r="A71" s="8">
        <v>45725</v>
      </c>
      <c r="B71" s="3" t="s">
        <v>78</v>
      </c>
      <c r="C71" s="9">
        <v>7.14</v>
      </c>
      <c r="D71" s="3" t="s">
        <v>20</v>
      </c>
      <c r="E71" s="3" t="s">
        <v>50</v>
      </c>
      <c r="F71" s="1"/>
    </row>
    <row r="72" spans="1:6" x14ac:dyDescent="0.25">
      <c r="A72" s="8">
        <v>45740</v>
      </c>
      <c r="B72" s="3" t="s">
        <v>79</v>
      </c>
      <c r="C72" s="9">
        <v>14.86</v>
      </c>
      <c r="D72" s="3" t="s">
        <v>34</v>
      </c>
      <c r="E72" s="3" t="s">
        <v>66</v>
      </c>
      <c r="F72" s="1"/>
    </row>
    <row r="73" spans="1:6" x14ac:dyDescent="0.25">
      <c r="A73" s="8">
        <v>45723</v>
      </c>
      <c r="B73" s="3" t="s">
        <v>80</v>
      </c>
      <c r="C73" s="9">
        <v>25.82</v>
      </c>
      <c r="D73" s="3" t="s">
        <v>30</v>
      </c>
      <c r="E73" s="3" t="s">
        <v>66</v>
      </c>
      <c r="F73" s="1"/>
    </row>
    <row r="74" spans="1:6" x14ac:dyDescent="0.25">
      <c r="A74" s="8">
        <v>45748</v>
      </c>
      <c r="B74" s="3" t="s">
        <v>49</v>
      </c>
      <c r="C74" s="9">
        <v>1550</v>
      </c>
      <c r="D74" s="3" t="s">
        <v>10</v>
      </c>
      <c r="E74" s="3" t="s">
        <v>66</v>
      </c>
      <c r="F74" s="1"/>
    </row>
    <row r="75" spans="1:6" x14ac:dyDescent="0.25">
      <c r="A75" s="8">
        <v>45748</v>
      </c>
      <c r="B75" s="3" t="s">
        <v>51</v>
      </c>
      <c r="C75" s="9">
        <v>25</v>
      </c>
      <c r="D75" s="3" t="s">
        <v>12</v>
      </c>
      <c r="E75" s="3" t="s">
        <v>66</v>
      </c>
      <c r="F75" s="1"/>
    </row>
    <row r="76" spans="1:6" x14ac:dyDescent="0.25">
      <c r="A76" s="8">
        <v>45752</v>
      </c>
      <c r="B76" s="3" t="s">
        <v>52</v>
      </c>
      <c r="C76" s="9">
        <v>65</v>
      </c>
      <c r="D76" s="3" t="s">
        <v>14</v>
      </c>
      <c r="E76" s="3" t="s">
        <v>50</v>
      </c>
      <c r="F76" s="1"/>
    </row>
    <row r="77" spans="1:6" x14ac:dyDescent="0.25">
      <c r="A77" s="8">
        <v>45762</v>
      </c>
      <c r="B77" s="3" t="s">
        <v>53</v>
      </c>
      <c r="C77" s="9">
        <v>380</v>
      </c>
      <c r="D77" s="3" t="s">
        <v>15</v>
      </c>
      <c r="E77" s="3" t="s">
        <v>66</v>
      </c>
      <c r="F77" s="1"/>
    </row>
    <row r="78" spans="1:6" x14ac:dyDescent="0.25">
      <c r="A78" s="8">
        <v>45748</v>
      </c>
      <c r="B78" s="3" t="s">
        <v>54</v>
      </c>
      <c r="C78" s="9">
        <v>110</v>
      </c>
      <c r="D78" s="3" t="s">
        <v>18</v>
      </c>
      <c r="E78" s="3" t="s">
        <v>50</v>
      </c>
      <c r="F78" s="1"/>
    </row>
    <row r="79" spans="1:6" x14ac:dyDescent="0.25">
      <c r="A79" s="8">
        <v>45748</v>
      </c>
      <c r="B79" s="3" t="s">
        <v>55</v>
      </c>
      <c r="C79" s="9">
        <v>210</v>
      </c>
      <c r="D79" s="3" t="s">
        <v>31</v>
      </c>
      <c r="E79" s="3" t="s">
        <v>50</v>
      </c>
      <c r="F79" s="1"/>
    </row>
    <row r="80" spans="1:6" x14ac:dyDescent="0.25">
      <c r="A80" s="8">
        <v>45748</v>
      </c>
      <c r="B80" s="3" t="s">
        <v>56</v>
      </c>
      <c r="C80" s="9">
        <v>45</v>
      </c>
      <c r="D80" s="3" t="s">
        <v>33</v>
      </c>
      <c r="E80" s="3" t="s">
        <v>66</v>
      </c>
      <c r="F80" s="1"/>
    </row>
    <row r="81" spans="1:6" x14ac:dyDescent="0.25">
      <c r="A81" s="8">
        <v>45775</v>
      </c>
      <c r="B81" s="3" t="s">
        <v>57</v>
      </c>
      <c r="C81" s="9">
        <v>280</v>
      </c>
      <c r="D81" s="3" t="s">
        <v>39</v>
      </c>
      <c r="E81" s="3" t="s">
        <v>66</v>
      </c>
      <c r="F81" s="1"/>
    </row>
    <row r="82" spans="1:6" x14ac:dyDescent="0.25">
      <c r="A82" s="8">
        <v>45767</v>
      </c>
      <c r="B82" s="3" t="s">
        <v>58</v>
      </c>
      <c r="C82" s="9">
        <v>160</v>
      </c>
      <c r="D82" s="3" t="s">
        <v>41</v>
      </c>
      <c r="E82" s="3" t="s">
        <v>59</v>
      </c>
      <c r="F82" s="1"/>
    </row>
    <row r="83" spans="1:6" x14ac:dyDescent="0.25">
      <c r="A83" s="8">
        <v>45762</v>
      </c>
      <c r="B83" s="3" t="s">
        <v>60</v>
      </c>
      <c r="C83" s="9">
        <v>300</v>
      </c>
      <c r="D83" s="3" t="s">
        <v>35</v>
      </c>
      <c r="E83" s="3" t="s">
        <v>59</v>
      </c>
      <c r="F83" s="1"/>
    </row>
    <row r="84" spans="1:6" x14ac:dyDescent="0.25">
      <c r="A84" s="8">
        <v>45762</v>
      </c>
      <c r="B84" s="3" t="s">
        <v>61</v>
      </c>
      <c r="C84" s="9">
        <v>200</v>
      </c>
      <c r="D84" s="3" t="s">
        <v>37</v>
      </c>
      <c r="E84" s="3" t="s">
        <v>59</v>
      </c>
      <c r="F84" s="1"/>
    </row>
    <row r="85" spans="1:6" x14ac:dyDescent="0.25">
      <c r="A85" s="8">
        <v>45762</v>
      </c>
      <c r="B85" s="3" t="s">
        <v>62</v>
      </c>
      <c r="C85" s="9">
        <v>100</v>
      </c>
      <c r="D85" s="3" t="s">
        <v>38</v>
      </c>
      <c r="E85" s="3" t="s">
        <v>59</v>
      </c>
      <c r="F85" s="1"/>
    </row>
    <row r="86" spans="1:6" x14ac:dyDescent="0.25">
      <c r="A86" s="8">
        <v>45775</v>
      </c>
      <c r="B86" s="3" t="s">
        <v>63</v>
      </c>
      <c r="C86" s="9">
        <v>166.59</v>
      </c>
      <c r="D86" s="3" t="s">
        <v>13</v>
      </c>
      <c r="E86" s="3" t="s">
        <v>70</v>
      </c>
      <c r="F86" s="1"/>
    </row>
    <row r="87" spans="1:6" x14ac:dyDescent="0.25">
      <c r="A87" s="8">
        <v>45751</v>
      </c>
      <c r="B87" s="3" t="s">
        <v>81</v>
      </c>
      <c r="C87" s="9">
        <v>152.16999999999999</v>
      </c>
      <c r="D87" s="3" t="s">
        <v>17</v>
      </c>
      <c r="E87" s="3" t="s">
        <v>70</v>
      </c>
      <c r="F87" s="1"/>
    </row>
    <row r="88" spans="1:6" x14ac:dyDescent="0.25">
      <c r="A88" s="8">
        <v>45750</v>
      </c>
      <c r="B88" s="3" t="s">
        <v>82</v>
      </c>
      <c r="C88" s="9">
        <v>96.65</v>
      </c>
      <c r="D88" s="3" t="s">
        <v>21</v>
      </c>
      <c r="E88" s="3" t="s">
        <v>66</v>
      </c>
      <c r="F88" s="1"/>
    </row>
    <row r="89" spans="1:6" x14ac:dyDescent="0.25">
      <c r="A89" s="8">
        <v>45754</v>
      </c>
      <c r="B89" s="3" t="s">
        <v>76</v>
      </c>
      <c r="C89" s="9">
        <v>50.81</v>
      </c>
      <c r="D89" s="3" t="s">
        <v>23</v>
      </c>
      <c r="E89" s="3" t="s">
        <v>50</v>
      </c>
      <c r="F89" s="1"/>
    </row>
    <row r="90" spans="1:6" x14ac:dyDescent="0.25">
      <c r="A90" s="8">
        <v>45760</v>
      </c>
      <c r="B90" s="3" t="s">
        <v>77</v>
      </c>
      <c r="C90" s="9">
        <v>54.37</v>
      </c>
      <c r="D90" s="3" t="s">
        <v>23</v>
      </c>
      <c r="E90" s="3" t="s">
        <v>66</v>
      </c>
      <c r="F90" s="1"/>
    </row>
    <row r="91" spans="1:6" x14ac:dyDescent="0.25">
      <c r="A91" s="8">
        <v>45757</v>
      </c>
      <c r="B91" s="3" t="s">
        <v>69</v>
      </c>
      <c r="C91" s="9">
        <v>6.79</v>
      </c>
      <c r="D91" s="3" t="s">
        <v>24</v>
      </c>
      <c r="E91" s="3" t="s">
        <v>70</v>
      </c>
      <c r="F91" s="1"/>
    </row>
    <row r="92" spans="1:6" x14ac:dyDescent="0.25">
      <c r="A92" s="8">
        <v>45773</v>
      </c>
      <c r="B92" s="3" t="s">
        <v>69</v>
      </c>
      <c r="C92" s="9">
        <v>4.62</v>
      </c>
      <c r="D92" s="3" t="s">
        <v>24</v>
      </c>
      <c r="E92" s="3" t="s">
        <v>66</v>
      </c>
      <c r="F92" s="1"/>
    </row>
    <row r="93" spans="1:6" x14ac:dyDescent="0.25">
      <c r="A93" s="8">
        <v>45754</v>
      </c>
      <c r="B93" s="3" t="s">
        <v>71</v>
      </c>
      <c r="C93" s="9">
        <v>10.79</v>
      </c>
      <c r="D93" s="3" t="s">
        <v>20</v>
      </c>
      <c r="E93" s="3" t="s">
        <v>70</v>
      </c>
      <c r="F93" s="1"/>
    </row>
    <row r="94" spans="1:6" x14ac:dyDescent="0.25">
      <c r="A94" s="8">
        <v>45749</v>
      </c>
      <c r="B94" s="3" t="s">
        <v>79</v>
      </c>
      <c r="C94" s="9">
        <v>11.14</v>
      </c>
      <c r="D94" s="3" t="s">
        <v>34</v>
      </c>
      <c r="E94" s="3" t="s">
        <v>70</v>
      </c>
      <c r="F94" s="1"/>
    </row>
    <row r="95" spans="1:6" x14ac:dyDescent="0.25">
      <c r="A95" s="8">
        <v>45764</v>
      </c>
      <c r="B95" s="3" t="s">
        <v>83</v>
      </c>
      <c r="C95" s="9">
        <v>29.45</v>
      </c>
      <c r="D95" s="3" t="s">
        <v>30</v>
      </c>
      <c r="E95" s="3" t="s">
        <v>70</v>
      </c>
      <c r="F95" s="1"/>
    </row>
    <row r="96" spans="1:6" x14ac:dyDescent="0.25">
      <c r="A96" s="8">
        <v>45778</v>
      </c>
      <c r="B96" s="3" t="s">
        <v>49</v>
      </c>
      <c r="C96" s="9">
        <v>1550</v>
      </c>
      <c r="D96" s="3" t="s">
        <v>10</v>
      </c>
      <c r="E96" s="3" t="s">
        <v>50</v>
      </c>
      <c r="F96" s="1"/>
    </row>
    <row r="97" spans="1:6" x14ac:dyDescent="0.25">
      <c r="A97" s="8">
        <v>45778</v>
      </c>
      <c r="B97" s="3" t="s">
        <v>51</v>
      </c>
      <c r="C97" s="9">
        <v>25</v>
      </c>
      <c r="D97" s="3" t="s">
        <v>12</v>
      </c>
      <c r="E97" s="3" t="s">
        <v>50</v>
      </c>
      <c r="F97" s="1"/>
    </row>
    <row r="98" spans="1:6" x14ac:dyDescent="0.25">
      <c r="A98" s="8">
        <v>45782</v>
      </c>
      <c r="B98" s="3" t="s">
        <v>52</v>
      </c>
      <c r="C98" s="9">
        <v>65</v>
      </c>
      <c r="D98" s="3" t="s">
        <v>14</v>
      </c>
      <c r="E98" s="3" t="s">
        <v>66</v>
      </c>
      <c r="F98" s="1"/>
    </row>
    <row r="99" spans="1:6" x14ac:dyDescent="0.25">
      <c r="A99" s="8">
        <v>45792</v>
      </c>
      <c r="B99" s="3" t="s">
        <v>53</v>
      </c>
      <c r="C99" s="9">
        <v>380</v>
      </c>
      <c r="D99" s="3" t="s">
        <v>15</v>
      </c>
      <c r="E99" s="3" t="s">
        <v>50</v>
      </c>
      <c r="F99" s="1"/>
    </row>
    <row r="100" spans="1:6" x14ac:dyDescent="0.25">
      <c r="A100" s="8">
        <v>45778</v>
      </c>
      <c r="B100" s="3" t="s">
        <v>54</v>
      </c>
      <c r="C100" s="9">
        <v>110</v>
      </c>
      <c r="D100" s="3" t="s">
        <v>18</v>
      </c>
      <c r="E100" s="3" t="s">
        <v>50</v>
      </c>
      <c r="F100" s="1"/>
    </row>
    <row r="101" spans="1:6" x14ac:dyDescent="0.25">
      <c r="A101" s="8">
        <v>45778</v>
      </c>
      <c r="B101" s="3" t="s">
        <v>55</v>
      </c>
      <c r="C101" s="9">
        <v>210</v>
      </c>
      <c r="D101" s="3" t="s">
        <v>31</v>
      </c>
      <c r="E101" s="3" t="s">
        <v>66</v>
      </c>
      <c r="F101" s="1"/>
    </row>
    <row r="102" spans="1:6" x14ac:dyDescent="0.25">
      <c r="A102" s="8">
        <v>45778</v>
      </c>
      <c r="B102" s="3" t="s">
        <v>56</v>
      </c>
      <c r="C102" s="9">
        <v>45</v>
      </c>
      <c r="D102" s="3" t="s">
        <v>33</v>
      </c>
      <c r="E102" s="3" t="s">
        <v>50</v>
      </c>
      <c r="F102" s="1"/>
    </row>
    <row r="103" spans="1:6" x14ac:dyDescent="0.25">
      <c r="A103" s="8">
        <v>45805</v>
      </c>
      <c r="B103" s="3" t="s">
        <v>57</v>
      </c>
      <c r="C103" s="9">
        <v>280</v>
      </c>
      <c r="D103" s="3" t="s">
        <v>39</v>
      </c>
      <c r="E103" s="3" t="s">
        <v>50</v>
      </c>
      <c r="F103" s="1"/>
    </row>
    <row r="104" spans="1:6" x14ac:dyDescent="0.25">
      <c r="A104" s="8">
        <v>45797</v>
      </c>
      <c r="B104" s="3" t="s">
        <v>58</v>
      </c>
      <c r="C104" s="9">
        <v>160</v>
      </c>
      <c r="D104" s="3" t="s">
        <v>41</v>
      </c>
      <c r="E104" s="3" t="s">
        <v>59</v>
      </c>
      <c r="F104" s="1"/>
    </row>
    <row r="105" spans="1:6" x14ac:dyDescent="0.25">
      <c r="A105" s="8">
        <v>45792</v>
      </c>
      <c r="B105" s="3" t="s">
        <v>60</v>
      </c>
      <c r="C105" s="9">
        <v>300</v>
      </c>
      <c r="D105" s="3" t="s">
        <v>35</v>
      </c>
      <c r="E105" s="3" t="s">
        <v>59</v>
      </c>
      <c r="F105" s="1"/>
    </row>
    <row r="106" spans="1:6" x14ac:dyDescent="0.25">
      <c r="A106" s="8">
        <v>45792</v>
      </c>
      <c r="B106" s="3" t="s">
        <v>61</v>
      </c>
      <c r="C106" s="9">
        <v>200</v>
      </c>
      <c r="D106" s="3" t="s">
        <v>37</v>
      </c>
      <c r="E106" s="3" t="s">
        <v>59</v>
      </c>
      <c r="F106" s="1"/>
    </row>
    <row r="107" spans="1:6" x14ac:dyDescent="0.25">
      <c r="A107" s="8">
        <v>45792</v>
      </c>
      <c r="B107" s="3" t="s">
        <v>62</v>
      </c>
      <c r="C107" s="9">
        <v>100</v>
      </c>
      <c r="D107" s="3" t="s">
        <v>38</v>
      </c>
      <c r="E107" s="3" t="s">
        <v>59</v>
      </c>
      <c r="F107" s="1"/>
    </row>
    <row r="108" spans="1:6" x14ac:dyDescent="0.25">
      <c r="A108" s="8">
        <v>45792</v>
      </c>
      <c r="B108" s="3" t="s">
        <v>74</v>
      </c>
      <c r="C108" s="9">
        <v>195.74</v>
      </c>
      <c r="D108" s="3" t="s">
        <v>13</v>
      </c>
      <c r="E108" s="3" t="s">
        <v>50</v>
      </c>
      <c r="F108" s="1"/>
    </row>
    <row r="109" spans="1:6" x14ac:dyDescent="0.25">
      <c r="A109" s="8">
        <v>45778</v>
      </c>
      <c r="B109" s="3" t="s">
        <v>64</v>
      </c>
      <c r="C109" s="9">
        <v>149.69</v>
      </c>
      <c r="D109" s="3" t="s">
        <v>17</v>
      </c>
      <c r="E109" s="3" t="s">
        <v>70</v>
      </c>
      <c r="F109" s="1"/>
    </row>
    <row r="110" spans="1:6" x14ac:dyDescent="0.25">
      <c r="A110" s="8">
        <v>45780</v>
      </c>
      <c r="B110" s="3" t="s">
        <v>82</v>
      </c>
      <c r="C110" s="9">
        <v>110.24</v>
      </c>
      <c r="D110" s="3" t="s">
        <v>21</v>
      </c>
      <c r="E110" s="3" t="s">
        <v>50</v>
      </c>
      <c r="F110" s="1"/>
    </row>
    <row r="111" spans="1:6" x14ac:dyDescent="0.25">
      <c r="A111" s="8">
        <v>45806</v>
      </c>
      <c r="B111" s="3" t="s">
        <v>77</v>
      </c>
      <c r="C111" s="9">
        <v>49.81</v>
      </c>
      <c r="D111" s="3" t="s">
        <v>23</v>
      </c>
      <c r="E111" s="3" t="s">
        <v>66</v>
      </c>
      <c r="F111" s="1"/>
    </row>
    <row r="112" spans="1:6" x14ac:dyDescent="0.25">
      <c r="A112" s="8">
        <v>45787</v>
      </c>
      <c r="B112" s="3" t="s">
        <v>84</v>
      </c>
      <c r="C112" s="9">
        <v>30.84</v>
      </c>
      <c r="D112" s="3" t="s">
        <v>23</v>
      </c>
      <c r="E112" s="3" t="s">
        <v>70</v>
      </c>
      <c r="F112" s="1"/>
    </row>
    <row r="113" spans="1:6" x14ac:dyDescent="0.25">
      <c r="A113" s="8">
        <v>45787</v>
      </c>
      <c r="B113" s="3" t="s">
        <v>68</v>
      </c>
      <c r="C113" s="9">
        <v>6.67</v>
      </c>
      <c r="D113" s="3" t="s">
        <v>24</v>
      </c>
      <c r="E113" s="3" t="s">
        <v>70</v>
      </c>
      <c r="F113" s="1"/>
    </row>
    <row r="114" spans="1:6" x14ac:dyDescent="0.25">
      <c r="A114" s="8">
        <v>45787</v>
      </c>
      <c r="B114" s="3" t="s">
        <v>68</v>
      </c>
      <c r="C114" s="9">
        <v>7.76</v>
      </c>
      <c r="D114" s="3" t="s">
        <v>24</v>
      </c>
      <c r="E114" s="3" t="s">
        <v>50</v>
      </c>
      <c r="F114" s="1"/>
    </row>
    <row r="115" spans="1:6" x14ac:dyDescent="0.25">
      <c r="A115" s="8">
        <v>45786</v>
      </c>
      <c r="B115" s="3" t="s">
        <v>68</v>
      </c>
      <c r="C115" s="9">
        <v>7.56</v>
      </c>
      <c r="D115" s="3" t="s">
        <v>24</v>
      </c>
      <c r="E115" s="3" t="s">
        <v>70</v>
      </c>
      <c r="F115" s="1"/>
    </row>
    <row r="116" spans="1:6" x14ac:dyDescent="0.25">
      <c r="A116" s="8">
        <v>45795</v>
      </c>
      <c r="B116" s="3" t="s">
        <v>71</v>
      </c>
      <c r="C116" s="9">
        <v>7.72</v>
      </c>
      <c r="D116" s="3" t="s">
        <v>20</v>
      </c>
      <c r="E116" s="3" t="s">
        <v>70</v>
      </c>
      <c r="F116" s="1"/>
    </row>
    <row r="117" spans="1:6" x14ac:dyDescent="0.25">
      <c r="A117" s="8">
        <v>45784</v>
      </c>
      <c r="B117" s="3" t="s">
        <v>79</v>
      </c>
      <c r="C117" s="9">
        <v>14.07</v>
      </c>
      <c r="D117" s="3" t="s">
        <v>34</v>
      </c>
      <c r="E117" s="3" t="s">
        <v>70</v>
      </c>
      <c r="F117" s="1"/>
    </row>
    <row r="118" spans="1:6" x14ac:dyDescent="0.25">
      <c r="A118" s="8">
        <v>45794</v>
      </c>
      <c r="B118" s="3" t="s">
        <v>85</v>
      </c>
      <c r="C118" s="9">
        <v>31.32</v>
      </c>
      <c r="D118" s="3" t="s">
        <v>29</v>
      </c>
      <c r="E118" s="3" t="s">
        <v>50</v>
      </c>
      <c r="F118" s="1"/>
    </row>
    <row r="119" spans="1:6" x14ac:dyDescent="0.25">
      <c r="A119" s="8">
        <v>45809</v>
      </c>
      <c r="B119" s="3" t="s">
        <v>49</v>
      </c>
      <c r="C119" s="9">
        <v>1550</v>
      </c>
      <c r="D119" s="3" t="s">
        <v>10</v>
      </c>
      <c r="E119" s="3" t="s">
        <v>66</v>
      </c>
      <c r="F119" s="1"/>
    </row>
    <row r="120" spans="1:6" x14ac:dyDescent="0.25">
      <c r="A120" s="8">
        <v>45809</v>
      </c>
      <c r="B120" s="3" t="s">
        <v>51</v>
      </c>
      <c r="C120" s="9">
        <v>25</v>
      </c>
      <c r="D120" s="3" t="s">
        <v>12</v>
      </c>
      <c r="E120" s="3" t="s">
        <v>50</v>
      </c>
      <c r="F120" s="1"/>
    </row>
    <row r="121" spans="1:6" x14ac:dyDescent="0.25">
      <c r="A121" s="8">
        <v>45813</v>
      </c>
      <c r="B121" s="3" t="s">
        <v>52</v>
      </c>
      <c r="C121" s="9">
        <v>65</v>
      </c>
      <c r="D121" s="3" t="s">
        <v>14</v>
      </c>
      <c r="E121" s="3" t="s">
        <v>66</v>
      </c>
      <c r="F121" s="1"/>
    </row>
    <row r="122" spans="1:6" x14ac:dyDescent="0.25">
      <c r="A122" s="8">
        <v>45823</v>
      </c>
      <c r="B122" s="3" t="s">
        <v>53</v>
      </c>
      <c r="C122" s="9">
        <v>380</v>
      </c>
      <c r="D122" s="3" t="s">
        <v>15</v>
      </c>
      <c r="E122" s="3" t="s">
        <v>66</v>
      </c>
      <c r="F122" s="1"/>
    </row>
    <row r="123" spans="1:6" x14ac:dyDescent="0.25">
      <c r="A123" s="8">
        <v>45809</v>
      </c>
      <c r="B123" s="3" t="s">
        <v>54</v>
      </c>
      <c r="C123" s="9">
        <v>110</v>
      </c>
      <c r="D123" s="3" t="s">
        <v>18</v>
      </c>
      <c r="E123" s="3" t="s">
        <v>66</v>
      </c>
      <c r="F123" s="1"/>
    </row>
    <row r="124" spans="1:6" x14ac:dyDescent="0.25">
      <c r="A124" s="8">
        <v>45809</v>
      </c>
      <c r="B124" s="3" t="s">
        <v>55</v>
      </c>
      <c r="C124" s="9">
        <v>210</v>
      </c>
      <c r="D124" s="3" t="s">
        <v>31</v>
      </c>
      <c r="E124" s="3" t="s">
        <v>50</v>
      </c>
      <c r="F124" s="1"/>
    </row>
    <row r="125" spans="1:6" x14ac:dyDescent="0.25">
      <c r="A125" s="8">
        <v>45809</v>
      </c>
      <c r="B125" s="3" t="s">
        <v>56</v>
      </c>
      <c r="C125" s="9">
        <v>45</v>
      </c>
      <c r="D125" s="3" t="s">
        <v>33</v>
      </c>
      <c r="E125" s="3" t="s">
        <v>50</v>
      </c>
      <c r="F125" s="1"/>
    </row>
    <row r="126" spans="1:6" x14ac:dyDescent="0.25">
      <c r="A126" s="8">
        <v>45836</v>
      </c>
      <c r="B126" s="3" t="s">
        <v>57</v>
      </c>
      <c r="C126" s="9">
        <v>280</v>
      </c>
      <c r="D126" s="3" t="s">
        <v>39</v>
      </c>
      <c r="E126" s="3" t="s">
        <v>50</v>
      </c>
      <c r="F126" s="1"/>
    </row>
    <row r="127" spans="1:6" x14ac:dyDescent="0.25">
      <c r="A127" s="8">
        <v>45828</v>
      </c>
      <c r="B127" s="3" t="s">
        <v>58</v>
      </c>
      <c r="C127" s="9">
        <v>160</v>
      </c>
      <c r="D127" s="3" t="s">
        <v>41</v>
      </c>
      <c r="E127" s="3" t="s">
        <v>59</v>
      </c>
      <c r="F127" s="1"/>
    </row>
    <row r="128" spans="1:6" x14ac:dyDescent="0.25">
      <c r="A128" s="8">
        <v>45823</v>
      </c>
      <c r="B128" s="3" t="s">
        <v>60</v>
      </c>
      <c r="C128" s="9">
        <v>300</v>
      </c>
      <c r="D128" s="3" t="s">
        <v>35</v>
      </c>
      <c r="E128" s="3" t="s">
        <v>59</v>
      </c>
      <c r="F128" s="1"/>
    </row>
    <row r="129" spans="1:6" x14ac:dyDescent="0.25">
      <c r="A129" s="8">
        <v>45823</v>
      </c>
      <c r="B129" s="3" t="s">
        <v>61</v>
      </c>
      <c r="C129" s="9">
        <v>200</v>
      </c>
      <c r="D129" s="3" t="s">
        <v>37</v>
      </c>
      <c r="E129" s="3" t="s">
        <v>59</v>
      </c>
      <c r="F129" s="1"/>
    </row>
    <row r="130" spans="1:6" x14ac:dyDescent="0.25">
      <c r="A130" s="8">
        <v>45823</v>
      </c>
      <c r="B130" s="3" t="s">
        <v>62</v>
      </c>
      <c r="C130" s="9">
        <v>100</v>
      </c>
      <c r="D130" s="3" t="s">
        <v>38</v>
      </c>
      <c r="E130" s="3" t="s">
        <v>59</v>
      </c>
      <c r="F130" s="1"/>
    </row>
    <row r="131" spans="1:6" x14ac:dyDescent="0.25">
      <c r="A131" s="8">
        <v>45810</v>
      </c>
      <c r="B131" s="3" t="s">
        <v>74</v>
      </c>
      <c r="C131" s="9">
        <v>161.88</v>
      </c>
      <c r="D131" s="3" t="s">
        <v>13</v>
      </c>
      <c r="E131" s="3" t="s">
        <v>50</v>
      </c>
      <c r="F131" s="1"/>
    </row>
    <row r="132" spans="1:6" x14ac:dyDescent="0.25">
      <c r="A132" s="8">
        <v>45837</v>
      </c>
      <c r="B132" s="3" t="s">
        <v>64</v>
      </c>
      <c r="C132" s="9">
        <v>116.81</v>
      </c>
      <c r="D132" s="3" t="s">
        <v>17</v>
      </c>
      <c r="E132" s="3" t="s">
        <v>50</v>
      </c>
      <c r="F132" s="1"/>
    </row>
    <row r="133" spans="1:6" x14ac:dyDescent="0.25">
      <c r="A133" s="8">
        <v>45812</v>
      </c>
      <c r="B133" s="3" t="s">
        <v>65</v>
      </c>
      <c r="C133" s="9">
        <v>121.2</v>
      </c>
      <c r="D133" s="3" t="s">
        <v>21</v>
      </c>
      <c r="E133" s="3" t="s">
        <v>66</v>
      </c>
      <c r="F133" s="1"/>
    </row>
    <row r="134" spans="1:6" x14ac:dyDescent="0.25">
      <c r="A134" s="8">
        <v>45828</v>
      </c>
      <c r="B134" s="3" t="s">
        <v>82</v>
      </c>
      <c r="C134" s="9">
        <v>127.03</v>
      </c>
      <c r="D134" s="3" t="s">
        <v>21</v>
      </c>
      <c r="E134" s="3" t="s">
        <v>50</v>
      </c>
      <c r="F134" s="1"/>
    </row>
    <row r="135" spans="1:6" x14ac:dyDescent="0.25">
      <c r="A135" s="8">
        <v>45836</v>
      </c>
      <c r="B135" s="3" t="s">
        <v>82</v>
      </c>
      <c r="C135" s="9">
        <v>129.05000000000001</v>
      </c>
      <c r="D135" s="3" t="s">
        <v>21</v>
      </c>
      <c r="E135" s="3" t="s">
        <v>50</v>
      </c>
      <c r="F135" s="1"/>
    </row>
    <row r="136" spans="1:6" x14ac:dyDescent="0.25">
      <c r="A136" s="8">
        <v>45809</v>
      </c>
      <c r="B136" s="3" t="s">
        <v>84</v>
      </c>
      <c r="C136" s="9">
        <v>43.67</v>
      </c>
      <c r="D136" s="3" t="s">
        <v>23</v>
      </c>
      <c r="E136" s="3" t="s">
        <v>66</v>
      </c>
      <c r="F136" s="1"/>
    </row>
    <row r="137" spans="1:6" x14ac:dyDescent="0.25">
      <c r="A137" s="8">
        <v>45834</v>
      </c>
      <c r="B137" s="3" t="s">
        <v>76</v>
      </c>
      <c r="C137" s="9">
        <v>46.5</v>
      </c>
      <c r="D137" s="3" t="s">
        <v>23</v>
      </c>
      <c r="E137" s="3" t="s">
        <v>70</v>
      </c>
      <c r="F137" s="1"/>
    </row>
    <row r="138" spans="1:6" x14ac:dyDescent="0.25">
      <c r="A138" s="8">
        <v>45817</v>
      </c>
      <c r="B138" s="3" t="s">
        <v>68</v>
      </c>
      <c r="C138" s="9">
        <v>7.15</v>
      </c>
      <c r="D138" s="3" t="s">
        <v>24</v>
      </c>
      <c r="E138" s="3" t="s">
        <v>50</v>
      </c>
      <c r="F138" s="1"/>
    </row>
    <row r="139" spans="1:6" x14ac:dyDescent="0.25">
      <c r="A139" s="8">
        <v>45821</v>
      </c>
      <c r="B139" s="3" t="s">
        <v>71</v>
      </c>
      <c r="C139" s="9">
        <v>13.59</v>
      </c>
      <c r="D139" s="3" t="s">
        <v>20</v>
      </c>
      <c r="E139" s="3" t="s">
        <v>50</v>
      </c>
      <c r="F139" s="1"/>
    </row>
    <row r="140" spans="1:6" x14ac:dyDescent="0.25">
      <c r="A140" s="8">
        <v>45815</v>
      </c>
      <c r="B140" s="3" t="s">
        <v>79</v>
      </c>
      <c r="C140" s="9">
        <v>16.989999999999998</v>
      </c>
      <c r="D140" s="3" t="s">
        <v>34</v>
      </c>
      <c r="E140" s="3" t="s">
        <v>50</v>
      </c>
      <c r="F140" s="1"/>
    </row>
    <row r="141" spans="1:6" x14ac:dyDescent="0.25">
      <c r="A141" s="8">
        <v>45809</v>
      </c>
      <c r="B141" s="3" t="s">
        <v>86</v>
      </c>
      <c r="C141" s="9">
        <v>27.97</v>
      </c>
      <c r="D141" s="3" t="s">
        <v>27</v>
      </c>
      <c r="E141" s="3" t="s">
        <v>66</v>
      </c>
      <c r="F141" s="1"/>
    </row>
    <row r="142" spans="1:6" x14ac:dyDescent="0.25">
      <c r="A142" s="8">
        <v>45839</v>
      </c>
      <c r="B142" s="3" t="s">
        <v>49</v>
      </c>
      <c r="C142" s="9">
        <v>1550</v>
      </c>
      <c r="D142" s="3" t="s">
        <v>10</v>
      </c>
      <c r="E142" s="3" t="s">
        <v>66</v>
      </c>
      <c r="F142" s="1"/>
    </row>
    <row r="143" spans="1:6" x14ac:dyDescent="0.25">
      <c r="A143" s="8">
        <v>45839</v>
      </c>
      <c r="B143" s="3" t="s">
        <v>51</v>
      </c>
      <c r="C143" s="9">
        <v>25</v>
      </c>
      <c r="D143" s="3" t="s">
        <v>12</v>
      </c>
      <c r="E143" s="3" t="s">
        <v>66</v>
      </c>
      <c r="F143" s="1"/>
    </row>
    <row r="144" spans="1:6" x14ac:dyDescent="0.25">
      <c r="A144" s="8">
        <v>45843</v>
      </c>
      <c r="B144" s="3" t="s">
        <v>52</v>
      </c>
      <c r="C144" s="9">
        <v>65</v>
      </c>
      <c r="D144" s="3" t="s">
        <v>14</v>
      </c>
      <c r="E144" s="3" t="s">
        <v>50</v>
      </c>
      <c r="F144" s="1"/>
    </row>
    <row r="145" spans="1:6" x14ac:dyDescent="0.25">
      <c r="A145" s="8">
        <v>45853</v>
      </c>
      <c r="B145" s="3" t="s">
        <v>53</v>
      </c>
      <c r="C145" s="9">
        <v>380</v>
      </c>
      <c r="D145" s="3" t="s">
        <v>15</v>
      </c>
      <c r="E145" s="3" t="s">
        <v>66</v>
      </c>
      <c r="F145" s="1"/>
    </row>
    <row r="146" spans="1:6" x14ac:dyDescent="0.25">
      <c r="A146" s="8">
        <v>45839</v>
      </c>
      <c r="B146" s="3" t="s">
        <v>54</v>
      </c>
      <c r="C146" s="9">
        <v>110</v>
      </c>
      <c r="D146" s="3" t="s">
        <v>18</v>
      </c>
      <c r="E146" s="3" t="s">
        <v>66</v>
      </c>
      <c r="F146" s="1"/>
    </row>
    <row r="147" spans="1:6" x14ac:dyDescent="0.25">
      <c r="A147" s="8">
        <v>45839</v>
      </c>
      <c r="B147" s="3" t="s">
        <v>55</v>
      </c>
      <c r="C147" s="9">
        <v>210</v>
      </c>
      <c r="D147" s="3" t="s">
        <v>31</v>
      </c>
      <c r="E147" s="3" t="s">
        <v>50</v>
      </c>
      <c r="F147" s="1"/>
    </row>
    <row r="148" spans="1:6" x14ac:dyDescent="0.25">
      <c r="A148" s="8">
        <v>45839</v>
      </c>
      <c r="B148" s="3" t="s">
        <v>56</v>
      </c>
      <c r="C148" s="9">
        <v>45</v>
      </c>
      <c r="D148" s="3" t="s">
        <v>33</v>
      </c>
      <c r="E148" s="3" t="s">
        <v>66</v>
      </c>
      <c r="F148" s="1"/>
    </row>
    <row r="149" spans="1:6" x14ac:dyDescent="0.25">
      <c r="A149" s="8">
        <v>45866</v>
      </c>
      <c r="B149" s="3" t="s">
        <v>57</v>
      </c>
      <c r="C149" s="9">
        <v>280</v>
      </c>
      <c r="D149" s="3" t="s">
        <v>39</v>
      </c>
      <c r="E149" s="3" t="s">
        <v>66</v>
      </c>
      <c r="F149" s="1"/>
    </row>
    <row r="150" spans="1:6" x14ac:dyDescent="0.25">
      <c r="A150" s="8">
        <v>45858</v>
      </c>
      <c r="B150" s="3" t="s">
        <v>58</v>
      </c>
      <c r="C150" s="9">
        <v>160</v>
      </c>
      <c r="D150" s="3" t="s">
        <v>41</v>
      </c>
      <c r="E150" s="3" t="s">
        <v>59</v>
      </c>
      <c r="F150" s="1"/>
    </row>
    <row r="151" spans="1:6" x14ac:dyDescent="0.25">
      <c r="A151" s="8">
        <v>45853</v>
      </c>
      <c r="B151" s="3" t="s">
        <v>60</v>
      </c>
      <c r="C151" s="9">
        <v>300</v>
      </c>
      <c r="D151" s="3" t="s">
        <v>35</v>
      </c>
      <c r="E151" s="3" t="s">
        <v>59</v>
      </c>
      <c r="F151" s="1"/>
    </row>
    <row r="152" spans="1:6" x14ac:dyDescent="0.25">
      <c r="A152" s="8">
        <v>45853</v>
      </c>
      <c r="B152" s="3" t="s">
        <v>61</v>
      </c>
      <c r="C152" s="9">
        <v>200</v>
      </c>
      <c r="D152" s="3" t="s">
        <v>37</v>
      </c>
      <c r="E152" s="3" t="s">
        <v>59</v>
      </c>
      <c r="F152" s="1"/>
    </row>
    <row r="153" spans="1:6" x14ac:dyDescent="0.25">
      <c r="A153" s="8">
        <v>45853</v>
      </c>
      <c r="B153" s="3" t="s">
        <v>62</v>
      </c>
      <c r="C153" s="9">
        <v>100</v>
      </c>
      <c r="D153" s="3" t="s">
        <v>38</v>
      </c>
      <c r="E153" s="3" t="s">
        <v>59</v>
      </c>
      <c r="F153" s="1"/>
    </row>
    <row r="154" spans="1:6" x14ac:dyDescent="0.25">
      <c r="A154" s="8">
        <v>45840</v>
      </c>
      <c r="B154" s="3" t="s">
        <v>74</v>
      </c>
      <c r="C154" s="9">
        <v>140.1</v>
      </c>
      <c r="D154" s="3" t="s">
        <v>13</v>
      </c>
      <c r="E154" s="3" t="s">
        <v>70</v>
      </c>
      <c r="F154" s="1"/>
    </row>
    <row r="155" spans="1:6" x14ac:dyDescent="0.25">
      <c r="A155" s="8">
        <v>45860</v>
      </c>
      <c r="B155" s="3" t="s">
        <v>75</v>
      </c>
      <c r="C155" s="9">
        <v>175.22</v>
      </c>
      <c r="D155" s="3" t="s">
        <v>17</v>
      </c>
      <c r="E155" s="3" t="s">
        <v>70</v>
      </c>
      <c r="F155" s="1"/>
    </row>
    <row r="156" spans="1:6" x14ac:dyDescent="0.25">
      <c r="A156" s="8">
        <v>45845</v>
      </c>
      <c r="B156" s="3" t="s">
        <v>65</v>
      </c>
      <c r="C156" s="9">
        <v>107.25</v>
      </c>
      <c r="D156" s="3" t="s">
        <v>21</v>
      </c>
      <c r="E156" s="3" t="s">
        <v>70</v>
      </c>
      <c r="F156" s="1"/>
    </row>
    <row r="157" spans="1:6" x14ac:dyDescent="0.25">
      <c r="A157" s="8">
        <v>45868</v>
      </c>
      <c r="B157" s="3" t="s">
        <v>65</v>
      </c>
      <c r="C157" s="9">
        <v>114.93</v>
      </c>
      <c r="D157" s="3" t="s">
        <v>21</v>
      </c>
      <c r="E157" s="3" t="s">
        <v>70</v>
      </c>
      <c r="F157" s="1"/>
    </row>
    <row r="158" spans="1:6" x14ac:dyDescent="0.25">
      <c r="A158" s="8">
        <v>45866</v>
      </c>
      <c r="B158" s="3" t="s">
        <v>87</v>
      </c>
      <c r="C158" s="9">
        <v>118.79</v>
      </c>
      <c r="D158" s="3" t="s">
        <v>21</v>
      </c>
      <c r="E158" s="3" t="s">
        <v>66</v>
      </c>
      <c r="F158" s="1"/>
    </row>
    <row r="159" spans="1:6" x14ac:dyDescent="0.25">
      <c r="A159" s="8">
        <v>45848</v>
      </c>
      <c r="B159" s="3" t="s">
        <v>76</v>
      </c>
      <c r="C159" s="9">
        <v>26.03</v>
      </c>
      <c r="D159" s="3" t="s">
        <v>23</v>
      </c>
      <c r="E159" s="3" t="s">
        <v>70</v>
      </c>
      <c r="F159" s="1"/>
    </row>
    <row r="160" spans="1:6" x14ac:dyDescent="0.25">
      <c r="A160" s="8">
        <v>45848</v>
      </c>
      <c r="B160" s="3" t="s">
        <v>84</v>
      </c>
      <c r="C160" s="9">
        <v>20.25</v>
      </c>
      <c r="D160" s="3" t="s">
        <v>23</v>
      </c>
      <c r="E160" s="3" t="s">
        <v>70</v>
      </c>
      <c r="F160" s="1"/>
    </row>
    <row r="161" spans="1:6" x14ac:dyDescent="0.25">
      <c r="A161" s="8">
        <v>45869</v>
      </c>
      <c r="B161" s="3" t="s">
        <v>76</v>
      </c>
      <c r="C161" s="9">
        <v>41.12</v>
      </c>
      <c r="D161" s="3" t="s">
        <v>23</v>
      </c>
      <c r="E161" s="3" t="s">
        <v>50</v>
      </c>
      <c r="F161" s="1"/>
    </row>
    <row r="162" spans="1:6" x14ac:dyDescent="0.25">
      <c r="A162" s="8">
        <v>45857</v>
      </c>
      <c r="B162" s="3" t="s">
        <v>69</v>
      </c>
      <c r="C162" s="9">
        <v>5.62</v>
      </c>
      <c r="D162" s="3" t="s">
        <v>24</v>
      </c>
      <c r="E162" s="3" t="s">
        <v>50</v>
      </c>
      <c r="F162" s="1"/>
    </row>
    <row r="163" spans="1:6" x14ac:dyDescent="0.25">
      <c r="A163" s="8">
        <v>45848</v>
      </c>
      <c r="B163" s="3" t="s">
        <v>69</v>
      </c>
      <c r="C163" s="9">
        <v>4.84</v>
      </c>
      <c r="D163" s="3" t="s">
        <v>24</v>
      </c>
      <c r="E163" s="3" t="s">
        <v>70</v>
      </c>
      <c r="F163" s="1"/>
    </row>
    <row r="164" spans="1:6" x14ac:dyDescent="0.25">
      <c r="A164" s="8">
        <v>45858</v>
      </c>
      <c r="B164" s="3" t="s">
        <v>69</v>
      </c>
      <c r="C164" s="9">
        <v>5.86</v>
      </c>
      <c r="D164" s="3" t="s">
        <v>24</v>
      </c>
      <c r="E164" s="3" t="s">
        <v>66</v>
      </c>
      <c r="F164" s="1"/>
    </row>
    <row r="165" spans="1:6" x14ac:dyDescent="0.25">
      <c r="A165" s="8">
        <v>45860</v>
      </c>
      <c r="B165" s="3" t="s">
        <v>71</v>
      </c>
      <c r="C165" s="9">
        <v>10.11</v>
      </c>
      <c r="D165" s="3" t="s">
        <v>20</v>
      </c>
      <c r="E165" s="3" t="s">
        <v>70</v>
      </c>
      <c r="F165" s="1"/>
    </row>
    <row r="166" spans="1:6" x14ac:dyDescent="0.25">
      <c r="A166" s="8">
        <v>45844</v>
      </c>
      <c r="B166" s="3" t="s">
        <v>72</v>
      </c>
      <c r="C166" s="9">
        <v>15.68</v>
      </c>
      <c r="D166" s="3" t="s">
        <v>34</v>
      </c>
      <c r="E166" s="3" t="s">
        <v>70</v>
      </c>
      <c r="F166" s="1"/>
    </row>
    <row r="167" spans="1:6" x14ac:dyDescent="0.25">
      <c r="A167" s="8">
        <v>45858</v>
      </c>
      <c r="B167" s="3" t="s">
        <v>88</v>
      </c>
      <c r="C167" s="9">
        <v>45.88</v>
      </c>
      <c r="D167" s="3" t="s">
        <v>19</v>
      </c>
      <c r="E167" s="3" t="s">
        <v>50</v>
      </c>
      <c r="F167" s="1"/>
    </row>
    <row r="168" spans="1:6" x14ac:dyDescent="0.25">
      <c r="A168" s="8">
        <v>45870</v>
      </c>
      <c r="B168" s="3" t="s">
        <v>49</v>
      </c>
      <c r="C168" s="9">
        <v>1550</v>
      </c>
      <c r="D168" s="3" t="s">
        <v>10</v>
      </c>
      <c r="E168" s="3" t="s">
        <v>50</v>
      </c>
      <c r="F168" s="1"/>
    </row>
    <row r="169" spans="1:6" x14ac:dyDescent="0.25">
      <c r="A169" s="8">
        <v>45870</v>
      </c>
      <c r="B169" s="3" t="s">
        <v>51</v>
      </c>
      <c r="C169" s="9">
        <v>25</v>
      </c>
      <c r="D169" s="3" t="s">
        <v>12</v>
      </c>
      <c r="E169" s="3" t="s">
        <v>50</v>
      </c>
      <c r="F169" s="1"/>
    </row>
    <row r="170" spans="1:6" x14ac:dyDescent="0.25">
      <c r="A170" s="8">
        <v>45874</v>
      </c>
      <c r="B170" s="3" t="s">
        <v>52</v>
      </c>
      <c r="C170" s="9">
        <v>65</v>
      </c>
      <c r="D170" s="3" t="s">
        <v>14</v>
      </c>
      <c r="E170" s="3" t="s">
        <v>50</v>
      </c>
      <c r="F170" s="1"/>
    </row>
    <row r="171" spans="1:6" x14ac:dyDescent="0.25">
      <c r="A171" s="8">
        <v>45884</v>
      </c>
      <c r="B171" s="3" t="s">
        <v>53</v>
      </c>
      <c r="C171" s="9">
        <v>380</v>
      </c>
      <c r="D171" s="3" t="s">
        <v>15</v>
      </c>
      <c r="E171" s="3" t="s">
        <v>66</v>
      </c>
      <c r="F171" s="1"/>
    </row>
    <row r="172" spans="1:6" x14ac:dyDescent="0.25">
      <c r="A172" s="8">
        <v>45870</v>
      </c>
      <c r="B172" s="3" t="s">
        <v>54</v>
      </c>
      <c r="C172" s="9">
        <v>110</v>
      </c>
      <c r="D172" s="3" t="s">
        <v>18</v>
      </c>
      <c r="E172" s="3" t="s">
        <v>66</v>
      </c>
      <c r="F172" s="1"/>
    </row>
    <row r="173" spans="1:6" x14ac:dyDescent="0.25">
      <c r="A173" s="8">
        <v>45870</v>
      </c>
      <c r="B173" s="3" t="s">
        <v>55</v>
      </c>
      <c r="C173" s="9">
        <v>210</v>
      </c>
      <c r="D173" s="3" t="s">
        <v>31</v>
      </c>
      <c r="E173" s="3" t="s">
        <v>50</v>
      </c>
      <c r="F173" s="1"/>
    </row>
    <row r="174" spans="1:6" x14ac:dyDescent="0.25">
      <c r="A174" s="8">
        <v>45870</v>
      </c>
      <c r="B174" s="3" t="s">
        <v>56</v>
      </c>
      <c r="C174" s="9">
        <v>45</v>
      </c>
      <c r="D174" s="3" t="s">
        <v>33</v>
      </c>
      <c r="E174" s="3" t="s">
        <v>66</v>
      </c>
      <c r="F174" s="1"/>
    </row>
    <row r="175" spans="1:6" x14ac:dyDescent="0.25">
      <c r="A175" s="8">
        <v>45897</v>
      </c>
      <c r="B175" s="3" t="s">
        <v>57</v>
      </c>
      <c r="C175" s="9">
        <v>280</v>
      </c>
      <c r="D175" s="3" t="s">
        <v>39</v>
      </c>
      <c r="E175" s="3" t="s">
        <v>50</v>
      </c>
      <c r="F175" s="1"/>
    </row>
    <row r="176" spans="1:6" x14ac:dyDescent="0.25">
      <c r="A176" s="8">
        <v>45889</v>
      </c>
      <c r="B176" s="3" t="s">
        <v>58</v>
      </c>
      <c r="C176" s="9">
        <v>160</v>
      </c>
      <c r="D176" s="3" t="s">
        <v>41</v>
      </c>
      <c r="E176" s="3" t="s">
        <v>59</v>
      </c>
      <c r="F176" s="1"/>
    </row>
    <row r="177" spans="1:6" x14ac:dyDescent="0.25">
      <c r="A177" s="8">
        <v>45884</v>
      </c>
      <c r="B177" s="3" t="s">
        <v>60</v>
      </c>
      <c r="C177" s="9">
        <v>300</v>
      </c>
      <c r="D177" s="3" t="s">
        <v>35</v>
      </c>
      <c r="E177" s="3" t="s">
        <v>59</v>
      </c>
      <c r="F177" s="1"/>
    </row>
    <row r="178" spans="1:6" x14ac:dyDescent="0.25">
      <c r="A178" s="8">
        <v>45884</v>
      </c>
      <c r="B178" s="3" t="s">
        <v>61</v>
      </c>
      <c r="C178" s="9">
        <v>200</v>
      </c>
      <c r="D178" s="3" t="s">
        <v>37</v>
      </c>
      <c r="E178" s="3" t="s">
        <v>59</v>
      </c>
      <c r="F178" s="1"/>
    </row>
    <row r="179" spans="1:6" x14ac:dyDescent="0.25">
      <c r="A179" s="8">
        <v>45884</v>
      </c>
      <c r="B179" s="3" t="s">
        <v>62</v>
      </c>
      <c r="C179" s="9">
        <v>100</v>
      </c>
      <c r="D179" s="3" t="s">
        <v>38</v>
      </c>
      <c r="E179" s="3" t="s">
        <v>59</v>
      </c>
      <c r="F179" s="1"/>
    </row>
    <row r="180" spans="1:6" x14ac:dyDescent="0.25">
      <c r="A180" s="8">
        <v>45877</v>
      </c>
      <c r="B180" s="3" t="s">
        <v>63</v>
      </c>
      <c r="C180" s="9">
        <v>188.25</v>
      </c>
      <c r="D180" s="3" t="s">
        <v>13</v>
      </c>
      <c r="E180" s="3" t="s">
        <v>70</v>
      </c>
      <c r="F180" s="1"/>
    </row>
    <row r="181" spans="1:6" x14ac:dyDescent="0.25">
      <c r="A181" s="8">
        <v>45886</v>
      </c>
      <c r="B181" s="3" t="s">
        <v>64</v>
      </c>
      <c r="C181" s="9">
        <v>104.02</v>
      </c>
      <c r="D181" s="3" t="s">
        <v>17</v>
      </c>
      <c r="E181" s="3" t="s">
        <v>50</v>
      </c>
      <c r="F181" s="1"/>
    </row>
    <row r="182" spans="1:6" x14ac:dyDescent="0.25">
      <c r="A182" s="8">
        <v>45884</v>
      </c>
      <c r="B182" s="3" t="s">
        <v>82</v>
      </c>
      <c r="C182" s="9">
        <v>122.06</v>
      </c>
      <c r="D182" s="3" t="s">
        <v>21</v>
      </c>
      <c r="E182" s="3" t="s">
        <v>70</v>
      </c>
      <c r="F182" s="1"/>
    </row>
    <row r="183" spans="1:6" x14ac:dyDescent="0.25">
      <c r="A183" s="8">
        <v>45887</v>
      </c>
      <c r="B183" s="3" t="s">
        <v>67</v>
      </c>
      <c r="C183" s="9">
        <v>52.85</v>
      </c>
      <c r="D183" s="3" t="s">
        <v>23</v>
      </c>
      <c r="E183" s="3" t="s">
        <v>66</v>
      </c>
      <c r="F183" s="1"/>
    </row>
    <row r="184" spans="1:6" x14ac:dyDescent="0.25">
      <c r="A184" s="8">
        <v>45889</v>
      </c>
      <c r="B184" s="3" t="s">
        <v>76</v>
      </c>
      <c r="C184" s="9">
        <v>47.71</v>
      </c>
      <c r="D184" s="3" t="s">
        <v>23</v>
      </c>
      <c r="E184" s="3" t="s">
        <v>70</v>
      </c>
      <c r="F184" s="1"/>
    </row>
    <row r="185" spans="1:6" x14ac:dyDescent="0.25">
      <c r="A185" s="8">
        <v>45884</v>
      </c>
      <c r="B185" s="3" t="s">
        <v>84</v>
      </c>
      <c r="C185" s="9">
        <v>43.98</v>
      </c>
      <c r="D185" s="3" t="s">
        <v>23</v>
      </c>
      <c r="E185" s="3" t="s">
        <v>66</v>
      </c>
      <c r="F185" s="1"/>
    </row>
    <row r="186" spans="1:6" x14ac:dyDescent="0.25">
      <c r="A186" s="8">
        <v>45878</v>
      </c>
      <c r="B186" s="3" t="s">
        <v>68</v>
      </c>
      <c r="C186" s="9">
        <v>7.36</v>
      </c>
      <c r="D186" s="3" t="s">
        <v>24</v>
      </c>
      <c r="E186" s="3" t="s">
        <v>66</v>
      </c>
      <c r="F186" s="1"/>
    </row>
    <row r="187" spans="1:6" x14ac:dyDescent="0.25">
      <c r="A187" s="8">
        <v>45894</v>
      </c>
      <c r="B187" s="3" t="s">
        <v>69</v>
      </c>
      <c r="C187" s="9">
        <v>6.51</v>
      </c>
      <c r="D187" s="3" t="s">
        <v>24</v>
      </c>
      <c r="E187" s="3" t="s">
        <v>66</v>
      </c>
      <c r="F187" s="1"/>
    </row>
    <row r="188" spans="1:6" x14ac:dyDescent="0.25">
      <c r="A188" s="8">
        <v>45884</v>
      </c>
      <c r="B188" s="3" t="s">
        <v>71</v>
      </c>
      <c r="C188" s="9">
        <v>12.14</v>
      </c>
      <c r="D188" s="3" t="s">
        <v>20</v>
      </c>
      <c r="E188" s="3" t="s">
        <v>50</v>
      </c>
      <c r="F188" s="1"/>
    </row>
    <row r="189" spans="1:6" x14ac:dyDescent="0.25">
      <c r="A189" s="8">
        <v>45878</v>
      </c>
      <c r="B189" s="3" t="s">
        <v>79</v>
      </c>
      <c r="C189" s="9">
        <v>16.39</v>
      </c>
      <c r="D189" s="3" t="s">
        <v>34</v>
      </c>
      <c r="E189" s="3" t="s">
        <v>70</v>
      </c>
      <c r="F189" s="1"/>
    </row>
    <row r="190" spans="1:6" x14ac:dyDescent="0.25">
      <c r="A190" s="8">
        <v>45874</v>
      </c>
      <c r="B190" s="3" t="s">
        <v>83</v>
      </c>
      <c r="C190" s="9">
        <v>54.66</v>
      </c>
      <c r="D190" s="3" t="s">
        <v>25</v>
      </c>
      <c r="E190" s="3" t="s">
        <v>70</v>
      </c>
      <c r="F190" s="1"/>
    </row>
    <row r="191" spans="1:6" x14ac:dyDescent="0.25">
      <c r="A191" s="8">
        <v>45901</v>
      </c>
      <c r="B191" s="3" t="s">
        <v>49</v>
      </c>
      <c r="C191" s="9">
        <v>1550</v>
      </c>
      <c r="D191" s="3" t="s">
        <v>10</v>
      </c>
      <c r="E191" s="3" t="s">
        <v>50</v>
      </c>
      <c r="F191" s="1"/>
    </row>
    <row r="192" spans="1:6" x14ac:dyDescent="0.25">
      <c r="A192" s="8">
        <v>45901</v>
      </c>
      <c r="B192" s="3" t="s">
        <v>51</v>
      </c>
      <c r="C192" s="9">
        <v>25</v>
      </c>
      <c r="D192" s="3" t="s">
        <v>12</v>
      </c>
      <c r="E192" s="3" t="s">
        <v>66</v>
      </c>
      <c r="F192" s="1"/>
    </row>
    <row r="193" spans="1:6" x14ac:dyDescent="0.25">
      <c r="A193" s="8">
        <v>45905</v>
      </c>
      <c r="B193" s="3" t="s">
        <v>52</v>
      </c>
      <c r="C193" s="9">
        <v>65</v>
      </c>
      <c r="D193" s="3" t="s">
        <v>14</v>
      </c>
      <c r="E193" s="3" t="s">
        <v>66</v>
      </c>
      <c r="F193" s="1"/>
    </row>
    <row r="194" spans="1:6" x14ac:dyDescent="0.25">
      <c r="A194" s="8">
        <v>45915</v>
      </c>
      <c r="B194" s="3" t="s">
        <v>53</v>
      </c>
      <c r="C194" s="9">
        <v>380</v>
      </c>
      <c r="D194" s="3" t="s">
        <v>15</v>
      </c>
      <c r="E194" s="3" t="s">
        <v>66</v>
      </c>
      <c r="F194" s="1"/>
    </row>
    <row r="195" spans="1:6" x14ac:dyDescent="0.25">
      <c r="A195" s="8">
        <v>45901</v>
      </c>
      <c r="B195" s="3" t="s">
        <v>54</v>
      </c>
      <c r="C195" s="9">
        <v>110</v>
      </c>
      <c r="D195" s="3" t="s">
        <v>18</v>
      </c>
      <c r="E195" s="3" t="s">
        <v>50</v>
      </c>
      <c r="F195" s="1"/>
    </row>
    <row r="196" spans="1:6" x14ac:dyDescent="0.25">
      <c r="A196" s="8">
        <v>45901</v>
      </c>
      <c r="B196" s="3" t="s">
        <v>55</v>
      </c>
      <c r="C196" s="9">
        <v>210</v>
      </c>
      <c r="D196" s="3" t="s">
        <v>31</v>
      </c>
      <c r="E196" s="3" t="s">
        <v>66</v>
      </c>
      <c r="F196" s="1"/>
    </row>
    <row r="197" spans="1:6" x14ac:dyDescent="0.25">
      <c r="A197" s="8">
        <v>45901</v>
      </c>
      <c r="B197" s="3" t="s">
        <v>56</v>
      </c>
      <c r="C197" s="9">
        <v>45</v>
      </c>
      <c r="D197" s="3" t="s">
        <v>33</v>
      </c>
      <c r="E197" s="3" t="s">
        <v>66</v>
      </c>
      <c r="F197" s="1"/>
    </row>
    <row r="198" spans="1:6" x14ac:dyDescent="0.25">
      <c r="A198" s="8">
        <v>45928</v>
      </c>
      <c r="B198" s="3" t="s">
        <v>57</v>
      </c>
      <c r="C198" s="9">
        <v>280</v>
      </c>
      <c r="D198" s="3" t="s">
        <v>39</v>
      </c>
      <c r="E198" s="3" t="s">
        <v>50</v>
      </c>
      <c r="F198" s="1"/>
    </row>
    <row r="199" spans="1:6" x14ac:dyDescent="0.25">
      <c r="A199" s="8">
        <v>45920</v>
      </c>
      <c r="B199" s="3" t="s">
        <v>58</v>
      </c>
      <c r="C199" s="9">
        <v>160</v>
      </c>
      <c r="D199" s="3" t="s">
        <v>41</v>
      </c>
      <c r="E199" s="3" t="s">
        <v>59</v>
      </c>
      <c r="F199" s="1"/>
    </row>
    <row r="200" spans="1:6" x14ac:dyDescent="0.25">
      <c r="A200" s="8">
        <v>45915</v>
      </c>
      <c r="B200" s="3" t="s">
        <v>60</v>
      </c>
      <c r="C200" s="9">
        <v>300</v>
      </c>
      <c r="D200" s="3" t="s">
        <v>35</v>
      </c>
      <c r="E200" s="3" t="s">
        <v>59</v>
      </c>
      <c r="F200" s="1"/>
    </row>
    <row r="201" spans="1:6" x14ac:dyDescent="0.25">
      <c r="A201" s="8">
        <v>45915</v>
      </c>
      <c r="B201" s="3" t="s">
        <v>61</v>
      </c>
      <c r="C201" s="9">
        <v>200</v>
      </c>
      <c r="D201" s="3" t="s">
        <v>37</v>
      </c>
      <c r="E201" s="3" t="s">
        <v>59</v>
      </c>
      <c r="F201" s="1"/>
    </row>
    <row r="202" spans="1:6" x14ac:dyDescent="0.25">
      <c r="A202" s="8">
        <v>45915</v>
      </c>
      <c r="B202" s="3" t="s">
        <v>62</v>
      </c>
      <c r="C202" s="9">
        <v>100</v>
      </c>
      <c r="D202" s="3" t="s">
        <v>38</v>
      </c>
      <c r="E202" s="3" t="s">
        <v>59</v>
      </c>
      <c r="F202" s="1"/>
    </row>
    <row r="203" spans="1:6" x14ac:dyDescent="0.25">
      <c r="A203" s="8">
        <v>45918</v>
      </c>
      <c r="B203" s="3" t="s">
        <v>63</v>
      </c>
      <c r="C203" s="9">
        <v>169.29</v>
      </c>
      <c r="D203" s="3" t="s">
        <v>13</v>
      </c>
      <c r="E203" s="3" t="s">
        <v>66</v>
      </c>
      <c r="F203" s="1"/>
    </row>
    <row r="204" spans="1:6" x14ac:dyDescent="0.25">
      <c r="A204" s="8">
        <v>45914</v>
      </c>
      <c r="B204" s="3" t="s">
        <v>64</v>
      </c>
      <c r="C204" s="9">
        <v>102.32</v>
      </c>
      <c r="D204" s="3" t="s">
        <v>17</v>
      </c>
      <c r="E204" s="3" t="s">
        <v>66</v>
      </c>
      <c r="F204" s="1"/>
    </row>
    <row r="205" spans="1:6" x14ac:dyDescent="0.25">
      <c r="A205" s="8">
        <v>45922</v>
      </c>
      <c r="B205" s="3" t="s">
        <v>89</v>
      </c>
      <c r="C205" s="9">
        <v>118.97</v>
      </c>
      <c r="D205" s="3" t="s">
        <v>21</v>
      </c>
      <c r="E205" s="3" t="s">
        <v>66</v>
      </c>
      <c r="F205" s="1"/>
    </row>
    <row r="206" spans="1:6" x14ac:dyDescent="0.25">
      <c r="A206" s="8">
        <v>45930</v>
      </c>
      <c r="B206" s="3" t="s">
        <v>82</v>
      </c>
      <c r="C206" s="9">
        <v>129.22999999999999</v>
      </c>
      <c r="D206" s="3" t="s">
        <v>21</v>
      </c>
      <c r="E206" s="3" t="s">
        <v>70</v>
      </c>
      <c r="F206" s="1"/>
    </row>
    <row r="207" spans="1:6" x14ac:dyDescent="0.25">
      <c r="A207" s="8">
        <v>45901</v>
      </c>
      <c r="B207" s="3" t="s">
        <v>89</v>
      </c>
      <c r="C207" s="9">
        <v>113.68</v>
      </c>
      <c r="D207" s="3" t="s">
        <v>21</v>
      </c>
      <c r="E207" s="3" t="s">
        <v>70</v>
      </c>
      <c r="F207" s="1"/>
    </row>
    <row r="208" spans="1:6" x14ac:dyDescent="0.25">
      <c r="A208" s="8">
        <v>45903</v>
      </c>
      <c r="B208" s="3" t="s">
        <v>76</v>
      </c>
      <c r="C208" s="9">
        <v>17.84</v>
      </c>
      <c r="D208" s="3" t="s">
        <v>23</v>
      </c>
      <c r="E208" s="3" t="s">
        <v>66</v>
      </c>
      <c r="F208" s="1"/>
    </row>
    <row r="209" spans="1:6" x14ac:dyDescent="0.25">
      <c r="A209" s="8">
        <v>45902</v>
      </c>
      <c r="B209" s="3" t="s">
        <v>69</v>
      </c>
      <c r="C209" s="9">
        <v>5.52</v>
      </c>
      <c r="D209" s="3" t="s">
        <v>24</v>
      </c>
      <c r="E209" s="3" t="s">
        <v>50</v>
      </c>
      <c r="F209" s="1"/>
    </row>
    <row r="210" spans="1:6" x14ac:dyDescent="0.25">
      <c r="A210" s="8">
        <v>45915</v>
      </c>
      <c r="B210" s="3" t="s">
        <v>78</v>
      </c>
      <c r="C210" s="9">
        <v>8.3800000000000008</v>
      </c>
      <c r="D210" s="3" t="s">
        <v>20</v>
      </c>
      <c r="E210" s="3" t="s">
        <v>66</v>
      </c>
      <c r="F210" s="1"/>
    </row>
    <row r="211" spans="1:6" x14ac:dyDescent="0.25">
      <c r="A211" s="8">
        <v>45909</v>
      </c>
      <c r="B211" s="3" t="s">
        <v>79</v>
      </c>
      <c r="C211" s="9">
        <v>15.05</v>
      </c>
      <c r="D211" s="3" t="s">
        <v>34</v>
      </c>
      <c r="E211" s="3" t="s">
        <v>50</v>
      </c>
      <c r="F211" s="1"/>
    </row>
    <row r="212" spans="1:6" x14ac:dyDescent="0.25">
      <c r="A212" s="8">
        <v>45901</v>
      </c>
      <c r="B212" s="3" t="s">
        <v>83</v>
      </c>
      <c r="C212" s="9">
        <v>52.37</v>
      </c>
      <c r="D212" s="3" t="s">
        <v>30</v>
      </c>
      <c r="E212" s="3" t="s">
        <v>66</v>
      </c>
      <c r="F212" s="1"/>
    </row>
    <row r="213" spans="1:6" x14ac:dyDescent="0.25">
      <c r="A213" s="8">
        <v>45931</v>
      </c>
      <c r="B213" s="3" t="s">
        <v>49</v>
      </c>
      <c r="C213" s="9">
        <v>1550</v>
      </c>
      <c r="D213" s="3" t="s">
        <v>10</v>
      </c>
      <c r="E213" s="3" t="s">
        <v>50</v>
      </c>
      <c r="F213" s="1"/>
    </row>
    <row r="214" spans="1:6" x14ac:dyDescent="0.25">
      <c r="A214" s="8">
        <v>45931</v>
      </c>
      <c r="B214" s="3" t="s">
        <v>51</v>
      </c>
      <c r="C214" s="9">
        <v>25</v>
      </c>
      <c r="D214" s="3" t="s">
        <v>12</v>
      </c>
      <c r="E214" s="3" t="s">
        <v>50</v>
      </c>
      <c r="F214" s="1"/>
    </row>
    <row r="215" spans="1:6" x14ac:dyDescent="0.25">
      <c r="A215" s="8">
        <v>45935</v>
      </c>
      <c r="B215" s="3" t="s">
        <v>52</v>
      </c>
      <c r="C215" s="9">
        <v>65</v>
      </c>
      <c r="D215" s="3" t="s">
        <v>14</v>
      </c>
      <c r="E215" s="3" t="s">
        <v>50</v>
      </c>
      <c r="F215" s="1"/>
    </row>
    <row r="216" spans="1:6" x14ac:dyDescent="0.25">
      <c r="A216" s="8">
        <v>45945</v>
      </c>
      <c r="B216" s="3" t="s">
        <v>53</v>
      </c>
      <c r="C216" s="9">
        <v>380</v>
      </c>
      <c r="D216" s="3" t="s">
        <v>15</v>
      </c>
      <c r="E216" s="3" t="s">
        <v>50</v>
      </c>
      <c r="F216" s="1"/>
    </row>
    <row r="217" spans="1:6" x14ac:dyDescent="0.25">
      <c r="A217" s="8">
        <v>45931</v>
      </c>
      <c r="B217" s="3" t="s">
        <v>54</v>
      </c>
      <c r="C217" s="9">
        <v>110</v>
      </c>
      <c r="D217" s="3" t="s">
        <v>18</v>
      </c>
      <c r="E217" s="3" t="s">
        <v>50</v>
      </c>
      <c r="F217" s="1"/>
    </row>
    <row r="218" spans="1:6" x14ac:dyDescent="0.25">
      <c r="A218" s="8">
        <v>45931</v>
      </c>
      <c r="B218" s="3" t="s">
        <v>55</v>
      </c>
      <c r="C218" s="9">
        <v>210</v>
      </c>
      <c r="D218" s="3" t="s">
        <v>31</v>
      </c>
      <c r="E218" s="3" t="s">
        <v>50</v>
      </c>
      <c r="F218" s="1"/>
    </row>
    <row r="219" spans="1:6" x14ac:dyDescent="0.25">
      <c r="A219" s="8">
        <v>45931</v>
      </c>
      <c r="B219" s="3" t="s">
        <v>56</v>
      </c>
      <c r="C219" s="9">
        <v>45</v>
      </c>
      <c r="D219" s="3" t="s">
        <v>33</v>
      </c>
      <c r="E219" s="3" t="s">
        <v>66</v>
      </c>
      <c r="F219" s="1"/>
    </row>
    <row r="220" spans="1:6" x14ac:dyDescent="0.25">
      <c r="A220" s="8">
        <v>45958</v>
      </c>
      <c r="B220" s="3" t="s">
        <v>57</v>
      </c>
      <c r="C220" s="9">
        <v>280</v>
      </c>
      <c r="D220" s="3" t="s">
        <v>39</v>
      </c>
      <c r="E220" s="3" t="s">
        <v>66</v>
      </c>
      <c r="F220" s="1"/>
    </row>
    <row r="221" spans="1:6" x14ac:dyDescent="0.25">
      <c r="A221" s="8">
        <v>45950</v>
      </c>
      <c r="B221" s="3" t="s">
        <v>58</v>
      </c>
      <c r="C221" s="9">
        <v>160</v>
      </c>
      <c r="D221" s="3" t="s">
        <v>41</v>
      </c>
      <c r="E221" s="3" t="s">
        <v>59</v>
      </c>
      <c r="F221" s="1"/>
    </row>
    <row r="222" spans="1:6" x14ac:dyDescent="0.25">
      <c r="A222" s="8">
        <v>45945</v>
      </c>
      <c r="B222" s="3" t="s">
        <v>60</v>
      </c>
      <c r="C222" s="9">
        <v>300</v>
      </c>
      <c r="D222" s="3" t="s">
        <v>35</v>
      </c>
      <c r="E222" s="3" t="s">
        <v>59</v>
      </c>
      <c r="F222" s="1"/>
    </row>
    <row r="223" spans="1:6" x14ac:dyDescent="0.25">
      <c r="A223" s="8">
        <v>45945</v>
      </c>
      <c r="B223" s="3" t="s">
        <v>61</v>
      </c>
      <c r="C223" s="9">
        <v>200</v>
      </c>
      <c r="D223" s="3" t="s">
        <v>37</v>
      </c>
      <c r="E223" s="3" t="s">
        <v>59</v>
      </c>
      <c r="F223" s="1"/>
    </row>
    <row r="224" spans="1:6" x14ac:dyDescent="0.25">
      <c r="A224" s="8">
        <v>45945</v>
      </c>
      <c r="B224" s="3" t="s">
        <v>62</v>
      </c>
      <c r="C224" s="9">
        <v>100</v>
      </c>
      <c r="D224" s="3" t="s">
        <v>38</v>
      </c>
      <c r="E224" s="3" t="s">
        <v>59</v>
      </c>
      <c r="F224" s="1"/>
    </row>
    <row r="225" spans="1:6" x14ac:dyDescent="0.25">
      <c r="A225" s="8">
        <v>45934</v>
      </c>
      <c r="B225" s="3" t="s">
        <v>63</v>
      </c>
      <c r="C225" s="9">
        <v>195.73</v>
      </c>
      <c r="D225" s="3" t="s">
        <v>13</v>
      </c>
      <c r="E225" s="3" t="s">
        <v>70</v>
      </c>
      <c r="F225" s="1"/>
    </row>
    <row r="226" spans="1:6" x14ac:dyDescent="0.25">
      <c r="A226" s="8">
        <v>45952</v>
      </c>
      <c r="B226" s="3" t="s">
        <v>64</v>
      </c>
      <c r="C226" s="9">
        <v>131.72999999999999</v>
      </c>
      <c r="D226" s="3" t="s">
        <v>17</v>
      </c>
      <c r="E226" s="3" t="s">
        <v>70</v>
      </c>
      <c r="F226" s="1"/>
    </row>
    <row r="227" spans="1:6" x14ac:dyDescent="0.25">
      <c r="A227" s="8">
        <v>45933</v>
      </c>
      <c r="B227" s="3" t="s">
        <v>82</v>
      </c>
      <c r="C227" s="9">
        <v>94.08</v>
      </c>
      <c r="D227" s="3" t="s">
        <v>21</v>
      </c>
      <c r="E227" s="3" t="s">
        <v>66</v>
      </c>
      <c r="F227" s="1"/>
    </row>
    <row r="228" spans="1:6" x14ac:dyDescent="0.25">
      <c r="A228" s="8">
        <v>45950</v>
      </c>
      <c r="B228" s="3" t="s">
        <v>77</v>
      </c>
      <c r="C228" s="9">
        <v>46.24</v>
      </c>
      <c r="D228" s="3" t="s">
        <v>23</v>
      </c>
      <c r="E228" s="3" t="s">
        <v>70</v>
      </c>
      <c r="F228" s="1"/>
    </row>
    <row r="229" spans="1:6" x14ac:dyDescent="0.25">
      <c r="A229" s="8">
        <v>45956</v>
      </c>
      <c r="B229" s="3" t="s">
        <v>77</v>
      </c>
      <c r="C229" s="9">
        <v>26.93</v>
      </c>
      <c r="D229" s="3" t="s">
        <v>23</v>
      </c>
      <c r="E229" s="3" t="s">
        <v>66</v>
      </c>
      <c r="F229" s="1"/>
    </row>
    <row r="230" spans="1:6" x14ac:dyDescent="0.25">
      <c r="A230" s="8">
        <v>45952</v>
      </c>
      <c r="B230" s="3" t="s">
        <v>67</v>
      </c>
      <c r="C230" s="9">
        <v>14.97</v>
      </c>
      <c r="D230" s="3" t="s">
        <v>23</v>
      </c>
      <c r="E230" s="3" t="s">
        <v>70</v>
      </c>
      <c r="F230" s="1"/>
    </row>
    <row r="231" spans="1:6" x14ac:dyDescent="0.25">
      <c r="A231" s="8">
        <v>45931</v>
      </c>
      <c r="B231" s="3" t="s">
        <v>69</v>
      </c>
      <c r="C231" s="9">
        <v>7.29</v>
      </c>
      <c r="D231" s="3" t="s">
        <v>24</v>
      </c>
      <c r="E231" s="3" t="s">
        <v>50</v>
      </c>
      <c r="F231" s="1"/>
    </row>
    <row r="232" spans="1:6" x14ac:dyDescent="0.25">
      <c r="A232" s="8">
        <v>45944</v>
      </c>
      <c r="B232" s="3" t="s">
        <v>69</v>
      </c>
      <c r="C232" s="9">
        <v>6.54</v>
      </c>
      <c r="D232" s="3" t="s">
        <v>24</v>
      </c>
      <c r="E232" s="3" t="s">
        <v>66</v>
      </c>
      <c r="F232" s="1"/>
    </row>
    <row r="233" spans="1:6" x14ac:dyDescent="0.25">
      <c r="A233" s="8">
        <v>45953</v>
      </c>
      <c r="B233" s="3" t="s">
        <v>71</v>
      </c>
      <c r="C233" s="9">
        <v>9.35</v>
      </c>
      <c r="D233" s="3" t="s">
        <v>20</v>
      </c>
      <c r="E233" s="3" t="s">
        <v>70</v>
      </c>
      <c r="F233" s="1"/>
    </row>
    <row r="234" spans="1:6" x14ac:dyDescent="0.25">
      <c r="A234" s="8">
        <v>45947</v>
      </c>
      <c r="B234" s="3" t="s">
        <v>79</v>
      </c>
      <c r="C234" s="9">
        <v>22.32</v>
      </c>
      <c r="D234" s="3" t="s">
        <v>34</v>
      </c>
      <c r="E234" s="3" t="s">
        <v>70</v>
      </c>
      <c r="F234" s="1"/>
    </row>
    <row r="235" spans="1:6" x14ac:dyDescent="0.25">
      <c r="A235" s="8">
        <v>45945</v>
      </c>
      <c r="B235" s="3" t="s">
        <v>90</v>
      </c>
      <c r="C235" s="9">
        <v>69.540000000000006</v>
      </c>
      <c r="D235" s="3" t="s">
        <v>30</v>
      </c>
      <c r="E235" s="3" t="s">
        <v>70</v>
      </c>
      <c r="F235" s="1"/>
    </row>
    <row r="236" spans="1:6" x14ac:dyDescent="0.25">
      <c r="A236" s="8">
        <v>45962</v>
      </c>
      <c r="B236" s="3" t="s">
        <v>49</v>
      </c>
      <c r="C236" s="9">
        <v>1550</v>
      </c>
      <c r="D236" s="3" t="s">
        <v>10</v>
      </c>
      <c r="E236" s="3" t="s">
        <v>66</v>
      </c>
      <c r="F236" s="1"/>
    </row>
    <row r="237" spans="1:6" x14ac:dyDescent="0.25">
      <c r="A237" s="8">
        <v>45962</v>
      </c>
      <c r="B237" s="3" t="s">
        <v>51</v>
      </c>
      <c r="C237" s="9">
        <v>25</v>
      </c>
      <c r="D237" s="3" t="s">
        <v>12</v>
      </c>
      <c r="E237" s="3" t="s">
        <v>50</v>
      </c>
      <c r="F237" s="1"/>
    </row>
    <row r="238" spans="1:6" x14ac:dyDescent="0.25">
      <c r="A238" s="8">
        <v>45966</v>
      </c>
      <c r="B238" s="3" t="s">
        <v>52</v>
      </c>
      <c r="C238" s="9">
        <v>65</v>
      </c>
      <c r="D238" s="3" t="s">
        <v>14</v>
      </c>
      <c r="E238" s="3" t="s">
        <v>66</v>
      </c>
      <c r="F238" s="1"/>
    </row>
    <row r="239" spans="1:6" x14ac:dyDescent="0.25">
      <c r="A239" s="8">
        <v>45976</v>
      </c>
      <c r="B239" s="3" t="s">
        <v>53</v>
      </c>
      <c r="C239" s="9">
        <v>380</v>
      </c>
      <c r="D239" s="3" t="s">
        <v>15</v>
      </c>
      <c r="E239" s="3" t="s">
        <v>66</v>
      </c>
      <c r="F239" s="1"/>
    </row>
    <row r="240" spans="1:6" x14ac:dyDescent="0.25">
      <c r="A240" s="8">
        <v>45962</v>
      </c>
      <c r="B240" s="3" t="s">
        <v>54</v>
      </c>
      <c r="C240" s="9">
        <v>110</v>
      </c>
      <c r="D240" s="3" t="s">
        <v>18</v>
      </c>
      <c r="E240" s="3" t="s">
        <v>66</v>
      </c>
      <c r="F240" s="1"/>
    </row>
    <row r="241" spans="1:6" x14ac:dyDescent="0.25">
      <c r="A241" s="8">
        <v>45962</v>
      </c>
      <c r="B241" s="3" t="s">
        <v>55</v>
      </c>
      <c r="C241" s="9">
        <v>210</v>
      </c>
      <c r="D241" s="3" t="s">
        <v>31</v>
      </c>
      <c r="E241" s="3" t="s">
        <v>66</v>
      </c>
      <c r="F241" s="1"/>
    </row>
    <row r="242" spans="1:6" x14ac:dyDescent="0.25">
      <c r="A242" s="8">
        <v>45962</v>
      </c>
      <c r="B242" s="3" t="s">
        <v>56</v>
      </c>
      <c r="C242" s="9">
        <v>45</v>
      </c>
      <c r="D242" s="3" t="s">
        <v>33</v>
      </c>
      <c r="E242" s="3" t="s">
        <v>50</v>
      </c>
      <c r="F242" s="1"/>
    </row>
    <row r="243" spans="1:6" x14ac:dyDescent="0.25">
      <c r="A243" s="8">
        <v>45989</v>
      </c>
      <c r="B243" s="3" t="s">
        <v>57</v>
      </c>
      <c r="C243" s="9">
        <v>280</v>
      </c>
      <c r="D243" s="3" t="s">
        <v>39</v>
      </c>
      <c r="E243" s="3" t="s">
        <v>50</v>
      </c>
      <c r="F243" s="1"/>
    </row>
    <row r="244" spans="1:6" x14ac:dyDescent="0.25">
      <c r="A244" s="8">
        <v>45981</v>
      </c>
      <c r="B244" s="3" t="s">
        <v>58</v>
      </c>
      <c r="C244" s="9">
        <v>160</v>
      </c>
      <c r="D244" s="3" t="s">
        <v>41</v>
      </c>
      <c r="E244" s="3" t="s">
        <v>59</v>
      </c>
      <c r="F244" s="1"/>
    </row>
    <row r="245" spans="1:6" x14ac:dyDescent="0.25">
      <c r="A245" s="8">
        <v>45976</v>
      </c>
      <c r="B245" s="3" t="s">
        <v>60</v>
      </c>
      <c r="C245" s="9">
        <v>300</v>
      </c>
      <c r="D245" s="3" t="s">
        <v>35</v>
      </c>
      <c r="E245" s="3" t="s">
        <v>59</v>
      </c>
      <c r="F245" s="1"/>
    </row>
    <row r="246" spans="1:6" x14ac:dyDescent="0.25">
      <c r="A246" s="8">
        <v>45976</v>
      </c>
      <c r="B246" s="3" t="s">
        <v>61</v>
      </c>
      <c r="C246" s="9">
        <v>200</v>
      </c>
      <c r="D246" s="3" t="s">
        <v>37</v>
      </c>
      <c r="E246" s="3" t="s">
        <v>59</v>
      </c>
      <c r="F246" s="1"/>
    </row>
    <row r="247" spans="1:6" x14ac:dyDescent="0.25">
      <c r="A247" s="8">
        <v>45976</v>
      </c>
      <c r="B247" s="3" t="s">
        <v>62</v>
      </c>
      <c r="C247" s="9">
        <v>100</v>
      </c>
      <c r="D247" s="3" t="s">
        <v>38</v>
      </c>
      <c r="E247" s="3" t="s">
        <v>59</v>
      </c>
      <c r="F247" s="1"/>
    </row>
    <row r="248" spans="1:6" x14ac:dyDescent="0.25">
      <c r="A248" s="8">
        <v>45990</v>
      </c>
      <c r="B248" s="3" t="s">
        <v>74</v>
      </c>
      <c r="C248" s="9">
        <v>173.35</v>
      </c>
      <c r="D248" s="3" t="s">
        <v>13</v>
      </c>
      <c r="E248" s="3" t="s">
        <v>70</v>
      </c>
      <c r="F248" s="1"/>
    </row>
    <row r="249" spans="1:6" x14ac:dyDescent="0.25">
      <c r="A249" s="8">
        <v>45968</v>
      </c>
      <c r="B249" s="3" t="s">
        <v>81</v>
      </c>
      <c r="C249" s="9">
        <v>119.31</v>
      </c>
      <c r="D249" s="3" t="s">
        <v>17</v>
      </c>
      <c r="E249" s="3" t="s">
        <v>66</v>
      </c>
      <c r="F249" s="1"/>
    </row>
    <row r="250" spans="1:6" x14ac:dyDescent="0.25">
      <c r="A250" s="8">
        <v>45979</v>
      </c>
      <c r="B250" s="3" t="s">
        <v>82</v>
      </c>
      <c r="C250" s="9">
        <v>117.62</v>
      </c>
      <c r="D250" s="3" t="s">
        <v>21</v>
      </c>
      <c r="E250" s="3" t="s">
        <v>70</v>
      </c>
      <c r="F250" s="1"/>
    </row>
    <row r="251" spans="1:6" x14ac:dyDescent="0.25">
      <c r="A251" s="8">
        <v>45984</v>
      </c>
      <c r="B251" s="3" t="s">
        <v>89</v>
      </c>
      <c r="C251" s="9">
        <v>107.93</v>
      </c>
      <c r="D251" s="3" t="s">
        <v>21</v>
      </c>
      <c r="E251" s="3" t="s">
        <v>50</v>
      </c>
      <c r="F251" s="1"/>
    </row>
    <row r="252" spans="1:6" x14ac:dyDescent="0.25">
      <c r="A252" s="8">
        <v>45971</v>
      </c>
      <c r="B252" s="3" t="s">
        <v>84</v>
      </c>
      <c r="C252" s="9">
        <v>29.39</v>
      </c>
      <c r="D252" s="3" t="s">
        <v>23</v>
      </c>
      <c r="E252" s="3" t="s">
        <v>50</v>
      </c>
      <c r="F252" s="1"/>
    </row>
    <row r="253" spans="1:6" x14ac:dyDescent="0.25">
      <c r="A253" s="8">
        <v>45983</v>
      </c>
      <c r="B253" s="3" t="s">
        <v>69</v>
      </c>
      <c r="C253" s="9">
        <v>5.89</v>
      </c>
      <c r="D253" s="3" t="s">
        <v>24</v>
      </c>
      <c r="E253" s="3" t="s">
        <v>70</v>
      </c>
      <c r="F253" s="1"/>
    </row>
    <row r="254" spans="1:6" x14ac:dyDescent="0.25">
      <c r="A254" s="8">
        <v>45973</v>
      </c>
      <c r="B254" s="3" t="s">
        <v>69</v>
      </c>
      <c r="C254" s="9">
        <v>7.99</v>
      </c>
      <c r="D254" s="3" t="s">
        <v>24</v>
      </c>
      <c r="E254" s="3" t="s">
        <v>70</v>
      </c>
      <c r="F254" s="1"/>
    </row>
    <row r="255" spans="1:6" x14ac:dyDescent="0.25">
      <c r="A255" s="8">
        <v>45972</v>
      </c>
      <c r="B255" s="3" t="s">
        <v>78</v>
      </c>
      <c r="C255" s="9">
        <v>12.03</v>
      </c>
      <c r="D255" s="3" t="s">
        <v>20</v>
      </c>
      <c r="E255" s="3" t="s">
        <v>66</v>
      </c>
      <c r="F255" s="1"/>
    </row>
    <row r="256" spans="1:6" x14ac:dyDescent="0.25">
      <c r="A256" s="8">
        <v>45971</v>
      </c>
      <c r="B256" s="3" t="s">
        <v>79</v>
      </c>
      <c r="C256" s="9">
        <v>14.61</v>
      </c>
      <c r="D256" s="3" t="s">
        <v>34</v>
      </c>
      <c r="E256" s="3" t="s">
        <v>70</v>
      </c>
      <c r="F256" s="1"/>
    </row>
    <row r="257" spans="1:6" x14ac:dyDescent="0.25">
      <c r="A257" s="8">
        <v>45972</v>
      </c>
      <c r="B257" s="3" t="s">
        <v>86</v>
      </c>
      <c r="C257" s="9">
        <v>34.86</v>
      </c>
      <c r="D257" s="3" t="s">
        <v>27</v>
      </c>
      <c r="E257" s="3" t="s">
        <v>70</v>
      </c>
      <c r="F257" s="1"/>
    </row>
    <row r="258" spans="1:6" x14ac:dyDescent="0.25">
      <c r="A258" s="8">
        <v>45992</v>
      </c>
      <c r="B258" s="3" t="s">
        <v>49</v>
      </c>
      <c r="C258" s="9">
        <v>1550</v>
      </c>
      <c r="D258" s="3" t="s">
        <v>10</v>
      </c>
      <c r="E258" s="3" t="s">
        <v>50</v>
      </c>
      <c r="F258" s="1"/>
    </row>
    <row r="259" spans="1:6" x14ac:dyDescent="0.25">
      <c r="A259" s="8">
        <v>45992</v>
      </c>
      <c r="B259" s="3" t="s">
        <v>51</v>
      </c>
      <c r="C259" s="9">
        <v>25</v>
      </c>
      <c r="D259" s="3" t="s">
        <v>12</v>
      </c>
      <c r="E259" s="3" t="s">
        <v>66</v>
      </c>
      <c r="F259" s="1"/>
    </row>
    <row r="260" spans="1:6" x14ac:dyDescent="0.25">
      <c r="A260" s="8">
        <v>45996</v>
      </c>
      <c r="B260" s="3" t="s">
        <v>52</v>
      </c>
      <c r="C260" s="9">
        <v>65</v>
      </c>
      <c r="D260" s="3" t="s">
        <v>14</v>
      </c>
      <c r="E260" s="3" t="s">
        <v>66</v>
      </c>
      <c r="F260" s="1"/>
    </row>
    <row r="261" spans="1:6" x14ac:dyDescent="0.25">
      <c r="A261" s="8">
        <v>46006</v>
      </c>
      <c r="B261" s="3" t="s">
        <v>53</v>
      </c>
      <c r="C261" s="9">
        <v>380</v>
      </c>
      <c r="D261" s="3" t="s">
        <v>15</v>
      </c>
      <c r="E261" s="3" t="s">
        <v>50</v>
      </c>
      <c r="F261" s="1"/>
    </row>
    <row r="262" spans="1:6" x14ac:dyDescent="0.25">
      <c r="A262" s="8">
        <v>45992</v>
      </c>
      <c r="B262" s="3" t="s">
        <v>54</v>
      </c>
      <c r="C262" s="9">
        <v>110</v>
      </c>
      <c r="D262" s="3" t="s">
        <v>18</v>
      </c>
      <c r="E262" s="3" t="s">
        <v>50</v>
      </c>
      <c r="F262" s="1"/>
    </row>
    <row r="263" spans="1:6" x14ac:dyDescent="0.25">
      <c r="A263" s="8">
        <v>45992</v>
      </c>
      <c r="B263" s="3" t="s">
        <v>55</v>
      </c>
      <c r="C263" s="9">
        <v>210</v>
      </c>
      <c r="D263" s="3" t="s">
        <v>31</v>
      </c>
      <c r="E263" s="3" t="s">
        <v>50</v>
      </c>
      <c r="F263" s="1"/>
    </row>
    <row r="264" spans="1:6" x14ac:dyDescent="0.25">
      <c r="A264" s="8">
        <v>45992</v>
      </c>
      <c r="B264" s="3" t="s">
        <v>56</v>
      </c>
      <c r="C264" s="9">
        <v>45</v>
      </c>
      <c r="D264" s="3" t="s">
        <v>33</v>
      </c>
      <c r="E264" s="3" t="s">
        <v>50</v>
      </c>
      <c r="F264" s="1"/>
    </row>
    <row r="265" spans="1:6" x14ac:dyDescent="0.25">
      <c r="A265" s="8">
        <v>46019</v>
      </c>
      <c r="B265" s="3" t="s">
        <v>57</v>
      </c>
      <c r="C265" s="9">
        <v>280</v>
      </c>
      <c r="D265" s="3" t="s">
        <v>39</v>
      </c>
      <c r="E265" s="3" t="s">
        <v>66</v>
      </c>
      <c r="F265" s="1"/>
    </row>
    <row r="266" spans="1:6" x14ac:dyDescent="0.25">
      <c r="A266" s="8">
        <v>46011</v>
      </c>
      <c r="B266" s="3" t="s">
        <v>58</v>
      </c>
      <c r="C266" s="9">
        <v>160</v>
      </c>
      <c r="D266" s="3" t="s">
        <v>41</v>
      </c>
      <c r="E266" s="3" t="s">
        <v>59</v>
      </c>
      <c r="F266" s="1"/>
    </row>
    <row r="267" spans="1:6" x14ac:dyDescent="0.25">
      <c r="A267" s="8">
        <v>46006</v>
      </c>
      <c r="B267" s="3" t="s">
        <v>60</v>
      </c>
      <c r="C267" s="9">
        <v>300</v>
      </c>
      <c r="D267" s="3" t="s">
        <v>35</v>
      </c>
      <c r="E267" s="3" t="s">
        <v>59</v>
      </c>
      <c r="F267" s="1"/>
    </row>
    <row r="268" spans="1:6" x14ac:dyDescent="0.25">
      <c r="A268" s="8">
        <v>46006</v>
      </c>
      <c r="B268" s="3" t="s">
        <v>61</v>
      </c>
      <c r="C268" s="9">
        <v>200</v>
      </c>
      <c r="D268" s="3" t="s">
        <v>37</v>
      </c>
      <c r="E268" s="3" t="s">
        <v>59</v>
      </c>
      <c r="F268" s="1"/>
    </row>
    <row r="269" spans="1:6" x14ac:dyDescent="0.25">
      <c r="A269" s="8">
        <v>46006</v>
      </c>
      <c r="B269" s="3" t="s">
        <v>62</v>
      </c>
      <c r="C269" s="9">
        <v>100</v>
      </c>
      <c r="D269" s="3" t="s">
        <v>38</v>
      </c>
      <c r="E269" s="3" t="s">
        <v>59</v>
      </c>
      <c r="F269" s="1"/>
    </row>
    <row r="270" spans="1:6" x14ac:dyDescent="0.25">
      <c r="A270" s="8">
        <v>46012</v>
      </c>
      <c r="B270" s="3" t="s">
        <v>74</v>
      </c>
      <c r="C270" s="9">
        <v>146.16</v>
      </c>
      <c r="D270" s="3" t="s">
        <v>13</v>
      </c>
      <c r="E270" s="3" t="s">
        <v>50</v>
      </c>
      <c r="F270" s="1"/>
    </row>
    <row r="271" spans="1:6" x14ac:dyDescent="0.25">
      <c r="A271" s="8">
        <v>46010</v>
      </c>
      <c r="B271" s="3" t="s">
        <v>64</v>
      </c>
      <c r="C271" s="9">
        <v>137.55000000000001</v>
      </c>
      <c r="D271" s="3" t="s">
        <v>17</v>
      </c>
      <c r="E271" s="3" t="s">
        <v>66</v>
      </c>
      <c r="F271" s="1"/>
    </row>
    <row r="272" spans="1:6" x14ac:dyDescent="0.25">
      <c r="A272" s="8">
        <v>45997</v>
      </c>
      <c r="B272" s="3" t="s">
        <v>87</v>
      </c>
      <c r="C272" s="9">
        <v>100.1</v>
      </c>
      <c r="D272" s="3" t="s">
        <v>21</v>
      </c>
      <c r="E272" s="3" t="s">
        <v>66</v>
      </c>
      <c r="F272" s="1"/>
    </row>
    <row r="273" spans="1:6" x14ac:dyDescent="0.25">
      <c r="A273" s="8">
        <v>45995</v>
      </c>
      <c r="B273" s="3" t="s">
        <v>87</v>
      </c>
      <c r="C273" s="9">
        <v>106.03</v>
      </c>
      <c r="D273" s="3" t="s">
        <v>21</v>
      </c>
      <c r="E273" s="3" t="s">
        <v>50</v>
      </c>
      <c r="F273" s="1"/>
    </row>
    <row r="274" spans="1:6" x14ac:dyDescent="0.25">
      <c r="A274" s="8">
        <v>46012</v>
      </c>
      <c r="B274" s="3" t="s">
        <v>77</v>
      </c>
      <c r="C274" s="9">
        <v>18.52</v>
      </c>
      <c r="D274" s="3" t="s">
        <v>23</v>
      </c>
      <c r="E274" s="3" t="s">
        <v>70</v>
      </c>
      <c r="F274" s="1"/>
    </row>
    <row r="275" spans="1:6" x14ac:dyDescent="0.25">
      <c r="A275" s="8">
        <v>46022</v>
      </c>
      <c r="B275" s="3" t="s">
        <v>67</v>
      </c>
      <c r="C275" s="9">
        <v>15.66</v>
      </c>
      <c r="D275" s="3" t="s">
        <v>23</v>
      </c>
      <c r="E275" s="3" t="s">
        <v>50</v>
      </c>
      <c r="F275" s="1"/>
    </row>
    <row r="276" spans="1:6" x14ac:dyDescent="0.25">
      <c r="A276" s="8">
        <v>45995</v>
      </c>
      <c r="B276" s="3" t="s">
        <v>76</v>
      </c>
      <c r="C276" s="9">
        <v>38.07</v>
      </c>
      <c r="D276" s="3" t="s">
        <v>23</v>
      </c>
      <c r="E276" s="3" t="s">
        <v>70</v>
      </c>
      <c r="F276" s="1"/>
    </row>
    <row r="277" spans="1:6" x14ac:dyDescent="0.25">
      <c r="A277" s="8">
        <v>46016</v>
      </c>
      <c r="B277" s="3" t="s">
        <v>69</v>
      </c>
      <c r="C277" s="9">
        <v>5.8</v>
      </c>
      <c r="D277" s="3" t="s">
        <v>24</v>
      </c>
      <c r="E277" s="3" t="s">
        <v>66</v>
      </c>
      <c r="F277" s="1"/>
    </row>
    <row r="278" spans="1:6" x14ac:dyDescent="0.25">
      <c r="A278" s="8">
        <v>46001</v>
      </c>
      <c r="B278" s="3" t="s">
        <v>78</v>
      </c>
      <c r="C278" s="9">
        <v>8.0500000000000007</v>
      </c>
      <c r="D278" s="3" t="s">
        <v>20</v>
      </c>
      <c r="E278" s="3" t="s">
        <v>70</v>
      </c>
      <c r="F278" s="1"/>
    </row>
    <row r="279" spans="1:6" x14ac:dyDescent="0.25">
      <c r="A279" s="8">
        <v>45993</v>
      </c>
      <c r="B279" s="3" t="s">
        <v>72</v>
      </c>
      <c r="C279" s="9">
        <v>28.95</v>
      </c>
      <c r="D279" s="3" t="s">
        <v>34</v>
      </c>
      <c r="E279" s="3" t="s">
        <v>50</v>
      </c>
      <c r="F279" s="1"/>
    </row>
    <row r="280" spans="1:6" x14ac:dyDescent="0.25">
      <c r="A280" s="8">
        <v>45998</v>
      </c>
      <c r="B280" s="3" t="s">
        <v>88</v>
      </c>
      <c r="C280" s="9">
        <v>142.27000000000001</v>
      </c>
      <c r="D280" s="3" t="s">
        <v>19</v>
      </c>
      <c r="E280" s="3" t="s">
        <v>50</v>
      </c>
      <c r="F280" s="1"/>
    </row>
  </sheetData>
  <dataValidations count="2">
    <dataValidation type="list" allowBlank="1" error="Pick a category from the list"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xr:uid="{00000000-0002-0000-0100-000000000000}">
      <formula1>_xlfn._LONGTEXT("Rent/Mortgage,Renters Insurance,Utilities,Internet,Car Payment,Gas,Auto Insurance,Maintenance,Parking,Groceries,Dining Out,Coffee,Clothing,Haircuts,Subscriptions,Entertainment,Gifts,Health Insurance,Gym,Prescriptions,Emergency Fund,Retirement Extra,Vacati","on Fund,Student Loan,Credit Card Extra")</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xr:uid="{00000000-0002-0000-0100-000001000000}">
      <formula1>"Debit,Credit,Cash,Transfer"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9"/>
  <sheetViews>
    <sheetView showGridLines="0" workbookViewId="0"/>
  </sheetViews>
  <sheetFormatPr defaultRowHeight="15" x14ac:dyDescent="0.25"/>
  <cols>
    <col min="1" max="1" width="18.42578125" bestFit="1" customWidth="1"/>
    <col min="2" max="2" width="14.85546875" customWidth="1"/>
    <col min="3" max="15" width="14.42578125" customWidth="1"/>
  </cols>
  <sheetData>
    <row r="1" spans="1:15" x14ac:dyDescent="0.25">
      <c r="A1" s="19" t="s">
        <v>7</v>
      </c>
      <c r="B1" s="10" t="s">
        <v>8</v>
      </c>
      <c r="C1" s="10" t="s">
        <v>91</v>
      </c>
      <c r="D1" s="10" t="s">
        <v>92</v>
      </c>
      <c r="E1" s="10" t="s">
        <v>93</v>
      </c>
      <c r="F1" s="10" t="s">
        <v>94</v>
      </c>
      <c r="G1" s="10" t="s">
        <v>95</v>
      </c>
      <c r="H1" s="10" t="s">
        <v>96</v>
      </c>
      <c r="I1" s="10" t="s">
        <v>97</v>
      </c>
      <c r="J1" s="10" t="s">
        <v>98</v>
      </c>
      <c r="K1" s="10" t="s">
        <v>99</v>
      </c>
      <c r="L1" s="10" t="s">
        <v>100</v>
      </c>
      <c r="M1" s="10" t="s">
        <v>101</v>
      </c>
      <c r="N1" s="10" t="s">
        <v>102</v>
      </c>
      <c r="O1" s="10" t="s">
        <v>103</v>
      </c>
    </row>
    <row r="2" spans="1:15" x14ac:dyDescent="0.25">
      <c r="A2" s="5" t="s">
        <v>104</v>
      </c>
      <c r="B2" s="1"/>
      <c r="C2" s="4">
        <f>Setup!$B$5</f>
        <v>5950</v>
      </c>
      <c r="D2" s="4">
        <f>Setup!$B$5</f>
        <v>5950</v>
      </c>
      <c r="E2" s="4">
        <f>Setup!$B$5</f>
        <v>5950</v>
      </c>
      <c r="F2" s="4">
        <f>Setup!$B$5</f>
        <v>5950</v>
      </c>
      <c r="G2" s="4">
        <f>Setup!$B$5</f>
        <v>5950</v>
      </c>
      <c r="H2" s="4">
        <f>Setup!$B$5</f>
        <v>5950</v>
      </c>
      <c r="I2" s="4">
        <f>Setup!$B$5</f>
        <v>5950</v>
      </c>
      <c r="J2" s="4">
        <f>Setup!$B$5</f>
        <v>5950</v>
      </c>
      <c r="K2" s="4">
        <f>Setup!$B$5</f>
        <v>5950</v>
      </c>
      <c r="L2" s="4">
        <f>Setup!$B$5</f>
        <v>5950</v>
      </c>
      <c r="M2" s="4">
        <f>Setup!$B$5</f>
        <v>5950</v>
      </c>
      <c r="N2" s="4">
        <f>Setup!$B$5</f>
        <v>5950</v>
      </c>
      <c r="O2" s="7">
        <f t="shared" ref="O2:O28" si="0">SUM(C2:N2)</f>
        <v>71400</v>
      </c>
    </row>
    <row r="3" spans="1:15" x14ac:dyDescent="0.25">
      <c r="A3" s="3" t="s">
        <v>10</v>
      </c>
      <c r="B3" s="3" t="s">
        <v>11</v>
      </c>
      <c r="C3" s="11">
        <f>Setup!$C$9</f>
        <v>1550</v>
      </c>
      <c r="D3" s="11">
        <f>Setup!$C$9</f>
        <v>1550</v>
      </c>
      <c r="E3" s="11">
        <f>Setup!$C$9</f>
        <v>1550</v>
      </c>
      <c r="F3" s="11">
        <f>Setup!$C$9</f>
        <v>1550</v>
      </c>
      <c r="G3" s="11">
        <f>Setup!$C$9</f>
        <v>1550</v>
      </c>
      <c r="H3" s="11">
        <f>Setup!$C$9</f>
        <v>1550</v>
      </c>
      <c r="I3" s="11">
        <f>Setup!$C$9</f>
        <v>1550</v>
      </c>
      <c r="J3" s="11">
        <f>Setup!$C$9</f>
        <v>1550</v>
      </c>
      <c r="K3" s="11">
        <f>Setup!$C$9</f>
        <v>1550</v>
      </c>
      <c r="L3" s="11">
        <f>Setup!$C$9</f>
        <v>1550</v>
      </c>
      <c r="M3" s="11">
        <f>Setup!$C$9</f>
        <v>1550</v>
      </c>
      <c r="N3" s="11">
        <f>Setup!$C$9</f>
        <v>1550</v>
      </c>
      <c r="O3" s="12">
        <f t="shared" si="0"/>
        <v>18600</v>
      </c>
    </row>
    <row r="4" spans="1:15" x14ac:dyDescent="0.25">
      <c r="A4" s="3" t="s">
        <v>12</v>
      </c>
      <c r="B4" s="3" t="s">
        <v>11</v>
      </c>
      <c r="C4" s="11">
        <f>Setup!$C$10</f>
        <v>25</v>
      </c>
      <c r="D4" s="11">
        <f>Setup!$C$10</f>
        <v>25</v>
      </c>
      <c r="E4" s="11">
        <f>Setup!$C$10</f>
        <v>25</v>
      </c>
      <c r="F4" s="11">
        <f>Setup!$C$10</f>
        <v>25</v>
      </c>
      <c r="G4" s="11">
        <f>Setup!$C$10</f>
        <v>25</v>
      </c>
      <c r="H4" s="11">
        <f>Setup!$C$10</f>
        <v>25</v>
      </c>
      <c r="I4" s="11">
        <f>Setup!$C$10</f>
        <v>25</v>
      </c>
      <c r="J4" s="11">
        <f>Setup!$C$10</f>
        <v>25</v>
      </c>
      <c r="K4" s="11">
        <f>Setup!$C$10</f>
        <v>25</v>
      </c>
      <c r="L4" s="11">
        <f>Setup!$C$10</f>
        <v>25</v>
      </c>
      <c r="M4" s="11">
        <f>Setup!$C$10</f>
        <v>25</v>
      </c>
      <c r="N4" s="11">
        <f>Setup!$C$10</f>
        <v>25</v>
      </c>
      <c r="O4" s="12">
        <f t="shared" si="0"/>
        <v>300</v>
      </c>
    </row>
    <row r="5" spans="1:15" x14ac:dyDescent="0.25">
      <c r="A5" s="3" t="s">
        <v>13</v>
      </c>
      <c r="B5" s="3" t="s">
        <v>11</v>
      </c>
      <c r="C5" s="11">
        <f>Setup!$C$11</f>
        <v>160</v>
      </c>
      <c r="D5" s="11">
        <f>Setup!$C$11</f>
        <v>160</v>
      </c>
      <c r="E5" s="11">
        <f>Setup!$C$11</f>
        <v>160</v>
      </c>
      <c r="F5" s="11">
        <f>Setup!$C$11</f>
        <v>160</v>
      </c>
      <c r="G5" s="11">
        <f>Setup!$C$11</f>
        <v>160</v>
      </c>
      <c r="H5" s="11">
        <f>Setup!$C$11</f>
        <v>160</v>
      </c>
      <c r="I5" s="11">
        <f>Setup!$C$11</f>
        <v>160</v>
      </c>
      <c r="J5" s="11">
        <f>Setup!$C$11</f>
        <v>160</v>
      </c>
      <c r="K5" s="11">
        <f>Setup!$C$11</f>
        <v>160</v>
      </c>
      <c r="L5" s="11">
        <f>Setup!$C$11</f>
        <v>160</v>
      </c>
      <c r="M5" s="11">
        <f>Setup!$C$11</f>
        <v>160</v>
      </c>
      <c r="N5" s="11">
        <f>Setup!$C$11</f>
        <v>160</v>
      </c>
      <c r="O5" s="12">
        <f t="shared" si="0"/>
        <v>1920</v>
      </c>
    </row>
    <row r="6" spans="1:15" x14ac:dyDescent="0.25">
      <c r="A6" s="3" t="s">
        <v>14</v>
      </c>
      <c r="B6" s="3" t="s">
        <v>11</v>
      </c>
      <c r="C6" s="11">
        <f>Setup!$C$12</f>
        <v>65</v>
      </c>
      <c r="D6" s="11">
        <f>Setup!$C$12</f>
        <v>65</v>
      </c>
      <c r="E6" s="11">
        <f>Setup!$C$12</f>
        <v>65</v>
      </c>
      <c r="F6" s="11">
        <f>Setup!$C$12</f>
        <v>65</v>
      </c>
      <c r="G6" s="11">
        <f>Setup!$C$12</f>
        <v>65</v>
      </c>
      <c r="H6" s="11">
        <f>Setup!$C$12</f>
        <v>65</v>
      </c>
      <c r="I6" s="11">
        <f>Setup!$C$12</f>
        <v>65</v>
      </c>
      <c r="J6" s="11">
        <f>Setup!$C$12</f>
        <v>65</v>
      </c>
      <c r="K6" s="11">
        <f>Setup!$C$12</f>
        <v>65</v>
      </c>
      <c r="L6" s="11">
        <f>Setup!$C$12</f>
        <v>65</v>
      </c>
      <c r="M6" s="11">
        <f>Setup!$C$12</f>
        <v>65</v>
      </c>
      <c r="N6" s="11">
        <f>Setup!$C$12</f>
        <v>65</v>
      </c>
      <c r="O6" s="12">
        <f t="shared" si="0"/>
        <v>780</v>
      </c>
    </row>
    <row r="7" spans="1:15" x14ac:dyDescent="0.25">
      <c r="A7" s="3" t="s">
        <v>15</v>
      </c>
      <c r="B7" s="3" t="s">
        <v>16</v>
      </c>
      <c r="C7" s="11">
        <f>Setup!$C$13</f>
        <v>380</v>
      </c>
      <c r="D7" s="11">
        <f>Setup!$C$13</f>
        <v>380</v>
      </c>
      <c r="E7" s="11">
        <f>Setup!$C$13</f>
        <v>380</v>
      </c>
      <c r="F7" s="11">
        <f>Setup!$C$13</f>
        <v>380</v>
      </c>
      <c r="G7" s="11">
        <f>Setup!$C$13</f>
        <v>380</v>
      </c>
      <c r="H7" s="11">
        <f>Setup!$C$13</f>
        <v>380</v>
      </c>
      <c r="I7" s="11">
        <f>Setup!$C$13</f>
        <v>380</v>
      </c>
      <c r="J7" s="11">
        <f>Setup!$C$13</f>
        <v>380</v>
      </c>
      <c r="K7" s="11">
        <f>Setup!$C$13</f>
        <v>380</v>
      </c>
      <c r="L7" s="11">
        <f>Setup!$C$13</f>
        <v>380</v>
      </c>
      <c r="M7" s="11">
        <f>Setup!$C$13</f>
        <v>380</v>
      </c>
      <c r="N7" s="11">
        <f>Setup!$C$13</f>
        <v>380</v>
      </c>
      <c r="O7" s="12">
        <f t="shared" si="0"/>
        <v>4560</v>
      </c>
    </row>
    <row r="8" spans="1:15" x14ac:dyDescent="0.25">
      <c r="A8" s="3" t="s">
        <v>17</v>
      </c>
      <c r="B8" s="3" t="s">
        <v>16</v>
      </c>
      <c r="C8" s="11">
        <f>Setup!$C$14</f>
        <v>140</v>
      </c>
      <c r="D8" s="11">
        <f>Setup!$C$14</f>
        <v>140</v>
      </c>
      <c r="E8" s="11">
        <f>Setup!$C$14</f>
        <v>140</v>
      </c>
      <c r="F8" s="11">
        <f>Setup!$C$14</f>
        <v>140</v>
      </c>
      <c r="G8" s="11">
        <f>Setup!$C$14</f>
        <v>140</v>
      </c>
      <c r="H8" s="11">
        <f>Setup!$C$14</f>
        <v>140</v>
      </c>
      <c r="I8" s="11">
        <f>Setup!$C$14</f>
        <v>140</v>
      </c>
      <c r="J8" s="11">
        <f>Setup!$C$14</f>
        <v>140</v>
      </c>
      <c r="K8" s="11">
        <f>Setup!$C$14</f>
        <v>140</v>
      </c>
      <c r="L8" s="11">
        <f>Setup!$C$14</f>
        <v>140</v>
      </c>
      <c r="M8" s="11">
        <f>Setup!$C$14</f>
        <v>140</v>
      </c>
      <c r="N8" s="11">
        <f>Setup!$C$14</f>
        <v>140</v>
      </c>
      <c r="O8" s="12">
        <f t="shared" si="0"/>
        <v>1680</v>
      </c>
    </row>
    <row r="9" spans="1:15" x14ac:dyDescent="0.25">
      <c r="A9" s="3" t="s">
        <v>18</v>
      </c>
      <c r="B9" s="3" t="s">
        <v>16</v>
      </c>
      <c r="C9" s="11">
        <f>Setup!$C$15</f>
        <v>110</v>
      </c>
      <c r="D9" s="11">
        <f>Setup!$C$15</f>
        <v>110</v>
      </c>
      <c r="E9" s="11">
        <f>Setup!$C$15</f>
        <v>110</v>
      </c>
      <c r="F9" s="11">
        <f>Setup!$C$15</f>
        <v>110</v>
      </c>
      <c r="G9" s="11">
        <f>Setup!$C$15</f>
        <v>110</v>
      </c>
      <c r="H9" s="11">
        <f>Setup!$C$15</f>
        <v>110</v>
      </c>
      <c r="I9" s="11">
        <f>Setup!$C$15</f>
        <v>110</v>
      </c>
      <c r="J9" s="11">
        <f>Setup!$C$15</f>
        <v>110</v>
      </c>
      <c r="K9" s="11">
        <f>Setup!$C$15</f>
        <v>110</v>
      </c>
      <c r="L9" s="11">
        <f>Setup!$C$15</f>
        <v>110</v>
      </c>
      <c r="M9" s="11">
        <f>Setup!$C$15</f>
        <v>110</v>
      </c>
      <c r="N9" s="11">
        <f>Setup!$C$15</f>
        <v>110</v>
      </c>
      <c r="O9" s="12">
        <f t="shared" si="0"/>
        <v>1320</v>
      </c>
    </row>
    <row r="10" spans="1:15" x14ac:dyDescent="0.25">
      <c r="A10" s="3" t="s">
        <v>19</v>
      </c>
      <c r="B10" s="3" t="s">
        <v>16</v>
      </c>
      <c r="C10" s="11">
        <f>Setup!$C$16</f>
        <v>50</v>
      </c>
      <c r="D10" s="11">
        <f>Setup!$C$16</f>
        <v>50</v>
      </c>
      <c r="E10" s="11">
        <f>Setup!$C$16</f>
        <v>50</v>
      </c>
      <c r="F10" s="11">
        <f>Setup!$C$16</f>
        <v>50</v>
      </c>
      <c r="G10" s="11">
        <f>Setup!$C$16</f>
        <v>50</v>
      </c>
      <c r="H10" s="11">
        <f>Setup!$C$16</f>
        <v>50</v>
      </c>
      <c r="I10" s="11">
        <f>Setup!$C$16</f>
        <v>50</v>
      </c>
      <c r="J10" s="11">
        <f>Setup!$C$16</f>
        <v>50</v>
      </c>
      <c r="K10" s="11">
        <f>Setup!$C$16</f>
        <v>50</v>
      </c>
      <c r="L10" s="11">
        <f>Setup!$C$16</f>
        <v>50</v>
      </c>
      <c r="M10" s="11">
        <f>Setup!$C$16</f>
        <v>50</v>
      </c>
      <c r="N10" s="11">
        <f>Setup!$C$16</f>
        <v>50</v>
      </c>
      <c r="O10" s="12">
        <f t="shared" si="0"/>
        <v>600</v>
      </c>
    </row>
    <row r="11" spans="1:15" x14ac:dyDescent="0.25">
      <c r="A11" s="3" t="s">
        <v>20</v>
      </c>
      <c r="B11" s="3" t="s">
        <v>16</v>
      </c>
      <c r="C11" s="11">
        <f>Setup!$C$17</f>
        <v>30</v>
      </c>
      <c r="D11" s="11">
        <f>Setup!$C$17</f>
        <v>30</v>
      </c>
      <c r="E11" s="11">
        <f>Setup!$C$17</f>
        <v>30</v>
      </c>
      <c r="F11" s="11">
        <f>Setup!$C$17</f>
        <v>30</v>
      </c>
      <c r="G11" s="11">
        <f>Setup!$C$17</f>
        <v>30</v>
      </c>
      <c r="H11" s="11">
        <f>Setup!$C$17</f>
        <v>30</v>
      </c>
      <c r="I11" s="11">
        <f>Setup!$C$17</f>
        <v>30</v>
      </c>
      <c r="J11" s="11">
        <f>Setup!$C$17</f>
        <v>30</v>
      </c>
      <c r="K11" s="11">
        <f>Setup!$C$17</f>
        <v>30</v>
      </c>
      <c r="L11" s="11">
        <f>Setup!$C$17</f>
        <v>30</v>
      </c>
      <c r="M11" s="11">
        <f>Setup!$C$17</f>
        <v>30</v>
      </c>
      <c r="N11" s="11">
        <f>Setup!$C$17</f>
        <v>30</v>
      </c>
      <c r="O11" s="12">
        <f t="shared" si="0"/>
        <v>360</v>
      </c>
    </row>
    <row r="12" spans="1:15" x14ac:dyDescent="0.25">
      <c r="A12" s="3" t="s">
        <v>21</v>
      </c>
      <c r="B12" s="3" t="s">
        <v>22</v>
      </c>
      <c r="C12" s="11">
        <f>Setup!$C$18</f>
        <v>420</v>
      </c>
      <c r="D12" s="11">
        <f>Setup!$C$18</f>
        <v>420</v>
      </c>
      <c r="E12" s="11">
        <f>Setup!$C$18</f>
        <v>420</v>
      </c>
      <c r="F12" s="11">
        <f>Setup!$C$18</f>
        <v>420</v>
      </c>
      <c r="G12" s="11">
        <f>Setup!$C$18</f>
        <v>420</v>
      </c>
      <c r="H12" s="11">
        <f>Setup!$C$18</f>
        <v>420</v>
      </c>
      <c r="I12" s="11">
        <f>Setup!$C$18</f>
        <v>420</v>
      </c>
      <c r="J12" s="11">
        <f>Setup!$C$18</f>
        <v>420</v>
      </c>
      <c r="K12" s="11">
        <f>Setup!$C$18</f>
        <v>420</v>
      </c>
      <c r="L12" s="11">
        <f>Setup!$C$18</f>
        <v>420</v>
      </c>
      <c r="M12" s="11">
        <f>Setup!$C$18</f>
        <v>420</v>
      </c>
      <c r="N12" s="11">
        <f>Setup!$C$18</f>
        <v>420</v>
      </c>
      <c r="O12" s="12">
        <f t="shared" si="0"/>
        <v>5040</v>
      </c>
    </row>
    <row r="13" spans="1:15" x14ac:dyDescent="0.25">
      <c r="A13" s="3" t="s">
        <v>23</v>
      </c>
      <c r="B13" s="3" t="s">
        <v>22</v>
      </c>
      <c r="C13" s="11">
        <f>Setup!$C$19</f>
        <v>180</v>
      </c>
      <c r="D13" s="11">
        <f>Setup!$C$19</f>
        <v>180</v>
      </c>
      <c r="E13" s="11">
        <f>Setup!$C$19</f>
        <v>180</v>
      </c>
      <c r="F13" s="11">
        <f>Setup!$C$19</f>
        <v>180</v>
      </c>
      <c r="G13" s="11">
        <f>Setup!$C$19</f>
        <v>180</v>
      </c>
      <c r="H13" s="11">
        <f>Setup!$C$19</f>
        <v>180</v>
      </c>
      <c r="I13" s="11">
        <f>Setup!$C$19</f>
        <v>180</v>
      </c>
      <c r="J13" s="11">
        <f>Setup!$C$19</f>
        <v>180</v>
      </c>
      <c r="K13" s="11">
        <f>Setup!$C$19</f>
        <v>180</v>
      </c>
      <c r="L13" s="11">
        <f>Setup!$C$19</f>
        <v>180</v>
      </c>
      <c r="M13" s="11">
        <f>Setup!$C$19</f>
        <v>180</v>
      </c>
      <c r="N13" s="11">
        <f>Setup!$C$19</f>
        <v>180</v>
      </c>
      <c r="O13" s="12">
        <f t="shared" si="0"/>
        <v>2160</v>
      </c>
    </row>
    <row r="14" spans="1:15" x14ac:dyDescent="0.25">
      <c r="A14" s="3" t="s">
        <v>24</v>
      </c>
      <c r="B14" s="3" t="s">
        <v>22</v>
      </c>
      <c r="C14" s="11">
        <f>Setup!$C$20</f>
        <v>45</v>
      </c>
      <c r="D14" s="11">
        <f>Setup!$C$20</f>
        <v>45</v>
      </c>
      <c r="E14" s="11">
        <f>Setup!$C$20</f>
        <v>45</v>
      </c>
      <c r="F14" s="11">
        <f>Setup!$C$20</f>
        <v>45</v>
      </c>
      <c r="G14" s="11">
        <f>Setup!$C$20</f>
        <v>45</v>
      </c>
      <c r="H14" s="11">
        <f>Setup!$C$20</f>
        <v>45</v>
      </c>
      <c r="I14" s="11">
        <f>Setup!$C$20</f>
        <v>45</v>
      </c>
      <c r="J14" s="11">
        <f>Setup!$C$20</f>
        <v>45</v>
      </c>
      <c r="K14" s="11">
        <f>Setup!$C$20</f>
        <v>45</v>
      </c>
      <c r="L14" s="11">
        <f>Setup!$C$20</f>
        <v>45</v>
      </c>
      <c r="M14" s="11">
        <f>Setup!$C$20</f>
        <v>45</v>
      </c>
      <c r="N14" s="11">
        <f>Setup!$C$20</f>
        <v>45</v>
      </c>
      <c r="O14" s="12">
        <f t="shared" si="0"/>
        <v>540</v>
      </c>
    </row>
    <row r="15" spans="1:15" x14ac:dyDescent="0.25">
      <c r="A15" s="3" t="s">
        <v>25</v>
      </c>
      <c r="B15" s="3" t="s">
        <v>26</v>
      </c>
      <c r="C15" s="11">
        <f>Setup!$C$21</f>
        <v>75</v>
      </c>
      <c r="D15" s="11">
        <f>Setup!$C$21</f>
        <v>75</v>
      </c>
      <c r="E15" s="11">
        <f>Setup!$C$21</f>
        <v>75</v>
      </c>
      <c r="F15" s="11">
        <f>Setup!$C$21</f>
        <v>75</v>
      </c>
      <c r="G15" s="11">
        <f>Setup!$C$21</f>
        <v>75</v>
      </c>
      <c r="H15" s="11">
        <f>Setup!$C$21</f>
        <v>75</v>
      </c>
      <c r="I15" s="11">
        <f>Setup!$C$21</f>
        <v>75</v>
      </c>
      <c r="J15" s="11">
        <f>Setup!$C$21</f>
        <v>75</v>
      </c>
      <c r="K15" s="11">
        <f>Setup!$C$21</f>
        <v>75</v>
      </c>
      <c r="L15" s="11">
        <f>Setup!$C$21</f>
        <v>75</v>
      </c>
      <c r="M15" s="11">
        <f>Setup!$C$21</f>
        <v>75</v>
      </c>
      <c r="N15" s="11">
        <f>Setup!$C$21</f>
        <v>75</v>
      </c>
      <c r="O15" s="12">
        <f t="shared" si="0"/>
        <v>900</v>
      </c>
    </row>
    <row r="16" spans="1:15" x14ac:dyDescent="0.25">
      <c r="A16" s="3" t="s">
        <v>27</v>
      </c>
      <c r="B16" s="3" t="s">
        <v>26</v>
      </c>
      <c r="C16" s="11">
        <f>Setup!$C$22</f>
        <v>30</v>
      </c>
      <c r="D16" s="11">
        <f>Setup!$C$22</f>
        <v>30</v>
      </c>
      <c r="E16" s="11">
        <f>Setup!$C$22</f>
        <v>30</v>
      </c>
      <c r="F16" s="11">
        <f>Setup!$C$22</f>
        <v>30</v>
      </c>
      <c r="G16" s="11">
        <f>Setup!$C$22</f>
        <v>30</v>
      </c>
      <c r="H16" s="11">
        <f>Setup!$C$22</f>
        <v>30</v>
      </c>
      <c r="I16" s="11">
        <f>Setup!$C$22</f>
        <v>30</v>
      </c>
      <c r="J16" s="11">
        <f>Setup!$C$22</f>
        <v>30</v>
      </c>
      <c r="K16" s="11">
        <f>Setup!$C$22</f>
        <v>30</v>
      </c>
      <c r="L16" s="11">
        <f>Setup!$C$22</f>
        <v>30</v>
      </c>
      <c r="M16" s="11">
        <f>Setup!$C$22</f>
        <v>30</v>
      </c>
      <c r="N16" s="11">
        <f>Setup!$C$22</f>
        <v>30</v>
      </c>
      <c r="O16" s="12">
        <f t="shared" si="0"/>
        <v>360</v>
      </c>
    </row>
    <row r="17" spans="1:15" x14ac:dyDescent="0.25">
      <c r="A17" s="3" t="s">
        <v>28</v>
      </c>
      <c r="B17" s="3" t="s">
        <v>26</v>
      </c>
      <c r="C17" s="11">
        <f>Setup!$C$23</f>
        <v>55</v>
      </c>
      <c r="D17" s="11">
        <f>Setup!$C$23</f>
        <v>55</v>
      </c>
      <c r="E17" s="11">
        <f>Setup!$C$23</f>
        <v>55</v>
      </c>
      <c r="F17" s="11">
        <f>Setup!$C$23</f>
        <v>55</v>
      </c>
      <c r="G17" s="11">
        <f>Setup!$C$23</f>
        <v>55</v>
      </c>
      <c r="H17" s="11">
        <f>Setup!$C$23</f>
        <v>55</v>
      </c>
      <c r="I17" s="11">
        <f>Setup!$C$23</f>
        <v>55</v>
      </c>
      <c r="J17" s="11">
        <f>Setup!$C$23</f>
        <v>55</v>
      </c>
      <c r="K17" s="11">
        <f>Setup!$C$23</f>
        <v>55</v>
      </c>
      <c r="L17" s="11">
        <f>Setup!$C$23</f>
        <v>55</v>
      </c>
      <c r="M17" s="11">
        <f>Setup!$C$23</f>
        <v>55</v>
      </c>
      <c r="N17" s="11">
        <f>Setup!$C$23</f>
        <v>55</v>
      </c>
      <c r="O17" s="12">
        <f t="shared" si="0"/>
        <v>660</v>
      </c>
    </row>
    <row r="18" spans="1:15" x14ac:dyDescent="0.25">
      <c r="A18" s="3" t="s">
        <v>29</v>
      </c>
      <c r="B18" s="3" t="s">
        <v>26</v>
      </c>
      <c r="C18" s="11">
        <f>Setup!$C$24</f>
        <v>80</v>
      </c>
      <c r="D18" s="11">
        <f>Setup!$C$24</f>
        <v>80</v>
      </c>
      <c r="E18" s="11">
        <f>Setup!$C$24</f>
        <v>80</v>
      </c>
      <c r="F18" s="11">
        <f>Setup!$C$24</f>
        <v>80</v>
      </c>
      <c r="G18" s="11">
        <f>Setup!$C$24</f>
        <v>80</v>
      </c>
      <c r="H18" s="11">
        <f>Setup!$C$24</f>
        <v>80</v>
      </c>
      <c r="I18" s="11">
        <f>Setup!$C$24</f>
        <v>80</v>
      </c>
      <c r="J18" s="11">
        <f>Setup!$C$24</f>
        <v>80</v>
      </c>
      <c r="K18" s="11">
        <f>Setup!$C$24</f>
        <v>80</v>
      </c>
      <c r="L18" s="11">
        <f>Setup!$C$24</f>
        <v>80</v>
      </c>
      <c r="M18" s="11">
        <f>Setup!$C$24</f>
        <v>80</v>
      </c>
      <c r="N18" s="11">
        <f>Setup!$C$24</f>
        <v>80</v>
      </c>
      <c r="O18" s="12">
        <f t="shared" si="0"/>
        <v>960</v>
      </c>
    </row>
    <row r="19" spans="1:15" x14ac:dyDescent="0.25">
      <c r="A19" s="3" t="s">
        <v>30</v>
      </c>
      <c r="B19" s="3" t="s">
        <v>26</v>
      </c>
      <c r="C19" s="11">
        <f>Setup!$C$25</f>
        <v>40</v>
      </c>
      <c r="D19" s="11">
        <f>Setup!$C$25</f>
        <v>40</v>
      </c>
      <c r="E19" s="11">
        <f>Setup!$C$25</f>
        <v>40</v>
      </c>
      <c r="F19" s="11">
        <f>Setup!$C$25</f>
        <v>40</v>
      </c>
      <c r="G19" s="11">
        <f>Setup!$C$25</f>
        <v>40</v>
      </c>
      <c r="H19" s="11">
        <f>Setup!$C$25</f>
        <v>40</v>
      </c>
      <c r="I19" s="11">
        <f>Setup!$C$25</f>
        <v>40</v>
      </c>
      <c r="J19" s="11">
        <f>Setup!$C$25</f>
        <v>40</v>
      </c>
      <c r="K19" s="11">
        <f>Setup!$C$25</f>
        <v>40</v>
      </c>
      <c r="L19" s="11">
        <f>Setup!$C$25</f>
        <v>40</v>
      </c>
      <c r="M19" s="11">
        <f>Setup!$C$25</f>
        <v>40</v>
      </c>
      <c r="N19" s="11">
        <f>Setup!$C$25</f>
        <v>40</v>
      </c>
      <c r="O19" s="12">
        <f t="shared" si="0"/>
        <v>480</v>
      </c>
    </row>
    <row r="20" spans="1:15" x14ac:dyDescent="0.25">
      <c r="A20" s="3" t="s">
        <v>31</v>
      </c>
      <c r="B20" s="3" t="s">
        <v>32</v>
      </c>
      <c r="C20" s="11">
        <f>Setup!$C$26</f>
        <v>210</v>
      </c>
      <c r="D20" s="11">
        <f>Setup!$C$26</f>
        <v>210</v>
      </c>
      <c r="E20" s="11">
        <f>Setup!$C$26</f>
        <v>210</v>
      </c>
      <c r="F20" s="11">
        <f>Setup!$C$26</f>
        <v>210</v>
      </c>
      <c r="G20" s="11">
        <f>Setup!$C$26</f>
        <v>210</v>
      </c>
      <c r="H20" s="11">
        <f>Setup!$C$26</f>
        <v>210</v>
      </c>
      <c r="I20" s="11">
        <f>Setup!$C$26</f>
        <v>210</v>
      </c>
      <c r="J20" s="11">
        <f>Setup!$C$26</f>
        <v>210</v>
      </c>
      <c r="K20" s="11">
        <f>Setup!$C$26</f>
        <v>210</v>
      </c>
      <c r="L20" s="11">
        <f>Setup!$C$26</f>
        <v>210</v>
      </c>
      <c r="M20" s="11">
        <f>Setup!$C$26</f>
        <v>210</v>
      </c>
      <c r="N20" s="11">
        <f>Setup!$C$26</f>
        <v>210</v>
      </c>
      <c r="O20" s="12">
        <f t="shared" si="0"/>
        <v>2520</v>
      </c>
    </row>
    <row r="21" spans="1:15" x14ac:dyDescent="0.25">
      <c r="A21" s="3" t="s">
        <v>33</v>
      </c>
      <c r="B21" s="3" t="s">
        <v>32</v>
      </c>
      <c r="C21" s="11">
        <f>Setup!$C$27</f>
        <v>45</v>
      </c>
      <c r="D21" s="11">
        <f>Setup!$C$27</f>
        <v>45</v>
      </c>
      <c r="E21" s="11">
        <f>Setup!$C$27</f>
        <v>45</v>
      </c>
      <c r="F21" s="11">
        <f>Setup!$C$27</f>
        <v>45</v>
      </c>
      <c r="G21" s="11">
        <f>Setup!$C$27</f>
        <v>45</v>
      </c>
      <c r="H21" s="11">
        <f>Setup!$C$27</f>
        <v>45</v>
      </c>
      <c r="I21" s="11">
        <f>Setup!$C$27</f>
        <v>45</v>
      </c>
      <c r="J21" s="11">
        <f>Setup!$C$27</f>
        <v>45</v>
      </c>
      <c r="K21" s="11">
        <f>Setup!$C$27</f>
        <v>45</v>
      </c>
      <c r="L21" s="11">
        <f>Setup!$C$27</f>
        <v>45</v>
      </c>
      <c r="M21" s="11">
        <f>Setup!$C$27</f>
        <v>45</v>
      </c>
      <c r="N21" s="11">
        <f>Setup!$C$27</f>
        <v>45</v>
      </c>
      <c r="O21" s="12">
        <f t="shared" si="0"/>
        <v>540</v>
      </c>
    </row>
    <row r="22" spans="1:15" x14ac:dyDescent="0.25">
      <c r="A22" s="3" t="s">
        <v>34</v>
      </c>
      <c r="B22" s="3" t="s">
        <v>32</v>
      </c>
      <c r="C22" s="11">
        <f>Setup!$C$28</f>
        <v>20</v>
      </c>
      <c r="D22" s="11">
        <f>Setup!$C$28</f>
        <v>20</v>
      </c>
      <c r="E22" s="11">
        <f>Setup!$C$28</f>
        <v>20</v>
      </c>
      <c r="F22" s="11">
        <f>Setup!$C$28</f>
        <v>20</v>
      </c>
      <c r="G22" s="11">
        <f>Setup!$C$28</f>
        <v>20</v>
      </c>
      <c r="H22" s="11">
        <f>Setup!$C$28</f>
        <v>20</v>
      </c>
      <c r="I22" s="11">
        <f>Setup!$C$28</f>
        <v>20</v>
      </c>
      <c r="J22" s="11">
        <f>Setup!$C$28</f>
        <v>20</v>
      </c>
      <c r="K22" s="11">
        <f>Setup!$C$28</f>
        <v>20</v>
      </c>
      <c r="L22" s="11">
        <f>Setup!$C$28</f>
        <v>20</v>
      </c>
      <c r="M22" s="11">
        <f>Setup!$C$28</f>
        <v>20</v>
      </c>
      <c r="N22" s="11">
        <f>Setup!$C$28</f>
        <v>20</v>
      </c>
      <c r="O22" s="12">
        <f t="shared" si="0"/>
        <v>240</v>
      </c>
    </row>
    <row r="23" spans="1:15" x14ac:dyDescent="0.25">
      <c r="A23" s="3" t="s">
        <v>35</v>
      </c>
      <c r="B23" s="3" t="s">
        <v>36</v>
      </c>
      <c r="C23" s="11">
        <f>Setup!$C$29</f>
        <v>300</v>
      </c>
      <c r="D23" s="11">
        <f>Setup!$C$29</f>
        <v>300</v>
      </c>
      <c r="E23" s="11">
        <f>Setup!$C$29</f>
        <v>300</v>
      </c>
      <c r="F23" s="11">
        <f>Setup!$C$29</f>
        <v>300</v>
      </c>
      <c r="G23" s="11">
        <f>Setup!$C$29</f>
        <v>300</v>
      </c>
      <c r="H23" s="11">
        <f>Setup!$C$29</f>
        <v>300</v>
      </c>
      <c r="I23" s="11">
        <f>Setup!$C$29</f>
        <v>300</v>
      </c>
      <c r="J23" s="11">
        <f>Setup!$C$29</f>
        <v>300</v>
      </c>
      <c r="K23" s="11">
        <f>Setup!$C$29</f>
        <v>300</v>
      </c>
      <c r="L23" s="11">
        <f>Setup!$C$29</f>
        <v>300</v>
      </c>
      <c r="M23" s="11">
        <f>Setup!$C$29</f>
        <v>300</v>
      </c>
      <c r="N23" s="11">
        <f>Setup!$C$29</f>
        <v>300</v>
      </c>
      <c r="O23" s="12">
        <f t="shared" si="0"/>
        <v>3600</v>
      </c>
    </row>
    <row r="24" spans="1:15" x14ac:dyDescent="0.25">
      <c r="A24" s="3" t="s">
        <v>37</v>
      </c>
      <c r="B24" s="3" t="s">
        <v>36</v>
      </c>
      <c r="C24" s="11">
        <f>Setup!$C$30</f>
        <v>200</v>
      </c>
      <c r="D24" s="11">
        <f>Setup!$C$30</f>
        <v>200</v>
      </c>
      <c r="E24" s="11">
        <f>Setup!$C$30</f>
        <v>200</v>
      </c>
      <c r="F24" s="11">
        <f>Setup!$C$30</f>
        <v>200</v>
      </c>
      <c r="G24" s="11">
        <f>Setup!$C$30</f>
        <v>200</v>
      </c>
      <c r="H24" s="11">
        <f>Setup!$C$30</f>
        <v>200</v>
      </c>
      <c r="I24" s="11">
        <f>Setup!$C$30</f>
        <v>200</v>
      </c>
      <c r="J24" s="11">
        <f>Setup!$C$30</f>
        <v>200</v>
      </c>
      <c r="K24" s="11">
        <f>Setup!$C$30</f>
        <v>200</v>
      </c>
      <c r="L24" s="11">
        <f>Setup!$C$30</f>
        <v>200</v>
      </c>
      <c r="M24" s="11">
        <f>Setup!$C$30</f>
        <v>200</v>
      </c>
      <c r="N24" s="11">
        <f>Setup!$C$30</f>
        <v>200</v>
      </c>
      <c r="O24" s="12">
        <f t="shared" si="0"/>
        <v>2400</v>
      </c>
    </row>
    <row r="25" spans="1:15" x14ac:dyDescent="0.25">
      <c r="A25" s="3" t="s">
        <v>38</v>
      </c>
      <c r="B25" s="3" t="s">
        <v>36</v>
      </c>
      <c r="C25" s="11">
        <f>Setup!$C$31</f>
        <v>100</v>
      </c>
      <c r="D25" s="11">
        <f>Setup!$C$31</f>
        <v>100</v>
      </c>
      <c r="E25" s="11">
        <f>Setup!$C$31</f>
        <v>100</v>
      </c>
      <c r="F25" s="11">
        <f>Setup!$C$31</f>
        <v>100</v>
      </c>
      <c r="G25" s="11">
        <f>Setup!$C$31</f>
        <v>100</v>
      </c>
      <c r="H25" s="11">
        <f>Setup!$C$31</f>
        <v>100</v>
      </c>
      <c r="I25" s="11">
        <f>Setup!$C$31</f>
        <v>100</v>
      </c>
      <c r="J25" s="11">
        <f>Setup!$C$31</f>
        <v>100</v>
      </c>
      <c r="K25" s="11">
        <f>Setup!$C$31</f>
        <v>100</v>
      </c>
      <c r="L25" s="11">
        <f>Setup!$C$31</f>
        <v>100</v>
      </c>
      <c r="M25" s="11">
        <f>Setup!$C$31</f>
        <v>100</v>
      </c>
      <c r="N25" s="11">
        <f>Setup!$C$31</f>
        <v>100</v>
      </c>
      <c r="O25" s="12">
        <f t="shared" si="0"/>
        <v>1200</v>
      </c>
    </row>
    <row r="26" spans="1:15" x14ac:dyDescent="0.25">
      <c r="A26" s="3" t="s">
        <v>39</v>
      </c>
      <c r="B26" s="3" t="s">
        <v>40</v>
      </c>
      <c r="C26" s="11">
        <f>Setup!$C$32</f>
        <v>280</v>
      </c>
      <c r="D26" s="11">
        <f>Setup!$C$32</f>
        <v>280</v>
      </c>
      <c r="E26" s="11">
        <f>Setup!$C$32</f>
        <v>280</v>
      </c>
      <c r="F26" s="11">
        <f>Setup!$C$32</f>
        <v>280</v>
      </c>
      <c r="G26" s="11">
        <f>Setup!$C$32</f>
        <v>280</v>
      </c>
      <c r="H26" s="11">
        <f>Setup!$C$32</f>
        <v>280</v>
      </c>
      <c r="I26" s="11">
        <f>Setup!$C$32</f>
        <v>280</v>
      </c>
      <c r="J26" s="11">
        <f>Setup!$C$32</f>
        <v>280</v>
      </c>
      <c r="K26" s="11">
        <f>Setup!$C$32</f>
        <v>280</v>
      </c>
      <c r="L26" s="11">
        <f>Setup!$C$32</f>
        <v>280</v>
      </c>
      <c r="M26" s="11">
        <f>Setup!$C$32</f>
        <v>280</v>
      </c>
      <c r="N26" s="11">
        <f>Setup!$C$32</f>
        <v>280</v>
      </c>
      <c r="O26" s="12">
        <f t="shared" si="0"/>
        <v>3360</v>
      </c>
    </row>
    <row r="27" spans="1:15" x14ac:dyDescent="0.25">
      <c r="A27" s="3" t="s">
        <v>41</v>
      </c>
      <c r="B27" s="3" t="s">
        <v>40</v>
      </c>
      <c r="C27" s="11">
        <f>Setup!$C$33</f>
        <v>160</v>
      </c>
      <c r="D27" s="11">
        <f>Setup!$C$33</f>
        <v>160</v>
      </c>
      <c r="E27" s="11">
        <f>Setup!$C$33</f>
        <v>160</v>
      </c>
      <c r="F27" s="11">
        <f>Setup!$C$33</f>
        <v>160</v>
      </c>
      <c r="G27" s="11">
        <f>Setup!$C$33</f>
        <v>160</v>
      </c>
      <c r="H27" s="11">
        <f>Setup!$C$33</f>
        <v>160</v>
      </c>
      <c r="I27" s="11">
        <f>Setup!$C$33</f>
        <v>160</v>
      </c>
      <c r="J27" s="11">
        <f>Setup!$C$33</f>
        <v>160</v>
      </c>
      <c r="K27" s="11">
        <f>Setup!$C$33</f>
        <v>160</v>
      </c>
      <c r="L27" s="11">
        <f>Setup!$C$33</f>
        <v>160</v>
      </c>
      <c r="M27" s="11">
        <f>Setup!$C$33</f>
        <v>160</v>
      </c>
      <c r="N27" s="11">
        <f>Setup!$C$33</f>
        <v>160</v>
      </c>
      <c r="O27" s="12">
        <f t="shared" si="0"/>
        <v>1920</v>
      </c>
    </row>
    <row r="28" spans="1:15" x14ac:dyDescent="0.25">
      <c r="A28" s="5" t="s">
        <v>42</v>
      </c>
      <c r="B28" s="1"/>
      <c r="C28" s="7">
        <f t="shared" ref="C28:N28" si="1">SUM(C3:C27)</f>
        <v>4750</v>
      </c>
      <c r="D28" s="7">
        <f t="shared" si="1"/>
        <v>4750</v>
      </c>
      <c r="E28" s="7">
        <f t="shared" si="1"/>
        <v>4750</v>
      </c>
      <c r="F28" s="7">
        <f t="shared" si="1"/>
        <v>4750</v>
      </c>
      <c r="G28" s="7">
        <f t="shared" si="1"/>
        <v>4750</v>
      </c>
      <c r="H28" s="7">
        <f t="shared" si="1"/>
        <v>4750</v>
      </c>
      <c r="I28" s="7">
        <f t="shared" si="1"/>
        <v>4750</v>
      </c>
      <c r="J28" s="7">
        <f t="shared" si="1"/>
        <v>4750</v>
      </c>
      <c r="K28" s="7">
        <f t="shared" si="1"/>
        <v>4750</v>
      </c>
      <c r="L28" s="7">
        <f t="shared" si="1"/>
        <v>4750</v>
      </c>
      <c r="M28" s="7">
        <f t="shared" si="1"/>
        <v>4750</v>
      </c>
      <c r="N28" s="7">
        <f t="shared" si="1"/>
        <v>4750</v>
      </c>
      <c r="O28" s="7">
        <f t="shared" si="0"/>
        <v>57000</v>
      </c>
    </row>
    <row r="29" spans="1:15" x14ac:dyDescent="0.25">
      <c r="A29" s="5" t="s">
        <v>105</v>
      </c>
      <c r="B29" s="1"/>
      <c r="C29" s="7">
        <f t="shared" ref="C29:N29" si="2">C2-C28</f>
        <v>1200</v>
      </c>
      <c r="D29" s="7">
        <f t="shared" si="2"/>
        <v>1200</v>
      </c>
      <c r="E29" s="7">
        <f t="shared" si="2"/>
        <v>1200</v>
      </c>
      <c r="F29" s="7">
        <f t="shared" si="2"/>
        <v>1200</v>
      </c>
      <c r="G29" s="7">
        <f t="shared" si="2"/>
        <v>1200</v>
      </c>
      <c r="H29" s="7">
        <f t="shared" si="2"/>
        <v>1200</v>
      </c>
      <c r="I29" s="7">
        <f t="shared" si="2"/>
        <v>1200</v>
      </c>
      <c r="J29" s="7">
        <f t="shared" si="2"/>
        <v>1200</v>
      </c>
      <c r="K29" s="7">
        <f t="shared" si="2"/>
        <v>1200</v>
      </c>
      <c r="L29" s="7">
        <f t="shared" si="2"/>
        <v>1200</v>
      </c>
      <c r="M29" s="7">
        <f t="shared" si="2"/>
        <v>1200</v>
      </c>
      <c r="N29" s="7">
        <f t="shared" si="2"/>
        <v>1200</v>
      </c>
      <c r="O29" s="1"/>
    </row>
  </sheetData>
  <conditionalFormatting sqref="C29:N29">
    <cfRule type="cellIs" dxfId="27" priority="1" operator="notEqual">
      <formula>0</formula>
    </cfRule>
    <cfRule type="cellIs" dxfId="26" priority="2" operator="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6"/>
  <sheetViews>
    <sheetView showGridLines="0" workbookViewId="0"/>
  </sheetViews>
  <sheetFormatPr defaultColWidth="11.140625" defaultRowHeight="15" x14ac:dyDescent="0.25"/>
  <cols>
    <col min="1" max="1" width="18.42578125" bestFit="1" customWidth="1"/>
    <col min="2" max="2" width="9.5703125" bestFit="1" customWidth="1"/>
    <col min="3" max="3" width="11.28515625" bestFit="1" customWidth="1"/>
    <col min="4" max="4" width="8.42578125" bestFit="1" customWidth="1"/>
    <col min="5" max="5" width="9.85546875" bestFit="1" customWidth="1"/>
    <col min="6" max="6" width="11.5703125" bestFit="1" customWidth="1"/>
    <col min="7" max="7" width="8.7109375" bestFit="1" customWidth="1"/>
    <col min="8" max="8" width="9.85546875" bestFit="1" customWidth="1"/>
    <col min="9" max="9" width="11.5703125" bestFit="1" customWidth="1"/>
    <col min="10" max="10" width="8.7109375" bestFit="1" customWidth="1"/>
    <col min="11" max="11" width="9.42578125" bestFit="1" customWidth="1"/>
    <col min="13" max="13" width="8.28515625" bestFit="1" customWidth="1"/>
    <col min="14" max="14" width="10" bestFit="1" customWidth="1"/>
    <col min="15" max="15" width="11.7109375" bestFit="1" customWidth="1"/>
    <col min="16" max="16" width="8.85546875" bestFit="1" customWidth="1"/>
    <col min="17" max="17" width="9.7109375" bestFit="1" customWidth="1"/>
    <col min="18" max="18" width="11.42578125" bestFit="1" customWidth="1"/>
    <col min="19" max="19" width="8.5703125" bestFit="1" customWidth="1"/>
    <col min="20" max="20" width="9" bestFit="1" customWidth="1"/>
    <col min="21" max="21" width="10.7109375" bestFit="1" customWidth="1"/>
    <col min="22" max="22" width="7.85546875" bestFit="1" customWidth="1"/>
    <col min="23" max="23" width="9.85546875" bestFit="1" customWidth="1"/>
    <col min="24" max="24" width="11.5703125" bestFit="1" customWidth="1"/>
    <col min="25" max="25" width="8.7109375" bestFit="1" customWidth="1"/>
    <col min="26" max="26" width="10" bestFit="1" customWidth="1"/>
    <col min="27" max="27" width="11.7109375" bestFit="1" customWidth="1"/>
    <col min="28" max="28" width="8.85546875" bestFit="1" customWidth="1"/>
    <col min="29" max="29" width="9.5703125" bestFit="1" customWidth="1"/>
    <col min="30" max="30" width="11.28515625" bestFit="1" customWidth="1"/>
    <col min="31" max="31" width="8.42578125" bestFit="1" customWidth="1"/>
    <col min="32" max="32" width="10.140625" bestFit="1" customWidth="1"/>
    <col min="33" max="33" width="11.85546875" bestFit="1" customWidth="1"/>
    <col min="34" max="34" width="9" bestFit="1" customWidth="1"/>
    <col min="35" max="35" width="10" bestFit="1" customWidth="1"/>
    <col min="36" max="36" width="11.7109375" bestFit="1" customWidth="1"/>
    <col min="37" max="37" width="8.85546875" bestFit="1" customWidth="1"/>
    <col min="38" max="38" width="12.85546875" bestFit="1" customWidth="1"/>
    <col min="39" max="39" width="14.7109375" bestFit="1" customWidth="1"/>
    <col min="40" max="40" width="11.7109375" bestFit="1" customWidth="1"/>
  </cols>
  <sheetData>
    <row r="1" spans="1:40" x14ac:dyDescent="0.25">
      <c r="A1" s="19" t="s">
        <v>7</v>
      </c>
      <c r="B1" s="10" t="s">
        <v>106</v>
      </c>
      <c r="C1" s="10" t="s">
        <v>107</v>
      </c>
      <c r="D1" s="10" t="s">
        <v>108</v>
      </c>
      <c r="E1" s="10" t="s">
        <v>109</v>
      </c>
      <c r="F1" s="10" t="s">
        <v>110</v>
      </c>
      <c r="G1" s="10" t="s">
        <v>111</v>
      </c>
      <c r="H1" s="10" t="s">
        <v>112</v>
      </c>
      <c r="I1" s="10" t="s">
        <v>113</v>
      </c>
      <c r="J1" s="10" t="s">
        <v>114</v>
      </c>
      <c r="K1" s="10" t="s">
        <v>115</v>
      </c>
      <c r="L1" s="10" t="s">
        <v>116</v>
      </c>
      <c r="M1" s="10" t="s">
        <v>117</v>
      </c>
      <c r="N1" s="10" t="s">
        <v>118</v>
      </c>
      <c r="O1" s="10" t="s">
        <v>119</v>
      </c>
      <c r="P1" s="10" t="s">
        <v>120</v>
      </c>
      <c r="Q1" s="10" t="s">
        <v>121</v>
      </c>
      <c r="R1" s="10" t="s">
        <v>122</v>
      </c>
      <c r="S1" s="10" t="s">
        <v>123</v>
      </c>
      <c r="T1" s="10" t="s">
        <v>124</v>
      </c>
      <c r="U1" s="10" t="s">
        <v>125</v>
      </c>
      <c r="V1" s="10" t="s">
        <v>126</v>
      </c>
      <c r="W1" s="10" t="s">
        <v>127</v>
      </c>
      <c r="X1" s="10" t="s">
        <v>128</v>
      </c>
      <c r="Y1" s="10" t="s">
        <v>129</v>
      </c>
      <c r="Z1" s="10" t="s">
        <v>130</v>
      </c>
      <c r="AA1" s="10" t="s">
        <v>131</v>
      </c>
      <c r="AB1" s="10" t="s">
        <v>132</v>
      </c>
      <c r="AC1" s="10" t="s">
        <v>133</v>
      </c>
      <c r="AD1" s="10" t="s">
        <v>134</v>
      </c>
      <c r="AE1" s="10" t="s">
        <v>135</v>
      </c>
      <c r="AF1" s="10" t="s">
        <v>136</v>
      </c>
      <c r="AG1" s="10" t="s">
        <v>137</v>
      </c>
      <c r="AH1" s="10" t="s">
        <v>138</v>
      </c>
      <c r="AI1" s="10" t="s">
        <v>139</v>
      </c>
      <c r="AJ1" s="10" t="s">
        <v>140</v>
      </c>
      <c r="AK1" s="10" t="s">
        <v>141</v>
      </c>
      <c r="AL1" s="13" t="s">
        <v>142</v>
      </c>
      <c r="AM1" s="13" t="s">
        <v>143</v>
      </c>
      <c r="AN1" s="13" t="s">
        <v>144</v>
      </c>
    </row>
    <row r="2" spans="1:40" x14ac:dyDescent="0.25">
      <c r="A2" s="3" t="s">
        <v>10</v>
      </c>
      <c r="B2" s="14">
        <f>'Monthly Plan'!C3</f>
        <v>1550</v>
      </c>
      <c r="C2" s="14">
        <f>SUMPRODUCT((MONTH(Transactions!$A$2:$A$280)=1)*(Transactions!$D$2:$D$280="Rent/Mortgage")*Transactions!$C$2:$C$280)</f>
        <v>1550</v>
      </c>
      <c r="D2" s="14">
        <f t="shared" ref="D2:D26" si="0">B2-C2</f>
        <v>0</v>
      </c>
      <c r="E2" s="14">
        <f>'Monthly Plan'!D3</f>
        <v>1550</v>
      </c>
      <c r="F2" s="14">
        <f>SUMPRODUCT((MONTH(Transactions!$A$2:$A$280)=2)*(Transactions!$D$2:$D$280="Rent/Mortgage")*Transactions!$C$2:$C$280)</f>
        <v>1550</v>
      </c>
      <c r="G2" s="14">
        <f t="shared" ref="G2:G26" si="1">E2-F2</f>
        <v>0</v>
      </c>
      <c r="H2" s="14">
        <f>'Monthly Plan'!E3</f>
        <v>1550</v>
      </c>
      <c r="I2" s="14">
        <f>SUMPRODUCT((MONTH(Transactions!$A$2:$A$280)=3)*(Transactions!$D$2:$D$280="Rent/Mortgage")*Transactions!$C$2:$C$280)</f>
        <v>1550</v>
      </c>
      <c r="J2" s="14">
        <f t="shared" ref="J2:J26" si="2">H2-I2</f>
        <v>0</v>
      </c>
      <c r="K2" s="14">
        <f>'Monthly Plan'!F3</f>
        <v>1550</v>
      </c>
      <c r="L2" s="14">
        <f>SUMPRODUCT((MONTH(Transactions!$A$2:$A$280)=4)*(Transactions!$D$2:$D$280="Rent/Mortgage")*Transactions!$C$2:$C$280)</f>
        <v>1550</v>
      </c>
      <c r="M2" s="14">
        <f t="shared" ref="M2:M26" si="3">K2-L2</f>
        <v>0</v>
      </c>
      <c r="N2" s="14">
        <f>'Monthly Plan'!G3</f>
        <v>1550</v>
      </c>
      <c r="O2" s="14">
        <f>SUMPRODUCT((MONTH(Transactions!$A$2:$A$280)=5)*(Transactions!$D$2:$D$280="Rent/Mortgage")*Transactions!$C$2:$C$280)</f>
        <v>1550</v>
      </c>
      <c r="P2" s="14">
        <f t="shared" ref="P2:P26" si="4">N2-O2</f>
        <v>0</v>
      </c>
      <c r="Q2" s="14">
        <f>'Monthly Plan'!H3</f>
        <v>1550</v>
      </c>
      <c r="R2" s="14">
        <f>SUMPRODUCT((MONTH(Transactions!$A$2:$A$280)=6)*(Transactions!$D$2:$D$280="Rent/Mortgage")*Transactions!$C$2:$C$280)</f>
        <v>1550</v>
      </c>
      <c r="S2" s="14">
        <f t="shared" ref="S2:S26" si="5">Q2-R2</f>
        <v>0</v>
      </c>
      <c r="T2" s="14">
        <f>'Monthly Plan'!I3</f>
        <v>1550</v>
      </c>
      <c r="U2" s="14">
        <f>SUMPRODUCT((MONTH(Transactions!$A$2:$A$280)=7)*(Transactions!$D$2:$D$280="Rent/Mortgage")*Transactions!$C$2:$C$280)</f>
        <v>1550</v>
      </c>
      <c r="V2" s="14">
        <f t="shared" ref="V2:V26" si="6">T2-U2</f>
        <v>0</v>
      </c>
      <c r="W2" s="14">
        <f>'Monthly Plan'!J3</f>
        <v>1550</v>
      </c>
      <c r="X2" s="14">
        <f>SUMPRODUCT((MONTH(Transactions!$A$2:$A$280)=8)*(Transactions!$D$2:$D$280="Rent/Mortgage")*Transactions!$C$2:$C$280)</f>
        <v>1550</v>
      </c>
      <c r="Y2" s="14">
        <f t="shared" ref="Y2:Y26" si="7">W2-X2</f>
        <v>0</v>
      </c>
      <c r="Z2" s="14">
        <f>'Monthly Plan'!K3</f>
        <v>1550</v>
      </c>
      <c r="AA2" s="14">
        <f>SUMPRODUCT((MONTH(Transactions!$A$2:$A$280)=9)*(Transactions!$D$2:$D$280="Rent/Mortgage")*Transactions!$C$2:$C$280)</f>
        <v>1550</v>
      </c>
      <c r="AB2" s="14">
        <f t="shared" ref="AB2:AB26" si="8">Z2-AA2</f>
        <v>0</v>
      </c>
      <c r="AC2" s="14">
        <f>'Monthly Plan'!L3</f>
        <v>1550</v>
      </c>
      <c r="AD2" s="14">
        <f>SUMPRODUCT((MONTH(Transactions!$A$2:$A$280)=10)*(Transactions!$D$2:$D$280="Rent/Mortgage")*Transactions!$C$2:$C$280)</f>
        <v>1550</v>
      </c>
      <c r="AE2" s="14">
        <f t="shared" ref="AE2:AE26" si="9">AC2-AD2</f>
        <v>0</v>
      </c>
      <c r="AF2" s="14">
        <f>'Monthly Plan'!M3</f>
        <v>1550</v>
      </c>
      <c r="AG2" s="14">
        <f>SUMPRODUCT((MONTH(Transactions!$A$2:$A$280)=11)*(Transactions!$D$2:$D$280="Rent/Mortgage")*Transactions!$C$2:$C$280)</f>
        <v>1550</v>
      </c>
      <c r="AH2" s="14">
        <f t="shared" ref="AH2:AH26" si="10">AF2-AG2</f>
        <v>0</v>
      </c>
      <c r="AI2" s="14">
        <f>'Monthly Plan'!N3</f>
        <v>1550</v>
      </c>
      <c r="AJ2" s="14">
        <f>SUMPRODUCT((MONTH(Transactions!$A$2:$A$280)=12)*(Transactions!$D$2:$D$280="Rent/Mortgage")*Transactions!$C$2:$C$280)</f>
        <v>1550</v>
      </c>
      <c r="AK2" s="14">
        <f t="shared" ref="AK2:AK26" si="11">AI2-AJ2</f>
        <v>0</v>
      </c>
      <c r="AL2" s="12">
        <f t="shared" ref="AL2:AL26" si="12">B2+E2+H2+K2+N2+Q2+T2+W2+Z2+AC2+AF2+AI2</f>
        <v>18600</v>
      </c>
      <c r="AM2" s="12">
        <f t="shared" ref="AM2:AM26" si="13">C2+F2+I2+L2+O2+R2+U2+X2+AA2+AD2+AG2+AJ2</f>
        <v>18600</v>
      </c>
      <c r="AN2" s="12">
        <f t="shared" ref="AN2:AN26" si="14">AL2-AM2</f>
        <v>0</v>
      </c>
    </row>
    <row r="3" spans="1:40" x14ac:dyDescent="0.25">
      <c r="A3" s="3" t="s">
        <v>12</v>
      </c>
      <c r="B3" s="14">
        <f>'Monthly Plan'!C4</f>
        <v>25</v>
      </c>
      <c r="C3" s="14">
        <f>SUMPRODUCT((MONTH(Transactions!$A$2:$A$280)=1)*(Transactions!$D$2:$D$280="Renters Insurance")*Transactions!$C$2:$C$280)</f>
        <v>25</v>
      </c>
      <c r="D3" s="14">
        <f t="shared" si="0"/>
        <v>0</v>
      </c>
      <c r="E3" s="14">
        <f>'Monthly Plan'!D4</f>
        <v>25</v>
      </c>
      <c r="F3" s="14">
        <f>SUMPRODUCT((MONTH(Transactions!$A$2:$A$280)=2)*(Transactions!$D$2:$D$280="Renters Insurance")*Transactions!$C$2:$C$280)</f>
        <v>25</v>
      </c>
      <c r="G3" s="14">
        <f t="shared" si="1"/>
        <v>0</v>
      </c>
      <c r="H3" s="14">
        <f>'Monthly Plan'!E4</f>
        <v>25</v>
      </c>
      <c r="I3" s="14">
        <f>SUMPRODUCT((MONTH(Transactions!$A$2:$A$280)=3)*(Transactions!$D$2:$D$280="Renters Insurance")*Transactions!$C$2:$C$280)</f>
        <v>25</v>
      </c>
      <c r="J3" s="14">
        <f t="shared" si="2"/>
        <v>0</v>
      </c>
      <c r="K3" s="14">
        <f>'Monthly Plan'!F4</f>
        <v>25</v>
      </c>
      <c r="L3" s="14">
        <f>SUMPRODUCT((MONTH(Transactions!$A$2:$A$280)=4)*(Transactions!$D$2:$D$280="Renters Insurance")*Transactions!$C$2:$C$280)</f>
        <v>25</v>
      </c>
      <c r="M3" s="14">
        <f t="shared" si="3"/>
        <v>0</v>
      </c>
      <c r="N3" s="14">
        <f>'Monthly Plan'!G4</f>
        <v>25</v>
      </c>
      <c r="O3" s="14">
        <f>SUMPRODUCT((MONTH(Transactions!$A$2:$A$280)=5)*(Transactions!$D$2:$D$280="Renters Insurance")*Transactions!$C$2:$C$280)</f>
        <v>25</v>
      </c>
      <c r="P3" s="14">
        <f t="shared" si="4"/>
        <v>0</v>
      </c>
      <c r="Q3" s="14">
        <f>'Monthly Plan'!H4</f>
        <v>25</v>
      </c>
      <c r="R3" s="14">
        <f>SUMPRODUCT((MONTH(Transactions!$A$2:$A$280)=6)*(Transactions!$D$2:$D$280="Renters Insurance")*Transactions!$C$2:$C$280)</f>
        <v>25</v>
      </c>
      <c r="S3" s="14">
        <f t="shared" si="5"/>
        <v>0</v>
      </c>
      <c r="T3" s="14">
        <f>'Monthly Plan'!I4</f>
        <v>25</v>
      </c>
      <c r="U3" s="14">
        <f>SUMPRODUCT((MONTH(Transactions!$A$2:$A$280)=7)*(Transactions!$D$2:$D$280="Renters Insurance")*Transactions!$C$2:$C$280)</f>
        <v>25</v>
      </c>
      <c r="V3" s="14">
        <f t="shared" si="6"/>
        <v>0</v>
      </c>
      <c r="W3" s="14">
        <f>'Monthly Plan'!J4</f>
        <v>25</v>
      </c>
      <c r="X3" s="14">
        <f>SUMPRODUCT((MONTH(Transactions!$A$2:$A$280)=8)*(Transactions!$D$2:$D$280="Renters Insurance")*Transactions!$C$2:$C$280)</f>
        <v>25</v>
      </c>
      <c r="Y3" s="14">
        <f t="shared" si="7"/>
        <v>0</v>
      </c>
      <c r="Z3" s="14">
        <f>'Monthly Plan'!K4</f>
        <v>25</v>
      </c>
      <c r="AA3" s="14">
        <f>SUMPRODUCT((MONTH(Transactions!$A$2:$A$280)=9)*(Transactions!$D$2:$D$280="Renters Insurance")*Transactions!$C$2:$C$280)</f>
        <v>25</v>
      </c>
      <c r="AB3" s="14">
        <f t="shared" si="8"/>
        <v>0</v>
      </c>
      <c r="AC3" s="14">
        <f>'Monthly Plan'!L4</f>
        <v>25</v>
      </c>
      <c r="AD3" s="14">
        <f>SUMPRODUCT((MONTH(Transactions!$A$2:$A$280)=10)*(Transactions!$D$2:$D$280="Renters Insurance")*Transactions!$C$2:$C$280)</f>
        <v>25</v>
      </c>
      <c r="AE3" s="14">
        <f t="shared" si="9"/>
        <v>0</v>
      </c>
      <c r="AF3" s="14">
        <f>'Monthly Plan'!M4</f>
        <v>25</v>
      </c>
      <c r="AG3" s="14">
        <f>SUMPRODUCT((MONTH(Transactions!$A$2:$A$280)=11)*(Transactions!$D$2:$D$280="Renters Insurance")*Transactions!$C$2:$C$280)</f>
        <v>25</v>
      </c>
      <c r="AH3" s="14">
        <f t="shared" si="10"/>
        <v>0</v>
      </c>
      <c r="AI3" s="14">
        <f>'Monthly Plan'!N4</f>
        <v>25</v>
      </c>
      <c r="AJ3" s="14">
        <f>SUMPRODUCT((MONTH(Transactions!$A$2:$A$280)=12)*(Transactions!$D$2:$D$280="Renters Insurance")*Transactions!$C$2:$C$280)</f>
        <v>25</v>
      </c>
      <c r="AK3" s="14">
        <f t="shared" si="11"/>
        <v>0</v>
      </c>
      <c r="AL3" s="12">
        <f t="shared" si="12"/>
        <v>300</v>
      </c>
      <c r="AM3" s="12">
        <f t="shared" si="13"/>
        <v>300</v>
      </c>
      <c r="AN3" s="12">
        <f t="shared" si="14"/>
        <v>0</v>
      </c>
    </row>
    <row r="4" spans="1:40" x14ac:dyDescent="0.25">
      <c r="A4" s="3" t="s">
        <v>13</v>
      </c>
      <c r="B4" s="14">
        <f>'Monthly Plan'!C5</f>
        <v>160</v>
      </c>
      <c r="C4" s="14">
        <f>SUMPRODUCT((MONTH(Transactions!$A$2:$A$280)=1)*(Transactions!$D$2:$D$280="Utilities")*Transactions!$C$2:$C$280)</f>
        <v>185.53</v>
      </c>
      <c r="D4" s="14">
        <f t="shared" si="0"/>
        <v>-25.53</v>
      </c>
      <c r="E4" s="14">
        <f>'Monthly Plan'!D5</f>
        <v>160</v>
      </c>
      <c r="F4" s="14">
        <f>SUMPRODUCT((MONTH(Transactions!$A$2:$A$280)=2)*(Transactions!$D$2:$D$280="Utilities")*Transactions!$C$2:$C$280)</f>
        <v>152.76</v>
      </c>
      <c r="G4" s="14">
        <f t="shared" si="1"/>
        <v>7.2400000000000091</v>
      </c>
      <c r="H4" s="14">
        <f>'Monthly Plan'!E5</f>
        <v>160</v>
      </c>
      <c r="I4" s="14">
        <f>SUMPRODUCT((MONTH(Transactions!$A$2:$A$280)=3)*(Transactions!$D$2:$D$280="Utilities")*Transactions!$C$2:$C$280)</f>
        <v>198.68</v>
      </c>
      <c r="J4" s="14">
        <f t="shared" si="2"/>
        <v>-38.680000000000007</v>
      </c>
      <c r="K4" s="14">
        <f>'Monthly Plan'!F5</f>
        <v>160</v>
      </c>
      <c r="L4" s="14">
        <f>SUMPRODUCT((MONTH(Transactions!$A$2:$A$280)=4)*(Transactions!$D$2:$D$280="Utilities")*Transactions!$C$2:$C$280)</f>
        <v>166.59</v>
      </c>
      <c r="M4" s="14">
        <f t="shared" si="3"/>
        <v>-6.5900000000000034</v>
      </c>
      <c r="N4" s="14">
        <f>'Monthly Plan'!G5</f>
        <v>160</v>
      </c>
      <c r="O4" s="14">
        <f>SUMPRODUCT((MONTH(Transactions!$A$2:$A$280)=5)*(Transactions!$D$2:$D$280="Utilities")*Transactions!$C$2:$C$280)</f>
        <v>195.74</v>
      </c>
      <c r="P4" s="14">
        <f t="shared" si="4"/>
        <v>-35.740000000000009</v>
      </c>
      <c r="Q4" s="14">
        <f>'Monthly Plan'!H5</f>
        <v>160</v>
      </c>
      <c r="R4" s="14">
        <f>SUMPRODUCT((MONTH(Transactions!$A$2:$A$280)=6)*(Transactions!$D$2:$D$280="Utilities")*Transactions!$C$2:$C$280)</f>
        <v>161.88</v>
      </c>
      <c r="S4" s="14">
        <f t="shared" si="5"/>
        <v>-1.8799999999999955</v>
      </c>
      <c r="T4" s="14">
        <f>'Monthly Plan'!I5</f>
        <v>160</v>
      </c>
      <c r="U4" s="14">
        <f>SUMPRODUCT((MONTH(Transactions!$A$2:$A$280)=7)*(Transactions!$D$2:$D$280="Utilities")*Transactions!$C$2:$C$280)</f>
        <v>140.1</v>
      </c>
      <c r="V4" s="14">
        <f t="shared" si="6"/>
        <v>19.900000000000006</v>
      </c>
      <c r="W4" s="14">
        <f>'Monthly Plan'!J5</f>
        <v>160</v>
      </c>
      <c r="X4" s="14">
        <f>SUMPRODUCT((MONTH(Transactions!$A$2:$A$280)=8)*(Transactions!$D$2:$D$280="Utilities")*Transactions!$C$2:$C$280)</f>
        <v>188.25</v>
      </c>
      <c r="Y4" s="14">
        <f t="shared" si="7"/>
        <v>-28.25</v>
      </c>
      <c r="Z4" s="14">
        <f>'Monthly Plan'!K5</f>
        <v>160</v>
      </c>
      <c r="AA4" s="14">
        <f>SUMPRODUCT((MONTH(Transactions!$A$2:$A$280)=9)*(Transactions!$D$2:$D$280="Utilities")*Transactions!$C$2:$C$280)</f>
        <v>169.29</v>
      </c>
      <c r="AB4" s="14">
        <f t="shared" si="8"/>
        <v>-9.289999999999992</v>
      </c>
      <c r="AC4" s="14">
        <f>'Monthly Plan'!L5</f>
        <v>160</v>
      </c>
      <c r="AD4" s="14">
        <f>SUMPRODUCT((MONTH(Transactions!$A$2:$A$280)=10)*(Transactions!$D$2:$D$280="Utilities")*Transactions!$C$2:$C$280)</f>
        <v>195.73</v>
      </c>
      <c r="AE4" s="14">
        <f t="shared" si="9"/>
        <v>-35.72999999999999</v>
      </c>
      <c r="AF4" s="14">
        <f>'Monthly Plan'!M5</f>
        <v>160</v>
      </c>
      <c r="AG4" s="14">
        <f>SUMPRODUCT((MONTH(Transactions!$A$2:$A$280)=11)*(Transactions!$D$2:$D$280="Utilities")*Transactions!$C$2:$C$280)</f>
        <v>173.35</v>
      </c>
      <c r="AH4" s="14">
        <f t="shared" si="10"/>
        <v>-13.349999999999994</v>
      </c>
      <c r="AI4" s="14">
        <f>'Monthly Plan'!N5</f>
        <v>160</v>
      </c>
      <c r="AJ4" s="14">
        <f>SUMPRODUCT((MONTH(Transactions!$A$2:$A$280)=12)*(Transactions!$D$2:$D$280="Utilities")*Transactions!$C$2:$C$280)</f>
        <v>146.16</v>
      </c>
      <c r="AK4" s="14">
        <f t="shared" si="11"/>
        <v>13.840000000000003</v>
      </c>
      <c r="AL4" s="12">
        <f t="shared" si="12"/>
        <v>1920</v>
      </c>
      <c r="AM4" s="12">
        <f t="shared" si="13"/>
        <v>2074.06</v>
      </c>
      <c r="AN4" s="12">
        <f t="shared" si="14"/>
        <v>-154.05999999999995</v>
      </c>
    </row>
    <row r="5" spans="1:40" x14ac:dyDescent="0.25">
      <c r="A5" s="3" t="s">
        <v>14</v>
      </c>
      <c r="B5" s="14">
        <f>'Monthly Plan'!C6</f>
        <v>65</v>
      </c>
      <c r="C5" s="14">
        <f>SUMPRODUCT((MONTH(Transactions!$A$2:$A$280)=1)*(Transactions!$D$2:$D$280="Internet")*Transactions!$C$2:$C$280)</f>
        <v>65</v>
      </c>
      <c r="D5" s="14">
        <f t="shared" si="0"/>
        <v>0</v>
      </c>
      <c r="E5" s="14">
        <f>'Monthly Plan'!D6</f>
        <v>65</v>
      </c>
      <c r="F5" s="14">
        <f>SUMPRODUCT((MONTH(Transactions!$A$2:$A$280)=2)*(Transactions!$D$2:$D$280="Internet")*Transactions!$C$2:$C$280)</f>
        <v>65</v>
      </c>
      <c r="G5" s="14">
        <f t="shared" si="1"/>
        <v>0</v>
      </c>
      <c r="H5" s="14">
        <f>'Monthly Plan'!E6</f>
        <v>65</v>
      </c>
      <c r="I5" s="14">
        <f>SUMPRODUCT((MONTH(Transactions!$A$2:$A$280)=3)*(Transactions!$D$2:$D$280="Internet")*Transactions!$C$2:$C$280)</f>
        <v>65</v>
      </c>
      <c r="J5" s="14">
        <f t="shared" si="2"/>
        <v>0</v>
      </c>
      <c r="K5" s="14">
        <f>'Monthly Plan'!F6</f>
        <v>65</v>
      </c>
      <c r="L5" s="14">
        <f>SUMPRODUCT((MONTH(Transactions!$A$2:$A$280)=4)*(Transactions!$D$2:$D$280="Internet")*Transactions!$C$2:$C$280)</f>
        <v>65</v>
      </c>
      <c r="M5" s="14">
        <f t="shared" si="3"/>
        <v>0</v>
      </c>
      <c r="N5" s="14">
        <f>'Monthly Plan'!G6</f>
        <v>65</v>
      </c>
      <c r="O5" s="14">
        <f>SUMPRODUCT((MONTH(Transactions!$A$2:$A$280)=5)*(Transactions!$D$2:$D$280="Internet")*Transactions!$C$2:$C$280)</f>
        <v>65</v>
      </c>
      <c r="P5" s="14">
        <f t="shared" si="4"/>
        <v>0</v>
      </c>
      <c r="Q5" s="14">
        <f>'Monthly Plan'!H6</f>
        <v>65</v>
      </c>
      <c r="R5" s="14">
        <f>SUMPRODUCT((MONTH(Transactions!$A$2:$A$280)=6)*(Transactions!$D$2:$D$280="Internet")*Transactions!$C$2:$C$280)</f>
        <v>65</v>
      </c>
      <c r="S5" s="14">
        <f t="shared" si="5"/>
        <v>0</v>
      </c>
      <c r="T5" s="14">
        <f>'Monthly Plan'!I6</f>
        <v>65</v>
      </c>
      <c r="U5" s="14">
        <f>SUMPRODUCT((MONTH(Transactions!$A$2:$A$280)=7)*(Transactions!$D$2:$D$280="Internet")*Transactions!$C$2:$C$280)</f>
        <v>65</v>
      </c>
      <c r="V5" s="14">
        <f t="shared" si="6"/>
        <v>0</v>
      </c>
      <c r="W5" s="14">
        <f>'Monthly Plan'!J6</f>
        <v>65</v>
      </c>
      <c r="X5" s="14">
        <f>SUMPRODUCT((MONTH(Transactions!$A$2:$A$280)=8)*(Transactions!$D$2:$D$280="Internet")*Transactions!$C$2:$C$280)</f>
        <v>65</v>
      </c>
      <c r="Y5" s="14">
        <f t="shared" si="7"/>
        <v>0</v>
      </c>
      <c r="Z5" s="14">
        <f>'Monthly Plan'!K6</f>
        <v>65</v>
      </c>
      <c r="AA5" s="14">
        <f>SUMPRODUCT((MONTH(Transactions!$A$2:$A$280)=9)*(Transactions!$D$2:$D$280="Internet")*Transactions!$C$2:$C$280)</f>
        <v>65</v>
      </c>
      <c r="AB5" s="14">
        <f t="shared" si="8"/>
        <v>0</v>
      </c>
      <c r="AC5" s="14">
        <f>'Monthly Plan'!L6</f>
        <v>65</v>
      </c>
      <c r="AD5" s="14">
        <f>SUMPRODUCT((MONTH(Transactions!$A$2:$A$280)=10)*(Transactions!$D$2:$D$280="Internet")*Transactions!$C$2:$C$280)</f>
        <v>65</v>
      </c>
      <c r="AE5" s="14">
        <f t="shared" si="9"/>
        <v>0</v>
      </c>
      <c r="AF5" s="14">
        <f>'Monthly Plan'!M6</f>
        <v>65</v>
      </c>
      <c r="AG5" s="14">
        <f>SUMPRODUCT((MONTH(Transactions!$A$2:$A$280)=11)*(Transactions!$D$2:$D$280="Internet")*Transactions!$C$2:$C$280)</f>
        <v>65</v>
      </c>
      <c r="AH5" s="14">
        <f t="shared" si="10"/>
        <v>0</v>
      </c>
      <c r="AI5" s="14">
        <f>'Monthly Plan'!N6</f>
        <v>65</v>
      </c>
      <c r="AJ5" s="14">
        <f>SUMPRODUCT((MONTH(Transactions!$A$2:$A$280)=12)*(Transactions!$D$2:$D$280="Internet")*Transactions!$C$2:$C$280)</f>
        <v>65</v>
      </c>
      <c r="AK5" s="14">
        <f t="shared" si="11"/>
        <v>0</v>
      </c>
      <c r="AL5" s="12">
        <f t="shared" si="12"/>
        <v>780</v>
      </c>
      <c r="AM5" s="12">
        <f t="shared" si="13"/>
        <v>780</v>
      </c>
      <c r="AN5" s="12">
        <f t="shared" si="14"/>
        <v>0</v>
      </c>
    </row>
    <row r="6" spans="1:40" x14ac:dyDescent="0.25">
      <c r="A6" s="3" t="s">
        <v>15</v>
      </c>
      <c r="B6" s="14">
        <f>'Monthly Plan'!C7</f>
        <v>380</v>
      </c>
      <c r="C6" s="14">
        <f>SUMPRODUCT((MONTH(Transactions!$A$2:$A$280)=1)*(Transactions!$D$2:$D$280="Car Payment")*Transactions!$C$2:$C$280)</f>
        <v>380</v>
      </c>
      <c r="D6" s="14">
        <f t="shared" si="0"/>
        <v>0</v>
      </c>
      <c r="E6" s="14">
        <f>'Monthly Plan'!D7</f>
        <v>380</v>
      </c>
      <c r="F6" s="14">
        <f>SUMPRODUCT((MONTH(Transactions!$A$2:$A$280)=2)*(Transactions!$D$2:$D$280="Car Payment")*Transactions!$C$2:$C$280)</f>
        <v>380</v>
      </c>
      <c r="G6" s="14">
        <f t="shared" si="1"/>
        <v>0</v>
      </c>
      <c r="H6" s="14">
        <f>'Monthly Plan'!E7</f>
        <v>380</v>
      </c>
      <c r="I6" s="14">
        <f>SUMPRODUCT((MONTH(Transactions!$A$2:$A$280)=3)*(Transactions!$D$2:$D$280="Car Payment")*Transactions!$C$2:$C$280)</f>
        <v>380</v>
      </c>
      <c r="J6" s="14">
        <f t="shared" si="2"/>
        <v>0</v>
      </c>
      <c r="K6" s="14">
        <f>'Monthly Plan'!F7</f>
        <v>380</v>
      </c>
      <c r="L6" s="14">
        <f>SUMPRODUCT((MONTH(Transactions!$A$2:$A$280)=4)*(Transactions!$D$2:$D$280="Car Payment")*Transactions!$C$2:$C$280)</f>
        <v>380</v>
      </c>
      <c r="M6" s="14">
        <f t="shared" si="3"/>
        <v>0</v>
      </c>
      <c r="N6" s="14">
        <f>'Monthly Plan'!G7</f>
        <v>380</v>
      </c>
      <c r="O6" s="14">
        <f>SUMPRODUCT((MONTH(Transactions!$A$2:$A$280)=5)*(Transactions!$D$2:$D$280="Car Payment")*Transactions!$C$2:$C$280)</f>
        <v>380</v>
      </c>
      <c r="P6" s="14">
        <f t="shared" si="4"/>
        <v>0</v>
      </c>
      <c r="Q6" s="14">
        <f>'Monthly Plan'!H7</f>
        <v>380</v>
      </c>
      <c r="R6" s="14">
        <f>SUMPRODUCT((MONTH(Transactions!$A$2:$A$280)=6)*(Transactions!$D$2:$D$280="Car Payment")*Transactions!$C$2:$C$280)</f>
        <v>380</v>
      </c>
      <c r="S6" s="14">
        <f t="shared" si="5"/>
        <v>0</v>
      </c>
      <c r="T6" s="14">
        <f>'Monthly Plan'!I7</f>
        <v>380</v>
      </c>
      <c r="U6" s="14">
        <f>SUMPRODUCT((MONTH(Transactions!$A$2:$A$280)=7)*(Transactions!$D$2:$D$280="Car Payment")*Transactions!$C$2:$C$280)</f>
        <v>380</v>
      </c>
      <c r="V6" s="14">
        <f t="shared" si="6"/>
        <v>0</v>
      </c>
      <c r="W6" s="14">
        <f>'Monthly Plan'!J7</f>
        <v>380</v>
      </c>
      <c r="X6" s="14">
        <f>SUMPRODUCT((MONTH(Transactions!$A$2:$A$280)=8)*(Transactions!$D$2:$D$280="Car Payment")*Transactions!$C$2:$C$280)</f>
        <v>380</v>
      </c>
      <c r="Y6" s="14">
        <f t="shared" si="7"/>
        <v>0</v>
      </c>
      <c r="Z6" s="14">
        <f>'Monthly Plan'!K7</f>
        <v>380</v>
      </c>
      <c r="AA6" s="14">
        <f>SUMPRODUCT((MONTH(Transactions!$A$2:$A$280)=9)*(Transactions!$D$2:$D$280="Car Payment")*Transactions!$C$2:$C$280)</f>
        <v>380</v>
      </c>
      <c r="AB6" s="14">
        <f t="shared" si="8"/>
        <v>0</v>
      </c>
      <c r="AC6" s="14">
        <f>'Monthly Plan'!L7</f>
        <v>380</v>
      </c>
      <c r="AD6" s="14">
        <f>SUMPRODUCT((MONTH(Transactions!$A$2:$A$280)=10)*(Transactions!$D$2:$D$280="Car Payment")*Transactions!$C$2:$C$280)</f>
        <v>380</v>
      </c>
      <c r="AE6" s="14">
        <f t="shared" si="9"/>
        <v>0</v>
      </c>
      <c r="AF6" s="14">
        <f>'Monthly Plan'!M7</f>
        <v>380</v>
      </c>
      <c r="AG6" s="14">
        <f>SUMPRODUCT((MONTH(Transactions!$A$2:$A$280)=11)*(Transactions!$D$2:$D$280="Car Payment")*Transactions!$C$2:$C$280)</f>
        <v>380</v>
      </c>
      <c r="AH6" s="14">
        <f t="shared" si="10"/>
        <v>0</v>
      </c>
      <c r="AI6" s="14">
        <f>'Monthly Plan'!N7</f>
        <v>380</v>
      </c>
      <c r="AJ6" s="14">
        <f>SUMPRODUCT((MONTH(Transactions!$A$2:$A$280)=12)*(Transactions!$D$2:$D$280="Car Payment")*Transactions!$C$2:$C$280)</f>
        <v>380</v>
      </c>
      <c r="AK6" s="14">
        <f t="shared" si="11"/>
        <v>0</v>
      </c>
      <c r="AL6" s="12">
        <f t="shared" si="12"/>
        <v>4560</v>
      </c>
      <c r="AM6" s="12">
        <f t="shared" si="13"/>
        <v>4560</v>
      </c>
      <c r="AN6" s="12">
        <f t="shared" si="14"/>
        <v>0</v>
      </c>
    </row>
    <row r="7" spans="1:40" x14ac:dyDescent="0.25">
      <c r="A7" s="3" t="s">
        <v>17</v>
      </c>
      <c r="B7" s="14">
        <f>'Monthly Plan'!C8</f>
        <v>140</v>
      </c>
      <c r="C7" s="14">
        <f>SUMPRODUCT((MONTH(Transactions!$A$2:$A$280)=1)*(Transactions!$D$2:$D$280="Gas")*Transactions!$C$2:$C$280)</f>
        <v>127.22</v>
      </c>
      <c r="D7" s="14">
        <f t="shared" si="0"/>
        <v>12.780000000000001</v>
      </c>
      <c r="E7" s="14">
        <f>'Monthly Plan'!D8</f>
        <v>140</v>
      </c>
      <c r="F7" s="14">
        <f>SUMPRODUCT((MONTH(Transactions!$A$2:$A$280)=2)*(Transactions!$D$2:$D$280="Gas")*Transactions!$C$2:$C$280)</f>
        <v>136.71</v>
      </c>
      <c r="G7" s="14">
        <f t="shared" si="1"/>
        <v>3.289999999999992</v>
      </c>
      <c r="H7" s="14">
        <f>'Monthly Plan'!E8</f>
        <v>140</v>
      </c>
      <c r="I7" s="14">
        <f>SUMPRODUCT((MONTH(Transactions!$A$2:$A$280)=3)*(Transactions!$D$2:$D$280="Gas")*Transactions!$C$2:$C$280)</f>
        <v>110.27</v>
      </c>
      <c r="J7" s="14">
        <f t="shared" si="2"/>
        <v>29.730000000000004</v>
      </c>
      <c r="K7" s="14">
        <f>'Monthly Plan'!F8</f>
        <v>140</v>
      </c>
      <c r="L7" s="14">
        <f>SUMPRODUCT((MONTH(Transactions!$A$2:$A$280)=4)*(Transactions!$D$2:$D$280="Gas")*Transactions!$C$2:$C$280)</f>
        <v>152.16999999999999</v>
      </c>
      <c r="M7" s="14">
        <f t="shared" si="3"/>
        <v>-12.169999999999987</v>
      </c>
      <c r="N7" s="14">
        <f>'Monthly Plan'!G8</f>
        <v>140</v>
      </c>
      <c r="O7" s="14">
        <f>SUMPRODUCT((MONTH(Transactions!$A$2:$A$280)=5)*(Transactions!$D$2:$D$280="Gas")*Transactions!$C$2:$C$280)</f>
        <v>149.69</v>
      </c>
      <c r="P7" s="14">
        <f t="shared" si="4"/>
        <v>-9.6899999999999977</v>
      </c>
      <c r="Q7" s="14">
        <f>'Monthly Plan'!H8</f>
        <v>140</v>
      </c>
      <c r="R7" s="14">
        <f>SUMPRODUCT((MONTH(Transactions!$A$2:$A$280)=6)*(Transactions!$D$2:$D$280="Gas")*Transactions!$C$2:$C$280)</f>
        <v>116.81</v>
      </c>
      <c r="S7" s="14">
        <f t="shared" si="5"/>
        <v>23.189999999999998</v>
      </c>
      <c r="T7" s="14">
        <f>'Monthly Plan'!I8</f>
        <v>140</v>
      </c>
      <c r="U7" s="14">
        <f>SUMPRODUCT((MONTH(Transactions!$A$2:$A$280)=7)*(Transactions!$D$2:$D$280="Gas")*Transactions!$C$2:$C$280)</f>
        <v>175.22</v>
      </c>
      <c r="V7" s="14">
        <f t="shared" si="6"/>
        <v>-35.22</v>
      </c>
      <c r="W7" s="14">
        <f>'Monthly Plan'!J8</f>
        <v>140</v>
      </c>
      <c r="X7" s="14">
        <f>SUMPRODUCT((MONTH(Transactions!$A$2:$A$280)=8)*(Transactions!$D$2:$D$280="Gas")*Transactions!$C$2:$C$280)</f>
        <v>104.02</v>
      </c>
      <c r="Y7" s="14">
        <f t="shared" si="7"/>
        <v>35.980000000000004</v>
      </c>
      <c r="Z7" s="14">
        <f>'Monthly Plan'!K8</f>
        <v>140</v>
      </c>
      <c r="AA7" s="14">
        <f>SUMPRODUCT((MONTH(Transactions!$A$2:$A$280)=9)*(Transactions!$D$2:$D$280="Gas")*Transactions!$C$2:$C$280)</f>
        <v>102.32</v>
      </c>
      <c r="AB7" s="14">
        <f t="shared" si="8"/>
        <v>37.680000000000007</v>
      </c>
      <c r="AC7" s="14">
        <f>'Monthly Plan'!L8</f>
        <v>140</v>
      </c>
      <c r="AD7" s="14">
        <f>SUMPRODUCT((MONTH(Transactions!$A$2:$A$280)=10)*(Transactions!$D$2:$D$280="Gas")*Transactions!$C$2:$C$280)</f>
        <v>131.72999999999999</v>
      </c>
      <c r="AE7" s="14">
        <f t="shared" si="9"/>
        <v>8.2700000000000102</v>
      </c>
      <c r="AF7" s="14">
        <f>'Monthly Plan'!M8</f>
        <v>140</v>
      </c>
      <c r="AG7" s="14">
        <f>SUMPRODUCT((MONTH(Transactions!$A$2:$A$280)=11)*(Transactions!$D$2:$D$280="Gas")*Transactions!$C$2:$C$280)</f>
        <v>119.31</v>
      </c>
      <c r="AH7" s="14">
        <f t="shared" si="10"/>
        <v>20.689999999999998</v>
      </c>
      <c r="AI7" s="14">
        <f>'Monthly Plan'!N8</f>
        <v>140</v>
      </c>
      <c r="AJ7" s="14">
        <f>SUMPRODUCT((MONTH(Transactions!$A$2:$A$280)=12)*(Transactions!$D$2:$D$280="Gas")*Transactions!$C$2:$C$280)</f>
        <v>137.55000000000001</v>
      </c>
      <c r="AK7" s="14">
        <f t="shared" si="11"/>
        <v>2.4499999999999886</v>
      </c>
      <c r="AL7" s="12">
        <f t="shared" si="12"/>
        <v>1680</v>
      </c>
      <c r="AM7" s="12">
        <f t="shared" si="13"/>
        <v>1563.0199999999998</v>
      </c>
      <c r="AN7" s="12">
        <f t="shared" si="14"/>
        <v>116.98000000000025</v>
      </c>
    </row>
    <row r="8" spans="1:40" x14ac:dyDescent="0.25">
      <c r="A8" s="3" t="s">
        <v>18</v>
      </c>
      <c r="B8" s="14">
        <f>'Monthly Plan'!C9</f>
        <v>110</v>
      </c>
      <c r="C8" s="14">
        <f>SUMPRODUCT((MONTH(Transactions!$A$2:$A$280)=1)*(Transactions!$D$2:$D$280="Auto Insurance")*Transactions!$C$2:$C$280)</f>
        <v>110</v>
      </c>
      <c r="D8" s="14">
        <f t="shared" si="0"/>
        <v>0</v>
      </c>
      <c r="E8" s="14">
        <f>'Monthly Plan'!D9</f>
        <v>110</v>
      </c>
      <c r="F8" s="14">
        <f>SUMPRODUCT((MONTH(Transactions!$A$2:$A$280)=2)*(Transactions!$D$2:$D$280="Auto Insurance")*Transactions!$C$2:$C$280)</f>
        <v>110</v>
      </c>
      <c r="G8" s="14">
        <f t="shared" si="1"/>
        <v>0</v>
      </c>
      <c r="H8" s="14">
        <f>'Monthly Plan'!E9</f>
        <v>110</v>
      </c>
      <c r="I8" s="14">
        <f>SUMPRODUCT((MONTH(Transactions!$A$2:$A$280)=3)*(Transactions!$D$2:$D$280="Auto Insurance")*Transactions!$C$2:$C$280)</f>
        <v>110</v>
      </c>
      <c r="J8" s="14">
        <f t="shared" si="2"/>
        <v>0</v>
      </c>
      <c r="K8" s="14">
        <f>'Monthly Plan'!F9</f>
        <v>110</v>
      </c>
      <c r="L8" s="14">
        <f>SUMPRODUCT((MONTH(Transactions!$A$2:$A$280)=4)*(Transactions!$D$2:$D$280="Auto Insurance")*Transactions!$C$2:$C$280)</f>
        <v>110</v>
      </c>
      <c r="M8" s="14">
        <f t="shared" si="3"/>
        <v>0</v>
      </c>
      <c r="N8" s="14">
        <f>'Monthly Plan'!G9</f>
        <v>110</v>
      </c>
      <c r="O8" s="14">
        <f>SUMPRODUCT((MONTH(Transactions!$A$2:$A$280)=5)*(Transactions!$D$2:$D$280="Auto Insurance")*Transactions!$C$2:$C$280)</f>
        <v>110</v>
      </c>
      <c r="P8" s="14">
        <f t="shared" si="4"/>
        <v>0</v>
      </c>
      <c r="Q8" s="14">
        <f>'Monthly Plan'!H9</f>
        <v>110</v>
      </c>
      <c r="R8" s="14">
        <f>SUMPRODUCT((MONTH(Transactions!$A$2:$A$280)=6)*(Transactions!$D$2:$D$280="Auto Insurance")*Transactions!$C$2:$C$280)</f>
        <v>110</v>
      </c>
      <c r="S8" s="14">
        <f t="shared" si="5"/>
        <v>0</v>
      </c>
      <c r="T8" s="14">
        <f>'Monthly Plan'!I9</f>
        <v>110</v>
      </c>
      <c r="U8" s="14">
        <f>SUMPRODUCT((MONTH(Transactions!$A$2:$A$280)=7)*(Transactions!$D$2:$D$280="Auto Insurance")*Transactions!$C$2:$C$280)</f>
        <v>110</v>
      </c>
      <c r="V8" s="14">
        <f t="shared" si="6"/>
        <v>0</v>
      </c>
      <c r="W8" s="14">
        <f>'Monthly Plan'!J9</f>
        <v>110</v>
      </c>
      <c r="X8" s="14">
        <f>SUMPRODUCT((MONTH(Transactions!$A$2:$A$280)=8)*(Transactions!$D$2:$D$280="Auto Insurance")*Transactions!$C$2:$C$280)</f>
        <v>110</v>
      </c>
      <c r="Y8" s="14">
        <f t="shared" si="7"/>
        <v>0</v>
      </c>
      <c r="Z8" s="14">
        <f>'Monthly Plan'!K9</f>
        <v>110</v>
      </c>
      <c r="AA8" s="14">
        <f>SUMPRODUCT((MONTH(Transactions!$A$2:$A$280)=9)*(Transactions!$D$2:$D$280="Auto Insurance")*Transactions!$C$2:$C$280)</f>
        <v>110</v>
      </c>
      <c r="AB8" s="14">
        <f t="shared" si="8"/>
        <v>0</v>
      </c>
      <c r="AC8" s="14">
        <f>'Monthly Plan'!L9</f>
        <v>110</v>
      </c>
      <c r="AD8" s="14">
        <f>SUMPRODUCT((MONTH(Transactions!$A$2:$A$280)=10)*(Transactions!$D$2:$D$280="Auto Insurance")*Transactions!$C$2:$C$280)</f>
        <v>110</v>
      </c>
      <c r="AE8" s="14">
        <f t="shared" si="9"/>
        <v>0</v>
      </c>
      <c r="AF8" s="14">
        <f>'Monthly Plan'!M9</f>
        <v>110</v>
      </c>
      <c r="AG8" s="14">
        <f>SUMPRODUCT((MONTH(Transactions!$A$2:$A$280)=11)*(Transactions!$D$2:$D$280="Auto Insurance")*Transactions!$C$2:$C$280)</f>
        <v>110</v>
      </c>
      <c r="AH8" s="14">
        <f t="shared" si="10"/>
        <v>0</v>
      </c>
      <c r="AI8" s="14">
        <f>'Monthly Plan'!N9</f>
        <v>110</v>
      </c>
      <c r="AJ8" s="14">
        <f>SUMPRODUCT((MONTH(Transactions!$A$2:$A$280)=12)*(Transactions!$D$2:$D$280="Auto Insurance")*Transactions!$C$2:$C$280)</f>
        <v>110</v>
      </c>
      <c r="AK8" s="14">
        <f t="shared" si="11"/>
        <v>0</v>
      </c>
      <c r="AL8" s="12">
        <f t="shared" si="12"/>
        <v>1320</v>
      </c>
      <c r="AM8" s="12">
        <f t="shared" si="13"/>
        <v>1320</v>
      </c>
      <c r="AN8" s="12">
        <f t="shared" si="14"/>
        <v>0</v>
      </c>
    </row>
    <row r="9" spans="1:40" x14ac:dyDescent="0.25">
      <c r="A9" s="3" t="s">
        <v>19</v>
      </c>
      <c r="B9" s="14">
        <f>'Monthly Plan'!C10</f>
        <v>50</v>
      </c>
      <c r="C9" s="14">
        <f>SUMPRODUCT((MONTH(Transactions!$A$2:$A$280)=1)*(Transactions!$D$2:$D$280="Maintenance")*Transactions!$C$2:$C$280)</f>
        <v>0</v>
      </c>
      <c r="D9" s="14">
        <f t="shared" si="0"/>
        <v>50</v>
      </c>
      <c r="E9" s="14">
        <f>'Monthly Plan'!D10</f>
        <v>50</v>
      </c>
      <c r="F9" s="14">
        <f>SUMPRODUCT((MONTH(Transactions!$A$2:$A$280)=2)*(Transactions!$D$2:$D$280="Maintenance")*Transactions!$C$2:$C$280)</f>
        <v>0</v>
      </c>
      <c r="G9" s="14">
        <f t="shared" si="1"/>
        <v>50</v>
      </c>
      <c r="H9" s="14">
        <f>'Monthly Plan'!E10</f>
        <v>50</v>
      </c>
      <c r="I9" s="14">
        <f>SUMPRODUCT((MONTH(Transactions!$A$2:$A$280)=3)*(Transactions!$D$2:$D$280="Maintenance")*Transactions!$C$2:$C$280)</f>
        <v>0</v>
      </c>
      <c r="J9" s="14">
        <f t="shared" si="2"/>
        <v>50</v>
      </c>
      <c r="K9" s="14">
        <f>'Monthly Plan'!F10</f>
        <v>50</v>
      </c>
      <c r="L9" s="14">
        <f>SUMPRODUCT((MONTH(Transactions!$A$2:$A$280)=4)*(Transactions!$D$2:$D$280="Maintenance")*Transactions!$C$2:$C$280)</f>
        <v>0</v>
      </c>
      <c r="M9" s="14">
        <f t="shared" si="3"/>
        <v>50</v>
      </c>
      <c r="N9" s="14">
        <f>'Monthly Plan'!G10</f>
        <v>50</v>
      </c>
      <c r="O9" s="14">
        <f>SUMPRODUCT((MONTH(Transactions!$A$2:$A$280)=5)*(Transactions!$D$2:$D$280="Maintenance")*Transactions!$C$2:$C$280)</f>
        <v>0</v>
      </c>
      <c r="P9" s="14">
        <f t="shared" si="4"/>
        <v>50</v>
      </c>
      <c r="Q9" s="14">
        <f>'Monthly Plan'!H10</f>
        <v>50</v>
      </c>
      <c r="R9" s="14">
        <f>SUMPRODUCT((MONTH(Transactions!$A$2:$A$280)=6)*(Transactions!$D$2:$D$280="Maintenance")*Transactions!$C$2:$C$280)</f>
        <v>0</v>
      </c>
      <c r="S9" s="14">
        <f t="shared" si="5"/>
        <v>50</v>
      </c>
      <c r="T9" s="14">
        <f>'Monthly Plan'!I10</f>
        <v>50</v>
      </c>
      <c r="U9" s="14">
        <f>SUMPRODUCT((MONTH(Transactions!$A$2:$A$280)=7)*(Transactions!$D$2:$D$280="Maintenance")*Transactions!$C$2:$C$280)</f>
        <v>45.88</v>
      </c>
      <c r="V9" s="14">
        <f t="shared" si="6"/>
        <v>4.1199999999999974</v>
      </c>
      <c r="W9" s="14">
        <f>'Monthly Plan'!J10</f>
        <v>50</v>
      </c>
      <c r="X9" s="14">
        <f>SUMPRODUCT((MONTH(Transactions!$A$2:$A$280)=8)*(Transactions!$D$2:$D$280="Maintenance")*Transactions!$C$2:$C$280)</f>
        <v>0</v>
      </c>
      <c r="Y9" s="14">
        <f t="shared" si="7"/>
        <v>50</v>
      </c>
      <c r="Z9" s="14">
        <f>'Monthly Plan'!K10</f>
        <v>50</v>
      </c>
      <c r="AA9" s="14">
        <f>SUMPRODUCT((MONTH(Transactions!$A$2:$A$280)=9)*(Transactions!$D$2:$D$280="Maintenance")*Transactions!$C$2:$C$280)</f>
        <v>0</v>
      </c>
      <c r="AB9" s="14">
        <f t="shared" si="8"/>
        <v>50</v>
      </c>
      <c r="AC9" s="14">
        <f>'Monthly Plan'!L10</f>
        <v>50</v>
      </c>
      <c r="AD9" s="14">
        <f>SUMPRODUCT((MONTH(Transactions!$A$2:$A$280)=10)*(Transactions!$D$2:$D$280="Maintenance")*Transactions!$C$2:$C$280)</f>
        <v>0</v>
      </c>
      <c r="AE9" s="14">
        <f t="shared" si="9"/>
        <v>50</v>
      </c>
      <c r="AF9" s="14">
        <f>'Monthly Plan'!M10</f>
        <v>50</v>
      </c>
      <c r="AG9" s="14">
        <f>SUMPRODUCT((MONTH(Transactions!$A$2:$A$280)=11)*(Transactions!$D$2:$D$280="Maintenance")*Transactions!$C$2:$C$280)</f>
        <v>0</v>
      </c>
      <c r="AH9" s="14">
        <f t="shared" si="10"/>
        <v>50</v>
      </c>
      <c r="AI9" s="14">
        <f>'Monthly Plan'!N10</f>
        <v>50</v>
      </c>
      <c r="AJ9" s="14">
        <f>SUMPRODUCT((MONTH(Transactions!$A$2:$A$280)=12)*(Transactions!$D$2:$D$280="Maintenance")*Transactions!$C$2:$C$280)</f>
        <v>142.27000000000001</v>
      </c>
      <c r="AK9" s="14">
        <f t="shared" si="11"/>
        <v>-92.27000000000001</v>
      </c>
      <c r="AL9" s="12">
        <f t="shared" si="12"/>
        <v>600</v>
      </c>
      <c r="AM9" s="12">
        <f t="shared" si="13"/>
        <v>188.15</v>
      </c>
      <c r="AN9" s="12">
        <f t="shared" si="14"/>
        <v>411.85</v>
      </c>
    </row>
    <row r="10" spans="1:40" x14ac:dyDescent="0.25">
      <c r="A10" s="3" t="s">
        <v>20</v>
      </c>
      <c r="B10" s="14">
        <f>'Monthly Plan'!C11</f>
        <v>30</v>
      </c>
      <c r="C10" s="14">
        <f>SUMPRODUCT((MONTH(Transactions!$A$2:$A$280)=1)*(Transactions!$D$2:$D$280="Parking")*Transactions!$C$2:$C$280)</f>
        <v>11.61</v>
      </c>
      <c r="D10" s="14">
        <f t="shared" si="0"/>
        <v>18.39</v>
      </c>
      <c r="E10" s="14">
        <f>'Monthly Plan'!D11</f>
        <v>30</v>
      </c>
      <c r="F10" s="14">
        <f>SUMPRODUCT((MONTH(Transactions!$A$2:$A$280)=2)*(Transactions!$D$2:$D$280="Parking")*Transactions!$C$2:$C$280)</f>
        <v>12.69</v>
      </c>
      <c r="G10" s="14">
        <f t="shared" si="1"/>
        <v>17.310000000000002</v>
      </c>
      <c r="H10" s="14">
        <f>'Monthly Plan'!E11</f>
        <v>30</v>
      </c>
      <c r="I10" s="14">
        <f>SUMPRODUCT((MONTH(Transactions!$A$2:$A$280)=3)*(Transactions!$D$2:$D$280="Parking")*Transactions!$C$2:$C$280)</f>
        <v>7.14</v>
      </c>
      <c r="J10" s="14">
        <f t="shared" si="2"/>
        <v>22.86</v>
      </c>
      <c r="K10" s="14">
        <f>'Monthly Plan'!F11</f>
        <v>30</v>
      </c>
      <c r="L10" s="14">
        <f>SUMPRODUCT((MONTH(Transactions!$A$2:$A$280)=4)*(Transactions!$D$2:$D$280="Parking")*Transactions!$C$2:$C$280)</f>
        <v>10.79</v>
      </c>
      <c r="M10" s="14">
        <f t="shared" si="3"/>
        <v>19.21</v>
      </c>
      <c r="N10" s="14">
        <f>'Monthly Plan'!G11</f>
        <v>30</v>
      </c>
      <c r="O10" s="14">
        <f>SUMPRODUCT((MONTH(Transactions!$A$2:$A$280)=5)*(Transactions!$D$2:$D$280="Parking")*Transactions!$C$2:$C$280)</f>
        <v>7.72</v>
      </c>
      <c r="P10" s="14">
        <f t="shared" si="4"/>
        <v>22.28</v>
      </c>
      <c r="Q10" s="14">
        <f>'Monthly Plan'!H11</f>
        <v>30</v>
      </c>
      <c r="R10" s="14">
        <f>SUMPRODUCT((MONTH(Transactions!$A$2:$A$280)=6)*(Transactions!$D$2:$D$280="Parking")*Transactions!$C$2:$C$280)</f>
        <v>13.59</v>
      </c>
      <c r="S10" s="14">
        <f t="shared" si="5"/>
        <v>16.41</v>
      </c>
      <c r="T10" s="14">
        <f>'Monthly Plan'!I11</f>
        <v>30</v>
      </c>
      <c r="U10" s="14">
        <f>SUMPRODUCT((MONTH(Transactions!$A$2:$A$280)=7)*(Transactions!$D$2:$D$280="Parking")*Transactions!$C$2:$C$280)</f>
        <v>10.11</v>
      </c>
      <c r="V10" s="14">
        <f t="shared" si="6"/>
        <v>19.89</v>
      </c>
      <c r="W10" s="14">
        <f>'Monthly Plan'!J11</f>
        <v>30</v>
      </c>
      <c r="X10" s="14">
        <f>SUMPRODUCT((MONTH(Transactions!$A$2:$A$280)=8)*(Transactions!$D$2:$D$280="Parking")*Transactions!$C$2:$C$280)</f>
        <v>12.14</v>
      </c>
      <c r="Y10" s="14">
        <f t="shared" si="7"/>
        <v>17.86</v>
      </c>
      <c r="Z10" s="14">
        <f>'Monthly Plan'!K11</f>
        <v>30</v>
      </c>
      <c r="AA10" s="14">
        <f>SUMPRODUCT((MONTH(Transactions!$A$2:$A$280)=9)*(Transactions!$D$2:$D$280="Parking")*Transactions!$C$2:$C$280)</f>
        <v>8.3800000000000008</v>
      </c>
      <c r="AB10" s="14">
        <f t="shared" si="8"/>
        <v>21.619999999999997</v>
      </c>
      <c r="AC10" s="14">
        <f>'Monthly Plan'!L11</f>
        <v>30</v>
      </c>
      <c r="AD10" s="14">
        <f>SUMPRODUCT((MONTH(Transactions!$A$2:$A$280)=10)*(Transactions!$D$2:$D$280="Parking")*Transactions!$C$2:$C$280)</f>
        <v>9.35</v>
      </c>
      <c r="AE10" s="14">
        <f t="shared" si="9"/>
        <v>20.65</v>
      </c>
      <c r="AF10" s="14">
        <f>'Monthly Plan'!M11</f>
        <v>30</v>
      </c>
      <c r="AG10" s="14">
        <f>SUMPRODUCT((MONTH(Transactions!$A$2:$A$280)=11)*(Transactions!$D$2:$D$280="Parking")*Transactions!$C$2:$C$280)</f>
        <v>12.03</v>
      </c>
      <c r="AH10" s="14">
        <f t="shared" si="10"/>
        <v>17.97</v>
      </c>
      <c r="AI10" s="14">
        <f>'Monthly Plan'!N11</f>
        <v>30</v>
      </c>
      <c r="AJ10" s="14">
        <f>SUMPRODUCT((MONTH(Transactions!$A$2:$A$280)=12)*(Transactions!$D$2:$D$280="Parking")*Transactions!$C$2:$C$280)</f>
        <v>8.0500000000000007</v>
      </c>
      <c r="AK10" s="14">
        <f t="shared" si="11"/>
        <v>21.95</v>
      </c>
      <c r="AL10" s="12">
        <f t="shared" si="12"/>
        <v>360</v>
      </c>
      <c r="AM10" s="12">
        <f t="shared" si="13"/>
        <v>123.59999999999998</v>
      </c>
      <c r="AN10" s="12">
        <f t="shared" si="14"/>
        <v>236.40000000000003</v>
      </c>
    </row>
    <row r="11" spans="1:40" x14ac:dyDescent="0.25">
      <c r="A11" s="3" t="s">
        <v>21</v>
      </c>
      <c r="B11" s="14">
        <f>'Monthly Plan'!C12</f>
        <v>420</v>
      </c>
      <c r="C11" s="14">
        <f>SUMPRODUCT((MONTH(Transactions!$A$2:$A$280)=1)*(Transactions!$D$2:$D$280="Groceries")*Transactions!$C$2:$C$280)</f>
        <v>94.09</v>
      </c>
      <c r="D11" s="14">
        <f t="shared" si="0"/>
        <v>325.90999999999997</v>
      </c>
      <c r="E11" s="14">
        <f>'Monthly Plan'!D12</f>
        <v>420</v>
      </c>
      <c r="F11" s="14">
        <f>SUMPRODUCT((MONTH(Transactions!$A$2:$A$280)=2)*(Transactions!$D$2:$D$280="Groceries")*Transactions!$C$2:$C$280)</f>
        <v>119.88</v>
      </c>
      <c r="G11" s="14">
        <f t="shared" si="1"/>
        <v>300.12</v>
      </c>
      <c r="H11" s="14">
        <f>'Monthly Plan'!E12</f>
        <v>420</v>
      </c>
      <c r="I11" s="14">
        <f>SUMPRODUCT((MONTH(Transactions!$A$2:$A$280)=3)*(Transactions!$D$2:$D$280="Groceries")*Transactions!$C$2:$C$280)</f>
        <v>356.78999999999996</v>
      </c>
      <c r="J11" s="14">
        <f t="shared" si="2"/>
        <v>63.210000000000036</v>
      </c>
      <c r="K11" s="14">
        <f>'Monthly Plan'!F12</f>
        <v>420</v>
      </c>
      <c r="L11" s="14">
        <f>SUMPRODUCT((MONTH(Transactions!$A$2:$A$280)=4)*(Transactions!$D$2:$D$280="Groceries")*Transactions!$C$2:$C$280)</f>
        <v>96.65</v>
      </c>
      <c r="M11" s="14">
        <f t="shared" si="3"/>
        <v>323.35000000000002</v>
      </c>
      <c r="N11" s="14">
        <f>'Monthly Plan'!G12</f>
        <v>420</v>
      </c>
      <c r="O11" s="14">
        <f>SUMPRODUCT((MONTH(Transactions!$A$2:$A$280)=5)*(Transactions!$D$2:$D$280="Groceries")*Transactions!$C$2:$C$280)</f>
        <v>110.24</v>
      </c>
      <c r="P11" s="14">
        <f t="shared" si="4"/>
        <v>309.76</v>
      </c>
      <c r="Q11" s="14">
        <f>'Monthly Plan'!H12</f>
        <v>420</v>
      </c>
      <c r="R11" s="14">
        <f>SUMPRODUCT((MONTH(Transactions!$A$2:$A$280)=6)*(Transactions!$D$2:$D$280="Groceries")*Transactions!$C$2:$C$280)</f>
        <v>377.28000000000003</v>
      </c>
      <c r="S11" s="14">
        <f t="shared" si="5"/>
        <v>42.71999999999997</v>
      </c>
      <c r="T11" s="14">
        <f>'Monthly Plan'!I12</f>
        <v>420</v>
      </c>
      <c r="U11" s="14">
        <f>SUMPRODUCT((MONTH(Transactions!$A$2:$A$280)=7)*(Transactions!$D$2:$D$280="Groceries")*Transactions!$C$2:$C$280)</f>
        <v>340.97</v>
      </c>
      <c r="V11" s="14">
        <f t="shared" si="6"/>
        <v>79.029999999999973</v>
      </c>
      <c r="W11" s="14">
        <f>'Monthly Plan'!J12</f>
        <v>420</v>
      </c>
      <c r="X11" s="14">
        <f>SUMPRODUCT((MONTH(Transactions!$A$2:$A$280)=8)*(Transactions!$D$2:$D$280="Groceries")*Transactions!$C$2:$C$280)</f>
        <v>122.06</v>
      </c>
      <c r="Y11" s="14">
        <f t="shared" si="7"/>
        <v>297.94</v>
      </c>
      <c r="Z11" s="14">
        <f>'Monthly Plan'!K12</f>
        <v>420</v>
      </c>
      <c r="AA11" s="14">
        <f>SUMPRODUCT((MONTH(Transactions!$A$2:$A$280)=9)*(Transactions!$D$2:$D$280="Groceries")*Transactions!$C$2:$C$280)</f>
        <v>361.88</v>
      </c>
      <c r="AB11" s="14">
        <f t="shared" si="8"/>
        <v>58.120000000000005</v>
      </c>
      <c r="AC11" s="14">
        <f>'Monthly Plan'!L12</f>
        <v>420</v>
      </c>
      <c r="AD11" s="14">
        <f>SUMPRODUCT((MONTH(Transactions!$A$2:$A$280)=10)*(Transactions!$D$2:$D$280="Groceries")*Transactions!$C$2:$C$280)</f>
        <v>94.08</v>
      </c>
      <c r="AE11" s="14">
        <f t="shared" si="9"/>
        <v>325.92</v>
      </c>
      <c r="AF11" s="14">
        <f>'Monthly Plan'!M12</f>
        <v>420</v>
      </c>
      <c r="AG11" s="14">
        <f>SUMPRODUCT((MONTH(Transactions!$A$2:$A$280)=11)*(Transactions!$D$2:$D$280="Groceries")*Transactions!$C$2:$C$280)</f>
        <v>225.55</v>
      </c>
      <c r="AH11" s="14">
        <f t="shared" si="10"/>
        <v>194.45</v>
      </c>
      <c r="AI11" s="14">
        <f>'Monthly Plan'!N12</f>
        <v>420</v>
      </c>
      <c r="AJ11" s="14">
        <f>SUMPRODUCT((MONTH(Transactions!$A$2:$A$280)=12)*(Transactions!$D$2:$D$280="Groceries")*Transactions!$C$2:$C$280)</f>
        <v>206.13</v>
      </c>
      <c r="AK11" s="14">
        <f t="shared" si="11"/>
        <v>213.87</v>
      </c>
      <c r="AL11" s="12">
        <f t="shared" si="12"/>
        <v>5040</v>
      </c>
      <c r="AM11" s="12">
        <f t="shared" si="13"/>
        <v>2505.6000000000004</v>
      </c>
      <c r="AN11" s="12">
        <f t="shared" si="14"/>
        <v>2534.3999999999996</v>
      </c>
    </row>
    <row r="12" spans="1:40" x14ac:dyDescent="0.25">
      <c r="A12" s="3" t="s">
        <v>23</v>
      </c>
      <c r="B12" s="14">
        <f>'Monthly Plan'!C13</f>
        <v>180</v>
      </c>
      <c r="C12" s="14">
        <f>SUMPRODUCT((MONTH(Transactions!$A$2:$A$280)=1)*(Transactions!$D$2:$D$280="Dining Out")*Transactions!$C$2:$C$280)</f>
        <v>37.96</v>
      </c>
      <c r="D12" s="14">
        <f t="shared" si="0"/>
        <v>142.04</v>
      </c>
      <c r="E12" s="14">
        <f>'Monthly Plan'!D13</f>
        <v>180</v>
      </c>
      <c r="F12" s="14">
        <f>SUMPRODUCT((MONTH(Transactions!$A$2:$A$280)=2)*(Transactions!$D$2:$D$280="Dining Out")*Transactions!$C$2:$C$280)</f>
        <v>55.910000000000004</v>
      </c>
      <c r="G12" s="14">
        <f t="shared" si="1"/>
        <v>124.09</v>
      </c>
      <c r="H12" s="14">
        <f>'Monthly Plan'!E13</f>
        <v>180</v>
      </c>
      <c r="I12" s="14">
        <f>SUMPRODUCT((MONTH(Transactions!$A$2:$A$280)=3)*(Transactions!$D$2:$D$280="Dining Out")*Transactions!$C$2:$C$280)</f>
        <v>90.8</v>
      </c>
      <c r="J12" s="14">
        <f t="shared" si="2"/>
        <v>89.2</v>
      </c>
      <c r="K12" s="14">
        <f>'Monthly Plan'!F13</f>
        <v>180</v>
      </c>
      <c r="L12" s="14">
        <f>SUMPRODUCT((MONTH(Transactions!$A$2:$A$280)=4)*(Transactions!$D$2:$D$280="Dining Out")*Transactions!$C$2:$C$280)</f>
        <v>105.18</v>
      </c>
      <c r="M12" s="14">
        <f t="shared" si="3"/>
        <v>74.819999999999993</v>
      </c>
      <c r="N12" s="14">
        <f>'Monthly Plan'!G13</f>
        <v>180</v>
      </c>
      <c r="O12" s="14">
        <f>SUMPRODUCT((MONTH(Transactions!$A$2:$A$280)=5)*(Transactions!$D$2:$D$280="Dining Out")*Transactions!$C$2:$C$280)</f>
        <v>80.650000000000006</v>
      </c>
      <c r="P12" s="14">
        <f t="shared" si="4"/>
        <v>99.35</v>
      </c>
      <c r="Q12" s="14">
        <f>'Monthly Plan'!H13</f>
        <v>180</v>
      </c>
      <c r="R12" s="14">
        <f>SUMPRODUCT((MONTH(Transactions!$A$2:$A$280)=6)*(Transactions!$D$2:$D$280="Dining Out")*Transactions!$C$2:$C$280)</f>
        <v>90.17</v>
      </c>
      <c r="S12" s="14">
        <f t="shared" si="5"/>
        <v>89.83</v>
      </c>
      <c r="T12" s="14">
        <f>'Monthly Plan'!I13</f>
        <v>180</v>
      </c>
      <c r="U12" s="14">
        <f>SUMPRODUCT((MONTH(Transactions!$A$2:$A$280)=7)*(Transactions!$D$2:$D$280="Dining Out")*Transactions!$C$2:$C$280)</f>
        <v>87.4</v>
      </c>
      <c r="V12" s="14">
        <f t="shared" si="6"/>
        <v>92.6</v>
      </c>
      <c r="W12" s="14">
        <f>'Monthly Plan'!J13</f>
        <v>180</v>
      </c>
      <c r="X12" s="14">
        <f>SUMPRODUCT((MONTH(Transactions!$A$2:$A$280)=8)*(Transactions!$D$2:$D$280="Dining Out")*Transactions!$C$2:$C$280)</f>
        <v>144.54</v>
      </c>
      <c r="Y12" s="14">
        <f t="shared" si="7"/>
        <v>35.460000000000008</v>
      </c>
      <c r="Z12" s="14">
        <f>'Monthly Plan'!K13</f>
        <v>180</v>
      </c>
      <c r="AA12" s="14">
        <f>SUMPRODUCT((MONTH(Transactions!$A$2:$A$280)=9)*(Transactions!$D$2:$D$280="Dining Out")*Transactions!$C$2:$C$280)</f>
        <v>17.84</v>
      </c>
      <c r="AB12" s="14">
        <f t="shared" si="8"/>
        <v>162.16</v>
      </c>
      <c r="AC12" s="14">
        <f>'Monthly Plan'!L13</f>
        <v>180</v>
      </c>
      <c r="AD12" s="14">
        <f>SUMPRODUCT((MONTH(Transactions!$A$2:$A$280)=10)*(Transactions!$D$2:$D$280="Dining Out")*Transactions!$C$2:$C$280)</f>
        <v>88.14</v>
      </c>
      <c r="AE12" s="14">
        <f t="shared" si="9"/>
        <v>91.86</v>
      </c>
      <c r="AF12" s="14">
        <f>'Monthly Plan'!M13</f>
        <v>180</v>
      </c>
      <c r="AG12" s="14">
        <f>SUMPRODUCT((MONTH(Transactions!$A$2:$A$280)=11)*(Transactions!$D$2:$D$280="Dining Out")*Transactions!$C$2:$C$280)</f>
        <v>29.39</v>
      </c>
      <c r="AH12" s="14">
        <f t="shared" si="10"/>
        <v>150.61000000000001</v>
      </c>
      <c r="AI12" s="14">
        <f>'Monthly Plan'!N13</f>
        <v>180</v>
      </c>
      <c r="AJ12" s="14">
        <f>SUMPRODUCT((MONTH(Transactions!$A$2:$A$280)=12)*(Transactions!$D$2:$D$280="Dining Out")*Transactions!$C$2:$C$280)</f>
        <v>72.25</v>
      </c>
      <c r="AK12" s="14">
        <f t="shared" si="11"/>
        <v>107.75</v>
      </c>
      <c r="AL12" s="12">
        <f t="shared" si="12"/>
        <v>2160</v>
      </c>
      <c r="AM12" s="12">
        <f t="shared" si="13"/>
        <v>900.23</v>
      </c>
      <c r="AN12" s="12">
        <f t="shared" si="14"/>
        <v>1259.77</v>
      </c>
    </row>
    <row r="13" spans="1:40" x14ac:dyDescent="0.25">
      <c r="A13" s="3" t="s">
        <v>24</v>
      </c>
      <c r="B13" s="14">
        <f>'Monthly Plan'!C14</f>
        <v>45</v>
      </c>
      <c r="C13" s="14">
        <f>SUMPRODUCT((MONTH(Transactions!$A$2:$A$280)=1)*(Transactions!$D$2:$D$280="Coffee")*Transactions!$C$2:$C$280)</f>
        <v>21.52</v>
      </c>
      <c r="D13" s="14">
        <f t="shared" si="0"/>
        <v>23.48</v>
      </c>
      <c r="E13" s="14">
        <f>'Monthly Plan'!D14</f>
        <v>45</v>
      </c>
      <c r="F13" s="14">
        <f>SUMPRODUCT((MONTH(Transactions!$A$2:$A$280)=2)*(Transactions!$D$2:$D$280="Coffee")*Transactions!$C$2:$C$280)</f>
        <v>20.149999999999999</v>
      </c>
      <c r="G13" s="14">
        <f t="shared" si="1"/>
        <v>24.85</v>
      </c>
      <c r="H13" s="14">
        <f>'Monthly Plan'!E14</f>
        <v>45</v>
      </c>
      <c r="I13" s="14">
        <f>SUMPRODUCT((MONTH(Transactions!$A$2:$A$280)=3)*(Transactions!$D$2:$D$280="Coffee")*Transactions!$C$2:$C$280)</f>
        <v>12.830000000000002</v>
      </c>
      <c r="J13" s="14">
        <f t="shared" si="2"/>
        <v>32.17</v>
      </c>
      <c r="K13" s="14">
        <f>'Monthly Plan'!F14</f>
        <v>45</v>
      </c>
      <c r="L13" s="14">
        <f>SUMPRODUCT((MONTH(Transactions!$A$2:$A$280)=4)*(Transactions!$D$2:$D$280="Coffee")*Transactions!$C$2:$C$280)</f>
        <v>11.41</v>
      </c>
      <c r="M13" s="14">
        <f t="shared" si="3"/>
        <v>33.590000000000003</v>
      </c>
      <c r="N13" s="14">
        <f>'Monthly Plan'!G14</f>
        <v>45</v>
      </c>
      <c r="O13" s="14">
        <f>SUMPRODUCT((MONTH(Transactions!$A$2:$A$280)=5)*(Transactions!$D$2:$D$280="Coffee")*Transactions!$C$2:$C$280)</f>
        <v>21.99</v>
      </c>
      <c r="P13" s="14">
        <f t="shared" si="4"/>
        <v>23.01</v>
      </c>
      <c r="Q13" s="14">
        <f>'Monthly Plan'!H14</f>
        <v>45</v>
      </c>
      <c r="R13" s="14">
        <f>SUMPRODUCT((MONTH(Transactions!$A$2:$A$280)=6)*(Transactions!$D$2:$D$280="Coffee")*Transactions!$C$2:$C$280)</f>
        <v>7.15</v>
      </c>
      <c r="S13" s="14">
        <f t="shared" si="5"/>
        <v>37.85</v>
      </c>
      <c r="T13" s="14">
        <f>'Monthly Plan'!I14</f>
        <v>45</v>
      </c>
      <c r="U13" s="14">
        <f>SUMPRODUCT((MONTH(Transactions!$A$2:$A$280)=7)*(Transactions!$D$2:$D$280="Coffee")*Transactions!$C$2:$C$280)</f>
        <v>16.32</v>
      </c>
      <c r="V13" s="14">
        <f t="shared" si="6"/>
        <v>28.68</v>
      </c>
      <c r="W13" s="14">
        <f>'Monthly Plan'!J14</f>
        <v>45</v>
      </c>
      <c r="X13" s="14">
        <f>SUMPRODUCT((MONTH(Transactions!$A$2:$A$280)=8)*(Transactions!$D$2:$D$280="Coffee")*Transactions!$C$2:$C$280)</f>
        <v>13.870000000000001</v>
      </c>
      <c r="Y13" s="14">
        <f t="shared" si="7"/>
        <v>31.13</v>
      </c>
      <c r="Z13" s="14">
        <f>'Monthly Plan'!K14</f>
        <v>45</v>
      </c>
      <c r="AA13" s="14">
        <f>SUMPRODUCT((MONTH(Transactions!$A$2:$A$280)=9)*(Transactions!$D$2:$D$280="Coffee")*Transactions!$C$2:$C$280)</f>
        <v>5.52</v>
      </c>
      <c r="AB13" s="14">
        <f t="shared" si="8"/>
        <v>39.480000000000004</v>
      </c>
      <c r="AC13" s="14">
        <f>'Monthly Plan'!L14</f>
        <v>45</v>
      </c>
      <c r="AD13" s="14">
        <f>SUMPRODUCT((MONTH(Transactions!$A$2:$A$280)=10)*(Transactions!$D$2:$D$280="Coffee")*Transactions!$C$2:$C$280)</f>
        <v>13.83</v>
      </c>
      <c r="AE13" s="14">
        <f t="shared" si="9"/>
        <v>31.17</v>
      </c>
      <c r="AF13" s="14">
        <f>'Monthly Plan'!M14</f>
        <v>45</v>
      </c>
      <c r="AG13" s="14">
        <f>SUMPRODUCT((MONTH(Transactions!$A$2:$A$280)=11)*(Transactions!$D$2:$D$280="Coffee")*Transactions!$C$2:$C$280)</f>
        <v>13.879999999999999</v>
      </c>
      <c r="AH13" s="14">
        <f t="shared" si="10"/>
        <v>31.12</v>
      </c>
      <c r="AI13" s="14">
        <f>'Monthly Plan'!N14</f>
        <v>45</v>
      </c>
      <c r="AJ13" s="14">
        <f>SUMPRODUCT((MONTH(Transactions!$A$2:$A$280)=12)*(Transactions!$D$2:$D$280="Coffee")*Transactions!$C$2:$C$280)</f>
        <v>5.8</v>
      </c>
      <c r="AK13" s="14">
        <f t="shared" si="11"/>
        <v>39.200000000000003</v>
      </c>
      <c r="AL13" s="12">
        <f t="shared" si="12"/>
        <v>540</v>
      </c>
      <c r="AM13" s="12">
        <f t="shared" si="13"/>
        <v>164.27000000000004</v>
      </c>
      <c r="AN13" s="12">
        <f t="shared" si="14"/>
        <v>375.72999999999996</v>
      </c>
    </row>
    <row r="14" spans="1:40" x14ac:dyDescent="0.25">
      <c r="A14" s="3" t="s">
        <v>25</v>
      </c>
      <c r="B14" s="14">
        <f>'Monthly Plan'!C15</f>
        <v>75</v>
      </c>
      <c r="C14" s="14">
        <f>SUMPRODUCT((MONTH(Transactions!$A$2:$A$280)=1)*(Transactions!$D$2:$D$280="Clothing")*Transactions!$C$2:$C$280)</f>
        <v>0</v>
      </c>
      <c r="D14" s="14">
        <f t="shared" si="0"/>
        <v>75</v>
      </c>
      <c r="E14" s="14">
        <f>'Monthly Plan'!D15</f>
        <v>75</v>
      </c>
      <c r="F14" s="14">
        <f>SUMPRODUCT((MONTH(Transactions!$A$2:$A$280)=2)*(Transactions!$D$2:$D$280="Clothing")*Transactions!$C$2:$C$280)</f>
        <v>57.39</v>
      </c>
      <c r="G14" s="14">
        <f t="shared" si="1"/>
        <v>17.61</v>
      </c>
      <c r="H14" s="14">
        <f>'Monthly Plan'!E15</f>
        <v>75</v>
      </c>
      <c r="I14" s="14">
        <f>SUMPRODUCT((MONTH(Transactions!$A$2:$A$280)=3)*(Transactions!$D$2:$D$280="Clothing")*Transactions!$C$2:$C$280)</f>
        <v>0</v>
      </c>
      <c r="J14" s="14">
        <f t="shared" si="2"/>
        <v>75</v>
      </c>
      <c r="K14" s="14">
        <f>'Monthly Plan'!F15</f>
        <v>75</v>
      </c>
      <c r="L14" s="14">
        <f>SUMPRODUCT((MONTH(Transactions!$A$2:$A$280)=4)*(Transactions!$D$2:$D$280="Clothing")*Transactions!$C$2:$C$280)</f>
        <v>0</v>
      </c>
      <c r="M14" s="14">
        <f t="shared" si="3"/>
        <v>75</v>
      </c>
      <c r="N14" s="14">
        <f>'Monthly Plan'!G15</f>
        <v>75</v>
      </c>
      <c r="O14" s="14">
        <f>SUMPRODUCT((MONTH(Transactions!$A$2:$A$280)=5)*(Transactions!$D$2:$D$280="Clothing")*Transactions!$C$2:$C$280)</f>
        <v>0</v>
      </c>
      <c r="P14" s="14">
        <f t="shared" si="4"/>
        <v>75</v>
      </c>
      <c r="Q14" s="14">
        <f>'Monthly Plan'!H15</f>
        <v>75</v>
      </c>
      <c r="R14" s="14">
        <f>SUMPRODUCT((MONTH(Transactions!$A$2:$A$280)=6)*(Transactions!$D$2:$D$280="Clothing")*Transactions!$C$2:$C$280)</f>
        <v>0</v>
      </c>
      <c r="S14" s="14">
        <f t="shared" si="5"/>
        <v>75</v>
      </c>
      <c r="T14" s="14">
        <f>'Monthly Plan'!I15</f>
        <v>75</v>
      </c>
      <c r="U14" s="14">
        <f>SUMPRODUCT((MONTH(Transactions!$A$2:$A$280)=7)*(Transactions!$D$2:$D$280="Clothing")*Transactions!$C$2:$C$280)</f>
        <v>0</v>
      </c>
      <c r="V14" s="14">
        <f t="shared" si="6"/>
        <v>75</v>
      </c>
      <c r="W14" s="14">
        <f>'Monthly Plan'!J15</f>
        <v>75</v>
      </c>
      <c r="X14" s="14">
        <f>SUMPRODUCT((MONTH(Transactions!$A$2:$A$280)=8)*(Transactions!$D$2:$D$280="Clothing")*Transactions!$C$2:$C$280)</f>
        <v>54.66</v>
      </c>
      <c r="Y14" s="14">
        <f t="shared" si="7"/>
        <v>20.340000000000003</v>
      </c>
      <c r="Z14" s="14">
        <f>'Monthly Plan'!K15</f>
        <v>75</v>
      </c>
      <c r="AA14" s="14">
        <f>SUMPRODUCT((MONTH(Transactions!$A$2:$A$280)=9)*(Transactions!$D$2:$D$280="Clothing")*Transactions!$C$2:$C$280)</f>
        <v>0</v>
      </c>
      <c r="AB14" s="14">
        <f t="shared" si="8"/>
        <v>75</v>
      </c>
      <c r="AC14" s="14">
        <f>'Monthly Plan'!L15</f>
        <v>75</v>
      </c>
      <c r="AD14" s="14">
        <f>SUMPRODUCT((MONTH(Transactions!$A$2:$A$280)=10)*(Transactions!$D$2:$D$280="Clothing")*Transactions!$C$2:$C$280)</f>
        <v>0</v>
      </c>
      <c r="AE14" s="14">
        <f t="shared" si="9"/>
        <v>75</v>
      </c>
      <c r="AF14" s="14">
        <f>'Monthly Plan'!M15</f>
        <v>75</v>
      </c>
      <c r="AG14" s="14">
        <f>SUMPRODUCT((MONTH(Transactions!$A$2:$A$280)=11)*(Transactions!$D$2:$D$280="Clothing")*Transactions!$C$2:$C$280)</f>
        <v>0</v>
      </c>
      <c r="AH14" s="14">
        <f t="shared" si="10"/>
        <v>75</v>
      </c>
      <c r="AI14" s="14">
        <f>'Monthly Plan'!N15</f>
        <v>75</v>
      </c>
      <c r="AJ14" s="14">
        <f>SUMPRODUCT((MONTH(Transactions!$A$2:$A$280)=12)*(Transactions!$D$2:$D$280="Clothing")*Transactions!$C$2:$C$280)</f>
        <v>0</v>
      </c>
      <c r="AK14" s="14">
        <f t="shared" si="11"/>
        <v>75</v>
      </c>
      <c r="AL14" s="12">
        <f t="shared" si="12"/>
        <v>900</v>
      </c>
      <c r="AM14" s="12">
        <f t="shared" si="13"/>
        <v>112.05</v>
      </c>
      <c r="AN14" s="12">
        <f t="shared" si="14"/>
        <v>787.95</v>
      </c>
    </row>
    <row r="15" spans="1:40" x14ac:dyDescent="0.25">
      <c r="A15" s="3" t="s">
        <v>27</v>
      </c>
      <c r="B15" s="14">
        <f>'Monthly Plan'!C16</f>
        <v>30</v>
      </c>
      <c r="C15" s="14">
        <f>SUMPRODUCT((MONTH(Transactions!$A$2:$A$280)=1)*(Transactions!$D$2:$D$280="Haircuts")*Transactions!$C$2:$C$280)</f>
        <v>0</v>
      </c>
      <c r="D15" s="14">
        <f t="shared" si="0"/>
        <v>30</v>
      </c>
      <c r="E15" s="14">
        <f>'Monthly Plan'!D16</f>
        <v>30</v>
      </c>
      <c r="F15" s="14">
        <f>SUMPRODUCT((MONTH(Transactions!$A$2:$A$280)=2)*(Transactions!$D$2:$D$280="Haircuts")*Transactions!$C$2:$C$280)</f>
        <v>0</v>
      </c>
      <c r="G15" s="14">
        <f t="shared" si="1"/>
        <v>30</v>
      </c>
      <c r="H15" s="14">
        <f>'Monthly Plan'!E16</f>
        <v>30</v>
      </c>
      <c r="I15" s="14">
        <f>SUMPRODUCT((MONTH(Transactions!$A$2:$A$280)=3)*(Transactions!$D$2:$D$280="Haircuts")*Transactions!$C$2:$C$280)</f>
        <v>0</v>
      </c>
      <c r="J15" s="14">
        <f t="shared" si="2"/>
        <v>30</v>
      </c>
      <c r="K15" s="14">
        <f>'Monthly Plan'!F16</f>
        <v>30</v>
      </c>
      <c r="L15" s="14">
        <f>SUMPRODUCT((MONTH(Transactions!$A$2:$A$280)=4)*(Transactions!$D$2:$D$280="Haircuts")*Transactions!$C$2:$C$280)</f>
        <v>0</v>
      </c>
      <c r="M15" s="14">
        <f t="shared" si="3"/>
        <v>30</v>
      </c>
      <c r="N15" s="14">
        <f>'Monthly Plan'!G16</f>
        <v>30</v>
      </c>
      <c r="O15" s="14">
        <f>SUMPRODUCT((MONTH(Transactions!$A$2:$A$280)=5)*(Transactions!$D$2:$D$280="Haircuts")*Transactions!$C$2:$C$280)</f>
        <v>0</v>
      </c>
      <c r="P15" s="14">
        <f t="shared" si="4"/>
        <v>30</v>
      </c>
      <c r="Q15" s="14">
        <f>'Monthly Plan'!H16</f>
        <v>30</v>
      </c>
      <c r="R15" s="14">
        <f>SUMPRODUCT((MONTH(Transactions!$A$2:$A$280)=6)*(Transactions!$D$2:$D$280="Haircuts")*Transactions!$C$2:$C$280)</f>
        <v>27.97</v>
      </c>
      <c r="S15" s="14">
        <f t="shared" si="5"/>
        <v>2.0300000000000011</v>
      </c>
      <c r="T15" s="14">
        <f>'Monthly Plan'!I16</f>
        <v>30</v>
      </c>
      <c r="U15" s="14">
        <f>SUMPRODUCT((MONTH(Transactions!$A$2:$A$280)=7)*(Transactions!$D$2:$D$280="Haircuts")*Transactions!$C$2:$C$280)</f>
        <v>0</v>
      </c>
      <c r="V15" s="14">
        <f t="shared" si="6"/>
        <v>30</v>
      </c>
      <c r="W15" s="14">
        <f>'Monthly Plan'!J16</f>
        <v>30</v>
      </c>
      <c r="X15" s="14">
        <f>SUMPRODUCT((MONTH(Transactions!$A$2:$A$280)=8)*(Transactions!$D$2:$D$280="Haircuts")*Transactions!$C$2:$C$280)</f>
        <v>0</v>
      </c>
      <c r="Y15" s="14">
        <f t="shared" si="7"/>
        <v>30</v>
      </c>
      <c r="Z15" s="14">
        <f>'Monthly Plan'!K16</f>
        <v>30</v>
      </c>
      <c r="AA15" s="14">
        <f>SUMPRODUCT((MONTH(Transactions!$A$2:$A$280)=9)*(Transactions!$D$2:$D$280="Haircuts")*Transactions!$C$2:$C$280)</f>
        <v>0</v>
      </c>
      <c r="AB15" s="14">
        <f t="shared" si="8"/>
        <v>30</v>
      </c>
      <c r="AC15" s="14">
        <f>'Monthly Plan'!L16</f>
        <v>30</v>
      </c>
      <c r="AD15" s="14">
        <f>SUMPRODUCT((MONTH(Transactions!$A$2:$A$280)=10)*(Transactions!$D$2:$D$280="Haircuts")*Transactions!$C$2:$C$280)</f>
        <v>0</v>
      </c>
      <c r="AE15" s="14">
        <f t="shared" si="9"/>
        <v>30</v>
      </c>
      <c r="AF15" s="14">
        <f>'Monthly Plan'!M16</f>
        <v>30</v>
      </c>
      <c r="AG15" s="14">
        <f>SUMPRODUCT((MONTH(Transactions!$A$2:$A$280)=11)*(Transactions!$D$2:$D$280="Haircuts")*Transactions!$C$2:$C$280)</f>
        <v>34.86</v>
      </c>
      <c r="AH15" s="14">
        <f t="shared" si="10"/>
        <v>-4.8599999999999994</v>
      </c>
      <c r="AI15" s="14">
        <f>'Monthly Plan'!N16</f>
        <v>30</v>
      </c>
      <c r="AJ15" s="14">
        <f>SUMPRODUCT((MONTH(Transactions!$A$2:$A$280)=12)*(Transactions!$D$2:$D$280="Haircuts")*Transactions!$C$2:$C$280)</f>
        <v>0</v>
      </c>
      <c r="AK15" s="14">
        <f t="shared" si="11"/>
        <v>30</v>
      </c>
      <c r="AL15" s="12">
        <f t="shared" si="12"/>
        <v>360</v>
      </c>
      <c r="AM15" s="12">
        <f t="shared" si="13"/>
        <v>62.83</v>
      </c>
      <c r="AN15" s="12">
        <f t="shared" si="14"/>
        <v>297.17</v>
      </c>
    </row>
    <row r="16" spans="1:40" x14ac:dyDescent="0.25">
      <c r="A16" s="3" t="s">
        <v>28</v>
      </c>
      <c r="B16" s="14">
        <f>'Monthly Plan'!C17</f>
        <v>55</v>
      </c>
      <c r="C16" s="14">
        <f>SUMPRODUCT((MONTH(Transactions!$A$2:$A$280)=1)*(Transactions!$D$2:$D$280="Subscriptions")*Transactions!$C$2:$C$280)</f>
        <v>0</v>
      </c>
      <c r="D16" s="14">
        <f t="shared" si="0"/>
        <v>55</v>
      </c>
      <c r="E16" s="14">
        <f>'Monthly Plan'!D17</f>
        <v>55</v>
      </c>
      <c r="F16" s="14">
        <f>SUMPRODUCT((MONTH(Transactions!$A$2:$A$280)=2)*(Transactions!$D$2:$D$280="Subscriptions")*Transactions!$C$2:$C$280)</f>
        <v>0</v>
      </c>
      <c r="G16" s="14">
        <f t="shared" si="1"/>
        <v>55</v>
      </c>
      <c r="H16" s="14">
        <f>'Monthly Plan'!E17</f>
        <v>55</v>
      </c>
      <c r="I16" s="14">
        <f>SUMPRODUCT((MONTH(Transactions!$A$2:$A$280)=3)*(Transactions!$D$2:$D$280="Subscriptions")*Transactions!$C$2:$C$280)</f>
        <v>0</v>
      </c>
      <c r="J16" s="14">
        <f t="shared" si="2"/>
        <v>55</v>
      </c>
      <c r="K16" s="14">
        <f>'Monthly Plan'!F17</f>
        <v>55</v>
      </c>
      <c r="L16" s="14">
        <f>SUMPRODUCT((MONTH(Transactions!$A$2:$A$280)=4)*(Transactions!$D$2:$D$280="Subscriptions")*Transactions!$C$2:$C$280)</f>
        <v>0</v>
      </c>
      <c r="M16" s="14">
        <f t="shared" si="3"/>
        <v>55</v>
      </c>
      <c r="N16" s="14">
        <f>'Monthly Plan'!G17</f>
        <v>55</v>
      </c>
      <c r="O16" s="14">
        <f>SUMPRODUCT((MONTH(Transactions!$A$2:$A$280)=5)*(Transactions!$D$2:$D$280="Subscriptions")*Transactions!$C$2:$C$280)</f>
        <v>0</v>
      </c>
      <c r="P16" s="14">
        <f t="shared" si="4"/>
        <v>55</v>
      </c>
      <c r="Q16" s="14">
        <f>'Monthly Plan'!H17</f>
        <v>55</v>
      </c>
      <c r="R16" s="14">
        <f>SUMPRODUCT((MONTH(Transactions!$A$2:$A$280)=6)*(Transactions!$D$2:$D$280="Subscriptions")*Transactions!$C$2:$C$280)</f>
        <v>0</v>
      </c>
      <c r="S16" s="14">
        <f t="shared" si="5"/>
        <v>55</v>
      </c>
      <c r="T16" s="14">
        <f>'Monthly Plan'!I17</f>
        <v>55</v>
      </c>
      <c r="U16" s="14">
        <f>SUMPRODUCT((MONTH(Transactions!$A$2:$A$280)=7)*(Transactions!$D$2:$D$280="Subscriptions")*Transactions!$C$2:$C$280)</f>
        <v>0</v>
      </c>
      <c r="V16" s="14">
        <f t="shared" si="6"/>
        <v>55</v>
      </c>
      <c r="W16" s="14">
        <f>'Monthly Plan'!J17</f>
        <v>55</v>
      </c>
      <c r="X16" s="14">
        <f>SUMPRODUCT((MONTH(Transactions!$A$2:$A$280)=8)*(Transactions!$D$2:$D$280="Subscriptions")*Transactions!$C$2:$C$280)</f>
        <v>0</v>
      </c>
      <c r="Y16" s="14">
        <f t="shared" si="7"/>
        <v>55</v>
      </c>
      <c r="Z16" s="14">
        <f>'Monthly Plan'!K17</f>
        <v>55</v>
      </c>
      <c r="AA16" s="14">
        <f>SUMPRODUCT((MONTH(Transactions!$A$2:$A$280)=9)*(Transactions!$D$2:$D$280="Subscriptions")*Transactions!$C$2:$C$280)</f>
        <v>0</v>
      </c>
      <c r="AB16" s="14">
        <f t="shared" si="8"/>
        <v>55</v>
      </c>
      <c r="AC16" s="14">
        <f>'Monthly Plan'!L17</f>
        <v>55</v>
      </c>
      <c r="AD16" s="14">
        <f>SUMPRODUCT((MONTH(Transactions!$A$2:$A$280)=10)*(Transactions!$D$2:$D$280="Subscriptions")*Transactions!$C$2:$C$280)</f>
        <v>0</v>
      </c>
      <c r="AE16" s="14">
        <f t="shared" si="9"/>
        <v>55</v>
      </c>
      <c r="AF16" s="14">
        <f>'Monthly Plan'!M17</f>
        <v>55</v>
      </c>
      <c r="AG16" s="14">
        <f>SUMPRODUCT((MONTH(Transactions!$A$2:$A$280)=11)*(Transactions!$D$2:$D$280="Subscriptions")*Transactions!$C$2:$C$280)</f>
        <v>0</v>
      </c>
      <c r="AH16" s="14">
        <f t="shared" si="10"/>
        <v>55</v>
      </c>
      <c r="AI16" s="14">
        <f>'Monthly Plan'!N17</f>
        <v>55</v>
      </c>
      <c r="AJ16" s="14">
        <f>SUMPRODUCT((MONTH(Transactions!$A$2:$A$280)=12)*(Transactions!$D$2:$D$280="Subscriptions")*Transactions!$C$2:$C$280)</f>
        <v>0</v>
      </c>
      <c r="AK16" s="14">
        <f t="shared" si="11"/>
        <v>55</v>
      </c>
      <c r="AL16" s="12">
        <f t="shared" si="12"/>
        <v>660</v>
      </c>
      <c r="AM16" s="12">
        <f t="shared" si="13"/>
        <v>0</v>
      </c>
      <c r="AN16" s="12">
        <f t="shared" si="14"/>
        <v>660</v>
      </c>
    </row>
    <row r="17" spans="1:40" x14ac:dyDescent="0.25">
      <c r="A17" s="3" t="s">
        <v>29</v>
      </c>
      <c r="B17" s="14">
        <f>'Monthly Plan'!C18</f>
        <v>80</v>
      </c>
      <c r="C17" s="14">
        <f>SUMPRODUCT((MONTH(Transactions!$A$2:$A$280)=1)*(Transactions!$D$2:$D$280="Entertainment")*Transactions!$C$2:$C$280)</f>
        <v>69.22</v>
      </c>
      <c r="D17" s="14">
        <f t="shared" si="0"/>
        <v>10.780000000000001</v>
      </c>
      <c r="E17" s="14">
        <f>'Monthly Plan'!D18</f>
        <v>80</v>
      </c>
      <c r="F17" s="14">
        <f>SUMPRODUCT((MONTH(Transactions!$A$2:$A$280)=2)*(Transactions!$D$2:$D$280="Entertainment")*Transactions!$C$2:$C$280)</f>
        <v>0</v>
      </c>
      <c r="G17" s="14">
        <f t="shared" si="1"/>
        <v>80</v>
      </c>
      <c r="H17" s="14">
        <f>'Monthly Plan'!E18</f>
        <v>80</v>
      </c>
      <c r="I17" s="14">
        <f>SUMPRODUCT((MONTH(Transactions!$A$2:$A$280)=3)*(Transactions!$D$2:$D$280="Entertainment")*Transactions!$C$2:$C$280)</f>
        <v>0</v>
      </c>
      <c r="J17" s="14">
        <f t="shared" si="2"/>
        <v>80</v>
      </c>
      <c r="K17" s="14">
        <f>'Monthly Plan'!F18</f>
        <v>80</v>
      </c>
      <c r="L17" s="14">
        <f>SUMPRODUCT((MONTH(Transactions!$A$2:$A$280)=4)*(Transactions!$D$2:$D$280="Entertainment")*Transactions!$C$2:$C$280)</f>
        <v>0</v>
      </c>
      <c r="M17" s="14">
        <f t="shared" si="3"/>
        <v>80</v>
      </c>
      <c r="N17" s="14">
        <f>'Monthly Plan'!G18</f>
        <v>80</v>
      </c>
      <c r="O17" s="14">
        <f>SUMPRODUCT((MONTH(Transactions!$A$2:$A$280)=5)*(Transactions!$D$2:$D$280="Entertainment")*Transactions!$C$2:$C$280)</f>
        <v>31.32</v>
      </c>
      <c r="P17" s="14">
        <f t="shared" si="4"/>
        <v>48.68</v>
      </c>
      <c r="Q17" s="14">
        <f>'Monthly Plan'!H18</f>
        <v>80</v>
      </c>
      <c r="R17" s="14">
        <f>SUMPRODUCT((MONTH(Transactions!$A$2:$A$280)=6)*(Transactions!$D$2:$D$280="Entertainment")*Transactions!$C$2:$C$280)</f>
        <v>0</v>
      </c>
      <c r="S17" s="14">
        <f t="shared" si="5"/>
        <v>80</v>
      </c>
      <c r="T17" s="14">
        <f>'Monthly Plan'!I18</f>
        <v>80</v>
      </c>
      <c r="U17" s="14">
        <f>SUMPRODUCT((MONTH(Transactions!$A$2:$A$280)=7)*(Transactions!$D$2:$D$280="Entertainment")*Transactions!$C$2:$C$280)</f>
        <v>0</v>
      </c>
      <c r="V17" s="14">
        <f t="shared" si="6"/>
        <v>80</v>
      </c>
      <c r="W17" s="14">
        <f>'Monthly Plan'!J18</f>
        <v>80</v>
      </c>
      <c r="X17" s="14">
        <f>SUMPRODUCT((MONTH(Transactions!$A$2:$A$280)=8)*(Transactions!$D$2:$D$280="Entertainment")*Transactions!$C$2:$C$280)</f>
        <v>0</v>
      </c>
      <c r="Y17" s="14">
        <f t="shared" si="7"/>
        <v>80</v>
      </c>
      <c r="Z17" s="14">
        <f>'Monthly Plan'!K18</f>
        <v>80</v>
      </c>
      <c r="AA17" s="14">
        <f>SUMPRODUCT((MONTH(Transactions!$A$2:$A$280)=9)*(Transactions!$D$2:$D$280="Entertainment")*Transactions!$C$2:$C$280)</f>
        <v>0</v>
      </c>
      <c r="AB17" s="14">
        <f t="shared" si="8"/>
        <v>80</v>
      </c>
      <c r="AC17" s="14">
        <f>'Monthly Plan'!L18</f>
        <v>80</v>
      </c>
      <c r="AD17" s="14">
        <f>SUMPRODUCT((MONTH(Transactions!$A$2:$A$280)=10)*(Transactions!$D$2:$D$280="Entertainment")*Transactions!$C$2:$C$280)</f>
        <v>0</v>
      </c>
      <c r="AE17" s="14">
        <f t="shared" si="9"/>
        <v>80</v>
      </c>
      <c r="AF17" s="14">
        <f>'Monthly Plan'!M18</f>
        <v>80</v>
      </c>
      <c r="AG17" s="14">
        <f>SUMPRODUCT((MONTH(Transactions!$A$2:$A$280)=11)*(Transactions!$D$2:$D$280="Entertainment")*Transactions!$C$2:$C$280)</f>
        <v>0</v>
      </c>
      <c r="AH17" s="14">
        <f t="shared" si="10"/>
        <v>80</v>
      </c>
      <c r="AI17" s="14">
        <f>'Monthly Plan'!N18</f>
        <v>80</v>
      </c>
      <c r="AJ17" s="14">
        <f>SUMPRODUCT((MONTH(Transactions!$A$2:$A$280)=12)*(Transactions!$D$2:$D$280="Entertainment")*Transactions!$C$2:$C$280)</f>
        <v>0</v>
      </c>
      <c r="AK17" s="14">
        <f t="shared" si="11"/>
        <v>80</v>
      </c>
      <c r="AL17" s="12">
        <f t="shared" si="12"/>
        <v>960</v>
      </c>
      <c r="AM17" s="12">
        <f t="shared" si="13"/>
        <v>100.53999999999999</v>
      </c>
      <c r="AN17" s="12">
        <f t="shared" si="14"/>
        <v>859.46</v>
      </c>
    </row>
    <row r="18" spans="1:40" x14ac:dyDescent="0.25">
      <c r="A18" s="3" t="s">
        <v>30</v>
      </c>
      <c r="B18" s="14">
        <f>'Monthly Plan'!C19</f>
        <v>40</v>
      </c>
      <c r="C18" s="14">
        <f>SUMPRODUCT((MONTH(Transactions!$A$2:$A$280)=1)*(Transactions!$D$2:$D$280="Gifts")*Transactions!$C$2:$C$280)</f>
        <v>0</v>
      </c>
      <c r="D18" s="14">
        <f t="shared" si="0"/>
        <v>40</v>
      </c>
      <c r="E18" s="14">
        <f>'Monthly Plan'!D19</f>
        <v>40</v>
      </c>
      <c r="F18" s="14">
        <f>SUMPRODUCT((MONTH(Transactions!$A$2:$A$280)=2)*(Transactions!$D$2:$D$280="Gifts")*Transactions!$C$2:$C$280)</f>
        <v>0</v>
      </c>
      <c r="G18" s="14">
        <f t="shared" si="1"/>
        <v>40</v>
      </c>
      <c r="H18" s="14">
        <f>'Monthly Plan'!E19</f>
        <v>40</v>
      </c>
      <c r="I18" s="14">
        <f>SUMPRODUCT((MONTH(Transactions!$A$2:$A$280)=3)*(Transactions!$D$2:$D$280="Gifts")*Transactions!$C$2:$C$280)</f>
        <v>25.82</v>
      </c>
      <c r="J18" s="14">
        <f t="shared" si="2"/>
        <v>14.18</v>
      </c>
      <c r="K18" s="14">
        <f>'Monthly Plan'!F19</f>
        <v>40</v>
      </c>
      <c r="L18" s="14">
        <f>SUMPRODUCT((MONTH(Transactions!$A$2:$A$280)=4)*(Transactions!$D$2:$D$280="Gifts")*Transactions!$C$2:$C$280)</f>
        <v>29.45</v>
      </c>
      <c r="M18" s="14">
        <f t="shared" si="3"/>
        <v>10.55</v>
      </c>
      <c r="N18" s="14">
        <f>'Monthly Plan'!G19</f>
        <v>40</v>
      </c>
      <c r="O18" s="14">
        <f>SUMPRODUCT((MONTH(Transactions!$A$2:$A$280)=5)*(Transactions!$D$2:$D$280="Gifts")*Transactions!$C$2:$C$280)</f>
        <v>0</v>
      </c>
      <c r="P18" s="14">
        <f t="shared" si="4"/>
        <v>40</v>
      </c>
      <c r="Q18" s="14">
        <f>'Monthly Plan'!H19</f>
        <v>40</v>
      </c>
      <c r="R18" s="14">
        <f>SUMPRODUCT((MONTH(Transactions!$A$2:$A$280)=6)*(Transactions!$D$2:$D$280="Gifts")*Transactions!$C$2:$C$280)</f>
        <v>0</v>
      </c>
      <c r="S18" s="14">
        <f t="shared" si="5"/>
        <v>40</v>
      </c>
      <c r="T18" s="14">
        <f>'Monthly Plan'!I19</f>
        <v>40</v>
      </c>
      <c r="U18" s="14">
        <f>SUMPRODUCT((MONTH(Transactions!$A$2:$A$280)=7)*(Transactions!$D$2:$D$280="Gifts")*Transactions!$C$2:$C$280)</f>
        <v>0</v>
      </c>
      <c r="V18" s="14">
        <f t="shared" si="6"/>
        <v>40</v>
      </c>
      <c r="W18" s="14">
        <f>'Monthly Plan'!J19</f>
        <v>40</v>
      </c>
      <c r="X18" s="14">
        <f>SUMPRODUCT((MONTH(Transactions!$A$2:$A$280)=8)*(Transactions!$D$2:$D$280="Gifts")*Transactions!$C$2:$C$280)</f>
        <v>0</v>
      </c>
      <c r="Y18" s="14">
        <f t="shared" si="7"/>
        <v>40</v>
      </c>
      <c r="Z18" s="14">
        <f>'Monthly Plan'!K19</f>
        <v>40</v>
      </c>
      <c r="AA18" s="14">
        <f>SUMPRODUCT((MONTH(Transactions!$A$2:$A$280)=9)*(Transactions!$D$2:$D$280="Gifts")*Transactions!$C$2:$C$280)</f>
        <v>52.37</v>
      </c>
      <c r="AB18" s="14">
        <f t="shared" si="8"/>
        <v>-12.369999999999997</v>
      </c>
      <c r="AC18" s="14">
        <f>'Monthly Plan'!L19</f>
        <v>40</v>
      </c>
      <c r="AD18" s="14">
        <f>SUMPRODUCT((MONTH(Transactions!$A$2:$A$280)=10)*(Transactions!$D$2:$D$280="Gifts")*Transactions!$C$2:$C$280)</f>
        <v>69.540000000000006</v>
      </c>
      <c r="AE18" s="14">
        <f t="shared" si="9"/>
        <v>-29.540000000000006</v>
      </c>
      <c r="AF18" s="14">
        <f>'Monthly Plan'!M19</f>
        <v>40</v>
      </c>
      <c r="AG18" s="14">
        <f>SUMPRODUCT((MONTH(Transactions!$A$2:$A$280)=11)*(Transactions!$D$2:$D$280="Gifts")*Transactions!$C$2:$C$280)</f>
        <v>0</v>
      </c>
      <c r="AH18" s="14">
        <f t="shared" si="10"/>
        <v>40</v>
      </c>
      <c r="AI18" s="14">
        <f>'Monthly Plan'!N19</f>
        <v>40</v>
      </c>
      <c r="AJ18" s="14">
        <f>SUMPRODUCT((MONTH(Transactions!$A$2:$A$280)=12)*(Transactions!$D$2:$D$280="Gifts")*Transactions!$C$2:$C$280)</f>
        <v>0</v>
      </c>
      <c r="AK18" s="14">
        <f t="shared" si="11"/>
        <v>40</v>
      </c>
      <c r="AL18" s="12">
        <f t="shared" si="12"/>
        <v>480</v>
      </c>
      <c r="AM18" s="12">
        <f t="shared" si="13"/>
        <v>177.18</v>
      </c>
      <c r="AN18" s="12">
        <f t="shared" si="14"/>
        <v>302.82</v>
      </c>
    </row>
    <row r="19" spans="1:40" x14ac:dyDescent="0.25">
      <c r="A19" s="3" t="s">
        <v>31</v>
      </c>
      <c r="B19" s="14">
        <f>'Monthly Plan'!C20</f>
        <v>210</v>
      </c>
      <c r="C19" s="14">
        <f>SUMPRODUCT((MONTH(Transactions!$A$2:$A$280)=1)*(Transactions!$D$2:$D$280="Health Insurance")*Transactions!$C$2:$C$280)</f>
        <v>210</v>
      </c>
      <c r="D19" s="14">
        <f t="shared" si="0"/>
        <v>0</v>
      </c>
      <c r="E19" s="14">
        <f>'Monthly Plan'!D20</f>
        <v>210</v>
      </c>
      <c r="F19" s="14">
        <f>SUMPRODUCT((MONTH(Transactions!$A$2:$A$280)=2)*(Transactions!$D$2:$D$280="Health Insurance")*Transactions!$C$2:$C$280)</f>
        <v>210</v>
      </c>
      <c r="G19" s="14">
        <f t="shared" si="1"/>
        <v>0</v>
      </c>
      <c r="H19" s="14">
        <f>'Monthly Plan'!E20</f>
        <v>210</v>
      </c>
      <c r="I19" s="14">
        <f>SUMPRODUCT((MONTH(Transactions!$A$2:$A$280)=3)*(Transactions!$D$2:$D$280="Health Insurance")*Transactions!$C$2:$C$280)</f>
        <v>210</v>
      </c>
      <c r="J19" s="14">
        <f t="shared" si="2"/>
        <v>0</v>
      </c>
      <c r="K19" s="14">
        <f>'Monthly Plan'!F20</f>
        <v>210</v>
      </c>
      <c r="L19" s="14">
        <f>SUMPRODUCT((MONTH(Transactions!$A$2:$A$280)=4)*(Transactions!$D$2:$D$280="Health Insurance")*Transactions!$C$2:$C$280)</f>
        <v>210</v>
      </c>
      <c r="M19" s="14">
        <f t="shared" si="3"/>
        <v>0</v>
      </c>
      <c r="N19" s="14">
        <f>'Monthly Plan'!G20</f>
        <v>210</v>
      </c>
      <c r="O19" s="14">
        <f>SUMPRODUCT((MONTH(Transactions!$A$2:$A$280)=5)*(Transactions!$D$2:$D$280="Health Insurance")*Transactions!$C$2:$C$280)</f>
        <v>210</v>
      </c>
      <c r="P19" s="14">
        <f t="shared" si="4"/>
        <v>0</v>
      </c>
      <c r="Q19" s="14">
        <f>'Monthly Plan'!H20</f>
        <v>210</v>
      </c>
      <c r="R19" s="14">
        <f>SUMPRODUCT((MONTH(Transactions!$A$2:$A$280)=6)*(Transactions!$D$2:$D$280="Health Insurance")*Transactions!$C$2:$C$280)</f>
        <v>210</v>
      </c>
      <c r="S19" s="14">
        <f t="shared" si="5"/>
        <v>0</v>
      </c>
      <c r="T19" s="14">
        <f>'Monthly Plan'!I20</f>
        <v>210</v>
      </c>
      <c r="U19" s="14">
        <f>SUMPRODUCT((MONTH(Transactions!$A$2:$A$280)=7)*(Transactions!$D$2:$D$280="Health Insurance")*Transactions!$C$2:$C$280)</f>
        <v>210</v>
      </c>
      <c r="V19" s="14">
        <f t="shared" si="6"/>
        <v>0</v>
      </c>
      <c r="W19" s="14">
        <f>'Monthly Plan'!J20</f>
        <v>210</v>
      </c>
      <c r="X19" s="14">
        <f>SUMPRODUCT((MONTH(Transactions!$A$2:$A$280)=8)*(Transactions!$D$2:$D$280="Health Insurance")*Transactions!$C$2:$C$280)</f>
        <v>210</v>
      </c>
      <c r="Y19" s="14">
        <f t="shared" si="7"/>
        <v>0</v>
      </c>
      <c r="Z19" s="14">
        <f>'Monthly Plan'!K20</f>
        <v>210</v>
      </c>
      <c r="AA19" s="14">
        <f>SUMPRODUCT((MONTH(Transactions!$A$2:$A$280)=9)*(Transactions!$D$2:$D$280="Health Insurance")*Transactions!$C$2:$C$280)</f>
        <v>210</v>
      </c>
      <c r="AB19" s="14">
        <f t="shared" si="8"/>
        <v>0</v>
      </c>
      <c r="AC19" s="14">
        <f>'Monthly Plan'!L20</f>
        <v>210</v>
      </c>
      <c r="AD19" s="14">
        <f>SUMPRODUCT((MONTH(Transactions!$A$2:$A$280)=10)*(Transactions!$D$2:$D$280="Health Insurance")*Transactions!$C$2:$C$280)</f>
        <v>210</v>
      </c>
      <c r="AE19" s="14">
        <f t="shared" si="9"/>
        <v>0</v>
      </c>
      <c r="AF19" s="14">
        <f>'Monthly Plan'!M20</f>
        <v>210</v>
      </c>
      <c r="AG19" s="14">
        <f>SUMPRODUCT((MONTH(Transactions!$A$2:$A$280)=11)*(Transactions!$D$2:$D$280="Health Insurance")*Transactions!$C$2:$C$280)</f>
        <v>210</v>
      </c>
      <c r="AH19" s="14">
        <f t="shared" si="10"/>
        <v>0</v>
      </c>
      <c r="AI19" s="14">
        <f>'Monthly Plan'!N20</f>
        <v>210</v>
      </c>
      <c r="AJ19" s="14">
        <f>SUMPRODUCT((MONTH(Transactions!$A$2:$A$280)=12)*(Transactions!$D$2:$D$280="Health Insurance")*Transactions!$C$2:$C$280)</f>
        <v>210</v>
      </c>
      <c r="AK19" s="14">
        <f t="shared" si="11"/>
        <v>0</v>
      </c>
      <c r="AL19" s="12">
        <f t="shared" si="12"/>
        <v>2520</v>
      </c>
      <c r="AM19" s="12">
        <f t="shared" si="13"/>
        <v>2520</v>
      </c>
      <c r="AN19" s="12">
        <f t="shared" si="14"/>
        <v>0</v>
      </c>
    </row>
    <row r="20" spans="1:40" x14ac:dyDescent="0.25">
      <c r="A20" s="3" t="s">
        <v>33</v>
      </c>
      <c r="B20" s="14">
        <f>'Monthly Plan'!C21</f>
        <v>45</v>
      </c>
      <c r="C20" s="14">
        <f>SUMPRODUCT((MONTH(Transactions!$A$2:$A$280)=1)*(Transactions!$D$2:$D$280="Gym")*Transactions!$C$2:$C$280)</f>
        <v>45</v>
      </c>
      <c r="D20" s="14">
        <f t="shared" si="0"/>
        <v>0</v>
      </c>
      <c r="E20" s="14">
        <f>'Monthly Plan'!D21</f>
        <v>45</v>
      </c>
      <c r="F20" s="14">
        <f>SUMPRODUCT((MONTH(Transactions!$A$2:$A$280)=2)*(Transactions!$D$2:$D$280="Gym")*Transactions!$C$2:$C$280)</f>
        <v>45</v>
      </c>
      <c r="G20" s="14">
        <f t="shared" si="1"/>
        <v>0</v>
      </c>
      <c r="H20" s="14">
        <f>'Monthly Plan'!E21</f>
        <v>45</v>
      </c>
      <c r="I20" s="14">
        <f>SUMPRODUCT((MONTH(Transactions!$A$2:$A$280)=3)*(Transactions!$D$2:$D$280="Gym")*Transactions!$C$2:$C$280)</f>
        <v>45</v>
      </c>
      <c r="J20" s="14">
        <f t="shared" si="2"/>
        <v>0</v>
      </c>
      <c r="K20" s="14">
        <f>'Monthly Plan'!F21</f>
        <v>45</v>
      </c>
      <c r="L20" s="14">
        <f>SUMPRODUCT((MONTH(Transactions!$A$2:$A$280)=4)*(Transactions!$D$2:$D$280="Gym")*Transactions!$C$2:$C$280)</f>
        <v>45</v>
      </c>
      <c r="M20" s="14">
        <f t="shared" si="3"/>
        <v>0</v>
      </c>
      <c r="N20" s="14">
        <f>'Monthly Plan'!G21</f>
        <v>45</v>
      </c>
      <c r="O20" s="14">
        <f>SUMPRODUCT((MONTH(Transactions!$A$2:$A$280)=5)*(Transactions!$D$2:$D$280="Gym")*Transactions!$C$2:$C$280)</f>
        <v>45</v>
      </c>
      <c r="P20" s="14">
        <f t="shared" si="4"/>
        <v>0</v>
      </c>
      <c r="Q20" s="14">
        <f>'Monthly Plan'!H21</f>
        <v>45</v>
      </c>
      <c r="R20" s="14">
        <f>SUMPRODUCT((MONTH(Transactions!$A$2:$A$280)=6)*(Transactions!$D$2:$D$280="Gym")*Transactions!$C$2:$C$280)</f>
        <v>45</v>
      </c>
      <c r="S20" s="14">
        <f t="shared" si="5"/>
        <v>0</v>
      </c>
      <c r="T20" s="14">
        <f>'Monthly Plan'!I21</f>
        <v>45</v>
      </c>
      <c r="U20" s="14">
        <f>SUMPRODUCT((MONTH(Transactions!$A$2:$A$280)=7)*(Transactions!$D$2:$D$280="Gym")*Transactions!$C$2:$C$280)</f>
        <v>45</v>
      </c>
      <c r="V20" s="14">
        <f t="shared" si="6"/>
        <v>0</v>
      </c>
      <c r="W20" s="14">
        <f>'Monthly Plan'!J21</f>
        <v>45</v>
      </c>
      <c r="X20" s="14">
        <f>SUMPRODUCT((MONTH(Transactions!$A$2:$A$280)=8)*(Transactions!$D$2:$D$280="Gym")*Transactions!$C$2:$C$280)</f>
        <v>45</v>
      </c>
      <c r="Y20" s="14">
        <f t="shared" si="7"/>
        <v>0</v>
      </c>
      <c r="Z20" s="14">
        <f>'Monthly Plan'!K21</f>
        <v>45</v>
      </c>
      <c r="AA20" s="14">
        <f>SUMPRODUCT((MONTH(Transactions!$A$2:$A$280)=9)*(Transactions!$D$2:$D$280="Gym")*Transactions!$C$2:$C$280)</f>
        <v>45</v>
      </c>
      <c r="AB20" s="14">
        <f t="shared" si="8"/>
        <v>0</v>
      </c>
      <c r="AC20" s="14">
        <f>'Monthly Plan'!L21</f>
        <v>45</v>
      </c>
      <c r="AD20" s="14">
        <f>SUMPRODUCT((MONTH(Transactions!$A$2:$A$280)=10)*(Transactions!$D$2:$D$280="Gym")*Transactions!$C$2:$C$280)</f>
        <v>45</v>
      </c>
      <c r="AE20" s="14">
        <f t="shared" si="9"/>
        <v>0</v>
      </c>
      <c r="AF20" s="14">
        <f>'Monthly Plan'!M21</f>
        <v>45</v>
      </c>
      <c r="AG20" s="14">
        <f>SUMPRODUCT((MONTH(Transactions!$A$2:$A$280)=11)*(Transactions!$D$2:$D$280="Gym")*Transactions!$C$2:$C$280)</f>
        <v>45</v>
      </c>
      <c r="AH20" s="14">
        <f t="shared" si="10"/>
        <v>0</v>
      </c>
      <c r="AI20" s="14">
        <f>'Monthly Plan'!N21</f>
        <v>45</v>
      </c>
      <c r="AJ20" s="14">
        <f>SUMPRODUCT((MONTH(Transactions!$A$2:$A$280)=12)*(Transactions!$D$2:$D$280="Gym")*Transactions!$C$2:$C$280)</f>
        <v>45</v>
      </c>
      <c r="AK20" s="14">
        <f t="shared" si="11"/>
        <v>0</v>
      </c>
      <c r="AL20" s="12">
        <f t="shared" si="12"/>
        <v>540</v>
      </c>
      <c r="AM20" s="12">
        <f t="shared" si="13"/>
        <v>540</v>
      </c>
      <c r="AN20" s="12">
        <f t="shared" si="14"/>
        <v>0</v>
      </c>
    </row>
    <row r="21" spans="1:40" x14ac:dyDescent="0.25">
      <c r="A21" s="3" t="s">
        <v>34</v>
      </c>
      <c r="B21" s="14">
        <f>'Monthly Plan'!C22</f>
        <v>20</v>
      </c>
      <c r="C21" s="14">
        <f>SUMPRODUCT((MONTH(Transactions!$A$2:$A$280)=1)*(Transactions!$D$2:$D$280="Prescriptions")*Transactions!$C$2:$C$280)</f>
        <v>27.33</v>
      </c>
      <c r="D21" s="14">
        <f t="shared" si="0"/>
        <v>-7.3299999999999983</v>
      </c>
      <c r="E21" s="14">
        <f>'Monthly Plan'!D22</f>
        <v>20</v>
      </c>
      <c r="F21" s="14">
        <f>SUMPRODUCT((MONTH(Transactions!$A$2:$A$280)=2)*(Transactions!$D$2:$D$280="Prescriptions")*Transactions!$C$2:$C$280)</f>
        <v>18.7</v>
      </c>
      <c r="G21" s="14">
        <f t="shared" si="1"/>
        <v>1.3000000000000007</v>
      </c>
      <c r="H21" s="14">
        <f>'Monthly Plan'!E22</f>
        <v>20</v>
      </c>
      <c r="I21" s="14">
        <f>SUMPRODUCT((MONTH(Transactions!$A$2:$A$280)=3)*(Transactions!$D$2:$D$280="Prescriptions")*Transactions!$C$2:$C$280)</f>
        <v>14.86</v>
      </c>
      <c r="J21" s="14">
        <f t="shared" si="2"/>
        <v>5.1400000000000006</v>
      </c>
      <c r="K21" s="14">
        <f>'Monthly Plan'!F22</f>
        <v>20</v>
      </c>
      <c r="L21" s="14">
        <f>SUMPRODUCT((MONTH(Transactions!$A$2:$A$280)=4)*(Transactions!$D$2:$D$280="Prescriptions")*Transactions!$C$2:$C$280)</f>
        <v>11.14</v>
      </c>
      <c r="M21" s="14">
        <f t="shared" si="3"/>
        <v>8.86</v>
      </c>
      <c r="N21" s="14">
        <f>'Monthly Plan'!G22</f>
        <v>20</v>
      </c>
      <c r="O21" s="14">
        <f>SUMPRODUCT((MONTH(Transactions!$A$2:$A$280)=5)*(Transactions!$D$2:$D$280="Prescriptions")*Transactions!$C$2:$C$280)</f>
        <v>14.07</v>
      </c>
      <c r="P21" s="14">
        <f t="shared" si="4"/>
        <v>5.93</v>
      </c>
      <c r="Q21" s="14">
        <f>'Monthly Plan'!H22</f>
        <v>20</v>
      </c>
      <c r="R21" s="14">
        <f>SUMPRODUCT((MONTH(Transactions!$A$2:$A$280)=6)*(Transactions!$D$2:$D$280="Prescriptions")*Transactions!$C$2:$C$280)</f>
        <v>16.989999999999998</v>
      </c>
      <c r="S21" s="14">
        <f t="shared" si="5"/>
        <v>3.0100000000000016</v>
      </c>
      <c r="T21" s="14">
        <f>'Monthly Plan'!I22</f>
        <v>20</v>
      </c>
      <c r="U21" s="14">
        <f>SUMPRODUCT((MONTH(Transactions!$A$2:$A$280)=7)*(Transactions!$D$2:$D$280="Prescriptions")*Transactions!$C$2:$C$280)</f>
        <v>15.68</v>
      </c>
      <c r="V21" s="14">
        <f t="shared" si="6"/>
        <v>4.32</v>
      </c>
      <c r="W21" s="14">
        <f>'Monthly Plan'!J22</f>
        <v>20</v>
      </c>
      <c r="X21" s="14">
        <f>SUMPRODUCT((MONTH(Transactions!$A$2:$A$280)=8)*(Transactions!$D$2:$D$280="Prescriptions")*Transactions!$C$2:$C$280)</f>
        <v>16.39</v>
      </c>
      <c r="Y21" s="14">
        <f t="shared" si="7"/>
        <v>3.6099999999999994</v>
      </c>
      <c r="Z21" s="14">
        <f>'Monthly Plan'!K22</f>
        <v>20</v>
      </c>
      <c r="AA21" s="14">
        <f>SUMPRODUCT((MONTH(Transactions!$A$2:$A$280)=9)*(Transactions!$D$2:$D$280="Prescriptions")*Transactions!$C$2:$C$280)</f>
        <v>15.05</v>
      </c>
      <c r="AB21" s="14">
        <f t="shared" si="8"/>
        <v>4.9499999999999993</v>
      </c>
      <c r="AC21" s="14">
        <f>'Monthly Plan'!L22</f>
        <v>20</v>
      </c>
      <c r="AD21" s="14">
        <f>SUMPRODUCT((MONTH(Transactions!$A$2:$A$280)=10)*(Transactions!$D$2:$D$280="Prescriptions")*Transactions!$C$2:$C$280)</f>
        <v>22.32</v>
      </c>
      <c r="AE21" s="14">
        <f t="shared" si="9"/>
        <v>-2.3200000000000003</v>
      </c>
      <c r="AF21" s="14">
        <f>'Monthly Plan'!M22</f>
        <v>20</v>
      </c>
      <c r="AG21" s="14">
        <f>SUMPRODUCT((MONTH(Transactions!$A$2:$A$280)=11)*(Transactions!$D$2:$D$280="Prescriptions")*Transactions!$C$2:$C$280)</f>
        <v>14.61</v>
      </c>
      <c r="AH21" s="14">
        <f t="shared" si="10"/>
        <v>5.3900000000000006</v>
      </c>
      <c r="AI21" s="14">
        <f>'Monthly Plan'!N22</f>
        <v>20</v>
      </c>
      <c r="AJ21" s="14">
        <f>SUMPRODUCT((MONTH(Transactions!$A$2:$A$280)=12)*(Transactions!$D$2:$D$280="Prescriptions")*Transactions!$C$2:$C$280)</f>
        <v>28.95</v>
      </c>
      <c r="AK21" s="14">
        <f t="shared" si="11"/>
        <v>-8.9499999999999993</v>
      </c>
      <c r="AL21" s="12">
        <f t="shared" si="12"/>
        <v>240</v>
      </c>
      <c r="AM21" s="12">
        <f t="shared" si="13"/>
        <v>216.08999999999997</v>
      </c>
      <c r="AN21" s="12">
        <f t="shared" si="14"/>
        <v>23.910000000000025</v>
      </c>
    </row>
    <row r="22" spans="1:40" x14ac:dyDescent="0.25">
      <c r="A22" s="3" t="s">
        <v>35</v>
      </c>
      <c r="B22" s="14">
        <f>'Monthly Plan'!C23</f>
        <v>300</v>
      </c>
      <c r="C22" s="14">
        <f>SUMPRODUCT((MONTH(Transactions!$A$2:$A$280)=1)*(Transactions!$D$2:$D$280="Emergency Fund")*Transactions!$C$2:$C$280)</f>
        <v>300</v>
      </c>
      <c r="D22" s="14">
        <f t="shared" si="0"/>
        <v>0</v>
      </c>
      <c r="E22" s="14">
        <f>'Monthly Plan'!D23</f>
        <v>300</v>
      </c>
      <c r="F22" s="14">
        <f>SUMPRODUCT((MONTH(Transactions!$A$2:$A$280)=2)*(Transactions!$D$2:$D$280="Emergency Fund")*Transactions!$C$2:$C$280)</f>
        <v>300</v>
      </c>
      <c r="G22" s="14">
        <f t="shared" si="1"/>
        <v>0</v>
      </c>
      <c r="H22" s="14">
        <f>'Monthly Plan'!E23</f>
        <v>300</v>
      </c>
      <c r="I22" s="14">
        <f>SUMPRODUCT((MONTH(Transactions!$A$2:$A$280)=3)*(Transactions!$D$2:$D$280="Emergency Fund")*Transactions!$C$2:$C$280)</f>
        <v>300</v>
      </c>
      <c r="J22" s="14">
        <f t="shared" si="2"/>
        <v>0</v>
      </c>
      <c r="K22" s="14">
        <f>'Monthly Plan'!F23</f>
        <v>300</v>
      </c>
      <c r="L22" s="14">
        <f>SUMPRODUCT((MONTH(Transactions!$A$2:$A$280)=4)*(Transactions!$D$2:$D$280="Emergency Fund")*Transactions!$C$2:$C$280)</f>
        <v>300</v>
      </c>
      <c r="M22" s="14">
        <f t="shared" si="3"/>
        <v>0</v>
      </c>
      <c r="N22" s="14">
        <f>'Monthly Plan'!G23</f>
        <v>300</v>
      </c>
      <c r="O22" s="14">
        <f>SUMPRODUCT((MONTH(Transactions!$A$2:$A$280)=5)*(Transactions!$D$2:$D$280="Emergency Fund")*Transactions!$C$2:$C$280)</f>
        <v>300</v>
      </c>
      <c r="P22" s="14">
        <f t="shared" si="4"/>
        <v>0</v>
      </c>
      <c r="Q22" s="14">
        <f>'Monthly Plan'!H23</f>
        <v>300</v>
      </c>
      <c r="R22" s="14">
        <f>SUMPRODUCT((MONTH(Transactions!$A$2:$A$280)=6)*(Transactions!$D$2:$D$280="Emergency Fund")*Transactions!$C$2:$C$280)</f>
        <v>300</v>
      </c>
      <c r="S22" s="14">
        <f t="shared" si="5"/>
        <v>0</v>
      </c>
      <c r="T22" s="14">
        <f>'Monthly Plan'!I23</f>
        <v>300</v>
      </c>
      <c r="U22" s="14">
        <f>SUMPRODUCT((MONTH(Transactions!$A$2:$A$280)=7)*(Transactions!$D$2:$D$280="Emergency Fund")*Transactions!$C$2:$C$280)</f>
        <v>300</v>
      </c>
      <c r="V22" s="14">
        <f t="shared" si="6"/>
        <v>0</v>
      </c>
      <c r="W22" s="14">
        <f>'Monthly Plan'!J23</f>
        <v>300</v>
      </c>
      <c r="X22" s="14">
        <f>SUMPRODUCT((MONTH(Transactions!$A$2:$A$280)=8)*(Transactions!$D$2:$D$280="Emergency Fund")*Transactions!$C$2:$C$280)</f>
        <v>300</v>
      </c>
      <c r="Y22" s="14">
        <f t="shared" si="7"/>
        <v>0</v>
      </c>
      <c r="Z22" s="14">
        <f>'Monthly Plan'!K23</f>
        <v>300</v>
      </c>
      <c r="AA22" s="14">
        <f>SUMPRODUCT((MONTH(Transactions!$A$2:$A$280)=9)*(Transactions!$D$2:$D$280="Emergency Fund")*Transactions!$C$2:$C$280)</f>
        <v>300</v>
      </c>
      <c r="AB22" s="14">
        <f t="shared" si="8"/>
        <v>0</v>
      </c>
      <c r="AC22" s="14">
        <f>'Monthly Plan'!L23</f>
        <v>300</v>
      </c>
      <c r="AD22" s="14">
        <f>SUMPRODUCT((MONTH(Transactions!$A$2:$A$280)=10)*(Transactions!$D$2:$D$280="Emergency Fund")*Transactions!$C$2:$C$280)</f>
        <v>300</v>
      </c>
      <c r="AE22" s="14">
        <f t="shared" si="9"/>
        <v>0</v>
      </c>
      <c r="AF22" s="14">
        <f>'Monthly Plan'!M23</f>
        <v>300</v>
      </c>
      <c r="AG22" s="14">
        <f>SUMPRODUCT((MONTH(Transactions!$A$2:$A$280)=11)*(Transactions!$D$2:$D$280="Emergency Fund")*Transactions!$C$2:$C$280)</f>
        <v>300</v>
      </c>
      <c r="AH22" s="14">
        <f t="shared" si="10"/>
        <v>0</v>
      </c>
      <c r="AI22" s="14">
        <f>'Monthly Plan'!N23</f>
        <v>300</v>
      </c>
      <c r="AJ22" s="14">
        <f>SUMPRODUCT((MONTH(Transactions!$A$2:$A$280)=12)*(Transactions!$D$2:$D$280="Emergency Fund")*Transactions!$C$2:$C$280)</f>
        <v>300</v>
      </c>
      <c r="AK22" s="14">
        <f t="shared" si="11"/>
        <v>0</v>
      </c>
      <c r="AL22" s="12">
        <f t="shared" si="12"/>
        <v>3600</v>
      </c>
      <c r="AM22" s="12">
        <f t="shared" si="13"/>
        <v>3600</v>
      </c>
      <c r="AN22" s="12">
        <f t="shared" si="14"/>
        <v>0</v>
      </c>
    </row>
    <row r="23" spans="1:40" x14ac:dyDescent="0.25">
      <c r="A23" s="3" t="s">
        <v>37</v>
      </c>
      <c r="B23" s="14">
        <f>'Monthly Plan'!C24</f>
        <v>200</v>
      </c>
      <c r="C23" s="14">
        <f>SUMPRODUCT((MONTH(Transactions!$A$2:$A$280)=1)*(Transactions!$D$2:$D$280="Retirement Extra")*Transactions!$C$2:$C$280)</f>
        <v>200</v>
      </c>
      <c r="D23" s="14">
        <f t="shared" si="0"/>
        <v>0</v>
      </c>
      <c r="E23" s="14">
        <f>'Monthly Plan'!D24</f>
        <v>200</v>
      </c>
      <c r="F23" s="14">
        <f>SUMPRODUCT((MONTH(Transactions!$A$2:$A$280)=2)*(Transactions!$D$2:$D$280="Retirement Extra")*Transactions!$C$2:$C$280)</f>
        <v>200</v>
      </c>
      <c r="G23" s="14">
        <f t="shared" si="1"/>
        <v>0</v>
      </c>
      <c r="H23" s="14">
        <f>'Monthly Plan'!E24</f>
        <v>200</v>
      </c>
      <c r="I23" s="14">
        <f>SUMPRODUCT((MONTH(Transactions!$A$2:$A$280)=3)*(Transactions!$D$2:$D$280="Retirement Extra")*Transactions!$C$2:$C$280)</f>
        <v>200</v>
      </c>
      <c r="J23" s="14">
        <f t="shared" si="2"/>
        <v>0</v>
      </c>
      <c r="K23" s="14">
        <f>'Monthly Plan'!F24</f>
        <v>200</v>
      </c>
      <c r="L23" s="14">
        <f>SUMPRODUCT((MONTH(Transactions!$A$2:$A$280)=4)*(Transactions!$D$2:$D$280="Retirement Extra")*Transactions!$C$2:$C$280)</f>
        <v>200</v>
      </c>
      <c r="M23" s="14">
        <f t="shared" si="3"/>
        <v>0</v>
      </c>
      <c r="N23" s="14">
        <f>'Monthly Plan'!G24</f>
        <v>200</v>
      </c>
      <c r="O23" s="14">
        <f>SUMPRODUCT((MONTH(Transactions!$A$2:$A$280)=5)*(Transactions!$D$2:$D$280="Retirement Extra")*Transactions!$C$2:$C$280)</f>
        <v>200</v>
      </c>
      <c r="P23" s="14">
        <f t="shared" si="4"/>
        <v>0</v>
      </c>
      <c r="Q23" s="14">
        <f>'Monthly Plan'!H24</f>
        <v>200</v>
      </c>
      <c r="R23" s="14">
        <f>SUMPRODUCT((MONTH(Transactions!$A$2:$A$280)=6)*(Transactions!$D$2:$D$280="Retirement Extra")*Transactions!$C$2:$C$280)</f>
        <v>200</v>
      </c>
      <c r="S23" s="14">
        <f t="shared" si="5"/>
        <v>0</v>
      </c>
      <c r="T23" s="14">
        <f>'Monthly Plan'!I24</f>
        <v>200</v>
      </c>
      <c r="U23" s="14">
        <f>SUMPRODUCT((MONTH(Transactions!$A$2:$A$280)=7)*(Transactions!$D$2:$D$280="Retirement Extra")*Transactions!$C$2:$C$280)</f>
        <v>200</v>
      </c>
      <c r="V23" s="14">
        <f t="shared" si="6"/>
        <v>0</v>
      </c>
      <c r="W23" s="14">
        <f>'Monthly Plan'!J24</f>
        <v>200</v>
      </c>
      <c r="X23" s="14">
        <f>SUMPRODUCT((MONTH(Transactions!$A$2:$A$280)=8)*(Transactions!$D$2:$D$280="Retirement Extra")*Transactions!$C$2:$C$280)</f>
        <v>200</v>
      </c>
      <c r="Y23" s="14">
        <f t="shared" si="7"/>
        <v>0</v>
      </c>
      <c r="Z23" s="14">
        <f>'Monthly Plan'!K24</f>
        <v>200</v>
      </c>
      <c r="AA23" s="14">
        <f>SUMPRODUCT((MONTH(Transactions!$A$2:$A$280)=9)*(Transactions!$D$2:$D$280="Retirement Extra")*Transactions!$C$2:$C$280)</f>
        <v>200</v>
      </c>
      <c r="AB23" s="14">
        <f t="shared" si="8"/>
        <v>0</v>
      </c>
      <c r="AC23" s="14">
        <f>'Monthly Plan'!L24</f>
        <v>200</v>
      </c>
      <c r="AD23" s="14">
        <f>SUMPRODUCT((MONTH(Transactions!$A$2:$A$280)=10)*(Transactions!$D$2:$D$280="Retirement Extra")*Transactions!$C$2:$C$280)</f>
        <v>200</v>
      </c>
      <c r="AE23" s="14">
        <f t="shared" si="9"/>
        <v>0</v>
      </c>
      <c r="AF23" s="14">
        <f>'Monthly Plan'!M24</f>
        <v>200</v>
      </c>
      <c r="AG23" s="14">
        <f>SUMPRODUCT((MONTH(Transactions!$A$2:$A$280)=11)*(Transactions!$D$2:$D$280="Retirement Extra")*Transactions!$C$2:$C$280)</f>
        <v>200</v>
      </c>
      <c r="AH23" s="14">
        <f t="shared" si="10"/>
        <v>0</v>
      </c>
      <c r="AI23" s="14">
        <f>'Monthly Plan'!N24</f>
        <v>200</v>
      </c>
      <c r="AJ23" s="14">
        <f>SUMPRODUCT((MONTH(Transactions!$A$2:$A$280)=12)*(Transactions!$D$2:$D$280="Retirement Extra")*Transactions!$C$2:$C$280)</f>
        <v>200</v>
      </c>
      <c r="AK23" s="14">
        <f t="shared" si="11"/>
        <v>0</v>
      </c>
      <c r="AL23" s="12">
        <f t="shared" si="12"/>
        <v>2400</v>
      </c>
      <c r="AM23" s="12">
        <f t="shared" si="13"/>
        <v>2400</v>
      </c>
      <c r="AN23" s="12">
        <f t="shared" si="14"/>
        <v>0</v>
      </c>
    </row>
    <row r="24" spans="1:40" x14ac:dyDescent="0.25">
      <c r="A24" s="3" t="s">
        <v>38</v>
      </c>
      <c r="B24" s="14">
        <f>'Monthly Plan'!C25</f>
        <v>100</v>
      </c>
      <c r="C24" s="14">
        <f>SUMPRODUCT((MONTH(Transactions!$A$2:$A$280)=1)*(Transactions!$D$2:$D$280="Vacation Fund")*Transactions!$C$2:$C$280)</f>
        <v>100</v>
      </c>
      <c r="D24" s="14">
        <f t="shared" si="0"/>
        <v>0</v>
      </c>
      <c r="E24" s="14">
        <f>'Monthly Plan'!D25</f>
        <v>100</v>
      </c>
      <c r="F24" s="14">
        <f>SUMPRODUCT((MONTH(Transactions!$A$2:$A$280)=2)*(Transactions!$D$2:$D$280="Vacation Fund")*Transactions!$C$2:$C$280)</f>
        <v>100</v>
      </c>
      <c r="G24" s="14">
        <f t="shared" si="1"/>
        <v>0</v>
      </c>
      <c r="H24" s="14">
        <f>'Monthly Plan'!E25</f>
        <v>100</v>
      </c>
      <c r="I24" s="14">
        <f>SUMPRODUCT((MONTH(Transactions!$A$2:$A$280)=3)*(Transactions!$D$2:$D$280="Vacation Fund")*Transactions!$C$2:$C$280)</f>
        <v>100</v>
      </c>
      <c r="J24" s="14">
        <f t="shared" si="2"/>
        <v>0</v>
      </c>
      <c r="K24" s="14">
        <f>'Monthly Plan'!F25</f>
        <v>100</v>
      </c>
      <c r="L24" s="14">
        <f>SUMPRODUCT((MONTH(Transactions!$A$2:$A$280)=4)*(Transactions!$D$2:$D$280="Vacation Fund")*Transactions!$C$2:$C$280)</f>
        <v>100</v>
      </c>
      <c r="M24" s="14">
        <f t="shared" si="3"/>
        <v>0</v>
      </c>
      <c r="N24" s="14">
        <f>'Monthly Plan'!G25</f>
        <v>100</v>
      </c>
      <c r="O24" s="14">
        <f>SUMPRODUCT((MONTH(Transactions!$A$2:$A$280)=5)*(Transactions!$D$2:$D$280="Vacation Fund")*Transactions!$C$2:$C$280)</f>
        <v>100</v>
      </c>
      <c r="P24" s="14">
        <f t="shared" si="4"/>
        <v>0</v>
      </c>
      <c r="Q24" s="14">
        <f>'Monthly Plan'!H25</f>
        <v>100</v>
      </c>
      <c r="R24" s="14">
        <f>SUMPRODUCT((MONTH(Transactions!$A$2:$A$280)=6)*(Transactions!$D$2:$D$280="Vacation Fund")*Transactions!$C$2:$C$280)</f>
        <v>100</v>
      </c>
      <c r="S24" s="14">
        <f t="shared" si="5"/>
        <v>0</v>
      </c>
      <c r="T24" s="14">
        <f>'Monthly Plan'!I25</f>
        <v>100</v>
      </c>
      <c r="U24" s="14">
        <f>SUMPRODUCT((MONTH(Transactions!$A$2:$A$280)=7)*(Transactions!$D$2:$D$280="Vacation Fund")*Transactions!$C$2:$C$280)</f>
        <v>100</v>
      </c>
      <c r="V24" s="14">
        <f t="shared" si="6"/>
        <v>0</v>
      </c>
      <c r="W24" s="14">
        <f>'Monthly Plan'!J25</f>
        <v>100</v>
      </c>
      <c r="X24" s="14">
        <f>SUMPRODUCT((MONTH(Transactions!$A$2:$A$280)=8)*(Transactions!$D$2:$D$280="Vacation Fund")*Transactions!$C$2:$C$280)</f>
        <v>100</v>
      </c>
      <c r="Y24" s="14">
        <f t="shared" si="7"/>
        <v>0</v>
      </c>
      <c r="Z24" s="14">
        <f>'Monthly Plan'!K25</f>
        <v>100</v>
      </c>
      <c r="AA24" s="14">
        <f>SUMPRODUCT((MONTH(Transactions!$A$2:$A$280)=9)*(Transactions!$D$2:$D$280="Vacation Fund")*Transactions!$C$2:$C$280)</f>
        <v>100</v>
      </c>
      <c r="AB24" s="14">
        <f t="shared" si="8"/>
        <v>0</v>
      </c>
      <c r="AC24" s="14">
        <f>'Monthly Plan'!L25</f>
        <v>100</v>
      </c>
      <c r="AD24" s="14">
        <f>SUMPRODUCT((MONTH(Transactions!$A$2:$A$280)=10)*(Transactions!$D$2:$D$280="Vacation Fund")*Transactions!$C$2:$C$280)</f>
        <v>100</v>
      </c>
      <c r="AE24" s="14">
        <f t="shared" si="9"/>
        <v>0</v>
      </c>
      <c r="AF24" s="14">
        <f>'Monthly Plan'!M25</f>
        <v>100</v>
      </c>
      <c r="AG24" s="14">
        <f>SUMPRODUCT((MONTH(Transactions!$A$2:$A$280)=11)*(Transactions!$D$2:$D$280="Vacation Fund")*Transactions!$C$2:$C$280)</f>
        <v>100</v>
      </c>
      <c r="AH24" s="14">
        <f t="shared" si="10"/>
        <v>0</v>
      </c>
      <c r="AI24" s="14">
        <f>'Monthly Plan'!N25</f>
        <v>100</v>
      </c>
      <c r="AJ24" s="14">
        <f>SUMPRODUCT((MONTH(Transactions!$A$2:$A$280)=12)*(Transactions!$D$2:$D$280="Vacation Fund")*Transactions!$C$2:$C$280)</f>
        <v>100</v>
      </c>
      <c r="AK24" s="14">
        <f t="shared" si="11"/>
        <v>0</v>
      </c>
      <c r="AL24" s="12">
        <f t="shared" si="12"/>
        <v>1200</v>
      </c>
      <c r="AM24" s="12">
        <f t="shared" si="13"/>
        <v>1200</v>
      </c>
      <c r="AN24" s="12">
        <f t="shared" si="14"/>
        <v>0</v>
      </c>
    </row>
    <row r="25" spans="1:40" x14ac:dyDescent="0.25">
      <c r="A25" s="3" t="s">
        <v>39</v>
      </c>
      <c r="B25" s="14">
        <f>'Monthly Plan'!C26</f>
        <v>280</v>
      </c>
      <c r="C25" s="14">
        <f>SUMPRODUCT((MONTH(Transactions!$A$2:$A$280)=1)*(Transactions!$D$2:$D$280="Student Loan")*Transactions!$C$2:$C$280)</f>
        <v>280</v>
      </c>
      <c r="D25" s="14">
        <f t="shared" si="0"/>
        <v>0</v>
      </c>
      <c r="E25" s="14">
        <f>'Monthly Plan'!D26</f>
        <v>280</v>
      </c>
      <c r="F25" s="14">
        <f>SUMPRODUCT((MONTH(Transactions!$A$2:$A$280)=2)*(Transactions!$D$2:$D$280="Student Loan")*Transactions!$C$2:$C$280)</f>
        <v>280</v>
      </c>
      <c r="G25" s="14">
        <f t="shared" si="1"/>
        <v>0</v>
      </c>
      <c r="H25" s="14">
        <f>'Monthly Plan'!E26</f>
        <v>280</v>
      </c>
      <c r="I25" s="14">
        <f>SUMPRODUCT((MONTH(Transactions!$A$2:$A$280)=3)*(Transactions!$D$2:$D$280="Student Loan")*Transactions!$C$2:$C$280)</f>
        <v>280</v>
      </c>
      <c r="J25" s="14">
        <f t="shared" si="2"/>
        <v>0</v>
      </c>
      <c r="K25" s="14">
        <f>'Monthly Plan'!F26</f>
        <v>280</v>
      </c>
      <c r="L25" s="14">
        <f>SUMPRODUCT((MONTH(Transactions!$A$2:$A$280)=4)*(Transactions!$D$2:$D$280="Student Loan")*Transactions!$C$2:$C$280)</f>
        <v>280</v>
      </c>
      <c r="M25" s="14">
        <f t="shared" si="3"/>
        <v>0</v>
      </c>
      <c r="N25" s="14">
        <f>'Monthly Plan'!G26</f>
        <v>280</v>
      </c>
      <c r="O25" s="14">
        <f>SUMPRODUCT((MONTH(Transactions!$A$2:$A$280)=5)*(Transactions!$D$2:$D$280="Student Loan")*Transactions!$C$2:$C$280)</f>
        <v>280</v>
      </c>
      <c r="P25" s="14">
        <f t="shared" si="4"/>
        <v>0</v>
      </c>
      <c r="Q25" s="14">
        <f>'Monthly Plan'!H26</f>
        <v>280</v>
      </c>
      <c r="R25" s="14">
        <f>SUMPRODUCT((MONTH(Transactions!$A$2:$A$280)=6)*(Transactions!$D$2:$D$280="Student Loan")*Transactions!$C$2:$C$280)</f>
        <v>280</v>
      </c>
      <c r="S25" s="14">
        <f t="shared" si="5"/>
        <v>0</v>
      </c>
      <c r="T25" s="14">
        <f>'Monthly Plan'!I26</f>
        <v>280</v>
      </c>
      <c r="U25" s="14">
        <f>SUMPRODUCT((MONTH(Transactions!$A$2:$A$280)=7)*(Transactions!$D$2:$D$280="Student Loan")*Transactions!$C$2:$C$280)</f>
        <v>280</v>
      </c>
      <c r="V25" s="14">
        <f t="shared" si="6"/>
        <v>0</v>
      </c>
      <c r="W25" s="14">
        <f>'Monthly Plan'!J26</f>
        <v>280</v>
      </c>
      <c r="X25" s="14">
        <f>SUMPRODUCT((MONTH(Transactions!$A$2:$A$280)=8)*(Transactions!$D$2:$D$280="Student Loan")*Transactions!$C$2:$C$280)</f>
        <v>280</v>
      </c>
      <c r="Y25" s="14">
        <f t="shared" si="7"/>
        <v>0</v>
      </c>
      <c r="Z25" s="14">
        <f>'Monthly Plan'!K26</f>
        <v>280</v>
      </c>
      <c r="AA25" s="14">
        <f>SUMPRODUCT((MONTH(Transactions!$A$2:$A$280)=9)*(Transactions!$D$2:$D$280="Student Loan")*Transactions!$C$2:$C$280)</f>
        <v>280</v>
      </c>
      <c r="AB25" s="14">
        <f t="shared" si="8"/>
        <v>0</v>
      </c>
      <c r="AC25" s="14">
        <f>'Monthly Plan'!L26</f>
        <v>280</v>
      </c>
      <c r="AD25" s="14">
        <f>SUMPRODUCT((MONTH(Transactions!$A$2:$A$280)=10)*(Transactions!$D$2:$D$280="Student Loan")*Transactions!$C$2:$C$280)</f>
        <v>280</v>
      </c>
      <c r="AE25" s="14">
        <f t="shared" si="9"/>
        <v>0</v>
      </c>
      <c r="AF25" s="14">
        <f>'Monthly Plan'!M26</f>
        <v>280</v>
      </c>
      <c r="AG25" s="14">
        <f>SUMPRODUCT((MONTH(Transactions!$A$2:$A$280)=11)*(Transactions!$D$2:$D$280="Student Loan")*Transactions!$C$2:$C$280)</f>
        <v>280</v>
      </c>
      <c r="AH25" s="14">
        <f t="shared" si="10"/>
        <v>0</v>
      </c>
      <c r="AI25" s="14">
        <f>'Monthly Plan'!N26</f>
        <v>280</v>
      </c>
      <c r="AJ25" s="14">
        <f>SUMPRODUCT((MONTH(Transactions!$A$2:$A$280)=12)*(Transactions!$D$2:$D$280="Student Loan")*Transactions!$C$2:$C$280)</f>
        <v>280</v>
      </c>
      <c r="AK25" s="14">
        <f t="shared" si="11"/>
        <v>0</v>
      </c>
      <c r="AL25" s="12">
        <f t="shared" si="12"/>
        <v>3360</v>
      </c>
      <c r="AM25" s="12">
        <f t="shared" si="13"/>
        <v>3360</v>
      </c>
      <c r="AN25" s="12">
        <f t="shared" si="14"/>
        <v>0</v>
      </c>
    </row>
    <row r="26" spans="1:40" x14ac:dyDescent="0.25">
      <c r="A26" s="3" t="s">
        <v>41</v>
      </c>
      <c r="B26" s="14">
        <f>'Monthly Plan'!C27</f>
        <v>160</v>
      </c>
      <c r="C26" s="14">
        <f>SUMPRODUCT((MONTH(Transactions!$A$2:$A$280)=1)*(Transactions!$D$2:$D$280="Credit Card Extra")*Transactions!$C$2:$C$280)</f>
        <v>160</v>
      </c>
      <c r="D26" s="14">
        <f t="shared" si="0"/>
        <v>0</v>
      </c>
      <c r="E26" s="14">
        <f>'Monthly Plan'!D27</f>
        <v>160</v>
      </c>
      <c r="F26" s="14">
        <f>SUMPRODUCT((MONTH(Transactions!$A$2:$A$280)=2)*(Transactions!$D$2:$D$280="Credit Card Extra")*Transactions!$C$2:$C$280)</f>
        <v>160</v>
      </c>
      <c r="G26" s="14">
        <f t="shared" si="1"/>
        <v>0</v>
      </c>
      <c r="H26" s="14">
        <f>'Monthly Plan'!E27</f>
        <v>160</v>
      </c>
      <c r="I26" s="14">
        <f>SUMPRODUCT((MONTH(Transactions!$A$2:$A$280)=3)*(Transactions!$D$2:$D$280="Credit Card Extra")*Transactions!$C$2:$C$280)</f>
        <v>160</v>
      </c>
      <c r="J26" s="14">
        <f t="shared" si="2"/>
        <v>0</v>
      </c>
      <c r="K26" s="14">
        <f>'Monthly Plan'!F27</f>
        <v>160</v>
      </c>
      <c r="L26" s="14">
        <f>SUMPRODUCT((MONTH(Transactions!$A$2:$A$280)=4)*(Transactions!$D$2:$D$280="Credit Card Extra")*Transactions!$C$2:$C$280)</f>
        <v>160</v>
      </c>
      <c r="M26" s="14">
        <f t="shared" si="3"/>
        <v>0</v>
      </c>
      <c r="N26" s="14">
        <f>'Monthly Plan'!G27</f>
        <v>160</v>
      </c>
      <c r="O26" s="14">
        <f>SUMPRODUCT((MONTH(Transactions!$A$2:$A$280)=5)*(Transactions!$D$2:$D$280="Credit Card Extra")*Transactions!$C$2:$C$280)</f>
        <v>160</v>
      </c>
      <c r="P26" s="14">
        <f t="shared" si="4"/>
        <v>0</v>
      </c>
      <c r="Q26" s="14">
        <f>'Monthly Plan'!H27</f>
        <v>160</v>
      </c>
      <c r="R26" s="14">
        <f>SUMPRODUCT((MONTH(Transactions!$A$2:$A$280)=6)*(Transactions!$D$2:$D$280="Credit Card Extra")*Transactions!$C$2:$C$280)</f>
        <v>160</v>
      </c>
      <c r="S26" s="14">
        <f t="shared" si="5"/>
        <v>0</v>
      </c>
      <c r="T26" s="14">
        <f>'Monthly Plan'!I27</f>
        <v>160</v>
      </c>
      <c r="U26" s="14">
        <f>SUMPRODUCT((MONTH(Transactions!$A$2:$A$280)=7)*(Transactions!$D$2:$D$280="Credit Card Extra")*Transactions!$C$2:$C$280)</f>
        <v>160</v>
      </c>
      <c r="V26" s="14">
        <f t="shared" si="6"/>
        <v>0</v>
      </c>
      <c r="W26" s="14">
        <f>'Monthly Plan'!J27</f>
        <v>160</v>
      </c>
      <c r="X26" s="14">
        <f>SUMPRODUCT((MONTH(Transactions!$A$2:$A$280)=8)*(Transactions!$D$2:$D$280="Credit Card Extra")*Transactions!$C$2:$C$280)</f>
        <v>160</v>
      </c>
      <c r="Y26" s="14">
        <f t="shared" si="7"/>
        <v>0</v>
      </c>
      <c r="Z26" s="14">
        <f>'Monthly Plan'!K27</f>
        <v>160</v>
      </c>
      <c r="AA26" s="14">
        <f>SUMPRODUCT((MONTH(Transactions!$A$2:$A$280)=9)*(Transactions!$D$2:$D$280="Credit Card Extra")*Transactions!$C$2:$C$280)</f>
        <v>160</v>
      </c>
      <c r="AB26" s="14">
        <f t="shared" si="8"/>
        <v>0</v>
      </c>
      <c r="AC26" s="14">
        <f>'Monthly Plan'!L27</f>
        <v>160</v>
      </c>
      <c r="AD26" s="14">
        <f>SUMPRODUCT((MONTH(Transactions!$A$2:$A$280)=10)*(Transactions!$D$2:$D$280="Credit Card Extra")*Transactions!$C$2:$C$280)</f>
        <v>160</v>
      </c>
      <c r="AE26" s="14">
        <f t="shared" si="9"/>
        <v>0</v>
      </c>
      <c r="AF26" s="14">
        <f>'Monthly Plan'!M27</f>
        <v>160</v>
      </c>
      <c r="AG26" s="14">
        <f>SUMPRODUCT((MONTH(Transactions!$A$2:$A$280)=11)*(Transactions!$D$2:$D$280="Credit Card Extra")*Transactions!$C$2:$C$280)</f>
        <v>160</v>
      </c>
      <c r="AH26" s="14">
        <f t="shared" si="10"/>
        <v>0</v>
      </c>
      <c r="AI26" s="14">
        <f>'Monthly Plan'!N27</f>
        <v>160</v>
      </c>
      <c r="AJ26" s="14">
        <f>SUMPRODUCT((MONTH(Transactions!$A$2:$A$280)=12)*(Transactions!$D$2:$D$280="Credit Card Extra")*Transactions!$C$2:$C$280)</f>
        <v>160</v>
      </c>
      <c r="AK26" s="14">
        <f t="shared" si="11"/>
        <v>0</v>
      </c>
      <c r="AL26" s="12">
        <f t="shared" si="12"/>
        <v>1920</v>
      </c>
      <c r="AM26" s="12">
        <f t="shared" si="13"/>
        <v>1920</v>
      </c>
      <c r="AN26" s="12">
        <f t="shared" si="14"/>
        <v>0</v>
      </c>
    </row>
  </sheetData>
  <conditionalFormatting sqref="D2:D26">
    <cfRule type="cellIs" dxfId="25" priority="1" operator="lessThan">
      <formula>0</formula>
    </cfRule>
    <cfRule type="cellIs" dxfId="24" priority="2" operator="greaterThan">
      <formula>0</formula>
    </cfRule>
  </conditionalFormatting>
  <conditionalFormatting sqref="G2:G26">
    <cfRule type="cellIs" dxfId="23" priority="3" operator="lessThan">
      <formula>0</formula>
    </cfRule>
    <cfRule type="cellIs" dxfId="22" priority="4" operator="greaterThan">
      <formula>0</formula>
    </cfRule>
  </conditionalFormatting>
  <conditionalFormatting sqref="J2:J26">
    <cfRule type="cellIs" dxfId="21" priority="5" operator="lessThan">
      <formula>0</formula>
    </cfRule>
    <cfRule type="cellIs" dxfId="20" priority="6" operator="greaterThan">
      <formula>0</formula>
    </cfRule>
  </conditionalFormatting>
  <conditionalFormatting sqref="M2:M26">
    <cfRule type="cellIs" dxfId="19" priority="7" operator="lessThan">
      <formula>0</formula>
    </cfRule>
    <cfRule type="cellIs" dxfId="18" priority="8" operator="greaterThan">
      <formula>0</formula>
    </cfRule>
  </conditionalFormatting>
  <conditionalFormatting sqref="P2:P26">
    <cfRule type="cellIs" dxfId="17" priority="9" operator="lessThan">
      <formula>0</formula>
    </cfRule>
    <cfRule type="cellIs" dxfId="16" priority="10" operator="greaterThan">
      <formula>0</formula>
    </cfRule>
  </conditionalFormatting>
  <conditionalFormatting sqref="S2:S26">
    <cfRule type="cellIs" dxfId="15" priority="11" operator="lessThan">
      <formula>0</formula>
    </cfRule>
    <cfRule type="cellIs" dxfId="14" priority="12" operator="greaterThan">
      <formula>0</formula>
    </cfRule>
  </conditionalFormatting>
  <conditionalFormatting sqref="V2:V26">
    <cfRule type="cellIs" dxfId="13" priority="13" operator="lessThan">
      <formula>0</formula>
    </cfRule>
    <cfRule type="cellIs" dxfId="12" priority="14" operator="greaterThan">
      <formula>0</formula>
    </cfRule>
  </conditionalFormatting>
  <conditionalFormatting sqref="Y2:Y26">
    <cfRule type="cellIs" dxfId="11" priority="15" operator="lessThan">
      <formula>0</formula>
    </cfRule>
    <cfRule type="cellIs" dxfId="10" priority="16" operator="greaterThan">
      <formula>0</formula>
    </cfRule>
  </conditionalFormatting>
  <conditionalFormatting sqref="AB2:AB26">
    <cfRule type="cellIs" dxfId="9" priority="17" operator="lessThan">
      <formula>0</formula>
    </cfRule>
    <cfRule type="cellIs" dxfId="8" priority="18" operator="greaterThan">
      <formula>0</formula>
    </cfRule>
  </conditionalFormatting>
  <conditionalFormatting sqref="AE2:AE26">
    <cfRule type="cellIs" dxfId="7" priority="19" operator="lessThan">
      <formula>0</formula>
    </cfRule>
    <cfRule type="cellIs" dxfId="6" priority="20" operator="greaterThan">
      <formula>0</formula>
    </cfRule>
  </conditionalFormatting>
  <conditionalFormatting sqref="AH2:AH26">
    <cfRule type="cellIs" dxfId="5" priority="21" operator="lessThan">
      <formula>0</formula>
    </cfRule>
    <cfRule type="cellIs" dxfId="4" priority="22" operator="greaterThan">
      <formula>0</formula>
    </cfRule>
  </conditionalFormatting>
  <conditionalFormatting sqref="AK2:AK26">
    <cfRule type="cellIs" dxfId="3" priority="23" operator="lessThan">
      <formula>0</formula>
    </cfRule>
    <cfRule type="cellIs" dxfId="2" priority="24" operator="greaterThan">
      <formula>0</formula>
    </cfRule>
  </conditionalFormatting>
  <conditionalFormatting sqref="AN2:AN26">
    <cfRule type="cellIs" dxfId="1" priority="25" operator="lessThan">
      <formula>0</formula>
    </cfRule>
    <cfRule type="cellIs" dxfId="0" priority="26" operator="greaterThan">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showGridLines="0" tabSelected="1" zoomScale="70" zoomScaleNormal="70" workbookViewId="0">
      <selection activeCell="D3" sqref="D3"/>
    </sheetView>
  </sheetViews>
  <sheetFormatPr defaultRowHeight="15" x14ac:dyDescent="0.25"/>
  <cols>
    <col min="1" max="1" width="18.85546875" customWidth="1"/>
    <col min="2" max="2" width="16.42578125" bestFit="1" customWidth="1"/>
    <col min="3" max="3" width="14.85546875" bestFit="1" customWidth="1"/>
    <col min="4" max="4" width="20" bestFit="1" customWidth="1"/>
    <col min="5" max="5" width="29.5703125" bestFit="1" customWidth="1"/>
    <col min="6" max="12" width="14" customWidth="1"/>
  </cols>
  <sheetData>
    <row r="1" spans="1:13" x14ac:dyDescent="0.25">
      <c r="A1" s="2" t="s">
        <v>145</v>
      </c>
      <c r="B1" s="2" t="s">
        <v>146</v>
      </c>
      <c r="C1" s="2" t="s">
        <v>147</v>
      </c>
      <c r="D1" s="2" t="s">
        <v>148</v>
      </c>
      <c r="E1" s="2" t="s">
        <v>149</v>
      </c>
      <c r="F1" s="1"/>
      <c r="G1" s="1"/>
      <c r="H1" s="1"/>
      <c r="I1" s="1"/>
      <c r="J1" s="1"/>
      <c r="K1" s="1"/>
      <c r="L1" s="1"/>
      <c r="M1" s="1"/>
    </row>
    <row r="2" spans="1:13" x14ac:dyDescent="0.25">
      <c r="A2" s="3" t="s">
        <v>91</v>
      </c>
      <c r="B2" s="12">
        <f>'Monthly Plan'!C2</f>
        <v>5950</v>
      </c>
      <c r="C2" s="12">
        <f>SUMPRODUCT((MONTH(Transactions!$A$2:$A$280)=1)*Transactions!$C$2:$C$280)</f>
        <v>3999.48</v>
      </c>
      <c r="D2" s="12">
        <f t="shared" ref="D2:D13" si="0">B2-C2</f>
        <v>1950.52</v>
      </c>
      <c r="E2" s="12">
        <f>IFERROR(AVERAGE(C2:C2),0)</f>
        <v>3999.48</v>
      </c>
      <c r="F2" s="1"/>
      <c r="G2" s="1"/>
      <c r="H2" s="1"/>
      <c r="I2" s="1"/>
      <c r="J2" s="1"/>
      <c r="K2" s="1"/>
      <c r="L2" s="1"/>
      <c r="M2" s="1"/>
    </row>
    <row r="3" spans="1:13" x14ac:dyDescent="0.25">
      <c r="A3" s="3" t="s">
        <v>92</v>
      </c>
      <c r="B3" s="12">
        <f>'Monthly Plan'!D2</f>
        <v>5950</v>
      </c>
      <c r="C3" s="12">
        <f>SUMPRODUCT((MONTH(Transactions!$A$2:$A$280)=2)*Transactions!$C$2:$C$280)</f>
        <v>3999.19</v>
      </c>
      <c r="D3" s="12">
        <f t="shared" si="0"/>
        <v>1950.81</v>
      </c>
      <c r="E3" s="12">
        <f>IFERROR(AVERAGE(C2:C3),0)</f>
        <v>3999.335</v>
      </c>
      <c r="F3" s="1"/>
      <c r="G3" s="1"/>
      <c r="H3" s="1"/>
      <c r="I3" s="1"/>
      <c r="J3" s="1"/>
      <c r="K3" s="1"/>
      <c r="L3" s="1"/>
      <c r="M3" s="1"/>
    </row>
    <row r="4" spans="1:13" x14ac:dyDescent="0.25">
      <c r="A4" s="3" t="s">
        <v>93</v>
      </c>
      <c r="B4" s="12">
        <f>'Monthly Plan'!E2</f>
        <v>5950</v>
      </c>
      <c r="C4" s="12">
        <f>SUMPRODUCT((MONTH(Transactions!$A$2:$A$280)=3)*Transactions!$C$2:$C$280)</f>
        <v>4242.1899999999996</v>
      </c>
      <c r="D4" s="12">
        <f t="shared" si="0"/>
        <v>1707.8100000000004</v>
      </c>
      <c r="E4" s="12">
        <f t="shared" ref="E4:E13" si="1">AVERAGE(C2:C4)</f>
        <v>4080.2866666666669</v>
      </c>
      <c r="F4" s="1"/>
      <c r="G4" s="1"/>
      <c r="H4" s="1"/>
      <c r="I4" s="1"/>
      <c r="J4" s="1"/>
      <c r="K4" s="1"/>
      <c r="L4" s="1"/>
      <c r="M4" s="1"/>
    </row>
    <row r="5" spans="1:13" x14ac:dyDescent="0.25">
      <c r="A5" s="3" t="s">
        <v>94</v>
      </c>
      <c r="B5" s="12">
        <f>'Monthly Plan'!F2</f>
        <v>5950</v>
      </c>
      <c r="C5" s="12">
        <f>SUMPRODUCT((MONTH(Transactions!$A$2:$A$280)=4)*Transactions!$C$2:$C$280)</f>
        <v>4008.3799999999997</v>
      </c>
      <c r="D5" s="12">
        <f t="shared" si="0"/>
        <v>1941.6200000000003</v>
      </c>
      <c r="E5" s="12">
        <f t="shared" si="1"/>
        <v>4083.2533333333326</v>
      </c>
      <c r="F5" s="1"/>
      <c r="G5" s="1"/>
      <c r="H5" s="1"/>
      <c r="I5" s="1"/>
      <c r="J5" s="1"/>
      <c r="K5" s="1"/>
      <c r="L5" s="1"/>
      <c r="M5" s="1"/>
    </row>
    <row r="6" spans="1:13" x14ac:dyDescent="0.25">
      <c r="A6" s="3" t="s">
        <v>95</v>
      </c>
      <c r="B6" s="12">
        <f>'Monthly Plan'!G2</f>
        <v>5950</v>
      </c>
      <c r="C6" s="12">
        <f>SUMPRODUCT((MONTH(Transactions!$A$2:$A$280)=5)*Transactions!$C$2:$C$280)</f>
        <v>4036.42</v>
      </c>
      <c r="D6" s="12">
        <f t="shared" si="0"/>
        <v>1913.58</v>
      </c>
      <c r="E6" s="12">
        <f t="shared" si="1"/>
        <v>4095.6633333333334</v>
      </c>
      <c r="F6" s="1"/>
      <c r="G6" s="1"/>
      <c r="H6" s="1"/>
      <c r="I6" s="1"/>
      <c r="J6" s="1"/>
      <c r="K6" s="1"/>
      <c r="L6" s="1"/>
      <c r="M6" s="1"/>
    </row>
    <row r="7" spans="1:13" x14ac:dyDescent="0.25">
      <c r="A7" s="3" t="s">
        <v>96</v>
      </c>
      <c r="B7" s="12">
        <f>'Monthly Plan'!H2</f>
        <v>5950</v>
      </c>
      <c r="C7" s="12">
        <f>SUMPRODUCT((MONTH(Transactions!$A$2:$A$280)=6)*Transactions!$C$2:$C$280)</f>
        <v>4236.84</v>
      </c>
      <c r="D7" s="12">
        <f t="shared" si="0"/>
        <v>1713.1599999999999</v>
      </c>
      <c r="E7" s="12">
        <f t="shared" si="1"/>
        <v>4093.8799999999997</v>
      </c>
      <c r="F7" s="1"/>
      <c r="G7" s="1"/>
      <c r="H7" s="1"/>
      <c r="I7" s="1"/>
      <c r="J7" s="1"/>
      <c r="K7" s="1"/>
      <c r="L7" s="1"/>
      <c r="M7" s="1"/>
    </row>
    <row r="8" spans="1:13" x14ac:dyDescent="0.25">
      <c r="A8" s="3" t="s">
        <v>97</v>
      </c>
      <c r="B8" s="12">
        <f>'Monthly Plan'!I2</f>
        <v>5950</v>
      </c>
      <c r="C8" s="12">
        <f>SUMPRODUCT((MONTH(Transactions!$A$2:$A$280)=7)*Transactions!$C$2:$C$280)</f>
        <v>4256.6799999999994</v>
      </c>
      <c r="D8" s="12">
        <f t="shared" si="0"/>
        <v>1693.3200000000006</v>
      </c>
      <c r="E8" s="12">
        <f t="shared" si="1"/>
        <v>4176.6466666666665</v>
      </c>
      <c r="F8" s="1"/>
      <c r="G8" s="1"/>
      <c r="H8" s="1"/>
      <c r="I8" s="1"/>
      <c r="J8" s="1"/>
      <c r="K8" s="1"/>
      <c r="L8" s="1"/>
      <c r="M8" s="1"/>
    </row>
    <row r="9" spans="1:13" x14ac:dyDescent="0.25">
      <c r="A9" s="3" t="s">
        <v>98</v>
      </c>
      <c r="B9" s="12">
        <f>'Monthly Plan'!J2</f>
        <v>5950</v>
      </c>
      <c r="C9" s="12">
        <f>SUMPRODUCT((MONTH(Transactions!$A$2:$A$280)=8)*Transactions!$C$2:$C$280)</f>
        <v>4080.93</v>
      </c>
      <c r="D9" s="12">
        <f t="shared" si="0"/>
        <v>1869.0700000000002</v>
      </c>
      <c r="E9" s="12">
        <f t="shared" si="1"/>
        <v>4191.4833333333336</v>
      </c>
      <c r="F9" s="1"/>
      <c r="G9" s="1"/>
      <c r="H9" s="1"/>
      <c r="I9" s="1"/>
      <c r="J9" s="1"/>
      <c r="K9" s="1"/>
      <c r="L9" s="1"/>
      <c r="M9" s="1"/>
    </row>
    <row r="10" spans="1:13" x14ac:dyDescent="0.25">
      <c r="A10" s="3" t="s">
        <v>99</v>
      </c>
      <c r="B10" s="12">
        <f>'Monthly Plan'!K2</f>
        <v>5950</v>
      </c>
      <c r="C10" s="12">
        <f>SUMPRODUCT((MONTH(Transactions!$A$2:$A$280)=9)*Transactions!$C$2:$C$280)</f>
        <v>4157.6499999999996</v>
      </c>
      <c r="D10" s="12">
        <f t="shared" si="0"/>
        <v>1792.3500000000004</v>
      </c>
      <c r="E10" s="12">
        <f t="shared" si="1"/>
        <v>4165.0866666666661</v>
      </c>
      <c r="F10" s="1"/>
      <c r="G10" s="1"/>
      <c r="H10" s="1"/>
      <c r="I10" s="1"/>
      <c r="J10" s="1"/>
      <c r="K10" s="1"/>
      <c r="L10" s="1"/>
      <c r="M10" s="1"/>
    </row>
    <row r="11" spans="1:13" x14ac:dyDescent="0.25">
      <c r="A11" s="3" t="s">
        <v>100</v>
      </c>
      <c r="B11" s="12">
        <f>'Monthly Plan'!L2</f>
        <v>5950</v>
      </c>
      <c r="C11" s="12">
        <f>SUMPRODUCT((MONTH(Transactions!$A$2:$A$280)=10)*Transactions!$C$2:$C$280)</f>
        <v>4049.7199999999993</v>
      </c>
      <c r="D11" s="12">
        <f t="shared" si="0"/>
        <v>1900.2800000000007</v>
      </c>
      <c r="E11" s="12">
        <f t="shared" si="1"/>
        <v>4096.0999999999995</v>
      </c>
      <c r="F11" s="1"/>
      <c r="G11" s="1"/>
      <c r="H11" s="1"/>
      <c r="I11" s="1"/>
      <c r="J11" s="1"/>
      <c r="K11" s="1"/>
      <c r="L11" s="1"/>
      <c r="M11" s="1"/>
    </row>
    <row r="12" spans="1:13" x14ac:dyDescent="0.25">
      <c r="A12" s="3" t="s">
        <v>101</v>
      </c>
      <c r="B12" s="12">
        <f>'Monthly Plan'!M2</f>
        <v>5950</v>
      </c>
      <c r="C12" s="12">
        <f>SUMPRODUCT((MONTH(Transactions!$A$2:$A$280)=11)*Transactions!$C$2:$C$280)</f>
        <v>4047.9799999999996</v>
      </c>
      <c r="D12" s="12">
        <f t="shared" si="0"/>
        <v>1902.0200000000004</v>
      </c>
      <c r="E12" s="12">
        <f t="shared" si="1"/>
        <v>4085.1166666666663</v>
      </c>
      <c r="F12" s="1"/>
      <c r="G12" s="1"/>
      <c r="H12" s="1"/>
      <c r="I12" s="1"/>
      <c r="J12" s="1"/>
      <c r="K12" s="1"/>
      <c r="L12" s="1"/>
      <c r="M12" s="1"/>
    </row>
    <row r="13" spans="1:13" x14ac:dyDescent="0.25">
      <c r="A13" s="3" t="s">
        <v>102</v>
      </c>
      <c r="B13" s="12">
        <f>'Monthly Plan'!N2</f>
        <v>5950</v>
      </c>
      <c r="C13" s="12">
        <f>SUMPRODUCT((MONTH(Transactions!$A$2:$A$280)=12)*Transactions!$C$2:$C$280)</f>
        <v>4172.1600000000008</v>
      </c>
      <c r="D13" s="12">
        <f t="shared" si="0"/>
        <v>1777.8399999999992</v>
      </c>
      <c r="E13" s="12">
        <f t="shared" si="1"/>
        <v>4089.9533333333334</v>
      </c>
      <c r="F13" s="1"/>
      <c r="G13" s="1"/>
      <c r="H13" s="1"/>
      <c r="I13" s="1"/>
      <c r="J13" s="1"/>
      <c r="K13" s="1"/>
      <c r="L13" s="1"/>
      <c r="M13" s="1"/>
    </row>
    <row r="14" spans="1:13" x14ac:dyDescent="0.25">
      <c r="A14" s="1"/>
      <c r="B14" s="1"/>
      <c r="C14" s="1"/>
      <c r="D14" s="1"/>
      <c r="E14" s="1"/>
      <c r="F14" s="1"/>
      <c r="G14" s="1"/>
      <c r="H14" s="1"/>
      <c r="I14" s="1"/>
      <c r="J14" s="1"/>
      <c r="K14" s="1"/>
      <c r="L14" s="1"/>
      <c r="M14" s="1"/>
    </row>
    <row r="15" spans="1:13" x14ac:dyDescent="0.25">
      <c r="A15" s="1"/>
      <c r="B15" s="1"/>
      <c r="C15" s="1"/>
      <c r="D15" s="1"/>
      <c r="E15" s="1"/>
      <c r="F15" s="1"/>
      <c r="G15" s="1"/>
      <c r="H15" s="1"/>
      <c r="I15" s="1"/>
      <c r="J15" s="1"/>
      <c r="K15" s="1"/>
      <c r="L15" s="1"/>
      <c r="M15" s="1"/>
    </row>
    <row r="16" spans="1:13" x14ac:dyDescent="0.25">
      <c r="A16" s="1"/>
      <c r="B16" s="1"/>
      <c r="C16" s="1"/>
      <c r="D16" s="1"/>
      <c r="E16" s="1"/>
      <c r="F16" s="1"/>
      <c r="G16" s="1"/>
      <c r="H16" s="1"/>
      <c r="I16" s="1"/>
      <c r="J16" s="1"/>
      <c r="K16" s="1"/>
      <c r="L16" s="1"/>
      <c r="M16" s="1"/>
    </row>
    <row r="17" spans="1:13" x14ac:dyDescent="0.25">
      <c r="A17" s="1"/>
      <c r="B17" s="1"/>
      <c r="C17" s="1"/>
      <c r="D17" s="1"/>
      <c r="E17" s="1"/>
      <c r="F17" s="1"/>
      <c r="G17" s="1"/>
      <c r="H17" s="1"/>
      <c r="I17" s="1"/>
      <c r="J17" s="1"/>
      <c r="K17" s="1"/>
      <c r="L17" s="1"/>
      <c r="M17" s="1"/>
    </row>
    <row r="18" spans="1:13" ht="15.75" x14ac:dyDescent="0.25">
      <c r="A18" s="15" t="s">
        <v>150</v>
      </c>
      <c r="B18" s="1"/>
      <c r="C18" s="1"/>
      <c r="D18" s="1"/>
      <c r="E18" s="1"/>
      <c r="F18" s="1"/>
      <c r="G18" s="1"/>
      <c r="H18" s="1"/>
      <c r="I18" s="1"/>
      <c r="J18" s="1"/>
      <c r="K18" s="1"/>
      <c r="L18" s="1"/>
      <c r="M18" s="1"/>
    </row>
    <row r="19" spans="1:13" x14ac:dyDescent="0.25">
      <c r="A19" s="2" t="s">
        <v>7</v>
      </c>
      <c r="B19" s="2" t="s">
        <v>91</v>
      </c>
      <c r="C19" s="2" t="s">
        <v>92</v>
      </c>
      <c r="D19" s="2" t="s">
        <v>93</v>
      </c>
      <c r="E19" s="2" t="s">
        <v>94</v>
      </c>
      <c r="F19" s="2" t="s">
        <v>95</v>
      </c>
      <c r="G19" s="2" t="s">
        <v>96</v>
      </c>
      <c r="H19" s="2" t="s">
        <v>97</v>
      </c>
      <c r="I19" s="2" t="s">
        <v>98</v>
      </c>
      <c r="J19" s="2" t="s">
        <v>99</v>
      </c>
      <c r="K19" s="2" t="s">
        <v>100</v>
      </c>
      <c r="L19" s="2" t="s">
        <v>101</v>
      </c>
      <c r="M19" s="2" t="s">
        <v>102</v>
      </c>
    </row>
    <row r="20" spans="1:13" x14ac:dyDescent="0.25">
      <c r="A20" s="3" t="s">
        <v>10</v>
      </c>
      <c r="B20" s="12">
        <f>SUMPRODUCT((MONTH(Transactions!$A$2:$A$280)=1)*(Transactions!$D$2:$D$280="Rent/Mortgage")*Transactions!$C$2:$C$280)</f>
        <v>1550</v>
      </c>
      <c r="C20" s="12">
        <f>SUMPRODUCT((MONTH(Transactions!$A$2:$A$280)=2)*(Transactions!$D$2:$D$280="Rent/Mortgage")*Transactions!$C$2:$C$280)</f>
        <v>1550</v>
      </c>
      <c r="D20" s="12">
        <f>SUMPRODUCT((MONTH(Transactions!$A$2:$A$280)=3)*(Transactions!$D$2:$D$280="Rent/Mortgage")*Transactions!$C$2:$C$280)</f>
        <v>1550</v>
      </c>
      <c r="E20" s="12">
        <f>SUMPRODUCT((MONTH(Transactions!$A$2:$A$280)=4)*(Transactions!$D$2:$D$280="Rent/Mortgage")*Transactions!$C$2:$C$280)</f>
        <v>1550</v>
      </c>
      <c r="F20" s="12">
        <f>SUMPRODUCT((MONTH(Transactions!$A$2:$A$280)=5)*(Transactions!$D$2:$D$280="Rent/Mortgage")*Transactions!$C$2:$C$280)</f>
        <v>1550</v>
      </c>
      <c r="G20" s="12">
        <f>SUMPRODUCT((MONTH(Transactions!$A$2:$A$280)=6)*(Transactions!$D$2:$D$280="Rent/Mortgage")*Transactions!$C$2:$C$280)</f>
        <v>1550</v>
      </c>
      <c r="H20" s="12">
        <f>SUMPRODUCT((MONTH(Transactions!$A$2:$A$280)=7)*(Transactions!$D$2:$D$280="Rent/Mortgage")*Transactions!$C$2:$C$280)</f>
        <v>1550</v>
      </c>
      <c r="I20" s="12">
        <f>SUMPRODUCT((MONTH(Transactions!$A$2:$A$280)=8)*(Transactions!$D$2:$D$280="Rent/Mortgage")*Transactions!$C$2:$C$280)</f>
        <v>1550</v>
      </c>
      <c r="J20" s="12">
        <f>SUMPRODUCT((MONTH(Transactions!$A$2:$A$280)=9)*(Transactions!$D$2:$D$280="Rent/Mortgage")*Transactions!$C$2:$C$280)</f>
        <v>1550</v>
      </c>
      <c r="K20" s="12">
        <f>SUMPRODUCT((MONTH(Transactions!$A$2:$A$280)=10)*(Transactions!$D$2:$D$280="Rent/Mortgage")*Transactions!$C$2:$C$280)</f>
        <v>1550</v>
      </c>
      <c r="L20" s="12">
        <f>SUMPRODUCT((MONTH(Transactions!$A$2:$A$280)=11)*(Transactions!$D$2:$D$280="Rent/Mortgage")*Transactions!$C$2:$C$280)</f>
        <v>1550</v>
      </c>
      <c r="M20" s="12">
        <f>SUMPRODUCT((MONTH(Transactions!$A$2:$A$280)=12)*(Transactions!$D$2:$D$280="Rent/Mortgage")*Transactions!$C$2:$C$280)</f>
        <v>1550</v>
      </c>
    </row>
    <row r="21" spans="1:13" x14ac:dyDescent="0.25">
      <c r="A21" s="3" t="s">
        <v>21</v>
      </c>
      <c r="B21" s="12">
        <f>SUMPRODUCT((MONTH(Transactions!$A$2:$A$280)=1)*(Transactions!$D$2:$D$280="Groceries")*Transactions!$C$2:$C$280)</f>
        <v>94.09</v>
      </c>
      <c r="C21" s="12">
        <f>SUMPRODUCT((MONTH(Transactions!$A$2:$A$280)=2)*(Transactions!$D$2:$D$280="Groceries")*Transactions!$C$2:$C$280)</f>
        <v>119.88</v>
      </c>
      <c r="D21" s="12">
        <f>SUMPRODUCT((MONTH(Transactions!$A$2:$A$280)=3)*(Transactions!$D$2:$D$280="Groceries")*Transactions!$C$2:$C$280)</f>
        <v>356.78999999999996</v>
      </c>
      <c r="E21" s="12">
        <f>SUMPRODUCT((MONTH(Transactions!$A$2:$A$280)=4)*(Transactions!$D$2:$D$280="Groceries")*Transactions!$C$2:$C$280)</f>
        <v>96.65</v>
      </c>
      <c r="F21" s="12">
        <f>SUMPRODUCT((MONTH(Transactions!$A$2:$A$280)=5)*(Transactions!$D$2:$D$280="Groceries")*Transactions!$C$2:$C$280)</f>
        <v>110.24</v>
      </c>
      <c r="G21" s="12">
        <f>SUMPRODUCT((MONTH(Transactions!$A$2:$A$280)=6)*(Transactions!$D$2:$D$280="Groceries")*Transactions!$C$2:$C$280)</f>
        <v>377.28000000000003</v>
      </c>
      <c r="H21" s="12">
        <f>SUMPRODUCT((MONTH(Transactions!$A$2:$A$280)=7)*(Transactions!$D$2:$D$280="Groceries")*Transactions!$C$2:$C$280)</f>
        <v>340.97</v>
      </c>
      <c r="I21" s="12">
        <f>SUMPRODUCT((MONTH(Transactions!$A$2:$A$280)=8)*(Transactions!$D$2:$D$280="Groceries")*Transactions!$C$2:$C$280)</f>
        <v>122.06</v>
      </c>
      <c r="J21" s="12">
        <f>SUMPRODUCT((MONTH(Transactions!$A$2:$A$280)=9)*(Transactions!$D$2:$D$280="Groceries")*Transactions!$C$2:$C$280)</f>
        <v>361.88</v>
      </c>
      <c r="K21" s="12">
        <f>SUMPRODUCT((MONTH(Transactions!$A$2:$A$280)=10)*(Transactions!$D$2:$D$280="Groceries")*Transactions!$C$2:$C$280)</f>
        <v>94.08</v>
      </c>
      <c r="L21" s="12">
        <f>SUMPRODUCT((MONTH(Transactions!$A$2:$A$280)=11)*(Transactions!$D$2:$D$280="Groceries")*Transactions!$C$2:$C$280)</f>
        <v>225.55</v>
      </c>
      <c r="M21" s="12">
        <f>SUMPRODUCT((MONTH(Transactions!$A$2:$A$280)=12)*(Transactions!$D$2:$D$280="Groceries")*Transactions!$C$2:$C$280)</f>
        <v>206.13</v>
      </c>
    </row>
    <row r="22" spans="1:13" x14ac:dyDescent="0.25">
      <c r="A22" s="3" t="s">
        <v>15</v>
      </c>
      <c r="B22" s="12">
        <f>SUMPRODUCT((MONTH(Transactions!$A$2:$A$280)=1)*(Transactions!$D$2:$D$280="Car Payment")*Transactions!$C$2:$C$280)</f>
        <v>380</v>
      </c>
      <c r="C22" s="12">
        <f>SUMPRODUCT((MONTH(Transactions!$A$2:$A$280)=2)*(Transactions!$D$2:$D$280="Car Payment")*Transactions!$C$2:$C$280)</f>
        <v>380</v>
      </c>
      <c r="D22" s="12">
        <f>SUMPRODUCT((MONTH(Transactions!$A$2:$A$280)=3)*(Transactions!$D$2:$D$280="Car Payment")*Transactions!$C$2:$C$280)</f>
        <v>380</v>
      </c>
      <c r="E22" s="12">
        <f>SUMPRODUCT((MONTH(Transactions!$A$2:$A$280)=4)*(Transactions!$D$2:$D$280="Car Payment")*Transactions!$C$2:$C$280)</f>
        <v>380</v>
      </c>
      <c r="F22" s="12">
        <f>SUMPRODUCT((MONTH(Transactions!$A$2:$A$280)=5)*(Transactions!$D$2:$D$280="Car Payment")*Transactions!$C$2:$C$280)</f>
        <v>380</v>
      </c>
      <c r="G22" s="12">
        <f>SUMPRODUCT((MONTH(Transactions!$A$2:$A$280)=6)*(Transactions!$D$2:$D$280="Car Payment")*Transactions!$C$2:$C$280)</f>
        <v>380</v>
      </c>
      <c r="H22" s="12">
        <f>SUMPRODUCT((MONTH(Transactions!$A$2:$A$280)=7)*(Transactions!$D$2:$D$280="Car Payment")*Transactions!$C$2:$C$280)</f>
        <v>380</v>
      </c>
      <c r="I22" s="12">
        <f>SUMPRODUCT((MONTH(Transactions!$A$2:$A$280)=8)*(Transactions!$D$2:$D$280="Car Payment")*Transactions!$C$2:$C$280)</f>
        <v>380</v>
      </c>
      <c r="J22" s="12">
        <f>SUMPRODUCT((MONTH(Transactions!$A$2:$A$280)=9)*(Transactions!$D$2:$D$280="Car Payment")*Transactions!$C$2:$C$280)</f>
        <v>380</v>
      </c>
      <c r="K22" s="12">
        <f>SUMPRODUCT((MONTH(Transactions!$A$2:$A$280)=10)*(Transactions!$D$2:$D$280="Car Payment")*Transactions!$C$2:$C$280)</f>
        <v>380</v>
      </c>
      <c r="L22" s="12">
        <f>SUMPRODUCT((MONTH(Transactions!$A$2:$A$280)=11)*(Transactions!$D$2:$D$280="Car Payment")*Transactions!$C$2:$C$280)</f>
        <v>380</v>
      </c>
      <c r="M22" s="12">
        <f>SUMPRODUCT((MONTH(Transactions!$A$2:$A$280)=12)*(Transactions!$D$2:$D$280="Car Payment")*Transactions!$C$2:$C$280)</f>
        <v>380</v>
      </c>
    </row>
    <row r="23" spans="1:13" x14ac:dyDescent="0.25">
      <c r="A23" s="3" t="s">
        <v>35</v>
      </c>
      <c r="B23" s="12">
        <f>SUMPRODUCT((MONTH(Transactions!$A$2:$A$280)=1)*(Transactions!$D$2:$D$280="Emergency Fund")*Transactions!$C$2:$C$280)</f>
        <v>300</v>
      </c>
      <c r="C23" s="12">
        <f>SUMPRODUCT((MONTH(Transactions!$A$2:$A$280)=2)*(Transactions!$D$2:$D$280="Emergency Fund")*Transactions!$C$2:$C$280)</f>
        <v>300</v>
      </c>
      <c r="D23" s="12">
        <f>SUMPRODUCT((MONTH(Transactions!$A$2:$A$280)=3)*(Transactions!$D$2:$D$280="Emergency Fund")*Transactions!$C$2:$C$280)</f>
        <v>300</v>
      </c>
      <c r="E23" s="12">
        <f>SUMPRODUCT((MONTH(Transactions!$A$2:$A$280)=4)*(Transactions!$D$2:$D$280="Emergency Fund")*Transactions!$C$2:$C$280)</f>
        <v>300</v>
      </c>
      <c r="F23" s="12">
        <f>SUMPRODUCT((MONTH(Transactions!$A$2:$A$280)=5)*(Transactions!$D$2:$D$280="Emergency Fund")*Transactions!$C$2:$C$280)</f>
        <v>300</v>
      </c>
      <c r="G23" s="12">
        <f>SUMPRODUCT((MONTH(Transactions!$A$2:$A$280)=6)*(Transactions!$D$2:$D$280="Emergency Fund")*Transactions!$C$2:$C$280)</f>
        <v>300</v>
      </c>
      <c r="H23" s="12">
        <f>SUMPRODUCT((MONTH(Transactions!$A$2:$A$280)=7)*(Transactions!$D$2:$D$280="Emergency Fund")*Transactions!$C$2:$C$280)</f>
        <v>300</v>
      </c>
      <c r="I23" s="12">
        <f>SUMPRODUCT((MONTH(Transactions!$A$2:$A$280)=8)*(Transactions!$D$2:$D$280="Emergency Fund")*Transactions!$C$2:$C$280)</f>
        <v>300</v>
      </c>
      <c r="J23" s="12">
        <f>SUMPRODUCT((MONTH(Transactions!$A$2:$A$280)=9)*(Transactions!$D$2:$D$280="Emergency Fund")*Transactions!$C$2:$C$280)</f>
        <v>300</v>
      </c>
      <c r="K23" s="12">
        <f>SUMPRODUCT((MONTH(Transactions!$A$2:$A$280)=10)*(Transactions!$D$2:$D$280="Emergency Fund")*Transactions!$C$2:$C$280)</f>
        <v>300</v>
      </c>
      <c r="L23" s="12">
        <f>SUMPRODUCT((MONTH(Transactions!$A$2:$A$280)=11)*(Transactions!$D$2:$D$280="Emergency Fund")*Transactions!$C$2:$C$280)</f>
        <v>300</v>
      </c>
      <c r="M23" s="12">
        <f>SUMPRODUCT((MONTH(Transactions!$A$2:$A$280)=12)*(Transactions!$D$2:$D$280="Emergency Fund")*Transactions!$C$2:$C$280)</f>
        <v>300</v>
      </c>
    </row>
    <row r="24" spans="1:13" x14ac:dyDescent="0.25">
      <c r="A24" s="3" t="s">
        <v>39</v>
      </c>
      <c r="B24" s="12">
        <f>SUMPRODUCT((MONTH(Transactions!$A$2:$A$280)=1)*(Transactions!$D$2:$D$280="Student Loan")*Transactions!$C$2:$C$280)</f>
        <v>280</v>
      </c>
      <c r="C24" s="12">
        <f>SUMPRODUCT((MONTH(Transactions!$A$2:$A$280)=2)*(Transactions!$D$2:$D$280="Student Loan")*Transactions!$C$2:$C$280)</f>
        <v>280</v>
      </c>
      <c r="D24" s="12">
        <f>SUMPRODUCT((MONTH(Transactions!$A$2:$A$280)=3)*(Transactions!$D$2:$D$280="Student Loan")*Transactions!$C$2:$C$280)</f>
        <v>280</v>
      </c>
      <c r="E24" s="12">
        <f>SUMPRODUCT((MONTH(Transactions!$A$2:$A$280)=4)*(Transactions!$D$2:$D$280="Student Loan")*Transactions!$C$2:$C$280)</f>
        <v>280</v>
      </c>
      <c r="F24" s="12">
        <f>SUMPRODUCT((MONTH(Transactions!$A$2:$A$280)=5)*(Transactions!$D$2:$D$280="Student Loan")*Transactions!$C$2:$C$280)</f>
        <v>280</v>
      </c>
      <c r="G24" s="12">
        <f>SUMPRODUCT((MONTH(Transactions!$A$2:$A$280)=6)*(Transactions!$D$2:$D$280="Student Loan")*Transactions!$C$2:$C$280)</f>
        <v>280</v>
      </c>
      <c r="H24" s="12">
        <f>SUMPRODUCT((MONTH(Transactions!$A$2:$A$280)=7)*(Transactions!$D$2:$D$280="Student Loan")*Transactions!$C$2:$C$280)</f>
        <v>280</v>
      </c>
      <c r="I24" s="12">
        <f>SUMPRODUCT((MONTH(Transactions!$A$2:$A$280)=8)*(Transactions!$D$2:$D$280="Student Loan")*Transactions!$C$2:$C$280)</f>
        <v>280</v>
      </c>
      <c r="J24" s="12">
        <f>SUMPRODUCT((MONTH(Transactions!$A$2:$A$280)=9)*(Transactions!$D$2:$D$280="Student Loan")*Transactions!$C$2:$C$280)</f>
        <v>280</v>
      </c>
      <c r="K24" s="12">
        <f>SUMPRODUCT((MONTH(Transactions!$A$2:$A$280)=10)*(Transactions!$D$2:$D$280="Student Loan")*Transactions!$C$2:$C$280)</f>
        <v>280</v>
      </c>
      <c r="L24" s="12">
        <f>SUMPRODUCT((MONTH(Transactions!$A$2:$A$280)=11)*(Transactions!$D$2:$D$280="Student Loan")*Transactions!$C$2:$C$280)</f>
        <v>280</v>
      </c>
      <c r="M24" s="12">
        <f>SUMPRODUCT((MONTH(Transactions!$A$2:$A$280)=12)*(Transactions!$D$2:$D$280="Student Loan")*Transactions!$C$2:$C$280)</f>
        <v>280</v>
      </c>
    </row>
    <row r="25" spans="1:13" x14ac:dyDescent="0.25">
      <c r="A25" s="3" t="s">
        <v>31</v>
      </c>
      <c r="B25" s="12">
        <f>SUMPRODUCT((MONTH(Transactions!$A$2:$A$280)=1)*(Transactions!$D$2:$D$280="Health Insurance")*Transactions!$C$2:$C$280)</f>
        <v>210</v>
      </c>
      <c r="C25" s="12">
        <f>SUMPRODUCT((MONTH(Transactions!$A$2:$A$280)=2)*(Transactions!$D$2:$D$280="Health Insurance")*Transactions!$C$2:$C$280)</f>
        <v>210</v>
      </c>
      <c r="D25" s="12">
        <f>SUMPRODUCT((MONTH(Transactions!$A$2:$A$280)=3)*(Transactions!$D$2:$D$280="Health Insurance")*Transactions!$C$2:$C$280)</f>
        <v>210</v>
      </c>
      <c r="E25" s="12">
        <f>SUMPRODUCT((MONTH(Transactions!$A$2:$A$280)=4)*(Transactions!$D$2:$D$280="Health Insurance")*Transactions!$C$2:$C$280)</f>
        <v>210</v>
      </c>
      <c r="F25" s="12">
        <f>SUMPRODUCT((MONTH(Transactions!$A$2:$A$280)=5)*(Transactions!$D$2:$D$280="Health Insurance")*Transactions!$C$2:$C$280)</f>
        <v>210</v>
      </c>
      <c r="G25" s="12">
        <f>SUMPRODUCT((MONTH(Transactions!$A$2:$A$280)=6)*(Transactions!$D$2:$D$280="Health Insurance")*Transactions!$C$2:$C$280)</f>
        <v>210</v>
      </c>
      <c r="H25" s="12">
        <f>SUMPRODUCT((MONTH(Transactions!$A$2:$A$280)=7)*(Transactions!$D$2:$D$280="Health Insurance")*Transactions!$C$2:$C$280)</f>
        <v>210</v>
      </c>
      <c r="I25" s="12">
        <f>SUMPRODUCT((MONTH(Transactions!$A$2:$A$280)=8)*(Transactions!$D$2:$D$280="Health Insurance")*Transactions!$C$2:$C$280)</f>
        <v>210</v>
      </c>
      <c r="J25" s="12">
        <f>SUMPRODUCT((MONTH(Transactions!$A$2:$A$280)=9)*(Transactions!$D$2:$D$280="Health Insurance")*Transactions!$C$2:$C$280)</f>
        <v>210</v>
      </c>
      <c r="K25" s="12">
        <f>SUMPRODUCT((MONTH(Transactions!$A$2:$A$280)=10)*(Transactions!$D$2:$D$280="Health Insurance")*Transactions!$C$2:$C$280)</f>
        <v>210</v>
      </c>
      <c r="L25" s="12">
        <f>SUMPRODUCT((MONTH(Transactions!$A$2:$A$280)=11)*(Transactions!$D$2:$D$280="Health Insurance")*Transactions!$C$2:$C$280)</f>
        <v>210</v>
      </c>
      <c r="M25" s="12">
        <f>SUMPRODUCT((MONTH(Transactions!$A$2:$A$280)=12)*(Transactions!$D$2:$D$280="Health Insurance")*Transactions!$C$2:$C$280)</f>
        <v>210</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
  <sheetViews>
    <sheetView showGridLines="0" workbookViewId="0">
      <selection activeCell="A9" sqref="A9"/>
    </sheetView>
  </sheetViews>
  <sheetFormatPr defaultRowHeight="15" x14ac:dyDescent="0.25"/>
  <cols>
    <col min="1" max="1" width="71.5703125" bestFit="1" customWidth="1"/>
  </cols>
  <sheetData>
    <row r="1" spans="1:1" x14ac:dyDescent="0.25">
      <c r="A1" s="17" t="s">
        <v>159</v>
      </c>
    </row>
    <row r="2" spans="1:1" x14ac:dyDescent="0.25">
      <c r="A2" s="16"/>
    </row>
    <row r="3" spans="1:1" x14ac:dyDescent="0.25">
      <c r="A3" s="18" t="s">
        <v>151</v>
      </c>
    </row>
    <row r="4" spans="1:1" x14ac:dyDescent="0.25">
      <c r="A4" s="18" t="s">
        <v>152</v>
      </c>
    </row>
    <row r="5" spans="1:1" x14ac:dyDescent="0.25">
      <c r="A5" s="18" t="s">
        <v>153</v>
      </c>
    </row>
    <row r="6" spans="1:1" x14ac:dyDescent="0.25">
      <c r="A6" s="18" t="s">
        <v>154</v>
      </c>
    </row>
    <row r="7" spans="1:1" x14ac:dyDescent="0.25">
      <c r="A7" s="18" t="s">
        <v>155</v>
      </c>
    </row>
    <row r="8" spans="1:1" x14ac:dyDescent="0.25">
      <c r="A8" s="18" t="s">
        <v>156</v>
      </c>
    </row>
    <row r="9" spans="1:1" x14ac:dyDescent="0.25">
      <c r="A9" s="18" t="s">
        <v>157</v>
      </c>
    </row>
    <row r="10" spans="1:1" x14ac:dyDescent="0.25">
      <c r="A10" s="18"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Setup</vt:lpstr>
      <vt:lpstr>Transactions</vt:lpstr>
      <vt:lpstr>Monthly Plan</vt:lpstr>
      <vt:lpstr>Actuals vs Plan</vt:lpstr>
      <vt:lpstr>Trends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Reed</dc:creator>
  <cp:lastModifiedBy>Frenzel, Tim</cp:lastModifiedBy>
  <cp:revision>1</cp:revision>
  <dcterms:created xsi:type="dcterms:W3CDTF">2024-07-07T16:02:40Z</dcterms:created>
  <dcterms:modified xsi:type="dcterms:W3CDTF">2026-04-09T19:48:29Z</dcterms:modified>
</cp:coreProperties>
</file>