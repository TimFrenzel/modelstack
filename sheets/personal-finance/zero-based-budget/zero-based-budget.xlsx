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etup" sheetId="1" state="visible" r:id="rId1"/>
    <sheet xmlns:r="http://schemas.openxmlformats.org/officeDocument/2006/relationships" name="Transactions" sheetId="2" state="visible" r:id="rId2"/>
    <sheet xmlns:r="http://schemas.openxmlformats.org/officeDocument/2006/relationships" name="Monthly Plan" sheetId="3" state="visible" r:id="rId3"/>
    <sheet xmlns:r="http://schemas.openxmlformats.org/officeDocument/2006/relationships" name="Actuals vs Plan" sheetId="4" state="visible" r:id="rId4"/>
    <sheet xmlns:r="http://schemas.openxmlformats.org/officeDocument/2006/relationships" name="Trends" sheetId="5" state="visible" r:id="rId5"/>
    <sheet xmlns:r="http://schemas.openxmlformats.org/officeDocument/2006/relationships" name="Readme" sheetId="6" state="visible" r:id="rId6"/>
  </sheets>
  <definedNames/>
  <calcPr calcId="124519" fullCalcOnLoad="1"/>
</workbook>
</file>

<file path=xl/styles.xml><?xml version="1.0" encoding="utf-8"?>
<styleSheet xmlns="http://schemas.openxmlformats.org/spreadsheetml/2006/main">
  <numFmts count="4">
    <numFmt numFmtId="164" formatCode="&quot;$&quot;#,##0"/>
    <numFmt numFmtId="165" formatCode="yyyy-mm-dd"/>
    <numFmt numFmtId="166" formatCode="m/d/yyyy"/>
    <numFmt numFmtId="167" formatCode="&quot;$&quot;#,##0.00"/>
  </numFmts>
  <fonts count="14">
    <font>
      <name val="Calibri"/>
      <family val="2"/>
      <color theme="1"/>
      <sz val="11"/>
      <scheme val="minor"/>
    </font>
    <font>
      <name val="Calibri"/>
      <b val="1"/>
      <color rgb="003E3028"/>
      <sz val="14"/>
    </font>
    <font>
      <name val="Calibri"/>
      <b val="1"/>
      <color rgb="00F5F0E8"/>
      <sz val="11"/>
    </font>
    <font>
      <name val="Calibri"/>
      <color rgb="003E3028"/>
      <sz val="11"/>
    </font>
    <font>
      <name val="Calibri"/>
      <b val="1"/>
      <color rgb="003E3028"/>
      <sz val="11"/>
    </font>
    <font>
      <name val="Calibri"/>
      <b val="1"/>
      <color rgb="003E3028"/>
      <sz val="12"/>
    </font>
    <font>
      <name val="Calibri"/>
      <color rgb="00999999"/>
      <sz val="11"/>
    </font>
    <font>
      <name val="Arial"/>
      <b val="1"/>
      <color rgb="003E3028"/>
      <sz val="14"/>
    </font>
    <font>
      <name val="Arial"/>
      <family val="2"/>
      <color theme="1"/>
      <sz val="11"/>
      <scheme val="minor"/>
    </font>
    <font>
      <name val="Arial"/>
      <b val="1"/>
      <color rgb="00F5F0E8"/>
      <sz val="11"/>
    </font>
    <font>
      <name val="Arial"/>
      <color rgb="003E3028"/>
      <sz val="11"/>
    </font>
    <font>
      <name val="Arial"/>
      <b val="1"/>
      <color rgb="003E3028"/>
      <sz val="11"/>
    </font>
    <font>
      <name val="Arial"/>
      <b val="1"/>
      <color rgb="003E3028"/>
      <sz val="12"/>
    </font>
    <font>
      <name val="Arial"/>
      <color rgb="00000000"/>
      <sz val="11"/>
    </font>
  </fonts>
  <fills count="5">
    <fill>
      <patternFill/>
    </fill>
    <fill>
      <patternFill patternType="gray125"/>
    </fill>
    <fill>
      <patternFill patternType="solid">
        <fgColor rgb="008C7B6B"/>
      </patternFill>
    </fill>
    <fill>
      <patternFill patternType="solid">
        <fgColor rgb="00EDE6DA"/>
      </patternFill>
    </fill>
    <fill>
      <patternFill patternType="solid">
        <fgColor rgb="003E3028"/>
      </patternFill>
    </fill>
  </fills>
  <borders count="4">
    <border>
      <left/>
      <right/>
      <top/>
      <bottom/>
      <diagonal/>
    </border>
    <border>
      <bottom style="thin">
        <color rgb="00C4BAB0"/>
      </bottom>
    </border>
    <border>
      <top style="thin">
        <color rgb="008C7B6B"/>
      </top>
      <bottom style="double">
        <color rgb="008C7B6B"/>
      </bottom>
    </border>
    <border>
      <right style="hair">
        <color rgb="00C4BAB0"/>
      </right>
      <bottom style="hair">
        <color rgb="00C4BAB0"/>
      </bottom>
    </border>
  </borders>
  <cellStyleXfs count="1">
    <xf numFmtId="0" fontId="0" fillId="0" borderId="0"/>
  </cellStyleXfs>
  <cellXfs count="18">
    <xf numFmtId="0" fontId="0" fillId="0" borderId="0" pivotButton="0" quotePrefix="0" xfId="0"/>
    <xf numFmtId="0" fontId="7" fillId="0" borderId="0" applyAlignment="1" pivotButton="0" quotePrefix="0" xfId="0">
      <alignment vertical="center"/>
    </xf>
    <xf numFmtId="0" fontId="8" fillId="0" borderId="0" applyAlignment="1" pivotButton="0" quotePrefix="0" xfId="0">
      <alignment vertical="center"/>
    </xf>
    <xf numFmtId="0" fontId="9" fillId="2" borderId="1" applyAlignment="1" pivotButton="0" quotePrefix="0" xfId="0">
      <alignment vertical="center"/>
    </xf>
    <xf numFmtId="0" fontId="10" fillId="0" borderId="0" applyAlignment="1" pivotButton="0" quotePrefix="0" xfId="0">
      <alignment vertical="center"/>
    </xf>
    <xf numFmtId="164" fontId="10" fillId="3" borderId="0" applyAlignment="1" pivotButton="0" quotePrefix="0" xfId="0">
      <alignment vertical="center"/>
    </xf>
    <xf numFmtId="0" fontId="11" fillId="0" borderId="0" applyAlignment="1" pivotButton="0" quotePrefix="0" xfId="0">
      <alignment vertical="center"/>
    </xf>
    <xf numFmtId="164" fontId="11" fillId="0" borderId="2" applyAlignment="1" pivotButton="0" quotePrefix="0" xfId="0">
      <alignment vertical="center"/>
    </xf>
    <xf numFmtId="164" fontId="11" fillId="0" borderId="0" applyAlignment="1" pivotButton="0" quotePrefix="0" xfId="0">
      <alignment vertical="center"/>
    </xf>
    <xf numFmtId="166" fontId="10" fillId="0" borderId="0" applyAlignment="1" pivotButton="0" quotePrefix="0" xfId="0">
      <alignment vertical="center"/>
    </xf>
    <xf numFmtId="167" fontId="10" fillId="0" borderId="0" applyAlignment="1" pivotButton="0" quotePrefix="0" xfId="0">
      <alignment vertical="center"/>
    </xf>
    <xf numFmtId="0" fontId="9" fillId="2" borderId="1" applyAlignment="1" pivotButton="0" quotePrefix="0" xfId="0">
      <alignment horizontal="center" vertical="center"/>
    </xf>
    <xf numFmtId="164" fontId="10" fillId="3" borderId="3" applyAlignment="1" pivotButton="0" quotePrefix="0" xfId="0">
      <alignment vertical="center"/>
    </xf>
    <xf numFmtId="164" fontId="10" fillId="0" borderId="0" applyAlignment="1" pivotButton="0" quotePrefix="0" xfId="0">
      <alignment vertical="center"/>
    </xf>
    <xf numFmtId="0" fontId="9" fillId="4" borderId="1" applyAlignment="1" pivotButton="0" quotePrefix="0" xfId="0">
      <alignment horizontal="center" vertical="center"/>
    </xf>
    <xf numFmtId="164" fontId="10" fillId="0" borderId="3" applyAlignment="1" pivotButton="0" quotePrefix="0" xfId="0">
      <alignment vertical="center"/>
    </xf>
    <xf numFmtId="0" fontId="12" fillId="0" borderId="0" applyAlignment="1" pivotButton="0" quotePrefix="0" xfId="0">
      <alignment vertical="center"/>
    </xf>
    <xf numFmtId="0" fontId="13" fillId="0" borderId="0" applyAlignment="1" pivotButton="0" quotePrefix="0" xfId="0">
      <alignment vertical="center"/>
    </xf>
  </cellXfs>
  <cellStyles count="1">
    <cellStyle name="Normal" xfId="0" builtinId="0" hidden="0"/>
  </cellStyles>
  <dxfs count="4">
    <dxf>
      <fill>
        <patternFill patternType="solid">
          <fgColor rgb="00C9625E"/>
        </patternFill>
      </fill>
    </dxf>
    <dxf>
      <fill>
        <patternFill patternType="solid">
          <fgColor rgb="00A3B18A"/>
        </patternFill>
      </fill>
    </dxf>
    <dxf>
      <fill>
        <patternFill patternType="solid">
          <fgColor rgb="00E8C88A"/>
        </patternFill>
      </fill>
    </dxf>
    <dxf>
      <fill>
        <patternFill patternType="solid">
          <fgColor rgb="00C8D8B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Income vs Spending</a:t>
            </a:r>
          </a:p>
        </rich>
      </tx>
    </title>
    <plotArea>
      <lineChart>
        <grouping val="standard"/>
        <ser>
          <idx val="0"/>
          <order val="0"/>
          <tx>
            <strRef>
              <f>'Trends'!C3</f>
            </strRef>
          </tx>
          <spPr>
            <a:ln xmlns:a="http://schemas.openxmlformats.org/drawingml/2006/main">
              <a:prstDash val="solid"/>
            </a:ln>
          </spPr>
          <marker>
            <symbol val="none"/>
            <spPr>
              <a:ln xmlns:a="http://schemas.openxmlformats.org/drawingml/2006/main">
                <a:prstDash val="solid"/>
              </a:ln>
            </spPr>
          </marker>
          <cat>
            <numRef>
              <f>'Trends'!$B$4:$B$15</f>
            </numRef>
          </cat>
          <val>
            <numRef>
              <f>'Trends'!$C$4:$C$15</f>
            </numRef>
          </val>
        </ser>
        <ser>
          <idx val="1"/>
          <order val="1"/>
          <tx>
            <strRef>
              <f>'Trends'!D3</f>
            </strRef>
          </tx>
          <spPr>
            <a:ln xmlns:a="http://schemas.openxmlformats.org/drawingml/2006/main">
              <a:prstDash val="solid"/>
            </a:ln>
          </spPr>
          <marker>
            <symbol val="none"/>
            <spPr>
              <a:ln xmlns:a="http://schemas.openxmlformats.org/drawingml/2006/main">
                <a:prstDash val="solid"/>
              </a:ln>
            </spPr>
          </marker>
          <cat>
            <numRef>
              <f>'Trends'!$B$4:$B$15</f>
            </numRef>
          </cat>
          <val>
            <numRef>
              <f>'Trends'!$D$4:$D$15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Dollars</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Top 6 Categories Monthly</a:t>
            </a:r>
          </a:p>
        </rich>
      </tx>
    </title>
    <plotArea>
      <barChart>
        <barDir val="col"/>
        <grouping val="stacked"/>
        <ser>
          <idx val="0"/>
          <order val="0"/>
          <tx>
            <strRef>
              <f>'Trends'!C35</f>
            </strRef>
          </tx>
          <spPr>
            <a:ln xmlns:a="http://schemas.openxmlformats.org/drawingml/2006/main">
              <a:prstDash val="solid"/>
            </a:ln>
          </spPr>
          <cat>
            <numRef>
              <f>'Trends'!$B$36:$B$41</f>
            </numRef>
          </cat>
          <val>
            <numRef>
              <f>'Trends'!$C$36:$C$41</f>
            </numRef>
          </val>
        </ser>
        <ser>
          <idx val="1"/>
          <order val="1"/>
          <tx>
            <strRef>
              <f>'Trends'!D35</f>
            </strRef>
          </tx>
          <spPr>
            <a:ln xmlns:a="http://schemas.openxmlformats.org/drawingml/2006/main">
              <a:prstDash val="solid"/>
            </a:ln>
          </spPr>
          <cat>
            <numRef>
              <f>'Trends'!$B$36:$B$41</f>
            </numRef>
          </cat>
          <val>
            <numRef>
              <f>'Trends'!$D$36:$D$41</f>
            </numRef>
          </val>
        </ser>
        <ser>
          <idx val="2"/>
          <order val="2"/>
          <tx>
            <strRef>
              <f>'Trends'!E35</f>
            </strRef>
          </tx>
          <spPr>
            <a:ln xmlns:a="http://schemas.openxmlformats.org/drawingml/2006/main">
              <a:prstDash val="solid"/>
            </a:ln>
          </spPr>
          <cat>
            <numRef>
              <f>'Trends'!$B$36:$B$41</f>
            </numRef>
          </cat>
          <val>
            <numRef>
              <f>'Trends'!$E$36:$E$41</f>
            </numRef>
          </val>
        </ser>
        <ser>
          <idx val="3"/>
          <order val="3"/>
          <tx>
            <strRef>
              <f>'Trends'!F35</f>
            </strRef>
          </tx>
          <spPr>
            <a:ln xmlns:a="http://schemas.openxmlformats.org/drawingml/2006/main">
              <a:prstDash val="solid"/>
            </a:ln>
          </spPr>
          <cat>
            <numRef>
              <f>'Trends'!$B$36:$B$41</f>
            </numRef>
          </cat>
          <val>
            <numRef>
              <f>'Trends'!$F$36:$F$41</f>
            </numRef>
          </val>
        </ser>
        <ser>
          <idx val="4"/>
          <order val="4"/>
          <tx>
            <strRef>
              <f>'Trends'!G35</f>
            </strRef>
          </tx>
          <spPr>
            <a:ln xmlns:a="http://schemas.openxmlformats.org/drawingml/2006/main">
              <a:prstDash val="solid"/>
            </a:ln>
          </spPr>
          <cat>
            <numRef>
              <f>'Trends'!$B$36:$B$41</f>
            </numRef>
          </cat>
          <val>
            <numRef>
              <f>'Trends'!$G$36:$G$41</f>
            </numRef>
          </val>
        </ser>
        <ser>
          <idx val="5"/>
          <order val="5"/>
          <tx>
            <strRef>
              <f>'Trends'!H35</f>
            </strRef>
          </tx>
          <spPr>
            <a:ln xmlns:a="http://schemas.openxmlformats.org/drawingml/2006/main">
              <a:prstDash val="solid"/>
            </a:ln>
          </spPr>
          <cat>
            <numRef>
              <f>'Trends'!$B$36:$B$41</f>
            </numRef>
          </cat>
          <val>
            <numRef>
              <f>'Trends'!$H$36:$H$41</f>
            </numRef>
          </val>
        </ser>
        <ser>
          <idx val="6"/>
          <order val="6"/>
          <tx>
            <strRef>
              <f>'Trends'!I35</f>
            </strRef>
          </tx>
          <spPr>
            <a:ln xmlns:a="http://schemas.openxmlformats.org/drawingml/2006/main">
              <a:prstDash val="solid"/>
            </a:ln>
          </spPr>
          <cat>
            <numRef>
              <f>'Trends'!$B$36:$B$41</f>
            </numRef>
          </cat>
          <val>
            <numRef>
              <f>'Trends'!$I$36:$I$41</f>
            </numRef>
          </val>
        </ser>
        <ser>
          <idx val="7"/>
          <order val="7"/>
          <tx>
            <strRef>
              <f>'Trends'!J35</f>
            </strRef>
          </tx>
          <spPr>
            <a:ln xmlns:a="http://schemas.openxmlformats.org/drawingml/2006/main">
              <a:prstDash val="solid"/>
            </a:ln>
          </spPr>
          <cat>
            <numRef>
              <f>'Trends'!$B$36:$B$41</f>
            </numRef>
          </cat>
          <val>
            <numRef>
              <f>'Trends'!$J$36:$J$41</f>
            </numRef>
          </val>
        </ser>
        <ser>
          <idx val="8"/>
          <order val="8"/>
          <tx>
            <strRef>
              <f>'Trends'!K35</f>
            </strRef>
          </tx>
          <spPr>
            <a:ln xmlns:a="http://schemas.openxmlformats.org/drawingml/2006/main">
              <a:prstDash val="solid"/>
            </a:ln>
          </spPr>
          <cat>
            <numRef>
              <f>'Trends'!$B$36:$B$41</f>
            </numRef>
          </cat>
          <val>
            <numRef>
              <f>'Trends'!$K$36:$K$41</f>
            </numRef>
          </val>
        </ser>
        <ser>
          <idx val="9"/>
          <order val="9"/>
          <tx>
            <strRef>
              <f>'Trends'!L35</f>
            </strRef>
          </tx>
          <spPr>
            <a:ln xmlns:a="http://schemas.openxmlformats.org/drawingml/2006/main">
              <a:prstDash val="solid"/>
            </a:ln>
          </spPr>
          <cat>
            <numRef>
              <f>'Trends'!$B$36:$B$41</f>
            </numRef>
          </cat>
          <val>
            <numRef>
              <f>'Trends'!$L$36:$L$41</f>
            </numRef>
          </val>
        </ser>
        <ser>
          <idx val="10"/>
          <order val="10"/>
          <tx>
            <strRef>
              <f>'Trends'!M35</f>
            </strRef>
          </tx>
          <spPr>
            <a:ln xmlns:a="http://schemas.openxmlformats.org/drawingml/2006/main">
              <a:prstDash val="solid"/>
            </a:ln>
          </spPr>
          <cat>
            <numRef>
              <f>'Trends'!$B$36:$B$41</f>
            </numRef>
          </cat>
          <val>
            <numRef>
              <f>'Trends'!$M$36:$M$41</f>
            </numRef>
          </val>
        </ser>
        <ser>
          <idx val="11"/>
          <order val="11"/>
          <tx>
            <strRef>
              <f>'Trends'!N35</f>
            </strRef>
          </tx>
          <spPr>
            <a:ln xmlns:a="http://schemas.openxmlformats.org/drawingml/2006/main">
              <a:prstDash val="solid"/>
            </a:ln>
          </spPr>
          <cat>
            <numRef>
              <f>'Trends'!$B$36:$B$41</f>
            </numRef>
          </cat>
          <val>
            <numRef>
              <f>'Trends'!$N$36:$N$41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Dollars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1</col>
      <colOff>0</colOff>
      <row>17</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42</row>
      <rowOff>0</rowOff>
    </from>
    <ext cx="648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3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0" customWidth="1" min="1" max="1"/>
    <col width="18" customWidth="1" min="2" max="2"/>
    <col width="16" customWidth="1" min="3" max="3"/>
  </cols>
  <sheetData>
    <row r="1"/>
    <row r="2">
      <c r="B2" s="1" t="inlineStr">
        <is>
          <t>Zero-Based Budget Setup</t>
        </is>
      </c>
      <c r="C2" s="2" t="n"/>
      <c r="D2" s="2" t="n"/>
    </row>
    <row r="3">
      <c r="B3" s="3" t="inlineStr">
        <is>
          <t>Label</t>
        </is>
      </c>
      <c r="C3" s="3" t="inlineStr">
        <is>
          <t>Value</t>
        </is>
      </c>
      <c r="D3" s="2" t="n"/>
    </row>
    <row r="4">
      <c r="B4" s="4" t="inlineStr">
        <is>
          <t>Primary Salary (monthly net)</t>
        </is>
      </c>
      <c r="C4" s="5" t="n">
        <v>5200</v>
      </c>
      <c r="D4" s="2" t="n"/>
    </row>
    <row r="5">
      <c r="B5" s="4" t="inlineStr">
        <is>
          <t>Side Income</t>
        </is>
      </c>
      <c r="C5" s="5" t="n">
        <v>600</v>
      </c>
      <c r="D5" s="2" t="n"/>
    </row>
    <row r="6">
      <c r="B6" s="4" t="inlineStr">
        <is>
          <t>Other Income</t>
        </is>
      </c>
      <c r="C6" s="5" t="n">
        <v>150</v>
      </c>
      <c r="D6" s="2" t="n"/>
    </row>
    <row r="7">
      <c r="B7" s="6" t="inlineStr">
        <is>
          <t>Total Monthly Income</t>
        </is>
      </c>
      <c r="C7" s="7">
        <f>SUM(C4:C6)</f>
        <v/>
      </c>
      <c r="D7" s="2" t="n"/>
    </row>
    <row r="8">
      <c r="B8" s="2" t="n"/>
      <c r="C8" s="2" t="n"/>
      <c r="D8" s="2" t="n"/>
    </row>
    <row r="9">
      <c r="B9" s="3" t="inlineStr">
        <is>
          <t>Budget Categories</t>
        </is>
      </c>
      <c r="C9" s="2" t="n"/>
      <c r="D9" s="2" t="n"/>
    </row>
    <row r="10">
      <c r="B10" s="3" t="inlineStr">
        <is>
          <t>Category</t>
        </is>
      </c>
      <c r="C10" s="3" t="inlineStr">
        <is>
          <t>Group</t>
        </is>
      </c>
      <c r="D10" s="3" t="inlineStr">
        <is>
          <t>Default Plan</t>
        </is>
      </c>
    </row>
    <row r="11">
      <c r="B11" s="4" t="inlineStr">
        <is>
          <t>Rent/Mortgage</t>
        </is>
      </c>
      <c r="C11" s="4" t="inlineStr">
        <is>
          <t>Housing</t>
        </is>
      </c>
      <c r="D11" s="5" t="n">
        <v>1550</v>
      </c>
    </row>
    <row r="12">
      <c r="B12" s="4" t="inlineStr">
        <is>
          <t>Renters Insurance</t>
        </is>
      </c>
      <c r="C12" s="4" t="inlineStr">
        <is>
          <t>Housing</t>
        </is>
      </c>
      <c r="D12" s="5" t="n">
        <v>25</v>
      </c>
    </row>
    <row r="13">
      <c r="B13" s="4" t="inlineStr">
        <is>
          <t>Utilities</t>
        </is>
      </c>
      <c r="C13" s="4" t="inlineStr">
        <is>
          <t>Housing</t>
        </is>
      </c>
      <c r="D13" s="5" t="n">
        <v>160</v>
      </c>
    </row>
    <row r="14">
      <c r="B14" s="4" t="inlineStr">
        <is>
          <t>Internet</t>
        </is>
      </c>
      <c r="C14" s="4" t="inlineStr">
        <is>
          <t>Housing</t>
        </is>
      </c>
      <c r="D14" s="5" t="n">
        <v>65</v>
      </c>
    </row>
    <row r="15">
      <c r="B15" s="4" t="inlineStr">
        <is>
          <t>Car Payment</t>
        </is>
      </c>
      <c r="C15" s="4" t="inlineStr">
        <is>
          <t>Transport</t>
        </is>
      </c>
      <c r="D15" s="5" t="n">
        <v>380</v>
      </c>
    </row>
    <row r="16">
      <c r="B16" s="4" t="inlineStr">
        <is>
          <t>Gas</t>
        </is>
      </c>
      <c r="C16" s="4" t="inlineStr">
        <is>
          <t>Transport</t>
        </is>
      </c>
      <c r="D16" s="5" t="n">
        <v>140</v>
      </c>
    </row>
    <row r="17">
      <c r="B17" s="4" t="inlineStr">
        <is>
          <t>Auto Insurance</t>
        </is>
      </c>
      <c r="C17" s="4" t="inlineStr">
        <is>
          <t>Transport</t>
        </is>
      </c>
      <c r="D17" s="5" t="n">
        <v>110</v>
      </c>
    </row>
    <row r="18">
      <c r="B18" s="4" t="inlineStr">
        <is>
          <t>Maintenance</t>
        </is>
      </c>
      <c r="C18" s="4" t="inlineStr">
        <is>
          <t>Transport</t>
        </is>
      </c>
      <c r="D18" s="5" t="n">
        <v>50</v>
      </c>
    </row>
    <row r="19">
      <c r="B19" s="4" t="inlineStr">
        <is>
          <t>Parking</t>
        </is>
      </c>
      <c r="C19" s="4" t="inlineStr">
        <is>
          <t>Transport</t>
        </is>
      </c>
      <c r="D19" s="5" t="n">
        <v>30</v>
      </c>
    </row>
    <row r="20">
      <c r="B20" s="4" t="inlineStr">
        <is>
          <t>Groceries</t>
        </is>
      </c>
      <c r="C20" s="4" t="inlineStr">
        <is>
          <t>Food</t>
        </is>
      </c>
      <c r="D20" s="5" t="n">
        <v>420</v>
      </c>
    </row>
    <row r="21">
      <c r="B21" s="4" t="inlineStr">
        <is>
          <t>Dining Out</t>
        </is>
      </c>
      <c r="C21" s="4" t="inlineStr">
        <is>
          <t>Food</t>
        </is>
      </c>
      <c r="D21" s="5" t="n">
        <v>180</v>
      </c>
    </row>
    <row r="22">
      <c r="B22" s="4" t="inlineStr">
        <is>
          <t>Coffee</t>
        </is>
      </c>
      <c r="C22" s="4" t="inlineStr">
        <is>
          <t>Food</t>
        </is>
      </c>
      <c r="D22" s="5" t="n">
        <v>45</v>
      </c>
    </row>
    <row r="23">
      <c r="B23" s="4" t="inlineStr">
        <is>
          <t>Clothing</t>
        </is>
      </c>
      <c r="C23" s="4" t="inlineStr">
        <is>
          <t>Personal</t>
        </is>
      </c>
      <c r="D23" s="5" t="n">
        <v>75</v>
      </c>
    </row>
    <row r="24">
      <c r="B24" s="4" t="inlineStr">
        <is>
          <t>Haircuts</t>
        </is>
      </c>
      <c r="C24" s="4" t="inlineStr">
        <is>
          <t>Personal</t>
        </is>
      </c>
      <c r="D24" s="5" t="n">
        <v>30</v>
      </c>
    </row>
    <row r="25">
      <c r="B25" s="4" t="inlineStr">
        <is>
          <t>Subscriptions</t>
        </is>
      </c>
      <c r="C25" s="4" t="inlineStr">
        <is>
          <t>Personal</t>
        </is>
      </c>
      <c r="D25" s="5" t="n">
        <v>55</v>
      </c>
    </row>
    <row r="26">
      <c r="B26" s="4" t="inlineStr">
        <is>
          <t>Entertainment</t>
        </is>
      </c>
      <c r="C26" s="4" t="inlineStr">
        <is>
          <t>Personal</t>
        </is>
      </c>
      <c r="D26" s="5" t="n">
        <v>80</v>
      </c>
    </row>
    <row r="27">
      <c r="B27" s="4" t="inlineStr">
        <is>
          <t>Gifts</t>
        </is>
      </c>
      <c r="C27" s="4" t="inlineStr">
        <is>
          <t>Personal</t>
        </is>
      </c>
      <c r="D27" s="5" t="n">
        <v>40</v>
      </c>
    </row>
    <row r="28">
      <c r="B28" s="4" t="inlineStr">
        <is>
          <t>Health Insurance</t>
        </is>
      </c>
      <c r="C28" s="4" t="inlineStr">
        <is>
          <t>Health</t>
        </is>
      </c>
      <c r="D28" s="5" t="n">
        <v>210</v>
      </c>
    </row>
    <row r="29">
      <c r="B29" s="4" t="inlineStr">
        <is>
          <t>Gym</t>
        </is>
      </c>
      <c r="C29" s="4" t="inlineStr">
        <is>
          <t>Health</t>
        </is>
      </c>
      <c r="D29" s="5" t="n">
        <v>45</v>
      </c>
    </row>
    <row r="30">
      <c r="B30" s="4" t="inlineStr">
        <is>
          <t>Prescriptions</t>
        </is>
      </c>
      <c r="C30" s="4" t="inlineStr">
        <is>
          <t>Health</t>
        </is>
      </c>
      <c r="D30" s="5" t="n">
        <v>20</v>
      </c>
    </row>
    <row r="31">
      <c r="B31" s="4" t="inlineStr">
        <is>
          <t>Emergency Fund</t>
        </is>
      </c>
      <c r="C31" s="4" t="inlineStr">
        <is>
          <t>Savings</t>
        </is>
      </c>
      <c r="D31" s="5" t="n">
        <v>300</v>
      </c>
    </row>
    <row r="32">
      <c r="B32" s="4" t="inlineStr">
        <is>
          <t>Retirement Extra</t>
        </is>
      </c>
      <c r="C32" s="4" t="inlineStr">
        <is>
          <t>Savings</t>
        </is>
      </c>
      <c r="D32" s="5" t="n">
        <v>200</v>
      </c>
    </row>
    <row r="33">
      <c r="B33" s="4" t="inlineStr">
        <is>
          <t>Vacation Fund</t>
        </is>
      </c>
      <c r="C33" s="4" t="inlineStr">
        <is>
          <t>Savings</t>
        </is>
      </c>
      <c r="D33" s="5" t="n">
        <v>100</v>
      </c>
    </row>
    <row r="34">
      <c r="B34" s="4" t="inlineStr">
        <is>
          <t>Student Loan</t>
        </is>
      </c>
      <c r="C34" s="4" t="inlineStr">
        <is>
          <t>Debt</t>
        </is>
      </c>
      <c r="D34" s="5" t="n">
        <v>280</v>
      </c>
    </row>
    <row r="35">
      <c r="B35" s="4" t="inlineStr">
        <is>
          <t>Credit Card Extra</t>
        </is>
      </c>
      <c r="C35" s="4" t="inlineStr">
        <is>
          <t>Debt</t>
        </is>
      </c>
      <c r="D35" s="5" t="n">
        <v>160</v>
      </c>
    </row>
    <row r="36">
      <c r="B36" s="2" t="n"/>
      <c r="C36" s="2" t="n"/>
      <c r="D36" s="2" t="n"/>
    </row>
    <row r="37">
      <c r="B37" s="6" t="inlineStr">
        <is>
          <t>Total Planned</t>
        </is>
      </c>
      <c r="C37" s="2" t="n"/>
      <c r="D37" s="8">
        <f>SUM(D11:D35)</f>
        <v/>
      </c>
    </row>
    <row r="38">
      <c r="B38" s="6" t="inlineStr">
        <is>
          <t>Remainder (should be $0)</t>
        </is>
      </c>
      <c r="C38" s="2" t="n"/>
      <c r="D38" s="8">
        <f>C7-D37</f>
        <v/>
      </c>
    </row>
  </sheetData>
  <conditionalFormatting sqref="D38">
    <cfRule type="cellIs" priority="1" operator="notEqual" dxfId="0">
      <formula>0</formula>
    </cfRule>
    <cfRule type="cellIs" priority="2" operator="equal" dxfId="1">
      <formula>0</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82"/>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row r="2">
      <c r="B2" s="1" t="inlineStr">
        <is>
          <t>Transaction Log</t>
        </is>
      </c>
      <c r="C2" s="2" t="n"/>
      <c r="D2" s="2" t="n"/>
      <c r="E2" s="2" t="n"/>
      <c r="F2" s="2" t="n"/>
      <c r="G2" s="2" t="n"/>
    </row>
    <row r="3">
      <c r="B3" s="3" t="inlineStr">
        <is>
          <t>Date</t>
        </is>
      </c>
      <c r="C3" s="3" t="inlineStr">
        <is>
          <t>Payee</t>
        </is>
      </c>
      <c r="D3" s="3" t="inlineStr">
        <is>
          <t>Amount</t>
        </is>
      </c>
      <c r="E3" s="3" t="inlineStr">
        <is>
          <t>Category</t>
        </is>
      </c>
      <c r="F3" s="3" t="inlineStr">
        <is>
          <t>Payment Method</t>
        </is>
      </c>
      <c r="G3" s="3" t="inlineStr">
        <is>
          <t>Notes</t>
        </is>
      </c>
    </row>
    <row r="4">
      <c r="B4" s="9" t="n">
        <v>45658</v>
      </c>
      <c r="C4" s="4" t="inlineStr">
        <is>
          <t>Landlord LLC</t>
        </is>
      </c>
      <c r="D4" s="10" t="n">
        <v>1550</v>
      </c>
      <c r="E4" s="4" t="inlineStr">
        <is>
          <t>Rent/Mortgage</t>
        </is>
      </c>
      <c r="F4" s="4" t="inlineStr">
        <is>
          <t>Debit</t>
        </is>
      </c>
      <c r="G4" s="2" t="n"/>
    </row>
    <row r="5">
      <c r="B5" s="9" t="n">
        <v>45658</v>
      </c>
      <c r="C5" s="4" t="inlineStr">
        <is>
          <t>Lemonade</t>
        </is>
      </c>
      <c r="D5" s="10" t="n">
        <v>25</v>
      </c>
      <c r="E5" s="4" t="inlineStr">
        <is>
          <t>Renters Insurance</t>
        </is>
      </c>
      <c r="F5" s="4" t="inlineStr">
        <is>
          <t>Debit</t>
        </is>
      </c>
      <c r="G5" s="2" t="n"/>
    </row>
    <row r="6">
      <c r="B6" s="9" t="n">
        <v>45662</v>
      </c>
      <c r="C6" s="4" t="inlineStr">
        <is>
          <t>Xfinity</t>
        </is>
      </c>
      <c r="D6" s="10" t="n">
        <v>65</v>
      </c>
      <c r="E6" s="4" t="inlineStr">
        <is>
          <t>Internet</t>
        </is>
      </c>
      <c r="F6" s="4" t="inlineStr">
        <is>
          <t>Debit</t>
        </is>
      </c>
      <c r="G6" s="2" t="n"/>
    </row>
    <row r="7">
      <c r="B7" s="9" t="n">
        <v>45672</v>
      </c>
      <c r="C7" s="4" t="inlineStr">
        <is>
          <t>Honda Finance</t>
        </is>
      </c>
      <c r="D7" s="10" t="n">
        <v>380</v>
      </c>
      <c r="E7" s="4" t="inlineStr">
        <is>
          <t>Car Payment</t>
        </is>
      </c>
      <c r="F7" s="4" t="inlineStr">
        <is>
          <t>Debit</t>
        </is>
      </c>
      <c r="G7" s="2" t="n"/>
    </row>
    <row r="8">
      <c r="B8" s="9" t="n">
        <v>45658</v>
      </c>
      <c r="C8" s="4" t="inlineStr">
        <is>
          <t>Geico</t>
        </is>
      </c>
      <c r="D8" s="10" t="n">
        <v>110</v>
      </c>
      <c r="E8" s="4" t="inlineStr">
        <is>
          <t>Auto Insurance</t>
        </is>
      </c>
      <c r="F8" s="4" t="inlineStr">
        <is>
          <t>Debit</t>
        </is>
      </c>
      <c r="G8" s="2" t="n"/>
    </row>
    <row r="9">
      <c r="B9" s="9" t="n">
        <v>45658</v>
      </c>
      <c r="C9" s="4" t="inlineStr">
        <is>
          <t>Blue Cross</t>
        </is>
      </c>
      <c r="D9" s="10" t="n">
        <v>210</v>
      </c>
      <c r="E9" s="4" t="inlineStr">
        <is>
          <t>Health Insurance</t>
        </is>
      </c>
      <c r="F9" s="4" t="inlineStr">
        <is>
          <t>Debit</t>
        </is>
      </c>
      <c r="G9" s="2" t="n"/>
    </row>
    <row r="10">
      <c r="B10" s="9" t="n">
        <v>45658</v>
      </c>
      <c r="C10" s="4" t="inlineStr">
        <is>
          <t>Planet Fitness</t>
        </is>
      </c>
      <c r="D10" s="10" t="n">
        <v>45</v>
      </c>
      <c r="E10" s="4" t="inlineStr">
        <is>
          <t>Gym</t>
        </is>
      </c>
      <c r="F10" s="4" t="inlineStr">
        <is>
          <t>Debit</t>
        </is>
      </c>
      <c r="G10" s="2" t="n"/>
    </row>
    <row r="11">
      <c r="B11" s="9" t="n">
        <v>45685</v>
      </c>
      <c r="C11" s="4" t="inlineStr">
        <is>
          <t>Navient</t>
        </is>
      </c>
      <c r="D11" s="10" t="n">
        <v>280</v>
      </c>
      <c r="E11" s="4" t="inlineStr">
        <is>
          <t>Student Loan</t>
        </is>
      </c>
      <c r="F11" s="4" t="inlineStr">
        <is>
          <t>Debit</t>
        </is>
      </c>
      <c r="G11" s="2" t="n"/>
    </row>
    <row r="12">
      <c r="B12" s="9" t="n">
        <v>45677</v>
      </c>
      <c r="C12" s="4" t="inlineStr">
        <is>
          <t>Chase Visa Extra</t>
        </is>
      </c>
      <c r="D12" s="10" t="n">
        <v>160</v>
      </c>
      <c r="E12" s="4" t="inlineStr">
        <is>
          <t>Credit Card Extra</t>
        </is>
      </c>
      <c r="F12" s="4" t="inlineStr">
        <is>
          <t>Transfer</t>
        </is>
      </c>
      <c r="G12" s="2" t="n"/>
    </row>
    <row r="13">
      <c r="B13" s="9" t="n">
        <v>45672</v>
      </c>
      <c r="C13" s="4" t="inlineStr">
        <is>
          <t>Transfer to Savings</t>
        </is>
      </c>
      <c r="D13" s="10" t="n">
        <v>300</v>
      </c>
      <c r="E13" s="4" t="inlineStr">
        <is>
          <t>Emergency Fund</t>
        </is>
      </c>
      <c r="F13" s="4" t="inlineStr">
        <is>
          <t>Transfer</t>
        </is>
      </c>
      <c r="G13" s="2" t="n"/>
    </row>
    <row r="14">
      <c r="B14" s="9" t="n">
        <v>45672</v>
      </c>
      <c r="C14" s="4" t="inlineStr">
        <is>
          <t>Vanguard Transfer</t>
        </is>
      </c>
      <c r="D14" s="10" t="n">
        <v>200</v>
      </c>
      <c r="E14" s="4" t="inlineStr">
        <is>
          <t>Retirement Extra</t>
        </is>
      </c>
      <c r="F14" s="4" t="inlineStr">
        <is>
          <t>Transfer</t>
        </is>
      </c>
      <c r="G14" s="2" t="n"/>
    </row>
    <row r="15">
      <c r="B15" s="9" t="n">
        <v>45672</v>
      </c>
      <c r="C15" s="4" t="inlineStr">
        <is>
          <t>Transfer to Vacation</t>
        </is>
      </c>
      <c r="D15" s="10" t="n">
        <v>100</v>
      </c>
      <c r="E15" s="4" t="inlineStr">
        <is>
          <t>Vacation Fund</t>
        </is>
      </c>
      <c r="F15" s="4" t="inlineStr">
        <is>
          <t>Transfer</t>
        </is>
      </c>
      <c r="G15" s="2" t="n"/>
    </row>
    <row r="16">
      <c r="B16" s="9" t="n">
        <v>45683</v>
      </c>
      <c r="C16" s="4" t="inlineStr">
        <is>
          <t>City Power</t>
        </is>
      </c>
      <c r="D16" s="10" t="n">
        <v>185.53</v>
      </c>
      <c r="E16" s="4" t="inlineStr">
        <is>
          <t>Utilities</t>
        </is>
      </c>
      <c r="F16" s="4" t="inlineStr">
        <is>
          <t>Debit</t>
        </is>
      </c>
      <c r="G16" s="2" t="n"/>
    </row>
    <row r="17">
      <c r="B17" s="9" t="n">
        <v>45680</v>
      </c>
      <c r="C17" s="4" t="inlineStr">
        <is>
          <t>Chevron</t>
        </is>
      </c>
      <c r="D17" s="10" t="n">
        <v>127.22</v>
      </c>
      <c r="E17" s="4" t="inlineStr">
        <is>
          <t>Gas</t>
        </is>
      </c>
      <c r="F17" s="4" t="inlineStr">
        <is>
          <t>Debit</t>
        </is>
      </c>
      <c r="G17" s="2" t="n"/>
    </row>
    <row r="18">
      <c r="B18" s="9" t="n">
        <v>45688</v>
      </c>
      <c r="C18" s="4" t="inlineStr">
        <is>
          <t>Aldi</t>
        </is>
      </c>
      <c r="D18" s="10" t="n">
        <v>94.09</v>
      </c>
      <c r="E18" s="4" t="inlineStr">
        <is>
          <t>Groceries</t>
        </is>
      </c>
      <c r="F18" s="4" t="inlineStr">
        <is>
          <t>Credit</t>
        </is>
      </c>
      <c r="G18" s="2" t="n"/>
    </row>
    <row r="19">
      <c r="B19" s="9" t="n">
        <v>45669</v>
      </c>
      <c r="C19" s="4" t="inlineStr">
        <is>
          <t>Pizza Hut</t>
        </is>
      </c>
      <c r="D19" s="10" t="n">
        <v>37.96</v>
      </c>
      <c r="E19" s="4" t="inlineStr">
        <is>
          <t>Dining Out</t>
        </is>
      </c>
      <c r="F19" s="4" t="inlineStr">
        <is>
          <t>Debit</t>
        </is>
      </c>
      <c r="G19" s="2" t="n"/>
    </row>
    <row r="20">
      <c r="B20" s="9" t="n">
        <v>45672</v>
      </c>
      <c r="C20" s="4" t="inlineStr">
        <is>
          <t>Starbucks</t>
        </is>
      </c>
      <c r="D20" s="10" t="n">
        <v>7.89</v>
      </c>
      <c r="E20" s="4" t="inlineStr">
        <is>
          <t>Coffee</t>
        </is>
      </c>
      <c r="F20" s="4" t="inlineStr">
        <is>
          <t>Credit</t>
        </is>
      </c>
      <c r="G20" s="2" t="n"/>
    </row>
    <row r="21">
      <c r="B21" s="9" t="n">
        <v>45660</v>
      </c>
      <c r="C21" s="4" t="inlineStr">
        <is>
          <t>Local Roast</t>
        </is>
      </c>
      <c r="D21" s="10" t="n">
        <v>7.32</v>
      </c>
      <c r="E21" s="4" t="inlineStr">
        <is>
          <t>Coffee</t>
        </is>
      </c>
      <c r="F21" s="4" t="inlineStr">
        <is>
          <t>Cash</t>
        </is>
      </c>
      <c r="G21" s="2" t="n"/>
    </row>
    <row r="22">
      <c r="B22" s="9" t="n">
        <v>45686</v>
      </c>
      <c r="C22" s="4" t="inlineStr">
        <is>
          <t>Local Roast</t>
        </is>
      </c>
      <c r="D22" s="10" t="n">
        <v>6.31</v>
      </c>
      <c r="E22" s="4" t="inlineStr">
        <is>
          <t>Coffee</t>
        </is>
      </c>
      <c r="F22" s="4" t="inlineStr">
        <is>
          <t>Cash</t>
        </is>
      </c>
      <c r="G22" s="2" t="n"/>
    </row>
    <row r="23">
      <c r="B23" s="9" t="n">
        <v>45660</v>
      </c>
      <c r="C23" s="4" t="inlineStr">
        <is>
          <t>ParkMobile</t>
        </is>
      </c>
      <c r="D23" s="10" t="n">
        <v>11.61</v>
      </c>
      <c r="E23" s="4" t="inlineStr">
        <is>
          <t>Parking</t>
        </is>
      </c>
      <c r="F23" s="4" t="inlineStr">
        <is>
          <t>Credit</t>
        </is>
      </c>
      <c r="G23" s="2" t="n"/>
    </row>
    <row r="24">
      <c r="B24" s="9" t="n">
        <v>45660</v>
      </c>
      <c r="C24" s="4" t="inlineStr">
        <is>
          <t>CVS</t>
        </is>
      </c>
      <c r="D24" s="10" t="n">
        <v>27.33</v>
      </c>
      <c r="E24" s="4" t="inlineStr">
        <is>
          <t>Prescriptions</t>
        </is>
      </c>
      <c r="F24" s="4" t="inlineStr">
        <is>
          <t>Credit</t>
        </is>
      </c>
      <c r="G24" s="2" t="n"/>
    </row>
    <row r="25">
      <c r="B25" s="9" t="n">
        <v>45672</v>
      </c>
      <c r="C25" s="4" t="inlineStr">
        <is>
          <t>Steam</t>
        </is>
      </c>
      <c r="D25" s="10" t="n">
        <v>69.22</v>
      </c>
      <c r="E25" s="4" t="inlineStr">
        <is>
          <t>Entertainment</t>
        </is>
      </c>
      <c r="F25" s="4" t="inlineStr">
        <is>
          <t>Debit</t>
        </is>
      </c>
      <c r="G25" s="2" t="n"/>
    </row>
    <row r="26">
      <c r="B26" s="9" t="n">
        <v>45689</v>
      </c>
      <c r="C26" s="4" t="inlineStr">
        <is>
          <t>Landlord LLC</t>
        </is>
      </c>
      <c r="D26" s="10" t="n">
        <v>1550</v>
      </c>
      <c r="E26" s="4" t="inlineStr">
        <is>
          <t>Rent/Mortgage</t>
        </is>
      </c>
      <c r="F26" s="4" t="inlineStr">
        <is>
          <t>Credit</t>
        </is>
      </c>
      <c r="G26" s="2" t="n"/>
    </row>
    <row r="27">
      <c r="B27" s="9" t="n">
        <v>45689</v>
      </c>
      <c r="C27" s="4" t="inlineStr">
        <is>
          <t>Lemonade</t>
        </is>
      </c>
      <c r="D27" s="10" t="n">
        <v>25</v>
      </c>
      <c r="E27" s="4" t="inlineStr">
        <is>
          <t>Renters Insurance</t>
        </is>
      </c>
      <c r="F27" s="4" t="inlineStr">
        <is>
          <t>Credit</t>
        </is>
      </c>
      <c r="G27" s="2" t="n"/>
    </row>
    <row r="28">
      <c r="B28" s="9" t="n">
        <v>45693</v>
      </c>
      <c r="C28" s="4" t="inlineStr">
        <is>
          <t>Xfinity</t>
        </is>
      </c>
      <c r="D28" s="10" t="n">
        <v>65</v>
      </c>
      <c r="E28" s="4" t="inlineStr">
        <is>
          <t>Internet</t>
        </is>
      </c>
      <c r="F28" s="4" t="inlineStr">
        <is>
          <t>Debit</t>
        </is>
      </c>
      <c r="G28" s="2" t="n"/>
    </row>
    <row r="29">
      <c r="B29" s="9" t="n">
        <v>45703</v>
      </c>
      <c r="C29" s="4" t="inlineStr">
        <is>
          <t>Honda Finance</t>
        </is>
      </c>
      <c r="D29" s="10" t="n">
        <v>380</v>
      </c>
      <c r="E29" s="4" t="inlineStr">
        <is>
          <t>Car Payment</t>
        </is>
      </c>
      <c r="F29" s="4" t="inlineStr">
        <is>
          <t>Debit</t>
        </is>
      </c>
      <c r="G29" s="2" t="n"/>
    </row>
    <row r="30">
      <c r="B30" s="9" t="n">
        <v>45689</v>
      </c>
      <c r="C30" s="4" t="inlineStr">
        <is>
          <t>Geico</t>
        </is>
      </c>
      <c r="D30" s="10" t="n">
        <v>110</v>
      </c>
      <c r="E30" s="4" t="inlineStr">
        <is>
          <t>Auto Insurance</t>
        </is>
      </c>
      <c r="F30" s="4" t="inlineStr">
        <is>
          <t>Credit</t>
        </is>
      </c>
      <c r="G30" s="2" t="n"/>
    </row>
    <row r="31">
      <c r="B31" s="9" t="n">
        <v>45689</v>
      </c>
      <c r="C31" s="4" t="inlineStr">
        <is>
          <t>Blue Cross</t>
        </is>
      </c>
      <c r="D31" s="10" t="n">
        <v>210</v>
      </c>
      <c r="E31" s="4" t="inlineStr">
        <is>
          <t>Health Insurance</t>
        </is>
      </c>
      <c r="F31" s="4" t="inlineStr">
        <is>
          <t>Debit</t>
        </is>
      </c>
      <c r="G31" s="2" t="n"/>
    </row>
    <row r="32">
      <c r="B32" s="9" t="n">
        <v>45689</v>
      </c>
      <c r="C32" s="4" t="inlineStr">
        <is>
          <t>Planet Fitness</t>
        </is>
      </c>
      <c r="D32" s="10" t="n">
        <v>45</v>
      </c>
      <c r="E32" s="4" t="inlineStr">
        <is>
          <t>Gym</t>
        </is>
      </c>
      <c r="F32" s="4" t="inlineStr">
        <is>
          <t>Debit</t>
        </is>
      </c>
      <c r="G32" s="2" t="n"/>
    </row>
    <row r="33">
      <c r="B33" s="9" t="n">
        <v>45716</v>
      </c>
      <c r="C33" s="4" t="inlineStr">
        <is>
          <t>Navient</t>
        </is>
      </c>
      <c r="D33" s="10" t="n">
        <v>280</v>
      </c>
      <c r="E33" s="4" t="inlineStr">
        <is>
          <t>Student Loan</t>
        </is>
      </c>
      <c r="F33" s="4" t="inlineStr">
        <is>
          <t>Debit</t>
        </is>
      </c>
      <c r="G33" s="2" t="n"/>
    </row>
    <row r="34">
      <c r="B34" s="9" t="n">
        <v>45708</v>
      </c>
      <c r="C34" s="4" t="inlineStr">
        <is>
          <t>Chase Visa Extra</t>
        </is>
      </c>
      <c r="D34" s="10" t="n">
        <v>160</v>
      </c>
      <c r="E34" s="4" t="inlineStr">
        <is>
          <t>Credit Card Extra</t>
        </is>
      </c>
      <c r="F34" s="4" t="inlineStr">
        <is>
          <t>Transfer</t>
        </is>
      </c>
      <c r="G34" s="2" t="n"/>
    </row>
    <row r="35">
      <c r="B35" s="9" t="n">
        <v>45703</v>
      </c>
      <c r="C35" s="4" t="inlineStr">
        <is>
          <t>Transfer to Savings</t>
        </is>
      </c>
      <c r="D35" s="10" t="n">
        <v>300</v>
      </c>
      <c r="E35" s="4" t="inlineStr">
        <is>
          <t>Emergency Fund</t>
        </is>
      </c>
      <c r="F35" s="4" t="inlineStr">
        <is>
          <t>Transfer</t>
        </is>
      </c>
      <c r="G35" s="2" t="n"/>
    </row>
    <row r="36">
      <c r="B36" s="9" t="n">
        <v>45703</v>
      </c>
      <c r="C36" s="4" t="inlineStr">
        <is>
          <t>Vanguard Transfer</t>
        </is>
      </c>
      <c r="D36" s="10" t="n">
        <v>200</v>
      </c>
      <c r="E36" s="4" t="inlineStr">
        <is>
          <t>Retirement Extra</t>
        </is>
      </c>
      <c r="F36" s="4" t="inlineStr">
        <is>
          <t>Transfer</t>
        </is>
      </c>
      <c r="G36" s="2" t="n"/>
    </row>
    <row r="37">
      <c r="B37" s="9" t="n">
        <v>45703</v>
      </c>
      <c r="C37" s="4" t="inlineStr">
        <is>
          <t>Transfer to Vacation</t>
        </is>
      </c>
      <c r="D37" s="10" t="n">
        <v>100</v>
      </c>
      <c r="E37" s="4" t="inlineStr">
        <is>
          <t>Vacation Fund</t>
        </is>
      </c>
      <c r="F37" s="4" t="inlineStr">
        <is>
          <t>Transfer</t>
        </is>
      </c>
      <c r="G37" s="2" t="n"/>
    </row>
    <row r="38">
      <c r="B38" s="9" t="n">
        <v>45695</v>
      </c>
      <c r="C38" s="4" t="inlineStr">
        <is>
          <t>Water Dept</t>
        </is>
      </c>
      <c r="D38" s="10" t="n">
        <v>152.76</v>
      </c>
      <c r="E38" s="4" t="inlineStr">
        <is>
          <t>Utilities</t>
        </is>
      </c>
      <c r="F38" s="4" t="inlineStr">
        <is>
          <t>Credit</t>
        </is>
      </c>
      <c r="G38" s="2" t="n"/>
    </row>
    <row r="39">
      <c r="B39" s="9" t="n">
        <v>45701</v>
      </c>
      <c r="C39" s="4" t="inlineStr">
        <is>
          <t>Costco Gas</t>
        </is>
      </c>
      <c r="D39" s="10" t="n">
        <v>136.71</v>
      </c>
      <c r="E39" s="4" t="inlineStr">
        <is>
          <t>Gas</t>
        </is>
      </c>
      <c r="F39" s="4" t="inlineStr">
        <is>
          <t>Credit</t>
        </is>
      </c>
      <c r="G39" s="2" t="n"/>
    </row>
    <row r="40">
      <c r="B40" s="9" t="n">
        <v>45696</v>
      </c>
      <c r="C40" s="4" t="inlineStr">
        <is>
          <t>Aldi</t>
        </is>
      </c>
      <c r="D40" s="10" t="n">
        <v>119.88</v>
      </c>
      <c r="E40" s="4" t="inlineStr">
        <is>
          <t>Groceries</t>
        </is>
      </c>
      <c r="F40" s="4" t="inlineStr">
        <is>
          <t>Credit</t>
        </is>
      </c>
      <c r="G40" s="2" t="n"/>
    </row>
    <row r="41">
      <c r="B41" s="9" t="n">
        <v>45701</v>
      </c>
      <c r="C41" s="4" t="inlineStr">
        <is>
          <t>Pizza Hut</t>
        </is>
      </c>
      <c r="D41" s="10" t="n">
        <v>21.43</v>
      </c>
      <c r="E41" s="4" t="inlineStr">
        <is>
          <t>Dining Out</t>
        </is>
      </c>
      <c r="F41" s="4" t="inlineStr">
        <is>
          <t>Debit</t>
        </is>
      </c>
      <c r="G41" s="2" t="n"/>
    </row>
    <row r="42">
      <c r="B42" s="9" t="n">
        <v>45705</v>
      </c>
      <c r="C42" s="4" t="inlineStr">
        <is>
          <t>Local Bistro</t>
        </is>
      </c>
      <c r="D42" s="10" t="n">
        <v>15.91</v>
      </c>
      <c r="E42" s="4" t="inlineStr">
        <is>
          <t>Dining Out</t>
        </is>
      </c>
      <c r="F42" s="4" t="inlineStr">
        <is>
          <t>Debit</t>
        </is>
      </c>
      <c r="G42" s="2" t="n"/>
    </row>
    <row r="43">
      <c r="B43" s="9" t="n">
        <v>45716</v>
      </c>
      <c r="C43" s="4" t="inlineStr">
        <is>
          <t>Chipotle</t>
        </is>
      </c>
      <c r="D43" s="10" t="n">
        <v>18.57</v>
      </c>
      <c r="E43" s="4" t="inlineStr">
        <is>
          <t>Dining Out</t>
        </is>
      </c>
      <c r="F43" s="4" t="inlineStr">
        <is>
          <t>Debit</t>
        </is>
      </c>
      <c r="G43" s="2" t="n"/>
    </row>
    <row r="44">
      <c r="B44" s="9" t="n">
        <v>45702</v>
      </c>
      <c r="C44" s="4" t="inlineStr">
        <is>
          <t>Starbucks</t>
        </is>
      </c>
      <c r="D44" s="10" t="n">
        <v>5.54</v>
      </c>
      <c r="E44" s="4" t="inlineStr">
        <is>
          <t>Coffee</t>
        </is>
      </c>
      <c r="F44" s="4" t="inlineStr">
        <is>
          <t>Cash</t>
        </is>
      </c>
      <c r="G44" s="2" t="n"/>
    </row>
    <row r="45">
      <c r="B45" s="9" t="n">
        <v>45703</v>
      </c>
      <c r="C45" s="4" t="inlineStr">
        <is>
          <t>Local Roast</t>
        </is>
      </c>
      <c r="D45" s="10" t="n">
        <v>7.88</v>
      </c>
      <c r="E45" s="4" t="inlineStr">
        <is>
          <t>Coffee</t>
        </is>
      </c>
      <c r="F45" s="4" t="inlineStr">
        <is>
          <t>Debit</t>
        </is>
      </c>
      <c r="G45" s="2" t="n"/>
    </row>
    <row r="46">
      <c r="B46" s="9" t="n">
        <v>45710</v>
      </c>
      <c r="C46" s="4" t="inlineStr">
        <is>
          <t>Starbucks</t>
        </is>
      </c>
      <c r="D46" s="10" t="n">
        <v>6.73</v>
      </c>
      <c r="E46" s="4" t="inlineStr">
        <is>
          <t>Coffee</t>
        </is>
      </c>
      <c r="F46" s="4" t="inlineStr">
        <is>
          <t>Cash</t>
        </is>
      </c>
      <c r="G46" s="2" t="n"/>
    </row>
    <row r="47">
      <c r="B47" s="9" t="n">
        <v>45713</v>
      </c>
      <c r="C47" s="4" t="inlineStr">
        <is>
          <t>City Garage</t>
        </is>
      </c>
      <c r="D47" s="10" t="n">
        <v>12.69</v>
      </c>
      <c r="E47" s="4" t="inlineStr">
        <is>
          <t>Parking</t>
        </is>
      </c>
      <c r="F47" s="4" t="inlineStr">
        <is>
          <t>Credit</t>
        </is>
      </c>
      <c r="G47" s="2" t="n"/>
    </row>
    <row r="48">
      <c r="B48" s="9" t="n">
        <v>45692</v>
      </c>
      <c r="C48" s="4" t="inlineStr">
        <is>
          <t>Walgreens</t>
        </is>
      </c>
      <c r="D48" s="10" t="n">
        <v>18.7</v>
      </c>
      <c r="E48" s="4" t="inlineStr">
        <is>
          <t>Prescriptions</t>
        </is>
      </c>
      <c r="F48" s="4" t="inlineStr">
        <is>
          <t>Credit</t>
        </is>
      </c>
      <c r="G48" s="2" t="n"/>
    </row>
    <row r="49">
      <c r="B49" s="9" t="n">
        <v>45712</v>
      </c>
      <c r="C49" s="4" t="inlineStr">
        <is>
          <t>Amazon</t>
        </is>
      </c>
      <c r="D49" s="10" t="n">
        <v>57.39</v>
      </c>
      <c r="E49" s="4" t="inlineStr">
        <is>
          <t>Clothing</t>
        </is>
      </c>
      <c r="F49" s="4" t="inlineStr">
        <is>
          <t>Cash</t>
        </is>
      </c>
      <c r="G49" s="2" t="n"/>
    </row>
    <row r="50">
      <c r="B50" s="9" t="n">
        <v>45717</v>
      </c>
      <c r="C50" s="4" t="inlineStr">
        <is>
          <t>Landlord LLC</t>
        </is>
      </c>
      <c r="D50" s="10" t="n">
        <v>1550</v>
      </c>
      <c r="E50" s="4" t="inlineStr">
        <is>
          <t>Rent/Mortgage</t>
        </is>
      </c>
      <c r="F50" s="4" t="inlineStr">
        <is>
          <t>Debit</t>
        </is>
      </c>
      <c r="G50" s="2" t="n"/>
    </row>
    <row r="51">
      <c r="B51" s="9" t="n">
        <v>45717</v>
      </c>
      <c r="C51" s="4" t="inlineStr">
        <is>
          <t>Lemonade</t>
        </is>
      </c>
      <c r="D51" s="10" t="n">
        <v>25</v>
      </c>
      <c r="E51" s="4" t="inlineStr">
        <is>
          <t>Renters Insurance</t>
        </is>
      </c>
      <c r="F51" s="4" t="inlineStr">
        <is>
          <t>Debit</t>
        </is>
      </c>
      <c r="G51" s="2" t="n"/>
    </row>
    <row r="52">
      <c r="B52" s="9" t="n">
        <v>45721</v>
      </c>
      <c r="C52" s="4" t="inlineStr">
        <is>
          <t>Xfinity</t>
        </is>
      </c>
      <c r="D52" s="10" t="n">
        <v>65</v>
      </c>
      <c r="E52" s="4" t="inlineStr">
        <is>
          <t>Internet</t>
        </is>
      </c>
      <c r="F52" s="4" t="inlineStr">
        <is>
          <t>Credit</t>
        </is>
      </c>
      <c r="G52" s="2" t="n"/>
    </row>
    <row r="53">
      <c r="B53" s="9" t="n">
        <v>45731</v>
      </c>
      <c r="C53" s="4" t="inlineStr">
        <is>
          <t>Honda Finance</t>
        </is>
      </c>
      <c r="D53" s="10" t="n">
        <v>380</v>
      </c>
      <c r="E53" s="4" t="inlineStr">
        <is>
          <t>Car Payment</t>
        </is>
      </c>
      <c r="F53" s="4" t="inlineStr">
        <is>
          <t>Debit</t>
        </is>
      </c>
      <c r="G53" s="2" t="n"/>
    </row>
    <row r="54">
      <c r="B54" s="9" t="n">
        <v>45717</v>
      </c>
      <c r="C54" s="4" t="inlineStr">
        <is>
          <t>Geico</t>
        </is>
      </c>
      <c r="D54" s="10" t="n">
        <v>110</v>
      </c>
      <c r="E54" s="4" t="inlineStr">
        <is>
          <t>Auto Insurance</t>
        </is>
      </c>
      <c r="F54" s="4" t="inlineStr">
        <is>
          <t>Credit</t>
        </is>
      </c>
      <c r="G54" s="2" t="n"/>
    </row>
    <row r="55">
      <c r="B55" s="9" t="n">
        <v>45717</v>
      </c>
      <c r="C55" s="4" t="inlineStr">
        <is>
          <t>Blue Cross</t>
        </is>
      </c>
      <c r="D55" s="10" t="n">
        <v>210</v>
      </c>
      <c r="E55" s="4" t="inlineStr">
        <is>
          <t>Health Insurance</t>
        </is>
      </c>
      <c r="F55" s="4" t="inlineStr">
        <is>
          <t>Debit</t>
        </is>
      </c>
      <c r="G55" s="2" t="n"/>
    </row>
    <row r="56">
      <c r="B56" s="9" t="n">
        <v>45717</v>
      </c>
      <c r="C56" s="4" t="inlineStr">
        <is>
          <t>Planet Fitness</t>
        </is>
      </c>
      <c r="D56" s="10" t="n">
        <v>45</v>
      </c>
      <c r="E56" s="4" t="inlineStr">
        <is>
          <t>Gym</t>
        </is>
      </c>
      <c r="F56" s="4" t="inlineStr">
        <is>
          <t>Credit</t>
        </is>
      </c>
      <c r="G56" s="2" t="n"/>
    </row>
    <row r="57">
      <c r="B57" s="9" t="n">
        <v>45744</v>
      </c>
      <c r="C57" s="4" t="inlineStr">
        <is>
          <t>Navient</t>
        </is>
      </c>
      <c r="D57" s="10" t="n">
        <v>280</v>
      </c>
      <c r="E57" s="4" t="inlineStr">
        <is>
          <t>Student Loan</t>
        </is>
      </c>
      <c r="F57" s="4" t="inlineStr">
        <is>
          <t>Debit</t>
        </is>
      </c>
      <c r="G57" s="2" t="n"/>
    </row>
    <row r="58">
      <c r="B58" s="9" t="n">
        <v>45736</v>
      </c>
      <c r="C58" s="4" t="inlineStr">
        <is>
          <t>Chase Visa Extra</t>
        </is>
      </c>
      <c r="D58" s="10" t="n">
        <v>160</v>
      </c>
      <c r="E58" s="4" t="inlineStr">
        <is>
          <t>Credit Card Extra</t>
        </is>
      </c>
      <c r="F58" s="4" t="inlineStr">
        <is>
          <t>Transfer</t>
        </is>
      </c>
      <c r="G58" s="2" t="n"/>
    </row>
    <row r="59">
      <c r="B59" s="9" t="n">
        <v>45731</v>
      </c>
      <c r="C59" s="4" t="inlineStr">
        <is>
          <t>Transfer to Savings</t>
        </is>
      </c>
      <c r="D59" s="10" t="n">
        <v>300</v>
      </c>
      <c r="E59" s="4" t="inlineStr">
        <is>
          <t>Emergency Fund</t>
        </is>
      </c>
      <c r="F59" s="4" t="inlineStr">
        <is>
          <t>Transfer</t>
        </is>
      </c>
      <c r="G59" s="2" t="n"/>
    </row>
    <row r="60">
      <c r="B60" s="9" t="n">
        <v>45731</v>
      </c>
      <c r="C60" s="4" t="inlineStr">
        <is>
          <t>Vanguard Transfer</t>
        </is>
      </c>
      <c r="D60" s="10" t="n">
        <v>200</v>
      </c>
      <c r="E60" s="4" t="inlineStr">
        <is>
          <t>Retirement Extra</t>
        </is>
      </c>
      <c r="F60" s="4" t="inlineStr">
        <is>
          <t>Transfer</t>
        </is>
      </c>
      <c r="G60" s="2" t="n"/>
    </row>
    <row r="61">
      <c r="B61" s="9" t="n">
        <v>45731</v>
      </c>
      <c r="C61" s="4" t="inlineStr">
        <is>
          <t>Transfer to Vacation</t>
        </is>
      </c>
      <c r="D61" s="10" t="n">
        <v>100</v>
      </c>
      <c r="E61" s="4" t="inlineStr">
        <is>
          <t>Vacation Fund</t>
        </is>
      </c>
      <c r="F61" s="4" t="inlineStr">
        <is>
          <t>Transfer</t>
        </is>
      </c>
      <c r="G61" s="2" t="n"/>
    </row>
    <row r="62">
      <c r="B62" s="9" t="n">
        <v>45743</v>
      </c>
      <c r="C62" s="4" t="inlineStr">
        <is>
          <t>City Power</t>
        </is>
      </c>
      <c r="D62" s="10" t="n">
        <v>198.68</v>
      </c>
      <c r="E62" s="4" t="inlineStr">
        <is>
          <t>Utilities</t>
        </is>
      </c>
      <c r="F62" s="4" t="inlineStr">
        <is>
          <t>Cash</t>
        </is>
      </c>
      <c r="G62" s="2" t="n"/>
    </row>
    <row r="63">
      <c r="B63" s="9" t="n">
        <v>45741</v>
      </c>
      <c r="C63" s="4" t="inlineStr">
        <is>
          <t>Shell</t>
        </is>
      </c>
      <c r="D63" s="10" t="n">
        <v>110.27</v>
      </c>
      <c r="E63" s="4" t="inlineStr">
        <is>
          <t>Gas</t>
        </is>
      </c>
      <c r="F63" s="4" t="inlineStr">
        <is>
          <t>Credit</t>
        </is>
      </c>
      <c r="G63" s="2" t="n"/>
    </row>
    <row r="64">
      <c r="B64" s="9" t="n">
        <v>45722</v>
      </c>
      <c r="C64" s="4" t="inlineStr">
        <is>
          <t>Aldi</t>
        </is>
      </c>
      <c r="D64" s="10" t="n">
        <v>111.11</v>
      </c>
      <c r="E64" s="4" t="inlineStr">
        <is>
          <t>Groceries</t>
        </is>
      </c>
      <c r="F64" s="4" t="inlineStr">
        <is>
          <t>Cash</t>
        </is>
      </c>
      <c r="G64" s="2" t="n"/>
    </row>
    <row r="65">
      <c r="B65" s="9" t="n">
        <v>45730</v>
      </c>
      <c r="C65" s="4" t="inlineStr">
        <is>
          <t>Kroger</t>
        </is>
      </c>
      <c r="D65" s="10" t="n">
        <v>127.16</v>
      </c>
      <c r="E65" s="4" t="inlineStr">
        <is>
          <t>Groceries</t>
        </is>
      </c>
      <c r="F65" s="4" t="inlineStr">
        <is>
          <t>Cash</t>
        </is>
      </c>
      <c r="G65" s="2" t="n"/>
    </row>
    <row r="66">
      <c r="B66" s="9" t="n">
        <v>45739</v>
      </c>
      <c r="C66" s="4" t="inlineStr">
        <is>
          <t>Kroger</t>
        </is>
      </c>
      <c r="D66" s="10" t="n">
        <v>118.52</v>
      </c>
      <c r="E66" s="4" t="inlineStr">
        <is>
          <t>Groceries</t>
        </is>
      </c>
      <c r="F66" s="4" t="inlineStr">
        <is>
          <t>Credit</t>
        </is>
      </c>
      <c r="G66" s="2" t="n"/>
    </row>
    <row r="67">
      <c r="B67" s="9" t="n">
        <v>45737</v>
      </c>
      <c r="C67" s="4" t="inlineStr">
        <is>
          <t>Pizza Hut</t>
        </is>
      </c>
      <c r="D67" s="10" t="n">
        <v>30.84</v>
      </c>
      <c r="E67" s="4" t="inlineStr">
        <is>
          <t>Dining Out</t>
        </is>
      </c>
      <c r="F67" s="4" t="inlineStr">
        <is>
          <t>Cash</t>
        </is>
      </c>
      <c r="G67" s="2" t="n"/>
    </row>
    <row r="68">
      <c r="B68" s="9" t="n">
        <v>45731</v>
      </c>
      <c r="C68" s="4" t="inlineStr">
        <is>
          <t>Chipotle</t>
        </is>
      </c>
      <c r="D68" s="10" t="n">
        <v>22.66</v>
      </c>
      <c r="E68" s="4" t="inlineStr">
        <is>
          <t>Dining Out</t>
        </is>
      </c>
      <c r="F68" s="4" t="inlineStr">
        <is>
          <t>Debit</t>
        </is>
      </c>
      <c r="G68" s="2" t="n"/>
    </row>
    <row r="69">
      <c r="B69" s="9" t="n">
        <v>45727</v>
      </c>
      <c r="C69" s="4" t="inlineStr">
        <is>
          <t>Chipotle</t>
        </is>
      </c>
      <c r="D69" s="10" t="n">
        <v>37.3</v>
      </c>
      <c r="E69" s="4" t="inlineStr">
        <is>
          <t>Dining Out</t>
        </is>
      </c>
      <c r="F69" s="4" t="inlineStr">
        <is>
          <t>Debit</t>
        </is>
      </c>
      <c r="G69" s="2" t="n"/>
    </row>
    <row r="70">
      <c r="B70" s="9" t="n">
        <v>45724</v>
      </c>
      <c r="C70" s="4" t="inlineStr">
        <is>
          <t>Starbucks</t>
        </is>
      </c>
      <c r="D70" s="10" t="n">
        <v>4.28</v>
      </c>
      <c r="E70" s="4" t="inlineStr">
        <is>
          <t>Coffee</t>
        </is>
      </c>
      <c r="F70" s="4" t="inlineStr">
        <is>
          <t>Cash</t>
        </is>
      </c>
      <c r="G70" s="2" t="n"/>
    </row>
    <row r="71">
      <c r="B71" s="9" t="n">
        <v>45718</v>
      </c>
      <c r="C71" s="4" t="inlineStr">
        <is>
          <t>Starbucks</t>
        </is>
      </c>
      <c r="D71" s="10" t="n">
        <v>4.27</v>
      </c>
      <c r="E71" s="4" t="inlineStr">
        <is>
          <t>Coffee</t>
        </is>
      </c>
      <c r="F71" s="4" t="inlineStr">
        <is>
          <t>Debit</t>
        </is>
      </c>
      <c r="G71" s="2" t="n"/>
    </row>
    <row r="72">
      <c r="B72" s="9" t="n">
        <v>45744</v>
      </c>
      <c r="C72" s="4" t="inlineStr">
        <is>
          <t>Local Roast</t>
        </is>
      </c>
      <c r="D72" s="10" t="n">
        <v>4.28</v>
      </c>
      <c r="E72" s="4" t="inlineStr">
        <is>
          <t>Coffee</t>
        </is>
      </c>
      <c r="F72" s="4" t="inlineStr">
        <is>
          <t>Debit</t>
        </is>
      </c>
      <c r="G72" s="2" t="n"/>
    </row>
    <row r="73">
      <c r="B73" s="9" t="n">
        <v>45725</v>
      </c>
      <c r="C73" s="4" t="inlineStr">
        <is>
          <t>City Garage</t>
        </is>
      </c>
      <c r="D73" s="10" t="n">
        <v>7.14</v>
      </c>
      <c r="E73" s="4" t="inlineStr">
        <is>
          <t>Parking</t>
        </is>
      </c>
      <c r="F73" s="4" t="inlineStr">
        <is>
          <t>Debit</t>
        </is>
      </c>
      <c r="G73" s="2" t="n"/>
    </row>
    <row r="74">
      <c r="B74" s="9" t="n">
        <v>45740</v>
      </c>
      <c r="C74" s="4" t="inlineStr">
        <is>
          <t>Walgreens</t>
        </is>
      </c>
      <c r="D74" s="10" t="n">
        <v>14.86</v>
      </c>
      <c r="E74" s="4" t="inlineStr">
        <is>
          <t>Prescriptions</t>
        </is>
      </c>
      <c r="F74" s="4" t="inlineStr">
        <is>
          <t>Credit</t>
        </is>
      </c>
      <c r="G74" s="2" t="n"/>
    </row>
    <row r="75">
      <c r="B75" s="9" t="n">
        <v>45723</v>
      </c>
      <c r="C75" s="4" t="inlineStr">
        <is>
          <t>Amazon</t>
        </is>
      </c>
      <c r="D75" s="10" t="n">
        <v>25.82</v>
      </c>
      <c r="E75" s="4" t="inlineStr">
        <is>
          <t>Gifts</t>
        </is>
      </c>
      <c r="F75" s="4" t="inlineStr">
        <is>
          <t>Credit</t>
        </is>
      </c>
      <c r="G75" s="2" t="n"/>
    </row>
    <row r="76">
      <c r="B76" s="9" t="n">
        <v>45748</v>
      </c>
      <c r="C76" s="4" t="inlineStr">
        <is>
          <t>Landlord LLC</t>
        </is>
      </c>
      <c r="D76" s="10" t="n">
        <v>1550</v>
      </c>
      <c r="E76" s="4" t="inlineStr">
        <is>
          <t>Rent/Mortgage</t>
        </is>
      </c>
      <c r="F76" s="4" t="inlineStr">
        <is>
          <t>Credit</t>
        </is>
      </c>
      <c r="G76" s="2" t="n"/>
    </row>
    <row r="77">
      <c r="B77" s="9" t="n">
        <v>45748</v>
      </c>
      <c r="C77" s="4" t="inlineStr">
        <is>
          <t>Lemonade</t>
        </is>
      </c>
      <c r="D77" s="10" t="n">
        <v>25</v>
      </c>
      <c r="E77" s="4" t="inlineStr">
        <is>
          <t>Renters Insurance</t>
        </is>
      </c>
      <c r="F77" s="4" t="inlineStr">
        <is>
          <t>Credit</t>
        </is>
      </c>
      <c r="G77" s="2" t="n"/>
    </row>
    <row r="78">
      <c r="B78" s="9" t="n">
        <v>45752</v>
      </c>
      <c r="C78" s="4" t="inlineStr">
        <is>
          <t>Xfinity</t>
        </is>
      </c>
      <c r="D78" s="10" t="n">
        <v>65</v>
      </c>
      <c r="E78" s="4" t="inlineStr">
        <is>
          <t>Internet</t>
        </is>
      </c>
      <c r="F78" s="4" t="inlineStr">
        <is>
          <t>Debit</t>
        </is>
      </c>
      <c r="G78" s="2" t="n"/>
    </row>
    <row r="79">
      <c r="B79" s="9" t="n">
        <v>45762</v>
      </c>
      <c r="C79" s="4" t="inlineStr">
        <is>
          <t>Honda Finance</t>
        </is>
      </c>
      <c r="D79" s="10" t="n">
        <v>380</v>
      </c>
      <c r="E79" s="4" t="inlineStr">
        <is>
          <t>Car Payment</t>
        </is>
      </c>
      <c r="F79" s="4" t="inlineStr">
        <is>
          <t>Credit</t>
        </is>
      </c>
      <c r="G79" s="2" t="n"/>
    </row>
    <row r="80">
      <c r="B80" s="9" t="n">
        <v>45748</v>
      </c>
      <c r="C80" s="4" t="inlineStr">
        <is>
          <t>Geico</t>
        </is>
      </c>
      <c r="D80" s="10" t="n">
        <v>110</v>
      </c>
      <c r="E80" s="4" t="inlineStr">
        <is>
          <t>Auto Insurance</t>
        </is>
      </c>
      <c r="F80" s="4" t="inlineStr">
        <is>
          <t>Debit</t>
        </is>
      </c>
      <c r="G80" s="2" t="n"/>
    </row>
    <row r="81">
      <c r="B81" s="9" t="n">
        <v>45748</v>
      </c>
      <c r="C81" s="4" t="inlineStr">
        <is>
          <t>Blue Cross</t>
        </is>
      </c>
      <c r="D81" s="10" t="n">
        <v>210</v>
      </c>
      <c r="E81" s="4" t="inlineStr">
        <is>
          <t>Health Insurance</t>
        </is>
      </c>
      <c r="F81" s="4" t="inlineStr">
        <is>
          <t>Debit</t>
        </is>
      </c>
      <c r="G81" s="2" t="n"/>
    </row>
    <row r="82">
      <c r="B82" s="9" t="n">
        <v>45748</v>
      </c>
      <c r="C82" s="4" t="inlineStr">
        <is>
          <t>Planet Fitness</t>
        </is>
      </c>
      <c r="D82" s="10" t="n">
        <v>45</v>
      </c>
      <c r="E82" s="4" t="inlineStr">
        <is>
          <t>Gym</t>
        </is>
      </c>
      <c r="F82" s="4" t="inlineStr">
        <is>
          <t>Credit</t>
        </is>
      </c>
      <c r="G82" s="2" t="n"/>
    </row>
    <row r="83">
      <c r="B83" s="9" t="n">
        <v>45775</v>
      </c>
      <c r="C83" s="4" t="inlineStr">
        <is>
          <t>Navient</t>
        </is>
      </c>
      <c r="D83" s="10" t="n">
        <v>280</v>
      </c>
      <c r="E83" s="4" t="inlineStr">
        <is>
          <t>Student Loan</t>
        </is>
      </c>
      <c r="F83" s="4" t="inlineStr">
        <is>
          <t>Credit</t>
        </is>
      </c>
      <c r="G83" s="2" t="n"/>
    </row>
    <row r="84">
      <c r="B84" s="9" t="n">
        <v>45767</v>
      </c>
      <c r="C84" s="4" t="inlineStr">
        <is>
          <t>Chase Visa Extra</t>
        </is>
      </c>
      <c r="D84" s="10" t="n">
        <v>160</v>
      </c>
      <c r="E84" s="4" t="inlineStr">
        <is>
          <t>Credit Card Extra</t>
        </is>
      </c>
      <c r="F84" s="4" t="inlineStr">
        <is>
          <t>Transfer</t>
        </is>
      </c>
      <c r="G84" s="2" t="n"/>
    </row>
    <row r="85">
      <c r="B85" s="9" t="n">
        <v>45762</v>
      </c>
      <c r="C85" s="4" t="inlineStr">
        <is>
          <t>Transfer to Savings</t>
        </is>
      </c>
      <c r="D85" s="10" t="n">
        <v>300</v>
      </c>
      <c r="E85" s="4" t="inlineStr">
        <is>
          <t>Emergency Fund</t>
        </is>
      </c>
      <c r="F85" s="4" t="inlineStr">
        <is>
          <t>Transfer</t>
        </is>
      </c>
      <c r="G85" s="2" t="n"/>
    </row>
    <row r="86">
      <c r="B86" s="9" t="n">
        <v>45762</v>
      </c>
      <c r="C86" s="4" t="inlineStr">
        <is>
          <t>Vanguard Transfer</t>
        </is>
      </c>
      <c r="D86" s="10" t="n">
        <v>200</v>
      </c>
      <c r="E86" s="4" t="inlineStr">
        <is>
          <t>Retirement Extra</t>
        </is>
      </c>
      <c r="F86" s="4" t="inlineStr">
        <is>
          <t>Transfer</t>
        </is>
      </c>
      <c r="G86" s="2" t="n"/>
    </row>
    <row r="87">
      <c r="B87" s="9" t="n">
        <v>45762</v>
      </c>
      <c r="C87" s="4" t="inlineStr">
        <is>
          <t>Transfer to Vacation</t>
        </is>
      </c>
      <c r="D87" s="10" t="n">
        <v>100</v>
      </c>
      <c r="E87" s="4" t="inlineStr">
        <is>
          <t>Vacation Fund</t>
        </is>
      </c>
      <c r="F87" s="4" t="inlineStr">
        <is>
          <t>Transfer</t>
        </is>
      </c>
      <c r="G87" s="2" t="n"/>
    </row>
    <row r="88">
      <c r="B88" s="9" t="n">
        <v>45775</v>
      </c>
      <c r="C88" s="4" t="inlineStr">
        <is>
          <t>City Power</t>
        </is>
      </c>
      <c r="D88" s="10" t="n">
        <v>166.59</v>
      </c>
      <c r="E88" s="4" t="inlineStr">
        <is>
          <t>Utilities</t>
        </is>
      </c>
      <c r="F88" s="4" t="inlineStr">
        <is>
          <t>Cash</t>
        </is>
      </c>
      <c r="G88" s="2" t="n"/>
    </row>
    <row r="89">
      <c r="B89" s="9" t="n">
        <v>45751</v>
      </c>
      <c r="C89" s="4" t="inlineStr">
        <is>
          <t>Shell</t>
        </is>
      </c>
      <c r="D89" s="10" t="n">
        <v>152.17</v>
      </c>
      <c r="E89" s="4" t="inlineStr">
        <is>
          <t>Gas</t>
        </is>
      </c>
      <c r="F89" s="4" t="inlineStr">
        <is>
          <t>Cash</t>
        </is>
      </c>
      <c r="G89" s="2" t="n"/>
    </row>
    <row r="90">
      <c r="B90" s="9" t="n">
        <v>45750</v>
      </c>
      <c r="C90" s="4" t="inlineStr">
        <is>
          <t>Kroger</t>
        </is>
      </c>
      <c r="D90" s="10" t="n">
        <v>96.65000000000001</v>
      </c>
      <c r="E90" s="4" t="inlineStr">
        <is>
          <t>Groceries</t>
        </is>
      </c>
      <c r="F90" s="4" t="inlineStr">
        <is>
          <t>Credit</t>
        </is>
      </c>
      <c r="G90" s="2" t="n"/>
    </row>
    <row r="91">
      <c r="B91" s="9" t="n">
        <v>45754</v>
      </c>
      <c r="C91" s="4" t="inlineStr">
        <is>
          <t>Local Bistro</t>
        </is>
      </c>
      <c r="D91" s="10" t="n">
        <v>50.81</v>
      </c>
      <c r="E91" s="4" t="inlineStr">
        <is>
          <t>Dining Out</t>
        </is>
      </c>
      <c r="F91" s="4" t="inlineStr">
        <is>
          <t>Debit</t>
        </is>
      </c>
      <c r="G91" s="2" t="n"/>
    </row>
    <row r="92">
      <c r="B92" s="9" t="n">
        <v>45760</v>
      </c>
      <c r="C92" s="4" t="inlineStr">
        <is>
          <t>Chipotle</t>
        </is>
      </c>
      <c r="D92" s="10" t="n">
        <v>54.37</v>
      </c>
      <c r="E92" s="4" t="inlineStr">
        <is>
          <t>Dining Out</t>
        </is>
      </c>
      <c r="F92" s="4" t="inlineStr">
        <is>
          <t>Credit</t>
        </is>
      </c>
      <c r="G92" s="2" t="n"/>
    </row>
    <row r="93">
      <c r="B93" s="9" t="n">
        <v>45757</v>
      </c>
      <c r="C93" s="4" t="inlineStr">
        <is>
          <t>Local Roast</t>
        </is>
      </c>
      <c r="D93" s="10" t="n">
        <v>6.79</v>
      </c>
      <c r="E93" s="4" t="inlineStr">
        <is>
          <t>Coffee</t>
        </is>
      </c>
      <c r="F93" s="4" t="inlineStr">
        <is>
          <t>Cash</t>
        </is>
      </c>
      <c r="G93" s="2" t="n"/>
    </row>
    <row r="94">
      <c r="B94" s="9" t="n">
        <v>45773</v>
      </c>
      <c r="C94" s="4" t="inlineStr">
        <is>
          <t>Local Roast</t>
        </is>
      </c>
      <c r="D94" s="10" t="n">
        <v>4.62</v>
      </c>
      <c r="E94" s="4" t="inlineStr">
        <is>
          <t>Coffee</t>
        </is>
      </c>
      <c r="F94" s="4" t="inlineStr">
        <is>
          <t>Credit</t>
        </is>
      </c>
      <c r="G94" s="2" t="n"/>
    </row>
    <row r="95">
      <c r="B95" s="9" t="n">
        <v>45754</v>
      </c>
      <c r="C95" s="4" t="inlineStr">
        <is>
          <t>ParkMobile</t>
        </is>
      </c>
      <c r="D95" s="10" t="n">
        <v>10.79</v>
      </c>
      <c r="E95" s="4" t="inlineStr">
        <is>
          <t>Parking</t>
        </is>
      </c>
      <c r="F95" s="4" t="inlineStr">
        <is>
          <t>Cash</t>
        </is>
      </c>
      <c r="G95" s="2" t="n"/>
    </row>
    <row r="96">
      <c r="B96" s="9" t="n">
        <v>45749</v>
      </c>
      <c r="C96" s="4" t="inlineStr">
        <is>
          <t>Walgreens</t>
        </is>
      </c>
      <c r="D96" s="10" t="n">
        <v>11.14</v>
      </c>
      <c r="E96" s="4" t="inlineStr">
        <is>
          <t>Prescriptions</t>
        </is>
      </c>
      <c r="F96" s="4" t="inlineStr">
        <is>
          <t>Cash</t>
        </is>
      </c>
      <c r="G96" s="2" t="n"/>
    </row>
    <row r="97">
      <c r="B97" s="9" t="n">
        <v>45764</v>
      </c>
      <c r="C97" s="4" t="inlineStr">
        <is>
          <t>Target</t>
        </is>
      </c>
      <c r="D97" s="10" t="n">
        <v>29.45</v>
      </c>
      <c r="E97" s="4" t="inlineStr">
        <is>
          <t>Gifts</t>
        </is>
      </c>
      <c r="F97" s="4" t="inlineStr">
        <is>
          <t>Cash</t>
        </is>
      </c>
      <c r="G97" s="2" t="n"/>
    </row>
    <row r="98">
      <c r="B98" s="9" t="n">
        <v>45778</v>
      </c>
      <c r="C98" s="4" t="inlineStr">
        <is>
          <t>Landlord LLC</t>
        </is>
      </c>
      <c r="D98" s="10" t="n">
        <v>1550</v>
      </c>
      <c r="E98" s="4" t="inlineStr">
        <is>
          <t>Rent/Mortgage</t>
        </is>
      </c>
      <c r="F98" s="4" t="inlineStr">
        <is>
          <t>Debit</t>
        </is>
      </c>
      <c r="G98" s="2" t="n"/>
    </row>
    <row r="99">
      <c r="B99" s="9" t="n">
        <v>45778</v>
      </c>
      <c r="C99" s="4" t="inlineStr">
        <is>
          <t>Lemonade</t>
        </is>
      </c>
      <c r="D99" s="10" t="n">
        <v>25</v>
      </c>
      <c r="E99" s="4" t="inlineStr">
        <is>
          <t>Renters Insurance</t>
        </is>
      </c>
      <c r="F99" s="4" t="inlineStr">
        <is>
          <t>Debit</t>
        </is>
      </c>
      <c r="G99" s="2" t="n"/>
    </row>
    <row r="100">
      <c r="B100" s="9" t="n">
        <v>45782</v>
      </c>
      <c r="C100" s="4" t="inlineStr">
        <is>
          <t>Xfinity</t>
        </is>
      </c>
      <c r="D100" s="10" t="n">
        <v>65</v>
      </c>
      <c r="E100" s="4" t="inlineStr">
        <is>
          <t>Internet</t>
        </is>
      </c>
      <c r="F100" s="4" t="inlineStr">
        <is>
          <t>Credit</t>
        </is>
      </c>
      <c r="G100" s="2" t="n"/>
    </row>
    <row r="101">
      <c r="B101" s="9" t="n">
        <v>45792</v>
      </c>
      <c r="C101" s="4" t="inlineStr">
        <is>
          <t>Honda Finance</t>
        </is>
      </c>
      <c r="D101" s="10" t="n">
        <v>380</v>
      </c>
      <c r="E101" s="4" t="inlineStr">
        <is>
          <t>Car Payment</t>
        </is>
      </c>
      <c r="F101" s="4" t="inlineStr">
        <is>
          <t>Debit</t>
        </is>
      </c>
      <c r="G101" s="2" t="n"/>
    </row>
    <row r="102">
      <c r="B102" s="9" t="n">
        <v>45778</v>
      </c>
      <c r="C102" s="4" t="inlineStr">
        <is>
          <t>Geico</t>
        </is>
      </c>
      <c r="D102" s="10" t="n">
        <v>110</v>
      </c>
      <c r="E102" s="4" t="inlineStr">
        <is>
          <t>Auto Insurance</t>
        </is>
      </c>
      <c r="F102" s="4" t="inlineStr">
        <is>
          <t>Debit</t>
        </is>
      </c>
      <c r="G102" s="2" t="n"/>
    </row>
    <row r="103">
      <c r="B103" s="9" t="n">
        <v>45778</v>
      </c>
      <c r="C103" s="4" t="inlineStr">
        <is>
          <t>Blue Cross</t>
        </is>
      </c>
      <c r="D103" s="10" t="n">
        <v>210</v>
      </c>
      <c r="E103" s="4" t="inlineStr">
        <is>
          <t>Health Insurance</t>
        </is>
      </c>
      <c r="F103" s="4" t="inlineStr">
        <is>
          <t>Credit</t>
        </is>
      </c>
      <c r="G103" s="2" t="n"/>
    </row>
    <row r="104">
      <c r="B104" s="9" t="n">
        <v>45778</v>
      </c>
      <c r="C104" s="4" t="inlineStr">
        <is>
          <t>Planet Fitness</t>
        </is>
      </c>
      <c r="D104" s="10" t="n">
        <v>45</v>
      </c>
      <c r="E104" s="4" t="inlineStr">
        <is>
          <t>Gym</t>
        </is>
      </c>
      <c r="F104" s="4" t="inlineStr">
        <is>
          <t>Debit</t>
        </is>
      </c>
      <c r="G104" s="2" t="n"/>
    </row>
    <row r="105">
      <c r="B105" s="9" t="n">
        <v>45805</v>
      </c>
      <c r="C105" s="4" t="inlineStr">
        <is>
          <t>Navient</t>
        </is>
      </c>
      <c r="D105" s="10" t="n">
        <v>280</v>
      </c>
      <c r="E105" s="4" t="inlineStr">
        <is>
          <t>Student Loan</t>
        </is>
      </c>
      <c r="F105" s="4" t="inlineStr">
        <is>
          <t>Debit</t>
        </is>
      </c>
      <c r="G105" s="2" t="n"/>
    </row>
    <row r="106">
      <c r="B106" s="9" t="n">
        <v>45797</v>
      </c>
      <c r="C106" s="4" t="inlineStr">
        <is>
          <t>Chase Visa Extra</t>
        </is>
      </c>
      <c r="D106" s="10" t="n">
        <v>160</v>
      </c>
      <c r="E106" s="4" t="inlineStr">
        <is>
          <t>Credit Card Extra</t>
        </is>
      </c>
      <c r="F106" s="4" t="inlineStr">
        <is>
          <t>Transfer</t>
        </is>
      </c>
      <c r="G106" s="2" t="n"/>
    </row>
    <row r="107">
      <c r="B107" s="9" t="n">
        <v>45792</v>
      </c>
      <c r="C107" s="4" t="inlineStr">
        <is>
          <t>Transfer to Savings</t>
        </is>
      </c>
      <c r="D107" s="10" t="n">
        <v>300</v>
      </c>
      <c r="E107" s="4" t="inlineStr">
        <is>
          <t>Emergency Fund</t>
        </is>
      </c>
      <c r="F107" s="4" t="inlineStr">
        <is>
          <t>Transfer</t>
        </is>
      </c>
      <c r="G107" s="2" t="n"/>
    </row>
    <row r="108">
      <c r="B108" s="9" t="n">
        <v>45792</v>
      </c>
      <c r="C108" s="4" t="inlineStr">
        <is>
          <t>Vanguard Transfer</t>
        </is>
      </c>
      <c r="D108" s="10" t="n">
        <v>200</v>
      </c>
      <c r="E108" s="4" t="inlineStr">
        <is>
          <t>Retirement Extra</t>
        </is>
      </c>
      <c r="F108" s="4" t="inlineStr">
        <is>
          <t>Transfer</t>
        </is>
      </c>
      <c r="G108" s="2" t="n"/>
    </row>
    <row r="109">
      <c r="B109" s="9" t="n">
        <v>45792</v>
      </c>
      <c r="C109" s="4" t="inlineStr">
        <is>
          <t>Transfer to Vacation</t>
        </is>
      </c>
      <c r="D109" s="10" t="n">
        <v>100</v>
      </c>
      <c r="E109" s="4" t="inlineStr">
        <is>
          <t>Vacation Fund</t>
        </is>
      </c>
      <c r="F109" s="4" t="inlineStr">
        <is>
          <t>Transfer</t>
        </is>
      </c>
      <c r="G109" s="2" t="n"/>
    </row>
    <row r="110">
      <c r="B110" s="9" t="n">
        <v>45792</v>
      </c>
      <c r="C110" s="4" t="inlineStr">
        <is>
          <t>Water Dept</t>
        </is>
      </c>
      <c r="D110" s="10" t="n">
        <v>195.74</v>
      </c>
      <c r="E110" s="4" t="inlineStr">
        <is>
          <t>Utilities</t>
        </is>
      </c>
      <c r="F110" s="4" t="inlineStr">
        <is>
          <t>Debit</t>
        </is>
      </c>
      <c r="G110" s="2" t="n"/>
    </row>
    <row r="111">
      <c r="B111" s="9" t="n">
        <v>45778</v>
      </c>
      <c r="C111" s="4" t="inlineStr">
        <is>
          <t>Chevron</t>
        </is>
      </c>
      <c r="D111" s="10" t="n">
        <v>149.69</v>
      </c>
      <c r="E111" s="4" t="inlineStr">
        <is>
          <t>Gas</t>
        </is>
      </c>
      <c r="F111" s="4" t="inlineStr">
        <is>
          <t>Cash</t>
        </is>
      </c>
      <c r="G111" s="2" t="n"/>
    </row>
    <row r="112">
      <c r="B112" s="9" t="n">
        <v>45780</v>
      </c>
      <c r="C112" s="4" t="inlineStr">
        <is>
          <t>Kroger</t>
        </is>
      </c>
      <c r="D112" s="10" t="n">
        <v>110.24</v>
      </c>
      <c r="E112" s="4" t="inlineStr">
        <is>
          <t>Groceries</t>
        </is>
      </c>
      <c r="F112" s="4" t="inlineStr">
        <is>
          <t>Debit</t>
        </is>
      </c>
      <c r="G112" s="2" t="n"/>
    </row>
    <row r="113">
      <c r="B113" s="9" t="n">
        <v>45806</v>
      </c>
      <c r="C113" s="4" t="inlineStr">
        <is>
          <t>Chipotle</t>
        </is>
      </c>
      <c r="D113" s="10" t="n">
        <v>49.81</v>
      </c>
      <c r="E113" s="4" t="inlineStr">
        <is>
          <t>Dining Out</t>
        </is>
      </c>
      <c r="F113" s="4" t="inlineStr">
        <is>
          <t>Credit</t>
        </is>
      </c>
      <c r="G113" s="2" t="n"/>
    </row>
    <row r="114">
      <c r="B114" s="9" t="n">
        <v>45787</v>
      </c>
      <c r="C114" s="4" t="inlineStr">
        <is>
          <t>Thai Place</t>
        </is>
      </c>
      <c r="D114" s="10" t="n">
        <v>30.84</v>
      </c>
      <c r="E114" s="4" t="inlineStr">
        <is>
          <t>Dining Out</t>
        </is>
      </c>
      <c r="F114" s="4" t="inlineStr">
        <is>
          <t>Cash</t>
        </is>
      </c>
      <c r="G114" s="2" t="n"/>
    </row>
    <row r="115">
      <c r="B115" s="9" t="n">
        <v>45787</v>
      </c>
      <c r="C115" s="4" t="inlineStr">
        <is>
          <t>Starbucks</t>
        </is>
      </c>
      <c r="D115" s="10" t="n">
        <v>6.67</v>
      </c>
      <c r="E115" s="4" t="inlineStr">
        <is>
          <t>Coffee</t>
        </is>
      </c>
      <c r="F115" s="4" t="inlineStr">
        <is>
          <t>Cash</t>
        </is>
      </c>
      <c r="G115" s="2" t="n"/>
    </row>
    <row r="116">
      <c r="B116" s="9" t="n">
        <v>45787</v>
      </c>
      <c r="C116" s="4" t="inlineStr">
        <is>
          <t>Starbucks</t>
        </is>
      </c>
      <c r="D116" s="10" t="n">
        <v>7.76</v>
      </c>
      <c r="E116" s="4" t="inlineStr">
        <is>
          <t>Coffee</t>
        </is>
      </c>
      <c r="F116" s="4" t="inlineStr">
        <is>
          <t>Debit</t>
        </is>
      </c>
      <c r="G116" s="2" t="n"/>
    </row>
    <row r="117">
      <c r="B117" s="9" t="n">
        <v>45786</v>
      </c>
      <c r="C117" s="4" t="inlineStr">
        <is>
          <t>Starbucks</t>
        </is>
      </c>
      <c r="D117" s="10" t="n">
        <v>7.56</v>
      </c>
      <c r="E117" s="4" t="inlineStr">
        <is>
          <t>Coffee</t>
        </is>
      </c>
      <c r="F117" s="4" t="inlineStr">
        <is>
          <t>Cash</t>
        </is>
      </c>
      <c r="G117" s="2" t="n"/>
    </row>
    <row r="118">
      <c r="B118" s="9" t="n">
        <v>45795</v>
      </c>
      <c r="C118" s="4" t="inlineStr">
        <is>
          <t>ParkMobile</t>
        </is>
      </c>
      <c r="D118" s="10" t="n">
        <v>7.72</v>
      </c>
      <c r="E118" s="4" t="inlineStr">
        <is>
          <t>Parking</t>
        </is>
      </c>
      <c r="F118" s="4" t="inlineStr">
        <is>
          <t>Cash</t>
        </is>
      </c>
      <c r="G118" s="2" t="n"/>
    </row>
    <row r="119">
      <c r="B119" s="9" t="n">
        <v>45784</v>
      </c>
      <c r="C119" s="4" t="inlineStr">
        <is>
          <t>Walgreens</t>
        </is>
      </c>
      <c r="D119" s="10" t="n">
        <v>14.07</v>
      </c>
      <c r="E119" s="4" t="inlineStr">
        <is>
          <t>Prescriptions</t>
        </is>
      </c>
      <c r="F119" s="4" t="inlineStr">
        <is>
          <t>Cash</t>
        </is>
      </c>
      <c r="G119" s="2" t="n"/>
    </row>
    <row r="120">
      <c r="B120" s="9" t="n">
        <v>45794</v>
      </c>
      <c r="C120" s="4" t="inlineStr">
        <is>
          <t>Bowling Alley</t>
        </is>
      </c>
      <c r="D120" s="10" t="n">
        <v>31.32</v>
      </c>
      <c r="E120" s="4" t="inlineStr">
        <is>
          <t>Entertainment</t>
        </is>
      </c>
      <c r="F120" s="4" t="inlineStr">
        <is>
          <t>Debit</t>
        </is>
      </c>
      <c r="G120" s="2" t="n"/>
    </row>
    <row r="121">
      <c r="B121" s="9" t="n">
        <v>45809</v>
      </c>
      <c r="C121" s="4" t="inlineStr">
        <is>
          <t>Landlord LLC</t>
        </is>
      </c>
      <c r="D121" s="10" t="n">
        <v>1550</v>
      </c>
      <c r="E121" s="4" t="inlineStr">
        <is>
          <t>Rent/Mortgage</t>
        </is>
      </c>
      <c r="F121" s="4" t="inlineStr">
        <is>
          <t>Credit</t>
        </is>
      </c>
      <c r="G121" s="2" t="n"/>
    </row>
    <row r="122">
      <c r="B122" s="9" t="n">
        <v>45809</v>
      </c>
      <c r="C122" s="4" t="inlineStr">
        <is>
          <t>Lemonade</t>
        </is>
      </c>
      <c r="D122" s="10" t="n">
        <v>25</v>
      </c>
      <c r="E122" s="4" t="inlineStr">
        <is>
          <t>Renters Insurance</t>
        </is>
      </c>
      <c r="F122" s="4" t="inlineStr">
        <is>
          <t>Debit</t>
        </is>
      </c>
      <c r="G122" s="2" t="n"/>
    </row>
    <row r="123">
      <c r="B123" s="9" t="n">
        <v>45813</v>
      </c>
      <c r="C123" s="4" t="inlineStr">
        <is>
          <t>Xfinity</t>
        </is>
      </c>
      <c r="D123" s="10" t="n">
        <v>65</v>
      </c>
      <c r="E123" s="4" t="inlineStr">
        <is>
          <t>Internet</t>
        </is>
      </c>
      <c r="F123" s="4" t="inlineStr">
        <is>
          <t>Credit</t>
        </is>
      </c>
      <c r="G123" s="2" t="n"/>
    </row>
    <row r="124">
      <c r="B124" s="9" t="n">
        <v>45823</v>
      </c>
      <c r="C124" s="4" t="inlineStr">
        <is>
          <t>Honda Finance</t>
        </is>
      </c>
      <c r="D124" s="10" t="n">
        <v>380</v>
      </c>
      <c r="E124" s="4" t="inlineStr">
        <is>
          <t>Car Payment</t>
        </is>
      </c>
      <c r="F124" s="4" t="inlineStr">
        <is>
          <t>Credit</t>
        </is>
      </c>
      <c r="G124" s="2" t="n"/>
    </row>
    <row r="125">
      <c r="B125" s="9" t="n">
        <v>45809</v>
      </c>
      <c r="C125" s="4" t="inlineStr">
        <is>
          <t>Geico</t>
        </is>
      </c>
      <c r="D125" s="10" t="n">
        <v>110</v>
      </c>
      <c r="E125" s="4" t="inlineStr">
        <is>
          <t>Auto Insurance</t>
        </is>
      </c>
      <c r="F125" s="4" t="inlineStr">
        <is>
          <t>Credit</t>
        </is>
      </c>
      <c r="G125" s="2" t="n"/>
    </row>
    <row r="126">
      <c r="B126" s="9" t="n">
        <v>45809</v>
      </c>
      <c r="C126" s="4" t="inlineStr">
        <is>
          <t>Blue Cross</t>
        </is>
      </c>
      <c r="D126" s="10" t="n">
        <v>210</v>
      </c>
      <c r="E126" s="4" t="inlineStr">
        <is>
          <t>Health Insurance</t>
        </is>
      </c>
      <c r="F126" s="4" t="inlineStr">
        <is>
          <t>Debit</t>
        </is>
      </c>
      <c r="G126" s="2" t="n"/>
    </row>
    <row r="127">
      <c r="B127" s="9" t="n">
        <v>45809</v>
      </c>
      <c r="C127" s="4" t="inlineStr">
        <is>
          <t>Planet Fitness</t>
        </is>
      </c>
      <c r="D127" s="10" t="n">
        <v>45</v>
      </c>
      <c r="E127" s="4" t="inlineStr">
        <is>
          <t>Gym</t>
        </is>
      </c>
      <c r="F127" s="4" t="inlineStr">
        <is>
          <t>Debit</t>
        </is>
      </c>
      <c r="G127" s="2" t="n"/>
    </row>
    <row r="128">
      <c r="B128" s="9" t="n">
        <v>45836</v>
      </c>
      <c r="C128" s="4" t="inlineStr">
        <is>
          <t>Navient</t>
        </is>
      </c>
      <c r="D128" s="10" t="n">
        <v>280</v>
      </c>
      <c r="E128" s="4" t="inlineStr">
        <is>
          <t>Student Loan</t>
        </is>
      </c>
      <c r="F128" s="4" t="inlineStr">
        <is>
          <t>Debit</t>
        </is>
      </c>
      <c r="G128" s="2" t="n"/>
    </row>
    <row r="129">
      <c r="B129" s="9" t="n">
        <v>45828</v>
      </c>
      <c r="C129" s="4" t="inlineStr">
        <is>
          <t>Chase Visa Extra</t>
        </is>
      </c>
      <c r="D129" s="10" t="n">
        <v>160</v>
      </c>
      <c r="E129" s="4" t="inlineStr">
        <is>
          <t>Credit Card Extra</t>
        </is>
      </c>
      <c r="F129" s="4" t="inlineStr">
        <is>
          <t>Transfer</t>
        </is>
      </c>
      <c r="G129" s="2" t="n"/>
    </row>
    <row r="130">
      <c r="B130" s="9" t="n">
        <v>45823</v>
      </c>
      <c r="C130" s="4" t="inlineStr">
        <is>
          <t>Transfer to Savings</t>
        </is>
      </c>
      <c r="D130" s="10" t="n">
        <v>300</v>
      </c>
      <c r="E130" s="4" t="inlineStr">
        <is>
          <t>Emergency Fund</t>
        </is>
      </c>
      <c r="F130" s="4" t="inlineStr">
        <is>
          <t>Transfer</t>
        </is>
      </c>
      <c r="G130" s="2" t="n"/>
    </row>
    <row r="131">
      <c r="B131" s="9" t="n">
        <v>45823</v>
      </c>
      <c r="C131" s="4" t="inlineStr">
        <is>
          <t>Vanguard Transfer</t>
        </is>
      </c>
      <c r="D131" s="10" t="n">
        <v>200</v>
      </c>
      <c r="E131" s="4" t="inlineStr">
        <is>
          <t>Retirement Extra</t>
        </is>
      </c>
      <c r="F131" s="4" t="inlineStr">
        <is>
          <t>Transfer</t>
        </is>
      </c>
      <c r="G131" s="2" t="n"/>
    </row>
    <row r="132">
      <c r="B132" s="9" t="n">
        <v>45823</v>
      </c>
      <c r="C132" s="4" t="inlineStr">
        <is>
          <t>Transfer to Vacation</t>
        </is>
      </c>
      <c r="D132" s="10" t="n">
        <v>100</v>
      </c>
      <c r="E132" s="4" t="inlineStr">
        <is>
          <t>Vacation Fund</t>
        </is>
      </c>
      <c r="F132" s="4" t="inlineStr">
        <is>
          <t>Transfer</t>
        </is>
      </c>
      <c r="G132" s="2" t="n"/>
    </row>
    <row r="133">
      <c r="B133" s="9" t="n">
        <v>45810</v>
      </c>
      <c r="C133" s="4" t="inlineStr">
        <is>
          <t>Water Dept</t>
        </is>
      </c>
      <c r="D133" s="10" t="n">
        <v>161.88</v>
      </c>
      <c r="E133" s="4" t="inlineStr">
        <is>
          <t>Utilities</t>
        </is>
      </c>
      <c r="F133" s="4" t="inlineStr">
        <is>
          <t>Debit</t>
        </is>
      </c>
      <c r="G133" s="2" t="n"/>
    </row>
    <row r="134">
      <c r="B134" s="9" t="n">
        <v>45837</v>
      </c>
      <c r="C134" s="4" t="inlineStr">
        <is>
          <t>Chevron</t>
        </is>
      </c>
      <c r="D134" s="10" t="n">
        <v>116.81</v>
      </c>
      <c r="E134" s="4" t="inlineStr">
        <is>
          <t>Gas</t>
        </is>
      </c>
      <c r="F134" s="4" t="inlineStr">
        <is>
          <t>Debit</t>
        </is>
      </c>
      <c r="G134" s="2" t="n"/>
    </row>
    <row r="135">
      <c r="B135" s="9" t="n">
        <v>45812</v>
      </c>
      <c r="C135" s="4" t="inlineStr">
        <is>
          <t>Aldi</t>
        </is>
      </c>
      <c r="D135" s="10" t="n">
        <v>121.2</v>
      </c>
      <c r="E135" s="4" t="inlineStr">
        <is>
          <t>Groceries</t>
        </is>
      </c>
      <c r="F135" s="4" t="inlineStr">
        <is>
          <t>Credit</t>
        </is>
      </c>
      <c r="G135" s="2" t="n"/>
    </row>
    <row r="136">
      <c r="B136" s="9" t="n">
        <v>45828</v>
      </c>
      <c r="C136" s="4" t="inlineStr">
        <is>
          <t>Kroger</t>
        </is>
      </c>
      <c r="D136" s="10" t="n">
        <v>127.03</v>
      </c>
      <c r="E136" s="4" t="inlineStr">
        <is>
          <t>Groceries</t>
        </is>
      </c>
      <c r="F136" s="4" t="inlineStr">
        <is>
          <t>Debit</t>
        </is>
      </c>
      <c r="G136" s="2" t="n"/>
    </row>
    <row r="137">
      <c r="B137" s="9" t="n">
        <v>45836</v>
      </c>
      <c r="C137" s="4" t="inlineStr">
        <is>
          <t>Kroger</t>
        </is>
      </c>
      <c r="D137" s="10" t="n">
        <v>129.05</v>
      </c>
      <c r="E137" s="4" t="inlineStr">
        <is>
          <t>Groceries</t>
        </is>
      </c>
      <c r="F137" s="4" t="inlineStr">
        <is>
          <t>Debit</t>
        </is>
      </c>
      <c r="G137" s="2" t="n"/>
    </row>
    <row r="138">
      <c r="B138" s="9" t="n">
        <v>45809</v>
      </c>
      <c r="C138" s="4" t="inlineStr">
        <is>
          <t>Thai Place</t>
        </is>
      </c>
      <c r="D138" s="10" t="n">
        <v>43.67</v>
      </c>
      <c r="E138" s="4" t="inlineStr">
        <is>
          <t>Dining Out</t>
        </is>
      </c>
      <c r="F138" s="4" t="inlineStr">
        <is>
          <t>Credit</t>
        </is>
      </c>
      <c r="G138" s="2" t="n"/>
    </row>
    <row r="139">
      <c r="B139" s="9" t="n">
        <v>45834</v>
      </c>
      <c r="C139" s="4" t="inlineStr">
        <is>
          <t>Local Bistro</t>
        </is>
      </c>
      <c r="D139" s="10" t="n">
        <v>46.5</v>
      </c>
      <c r="E139" s="4" t="inlineStr">
        <is>
          <t>Dining Out</t>
        </is>
      </c>
      <c r="F139" s="4" t="inlineStr">
        <is>
          <t>Cash</t>
        </is>
      </c>
      <c r="G139" s="2" t="n"/>
    </row>
    <row r="140">
      <c r="B140" s="9" t="n">
        <v>45817</v>
      </c>
      <c r="C140" s="4" t="inlineStr">
        <is>
          <t>Starbucks</t>
        </is>
      </c>
      <c r="D140" s="10" t="n">
        <v>7.15</v>
      </c>
      <c r="E140" s="4" t="inlineStr">
        <is>
          <t>Coffee</t>
        </is>
      </c>
      <c r="F140" s="4" t="inlineStr">
        <is>
          <t>Debit</t>
        </is>
      </c>
      <c r="G140" s="2" t="n"/>
    </row>
    <row r="141">
      <c r="B141" s="9" t="n">
        <v>45821</v>
      </c>
      <c r="C141" s="4" t="inlineStr">
        <is>
          <t>ParkMobile</t>
        </is>
      </c>
      <c r="D141" s="10" t="n">
        <v>13.59</v>
      </c>
      <c r="E141" s="4" t="inlineStr">
        <is>
          <t>Parking</t>
        </is>
      </c>
      <c r="F141" s="4" t="inlineStr">
        <is>
          <t>Debit</t>
        </is>
      </c>
      <c r="G141" s="2" t="n"/>
    </row>
    <row r="142">
      <c r="B142" s="9" t="n">
        <v>45815</v>
      </c>
      <c r="C142" s="4" t="inlineStr">
        <is>
          <t>Walgreens</t>
        </is>
      </c>
      <c r="D142" s="10" t="n">
        <v>16.99</v>
      </c>
      <c r="E142" s="4" t="inlineStr">
        <is>
          <t>Prescriptions</t>
        </is>
      </c>
      <c r="F142" s="4" t="inlineStr">
        <is>
          <t>Debit</t>
        </is>
      </c>
      <c r="G142" s="2" t="n"/>
    </row>
    <row r="143">
      <c r="B143" s="9" t="n">
        <v>45809</v>
      </c>
      <c r="C143" s="4" t="inlineStr">
        <is>
          <t>Great Clips</t>
        </is>
      </c>
      <c r="D143" s="10" t="n">
        <v>27.97</v>
      </c>
      <c r="E143" s="4" t="inlineStr">
        <is>
          <t>Haircuts</t>
        </is>
      </c>
      <c r="F143" s="4" t="inlineStr">
        <is>
          <t>Credit</t>
        </is>
      </c>
      <c r="G143" s="2" t="n"/>
    </row>
    <row r="144">
      <c r="B144" s="9" t="n">
        <v>45839</v>
      </c>
      <c r="C144" s="4" t="inlineStr">
        <is>
          <t>Landlord LLC</t>
        </is>
      </c>
      <c r="D144" s="10" t="n">
        <v>1550</v>
      </c>
      <c r="E144" s="4" t="inlineStr">
        <is>
          <t>Rent/Mortgage</t>
        </is>
      </c>
      <c r="F144" s="4" t="inlineStr">
        <is>
          <t>Credit</t>
        </is>
      </c>
      <c r="G144" s="2" t="n"/>
    </row>
    <row r="145">
      <c r="B145" s="9" t="n">
        <v>45839</v>
      </c>
      <c r="C145" s="4" t="inlineStr">
        <is>
          <t>Lemonade</t>
        </is>
      </c>
      <c r="D145" s="10" t="n">
        <v>25</v>
      </c>
      <c r="E145" s="4" t="inlineStr">
        <is>
          <t>Renters Insurance</t>
        </is>
      </c>
      <c r="F145" s="4" t="inlineStr">
        <is>
          <t>Credit</t>
        </is>
      </c>
      <c r="G145" s="2" t="n"/>
    </row>
    <row r="146">
      <c r="B146" s="9" t="n">
        <v>45843</v>
      </c>
      <c r="C146" s="4" t="inlineStr">
        <is>
          <t>Xfinity</t>
        </is>
      </c>
      <c r="D146" s="10" t="n">
        <v>65</v>
      </c>
      <c r="E146" s="4" t="inlineStr">
        <is>
          <t>Internet</t>
        </is>
      </c>
      <c r="F146" s="4" t="inlineStr">
        <is>
          <t>Debit</t>
        </is>
      </c>
      <c r="G146" s="2" t="n"/>
    </row>
    <row r="147">
      <c r="B147" s="9" t="n">
        <v>45853</v>
      </c>
      <c r="C147" s="4" t="inlineStr">
        <is>
          <t>Honda Finance</t>
        </is>
      </c>
      <c r="D147" s="10" t="n">
        <v>380</v>
      </c>
      <c r="E147" s="4" t="inlineStr">
        <is>
          <t>Car Payment</t>
        </is>
      </c>
      <c r="F147" s="4" t="inlineStr">
        <is>
          <t>Credit</t>
        </is>
      </c>
      <c r="G147" s="2" t="n"/>
    </row>
    <row r="148">
      <c r="B148" s="9" t="n">
        <v>45839</v>
      </c>
      <c r="C148" s="4" t="inlineStr">
        <is>
          <t>Geico</t>
        </is>
      </c>
      <c r="D148" s="10" t="n">
        <v>110</v>
      </c>
      <c r="E148" s="4" t="inlineStr">
        <is>
          <t>Auto Insurance</t>
        </is>
      </c>
      <c r="F148" s="4" t="inlineStr">
        <is>
          <t>Credit</t>
        </is>
      </c>
      <c r="G148" s="2" t="n"/>
    </row>
    <row r="149">
      <c r="B149" s="9" t="n">
        <v>45839</v>
      </c>
      <c r="C149" s="4" t="inlineStr">
        <is>
          <t>Blue Cross</t>
        </is>
      </c>
      <c r="D149" s="10" t="n">
        <v>210</v>
      </c>
      <c r="E149" s="4" t="inlineStr">
        <is>
          <t>Health Insurance</t>
        </is>
      </c>
      <c r="F149" s="4" t="inlineStr">
        <is>
          <t>Debit</t>
        </is>
      </c>
      <c r="G149" s="2" t="n"/>
    </row>
    <row r="150">
      <c r="B150" s="9" t="n">
        <v>45839</v>
      </c>
      <c r="C150" s="4" t="inlineStr">
        <is>
          <t>Planet Fitness</t>
        </is>
      </c>
      <c r="D150" s="10" t="n">
        <v>45</v>
      </c>
      <c r="E150" s="4" t="inlineStr">
        <is>
          <t>Gym</t>
        </is>
      </c>
      <c r="F150" s="4" t="inlineStr">
        <is>
          <t>Credit</t>
        </is>
      </c>
      <c r="G150" s="2" t="n"/>
    </row>
    <row r="151">
      <c r="B151" s="9" t="n">
        <v>45866</v>
      </c>
      <c r="C151" s="4" t="inlineStr">
        <is>
          <t>Navient</t>
        </is>
      </c>
      <c r="D151" s="10" t="n">
        <v>280</v>
      </c>
      <c r="E151" s="4" t="inlineStr">
        <is>
          <t>Student Loan</t>
        </is>
      </c>
      <c r="F151" s="4" t="inlineStr">
        <is>
          <t>Credit</t>
        </is>
      </c>
      <c r="G151" s="2" t="n"/>
    </row>
    <row r="152">
      <c r="B152" s="9" t="n">
        <v>45858</v>
      </c>
      <c r="C152" s="4" t="inlineStr">
        <is>
          <t>Chase Visa Extra</t>
        </is>
      </c>
      <c r="D152" s="10" t="n">
        <v>160</v>
      </c>
      <c r="E152" s="4" t="inlineStr">
        <is>
          <t>Credit Card Extra</t>
        </is>
      </c>
      <c r="F152" s="4" t="inlineStr">
        <is>
          <t>Transfer</t>
        </is>
      </c>
      <c r="G152" s="2" t="n"/>
    </row>
    <row r="153">
      <c r="B153" s="9" t="n">
        <v>45853</v>
      </c>
      <c r="C153" s="4" t="inlineStr">
        <is>
          <t>Transfer to Savings</t>
        </is>
      </c>
      <c r="D153" s="10" t="n">
        <v>300</v>
      </c>
      <c r="E153" s="4" t="inlineStr">
        <is>
          <t>Emergency Fund</t>
        </is>
      </c>
      <c r="F153" s="4" t="inlineStr">
        <is>
          <t>Transfer</t>
        </is>
      </c>
      <c r="G153" s="2" t="n"/>
    </row>
    <row r="154">
      <c r="B154" s="9" t="n">
        <v>45853</v>
      </c>
      <c r="C154" s="4" t="inlineStr">
        <is>
          <t>Vanguard Transfer</t>
        </is>
      </c>
      <c r="D154" s="10" t="n">
        <v>200</v>
      </c>
      <c r="E154" s="4" t="inlineStr">
        <is>
          <t>Retirement Extra</t>
        </is>
      </c>
      <c r="F154" s="4" t="inlineStr">
        <is>
          <t>Transfer</t>
        </is>
      </c>
      <c r="G154" s="2" t="n"/>
    </row>
    <row r="155">
      <c r="B155" s="9" t="n">
        <v>45853</v>
      </c>
      <c r="C155" s="4" t="inlineStr">
        <is>
          <t>Transfer to Vacation</t>
        </is>
      </c>
      <c r="D155" s="10" t="n">
        <v>100</v>
      </c>
      <c r="E155" s="4" t="inlineStr">
        <is>
          <t>Vacation Fund</t>
        </is>
      </c>
      <c r="F155" s="4" t="inlineStr">
        <is>
          <t>Transfer</t>
        </is>
      </c>
      <c r="G155" s="2" t="n"/>
    </row>
    <row r="156">
      <c r="B156" s="9" t="n">
        <v>45840</v>
      </c>
      <c r="C156" s="4" t="inlineStr">
        <is>
          <t>Water Dept</t>
        </is>
      </c>
      <c r="D156" s="10" t="n">
        <v>140.1</v>
      </c>
      <c r="E156" s="4" t="inlineStr">
        <is>
          <t>Utilities</t>
        </is>
      </c>
      <c r="F156" s="4" t="inlineStr">
        <is>
          <t>Cash</t>
        </is>
      </c>
      <c r="G156" s="2" t="n"/>
    </row>
    <row r="157">
      <c r="B157" s="9" t="n">
        <v>45860</v>
      </c>
      <c r="C157" s="4" t="inlineStr">
        <is>
          <t>Costco Gas</t>
        </is>
      </c>
      <c r="D157" s="10" t="n">
        <v>175.22</v>
      </c>
      <c r="E157" s="4" t="inlineStr">
        <is>
          <t>Gas</t>
        </is>
      </c>
      <c r="F157" s="4" t="inlineStr">
        <is>
          <t>Cash</t>
        </is>
      </c>
      <c r="G157" s="2" t="n"/>
    </row>
    <row r="158">
      <c r="B158" s="9" t="n">
        <v>45845</v>
      </c>
      <c r="C158" s="4" t="inlineStr">
        <is>
          <t>Aldi</t>
        </is>
      </c>
      <c r="D158" s="10" t="n">
        <v>107.25</v>
      </c>
      <c r="E158" s="4" t="inlineStr">
        <is>
          <t>Groceries</t>
        </is>
      </c>
      <c r="F158" s="4" t="inlineStr">
        <is>
          <t>Cash</t>
        </is>
      </c>
      <c r="G158" s="2" t="n"/>
    </row>
    <row r="159">
      <c r="B159" s="9" t="n">
        <v>45868</v>
      </c>
      <c r="C159" s="4" t="inlineStr">
        <is>
          <t>Aldi</t>
        </is>
      </c>
      <c r="D159" s="10" t="n">
        <v>114.93</v>
      </c>
      <c r="E159" s="4" t="inlineStr">
        <is>
          <t>Groceries</t>
        </is>
      </c>
      <c r="F159" s="4" t="inlineStr">
        <is>
          <t>Cash</t>
        </is>
      </c>
      <c r="G159" s="2" t="n"/>
    </row>
    <row r="160">
      <c r="B160" s="9" t="n">
        <v>45866</v>
      </c>
      <c r="C160" s="4" t="inlineStr">
        <is>
          <t>Trader Joes</t>
        </is>
      </c>
      <c r="D160" s="10" t="n">
        <v>118.79</v>
      </c>
      <c r="E160" s="4" t="inlineStr">
        <is>
          <t>Groceries</t>
        </is>
      </c>
      <c r="F160" s="4" t="inlineStr">
        <is>
          <t>Credit</t>
        </is>
      </c>
      <c r="G160" s="2" t="n"/>
    </row>
    <row r="161">
      <c r="B161" s="9" t="n">
        <v>45848</v>
      </c>
      <c r="C161" s="4" t="inlineStr">
        <is>
          <t>Local Bistro</t>
        </is>
      </c>
      <c r="D161" s="10" t="n">
        <v>26.03</v>
      </c>
      <c r="E161" s="4" t="inlineStr">
        <is>
          <t>Dining Out</t>
        </is>
      </c>
      <c r="F161" s="4" t="inlineStr">
        <is>
          <t>Cash</t>
        </is>
      </c>
      <c r="G161" s="2" t="n"/>
    </row>
    <row r="162">
      <c r="B162" s="9" t="n">
        <v>45848</v>
      </c>
      <c r="C162" s="4" t="inlineStr">
        <is>
          <t>Thai Place</t>
        </is>
      </c>
      <c r="D162" s="10" t="n">
        <v>20.25</v>
      </c>
      <c r="E162" s="4" t="inlineStr">
        <is>
          <t>Dining Out</t>
        </is>
      </c>
      <c r="F162" s="4" t="inlineStr">
        <is>
          <t>Cash</t>
        </is>
      </c>
      <c r="G162" s="2" t="n"/>
    </row>
    <row r="163">
      <c r="B163" s="9" t="n">
        <v>45869</v>
      </c>
      <c r="C163" s="4" t="inlineStr">
        <is>
          <t>Local Bistro</t>
        </is>
      </c>
      <c r="D163" s="10" t="n">
        <v>41.12</v>
      </c>
      <c r="E163" s="4" t="inlineStr">
        <is>
          <t>Dining Out</t>
        </is>
      </c>
      <c r="F163" s="4" t="inlineStr">
        <is>
          <t>Debit</t>
        </is>
      </c>
      <c r="G163" s="2" t="n"/>
    </row>
    <row r="164">
      <c r="B164" s="9" t="n">
        <v>45857</v>
      </c>
      <c r="C164" s="4" t="inlineStr">
        <is>
          <t>Local Roast</t>
        </is>
      </c>
      <c r="D164" s="10" t="n">
        <v>5.62</v>
      </c>
      <c r="E164" s="4" t="inlineStr">
        <is>
          <t>Coffee</t>
        </is>
      </c>
      <c r="F164" s="4" t="inlineStr">
        <is>
          <t>Debit</t>
        </is>
      </c>
      <c r="G164" s="2" t="n"/>
    </row>
    <row r="165">
      <c r="B165" s="9" t="n">
        <v>45848</v>
      </c>
      <c r="C165" s="4" t="inlineStr">
        <is>
          <t>Local Roast</t>
        </is>
      </c>
      <c r="D165" s="10" t="n">
        <v>4.84</v>
      </c>
      <c r="E165" s="4" t="inlineStr">
        <is>
          <t>Coffee</t>
        </is>
      </c>
      <c r="F165" s="4" t="inlineStr">
        <is>
          <t>Cash</t>
        </is>
      </c>
      <c r="G165" s="2" t="n"/>
    </row>
    <row r="166">
      <c r="B166" s="9" t="n">
        <v>45858</v>
      </c>
      <c r="C166" s="4" t="inlineStr">
        <is>
          <t>Local Roast</t>
        </is>
      </c>
      <c r="D166" s="10" t="n">
        <v>5.86</v>
      </c>
      <c r="E166" s="4" t="inlineStr">
        <is>
          <t>Coffee</t>
        </is>
      </c>
      <c r="F166" s="4" t="inlineStr">
        <is>
          <t>Credit</t>
        </is>
      </c>
      <c r="G166" s="2" t="n"/>
    </row>
    <row r="167">
      <c r="B167" s="9" t="n">
        <v>45860</v>
      </c>
      <c r="C167" s="4" t="inlineStr">
        <is>
          <t>ParkMobile</t>
        </is>
      </c>
      <c r="D167" s="10" t="n">
        <v>10.11</v>
      </c>
      <c r="E167" s="4" t="inlineStr">
        <is>
          <t>Parking</t>
        </is>
      </c>
      <c r="F167" s="4" t="inlineStr">
        <is>
          <t>Cash</t>
        </is>
      </c>
      <c r="G167" s="2" t="n"/>
    </row>
    <row r="168">
      <c r="B168" s="9" t="n">
        <v>45844</v>
      </c>
      <c r="C168" s="4" t="inlineStr">
        <is>
          <t>CVS</t>
        </is>
      </c>
      <c r="D168" s="10" t="n">
        <v>15.68</v>
      </c>
      <c r="E168" s="4" t="inlineStr">
        <is>
          <t>Prescriptions</t>
        </is>
      </c>
      <c r="F168" s="4" t="inlineStr">
        <is>
          <t>Cash</t>
        </is>
      </c>
      <c r="G168" s="2" t="n"/>
    </row>
    <row r="169">
      <c r="B169" s="9" t="n">
        <v>45858</v>
      </c>
      <c r="C169" s="4" t="inlineStr">
        <is>
          <t>Discount Tire</t>
        </is>
      </c>
      <c r="D169" s="10" t="n">
        <v>45.88</v>
      </c>
      <c r="E169" s="4" t="inlineStr">
        <is>
          <t>Maintenance</t>
        </is>
      </c>
      <c r="F169" s="4" t="inlineStr">
        <is>
          <t>Debit</t>
        </is>
      </c>
      <c r="G169" s="2" t="n"/>
    </row>
    <row r="170">
      <c r="B170" s="9" t="n">
        <v>45870</v>
      </c>
      <c r="C170" s="4" t="inlineStr">
        <is>
          <t>Landlord LLC</t>
        </is>
      </c>
      <c r="D170" s="10" t="n">
        <v>1550</v>
      </c>
      <c r="E170" s="4" t="inlineStr">
        <is>
          <t>Rent/Mortgage</t>
        </is>
      </c>
      <c r="F170" s="4" t="inlineStr">
        <is>
          <t>Debit</t>
        </is>
      </c>
      <c r="G170" s="2" t="n"/>
    </row>
    <row r="171">
      <c r="B171" s="9" t="n">
        <v>45870</v>
      </c>
      <c r="C171" s="4" t="inlineStr">
        <is>
          <t>Lemonade</t>
        </is>
      </c>
      <c r="D171" s="10" t="n">
        <v>25</v>
      </c>
      <c r="E171" s="4" t="inlineStr">
        <is>
          <t>Renters Insurance</t>
        </is>
      </c>
      <c r="F171" s="4" t="inlineStr">
        <is>
          <t>Debit</t>
        </is>
      </c>
      <c r="G171" s="2" t="n"/>
    </row>
    <row r="172">
      <c r="B172" s="9" t="n">
        <v>45874</v>
      </c>
      <c r="C172" s="4" t="inlineStr">
        <is>
          <t>Xfinity</t>
        </is>
      </c>
      <c r="D172" s="10" t="n">
        <v>65</v>
      </c>
      <c r="E172" s="4" t="inlineStr">
        <is>
          <t>Internet</t>
        </is>
      </c>
      <c r="F172" s="4" t="inlineStr">
        <is>
          <t>Debit</t>
        </is>
      </c>
      <c r="G172" s="2" t="n"/>
    </row>
    <row r="173">
      <c r="B173" s="9" t="n">
        <v>45884</v>
      </c>
      <c r="C173" s="4" t="inlineStr">
        <is>
          <t>Honda Finance</t>
        </is>
      </c>
      <c r="D173" s="10" t="n">
        <v>380</v>
      </c>
      <c r="E173" s="4" t="inlineStr">
        <is>
          <t>Car Payment</t>
        </is>
      </c>
      <c r="F173" s="4" t="inlineStr">
        <is>
          <t>Credit</t>
        </is>
      </c>
      <c r="G173" s="2" t="n"/>
    </row>
    <row r="174">
      <c r="B174" s="9" t="n">
        <v>45870</v>
      </c>
      <c r="C174" s="4" t="inlineStr">
        <is>
          <t>Geico</t>
        </is>
      </c>
      <c r="D174" s="10" t="n">
        <v>110</v>
      </c>
      <c r="E174" s="4" t="inlineStr">
        <is>
          <t>Auto Insurance</t>
        </is>
      </c>
      <c r="F174" s="4" t="inlineStr">
        <is>
          <t>Credit</t>
        </is>
      </c>
      <c r="G174" s="2" t="n"/>
    </row>
    <row r="175">
      <c r="B175" s="9" t="n">
        <v>45870</v>
      </c>
      <c r="C175" s="4" t="inlineStr">
        <is>
          <t>Blue Cross</t>
        </is>
      </c>
      <c r="D175" s="10" t="n">
        <v>210</v>
      </c>
      <c r="E175" s="4" t="inlineStr">
        <is>
          <t>Health Insurance</t>
        </is>
      </c>
      <c r="F175" s="4" t="inlineStr">
        <is>
          <t>Debit</t>
        </is>
      </c>
      <c r="G175" s="2" t="n"/>
    </row>
    <row r="176">
      <c r="B176" s="9" t="n">
        <v>45870</v>
      </c>
      <c r="C176" s="4" t="inlineStr">
        <is>
          <t>Planet Fitness</t>
        </is>
      </c>
      <c r="D176" s="10" t="n">
        <v>45</v>
      </c>
      <c r="E176" s="4" t="inlineStr">
        <is>
          <t>Gym</t>
        </is>
      </c>
      <c r="F176" s="4" t="inlineStr">
        <is>
          <t>Credit</t>
        </is>
      </c>
      <c r="G176" s="2" t="n"/>
    </row>
    <row r="177">
      <c r="B177" s="9" t="n">
        <v>45897</v>
      </c>
      <c r="C177" s="4" t="inlineStr">
        <is>
          <t>Navient</t>
        </is>
      </c>
      <c r="D177" s="10" t="n">
        <v>280</v>
      </c>
      <c r="E177" s="4" t="inlineStr">
        <is>
          <t>Student Loan</t>
        </is>
      </c>
      <c r="F177" s="4" t="inlineStr">
        <is>
          <t>Debit</t>
        </is>
      </c>
      <c r="G177" s="2" t="n"/>
    </row>
    <row r="178">
      <c r="B178" s="9" t="n">
        <v>45889</v>
      </c>
      <c r="C178" s="4" t="inlineStr">
        <is>
          <t>Chase Visa Extra</t>
        </is>
      </c>
      <c r="D178" s="10" t="n">
        <v>160</v>
      </c>
      <c r="E178" s="4" t="inlineStr">
        <is>
          <t>Credit Card Extra</t>
        </is>
      </c>
      <c r="F178" s="4" t="inlineStr">
        <is>
          <t>Transfer</t>
        </is>
      </c>
      <c r="G178" s="2" t="n"/>
    </row>
    <row r="179">
      <c r="B179" s="9" t="n">
        <v>45884</v>
      </c>
      <c r="C179" s="4" t="inlineStr">
        <is>
          <t>Transfer to Savings</t>
        </is>
      </c>
      <c r="D179" s="10" t="n">
        <v>300</v>
      </c>
      <c r="E179" s="4" t="inlineStr">
        <is>
          <t>Emergency Fund</t>
        </is>
      </c>
      <c r="F179" s="4" t="inlineStr">
        <is>
          <t>Transfer</t>
        </is>
      </c>
      <c r="G179" s="2" t="n"/>
    </row>
    <row r="180">
      <c r="B180" s="9" t="n">
        <v>45884</v>
      </c>
      <c r="C180" s="4" t="inlineStr">
        <is>
          <t>Vanguard Transfer</t>
        </is>
      </c>
      <c r="D180" s="10" t="n">
        <v>200</v>
      </c>
      <c r="E180" s="4" t="inlineStr">
        <is>
          <t>Retirement Extra</t>
        </is>
      </c>
      <c r="F180" s="4" t="inlineStr">
        <is>
          <t>Transfer</t>
        </is>
      </c>
      <c r="G180" s="2" t="n"/>
    </row>
    <row r="181">
      <c r="B181" s="9" t="n">
        <v>45884</v>
      </c>
      <c r="C181" s="4" t="inlineStr">
        <is>
          <t>Transfer to Vacation</t>
        </is>
      </c>
      <c r="D181" s="10" t="n">
        <v>100</v>
      </c>
      <c r="E181" s="4" t="inlineStr">
        <is>
          <t>Vacation Fund</t>
        </is>
      </c>
      <c r="F181" s="4" t="inlineStr">
        <is>
          <t>Transfer</t>
        </is>
      </c>
      <c r="G181" s="2" t="n"/>
    </row>
    <row r="182">
      <c r="B182" s="9" t="n">
        <v>45877</v>
      </c>
      <c r="C182" s="4" t="inlineStr">
        <is>
          <t>City Power</t>
        </is>
      </c>
      <c r="D182" s="10" t="n">
        <v>188.25</v>
      </c>
      <c r="E182" s="4" t="inlineStr">
        <is>
          <t>Utilities</t>
        </is>
      </c>
      <c r="F182" s="4" t="inlineStr">
        <is>
          <t>Cash</t>
        </is>
      </c>
      <c r="G182" s="2" t="n"/>
    </row>
    <row r="183">
      <c r="B183" s="9" t="n">
        <v>45886</v>
      </c>
      <c r="C183" s="4" t="inlineStr">
        <is>
          <t>Chevron</t>
        </is>
      </c>
      <c r="D183" s="10" t="n">
        <v>104.02</v>
      </c>
      <c r="E183" s="4" t="inlineStr">
        <is>
          <t>Gas</t>
        </is>
      </c>
      <c r="F183" s="4" t="inlineStr">
        <is>
          <t>Debit</t>
        </is>
      </c>
      <c r="G183" s="2" t="n"/>
    </row>
    <row r="184">
      <c r="B184" s="9" t="n">
        <v>45884</v>
      </c>
      <c r="C184" s="4" t="inlineStr">
        <is>
          <t>Kroger</t>
        </is>
      </c>
      <c r="D184" s="10" t="n">
        <v>122.06</v>
      </c>
      <c r="E184" s="4" t="inlineStr">
        <is>
          <t>Groceries</t>
        </is>
      </c>
      <c r="F184" s="4" t="inlineStr">
        <is>
          <t>Cash</t>
        </is>
      </c>
      <c r="G184" s="2" t="n"/>
    </row>
    <row r="185">
      <c r="B185" s="9" t="n">
        <v>45887</v>
      </c>
      <c r="C185" s="4" t="inlineStr">
        <is>
          <t>Pizza Hut</t>
        </is>
      </c>
      <c r="D185" s="10" t="n">
        <v>52.85</v>
      </c>
      <c r="E185" s="4" t="inlineStr">
        <is>
          <t>Dining Out</t>
        </is>
      </c>
      <c r="F185" s="4" t="inlineStr">
        <is>
          <t>Credit</t>
        </is>
      </c>
      <c r="G185" s="2" t="n"/>
    </row>
    <row r="186">
      <c r="B186" s="9" t="n">
        <v>45889</v>
      </c>
      <c r="C186" s="4" t="inlineStr">
        <is>
          <t>Local Bistro</t>
        </is>
      </c>
      <c r="D186" s="10" t="n">
        <v>47.71</v>
      </c>
      <c r="E186" s="4" t="inlineStr">
        <is>
          <t>Dining Out</t>
        </is>
      </c>
      <c r="F186" s="4" t="inlineStr">
        <is>
          <t>Cash</t>
        </is>
      </c>
      <c r="G186" s="2" t="n"/>
    </row>
    <row r="187">
      <c r="B187" s="9" t="n">
        <v>45884</v>
      </c>
      <c r="C187" s="4" t="inlineStr">
        <is>
          <t>Thai Place</t>
        </is>
      </c>
      <c r="D187" s="10" t="n">
        <v>43.98</v>
      </c>
      <c r="E187" s="4" t="inlineStr">
        <is>
          <t>Dining Out</t>
        </is>
      </c>
      <c r="F187" s="4" t="inlineStr">
        <is>
          <t>Credit</t>
        </is>
      </c>
      <c r="G187" s="2" t="n"/>
    </row>
    <row r="188">
      <c r="B188" s="9" t="n">
        <v>45878</v>
      </c>
      <c r="C188" s="4" t="inlineStr">
        <is>
          <t>Starbucks</t>
        </is>
      </c>
      <c r="D188" s="10" t="n">
        <v>7.36</v>
      </c>
      <c r="E188" s="4" t="inlineStr">
        <is>
          <t>Coffee</t>
        </is>
      </c>
      <c r="F188" s="4" t="inlineStr">
        <is>
          <t>Credit</t>
        </is>
      </c>
      <c r="G188" s="2" t="n"/>
    </row>
    <row r="189">
      <c r="B189" s="9" t="n">
        <v>45894</v>
      </c>
      <c r="C189" s="4" t="inlineStr">
        <is>
          <t>Local Roast</t>
        </is>
      </c>
      <c r="D189" s="10" t="n">
        <v>6.51</v>
      </c>
      <c r="E189" s="4" t="inlineStr">
        <is>
          <t>Coffee</t>
        </is>
      </c>
      <c r="F189" s="4" t="inlineStr">
        <is>
          <t>Credit</t>
        </is>
      </c>
      <c r="G189" s="2" t="n"/>
    </row>
    <row r="190">
      <c r="B190" s="9" t="n">
        <v>45884</v>
      </c>
      <c r="C190" s="4" t="inlineStr">
        <is>
          <t>ParkMobile</t>
        </is>
      </c>
      <c r="D190" s="10" t="n">
        <v>12.14</v>
      </c>
      <c r="E190" s="4" t="inlineStr">
        <is>
          <t>Parking</t>
        </is>
      </c>
      <c r="F190" s="4" t="inlineStr">
        <is>
          <t>Debit</t>
        </is>
      </c>
      <c r="G190" s="2" t="n"/>
    </row>
    <row r="191">
      <c r="B191" s="9" t="n">
        <v>45878</v>
      </c>
      <c r="C191" s="4" t="inlineStr">
        <is>
          <t>Walgreens</t>
        </is>
      </c>
      <c r="D191" s="10" t="n">
        <v>16.39</v>
      </c>
      <c r="E191" s="4" t="inlineStr">
        <is>
          <t>Prescriptions</t>
        </is>
      </c>
      <c r="F191" s="4" t="inlineStr">
        <is>
          <t>Cash</t>
        </is>
      </c>
      <c r="G191" s="2" t="n"/>
    </row>
    <row r="192">
      <c r="B192" s="9" t="n">
        <v>45874</v>
      </c>
      <c r="C192" s="4" t="inlineStr">
        <is>
          <t>Target</t>
        </is>
      </c>
      <c r="D192" s="10" t="n">
        <v>54.66</v>
      </c>
      <c r="E192" s="4" t="inlineStr">
        <is>
          <t>Clothing</t>
        </is>
      </c>
      <c r="F192" s="4" t="inlineStr">
        <is>
          <t>Cash</t>
        </is>
      </c>
      <c r="G192" s="2" t="n"/>
    </row>
    <row r="193">
      <c r="B193" s="9" t="n">
        <v>45901</v>
      </c>
      <c r="C193" s="4" t="inlineStr">
        <is>
          <t>Landlord LLC</t>
        </is>
      </c>
      <c r="D193" s="10" t="n">
        <v>1550</v>
      </c>
      <c r="E193" s="4" t="inlineStr">
        <is>
          <t>Rent/Mortgage</t>
        </is>
      </c>
      <c r="F193" s="4" t="inlineStr">
        <is>
          <t>Debit</t>
        </is>
      </c>
      <c r="G193" s="2" t="n"/>
    </row>
    <row r="194">
      <c r="B194" s="9" t="n">
        <v>45901</v>
      </c>
      <c r="C194" s="4" t="inlineStr">
        <is>
          <t>Lemonade</t>
        </is>
      </c>
      <c r="D194" s="10" t="n">
        <v>25</v>
      </c>
      <c r="E194" s="4" t="inlineStr">
        <is>
          <t>Renters Insurance</t>
        </is>
      </c>
      <c r="F194" s="4" t="inlineStr">
        <is>
          <t>Credit</t>
        </is>
      </c>
      <c r="G194" s="2" t="n"/>
    </row>
    <row r="195">
      <c r="B195" s="9" t="n">
        <v>45905</v>
      </c>
      <c r="C195" s="4" t="inlineStr">
        <is>
          <t>Xfinity</t>
        </is>
      </c>
      <c r="D195" s="10" t="n">
        <v>65</v>
      </c>
      <c r="E195" s="4" t="inlineStr">
        <is>
          <t>Internet</t>
        </is>
      </c>
      <c r="F195" s="4" t="inlineStr">
        <is>
          <t>Credit</t>
        </is>
      </c>
      <c r="G195" s="2" t="n"/>
    </row>
    <row r="196">
      <c r="B196" s="9" t="n">
        <v>45915</v>
      </c>
      <c r="C196" s="4" t="inlineStr">
        <is>
          <t>Honda Finance</t>
        </is>
      </c>
      <c r="D196" s="10" t="n">
        <v>380</v>
      </c>
      <c r="E196" s="4" t="inlineStr">
        <is>
          <t>Car Payment</t>
        </is>
      </c>
      <c r="F196" s="4" t="inlineStr">
        <is>
          <t>Credit</t>
        </is>
      </c>
      <c r="G196" s="2" t="n"/>
    </row>
    <row r="197">
      <c r="B197" s="9" t="n">
        <v>45901</v>
      </c>
      <c r="C197" s="4" t="inlineStr">
        <is>
          <t>Geico</t>
        </is>
      </c>
      <c r="D197" s="10" t="n">
        <v>110</v>
      </c>
      <c r="E197" s="4" t="inlineStr">
        <is>
          <t>Auto Insurance</t>
        </is>
      </c>
      <c r="F197" s="4" t="inlineStr">
        <is>
          <t>Debit</t>
        </is>
      </c>
      <c r="G197" s="2" t="n"/>
    </row>
    <row r="198">
      <c r="B198" s="9" t="n">
        <v>45901</v>
      </c>
      <c r="C198" s="4" t="inlineStr">
        <is>
          <t>Blue Cross</t>
        </is>
      </c>
      <c r="D198" s="10" t="n">
        <v>210</v>
      </c>
      <c r="E198" s="4" t="inlineStr">
        <is>
          <t>Health Insurance</t>
        </is>
      </c>
      <c r="F198" s="4" t="inlineStr">
        <is>
          <t>Credit</t>
        </is>
      </c>
      <c r="G198" s="2" t="n"/>
    </row>
    <row r="199">
      <c r="B199" s="9" t="n">
        <v>45901</v>
      </c>
      <c r="C199" s="4" t="inlineStr">
        <is>
          <t>Planet Fitness</t>
        </is>
      </c>
      <c r="D199" s="10" t="n">
        <v>45</v>
      </c>
      <c r="E199" s="4" t="inlineStr">
        <is>
          <t>Gym</t>
        </is>
      </c>
      <c r="F199" s="4" t="inlineStr">
        <is>
          <t>Credit</t>
        </is>
      </c>
      <c r="G199" s="2" t="n"/>
    </row>
    <row r="200">
      <c r="B200" s="9" t="n">
        <v>45928</v>
      </c>
      <c r="C200" s="4" t="inlineStr">
        <is>
          <t>Navient</t>
        </is>
      </c>
      <c r="D200" s="10" t="n">
        <v>280</v>
      </c>
      <c r="E200" s="4" t="inlineStr">
        <is>
          <t>Student Loan</t>
        </is>
      </c>
      <c r="F200" s="4" t="inlineStr">
        <is>
          <t>Debit</t>
        </is>
      </c>
      <c r="G200" s="2" t="n"/>
    </row>
    <row r="201">
      <c r="B201" s="9" t="n">
        <v>45920</v>
      </c>
      <c r="C201" s="4" t="inlineStr">
        <is>
          <t>Chase Visa Extra</t>
        </is>
      </c>
      <c r="D201" s="10" t="n">
        <v>160</v>
      </c>
      <c r="E201" s="4" t="inlineStr">
        <is>
          <t>Credit Card Extra</t>
        </is>
      </c>
      <c r="F201" s="4" t="inlineStr">
        <is>
          <t>Transfer</t>
        </is>
      </c>
      <c r="G201" s="2" t="n"/>
    </row>
    <row r="202">
      <c r="B202" s="9" t="n">
        <v>45915</v>
      </c>
      <c r="C202" s="4" t="inlineStr">
        <is>
          <t>Transfer to Savings</t>
        </is>
      </c>
      <c r="D202" s="10" t="n">
        <v>300</v>
      </c>
      <c r="E202" s="4" t="inlineStr">
        <is>
          <t>Emergency Fund</t>
        </is>
      </c>
      <c r="F202" s="4" t="inlineStr">
        <is>
          <t>Transfer</t>
        </is>
      </c>
      <c r="G202" s="2" t="n"/>
    </row>
    <row r="203">
      <c r="B203" s="9" t="n">
        <v>45915</v>
      </c>
      <c r="C203" s="4" t="inlineStr">
        <is>
          <t>Vanguard Transfer</t>
        </is>
      </c>
      <c r="D203" s="10" t="n">
        <v>200</v>
      </c>
      <c r="E203" s="4" t="inlineStr">
        <is>
          <t>Retirement Extra</t>
        </is>
      </c>
      <c r="F203" s="4" t="inlineStr">
        <is>
          <t>Transfer</t>
        </is>
      </c>
      <c r="G203" s="2" t="n"/>
    </row>
    <row r="204">
      <c r="B204" s="9" t="n">
        <v>45915</v>
      </c>
      <c r="C204" s="4" t="inlineStr">
        <is>
          <t>Transfer to Vacation</t>
        </is>
      </c>
      <c r="D204" s="10" t="n">
        <v>100</v>
      </c>
      <c r="E204" s="4" t="inlineStr">
        <is>
          <t>Vacation Fund</t>
        </is>
      </c>
      <c r="F204" s="4" t="inlineStr">
        <is>
          <t>Transfer</t>
        </is>
      </c>
      <c r="G204" s="2" t="n"/>
    </row>
    <row r="205">
      <c r="B205" s="9" t="n">
        <v>45918</v>
      </c>
      <c r="C205" s="4" t="inlineStr">
        <is>
          <t>City Power</t>
        </is>
      </c>
      <c r="D205" s="10" t="n">
        <v>169.29</v>
      </c>
      <c r="E205" s="4" t="inlineStr">
        <is>
          <t>Utilities</t>
        </is>
      </c>
      <c r="F205" s="4" t="inlineStr">
        <is>
          <t>Credit</t>
        </is>
      </c>
      <c r="G205" s="2" t="n"/>
    </row>
    <row r="206">
      <c r="B206" s="9" t="n">
        <v>45914</v>
      </c>
      <c r="C206" s="4" t="inlineStr">
        <is>
          <t>Chevron</t>
        </is>
      </c>
      <c r="D206" s="10" t="n">
        <v>102.32</v>
      </c>
      <c r="E206" s="4" t="inlineStr">
        <is>
          <t>Gas</t>
        </is>
      </c>
      <c r="F206" s="4" t="inlineStr">
        <is>
          <t>Credit</t>
        </is>
      </c>
      <c r="G206" s="2" t="n"/>
    </row>
    <row r="207">
      <c r="B207" s="9" t="n">
        <v>45922</v>
      </c>
      <c r="C207" s="4" t="inlineStr">
        <is>
          <t>Costco</t>
        </is>
      </c>
      <c r="D207" s="10" t="n">
        <v>118.97</v>
      </c>
      <c r="E207" s="4" t="inlineStr">
        <is>
          <t>Groceries</t>
        </is>
      </c>
      <c r="F207" s="4" t="inlineStr">
        <is>
          <t>Credit</t>
        </is>
      </c>
      <c r="G207" s="2" t="n"/>
    </row>
    <row r="208">
      <c r="B208" s="9" t="n">
        <v>45930</v>
      </c>
      <c r="C208" s="4" t="inlineStr">
        <is>
          <t>Kroger</t>
        </is>
      </c>
      <c r="D208" s="10" t="n">
        <v>129.23</v>
      </c>
      <c r="E208" s="4" t="inlineStr">
        <is>
          <t>Groceries</t>
        </is>
      </c>
      <c r="F208" s="4" t="inlineStr">
        <is>
          <t>Cash</t>
        </is>
      </c>
      <c r="G208" s="2" t="n"/>
    </row>
    <row r="209">
      <c r="B209" s="9" t="n">
        <v>45901</v>
      </c>
      <c r="C209" s="4" t="inlineStr">
        <is>
          <t>Costco</t>
        </is>
      </c>
      <c r="D209" s="10" t="n">
        <v>113.68</v>
      </c>
      <c r="E209" s="4" t="inlineStr">
        <is>
          <t>Groceries</t>
        </is>
      </c>
      <c r="F209" s="4" t="inlineStr">
        <is>
          <t>Cash</t>
        </is>
      </c>
      <c r="G209" s="2" t="n"/>
    </row>
    <row r="210">
      <c r="B210" s="9" t="n">
        <v>45903</v>
      </c>
      <c r="C210" s="4" t="inlineStr">
        <is>
          <t>Local Bistro</t>
        </is>
      </c>
      <c r="D210" s="10" t="n">
        <v>17.84</v>
      </c>
      <c r="E210" s="4" t="inlineStr">
        <is>
          <t>Dining Out</t>
        </is>
      </c>
      <c r="F210" s="4" t="inlineStr">
        <is>
          <t>Credit</t>
        </is>
      </c>
      <c r="G210" s="2" t="n"/>
    </row>
    <row r="211">
      <c r="B211" s="9" t="n">
        <v>45902</v>
      </c>
      <c r="C211" s="4" t="inlineStr">
        <is>
          <t>Local Roast</t>
        </is>
      </c>
      <c r="D211" s="10" t="n">
        <v>5.52</v>
      </c>
      <c r="E211" s="4" t="inlineStr">
        <is>
          <t>Coffee</t>
        </is>
      </c>
      <c r="F211" s="4" t="inlineStr">
        <is>
          <t>Debit</t>
        </is>
      </c>
      <c r="G211" s="2" t="n"/>
    </row>
    <row r="212">
      <c r="B212" s="9" t="n">
        <v>45915</v>
      </c>
      <c r="C212" s="4" t="inlineStr">
        <is>
          <t>City Garage</t>
        </is>
      </c>
      <c r="D212" s="10" t="n">
        <v>8.380000000000001</v>
      </c>
      <c r="E212" s="4" t="inlineStr">
        <is>
          <t>Parking</t>
        </is>
      </c>
      <c r="F212" s="4" t="inlineStr">
        <is>
          <t>Credit</t>
        </is>
      </c>
      <c r="G212" s="2" t="n"/>
    </row>
    <row r="213">
      <c r="B213" s="9" t="n">
        <v>45909</v>
      </c>
      <c r="C213" s="4" t="inlineStr">
        <is>
          <t>Walgreens</t>
        </is>
      </c>
      <c r="D213" s="10" t="n">
        <v>15.05</v>
      </c>
      <c r="E213" s="4" t="inlineStr">
        <is>
          <t>Prescriptions</t>
        </is>
      </c>
      <c r="F213" s="4" t="inlineStr">
        <is>
          <t>Debit</t>
        </is>
      </c>
      <c r="G213" s="2" t="n"/>
    </row>
    <row r="214">
      <c r="B214" s="9" t="n">
        <v>45901</v>
      </c>
      <c r="C214" s="4" t="inlineStr">
        <is>
          <t>Target</t>
        </is>
      </c>
      <c r="D214" s="10" t="n">
        <v>52.37</v>
      </c>
      <c r="E214" s="4" t="inlineStr">
        <is>
          <t>Gifts</t>
        </is>
      </c>
      <c r="F214" s="4" t="inlineStr">
        <is>
          <t>Credit</t>
        </is>
      </c>
      <c r="G214" s="2" t="n"/>
    </row>
    <row r="215">
      <c r="B215" s="9" t="n">
        <v>45931</v>
      </c>
      <c r="C215" s="4" t="inlineStr">
        <is>
          <t>Landlord LLC</t>
        </is>
      </c>
      <c r="D215" s="10" t="n">
        <v>1550</v>
      </c>
      <c r="E215" s="4" t="inlineStr">
        <is>
          <t>Rent/Mortgage</t>
        </is>
      </c>
      <c r="F215" s="4" t="inlineStr">
        <is>
          <t>Debit</t>
        </is>
      </c>
      <c r="G215" s="2" t="n"/>
    </row>
    <row r="216">
      <c r="B216" s="9" t="n">
        <v>45931</v>
      </c>
      <c r="C216" s="4" t="inlineStr">
        <is>
          <t>Lemonade</t>
        </is>
      </c>
      <c r="D216" s="10" t="n">
        <v>25</v>
      </c>
      <c r="E216" s="4" t="inlineStr">
        <is>
          <t>Renters Insurance</t>
        </is>
      </c>
      <c r="F216" s="4" t="inlineStr">
        <is>
          <t>Debit</t>
        </is>
      </c>
      <c r="G216" s="2" t="n"/>
    </row>
    <row r="217">
      <c r="B217" s="9" t="n">
        <v>45935</v>
      </c>
      <c r="C217" s="4" t="inlineStr">
        <is>
          <t>Xfinity</t>
        </is>
      </c>
      <c r="D217" s="10" t="n">
        <v>65</v>
      </c>
      <c r="E217" s="4" t="inlineStr">
        <is>
          <t>Internet</t>
        </is>
      </c>
      <c r="F217" s="4" t="inlineStr">
        <is>
          <t>Debit</t>
        </is>
      </c>
      <c r="G217" s="2" t="n"/>
    </row>
    <row r="218">
      <c r="B218" s="9" t="n">
        <v>45945</v>
      </c>
      <c r="C218" s="4" t="inlineStr">
        <is>
          <t>Honda Finance</t>
        </is>
      </c>
      <c r="D218" s="10" t="n">
        <v>380</v>
      </c>
      <c r="E218" s="4" t="inlineStr">
        <is>
          <t>Car Payment</t>
        </is>
      </c>
      <c r="F218" s="4" t="inlineStr">
        <is>
          <t>Debit</t>
        </is>
      </c>
      <c r="G218" s="2" t="n"/>
    </row>
    <row r="219">
      <c r="B219" s="9" t="n">
        <v>45931</v>
      </c>
      <c r="C219" s="4" t="inlineStr">
        <is>
          <t>Geico</t>
        </is>
      </c>
      <c r="D219" s="10" t="n">
        <v>110</v>
      </c>
      <c r="E219" s="4" t="inlineStr">
        <is>
          <t>Auto Insurance</t>
        </is>
      </c>
      <c r="F219" s="4" t="inlineStr">
        <is>
          <t>Debit</t>
        </is>
      </c>
      <c r="G219" s="2" t="n"/>
    </row>
    <row r="220">
      <c r="B220" s="9" t="n">
        <v>45931</v>
      </c>
      <c r="C220" s="4" t="inlineStr">
        <is>
          <t>Blue Cross</t>
        </is>
      </c>
      <c r="D220" s="10" t="n">
        <v>210</v>
      </c>
      <c r="E220" s="4" t="inlineStr">
        <is>
          <t>Health Insurance</t>
        </is>
      </c>
      <c r="F220" s="4" t="inlineStr">
        <is>
          <t>Debit</t>
        </is>
      </c>
      <c r="G220" s="2" t="n"/>
    </row>
    <row r="221">
      <c r="B221" s="9" t="n">
        <v>45931</v>
      </c>
      <c r="C221" s="4" t="inlineStr">
        <is>
          <t>Planet Fitness</t>
        </is>
      </c>
      <c r="D221" s="10" t="n">
        <v>45</v>
      </c>
      <c r="E221" s="4" t="inlineStr">
        <is>
          <t>Gym</t>
        </is>
      </c>
      <c r="F221" s="4" t="inlineStr">
        <is>
          <t>Credit</t>
        </is>
      </c>
      <c r="G221" s="2" t="n"/>
    </row>
    <row r="222">
      <c r="B222" s="9" t="n">
        <v>45958</v>
      </c>
      <c r="C222" s="4" t="inlineStr">
        <is>
          <t>Navient</t>
        </is>
      </c>
      <c r="D222" s="10" t="n">
        <v>280</v>
      </c>
      <c r="E222" s="4" t="inlineStr">
        <is>
          <t>Student Loan</t>
        </is>
      </c>
      <c r="F222" s="4" t="inlineStr">
        <is>
          <t>Credit</t>
        </is>
      </c>
      <c r="G222" s="2" t="n"/>
    </row>
    <row r="223">
      <c r="B223" s="9" t="n">
        <v>45950</v>
      </c>
      <c r="C223" s="4" t="inlineStr">
        <is>
          <t>Chase Visa Extra</t>
        </is>
      </c>
      <c r="D223" s="10" t="n">
        <v>160</v>
      </c>
      <c r="E223" s="4" t="inlineStr">
        <is>
          <t>Credit Card Extra</t>
        </is>
      </c>
      <c r="F223" s="4" t="inlineStr">
        <is>
          <t>Transfer</t>
        </is>
      </c>
      <c r="G223" s="2" t="n"/>
    </row>
    <row r="224">
      <c r="B224" s="9" t="n">
        <v>45945</v>
      </c>
      <c r="C224" s="4" t="inlineStr">
        <is>
          <t>Transfer to Savings</t>
        </is>
      </c>
      <c r="D224" s="10" t="n">
        <v>300</v>
      </c>
      <c r="E224" s="4" t="inlineStr">
        <is>
          <t>Emergency Fund</t>
        </is>
      </c>
      <c r="F224" s="4" t="inlineStr">
        <is>
          <t>Transfer</t>
        </is>
      </c>
      <c r="G224" s="2" t="n"/>
    </row>
    <row r="225">
      <c r="B225" s="9" t="n">
        <v>45945</v>
      </c>
      <c r="C225" s="4" t="inlineStr">
        <is>
          <t>Vanguard Transfer</t>
        </is>
      </c>
      <c r="D225" s="10" t="n">
        <v>200</v>
      </c>
      <c r="E225" s="4" t="inlineStr">
        <is>
          <t>Retirement Extra</t>
        </is>
      </c>
      <c r="F225" s="4" t="inlineStr">
        <is>
          <t>Transfer</t>
        </is>
      </c>
      <c r="G225" s="2" t="n"/>
    </row>
    <row r="226">
      <c r="B226" s="9" t="n">
        <v>45945</v>
      </c>
      <c r="C226" s="4" t="inlineStr">
        <is>
          <t>Transfer to Vacation</t>
        </is>
      </c>
      <c r="D226" s="10" t="n">
        <v>100</v>
      </c>
      <c r="E226" s="4" t="inlineStr">
        <is>
          <t>Vacation Fund</t>
        </is>
      </c>
      <c r="F226" s="4" t="inlineStr">
        <is>
          <t>Transfer</t>
        </is>
      </c>
      <c r="G226" s="2" t="n"/>
    </row>
    <row r="227">
      <c r="B227" s="9" t="n">
        <v>45934</v>
      </c>
      <c r="C227" s="4" t="inlineStr">
        <is>
          <t>City Power</t>
        </is>
      </c>
      <c r="D227" s="10" t="n">
        <v>195.73</v>
      </c>
      <c r="E227" s="4" t="inlineStr">
        <is>
          <t>Utilities</t>
        </is>
      </c>
      <c r="F227" s="4" t="inlineStr">
        <is>
          <t>Cash</t>
        </is>
      </c>
      <c r="G227" s="2" t="n"/>
    </row>
    <row r="228">
      <c r="B228" s="9" t="n">
        <v>45952</v>
      </c>
      <c r="C228" s="4" t="inlineStr">
        <is>
          <t>Chevron</t>
        </is>
      </c>
      <c r="D228" s="10" t="n">
        <v>131.73</v>
      </c>
      <c r="E228" s="4" t="inlineStr">
        <is>
          <t>Gas</t>
        </is>
      </c>
      <c r="F228" s="4" t="inlineStr">
        <is>
          <t>Cash</t>
        </is>
      </c>
      <c r="G228" s="2" t="n"/>
    </row>
    <row r="229">
      <c r="B229" s="9" t="n">
        <v>45933</v>
      </c>
      <c r="C229" s="4" t="inlineStr">
        <is>
          <t>Kroger</t>
        </is>
      </c>
      <c r="D229" s="10" t="n">
        <v>94.08</v>
      </c>
      <c r="E229" s="4" t="inlineStr">
        <is>
          <t>Groceries</t>
        </is>
      </c>
      <c r="F229" s="4" t="inlineStr">
        <is>
          <t>Credit</t>
        </is>
      </c>
      <c r="G229" s="2" t="n"/>
    </row>
    <row r="230">
      <c r="B230" s="9" t="n">
        <v>45950</v>
      </c>
      <c r="C230" s="4" t="inlineStr">
        <is>
          <t>Chipotle</t>
        </is>
      </c>
      <c r="D230" s="10" t="n">
        <v>46.24</v>
      </c>
      <c r="E230" s="4" t="inlineStr">
        <is>
          <t>Dining Out</t>
        </is>
      </c>
      <c r="F230" s="4" t="inlineStr">
        <is>
          <t>Cash</t>
        </is>
      </c>
      <c r="G230" s="2" t="n"/>
    </row>
    <row r="231">
      <c r="B231" s="9" t="n">
        <v>45956</v>
      </c>
      <c r="C231" s="4" t="inlineStr">
        <is>
          <t>Chipotle</t>
        </is>
      </c>
      <c r="D231" s="10" t="n">
        <v>26.93</v>
      </c>
      <c r="E231" s="4" t="inlineStr">
        <is>
          <t>Dining Out</t>
        </is>
      </c>
      <c r="F231" s="4" t="inlineStr">
        <is>
          <t>Credit</t>
        </is>
      </c>
      <c r="G231" s="2" t="n"/>
    </row>
    <row r="232">
      <c r="B232" s="9" t="n">
        <v>45952</v>
      </c>
      <c r="C232" s="4" t="inlineStr">
        <is>
          <t>Pizza Hut</t>
        </is>
      </c>
      <c r="D232" s="10" t="n">
        <v>14.97</v>
      </c>
      <c r="E232" s="4" t="inlineStr">
        <is>
          <t>Dining Out</t>
        </is>
      </c>
      <c r="F232" s="4" t="inlineStr">
        <is>
          <t>Cash</t>
        </is>
      </c>
      <c r="G232" s="2" t="n"/>
    </row>
    <row r="233">
      <c r="B233" s="9" t="n">
        <v>45931</v>
      </c>
      <c r="C233" s="4" t="inlineStr">
        <is>
          <t>Local Roast</t>
        </is>
      </c>
      <c r="D233" s="10" t="n">
        <v>7.29</v>
      </c>
      <c r="E233" s="4" t="inlineStr">
        <is>
          <t>Coffee</t>
        </is>
      </c>
      <c r="F233" s="4" t="inlineStr">
        <is>
          <t>Debit</t>
        </is>
      </c>
      <c r="G233" s="2" t="n"/>
    </row>
    <row r="234">
      <c r="B234" s="9" t="n">
        <v>45944</v>
      </c>
      <c r="C234" s="4" t="inlineStr">
        <is>
          <t>Local Roast</t>
        </is>
      </c>
      <c r="D234" s="10" t="n">
        <v>6.54</v>
      </c>
      <c r="E234" s="4" t="inlineStr">
        <is>
          <t>Coffee</t>
        </is>
      </c>
      <c r="F234" s="4" t="inlineStr">
        <is>
          <t>Credit</t>
        </is>
      </c>
      <c r="G234" s="2" t="n"/>
    </row>
    <row r="235">
      <c r="B235" s="9" t="n">
        <v>45953</v>
      </c>
      <c r="C235" s="4" t="inlineStr">
        <is>
          <t>ParkMobile</t>
        </is>
      </c>
      <c r="D235" s="10" t="n">
        <v>9.35</v>
      </c>
      <c r="E235" s="4" t="inlineStr">
        <is>
          <t>Parking</t>
        </is>
      </c>
      <c r="F235" s="4" t="inlineStr">
        <is>
          <t>Cash</t>
        </is>
      </c>
      <c r="G235" s="2" t="n"/>
    </row>
    <row r="236">
      <c r="B236" s="9" t="n">
        <v>45947</v>
      </c>
      <c r="C236" s="4" t="inlineStr">
        <is>
          <t>Walgreens</t>
        </is>
      </c>
      <c r="D236" s="10" t="n">
        <v>22.32</v>
      </c>
      <c r="E236" s="4" t="inlineStr">
        <is>
          <t>Prescriptions</t>
        </is>
      </c>
      <c r="F236" s="4" t="inlineStr">
        <is>
          <t>Cash</t>
        </is>
      </c>
      <c r="G236" s="2" t="n"/>
    </row>
    <row r="237">
      <c r="B237" s="9" t="n">
        <v>45945</v>
      </c>
      <c r="C237" s="4" t="inlineStr">
        <is>
          <t>Etsy</t>
        </is>
      </c>
      <c r="D237" s="10" t="n">
        <v>69.54000000000001</v>
      </c>
      <c r="E237" s="4" t="inlineStr">
        <is>
          <t>Gifts</t>
        </is>
      </c>
      <c r="F237" s="4" t="inlineStr">
        <is>
          <t>Cash</t>
        </is>
      </c>
      <c r="G237" s="2" t="n"/>
    </row>
    <row r="238">
      <c r="B238" s="9" t="n">
        <v>45962</v>
      </c>
      <c r="C238" s="4" t="inlineStr">
        <is>
          <t>Landlord LLC</t>
        </is>
      </c>
      <c r="D238" s="10" t="n">
        <v>1550</v>
      </c>
      <c r="E238" s="4" t="inlineStr">
        <is>
          <t>Rent/Mortgage</t>
        </is>
      </c>
      <c r="F238" s="4" t="inlineStr">
        <is>
          <t>Credit</t>
        </is>
      </c>
      <c r="G238" s="2" t="n"/>
    </row>
    <row r="239">
      <c r="B239" s="9" t="n">
        <v>45962</v>
      </c>
      <c r="C239" s="4" t="inlineStr">
        <is>
          <t>Lemonade</t>
        </is>
      </c>
      <c r="D239" s="10" t="n">
        <v>25</v>
      </c>
      <c r="E239" s="4" t="inlineStr">
        <is>
          <t>Renters Insurance</t>
        </is>
      </c>
      <c r="F239" s="4" t="inlineStr">
        <is>
          <t>Debit</t>
        </is>
      </c>
      <c r="G239" s="2" t="n"/>
    </row>
    <row r="240">
      <c r="B240" s="9" t="n">
        <v>45966</v>
      </c>
      <c r="C240" s="4" t="inlineStr">
        <is>
          <t>Xfinity</t>
        </is>
      </c>
      <c r="D240" s="10" t="n">
        <v>65</v>
      </c>
      <c r="E240" s="4" t="inlineStr">
        <is>
          <t>Internet</t>
        </is>
      </c>
      <c r="F240" s="4" t="inlineStr">
        <is>
          <t>Credit</t>
        </is>
      </c>
      <c r="G240" s="2" t="n"/>
    </row>
    <row r="241">
      <c r="B241" s="9" t="n">
        <v>45976</v>
      </c>
      <c r="C241" s="4" t="inlineStr">
        <is>
          <t>Honda Finance</t>
        </is>
      </c>
      <c r="D241" s="10" t="n">
        <v>380</v>
      </c>
      <c r="E241" s="4" t="inlineStr">
        <is>
          <t>Car Payment</t>
        </is>
      </c>
      <c r="F241" s="4" t="inlineStr">
        <is>
          <t>Credit</t>
        </is>
      </c>
      <c r="G241" s="2" t="n"/>
    </row>
    <row r="242">
      <c r="B242" s="9" t="n">
        <v>45962</v>
      </c>
      <c r="C242" s="4" t="inlineStr">
        <is>
          <t>Geico</t>
        </is>
      </c>
      <c r="D242" s="10" t="n">
        <v>110</v>
      </c>
      <c r="E242" s="4" t="inlineStr">
        <is>
          <t>Auto Insurance</t>
        </is>
      </c>
      <c r="F242" s="4" t="inlineStr">
        <is>
          <t>Credit</t>
        </is>
      </c>
      <c r="G242" s="2" t="n"/>
    </row>
    <row r="243">
      <c r="B243" s="9" t="n">
        <v>45962</v>
      </c>
      <c r="C243" s="4" t="inlineStr">
        <is>
          <t>Blue Cross</t>
        </is>
      </c>
      <c r="D243" s="10" t="n">
        <v>210</v>
      </c>
      <c r="E243" s="4" t="inlineStr">
        <is>
          <t>Health Insurance</t>
        </is>
      </c>
      <c r="F243" s="4" t="inlineStr">
        <is>
          <t>Credit</t>
        </is>
      </c>
      <c r="G243" s="2" t="n"/>
    </row>
    <row r="244">
      <c r="B244" s="9" t="n">
        <v>45962</v>
      </c>
      <c r="C244" s="4" t="inlineStr">
        <is>
          <t>Planet Fitness</t>
        </is>
      </c>
      <c r="D244" s="10" t="n">
        <v>45</v>
      </c>
      <c r="E244" s="4" t="inlineStr">
        <is>
          <t>Gym</t>
        </is>
      </c>
      <c r="F244" s="4" t="inlineStr">
        <is>
          <t>Debit</t>
        </is>
      </c>
      <c r="G244" s="2" t="n"/>
    </row>
    <row r="245">
      <c r="B245" s="9" t="n">
        <v>45989</v>
      </c>
      <c r="C245" s="4" t="inlineStr">
        <is>
          <t>Navient</t>
        </is>
      </c>
      <c r="D245" s="10" t="n">
        <v>280</v>
      </c>
      <c r="E245" s="4" t="inlineStr">
        <is>
          <t>Student Loan</t>
        </is>
      </c>
      <c r="F245" s="4" t="inlineStr">
        <is>
          <t>Debit</t>
        </is>
      </c>
      <c r="G245" s="2" t="n"/>
    </row>
    <row r="246">
      <c r="B246" s="9" t="n">
        <v>45981</v>
      </c>
      <c r="C246" s="4" t="inlineStr">
        <is>
          <t>Chase Visa Extra</t>
        </is>
      </c>
      <c r="D246" s="10" t="n">
        <v>160</v>
      </c>
      <c r="E246" s="4" t="inlineStr">
        <is>
          <t>Credit Card Extra</t>
        </is>
      </c>
      <c r="F246" s="4" t="inlineStr">
        <is>
          <t>Transfer</t>
        </is>
      </c>
      <c r="G246" s="2" t="n"/>
    </row>
    <row r="247">
      <c r="B247" s="9" t="n">
        <v>45976</v>
      </c>
      <c r="C247" s="4" t="inlineStr">
        <is>
          <t>Transfer to Savings</t>
        </is>
      </c>
      <c r="D247" s="10" t="n">
        <v>300</v>
      </c>
      <c r="E247" s="4" t="inlineStr">
        <is>
          <t>Emergency Fund</t>
        </is>
      </c>
      <c r="F247" s="4" t="inlineStr">
        <is>
          <t>Transfer</t>
        </is>
      </c>
      <c r="G247" s="2" t="n"/>
    </row>
    <row r="248">
      <c r="B248" s="9" t="n">
        <v>45976</v>
      </c>
      <c r="C248" s="4" t="inlineStr">
        <is>
          <t>Vanguard Transfer</t>
        </is>
      </c>
      <c r="D248" s="10" t="n">
        <v>200</v>
      </c>
      <c r="E248" s="4" t="inlineStr">
        <is>
          <t>Retirement Extra</t>
        </is>
      </c>
      <c r="F248" s="4" t="inlineStr">
        <is>
          <t>Transfer</t>
        </is>
      </c>
      <c r="G248" s="2" t="n"/>
    </row>
    <row r="249">
      <c r="B249" s="9" t="n">
        <v>45976</v>
      </c>
      <c r="C249" s="4" t="inlineStr">
        <is>
          <t>Transfer to Vacation</t>
        </is>
      </c>
      <c r="D249" s="10" t="n">
        <v>100</v>
      </c>
      <c r="E249" s="4" t="inlineStr">
        <is>
          <t>Vacation Fund</t>
        </is>
      </c>
      <c r="F249" s="4" t="inlineStr">
        <is>
          <t>Transfer</t>
        </is>
      </c>
      <c r="G249" s="2" t="n"/>
    </row>
    <row r="250">
      <c r="B250" s="9" t="n">
        <v>45990</v>
      </c>
      <c r="C250" s="4" t="inlineStr">
        <is>
          <t>Water Dept</t>
        </is>
      </c>
      <c r="D250" s="10" t="n">
        <v>173.35</v>
      </c>
      <c r="E250" s="4" t="inlineStr">
        <is>
          <t>Utilities</t>
        </is>
      </c>
      <c r="F250" s="4" t="inlineStr">
        <is>
          <t>Cash</t>
        </is>
      </c>
      <c r="G250" s="2" t="n"/>
    </row>
    <row r="251">
      <c r="B251" s="9" t="n">
        <v>45968</v>
      </c>
      <c r="C251" s="4" t="inlineStr">
        <is>
          <t>Shell</t>
        </is>
      </c>
      <c r="D251" s="10" t="n">
        <v>119.31</v>
      </c>
      <c r="E251" s="4" t="inlineStr">
        <is>
          <t>Gas</t>
        </is>
      </c>
      <c r="F251" s="4" t="inlineStr">
        <is>
          <t>Credit</t>
        </is>
      </c>
      <c r="G251" s="2" t="n"/>
    </row>
    <row r="252">
      <c r="B252" s="9" t="n">
        <v>45979</v>
      </c>
      <c r="C252" s="4" t="inlineStr">
        <is>
          <t>Kroger</t>
        </is>
      </c>
      <c r="D252" s="10" t="n">
        <v>117.62</v>
      </c>
      <c r="E252" s="4" t="inlineStr">
        <is>
          <t>Groceries</t>
        </is>
      </c>
      <c r="F252" s="4" t="inlineStr">
        <is>
          <t>Cash</t>
        </is>
      </c>
      <c r="G252" s="2" t="n"/>
    </row>
    <row r="253">
      <c r="B253" s="9" t="n">
        <v>45984</v>
      </c>
      <c r="C253" s="4" t="inlineStr">
        <is>
          <t>Costco</t>
        </is>
      </c>
      <c r="D253" s="10" t="n">
        <v>107.93</v>
      </c>
      <c r="E253" s="4" t="inlineStr">
        <is>
          <t>Groceries</t>
        </is>
      </c>
      <c r="F253" s="4" t="inlineStr">
        <is>
          <t>Debit</t>
        </is>
      </c>
      <c r="G253" s="2" t="n"/>
    </row>
    <row r="254">
      <c r="B254" s="9" t="n">
        <v>45971</v>
      </c>
      <c r="C254" s="4" t="inlineStr">
        <is>
          <t>Thai Place</t>
        </is>
      </c>
      <c r="D254" s="10" t="n">
        <v>29.39</v>
      </c>
      <c r="E254" s="4" t="inlineStr">
        <is>
          <t>Dining Out</t>
        </is>
      </c>
      <c r="F254" s="4" t="inlineStr">
        <is>
          <t>Debit</t>
        </is>
      </c>
      <c r="G254" s="2" t="n"/>
    </row>
    <row r="255">
      <c r="B255" s="9" t="n">
        <v>45983</v>
      </c>
      <c r="C255" s="4" t="inlineStr">
        <is>
          <t>Local Roast</t>
        </is>
      </c>
      <c r="D255" s="10" t="n">
        <v>5.89</v>
      </c>
      <c r="E255" s="4" t="inlineStr">
        <is>
          <t>Coffee</t>
        </is>
      </c>
      <c r="F255" s="4" t="inlineStr">
        <is>
          <t>Cash</t>
        </is>
      </c>
      <c r="G255" s="2" t="n"/>
    </row>
    <row r="256">
      <c r="B256" s="9" t="n">
        <v>45973</v>
      </c>
      <c r="C256" s="4" t="inlineStr">
        <is>
          <t>Local Roast</t>
        </is>
      </c>
      <c r="D256" s="10" t="n">
        <v>7.99</v>
      </c>
      <c r="E256" s="4" t="inlineStr">
        <is>
          <t>Coffee</t>
        </is>
      </c>
      <c r="F256" s="4" t="inlineStr">
        <is>
          <t>Cash</t>
        </is>
      </c>
      <c r="G256" s="2" t="n"/>
    </row>
    <row r="257">
      <c r="B257" s="9" t="n">
        <v>45972</v>
      </c>
      <c r="C257" s="4" t="inlineStr">
        <is>
          <t>City Garage</t>
        </is>
      </c>
      <c r="D257" s="10" t="n">
        <v>12.03</v>
      </c>
      <c r="E257" s="4" t="inlineStr">
        <is>
          <t>Parking</t>
        </is>
      </c>
      <c r="F257" s="4" t="inlineStr">
        <is>
          <t>Credit</t>
        </is>
      </c>
      <c r="G257" s="2" t="n"/>
    </row>
    <row r="258">
      <c r="B258" s="9" t="n">
        <v>45971</v>
      </c>
      <c r="C258" s="4" t="inlineStr">
        <is>
          <t>Walgreens</t>
        </is>
      </c>
      <c r="D258" s="10" t="n">
        <v>14.61</v>
      </c>
      <c r="E258" s="4" t="inlineStr">
        <is>
          <t>Prescriptions</t>
        </is>
      </c>
      <c r="F258" s="4" t="inlineStr">
        <is>
          <t>Cash</t>
        </is>
      </c>
      <c r="G258" s="2" t="n"/>
    </row>
    <row r="259">
      <c r="B259" s="9" t="n">
        <v>45972</v>
      </c>
      <c r="C259" s="4" t="inlineStr">
        <is>
          <t>Great Clips</t>
        </is>
      </c>
      <c r="D259" s="10" t="n">
        <v>34.86</v>
      </c>
      <c r="E259" s="4" t="inlineStr">
        <is>
          <t>Haircuts</t>
        </is>
      </c>
      <c r="F259" s="4" t="inlineStr">
        <is>
          <t>Cash</t>
        </is>
      </c>
      <c r="G259" s="2" t="n"/>
    </row>
    <row r="260">
      <c r="B260" s="9" t="n">
        <v>45992</v>
      </c>
      <c r="C260" s="4" t="inlineStr">
        <is>
          <t>Landlord LLC</t>
        </is>
      </c>
      <c r="D260" s="10" t="n">
        <v>1550</v>
      </c>
      <c r="E260" s="4" t="inlineStr">
        <is>
          <t>Rent/Mortgage</t>
        </is>
      </c>
      <c r="F260" s="4" t="inlineStr">
        <is>
          <t>Debit</t>
        </is>
      </c>
      <c r="G260" s="2" t="n"/>
    </row>
    <row r="261">
      <c r="B261" s="9" t="n">
        <v>45992</v>
      </c>
      <c r="C261" s="4" t="inlineStr">
        <is>
          <t>Lemonade</t>
        </is>
      </c>
      <c r="D261" s="10" t="n">
        <v>25</v>
      </c>
      <c r="E261" s="4" t="inlineStr">
        <is>
          <t>Renters Insurance</t>
        </is>
      </c>
      <c r="F261" s="4" t="inlineStr">
        <is>
          <t>Credit</t>
        </is>
      </c>
      <c r="G261" s="2" t="n"/>
    </row>
    <row r="262">
      <c r="B262" s="9" t="n">
        <v>45996</v>
      </c>
      <c r="C262" s="4" t="inlineStr">
        <is>
          <t>Xfinity</t>
        </is>
      </c>
      <c r="D262" s="10" t="n">
        <v>65</v>
      </c>
      <c r="E262" s="4" t="inlineStr">
        <is>
          <t>Internet</t>
        </is>
      </c>
      <c r="F262" s="4" t="inlineStr">
        <is>
          <t>Credit</t>
        </is>
      </c>
      <c r="G262" s="2" t="n"/>
    </row>
    <row r="263">
      <c r="B263" s="9" t="n">
        <v>46006</v>
      </c>
      <c r="C263" s="4" t="inlineStr">
        <is>
          <t>Honda Finance</t>
        </is>
      </c>
      <c r="D263" s="10" t="n">
        <v>380</v>
      </c>
      <c r="E263" s="4" t="inlineStr">
        <is>
          <t>Car Payment</t>
        </is>
      </c>
      <c r="F263" s="4" t="inlineStr">
        <is>
          <t>Debit</t>
        </is>
      </c>
      <c r="G263" s="2" t="n"/>
    </row>
    <row r="264">
      <c r="B264" s="9" t="n">
        <v>45992</v>
      </c>
      <c r="C264" s="4" t="inlineStr">
        <is>
          <t>Geico</t>
        </is>
      </c>
      <c r="D264" s="10" t="n">
        <v>110</v>
      </c>
      <c r="E264" s="4" t="inlineStr">
        <is>
          <t>Auto Insurance</t>
        </is>
      </c>
      <c r="F264" s="4" t="inlineStr">
        <is>
          <t>Debit</t>
        </is>
      </c>
      <c r="G264" s="2" t="n"/>
    </row>
    <row r="265">
      <c r="B265" s="9" t="n">
        <v>45992</v>
      </c>
      <c r="C265" s="4" t="inlineStr">
        <is>
          <t>Blue Cross</t>
        </is>
      </c>
      <c r="D265" s="10" t="n">
        <v>210</v>
      </c>
      <c r="E265" s="4" t="inlineStr">
        <is>
          <t>Health Insurance</t>
        </is>
      </c>
      <c r="F265" s="4" t="inlineStr">
        <is>
          <t>Debit</t>
        </is>
      </c>
      <c r="G265" s="2" t="n"/>
    </row>
    <row r="266">
      <c r="B266" s="9" t="n">
        <v>45992</v>
      </c>
      <c r="C266" s="4" t="inlineStr">
        <is>
          <t>Planet Fitness</t>
        </is>
      </c>
      <c r="D266" s="10" t="n">
        <v>45</v>
      </c>
      <c r="E266" s="4" t="inlineStr">
        <is>
          <t>Gym</t>
        </is>
      </c>
      <c r="F266" s="4" t="inlineStr">
        <is>
          <t>Debit</t>
        </is>
      </c>
      <c r="G266" s="2" t="n"/>
    </row>
    <row r="267">
      <c r="B267" s="9" t="n">
        <v>46019</v>
      </c>
      <c r="C267" s="4" t="inlineStr">
        <is>
          <t>Navient</t>
        </is>
      </c>
      <c r="D267" s="10" t="n">
        <v>280</v>
      </c>
      <c r="E267" s="4" t="inlineStr">
        <is>
          <t>Student Loan</t>
        </is>
      </c>
      <c r="F267" s="4" t="inlineStr">
        <is>
          <t>Credit</t>
        </is>
      </c>
      <c r="G267" s="2" t="n"/>
    </row>
    <row r="268">
      <c r="B268" s="9" t="n">
        <v>46011</v>
      </c>
      <c r="C268" s="4" t="inlineStr">
        <is>
          <t>Chase Visa Extra</t>
        </is>
      </c>
      <c r="D268" s="10" t="n">
        <v>160</v>
      </c>
      <c r="E268" s="4" t="inlineStr">
        <is>
          <t>Credit Card Extra</t>
        </is>
      </c>
      <c r="F268" s="4" t="inlineStr">
        <is>
          <t>Transfer</t>
        </is>
      </c>
      <c r="G268" s="2" t="n"/>
    </row>
    <row r="269">
      <c r="B269" s="9" t="n">
        <v>46006</v>
      </c>
      <c r="C269" s="4" t="inlineStr">
        <is>
          <t>Transfer to Savings</t>
        </is>
      </c>
      <c r="D269" s="10" t="n">
        <v>300</v>
      </c>
      <c r="E269" s="4" t="inlineStr">
        <is>
          <t>Emergency Fund</t>
        </is>
      </c>
      <c r="F269" s="4" t="inlineStr">
        <is>
          <t>Transfer</t>
        </is>
      </c>
      <c r="G269" s="2" t="n"/>
    </row>
    <row r="270">
      <c r="B270" s="9" t="n">
        <v>46006</v>
      </c>
      <c r="C270" s="4" t="inlineStr">
        <is>
          <t>Vanguard Transfer</t>
        </is>
      </c>
      <c r="D270" s="10" t="n">
        <v>200</v>
      </c>
      <c r="E270" s="4" t="inlineStr">
        <is>
          <t>Retirement Extra</t>
        </is>
      </c>
      <c r="F270" s="4" t="inlineStr">
        <is>
          <t>Transfer</t>
        </is>
      </c>
      <c r="G270" s="2" t="n"/>
    </row>
    <row r="271">
      <c r="B271" s="9" t="n">
        <v>46006</v>
      </c>
      <c r="C271" s="4" t="inlineStr">
        <is>
          <t>Transfer to Vacation</t>
        </is>
      </c>
      <c r="D271" s="10" t="n">
        <v>100</v>
      </c>
      <c r="E271" s="4" t="inlineStr">
        <is>
          <t>Vacation Fund</t>
        </is>
      </c>
      <c r="F271" s="4" t="inlineStr">
        <is>
          <t>Transfer</t>
        </is>
      </c>
      <c r="G271" s="2" t="n"/>
    </row>
    <row r="272">
      <c r="B272" s="9" t="n">
        <v>46012</v>
      </c>
      <c r="C272" s="4" t="inlineStr">
        <is>
          <t>Water Dept</t>
        </is>
      </c>
      <c r="D272" s="10" t="n">
        <v>146.16</v>
      </c>
      <c r="E272" s="4" t="inlineStr">
        <is>
          <t>Utilities</t>
        </is>
      </c>
      <c r="F272" s="4" t="inlineStr">
        <is>
          <t>Debit</t>
        </is>
      </c>
      <c r="G272" s="2" t="n"/>
    </row>
    <row r="273">
      <c r="B273" s="9" t="n">
        <v>46010</v>
      </c>
      <c r="C273" s="4" t="inlineStr">
        <is>
          <t>Chevron</t>
        </is>
      </c>
      <c r="D273" s="10" t="n">
        <v>137.55</v>
      </c>
      <c r="E273" s="4" t="inlineStr">
        <is>
          <t>Gas</t>
        </is>
      </c>
      <c r="F273" s="4" t="inlineStr">
        <is>
          <t>Credit</t>
        </is>
      </c>
      <c r="G273" s="2" t="n"/>
    </row>
    <row r="274">
      <c r="B274" s="9" t="n">
        <v>45997</v>
      </c>
      <c r="C274" s="4" t="inlineStr">
        <is>
          <t>Trader Joes</t>
        </is>
      </c>
      <c r="D274" s="10" t="n">
        <v>100.1</v>
      </c>
      <c r="E274" s="4" t="inlineStr">
        <is>
          <t>Groceries</t>
        </is>
      </c>
      <c r="F274" s="4" t="inlineStr">
        <is>
          <t>Credit</t>
        </is>
      </c>
      <c r="G274" s="2" t="n"/>
    </row>
    <row r="275">
      <c r="B275" s="9" t="n">
        <v>45995</v>
      </c>
      <c r="C275" s="4" t="inlineStr">
        <is>
          <t>Trader Joes</t>
        </is>
      </c>
      <c r="D275" s="10" t="n">
        <v>106.03</v>
      </c>
      <c r="E275" s="4" t="inlineStr">
        <is>
          <t>Groceries</t>
        </is>
      </c>
      <c r="F275" s="4" t="inlineStr">
        <is>
          <t>Debit</t>
        </is>
      </c>
      <c r="G275" s="2" t="n"/>
    </row>
    <row r="276">
      <c r="B276" s="9" t="n">
        <v>46012</v>
      </c>
      <c r="C276" s="4" t="inlineStr">
        <is>
          <t>Chipotle</t>
        </is>
      </c>
      <c r="D276" s="10" t="n">
        <v>18.52</v>
      </c>
      <c r="E276" s="4" t="inlineStr">
        <is>
          <t>Dining Out</t>
        </is>
      </c>
      <c r="F276" s="4" t="inlineStr">
        <is>
          <t>Cash</t>
        </is>
      </c>
      <c r="G276" s="2" t="n"/>
    </row>
    <row r="277">
      <c r="B277" s="9" t="n">
        <v>46022</v>
      </c>
      <c r="C277" s="4" t="inlineStr">
        <is>
          <t>Pizza Hut</t>
        </is>
      </c>
      <c r="D277" s="10" t="n">
        <v>15.66</v>
      </c>
      <c r="E277" s="4" t="inlineStr">
        <is>
          <t>Dining Out</t>
        </is>
      </c>
      <c r="F277" s="4" t="inlineStr">
        <is>
          <t>Debit</t>
        </is>
      </c>
      <c r="G277" s="2" t="n"/>
    </row>
    <row r="278">
      <c r="B278" s="9" t="n">
        <v>45995</v>
      </c>
      <c r="C278" s="4" t="inlineStr">
        <is>
          <t>Local Bistro</t>
        </is>
      </c>
      <c r="D278" s="10" t="n">
        <v>38.07</v>
      </c>
      <c r="E278" s="4" t="inlineStr">
        <is>
          <t>Dining Out</t>
        </is>
      </c>
      <c r="F278" s="4" t="inlineStr">
        <is>
          <t>Cash</t>
        </is>
      </c>
      <c r="G278" s="2" t="n"/>
    </row>
    <row r="279">
      <c r="B279" s="9" t="n">
        <v>46016</v>
      </c>
      <c r="C279" s="4" t="inlineStr">
        <is>
          <t>Local Roast</t>
        </is>
      </c>
      <c r="D279" s="10" t="n">
        <v>5.8</v>
      </c>
      <c r="E279" s="4" t="inlineStr">
        <is>
          <t>Coffee</t>
        </is>
      </c>
      <c r="F279" s="4" t="inlineStr">
        <is>
          <t>Credit</t>
        </is>
      </c>
      <c r="G279" s="2" t="n"/>
    </row>
    <row r="280">
      <c r="B280" s="9" t="n">
        <v>46001</v>
      </c>
      <c r="C280" s="4" t="inlineStr">
        <is>
          <t>City Garage</t>
        </is>
      </c>
      <c r="D280" s="10" t="n">
        <v>8.050000000000001</v>
      </c>
      <c r="E280" s="4" t="inlineStr">
        <is>
          <t>Parking</t>
        </is>
      </c>
      <c r="F280" s="4" t="inlineStr">
        <is>
          <t>Cash</t>
        </is>
      </c>
      <c r="G280" s="2" t="n"/>
    </row>
    <row r="281">
      <c r="B281" s="9" t="n">
        <v>45993</v>
      </c>
      <c r="C281" s="4" t="inlineStr">
        <is>
          <t>CVS</t>
        </is>
      </c>
      <c r="D281" s="10" t="n">
        <v>28.95</v>
      </c>
      <c r="E281" s="4" t="inlineStr">
        <is>
          <t>Prescriptions</t>
        </is>
      </c>
      <c r="F281" s="4" t="inlineStr">
        <is>
          <t>Debit</t>
        </is>
      </c>
      <c r="G281" s="2" t="n"/>
    </row>
    <row r="282">
      <c r="B282" s="9" t="n">
        <v>45998</v>
      </c>
      <c r="C282" s="4" t="inlineStr">
        <is>
          <t>Discount Tire</t>
        </is>
      </c>
      <c r="D282" s="10" t="n">
        <v>142.27</v>
      </c>
      <c r="E282" s="4" t="inlineStr">
        <is>
          <t>Maintenance</t>
        </is>
      </c>
      <c r="F282" s="4" t="inlineStr">
        <is>
          <t>Debit</t>
        </is>
      </c>
      <c r="G282" s="2" t="n"/>
    </row>
  </sheetData>
  <dataValidations count="2">
    <dataValidation sqref="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E244 E245 E246 E247 E248 E249 E250 E251 E252 E253 E254 E255 E256 E257 E258 E259 E260 E261 E262 E263 E264 E265 E266 E267 E268 E269 E270 E271 E272 E273 E274 E275 E276 E277 E278 E279 E280 E281 E282" showDropDown="0" showInputMessage="0" showErrorMessage="0" allowBlank="1" error="Pick a category from the list" type="list">
      <formula1>"Rent/Mortgage,Renters Insurance,Utilities,Internet,Car Payment,Gas,Auto Insurance,Maintenance,Parking,Groceries,Dining Out,Coffee,Clothing,Haircuts,Subscriptions,Entertainment,Gifts,Health Insurance,Gym,Prescriptions,Emergency Fund,Retirement Extra,Vacation Fund,Student Loan,Credit Card Extra"</formula1>
    </dataValidation>
    <dataValidation sqref="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F207 F208 F209 F210 F211 F212 F213 F214 F215 F216 F217 F218 F219 F220 F221 F222 F223 F224 F225 F226 F227 F228 F229 F230 F231 F232 F233 F234 F235 F236 F237 F238 F239 F240 F241 F242 F243 F244 F245 F246 F247 F248 F249 F250 F251 F252 F253 F254 F255 F256 F257 F258 F259 F260 F261 F262 F263 F264 F265 F266 F267 F268 F269 F270 F271 F272 F273 F274 F275 F276 F277 F278 F279 F280 F281 F282" showDropDown="0" showInputMessage="0" showErrorMessage="0" allowBlank="1" type="list">
      <formula1>"Debit,Credit,Cash,Transfer"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31"/>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s>
  <sheetData>
    <row r="1"/>
    <row r="2">
      <c r="B2" s="1" t="inlineStr">
        <is>
          <t>Monthly Budget Plan</t>
        </is>
      </c>
      <c r="C2" s="2" t="n"/>
      <c r="D2" s="2" t="n"/>
      <c r="E2" s="2" t="n"/>
      <c r="F2" s="2" t="n"/>
      <c r="G2" s="2" t="n"/>
      <c r="H2" s="2" t="n"/>
      <c r="I2" s="2" t="n"/>
      <c r="J2" s="2" t="n"/>
      <c r="K2" s="2" t="n"/>
      <c r="L2" s="2" t="n"/>
      <c r="M2" s="2" t="n"/>
      <c r="N2" s="2" t="n"/>
      <c r="O2" s="2" t="n"/>
      <c r="P2" s="2" t="n"/>
    </row>
    <row r="3">
      <c r="B3" s="11" t="inlineStr">
        <is>
          <t>Category</t>
        </is>
      </c>
      <c r="C3" s="11" t="inlineStr">
        <is>
          <t>Group</t>
        </is>
      </c>
      <c r="D3" s="11" t="inlineStr">
        <is>
          <t>Jan</t>
        </is>
      </c>
      <c r="E3" s="11" t="inlineStr">
        <is>
          <t>Feb</t>
        </is>
      </c>
      <c r="F3" s="11" t="inlineStr">
        <is>
          <t>Mar</t>
        </is>
      </c>
      <c r="G3" s="11" t="inlineStr">
        <is>
          <t>Apr</t>
        </is>
      </c>
      <c r="H3" s="11" t="inlineStr">
        <is>
          <t>May</t>
        </is>
      </c>
      <c r="I3" s="11" t="inlineStr">
        <is>
          <t>Jun</t>
        </is>
      </c>
      <c r="J3" s="11" t="inlineStr">
        <is>
          <t>Jul</t>
        </is>
      </c>
      <c r="K3" s="11" t="inlineStr">
        <is>
          <t>Aug</t>
        </is>
      </c>
      <c r="L3" s="11" t="inlineStr">
        <is>
          <t>Sep</t>
        </is>
      </c>
      <c r="M3" s="11" t="inlineStr">
        <is>
          <t>Oct</t>
        </is>
      </c>
      <c r="N3" s="11" t="inlineStr">
        <is>
          <t>Nov</t>
        </is>
      </c>
      <c r="O3" s="11" t="inlineStr">
        <is>
          <t>Dec</t>
        </is>
      </c>
      <c r="P3" s="11" t="inlineStr">
        <is>
          <t>Annual</t>
        </is>
      </c>
    </row>
    <row r="4">
      <c r="B4" s="6" t="inlineStr">
        <is>
          <t>Monthly Income</t>
        </is>
      </c>
      <c r="C4" s="2" t="n"/>
      <c r="D4" s="5">
        <f>Setup!$C$7</f>
        <v/>
      </c>
      <c r="E4" s="5">
        <f>Setup!$C$7</f>
        <v/>
      </c>
      <c r="F4" s="5">
        <f>Setup!$C$7</f>
        <v/>
      </c>
      <c r="G4" s="5">
        <f>Setup!$C$7</f>
        <v/>
      </c>
      <c r="H4" s="5">
        <f>Setup!$C$7</f>
        <v/>
      </c>
      <c r="I4" s="5">
        <f>Setup!$C$7</f>
        <v/>
      </c>
      <c r="J4" s="5">
        <f>Setup!$C$7</f>
        <v/>
      </c>
      <c r="K4" s="5">
        <f>Setup!$C$7</f>
        <v/>
      </c>
      <c r="L4" s="5">
        <f>Setup!$C$7</f>
        <v/>
      </c>
      <c r="M4" s="5">
        <f>Setup!$C$7</f>
        <v/>
      </c>
      <c r="N4" s="5">
        <f>Setup!$C$7</f>
        <v/>
      </c>
      <c r="O4" s="5">
        <f>Setup!$C$7</f>
        <v/>
      </c>
      <c r="P4" s="8">
        <f>SUM(D4:O4)</f>
        <v/>
      </c>
    </row>
    <row r="5">
      <c r="B5" s="4" t="inlineStr">
        <is>
          <t>Rent/Mortgage</t>
        </is>
      </c>
      <c r="C5" s="4" t="inlineStr">
        <is>
          <t>Housing</t>
        </is>
      </c>
      <c r="D5" s="12">
        <f>Setup!$D$11</f>
        <v/>
      </c>
      <c r="E5" s="12">
        <f>Setup!$D$11</f>
        <v/>
      </c>
      <c r="F5" s="12">
        <f>Setup!$D$11</f>
        <v/>
      </c>
      <c r="G5" s="12">
        <f>Setup!$D$11</f>
        <v/>
      </c>
      <c r="H5" s="12">
        <f>Setup!$D$11</f>
        <v/>
      </c>
      <c r="I5" s="12">
        <f>Setup!$D$11</f>
        <v/>
      </c>
      <c r="J5" s="12">
        <f>Setup!$D$11</f>
        <v/>
      </c>
      <c r="K5" s="12">
        <f>Setup!$D$11</f>
        <v/>
      </c>
      <c r="L5" s="12">
        <f>Setup!$D$11</f>
        <v/>
      </c>
      <c r="M5" s="12">
        <f>Setup!$D$11</f>
        <v/>
      </c>
      <c r="N5" s="12">
        <f>Setup!$D$11</f>
        <v/>
      </c>
      <c r="O5" s="12">
        <f>Setup!$D$11</f>
        <v/>
      </c>
      <c r="P5" s="13">
        <f>SUM(D5:O5)</f>
        <v/>
      </c>
    </row>
    <row r="6">
      <c r="B6" s="4" t="inlineStr">
        <is>
          <t>Renters Insurance</t>
        </is>
      </c>
      <c r="C6" s="4" t="inlineStr">
        <is>
          <t>Housing</t>
        </is>
      </c>
      <c r="D6" s="12">
        <f>Setup!$D$12</f>
        <v/>
      </c>
      <c r="E6" s="12">
        <f>Setup!$D$12</f>
        <v/>
      </c>
      <c r="F6" s="12">
        <f>Setup!$D$12</f>
        <v/>
      </c>
      <c r="G6" s="12">
        <f>Setup!$D$12</f>
        <v/>
      </c>
      <c r="H6" s="12">
        <f>Setup!$D$12</f>
        <v/>
      </c>
      <c r="I6" s="12">
        <f>Setup!$D$12</f>
        <v/>
      </c>
      <c r="J6" s="12">
        <f>Setup!$D$12</f>
        <v/>
      </c>
      <c r="K6" s="12">
        <f>Setup!$D$12</f>
        <v/>
      </c>
      <c r="L6" s="12">
        <f>Setup!$D$12</f>
        <v/>
      </c>
      <c r="M6" s="12">
        <f>Setup!$D$12</f>
        <v/>
      </c>
      <c r="N6" s="12">
        <f>Setup!$D$12</f>
        <v/>
      </c>
      <c r="O6" s="12">
        <f>Setup!$D$12</f>
        <v/>
      </c>
      <c r="P6" s="13">
        <f>SUM(D6:O6)</f>
        <v/>
      </c>
    </row>
    <row r="7">
      <c r="B7" s="4" t="inlineStr">
        <is>
          <t>Utilities</t>
        </is>
      </c>
      <c r="C7" s="4" t="inlineStr">
        <is>
          <t>Housing</t>
        </is>
      </c>
      <c r="D7" s="12">
        <f>Setup!$D$13</f>
        <v/>
      </c>
      <c r="E7" s="12">
        <f>Setup!$D$13</f>
        <v/>
      </c>
      <c r="F7" s="12">
        <f>Setup!$D$13</f>
        <v/>
      </c>
      <c r="G7" s="12">
        <f>Setup!$D$13</f>
        <v/>
      </c>
      <c r="H7" s="12">
        <f>Setup!$D$13</f>
        <v/>
      </c>
      <c r="I7" s="12">
        <f>Setup!$D$13</f>
        <v/>
      </c>
      <c r="J7" s="12">
        <f>Setup!$D$13</f>
        <v/>
      </c>
      <c r="K7" s="12">
        <f>Setup!$D$13</f>
        <v/>
      </c>
      <c r="L7" s="12">
        <f>Setup!$D$13</f>
        <v/>
      </c>
      <c r="M7" s="12">
        <f>Setup!$D$13</f>
        <v/>
      </c>
      <c r="N7" s="12">
        <f>Setup!$D$13</f>
        <v/>
      </c>
      <c r="O7" s="12">
        <f>Setup!$D$13</f>
        <v/>
      </c>
      <c r="P7" s="13">
        <f>SUM(D7:O7)</f>
        <v/>
      </c>
    </row>
    <row r="8">
      <c r="B8" s="4" t="inlineStr">
        <is>
          <t>Internet</t>
        </is>
      </c>
      <c r="C8" s="4" t="inlineStr">
        <is>
          <t>Housing</t>
        </is>
      </c>
      <c r="D8" s="12">
        <f>Setup!$D$14</f>
        <v/>
      </c>
      <c r="E8" s="12">
        <f>Setup!$D$14</f>
        <v/>
      </c>
      <c r="F8" s="12">
        <f>Setup!$D$14</f>
        <v/>
      </c>
      <c r="G8" s="12">
        <f>Setup!$D$14</f>
        <v/>
      </c>
      <c r="H8" s="12">
        <f>Setup!$D$14</f>
        <v/>
      </c>
      <c r="I8" s="12">
        <f>Setup!$D$14</f>
        <v/>
      </c>
      <c r="J8" s="12">
        <f>Setup!$D$14</f>
        <v/>
      </c>
      <c r="K8" s="12">
        <f>Setup!$D$14</f>
        <v/>
      </c>
      <c r="L8" s="12">
        <f>Setup!$D$14</f>
        <v/>
      </c>
      <c r="M8" s="12">
        <f>Setup!$D$14</f>
        <v/>
      </c>
      <c r="N8" s="12">
        <f>Setup!$D$14</f>
        <v/>
      </c>
      <c r="O8" s="12">
        <f>Setup!$D$14</f>
        <v/>
      </c>
      <c r="P8" s="13">
        <f>SUM(D8:O8)</f>
        <v/>
      </c>
    </row>
    <row r="9">
      <c r="B9" s="4" t="inlineStr">
        <is>
          <t>Car Payment</t>
        </is>
      </c>
      <c r="C9" s="4" t="inlineStr">
        <is>
          <t>Transport</t>
        </is>
      </c>
      <c r="D9" s="12">
        <f>Setup!$D$15</f>
        <v/>
      </c>
      <c r="E9" s="12">
        <f>Setup!$D$15</f>
        <v/>
      </c>
      <c r="F9" s="12">
        <f>Setup!$D$15</f>
        <v/>
      </c>
      <c r="G9" s="12">
        <f>Setup!$D$15</f>
        <v/>
      </c>
      <c r="H9" s="12">
        <f>Setup!$D$15</f>
        <v/>
      </c>
      <c r="I9" s="12">
        <f>Setup!$D$15</f>
        <v/>
      </c>
      <c r="J9" s="12">
        <f>Setup!$D$15</f>
        <v/>
      </c>
      <c r="K9" s="12">
        <f>Setup!$D$15</f>
        <v/>
      </c>
      <c r="L9" s="12">
        <f>Setup!$D$15</f>
        <v/>
      </c>
      <c r="M9" s="12">
        <f>Setup!$D$15</f>
        <v/>
      </c>
      <c r="N9" s="12">
        <f>Setup!$D$15</f>
        <v/>
      </c>
      <c r="O9" s="12">
        <f>Setup!$D$15</f>
        <v/>
      </c>
      <c r="P9" s="13">
        <f>SUM(D9:O9)</f>
        <v/>
      </c>
    </row>
    <row r="10">
      <c r="B10" s="4" t="inlineStr">
        <is>
          <t>Gas</t>
        </is>
      </c>
      <c r="C10" s="4" t="inlineStr">
        <is>
          <t>Transport</t>
        </is>
      </c>
      <c r="D10" s="12">
        <f>Setup!$D$16</f>
        <v/>
      </c>
      <c r="E10" s="12">
        <f>Setup!$D$16</f>
        <v/>
      </c>
      <c r="F10" s="12">
        <f>Setup!$D$16</f>
        <v/>
      </c>
      <c r="G10" s="12">
        <f>Setup!$D$16</f>
        <v/>
      </c>
      <c r="H10" s="12">
        <f>Setup!$D$16</f>
        <v/>
      </c>
      <c r="I10" s="12">
        <f>Setup!$D$16</f>
        <v/>
      </c>
      <c r="J10" s="12">
        <f>Setup!$D$16</f>
        <v/>
      </c>
      <c r="K10" s="12">
        <f>Setup!$D$16</f>
        <v/>
      </c>
      <c r="L10" s="12">
        <f>Setup!$D$16</f>
        <v/>
      </c>
      <c r="M10" s="12">
        <f>Setup!$D$16</f>
        <v/>
      </c>
      <c r="N10" s="12">
        <f>Setup!$D$16</f>
        <v/>
      </c>
      <c r="O10" s="12">
        <f>Setup!$D$16</f>
        <v/>
      </c>
      <c r="P10" s="13">
        <f>SUM(D10:O10)</f>
        <v/>
      </c>
    </row>
    <row r="11">
      <c r="B11" s="4" t="inlineStr">
        <is>
          <t>Auto Insurance</t>
        </is>
      </c>
      <c r="C11" s="4" t="inlineStr">
        <is>
          <t>Transport</t>
        </is>
      </c>
      <c r="D11" s="12">
        <f>Setup!$D$17</f>
        <v/>
      </c>
      <c r="E11" s="12">
        <f>Setup!$D$17</f>
        <v/>
      </c>
      <c r="F11" s="12">
        <f>Setup!$D$17</f>
        <v/>
      </c>
      <c r="G11" s="12">
        <f>Setup!$D$17</f>
        <v/>
      </c>
      <c r="H11" s="12">
        <f>Setup!$D$17</f>
        <v/>
      </c>
      <c r="I11" s="12">
        <f>Setup!$D$17</f>
        <v/>
      </c>
      <c r="J11" s="12">
        <f>Setup!$D$17</f>
        <v/>
      </c>
      <c r="K11" s="12">
        <f>Setup!$D$17</f>
        <v/>
      </c>
      <c r="L11" s="12">
        <f>Setup!$D$17</f>
        <v/>
      </c>
      <c r="M11" s="12">
        <f>Setup!$D$17</f>
        <v/>
      </c>
      <c r="N11" s="12">
        <f>Setup!$D$17</f>
        <v/>
      </c>
      <c r="O11" s="12">
        <f>Setup!$D$17</f>
        <v/>
      </c>
      <c r="P11" s="13">
        <f>SUM(D11:O11)</f>
        <v/>
      </c>
    </row>
    <row r="12">
      <c r="B12" s="4" t="inlineStr">
        <is>
          <t>Maintenance</t>
        </is>
      </c>
      <c r="C12" s="4" t="inlineStr">
        <is>
          <t>Transport</t>
        </is>
      </c>
      <c r="D12" s="12">
        <f>Setup!$D$18</f>
        <v/>
      </c>
      <c r="E12" s="12">
        <f>Setup!$D$18</f>
        <v/>
      </c>
      <c r="F12" s="12">
        <f>Setup!$D$18</f>
        <v/>
      </c>
      <c r="G12" s="12">
        <f>Setup!$D$18</f>
        <v/>
      </c>
      <c r="H12" s="12">
        <f>Setup!$D$18</f>
        <v/>
      </c>
      <c r="I12" s="12">
        <f>Setup!$D$18</f>
        <v/>
      </c>
      <c r="J12" s="12">
        <f>Setup!$D$18</f>
        <v/>
      </c>
      <c r="K12" s="12">
        <f>Setup!$D$18</f>
        <v/>
      </c>
      <c r="L12" s="12">
        <f>Setup!$D$18</f>
        <v/>
      </c>
      <c r="M12" s="12">
        <f>Setup!$D$18</f>
        <v/>
      </c>
      <c r="N12" s="12">
        <f>Setup!$D$18</f>
        <v/>
      </c>
      <c r="O12" s="12">
        <f>Setup!$D$18</f>
        <v/>
      </c>
      <c r="P12" s="13">
        <f>SUM(D12:O12)</f>
        <v/>
      </c>
    </row>
    <row r="13">
      <c r="B13" s="4" t="inlineStr">
        <is>
          <t>Parking</t>
        </is>
      </c>
      <c r="C13" s="4" t="inlineStr">
        <is>
          <t>Transport</t>
        </is>
      </c>
      <c r="D13" s="12">
        <f>Setup!$D$19</f>
        <v/>
      </c>
      <c r="E13" s="12">
        <f>Setup!$D$19</f>
        <v/>
      </c>
      <c r="F13" s="12">
        <f>Setup!$D$19</f>
        <v/>
      </c>
      <c r="G13" s="12">
        <f>Setup!$D$19</f>
        <v/>
      </c>
      <c r="H13" s="12">
        <f>Setup!$D$19</f>
        <v/>
      </c>
      <c r="I13" s="12">
        <f>Setup!$D$19</f>
        <v/>
      </c>
      <c r="J13" s="12">
        <f>Setup!$D$19</f>
        <v/>
      </c>
      <c r="K13" s="12">
        <f>Setup!$D$19</f>
        <v/>
      </c>
      <c r="L13" s="12">
        <f>Setup!$D$19</f>
        <v/>
      </c>
      <c r="M13" s="12">
        <f>Setup!$D$19</f>
        <v/>
      </c>
      <c r="N13" s="12">
        <f>Setup!$D$19</f>
        <v/>
      </c>
      <c r="O13" s="12">
        <f>Setup!$D$19</f>
        <v/>
      </c>
      <c r="P13" s="13">
        <f>SUM(D13:O13)</f>
        <v/>
      </c>
    </row>
    <row r="14">
      <c r="B14" s="4" t="inlineStr">
        <is>
          <t>Groceries</t>
        </is>
      </c>
      <c r="C14" s="4" t="inlineStr">
        <is>
          <t>Food</t>
        </is>
      </c>
      <c r="D14" s="12">
        <f>Setup!$D$20</f>
        <v/>
      </c>
      <c r="E14" s="12">
        <f>Setup!$D$20</f>
        <v/>
      </c>
      <c r="F14" s="12">
        <f>Setup!$D$20</f>
        <v/>
      </c>
      <c r="G14" s="12">
        <f>Setup!$D$20</f>
        <v/>
      </c>
      <c r="H14" s="12">
        <f>Setup!$D$20</f>
        <v/>
      </c>
      <c r="I14" s="12">
        <f>Setup!$D$20</f>
        <v/>
      </c>
      <c r="J14" s="12">
        <f>Setup!$D$20</f>
        <v/>
      </c>
      <c r="K14" s="12">
        <f>Setup!$D$20</f>
        <v/>
      </c>
      <c r="L14" s="12">
        <f>Setup!$D$20</f>
        <v/>
      </c>
      <c r="M14" s="12">
        <f>Setup!$D$20</f>
        <v/>
      </c>
      <c r="N14" s="12">
        <f>Setup!$D$20</f>
        <v/>
      </c>
      <c r="O14" s="12">
        <f>Setup!$D$20</f>
        <v/>
      </c>
      <c r="P14" s="13">
        <f>SUM(D14:O14)</f>
        <v/>
      </c>
    </row>
    <row r="15">
      <c r="B15" s="4" t="inlineStr">
        <is>
          <t>Dining Out</t>
        </is>
      </c>
      <c r="C15" s="4" t="inlineStr">
        <is>
          <t>Food</t>
        </is>
      </c>
      <c r="D15" s="12">
        <f>Setup!$D$21</f>
        <v/>
      </c>
      <c r="E15" s="12">
        <f>Setup!$D$21</f>
        <v/>
      </c>
      <c r="F15" s="12">
        <f>Setup!$D$21</f>
        <v/>
      </c>
      <c r="G15" s="12">
        <f>Setup!$D$21</f>
        <v/>
      </c>
      <c r="H15" s="12">
        <f>Setup!$D$21</f>
        <v/>
      </c>
      <c r="I15" s="12">
        <f>Setup!$D$21</f>
        <v/>
      </c>
      <c r="J15" s="12">
        <f>Setup!$D$21</f>
        <v/>
      </c>
      <c r="K15" s="12">
        <f>Setup!$D$21</f>
        <v/>
      </c>
      <c r="L15" s="12">
        <f>Setup!$D$21</f>
        <v/>
      </c>
      <c r="M15" s="12">
        <f>Setup!$D$21</f>
        <v/>
      </c>
      <c r="N15" s="12">
        <f>Setup!$D$21</f>
        <v/>
      </c>
      <c r="O15" s="12">
        <f>Setup!$D$21</f>
        <v/>
      </c>
      <c r="P15" s="13">
        <f>SUM(D15:O15)</f>
        <v/>
      </c>
    </row>
    <row r="16">
      <c r="B16" s="4" t="inlineStr">
        <is>
          <t>Coffee</t>
        </is>
      </c>
      <c r="C16" s="4" t="inlineStr">
        <is>
          <t>Food</t>
        </is>
      </c>
      <c r="D16" s="12">
        <f>Setup!$D$22</f>
        <v/>
      </c>
      <c r="E16" s="12">
        <f>Setup!$D$22</f>
        <v/>
      </c>
      <c r="F16" s="12">
        <f>Setup!$D$22</f>
        <v/>
      </c>
      <c r="G16" s="12">
        <f>Setup!$D$22</f>
        <v/>
      </c>
      <c r="H16" s="12">
        <f>Setup!$D$22</f>
        <v/>
      </c>
      <c r="I16" s="12">
        <f>Setup!$D$22</f>
        <v/>
      </c>
      <c r="J16" s="12">
        <f>Setup!$D$22</f>
        <v/>
      </c>
      <c r="K16" s="12">
        <f>Setup!$D$22</f>
        <v/>
      </c>
      <c r="L16" s="12">
        <f>Setup!$D$22</f>
        <v/>
      </c>
      <c r="M16" s="12">
        <f>Setup!$D$22</f>
        <v/>
      </c>
      <c r="N16" s="12">
        <f>Setup!$D$22</f>
        <v/>
      </c>
      <c r="O16" s="12">
        <f>Setup!$D$22</f>
        <v/>
      </c>
      <c r="P16" s="13">
        <f>SUM(D16:O16)</f>
        <v/>
      </c>
    </row>
    <row r="17">
      <c r="B17" s="4" t="inlineStr">
        <is>
          <t>Clothing</t>
        </is>
      </c>
      <c r="C17" s="4" t="inlineStr">
        <is>
          <t>Personal</t>
        </is>
      </c>
      <c r="D17" s="12">
        <f>Setup!$D$23</f>
        <v/>
      </c>
      <c r="E17" s="12">
        <f>Setup!$D$23</f>
        <v/>
      </c>
      <c r="F17" s="12">
        <f>Setup!$D$23</f>
        <v/>
      </c>
      <c r="G17" s="12">
        <f>Setup!$D$23</f>
        <v/>
      </c>
      <c r="H17" s="12">
        <f>Setup!$D$23</f>
        <v/>
      </c>
      <c r="I17" s="12">
        <f>Setup!$D$23</f>
        <v/>
      </c>
      <c r="J17" s="12">
        <f>Setup!$D$23</f>
        <v/>
      </c>
      <c r="K17" s="12">
        <f>Setup!$D$23</f>
        <v/>
      </c>
      <c r="L17" s="12">
        <f>Setup!$D$23</f>
        <v/>
      </c>
      <c r="M17" s="12">
        <f>Setup!$D$23</f>
        <v/>
      </c>
      <c r="N17" s="12">
        <f>Setup!$D$23</f>
        <v/>
      </c>
      <c r="O17" s="12">
        <f>Setup!$D$23</f>
        <v/>
      </c>
      <c r="P17" s="13">
        <f>SUM(D17:O17)</f>
        <v/>
      </c>
    </row>
    <row r="18">
      <c r="B18" s="4" t="inlineStr">
        <is>
          <t>Haircuts</t>
        </is>
      </c>
      <c r="C18" s="4" t="inlineStr">
        <is>
          <t>Personal</t>
        </is>
      </c>
      <c r="D18" s="12">
        <f>Setup!$D$24</f>
        <v/>
      </c>
      <c r="E18" s="12">
        <f>Setup!$D$24</f>
        <v/>
      </c>
      <c r="F18" s="12">
        <f>Setup!$D$24</f>
        <v/>
      </c>
      <c r="G18" s="12">
        <f>Setup!$D$24</f>
        <v/>
      </c>
      <c r="H18" s="12">
        <f>Setup!$D$24</f>
        <v/>
      </c>
      <c r="I18" s="12">
        <f>Setup!$D$24</f>
        <v/>
      </c>
      <c r="J18" s="12">
        <f>Setup!$D$24</f>
        <v/>
      </c>
      <c r="K18" s="12">
        <f>Setup!$D$24</f>
        <v/>
      </c>
      <c r="L18" s="12">
        <f>Setup!$D$24</f>
        <v/>
      </c>
      <c r="M18" s="12">
        <f>Setup!$D$24</f>
        <v/>
      </c>
      <c r="N18" s="12">
        <f>Setup!$D$24</f>
        <v/>
      </c>
      <c r="O18" s="12">
        <f>Setup!$D$24</f>
        <v/>
      </c>
      <c r="P18" s="13">
        <f>SUM(D18:O18)</f>
        <v/>
      </c>
    </row>
    <row r="19">
      <c r="B19" s="4" t="inlineStr">
        <is>
          <t>Subscriptions</t>
        </is>
      </c>
      <c r="C19" s="4" t="inlineStr">
        <is>
          <t>Personal</t>
        </is>
      </c>
      <c r="D19" s="12">
        <f>Setup!$D$25</f>
        <v/>
      </c>
      <c r="E19" s="12">
        <f>Setup!$D$25</f>
        <v/>
      </c>
      <c r="F19" s="12">
        <f>Setup!$D$25</f>
        <v/>
      </c>
      <c r="G19" s="12">
        <f>Setup!$D$25</f>
        <v/>
      </c>
      <c r="H19" s="12">
        <f>Setup!$D$25</f>
        <v/>
      </c>
      <c r="I19" s="12">
        <f>Setup!$D$25</f>
        <v/>
      </c>
      <c r="J19" s="12">
        <f>Setup!$D$25</f>
        <v/>
      </c>
      <c r="K19" s="12">
        <f>Setup!$D$25</f>
        <v/>
      </c>
      <c r="L19" s="12">
        <f>Setup!$D$25</f>
        <v/>
      </c>
      <c r="M19" s="12">
        <f>Setup!$D$25</f>
        <v/>
      </c>
      <c r="N19" s="12">
        <f>Setup!$D$25</f>
        <v/>
      </c>
      <c r="O19" s="12">
        <f>Setup!$D$25</f>
        <v/>
      </c>
      <c r="P19" s="13">
        <f>SUM(D19:O19)</f>
        <v/>
      </c>
    </row>
    <row r="20">
      <c r="B20" s="4" t="inlineStr">
        <is>
          <t>Entertainment</t>
        </is>
      </c>
      <c r="C20" s="4" t="inlineStr">
        <is>
          <t>Personal</t>
        </is>
      </c>
      <c r="D20" s="12">
        <f>Setup!$D$26</f>
        <v/>
      </c>
      <c r="E20" s="12">
        <f>Setup!$D$26</f>
        <v/>
      </c>
      <c r="F20" s="12">
        <f>Setup!$D$26</f>
        <v/>
      </c>
      <c r="G20" s="12">
        <f>Setup!$D$26</f>
        <v/>
      </c>
      <c r="H20" s="12">
        <f>Setup!$D$26</f>
        <v/>
      </c>
      <c r="I20" s="12">
        <f>Setup!$D$26</f>
        <v/>
      </c>
      <c r="J20" s="12">
        <f>Setup!$D$26</f>
        <v/>
      </c>
      <c r="K20" s="12">
        <f>Setup!$D$26</f>
        <v/>
      </c>
      <c r="L20" s="12">
        <f>Setup!$D$26</f>
        <v/>
      </c>
      <c r="M20" s="12">
        <f>Setup!$D$26</f>
        <v/>
      </c>
      <c r="N20" s="12">
        <f>Setup!$D$26</f>
        <v/>
      </c>
      <c r="O20" s="12">
        <f>Setup!$D$26</f>
        <v/>
      </c>
      <c r="P20" s="13">
        <f>SUM(D20:O20)</f>
        <v/>
      </c>
    </row>
    <row r="21">
      <c r="B21" s="4" t="inlineStr">
        <is>
          <t>Gifts</t>
        </is>
      </c>
      <c r="C21" s="4" t="inlineStr">
        <is>
          <t>Personal</t>
        </is>
      </c>
      <c r="D21" s="12">
        <f>Setup!$D$27</f>
        <v/>
      </c>
      <c r="E21" s="12">
        <f>Setup!$D$27</f>
        <v/>
      </c>
      <c r="F21" s="12">
        <f>Setup!$D$27</f>
        <v/>
      </c>
      <c r="G21" s="12">
        <f>Setup!$D$27</f>
        <v/>
      </c>
      <c r="H21" s="12">
        <f>Setup!$D$27</f>
        <v/>
      </c>
      <c r="I21" s="12">
        <f>Setup!$D$27</f>
        <v/>
      </c>
      <c r="J21" s="12">
        <f>Setup!$D$27</f>
        <v/>
      </c>
      <c r="K21" s="12">
        <f>Setup!$D$27</f>
        <v/>
      </c>
      <c r="L21" s="12">
        <f>Setup!$D$27</f>
        <v/>
      </c>
      <c r="M21" s="12">
        <f>Setup!$D$27</f>
        <v/>
      </c>
      <c r="N21" s="12">
        <f>Setup!$D$27</f>
        <v/>
      </c>
      <c r="O21" s="12">
        <f>Setup!$D$27</f>
        <v/>
      </c>
      <c r="P21" s="13">
        <f>SUM(D21:O21)</f>
        <v/>
      </c>
    </row>
    <row r="22">
      <c r="B22" s="4" t="inlineStr">
        <is>
          <t>Health Insurance</t>
        </is>
      </c>
      <c r="C22" s="4" t="inlineStr">
        <is>
          <t>Health</t>
        </is>
      </c>
      <c r="D22" s="12">
        <f>Setup!$D$28</f>
        <v/>
      </c>
      <c r="E22" s="12">
        <f>Setup!$D$28</f>
        <v/>
      </c>
      <c r="F22" s="12">
        <f>Setup!$D$28</f>
        <v/>
      </c>
      <c r="G22" s="12">
        <f>Setup!$D$28</f>
        <v/>
      </c>
      <c r="H22" s="12">
        <f>Setup!$D$28</f>
        <v/>
      </c>
      <c r="I22" s="12">
        <f>Setup!$D$28</f>
        <v/>
      </c>
      <c r="J22" s="12">
        <f>Setup!$D$28</f>
        <v/>
      </c>
      <c r="K22" s="12">
        <f>Setup!$D$28</f>
        <v/>
      </c>
      <c r="L22" s="12">
        <f>Setup!$D$28</f>
        <v/>
      </c>
      <c r="M22" s="12">
        <f>Setup!$D$28</f>
        <v/>
      </c>
      <c r="N22" s="12">
        <f>Setup!$D$28</f>
        <v/>
      </c>
      <c r="O22" s="12">
        <f>Setup!$D$28</f>
        <v/>
      </c>
      <c r="P22" s="13">
        <f>SUM(D22:O22)</f>
        <v/>
      </c>
    </row>
    <row r="23">
      <c r="B23" s="4" t="inlineStr">
        <is>
          <t>Gym</t>
        </is>
      </c>
      <c r="C23" s="4" t="inlineStr">
        <is>
          <t>Health</t>
        </is>
      </c>
      <c r="D23" s="12">
        <f>Setup!$D$29</f>
        <v/>
      </c>
      <c r="E23" s="12">
        <f>Setup!$D$29</f>
        <v/>
      </c>
      <c r="F23" s="12">
        <f>Setup!$D$29</f>
        <v/>
      </c>
      <c r="G23" s="12">
        <f>Setup!$D$29</f>
        <v/>
      </c>
      <c r="H23" s="12">
        <f>Setup!$D$29</f>
        <v/>
      </c>
      <c r="I23" s="12">
        <f>Setup!$D$29</f>
        <v/>
      </c>
      <c r="J23" s="12">
        <f>Setup!$D$29</f>
        <v/>
      </c>
      <c r="K23" s="12">
        <f>Setup!$D$29</f>
        <v/>
      </c>
      <c r="L23" s="12">
        <f>Setup!$D$29</f>
        <v/>
      </c>
      <c r="M23" s="12">
        <f>Setup!$D$29</f>
        <v/>
      </c>
      <c r="N23" s="12">
        <f>Setup!$D$29</f>
        <v/>
      </c>
      <c r="O23" s="12">
        <f>Setup!$D$29</f>
        <v/>
      </c>
      <c r="P23" s="13">
        <f>SUM(D23:O23)</f>
        <v/>
      </c>
    </row>
    <row r="24">
      <c r="B24" s="4" t="inlineStr">
        <is>
          <t>Prescriptions</t>
        </is>
      </c>
      <c r="C24" s="4" t="inlineStr">
        <is>
          <t>Health</t>
        </is>
      </c>
      <c r="D24" s="12">
        <f>Setup!$D$30</f>
        <v/>
      </c>
      <c r="E24" s="12">
        <f>Setup!$D$30</f>
        <v/>
      </c>
      <c r="F24" s="12">
        <f>Setup!$D$30</f>
        <v/>
      </c>
      <c r="G24" s="12">
        <f>Setup!$D$30</f>
        <v/>
      </c>
      <c r="H24" s="12">
        <f>Setup!$D$30</f>
        <v/>
      </c>
      <c r="I24" s="12">
        <f>Setup!$D$30</f>
        <v/>
      </c>
      <c r="J24" s="12">
        <f>Setup!$D$30</f>
        <v/>
      </c>
      <c r="K24" s="12">
        <f>Setup!$D$30</f>
        <v/>
      </c>
      <c r="L24" s="12">
        <f>Setup!$D$30</f>
        <v/>
      </c>
      <c r="M24" s="12">
        <f>Setup!$D$30</f>
        <v/>
      </c>
      <c r="N24" s="12">
        <f>Setup!$D$30</f>
        <v/>
      </c>
      <c r="O24" s="12">
        <f>Setup!$D$30</f>
        <v/>
      </c>
      <c r="P24" s="13">
        <f>SUM(D24:O24)</f>
        <v/>
      </c>
    </row>
    <row r="25">
      <c r="B25" s="4" t="inlineStr">
        <is>
          <t>Emergency Fund</t>
        </is>
      </c>
      <c r="C25" s="4" t="inlineStr">
        <is>
          <t>Savings</t>
        </is>
      </c>
      <c r="D25" s="12">
        <f>Setup!$D$31</f>
        <v/>
      </c>
      <c r="E25" s="12">
        <f>Setup!$D$31</f>
        <v/>
      </c>
      <c r="F25" s="12">
        <f>Setup!$D$31</f>
        <v/>
      </c>
      <c r="G25" s="12">
        <f>Setup!$D$31</f>
        <v/>
      </c>
      <c r="H25" s="12">
        <f>Setup!$D$31</f>
        <v/>
      </c>
      <c r="I25" s="12">
        <f>Setup!$D$31</f>
        <v/>
      </c>
      <c r="J25" s="12">
        <f>Setup!$D$31</f>
        <v/>
      </c>
      <c r="K25" s="12">
        <f>Setup!$D$31</f>
        <v/>
      </c>
      <c r="L25" s="12">
        <f>Setup!$D$31</f>
        <v/>
      </c>
      <c r="M25" s="12">
        <f>Setup!$D$31</f>
        <v/>
      </c>
      <c r="N25" s="12">
        <f>Setup!$D$31</f>
        <v/>
      </c>
      <c r="O25" s="12">
        <f>Setup!$D$31</f>
        <v/>
      </c>
      <c r="P25" s="13">
        <f>SUM(D25:O25)</f>
        <v/>
      </c>
    </row>
    <row r="26">
      <c r="B26" s="4" t="inlineStr">
        <is>
          <t>Retirement Extra</t>
        </is>
      </c>
      <c r="C26" s="4" t="inlineStr">
        <is>
          <t>Savings</t>
        </is>
      </c>
      <c r="D26" s="12">
        <f>Setup!$D$32</f>
        <v/>
      </c>
      <c r="E26" s="12">
        <f>Setup!$D$32</f>
        <v/>
      </c>
      <c r="F26" s="12">
        <f>Setup!$D$32</f>
        <v/>
      </c>
      <c r="G26" s="12">
        <f>Setup!$D$32</f>
        <v/>
      </c>
      <c r="H26" s="12">
        <f>Setup!$D$32</f>
        <v/>
      </c>
      <c r="I26" s="12">
        <f>Setup!$D$32</f>
        <v/>
      </c>
      <c r="J26" s="12">
        <f>Setup!$D$32</f>
        <v/>
      </c>
      <c r="K26" s="12">
        <f>Setup!$D$32</f>
        <v/>
      </c>
      <c r="L26" s="12">
        <f>Setup!$D$32</f>
        <v/>
      </c>
      <c r="M26" s="12">
        <f>Setup!$D$32</f>
        <v/>
      </c>
      <c r="N26" s="12">
        <f>Setup!$D$32</f>
        <v/>
      </c>
      <c r="O26" s="12">
        <f>Setup!$D$32</f>
        <v/>
      </c>
      <c r="P26" s="13">
        <f>SUM(D26:O26)</f>
        <v/>
      </c>
    </row>
    <row r="27">
      <c r="B27" s="4" t="inlineStr">
        <is>
          <t>Vacation Fund</t>
        </is>
      </c>
      <c r="C27" s="4" t="inlineStr">
        <is>
          <t>Savings</t>
        </is>
      </c>
      <c r="D27" s="12">
        <f>Setup!$D$33</f>
        <v/>
      </c>
      <c r="E27" s="12">
        <f>Setup!$D$33</f>
        <v/>
      </c>
      <c r="F27" s="12">
        <f>Setup!$D$33</f>
        <v/>
      </c>
      <c r="G27" s="12">
        <f>Setup!$D$33</f>
        <v/>
      </c>
      <c r="H27" s="12">
        <f>Setup!$D$33</f>
        <v/>
      </c>
      <c r="I27" s="12">
        <f>Setup!$D$33</f>
        <v/>
      </c>
      <c r="J27" s="12">
        <f>Setup!$D$33</f>
        <v/>
      </c>
      <c r="K27" s="12">
        <f>Setup!$D$33</f>
        <v/>
      </c>
      <c r="L27" s="12">
        <f>Setup!$D$33</f>
        <v/>
      </c>
      <c r="M27" s="12">
        <f>Setup!$D$33</f>
        <v/>
      </c>
      <c r="N27" s="12">
        <f>Setup!$D$33</f>
        <v/>
      </c>
      <c r="O27" s="12">
        <f>Setup!$D$33</f>
        <v/>
      </c>
      <c r="P27" s="13">
        <f>SUM(D27:O27)</f>
        <v/>
      </c>
    </row>
    <row r="28">
      <c r="B28" s="4" t="inlineStr">
        <is>
          <t>Student Loan</t>
        </is>
      </c>
      <c r="C28" s="4" t="inlineStr">
        <is>
          <t>Debt</t>
        </is>
      </c>
      <c r="D28" s="12">
        <f>Setup!$D$34</f>
        <v/>
      </c>
      <c r="E28" s="12">
        <f>Setup!$D$34</f>
        <v/>
      </c>
      <c r="F28" s="12">
        <f>Setup!$D$34</f>
        <v/>
      </c>
      <c r="G28" s="12">
        <f>Setup!$D$34</f>
        <v/>
      </c>
      <c r="H28" s="12">
        <f>Setup!$D$34</f>
        <v/>
      </c>
      <c r="I28" s="12">
        <f>Setup!$D$34</f>
        <v/>
      </c>
      <c r="J28" s="12">
        <f>Setup!$D$34</f>
        <v/>
      </c>
      <c r="K28" s="12">
        <f>Setup!$D$34</f>
        <v/>
      </c>
      <c r="L28" s="12">
        <f>Setup!$D$34</f>
        <v/>
      </c>
      <c r="M28" s="12">
        <f>Setup!$D$34</f>
        <v/>
      </c>
      <c r="N28" s="12">
        <f>Setup!$D$34</f>
        <v/>
      </c>
      <c r="O28" s="12">
        <f>Setup!$D$34</f>
        <v/>
      </c>
      <c r="P28" s="13">
        <f>SUM(D28:O28)</f>
        <v/>
      </c>
    </row>
    <row r="29">
      <c r="B29" s="4" t="inlineStr">
        <is>
          <t>Credit Card Extra</t>
        </is>
      </c>
      <c r="C29" s="4" t="inlineStr">
        <is>
          <t>Debt</t>
        </is>
      </c>
      <c r="D29" s="12">
        <f>Setup!$D$35</f>
        <v/>
      </c>
      <c r="E29" s="12">
        <f>Setup!$D$35</f>
        <v/>
      </c>
      <c r="F29" s="12">
        <f>Setup!$D$35</f>
        <v/>
      </c>
      <c r="G29" s="12">
        <f>Setup!$D$35</f>
        <v/>
      </c>
      <c r="H29" s="12">
        <f>Setup!$D$35</f>
        <v/>
      </c>
      <c r="I29" s="12">
        <f>Setup!$D$35</f>
        <v/>
      </c>
      <c r="J29" s="12">
        <f>Setup!$D$35</f>
        <v/>
      </c>
      <c r="K29" s="12">
        <f>Setup!$D$35</f>
        <v/>
      </c>
      <c r="L29" s="12">
        <f>Setup!$D$35</f>
        <v/>
      </c>
      <c r="M29" s="12">
        <f>Setup!$D$35</f>
        <v/>
      </c>
      <c r="N29" s="12">
        <f>Setup!$D$35</f>
        <v/>
      </c>
      <c r="O29" s="12">
        <f>Setup!$D$35</f>
        <v/>
      </c>
      <c r="P29" s="13">
        <f>SUM(D29:O29)</f>
        <v/>
      </c>
    </row>
    <row r="30">
      <c r="B30" s="6" t="inlineStr">
        <is>
          <t>Total Planned</t>
        </is>
      </c>
      <c r="C30" s="2" t="n"/>
      <c r="D30" s="8">
        <f>SUM(D5:D29)</f>
        <v/>
      </c>
      <c r="E30" s="8">
        <f>SUM(E5:E29)</f>
        <v/>
      </c>
      <c r="F30" s="8">
        <f>SUM(F5:F29)</f>
        <v/>
      </c>
      <c r="G30" s="8">
        <f>SUM(G5:G29)</f>
        <v/>
      </c>
      <c r="H30" s="8">
        <f>SUM(H5:H29)</f>
        <v/>
      </c>
      <c r="I30" s="8">
        <f>SUM(I5:I29)</f>
        <v/>
      </c>
      <c r="J30" s="8">
        <f>SUM(J5:J29)</f>
        <v/>
      </c>
      <c r="K30" s="8">
        <f>SUM(K5:K29)</f>
        <v/>
      </c>
      <c r="L30" s="8">
        <f>SUM(L5:L29)</f>
        <v/>
      </c>
      <c r="M30" s="8">
        <f>SUM(M5:M29)</f>
        <v/>
      </c>
      <c r="N30" s="8">
        <f>SUM(N5:N29)</f>
        <v/>
      </c>
      <c r="O30" s="8">
        <f>SUM(O5:O29)</f>
        <v/>
      </c>
      <c r="P30" s="8">
        <f>SUM(D30:O30)</f>
        <v/>
      </c>
    </row>
    <row r="31">
      <c r="B31" s="6" t="inlineStr">
        <is>
          <t>Remainder</t>
        </is>
      </c>
      <c r="C31" s="2" t="n"/>
      <c r="D31" s="8">
        <f>D4-D30</f>
        <v/>
      </c>
      <c r="E31" s="8">
        <f>E4-E30</f>
        <v/>
      </c>
      <c r="F31" s="8">
        <f>F4-F30</f>
        <v/>
      </c>
      <c r="G31" s="8">
        <f>G4-G30</f>
        <v/>
      </c>
      <c r="H31" s="8">
        <f>H4-H30</f>
        <v/>
      </c>
      <c r="I31" s="8">
        <f>I4-I30</f>
        <v/>
      </c>
      <c r="J31" s="8">
        <f>J4-J30</f>
        <v/>
      </c>
      <c r="K31" s="8">
        <f>K4-K30</f>
        <v/>
      </c>
      <c r="L31" s="8">
        <f>L4-L30</f>
        <v/>
      </c>
      <c r="M31" s="8">
        <f>M4-M30</f>
        <v/>
      </c>
      <c r="N31" s="8">
        <f>N4-N30</f>
        <v/>
      </c>
      <c r="O31" s="8">
        <f>O4-O30</f>
        <v/>
      </c>
      <c r="P31" s="2" t="n"/>
    </row>
  </sheetData>
  <conditionalFormatting sqref="D31:O31">
    <cfRule type="cellIs" priority="1" operator="notEqual" dxfId="0">
      <formula>0</formula>
    </cfRule>
    <cfRule type="cellIs" priority="2" operator="equal" dxfId="1">
      <formula>0</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2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s>
  <sheetData>
    <row r="1"/>
    <row r="2">
      <c r="B2" s="1" t="inlineStr">
        <is>
          <t>Actuals vs Plan</t>
        </is>
      </c>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c r="AN2" s="2" t="n"/>
      <c r="AO2" s="2" t="n"/>
    </row>
    <row r="3">
      <c r="B3" s="3" t="inlineStr">
        <is>
          <t>Category</t>
        </is>
      </c>
      <c r="C3" s="11" t="inlineStr">
        <is>
          <t>Jan Plan</t>
        </is>
      </c>
      <c r="D3" s="11" t="inlineStr">
        <is>
          <t>Jan Actual</t>
        </is>
      </c>
      <c r="E3" s="11" t="inlineStr">
        <is>
          <t>Jan Var</t>
        </is>
      </c>
      <c r="F3" s="11" t="inlineStr">
        <is>
          <t>Feb Plan</t>
        </is>
      </c>
      <c r="G3" s="11" t="inlineStr">
        <is>
          <t>Feb Actual</t>
        </is>
      </c>
      <c r="H3" s="11" t="inlineStr">
        <is>
          <t>Feb Var</t>
        </is>
      </c>
      <c r="I3" s="11" t="inlineStr">
        <is>
          <t>Mar Plan</t>
        </is>
      </c>
      <c r="J3" s="11" t="inlineStr">
        <is>
          <t>Mar Actual</t>
        </is>
      </c>
      <c r="K3" s="11" t="inlineStr">
        <is>
          <t>Mar Var</t>
        </is>
      </c>
      <c r="L3" s="11" t="inlineStr">
        <is>
          <t>Apr Plan</t>
        </is>
      </c>
      <c r="M3" s="11" t="inlineStr">
        <is>
          <t>Apr Actual</t>
        </is>
      </c>
      <c r="N3" s="11" t="inlineStr">
        <is>
          <t>Apr Var</t>
        </is>
      </c>
      <c r="O3" s="11" t="inlineStr">
        <is>
          <t>May Plan</t>
        </is>
      </c>
      <c r="P3" s="11" t="inlineStr">
        <is>
          <t>May Actual</t>
        </is>
      </c>
      <c r="Q3" s="11" t="inlineStr">
        <is>
          <t>May Var</t>
        </is>
      </c>
      <c r="R3" s="11" t="inlineStr">
        <is>
          <t>Jun Plan</t>
        </is>
      </c>
      <c r="S3" s="11" t="inlineStr">
        <is>
          <t>Jun Actual</t>
        </is>
      </c>
      <c r="T3" s="11" t="inlineStr">
        <is>
          <t>Jun Var</t>
        </is>
      </c>
      <c r="U3" s="11" t="inlineStr">
        <is>
          <t>Jul Plan</t>
        </is>
      </c>
      <c r="V3" s="11" t="inlineStr">
        <is>
          <t>Jul Actual</t>
        </is>
      </c>
      <c r="W3" s="11" t="inlineStr">
        <is>
          <t>Jul Var</t>
        </is>
      </c>
      <c r="X3" s="11" t="inlineStr">
        <is>
          <t>Aug Plan</t>
        </is>
      </c>
      <c r="Y3" s="11" t="inlineStr">
        <is>
          <t>Aug Actual</t>
        </is>
      </c>
      <c r="Z3" s="11" t="inlineStr">
        <is>
          <t>Aug Var</t>
        </is>
      </c>
      <c r="AA3" s="11" t="inlineStr">
        <is>
          <t>Sep Plan</t>
        </is>
      </c>
      <c r="AB3" s="11" t="inlineStr">
        <is>
          <t>Sep Actual</t>
        </is>
      </c>
      <c r="AC3" s="11" t="inlineStr">
        <is>
          <t>Sep Var</t>
        </is>
      </c>
      <c r="AD3" s="11" t="inlineStr">
        <is>
          <t>Oct Plan</t>
        </is>
      </c>
      <c r="AE3" s="11" t="inlineStr">
        <is>
          <t>Oct Actual</t>
        </is>
      </c>
      <c r="AF3" s="11" t="inlineStr">
        <is>
          <t>Oct Var</t>
        </is>
      </c>
      <c r="AG3" s="11" t="inlineStr">
        <is>
          <t>Nov Plan</t>
        </is>
      </c>
      <c r="AH3" s="11" t="inlineStr">
        <is>
          <t>Nov Actual</t>
        </is>
      </c>
      <c r="AI3" s="11" t="inlineStr">
        <is>
          <t>Nov Var</t>
        </is>
      </c>
      <c r="AJ3" s="11" t="inlineStr">
        <is>
          <t>Dec Plan</t>
        </is>
      </c>
      <c r="AK3" s="11" t="inlineStr">
        <is>
          <t>Dec Actual</t>
        </is>
      </c>
      <c r="AL3" s="11" t="inlineStr">
        <is>
          <t>Dec Var</t>
        </is>
      </c>
      <c r="AM3" s="14" t="inlineStr">
        <is>
          <t>Annual Plan</t>
        </is>
      </c>
      <c r="AN3" s="14" t="inlineStr">
        <is>
          <t>Annual Actual</t>
        </is>
      </c>
      <c r="AO3" s="14" t="inlineStr">
        <is>
          <t>Annual Var</t>
        </is>
      </c>
    </row>
    <row r="4">
      <c r="B4" s="4" t="inlineStr">
        <is>
          <t>Rent/Mortgage</t>
        </is>
      </c>
      <c r="C4" s="15">
        <f>'Monthly Plan'!D5</f>
        <v/>
      </c>
      <c r="D4" s="15">
        <f>SUMPRODUCT((MONTH(Transactions!$B$4:$B$282)=1)*(Transactions!$E$4:$E$282="Rent/Mortgage")*Transactions!$D$4:$D$282)</f>
        <v/>
      </c>
      <c r="E4" s="15">
        <f>C4-D4</f>
        <v/>
      </c>
      <c r="F4" s="15">
        <f>'Monthly Plan'!E5</f>
        <v/>
      </c>
      <c r="G4" s="15">
        <f>SUMPRODUCT((MONTH(Transactions!$B$4:$B$282)=2)*(Transactions!$E$4:$E$282="Rent/Mortgage")*Transactions!$D$4:$D$282)</f>
        <v/>
      </c>
      <c r="H4" s="15">
        <f>F4-G4</f>
        <v/>
      </c>
      <c r="I4" s="15">
        <f>'Monthly Plan'!F5</f>
        <v/>
      </c>
      <c r="J4" s="15">
        <f>SUMPRODUCT((MONTH(Transactions!$B$4:$B$282)=3)*(Transactions!$E$4:$E$282="Rent/Mortgage")*Transactions!$D$4:$D$282)</f>
        <v/>
      </c>
      <c r="K4" s="15">
        <f>I4-J4</f>
        <v/>
      </c>
      <c r="L4" s="15">
        <f>'Monthly Plan'!G5</f>
        <v/>
      </c>
      <c r="M4" s="15">
        <f>SUMPRODUCT((MONTH(Transactions!$B$4:$B$282)=4)*(Transactions!$E$4:$E$282="Rent/Mortgage")*Transactions!$D$4:$D$282)</f>
        <v/>
      </c>
      <c r="N4" s="15">
        <f>L4-M4</f>
        <v/>
      </c>
      <c r="O4" s="15">
        <f>'Monthly Plan'!H5</f>
        <v/>
      </c>
      <c r="P4" s="15">
        <f>SUMPRODUCT((MONTH(Transactions!$B$4:$B$282)=5)*(Transactions!$E$4:$E$282="Rent/Mortgage")*Transactions!$D$4:$D$282)</f>
        <v/>
      </c>
      <c r="Q4" s="15">
        <f>O4-P4</f>
        <v/>
      </c>
      <c r="R4" s="15">
        <f>'Monthly Plan'!I5</f>
        <v/>
      </c>
      <c r="S4" s="15">
        <f>SUMPRODUCT((MONTH(Transactions!$B$4:$B$282)=6)*(Transactions!$E$4:$E$282="Rent/Mortgage")*Transactions!$D$4:$D$282)</f>
        <v/>
      </c>
      <c r="T4" s="15">
        <f>R4-S4</f>
        <v/>
      </c>
      <c r="U4" s="15">
        <f>'Monthly Plan'!J5</f>
        <v/>
      </c>
      <c r="V4" s="15">
        <f>SUMPRODUCT((MONTH(Transactions!$B$4:$B$282)=7)*(Transactions!$E$4:$E$282="Rent/Mortgage")*Transactions!$D$4:$D$282)</f>
        <v/>
      </c>
      <c r="W4" s="15">
        <f>U4-V4</f>
        <v/>
      </c>
      <c r="X4" s="15">
        <f>'Monthly Plan'!K5</f>
        <v/>
      </c>
      <c r="Y4" s="15">
        <f>SUMPRODUCT((MONTH(Transactions!$B$4:$B$282)=8)*(Transactions!$E$4:$E$282="Rent/Mortgage")*Transactions!$D$4:$D$282)</f>
        <v/>
      </c>
      <c r="Z4" s="15">
        <f>X4-Y4</f>
        <v/>
      </c>
      <c r="AA4" s="15">
        <f>'Monthly Plan'!L5</f>
        <v/>
      </c>
      <c r="AB4" s="15">
        <f>SUMPRODUCT((MONTH(Transactions!$B$4:$B$282)=9)*(Transactions!$E$4:$E$282="Rent/Mortgage")*Transactions!$D$4:$D$282)</f>
        <v/>
      </c>
      <c r="AC4" s="15">
        <f>AA4-AB4</f>
        <v/>
      </c>
      <c r="AD4" s="15">
        <f>'Monthly Plan'!M5</f>
        <v/>
      </c>
      <c r="AE4" s="15">
        <f>SUMPRODUCT((MONTH(Transactions!$B$4:$B$282)=10)*(Transactions!$E$4:$E$282="Rent/Mortgage")*Transactions!$D$4:$D$282)</f>
        <v/>
      </c>
      <c r="AF4" s="15">
        <f>AD4-AE4</f>
        <v/>
      </c>
      <c r="AG4" s="15">
        <f>'Monthly Plan'!N5</f>
        <v/>
      </c>
      <c r="AH4" s="15">
        <f>SUMPRODUCT((MONTH(Transactions!$B$4:$B$282)=11)*(Transactions!$E$4:$E$282="Rent/Mortgage")*Transactions!$D$4:$D$282)</f>
        <v/>
      </c>
      <c r="AI4" s="15">
        <f>AG4-AH4</f>
        <v/>
      </c>
      <c r="AJ4" s="15">
        <f>'Monthly Plan'!O5</f>
        <v/>
      </c>
      <c r="AK4" s="15">
        <f>SUMPRODUCT((MONTH(Transactions!$B$4:$B$282)=12)*(Transactions!$E$4:$E$282="Rent/Mortgage")*Transactions!$D$4:$D$282)</f>
        <v/>
      </c>
      <c r="AL4" s="15">
        <f>AJ4-AK4</f>
        <v/>
      </c>
      <c r="AM4" s="13">
        <f>C4+F4+I4+L4+O4+R4+U4+X4+AA4+AD4+AG4+AJ4</f>
        <v/>
      </c>
      <c r="AN4" s="13">
        <f>D4+G4+J4+M4+P4+S4+V4+Y4+AB4+AE4+AH4+AK4</f>
        <v/>
      </c>
      <c r="AO4" s="13">
        <f>AM4-AN4</f>
        <v/>
      </c>
    </row>
    <row r="5">
      <c r="B5" s="4" t="inlineStr">
        <is>
          <t>Renters Insurance</t>
        </is>
      </c>
      <c r="C5" s="15">
        <f>'Monthly Plan'!D6</f>
        <v/>
      </c>
      <c r="D5" s="15">
        <f>SUMPRODUCT((MONTH(Transactions!$B$4:$B$282)=1)*(Transactions!$E$4:$E$282="Renters Insurance")*Transactions!$D$4:$D$282)</f>
        <v/>
      </c>
      <c r="E5" s="15">
        <f>C5-D5</f>
        <v/>
      </c>
      <c r="F5" s="15">
        <f>'Monthly Plan'!E6</f>
        <v/>
      </c>
      <c r="G5" s="15">
        <f>SUMPRODUCT((MONTH(Transactions!$B$4:$B$282)=2)*(Transactions!$E$4:$E$282="Renters Insurance")*Transactions!$D$4:$D$282)</f>
        <v/>
      </c>
      <c r="H5" s="15">
        <f>F5-G5</f>
        <v/>
      </c>
      <c r="I5" s="15">
        <f>'Monthly Plan'!F6</f>
        <v/>
      </c>
      <c r="J5" s="15">
        <f>SUMPRODUCT((MONTH(Transactions!$B$4:$B$282)=3)*(Transactions!$E$4:$E$282="Renters Insurance")*Transactions!$D$4:$D$282)</f>
        <v/>
      </c>
      <c r="K5" s="15">
        <f>I5-J5</f>
        <v/>
      </c>
      <c r="L5" s="15">
        <f>'Monthly Plan'!G6</f>
        <v/>
      </c>
      <c r="M5" s="15">
        <f>SUMPRODUCT((MONTH(Transactions!$B$4:$B$282)=4)*(Transactions!$E$4:$E$282="Renters Insurance")*Transactions!$D$4:$D$282)</f>
        <v/>
      </c>
      <c r="N5" s="15">
        <f>L5-M5</f>
        <v/>
      </c>
      <c r="O5" s="15">
        <f>'Monthly Plan'!H6</f>
        <v/>
      </c>
      <c r="P5" s="15">
        <f>SUMPRODUCT((MONTH(Transactions!$B$4:$B$282)=5)*(Transactions!$E$4:$E$282="Renters Insurance")*Transactions!$D$4:$D$282)</f>
        <v/>
      </c>
      <c r="Q5" s="15">
        <f>O5-P5</f>
        <v/>
      </c>
      <c r="R5" s="15">
        <f>'Monthly Plan'!I6</f>
        <v/>
      </c>
      <c r="S5" s="15">
        <f>SUMPRODUCT((MONTH(Transactions!$B$4:$B$282)=6)*(Transactions!$E$4:$E$282="Renters Insurance")*Transactions!$D$4:$D$282)</f>
        <v/>
      </c>
      <c r="T5" s="15">
        <f>R5-S5</f>
        <v/>
      </c>
      <c r="U5" s="15">
        <f>'Monthly Plan'!J6</f>
        <v/>
      </c>
      <c r="V5" s="15">
        <f>SUMPRODUCT((MONTH(Transactions!$B$4:$B$282)=7)*(Transactions!$E$4:$E$282="Renters Insurance")*Transactions!$D$4:$D$282)</f>
        <v/>
      </c>
      <c r="W5" s="15">
        <f>U5-V5</f>
        <v/>
      </c>
      <c r="X5" s="15">
        <f>'Monthly Plan'!K6</f>
        <v/>
      </c>
      <c r="Y5" s="15">
        <f>SUMPRODUCT((MONTH(Transactions!$B$4:$B$282)=8)*(Transactions!$E$4:$E$282="Renters Insurance")*Transactions!$D$4:$D$282)</f>
        <v/>
      </c>
      <c r="Z5" s="15">
        <f>X5-Y5</f>
        <v/>
      </c>
      <c r="AA5" s="15">
        <f>'Monthly Plan'!L6</f>
        <v/>
      </c>
      <c r="AB5" s="15">
        <f>SUMPRODUCT((MONTH(Transactions!$B$4:$B$282)=9)*(Transactions!$E$4:$E$282="Renters Insurance")*Transactions!$D$4:$D$282)</f>
        <v/>
      </c>
      <c r="AC5" s="15">
        <f>AA5-AB5</f>
        <v/>
      </c>
      <c r="AD5" s="15">
        <f>'Monthly Plan'!M6</f>
        <v/>
      </c>
      <c r="AE5" s="15">
        <f>SUMPRODUCT((MONTH(Transactions!$B$4:$B$282)=10)*(Transactions!$E$4:$E$282="Renters Insurance")*Transactions!$D$4:$D$282)</f>
        <v/>
      </c>
      <c r="AF5" s="15">
        <f>AD5-AE5</f>
        <v/>
      </c>
      <c r="AG5" s="15">
        <f>'Monthly Plan'!N6</f>
        <v/>
      </c>
      <c r="AH5" s="15">
        <f>SUMPRODUCT((MONTH(Transactions!$B$4:$B$282)=11)*(Transactions!$E$4:$E$282="Renters Insurance")*Transactions!$D$4:$D$282)</f>
        <v/>
      </c>
      <c r="AI5" s="15">
        <f>AG5-AH5</f>
        <v/>
      </c>
      <c r="AJ5" s="15">
        <f>'Monthly Plan'!O6</f>
        <v/>
      </c>
      <c r="AK5" s="15">
        <f>SUMPRODUCT((MONTH(Transactions!$B$4:$B$282)=12)*(Transactions!$E$4:$E$282="Renters Insurance")*Transactions!$D$4:$D$282)</f>
        <v/>
      </c>
      <c r="AL5" s="15">
        <f>AJ5-AK5</f>
        <v/>
      </c>
      <c r="AM5" s="13">
        <f>C5+F5+I5+L5+O5+R5+U5+X5+AA5+AD5+AG5+AJ5</f>
        <v/>
      </c>
      <c r="AN5" s="13">
        <f>D5+G5+J5+M5+P5+S5+V5+Y5+AB5+AE5+AH5+AK5</f>
        <v/>
      </c>
      <c r="AO5" s="13">
        <f>AM5-AN5</f>
        <v/>
      </c>
    </row>
    <row r="6">
      <c r="B6" s="4" t="inlineStr">
        <is>
          <t>Utilities</t>
        </is>
      </c>
      <c r="C6" s="15">
        <f>'Monthly Plan'!D7</f>
        <v/>
      </c>
      <c r="D6" s="15">
        <f>SUMPRODUCT((MONTH(Transactions!$B$4:$B$282)=1)*(Transactions!$E$4:$E$282="Utilities")*Transactions!$D$4:$D$282)</f>
        <v/>
      </c>
      <c r="E6" s="15">
        <f>C6-D6</f>
        <v/>
      </c>
      <c r="F6" s="15">
        <f>'Monthly Plan'!E7</f>
        <v/>
      </c>
      <c r="G6" s="15">
        <f>SUMPRODUCT((MONTH(Transactions!$B$4:$B$282)=2)*(Transactions!$E$4:$E$282="Utilities")*Transactions!$D$4:$D$282)</f>
        <v/>
      </c>
      <c r="H6" s="15">
        <f>F6-G6</f>
        <v/>
      </c>
      <c r="I6" s="15">
        <f>'Monthly Plan'!F7</f>
        <v/>
      </c>
      <c r="J6" s="15">
        <f>SUMPRODUCT((MONTH(Transactions!$B$4:$B$282)=3)*(Transactions!$E$4:$E$282="Utilities")*Transactions!$D$4:$D$282)</f>
        <v/>
      </c>
      <c r="K6" s="15">
        <f>I6-J6</f>
        <v/>
      </c>
      <c r="L6" s="15">
        <f>'Monthly Plan'!G7</f>
        <v/>
      </c>
      <c r="M6" s="15">
        <f>SUMPRODUCT((MONTH(Transactions!$B$4:$B$282)=4)*(Transactions!$E$4:$E$282="Utilities")*Transactions!$D$4:$D$282)</f>
        <v/>
      </c>
      <c r="N6" s="15">
        <f>L6-M6</f>
        <v/>
      </c>
      <c r="O6" s="15">
        <f>'Monthly Plan'!H7</f>
        <v/>
      </c>
      <c r="P6" s="15">
        <f>SUMPRODUCT((MONTH(Transactions!$B$4:$B$282)=5)*(Transactions!$E$4:$E$282="Utilities")*Transactions!$D$4:$D$282)</f>
        <v/>
      </c>
      <c r="Q6" s="15">
        <f>O6-P6</f>
        <v/>
      </c>
      <c r="R6" s="15">
        <f>'Monthly Plan'!I7</f>
        <v/>
      </c>
      <c r="S6" s="15">
        <f>SUMPRODUCT((MONTH(Transactions!$B$4:$B$282)=6)*(Transactions!$E$4:$E$282="Utilities")*Transactions!$D$4:$D$282)</f>
        <v/>
      </c>
      <c r="T6" s="15">
        <f>R6-S6</f>
        <v/>
      </c>
      <c r="U6" s="15">
        <f>'Monthly Plan'!J7</f>
        <v/>
      </c>
      <c r="V6" s="15">
        <f>SUMPRODUCT((MONTH(Transactions!$B$4:$B$282)=7)*(Transactions!$E$4:$E$282="Utilities")*Transactions!$D$4:$D$282)</f>
        <v/>
      </c>
      <c r="W6" s="15">
        <f>U6-V6</f>
        <v/>
      </c>
      <c r="X6" s="15">
        <f>'Monthly Plan'!K7</f>
        <v/>
      </c>
      <c r="Y6" s="15">
        <f>SUMPRODUCT((MONTH(Transactions!$B$4:$B$282)=8)*(Transactions!$E$4:$E$282="Utilities")*Transactions!$D$4:$D$282)</f>
        <v/>
      </c>
      <c r="Z6" s="15">
        <f>X6-Y6</f>
        <v/>
      </c>
      <c r="AA6" s="15">
        <f>'Monthly Plan'!L7</f>
        <v/>
      </c>
      <c r="AB6" s="15">
        <f>SUMPRODUCT((MONTH(Transactions!$B$4:$B$282)=9)*(Transactions!$E$4:$E$282="Utilities")*Transactions!$D$4:$D$282)</f>
        <v/>
      </c>
      <c r="AC6" s="15">
        <f>AA6-AB6</f>
        <v/>
      </c>
      <c r="AD6" s="15">
        <f>'Monthly Plan'!M7</f>
        <v/>
      </c>
      <c r="AE6" s="15">
        <f>SUMPRODUCT((MONTH(Transactions!$B$4:$B$282)=10)*(Transactions!$E$4:$E$282="Utilities")*Transactions!$D$4:$D$282)</f>
        <v/>
      </c>
      <c r="AF6" s="15">
        <f>AD6-AE6</f>
        <v/>
      </c>
      <c r="AG6" s="15">
        <f>'Monthly Plan'!N7</f>
        <v/>
      </c>
      <c r="AH6" s="15">
        <f>SUMPRODUCT((MONTH(Transactions!$B$4:$B$282)=11)*(Transactions!$E$4:$E$282="Utilities")*Transactions!$D$4:$D$282)</f>
        <v/>
      </c>
      <c r="AI6" s="15">
        <f>AG6-AH6</f>
        <v/>
      </c>
      <c r="AJ6" s="15">
        <f>'Monthly Plan'!O7</f>
        <v/>
      </c>
      <c r="AK6" s="15">
        <f>SUMPRODUCT((MONTH(Transactions!$B$4:$B$282)=12)*(Transactions!$E$4:$E$282="Utilities")*Transactions!$D$4:$D$282)</f>
        <v/>
      </c>
      <c r="AL6" s="15">
        <f>AJ6-AK6</f>
        <v/>
      </c>
      <c r="AM6" s="13">
        <f>C6+F6+I6+L6+O6+R6+U6+X6+AA6+AD6+AG6+AJ6</f>
        <v/>
      </c>
      <c r="AN6" s="13">
        <f>D6+G6+J6+M6+P6+S6+V6+Y6+AB6+AE6+AH6+AK6</f>
        <v/>
      </c>
      <c r="AO6" s="13">
        <f>AM6-AN6</f>
        <v/>
      </c>
    </row>
    <row r="7">
      <c r="B7" s="4" t="inlineStr">
        <is>
          <t>Internet</t>
        </is>
      </c>
      <c r="C7" s="15">
        <f>'Monthly Plan'!D8</f>
        <v/>
      </c>
      <c r="D7" s="15">
        <f>SUMPRODUCT((MONTH(Transactions!$B$4:$B$282)=1)*(Transactions!$E$4:$E$282="Internet")*Transactions!$D$4:$D$282)</f>
        <v/>
      </c>
      <c r="E7" s="15">
        <f>C7-D7</f>
        <v/>
      </c>
      <c r="F7" s="15">
        <f>'Monthly Plan'!E8</f>
        <v/>
      </c>
      <c r="G7" s="15">
        <f>SUMPRODUCT((MONTH(Transactions!$B$4:$B$282)=2)*(Transactions!$E$4:$E$282="Internet")*Transactions!$D$4:$D$282)</f>
        <v/>
      </c>
      <c r="H7" s="15">
        <f>F7-G7</f>
        <v/>
      </c>
      <c r="I7" s="15">
        <f>'Monthly Plan'!F8</f>
        <v/>
      </c>
      <c r="J7" s="15">
        <f>SUMPRODUCT((MONTH(Transactions!$B$4:$B$282)=3)*(Transactions!$E$4:$E$282="Internet")*Transactions!$D$4:$D$282)</f>
        <v/>
      </c>
      <c r="K7" s="15">
        <f>I7-J7</f>
        <v/>
      </c>
      <c r="L7" s="15">
        <f>'Monthly Plan'!G8</f>
        <v/>
      </c>
      <c r="M7" s="15">
        <f>SUMPRODUCT((MONTH(Transactions!$B$4:$B$282)=4)*(Transactions!$E$4:$E$282="Internet")*Transactions!$D$4:$D$282)</f>
        <v/>
      </c>
      <c r="N7" s="15">
        <f>L7-M7</f>
        <v/>
      </c>
      <c r="O7" s="15">
        <f>'Monthly Plan'!H8</f>
        <v/>
      </c>
      <c r="P7" s="15">
        <f>SUMPRODUCT((MONTH(Transactions!$B$4:$B$282)=5)*(Transactions!$E$4:$E$282="Internet")*Transactions!$D$4:$D$282)</f>
        <v/>
      </c>
      <c r="Q7" s="15">
        <f>O7-P7</f>
        <v/>
      </c>
      <c r="R7" s="15">
        <f>'Monthly Plan'!I8</f>
        <v/>
      </c>
      <c r="S7" s="15">
        <f>SUMPRODUCT((MONTH(Transactions!$B$4:$B$282)=6)*(Transactions!$E$4:$E$282="Internet")*Transactions!$D$4:$D$282)</f>
        <v/>
      </c>
      <c r="T7" s="15">
        <f>R7-S7</f>
        <v/>
      </c>
      <c r="U7" s="15">
        <f>'Monthly Plan'!J8</f>
        <v/>
      </c>
      <c r="V7" s="15">
        <f>SUMPRODUCT((MONTH(Transactions!$B$4:$B$282)=7)*(Transactions!$E$4:$E$282="Internet")*Transactions!$D$4:$D$282)</f>
        <v/>
      </c>
      <c r="W7" s="15">
        <f>U7-V7</f>
        <v/>
      </c>
      <c r="X7" s="15">
        <f>'Monthly Plan'!K8</f>
        <v/>
      </c>
      <c r="Y7" s="15">
        <f>SUMPRODUCT((MONTH(Transactions!$B$4:$B$282)=8)*(Transactions!$E$4:$E$282="Internet")*Transactions!$D$4:$D$282)</f>
        <v/>
      </c>
      <c r="Z7" s="15">
        <f>X7-Y7</f>
        <v/>
      </c>
      <c r="AA7" s="15">
        <f>'Monthly Plan'!L8</f>
        <v/>
      </c>
      <c r="AB7" s="15">
        <f>SUMPRODUCT((MONTH(Transactions!$B$4:$B$282)=9)*(Transactions!$E$4:$E$282="Internet")*Transactions!$D$4:$D$282)</f>
        <v/>
      </c>
      <c r="AC7" s="15">
        <f>AA7-AB7</f>
        <v/>
      </c>
      <c r="AD7" s="15">
        <f>'Monthly Plan'!M8</f>
        <v/>
      </c>
      <c r="AE7" s="15">
        <f>SUMPRODUCT((MONTH(Transactions!$B$4:$B$282)=10)*(Transactions!$E$4:$E$282="Internet")*Transactions!$D$4:$D$282)</f>
        <v/>
      </c>
      <c r="AF7" s="15">
        <f>AD7-AE7</f>
        <v/>
      </c>
      <c r="AG7" s="15">
        <f>'Monthly Plan'!N8</f>
        <v/>
      </c>
      <c r="AH7" s="15">
        <f>SUMPRODUCT((MONTH(Transactions!$B$4:$B$282)=11)*(Transactions!$E$4:$E$282="Internet")*Transactions!$D$4:$D$282)</f>
        <v/>
      </c>
      <c r="AI7" s="15">
        <f>AG7-AH7</f>
        <v/>
      </c>
      <c r="AJ7" s="15">
        <f>'Monthly Plan'!O8</f>
        <v/>
      </c>
      <c r="AK7" s="15">
        <f>SUMPRODUCT((MONTH(Transactions!$B$4:$B$282)=12)*(Transactions!$E$4:$E$282="Internet")*Transactions!$D$4:$D$282)</f>
        <v/>
      </c>
      <c r="AL7" s="15">
        <f>AJ7-AK7</f>
        <v/>
      </c>
      <c r="AM7" s="13">
        <f>C7+F7+I7+L7+O7+R7+U7+X7+AA7+AD7+AG7+AJ7</f>
        <v/>
      </c>
      <c r="AN7" s="13">
        <f>D7+G7+J7+M7+P7+S7+V7+Y7+AB7+AE7+AH7+AK7</f>
        <v/>
      </c>
      <c r="AO7" s="13">
        <f>AM7-AN7</f>
        <v/>
      </c>
    </row>
    <row r="8">
      <c r="B8" s="4" t="inlineStr">
        <is>
          <t>Car Payment</t>
        </is>
      </c>
      <c r="C8" s="15">
        <f>'Monthly Plan'!D9</f>
        <v/>
      </c>
      <c r="D8" s="15">
        <f>SUMPRODUCT((MONTH(Transactions!$B$4:$B$282)=1)*(Transactions!$E$4:$E$282="Car Payment")*Transactions!$D$4:$D$282)</f>
        <v/>
      </c>
      <c r="E8" s="15">
        <f>C8-D8</f>
        <v/>
      </c>
      <c r="F8" s="15">
        <f>'Monthly Plan'!E9</f>
        <v/>
      </c>
      <c r="G8" s="15">
        <f>SUMPRODUCT((MONTH(Transactions!$B$4:$B$282)=2)*(Transactions!$E$4:$E$282="Car Payment")*Transactions!$D$4:$D$282)</f>
        <v/>
      </c>
      <c r="H8" s="15">
        <f>F8-G8</f>
        <v/>
      </c>
      <c r="I8" s="15">
        <f>'Monthly Plan'!F9</f>
        <v/>
      </c>
      <c r="J8" s="15">
        <f>SUMPRODUCT((MONTH(Transactions!$B$4:$B$282)=3)*(Transactions!$E$4:$E$282="Car Payment")*Transactions!$D$4:$D$282)</f>
        <v/>
      </c>
      <c r="K8" s="15">
        <f>I8-J8</f>
        <v/>
      </c>
      <c r="L8" s="15">
        <f>'Monthly Plan'!G9</f>
        <v/>
      </c>
      <c r="M8" s="15">
        <f>SUMPRODUCT((MONTH(Transactions!$B$4:$B$282)=4)*(Transactions!$E$4:$E$282="Car Payment")*Transactions!$D$4:$D$282)</f>
        <v/>
      </c>
      <c r="N8" s="15">
        <f>L8-M8</f>
        <v/>
      </c>
      <c r="O8" s="15">
        <f>'Monthly Plan'!H9</f>
        <v/>
      </c>
      <c r="P8" s="15">
        <f>SUMPRODUCT((MONTH(Transactions!$B$4:$B$282)=5)*(Transactions!$E$4:$E$282="Car Payment")*Transactions!$D$4:$D$282)</f>
        <v/>
      </c>
      <c r="Q8" s="15">
        <f>O8-P8</f>
        <v/>
      </c>
      <c r="R8" s="15">
        <f>'Monthly Plan'!I9</f>
        <v/>
      </c>
      <c r="S8" s="15">
        <f>SUMPRODUCT((MONTH(Transactions!$B$4:$B$282)=6)*(Transactions!$E$4:$E$282="Car Payment")*Transactions!$D$4:$D$282)</f>
        <v/>
      </c>
      <c r="T8" s="15">
        <f>R8-S8</f>
        <v/>
      </c>
      <c r="U8" s="15">
        <f>'Monthly Plan'!J9</f>
        <v/>
      </c>
      <c r="V8" s="15">
        <f>SUMPRODUCT((MONTH(Transactions!$B$4:$B$282)=7)*(Transactions!$E$4:$E$282="Car Payment")*Transactions!$D$4:$D$282)</f>
        <v/>
      </c>
      <c r="W8" s="15">
        <f>U8-V8</f>
        <v/>
      </c>
      <c r="X8" s="15">
        <f>'Monthly Plan'!K9</f>
        <v/>
      </c>
      <c r="Y8" s="15">
        <f>SUMPRODUCT((MONTH(Transactions!$B$4:$B$282)=8)*(Transactions!$E$4:$E$282="Car Payment")*Transactions!$D$4:$D$282)</f>
        <v/>
      </c>
      <c r="Z8" s="15">
        <f>X8-Y8</f>
        <v/>
      </c>
      <c r="AA8" s="15">
        <f>'Monthly Plan'!L9</f>
        <v/>
      </c>
      <c r="AB8" s="15">
        <f>SUMPRODUCT((MONTH(Transactions!$B$4:$B$282)=9)*(Transactions!$E$4:$E$282="Car Payment")*Transactions!$D$4:$D$282)</f>
        <v/>
      </c>
      <c r="AC8" s="15">
        <f>AA8-AB8</f>
        <v/>
      </c>
      <c r="AD8" s="15">
        <f>'Monthly Plan'!M9</f>
        <v/>
      </c>
      <c r="AE8" s="15">
        <f>SUMPRODUCT((MONTH(Transactions!$B$4:$B$282)=10)*(Transactions!$E$4:$E$282="Car Payment")*Transactions!$D$4:$D$282)</f>
        <v/>
      </c>
      <c r="AF8" s="15">
        <f>AD8-AE8</f>
        <v/>
      </c>
      <c r="AG8" s="15">
        <f>'Monthly Plan'!N9</f>
        <v/>
      </c>
      <c r="AH8" s="15">
        <f>SUMPRODUCT((MONTH(Transactions!$B$4:$B$282)=11)*(Transactions!$E$4:$E$282="Car Payment")*Transactions!$D$4:$D$282)</f>
        <v/>
      </c>
      <c r="AI8" s="15">
        <f>AG8-AH8</f>
        <v/>
      </c>
      <c r="AJ8" s="15">
        <f>'Monthly Plan'!O9</f>
        <v/>
      </c>
      <c r="AK8" s="15">
        <f>SUMPRODUCT((MONTH(Transactions!$B$4:$B$282)=12)*(Transactions!$E$4:$E$282="Car Payment")*Transactions!$D$4:$D$282)</f>
        <v/>
      </c>
      <c r="AL8" s="15">
        <f>AJ8-AK8</f>
        <v/>
      </c>
      <c r="AM8" s="13">
        <f>C8+F8+I8+L8+O8+R8+U8+X8+AA8+AD8+AG8+AJ8</f>
        <v/>
      </c>
      <c r="AN8" s="13">
        <f>D8+G8+J8+M8+P8+S8+V8+Y8+AB8+AE8+AH8+AK8</f>
        <v/>
      </c>
      <c r="AO8" s="13">
        <f>AM8-AN8</f>
        <v/>
      </c>
    </row>
    <row r="9">
      <c r="B9" s="4" t="inlineStr">
        <is>
          <t>Gas</t>
        </is>
      </c>
      <c r="C9" s="15">
        <f>'Monthly Plan'!D10</f>
        <v/>
      </c>
      <c r="D9" s="15">
        <f>SUMPRODUCT((MONTH(Transactions!$B$4:$B$282)=1)*(Transactions!$E$4:$E$282="Gas")*Transactions!$D$4:$D$282)</f>
        <v/>
      </c>
      <c r="E9" s="15">
        <f>C9-D9</f>
        <v/>
      </c>
      <c r="F9" s="15">
        <f>'Monthly Plan'!E10</f>
        <v/>
      </c>
      <c r="G9" s="15">
        <f>SUMPRODUCT((MONTH(Transactions!$B$4:$B$282)=2)*(Transactions!$E$4:$E$282="Gas")*Transactions!$D$4:$D$282)</f>
        <v/>
      </c>
      <c r="H9" s="15">
        <f>F9-G9</f>
        <v/>
      </c>
      <c r="I9" s="15">
        <f>'Monthly Plan'!F10</f>
        <v/>
      </c>
      <c r="J9" s="15">
        <f>SUMPRODUCT((MONTH(Transactions!$B$4:$B$282)=3)*(Transactions!$E$4:$E$282="Gas")*Transactions!$D$4:$D$282)</f>
        <v/>
      </c>
      <c r="K9" s="15">
        <f>I9-J9</f>
        <v/>
      </c>
      <c r="L9" s="15">
        <f>'Monthly Plan'!G10</f>
        <v/>
      </c>
      <c r="M9" s="15">
        <f>SUMPRODUCT((MONTH(Transactions!$B$4:$B$282)=4)*(Transactions!$E$4:$E$282="Gas")*Transactions!$D$4:$D$282)</f>
        <v/>
      </c>
      <c r="N9" s="15">
        <f>L9-M9</f>
        <v/>
      </c>
      <c r="O9" s="15">
        <f>'Monthly Plan'!H10</f>
        <v/>
      </c>
      <c r="P9" s="15">
        <f>SUMPRODUCT((MONTH(Transactions!$B$4:$B$282)=5)*(Transactions!$E$4:$E$282="Gas")*Transactions!$D$4:$D$282)</f>
        <v/>
      </c>
      <c r="Q9" s="15">
        <f>O9-P9</f>
        <v/>
      </c>
      <c r="R9" s="15">
        <f>'Monthly Plan'!I10</f>
        <v/>
      </c>
      <c r="S9" s="15">
        <f>SUMPRODUCT((MONTH(Transactions!$B$4:$B$282)=6)*(Transactions!$E$4:$E$282="Gas")*Transactions!$D$4:$D$282)</f>
        <v/>
      </c>
      <c r="T9" s="15">
        <f>R9-S9</f>
        <v/>
      </c>
      <c r="U9" s="15">
        <f>'Monthly Plan'!J10</f>
        <v/>
      </c>
      <c r="V9" s="15">
        <f>SUMPRODUCT((MONTH(Transactions!$B$4:$B$282)=7)*(Transactions!$E$4:$E$282="Gas")*Transactions!$D$4:$D$282)</f>
        <v/>
      </c>
      <c r="W9" s="15">
        <f>U9-V9</f>
        <v/>
      </c>
      <c r="X9" s="15">
        <f>'Monthly Plan'!K10</f>
        <v/>
      </c>
      <c r="Y9" s="15">
        <f>SUMPRODUCT((MONTH(Transactions!$B$4:$B$282)=8)*(Transactions!$E$4:$E$282="Gas")*Transactions!$D$4:$D$282)</f>
        <v/>
      </c>
      <c r="Z9" s="15">
        <f>X9-Y9</f>
        <v/>
      </c>
      <c r="AA9" s="15">
        <f>'Monthly Plan'!L10</f>
        <v/>
      </c>
      <c r="AB9" s="15">
        <f>SUMPRODUCT((MONTH(Transactions!$B$4:$B$282)=9)*(Transactions!$E$4:$E$282="Gas")*Transactions!$D$4:$D$282)</f>
        <v/>
      </c>
      <c r="AC9" s="15">
        <f>AA9-AB9</f>
        <v/>
      </c>
      <c r="AD9" s="15">
        <f>'Monthly Plan'!M10</f>
        <v/>
      </c>
      <c r="AE9" s="15">
        <f>SUMPRODUCT((MONTH(Transactions!$B$4:$B$282)=10)*(Transactions!$E$4:$E$282="Gas")*Transactions!$D$4:$D$282)</f>
        <v/>
      </c>
      <c r="AF9" s="15">
        <f>AD9-AE9</f>
        <v/>
      </c>
      <c r="AG9" s="15">
        <f>'Monthly Plan'!N10</f>
        <v/>
      </c>
      <c r="AH9" s="15">
        <f>SUMPRODUCT((MONTH(Transactions!$B$4:$B$282)=11)*(Transactions!$E$4:$E$282="Gas")*Transactions!$D$4:$D$282)</f>
        <v/>
      </c>
      <c r="AI9" s="15">
        <f>AG9-AH9</f>
        <v/>
      </c>
      <c r="AJ9" s="15">
        <f>'Monthly Plan'!O10</f>
        <v/>
      </c>
      <c r="AK9" s="15">
        <f>SUMPRODUCT((MONTH(Transactions!$B$4:$B$282)=12)*(Transactions!$E$4:$E$282="Gas")*Transactions!$D$4:$D$282)</f>
        <v/>
      </c>
      <c r="AL9" s="15">
        <f>AJ9-AK9</f>
        <v/>
      </c>
      <c r="AM9" s="13">
        <f>C9+F9+I9+L9+O9+R9+U9+X9+AA9+AD9+AG9+AJ9</f>
        <v/>
      </c>
      <c r="AN9" s="13">
        <f>D9+G9+J9+M9+P9+S9+V9+Y9+AB9+AE9+AH9+AK9</f>
        <v/>
      </c>
      <c r="AO9" s="13">
        <f>AM9-AN9</f>
        <v/>
      </c>
    </row>
    <row r="10">
      <c r="B10" s="4" t="inlineStr">
        <is>
          <t>Auto Insurance</t>
        </is>
      </c>
      <c r="C10" s="15">
        <f>'Monthly Plan'!D11</f>
        <v/>
      </c>
      <c r="D10" s="15">
        <f>SUMPRODUCT((MONTH(Transactions!$B$4:$B$282)=1)*(Transactions!$E$4:$E$282="Auto Insurance")*Transactions!$D$4:$D$282)</f>
        <v/>
      </c>
      <c r="E10" s="15">
        <f>C10-D10</f>
        <v/>
      </c>
      <c r="F10" s="15">
        <f>'Monthly Plan'!E11</f>
        <v/>
      </c>
      <c r="G10" s="15">
        <f>SUMPRODUCT((MONTH(Transactions!$B$4:$B$282)=2)*(Transactions!$E$4:$E$282="Auto Insurance")*Transactions!$D$4:$D$282)</f>
        <v/>
      </c>
      <c r="H10" s="15">
        <f>F10-G10</f>
        <v/>
      </c>
      <c r="I10" s="15">
        <f>'Monthly Plan'!F11</f>
        <v/>
      </c>
      <c r="J10" s="15">
        <f>SUMPRODUCT((MONTH(Transactions!$B$4:$B$282)=3)*(Transactions!$E$4:$E$282="Auto Insurance")*Transactions!$D$4:$D$282)</f>
        <v/>
      </c>
      <c r="K10" s="15">
        <f>I10-J10</f>
        <v/>
      </c>
      <c r="L10" s="15">
        <f>'Monthly Plan'!G11</f>
        <v/>
      </c>
      <c r="M10" s="15">
        <f>SUMPRODUCT((MONTH(Transactions!$B$4:$B$282)=4)*(Transactions!$E$4:$E$282="Auto Insurance")*Transactions!$D$4:$D$282)</f>
        <v/>
      </c>
      <c r="N10" s="15">
        <f>L10-M10</f>
        <v/>
      </c>
      <c r="O10" s="15">
        <f>'Monthly Plan'!H11</f>
        <v/>
      </c>
      <c r="P10" s="15">
        <f>SUMPRODUCT((MONTH(Transactions!$B$4:$B$282)=5)*(Transactions!$E$4:$E$282="Auto Insurance")*Transactions!$D$4:$D$282)</f>
        <v/>
      </c>
      <c r="Q10" s="15">
        <f>O10-P10</f>
        <v/>
      </c>
      <c r="R10" s="15">
        <f>'Monthly Plan'!I11</f>
        <v/>
      </c>
      <c r="S10" s="15">
        <f>SUMPRODUCT((MONTH(Transactions!$B$4:$B$282)=6)*(Transactions!$E$4:$E$282="Auto Insurance")*Transactions!$D$4:$D$282)</f>
        <v/>
      </c>
      <c r="T10" s="15">
        <f>R10-S10</f>
        <v/>
      </c>
      <c r="U10" s="15">
        <f>'Monthly Plan'!J11</f>
        <v/>
      </c>
      <c r="V10" s="15">
        <f>SUMPRODUCT((MONTH(Transactions!$B$4:$B$282)=7)*(Transactions!$E$4:$E$282="Auto Insurance")*Transactions!$D$4:$D$282)</f>
        <v/>
      </c>
      <c r="W10" s="15">
        <f>U10-V10</f>
        <v/>
      </c>
      <c r="X10" s="15">
        <f>'Monthly Plan'!K11</f>
        <v/>
      </c>
      <c r="Y10" s="15">
        <f>SUMPRODUCT((MONTH(Transactions!$B$4:$B$282)=8)*(Transactions!$E$4:$E$282="Auto Insurance")*Transactions!$D$4:$D$282)</f>
        <v/>
      </c>
      <c r="Z10" s="15">
        <f>X10-Y10</f>
        <v/>
      </c>
      <c r="AA10" s="15">
        <f>'Monthly Plan'!L11</f>
        <v/>
      </c>
      <c r="AB10" s="15">
        <f>SUMPRODUCT((MONTH(Transactions!$B$4:$B$282)=9)*(Transactions!$E$4:$E$282="Auto Insurance")*Transactions!$D$4:$D$282)</f>
        <v/>
      </c>
      <c r="AC10" s="15">
        <f>AA10-AB10</f>
        <v/>
      </c>
      <c r="AD10" s="15">
        <f>'Monthly Plan'!M11</f>
        <v/>
      </c>
      <c r="AE10" s="15">
        <f>SUMPRODUCT((MONTH(Transactions!$B$4:$B$282)=10)*(Transactions!$E$4:$E$282="Auto Insurance")*Transactions!$D$4:$D$282)</f>
        <v/>
      </c>
      <c r="AF10" s="15">
        <f>AD10-AE10</f>
        <v/>
      </c>
      <c r="AG10" s="15">
        <f>'Monthly Plan'!N11</f>
        <v/>
      </c>
      <c r="AH10" s="15">
        <f>SUMPRODUCT((MONTH(Transactions!$B$4:$B$282)=11)*(Transactions!$E$4:$E$282="Auto Insurance")*Transactions!$D$4:$D$282)</f>
        <v/>
      </c>
      <c r="AI10" s="15">
        <f>AG10-AH10</f>
        <v/>
      </c>
      <c r="AJ10" s="15">
        <f>'Monthly Plan'!O11</f>
        <v/>
      </c>
      <c r="AK10" s="15">
        <f>SUMPRODUCT((MONTH(Transactions!$B$4:$B$282)=12)*(Transactions!$E$4:$E$282="Auto Insurance")*Transactions!$D$4:$D$282)</f>
        <v/>
      </c>
      <c r="AL10" s="15">
        <f>AJ10-AK10</f>
        <v/>
      </c>
      <c r="AM10" s="13">
        <f>C10+F10+I10+L10+O10+R10+U10+X10+AA10+AD10+AG10+AJ10</f>
        <v/>
      </c>
      <c r="AN10" s="13">
        <f>D10+G10+J10+M10+P10+S10+V10+Y10+AB10+AE10+AH10+AK10</f>
        <v/>
      </c>
      <c r="AO10" s="13">
        <f>AM10-AN10</f>
        <v/>
      </c>
    </row>
    <row r="11">
      <c r="B11" s="4" t="inlineStr">
        <is>
          <t>Maintenance</t>
        </is>
      </c>
      <c r="C11" s="15">
        <f>'Monthly Plan'!D12</f>
        <v/>
      </c>
      <c r="D11" s="15">
        <f>SUMPRODUCT((MONTH(Transactions!$B$4:$B$282)=1)*(Transactions!$E$4:$E$282="Maintenance")*Transactions!$D$4:$D$282)</f>
        <v/>
      </c>
      <c r="E11" s="15">
        <f>C11-D11</f>
        <v/>
      </c>
      <c r="F11" s="15">
        <f>'Monthly Plan'!E12</f>
        <v/>
      </c>
      <c r="G11" s="15">
        <f>SUMPRODUCT((MONTH(Transactions!$B$4:$B$282)=2)*(Transactions!$E$4:$E$282="Maintenance")*Transactions!$D$4:$D$282)</f>
        <v/>
      </c>
      <c r="H11" s="15">
        <f>F11-G11</f>
        <v/>
      </c>
      <c r="I11" s="15">
        <f>'Monthly Plan'!F12</f>
        <v/>
      </c>
      <c r="J11" s="15">
        <f>SUMPRODUCT((MONTH(Transactions!$B$4:$B$282)=3)*(Transactions!$E$4:$E$282="Maintenance")*Transactions!$D$4:$D$282)</f>
        <v/>
      </c>
      <c r="K11" s="15">
        <f>I11-J11</f>
        <v/>
      </c>
      <c r="L11" s="15">
        <f>'Monthly Plan'!G12</f>
        <v/>
      </c>
      <c r="M11" s="15">
        <f>SUMPRODUCT((MONTH(Transactions!$B$4:$B$282)=4)*(Transactions!$E$4:$E$282="Maintenance")*Transactions!$D$4:$D$282)</f>
        <v/>
      </c>
      <c r="N11" s="15">
        <f>L11-M11</f>
        <v/>
      </c>
      <c r="O11" s="15">
        <f>'Monthly Plan'!H12</f>
        <v/>
      </c>
      <c r="P11" s="15">
        <f>SUMPRODUCT((MONTH(Transactions!$B$4:$B$282)=5)*(Transactions!$E$4:$E$282="Maintenance")*Transactions!$D$4:$D$282)</f>
        <v/>
      </c>
      <c r="Q11" s="15">
        <f>O11-P11</f>
        <v/>
      </c>
      <c r="R11" s="15">
        <f>'Monthly Plan'!I12</f>
        <v/>
      </c>
      <c r="S11" s="15">
        <f>SUMPRODUCT((MONTH(Transactions!$B$4:$B$282)=6)*(Transactions!$E$4:$E$282="Maintenance")*Transactions!$D$4:$D$282)</f>
        <v/>
      </c>
      <c r="T11" s="15">
        <f>R11-S11</f>
        <v/>
      </c>
      <c r="U11" s="15">
        <f>'Monthly Plan'!J12</f>
        <v/>
      </c>
      <c r="V11" s="15">
        <f>SUMPRODUCT((MONTH(Transactions!$B$4:$B$282)=7)*(Transactions!$E$4:$E$282="Maintenance")*Transactions!$D$4:$D$282)</f>
        <v/>
      </c>
      <c r="W11" s="15">
        <f>U11-V11</f>
        <v/>
      </c>
      <c r="X11" s="15">
        <f>'Monthly Plan'!K12</f>
        <v/>
      </c>
      <c r="Y11" s="15">
        <f>SUMPRODUCT((MONTH(Transactions!$B$4:$B$282)=8)*(Transactions!$E$4:$E$282="Maintenance")*Transactions!$D$4:$D$282)</f>
        <v/>
      </c>
      <c r="Z11" s="15">
        <f>X11-Y11</f>
        <v/>
      </c>
      <c r="AA11" s="15">
        <f>'Monthly Plan'!L12</f>
        <v/>
      </c>
      <c r="AB11" s="15">
        <f>SUMPRODUCT((MONTH(Transactions!$B$4:$B$282)=9)*(Transactions!$E$4:$E$282="Maintenance")*Transactions!$D$4:$D$282)</f>
        <v/>
      </c>
      <c r="AC11" s="15">
        <f>AA11-AB11</f>
        <v/>
      </c>
      <c r="AD11" s="15">
        <f>'Monthly Plan'!M12</f>
        <v/>
      </c>
      <c r="AE11" s="15">
        <f>SUMPRODUCT((MONTH(Transactions!$B$4:$B$282)=10)*(Transactions!$E$4:$E$282="Maintenance")*Transactions!$D$4:$D$282)</f>
        <v/>
      </c>
      <c r="AF11" s="15">
        <f>AD11-AE11</f>
        <v/>
      </c>
      <c r="AG11" s="15">
        <f>'Monthly Plan'!N12</f>
        <v/>
      </c>
      <c r="AH11" s="15">
        <f>SUMPRODUCT((MONTH(Transactions!$B$4:$B$282)=11)*(Transactions!$E$4:$E$282="Maintenance")*Transactions!$D$4:$D$282)</f>
        <v/>
      </c>
      <c r="AI11" s="15">
        <f>AG11-AH11</f>
        <v/>
      </c>
      <c r="AJ11" s="15">
        <f>'Monthly Plan'!O12</f>
        <v/>
      </c>
      <c r="AK11" s="15">
        <f>SUMPRODUCT((MONTH(Transactions!$B$4:$B$282)=12)*(Transactions!$E$4:$E$282="Maintenance")*Transactions!$D$4:$D$282)</f>
        <v/>
      </c>
      <c r="AL11" s="15">
        <f>AJ11-AK11</f>
        <v/>
      </c>
      <c r="AM11" s="13">
        <f>C11+F11+I11+L11+O11+R11+U11+X11+AA11+AD11+AG11+AJ11</f>
        <v/>
      </c>
      <c r="AN11" s="13">
        <f>D11+G11+J11+M11+P11+S11+V11+Y11+AB11+AE11+AH11+AK11</f>
        <v/>
      </c>
      <c r="AO11" s="13">
        <f>AM11-AN11</f>
        <v/>
      </c>
    </row>
    <row r="12">
      <c r="B12" s="4" t="inlineStr">
        <is>
          <t>Parking</t>
        </is>
      </c>
      <c r="C12" s="15">
        <f>'Monthly Plan'!D13</f>
        <v/>
      </c>
      <c r="D12" s="15">
        <f>SUMPRODUCT((MONTH(Transactions!$B$4:$B$282)=1)*(Transactions!$E$4:$E$282="Parking")*Transactions!$D$4:$D$282)</f>
        <v/>
      </c>
      <c r="E12" s="15">
        <f>C12-D12</f>
        <v/>
      </c>
      <c r="F12" s="15">
        <f>'Monthly Plan'!E13</f>
        <v/>
      </c>
      <c r="G12" s="15">
        <f>SUMPRODUCT((MONTH(Transactions!$B$4:$B$282)=2)*(Transactions!$E$4:$E$282="Parking")*Transactions!$D$4:$D$282)</f>
        <v/>
      </c>
      <c r="H12" s="15">
        <f>F12-G12</f>
        <v/>
      </c>
      <c r="I12" s="15">
        <f>'Monthly Plan'!F13</f>
        <v/>
      </c>
      <c r="J12" s="15">
        <f>SUMPRODUCT((MONTH(Transactions!$B$4:$B$282)=3)*(Transactions!$E$4:$E$282="Parking")*Transactions!$D$4:$D$282)</f>
        <v/>
      </c>
      <c r="K12" s="15">
        <f>I12-J12</f>
        <v/>
      </c>
      <c r="L12" s="15">
        <f>'Monthly Plan'!G13</f>
        <v/>
      </c>
      <c r="M12" s="15">
        <f>SUMPRODUCT((MONTH(Transactions!$B$4:$B$282)=4)*(Transactions!$E$4:$E$282="Parking")*Transactions!$D$4:$D$282)</f>
        <v/>
      </c>
      <c r="N12" s="15">
        <f>L12-M12</f>
        <v/>
      </c>
      <c r="O12" s="15">
        <f>'Monthly Plan'!H13</f>
        <v/>
      </c>
      <c r="P12" s="15">
        <f>SUMPRODUCT((MONTH(Transactions!$B$4:$B$282)=5)*(Transactions!$E$4:$E$282="Parking")*Transactions!$D$4:$D$282)</f>
        <v/>
      </c>
      <c r="Q12" s="15">
        <f>O12-P12</f>
        <v/>
      </c>
      <c r="R12" s="15">
        <f>'Monthly Plan'!I13</f>
        <v/>
      </c>
      <c r="S12" s="15">
        <f>SUMPRODUCT((MONTH(Transactions!$B$4:$B$282)=6)*(Transactions!$E$4:$E$282="Parking")*Transactions!$D$4:$D$282)</f>
        <v/>
      </c>
      <c r="T12" s="15">
        <f>R12-S12</f>
        <v/>
      </c>
      <c r="U12" s="15">
        <f>'Monthly Plan'!J13</f>
        <v/>
      </c>
      <c r="V12" s="15">
        <f>SUMPRODUCT((MONTH(Transactions!$B$4:$B$282)=7)*(Transactions!$E$4:$E$282="Parking")*Transactions!$D$4:$D$282)</f>
        <v/>
      </c>
      <c r="W12" s="15">
        <f>U12-V12</f>
        <v/>
      </c>
      <c r="X12" s="15">
        <f>'Monthly Plan'!K13</f>
        <v/>
      </c>
      <c r="Y12" s="15">
        <f>SUMPRODUCT((MONTH(Transactions!$B$4:$B$282)=8)*(Transactions!$E$4:$E$282="Parking")*Transactions!$D$4:$D$282)</f>
        <v/>
      </c>
      <c r="Z12" s="15">
        <f>X12-Y12</f>
        <v/>
      </c>
      <c r="AA12" s="15">
        <f>'Monthly Plan'!L13</f>
        <v/>
      </c>
      <c r="AB12" s="15">
        <f>SUMPRODUCT((MONTH(Transactions!$B$4:$B$282)=9)*(Transactions!$E$4:$E$282="Parking")*Transactions!$D$4:$D$282)</f>
        <v/>
      </c>
      <c r="AC12" s="15">
        <f>AA12-AB12</f>
        <v/>
      </c>
      <c r="AD12" s="15">
        <f>'Monthly Plan'!M13</f>
        <v/>
      </c>
      <c r="AE12" s="15">
        <f>SUMPRODUCT((MONTH(Transactions!$B$4:$B$282)=10)*(Transactions!$E$4:$E$282="Parking")*Transactions!$D$4:$D$282)</f>
        <v/>
      </c>
      <c r="AF12" s="15">
        <f>AD12-AE12</f>
        <v/>
      </c>
      <c r="AG12" s="15">
        <f>'Monthly Plan'!N13</f>
        <v/>
      </c>
      <c r="AH12" s="15">
        <f>SUMPRODUCT((MONTH(Transactions!$B$4:$B$282)=11)*(Transactions!$E$4:$E$282="Parking")*Transactions!$D$4:$D$282)</f>
        <v/>
      </c>
      <c r="AI12" s="15">
        <f>AG12-AH12</f>
        <v/>
      </c>
      <c r="AJ12" s="15">
        <f>'Monthly Plan'!O13</f>
        <v/>
      </c>
      <c r="AK12" s="15">
        <f>SUMPRODUCT((MONTH(Transactions!$B$4:$B$282)=12)*(Transactions!$E$4:$E$282="Parking")*Transactions!$D$4:$D$282)</f>
        <v/>
      </c>
      <c r="AL12" s="15">
        <f>AJ12-AK12</f>
        <v/>
      </c>
      <c r="AM12" s="13">
        <f>C12+F12+I12+L12+O12+R12+U12+X12+AA12+AD12+AG12+AJ12</f>
        <v/>
      </c>
      <c r="AN12" s="13">
        <f>D12+G12+J12+M12+P12+S12+V12+Y12+AB12+AE12+AH12+AK12</f>
        <v/>
      </c>
      <c r="AO12" s="13">
        <f>AM12-AN12</f>
        <v/>
      </c>
    </row>
    <row r="13">
      <c r="B13" s="4" t="inlineStr">
        <is>
          <t>Groceries</t>
        </is>
      </c>
      <c r="C13" s="15">
        <f>'Monthly Plan'!D14</f>
        <v/>
      </c>
      <c r="D13" s="15">
        <f>SUMPRODUCT((MONTH(Transactions!$B$4:$B$282)=1)*(Transactions!$E$4:$E$282="Groceries")*Transactions!$D$4:$D$282)</f>
        <v/>
      </c>
      <c r="E13" s="15">
        <f>C13-D13</f>
        <v/>
      </c>
      <c r="F13" s="15">
        <f>'Monthly Plan'!E14</f>
        <v/>
      </c>
      <c r="G13" s="15">
        <f>SUMPRODUCT((MONTH(Transactions!$B$4:$B$282)=2)*(Transactions!$E$4:$E$282="Groceries")*Transactions!$D$4:$D$282)</f>
        <v/>
      </c>
      <c r="H13" s="15">
        <f>F13-G13</f>
        <v/>
      </c>
      <c r="I13" s="15">
        <f>'Monthly Plan'!F14</f>
        <v/>
      </c>
      <c r="J13" s="15">
        <f>SUMPRODUCT((MONTH(Transactions!$B$4:$B$282)=3)*(Transactions!$E$4:$E$282="Groceries")*Transactions!$D$4:$D$282)</f>
        <v/>
      </c>
      <c r="K13" s="15">
        <f>I13-J13</f>
        <v/>
      </c>
      <c r="L13" s="15">
        <f>'Monthly Plan'!G14</f>
        <v/>
      </c>
      <c r="M13" s="15">
        <f>SUMPRODUCT((MONTH(Transactions!$B$4:$B$282)=4)*(Transactions!$E$4:$E$282="Groceries")*Transactions!$D$4:$D$282)</f>
        <v/>
      </c>
      <c r="N13" s="15">
        <f>L13-M13</f>
        <v/>
      </c>
      <c r="O13" s="15">
        <f>'Monthly Plan'!H14</f>
        <v/>
      </c>
      <c r="P13" s="15">
        <f>SUMPRODUCT((MONTH(Transactions!$B$4:$B$282)=5)*(Transactions!$E$4:$E$282="Groceries")*Transactions!$D$4:$D$282)</f>
        <v/>
      </c>
      <c r="Q13" s="15">
        <f>O13-P13</f>
        <v/>
      </c>
      <c r="R13" s="15">
        <f>'Monthly Plan'!I14</f>
        <v/>
      </c>
      <c r="S13" s="15">
        <f>SUMPRODUCT((MONTH(Transactions!$B$4:$B$282)=6)*(Transactions!$E$4:$E$282="Groceries")*Transactions!$D$4:$D$282)</f>
        <v/>
      </c>
      <c r="T13" s="15">
        <f>R13-S13</f>
        <v/>
      </c>
      <c r="U13" s="15">
        <f>'Monthly Plan'!J14</f>
        <v/>
      </c>
      <c r="V13" s="15">
        <f>SUMPRODUCT((MONTH(Transactions!$B$4:$B$282)=7)*(Transactions!$E$4:$E$282="Groceries")*Transactions!$D$4:$D$282)</f>
        <v/>
      </c>
      <c r="W13" s="15">
        <f>U13-V13</f>
        <v/>
      </c>
      <c r="X13" s="15">
        <f>'Monthly Plan'!K14</f>
        <v/>
      </c>
      <c r="Y13" s="15">
        <f>SUMPRODUCT((MONTH(Transactions!$B$4:$B$282)=8)*(Transactions!$E$4:$E$282="Groceries")*Transactions!$D$4:$D$282)</f>
        <v/>
      </c>
      <c r="Z13" s="15">
        <f>X13-Y13</f>
        <v/>
      </c>
      <c r="AA13" s="15">
        <f>'Monthly Plan'!L14</f>
        <v/>
      </c>
      <c r="AB13" s="15">
        <f>SUMPRODUCT((MONTH(Transactions!$B$4:$B$282)=9)*(Transactions!$E$4:$E$282="Groceries")*Transactions!$D$4:$D$282)</f>
        <v/>
      </c>
      <c r="AC13" s="15">
        <f>AA13-AB13</f>
        <v/>
      </c>
      <c r="AD13" s="15">
        <f>'Monthly Plan'!M14</f>
        <v/>
      </c>
      <c r="AE13" s="15">
        <f>SUMPRODUCT((MONTH(Transactions!$B$4:$B$282)=10)*(Transactions!$E$4:$E$282="Groceries")*Transactions!$D$4:$D$282)</f>
        <v/>
      </c>
      <c r="AF13" s="15">
        <f>AD13-AE13</f>
        <v/>
      </c>
      <c r="AG13" s="15">
        <f>'Monthly Plan'!N14</f>
        <v/>
      </c>
      <c r="AH13" s="15">
        <f>SUMPRODUCT((MONTH(Transactions!$B$4:$B$282)=11)*(Transactions!$E$4:$E$282="Groceries")*Transactions!$D$4:$D$282)</f>
        <v/>
      </c>
      <c r="AI13" s="15">
        <f>AG13-AH13</f>
        <v/>
      </c>
      <c r="AJ13" s="15">
        <f>'Monthly Plan'!O14</f>
        <v/>
      </c>
      <c r="AK13" s="15">
        <f>SUMPRODUCT((MONTH(Transactions!$B$4:$B$282)=12)*(Transactions!$E$4:$E$282="Groceries")*Transactions!$D$4:$D$282)</f>
        <v/>
      </c>
      <c r="AL13" s="15">
        <f>AJ13-AK13</f>
        <v/>
      </c>
      <c r="AM13" s="13">
        <f>C13+F13+I13+L13+O13+R13+U13+X13+AA13+AD13+AG13+AJ13</f>
        <v/>
      </c>
      <c r="AN13" s="13">
        <f>D13+G13+J13+M13+P13+S13+V13+Y13+AB13+AE13+AH13+AK13</f>
        <v/>
      </c>
      <c r="AO13" s="13">
        <f>AM13-AN13</f>
        <v/>
      </c>
    </row>
    <row r="14">
      <c r="B14" s="4" t="inlineStr">
        <is>
          <t>Dining Out</t>
        </is>
      </c>
      <c r="C14" s="15">
        <f>'Monthly Plan'!D15</f>
        <v/>
      </c>
      <c r="D14" s="15">
        <f>SUMPRODUCT((MONTH(Transactions!$B$4:$B$282)=1)*(Transactions!$E$4:$E$282="Dining Out")*Transactions!$D$4:$D$282)</f>
        <v/>
      </c>
      <c r="E14" s="15">
        <f>C14-D14</f>
        <v/>
      </c>
      <c r="F14" s="15">
        <f>'Monthly Plan'!E15</f>
        <v/>
      </c>
      <c r="G14" s="15">
        <f>SUMPRODUCT((MONTH(Transactions!$B$4:$B$282)=2)*(Transactions!$E$4:$E$282="Dining Out")*Transactions!$D$4:$D$282)</f>
        <v/>
      </c>
      <c r="H14" s="15">
        <f>F14-G14</f>
        <v/>
      </c>
      <c r="I14" s="15">
        <f>'Monthly Plan'!F15</f>
        <v/>
      </c>
      <c r="J14" s="15">
        <f>SUMPRODUCT((MONTH(Transactions!$B$4:$B$282)=3)*(Transactions!$E$4:$E$282="Dining Out")*Transactions!$D$4:$D$282)</f>
        <v/>
      </c>
      <c r="K14" s="15">
        <f>I14-J14</f>
        <v/>
      </c>
      <c r="L14" s="15">
        <f>'Monthly Plan'!G15</f>
        <v/>
      </c>
      <c r="M14" s="15">
        <f>SUMPRODUCT((MONTH(Transactions!$B$4:$B$282)=4)*(Transactions!$E$4:$E$282="Dining Out")*Transactions!$D$4:$D$282)</f>
        <v/>
      </c>
      <c r="N14" s="15">
        <f>L14-M14</f>
        <v/>
      </c>
      <c r="O14" s="15">
        <f>'Monthly Plan'!H15</f>
        <v/>
      </c>
      <c r="P14" s="15">
        <f>SUMPRODUCT((MONTH(Transactions!$B$4:$B$282)=5)*(Transactions!$E$4:$E$282="Dining Out")*Transactions!$D$4:$D$282)</f>
        <v/>
      </c>
      <c r="Q14" s="15">
        <f>O14-P14</f>
        <v/>
      </c>
      <c r="R14" s="15">
        <f>'Monthly Plan'!I15</f>
        <v/>
      </c>
      <c r="S14" s="15">
        <f>SUMPRODUCT((MONTH(Transactions!$B$4:$B$282)=6)*(Transactions!$E$4:$E$282="Dining Out")*Transactions!$D$4:$D$282)</f>
        <v/>
      </c>
      <c r="T14" s="15">
        <f>R14-S14</f>
        <v/>
      </c>
      <c r="U14" s="15">
        <f>'Monthly Plan'!J15</f>
        <v/>
      </c>
      <c r="V14" s="15">
        <f>SUMPRODUCT((MONTH(Transactions!$B$4:$B$282)=7)*(Transactions!$E$4:$E$282="Dining Out")*Transactions!$D$4:$D$282)</f>
        <v/>
      </c>
      <c r="W14" s="15">
        <f>U14-V14</f>
        <v/>
      </c>
      <c r="X14" s="15">
        <f>'Monthly Plan'!K15</f>
        <v/>
      </c>
      <c r="Y14" s="15">
        <f>SUMPRODUCT((MONTH(Transactions!$B$4:$B$282)=8)*(Transactions!$E$4:$E$282="Dining Out")*Transactions!$D$4:$D$282)</f>
        <v/>
      </c>
      <c r="Z14" s="15">
        <f>X14-Y14</f>
        <v/>
      </c>
      <c r="AA14" s="15">
        <f>'Monthly Plan'!L15</f>
        <v/>
      </c>
      <c r="AB14" s="15">
        <f>SUMPRODUCT((MONTH(Transactions!$B$4:$B$282)=9)*(Transactions!$E$4:$E$282="Dining Out")*Transactions!$D$4:$D$282)</f>
        <v/>
      </c>
      <c r="AC14" s="15">
        <f>AA14-AB14</f>
        <v/>
      </c>
      <c r="AD14" s="15">
        <f>'Monthly Plan'!M15</f>
        <v/>
      </c>
      <c r="AE14" s="15">
        <f>SUMPRODUCT((MONTH(Transactions!$B$4:$B$282)=10)*(Transactions!$E$4:$E$282="Dining Out")*Transactions!$D$4:$D$282)</f>
        <v/>
      </c>
      <c r="AF14" s="15">
        <f>AD14-AE14</f>
        <v/>
      </c>
      <c r="AG14" s="15">
        <f>'Monthly Plan'!N15</f>
        <v/>
      </c>
      <c r="AH14" s="15">
        <f>SUMPRODUCT((MONTH(Transactions!$B$4:$B$282)=11)*(Transactions!$E$4:$E$282="Dining Out")*Transactions!$D$4:$D$282)</f>
        <v/>
      </c>
      <c r="AI14" s="15">
        <f>AG14-AH14</f>
        <v/>
      </c>
      <c r="AJ14" s="15">
        <f>'Monthly Plan'!O15</f>
        <v/>
      </c>
      <c r="AK14" s="15">
        <f>SUMPRODUCT((MONTH(Transactions!$B$4:$B$282)=12)*(Transactions!$E$4:$E$282="Dining Out")*Transactions!$D$4:$D$282)</f>
        <v/>
      </c>
      <c r="AL14" s="15">
        <f>AJ14-AK14</f>
        <v/>
      </c>
      <c r="AM14" s="13">
        <f>C14+F14+I14+L14+O14+R14+U14+X14+AA14+AD14+AG14+AJ14</f>
        <v/>
      </c>
      <c r="AN14" s="13">
        <f>D14+G14+J14+M14+P14+S14+V14+Y14+AB14+AE14+AH14+AK14</f>
        <v/>
      </c>
      <c r="AO14" s="13">
        <f>AM14-AN14</f>
        <v/>
      </c>
    </row>
    <row r="15">
      <c r="B15" s="4" t="inlineStr">
        <is>
          <t>Coffee</t>
        </is>
      </c>
      <c r="C15" s="15">
        <f>'Monthly Plan'!D16</f>
        <v/>
      </c>
      <c r="D15" s="15">
        <f>SUMPRODUCT((MONTH(Transactions!$B$4:$B$282)=1)*(Transactions!$E$4:$E$282="Coffee")*Transactions!$D$4:$D$282)</f>
        <v/>
      </c>
      <c r="E15" s="15">
        <f>C15-D15</f>
        <v/>
      </c>
      <c r="F15" s="15">
        <f>'Monthly Plan'!E16</f>
        <v/>
      </c>
      <c r="G15" s="15">
        <f>SUMPRODUCT((MONTH(Transactions!$B$4:$B$282)=2)*(Transactions!$E$4:$E$282="Coffee")*Transactions!$D$4:$D$282)</f>
        <v/>
      </c>
      <c r="H15" s="15">
        <f>F15-G15</f>
        <v/>
      </c>
      <c r="I15" s="15">
        <f>'Monthly Plan'!F16</f>
        <v/>
      </c>
      <c r="J15" s="15">
        <f>SUMPRODUCT((MONTH(Transactions!$B$4:$B$282)=3)*(Transactions!$E$4:$E$282="Coffee")*Transactions!$D$4:$D$282)</f>
        <v/>
      </c>
      <c r="K15" s="15">
        <f>I15-J15</f>
        <v/>
      </c>
      <c r="L15" s="15">
        <f>'Monthly Plan'!G16</f>
        <v/>
      </c>
      <c r="M15" s="15">
        <f>SUMPRODUCT((MONTH(Transactions!$B$4:$B$282)=4)*(Transactions!$E$4:$E$282="Coffee")*Transactions!$D$4:$D$282)</f>
        <v/>
      </c>
      <c r="N15" s="15">
        <f>L15-M15</f>
        <v/>
      </c>
      <c r="O15" s="15">
        <f>'Monthly Plan'!H16</f>
        <v/>
      </c>
      <c r="P15" s="15">
        <f>SUMPRODUCT((MONTH(Transactions!$B$4:$B$282)=5)*(Transactions!$E$4:$E$282="Coffee")*Transactions!$D$4:$D$282)</f>
        <v/>
      </c>
      <c r="Q15" s="15">
        <f>O15-P15</f>
        <v/>
      </c>
      <c r="R15" s="15">
        <f>'Monthly Plan'!I16</f>
        <v/>
      </c>
      <c r="S15" s="15">
        <f>SUMPRODUCT((MONTH(Transactions!$B$4:$B$282)=6)*(Transactions!$E$4:$E$282="Coffee")*Transactions!$D$4:$D$282)</f>
        <v/>
      </c>
      <c r="T15" s="15">
        <f>R15-S15</f>
        <v/>
      </c>
      <c r="U15" s="15">
        <f>'Monthly Plan'!J16</f>
        <v/>
      </c>
      <c r="V15" s="15">
        <f>SUMPRODUCT((MONTH(Transactions!$B$4:$B$282)=7)*(Transactions!$E$4:$E$282="Coffee")*Transactions!$D$4:$D$282)</f>
        <v/>
      </c>
      <c r="W15" s="15">
        <f>U15-V15</f>
        <v/>
      </c>
      <c r="X15" s="15">
        <f>'Monthly Plan'!K16</f>
        <v/>
      </c>
      <c r="Y15" s="15">
        <f>SUMPRODUCT((MONTH(Transactions!$B$4:$B$282)=8)*(Transactions!$E$4:$E$282="Coffee")*Transactions!$D$4:$D$282)</f>
        <v/>
      </c>
      <c r="Z15" s="15">
        <f>X15-Y15</f>
        <v/>
      </c>
      <c r="AA15" s="15">
        <f>'Monthly Plan'!L16</f>
        <v/>
      </c>
      <c r="AB15" s="15">
        <f>SUMPRODUCT((MONTH(Transactions!$B$4:$B$282)=9)*(Transactions!$E$4:$E$282="Coffee")*Transactions!$D$4:$D$282)</f>
        <v/>
      </c>
      <c r="AC15" s="15">
        <f>AA15-AB15</f>
        <v/>
      </c>
      <c r="AD15" s="15">
        <f>'Monthly Plan'!M16</f>
        <v/>
      </c>
      <c r="AE15" s="15">
        <f>SUMPRODUCT((MONTH(Transactions!$B$4:$B$282)=10)*(Transactions!$E$4:$E$282="Coffee")*Transactions!$D$4:$D$282)</f>
        <v/>
      </c>
      <c r="AF15" s="15">
        <f>AD15-AE15</f>
        <v/>
      </c>
      <c r="AG15" s="15">
        <f>'Monthly Plan'!N16</f>
        <v/>
      </c>
      <c r="AH15" s="15">
        <f>SUMPRODUCT((MONTH(Transactions!$B$4:$B$282)=11)*(Transactions!$E$4:$E$282="Coffee")*Transactions!$D$4:$D$282)</f>
        <v/>
      </c>
      <c r="AI15" s="15">
        <f>AG15-AH15</f>
        <v/>
      </c>
      <c r="AJ15" s="15">
        <f>'Monthly Plan'!O16</f>
        <v/>
      </c>
      <c r="AK15" s="15">
        <f>SUMPRODUCT((MONTH(Transactions!$B$4:$B$282)=12)*(Transactions!$E$4:$E$282="Coffee")*Transactions!$D$4:$D$282)</f>
        <v/>
      </c>
      <c r="AL15" s="15">
        <f>AJ15-AK15</f>
        <v/>
      </c>
      <c r="AM15" s="13">
        <f>C15+F15+I15+L15+O15+R15+U15+X15+AA15+AD15+AG15+AJ15</f>
        <v/>
      </c>
      <c r="AN15" s="13">
        <f>D15+G15+J15+M15+P15+S15+V15+Y15+AB15+AE15+AH15+AK15</f>
        <v/>
      </c>
      <c r="AO15" s="13">
        <f>AM15-AN15</f>
        <v/>
      </c>
    </row>
    <row r="16">
      <c r="B16" s="4" t="inlineStr">
        <is>
          <t>Clothing</t>
        </is>
      </c>
      <c r="C16" s="15">
        <f>'Monthly Plan'!D17</f>
        <v/>
      </c>
      <c r="D16" s="15">
        <f>SUMPRODUCT((MONTH(Transactions!$B$4:$B$282)=1)*(Transactions!$E$4:$E$282="Clothing")*Transactions!$D$4:$D$282)</f>
        <v/>
      </c>
      <c r="E16" s="15">
        <f>C16-D16</f>
        <v/>
      </c>
      <c r="F16" s="15">
        <f>'Monthly Plan'!E17</f>
        <v/>
      </c>
      <c r="G16" s="15">
        <f>SUMPRODUCT((MONTH(Transactions!$B$4:$B$282)=2)*(Transactions!$E$4:$E$282="Clothing")*Transactions!$D$4:$D$282)</f>
        <v/>
      </c>
      <c r="H16" s="15">
        <f>F16-G16</f>
        <v/>
      </c>
      <c r="I16" s="15">
        <f>'Monthly Plan'!F17</f>
        <v/>
      </c>
      <c r="J16" s="15">
        <f>SUMPRODUCT((MONTH(Transactions!$B$4:$B$282)=3)*(Transactions!$E$4:$E$282="Clothing")*Transactions!$D$4:$D$282)</f>
        <v/>
      </c>
      <c r="K16" s="15">
        <f>I16-J16</f>
        <v/>
      </c>
      <c r="L16" s="15">
        <f>'Monthly Plan'!G17</f>
        <v/>
      </c>
      <c r="M16" s="15">
        <f>SUMPRODUCT((MONTH(Transactions!$B$4:$B$282)=4)*(Transactions!$E$4:$E$282="Clothing")*Transactions!$D$4:$D$282)</f>
        <v/>
      </c>
      <c r="N16" s="15">
        <f>L16-M16</f>
        <v/>
      </c>
      <c r="O16" s="15">
        <f>'Monthly Plan'!H17</f>
        <v/>
      </c>
      <c r="P16" s="15">
        <f>SUMPRODUCT((MONTH(Transactions!$B$4:$B$282)=5)*(Transactions!$E$4:$E$282="Clothing")*Transactions!$D$4:$D$282)</f>
        <v/>
      </c>
      <c r="Q16" s="15">
        <f>O16-P16</f>
        <v/>
      </c>
      <c r="R16" s="15">
        <f>'Monthly Plan'!I17</f>
        <v/>
      </c>
      <c r="S16" s="15">
        <f>SUMPRODUCT((MONTH(Transactions!$B$4:$B$282)=6)*(Transactions!$E$4:$E$282="Clothing")*Transactions!$D$4:$D$282)</f>
        <v/>
      </c>
      <c r="T16" s="15">
        <f>R16-S16</f>
        <v/>
      </c>
      <c r="U16" s="15">
        <f>'Monthly Plan'!J17</f>
        <v/>
      </c>
      <c r="V16" s="15">
        <f>SUMPRODUCT((MONTH(Transactions!$B$4:$B$282)=7)*(Transactions!$E$4:$E$282="Clothing")*Transactions!$D$4:$D$282)</f>
        <v/>
      </c>
      <c r="W16" s="15">
        <f>U16-V16</f>
        <v/>
      </c>
      <c r="X16" s="15">
        <f>'Monthly Plan'!K17</f>
        <v/>
      </c>
      <c r="Y16" s="15">
        <f>SUMPRODUCT((MONTH(Transactions!$B$4:$B$282)=8)*(Transactions!$E$4:$E$282="Clothing")*Transactions!$D$4:$D$282)</f>
        <v/>
      </c>
      <c r="Z16" s="15">
        <f>X16-Y16</f>
        <v/>
      </c>
      <c r="AA16" s="15">
        <f>'Monthly Plan'!L17</f>
        <v/>
      </c>
      <c r="AB16" s="15">
        <f>SUMPRODUCT((MONTH(Transactions!$B$4:$B$282)=9)*(Transactions!$E$4:$E$282="Clothing")*Transactions!$D$4:$D$282)</f>
        <v/>
      </c>
      <c r="AC16" s="15">
        <f>AA16-AB16</f>
        <v/>
      </c>
      <c r="AD16" s="15">
        <f>'Monthly Plan'!M17</f>
        <v/>
      </c>
      <c r="AE16" s="15">
        <f>SUMPRODUCT((MONTH(Transactions!$B$4:$B$282)=10)*(Transactions!$E$4:$E$282="Clothing")*Transactions!$D$4:$D$282)</f>
        <v/>
      </c>
      <c r="AF16" s="15">
        <f>AD16-AE16</f>
        <v/>
      </c>
      <c r="AG16" s="15">
        <f>'Monthly Plan'!N17</f>
        <v/>
      </c>
      <c r="AH16" s="15">
        <f>SUMPRODUCT((MONTH(Transactions!$B$4:$B$282)=11)*(Transactions!$E$4:$E$282="Clothing")*Transactions!$D$4:$D$282)</f>
        <v/>
      </c>
      <c r="AI16" s="15">
        <f>AG16-AH16</f>
        <v/>
      </c>
      <c r="AJ16" s="15">
        <f>'Monthly Plan'!O17</f>
        <v/>
      </c>
      <c r="AK16" s="15">
        <f>SUMPRODUCT((MONTH(Transactions!$B$4:$B$282)=12)*(Transactions!$E$4:$E$282="Clothing")*Transactions!$D$4:$D$282)</f>
        <v/>
      </c>
      <c r="AL16" s="15">
        <f>AJ16-AK16</f>
        <v/>
      </c>
      <c r="AM16" s="13">
        <f>C16+F16+I16+L16+O16+R16+U16+X16+AA16+AD16+AG16+AJ16</f>
        <v/>
      </c>
      <c r="AN16" s="13">
        <f>D16+G16+J16+M16+P16+S16+V16+Y16+AB16+AE16+AH16+AK16</f>
        <v/>
      </c>
      <c r="AO16" s="13">
        <f>AM16-AN16</f>
        <v/>
      </c>
    </row>
    <row r="17">
      <c r="B17" s="4" t="inlineStr">
        <is>
          <t>Haircuts</t>
        </is>
      </c>
      <c r="C17" s="15">
        <f>'Monthly Plan'!D18</f>
        <v/>
      </c>
      <c r="D17" s="15">
        <f>SUMPRODUCT((MONTH(Transactions!$B$4:$B$282)=1)*(Transactions!$E$4:$E$282="Haircuts")*Transactions!$D$4:$D$282)</f>
        <v/>
      </c>
      <c r="E17" s="15">
        <f>C17-D17</f>
        <v/>
      </c>
      <c r="F17" s="15">
        <f>'Monthly Plan'!E18</f>
        <v/>
      </c>
      <c r="G17" s="15">
        <f>SUMPRODUCT((MONTH(Transactions!$B$4:$B$282)=2)*(Transactions!$E$4:$E$282="Haircuts")*Transactions!$D$4:$D$282)</f>
        <v/>
      </c>
      <c r="H17" s="15">
        <f>F17-G17</f>
        <v/>
      </c>
      <c r="I17" s="15">
        <f>'Monthly Plan'!F18</f>
        <v/>
      </c>
      <c r="J17" s="15">
        <f>SUMPRODUCT((MONTH(Transactions!$B$4:$B$282)=3)*(Transactions!$E$4:$E$282="Haircuts")*Transactions!$D$4:$D$282)</f>
        <v/>
      </c>
      <c r="K17" s="15">
        <f>I17-J17</f>
        <v/>
      </c>
      <c r="L17" s="15">
        <f>'Monthly Plan'!G18</f>
        <v/>
      </c>
      <c r="M17" s="15">
        <f>SUMPRODUCT((MONTH(Transactions!$B$4:$B$282)=4)*(Transactions!$E$4:$E$282="Haircuts")*Transactions!$D$4:$D$282)</f>
        <v/>
      </c>
      <c r="N17" s="15">
        <f>L17-M17</f>
        <v/>
      </c>
      <c r="O17" s="15">
        <f>'Monthly Plan'!H18</f>
        <v/>
      </c>
      <c r="P17" s="15">
        <f>SUMPRODUCT((MONTH(Transactions!$B$4:$B$282)=5)*(Transactions!$E$4:$E$282="Haircuts")*Transactions!$D$4:$D$282)</f>
        <v/>
      </c>
      <c r="Q17" s="15">
        <f>O17-P17</f>
        <v/>
      </c>
      <c r="R17" s="15">
        <f>'Monthly Plan'!I18</f>
        <v/>
      </c>
      <c r="S17" s="15">
        <f>SUMPRODUCT((MONTH(Transactions!$B$4:$B$282)=6)*(Transactions!$E$4:$E$282="Haircuts")*Transactions!$D$4:$D$282)</f>
        <v/>
      </c>
      <c r="T17" s="15">
        <f>R17-S17</f>
        <v/>
      </c>
      <c r="U17" s="15">
        <f>'Monthly Plan'!J18</f>
        <v/>
      </c>
      <c r="V17" s="15">
        <f>SUMPRODUCT((MONTH(Transactions!$B$4:$B$282)=7)*(Transactions!$E$4:$E$282="Haircuts")*Transactions!$D$4:$D$282)</f>
        <v/>
      </c>
      <c r="W17" s="15">
        <f>U17-V17</f>
        <v/>
      </c>
      <c r="X17" s="15">
        <f>'Monthly Plan'!K18</f>
        <v/>
      </c>
      <c r="Y17" s="15">
        <f>SUMPRODUCT((MONTH(Transactions!$B$4:$B$282)=8)*(Transactions!$E$4:$E$282="Haircuts")*Transactions!$D$4:$D$282)</f>
        <v/>
      </c>
      <c r="Z17" s="15">
        <f>X17-Y17</f>
        <v/>
      </c>
      <c r="AA17" s="15">
        <f>'Monthly Plan'!L18</f>
        <v/>
      </c>
      <c r="AB17" s="15">
        <f>SUMPRODUCT((MONTH(Transactions!$B$4:$B$282)=9)*(Transactions!$E$4:$E$282="Haircuts")*Transactions!$D$4:$D$282)</f>
        <v/>
      </c>
      <c r="AC17" s="15">
        <f>AA17-AB17</f>
        <v/>
      </c>
      <c r="AD17" s="15">
        <f>'Monthly Plan'!M18</f>
        <v/>
      </c>
      <c r="AE17" s="15">
        <f>SUMPRODUCT((MONTH(Transactions!$B$4:$B$282)=10)*(Transactions!$E$4:$E$282="Haircuts")*Transactions!$D$4:$D$282)</f>
        <v/>
      </c>
      <c r="AF17" s="15">
        <f>AD17-AE17</f>
        <v/>
      </c>
      <c r="AG17" s="15">
        <f>'Monthly Plan'!N18</f>
        <v/>
      </c>
      <c r="AH17" s="15">
        <f>SUMPRODUCT((MONTH(Transactions!$B$4:$B$282)=11)*(Transactions!$E$4:$E$282="Haircuts")*Transactions!$D$4:$D$282)</f>
        <v/>
      </c>
      <c r="AI17" s="15">
        <f>AG17-AH17</f>
        <v/>
      </c>
      <c r="AJ17" s="15">
        <f>'Monthly Plan'!O18</f>
        <v/>
      </c>
      <c r="AK17" s="15">
        <f>SUMPRODUCT((MONTH(Transactions!$B$4:$B$282)=12)*(Transactions!$E$4:$E$282="Haircuts")*Transactions!$D$4:$D$282)</f>
        <v/>
      </c>
      <c r="AL17" s="15">
        <f>AJ17-AK17</f>
        <v/>
      </c>
      <c r="AM17" s="13">
        <f>C17+F17+I17+L17+O17+R17+U17+X17+AA17+AD17+AG17+AJ17</f>
        <v/>
      </c>
      <c r="AN17" s="13">
        <f>D17+G17+J17+M17+P17+S17+V17+Y17+AB17+AE17+AH17+AK17</f>
        <v/>
      </c>
      <c r="AO17" s="13">
        <f>AM17-AN17</f>
        <v/>
      </c>
    </row>
    <row r="18">
      <c r="B18" s="4" t="inlineStr">
        <is>
          <t>Subscriptions</t>
        </is>
      </c>
      <c r="C18" s="15">
        <f>'Monthly Plan'!D19</f>
        <v/>
      </c>
      <c r="D18" s="15">
        <f>SUMPRODUCT((MONTH(Transactions!$B$4:$B$282)=1)*(Transactions!$E$4:$E$282="Subscriptions")*Transactions!$D$4:$D$282)</f>
        <v/>
      </c>
      <c r="E18" s="15">
        <f>C18-D18</f>
        <v/>
      </c>
      <c r="F18" s="15">
        <f>'Monthly Plan'!E19</f>
        <v/>
      </c>
      <c r="G18" s="15">
        <f>SUMPRODUCT((MONTH(Transactions!$B$4:$B$282)=2)*(Transactions!$E$4:$E$282="Subscriptions")*Transactions!$D$4:$D$282)</f>
        <v/>
      </c>
      <c r="H18" s="15">
        <f>F18-G18</f>
        <v/>
      </c>
      <c r="I18" s="15">
        <f>'Monthly Plan'!F19</f>
        <v/>
      </c>
      <c r="J18" s="15">
        <f>SUMPRODUCT((MONTH(Transactions!$B$4:$B$282)=3)*(Transactions!$E$4:$E$282="Subscriptions")*Transactions!$D$4:$D$282)</f>
        <v/>
      </c>
      <c r="K18" s="15">
        <f>I18-J18</f>
        <v/>
      </c>
      <c r="L18" s="15">
        <f>'Monthly Plan'!G19</f>
        <v/>
      </c>
      <c r="M18" s="15">
        <f>SUMPRODUCT((MONTH(Transactions!$B$4:$B$282)=4)*(Transactions!$E$4:$E$282="Subscriptions")*Transactions!$D$4:$D$282)</f>
        <v/>
      </c>
      <c r="N18" s="15">
        <f>L18-M18</f>
        <v/>
      </c>
      <c r="O18" s="15">
        <f>'Monthly Plan'!H19</f>
        <v/>
      </c>
      <c r="P18" s="15">
        <f>SUMPRODUCT((MONTH(Transactions!$B$4:$B$282)=5)*(Transactions!$E$4:$E$282="Subscriptions")*Transactions!$D$4:$D$282)</f>
        <v/>
      </c>
      <c r="Q18" s="15">
        <f>O18-P18</f>
        <v/>
      </c>
      <c r="R18" s="15">
        <f>'Monthly Plan'!I19</f>
        <v/>
      </c>
      <c r="S18" s="15">
        <f>SUMPRODUCT((MONTH(Transactions!$B$4:$B$282)=6)*(Transactions!$E$4:$E$282="Subscriptions")*Transactions!$D$4:$D$282)</f>
        <v/>
      </c>
      <c r="T18" s="15">
        <f>R18-S18</f>
        <v/>
      </c>
      <c r="U18" s="15">
        <f>'Monthly Plan'!J19</f>
        <v/>
      </c>
      <c r="V18" s="15">
        <f>SUMPRODUCT((MONTH(Transactions!$B$4:$B$282)=7)*(Transactions!$E$4:$E$282="Subscriptions")*Transactions!$D$4:$D$282)</f>
        <v/>
      </c>
      <c r="W18" s="15">
        <f>U18-V18</f>
        <v/>
      </c>
      <c r="X18" s="15">
        <f>'Monthly Plan'!K19</f>
        <v/>
      </c>
      <c r="Y18" s="15">
        <f>SUMPRODUCT((MONTH(Transactions!$B$4:$B$282)=8)*(Transactions!$E$4:$E$282="Subscriptions")*Transactions!$D$4:$D$282)</f>
        <v/>
      </c>
      <c r="Z18" s="15">
        <f>X18-Y18</f>
        <v/>
      </c>
      <c r="AA18" s="15">
        <f>'Monthly Plan'!L19</f>
        <v/>
      </c>
      <c r="AB18" s="15">
        <f>SUMPRODUCT((MONTH(Transactions!$B$4:$B$282)=9)*(Transactions!$E$4:$E$282="Subscriptions")*Transactions!$D$4:$D$282)</f>
        <v/>
      </c>
      <c r="AC18" s="15">
        <f>AA18-AB18</f>
        <v/>
      </c>
      <c r="AD18" s="15">
        <f>'Monthly Plan'!M19</f>
        <v/>
      </c>
      <c r="AE18" s="15">
        <f>SUMPRODUCT((MONTH(Transactions!$B$4:$B$282)=10)*(Transactions!$E$4:$E$282="Subscriptions")*Transactions!$D$4:$D$282)</f>
        <v/>
      </c>
      <c r="AF18" s="15">
        <f>AD18-AE18</f>
        <v/>
      </c>
      <c r="AG18" s="15">
        <f>'Monthly Plan'!N19</f>
        <v/>
      </c>
      <c r="AH18" s="15">
        <f>SUMPRODUCT((MONTH(Transactions!$B$4:$B$282)=11)*(Transactions!$E$4:$E$282="Subscriptions")*Transactions!$D$4:$D$282)</f>
        <v/>
      </c>
      <c r="AI18" s="15">
        <f>AG18-AH18</f>
        <v/>
      </c>
      <c r="AJ18" s="15">
        <f>'Monthly Plan'!O19</f>
        <v/>
      </c>
      <c r="AK18" s="15">
        <f>SUMPRODUCT((MONTH(Transactions!$B$4:$B$282)=12)*(Transactions!$E$4:$E$282="Subscriptions")*Transactions!$D$4:$D$282)</f>
        <v/>
      </c>
      <c r="AL18" s="15">
        <f>AJ18-AK18</f>
        <v/>
      </c>
      <c r="AM18" s="13">
        <f>C18+F18+I18+L18+O18+R18+U18+X18+AA18+AD18+AG18+AJ18</f>
        <v/>
      </c>
      <c r="AN18" s="13">
        <f>D18+G18+J18+M18+P18+S18+V18+Y18+AB18+AE18+AH18+AK18</f>
        <v/>
      </c>
      <c r="AO18" s="13">
        <f>AM18-AN18</f>
        <v/>
      </c>
    </row>
    <row r="19">
      <c r="B19" s="4" t="inlineStr">
        <is>
          <t>Entertainment</t>
        </is>
      </c>
      <c r="C19" s="15">
        <f>'Monthly Plan'!D20</f>
        <v/>
      </c>
      <c r="D19" s="15">
        <f>SUMPRODUCT((MONTH(Transactions!$B$4:$B$282)=1)*(Transactions!$E$4:$E$282="Entertainment")*Transactions!$D$4:$D$282)</f>
        <v/>
      </c>
      <c r="E19" s="15">
        <f>C19-D19</f>
        <v/>
      </c>
      <c r="F19" s="15">
        <f>'Monthly Plan'!E20</f>
        <v/>
      </c>
      <c r="G19" s="15">
        <f>SUMPRODUCT((MONTH(Transactions!$B$4:$B$282)=2)*(Transactions!$E$4:$E$282="Entertainment")*Transactions!$D$4:$D$282)</f>
        <v/>
      </c>
      <c r="H19" s="15">
        <f>F19-G19</f>
        <v/>
      </c>
      <c r="I19" s="15">
        <f>'Monthly Plan'!F20</f>
        <v/>
      </c>
      <c r="J19" s="15">
        <f>SUMPRODUCT((MONTH(Transactions!$B$4:$B$282)=3)*(Transactions!$E$4:$E$282="Entertainment")*Transactions!$D$4:$D$282)</f>
        <v/>
      </c>
      <c r="K19" s="15">
        <f>I19-J19</f>
        <v/>
      </c>
      <c r="L19" s="15">
        <f>'Monthly Plan'!G20</f>
        <v/>
      </c>
      <c r="M19" s="15">
        <f>SUMPRODUCT((MONTH(Transactions!$B$4:$B$282)=4)*(Transactions!$E$4:$E$282="Entertainment")*Transactions!$D$4:$D$282)</f>
        <v/>
      </c>
      <c r="N19" s="15">
        <f>L19-M19</f>
        <v/>
      </c>
      <c r="O19" s="15">
        <f>'Monthly Plan'!H20</f>
        <v/>
      </c>
      <c r="P19" s="15">
        <f>SUMPRODUCT((MONTH(Transactions!$B$4:$B$282)=5)*(Transactions!$E$4:$E$282="Entertainment")*Transactions!$D$4:$D$282)</f>
        <v/>
      </c>
      <c r="Q19" s="15">
        <f>O19-P19</f>
        <v/>
      </c>
      <c r="R19" s="15">
        <f>'Monthly Plan'!I20</f>
        <v/>
      </c>
      <c r="S19" s="15">
        <f>SUMPRODUCT((MONTH(Transactions!$B$4:$B$282)=6)*(Transactions!$E$4:$E$282="Entertainment")*Transactions!$D$4:$D$282)</f>
        <v/>
      </c>
      <c r="T19" s="15">
        <f>R19-S19</f>
        <v/>
      </c>
      <c r="U19" s="15">
        <f>'Monthly Plan'!J20</f>
        <v/>
      </c>
      <c r="V19" s="15">
        <f>SUMPRODUCT((MONTH(Transactions!$B$4:$B$282)=7)*(Transactions!$E$4:$E$282="Entertainment")*Transactions!$D$4:$D$282)</f>
        <v/>
      </c>
      <c r="W19" s="15">
        <f>U19-V19</f>
        <v/>
      </c>
      <c r="X19" s="15">
        <f>'Monthly Plan'!K20</f>
        <v/>
      </c>
      <c r="Y19" s="15">
        <f>SUMPRODUCT((MONTH(Transactions!$B$4:$B$282)=8)*(Transactions!$E$4:$E$282="Entertainment")*Transactions!$D$4:$D$282)</f>
        <v/>
      </c>
      <c r="Z19" s="15">
        <f>X19-Y19</f>
        <v/>
      </c>
      <c r="AA19" s="15">
        <f>'Monthly Plan'!L20</f>
        <v/>
      </c>
      <c r="AB19" s="15">
        <f>SUMPRODUCT((MONTH(Transactions!$B$4:$B$282)=9)*(Transactions!$E$4:$E$282="Entertainment")*Transactions!$D$4:$D$282)</f>
        <v/>
      </c>
      <c r="AC19" s="15">
        <f>AA19-AB19</f>
        <v/>
      </c>
      <c r="AD19" s="15">
        <f>'Monthly Plan'!M20</f>
        <v/>
      </c>
      <c r="AE19" s="15">
        <f>SUMPRODUCT((MONTH(Transactions!$B$4:$B$282)=10)*(Transactions!$E$4:$E$282="Entertainment")*Transactions!$D$4:$D$282)</f>
        <v/>
      </c>
      <c r="AF19" s="15">
        <f>AD19-AE19</f>
        <v/>
      </c>
      <c r="AG19" s="15">
        <f>'Monthly Plan'!N20</f>
        <v/>
      </c>
      <c r="AH19" s="15">
        <f>SUMPRODUCT((MONTH(Transactions!$B$4:$B$282)=11)*(Transactions!$E$4:$E$282="Entertainment")*Transactions!$D$4:$D$282)</f>
        <v/>
      </c>
      <c r="AI19" s="15">
        <f>AG19-AH19</f>
        <v/>
      </c>
      <c r="AJ19" s="15">
        <f>'Monthly Plan'!O20</f>
        <v/>
      </c>
      <c r="AK19" s="15">
        <f>SUMPRODUCT((MONTH(Transactions!$B$4:$B$282)=12)*(Transactions!$E$4:$E$282="Entertainment")*Transactions!$D$4:$D$282)</f>
        <v/>
      </c>
      <c r="AL19" s="15">
        <f>AJ19-AK19</f>
        <v/>
      </c>
      <c r="AM19" s="13">
        <f>C19+F19+I19+L19+O19+R19+U19+X19+AA19+AD19+AG19+AJ19</f>
        <v/>
      </c>
      <c r="AN19" s="13">
        <f>D19+G19+J19+M19+P19+S19+V19+Y19+AB19+AE19+AH19+AK19</f>
        <v/>
      </c>
      <c r="AO19" s="13">
        <f>AM19-AN19</f>
        <v/>
      </c>
    </row>
    <row r="20">
      <c r="B20" s="4" t="inlineStr">
        <is>
          <t>Gifts</t>
        </is>
      </c>
      <c r="C20" s="15">
        <f>'Monthly Plan'!D21</f>
        <v/>
      </c>
      <c r="D20" s="15">
        <f>SUMPRODUCT((MONTH(Transactions!$B$4:$B$282)=1)*(Transactions!$E$4:$E$282="Gifts")*Transactions!$D$4:$D$282)</f>
        <v/>
      </c>
      <c r="E20" s="15">
        <f>C20-D20</f>
        <v/>
      </c>
      <c r="F20" s="15">
        <f>'Monthly Plan'!E21</f>
        <v/>
      </c>
      <c r="G20" s="15">
        <f>SUMPRODUCT((MONTH(Transactions!$B$4:$B$282)=2)*(Transactions!$E$4:$E$282="Gifts")*Transactions!$D$4:$D$282)</f>
        <v/>
      </c>
      <c r="H20" s="15">
        <f>F20-G20</f>
        <v/>
      </c>
      <c r="I20" s="15">
        <f>'Monthly Plan'!F21</f>
        <v/>
      </c>
      <c r="J20" s="15">
        <f>SUMPRODUCT((MONTH(Transactions!$B$4:$B$282)=3)*(Transactions!$E$4:$E$282="Gifts")*Transactions!$D$4:$D$282)</f>
        <v/>
      </c>
      <c r="K20" s="15">
        <f>I20-J20</f>
        <v/>
      </c>
      <c r="L20" s="15">
        <f>'Monthly Plan'!G21</f>
        <v/>
      </c>
      <c r="M20" s="15">
        <f>SUMPRODUCT((MONTH(Transactions!$B$4:$B$282)=4)*(Transactions!$E$4:$E$282="Gifts")*Transactions!$D$4:$D$282)</f>
        <v/>
      </c>
      <c r="N20" s="15">
        <f>L20-M20</f>
        <v/>
      </c>
      <c r="O20" s="15">
        <f>'Monthly Plan'!H21</f>
        <v/>
      </c>
      <c r="P20" s="15">
        <f>SUMPRODUCT((MONTH(Transactions!$B$4:$B$282)=5)*(Transactions!$E$4:$E$282="Gifts")*Transactions!$D$4:$D$282)</f>
        <v/>
      </c>
      <c r="Q20" s="15">
        <f>O20-P20</f>
        <v/>
      </c>
      <c r="R20" s="15">
        <f>'Monthly Plan'!I21</f>
        <v/>
      </c>
      <c r="S20" s="15">
        <f>SUMPRODUCT((MONTH(Transactions!$B$4:$B$282)=6)*(Transactions!$E$4:$E$282="Gifts")*Transactions!$D$4:$D$282)</f>
        <v/>
      </c>
      <c r="T20" s="15">
        <f>R20-S20</f>
        <v/>
      </c>
      <c r="U20" s="15">
        <f>'Monthly Plan'!J21</f>
        <v/>
      </c>
      <c r="V20" s="15">
        <f>SUMPRODUCT((MONTH(Transactions!$B$4:$B$282)=7)*(Transactions!$E$4:$E$282="Gifts")*Transactions!$D$4:$D$282)</f>
        <v/>
      </c>
      <c r="W20" s="15">
        <f>U20-V20</f>
        <v/>
      </c>
      <c r="X20" s="15">
        <f>'Monthly Plan'!K21</f>
        <v/>
      </c>
      <c r="Y20" s="15">
        <f>SUMPRODUCT((MONTH(Transactions!$B$4:$B$282)=8)*(Transactions!$E$4:$E$282="Gifts")*Transactions!$D$4:$D$282)</f>
        <v/>
      </c>
      <c r="Z20" s="15">
        <f>X20-Y20</f>
        <v/>
      </c>
      <c r="AA20" s="15">
        <f>'Monthly Plan'!L21</f>
        <v/>
      </c>
      <c r="AB20" s="15">
        <f>SUMPRODUCT((MONTH(Transactions!$B$4:$B$282)=9)*(Transactions!$E$4:$E$282="Gifts")*Transactions!$D$4:$D$282)</f>
        <v/>
      </c>
      <c r="AC20" s="15">
        <f>AA20-AB20</f>
        <v/>
      </c>
      <c r="AD20" s="15">
        <f>'Monthly Plan'!M21</f>
        <v/>
      </c>
      <c r="AE20" s="15">
        <f>SUMPRODUCT((MONTH(Transactions!$B$4:$B$282)=10)*(Transactions!$E$4:$E$282="Gifts")*Transactions!$D$4:$D$282)</f>
        <v/>
      </c>
      <c r="AF20" s="15">
        <f>AD20-AE20</f>
        <v/>
      </c>
      <c r="AG20" s="15">
        <f>'Monthly Plan'!N21</f>
        <v/>
      </c>
      <c r="AH20" s="15">
        <f>SUMPRODUCT((MONTH(Transactions!$B$4:$B$282)=11)*(Transactions!$E$4:$E$282="Gifts")*Transactions!$D$4:$D$282)</f>
        <v/>
      </c>
      <c r="AI20" s="15">
        <f>AG20-AH20</f>
        <v/>
      </c>
      <c r="AJ20" s="15">
        <f>'Monthly Plan'!O21</f>
        <v/>
      </c>
      <c r="AK20" s="15">
        <f>SUMPRODUCT((MONTH(Transactions!$B$4:$B$282)=12)*(Transactions!$E$4:$E$282="Gifts")*Transactions!$D$4:$D$282)</f>
        <v/>
      </c>
      <c r="AL20" s="15">
        <f>AJ20-AK20</f>
        <v/>
      </c>
      <c r="AM20" s="13">
        <f>C20+F20+I20+L20+O20+R20+U20+X20+AA20+AD20+AG20+AJ20</f>
        <v/>
      </c>
      <c r="AN20" s="13">
        <f>D20+G20+J20+M20+P20+S20+V20+Y20+AB20+AE20+AH20+AK20</f>
        <v/>
      </c>
      <c r="AO20" s="13">
        <f>AM20-AN20</f>
        <v/>
      </c>
    </row>
    <row r="21">
      <c r="B21" s="4" t="inlineStr">
        <is>
          <t>Health Insurance</t>
        </is>
      </c>
      <c r="C21" s="15">
        <f>'Monthly Plan'!D22</f>
        <v/>
      </c>
      <c r="D21" s="15">
        <f>SUMPRODUCT((MONTH(Transactions!$B$4:$B$282)=1)*(Transactions!$E$4:$E$282="Health Insurance")*Transactions!$D$4:$D$282)</f>
        <v/>
      </c>
      <c r="E21" s="15">
        <f>C21-D21</f>
        <v/>
      </c>
      <c r="F21" s="15">
        <f>'Monthly Plan'!E22</f>
        <v/>
      </c>
      <c r="G21" s="15">
        <f>SUMPRODUCT((MONTH(Transactions!$B$4:$B$282)=2)*(Transactions!$E$4:$E$282="Health Insurance")*Transactions!$D$4:$D$282)</f>
        <v/>
      </c>
      <c r="H21" s="15">
        <f>F21-G21</f>
        <v/>
      </c>
      <c r="I21" s="15">
        <f>'Monthly Plan'!F22</f>
        <v/>
      </c>
      <c r="J21" s="15">
        <f>SUMPRODUCT((MONTH(Transactions!$B$4:$B$282)=3)*(Transactions!$E$4:$E$282="Health Insurance")*Transactions!$D$4:$D$282)</f>
        <v/>
      </c>
      <c r="K21" s="15">
        <f>I21-J21</f>
        <v/>
      </c>
      <c r="L21" s="15">
        <f>'Monthly Plan'!G22</f>
        <v/>
      </c>
      <c r="M21" s="15">
        <f>SUMPRODUCT((MONTH(Transactions!$B$4:$B$282)=4)*(Transactions!$E$4:$E$282="Health Insurance")*Transactions!$D$4:$D$282)</f>
        <v/>
      </c>
      <c r="N21" s="15">
        <f>L21-M21</f>
        <v/>
      </c>
      <c r="O21" s="15">
        <f>'Monthly Plan'!H22</f>
        <v/>
      </c>
      <c r="P21" s="15">
        <f>SUMPRODUCT((MONTH(Transactions!$B$4:$B$282)=5)*(Transactions!$E$4:$E$282="Health Insurance")*Transactions!$D$4:$D$282)</f>
        <v/>
      </c>
      <c r="Q21" s="15">
        <f>O21-P21</f>
        <v/>
      </c>
      <c r="R21" s="15">
        <f>'Monthly Plan'!I22</f>
        <v/>
      </c>
      <c r="S21" s="15">
        <f>SUMPRODUCT((MONTH(Transactions!$B$4:$B$282)=6)*(Transactions!$E$4:$E$282="Health Insurance")*Transactions!$D$4:$D$282)</f>
        <v/>
      </c>
      <c r="T21" s="15">
        <f>R21-S21</f>
        <v/>
      </c>
      <c r="U21" s="15">
        <f>'Monthly Plan'!J22</f>
        <v/>
      </c>
      <c r="V21" s="15">
        <f>SUMPRODUCT((MONTH(Transactions!$B$4:$B$282)=7)*(Transactions!$E$4:$E$282="Health Insurance")*Transactions!$D$4:$D$282)</f>
        <v/>
      </c>
      <c r="W21" s="15">
        <f>U21-V21</f>
        <v/>
      </c>
      <c r="X21" s="15">
        <f>'Monthly Plan'!K22</f>
        <v/>
      </c>
      <c r="Y21" s="15">
        <f>SUMPRODUCT((MONTH(Transactions!$B$4:$B$282)=8)*(Transactions!$E$4:$E$282="Health Insurance")*Transactions!$D$4:$D$282)</f>
        <v/>
      </c>
      <c r="Z21" s="15">
        <f>X21-Y21</f>
        <v/>
      </c>
      <c r="AA21" s="15">
        <f>'Monthly Plan'!L22</f>
        <v/>
      </c>
      <c r="AB21" s="15">
        <f>SUMPRODUCT((MONTH(Transactions!$B$4:$B$282)=9)*(Transactions!$E$4:$E$282="Health Insurance")*Transactions!$D$4:$D$282)</f>
        <v/>
      </c>
      <c r="AC21" s="15">
        <f>AA21-AB21</f>
        <v/>
      </c>
      <c r="AD21" s="15">
        <f>'Monthly Plan'!M22</f>
        <v/>
      </c>
      <c r="AE21" s="15">
        <f>SUMPRODUCT((MONTH(Transactions!$B$4:$B$282)=10)*(Transactions!$E$4:$E$282="Health Insurance")*Transactions!$D$4:$D$282)</f>
        <v/>
      </c>
      <c r="AF21" s="15">
        <f>AD21-AE21</f>
        <v/>
      </c>
      <c r="AG21" s="15">
        <f>'Monthly Plan'!N22</f>
        <v/>
      </c>
      <c r="AH21" s="15">
        <f>SUMPRODUCT((MONTH(Transactions!$B$4:$B$282)=11)*(Transactions!$E$4:$E$282="Health Insurance")*Transactions!$D$4:$D$282)</f>
        <v/>
      </c>
      <c r="AI21" s="15">
        <f>AG21-AH21</f>
        <v/>
      </c>
      <c r="AJ21" s="15">
        <f>'Monthly Plan'!O22</f>
        <v/>
      </c>
      <c r="AK21" s="15">
        <f>SUMPRODUCT((MONTH(Transactions!$B$4:$B$282)=12)*(Transactions!$E$4:$E$282="Health Insurance")*Transactions!$D$4:$D$282)</f>
        <v/>
      </c>
      <c r="AL21" s="15">
        <f>AJ21-AK21</f>
        <v/>
      </c>
      <c r="AM21" s="13">
        <f>C21+F21+I21+L21+O21+R21+U21+X21+AA21+AD21+AG21+AJ21</f>
        <v/>
      </c>
      <c r="AN21" s="13">
        <f>D21+G21+J21+M21+P21+S21+V21+Y21+AB21+AE21+AH21+AK21</f>
        <v/>
      </c>
      <c r="AO21" s="13">
        <f>AM21-AN21</f>
        <v/>
      </c>
    </row>
    <row r="22">
      <c r="B22" s="4" t="inlineStr">
        <is>
          <t>Gym</t>
        </is>
      </c>
      <c r="C22" s="15">
        <f>'Monthly Plan'!D23</f>
        <v/>
      </c>
      <c r="D22" s="15">
        <f>SUMPRODUCT((MONTH(Transactions!$B$4:$B$282)=1)*(Transactions!$E$4:$E$282="Gym")*Transactions!$D$4:$D$282)</f>
        <v/>
      </c>
      <c r="E22" s="15">
        <f>C22-D22</f>
        <v/>
      </c>
      <c r="F22" s="15">
        <f>'Monthly Plan'!E23</f>
        <v/>
      </c>
      <c r="G22" s="15">
        <f>SUMPRODUCT((MONTH(Transactions!$B$4:$B$282)=2)*(Transactions!$E$4:$E$282="Gym")*Transactions!$D$4:$D$282)</f>
        <v/>
      </c>
      <c r="H22" s="15">
        <f>F22-G22</f>
        <v/>
      </c>
      <c r="I22" s="15">
        <f>'Monthly Plan'!F23</f>
        <v/>
      </c>
      <c r="J22" s="15">
        <f>SUMPRODUCT((MONTH(Transactions!$B$4:$B$282)=3)*(Transactions!$E$4:$E$282="Gym")*Transactions!$D$4:$D$282)</f>
        <v/>
      </c>
      <c r="K22" s="15">
        <f>I22-J22</f>
        <v/>
      </c>
      <c r="L22" s="15">
        <f>'Monthly Plan'!G23</f>
        <v/>
      </c>
      <c r="M22" s="15">
        <f>SUMPRODUCT((MONTH(Transactions!$B$4:$B$282)=4)*(Transactions!$E$4:$E$282="Gym")*Transactions!$D$4:$D$282)</f>
        <v/>
      </c>
      <c r="N22" s="15">
        <f>L22-M22</f>
        <v/>
      </c>
      <c r="O22" s="15">
        <f>'Monthly Plan'!H23</f>
        <v/>
      </c>
      <c r="P22" s="15">
        <f>SUMPRODUCT((MONTH(Transactions!$B$4:$B$282)=5)*(Transactions!$E$4:$E$282="Gym")*Transactions!$D$4:$D$282)</f>
        <v/>
      </c>
      <c r="Q22" s="15">
        <f>O22-P22</f>
        <v/>
      </c>
      <c r="R22" s="15">
        <f>'Monthly Plan'!I23</f>
        <v/>
      </c>
      <c r="S22" s="15">
        <f>SUMPRODUCT((MONTH(Transactions!$B$4:$B$282)=6)*(Transactions!$E$4:$E$282="Gym")*Transactions!$D$4:$D$282)</f>
        <v/>
      </c>
      <c r="T22" s="15">
        <f>R22-S22</f>
        <v/>
      </c>
      <c r="U22" s="15">
        <f>'Monthly Plan'!J23</f>
        <v/>
      </c>
      <c r="V22" s="15">
        <f>SUMPRODUCT((MONTH(Transactions!$B$4:$B$282)=7)*(Transactions!$E$4:$E$282="Gym")*Transactions!$D$4:$D$282)</f>
        <v/>
      </c>
      <c r="W22" s="15">
        <f>U22-V22</f>
        <v/>
      </c>
      <c r="X22" s="15">
        <f>'Monthly Plan'!K23</f>
        <v/>
      </c>
      <c r="Y22" s="15">
        <f>SUMPRODUCT((MONTH(Transactions!$B$4:$B$282)=8)*(Transactions!$E$4:$E$282="Gym")*Transactions!$D$4:$D$282)</f>
        <v/>
      </c>
      <c r="Z22" s="15">
        <f>X22-Y22</f>
        <v/>
      </c>
      <c r="AA22" s="15">
        <f>'Monthly Plan'!L23</f>
        <v/>
      </c>
      <c r="AB22" s="15">
        <f>SUMPRODUCT((MONTH(Transactions!$B$4:$B$282)=9)*(Transactions!$E$4:$E$282="Gym")*Transactions!$D$4:$D$282)</f>
        <v/>
      </c>
      <c r="AC22" s="15">
        <f>AA22-AB22</f>
        <v/>
      </c>
      <c r="AD22" s="15">
        <f>'Monthly Plan'!M23</f>
        <v/>
      </c>
      <c r="AE22" s="15">
        <f>SUMPRODUCT((MONTH(Transactions!$B$4:$B$282)=10)*(Transactions!$E$4:$E$282="Gym")*Transactions!$D$4:$D$282)</f>
        <v/>
      </c>
      <c r="AF22" s="15">
        <f>AD22-AE22</f>
        <v/>
      </c>
      <c r="AG22" s="15">
        <f>'Monthly Plan'!N23</f>
        <v/>
      </c>
      <c r="AH22" s="15">
        <f>SUMPRODUCT((MONTH(Transactions!$B$4:$B$282)=11)*(Transactions!$E$4:$E$282="Gym")*Transactions!$D$4:$D$282)</f>
        <v/>
      </c>
      <c r="AI22" s="15">
        <f>AG22-AH22</f>
        <v/>
      </c>
      <c r="AJ22" s="15">
        <f>'Monthly Plan'!O23</f>
        <v/>
      </c>
      <c r="AK22" s="15">
        <f>SUMPRODUCT((MONTH(Transactions!$B$4:$B$282)=12)*(Transactions!$E$4:$E$282="Gym")*Transactions!$D$4:$D$282)</f>
        <v/>
      </c>
      <c r="AL22" s="15">
        <f>AJ22-AK22</f>
        <v/>
      </c>
      <c r="AM22" s="13">
        <f>C22+F22+I22+L22+O22+R22+U22+X22+AA22+AD22+AG22+AJ22</f>
        <v/>
      </c>
      <c r="AN22" s="13">
        <f>D22+G22+J22+M22+P22+S22+V22+Y22+AB22+AE22+AH22+AK22</f>
        <v/>
      </c>
      <c r="AO22" s="13">
        <f>AM22-AN22</f>
        <v/>
      </c>
    </row>
    <row r="23">
      <c r="B23" s="4" t="inlineStr">
        <is>
          <t>Prescriptions</t>
        </is>
      </c>
      <c r="C23" s="15">
        <f>'Monthly Plan'!D24</f>
        <v/>
      </c>
      <c r="D23" s="15">
        <f>SUMPRODUCT((MONTH(Transactions!$B$4:$B$282)=1)*(Transactions!$E$4:$E$282="Prescriptions")*Transactions!$D$4:$D$282)</f>
        <v/>
      </c>
      <c r="E23" s="15">
        <f>C23-D23</f>
        <v/>
      </c>
      <c r="F23" s="15">
        <f>'Monthly Plan'!E24</f>
        <v/>
      </c>
      <c r="G23" s="15">
        <f>SUMPRODUCT((MONTH(Transactions!$B$4:$B$282)=2)*(Transactions!$E$4:$E$282="Prescriptions")*Transactions!$D$4:$D$282)</f>
        <v/>
      </c>
      <c r="H23" s="15">
        <f>F23-G23</f>
        <v/>
      </c>
      <c r="I23" s="15">
        <f>'Monthly Plan'!F24</f>
        <v/>
      </c>
      <c r="J23" s="15">
        <f>SUMPRODUCT((MONTH(Transactions!$B$4:$B$282)=3)*(Transactions!$E$4:$E$282="Prescriptions")*Transactions!$D$4:$D$282)</f>
        <v/>
      </c>
      <c r="K23" s="15">
        <f>I23-J23</f>
        <v/>
      </c>
      <c r="L23" s="15">
        <f>'Monthly Plan'!G24</f>
        <v/>
      </c>
      <c r="M23" s="15">
        <f>SUMPRODUCT((MONTH(Transactions!$B$4:$B$282)=4)*(Transactions!$E$4:$E$282="Prescriptions")*Transactions!$D$4:$D$282)</f>
        <v/>
      </c>
      <c r="N23" s="15">
        <f>L23-M23</f>
        <v/>
      </c>
      <c r="O23" s="15">
        <f>'Monthly Plan'!H24</f>
        <v/>
      </c>
      <c r="P23" s="15">
        <f>SUMPRODUCT((MONTH(Transactions!$B$4:$B$282)=5)*(Transactions!$E$4:$E$282="Prescriptions")*Transactions!$D$4:$D$282)</f>
        <v/>
      </c>
      <c r="Q23" s="15">
        <f>O23-P23</f>
        <v/>
      </c>
      <c r="R23" s="15">
        <f>'Monthly Plan'!I24</f>
        <v/>
      </c>
      <c r="S23" s="15">
        <f>SUMPRODUCT((MONTH(Transactions!$B$4:$B$282)=6)*(Transactions!$E$4:$E$282="Prescriptions")*Transactions!$D$4:$D$282)</f>
        <v/>
      </c>
      <c r="T23" s="15">
        <f>R23-S23</f>
        <v/>
      </c>
      <c r="U23" s="15">
        <f>'Monthly Plan'!J24</f>
        <v/>
      </c>
      <c r="V23" s="15">
        <f>SUMPRODUCT((MONTH(Transactions!$B$4:$B$282)=7)*(Transactions!$E$4:$E$282="Prescriptions")*Transactions!$D$4:$D$282)</f>
        <v/>
      </c>
      <c r="W23" s="15">
        <f>U23-V23</f>
        <v/>
      </c>
      <c r="X23" s="15">
        <f>'Monthly Plan'!K24</f>
        <v/>
      </c>
      <c r="Y23" s="15">
        <f>SUMPRODUCT((MONTH(Transactions!$B$4:$B$282)=8)*(Transactions!$E$4:$E$282="Prescriptions")*Transactions!$D$4:$D$282)</f>
        <v/>
      </c>
      <c r="Z23" s="15">
        <f>X23-Y23</f>
        <v/>
      </c>
      <c r="AA23" s="15">
        <f>'Monthly Plan'!L24</f>
        <v/>
      </c>
      <c r="AB23" s="15">
        <f>SUMPRODUCT((MONTH(Transactions!$B$4:$B$282)=9)*(Transactions!$E$4:$E$282="Prescriptions")*Transactions!$D$4:$D$282)</f>
        <v/>
      </c>
      <c r="AC23" s="15">
        <f>AA23-AB23</f>
        <v/>
      </c>
      <c r="AD23" s="15">
        <f>'Monthly Plan'!M24</f>
        <v/>
      </c>
      <c r="AE23" s="15">
        <f>SUMPRODUCT((MONTH(Transactions!$B$4:$B$282)=10)*(Transactions!$E$4:$E$282="Prescriptions")*Transactions!$D$4:$D$282)</f>
        <v/>
      </c>
      <c r="AF23" s="15">
        <f>AD23-AE23</f>
        <v/>
      </c>
      <c r="AG23" s="15">
        <f>'Monthly Plan'!N24</f>
        <v/>
      </c>
      <c r="AH23" s="15">
        <f>SUMPRODUCT((MONTH(Transactions!$B$4:$B$282)=11)*(Transactions!$E$4:$E$282="Prescriptions")*Transactions!$D$4:$D$282)</f>
        <v/>
      </c>
      <c r="AI23" s="15">
        <f>AG23-AH23</f>
        <v/>
      </c>
      <c r="AJ23" s="15">
        <f>'Monthly Plan'!O24</f>
        <v/>
      </c>
      <c r="AK23" s="15">
        <f>SUMPRODUCT((MONTH(Transactions!$B$4:$B$282)=12)*(Transactions!$E$4:$E$282="Prescriptions")*Transactions!$D$4:$D$282)</f>
        <v/>
      </c>
      <c r="AL23" s="15">
        <f>AJ23-AK23</f>
        <v/>
      </c>
      <c r="AM23" s="13">
        <f>C23+F23+I23+L23+O23+R23+U23+X23+AA23+AD23+AG23+AJ23</f>
        <v/>
      </c>
      <c r="AN23" s="13">
        <f>D23+G23+J23+M23+P23+S23+V23+Y23+AB23+AE23+AH23+AK23</f>
        <v/>
      </c>
      <c r="AO23" s="13">
        <f>AM23-AN23</f>
        <v/>
      </c>
    </row>
    <row r="24">
      <c r="B24" s="4" t="inlineStr">
        <is>
          <t>Emergency Fund</t>
        </is>
      </c>
      <c r="C24" s="15">
        <f>'Monthly Plan'!D25</f>
        <v/>
      </c>
      <c r="D24" s="15">
        <f>SUMPRODUCT((MONTH(Transactions!$B$4:$B$282)=1)*(Transactions!$E$4:$E$282="Emergency Fund")*Transactions!$D$4:$D$282)</f>
        <v/>
      </c>
      <c r="E24" s="15">
        <f>C24-D24</f>
        <v/>
      </c>
      <c r="F24" s="15">
        <f>'Monthly Plan'!E25</f>
        <v/>
      </c>
      <c r="G24" s="15">
        <f>SUMPRODUCT((MONTH(Transactions!$B$4:$B$282)=2)*(Transactions!$E$4:$E$282="Emergency Fund")*Transactions!$D$4:$D$282)</f>
        <v/>
      </c>
      <c r="H24" s="15">
        <f>F24-G24</f>
        <v/>
      </c>
      <c r="I24" s="15">
        <f>'Monthly Plan'!F25</f>
        <v/>
      </c>
      <c r="J24" s="15">
        <f>SUMPRODUCT((MONTH(Transactions!$B$4:$B$282)=3)*(Transactions!$E$4:$E$282="Emergency Fund")*Transactions!$D$4:$D$282)</f>
        <v/>
      </c>
      <c r="K24" s="15">
        <f>I24-J24</f>
        <v/>
      </c>
      <c r="L24" s="15">
        <f>'Monthly Plan'!G25</f>
        <v/>
      </c>
      <c r="M24" s="15">
        <f>SUMPRODUCT((MONTH(Transactions!$B$4:$B$282)=4)*(Transactions!$E$4:$E$282="Emergency Fund")*Transactions!$D$4:$D$282)</f>
        <v/>
      </c>
      <c r="N24" s="15">
        <f>L24-M24</f>
        <v/>
      </c>
      <c r="O24" s="15">
        <f>'Monthly Plan'!H25</f>
        <v/>
      </c>
      <c r="P24" s="15">
        <f>SUMPRODUCT((MONTH(Transactions!$B$4:$B$282)=5)*(Transactions!$E$4:$E$282="Emergency Fund")*Transactions!$D$4:$D$282)</f>
        <v/>
      </c>
      <c r="Q24" s="15">
        <f>O24-P24</f>
        <v/>
      </c>
      <c r="R24" s="15">
        <f>'Monthly Plan'!I25</f>
        <v/>
      </c>
      <c r="S24" s="15">
        <f>SUMPRODUCT((MONTH(Transactions!$B$4:$B$282)=6)*(Transactions!$E$4:$E$282="Emergency Fund")*Transactions!$D$4:$D$282)</f>
        <v/>
      </c>
      <c r="T24" s="15">
        <f>R24-S24</f>
        <v/>
      </c>
      <c r="U24" s="15">
        <f>'Monthly Plan'!J25</f>
        <v/>
      </c>
      <c r="V24" s="15">
        <f>SUMPRODUCT((MONTH(Transactions!$B$4:$B$282)=7)*(Transactions!$E$4:$E$282="Emergency Fund")*Transactions!$D$4:$D$282)</f>
        <v/>
      </c>
      <c r="W24" s="15">
        <f>U24-V24</f>
        <v/>
      </c>
      <c r="X24" s="15">
        <f>'Monthly Plan'!K25</f>
        <v/>
      </c>
      <c r="Y24" s="15">
        <f>SUMPRODUCT((MONTH(Transactions!$B$4:$B$282)=8)*(Transactions!$E$4:$E$282="Emergency Fund")*Transactions!$D$4:$D$282)</f>
        <v/>
      </c>
      <c r="Z24" s="15">
        <f>X24-Y24</f>
        <v/>
      </c>
      <c r="AA24" s="15">
        <f>'Monthly Plan'!L25</f>
        <v/>
      </c>
      <c r="AB24" s="15">
        <f>SUMPRODUCT((MONTH(Transactions!$B$4:$B$282)=9)*(Transactions!$E$4:$E$282="Emergency Fund")*Transactions!$D$4:$D$282)</f>
        <v/>
      </c>
      <c r="AC24" s="15">
        <f>AA24-AB24</f>
        <v/>
      </c>
      <c r="AD24" s="15">
        <f>'Monthly Plan'!M25</f>
        <v/>
      </c>
      <c r="AE24" s="15">
        <f>SUMPRODUCT((MONTH(Transactions!$B$4:$B$282)=10)*(Transactions!$E$4:$E$282="Emergency Fund")*Transactions!$D$4:$D$282)</f>
        <v/>
      </c>
      <c r="AF24" s="15">
        <f>AD24-AE24</f>
        <v/>
      </c>
      <c r="AG24" s="15">
        <f>'Monthly Plan'!N25</f>
        <v/>
      </c>
      <c r="AH24" s="15">
        <f>SUMPRODUCT((MONTH(Transactions!$B$4:$B$282)=11)*(Transactions!$E$4:$E$282="Emergency Fund")*Transactions!$D$4:$D$282)</f>
        <v/>
      </c>
      <c r="AI24" s="15">
        <f>AG24-AH24</f>
        <v/>
      </c>
      <c r="AJ24" s="15">
        <f>'Monthly Plan'!O25</f>
        <v/>
      </c>
      <c r="AK24" s="15">
        <f>SUMPRODUCT((MONTH(Transactions!$B$4:$B$282)=12)*(Transactions!$E$4:$E$282="Emergency Fund")*Transactions!$D$4:$D$282)</f>
        <v/>
      </c>
      <c r="AL24" s="15">
        <f>AJ24-AK24</f>
        <v/>
      </c>
      <c r="AM24" s="13">
        <f>C24+F24+I24+L24+O24+R24+U24+X24+AA24+AD24+AG24+AJ24</f>
        <v/>
      </c>
      <c r="AN24" s="13">
        <f>D24+G24+J24+M24+P24+S24+V24+Y24+AB24+AE24+AH24+AK24</f>
        <v/>
      </c>
      <c r="AO24" s="13">
        <f>AM24-AN24</f>
        <v/>
      </c>
    </row>
    <row r="25">
      <c r="B25" s="4" t="inlineStr">
        <is>
          <t>Retirement Extra</t>
        </is>
      </c>
      <c r="C25" s="15">
        <f>'Monthly Plan'!D26</f>
        <v/>
      </c>
      <c r="D25" s="15">
        <f>SUMPRODUCT((MONTH(Transactions!$B$4:$B$282)=1)*(Transactions!$E$4:$E$282="Retirement Extra")*Transactions!$D$4:$D$282)</f>
        <v/>
      </c>
      <c r="E25" s="15">
        <f>C25-D25</f>
        <v/>
      </c>
      <c r="F25" s="15">
        <f>'Monthly Plan'!E26</f>
        <v/>
      </c>
      <c r="G25" s="15">
        <f>SUMPRODUCT((MONTH(Transactions!$B$4:$B$282)=2)*(Transactions!$E$4:$E$282="Retirement Extra")*Transactions!$D$4:$D$282)</f>
        <v/>
      </c>
      <c r="H25" s="15">
        <f>F25-G25</f>
        <v/>
      </c>
      <c r="I25" s="15">
        <f>'Monthly Plan'!F26</f>
        <v/>
      </c>
      <c r="J25" s="15">
        <f>SUMPRODUCT((MONTH(Transactions!$B$4:$B$282)=3)*(Transactions!$E$4:$E$282="Retirement Extra")*Transactions!$D$4:$D$282)</f>
        <v/>
      </c>
      <c r="K25" s="15">
        <f>I25-J25</f>
        <v/>
      </c>
      <c r="L25" s="15">
        <f>'Monthly Plan'!G26</f>
        <v/>
      </c>
      <c r="M25" s="15">
        <f>SUMPRODUCT((MONTH(Transactions!$B$4:$B$282)=4)*(Transactions!$E$4:$E$282="Retirement Extra")*Transactions!$D$4:$D$282)</f>
        <v/>
      </c>
      <c r="N25" s="15">
        <f>L25-M25</f>
        <v/>
      </c>
      <c r="O25" s="15">
        <f>'Monthly Plan'!H26</f>
        <v/>
      </c>
      <c r="P25" s="15">
        <f>SUMPRODUCT((MONTH(Transactions!$B$4:$B$282)=5)*(Transactions!$E$4:$E$282="Retirement Extra")*Transactions!$D$4:$D$282)</f>
        <v/>
      </c>
      <c r="Q25" s="15">
        <f>O25-P25</f>
        <v/>
      </c>
      <c r="R25" s="15">
        <f>'Monthly Plan'!I26</f>
        <v/>
      </c>
      <c r="S25" s="15">
        <f>SUMPRODUCT((MONTH(Transactions!$B$4:$B$282)=6)*(Transactions!$E$4:$E$282="Retirement Extra")*Transactions!$D$4:$D$282)</f>
        <v/>
      </c>
      <c r="T25" s="15">
        <f>R25-S25</f>
        <v/>
      </c>
      <c r="U25" s="15">
        <f>'Monthly Plan'!J26</f>
        <v/>
      </c>
      <c r="V25" s="15">
        <f>SUMPRODUCT((MONTH(Transactions!$B$4:$B$282)=7)*(Transactions!$E$4:$E$282="Retirement Extra")*Transactions!$D$4:$D$282)</f>
        <v/>
      </c>
      <c r="W25" s="15">
        <f>U25-V25</f>
        <v/>
      </c>
      <c r="X25" s="15">
        <f>'Monthly Plan'!K26</f>
        <v/>
      </c>
      <c r="Y25" s="15">
        <f>SUMPRODUCT((MONTH(Transactions!$B$4:$B$282)=8)*(Transactions!$E$4:$E$282="Retirement Extra")*Transactions!$D$4:$D$282)</f>
        <v/>
      </c>
      <c r="Z25" s="15">
        <f>X25-Y25</f>
        <v/>
      </c>
      <c r="AA25" s="15">
        <f>'Monthly Plan'!L26</f>
        <v/>
      </c>
      <c r="AB25" s="15">
        <f>SUMPRODUCT((MONTH(Transactions!$B$4:$B$282)=9)*(Transactions!$E$4:$E$282="Retirement Extra")*Transactions!$D$4:$D$282)</f>
        <v/>
      </c>
      <c r="AC25" s="15">
        <f>AA25-AB25</f>
        <v/>
      </c>
      <c r="AD25" s="15">
        <f>'Monthly Plan'!M26</f>
        <v/>
      </c>
      <c r="AE25" s="15">
        <f>SUMPRODUCT((MONTH(Transactions!$B$4:$B$282)=10)*(Transactions!$E$4:$E$282="Retirement Extra")*Transactions!$D$4:$D$282)</f>
        <v/>
      </c>
      <c r="AF25" s="15">
        <f>AD25-AE25</f>
        <v/>
      </c>
      <c r="AG25" s="15">
        <f>'Monthly Plan'!N26</f>
        <v/>
      </c>
      <c r="AH25" s="15">
        <f>SUMPRODUCT((MONTH(Transactions!$B$4:$B$282)=11)*(Transactions!$E$4:$E$282="Retirement Extra")*Transactions!$D$4:$D$282)</f>
        <v/>
      </c>
      <c r="AI25" s="15">
        <f>AG25-AH25</f>
        <v/>
      </c>
      <c r="AJ25" s="15">
        <f>'Monthly Plan'!O26</f>
        <v/>
      </c>
      <c r="AK25" s="15">
        <f>SUMPRODUCT((MONTH(Transactions!$B$4:$B$282)=12)*(Transactions!$E$4:$E$282="Retirement Extra")*Transactions!$D$4:$D$282)</f>
        <v/>
      </c>
      <c r="AL25" s="15">
        <f>AJ25-AK25</f>
        <v/>
      </c>
      <c r="AM25" s="13">
        <f>C25+F25+I25+L25+O25+R25+U25+X25+AA25+AD25+AG25+AJ25</f>
        <v/>
      </c>
      <c r="AN25" s="13">
        <f>D25+G25+J25+M25+P25+S25+V25+Y25+AB25+AE25+AH25+AK25</f>
        <v/>
      </c>
      <c r="AO25" s="13">
        <f>AM25-AN25</f>
        <v/>
      </c>
    </row>
    <row r="26">
      <c r="B26" s="4" t="inlineStr">
        <is>
          <t>Vacation Fund</t>
        </is>
      </c>
      <c r="C26" s="15">
        <f>'Monthly Plan'!D27</f>
        <v/>
      </c>
      <c r="D26" s="15">
        <f>SUMPRODUCT((MONTH(Transactions!$B$4:$B$282)=1)*(Transactions!$E$4:$E$282="Vacation Fund")*Transactions!$D$4:$D$282)</f>
        <v/>
      </c>
      <c r="E26" s="15">
        <f>C26-D26</f>
        <v/>
      </c>
      <c r="F26" s="15">
        <f>'Monthly Plan'!E27</f>
        <v/>
      </c>
      <c r="G26" s="15">
        <f>SUMPRODUCT((MONTH(Transactions!$B$4:$B$282)=2)*(Transactions!$E$4:$E$282="Vacation Fund")*Transactions!$D$4:$D$282)</f>
        <v/>
      </c>
      <c r="H26" s="15">
        <f>F26-G26</f>
        <v/>
      </c>
      <c r="I26" s="15">
        <f>'Monthly Plan'!F27</f>
        <v/>
      </c>
      <c r="J26" s="15">
        <f>SUMPRODUCT((MONTH(Transactions!$B$4:$B$282)=3)*(Transactions!$E$4:$E$282="Vacation Fund")*Transactions!$D$4:$D$282)</f>
        <v/>
      </c>
      <c r="K26" s="15">
        <f>I26-J26</f>
        <v/>
      </c>
      <c r="L26" s="15">
        <f>'Monthly Plan'!G27</f>
        <v/>
      </c>
      <c r="M26" s="15">
        <f>SUMPRODUCT((MONTH(Transactions!$B$4:$B$282)=4)*(Transactions!$E$4:$E$282="Vacation Fund")*Transactions!$D$4:$D$282)</f>
        <v/>
      </c>
      <c r="N26" s="15">
        <f>L26-M26</f>
        <v/>
      </c>
      <c r="O26" s="15">
        <f>'Monthly Plan'!H27</f>
        <v/>
      </c>
      <c r="P26" s="15">
        <f>SUMPRODUCT((MONTH(Transactions!$B$4:$B$282)=5)*(Transactions!$E$4:$E$282="Vacation Fund")*Transactions!$D$4:$D$282)</f>
        <v/>
      </c>
      <c r="Q26" s="15">
        <f>O26-P26</f>
        <v/>
      </c>
      <c r="R26" s="15">
        <f>'Monthly Plan'!I27</f>
        <v/>
      </c>
      <c r="S26" s="15">
        <f>SUMPRODUCT((MONTH(Transactions!$B$4:$B$282)=6)*(Transactions!$E$4:$E$282="Vacation Fund")*Transactions!$D$4:$D$282)</f>
        <v/>
      </c>
      <c r="T26" s="15">
        <f>R26-S26</f>
        <v/>
      </c>
      <c r="U26" s="15">
        <f>'Monthly Plan'!J27</f>
        <v/>
      </c>
      <c r="V26" s="15">
        <f>SUMPRODUCT((MONTH(Transactions!$B$4:$B$282)=7)*(Transactions!$E$4:$E$282="Vacation Fund")*Transactions!$D$4:$D$282)</f>
        <v/>
      </c>
      <c r="W26" s="15">
        <f>U26-V26</f>
        <v/>
      </c>
      <c r="X26" s="15">
        <f>'Monthly Plan'!K27</f>
        <v/>
      </c>
      <c r="Y26" s="15">
        <f>SUMPRODUCT((MONTH(Transactions!$B$4:$B$282)=8)*(Transactions!$E$4:$E$282="Vacation Fund")*Transactions!$D$4:$D$282)</f>
        <v/>
      </c>
      <c r="Z26" s="15">
        <f>X26-Y26</f>
        <v/>
      </c>
      <c r="AA26" s="15">
        <f>'Monthly Plan'!L27</f>
        <v/>
      </c>
      <c r="AB26" s="15">
        <f>SUMPRODUCT((MONTH(Transactions!$B$4:$B$282)=9)*(Transactions!$E$4:$E$282="Vacation Fund")*Transactions!$D$4:$D$282)</f>
        <v/>
      </c>
      <c r="AC26" s="15">
        <f>AA26-AB26</f>
        <v/>
      </c>
      <c r="AD26" s="15">
        <f>'Monthly Plan'!M27</f>
        <v/>
      </c>
      <c r="AE26" s="15">
        <f>SUMPRODUCT((MONTH(Transactions!$B$4:$B$282)=10)*(Transactions!$E$4:$E$282="Vacation Fund")*Transactions!$D$4:$D$282)</f>
        <v/>
      </c>
      <c r="AF26" s="15">
        <f>AD26-AE26</f>
        <v/>
      </c>
      <c r="AG26" s="15">
        <f>'Monthly Plan'!N27</f>
        <v/>
      </c>
      <c r="AH26" s="15">
        <f>SUMPRODUCT((MONTH(Transactions!$B$4:$B$282)=11)*(Transactions!$E$4:$E$282="Vacation Fund")*Transactions!$D$4:$D$282)</f>
        <v/>
      </c>
      <c r="AI26" s="15">
        <f>AG26-AH26</f>
        <v/>
      </c>
      <c r="AJ26" s="15">
        <f>'Monthly Plan'!O27</f>
        <v/>
      </c>
      <c r="AK26" s="15">
        <f>SUMPRODUCT((MONTH(Transactions!$B$4:$B$282)=12)*(Transactions!$E$4:$E$282="Vacation Fund")*Transactions!$D$4:$D$282)</f>
        <v/>
      </c>
      <c r="AL26" s="15">
        <f>AJ26-AK26</f>
        <v/>
      </c>
      <c r="AM26" s="13">
        <f>C26+F26+I26+L26+O26+R26+U26+X26+AA26+AD26+AG26+AJ26</f>
        <v/>
      </c>
      <c r="AN26" s="13">
        <f>D26+G26+J26+M26+P26+S26+V26+Y26+AB26+AE26+AH26+AK26</f>
        <v/>
      </c>
      <c r="AO26" s="13">
        <f>AM26-AN26</f>
        <v/>
      </c>
    </row>
    <row r="27">
      <c r="B27" s="4" t="inlineStr">
        <is>
          <t>Student Loan</t>
        </is>
      </c>
      <c r="C27" s="15">
        <f>'Monthly Plan'!D28</f>
        <v/>
      </c>
      <c r="D27" s="15">
        <f>SUMPRODUCT((MONTH(Transactions!$B$4:$B$282)=1)*(Transactions!$E$4:$E$282="Student Loan")*Transactions!$D$4:$D$282)</f>
        <v/>
      </c>
      <c r="E27" s="15">
        <f>C27-D27</f>
        <v/>
      </c>
      <c r="F27" s="15">
        <f>'Monthly Plan'!E28</f>
        <v/>
      </c>
      <c r="G27" s="15">
        <f>SUMPRODUCT((MONTH(Transactions!$B$4:$B$282)=2)*(Transactions!$E$4:$E$282="Student Loan")*Transactions!$D$4:$D$282)</f>
        <v/>
      </c>
      <c r="H27" s="15">
        <f>F27-G27</f>
        <v/>
      </c>
      <c r="I27" s="15">
        <f>'Monthly Plan'!F28</f>
        <v/>
      </c>
      <c r="J27" s="15">
        <f>SUMPRODUCT((MONTH(Transactions!$B$4:$B$282)=3)*(Transactions!$E$4:$E$282="Student Loan")*Transactions!$D$4:$D$282)</f>
        <v/>
      </c>
      <c r="K27" s="15">
        <f>I27-J27</f>
        <v/>
      </c>
      <c r="L27" s="15">
        <f>'Monthly Plan'!G28</f>
        <v/>
      </c>
      <c r="M27" s="15">
        <f>SUMPRODUCT((MONTH(Transactions!$B$4:$B$282)=4)*(Transactions!$E$4:$E$282="Student Loan")*Transactions!$D$4:$D$282)</f>
        <v/>
      </c>
      <c r="N27" s="15">
        <f>L27-M27</f>
        <v/>
      </c>
      <c r="O27" s="15">
        <f>'Monthly Plan'!H28</f>
        <v/>
      </c>
      <c r="P27" s="15">
        <f>SUMPRODUCT((MONTH(Transactions!$B$4:$B$282)=5)*(Transactions!$E$4:$E$282="Student Loan")*Transactions!$D$4:$D$282)</f>
        <v/>
      </c>
      <c r="Q27" s="15">
        <f>O27-P27</f>
        <v/>
      </c>
      <c r="R27" s="15">
        <f>'Monthly Plan'!I28</f>
        <v/>
      </c>
      <c r="S27" s="15">
        <f>SUMPRODUCT((MONTH(Transactions!$B$4:$B$282)=6)*(Transactions!$E$4:$E$282="Student Loan")*Transactions!$D$4:$D$282)</f>
        <v/>
      </c>
      <c r="T27" s="15">
        <f>R27-S27</f>
        <v/>
      </c>
      <c r="U27" s="15">
        <f>'Monthly Plan'!J28</f>
        <v/>
      </c>
      <c r="V27" s="15">
        <f>SUMPRODUCT((MONTH(Transactions!$B$4:$B$282)=7)*(Transactions!$E$4:$E$282="Student Loan")*Transactions!$D$4:$D$282)</f>
        <v/>
      </c>
      <c r="W27" s="15">
        <f>U27-V27</f>
        <v/>
      </c>
      <c r="X27" s="15">
        <f>'Monthly Plan'!K28</f>
        <v/>
      </c>
      <c r="Y27" s="15">
        <f>SUMPRODUCT((MONTH(Transactions!$B$4:$B$282)=8)*(Transactions!$E$4:$E$282="Student Loan")*Transactions!$D$4:$D$282)</f>
        <v/>
      </c>
      <c r="Z27" s="15">
        <f>X27-Y27</f>
        <v/>
      </c>
      <c r="AA27" s="15">
        <f>'Monthly Plan'!L28</f>
        <v/>
      </c>
      <c r="AB27" s="15">
        <f>SUMPRODUCT((MONTH(Transactions!$B$4:$B$282)=9)*(Transactions!$E$4:$E$282="Student Loan")*Transactions!$D$4:$D$282)</f>
        <v/>
      </c>
      <c r="AC27" s="15">
        <f>AA27-AB27</f>
        <v/>
      </c>
      <c r="AD27" s="15">
        <f>'Monthly Plan'!M28</f>
        <v/>
      </c>
      <c r="AE27" s="15">
        <f>SUMPRODUCT((MONTH(Transactions!$B$4:$B$282)=10)*(Transactions!$E$4:$E$282="Student Loan")*Transactions!$D$4:$D$282)</f>
        <v/>
      </c>
      <c r="AF27" s="15">
        <f>AD27-AE27</f>
        <v/>
      </c>
      <c r="AG27" s="15">
        <f>'Monthly Plan'!N28</f>
        <v/>
      </c>
      <c r="AH27" s="15">
        <f>SUMPRODUCT((MONTH(Transactions!$B$4:$B$282)=11)*(Transactions!$E$4:$E$282="Student Loan")*Transactions!$D$4:$D$282)</f>
        <v/>
      </c>
      <c r="AI27" s="15">
        <f>AG27-AH27</f>
        <v/>
      </c>
      <c r="AJ27" s="15">
        <f>'Monthly Plan'!O28</f>
        <v/>
      </c>
      <c r="AK27" s="15">
        <f>SUMPRODUCT((MONTH(Transactions!$B$4:$B$282)=12)*(Transactions!$E$4:$E$282="Student Loan")*Transactions!$D$4:$D$282)</f>
        <v/>
      </c>
      <c r="AL27" s="15">
        <f>AJ27-AK27</f>
        <v/>
      </c>
      <c r="AM27" s="13">
        <f>C27+F27+I27+L27+O27+R27+U27+X27+AA27+AD27+AG27+AJ27</f>
        <v/>
      </c>
      <c r="AN27" s="13">
        <f>D27+G27+J27+M27+P27+S27+V27+Y27+AB27+AE27+AH27+AK27</f>
        <v/>
      </c>
      <c r="AO27" s="13">
        <f>AM27-AN27</f>
        <v/>
      </c>
    </row>
    <row r="28">
      <c r="B28" s="4" t="inlineStr">
        <is>
          <t>Credit Card Extra</t>
        </is>
      </c>
      <c r="C28" s="15">
        <f>'Monthly Plan'!D29</f>
        <v/>
      </c>
      <c r="D28" s="15">
        <f>SUMPRODUCT((MONTH(Transactions!$B$4:$B$282)=1)*(Transactions!$E$4:$E$282="Credit Card Extra")*Transactions!$D$4:$D$282)</f>
        <v/>
      </c>
      <c r="E28" s="15">
        <f>C28-D28</f>
        <v/>
      </c>
      <c r="F28" s="15">
        <f>'Monthly Plan'!E29</f>
        <v/>
      </c>
      <c r="G28" s="15">
        <f>SUMPRODUCT((MONTH(Transactions!$B$4:$B$282)=2)*(Transactions!$E$4:$E$282="Credit Card Extra")*Transactions!$D$4:$D$282)</f>
        <v/>
      </c>
      <c r="H28" s="15">
        <f>F28-G28</f>
        <v/>
      </c>
      <c r="I28" s="15">
        <f>'Monthly Plan'!F29</f>
        <v/>
      </c>
      <c r="J28" s="15">
        <f>SUMPRODUCT((MONTH(Transactions!$B$4:$B$282)=3)*(Transactions!$E$4:$E$282="Credit Card Extra")*Transactions!$D$4:$D$282)</f>
        <v/>
      </c>
      <c r="K28" s="15">
        <f>I28-J28</f>
        <v/>
      </c>
      <c r="L28" s="15">
        <f>'Monthly Plan'!G29</f>
        <v/>
      </c>
      <c r="M28" s="15">
        <f>SUMPRODUCT((MONTH(Transactions!$B$4:$B$282)=4)*(Transactions!$E$4:$E$282="Credit Card Extra")*Transactions!$D$4:$D$282)</f>
        <v/>
      </c>
      <c r="N28" s="15">
        <f>L28-M28</f>
        <v/>
      </c>
      <c r="O28" s="15">
        <f>'Monthly Plan'!H29</f>
        <v/>
      </c>
      <c r="P28" s="15">
        <f>SUMPRODUCT((MONTH(Transactions!$B$4:$B$282)=5)*(Transactions!$E$4:$E$282="Credit Card Extra")*Transactions!$D$4:$D$282)</f>
        <v/>
      </c>
      <c r="Q28" s="15">
        <f>O28-P28</f>
        <v/>
      </c>
      <c r="R28" s="15">
        <f>'Monthly Plan'!I29</f>
        <v/>
      </c>
      <c r="S28" s="15">
        <f>SUMPRODUCT((MONTH(Transactions!$B$4:$B$282)=6)*(Transactions!$E$4:$E$282="Credit Card Extra")*Transactions!$D$4:$D$282)</f>
        <v/>
      </c>
      <c r="T28" s="15">
        <f>R28-S28</f>
        <v/>
      </c>
      <c r="U28" s="15">
        <f>'Monthly Plan'!J29</f>
        <v/>
      </c>
      <c r="V28" s="15">
        <f>SUMPRODUCT((MONTH(Transactions!$B$4:$B$282)=7)*(Transactions!$E$4:$E$282="Credit Card Extra")*Transactions!$D$4:$D$282)</f>
        <v/>
      </c>
      <c r="W28" s="15">
        <f>U28-V28</f>
        <v/>
      </c>
      <c r="X28" s="15">
        <f>'Monthly Plan'!K29</f>
        <v/>
      </c>
      <c r="Y28" s="15">
        <f>SUMPRODUCT((MONTH(Transactions!$B$4:$B$282)=8)*(Transactions!$E$4:$E$282="Credit Card Extra")*Transactions!$D$4:$D$282)</f>
        <v/>
      </c>
      <c r="Z28" s="15">
        <f>X28-Y28</f>
        <v/>
      </c>
      <c r="AA28" s="15">
        <f>'Monthly Plan'!L29</f>
        <v/>
      </c>
      <c r="AB28" s="15">
        <f>SUMPRODUCT((MONTH(Transactions!$B$4:$B$282)=9)*(Transactions!$E$4:$E$282="Credit Card Extra")*Transactions!$D$4:$D$282)</f>
        <v/>
      </c>
      <c r="AC28" s="15">
        <f>AA28-AB28</f>
        <v/>
      </c>
      <c r="AD28" s="15">
        <f>'Monthly Plan'!M29</f>
        <v/>
      </c>
      <c r="AE28" s="15">
        <f>SUMPRODUCT((MONTH(Transactions!$B$4:$B$282)=10)*(Transactions!$E$4:$E$282="Credit Card Extra")*Transactions!$D$4:$D$282)</f>
        <v/>
      </c>
      <c r="AF28" s="15">
        <f>AD28-AE28</f>
        <v/>
      </c>
      <c r="AG28" s="15">
        <f>'Monthly Plan'!N29</f>
        <v/>
      </c>
      <c r="AH28" s="15">
        <f>SUMPRODUCT((MONTH(Transactions!$B$4:$B$282)=11)*(Transactions!$E$4:$E$282="Credit Card Extra")*Transactions!$D$4:$D$282)</f>
        <v/>
      </c>
      <c r="AI28" s="15">
        <f>AG28-AH28</f>
        <v/>
      </c>
      <c r="AJ28" s="15">
        <f>'Monthly Plan'!O29</f>
        <v/>
      </c>
      <c r="AK28" s="15">
        <f>SUMPRODUCT((MONTH(Transactions!$B$4:$B$282)=12)*(Transactions!$E$4:$E$282="Credit Card Extra")*Transactions!$D$4:$D$282)</f>
        <v/>
      </c>
      <c r="AL28" s="15">
        <f>AJ28-AK28</f>
        <v/>
      </c>
      <c r="AM28" s="13">
        <f>C28+F28+I28+L28+O28+R28+U28+X28+AA28+AD28+AG28+AJ28</f>
        <v/>
      </c>
      <c r="AN28" s="13">
        <f>D28+G28+J28+M28+P28+S28+V28+Y28+AB28+AE28+AH28+AK28</f>
        <v/>
      </c>
      <c r="AO28" s="13">
        <f>AM28-AN28</f>
        <v/>
      </c>
    </row>
  </sheetData>
  <conditionalFormatting sqref="E4:E28">
    <cfRule type="cellIs" priority="1" operator="lessThan" dxfId="2">
      <formula>0</formula>
    </cfRule>
    <cfRule type="cellIs" priority="2" operator="greaterThan" dxfId="3">
      <formula>0</formula>
    </cfRule>
  </conditionalFormatting>
  <conditionalFormatting sqref="H4:H28">
    <cfRule type="cellIs" priority="3" operator="lessThan" dxfId="2">
      <formula>0</formula>
    </cfRule>
    <cfRule type="cellIs" priority="4" operator="greaterThan" dxfId="3">
      <formula>0</formula>
    </cfRule>
  </conditionalFormatting>
  <conditionalFormatting sqref="K4:K28">
    <cfRule type="cellIs" priority="5" operator="lessThan" dxfId="2">
      <formula>0</formula>
    </cfRule>
    <cfRule type="cellIs" priority="6" operator="greaterThan" dxfId="3">
      <formula>0</formula>
    </cfRule>
  </conditionalFormatting>
  <conditionalFormatting sqref="N4:N28">
    <cfRule type="cellIs" priority="7" operator="lessThan" dxfId="2">
      <formula>0</formula>
    </cfRule>
    <cfRule type="cellIs" priority="8" operator="greaterThan" dxfId="3">
      <formula>0</formula>
    </cfRule>
  </conditionalFormatting>
  <conditionalFormatting sqref="Q4:Q28">
    <cfRule type="cellIs" priority="9" operator="lessThan" dxfId="2">
      <formula>0</formula>
    </cfRule>
    <cfRule type="cellIs" priority="10" operator="greaterThan" dxfId="3">
      <formula>0</formula>
    </cfRule>
  </conditionalFormatting>
  <conditionalFormatting sqref="T4:T28">
    <cfRule type="cellIs" priority="11" operator="lessThan" dxfId="2">
      <formula>0</formula>
    </cfRule>
    <cfRule type="cellIs" priority="12" operator="greaterThan" dxfId="3">
      <formula>0</formula>
    </cfRule>
  </conditionalFormatting>
  <conditionalFormatting sqref="W4:W28">
    <cfRule type="cellIs" priority="13" operator="lessThan" dxfId="2">
      <formula>0</formula>
    </cfRule>
    <cfRule type="cellIs" priority="14" operator="greaterThan" dxfId="3">
      <formula>0</formula>
    </cfRule>
  </conditionalFormatting>
  <conditionalFormatting sqref="Z4:Z28">
    <cfRule type="cellIs" priority="15" operator="lessThan" dxfId="2">
      <formula>0</formula>
    </cfRule>
    <cfRule type="cellIs" priority="16" operator="greaterThan" dxfId="3">
      <formula>0</formula>
    </cfRule>
  </conditionalFormatting>
  <conditionalFormatting sqref="AC4:AC28">
    <cfRule type="cellIs" priority="17" operator="lessThan" dxfId="2">
      <formula>0</formula>
    </cfRule>
    <cfRule type="cellIs" priority="18" operator="greaterThan" dxfId="3">
      <formula>0</formula>
    </cfRule>
  </conditionalFormatting>
  <conditionalFormatting sqref="AF4:AF28">
    <cfRule type="cellIs" priority="19" operator="lessThan" dxfId="2">
      <formula>0</formula>
    </cfRule>
    <cfRule type="cellIs" priority="20" operator="greaterThan" dxfId="3">
      <formula>0</formula>
    </cfRule>
  </conditionalFormatting>
  <conditionalFormatting sqref="AI4:AI28">
    <cfRule type="cellIs" priority="21" operator="lessThan" dxfId="2">
      <formula>0</formula>
    </cfRule>
    <cfRule type="cellIs" priority="22" operator="greaterThan" dxfId="3">
      <formula>0</formula>
    </cfRule>
  </conditionalFormatting>
  <conditionalFormatting sqref="AL4:AL28">
    <cfRule type="cellIs" priority="23" operator="lessThan" dxfId="2">
      <formula>0</formula>
    </cfRule>
    <cfRule type="cellIs" priority="24" operator="greaterThan" dxfId="3">
      <formula>0</formula>
    </cfRule>
  </conditionalFormatting>
  <conditionalFormatting sqref="AO4:AO28">
    <cfRule type="cellIs" priority="25" operator="lessThan" dxfId="2">
      <formula>0</formula>
    </cfRule>
    <cfRule type="cellIs" priority="26" operator="greaterThan" dxfId="3">
      <formula>0</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41"/>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row r="2">
      <c r="B2" s="1" t="inlineStr">
        <is>
          <t>12-Month Trends</t>
        </is>
      </c>
      <c r="C2" s="2" t="n"/>
      <c r="D2" s="2" t="n"/>
      <c r="E2" s="2" t="n"/>
      <c r="F2" s="2" t="n"/>
      <c r="G2" s="2" t="n"/>
      <c r="H2" s="2" t="n"/>
      <c r="I2" s="2" t="n"/>
      <c r="J2" s="2" t="n"/>
      <c r="K2" s="2" t="n"/>
      <c r="L2" s="2" t="n"/>
      <c r="M2" s="2" t="n"/>
      <c r="N2" s="2" t="n"/>
    </row>
    <row r="3">
      <c r="B3" s="3" t="inlineStr">
        <is>
          <t>Month</t>
        </is>
      </c>
      <c r="C3" s="3" t="inlineStr">
        <is>
          <t>Total Income</t>
        </is>
      </c>
      <c r="D3" s="3" t="inlineStr">
        <is>
          <t>Total Spent</t>
        </is>
      </c>
      <c r="E3" s="3" t="inlineStr">
        <is>
          <t>Surplus / Deficit</t>
        </is>
      </c>
      <c r="F3" s="3" t="inlineStr">
        <is>
          <t>Rolling 3-Mo Avg Spend</t>
        </is>
      </c>
      <c r="G3" s="2" t="n"/>
      <c r="H3" s="2" t="n"/>
      <c r="I3" s="2" t="n"/>
      <c r="J3" s="2" t="n"/>
      <c r="K3" s="2" t="n"/>
      <c r="L3" s="2" t="n"/>
      <c r="M3" s="2" t="n"/>
      <c r="N3" s="2" t="n"/>
    </row>
    <row r="4">
      <c r="B4" s="4" t="inlineStr">
        <is>
          <t>Jan</t>
        </is>
      </c>
      <c r="C4" s="13">
        <f>'Monthly Plan'!D4</f>
        <v/>
      </c>
      <c r="D4" s="13">
        <f>SUMPRODUCT((MONTH(Transactions!$B$4:$B$282)=1)*Transactions!$D$4:$D$282)</f>
        <v/>
      </c>
      <c r="E4" s="13">
        <f>C4-D4</f>
        <v/>
      </c>
      <c r="F4" s="13">
        <f>IFERROR(AVERAGE(D4:D4),0)</f>
        <v/>
      </c>
      <c r="G4" s="2" t="n"/>
      <c r="H4" s="2" t="n"/>
      <c r="I4" s="2" t="n"/>
      <c r="J4" s="2" t="n"/>
      <c r="K4" s="2" t="n"/>
      <c r="L4" s="2" t="n"/>
      <c r="M4" s="2" t="n"/>
      <c r="N4" s="2" t="n"/>
    </row>
    <row r="5">
      <c r="B5" s="4" t="inlineStr">
        <is>
          <t>Feb</t>
        </is>
      </c>
      <c r="C5" s="13">
        <f>'Monthly Plan'!E4</f>
        <v/>
      </c>
      <c r="D5" s="13">
        <f>SUMPRODUCT((MONTH(Transactions!$B$4:$B$282)=2)*Transactions!$D$4:$D$282)</f>
        <v/>
      </c>
      <c r="E5" s="13">
        <f>C5-D5</f>
        <v/>
      </c>
      <c r="F5" s="13">
        <f>IFERROR(AVERAGE(D4:D5),0)</f>
        <v/>
      </c>
      <c r="G5" s="2" t="n"/>
      <c r="H5" s="2" t="n"/>
      <c r="I5" s="2" t="n"/>
      <c r="J5" s="2" t="n"/>
      <c r="K5" s="2" t="n"/>
      <c r="L5" s="2" t="n"/>
      <c r="M5" s="2" t="n"/>
      <c r="N5" s="2" t="n"/>
    </row>
    <row r="6">
      <c r="B6" s="4" t="inlineStr">
        <is>
          <t>Mar</t>
        </is>
      </c>
      <c r="C6" s="13">
        <f>'Monthly Plan'!F4</f>
        <v/>
      </c>
      <c r="D6" s="13">
        <f>SUMPRODUCT((MONTH(Transactions!$B$4:$B$282)=3)*Transactions!$D$4:$D$282)</f>
        <v/>
      </c>
      <c r="E6" s="13">
        <f>C6-D6</f>
        <v/>
      </c>
      <c r="F6" s="13">
        <f>AVERAGE(D4:D6)</f>
        <v/>
      </c>
      <c r="G6" s="2" t="n"/>
      <c r="H6" s="2" t="n"/>
      <c r="I6" s="2" t="n"/>
      <c r="J6" s="2" t="n"/>
      <c r="K6" s="2" t="n"/>
      <c r="L6" s="2" t="n"/>
      <c r="M6" s="2" t="n"/>
      <c r="N6" s="2" t="n"/>
    </row>
    <row r="7">
      <c r="B7" s="4" t="inlineStr">
        <is>
          <t>Apr</t>
        </is>
      </c>
      <c r="C7" s="13">
        <f>'Monthly Plan'!G4</f>
        <v/>
      </c>
      <c r="D7" s="13">
        <f>SUMPRODUCT((MONTH(Transactions!$B$4:$B$282)=4)*Transactions!$D$4:$D$282)</f>
        <v/>
      </c>
      <c r="E7" s="13">
        <f>C7-D7</f>
        <v/>
      </c>
      <c r="F7" s="13">
        <f>AVERAGE(D5:D7)</f>
        <v/>
      </c>
      <c r="G7" s="2" t="n"/>
      <c r="H7" s="2" t="n"/>
      <c r="I7" s="2" t="n"/>
      <c r="J7" s="2" t="n"/>
      <c r="K7" s="2" t="n"/>
      <c r="L7" s="2" t="n"/>
      <c r="M7" s="2" t="n"/>
      <c r="N7" s="2" t="n"/>
    </row>
    <row r="8">
      <c r="B8" s="4" t="inlineStr">
        <is>
          <t>May</t>
        </is>
      </c>
      <c r="C8" s="13">
        <f>'Monthly Plan'!H4</f>
        <v/>
      </c>
      <c r="D8" s="13">
        <f>SUMPRODUCT((MONTH(Transactions!$B$4:$B$282)=5)*Transactions!$D$4:$D$282)</f>
        <v/>
      </c>
      <c r="E8" s="13">
        <f>C8-D8</f>
        <v/>
      </c>
      <c r="F8" s="13">
        <f>AVERAGE(D6:D8)</f>
        <v/>
      </c>
      <c r="G8" s="2" t="n"/>
      <c r="H8" s="2" t="n"/>
      <c r="I8" s="2" t="n"/>
      <c r="J8" s="2" t="n"/>
      <c r="K8" s="2" t="n"/>
      <c r="L8" s="2" t="n"/>
      <c r="M8" s="2" t="n"/>
      <c r="N8" s="2" t="n"/>
    </row>
    <row r="9">
      <c r="B9" s="4" t="inlineStr">
        <is>
          <t>Jun</t>
        </is>
      </c>
      <c r="C9" s="13">
        <f>'Monthly Plan'!I4</f>
        <v/>
      </c>
      <c r="D9" s="13">
        <f>SUMPRODUCT((MONTH(Transactions!$B$4:$B$282)=6)*Transactions!$D$4:$D$282)</f>
        <v/>
      </c>
      <c r="E9" s="13">
        <f>C9-D9</f>
        <v/>
      </c>
      <c r="F9" s="13">
        <f>AVERAGE(D7:D9)</f>
        <v/>
      </c>
      <c r="G9" s="2" t="n"/>
      <c r="H9" s="2" t="n"/>
      <c r="I9" s="2" t="n"/>
      <c r="J9" s="2" t="n"/>
      <c r="K9" s="2" t="n"/>
      <c r="L9" s="2" t="n"/>
      <c r="M9" s="2" t="n"/>
      <c r="N9" s="2" t="n"/>
    </row>
    <row r="10">
      <c r="B10" s="4" t="inlineStr">
        <is>
          <t>Jul</t>
        </is>
      </c>
      <c r="C10" s="13">
        <f>'Monthly Plan'!J4</f>
        <v/>
      </c>
      <c r="D10" s="13">
        <f>SUMPRODUCT((MONTH(Transactions!$B$4:$B$282)=7)*Transactions!$D$4:$D$282)</f>
        <v/>
      </c>
      <c r="E10" s="13">
        <f>C10-D10</f>
        <v/>
      </c>
      <c r="F10" s="13">
        <f>AVERAGE(D8:D10)</f>
        <v/>
      </c>
      <c r="G10" s="2" t="n"/>
      <c r="H10" s="2" t="n"/>
      <c r="I10" s="2" t="n"/>
      <c r="J10" s="2" t="n"/>
      <c r="K10" s="2" t="n"/>
      <c r="L10" s="2" t="n"/>
      <c r="M10" s="2" t="n"/>
      <c r="N10" s="2" t="n"/>
    </row>
    <row r="11">
      <c r="B11" s="4" t="inlineStr">
        <is>
          <t>Aug</t>
        </is>
      </c>
      <c r="C11" s="13">
        <f>'Monthly Plan'!K4</f>
        <v/>
      </c>
      <c r="D11" s="13">
        <f>SUMPRODUCT((MONTH(Transactions!$B$4:$B$282)=8)*Transactions!$D$4:$D$282)</f>
        <v/>
      </c>
      <c r="E11" s="13">
        <f>C11-D11</f>
        <v/>
      </c>
      <c r="F11" s="13">
        <f>AVERAGE(D9:D11)</f>
        <v/>
      </c>
      <c r="G11" s="2" t="n"/>
      <c r="H11" s="2" t="n"/>
      <c r="I11" s="2" t="n"/>
      <c r="J11" s="2" t="n"/>
      <c r="K11" s="2" t="n"/>
      <c r="L11" s="2" t="n"/>
      <c r="M11" s="2" t="n"/>
      <c r="N11" s="2" t="n"/>
    </row>
    <row r="12">
      <c r="B12" s="4" t="inlineStr">
        <is>
          <t>Sep</t>
        </is>
      </c>
      <c r="C12" s="13">
        <f>'Monthly Plan'!L4</f>
        <v/>
      </c>
      <c r="D12" s="13">
        <f>SUMPRODUCT((MONTH(Transactions!$B$4:$B$282)=9)*Transactions!$D$4:$D$282)</f>
        <v/>
      </c>
      <c r="E12" s="13">
        <f>C12-D12</f>
        <v/>
      </c>
      <c r="F12" s="13">
        <f>AVERAGE(D10:D12)</f>
        <v/>
      </c>
      <c r="G12" s="2" t="n"/>
      <c r="H12" s="2" t="n"/>
      <c r="I12" s="2" t="n"/>
      <c r="J12" s="2" t="n"/>
      <c r="K12" s="2" t="n"/>
      <c r="L12" s="2" t="n"/>
      <c r="M12" s="2" t="n"/>
      <c r="N12" s="2" t="n"/>
    </row>
    <row r="13">
      <c r="B13" s="4" t="inlineStr">
        <is>
          <t>Oct</t>
        </is>
      </c>
      <c r="C13" s="13">
        <f>'Monthly Plan'!M4</f>
        <v/>
      </c>
      <c r="D13" s="13">
        <f>SUMPRODUCT((MONTH(Transactions!$B$4:$B$282)=10)*Transactions!$D$4:$D$282)</f>
        <v/>
      </c>
      <c r="E13" s="13">
        <f>C13-D13</f>
        <v/>
      </c>
      <c r="F13" s="13">
        <f>AVERAGE(D11:D13)</f>
        <v/>
      </c>
      <c r="G13" s="2" t="n"/>
      <c r="H13" s="2" t="n"/>
      <c r="I13" s="2" t="n"/>
      <c r="J13" s="2" t="n"/>
      <c r="K13" s="2" t="n"/>
      <c r="L13" s="2" t="n"/>
      <c r="M13" s="2" t="n"/>
      <c r="N13" s="2" t="n"/>
    </row>
    <row r="14">
      <c r="B14" s="4" t="inlineStr">
        <is>
          <t>Nov</t>
        </is>
      </c>
      <c r="C14" s="13">
        <f>'Monthly Plan'!N4</f>
        <v/>
      </c>
      <c r="D14" s="13">
        <f>SUMPRODUCT((MONTH(Transactions!$B$4:$B$282)=11)*Transactions!$D$4:$D$282)</f>
        <v/>
      </c>
      <c r="E14" s="13">
        <f>C14-D14</f>
        <v/>
      </c>
      <c r="F14" s="13">
        <f>AVERAGE(D12:D14)</f>
        <v/>
      </c>
      <c r="G14" s="2" t="n"/>
      <c r="H14" s="2" t="n"/>
      <c r="I14" s="2" t="n"/>
      <c r="J14" s="2" t="n"/>
      <c r="K14" s="2" t="n"/>
      <c r="L14" s="2" t="n"/>
      <c r="M14" s="2" t="n"/>
      <c r="N14" s="2" t="n"/>
    </row>
    <row r="15">
      <c r="B15" s="4" t="inlineStr">
        <is>
          <t>Dec</t>
        </is>
      </c>
      <c r="C15" s="13">
        <f>'Monthly Plan'!O4</f>
        <v/>
      </c>
      <c r="D15" s="13">
        <f>SUMPRODUCT((MONTH(Transactions!$B$4:$B$282)=12)*Transactions!$D$4:$D$282)</f>
        <v/>
      </c>
      <c r="E15" s="13">
        <f>C15-D15</f>
        <v/>
      </c>
      <c r="F15" s="13">
        <f>AVERAGE(D13:D15)</f>
        <v/>
      </c>
      <c r="G15" s="2" t="n"/>
      <c r="H15" s="2" t="n"/>
      <c r="I15" s="2" t="n"/>
      <c r="J15" s="2" t="n"/>
      <c r="K15" s="2" t="n"/>
      <c r="L15" s="2" t="n"/>
      <c r="M15" s="2" t="n"/>
      <c r="N15" s="2" t="n"/>
    </row>
    <row r="16">
      <c r="B16" s="2" t="n"/>
      <c r="C16" s="2" t="n"/>
      <c r="D16" s="2" t="n"/>
      <c r="E16" s="2" t="n"/>
      <c r="F16" s="2" t="n"/>
      <c r="G16" s="2" t="n"/>
      <c r="H16" s="2" t="n"/>
      <c r="I16" s="2" t="n"/>
      <c r="J16" s="2" t="n"/>
      <c r="K16" s="2" t="n"/>
      <c r="L16" s="2" t="n"/>
      <c r="M16" s="2" t="n"/>
      <c r="N16" s="2" t="n"/>
    </row>
    <row r="17">
      <c r="B17" s="2" t="n"/>
      <c r="C17" s="2" t="n"/>
      <c r="D17" s="2" t="n"/>
      <c r="E17" s="2" t="n"/>
      <c r="F17" s="2" t="n"/>
      <c r="G17" s="2" t="n"/>
      <c r="H17" s="2" t="n"/>
      <c r="I17" s="2" t="n"/>
      <c r="J17" s="2" t="n"/>
      <c r="K17" s="2" t="n"/>
      <c r="L17" s="2" t="n"/>
      <c r="M17" s="2" t="n"/>
      <c r="N17" s="2" t="n"/>
    </row>
    <row r="18">
      <c r="B18" s="2" t="n"/>
      <c r="C18" s="2" t="n"/>
      <c r="D18" s="2" t="n"/>
      <c r="E18" s="2" t="n"/>
      <c r="F18" s="2" t="n"/>
      <c r="G18" s="2" t="n"/>
      <c r="H18" s="2" t="n"/>
      <c r="I18" s="2" t="n"/>
      <c r="J18" s="2" t="n"/>
      <c r="K18" s="2" t="n"/>
      <c r="L18" s="2" t="n"/>
      <c r="M18" s="2" t="n"/>
      <c r="N18" s="2" t="n"/>
    </row>
    <row r="19">
      <c r="B19" s="2" t="n"/>
      <c r="C19" s="2" t="n"/>
      <c r="D19" s="2" t="n"/>
      <c r="E19" s="2" t="n"/>
      <c r="F19" s="2" t="n"/>
      <c r="G19" s="2" t="n"/>
      <c r="H19" s="2" t="n"/>
      <c r="I19" s="2" t="n"/>
      <c r="J19" s="2" t="n"/>
      <c r="K19" s="2" t="n"/>
      <c r="L19" s="2" t="n"/>
      <c r="M19" s="2" t="n"/>
      <c r="N19" s="2" t="n"/>
    </row>
    <row r="20">
      <c r="B20" s="2" t="n"/>
      <c r="C20" s="2" t="n"/>
      <c r="D20" s="2" t="n"/>
      <c r="E20" s="2" t="n"/>
      <c r="F20" s="2" t="n"/>
      <c r="G20" s="2" t="n"/>
      <c r="H20" s="2" t="n"/>
      <c r="I20" s="2" t="n"/>
      <c r="J20" s="2" t="n"/>
      <c r="K20" s="2" t="n"/>
      <c r="L20" s="2" t="n"/>
      <c r="M20" s="2" t="n"/>
      <c r="N20" s="2" t="n"/>
    </row>
    <row r="21">
      <c r="B21" s="2" t="n"/>
      <c r="C21" s="2" t="n"/>
      <c r="D21" s="2" t="n"/>
      <c r="E21" s="2" t="n"/>
      <c r="F21" s="2" t="n"/>
      <c r="G21" s="2" t="n"/>
      <c r="H21" s="2" t="n"/>
      <c r="I21" s="2" t="n"/>
      <c r="J21" s="2" t="n"/>
      <c r="K21" s="2" t="n"/>
      <c r="L21" s="2" t="n"/>
      <c r="M21" s="2" t="n"/>
      <c r="N21" s="2" t="n"/>
    </row>
    <row r="22">
      <c r="B22" s="2" t="n"/>
      <c r="C22" s="2" t="n"/>
      <c r="D22" s="2" t="n"/>
      <c r="E22" s="2" t="n"/>
      <c r="F22" s="2" t="n"/>
      <c r="G22" s="2" t="n"/>
      <c r="H22" s="2" t="n"/>
      <c r="I22" s="2" t="n"/>
      <c r="J22" s="2" t="n"/>
      <c r="K22" s="2" t="n"/>
      <c r="L22" s="2" t="n"/>
      <c r="M22" s="2" t="n"/>
      <c r="N22" s="2" t="n"/>
    </row>
    <row r="23">
      <c r="B23" s="2" t="n"/>
      <c r="C23" s="2" t="n"/>
      <c r="D23" s="2" t="n"/>
      <c r="E23" s="2" t="n"/>
      <c r="F23" s="2" t="n"/>
      <c r="G23" s="2" t="n"/>
      <c r="H23" s="2" t="n"/>
      <c r="I23" s="2" t="n"/>
      <c r="J23" s="2" t="n"/>
      <c r="K23" s="2" t="n"/>
      <c r="L23" s="2" t="n"/>
      <c r="M23" s="2" t="n"/>
      <c r="N23" s="2" t="n"/>
    </row>
    <row r="24">
      <c r="B24" s="2" t="n"/>
      <c r="C24" s="2" t="n"/>
      <c r="D24" s="2" t="n"/>
      <c r="E24" s="2" t="n"/>
      <c r="F24" s="2" t="n"/>
      <c r="G24" s="2" t="n"/>
      <c r="H24" s="2" t="n"/>
      <c r="I24" s="2" t="n"/>
      <c r="J24" s="2" t="n"/>
      <c r="K24" s="2" t="n"/>
      <c r="L24" s="2" t="n"/>
      <c r="M24" s="2" t="n"/>
      <c r="N24" s="2" t="n"/>
    </row>
    <row r="25">
      <c r="B25" s="2" t="n"/>
      <c r="C25" s="2" t="n"/>
      <c r="D25" s="2" t="n"/>
      <c r="E25" s="2" t="n"/>
      <c r="F25" s="2" t="n"/>
      <c r="G25" s="2" t="n"/>
      <c r="H25" s="2" t="n"/>
      <c r="I25" s="2" t="n"/>
      <c r="J25" s="2" t="n"/>
      <c r="K25" s="2" t="n"/>
      <c r="L25" s="2" t="n"/>
      <c r="M25" s="2" t="n"/>
      <c r="N25" s="2" t="n"/>
    </row>
    <row r="26">
      <c r="B26" s="2" t="n"/>
      <c r="C26" s="2" t="n"/>
      <c r="D26" s="2" t="n"/>
      <c r="E26" s="2" t="n"/>
      <c r="F26" s="2" t="n"/>
      <c r="G26" s="2" t="n"/>
      <c r="H26" s="2" t="n"/>
      <c r="I26" s="2" t="n"/>
      <c r="J26" s="2" t="n"/>
      <c r="K26" s="2" t="n"/>
      <c r="L26" s="2" t="n"/>
      <c r="M26" s="2" t="n"/>
      <c r="N26" s="2" t="n"/>
    </row>
    <row r="27">
      <c r="B27" s="2" t="n"/>
      <c r="C27" s="2" t="n"/>
      <c r="D27" s="2" t="n"/>
      <c r="E27" s="2" t="n"/>
      <c r="F27" s="2" t="n"/>
      <c r="G27" s="2" t="n"/>
      <c r="H27" s="2" t="n"/>
      <c r="I27" s="2" t="n"/>
      <c r="J27" s="2" t="n"/>
      <c r="K27" s="2" t="n"/>
      <c r="L27" s="2" t="n"/>
      <c r="M27" s="2" t="n"/>
      <c r="N27" s="2" t="n"/>
    </row>
    <row r="28">
      <c r="B28" s="2" t="n"/>
      <c r="C28" s="2" t="n"/>
      <c r="D28" s="2" t="n"/>
      <c r="E28" s="2" t="n"/>
      <c r="F28" s="2" t="n"/>
      <c r="G28" s="2" t="n"/>
      <c r="H28" s="2" t="n"/>
      <c r="I28" s="2" t="n"/>
      <c r="J28" s="2" t="n"/>
      <c r="K28" s="2" t="n"/>
      <c r="L28" s="2" t="n"/>
      <c r="M28" s="2" t="n"/>
      <c r="N28" s="2" t="n"/>
    </row>
    <row r="29">
      <c r="B29" s="2" t="n"/>
      <c r="C29" s="2" t="n"/>
      <c r="D29" s="2" t="n"/>
      <c r="E29" s="2" t="n"/>
      <c r="F29" s="2" t="n"/>
      <c r="G29" s="2" t="n"/>
      <c r="H29" s="2" t="n"/>
      <c r="I29" s="2" t="n"/>
      <c r="J29" s="2" t="n"/>
      <c r="K29" s="2" t="n"/>
      <c r="L29" s="2" t="n"/>
      <c r="M29" s="2" t="n"/>
      <c r="N29" s="2" t="n"/>
    </row>
    <row r="30">
      <c r="B30" s="2" t="n"/>
      <c r="C30" s="2" t="n"/>
      <c r="D30" s="2" t="n"/>
      <c r="E30" s="2" t="n"/>
      <c r="F30" s="2" t="n"/>
      <c r="G30" s="2" t="n"/>
      <c r="H30" s="2" t="n"/>
      <c r="I30" s="2" t="n"/>
      <c r="J30" s="2" t="n"/>
      <c r="K30" s="2" t="n"/>
      <c r="L30" s="2" t="n"/>
      <c r="M30" s="2" t="n"/>
      <c r="N30" s="2" t="n"/>
    </row>
    <row r="31">
      <c r="B31" s="2" t="n"/>
      <c r="C31" s="2" t="n"/>
      <c r="D31" s="2" t="n"/>
      <c r="E31" s="2" t="n"/>
      <c r="F31" s="2" t="n"/>
      <c r="G31" s="2" t="n"/>
      <c r="H31" s="2" t="n"/>
      <c r="I31" s="2" t="n"/>
      <c r="J31" s="2" t="n"/>
      <c r="K31" s="2" t="n"/>
      <c r="L31" s="2" t="n"/>
      <c r="M31" s="2" t="n"/>
      <c r="N31" s="2" t="n"/>
    </row>
    <row r="32">
      <c r="B32" s="2" t="n"/>
      <c r="C32" s="2" t="n"/>
      <c r="D32" s="2" t="n"/>
      <c r="E32" s="2" t="n"/>
      <c r="F32" s="2" t="n"/>
      <c r="G32" s="2" t="n"/>
      <c r="H32" s="2" t="n"/>
      <c r="I32" s="2" t="n"/>
      <c r="J32" s="2" t="n"/>
      <c r="K32" s="2" t="n"/>
      <c r="L32" s="2" t="n"/>
      <c r="M32" s="2" t="n"/>
      <c r="N32" s="2" t="n"/>
    </row>
    <row r="33">
      <c r="B33" s="2" t="n"/>
      <c r="C33" s="2" t="n"/>
      <c r="D33" s="2" t="n"/>
      <c r="E33" s="2" t="n"/>
      <c r="F33" s="2" t="n"/>
      <c r="G33" s="2" t="n"/>
      <c r="H33" s="2" t="n"/>
      <c r="I33" s="2" t="n"/>
      <c r="J33" s="2" t="n"/>
      <c r="K33" s="2" t="n"/>
      <c r="L33" s="2" t="n"/>
      <c r="M33" s="2" t="n"/>
      <c r="N33" s="2" t="n"/>
    </row>
    <row r="34">
      <c r="B34" s="16" t="inlineStr">
        <is>
          <t>Top 6 Categories by Annual Spend</t>
        </is>
      </c>
      <c r="C34" s="2" t="n"/>
      <c r="D34" s="2" t="n"/>
      <c r="E34" s="2" t="n"/>
      <c r="F34" s="2" t="n"/>
      <c r="G34" s="2" t="n"/>
      <c r="H34" s="2" t="n"/>
      <c r="I34" s="2" t="n"/>
      <c r="J34" s="2" t="n"/>
      <c r="K34" s="2" t="n"/>
      <c r="L34" s="2" t="n"/>
      <c r="M34" s="2" t="n"/>
      <c r="N34" s="2" t="n"/>
    </row>
    <row r="35">
      <c r="B35" s="3" t="inlineStr">
        <is>
          <t>Category</t>
        </is>
      </c>
      <c r="C35" s="3" t="inlineStr">
        <is>
          <t>Jan</t>
        </is>
      </c>
      <c r="D35" s="3" t="inlineStr">
        <is>
          <t>Feb</t>
        </is>
      </c>
      <c r="E35" s="3" t="inlineStr">
        <is>
          <t>Mar</t>
        </is>
      </c>
      <c r="F35" s="3" t="inlineStr">
        <is>
          <t>Apr</t>
        </is>
      </c>
      <c r="G35" s="3" t="inlineStr">
        <is>
          <t>May</t>
        </is>
      </c>
      <c r="H35" s="3" t="inlineStr">
        <is>
          <t>Jun</t>
        </is>
      </c>
      <c r="I35" s="3" t="inlineStr">
        <is>
          <t>Jul</t>
        </is>
      </c>
      <c r="J35" s="3" t="inlineStr">
        <is>
          <t>Aug</t>
        </is>
      </c>
      <c r="K35" s="3" t="inlineStr">
        <is>
          <t>Sep</t>
        </is>
      </c>
      <c r="L35" s="3" t="inlineStr">
        <is>
          <t>Oct</t>
        </is>
      </c>
      <c r="M35" s="3" t="inlineStr">
        <is>
          <t>Nov</t>
        </is>
      </c>
      <c r="N35" s="3" t="inlineStr">
        <is>
          <t>Dec</t>
        </is>
      </c>
    </row>
    <row r="36">
      <c r="B36" s="4" t="inlineStr">
        <is>
          <t>Rent/Mortgage</t>
        </is>
      </c>
      <c r="C36" s="13">
        <f>SUMPRODUCT((MONTH(Transactions!$B$4:$B$282)=1)*(Transactions!$E$4:$E$282="Rent/Mortgage")*Transactions!$D$4:$D$282)</f>
        <v/>
      </c>
      <c r="D36" s="13">
        <f>SUMPRODUCT((MONTH(Transactions!$B$4:$B$282)=2)*(Transactions!$E$4:$E$282="Rent/Mortgage")*Transactions!$D$4:$D$282)</f>
        <v/>
      </c>
      <c r="E36" s="13">
        <f>SUMPRODUCT((MONTH(Transactions!$B$4:$B$282)=3)*(Transactions!$E$4:$E$282="Rent/Mortgage")*Transactions!$D$4:$D$282)</f>
        <v/>
      </c>
      <c r="F36" s="13">
        <f>SUMPRODUCT((MONTH(Transactions!$B$4:$B$282)=4)*(Transactions!$E$4:$E$282="Rent/Mortgage")*Transactions!$D$4:$D$282)</f>
        <v/>
      </c>
      <c r="G36" s="13">
        <f>SUMPRODUCT((MONTH(Transactions!$B$4:$B$282)=5)*(Transactions!$E$4:$E$282="Rent/Mortgage")*Transactions!$D$4:$D$282)</f>
        <v/>
      </c>
      <c r="H36" s="13">
        <f>SUMPRODUCT((MONTH(Transactions!$B$4:$B$282)=6)*(Transactions!$E$4:$E$282="Rent/Mortgage")*Transactions!$D$4:$D$282)</f>
        <v/>
      </c>
      <c r="I36" s="13">
        <f>SUMPRODUCT((MONTH(Transactions!$B$4:$B$282)=7)*(Transactions!$E$4:$E$282="Rent/Mortgage")*Transactions!$D$4:$D$282)</f>
        <v/>
      </c>
      <c r="J36" s="13">
        <f>SUMPRODUCT((MONTH(Transactions!$B$4:$B$282)=8)*(Transactions!$E$4:$E$282="Rent/Mortgage")*Transactions!$D$4:$D$282)</f>
        <v/>
      </c>
      <c r="K36" s="13">
        <f>SUMPRODUCT((MONTH(Transactions!$B$4:$B$282)=9)*(Transactions!$E$4:$E$282="Rent/Mortgage")*Transactions!$D$4:$D$282)</f>
        <v/>
      </c>
      <c r="L36" s="13">
        <f>SUMPRODUCT((MONTH(Transactions!$B$4:$B$282)=10)*(Transactions!$E$4:$E$282="Rent/Mortgage")*Transactions!$D$4:$D$282)</f>
        <v/>
      </c>
      <c r="M36" s="13">
        <f>SUMPRODUCT((MONTH(Transactions!$B$4:$B$282)=11)*(Transactions!$E$4:$E$282="Rent/Mortgage")*Transactions!$D$4:$D$282)</f>
        <v/>
      </c>
      <c r="N36" s="13">
        <f>SUMPRODUCT((MONTH(Transactions!$B$4:$B$282)=12)*(Transactions!$E$4:$E$282="Rent/Mortgage")*Transactions!$D$4:$D$282)</f>
        <v/>
      </c>
    </row>
    <row r="37">
      <c r="B37" s="4" t="inlineStr">
        <is>
          <t>Groceries</t>
        </is>
      </c>
      <c r="C37" s="13">
        <f>SUMPRODUCT((MONTH(Transactions!$B$4:$B$282)=1)*(Transactions!$E$4:$E$282="Groceries")*Transactions!$D$4:$D$282)</f>
        <v/>
      </c>
      <c r="D37" s="13">
        <f>SUMPRODUCT((MONTH(Transactions!$B$4:$B$282)=2)*(Transactions!$E$4:$E$282="Groceries")*Transactions!$D$4:$D$282)</f>
        <v/>
      </c>
      <c r="E37" s="13">
        <f>SUMPRODUCT((MONTH(Transactions!$B$4:$B$282)=3)*(Transactions!$E$4:$E$282="Groceries")*Transactions!$D$4:$D$282)</f>
        <v/>
      </c>
      <c r="F37" s="13">
        <f>SUMPRODUCT((MONTH(Transactions!$B$4:$B$282)=4)*(Transactions!$E$4:$E$282="Groceries")*Transactions!$D$4:$D$282)</f>
        <v/>
      </c>
      <c r="G37" s="13">
        <f>SUMPRODUCT((MONTH(Transactions!$B$4:$B$282)=5)*(Transactions!$E$4:$E$282="Groceries")*Transactions!$D$4:$D$282)</f>
        <v/>
      </c>
      <c r="H37" s="13">
        <f>SUMPRODUCT((MONTH(Transactions!$B$4:$B$282)=6)*(Transactions!$E$4:$E$282="Groceries")*Transactions!$D$4:$D$282)</f>
        <v/>
      </c>
      <c r="I37" s="13">
        <f>SUMPRODUCT((MONTH(Transactions!$B$4:$B$282)=7)*(Transactions!$E$4:$E$282="Groceries")*Transactions!$D$4:$D$282)</f>
        <v/>
      </c>
      <c r="J37" s="13">
        <f>SUMPRODUCT((MONTH(Transactions!$B$4:$B$282)=8)*(Transactions!$E$4:$E$282="Groceries")*Transactions!$D$4:$D$282)</f>
        <v/>
      </c>
      <c r="K37" s="13">
        <f>SUMPRODUCT((MONTH(Transactions!$B$4:$B$282)=9)*(Transactions!$E$4:$E$282="Groceries")*Transactions!$D$4:$D$282)</f>
        <v/>
      </c>
      <c r="L37" s="13">
        <f>SUMPRODUCT((MONTH(Transactions!$B$4:$B$282)=10)*(Transactions!$E$4:$E$282="Groceries")*Transactions!$D$4:$D$282)</f>
        <v/>
      </c>
      <c r="M37" s="13">
        <f>SUMPRODUCT((MONTH(Transactions!$B$4:$B$282)=11)*(Transactions!$E$4:$E$282="Groceries")*Transactions!$D$4:$D$282)</f>
        <v/>
      </c>
      <c r="N37" s="13">
        <f>SUMPRODUCT((MONTH(Transactions!$B$4:$B$282)=12)*(Transactions!$E$4:$E$282="Groceries")*Transactions!$D$4:$D$282)</f>
        <v/>
      </c>
    </row>
    <row r="38">
      <c r="B38" s="4" t="inlineStr">
        <is>
          <t>Car Payment</t>
        </is>
      </c>
      <c r="C38" s="13">
        <f>SUMPRODUCT((MONTH(Transactions!$B$4:$B$282)=1)*(Transactions!$E$4:$E$282="Car Payment")*Transactions!$D$4:$D$282)</f>
        <v/>
      </c>
      <c r="D38" s="13">
        <f>SUMPRODUCT((MONTH(Transactions!$B$4:$B$282)=2)*(Transactions!$E$4:$E$282="Car Payment")*Transactions!$D$4:$D$282)</f>
        <v/>
      </c>
      <c r="E38" s="13">
        <f>SUMPRODUCT((MONTH(Transactions!$B$4:$B$282)=3)*(Transactions!$E$4:$E$282="Car Payment")*Transactions!$D$4:$D$282)</f>
        <v/>
      </c>
      <c r="F38" s="13">
        <f>SUMPRODUCT((MONTH(Transactions!$B$4:$B$282)=4)*(Transactions!$E$4:$E$282="Car Payment")*Transactions!$D$4:$D$282)</f>
        <v/>
      </c>
      <c r="G38" s="13">
        <f>SUMPRODUCT((MONTH(Transactions!$B$4:$B$282)=5)*(Transactions!$E$4:$E$282="Car Payment")*Transactions!$D$4:$D$282)</f>
        <v/>
      </c>
      <c r="H38" s="13">
        <f>SUMPRODUCT((MONTH(Transactions!$B$4:$B$282)=6)*(Transactions!$E$4:$E$282="Car Payment")*Transactions!$D$4:$D$282)</f>
        <v/>
      </c>
      <c r="I38" s="13">
        <f>SUMPRODUCT((MONTH(Transactions!$B$4:$B$282)=7)*(Transactions!$E$4:$E$282="Car Payment")*Transactions!$D$4:$D$282)</f>
        <v/>
      </c>
      <c r="J38" s="13">
        <f>SUMPRODUCT((MONTH(Transactions!$B$4:$B$282)=8)*(Transactions!$E$4:$E$282="Car Payment")*Transactions!$D$4:$D$282)</f>
        <v/>
      </c>
      <c r="K38" s="13">
        <f>SUMPRODUCT((MONTH(Transactions!$B$4:$B$282)=9)*(Transactions!$E$4:$E$282="Car Payment")*Transactions!$D$4:$D$282)</f>
        <v/>
      </c>
      <c r="L38" s="13">
        <f>SUMPRODUCT((MONTH(Transactions!$B$4:$B$282)=10)*(Transactions!$E$4:$E$282="Car Payment")*Transactions!$D$4:$D$282)</f>
        <v/>
      </c>
      <c r="M38" s="13">
        <f>SUMPRODUCT((MONTH(Transactions!$B$4:$B$282)=11)*(Transactions!$E$4:$E$282="Car Payment")*Transactions!$D$4:$D$282)</f>
        <v/>
      </c>
      <c r="N38" s="13">
        <f>SUMPRODUCT((MONTH(Transactions!$B$4:$B$282)=12)*(Transactions!$E$4:$E$282="Car Payment")*Transactions!$D$4:$D$282)</f>
        <v/>
      </c>
    </row>
    <row r="39">
      <c r="B39" s="4" t="inlineStr">
        <is>
          <t>Emergency Fund</t>
        </is>
      </c>
      <c r="C39" s="13">
        <f>SUMPRODUCT((MONTH(Transactions!$B$4:$B$282)=1)*(Transactions!$E$4:$E$282="Emergency Fund")*Transactions!$D$4:$D$282)</f>
        <v/>
      </c>
      <c r="D39" s="13">
        <f>SUMPRODUCT((MONTH(Transactions!$B$4:$B$282)=2)*(Transactions!$E$4:$E$282="Emergency Fund")*Transactions!$D$4:$D$282)</f>
        <v/>
      </c>
      <c r="E39" s="13">
        <f>SUMPRODUCT((MONTH(Transactions!$B$4:$B$282)=3)*(Transactions!$E$4:$E$282="Emergency Fund")*Transactions!$D$4:$D$282)</f>
        <v/>
      </c>
      <c r="F39" s="13">
        <f>SUMPRODUCT((MONTH(Transactions!$B$4:$B$282)=4)*(Transactions!$E$4:$E$282="Emergency Fund")*Transactions!$D$4:$D$282)</f>
        <v/>
      </c>
      <c r="G39" s="13">
        <f>SUMPRODUCT((MONTH(Transactions!$B$4:$B$282)=5)*(Transactions!$E$4:$E$282="Emergency Fund")*Transactions!$D$4:$D$282)</f>
        <v/>
      </c>
      <c r="H39" s="13">
        <f>SUMPRODUCT((MONTH(Transactions!$B$4:$B$282)=6)*(Transactions!$E$4:$E$282="Emergency Fund")*Transactions!$D$4:$D$282)</f>
        <v/>
      </c>
      <c r="I39" s="13">
        <f>SUMPRODUCT((MONTH(Transactions!$B$4:$B$282)=7)*(Transactions!$E$4:$E$282="Emergency Fund")*Transactions!$D$4:$D$282)</f>
        <v/>
      </c>
      <c r="J39" s="13">
        <f>SUMPRODUCT((MONTH(Transactions!$B$4:$B$282)=8)*(Transactions!$E$4:$E$282="Emergency Fund")*Transactions!$D$4:$D$282)</f>
        <v/>
      </c>
      <c r="K39" s="13">
        <f>SUMPRODUCT((MONTH(Transactions!$B$4:$B$282)=9)*(Transactions!$E$4:$E$282="Emergency Fund")*Transactions!$D$4:$D$282)</f>
        <v/>
      </c>
      <c r="L39" s="13">
        <f>SUMPRODUCT((MONTH(Transactions!$B$4:$B$282)=10)*(Transactions!$E$4:$E$282="Emergency Fund")*Transactions!$D$4:$D$282)</f>
        <v/>
      </c>
      <c r="M39" s="13">
        <f>SUMPRODUCT((MONTH(Transactions!$B$4:$B$282)=11)*(Transactions!$E$4:$E$282="Emergency Fund")*Transactions!$D$4:$D$282)</f>
        <v/>
      </c>
      <c r="N39" s="13">
        <f>SUMPRODUCT((MONTH(Transactions!$B$4:$B$282)=12)*(Transactions!$E$4:$E$282="Emergency Fund")*Transactions!$D$4:$D$282)</f>
        <v/>
      </c>
    </row>
    <row r="40">
      <c r="B40" s="4" t="inlineStr">
        <is>
          <t>Student Loan</t>
        </is>
      </c>
      <c r="C40" s="13">
        <f>SUMPRODUCT((MONTH(Transactions!$B$4:$B$282)=1)*(Transactions!$E$4:$E$282="Student Loan")*Transactions!$D$4:$D$282)</f>
        <v/>
      </c>
      <c r="D40" s="13">
        <f>SUMPRODUCT((MONTH(Transactions!$B$4:$B$282)=2)*(Transactions!$E$4:$E$282="Student Loan")*Transactions!$D$4:$D$282)</f>
        <v/>
      </c>
      <c r="E40" s="13">
        <f>SUMPRODUCT((MONTH(Transactions!$B$4:$B$282)=3)*(Transactions!$E$4:$E$282="Student Loan")*Transactions!$D$4:$D$282)</f>
        <v/>
      </c>
      <c r="F40" s="13">
        <f>SUMPRODUCT((MONTH(Transactions!$B$4:$B$282)=4)*(Transactions!$E$4:$E$282="Student Loan")*Transactions!$D$4:$D$282)</f>
        <v/>
      </c>
      <c r="G40" s="13">
        <f>SUMPRODUCT((MONTH(Transactions!$B$4:$B$282)=5)*(Transactions!$E$4:$E$282="Student Loan")*Transactions!$D$4:$D$282)</f>
        <v/>
      </c>
      <c r="H40" s="13">
        <f>SUMPRODUCT((MONTH(Transactions!$B$4:$B$282)=6)*(Transactions!$E$4:$E$282="Student Loan")*Transactions!$D$4:$D$282)</f>
        <v/>
      </c>
      <c r="I40" s="13">
        <f>SUMPRODUCT((MONTH(Transactions!$B$4:$B$282)=7)*(Transactions!$E$4:$E$282="Student Loan")*Transactions!$D$4:$D$282)</f>
        <v/>
      </c>
      <c r="J40" s="13">
        <f>SUMPRODUCT((MONTH(Transactions!$B$4:$B$282)=8)*(Transactions!$E$4:$E$282="Student Loan")*Transactions!$D$4:$D$282)</f>
        <v/>
      </c>
      <c r="K40" s="13">
        <f>SUMPRODUCT((MONTH(Transactions!$B$4:$B$282)=9)*(Transactions!$E$4:$E$282="Student Loan")*Transactions!$D$4:$D$282)</f>
        <v/>
      </c>
      <c r="L40" s="13">
        <f>SUMPRODUCT((MONTH(Transactions!$B$4:$B$282)=10)*(Transactions!$E$4:$E$282="Student Loan")*Transactions!$D$4:$D$282)</f>
        <v/>
      </c>
      <c r="M40" s="13">
        <f>SUMPRODUCT((MONTH(Transactions!$B$4:$B$282)=11)*(Transactions!$E$4:$E$282="Student Loan")*Transactions!$D$4:$D$282)</f>
        <v/>
      </c>
      <c r="N40" s="13">
        <f>SUMPRODUCT((MONTH(Transactions!$B$4:$B$282)=12)*(Transactions!$E$4:$E$282="Student Loan")*Transactions!$D$4:$D$282)</f>
        <v/>
      </c>
    </row>
    <row r="41">
      <c r="B41" s="4" t="inlineStr">
        <is>
          <t>Health Insurance</t>
        </is>
      </c>
      <c r="C41" s="13">
        <f>SUMPRODUCT((MONTH(Transactions!$B$4:$B$282)=1)*(Transactions!$E$4:$E$282="Health Insurance")*Transactions!$D$4:$D$282)</f>
        <v/>
      </c>
      <c r="D41" s="13">
        <f>SUMPRODUCT((MONTH(Transactions!$B$4:$B$282)=2)*(Transactions!$E$4:$E$282="Health Insurance")*Transactions!$D$4:$D$282)</f>
        <v/>
      </c>
      <c r="E41" s="13">
        <f>SUMPRODUCT((MONTH(Transactions!$B$4:$B$282)=3)*(Transactions!$E$4:$E$282="Health Insurance")*Transactions!$D$4:$D$282)</f>
        <v/>
      </c>
      <c r="F41" s="13">
        <f>SUMPRODUCT((MONTH(Transactions!$B$4:$B$282)=4)*(Transactions!$E$4:$E$282="Health Insurance")*Transactions!$D$4:$D$282)</f>
        <v/>
      </c>
      <c r="G41" s="13">
        <f>SUMPRODUCT((MONTH(Transactions!$B$4:$B$282)=5)*(Transactions!$E$4:$E$282="Health Insurance")*Transactions!$D$4:$D$282)</f>
        <v/>
      </c>
      <c r="H41" s="13">
        <f>SUMPRODUCT((MONTH(Transactions!$B$4:$B$282)=6)*(Transactions!$E$4:$E$282="Health Insurance")*Transactions!$D$4:$D$282)</f>
        <v/>
      </c>
      <c r="I41" s="13">
        <f>SUMPRODUCT((MONTH(Transactions!$B$4:$B$282)=7)*(Transactions!$E$4:$E$282="Health Insurance")*Transactions!$D$4:$D$282)</f>
        <v/>
      </c>
      <c r="J41" s="13">
        <f>SUMPRODUCT((MONTH(Transactions!$B$4:$B$282)=8)*(Transactions!$E$4:$E$282="Health Insurance")*Transactions!$D$4:$D$282)</f>
        <v/>
      </c>
      <c r="K41" s="13">
        <f>SUMPRODUCT((MONTH(Transactions!$B$4:$B$282)=9)*(Transactions!$E$4:$E$282="Health Insurance")*Transactions!$D$4:$D$282)</f>
        <v/>
      </c>
      <c r="L41" s="13">
        <f>SUMPRODUCT((MONTH(Transactions!$B$4:$B$282)=10)*(Transactions!$E$4:$E$282="Health Insurance")*Transactions!$D$4:$D$282)</f>
        <v/>
      </c>
      <c r="M41" s="13">
        <f>SUMPRODUCT((MONTH(Transactions!$B$4:$B$282)=11)*(Transactions!$E$4:$E$282="Health Insurance")*Transactions!$D$4:$D$282)</f>
        <v/>
      </c>
      <c r="N41" s="13">
        <f>SUMPRODUCT((MONTH(Transactions!$B$4:$B$282)=12)*(Transactions!$E$4:$E$282="Health Insurance")*Transactions!$D$4:$D$282)</f>
        <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C12"/>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2" max="2"/>
  </cols>
  <sheetData>
    <row r="1"/>
    <row r="2">
      <c r="B2" s="2" t="n"/>
      <c r="C2" s="2" t="n"/>
    </row>
    <row r="3">
      <c r="B3" s="2" t="n"/>
      <c r="C3" s="17" t="inlineStr">
        <is>
          <t>Zero-Based Monthly Budget</t>
        </is>
      </c>
    </row>
    <row r="4">
      <c r="B4" s="2" t="n"/>
      <c r="C4" s="17" t="inlineStr"/>
    </row>
    <row r="5">
      <c r="B5" s="2" t="n"/>
      <c r="C5" s="17" t="inlineStr">
        <is>
          <t>Sample data covers January through December 2025.</t>
        </is>
      </c>
    </row>
    <row r="6">
      <c r="B6" s="2" t="n"/>
      <c r="C6" s="17" t="inlineStr">
        <is>
          <t>All transactions and amounts are fictional.</t>
        </is>
      </c>
    </row>
    <row r="7">
      <c r="B7" s="2" t="n"/>
      <c r="C7" s="17" t="inlineStr">
        <is>
          <t>Start on the Setup sheet to set income and category targets.</t>
        </is>
      </c>
    </row>
    <row r="8">
      <c r="B8" s="2" t="n"/>
      <c r="C8" s="17" t="inlineStr">
        <is>
          <t>Log spending in the Transactions sheet as it happens.</t>
        </is>
      </c>
    </row>
    <row r="9">
      <c r="B9" s="2" t="n"/>
      <c r="C9" s="17" t="inlineStr">
        <is>
          <t>The Monthly Plan defaults pull from Setup but you can override any month.</t>
        </is>
      </c>
    </row>
    <row r="10">
      <c r="B10" s="2" t="n"/>
      <c r="C10" s="17" t="inlineStr">
        <is>
          <t>Do not insert or delete rows inside the transaction range.</t>
        </is>
      </c>
    </row>
    <row r="11">
      <c r="B11" s="2" t="n"/>
      <c r="C11" s="17" t="inlineStr">
        <is>
          <t>Formulas reference cell positions so keep the structure intact.</t>
        </is>
      </c>
    </row>
    <row r="12">
      <c r="B12" s="2" t="n"/>
      <c r="C12" s="17" t="inlineStr">
        <is>
          <t>This is not financial advice. Talk to a professional about your situation.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Samuel Reed</dc:creator>
  <dcterms:created xsi:type="dcterms:W3CDTF">2024-07-07T16:02:40Z</dcterms:created>
  <dcterms:modified xsi:type="dcterms:W3CDTF">2025-02-14T17:17:40Z</dcterms:modified>
  <cp:lastModifiedBy>Samuel Reed</cp:lastModifiedBy>
  <cp:revision>1</cp:revision>
</cp:coreProperties>
</file>