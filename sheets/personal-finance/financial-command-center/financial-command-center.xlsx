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300_WORK\xAI\002_xAI\project\excel-scraping\task_025\"/>
    </mc:Choice>
  </mc:AlternateContent>
  <xr:revisionPtr revIDLastSave="0" documentId="13_ncr:1_{BA4B4E2B-50BB-4DF6-8E43-C0D62D0D04BB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Accounts" sheetId="1" r:id="rId1"/>
    <sheet name="Cash Flow" sheetId="2" r:id="rId2"/>
    <sheet name="Goals" sheetId="3" r:id="rId3"/>
    <sheet name="Allocation" sheetId="4" r:id="rId4"/>
    <sheet name="Dashboard" sheetId="5" r:id="rId5"/>
    <sheet name="Readm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5" l="1"/>
  <c r="A23" i="5"/>
  <c r="A22" i="5"/>
  <c r="A21" i="5"/>
  <c r="A20" i="5"/>
  <c r="B19" i="5"/>
  <c r="A19" i="5"/>
  <c r="E15" i="5"/>
  <c r="E14" i="5"/>
  <c r="E13" i="5"/>
  <c r="E12" i="5"/>
  <c r="E11" i="5"/>
  <c r="E10" i="5"/>
  <c r="B3" i="5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2" i="4"/>
  <c r="F8" i="4" s="1"/>
  <c r="I8" i="3"/>
  <c r="B24" i="5" s="1"/>
  <c r="H8" i="3"/>
  <c r="G8" i="3"/>
  <c r="J8" i="3" s="1"/>
  <c r="J7" i="3"/>
  <c r="I7" i="3"/>
  <c r="B23" i="5" s="1"/>
  <c r="H7" i="3"/>
  <c r="G7" i="3"/>
  <c r="I6" i="3"/>
  <c r="B22" i="5" s="1"/>
  <c r="G6" i="3"/>
  <c r="J6" i="3" s="1"/>
  <c r="I5" i="3"/>
  <c r="B21" i="5" s="1"/>
  <c r="H5" i="3"/>
  <c r="G5" i="3"/>
  <c r="J5" i="3" s="1"/>
  <c r="J4" i="3"/>
  <c r="I4" i="3"/>
  <c r="B20" i="5" s="1"/>
  <c r="H4" i="3"/>
  <c r="G4" i="3"/>
  <c r="I3" i="3"/>
  <c r="G3" i="3"/>
  <c r="J3" i="3" s="1"/>
  <c r="E16" i="2"/>
  <c r="D16" i="2"/>
  <c r="C16" i="2"/>
  <c r="B16" i="2"/>
  <c r="E14" i="2"/>
  <c r="F14" i="2" s="1"/>
  <c r="E13" i="2"/>
  <c r="F13" i="2" s="1"/>
  <c r="E12" i="2"/>
  <c r="F12" i="2" s="1"/>
  <c r="E11" i="2"/>
  <c r="F11" i="2" s="1"/>
  <c r="E10" i="2"/>
  <c r="F10" i="2" s="1"/>
  <c r="E9" i="2"/>
  <c r="F9" i="2" s="1"/>
  <c r="E8" i="2"/>
  <c r="F8" i="2" s="1"/>
  <c r="E7" i="2"/>
  <c r="F7" i="2" s="1"/>
  <c r="E6" i="2"/>
  <c r="F6" i="2" s="1"/>
  <c r="E5" i="2"/>
  <c r="F5" i="2" s="1"/>
  <c r="E4" i="2"/>
  <c r="F4" i="2" s="1"/>
  <c r="E3" i="2"/>
  <c r="F3" i="2" s="1"/>
  <c r="G11" i="2" l="1"/>
  <c r="B35" i="5"/>
  <c r="G10" i="2"/>
  <c r="B34" i="5"/>
  <c r="B37" i="5"/>
  <c r="G13" i="2"/>
  <c r="B38" i="5"/>
  <c r="G14" i="2"/>
  <c r="E5" i="4"/>
  <c r="B10" i="5"/>
  <c r="H13" i="2"/>
  <c r="H10" i="2"/>
  <c r="H7" i="2"/>
  <c r="H4" i="2"/>
  <c r="F16" i="2"/>
  <c r="G16" i="2" s="1"/>
  <c r="G3" i="2"/>
  <c r="H14" i="2"/>
  <c r="H5" i="2"/>
  <c r="H3" i="2"/>
  <c r="H11" i="2"/>
  <c r="H8" i="2"/>
  <c r="H12" i="2"/>
  <c r="H9" i="2"/>
  <c r="H6" i="2"/>
  <c r="B27" i="5"/>
  <c r="B11" i="5"/>
  <c r="E6" i="4"/>
  <c r="B6" i="5" s="1"/>
  <c r="G4" i="2"/>
  <c r="B28" i="5"/>
  <c r="E7" i="4"/>
  <c r="B12" i="5"/>
  <c r="G5" i="2"/>
  <c r="B29" i="5"/>
  <c r="E8" i="4"/>
  <c r="B13" i="5"/>
  <c r="B14" i="5"/>
  <c r="E9" i="4"/>
  <c r="B30" i="5"/>
  <c r="G6" i="2"/>
  <c r="G7" i="2"/>
  <c r="B31" i="5"/>
  <c r="B15" i="5"/>
  <c r="E10" i="4"/>
  <c r="B36" i="5"/>
  <c r="G12" i="2"/>
  <c r="B4" i="5" s="1"/>
  <c r="G8" i="2"/>
  <c r="B32" i="5"/>
  <c r="B33" i="5"/>
  <c r="G9" i="2"/>
  <c r="F6" i="4"/>
  <c r="F9" i="4"/>
  <c r="F7" i="4"/>
  <c r="F10" i="4"/>
  <c r="H3" i="3"/>
  <c r="H6" i="3"/>
  <c r="B5" i="5"/>
  <c r="F5" i="4"/>
</calcChain>
</file>

<file path=xl/sharedStrings.xml><?xml version="1.0" encoding="utf-8"?>
<sst xmlns="http://schemas.openxmlformats.org/spreadsheetml/2006/main" count="173" uniqueCount="114">
  <si>
    <t>Account Registry</t>
  </si>
  <si>
    <t>Account Name</t>
  </si>
  <si>
    <t>Institution</t>
  </si>
  <si>
    <t>Type</t>
  </si>
  <si>
    <t>Asset Class</t>
  </si>
  <si>
    <t>Current Balance</t>
  </si>
  <si>
    <t>Monthly Contribution</t>
  </si>
  <si>
    <t>Expected Annual Return</t>
  </si>
  <si>
    <t>Last Updated</t>
  </si>
  <si>
    <t>Chase Checking</t>
  </si>
  <si>
    <t>Chase</t>
  </si>
  <si>
    <t>Checking</t>
  </si>
  <si>
    <t>Cash</t>
  </si>
  <si>
    <t>Ally HYSA</t>
  </si>
  <si>
    <t>Ally</t>
  </si>
  <si>
    <t>Savings</t>
  </si>
  <si>
    <t>Vanguard Total Market</t>
  </si>
  <si>
    <t>Vanguard</t>
  </si>
  <si>
    <t>Brokerage</t>
  </si>
  <si>
    <t>US Equity</t>
  </si>
  <si>
    <t>Fidelity Intl Fund</t>
  </si>
  <si>
    <t>Fidelity</t>
  </si>
  <si>
    <t>Intl Equity</t>
  </si>
  <si>
    <t>Company 401k</t>
  </si>
  <si>
    <t>401k</t>
  </si>
  <si>
    <t>Roth IRA</t>
  </si>
  <si>
    <t>Traditional IRA</t>
  </si>
  <si>
    <t>Schwab</t>
  </si>
  <si>
    <t>IRA</t>
  </si>
  <si>
    <t>US Bonds</t>
  </si>
  <si>
    <t>HSA</t>
  </si>
  <si>
    <t>Optum</t>
  </si>
  <si>
    <t>529 Plan</t>
  </si>
  <si>
    <t>529</t>
  </si>
  <si>
    <t>Coinbase</t>
  </si>
  <si>
    <t>Crypto</t>
  </si>
  <si>
    <t>Alternatives</t>
  </si>
  <si>
    <t>Home Equity</t>
  </si>
  <si>
    <t>Zillow Est.</t>
  </si>
  <si>
    <t>Real Estate</t>
  </si>
  <si>
    <t>Car Value</t>
  </si>
  <si>
    <t>KBB Est.</t>
  </si>
  <si>
    <t>Vehicle</t>
  </si>
  <si>
    <t>N-A</t>
  </si>
  <si>
    <t>Chase Visa</t>
  </si>
  <si>
    <t>Credit Card</t>
  </si>
  <si>
    <t>Student Loans</t>
  </si>
  <si>
    <t>Navient</t>
  </si>
  <si>
    <t>Student Loan</t>
  </si>
  <si>
    <t>Mortgage</t>
  </si>
  <si>
    <t>Wells Fargo</t>
  </si>
  <si>
    <t>Auto Loan</t>
  </si>
  <si>
    <t>Capital One</t>
  </si>
  <si>
    <t>Monthly Cash Flow</t>
  </si>
  <si>
    <t>Month</t>
  </si>
  <si>
    <t>Total Income</t>
  </si>
  <si>
    <t>Fixed Expenses</t>
  </si>
  <si>
    <t>Variable Expenses</t>
  </si>
  <si>
    <t>Total Expenses</t>
  </si>
  <si>
    <t>Net Surplus</t>
  </si>
  <si>
    <t>Savings Rate</t>
  </si>
  <si>
    <t>YTD Surplus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</si>
  <si>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</si>
  <si>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</si>
  <si>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</si>
  <si>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</si>
  <si>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</si>
  <si>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</si>
  <si>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</si>
  <si>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</si>
  <si>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</si>
  <si>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</si>
  <si>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</si>
  <si>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</si>
  <si>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 Total</t>
  </si>
  <si>
    <t>Financial Goals</t>
  </si>
  <si>
    <t>Goal Name</t>
  </si>
  <si>
    <t>Target</t>
  </si>
  <si>
    <t>Current Saved</t>
  </si>
  <si>
    <t>Monthly Contrib.</t>
  </si>
  <si>
    <t>Expected Return</t>
  </si>
  <si>
    <t>Start Date</t>
  </si>
  <si>
    <t>Proj. Months</t>
  </si>
  <si>
    <t>Proj. Date</t>
  </si>
  <si>
    <t>Progress %</t>
  </si>
  <si>
    <t>Status</t>
  </si>
  <si>
    <t>Emergency Fund</t>
  </si>
  <si>
    <t>House Down Payment</t>
  </si>
  <si>
    <t>Vacation Fund</t>
  </si>
  <si>
    <t>New Car Fund</t>
  </si>
  <si>
    <t>Kids College (529)</t>
  </si>
  <si>
    <t>Early Retirement Buffer</t>
  </si>
  <si>
    <t>Asset Allocation Analysis</t>
  </si>
  <si>
    <t>Total Investable Assets</t>
  </si>
  <si>
    <t>Current $</t>
  </si>
  <si>
    <t>Current %</t>
  </si>
  <si>
    <t>Target %</t>
  </si>
  <si>
    <t>Difference %</t>
  </si>
  <si>
    <t>Rebalance $</t>
  </si>
  <si>
    <t>Financial Command Center</t>
  </si>
  <si>
    <t>Household snapshot</t>
  </si>
  <si>
    <t>Total Net Worth</t>
  </si>
  <si>
    <t>Savings Rate (3-Mo Avg)</t>
  </si>
  <si>
    <t>Months to Next Goal</t>
  </si>
  <si>
    <t>Largest Allocation Gap</t>
  </si>
  <si>
    <t>Goal</t>
  </si>
  <si>
    <t>Sample data as of April 2025.</t>
  </si>
  <si>
    <t>All account names and balances are fictional.</t>
  </si>
  <si>
    <t>Update the Accounts sheet with current balances periodically.</t>
  </si>
  <si>
    <t>Log monthly income and expenses in the Cash Flow sheet.</t>
  </si>
  <si>
    <t>Goal projections use NPER which accounts for expected returns.</t>
  </si>
  <si>
    <t>Adjust target allocation percentages on the Allocation sheet.</t>
  </si>
  <si>
    <t>Do not insert or delete rows inside the account or goal ranges.</t>
  </si>
  <si>
    <t>This is not financial advice. Talk to a professional about your situation.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</si>
</sst>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3E3428"/>
      <name val="Arial"/>
      <family val="2"/>
    </font>
    <font>
      <sz val="11"/>
      <color theme="1"/>
      <name val="Calibri"/>
      <family val="2"/>
      <scheme val="minor"/>
    </font>
    <font>
      <sz val="11"/>
      <color rgb="FF3E3428"/>
      <name val="Arial"/>
      <family val="2"/>
    </font>
    <font>
      <b/>
      <sz val="11"/>
      <color rgb="FF3E3428"/>
      <name val="Arial"/>
      <family val="2"/>
    </font>
    <font>
      <b/>
      <sz val="11"/>
      <color rgb="FF2E6B6B"/>
      <name val="Arial"/>
      <family val="2"/>
    </font>
    <font>
      <b/>
      <sz val="11"/>
      <color theme="0"/>
      <name val="Arial"/>
      <family val="2"/>
    </font>
    <font>
      <b/>
      <u/>
      <sz val="11"/>
      <color rgb="FF000000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E6B6B"/>
      </patternFill>
    </fill>
    <fill>
      <patternFill patternType="solid">
        <fgColor rgb="FFE8E3DA"/>
      </patternFill>
    </fill>
  </fills>
  <borders count="2">
    <border>
      <left/>
      <right/>
      <top/>
      <bottom/>
      <diagonal/>
    </border>
    <border>
      <left/>
      <right/>
      <top/>
      <bottom style="thin">
        <color rgb="FFB8AFA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64" fontId="3" fillId="3" borderId="0" xfId="0" applyNumberFormat="1" applyFont="1" applyFill="1" applyAlignment="1">
      <alignment vertical="center"/>
    </xf>
    <xf numFmtId="165" fontId="3" fillId="3" borderId="0" xfId="0" applyNumberFormat="1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2" borderId="0" xfId="0" applyFont="1" applyFill="1" applyAlignment="1">
      <alignment vertical="center"/>
    </xf>
  </cellXfs>
  <cellStyles count="1">
    <cellStyle name="Normal" xfId="0" builtinId="0"/>
  </cellStyles>
  <dxfs count="5">
    <dxf>
      <fill>
        <patternFill patternType="solid">
          <fgColor rgb="FFD8A8A0"/>
        </patternFill>
      </fill>
    </dxf>
    <dxf>
      <fill>
        <patternFill patternType="solid">
          <fgColor rgb="FFC8D8B0"/>
        </patternFill>
      </fill>
    </dxf>
    <dxf>
      <fill>
        <patternFill patternType="solid">
          <fgColor rgb="FFE8C88A"/>
        </patternFill>
      </fill>
    </dxf>
    <dxf>
      <fill>
        <patternFill patternType="solid">
          <fgColor rgb="FFB0C8D8"/>
        </patternFill>
      </fill>
    </dxf>
    <dxf>
      <fill>
        <patternFill patternType="solid">
          <fgColor rgb="FFC8D8B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Goal Progress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Dashboard!$A$19</c:f>
              <c:strCache>
                <c:ptCount val="1"/>
                <c:pt idx="0">
                  <c:v>Emergency Fund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A2-461B-9C50-1EEEBBD8AE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Dashboard!$B$18</c:f>
              <c:strCache>
                <c:ptCount val="1"/>
                <c:pt idx="0">
                  <c:v>Progress %</c:v>
                </c:pt>
              </c:strCache>
            </c:strRef>
          </c:cat>
          <c:val>
            <c:numRef>
              <c:f>Dashboard!$B$19</c:f>
              <c:numCache>
                <c:formatCode>0.0%</c:formatCode>
                <c:ptCount val="1"/>
                <c:pt idx="0">
                  <c:v>0.54666666666666663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A2-461B-9C50-1EEEBBD8AEB4}"/>
            </c:ext>
          </c:extLst>
        </c:ser>
        <c:ser>
          <c:idx val="1"/>
          <c:order val="1"/>
          <c:tx>
            <c:strRef>
              <c:f>Dashboard!$A$20</c:f>
              <c:strCache>
                <c:ptCount val="1"/>
                <c:pt idx="0">
                  <c:v>House Down Payment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A2-461B-9C50-1EEEBBD8AE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Dashboard!$B$18</c:f>
              <c:strCache>
                <c:ptCount val="1"/>
                <c:pt idx="0">
                  <c:v>Progress %</c:v>
                </c:pt>
              </c:strCache>
            </c:strRef>
          </c:cat>
          <c:val>
            <c:numRef>
              <c:f>Dashboard!$B$20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A2-461B-9C50-1EEEBBD8AEB4}"/>
            </c:ext>
          </c:extLst>
        </c:ser>
        <c:ser>
          <c:idx val="2"/>
          <c:order val="2"/>
          <c:tx>
            <c:strRef>
              <c:f>Dashboard!$A$21</c:f>
              <c:strCache>
                <c:ptCount val="1"/>
                <c:pt idx="0">
                  <c:v>Vacation Fund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A2-461B-9C50-1EEEBBD8AE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Dashboard!$B$18</c:f>
              <c:strCache>
                <c:ptCount val="1"/>
                <c:pt idx="0">
                  <c:v>Progress %</c:v>
                </c:pt>
              </c:strCache>
            </c:strRef>
          </c:cat>
          <c:val>
            <c:numRef>
              <c:f>Dashboard!$B$21</c:f>
              <c:numCache>
                <c:formatCode>0.0%</c:formatCode>
                <c:ptCount val="1"/>
                <c:pt idx="0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A2-461B-9C50-1EEEBBD8AEB4}"/>
            </c:ext>
          </c:extLst>
        </c:ser>
        <c:ser>
          <c:idx val="3"/>
          <c:order val="3"/>
          <c:tx>
            <c:strRef>
              <c:f>Dashboard!$A$22</c:f>
              <c:strCache>
                <c:ptCount val="1"/>
                <c:pt idx="0">
                  <c:v>New Car Fund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A2-461B-9C50-1EEEBBD8AE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Dashboard!$B$18</c:f>
              <c:strCache>
                <c:ptCount val="1"/>
                <c:pt idx="0">
                  <c:v>Progress %</c:v>
                </c:pt>
              </c:strCache>
            </c:strRef>
          </c:cat>
          <c:val>
            <c:numRef>
              <c:f>Dashboard!$B$22</c:f>
              <c:numCache>
                <c:formatCode>0.0%</c:formatCode>
                <c:ptCount val="1"/>
                <c:pt idx="0">
                  <c:v>0.1875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A2-461B-9C50-1EEEBBD8AEB4}"/>
            </c:ext>
          </c:extLst>
        </c:ser>
        <c:ser>
          <c:idx val="4"/>
          <c:order val="4"/>
          <c:tx>
            <c:strRef>
              <c:f>Dashboard!$A$23</c:f>
              <c:strCache>
                <c:ptCount val="1"/>
                <c:pt idx="0">
                  <c:v>Kids College (529)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A2-461B-9C50-1EEEBBD8AE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Dashboard!$B$18</c:f>
              <c:strCache>
                <c:ptCount val="1"/>
                <c:pt idx="0">
                  <c:v>Progress %</c:v>
                </c:pt>
              </c:strCache>
            </c:strRef>
          </c:cat>
          <c:val>
            <c:numRef>
              <c:f>Dashboard!$B$23</c:f>
              <c:numCache>
                <c:formatCode>0.0%</c:formatCode>
                <c:ptCount val="1"/>
                <c:pt idx="0">
                  <c:v>0.21249999999999999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A2-461B-9C50-1EEEBBD8AEB4}"/>
            </c:ext>
          </c:extLst>
        </c:ser>
        <c:ser>
          <c:idx val="5"/>
          <c:order val="5"/>
          <c:tx>
            <c:strRef>
              <c:f>Dashboard!$A$24</c:f>
              <c:strCache>
                <c:ptCount val="1"/>
                <c:pt idx="0">
                  <c:v>Early Retirement Buffer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A2-461B-9C50-1EEEBBD8AE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Dashboard!$B$18</c:f>
              <c:strCache>
                <c:ptCount val="1"/>
                <c:pt idx="0">
                  <c:v>Progress %</c:v>
                </c:pt>
              </c:strCache>
            </c:strRef>
          </c:cat>
          <c:val>
            <c:numRef>
              <c:f>Dashboard!$B$24</c:f>
              <c:numCache>
                <c:formatCode>0.0%</c:formatCode>
                <c:ptCount val="1"/>
                <c:pt idx="0">
                  <c:v>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A2-461B-9C50-1EEEBBD8A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486192"/>
        <c:axId val="47485712"/>
      </c:barChart>
      <c:catAx>
        <c:axId val="47486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85712"/>
        <c:crosses val="autoZero"/>
        <c:auto val="1"/>
        <c:lblAlgn val="ctr"/>
        <c:lblOffset val="100"/>
        <c:noMultiLvlLbl val="0"/>
      </c:catAx>
      <c:valAx>
        <c:axId val="4748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86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Dashboard!$B$26</c:f>
              <c:strCache>
                <c:ptCount val="1"/>
                <c:pt idx="0">
                  <c:v>Net Surplus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Dashboard!$A$27:$A$38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xVal>
          <c:yVal>
            <c:numRef>
              <c:f>Dashboard!$B$27:$B$38</c:f>
              <c:numCache>
                <c:formatCode>"$"#,##0</c:formatCode>
                <c:ptCount val="12"/>
                <c:pt idx="0">
                  <c:v>2336</c:v>
                </c:pt>
                <c:pt idx="1">
                  <c:v>1882</c:v>
                </c:pt>
                <c:pt idx="2">
                  <c:v>1998</c:v>
                </c:pt>
                <c:pt idx="3">
                  <c:v>2217</c:v>
                </c:pt>
                <c:pt idx="4">
                  <c:v>1333</c:v>
                </c:pt>
                <c:pt idx="5">
                  <c:v>1368</c:v>
                </c:pt>
                <c:pt idx="6">
                  <c:v>1882</c:v>
                </c:pt>
                <c:pt idx="7">
                  <c:v>1826</c:v>
                </c:pt>
                <c:pt idx="8">
                  <c:v>1536</c:v>
                </c:pt>
                <c:pt idx="9">
                  <c:v>1489</c:v>
                </c:pt>
                <c:pt idx="10">
                  <c:v>2043</c:v>
                </c:pt>
                <c:pt idx="11">
                  <c:v>2127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77-4925-A915-D8B470B1D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829488"/>
        <c:axId val="1769829968"/>
      </c:scatterChart>
      <c:valAx>
        <c:axId val="176982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829968"/>
        <c:crosses val="autoZero"/>
        <c:crossBetween val="midCat"/>
      </c:valAx>
      <c:valAx>
        <c:axId val="176982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829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Dashboard!$B$9</c:f>
              <c:strCache>
                <c:ptCount val="1"/>
                <c:pt idx="0">
                  <c:v>Current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Dashboard!$A$10:$A$15</c:f>
              <c:strCache>
                <c:ptCount val="6"/>
                <c:pt idx="0">
                  <c:v>Cash</c:v>
                </c:pt>
                <c:pt idx="1">
                  <c:v>US Bonds</c:v>
                </c:pt>
                <c:pt idx="2">
                  <c:v>US Equity</c:v>
                </c:pt>
                <c:pt idx="3">
                  <c:v>Intl Equity</c:v>
                </c:pt>
                <c:pt idx="4">
                  <c:v>Real Estate</c:v>
                </c:pt>
                <c:pt idx="5">
                  <c:v>Alternatives</c:v>
                </c:pt>
              </c:strCache>
            </c:strRef>
          </c:cat>
          <c:val>
            <c:numRef>
              <c:f>Dashboard!$B$10:$B$15</c:f>
              <c:numCache>
                <c:formatCode>0.0%</c:formatCode>
                <c:ptCount val="6"/>
                <c:pt idx="0">
                  <c:v>0.12026275896917635</c:v>
                </c:pt>
                <c:pt idx="1">
                  <c:v>6.0636685194542697E-2</c:v>
                </c:pt>
                <c:pt idx="2">
                  <c:v>0.84234461849418896</c:v>
                </c:pt>
                <c:pt idx="3">
                  <c:v>7.5795856493178368E-2</c:v>
                </c:pt>
                <c:pt idx="4">
                  <c:v>0.48004042445679634</c:v>
                </c:pt>
                <c:pt idx="5">
                  <c:v>2.1222839818089943E-2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B3-43A0-8D9C-0440A007CF09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Dashboard!$E$9</c:f>
              <c:strCache>
                <c:ptCount val="1"/>
                <c:pt idx="0">
                  <c:v>Target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Dashboard!$D$10:$D$15</c:f>
              <c:strCache>
                <c:ptCount val="6"/>
                <c:pt idx="0">
                  <c:v>Cash</c:v>
                </c:pt>
                <c:pt idx="1">
                  <c:v>US Bonds</c:v>
                </c:pt>
                <c:pt idx="2">
                  <c:v>US Equity</c:v>
                </c:pt>
                <c:pt idx="3">
                  <c:v>Intl Equity</c:v>
                </c:pt>
                <c:pt idx="4">
                  <c:v>Real Estate</c:v>
                </c:pt>
                <c:pt idx="5">
                  <c:v>Alternatives</c:v>
                </c:pt>
              </c:strCache>
            </c:strRef>
          </c:cat>
          <c:val>
            <c:numRef>
              <c:f>Dashboard!$E$10:$E$15</c:f>
              <c:numCache>
                <c:formatCode>0.0%</c:formatCode>
                <c:ptCount val="6"/>
                <c:pt idx="0">
                  <c:v>0.05</c:v>
                </c:pt>
                <c:pt idx="1">
                  <c:v>0.1</c:v>
                </c:pt>
                <c:pt idx="2">
                  <c:v>0.5</c:v>
                </c:pt>
                <c:pt idx="3">
                  <c:v>0.15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1F-4FDF-981C-15BF5E8E8151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180976</xdr:colOff>
      <xdr:row>15</xdr:row>
      <xdr:rowOff>90486</xdr:rowOff>
    </xdr:from>
    <xdr:to>
      <xdr:col>20</xdr:col>
      <xdr:colOff>266700</xdr:colOff>
      <xdr:row>34</xdr:row>
      <xdr:rowOff>152399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0FAD240-4DE2-0015-FD28-8853B0003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161925</xdr:colOff>
      <xdr:row>15</xdr:row>
      <xdr:rowOff>80961</xdr:rowOff>
    </xdr:from>
    <xdr:to>
      <xdr:col>11</xdr:col>
      <xdr:colOff>114300</xdr:colOff>
      <xdr:row>34</xdr:row>
      <xdr:rowOff>133350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6425EBA-76BF-5EFA-9ED9-8D07024F37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152400</xdr:colOff>
      <xdr:row>0</xdr:row>
      <xdr:rowOff>166687</xdr:rowOff>
    </xdr:from>
    <xdr:to>
      <xdr:col>12</xdr:col>
      <xdr:colOff>457200</xdr:colOff>
      <xdr:row>15</xdr:row>
      <xdr:rowOff>14287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A2289D0-9C19-E113-E1C1-1CE06C81B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561975</xdr:colOff>
      <xdr:row>0</xdr:row>
      <xdr:rowOff>157162</xdr:rowOff>
    </xdr:from>
    <xdr:to>
      <xdr:col>20</xdr:col>
      <xdr:colOff>257175</xdr:colOff>
      <xdr:row>15</xdr:row>
      <xdr:rowOff>4762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E8B3CAD-FE20-728D-C251-564038D441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showGridLines="0" tabSelected="1" workbookViewId="0">
      <selection activeCell="A3" sqref="A3:A18"/>
    </sheetView>
  </sheetViews>
  <sheetFormatPr defaultRowHeight="15" x14ac:dyDescent="0.25"/>
  <cols>
    <col min="1" max="1" width="24.42578125" bestFit="1" customWidth="1"/>
    <col min="2" max="2" width="12.28515625" bestFit="1" customWidth="1"/>
    <col min="3" max="3" width="13.42578125" bestFit="1" customWidth="1"/>
    <col min="4" max="4" width="12.7109375" bestFit="1" customWidth="1"/>
    <col min="5" max="5" width="17.85546875" bestFit="1" customWidth="1"/>
    <col min="6" max="6" width="22.7109375" bestFit="1" customWidth="1"/>
    <col min="7" max="7" width="26.140625" bestFit="1" customWidth="1"/>
    <col min="8" max="8" width="14.5703125" bestFit="1" customWidth="1"/>
  </cols>
  <sheetData>
    <row r="1" spans="1:8" ht="18" x14ac:dyDescent="0.25">
      <c r="A1" s="1" t="s">
        <v>0</v>
      </c>
      <c r="B1" s="2"/>
      <c r="C1" s="2"/>
      <c r="D1" s="2"/>
      <c r="E1" s="2"/>
      <c r="F1" s="2"/>
      <c r="G1" s="2"/>
      <c r="H1" s="2"/>
    </row>
    <row r="2" spans="1:8" x14ac:dyDescent="0.25">
      <c r="A2" s="15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</row>
    <row r="3" spans="1:8" x14ac:dyDescent="0.25">
      <c r="A3" s="3" t="s">
        <v>9</v>
      </c>
      <c r="B3" s="3" t="s">
        <v>10</v>
      </c>
      <c r="C3" s="3" t="s">
        <v>11</v>
      </c>
      <c r="D3" s="3" t="s">
        <v>12</v>
      </c>
      <c r="E3" s="4">
        <v>5800</v>
      </c>
      <c r="F3" s="4">
        <v>0</v>
      </c>
      <c r="G3" s="5">
        <v>5.0000000000000001E-3</v>
      </c>
      <c r="H3" s="6">
        <v>45748</v>
      </c>
    </row>
    <row r="4" spans="1:8" x14ac:dyDescent="0.25">
      <c r="A4" s="3" t="s">
        <v>13</v>
      </c>
      <c r="B4" s="3" t="s">
        <v>14</v>
      </c>
      <c r="C4" s="3" t="s">
        <v>15</v>
      </c>
      <c r="D4" s="3" t="s">
        <v>12</v>
      </c>
      <c r="E4" s="4">
        <v>18000</v>
      </c>
      <c r="F4" s="4">
        <v>500</v>
      </c>
      <c r="G4" s="5">
        <v>4.4999999999999998E-2</v>
      </c>
      <c r="H4" s="6">
        <v>45748</v>
      </c>
    </row>
    <row r="5" spans="1:8" x14ac:dyDescent="0.25">
      <c r="A5" s="3" t="s">
        <v>16</v>
      </c>
      <c r="B5" s="3" t="s">
        <v>17</v>
      </c>
      <c r="C5" s="3" t="s">
        <v>18</v>
      </c>
      <c r="D5" s="3" t="s">
        <v>19</v>
      </c>
      <c r="E5" s="4">
        <v>42000</v>
      </c>
      <c r="F5" s="4">
        <v>400</v>
      </c>
      <c r="G5" s="5">
        <v>0.08</v>
      </c>
      <c r="H5" s="6">
        <v>45748</v>
      </c>
    </row>
    <row r="6" spans="1:8" x14ac:dyDescent="0.25">
      <c r="A6" s="3" t="s">
        <v>20</v>
      </c>
      <c r="B6" s="3" t="s">
        <v>21</v>
      </c>
      <c r="C6" s="3" t="s">
        <v>18</v>
      </c>
      <c r="D6" s="3" t="s">
        <v>22</v>
      </c>
      <c r="E6" s="4">
        <v>15000</v>
      </c>
      <c r="F6" s="4">
        <v>200</v>
      </c>
      <c r="G6" s="5">
        <v>7.0000000000000007E-2</v>
      </c>
      <c r="H6" s="6">
        <v>45748</v>
      </c>
    </row>
    <row r="7" spans="1:8" x14ac:dyDescent="0.25">
      <c r="A7" s="3" t="s">
        <v>23</v>
      </c>
      <c r="B7" s="3" t="s">
        <v>21</v>
      </c>
      <c r="C7" s="3" t="s">
        <v>24</v>
      </c>
      <c r="D7" s="3" t="s">
        <v>19</v>
      </c>
      <c r="E7" s="4">
        <v>78000</v>
      </c>
      <c r="F7" s="4">
        <v>750</v>
      </c>
      <c r="G7" s="5">
        <v>0.08</v>
      </c>
      <c r="H7" s="6">
        <v>45748</v>
      </c>
    </row>
    <row r="8" spans="1:8" x14ac:dyDescent="0.25">
      <c r="A8" s="3" t="s">
        <v>25</v>
      </c>
      <c r="B8" s="3" t="s">
        <v>17</v>
      </c>
      <c r="C8" s="3" t="s">
        <v>25</v>
      </c>
      <c r="D8" s="3" t="s">
        <v>19</v>
      </c>
      <c r="E8" s="4">
        <v>32000</v>
      </c>
      <c r="F8" s="4">
        <v>500</v>
      </c>
      <c r="G8" s="5">
        <v>0.08</v>
      </c>
      <c r="H8" s="6">
        <v>45748</v>
      </c>
    </row>
    <row r="9" spans="1:8" x14ac:dyDescent="0.25">
      <c r="A9" s="3" t="s">
        <v>26</v>
      </c>
      <c r="B9" s="3" t="s">
        <v>27</v>
      </c>
      <c r="C9" s="3" t="s">
        <v>28</v>
      </c>
      <c r="D9" s="3" t="s">
        <v>29</v>
      </c>
      <c r="E9" s="4">
        <v>12000</v>
      </c>
      <c r="F9" s="4">
        <v>0</v>
      </c>
      <c r="G9" s="5">
        <v>0.04</v>
      </c>
      <c r="H9" s="6">
        <v>45748</v>
      </c>
    </row>
    <row r="10" spans="1:8" x14ac:dyDescent="0.25">
      <c r="A10" s="3" t="s">
        <v>30</v>
      </c>
      <c r="B10" s="3" t="s">
        <v>31</v>
      </c>
      <c r="C10" s="3" t="s">
        <v>30</v>
      </c>
      <c r="D10" s="3" t="s">
        <v>19</v>
      </c>
      <c r="E10" s="4">
        <v>6200</v>
      </c>
      <c r="F10" s="4">
        <v>150</v>
      </c>
      <c r="G10" s="5">
        <v>7.0000000000000007E-2</v>
      </c>
      <c r="H10" s="6">
        <v>45748</v>
      </c>
    </row>
    <row r="11" spans="1:8" x14ac:dyDescent="0.25">
      <c r="A11" s="3" t="s">
        <v>32</v>
      </c>
      <c r="B11" s="3" t="s">
        <v>17</v>
      </c>
      <c r="C11" s="3" t="s">
        <v>33</v>
      </c>
      <c r="D11" s="3" t="s">
        <v>19</v>
      </c>
      <c r="E11" s="4">
        <v>8500</v>
      </c>
      <c r="F11" s="4">
        <v>200</v>
      </c>
      <c r="G11" s="5">
        <v>7.0000000000000007E-2</v>
      </c>
      <c r="H11" s="6">
        <v>45748</v>
      </c>
    </row>
    <row r="12" spans="1:8" x14ac:dyDescent="0.25">
      <c r="A12" s="3" t="s">
        <v>34</v>
      </c>
      <c r="B12" s="3" t="s">
        <v>34</v>
      </c>
      <c r="C12" s="3" t="s">
        <v>35</v>
      </c>
      <c r="D12" s="3" t="s">
        <v>36</v>
      </c>
      <c r="E12" s="4">
        <v>4200</v>
      </c>
      <c r="F12" s="4">
        <v>0</v>
      </c>
      <c r="G12" s="5">
        <v>0.1</v>
      </c>
      <c r="H12" s="6">
        <v>45748</v>
      </c>
    </row>
    <row r="13" spans="1:8" x14ac:dyDescent="0.25">
      <c r="A13" s="3" t="s">
        <v>37</v>
      </c>
      <c r="B13" s="3" t="s">
        <v>38</v>
      </c>
      <c r="C13" s="3" t="s">
        <v>39</v>
      </c>
      <c r="D13" s="3" t="s">
        <v>39</v>
      </c>
      <c r="E13" s="4">
        <v>95000</v>
      </c>
      <c r="F13" s="4">
        <v>0</v>
      </c>
      <c r="G13" s="5">
        <v>0.03</v>
      </c>
      <c r="H13" s="6">
        <v>45748</v>
      </c>
    </row>
    <row r="14" spans="1:8" x14ac:dyDescent="0.25">
      <c r="A14" s="3" t="s">
        <v>40</v>
      </c>
      <c r="B14" s="3" t="s">
        <v>41</v>
      </c>
      <c r="C14" s="3" t="s">
        <v>42</v>
      </c>
      <c r="D14" s="3" t="s">
        <v>43</v>
      </c>
      <c r="E14" s="4">
        <v>16000</v>
      </c>
      <c r="F14" s="4">
        <v>0</v>
      </c>
      <c r="G14" s="5">
        <v>-0.1</v>
      </c>
      <c r="H14" s="6">
        <v>45748</v>
      </c>
    </row>
    <row r="15" spans="1:8" x14ac:dyDescent="0.25">
      <c r="A15" s="3" t="s">
        <v>44</v>
      </c>
      <c r="B15" s="3" t="s">
        <v>10</v>
      </c>
      <c r="C15" s="3" t="s">
        <v>45</v>
      </c>
      <c r="D15" s="3" t="s">
        <v>43</v>
      </c>
      <c r="E15" s="4">
        <v>3200</v>
      </c>
      <c r="F15" s="4">
        <v>0</v>
      </c>
      <c r="G15" s="5">
        <v>0</v>
      </c>
      <c r="H15" s="6">
        <v>45748</v>
      </c>
    </row>
    <row r="16" spans="1:8" x14ac:dyDescent="0.25">
      <c r="A16" s="3" t="s">
        <v>46</v>
      </c>
      <c r="B16" s="3" t="s">
        <v>47</v>
      </c>
      <c r="C16" s="3" t="s">
        <v>48</v>
      </c>
      <c r="D16" s="3" t="s">
        <v>43</v>
      </c>
      <c r="E16" s="4">
        <v>28000</v>
      </c>
      <c r="F16" s="4">
        <v>0</v>
      </c>
      <c r="G16" s="5">
        <v>0</v>
      </c>
      <c r="H16" s="6">
        <v>45748</v>
      </c>
    </row>
    <row r="17" spans="1:8" x14ac:dyDescent="0.25">
      <c r="A17" s="3" t="s">
        <v>49</v>
      </c>
      <c r="B17" s="3" t="s">
        <v>50</v>
      </c>
      <c r="C17" s="3" t="s">
        <v>49</v>
      </c>
      <c r="D17" s="3" t="s">
        <v>43</v>
      </c>
      <c r="E17" s="4">
        <v>210000</v>
      </c>
      <c r="F17" s="4">
        <v>0</v>
      </c>
      <c r="G17" s="5">
        <v>0</v>
      </c>
      <c r="H17" s="6">
        <v>45748</v>
      </c>
    </row>
    <row r="18" spans="1:8" x14ac:dyDescent="0.25">
      <c r="A18" s="3" t="s">
        <v>51</v>
      </c>
      <c r="B18" s="3" t="s">
        <v>52</v>
      </c>
      <c r="C18" s="3" t="s">
        <v>51</v>
      </c>
      <c r="D18" s="3" t="s">
        <v>43</v>
      </c>
      <c r="E18" s="4">
        <v>9800</v>
      </c>
      <c r="F18" s="4">
        <v>0</v>
      </c>
      <c r="G18" s="5">
        <v>0</v>
      </c>
      <c r="H18" s="6">
        <v>45748</v>
      </c>
    </row>
  </sheetData>
  <dataValidations count="2">
    <dataValidation type="list" sqref="C3 C4 C5 C6 C7 C8 C9 C10 C11 C12 C13 C14 C15 C16 C17 C18" xr:uid="{00000000-0002-0000-0000-000000000000}">
      <formula1>"Checking,Savings,Brokerage,401k,IRA,Roth IRA,HSA,529,Crypto,Real Estate,Vehicle,Credit Card,Student Loan,Mortgage,Auto Loan"</formula1>
    </dataValidation>
    <dataValidation type="list" sqref="D3 D4 D5 D6 D7 D8 D9 D10 D11 D12 D13 D14 D15 D16 D17 D18" xr:uid="{00000000-0002-0000-0000-000001000000}">
      <formula1>"Cash,US Bonds,US Equity,Intl Equity,Real Estate,Alternatives,N-A"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showGridLines="0" workbookViewId="0">
      <selection activeCell="C11" sqref="C11"/>
    </sheetView>
  </sheetViews>
  <sheetFormatPr defaultRowHeight="15" x14ac:dyDescent="0.25"/>
  <cols>
    <col min="1" max="1" width="27.140625" bestFit="1" customWidth="1"/>
    <col min="2" max="2" width="14.140625" bestFit="1" customWidth="1"/>
    <col min="3" max="3" width="17.42578125" bestFit="1" customWidth="1"/>
    <col min="4" max="4" width="20" bestFit="1" customWidth="1"/>
    <col min="5" max="5" width="16.85546875" bestFit="1" customWidth="1"/>
    <col min="6" max="6" width="13.140625" bestFit="1" customWidth="1"/>
    <col min="7" max="7" width="14.5703125" bestFit="1" customWidth="1"/>
    <col min="8" max="8" width="14" bestFit="1" customWidth="1"/>
  </cols>
  <sheetData>
    <row r="1" spans="1:8" ht="18" x14ac:dyDescent="0.25">
      <c r="A1" s="1" t="s">
        <v>53</v>
      </c>
      <c r="B1" s="2"/>
      <c r="C1" s="2"/>
      <c r="D1" s="2"/>
      <c r="E1" s="2"/>
      <c r="F1" s="2"/>
      <c r="G1" s="2"/>
      <c r="H1" s="2"/>
    </row>
    <row r="2" spans="1:8" x14ac:dyDescent="0.25">
      <c r="A2" s="15" t="s">
        <v>54</v>
      </c>
      <c r="B2" s="16" t="s">
        <v>55</v>
      </c>
      <c r="C2" s="16" t="s">
        <v>56</v>
      </c>
      <c r="D2" s="16" t="s">
        <v>57</v>
      </c>
      <c r="E2" s="16" t="s">
        <v>58</v>
      </c>
      <c r="F2" s="16" t="s">
        <v>59</v>
      </c>
      <c r="G2" s="16" t="s">
        <v>60</v>
      </c>
      <c r="H2" s="16" t="s">
        <v>61</v>
      </c>
    </row>
    <row r="3" spans="1:8" x14ac:dyDescent="0.25">
      <c r="A3" s="3" t="s">
        <v>62</v>
      </c>
      <c r="B3" s="4">
        <v>7561</v>
      </c>
      <c r="C3" s="4">
        <v>3790</v>
      </c>
      <c r="D3" s="4">
        <v>1435</v>
      </c>
      <c r="E3" s="7">
        <f t="shared" ref="E3:E14" si="0">C3+D3</f>
        <v>5225</v>
      </c>
      <c r="F3" s="7">
        <f t="shared" ref="F3:F14" si="1">B3-E3</f>
        <v>2336</v>
      </c>
      <c r="G3" s="8">
        <f t="shared" ref="G3:G14" si="2">IFERROR(F3/B3,0)</f>
        <v>0.30895384208438037</v>
      </c>
      <c r="H3" s="7">
        <f>SUM(F$3:F3)</f>
        <v>2336</v>
      </c>
    </row>
    <row r="4" spans="1:8" x14ac:dyDescent="0.25">
      <c r="A4" s="3" t="s">
        <v>63</v>
      </c>
      <c r="B4" s="4">
        <v>7570</v>
      </c>
      <c r="C4" s="4">
        <v>3841</v>
      </c>
      <c r="D4" s="4">
        <v>1847</v>
      </c>
      <c r="E4" s="7">
        <f t="shared" si="0"/>
        <v>5688</v>
      </c>
      <c r="F4" s="7">
        <f t="shared" si="1"/>
        <v>1882</v>
      </c>
      <c r="G4" s="8">
        <f t="shared" si="2"/>
        <v>0.24861294583883753</v>
      </c>
      <c r="H4" s="7">
        <f>SUM(F$3:F4)</f>
        <v>4218</v>
      </c>
    </row>
    <row r="5" spans="1:8" x14ac:dyDescent="0.25">
      <c r="A5" s="3" t="s">
        <v>64</v>
      </c>
      <c r="B5" s="4">
        <v>7309</v>
      </c>
      <c r="C5" s="4">
        <v>3814</v>
      </c>
      <c r="D5" s="4">
        <v>1497</v>
      </c>
      <c r="E5" s="7">
        <f t="shared" si="0"/>
        <v>5311</v>
      </c>
      <c r="F5" s="7">
        <f t="shared" si="1"/>
        <v>1998</v>
      </c>
      <c r="G5" s="8">
        <f t="shared" si="2"/>
        <v>0.27336160897523604</v>
      </c>
      <c r="H5" s="7">
        <f>SUM(F$3:F5)</f>
        <v>6216</v>
      </c>
    </row>
    <row r="6" spans="1:8" x14ac:dyDescent="0.25">
      <c r="A6" s="3" t="s">
        <v>65</v>
      </c>
      <c r="B6" s="4">
        <v>7446</v>
      </c>
      <c r="C6" s="4">
        <v>3771</v>
      </c>
      <c r="D6" s="4">
        <v>1458</v>
      </c>
      <c r="E6" s="7">
        <f t="shared" si="0"/>
        <v>5229</v>
      </c>
      <c r="F6" s="7">
        <f t="shared" si="1"/>
        <v>2217</v>
      </c>
      <c r="G6" s="8">
        <f t="shared" si="2"/>
        <v>0.2977437550362611</v>
      </c>
      <c r="H6" s="7">
        <f>SUM(F$3:F6)</f>
        <v>8433</v>
      </c>
    </row>
    <row r="7" spans="1:8" x14ac:dyDescent="0.25">
      <c r="A7" s="3" t="s">
        <v>66</v>
      </c>
      <c r="B7" s="4">
        <v>7110</v>
      </c>
      <c r="C7" s="4">
        <v>3813</v>
      </c>
      <c r="D7" s="4">
        <v>1964</v>
      </c>
      <c r="E7" s="7">
        <f t="shared" si="0"/>
        <v>5777</v>
      </c>
      <c r="F7" s="7">
        <f t="shared" si="1"/>
        <v>1333</v>
      </c>
      <c r="G7" s="8">
        <f t="shared" si="2"/>
        <v>0.18748241912798874</v>
      </c>
      <c r="H7" s="7">
        <f>SUM(F$3:F7)</f>
        <v>9766</v>
      </c>
    </row>
    <row r="8" spans="1:8" x14ac:dyDescent="0.25">
      <c r="A8" s="3" t="s">
        <v>67</v>
      </c>
      <c r="B8" s="4">
        <v>7225</v>
      </c>
      <c r="C8" s="4">
        <v>3777</v>
      </c>
      <c r="D8" s="4">
        <v>2080</v>
      </c>
      <c r="E8" s="7">
        <f t="shared" si="0"/>
        <v>5857</v>
      </c>
      <c r="F8" s="7">
        <f t="shared" si="1"/>
        <v>1368</v>
      </c>
      <c r="G8" s="8">
        <f t="shared" si="2"/>
        <v>0.18934256055363322</v>
      </c>
      <c r="H8" s="7">
        <f>SUM(F$3:F8)</f>
        <v>11134</v>
      </c>
    </row>
    <row r="9" spans="1:8" x14ac:dyDescent="0.25">
      <c r="A9" s="3" t="s">
        <v>68</v>
      </c>
      <c r="B9" s="4">
        <v>7523</v>
      </c>
      <c r="C9" s="4">
        <v>3821</v>
      </c>
      <c r="D9" s="4">
        <v>1820</v>
      </c>
      <c r="E9" s="7">
        <f t="shared" si="0"/>
        <v>5641</v>
      </c>
      <c r="F9" s="7">
        <f t="shared" si="1"/>
        <v>1882</v>
      </c>
      <c r="G9" s="8">
        <f t="shared" si="2"/>
        <v>0.25016615711817092</v>
      </c>
      <c r="H9" s="7">
        <f>SUM(F$3:F9)</f>
        <v>13016</v>
      </c>
    </row>
    <row r="10" spans="1:8" x14ac:dyDescent="0.25">
      <c r="A10" s="3" t="s">
        <v>69</v>
      </c>
      <c r="B10" s="4">
        <v>7158</v>
      </c>
      <c r="C10" s="4">
        <v>3810</v>
      </c>
      <c r="D10" s="4">
        <v>1522</v>
      </c>
      <c r="E10" s="7">
        <f t="shared" si="0"/>
        <v>5332</v>
      </c>
      <c r="F10" s="7">
        <f t="shared" si="1"/>
        <v>1826</v>
      </c>
      <c r="G10" s="8">
        <f t="shared" si="2"/>
        <v>0.25509918971779827</v>
      </c>
      <c r="H10" s="7">
        <f>SUM(F$3:F10)</f>
        <v>14842</v>
      </c>
    </row>
    <row r="11" spans="1:8" x14ac:dyDescent="0.25">
      <c r="A11" s="3" t="s">
        <v>70</v>
      </c>
      <c r="B11" s="4">
        <v>7028</v>
      </c>
      <c r="C11" s="4">
        <v>3759</v>
      </c>
      <c r="D11" s="4">
        <v>1733</v>
      </c>
      <c r="E11" s="7">
        <f t="shared" si="0"/>
        <v>5492</v>
      </c>
      <c r="F11" s="7">
        <f t="shared" si="1"/>
        <v>1536</v>
      </c>
      <c r="G11" s="8">
        <f t="shared" si="2"/>
        <v>0.21855435401252135</v>
      </c>
      <c r="H11" s="7">
        <f>SUM(F$3:F11)</f>
        <v>16378</v>
      </c>
    </row>
    <row r="12" spans="1:8" x14ac:dyDescent="0.25">
      <c r="A12" s="3" t="s">
        <v>71</v>
      </c>
      <c r="B12" s="4">
        <v>7065</v>
      </c>
      <c r="C12" s="4">
        <v>3766</v>
      </c>
      <c r="D12" s="4">
        <v>1810</v>
      </c>
      <c r="E12" s="7">
        <f t="shared" si="0"/>
        <v>5576</v>
      </c>
      <c r="F12" s="7">
        <f t="shared" si="1"/>
        <v>1489</v>
      </c>
      <c r="G12" s="8">
        <f t="shared" si="2"/>
        <v>0.21075725406935597</v>
      </c>
      <c r="H12" s="7">
        <f>SUM(F$3:F12)</f>
        <v>17867</v>
      </c>
    </row>
    <row r="13" spans="1:8" x14ac:dyDescent="0.25">
      <c r="A13" s="3" t="s">
        <v>72</v>
      </c>
      <c r="B13" s="4">
        <v>7166</v>
      </c>
      <c r="C13" s="4">
        <v>3766</v>
      </c>
      <c r="D13" s="4">
        <v>1357</v>
      </c>
      <c r="E13" s="7">
        <f t="shared" si="0"/>
        <v>5123</v>
      </c>
      <c r="F13" s="7">
        <f t="shared" si="1"/>
        <v>2043</v>
      </c>
      <c r="G13" s="8">
        <f t="shared" si="2"/>
        <v>0.28509628802679321</v>
      </c>
      <c r="H13" s="7">
        <f>SUM(F$3:F13)</f>
        <v>19910</v>
      </c>
    </row>
    <row r="14" spans="1:8" x14ac:dyDescent="0.25">
      <c r="A14" s="3" t="s">
        <v>73</v>
      </c>
      <c r="B14" s="4">
        <v>7561</v>
      </c>
      <c r="C14" s="4">
        <v>3787</v>
      </c>
      <c r="D14" s="4">
        <v>1647</v>
      </c>
      <c r="E14" s="7">
        <f t="shared" si="0"/>
        <v>5434</v>
      </c>
      <c r="F14" s="7">
        <f t="shared" si="1"/>
        <v>2127</v>
      </c>
      <c r="G14" s="8">
        <f t="shared" si="2"/>
        <v>0.28131199576775556</v>
      </c>
      <c r="H14" s="7">
        <f>SUM(F$3:F14)</f>
        <v>22037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9" t="s">
        <v>74</v>
      </c>
      <c r="B16" s="10">
        <f>SUM(B3:B14)</f>
        <v>87722</v>
      </c>
      <c r="C16" s="10">
        <f>SUM(C3:C14)</f>
        <v>45515</v>
      </c>
      <c r="D16" s="10">
        <f>SUM(D3:D14)</f>
        <v>20170</v>
      </c>
      <c r="E16" s="10">
        <f>SUM(E3:E14)</f>
        <v>65685</v>
      </c>
      <c r="F16" s="10">
        <f>SUM(F3:F14)</f>
        <v>22037</v>
      </c>
      <c r="G16" s="11">
        <f>IFERROR(F16/B16,0)</f>
        <v>0.25121406260687174</v>
      </c>
      <c r="H16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showGridLines="0" workbookViewId="0">
      <selection activeCell="H6" sqref="H6"/>
    </sheetView>
  </sheetViews>
  <sheetFormatPr defaultRowHeight="15" x14ac:dyDescent="0.25"/>
  <cols>
    <col min="1" max="1" width="26.140625" customWidth="1"/>
    <col min="2" max="5" width="20" customWidth="1"/>
    <col min="6" max="10" width="15" customWidth="1"/>
  </cols>
  <sheetData>
    <row r="1" spans="1:10" ht="18" x14ac:dyDescent="0.25">
      <c r="A1" s="1" t="s">
        <v>75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25">
      <c r="A2" s="15" t="s">
        <v>76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  <c r="I2" s="16" t="s">
        <v>84</v>
      </c>
      <c r="J2" s="16" t="s">
        <v>85</v>
      </c>
    </row>
    <row r="3" spans="1:10" x14ac:dyDescent="0.25">
      <c r="A3" s="3" t="s">
        <v>86</v>
      </c>
      <c r="B3" s="4">
        <v>15000</v>
      </c>
      <c r="C3" s="4">
        <v>8200</v>
      </c>
      <c r="D3" s="4">
        <v>400</v>
      </c>
      <c r="E3" s="5">
        <v>4.4999999999999998E-2</v>
      </c>
      <c r="F3" s="6">
        <v>45292</v>
      </c>
      <c r="G3" s="12">
        <f t="shared" ref="G3:G8" si="0">IFERROR(NPER(E3/12,-D3,-C3,B3),0)</f>
        <v>15.365546439185445</v>
      </c>
      <c r="H3" s="6">
        <f t="shared" ref="H3:H8" ca="1" si="1">IF(G3&lt;=0,TODAY(),TODAY()+G3*30.44)</f>
        <v>46588.727233608806</v>
      </c>
      <c r="I3" s="8">
        <f t="shared" ref="I3:I8" si="2">MIN(1,C3/B3)</f>
        <v>0.54666666666666663</v>
      </c>
      <c r="J3" s="3" t="str">
        <f t="shared" ref="J3:J8" si="3">IF(C3&gt;=B3,"Reached",IF(G3&lt;120,"On Track","Behind"))</f>
        <v>On Track</v>
      </c>
    </row>
    <row r="4" spans="1:10" x14ac:dyDescent="0.25">
      <c r="A4" s="3" t="s">
        <v>87</v>
      </c>
      <c r="B4" s="4">
        <v>60000</v>
      </c>
      <c r="C4" s="4">
        <v>12000</v>
      </c>
      <c r="D4" s="4">
        <v>800</v>
      </c>
      <c r="E4" s="5">
        <v>0.05</v>
      </c>
      <c r="F4" s="6">
        <v>45444</v>
      </c>
      <c r="G4" s="12">
        <f t="shared" si="0"/>
        <v>50.81976380820489</v>
      </c>
      <c r="H4" s="6">
        <f t="shared" ca="1" si="1"/>
        <v>47667.953610321754</v>
      </c>
      <c r="I4" s="8">
        <f t="shared" si="2"/>
        <v>0.2</v>
      </c>
      <c r="J4" s="3" t="str">
        <f t="shared" si="3"/>
        <v>On Track</v>
      </c>
    </row>
    <row r="5" spans="1:10" x14ac:dyDescent="0.25">
      <c r="A5" s="3" t="s">
        <v>88</v>
      </c>
      <c r="B5" s="4">
        <v>5000</v>
      </c>
      <c r="C5" s="4">
        <v>2100</v>
      </c>
      <c r="D5" s="4">
        <v>250</v>
      </c>
      <c r="E5" s="5">
        <v>0.02</v>
      </c>
      <c r="F5" s="6">
        <v>45658</v>
      </c>
      <c r="G5" s="12">
        <f t="shared" si="0"/>
        <v>11.341591430227052</v>
      </c>
      <c r="H5" s="6">
        <f t="shared" ca="1" si="1"/>
        <v>46466.238043136109</v>
      </c>
      <c r="I5" s="8">
        <f t="shared" si="2"/>
        <v>0.42</v>
      </c>
      <c r="J5" s="3" t="str">
        <f t="shared" si="3"/>
        <v>On Track</v>
      </c>
    </row>
    <row r="6" spans="1:10" x14ac:dyDescent="0.25">
      <c r="A6" s="3" t="s">
        <v>89</v>
      </c>
      <c r="B6" s="4">
        <v>8000</v>
      </c>
      <c r="C6" s="4">
        <v>1500</v>
      </c>
      <c r="D6" s="4">
        <v>200</v>
      </c>
      <c r="E6" s="5">
        <v>0.03</v>
      </c>
      <c r="F6" s="6">
        <v>45717</v>
      </c>
      <c r="G6" s="12">
        <f t="shared" si="0"/>
        <v>30.731868623416165</v>
      </c>
      <c r="H6" s="6">
        <f t="shared" ca="1" si="1"/>
        <v>47056.478080896792</v>
      </c>
      <c r="I6" s="8">
        <f t="shared" si="2"/>
        <v>0.1875</v>
      </c>
      <c r="J6" s="3" t="str">
        <f t="shared" si="3"/>
        <v>On Track</v>
      </c>
    </row>
    <row r="7" spans="1:10" x14ac:dyDescent="0.25">
      <c r="A7" s="3" t="s">
        <v>90</v>
      </c>
      <c r="B7" s="4">
        <v>40000</v>
      </c>
      <c r="C7" s="4">
        <v>8500</v>
      </c>
      <c r="D7" s="4">
        <v>200</v>
      </c>
      <c r="E7" s="5">
        <v>7.0000000000000007E-2</v>
      </c>
      <c r="F7" s="6">
        <v>45170</v>
      </c>
      <c r="G7" s="12">
        <f t="shared" si="0"/>
        <v>94.855200185291736</v>
      </c>
      <c r="H7" s="6">
        <f t="shared" ca="1" si="1"/>
        <v>49008.392293640281</v>
      </c>
      <c r="I7" s="8">
        <f t="shared" si="2"/>
        <v>0.21249999999999999</v>
      </c>
      <c r="J7" s="3" t="str">
        <f t="shared" si="3"/>
        <v>On Track</v>
      </c>
    </row>
    <row r="8" spans="1:10" x14ac:dyDescent="0.25">
      <c r="A8" s="3" t="s">
        <v>91</v>
      </c>
      <c r="B8" s="4">
        <v>200000</v>
      </c>
      <c r="C8" s="4">
        <v>32000</v>
      </c>
      <c r="D8" s="4">
        <v>500</v>
      </c>
      <c r="E8" s="5">
        <v>0.08</v>
      </c>
      <c r="F8" s="6">
        <v>44562</v>
      </c>
      <c r="G8" s="12">
        <f t="shared" si="0"/>
        <v>142.06278794063053</v>
      </c>
      <c r="H8" s="6">
        <f t="shared" ca="1" si="1"/>
        <v>50445.391264912796</v>
      </c>
      <c r="I8" s="8">
        <f t="shared" si="2"/>
        <v>0.16</v>
      </c>
      <c r="J8" s="3" t="str">
        <f t="shared" si="3"/>
        <v>Behind</v>
      </c>
    </row>
  </sheetData>
  <conditionalFormatting sqref="J3:J8">
    <cfRule type="cellIs" dxfId="4" priority="1" operator="equal">
      <formula>"Reached"</formula>
    </cfRule>
    <cfRule type="cellIs" dxfId="3" priority="2" operator="equal">
      <formula>"On Track"</formula>
    </cfRule>
    <cfRule type="cellIs" dxfId="2" priority="3" operator="equal">
      <formula>"Behind"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showGridLines="0" workbookViewId="0">
      <selection activeCell="D4" sqref="D4"/>
    </sheetView>
  </sheetViews>
  <sheetFormatPr defaultRowHeight="15" x14ac:dyDescent="0.25"/>
  <cols>
    <col min="1" max="1" width="27" customWidth="1"/>
    <col min="2" max="2" width="40" customWidth="1"/>
    <col min="3" max="3" width="22" customWidth="1"/>
    <col min="4" max="4" width="10" customWidth="1"/>
    <col min="5" max="5" width="14" customWidth="1"/>
    <col min="6" max="6" width="17" customWidth="1"/>
  </cols>
  <sheetData>
    <row r="1" spans="1:6" ht="18" x14ac:dyDescent="0.25">
      <c r="A1" s="1" t="s">
        <v>92</v>
      </c>
      <c r="B1" s="2"/>
      <c r="C1" s="2"/>
      <c r="D1" s="2"/>
      <c r="E1" s="2"/>
      <c r="F1" s="2"/>
    </row>
    <row r="2" spans="1:6" x14ac:dyDescent="0.25">
      <c r="A2" s="9" t="s">
        <v>93</v>
      </c>
      <c r="B2" s="10">
        <f>SUMPRODUCT((Accounts!$C$3:$C$18="Brokerage")*Accounts!$E$3:$E$18)+SUMPRODUCT((Accounts!$C$3:$C$18="401k")*Accounts!$E$3:$E$18)+SUMPRODUCT((Accounts!$C$3:$C$18="IRA")*Accounts!$E$3:$E$18)+SUMPRODUCT((Accounts!$C$3:$C$18="Roth IRA")*Accounts!$E$3:$E$18)+SUMPRODUCT((Accounts!$C$3:$C$18="HSA")*Accounts!$E$3:$E$18)+SUMPRODUCT((Accounts!$C$3:$C$18="529")*Accounts!$E$3:$E$18)+SUMPRODUCT((Accounts!$C$3:$C$18="Crypto")*Accounts!$E$3:$E$18)</f>
        <v>197900</v>
      </c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15" t="s">
        <v>4</v>
      </c>
      <c r="B4" s="16" t="s">
        <v>94</v>
      </c>
      <c r="C4" s="16" t="s">
        <v>95</v>
      </c>
      <c r="D4" s="16" t="s">
        <v>96</v>
      </c>
      <c r="E4" s="16" t="s">
        <v>97</v>
      </c>
      <c r="F4" s="16" t="s">
        <v>98</v>
      </c>
    </row>
    <row r="5" spans="1:6" x14ac:dyDescent="0.25">
      <c r="A5" s="3" t="s">
        <v>12</v>
      </c>
      <c r="B5" s="7">
        <f>SUMPRODUCT((Accounts!$D$3:$D$18="Cash")*Accounts!$E$3:$E$18)</f>
        <v>23800</v>
      </c>
      <c r="C5" s="8">
        <f t="shared" ref="C5:C10" si="0">IFERROR(B5/$B$2,0)</f>
        <v>0.12026275896917635</v>
      </c>
      <c r="D5" s="5">
        <v>0.05</v>
      </c>
      <c r="E5" s="8">
        <f t="shared" ref="E5:E10" si="1">C5-D5</f>
        <v>7.0262758969176345E-2</v>
      </c>
      <c r="F5" s="7">
        <f t="shared" ref="F5:F10" si="2">(D5*$B$2)-B5</f>
        <v>-13905</v>
      </c>
    </row>
    <row r="6" spans="1:6" x14ac:dyDescent="0.25">
      <c r="A6" s="3" t="s">
        <v>29</v>
      </c>
      <c r="B6" s="7">
        <f>SUMPRODUCT((Accounts!$D$3:$D$18="US Bonds")*Accounts!$E$3:$E$18)</f>
        <v>12000</v>
      </c>
      <c r="C6" s="8">
        <f t="shared" si="0"/>
        <v>6.0636685194542697E-2</v>
      </c>
      <c r="D6" s="5">
        <v>0.1</v>
      </c>
      <c r="E6" s="8">
        <f t="shared" si="1"/>
        <v>-3.9363314805457308E-2</v>
      </c>
      <c r="F6" s="7">
        <f t="shared" si="2"/>
        <v>7790</v>
      </c>
    </row>
    <row r="7" spans="1:6" x14ac:dyDescent="0.25">
      <c r="A7" s="3" t="s">
        <v>19</v>
      </c>
      <c r="B7" s="7">
        <f>SUMPRODUCT((Accounts!$D$3:$D$18="US Equity")*Accounts!$E$3:$E$18)</f>
        <v>166700</v>
      </c>
      <c r="C7" s="8">
        <f t="shared" si="0"/>
        <v>0.84234461849418896</v>
      </c>
      <c r="D7" s="5">
        <v>0.5</v>
      </c>
      <c r="E7" s="8">
        <f t="shared" si="1"/>
        <v>0.34234461849418896</v>
      </c>
      <c r="F7" s="7">
        <f t="shared" si="2"/>
        <v>-67750</v>
      </c>
    </row>
    <row r="8" spans="1:6" x14ac:dyDescent="0.25">
      <c r="A8" s="3" t="s">
        <v>22</v>
      </c>
      <c r="B8" s="7">
        <f>SUMPRODUCT((Accounts!$D$3:$D$18="Intl Equity")*Accounts!$E$3:$E$18)</f>
        <v>15000</v>
      </c>
      <c r="C8" s="8">
        <f t="shared" si="0"/>
        <v>7.5795856493178368E-2</v>
      </c>
      <c r="D8" s="5">
        <v>0.15</v>
      </c>
      <c r="E8" s="8">
        <f t="shared" si="1"/>
        <v>-7.4204143506821627E-2</v>
      </c>
      <c r="F8" s="7">
        <f t="shared" si="2"/>
        <v>14685</v>
      </c>
    </row>
    <row r="9" spans="1:6" x14ac:dyDescent="0.25">
      <c r="A9" s="3" t="s">
        <v>39</v>
      </c>
      <c r="B9" s="7">
        <f>SUMPRODUCT((Accounts!$D$3:$D$18="Real Estate")*Accounts!$E$3:$E$18)</f>
        <v>95000</v>
      </c>
      <c r="C9" s="8">
        <f t="shared" si="0"/>
        <v>0.48004042445679634</v>
      </c>
      <c r="D9" s="5">
        <v>0.1</v>
      </c>
      <c r="E9" s="8">
        <f t="shared" si="1"/>
        <v>0.38004042445679631</v>
      </c>
      <c r="F9" s="7">
        <f t="shared" si="2"/>
        <v>-75210</v>
      </c>
    </row>
    <row r="10" spans="1:6" x14ac:dyDescent="0.25">
      <c r="A10" s="3" t="s">
        <v>36</v>
      </c>
      <c r="B10" s="7">
        <f>SUMPRODUCT((Accounts!$D$3:$D$18="Alternatives")*Accounts!$E$3:$E$18)</f>
        <v>4200</v>
      </c>
      <c r="C10" s="8">
        <f t="shared" si="0"/>
        <v>2.1222839818089943E-2</v>
      </c>
      <c r="D10" s="5">
        <v>0.1</v>
      </c>
      <c r="E10" s="8">
        <f t="shared" si="1"/>
        <v>-7.8777160181910055E-2</v>
      </c>
      <c r="F10" s="7">
        <f t="shared" si="2"/>
        <v>15590</v>
      </c>
    </row>
  </sheetData>
  <conditionalFormatting sqref="F5:F1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4"/>
  <sheetViews>
    <sheetView showGridLines="0" zoomScale="85" zoomScaleNormal="85" workbookViewId="0">
      <selection activeCell="D24" sqref="D24"/>
    </sheetView>
  </sheetViews>
  <sheetFormatPr defaultRowHeight="15" x14ac:dyDescent="0.25"/>
  <cols>
    <col min="1" max="1" width="26" customWidth="1"/>
    <col min="2" max="2" width="40" customWidth="1"/>
    <col min="3" max="3" width="4" customWidth="1"/>
    <col min="4" max="4" width="14" customWidth="1"/>
    <col min="5" max="5" width="17" customWidth="1"/>
  </cols>
  <sheetData>
    <row r="1" spans="1:5" ht="18" x14ac:dyDescent="0.25">
      <c r="A1" s="1" t="s">
        <v>99</v>
      </c>
      <c r="B1" s="2"/>
      <c r="C1" s="2"/>
      <c r="D1" s="2"/>
      <c r="E1" s="2"/>
    </row>
    <row r="2" spans="1:5" x14ac:dyDescent="0.25">
      <c r="A2" s="13" t="s">
        <v>100</v>
      </c>
      <c r="B2" s="2"/>
      <c r="C2" s="2"/>
      <c r="D2" s="2"/>
      <c r="E2" s="2"/>
    </row>
    <row r="3" spans="1:5" x14ac:dyDescent="0.25">
      <c r="A3" s="13" t="s">
        <v>101</v>
      </c>
      <c r="B3" s="10">
        <f>(SUMPRODUCT((Accounts!$C$3:$C$18="Checking")*Accounts!$E$3:$E$18)+SUMPRODUCT((Accounts!$C$3:$C$18="Savings")*Accounts!$E$3:$E$18)+SUMPRODUCT((Accounts!$C$3:$C$18="Brokerage")*Accounts!$E$3:$E$18)+SUMPRODUCT((Accounts!$C$3:$C$18="401k")*Accounts!$E$3:$E$18)+SUMPRODUCT((Accounts!$C$3:$C$18="IRA")*Accounts!$E$3:$E$18)+SUMPRODUCT((Accounts!$C$3:$C$18="Roth IRA")*Accounts!$E$3:$E$18)+SUMPRODUCT((Accounts!$C$3:$C$18="HSA")*Accounts!$E$3:$E$18)+SUMPRODUCT((Accounts!$C$3:$C$18="529")*Accounts!$E$3:$E$18)+SUMPRODUCT((Accounts!$C$3:$C$18="Crypto")*Accounts!$E$3:$E$18)+SUMPRODUCT((Accounts!$C$3:$C$18="Real Estate")*Accounts!$E$3:$E$18)+SUMPRODUCT((Accounts!$C$3:$C$18="Vehicle")*Accounts!$E$3:$E$18))-(SUMPRODUCT((Accounts!$C$3:$C$18="Credit Card")*Accounts!$E$3:$E$18)+SUMPRODUCT((Accounts!$C$3:$C$18="Student Loan")*Accounts!$E$3:$E$18)+SUMPRODUCT((Accounts!$C$3:$C$18="Mortgage")*Accounts!$E$3:$E$18)+SUMPRODUCT((Accounts!$C$3:$C$18="Auto Loan")*Accounts!$E$3:$E$18))</f>
        <v>81700</v>
      </c>
      <c r="C3" s="2"/>
      <c r="D3" s="2"/>
      <c r="E3" s="2"/>
    </row>
    <row r="4" spans="1:5" x14ac:dyDescent="0.25">
      <c r="A4" s="13" t="s">
        <v>102</v>
      </c>
      <c r="B4" s="11">
        <f>AVERAGE('Cash Flow'!G12:'Cash Flow'!G14)</f>
        <v>0.25905517928796823</v>
      </c>
      <c r="C4" s="2"/>
      <c r="D4" s="2"/>
      <c r="E4" s="2"/>
    </row>
    <row r="5" spans="1:5" x14ac:dyDescent="0.25">
      <c r="A5" s="13" t="s">
        <v>103</v>
      </c>
      <c r="B5" s="14">
        <f>MIN(Goals!G3:G8)</f>
        <v>11.341591430227052</v>
      </c>
      <c r="C5" s="2"/>
      <c r="D5" s="2"/>
      <c r="E5" s="2"/>
    </row>
    <row r="6" spans="1:5" x14ac:dyDescent="0.25">
      <c r="A6" s="13" t="s">
        <v>104</v>
      </c>
      <c r="B6" s="11">
        <f>MAX(ABS(Allocation!E5:E10))</f>
        <v>3.9363314805457308E-2</v>
      </c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19" t="s">
        <v>4</v>
      </c>
      <c r="B9" s="19" t="s">
        <v>95</v>
      </c>
      <c r="C9" s="2"/>
      <c r="D9" s="19" t="s">
        <v>4</v>
      </c>
      <c r="E9" s="19" t="s">
        <v>96</v>
      </c>
    </row>
    <row r="10" spans="1:5" x14ac:dyDescent="0.25">
      <c r="A10" s="3" t="s">
        <v>12</v>
      </c>
      <c r="B10" s="8">
        <f>Allocation!C5</f>
        <v>0.12026275896917635</v>
      </c>
      <c r="C10" s="2"/>
      <c r="D10" s="3" t="s">
        <v>12</v>
      </c>
      <c r="E10" s="8">
        <f>Allocation!D5</f>
        <v>0.05</v>
      </c>
    </row>
    <row r="11" spans="1:5" x14ac:dyDescent="0.25">
      <c r="A11" s="3" t="s">
        <v>29</v>
      </c>
      <c r="B11" s="8">
        <f>Allocation!C6</f>
        <v>6.0636685194542697E-2</v>
      </c>
      <c r="C11" s="2"/>
      <c r="D11" s="3" t="s">
        <v>29</v>
      </c>
      <c r="E11" s="8">
        <f>Allocation!D6</f>
        <v>0.1</v>
      </c>
    </row>
    <row r="12" spans="1:5" x14ac:dyDescent="0.25">
      <c r="A12" s="3" t="s">
        <v>19</v>
      </c>
      <c r="B12" s="8">
        <f>Allocation!C7</f>
        <v>0.84234461849418896</v>
      </c>
      <c r="C12" s="2"/>
      <c r="D12" s="3" t="s">
        <v>19</v>
      </c>
      <c r="E12" s="8">
        <f>Allocation!D7</f>
        <v>0.5</v>
      </c>
    </row>
    <row r="13" spans="1:5" x14ac:dyDescent="0.25">
      <c r="A13" s="3" t="s">
        <v>22</v>
      </c>
      <c r="B13" s="8">
        <f>Allocation!C8</f>
        <v>7.5795856493178368E-2</v>
      </c>
      <c r="C13" s="2"/>
      <c r="D13" s="3" t="s">
        <v>22</v>
      </c>
      <c r="E13" s="8">
        <f>Allocation!D8</f>
        <v>0.15</v>
      </c>
    </row>
    <row r="14" spans="1:5" x14ac:dyDescent="0.25">
      <c r="A14" s="3" t="s">
        <v>39</v>
      </c>
      <c r="B14" s="8">
        <f>Allocation!C9</f>
        <v>0.48004042445679634</v>
      </c>
      <c r="C14" s="2"/>
      <c r="D14" s="3" t="s">
        <v>39</v>
      </c>
      <c r="E14" s="8">
        <f>Allocation!D9</f>
        <v>0.1</v>
      </c>
    </row>
    <row r="15" spans="1:5" x14ac:dyDescent="0.25">
      <c r="A15" s="3" t="s">
        <v>36</v>
      </c>
      <c r="B15" s="8">
        <f>Allocation!C10</f>
        <v>2.1222839818089943E-2</v>
      </c>
      <c r="C15" s="2"/>
      <c r="D15" s="3" t="s">
        <v>36</v>
      </c>
      <c r="E15" s="8">
        <f>Allocation!D10</f>
        <v>0.1</v>
      </c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19" t="s">
        <v>105</v>
      </c>
      <c r="B18" s="19" t="s">
        <v>84</v>
      </c>
      <c r="C18" s="2"/>
      <c r="D18" s="2"/>
      <c r="E18" s="2"/>
    </row>
    <row r="19" spans="1:5" x14ac:dyDescent="0.25">
      <c r="A19" s="3" t="str">
        <f>Goals!A3</f>
        <v>Emergency Fund</v>
      </c>
      <c r="B19" s="8">
        <f>Goals!I3</f>
        <v>0.54666666666666663</v>
      </c>
      <c r="C19" s="2"/>
      <c r="D19" s="2"/>
      <c r="E19" s="2"/>
    </row>
    <row r="20" spans="1:5" x14ac:dyDescent="0.25">
      <c r="A20" s="3" t="str">
        <f>Goals!A4</f>
        <v>House Down Payment</v>
      </c>
      <c r="B20" s="8">
        <f>Goals!I4</f>
        <v>0.2</v>
      </c>
      <c r="C20" s="2"/>
      <c r="D20" s="2"/>
      <c r="E20" s="2"/>
    </row>
    <row r="21" spans="1:5" x14ac:dyDescent="0.25">
      <c r="A21" s="3" t="str">
        <f>Goals!A5</f>
        <v>Vacation Fund</v>
      </c>
      <c r="B21" s="8">
        <f>Goals!I5</f>
        <v>0.42</v>
      </c>
      <c r="C21" s="2"/>
      <c r="D21" s="2"/>
      <c r="E21" s="2"/>
    </row>
    <row r="22" spans="1:5" x14ac:dyDescent="0.25">
      <c r="A22" s="3" t="str">
        <f>Goals!A6</f>
        <v>New Car Fund</v>
      </c>
      <c r="B22" s="8">
        <f>Goals!I6</f>
        <v>0.1875</v>
      </c>
      <c r="C22" s="2"/>
      <c r="D22" s="2"/>
      <c r="E22" s="2"/>
    </row>
    <row r="23" spans="1:5" x14ac:dyDescent="0.25">
      <c r="A23" s="3" t="str">
        <f>Goals!A7</f>
        <v>Kids College (529)</v>
      </c>
      <c r="B23" s="8">
        <f>Goals!I7</f>
        <v>0.21249999999999999</v>
      </c>
      <c r="C23" s="2"/>
      <c r="D23" s="2"/>
      <c r="E23" s="2"/>
    </row>
    <row r="24" spans="1:5" x14ac:dyDescent="0.25">
      <c r="A24" s="3" t="str">
        <f>Goals!A8</f>
        <v>Early Retirement Buffer</v>
      </c>
      <c r="B24" s="8">
        <f>Goals!I8</f>
        <v>0.16</v>
      </c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19" t="s">
        <v>54</v>
      </c>
      <c r="B26" s="19" t="s">
        <v>59</v>
      </c>
      <c r="C26" s="2"/>
      <c r="D26" s="2"/>
      <c r="E26" s="2"/>
    </row>
    <row r="27" spans="1:5" x14ac:dyDescent="0.25">
      <c r="A27" s="3" t="s">
        <v>62</v>
      </c>
      <c r="B27" s="7">
        <f>'Cash Flow'!F3</f>
        <v>2336</v>
      </c>
      <c r="C27" s="2"/>
      <c r="D27" s="2"/>
      <c r="E27" s="2"/>
    </row>
    <row r="28" spans="1:5" x14ac:dyDescent="0.25">
      <c r="A28" s="3" t="s">
        <v>63</v>
      </c>
      <c r="B28" s="7">
        <f>'Cash Flow'!F4</f>
        <v>1882</v>
      </c>
      <c r="C28" s="2"/>
      <c r="D28" s="2"/>
      <c r="E28" s="2"/>
    </row>
    <row r="29" spans="1:5" x14ac:dyDescent="0.25">
      <c r="A29" s="3" t="s">
        <v>64</v>
      </c>
      <c r="B29" s="7">
        <f>'Cash Flow'!F5</f>
        <v>1998</v>
      </c>
      <c r="C29" s="2"/>
      <c r="D29" s="2"/>
      <c r="E29" s="2"/>
    </row>
    <row r="30" spans="1:5" x14ac:dyDescent="0.25">
      <c r="A30" s="3" t="s">
        <v>65</v>
      </c>
      <c r="B30" s="7">
        <f>'Cash Flow'!F6</f>
        <v>2217</v>
      </c>
      <c r="C30" s="2"/>
      <c r="D30" s="2"/>
      <c r="E30" s="2"/>
    </row>
    <row r="31" spans="1:5" x14ac:dyDescent="0.25">
      <c r="A31" s="3" t="s">
        <v>66</v>
      </c>
      <c r="B31" s="7">
        <f>'Cash Flow'!F7</f>
        <v>1333</v>
      </c>
      <c r="C31" s="2"/>
      <c r="D31" s="2"/>
      <c r="E31" s="2"/>
    </row>
    <row r="32" spans="1:5" x14ac:dyDescent="0.25">
      <c r="A32" s="3" t="s">
        <v>67</v>
      </c>
      <c r="B32" s="7">
        <f>'Cash Flow'!F8</f>
        <v>1368</v>
      </c>
      <c r="C32" s="2"/>
      <c r="D32" s="2"/>
      <c r="E32" s="2"/>
    </row>
    <row r="33" spans="1:5" x14ac:dyDescent="0.25">
      <c r="A33" s="3" t="s">
        <v>68</v>
      </c>
      <c r="B33" s="7">
        <f>'Cash Flow'!F9</f>
        <v>1882</v>
      </c>
      <c r="C33" s="2"/>
      <c r="D33" s="2"/>
      <c r="E33" s="2"/>
    </row>
    <row r="34" spans="1:5" x14ac:dyDescent="0.25">
      <c r="A34" s="3" t="s">
        <v>69</v>
      </c>
      <c r="B34" s="7">
        <f>'Cash Flow'!F10</f>
        <v>1826</v>
      </c>
      <c r="C34" s="2"/>
      <c r="D34" s="2"/>
      <c r="E34" s="2"/>
    </row>
    <row r="35" spans="1:5" x14ac:dyDescent="0.25">
      <c r="A35" s="3" t="s">
        <v>70</v>
      </c>
      <c r="B35" s="7">
        <f>'Cash Flow'!F11</f>
        <v>1536</v>
      </c>
      <c r="C35" s="2"/>
      <c r="D35" s="2"/>
      <c r="E35" s="2"/>
    </row>
    <row r="36" spans="1:5" x14ac:dyDescent="0.25">
      <c r="A36" s="3" t="s">
        <v>71</v>
      </c>
      <c r="B36" s="7">
        <f>'Cash Flow'!F12</f>
        <v>1489</v>
      </c>
      <c r="C36" s="2"/>
      <c r="D36" s="2"/>
      <c r="E36" s="2"/>
    </row>
    <row r="37" spans="1:5" x14ac:dyDescent="0.25">
      <c r="A37" s="3" t="s">
        <v>72</v>
      </c>
      <c r="B37" s="7">
        <f>'Cash Flow'!F13</f>
        <v>2043</v>
      </c>
      <c r="C37" s="2"/>
      <c r="D37" s="2"/>
      <c r="E37" s="2"/>
    </row>
    <row r="38" spans="1:5" x14ac:dyDescent="0.25">
      <c r="A38" s="3" t="s">
        <v>73</v>
      </c>
      <c r="B38" s="7">
        <f>'Cash Flow'!F14</f>
        <v>2127</v>
      </c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C42" s="2"/>
      <c r="D42" s="2"/>
      <c r="E42" s="2"/>
    </row>
    <row r="43" spans="1:5" x14ac:dyDescent="0.25">
      <c r="C43" s="2"/>
      <c r="D43" s="2"/>
      <c r="E43" s="2"/>
    </row>
    <row r="44" spans="1:5" x14ac:dyDescent="0.25">
      <c r="C44" s="2"/>
      <c r="D44" s="2"/>
      <c r="E44" s="2"/>
    </row>
    <row r="45" spans="1:5" x14ac:dyDescent="0.25">
      <c r="C45" s="2"/>
      <c r="D45" s="2"/>
      <c r="E45" s="2"/>
    </row>
    <row r="46" spans="1:5" x14ac:dyDescent="0.25">
      <c r="C46" s="2"/>
      <c r="D46" s="2"/>
      <c r="E46" s="2"/>
    </row>
    <row r="47" spans="1:5" x14ac:dyDescent="0.25">
      <c r="C47" s="2"/>
      <c r="D47" s="2"/>
      <c r="E47" s="2"/>
    </row>
    <row r="48" spans="1:5" x14ac:dyDescent="0.25">
      <c r="C48" s="2"/>
      <c r="D48" s="2"/>
      <c r="E48" s="2"/>
    </row>
    <row r="49" spans="3:5" x14ac:dyDescent="0.25">
      <c r="C49" s="2"/>
      <c r="D49" s="2"/>
      <c r="E49" s="2"/>
    </row>
    <row r="50" spans="3:5" x14ac:dyDescent="0.25">
      <c r="C50" s="2"/>
      <c r="D50" s="2"/>
      <c r="E50" s="2"/>
    </row>
    <row r="51" spans="3:5" x14ac:dyDescent="0.25">
      <c r="C51" s="2"/>
      <c r="D51" s="2"/>
      <c r="E51" s="2"/>
    </row>
    <row r="52" spans="3:5" x14ac:dyDescent="0.25">
      <c r="C52" s="2"/>
      <c r="D52" s="2"/>
      <c r="E52" s="2"/>
    </row>
    <row r="53" spans="3:5" x14ac:dyDescent="0.25">
      <c r="C53" s="2"/>
      <c r="D53" s="2"/>
      <c r="E53" s="2"/>
    </row>
    <row r="54" spans="3:5" x14ac:dyDescent="0.25">
      <c r="C54" s="2"/>
      <c r="D54" s="2"/>
      <c r="E54" s="2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showGridLines="0" zoomScale="145" zoomScaleNormal="145" workbookViewId="0">
      <selection activeCell="A5" sqref="A5"/>
    </sheetView>
  </sheetViews>
  <sheetFormatPr defaultRowHeight="15" x14ac:dyDescent="0.25"/>
  <cols>
    <col min="1" max="1" width="40" customWidth="1"/>
  </cols>
  <sheetData>
    <row r="1" spans="1:1" x14ac:dyDescent="0.25">
      <c r="A1" s="17" t="s">
        <v>99</v>
      </c>
    </row>
    <row r="2" spans="1:1" x14ac:dyDescent="0.25">
      <c r="A2" s="18" t="s">
        <v>106</v>
      </c>
    </row>
    <row r="3" spans="1:1" x14ac:dyDescent="0.25">
      <c r="A3" s="18" t="s">
        <v>107</v>
      </c>
    </row>
    <row r="4" spans="1:1" x14ac:dyDescent="0.25">
      <c r="A4" s="18" t="s">
        <v>108</v>
      </c>
    </row>
    <row r="5" spans="1:1" x14ac:dyDescent="0.25">
      <c r="A5" s="18" t="s">
        <v>109</v>
      </c>
    </row>
    <row r="6" spans="1:1" x14ac:dyDescent="0.25">
      <c r="A6" s="18" t="s">
        <v>110</v>
      </c>
    </row>
    <row r="7" spans="1:1" x14ac:dyDescent="0.25">
      <c r="A7" s="18" t="s">
        <v>111</v>
      </c>
    </row>
    <row r="8" spans="1:1" x14ac:dyDescent="0.25">
      <c r="A8" s="18" t="s">
        <v>112</v>
      </c>
    </row>
    <row r="9" spans="1:1" x14ac:dyDescent="0.25">
      <c r="A9" s="1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Accounts</vt:lpstr>
      <vt:lpstr>Cash Flow</vt:lpstr>
      <vt:lpstr>Goals</vt:lpstr>
      <vt:lpstr>Allocation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Frenzel, Tim</cp:lastModifiedBy>
  <dcterms:created xsi:type="dcterms:W3CDTF">2026-04-10T00:39:17Z</dcterms:created>
  <dcterms:modified xsi:type="dcterms:W3CDTF">2026-04-10T00:50:14Z</dcterms:modified>
</cp:coreProperties>
</file>