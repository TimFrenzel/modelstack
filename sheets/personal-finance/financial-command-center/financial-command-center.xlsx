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Goals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yyyy-mm-dd"/>
    <numFmt numFmtId="167" formatCode="m/d/yyyy"/>
  </numFmts>
  <fonts count="14">
    <font>
      <name val="Calibri"/>
      <family val="2"/>
      <color theme="1"/>
      <sz val="11"/>
      <scheme val="minor"/>
    </font>
    <font>
      <name val="Calibri"/>
      <b val="1"/>
      <color rgb="003E3428"/>
      <sz val="14"/>
    </font>
    <font>
      <name val="Calibri"/>
      <b val="1"/>
      <color rgb="00F4F1EC"/>
      <sz val="11"/>
    </font>
    <font>
      <name val="Calibri"/>
      <color rgb="003E3428"/>
      <sz val="11"/>
    </font>
    <font>
      <name val="Calibri"/>
      <b val="1"/>
      <color rgb="003E3428"/>
      <sz val="11"/>
    </font>
    <font>
      <name val="Calibri"/>
      <b val="1"/>
      <color rgb="002E6B6B"/>
      <sz val="11"/>
    </font>
    <font>
      <name val="Calibri"/>
      <color rgb="00999999"/>
      <sz val="11"/>
    </font>
    <font>
      <name val="Arial"/>
      <b val="1"/>
      <color rgb="003E3428"/>
      <sz val="14"/>
    </font>
    <font>
      <name val="Arial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3E3428"/>
      <sz val="11"/>
    </font>
    <font>
      <name val="Arial"/>
      <b val="1"/>
      <color rgb="003E3428"/>
      <sz val="11"/>
    </font>
    <font>
      <name val="Arial"/>
      <b val="1"/>
      <color rgb="002E6B6B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2E6B6B"/>
      </patternFill>
    </fill>
    <fill>
      <patternFill patternType="solid">
        <fgColor rgb="00E8E3DA"/>
      </patternFill>
    </fill>
  </fills>
  <borders count="2">
    <border>
      <left/>
      <right/>
      <top/>
      <bottom/>
      <diagonal/>
    </border>
    <border>
      <bottom style="thin">
        <color rgb="00B8AFA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4" fontId="10" fillId="3" borderId="0" applyAlignment="1" pivotButton="0" quotePrefix="0" xfId="0">
      <alignment vertical="center"/>
    </xf>
    <xf numFmtId="165" fontId="10" fillId="3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3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ill>
        <patternFill patternType="solid">
          <fgColor rgb="00C8D8B0"/>
        </patternFill>
      </fill>
    </dxf>
    <dxf>
      <fill>
        <patternFill patternType="solid">
          <fgColor rgb="00B0C8D8"/>
        </patternFill>
      </fill>
    </dxf>
    <dxf>
      <fill>
        <patternFill patternType="solid">
          <fgColor rgb="00E8C88A"/>
        </patternFill>
      </fill>
    </dxf>
    <dxf>
      <fill>
        <patternFill patternType="solid">
          <fgColor rgb="00D8A8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Allocation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'Dashboard'!$B$11:$B$16</f>
            </numRef>
          </cat>
          <val>
            <numRef>
              <f>'Dashboard'!$C$11:$C$16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Allocation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'Dashboard'!$E$11:$E$16</f>
            </numRef>
          </cat>
          <val>
            <numRef>
              <f>'Dashboard'!$F$11:$F$16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Goal Progress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'Dashboard'!$B$20:$B$25</f>
            </numRef>
          </cat>
          <val>
            <numRef>
              <f>'Dashboard'!$C$20:$C$25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Surplus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'Dashboard'!$B$44:$B$55</f>
            </numRef>
          </cat>
          <val>
            <numRef>
              <f>'Dashboard'!$C$44:$C$55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9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18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42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6" customWidth="1" min="5" max="5"/>
    <col width="20" customWidth="1" min="6" max="6"/>
    <col width="22" customWidth="1" min="7" max="7"/>
    <col width="14" customWidth="1" min="8" max="8"/>
  </cols>
  <sheetData>
    <row r="1"/>
    <row r="2">
      <c r="B2" s="1" t="inlineStr">
        <is>
          <t>Account Registry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Account Name</t>
        </is>
      </c>
      <c r="C3" s="4" t="inlineStr">
        <is>
          <t>Institution</t>
        </is>
      </c>
      <c r="D3" s="4" t="inlineStr">
        <is>
          <t>Type</t>
        </is>
      </c>
      <c r="E3" s="4" t="inlineStr">
        <is>
          <t>Asset Class</t>
        </is>
      </c>
      <c r="F3" s="4" t="inlineStr">
        <is>
          <t>Current Balance</t>
        </is>
      </c>
      <c r="G3" s="4" t="inlineStr">
        <is>
          <t>Monthly Contribution</t>
        </is>
      </c>
      <c r="H3" s="4" t="inlineStr">
        <is>
          <t>Expected Annual Return</t>
        </is>
      </c>
      <c r="I3" s="4" t="inlineStr">
        <is>
          <t>Last Updated</t>
        </is>
      </c>
    </row>
    <row r="4">
      <c r="B4" s="5" t="inlineStr">
        <is>
          <t>Chase Checking</t>
        </is>
      </c>
      <c r="C4" s="5" t="inlineStr">
        <is>
          <t>Chase</t>
        </is>
      </c>
      <c r="D4" s="5" t="inlineStr">
        <is>
          <t>Checking</t>
        </is>
      </c>
      <c r="E4" s="5" t="inlineStr">
        <is>
          <t>Cash</t>
        </is>
      </c>
      <c r="F4" s="6" t="n">
        <v>5800</v>
      </c>
      <c r="G4" s="6" t="n">
        <v>0</v>
      </c>
      <c r="H4" s="7" t="n">
        <v>0.005</v>
      </c>
      <c r="I4" s="8" t="n">
        <v>45748</v>
      </c>
    </row>
    <row r="5">
      <c r="B5" s="5" t="inlineStr">
        <is>
          <t>Ally HYSA</t>
        </is>
      </c>
      <c r="C5" s="5" t="inlineStr">
        <is>
          <t>Ally</t>
        </is>
      </c>
      <c r="D5" s="5" t="inlineStr">
        <is>
          <t>Savings</t>
        </is>
      </c>
      <c r="E5" s="5" t="inlineStr">
        <is>
          <t>Cash</t>
        </is>
      </c>
      <c r="F5" s="6" t="n">
        <v>18000</v>
      </c>
      <c r="G5" s="6" t="n">
        <v>500</v>
      </c>
      <c r="H5" s="7" t="n">
        <v>0.045</v>
      </c>
      <c r="I5" s="8" t="n">
        <v>45748</v>
      </c>
    </row>
    <row r="6">
      <c r="B6" s="5" t="inlineStr">
        <is>
          <t>Vanguard Total Market</t>
        </is>
      </c>
      <c r="C6" s="5" t="inlineStr">
        <is>
          <t>Vanguard</t>
        </is>
      </c>
      <c r="D6" s="5" t="inlineStr">
        <is>
          <t>Brokerage</t>
        </is>
      </c>
      <c r="E6" s="5" t="inlineStr">
        <is>
          <t>US Equity</t>
        </is>
      </c>
      <c r="F6" s="6" t="n">
        <v>42000</v>
      </c>
      <c r="G6" s="6" t="n">
        <v>400</v>
      </c>
      <c r="H6" s="7" t="n">
        <v>0.08</v>
      </c>
      <c r="I6" s="8" t="n">
        <v>45748</v>
      </c>
    </row>
    <row r="7">
      <c r="B7" s="5" t="inlineStr">
        <is>
          <t>Fidelity Intl Fund</t>
        </is>
      </c>
      <c r="C7" s="5" t="inlineStr">
        <is>
          <t>Fidelity</t>
        </is>
      </c>
      <c r="D7" s="5" t="inlineStr">
        <is>
          <t>Brokerage</t>
        </is>
      </c>
      <c r="E7" s="5" t="inlineStr">
        <is>
          <t>Intl Equity</t>
        </is>
      </c>
      <c r="F7" s="6" t="n">
        <v>15000</v>
      </c>
      <c r="G7" s="6" t="n">
        <v>200</v>
      </c>
      <c r="H7" s="7" t="n">
        <v>0.07000000000000001</v>
      </c>
      <c r="I7" s="8" t="n">
        <v>45748</v>
      </c>
    </row>
    <row r="8">
      <c r="B8" s="5" t="inlineStr">
        <is>
          <t>Company 401k</t>
        </is>
      </c>
      <c r="C8" s="5" t="inlineStr">
        <is>
          <t>Fidelity</t>
        </is>
      </c>
      <c r="D8" s="5" t="inlineStr">
        <is>
          <t>401k</t>
        </is>
      </c>
      <c r="E8" s="5" t="inlineStr">
        <is>
          <t>US Equity</t>
        </is>
      </c>
      <c r="F8" s="6" t="n">
        <v>78000</v>
      </c>
      <c r="G8" s="6" t="n">
        <v>750</v>
      </c>
      <c r="H8" s="7" t="n">
        <v>0.08</v>
      </c>
      <c r="I8" s="8" t="n">
        <v>45748</v>
      </c>
    </row>
    <row r="9">
      <c r="B9" s="5" t="inlineStr">
        <is>
          <t>Roth IRA</t>
        </is>
      </c>
      <c r="C9" s="5" t="inlineStr">
        <is>
          <t>Vanguard</t>
        </is>
      </c>
      <c r="D9" s="5" t="inlineStr">
        <is>
          <t>Roth IRA</t>
        </is>
      </c>
      <c r="E9" s="5" t="inlineStr">
        <is>
          <t>US Equity</t>
        </is>
      </c>
      <c r="F9" s="6" t="n">
        <v>32000</v>
      </c>
      <c r="G9" s="6" t="n">
        <v>500</v>
      </c>
      <c r="H9" s="7" t="n">
        <v>0.08</v>
      </c>
      <c r="I9" s="8" t="n">
        <v>45748</v>
      </c>
    </row>
    <row r="10">
      <c r="B10" s="5" t="inlineStr">
        <is>
          <t>Traditional IRA</t>
        </is>
      </c>
      <c r="C10" s="5" t="inlineStr">
        <is>
          <t>Schwab</t>
        </is>
      </c>
      <c r="D10" s="5" t="inlineStr">
        <is>
          <t>IRA</t>
        </is>
      </c>
      <c r="E10" s="5" t="inlineStr">
        <is>
          <t>US Bonds</t>
        </is>
      </c>
      <c r="F10" s="6" t="n">
        <v>12000</v>
      </c>
      <c r="G10" s="6" t="n">
        <v>0</v>
      </c>
      <c r="H10" s="7" t="n">
        <v>0.04</v>
      </c>
      <c r="I10" s="8" t="n">
        <v>45748</v>
      </c>
    </row>
    <row r="11">
      <c r="B11" s="5" t="inlineStr">
        <is>
          <t>HSA</t>
        </is>
      </c>
      <c r="C11" s="5" t="inlineStr">
        <is>
          <t>Optum</t>
        </is>
      </c>
      <c r="D11" s="5" t="inlineStr">
        <is>
          <t>HSA</t>
        </is>
      </c>
      <c r="E11" s="5" t="inlineStr">
        <is>
          <t>US Equity</t>
        </is>
      </c>
      <c r="F11" s="6" t="n">
        <v>6200</v>
      </c>
      <c r="G11" s="6" t="n">
        <v>150</v>
      </c>
      <c r="H11" s="7" t="n">
        <v>0.07000000000000001</v>
      </c>
      <c r="I11" s="8" t="n">
        <v>45748</v>
      </c>
    </row>
    <row r="12">
      <c r="B12" s="5" t="inlineStr">
        <is>
          <t>529 Plan</t>
        </is>
      </c>
      <c r="C12" s="5" t="inlineStr">
        <is>
          <t>Vanguard</t>
        </is>
      </c>
      <c r="D12" s="5" t="inlineStr">
        <is>
          <t>529</t>
        </is>
      </c>
      <c r="E12" s="5" t="inlineStr">
        <is>
          <t>US Equity</t>
        </is>
      </c>
      <c r="F12" s="6" t="n">
        <v>8500</v>
      </c>
      <c r="G12" s="6" t="n">
        <v>200</v>
      </c>
      <c r="H12" s="7" t="n">
        <v>0.07000000000000001</v>
      </c>
      <c r="I12" s="8" t="n">
        <v>45748</v>
      </c>
    </row>
    <row r="13">
      <c r="B13" s="5" t="inlineStr">
        <is>
          <t>Coinbase</t>
        </is>
      </c>
      <c r="C13" s="5" t="inlineStr">
        <is>
          <t>Coinbase</t>
        </is>
      </c>
      <c r="D13" s="5" t="inlineStr">
        <is>
          <t>Crypto</t>
        </is>
      </c>
      <c r="E13" s="5" t="inlineStr">
        <is>
          <t>Alternatives</t>
        </is>
      </c>
      <c r="F13" s="6" t="n">
        <v>4200</v>
      </c>
      <c r="G13" s="6" t="n">
        <v>0</v>
      </c>
      <c r="H13" s="7" t="n">
        <v>0.1</v>
      </c>
      <c r="I13" s="8" t="n">
        <v>45748</v>
      </c>
    </row>
    <row r="14">
      <c r="B14" s="5" t="inlineStr">
        <is>
          <t>Home Equity</t>
        </is>
      </c>
      <c r="C14" s="5" t="inlineStr">
        <is>
          <t>Zillow Est.</t>
        </is>
      </c>
      <c r="D14" s="5" t="inlineStr">
        <is>
          <t>Real Estate</t>
        </is>
      </c>
      <c r="E14" s="5" t="inlineStr">
        <is>
          <t>Real Estate</t>
        </is>
      </c>
      <c r="F14" s="6" t="n">
        <v>95000</v>
      </c>
      <c r="G14" s="6" t="n">
        <v>0</v>
      </c>
      <c r="H14" s="7" t="n">
        <v>0.03</v>
      </c>
      <c r="I14" s="8" t="n">
        <v>45748</v>
      </c>
    </row>
    <row r="15">
      <c r="B15" s="5" t="inlineStr">
        <is>
          <t>Car Value</t>
        </is>
      </c>
      <c r="C15" s="5" t="inlineStr">
        <is>
          <t>KBB Est.</t>
        </is>
      </c>
      <c r="D15" s="5" t="inlineStr">
        <is>
          <t>Vehicle</t>
        </is>
      </c>
      <c r="E15" s="5" t="inlineStr">
        <is>
          <t>N-A</t>
        </is>
      </c>
      <c r="F15" s="6" t="n">
        <v>16000</v>
      </c>
      <c r="G15" s="6" t="n">
        <v>0</v>
      </c>
      <c r="H15" s="7" t="n">
        <v>-0.1</v>
      </c>
      <c r="I15" s="8" t="n">
        <v>45748</v>
      </c>
    </row>
    <row r="16">
      <c r="B16" s="5" t="inlineStr">
        <is>
          <t>Chase Visa</t>
        </is>
      </c>
      <c r="C16" s="5" t="inlineStr">
        <is>
          <t>Chase</t>
        </is>
      </c>
      <c r="D16" s="5" t="inlineStr">
        <is>
          <t>Credit Card</t>
        </is>
      </c>
      <c r="E16" s="5" t="inlineStr">
        <is>
          <t>N-A</t>
        </is>
      </c>
      <c r="F16" s="6" t="n">
        <v>3200</v>
      </c>
      <c r="G16" s="6" t="n">
        <v>0</v>
      </c>
      <c r="H16" s="7" t="n">
        <v>0</v>
      </c>
      <c r="I16" s="8" t="n">
        <v>45748</v>
      </c>
    </row>
    <row r="17">
      <c r="B17" s="5" t="inlineStr">
        <is>
          <t>Student Loans</t>
        </is>
      </c>
      <c r="C17" s="5" t="inlineStr">
        <is>
          <t>Navient</t>
        </is>
      </c>
      <c r="D17" s="5" t="inlineStr">
        <is>
          <t>Student Loan</t>
        </is>
      </c>
      <c r="E17" s="5" t="inlineStr">
        <is>
          <t>N-A</t>
        </is>
      </c>
      <c r="F17" s="6" t="n">
        <v>28000</v>
      </c>
      <c r="G17" s="6" t="n">
        <v>0</v>
      </c>
      <c r="H17" s="7" t="n">
        <v>0</v>
      </c>
      <c r="I17" s="8" t="n">
        <v>45748</v>
      </c>
    </row>
    <row r="18">
      <c r="B18" s="5" t="inlineStr">
        <is>
          <t>Mortgage</t>
        </is>
      </c>
      <c r="C18" s="5" t="inlineStr">
        <is>
          <t>Wells Fargo</t>
        </is>
      </c>
      <c r="D18" s="5" t="inlineStr">
        <is>
          <t>Mortgage</t>
        </is>
      </c>
      <c r="E18" s="5" t="inlineStr">
        <is>
          <t>N-A</t>
        </is>
      </c>
      <c r="F18" s="6" t="n">
        <v>210000</v>
      </c>
      <c r="G18" s="6" t="n">
        <v>0</v>
      </c>
      <c r="H18" s="7" t="n">
        <v>0</v>
      </c>
      <c r="I18" s="8" t="n">
        <v>45748</v>
      </c>
    </row>
    <row r="19">
      <c r="B19" s="5" t="inlineStr">
        <is>
          <t>Auto Loan</t>
        </is>
      </c>
      <c r="C19" s="5" t="inlineStr">
        <is>
          <t>Capital One</t>
        </is>
      </c>
      <c r="D19" s="5" t="inlineStr">
        <is>
          <t>Auto Loan</t>
        </is>
      </c>
      <c r="E19" s="5" t="inlineStr">
        <is>
          <t>N-A</t>
        </is>
      </c>
      <c r="F19" s="6" t="n">
        <v>9800</v>
      </c>
      <c r="G19" s="6" t="n">
        <v>0</v>
      </c>
      <c r="H19" s="7" t="n">
        <v>0</v>
      </c>
      <c r="I19" s="8" t="n">
        <v>45748</v>
      </c>
    </row>
  </sheetData>
  <dataValidations count="2">
    <dataValidation sqref="D4 D5 D6 D7 D8 D9 D10 D11 D12 D13 D14 D15 D16 D17 D18 D19" showDropDown="0" showInputMessage="0" showErrorMessage="0" allowBlank="0" type="list">
      <formula1>"Checking,Savings,Brokerage,401k,IRA,Roth IRA,HSA,529,Crypto,Real Estate,Vehicle,Credit Card,Student Loan,Mortgage,Auto Loan"</formula1>
    </dataValidation>
    <dataValidation sqref="E4 E5 E6 E7 E8 E9 E10 E11 E12 E13 E14 E15 E16 E17 E18 E19" showDropDown="0" showInputMessage="0" showErrorMessage="0" allowBlank="0" type="list">
      <formula1>"Cash,US Bonds,US Equity,Intl Equity,Real Estate,Alternatives,N-A"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>
      <c r="B2" s="1" t="inlineStr">
        <is>
          <t>Monthly Cash Flow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Month</t>
        </is>
      </c>
      <c r="C3" s="4" t="inlineStr">
        <is>
          <t>Total Income</t>
        </is>
      </c>
      <c r="D3" s="4" t="inlineStr">
        <is>
          <t>Fixed Expenses</t>
        </is>
      </c>
      <c r="E3" s="4" t="inlineStr">
        <is>
          <t>Variable Expenses</t>
        </is>
      </c>
      <c r="F3" s="4" t="inlineStr">
        <is>
          <t>Total Expenses</t>
        </is>
      </c>
      <c r="G3" s="4" t="inlineStr">
        <is>
          <t>Net Surplus</t>
        </is>
      </c>
      <c r="H3" s="4" t="inlineStr">
        <is>
          <t>Savings Rate</t>
        </is>
      </c>
      <c r="I3" s="4" t="inlineStr">
        <is>
          <t>YTD Surplus</t>
        </is>
      </c>
    </row>
    <row r="4">
      <c r="B4" s="5" t="inlineStr">
        <is>
          <t>Jan</t>
        </is>
      </c>
      <c r="C4" s="6" t="n">
        <v>7561</v>
      </c>
      <c r="D4" s="6" t="n">
        <v>3790</v>
      </c>
      <c r="E4" s="6" t="n">
        <v>1435</v>
      </c>
      <c r="F4" s="9">
        <f>D4+E4</f>
        <v/>
      </c>
      <c r="G4" s="9">
        <f>C4-F4</f>
        <v/>
      </c>
      <c r="H4" s="10">
        <f>IFERROR(G4/C4,0)</f>
        <v/>
      </c>
      <c r="I4" s="9">
        <f>SUM(G$4:G4)</f>
        <v/>
      </c>
    </row>
    <row r="5">
      <c r="B5" s="5" t="inlineStr">
        <is>
          <t>Feb</t>
        </is>
      </c>
      <c r="C5" s="6" t="n">
        <v>7570</v>
      </c>
      <c r="D5" s="6" t="n">
        <v>3841</v>
      </c>
      <c r="E5" s="6" t="n">
        <v>1847</v>
      </c>
      <c r="F5" s="9">
        <f>D5+E5</f>
        <v/>
      </c>
      <c r="G5" s="9">
        <f>C5-F5</f>
        <v/>
      </c>
      <c r="H5" s="10">
        <f>IFERROR(G5/C5,0)</f>
        <v/>
      </c>
      <c r="I5" s="9">
        <f>SUM(G$4:G5)</f>
        <v/>
      </c>
    </row>
    <row r="6">
      <c r="B6" s="5" t="inlineStr">
        <is>
          <t>Mar</t>
        </is>
      </c>
      <c r="C6" s="6" t="n">
        <v>7309</v>
      </c>
      <c r="D6" s="6" t="n">
        <v>3814</v>
      </c>
      <c r="E6" s="6" t="n">
        <v>1497</v>
      </c>
      <c r="F6" s="9">
        <f>D6+E6</f>
        <v/>
      </c>
      <c r="G6" s="9">
        <f>C6-F6</f>
        <v/>
      </c>
      <c r="H6" s="10">
        <f>IFERROR(G6/C6,0)</f>
        <v/>
      </c>
      <c r="I6" s="9">
        <f>SUM(G$4:G6)</f>
        <v/>
      </c>
    </row>
    <row r="7">
      <c r="B7" s="5" t="inlineStr">
        <is>
          <t>Apr</t>
        </is>
      </c>
      <c r="C7" s="6" t="n">
        <v>7446</v>
      </c>
      <c r="D7" s="6" t="n">
        <v>3771</v>
      </c>
      <c r="E7" s="6" t="n">
        <v>1458</v>
      </c>
      <c r="F7" s="9">
        <f>D7+E7</f>
        <v/>
      </c>
      <c r="G7" s="9">
        <f>C7-F7</f>
        <v/>
      </c>
      <c r="H7" s="10">
        <f>IFERROR(G7/C7,0)</f>
        <v/>
      </c>
      <c r="I7" s="9">
        <f>SUM(G$4:G7)</f>
        <v/>
      </c>
    </row>
    <row r="8">
      <c r="B8" s="5" t="inlineStr">
        <is>
          <t>May</t>
        </is>
      </c>
      <c r="C8" s="6" t="n">
        <v>7110</v>
      </c>
      <c r="D8" s="6" t="n">
        <v>3813</v>
      </c>
      <c r="E8" s="6" t="n">
        <v>1964</v>
      </c>
      <c r="F8" s="9">
        <f>D8+E8</f>
        <v/>
      </c>
      <c r="G8" s="9">
        <f>C8-F8</f>
        <v/>
      </c>
      <c r="H8" s="10">
        <f>IFERROR(G8/C8,0)</f>
        <v/>
      </c>
      <c r="I8" s="9">
        <f>SUM(G$4:G8)</f>
        <v/>
      </c>
    </row>
    <row r="9">
      <c r="B9" s="5" t="inlineStr">
        <is>
          <t>Jun</t>
        </is>
      </c>
      <c r="C9" s="6" t="n">
        <v>7225</v>
      </c>
      <c r="D9" s="6" t="n">
        <v>3777</v>
      </c>
      <c r="E9" s="6" t="n">
        <v>2080</v>
      </c>
      <c r="F9" s="9">
        <f>D9+E9</f>
        <v/>
      </c>
      <c r="G9" s="9">
        <f>C9-F9</f>
        <v/>
      </c>
      <c r="H9" s="10">
        <f>IFERROR(G9/C9,0)</f>
        <v/>
      </c>
      <c r="I9" s="9">
        <f>SUM(G$4:G9)</f>
        <v/>
      </c>
    </row>
    <row r="10">
      <c r="B10" s="5" t="inlineStr">
        <is>
          <t>Jul</t>
        </is>
      </c>
      <c r="C10" s="6" t="n">
        <v>7523</v>
      </c>
      <c r="D10" s="6" t="n">
        <v>3821</v>
      </c>
      <c r="E10" s="6" t="n">
        <v>1820</v>
      </c>
      <c r="F10" s="9">
        <f>D10+E10</f>
        <v/>
      </c>
      <c r="G10" s="9">
        <f>C10-F10</f>
        <v/>
      </c>
      <c r="H10" s="10">
        <f>IFERROR(G10/C10,0)</f>
        <v/>
      </c>
      <c r="I10" s="9">
        <f>SUM(G$4:G10)</f>
        <v/>
      </c>
    </row>
    <row r="11">
      <c r="B11" s="5" t="inlineStr">
        <is>
          <t>Aug</t>
        </is>
      </c>
      <c r="C11" s="6" t="n">
        <v>7158</v>
      </c>
      <c r="D11" s="6" t="n">
        <v>3810</v>
      </c>
      <c r="E11" s="6" t="n">
        <v>1522</v>
      </c>
      <c r="F11" s="9">
        <f>D11+E11</f>
        <v/>
      </c>
      <c r="G11" s="9">
        <f>C11-F11</f>
        <v/>
      </c>
      <c r="H11" s="10">
        <f>IFERROR(G11/C11,0)</f>
        <v/>
      </c>
      <c r="I11" s="9">
        <f>SUM(G$4:G11)</f>
        <v/>
      </c>
    </row>
    <row r="12">
      <c r="B12" s="5" t="inlineStr">
        <is>
          <t>Sep</t>
        </is>
      </c>
      <c r="C12" s="6" t="n">
        <v>7028</v>
      </c>
      <c r="D12" s="6" t="n">
        <v>3759</v>
      </c>
      <c r="E12" s="6" t="n">
        <v>1733</v>
      </c>
      <c r="F12" s="9">
        <f>D12+E12</f>
        <v/>
      </c>
      <c r="G12" s="9">
        <f>C12-F12</f>
        <v/>
      </c>
      <c r="H12" s="10">
        <f>IFERROR(G12/C12,0)</f>
        <v/>
      </c>
      <c r="I12" s="9">
        <f>SUM(G$4:G12)</f>
        <v/>
      </c>
    </row>
    <row r="13">
      <c r="B13" s="5" t="inlineStr">
        <is>
          <t>Oct</t>
        </is>
      </c>
      <c r="C13" s="6" t="n">
        <v>7065</v>
      </c>
      <c r="D13" s="6" t="n">
        <v>3766</v>
      </c>
      <c r="E13" s="6" t="n">
        <v>1810</v>
      </c>
      <c r="F13" s="9">
        <f>D13+E13</f>
        <v/>
      </c>
      <c r="G13" s="9">
        <f>C13-F13</f>
        <v/>
      </c>
      <c r="H13" s="10">
        <f>IFERROR(G13/C13,0)</f>
        <v/>
      </c>
      <c r="I13" s="9">
        <f>SUM(G$4:G13)</f>
        <v/>
      </c>
    </row>
    <row r="14">
      <c r="B14" s="5" t="inlineStr">
        <is>
          <t>Nov</t>
        </is>
      </c>
      <c r="C14" s="6" t="n">
        <v>7166</v>
      </c>
      <c r="D14" s="6" t="n">
        <v>3766</v>
      </c>
      <c r="E14" s="6" t="n">
        <v>1357</v>
      </c>
      <c r="F14" s="9">
        <f>D14+E14</f>
        <v/>
      </c>
      <c r="G14" s="9">
        <f>C14-F14</f>
        <v/>
      </c>
      <c r="H14" s="10">
        <f>IFERROR(G14/C14,0)</f>
        <v/>
      </c>
      <c r="I14" s="9">
        <f>SUM(G$4:G14)</f>
        <v/>
      </c>
    </row>
    <row r="15">
      <c r="B15" s="5" t="inlineStr">
        <is>
          <t>Dec</t>
        </is>
      </c>
      <c r="C15" s="6" t="n">
        <v>7561</v>
      </c>
      <c r="D15" s="6" t="n">
        <v>3787</v>
      </c>
      <c r="E15" s="6" t="n">
        <v>1647</v>
      </c>
      <c r="F15" s="9">
        <f>D15+E15</f>
        <v/>
      </c>
      <c r="G15" s="9">
        <f>C15-F15</f>
        <v/>
      </c>
      <c r="H15" s="10">
        <f>IFERROR(G15/C15,0)</f>
        <v/>
      </c>
      <c r="I15" s="9">
        <f>SUM(G$4:G15)</f>
        <v/>
      </c>
    </row>
    <row r="16"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B17" s="11" t="inlineStr">
        <is>
          <t>Annual Total</t>
        </is>
      </c>
      <c r="C17" s="12">
        <f>SUM(C4:C15)</f>
        <v/>
      </c>
      <c r="D17" s="12">
        <f>SUM(D4:D15)</f>
        <v/>
      </c>
      <c r="E17" s="12">
        <f>SUM(E4:E15)</f>
        <v/>
      </c>
      <c r="F17" s="12">
        <f>SUM(F4:F15)</f>
        <v/>
      </c>
      <c r="G17" s="12">
        <f>SUM(G4:G15)</f>
        <v/>
      </c>
      <c r="H17" s="13">
        <f>IFERROR(G17/C17,0)</f>
        <v/>
      </c>
      <c r="I1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/>
    <row r="2">
      <c r="B2" s="1" t="inlineStr">
        <is>
          <t>Financial Goals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3" t="inlineStr">
        <is>
          <t>Goal Name</t>
        </is>
      </c>
      <c r="C3" s="4" t="inlineStr">
        <is>
          <t>Target</t>
        </is>
      </c>
      <c r="D3" s="4" t="inlineStr">
        <is>
          <t>Current Saved</t>
        </is>
      </c>
      <c r="E3" s="4" t="inlineStr">
        <is>
          <t>Monthly Contrib.</t>
        </is>
      </c>
      <c r="F3" s="4" t="inlineStr">
        <is>
          <t>Expected Return</t>
        </is>
      </c>
      <c r="G3" s="4" t="inlineStr">
        <is>
          <t>Start Date</t>
        </is>
      </c>
      <c r="H3" s="4" t="inlineStr">
        <is>
          <t>Proj. Months</t>
        </is>
      </c>
      <c r="I3" s="4" t="inlineStr">
        <is>
          <t>Proj. Date</t>
        </is>
      </c>
      <c r="J3" s="4" t="inlineStr">
        <is>
          <t>Progress %</t>
        </is>
      </c>
      <c r="K3" s="4" t="inlineStr">
        <is>
          <t>Status</t>
        </is>
      </c>
    </row>
    <row r="4">
      <c r="B4" s="5" t="inlineStr">
        <is>
          <t>Emergency Fund</t>
        </is>
      </c>
      <c r="C4" s="6" t="n">
        <v>15000</v>
      </c>
      <c r="D4" s="6" t="n">
        <v>8200</v>
      </c>
      <c r="E4" s="6" t="n">
        <v>400</v>
      </c>
      <c r="F4" s="7" t="n">
        <v>0.045</v>
      </c>
      <c r="G4" s="8" t="n">
        <v>45292</v>
      </c>
      <c r="H4" s="14">
        <f>IFERROR(NPER(F4/12,-E4,-D4,C4),0)</f>
        <v/>
      </c>
      <c r="I4" s="8">
        <f>IF(H4&lt;=0,TODAY(),TODAY()+H4*30.44)</f>
        <v/>
      </c>
      <c r="J4" s="10">
        <f>MIN(1,D4/C4)</f>
        <v/>
      </c>
      <c r="K4" s="5">
        <f>IF(D4&gt;=C4,"Reached",IF(H4&lt;120,"On Track","Behind"))</f>
        <v/>
      </c>
    </row>
    <row r="5">
      <c r="B5" s="5" t="inlineStr">
        <is>
          <t>House Down Payment</t>
        </is>
      </c>
      <c r="C5" s="6" t="n">
        <v>60000</v>
      </c>
      <c r="D5" s="6" t="n">
        <v>12000</v>
      </c>
      <c r="E5" s="6" t="n">
        <v>800</v>
      </c>
      <c r="F5" s="7" t="n">
        <v>0.05</v>
      </c>
      <c r="G5" s="8" t="n">
        <v>45444</v>
      </c>
      <c r="H5" s="14">
        <f>IFERROR(NPER(F5/12,-E5,-D5,C5),0)</f>
        <v/>
      </c>
      <c r="I5" s="8">
        <f>IF(H5&lt;=0,TODAY(),TODAY()+H5*30.44)</f>
        <v/>
      </c>
      <c r="J5" s="10">
        <f>MIN(1,D5/C5)</f>
        <v/>
      </c>
      <c r="K5" s="5">
        <f>IF(D5&gt;=C5,"Reached",IF(H5&lt;120,"On Track","Behind"))</f>
        <v/>
      </c>
    </row>
    <row r="6">
      <c r="B6" s="5" t="inlineStr">
        <is>
          <t>Vacation Fund</t>
        </is>
      </c>
      <c r="C6" s="6" t="n">
        <v>5000</v>
      </c>
      <c r="D6" s="6" t="n">
        <v>2100</v>
      </c>
      <c r="E6" s="6" t="n">
        <v>250</v>
      </c>
      <c r="F6" s="7" t="n">
        <v>0.02</v>
      </c>
      <c r="G6" s="8" t="n">
        <v>45658</v>
      </c>
      <c r="H6" s="14">
        <f>IFERROR(NPER(F6/12,-E6,-D6,C6),0)</f>
        <v/>
      </c>
      <c r="I6" s="8">
        <f>IF(H6&lt;=0,TODAY(),TODAY()+H6*30.44)</f>
        <v/>
      </c>
      <c r="J6" s="10">
        <f>MIN(1,D6/C6)</f>
        <v/>
      </c>
      <c r="K6" s="5">
        <f>IF(D6&gt;=C6,"Reached",IF(H6&lt;120,"On Track","Behind"))</f>
        <v/>
      </c>
    </row>
    <row r="7">
      <c r="B7" s="5" t="inlineStr">
        <is>
          <t>New Car Fund</t>
        </is>
      </c>
      <c r="C7" s="6" t="n">
        <v>8000</v>
      </c>
      <c r="D7" s="6" t="n">
        <v>1500</v>
      </c>
      <c r="E7" s="6" t="n">
        <v>200</v>
      </c>
      <c r="F7" s="7" t="n">
        <v>0.03</v>
      </c>
      <c r="G7" s="8" t="n">
        <v>45717</v>
      </c>
      <c r="H7" s="14">
        <f>IFERROR(NPER(F7/12,-E7,-D7,C7),0)</f>
        <v/>
      </c>
      <c r="I7" s="8">
        <f>IF(H7&lt;=0,TODAY(),TODAY()+H7*30.44)</f>
        <v/>
      </c>
      <c r="J7" s="10">
        <f>MIN(1,D7/C7)</f>
        <v/>
      </c>
      <c r="K7" s="5">
        <f>IF(D7&gt;=C7,"Reached",IF(H7&lt;120,"On Track","Behind"))</f>
        <v/>
      </c>
    </row>
    <row r="8">
      <c r="B8" s="5" t="inlineStr">
        <is>
          <t>Kids College (529)</t>
        </is>
      </c>
      <c r="C8" s="6" t="n">
        <v>40000</v>
      </c>
      <c r="D8" s="6" t="n">
        <v>8500</v>
      </c>
      <c r="E8" s="6" t="n">
        <v>200</v>
      </c>
      <c r="F8" s="7" t="n">
        <v>0.07000000000000001</v>
      </c>
      <c r="G8" s="8" t="n">
        <v>45170</v>
      </c>
      <c r="H8" s="14">
        <f>IFERROR(NPER(F8/12,-E8,-D8,C8),0)</f>
        <v/>
      </c>
      <c r="I8" s="8">
        <f>IF(H8&lt;=0,TODAY(),TODAY()+H8*30.44)</f>
        <v/>
      </c>
      <c r="J8" s="10">
        <f>MIN(1,D8/C8)</f>
        <v/>
      </c>
      <c r="K8" s="5">
        <f>IF(D8&gt;=C8,"Reached",IF(H8&lt;120,"On Track","Behind"))</f>
        <v/>
      </c>
    </row>
    <row r="9">
      <c r="B9" s="5" t="inlineStr">
        <is>
          <t>Early Retirement Buffer</t>
        </is>
      </c>
      <c r="C9" s="6" t="n">
        <v>200000</v>
      </c>
      <c r="D9" s="6" t="n">
        <v>32000</v>
      </c>
      <c r="E9" s="6" t="n">
        <v>500</v>
      </c>
      <c r="F9" s="7" t="n">
        <v>0.08</v>
      </c>
      <c r="G9" s="8" t="n">
        <v>44562</v>
      </c>
      <c r="H9" s="14">
        <f>IFERROR(NPER(F9/12,-E9,-D9,C9),0)</f>
        <v/>
      </c>
      <c r="I9" s="8">
        <f>IF(H9&lt;=0,TODAY(),TODAY()+H9*30.44)</f>
        <v/>
      </c>
      <c r="J9" s="10">
        <f>MIN(1,D9/C9)</f>
        <v/>
      </c>
      <c r="K9" s="5">
        <f>IF(D9&gt;=C9,"Reached",IF(H9&lt;120,"On Track","Behind"))</f>
        <v/>
      </c>
    </row>
  </sheetData>
  <conditionalFormatting sqref="K4:K9">
    <cfRule type="cellIs" priority="1" operator="equal" dxfId="0">
      <formula>"Reached"</formula>
    </cfRule>
    <cfRule type="cellIs" priority="2" operator="equal" dxfId="1">
      <formula>"On Track"</formula>
    </cfRule>
    <cfRule type="cellIs" priority="3" operator="equal" dxfId="2">
      <formula>"Behind"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/>
    <row r="2">
      <c r="B2" s="1" t="inlineStr">
        <is>
          <t>Asset Allocation Analysis</t>
        </is>
      </c>
      <c r="C2" s="2" t="n"/>
      <c r="D2" s="2" t="n"/>
      <c r="E2" s="2" t="n"/>
      <c r="F2" s="2" t="n"/>
      <c r="G2" s="2" t="n"/>
    </row>
    <row r="3">
      <c r="B3" s="11" t="inlineStr">
        <is>
          <t>Total Investable Assets</t>
        </is>
      </c>
      <c r="C3" s="12">
        <f>SUMPRODUCT((Accounts!$D$4:$D$19="Brokerage")*Accounts!$F$4:$F$19)+SUMPRODUCT((Accounts!$D$4:$D$19="401k")*Accounts!$F$4:$F$19)+SUMPRODUCT((Accounts!$D$4:$D$19="IRA")*Accounts!$F$4:$F$19)+SUMPRODUCT((Accounts!$D$4:$D$19="Roth IRA")*Accounts!$F$4:$F$19)+SUMPRODUCT((Accounts!$D$4:$D$19="HSA")*Accounts!$F$4:$F$19)+SUMPRODUCT((Accounts!$D$4:$D$19="529")*Accounts!$F$4:$F$19)+SUMPRODUCT((Accounts!$D$4:$D$19="Crypto")*Accounts!$F$4:$F$19)</f>
        <v/>
      </c>
      <c r="D3" s="2" t="n"/>
      <c r="E3" s="2" t="n"/>
      <c r="F3" s="2" t="n"/>
      <c r="G3" s="2" t="n"/>
    </row>
    <row r="4">
      <c r="B4" s="2" t="n"/>
      <c r="C4" s="2" t="n"/>
      <c r="D4" s="2" t="n"/>
      <c r="E4" s="2" t="n"/>
      <c r="F4" s="2" t="n"/>
      <c r="G4" s="2" t="n"/>
    </row>
    <row r="5">
      <c r="B5" s="3" t="inlineStr">
        <is>
          <t>Asset Class</t>
        </is>
      </c>
      <c r="C5" s="4" t="inlineStr">
        <is>
          <t>Current $</t>
        </is>
      </c>
      <c r="D5" s="4" t="inlineStr">
        <is>
          <t>Current %</t>
        </is>
      </c>
      <c r="E5" s="4" t="inlineStr">
        <is>
          <t>Target %</t>
        </is>
      </c>
      <c r="F5" s="4" t="inlineStr">
        <is>
          <t>Difference %</t>
        </is>
      </c>
      <c r="G5" s="4" t="inlineStr">
        <is>
          <t>Rebalance $</t>
        </is>
      </c>
    </row>
    <row r="6">
      <c r="B6" s="5" t="inlineStr">
        <is>
          <t>Cash</t>
        </is>
      </c>
      <c r="C6" s="9">
        <f>SUMPRODUCT((Accounts!$E$4:$E$19="Cash")*Accounts!$F$4:$F$19)</f>
        <v/>
      </c>
      <c r="D6" s="10">
        <f>IFERROR(C6/$C$3,0)</f>
        <v/>
      </c>
      <c r="E6" s="7" t="n">
        <v>0.05</v>
      </c>
      <c r="F6" s="10">
        <f>D6-E6</f>
        <v/>
      </c>
      <c r="G6" s="9">
        <f>(E6*$C$3)-C6</f>
        <v/>
      </c>
    </row>
    <row r="7">
      <c r="B7" s="5" t="inlineStr">
        <is>
          <t>US Bonds</t>
        </is>
      </c>
      <c r="C7" s="9">
        <f>SUMPRODUCT((Accounts!$E$4:$E$19="US Bonds")*Accounts!$F$4:$F$19)</f>
        <v/>
      </c>
      <c r="D7" s="10">
        <f>IFERROR(C7/$C$3,0)</f>
        <v/>
      </c>
      <c r="E7" s="7" t="n">
        <v>0.1</v>
      </c>
      <c r="F7" s="10">
        <f>D7-E7</f>
        <v/>
      </c>
      <c r="G7" s="9">
        <f>(E7*$C$3)-C7</f>
        <v/>
      </c>
    </row>
    <row r="8">
      <c r="B8" s="5" t="inlineStr">
        <is>
          <t>US Equity</t>
        </is>
      </c>
      <c r="C8" s="9">
        <f>SUMPRODUCT((Accounts!$E$4:$E$19="US Equity")*Accounts!$F$4:$F$19)</f>
        <v/>
      </c>
      <c r="D8" s="10">
        <f>IFERROR(C8/$C$3,0)</f>
        <v/>
      </c>
      <c r="E8" s="7" t="n">
        <v>0.5</v>
      </c>
      <c r="F8" s="10">
        <f>D8-E8</f>
        <v/>
      </c>
      <c r="G8" s="9">
        <f>(E8*$C$3)-C8</f>
        <v/>
      </c>
    </row>
    <row r="9">
      <c r="B9" s="5" t="inlineStr">
        <is>
          <t>Intl Equity</t>
        </is>
      </c>
      <c r="C9" s="9">
        <f>SUMPRODUCT((Accounts!$E$4:$E$19="Intl Equity")*Accounts!$F$4:$F$19)</f>
        <v/>
      </c>
      <c r="D9" s="10">
        <f>IFERROR(C9/$C$3,0)</f>
        <v/>
      </c>
      <c r="E9" s="7" t="n">
        <v>0.15</v>
      </c>
      <c r="F9" s="10">
        <f>D9-E9</f>
        <v/>
      </c>
      <c r="G9" s="9">
        <f>(E9*$C$3)-C9</f>
        <v/>
      </c>
    </row>
    <row r="10">
      <c r="B10" s="5" t="inlineStr">
        <is>
          <t>Real Estate</t>
        </is>
      </c>
      <c r="C10" s="9">
        <f>SUMPRODUCT((Accounts!$E$4:$E$19="Real Estate")*Accounts!$F$4:$F$19)</f>
        <v/>
      </c>
      <c r="D10" s="10">
        <f>IFERROR(C10/$C$3,0)</f>
        <v/>
      </c>
      <c r="E10" s="7" t="n">
        <v>0.1</v>
      </c>
      <c r="F10" s="10">
        <f>D10-E10</f>
        <v/>
      </c>
      <c r="G10" s="9">
        <f>(E10*$C$3)-C10</f>
        <v/>
      </c>
    </row>
    <row r="11">
      <c r="B11" s="5" t="inlineStr">
        <is>
          <t>Alternatives</t>
        </is>
      </c>
      <c r="C11" s="9">
        <f>SUMPRODUCT((Accounts!$E$4:$E$19="Alternatives")*Accounts!$F$4:$F$19)</f>
        <v/>
      </c>
      <c r="D11" s="10">
        <f>IFERROR(C11/$C$3,0)</f>
        <v/>
      </c>
      <c r="E11" s="7" t="n">
        <v>0.1</v>
      </c>
      <c r="F11" s="10">
        <f>D11-E11</f>
        <v/>
      </c>
      <c r="G11" s="9">
        <f>(E11*$C$3)-C11</f>
        <v/>
      </c>
    </row>
  </sheetData>
  <conditionalFormatting sqref="G6:G11">
    <cfRule type="cellIs" priority="1" operator="greaterThan" dxfId="0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4" customWidth="1" min="3" max="3"/>
    <col width="16" customWidth="1" min="4" max="4"/>
    <col width="14" customWidth="1" min="5" max="5"/>
  </cols>
  <sheetData>
    <row r="1"/>
    <row r="2">
      <c r="B2" s="1" t="inlineStr">
        <is>
          <t>Financial Command Center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15" t="inlineStr">
        <is>
          <t>Total Net Worth</t>
        </is>
      </c>
      <c r="C4" s="12">
        <f>(SUMPRODUCT((Accounts!$D$4:$D$19="Checking")*Accounts!$F$4:$F$19)+SUMPRODUCT((Accounts!$D$4:$D$19="Savings")*Accounts!$F$4:$F$19)+SUMPRODUCT((Accounts!$D$4:$D$19="Brokerage")*Accounts!$F$4:$F$19)+SUMPRODUCT((Accounts!$D$4:$D$19="401k")*Accounts!$F$4:$F$19)+SUMPRODUCT((Accounts!$D$4:$D$19="IRA")*Accounts!$F$4:$F$19)+SUMPRODUCT((Accounts!$D$4:$D$19="Roth IRA")*Accounts!$F$4:$F$19)+SUMPRODUCT((Accounts!$D$4:$D$19="HSA")*Accounts!$F$4:$F$19)+SUMPRODUCT((Accounts!$D$4:$D$19="529")*Accounts!$F$4:$F$19)+SUMPRODUCT((Accounts!$D$4:$D$19="Crypto")*Accounts!$F$4:$F$19)+SUMPRODUCT((Accounts!$D$4:$D$19="Real Estate")*Accounts!$F$4:$F$19)+SUMPRODUCT((Accounts!$D$4:$D$19="Vehicle")*Accounts!$F$4:$F$19))-(SUMPRODUCT((Accounts!$D$4:$D$19="Credit Card")*Accounts!$F$4:$F$19)+SUMPRODUCT((Accounts!$D$4:$D$19="Student Loan")*Accounts!$F$4:$F$19)+SUMPRODUCT((Accounts!$D$4:$D$19="Mortgage")*Accounts!$F$4:$F$19)+SUMPRODUCT((Accounts!$D$4:$D$19="Auto Loan")*Accounts!$F$4:$F$19))</f>
        <v/>
      </c>
      <c r="D4" s="2" t="n"/>
      <c r="E4" s="2" t="n"/>
      <c r="F4" s="2" t="n"/>
    </row>
    <row r="5">
      <c r="B5" s="15" t="inlineStr">
        <is>
          <t>Savings Rate (3-Mo Avg)</t>
        </is>
      </c>
      <c r="C5" s="13">
        <f>AVERAGE('Cash Flow'!H13:'Cash Flow'!H15)</f>
        <v/>
      </c>
      <c r="D5" s="2" t="n"/>
      <c r="E5" s="2" t="n"/>
      <c r="F5" s="2" t="n"/>
    </row>
    <row r="6">
      <c r="B6" s="15" t="inlineStr">
        <is>
          <t>Months to Next Goal</t>
        </is>
      </c>
      <c r="C6" s="16">
        <f>MIN(Goals!H4:H9)</f>
        <v/>
      </c>
      <c r="D6" s="2" t="n"/>
      <c r="E6" s="2" t="n"/>
      <c r="F6" s="2" t="n"/>
    </row>
    <row r="7">
      <c r="B7" s="15" t="inlineStr">
        <is>
          <t>Largest Allocation Gap</t>
        </is>
      </c>
      <c r="C7" s="13">
        <f>MAX(ABS(Allocation!F6:F11))</f>
        <v/>
      </c>
      <c r="D7" s="2" t="n"/>
      <c r="E7" s="2" t="n"/>
      <c r="F7" s="2" t="n"/>
    </row>
    <row r="8">
      <c r="B8" s="2" t="n"/>
      <c r="C8" s="2" t="n"/>
      <c r="D8" s="2" t="n"/>
      <c r="E8" s="2" t="n"/>
      <c r="F8" s="2" t="n"/>
    </row>
    <row r="9">
      <c r="B9" s="2" t="n"/>
      <c r="C9" s="2" t="n"/>
      <c r="D9" s="2" t="n"/>
      <c r="E9" s="2" t="n"/>
      <c r="F9" s="2" t="n"/>
    </row>
    <row r="10">
      <c r="B10" s="17" t="inlineStr">
        <is>
          <t>Asset Class</t>
        </is>
      </c>
      <c r="C10" s="17" t="inlineStr">
        <is>
          <t>Current %</t>
        </is>
      </c>
      <c r="D10" s="2" t="n"/>
      <c r="E10" s="17" t="inlineStr">
        <is>
          <t>Asset Class</t>
        </is>
      </c>
      <c r="F10" s="17" t="inlineStr">
        <is>
          <t>Target %</t>
        </is>
      </c>
    </row>
    <row r="11">
      <c r="B11" s="5" t="inlineStr">
        <is>
          <t>Cash</t>
        </is>
      </c>
      <c r="C11" s="10">
        <f>Allocation!D6</f>
        <v/>
      </c>
      <c r="D11" s="2" t="n"/>
      <c r="E11" s="5" t="inlineStr">
        <is>
          <t>Cash</t>
        </is>
      </c>
      <c r="F11" s="10">
        <f>Allocation!E6</f>
        <v/>
      </c>
    </row>
    <row r="12">
      <c r="B12" s="5" t="inlineStr">
        <is>
          <t>US Bonds</t>
        </is>
      </c>
      <c r="C12" s="10">
        <f>Allocation!D7</f>
        <v/>
      </c>
      <c r="D12" s="2" t="n"/>
      <c r="E12" s="5" t="inlineStr">
        <is>
          <t>US Bonds</t>
        </is>
      </c>
      <c r="F12" s="10">
        <f>Allocation!E7</f>
        <v/>
      </c>
    </row>
    <row r="13">
      <c r="B13" s="5" t="inlineStr">
        <is>
          <t>US Equity</t>
        </is>
      </c>
      <c r="C13" s="10">
        <f>Allocation!D8</f>
        <v/>
      </c>
      <c r="D13" s="2" t="n"/>
      <c r="E13" s="5" t="inlineStr">
        <is>
          <t>US Equity</t>
        </is>
      </c>
      <c r="F13" s="10">
        <f>Allocation!E8</f>
        <v/>
      </c>
    </row>
    <row r="14">
      <c r="B14" s="5" t="inlineStr">
        <is>
          <t>Intl Equity</t>
        </is>
      </c>
      <c r="C14" s="10">
        <f>Allocation!D9</f>
        <v/>
      </c>
      <c r="D14" s="2" t="n"/>
      <c r="E14" s="5" t="inlineStr">
        <is>
          <t>Intl Equity</t>
        </is>
      </c>
      <c r="F14" s="10">
        <f>Allocation!E9</f>
        <v/>
      </c>
    </row>
    <row r="15">
      <c r="B15" s="5" t="inlineStr">
        <is>
          <t>Real Estate</t>
        </is>
      </c>
      <c r="C15" s="10">
        <f>Allocation!D10</f>
        <v/>
      </c>
      <c r="D15" s="2" t="n"/>
      <c r="E15" s="5" t="inlineStr">
        <is>
          <t>Real Estate</t>
        </is>
      </c>
      <c r="F15" s="10">
        <f>Allocation!E10</f>
        <v/>
      </c>
    </row>
    <row r="16">
      <c r="B16" s="5" t="inlineStr">
        <is>
          <t>Alternatives</t>
        </is>
      </c>
      <c r="C16" s="10">
        <f>Allocation!D11</f>
        <v/>
      </c>
      <c r="D16" s="2" t="n"/>
      <c r="E16" s="5" t="inlineStr">
        <is>
          <t>Alternatives</t>
        </is>
      </c>
      <c r="F16" s="10">
        <f>Allocation!E11</f>
        <v/>
      </c>
    </row>
    <row r="17">
      <c r="B17" s="2" t="n"/>
      <c r="C17" s="2" t="n"/>
      <c r="D17" s="2" t="n"/>
      <c r="E17" s="2" t="n"/>
      <c r="F17" s="2" t="n"/>
    </row>
    <row r="18">
      <c r="B18" s="2" t="n"/>
      <c r="C18" s="2" t="n"/>
      <c r="D18" s="2" t="n"/>
      <c r="E18" s="2" t="n"/>
      <c r="F18" s="2" t="n"/>
    </row>
    <row r="19">
      <c r="B19" s="17" t="inlineStr">
        <is>
          <t>Goal</t>
        </is>
      </c>
      <c r="C19" s="17" t="inlineStr">
        <is>
          <t>Progress %</t>
        </is>
      </c>
      <c r="D19" s="2" t="n"/>
      <c r="E19" s="2" t="n"/>
      <c r="F19" s="2" t="n"/>
    </row>
    <row r="20">
      <c r="B20" s="5">
        <f>Goals!B4</f>
        <v/>
      </c>
      <c r="C20" s="10">
        <f>Goals!J4</f>
        <v/>
      </c>
      <c r="D20" s="2" t="n"/>
      <c r="E20" s="2" t="n"/>
      <c r="F20" s="2" t="n"/>
    </row>
    <row r="21">
      <c r="B21" s="5">
        <f>Goals!B5</f>
        <v/>
      </c>
      <c r="C21" s="10">
        <f>Goals!J5</f>
        <v/>
      </c>
      <c r="D21" s="2" t="n"/>
      <c r="E21" s="2" t="n"/>
      <c r="F21" s="2" t="n"/>
    </row>
    <row r="22">
      <c r="B22" s="5">
        <f>Goals!B6</f>
        <v/>
      </c>
      <c r="C22" s="10">
        <f>Goals!J6</f>
        <v/>
      </c>
      <c r="D22" s="2" t="n"/>
      <c r="E22" s="2" t="n"/>
      <c r="F22" s="2" t="n"/>
    </row>
    <row r="23">
      <c r="B23" s="5">
        <f>Goals!B7</f>
        <v/>
      </c>
      <c r="C23" s="10">
        <f>Goals!J7</f>
        <v/>
      </c>
      <c r="D23" s="2" t="n"/>
      <c r="E23" s="2" t="n"/>
      <c r="F23" s="2" t="n"/>
    </row>
    <row r="24">
      <c r="B24" s="5">
        <f>Goals!B8</f>
        <v/>
      </c>
      <c r="C24" s="10">
        <f>Goals!J8</f>
        <v/>
      </c>
      <c r="D24" s="2" t="n"/>
      <c r="E24" s="2" t="n"/>
      <c r="F24" s="2" t="n"/>
    </row>
    <row r="25">
      <c r="B25" s="5">
        <f>Goals!B9</f>
        <v/>
      </c>
      <c r="C25" s="10">
        <f>Goals!J9</f>
        <v/>
      </c>
      <c r="D25" s="2" t="n"/>
      <c r="E25" s="2" t="n"/>
      <c r="F25" s="2" t="n"/>
    </row>
    <row r="26">
      <c r="B26" s="2" t="n"/>
      <c r="C26" s="2" t="n"/>
      <c r="D26" s="2" t="n"/>
      <c r="E26" s="2" t="n"/>
      <c r="F26" s="2" t="n"/>
    </row>
    <row r="27">
      <c r="B27" s="2" t="n"/>
      <c r="C27" s="2" t="n"/>
      <c r="D27" s="2" t="n"/>
      <c r="E27" s="2" t="n"/>
      <c r="F27" s="2" t="n"/>
    </row>
    <row r="28">
      <c r="B28" s="2" t="n"/>
      <c r="C28" s="2" t="n"/>
      <c r="D28" s="2" t="n"/>
      <c r="E28" s="2" t="n"/>
      <c r="F28" s="2" t="n"/>
    </row>
    <row r="29">
      <c r="B29" s="2" t="n"/>
      <c r="C29" s="2" t="n"/>
      <c r="D29" s="2" t="n"/>
      <c r="E29" s="2" t="n"/>
      <c r="F29" s="2" t="n"/>
    </row>
    <row r="30">
      <c r="B30" s="2" t="n"/>
      <c r="C30" s="2" t="n"/>
      <c r="D30" s="2" t="n"/>
      <c r="E30" s="2" t="n"/>
      <c r="F30" s="2" t="n"/>
    </row>
    <row r="31">
      <c r="B31" s="2" t="n"/>
      <c r="C31" s="2" t="n"/>
      <c r="D31" s="2" t="n"/>
      <c r="E31" s="2" t="n"/>
      <c r="F31" s="2" t="n"/>
    </row>
    <row r="32">
      <c r="B32" s="2" t="n"/>
      <c r="C32" s="2" t="n"/>
      <c r="D32" s="2" t="n"/>
      <c r="E32" s="2" t="n"/>
      <c r="F32" s="2" t="n"/>
    </row>
    <row r="33">
      <c r="B33" s="2" t="n"/>
      <c r="C33" s="2" t="n"/>
      <c r="D33" s="2" t="n"/>
      <c r="E33" s="2" t="n"/>
      <c r="F33" s="2" t="n"/>
    </row>
    <row r="34">
      <c r="B34" s="2" t="n"/>
      <c r="C34" s="2" t="n"/>
      <c r="D34" s="2" t="n"/>
      <c r="E34" s="2" t="n"/>
      <c r="F34" s="2" t="n"/>
    </row>
    <row r="35">
      <c r="B35" s="2" t="n"/>
      <c r="C35" s="2" t="n"/>
      <c r="D35" s="2" t="n"/>
      <c r="E35" s="2" t="n"/>
      <c r="F35" s="2" t="n"/>
    </row>
    <row r="36">
      <c r="B36" s="2" t="n"/>
      <c r="C36" s="2" t="n"/>
      <c r="D36" s="2" t="n"/>
      <c r="E36" s="2" t="n"/>
      <c r="F36" s="2" t="n"/>
    </row>
    <row r="37">
      <c r="B37" s="2" t="n"/>
      <c r="C37" s="2" t="n"/>
      <c r="D37" s="2" t="n"/>
      <c r="E37" s="2" t="n"/>
      <c r="F37" s="2" t="n"/>
    </row>
    <row r="38">
      <c r="B38" s="2" t="n"/>
      <c r="C38" s="2" t="n"/>
      <c r="D38" s="2" t="n"/>
      <c r="E38" s="2" t="n"/>
      <c r="F38" s="2" t="n"/>
    </row>
    <row r="39">
      <c r="B39" s="2" t="n"/>
      <c r="C39" s="2" t="n"/>
      <c r="D39" s="2" t="n"/>
      <c r="E39" s="2" t="n"/>
      <c r="F39" s="2" t="n"/>
    </row>
    <row r="40">
      <c r="B40" s="2" t="n"/>
      <c r="C40" s="2" t="n"/>
      <c r="D40" s="2" t="n"/>
      <c r="E40" s="2" t="n"/>
      <c r="F40" s="2" t="n"/>
    </row>
    <row r="41">
      <c r="B41" s="2" t="n"/>
      <c r="C41" s="2" t="n"/>
      <c r="D41" s="2" t="n"/>
      <c r="E41" s="2" t="n"/>
      <c r="F41" s="2" t="n"/>
    </row>
    <row r="42">
      <c r="B42" s="2" t="n"/>
      <c r="C42" s="2" t="n"/>
      <c r="D42" s="2" t="n"/>
      <c r="E42" s="2" t="n"/>
      <c r="F42" s="2" t="n"/>
    </row>
    <row r="43">
      <c r="B43" s="17" t="inlineStr">
        <is>
          <t>Month</t>
        </is>
      </c>
      <c r="C43" s="17" t="inlineStr">
        <is>
          <t>Net Surplus</t>
        </is>
      </c>
      <c r="D43" s="2" t="n"/>
      <c r="E43" s="2" t="n"/>
      <c r="F43" s="2" t="n"/>
    </row>
    <row r="44">
      <c r="B44" s="5" t="inlineStr">
        <is>
          <t>Jan</t>
        </is>
      </c>
      <c r="C44" s="9">
        <f>'Cash Flow'!G4</f>
        <v/>
      </c>
      <c r="D44" s="2" t="n"/>
      <c r="E44" s="2" t="n"/>
      <c r="F44" s="2" t="n"/>
    </row>
    <row r="45">
      <c r="B45" s="5" t="inlineStr">
        <is>
          <t>Feb</t>
        </is>
      </c>
      <c r="C45" s="9">
        <f>'Cash Flow'!G5</f>
        <v/>
      </c>
      <c r="D45" s="2" t="n"/>
      <c r="E45" s="2" t="n"/>
      <c r="F45" s="2" t="n"/>
    </row>
    <row r="46">
      <c r="B46" s="5" t="inlineStr">
        <is>
          <t>Mar</t>
        </is>
      </c>
      <c r="C46" s="9">
        <f>'Cash Flow'!G6</f>
        <v/>
      </c>
      <c r="D46" s="2" t="n"/>
      <c r="E46" s="2" t="n"/>
      <c r="F46" s="2" t="n"/>
    </row>
    <row r="47">
      <c r="B47" s="5" t="inlineStr">
        <is>
          <t>Apr</t>
        </is>
      </c>
      <c r="C47" s="9">
        <f>'Cash Flow'!G7</f>
        <v/>
      </c>
      <c r="D47" s="2" t="n"/>
      <c r="E47" s="2" t="n"/>
      <c r="F47" s="2" t="n"/>
    </row>
    <row r="48">
      <c r="B48" s="5" t="inlineStr">
        <is>
          <t>May</t>
        </is>
      </c>
      <c r="C48" s="9">
        <f>'Cash Flow'!G8</f>
        <v/>
      </c>
      <c r="D48" s="2" t="n"/>
      <c r="E48" s="2" t="n"/>
      <c r="F48" s="2" t="n"/>
    </row>
    <row r="49">
      <c r="B49" s="5" t="inlineStr">
        <is>
          <t>Jun</t>
        </is>
      </c>
      <c r="C49" s="9">
        <f>'Cash Flow'!G9</f>
        <v/>
      </c>
      <c r="D49" s="2" t="n"/>
      <c r="E49" s="2" t="n"/>
      <c r="F49" s="2" t="n"/>
    </row>
    <row r="50">
      <c r="B50" s="5" t="inlineStr">
        <is>
          <t>Jul</t>
        </is>
      </c>
      <c r="C50" s="9">
        <f>'Cash Flow'!G10</f>
        <v/>
      </c>
      <c r="D50" s="2" t="n"/>
      <c r="E50" s="2" t="n"/>
      <c r="F50" s="2" t="n"/>
    </row>
    <row r="51">
      <c r="B51" s="5" t="inlineStr">
        <is>
          <t>Aug</t>
        </is>
      </c>
      <c r="C51" s="9">
        <f>'Cash Flow'!G11</f>
        <v/>
      </c>
      <c r="D51" s="2" t="n"/>
      <c r="E51" s="2" t="n"/>
      <c r="F51" s="2" t="n"/>
    </row>
    <row r="52">
      <c r="B52" s="5" t="inlineStr">
        <is>
          <t>Sep</t>
        </is>
      </c>
      <c r="C52" s="9">
        <f>'Cash Flow'!G12</f>
        <v/>
      </c>
      <c r="D52" s="2" t="n"/>
      <c r="E52" s="2" t="n"/>
      <c r="F52" s="2" t="n"/>
    </row>
    <row r="53">
      <c r="B53" s="5" t="inlineStr">
        <is>
          <t>Oct</t>
        </is>
      </c>
      <c r="C53" s="9">
        <f>'Cash Flow'!G13</f>
        <v/>
      </c>
      <c r="D53" s="2" t="n"/>
      <c r="E53" s="2" t="n"/>
      <c r="F53" s="2" t="n"/>
    </row>
    <row r="54">
      <c r="B54" s="5" t="inlineStr">
        <is>
          <t>Nov</t>
        </is>
      </c>
      <c r="C54" s="9">
        <f>'Cash Flow'!G14</f>
        <v/>
      </c>
      <c r="D54" s="2" t="n"/>
      <c r="E54" s="2" t="n"/>
      <c r="F54" s="2" t="n"/>
    </row>
    <row r="55">
      <c r="B55" s="5" t="inlineStr">
        <is>
          <t>Dec</t>
        </is>
      </c>
      <c r="C55" s="9">
        <f>'Cash Flow'!G15</f>
        <v/>
      </c>
      <c r="D55" s="2" t="n"/>
      <c r="E55" s="2" t="n"/>
      <c r="F55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2" max="2"/>
  </cols>
  <sheetData>
    <row r="1"/>
    <row r="2">
      <c r="B2" s="2" t="n"/>
      <c r="C2" s="2" t="n"/>
    </row>
    <row r="3">
      <c r="B3" s="2" t="n"/>
      <c r="C3" s="18" t="inlineStr">
        <is>
          <t>Financial Command Center</t>
        </is>
      </c>
    </row>
    <row r="4">
      <c r="B4" s="2" t="n"/>
      <c r="C4" s="18" t="inlineStr"/>
    </row>
    <row r="5">
      <c r="B5" s="2" t="n"/>
      <c r="C5" s="18" t="inlineStr">
        <is>
          <t>Sample data as of April 2025.</t>
        </is>
      </c>
    </row>
    <row r="6">
      <c r="B6" s="2" t="n"/>
      <c r="C6" s="18" t="inlineStr">
        <is>
          <t>All account names and balances are fictional.</t>
        </is>
      </c>
    </row>
    <row r="7">
      <c r="B7" s="2" t="n"/>
      <c r="C7" s="18" t="inlineStr">
        <is>
          <t>Update the Accounts sheet with current balances periodically.</t>
        </is>
      </c>
    </row>
    <row r="8">
      <c r="B8" s="2" t="n"/>
      <c r="C8" s="18" t="inlineStr">
        <is>
          <t>Log monthly income and expenses in the Cash Flow sheet.</t>
        </is>
      </c>
    </row>
    <row r="9">
      <c r="B9" s="2" t="n"/>
      <c r="C9" s="18" t="inlineStr">
        <is>
          <t>Goal projections use NPER which accounts for expected returns.</t>
        </is>
      </c>
    </row>
    <row r="10">
      <c r="B10" s="2" t="n"/>
      <c r="C10" s="18" t="inlineStr">
        <is>
          <t>Adjust target allocation percentages on the Allocation sheet.</t>
        </is>
      </c>
    </row>
    <row r="11">
      <c r="B11" s="2" t="n"/>
      <c r="C11" s="18" t="inlineStr">
        <is>
          <t>Do not insert or delete rows inside the account or goal ranges.</t>
        </is>
      </c>
    </row>
    <row r="12">
      <c r="B12" s="2" t="n"/>
      <c r="C12" s="18" t="inlineStr">
        <is>
          <t>This is not financial advice. Talk to a professional about your situation.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Reed</dc:creator>
  <dcterms:created xsi:type="dcterms:W3CDTF">2024-07-07T16:02:40Z</dcterms:created>
  <dcterms:modified xsi:type="dcterms:W3CDTF">2025-02-14T17:17:40Z</dcterms:modified>
  <cp:lastModifiedBy>Samuel Reed</cp:lastModifiedBy>
  <cp:revision>1</cp:revision>
</cp:coreProperties>
</file>