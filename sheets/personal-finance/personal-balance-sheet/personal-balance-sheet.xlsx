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600_PROJECTS\modelstack\sheets\personal-finance\personal-balance-sheet\"/>
    </mc:Choice>
  </mc:AlternateContent>
  <xr:revisionPtr revIDLastSave="0" documentId="13_ncr:1_{09C4183B-8C19-44DC-9D6A-14E120C8E31F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Balance Sheet" sheetId="1" r:id="rId1"/>
    <sheet name="Quarterly History" sheetId="2" r:id="rId2"/>
    <sheet name="Ratios" sheetId="3" r:id="rId3"/>
    <sheet name="Changes" sheetId="4" r:id="rId4"/>
    <sheet name="Dashboard" sheetId="5" r:id="rId5"/>
    <sheet name="Readm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5" l="1"/>
  <c r="D19" i="5"/>
  <c r="B19" i="5"/>
  <c r="D17" i="5"/>
  <c r="C16" i="5"/>
  <c r="C21" i="4"/>
  <c r="B21" i="4"/>
  <c r="D21" i="4" s="1"/>
  <c r="C20" i="4"/>
  <c r="D20" i="4" s="1"/>
  <c r="B20" i="4"/>
  <c r="C19" i="4"/>
  <c r="B19" i="4"/>
  <c r="D19" i="4" s="1"/>
  <c r="C18" i="4"/>
  <c r="B18" i="4"/>
  <c r="D18" i="4" s="1"/>
  <c r="C17" i="4"/>
  <c r="D17" i="4" s="1"/>
  <c r="B17" i="4"/>
  <c r="C16" i="4"/>
  <c r="D16" i="4" s="1"/>
  <c r="B16" i="4"/>
  <c r="C15" i="4"/>
  <c r="D15" i="4" s="1"/>
  <c r="B15" i="4"/>
  <c r="E14" i="4"/>
  <c r="D14" i="4"/>
  <c r="C14" i="4"/>
  <c r="B14" i="4"/>
  <c r="C13" i="4"/>
  <c r="D13" i="4" s="1"/>
  <c r="B13" i="4"/>
  <c r="C12" i="4"/>
  <c r="D12" i="4" s="1"/>
  <c r="B12" i="4"/>
  <c r="D11" i="4"/>
  <c r="C11" i="4"/>
  <c r="B11" i="4"/>
  <c r="C10" i="4"/>
  <c r="D10" i="4" s="1"/>
  <c r="B10" i="4"/>
  <c r="C9" i="4"/>
  <c r="D9" i="4" s="1"/>
  <c r="B9" i="4"/>
  <c r="D8" i="4"/>
  <c r="E8" i="4" s="1"/>
  <c r="C8" i="4"/>
  <c r="B8" i="4"/>
  <c r="C7" i="4"/>
  <c r="B7" i="4"/>
  <c r="D7" i="4" s="1"/>
  <c r="D6" i="4"/>
  <c r="C6" i="4"/>
  <c r="B6" i="4"/>
  <c r="C5" i="4"/>
  <c r="D5" i="4" s="1"/>
  <c r="B5" i="4"/>
  <c r="C4" i="4"/>
  <c r="B4" i="4"/>
  <c r="D4" i="4" s="1"/>
  <c r="D3" i="4"/>
  <c r="C3" i="4"/>
  <c r="B3" i="4"/>
  <c r="C14" i="3"/>
  <c r="B14" i="3"/>
  <c r="B30" i="5" s="1"/>
  <c r="C12" i="3"/>
  <c r="B12" i="3"/>
  <c r="B28" i="5" s="1"/>
  <c r="G33" i="2"/>
  <c r="I32" i="2"/>
  <c r="H32" i="2"/>
  <c r="G32" i="2"/>
  <c r="F32" i="2"/>
  <c r="E32" i="2"/>
  <c r="D32" i="2"/>
  <c r="C32" i="2"/>
  <c r="B32" i="2"/>
  <c r="I26" i="2"/>
  <c r="H26" i="2"/>
  <c r="H33" i="2" s="1"/>
  <c r="G26" i="2"/>
  <c r="F26" i="2"/>
  <c r="F33" i="2" s="1"/>
  <c r="E26" i="2"/>
  <c r="E33" i="2" s="1"/>
  <c r="D26" i="2"/>
  <c r="D33" i="2" s="1"/>
  <c r="C26" i="2"/>
  <c r="C33" i="2" s="1"/>
  <c r="B26" i="2"/>
  <c r="B33" i="2" s="1"/>
  <c r="I20" i="2"/>
  <c r="H20" i="2"/>
  <c r="D21" i="5" s="1"/>
  <c r="G20" i="2"/>
  <c r="D20" i="5" s="1"/>
  <c r="F20" i="2"/>
  <c r="E20" i="2"/>
  <c r="D18" i="5" s="1"/>
  <c r="D20" i="2"/>
  <c r="C20" i="2"/>
  <c r="D16" i="5" s="1"/>
  <c r="B20" i="2"/>
  <c r="D15" i="5" s="1"/>
  <c r="I15" i="2"/>
  <c r="H15" i="2"/>
  <c r="G15" i="2"/>
  <c r="C20" i="5" s="1"/>
  <c r="F15" i="2"/>
  <c r="F21" i="2" s="1"/>
  <c r="F34" i="2" s="1"/>
  <c r="E15" i="2"/>
  <c r="C18" i="5" s="1"/>
  <c r="D15" i="2"/>
  <c r="C17" i="5" s="1"/>
  <c r="C15" i="2"/>
  <c r="B15" i="2"/>
  <c r="C15" i="5" s="1"/>
  <c r="I7" i="2"/>
  <c r="H7" i="2"/>
  <c r="C9" i="3" s="1"/>
  <c r="G7" i="2"/>
  <c r="G21" i="2" s="1"/>
  <c r="G34" i="2" s="1"/>
  <c r="F7" i="2"/>
  <c r="E7" i="2"/>
  <c r="B18" i="5" s="1"/>
  <c r="D7" i="2"/>
  <c r="B17" i="5" s="1"/>
  <c r="C7" i="2"/>
  <c r="B16" i="5" s="1"/>
  <c r="B7" i="2"/>
  <c r="B15" i="5" s="1"/>
  <c r="B31" i="1"/>
  <c r="B25" i="1"/>
  <c r="B32" i="1" s="1"/>
  <c r="B19" i="1"/>
  <c r="B14" i="1"/>
  <c r="B6" i="1"/>
  <c r="B20" i="1" s="1"/>
  <c r="B9" i="3" l="1"/>
  <c r="F9" i="3" s="1"/>
  <c r="D14" i="3"/>
  <c r="B8" i="5"/>
  <c r="E7" i="4"/>
  <c r="E10" i="4"/>
  <c r="E16" i="4"/>
  <c r="E18" i="4"/>
  <c r="E21" i="4"/>
  <c r="C13" i="3"/>
  <c r="E19" i="4"/>
  <c r="E5" i="4"/>
  <c r="E17" i="4"/>
  <c r="E15" i="4"/>
  <c r="E12" i="4"/>
  <c r="E9" i="4"/>
  <c r="B10" i="3"/>
  <c r="E20" i="4"/>
  <c r="B9" i="5"/>
  <c r="G36" i="2"/>
  <c r="G37" i="2" s="1"/>
  <c r="E4" i="4"/>
  <c r="E13" i="4"/>
  <c r="B13" i="3"/>
  <c r="B33" i="1"/>
  <c r="B11" i="3" s="1"/>
  <c r="B21" i="2"/>
  <c r="B34" i="2" s="1"/>
  <c r="B4" i="5" s="1"/>
  <c r="C21" i="2"/>
  <c r="C34" i="2" s="1"/>
  <c r="D21" i="2"/>
  <c r="D34" i="2" s="1"/>
  <c r="D12" i="3"/>
  <c r="B21" i="5"/>
  <c r="E21" i="2"/>
  <c r="E34" i="2" s="1"/>
  <c r="F36" i="2" s="1"/>
  <c r="F37" i="2" s="1"/>
  <c r="F12" i="3"/>
  <c r="C21" i="5"/>
  <c r="C19" i="5"/>
  <c r="B22" i="5"/>
  <c r="H21" i="2"/>
  <c r="H34" i="2" s="1"/>
  <c r="C22" i="5"/>
  <c r="D22" i="5"/>
  <c r="E6" i="4"/>
  <c r="B25" i="5"/>
  <c r="I21" i="2"/>
  <c r="I33" i="2"/>
  <c r="F14" i="3"/>
  <c r="E11" i="4"/>
  <c r="D9" i="3"/>
  <c r="E3" i="4"/>
  <c r="B29" i="5" l="1"/>
  <c r="F13" i="3"/>
  <c r="D13" i="3"/>
  <c r="B27" i="5"/>
  <c r="F11" i="3"/>
  <c r="C36" i="2"/>
  <c r="C37" i="2" s="1"/>
  <c r="B5" i="5"/>
  <c r="D36" i="2"/>
  <c r="D37" i="2" s="1"/>
  <c r="B6" i="5"/>
  <c r="B10" i="5"/>
  <c r="H36" i="2"/>
  <c r="H37" i="2" s="1"/>
  <c r="C11" i="3"/>
  <c r="D11" i="3" s="1"/>
  <c r="I34" i="2"/>
  <c r="B26" i="5"/>
  <c r="F10" i="3"/>
  <c r="B7" i="5"/>
  <c r="E36" i="2"/>
  <c r="E37" i="2" s="1"/>
  <c r="C10" i="3"/>
  <c r="D10" i="3" s="1"/>
  <c r="B11" i="5" l="1"/>
  <c r="I36" i="2"/>
  <c r="I37" i="2" s="1"/>
  <c r="D23" i="4"/>
  <c r="F10" i="4" l="1"/>
  <c r="F17" i="4"/>
  <c r="F15" i="4"/>
  <c r="F14" i="4"/>
  <c r="F18" i="4"/>
  <c r="F8" i="4"/>
  <c r="F4" i="4"/>
  <c r="F7" i="4"/>
  <c r="F9" i="4"/>
  <c r="F16" i="4"/>
  <c r="F3" i="4"/>
  <c r="F11" i="4"/>
  <c r="F6" i="4"/>
  <c r="F19" i="4"/>
  <c r="F12" i="4"/>
  <c r="F20" i="4"/>
  <c r="F21" i="4"/>
  <c r="F13" i="4"/>
  <c r="F5" i="4"/>
</calcChain>
</file>

<file path=xl/sharedStrings.xml><?xml version="1.0" encoding="utf-8"?>
<sst xmlns="http://schemas.openxmlformats.org/spreadsheetml/2006/main" count="170" uniqueCount="92">
  <si>
    <t>Line Item</t>
  </si>
  <si>
    <t>Amount</t>
  </si>
  <si>
    <t>CURRENT ASSETS</t>
  </si>
  <si>
    <t>Cash and Checking</t>
  </si>
  <si>
    <t>Savings Accounts</t>
  </si>
  <si>
    <t>Money Market</t>
  </si>
  <si>
    <t>Subtotal Current Assets</t>
  </si>
  <si>
    <t>INVESTMENT ASSETS</t>
  </si>
  <si>
    <t>Taxable Brokerage</t>
  </si>
  <si>
    <t>401k / 403b</t>
  </si>
  <si>
    <t>IRA / Roth IRA</t>
  </si>
  <si>
    <t>HSA</t>
  </si>
  <si>
    <t>529 Plan</t>
  </si>
  <si>
    <t>Other Investments</t>
  </si>
  <si>
    <t>Subtotal Investment Assets</t>
  </si>
  <si>
    <t>FIXED ASSETS</t>
  </si>
  <si>
    <t>Primary Residence</t>
  </si>
  <si>
    <t>Vehicles</t>
  </si>
  <si>
    <t>Personal Property</t>
  </si>
  <si>
    <t>Subtotal Fixed Assets</t>
  </si>
  <si>
    <t>TOTAL ASSETS</t>
  </si>
  <si>
    <t>CURRENT LIABILITIES</t>
  </si>
  <si>
    <t>Credit Cards</t>
  </si>
  <si>
    <t>Short-Term Loans</t>
  </si>
  <si>
    <t>Medical Debt</t>
  </si>
  <si>
    <t>Subtotal Current Liabilities</t>
  </si>
  <si>
    <t>LONG-TERM LIABILITIES</t>
  </si>
  <si>
    <t>Mortgage</t>
  </si>
  <si>
    <t>Student Loans</t>
  </si>
  <si>
    <t>Auto Loans</t>
  </si>
  <si>
    <t>HELOC</t>
  </si>
  <si>
    <t>Subtotal Long-Term Liabilities</t>
  </si>
  <si>
    <t>TOTAL LIABILITIES</t>
  </si>
  <si>
    <t>NET WORTH</t>
  </si>
  <si>
    <t>Quarterly Balance History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</si>
  <si>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</si>
  <si>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</si>
  <si>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</si>
  <si>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</si>
  <si>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</si>
  <si>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</si>
  <si>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</si>
  <si>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</si>
  <si>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QoQ Change ($)</t>
  </si>
  <si>
    <t>QoQ Change (%)</t>
  </si>
  <si>
    <t>Financial Health Ratios</t>
  </si>
  <si>
    <t>Inputs</t>
  </si>
  <si>
    <t>Monthly Gross Income</t>
  </si>
  <si>
    <t>Monthly Essential Expenses</t>
  </si>
  <si>
    <t>Monthly Property Tax + Insurance</t>
  </si>
  <si>
    <t>Monthly Savings Amount</t>
  </si>
  <si>
    <t>Ratio</t>
  </si>
  <si>
    <t>Current Value</t>
  </si>
  <si>
    <t>Prior Quarter</t>
  </si>
  <si>
    <t>Change</t>
  </si>
  <si>
    <t>Benchmark</t>
  </si>
  <si>
    <t>Status</t>
  </si>
  <si>
    <t>Liquidity Ratio</t>
  </si>
  <si>
    <t>&gt; 3.0</t>
  </si>
  <si>
    <t>Debt-to-Asset Ratio</t>
  </si>
  <si>
    <t>&lt; 0.50</t>
  </si>
  <si>
    <t>Solvency Ratio</t>
  </si>
  <si>
    <t>&gt; 0.50</t>
  </si>
  <si>
    <t>Savings Rate</t>
  </si>
  <si>
    <t>&gt; 15%</t>
  </si>
  <si>
    <t>Investment Ratio</t>
  </si>
  <si>
    <t>&gt; 0.30</t>
  </si>
  <si>
    <t>Housing Ratio</t>
  </si>
  <si>
    <t>&lt; 0.28</t>
  </si>
  <si>
    <t>Quarter-over-Quarter Changes</t>
  </si>
  <si>
    <t>Account</t>
  </si>
  <si>
    <t>Current Quarter</t>
  </si>
  <si>
    <t>NW Impact ($)</t>
  </si>
  <si>
    <t>NW Impact (%)</t>
  </si>
  <si>
    <t>Share of NW Change</t>
  </si>
  <si>
    <t>Total Net Worth Change</t>
  </si>
  <si>
    <t>Financial Dashboard</t>
  </si>
  <si>
    <t>Net worth and ratio snapshot</t>
  </si>
  <si>
    <t>Quarter</t>
  </si>
  <si>
    <t>Net Worth</t>
  </si>
  <si>
    <t>Current Assets</t>
  </si>
  <si>
    <t>Investment Assets</t>
  </si>
  <si>
    <t>Fixed Assets</t>
  </si>
  <si>
    <t>Personal Balance Sheet with Financial Ratios</t>
  </si>
  <si>
    <t>Sample data covers Q1 2024 through Q4 2025.</t>
  </si>
  <si>
    <t>All account names and balances are fictional.</t>
  </si>
  <si>
    <t>Update the Balance Sheet tab each quarter with current figures.</t>
  </si>
  <si>
    <t>Copy the new quarter into the next column on Quarterly History.</t>
  </si>
  <si>
    <t>Ratios update automatically from the Balance Sheet and your inputs.</t>
  </si>
  <si>
    <t>Adjust the monthly income and expense inputs on the Ratios sheet.</t>
  </si>
  <si>
    <t>Do not insert or delete rows inside the balance sheet structure.</t>
  </si>
  <si>
    <t>This is not financial advice. Talk to a professional about your situation.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</si>
</sst>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4"/>
      <color rgb="FF2E2420"/>
      <name val="Arial"/>
      <family val="2"/>
    </font>
    <font>
      <sz val="11"/>
      <color theme="1"/>
      <name val="Calibri"/>
      <family val="2"/>
      <scheme val="minor"/>
    </font>
    <font>
      <b/>
      <sz val="11"/>
      <color rgb="FF6B2D3E"/>
      <name val="Arial"/>
      <family val="2"/>
    </font>
    <font>
      <sz val="11"/>
      <color rgb="FF2E2420"/>
      <name val="Arial"/>
      <family val="2"/>
    </font>
    <font>
      <b/>
      <sz val="11"/>
      <color rgb="FF2E2420"/>
      <name val="Arial"/>
      <family val="2"/>
    </font>
    <font>
      <b/>
      <sz val="12"/>
      <color rgb="FF2E2420"/>
      <name val="Arial"/>
      <family val="2"/>
    </font>
    <font>
      <b/>
      <sz val="11"/>
      <color rgb="FF5A6672"/>
      <name val="Arial"/>
      <family val="2"/>
    </font>
    <font>
      <i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1"/>
      <color theme="0"/>
      <name val="Arial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0C8D0"/>
      </patternFill>
    </fill>
    <fill>
      <patternFill patternType="solid">
        <fgColor rgb="FFEBE5DA"/>
      </patternFill>
    </fill>
    <fill>
      <patternFill patternType="solid">
        <fgColor rgb="FFD0D8DC"/>
      </patternFill>
    </fill>
    <fill>
      <patternFill patternType="solid">
        <fgColor theme="1" tint="0.34998626667073579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rgb="FF6B2D3E"/>
      </top>
      <bottom/>
      <diagonal/>
    </border>
    <border>
      <left/>
      <right/>
      <top style="thin">
        <color rgb="FF6B2D3E"/>
      </top>
      <bottom style="double">
        <color rgb="FF6B2D3E"/>
      </bottom>
      <diagonal/>
    </border>
    <border>
      <left/>
      <right/>
      <top/>
      <bottom style="thin">
        <color rgb="FFB8AFA8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4" fillId="0" borderId="0" xfId="0" applyFont="1" applyAlignment="1">
      <alignment vertical="center" indent="2"/>
    </xf>
    <xf numFmtId="164" fontId="4" fillId="3" borderId="0" xfId="0" applyNumberFormat="1" applyFont="1" applyFill="1" applyAlignment="1">
      <alignment vertical="center"/>
    </xf>
    <xf numFmtId="0" fontId="5" fillId="0" borderId="0" xfId="0" applyFont="1" applyAlignment="1">
      <alignment vertical="center"/>
    </xf>
    <xf numFmtId="164" fontId="5" fillId="0" borderId="1" xfId="0" applyNumberFormat="1" applyFont="1" applyBorder="1" applyAlignment="1">
      <alignment vertical="center"/>
    </xf>
    <xf numFmtId="0" fontId="3" fillId="4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64" fontId="6" fillId="0" borderId="2" xfId="0" applyNumberFormat="1" applyFont="1" applyBorder="1" applyAlignment="1">
      <alignment vertical="center"/>
    </xf>
    <xf numFmtId="0" fontId="3" fillId="0" borderId="0" xfId="0" applyFont="1" applyAlignment="1">
      <alignment vertical="center"/>
    </xf>
    <xf numFmtId="164" fontId="5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2" fontId="4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5" borderId="3" xfId="0" applyFont="1" applyFill="1" applyBorder="1" applyAlignment="1">
      <alignment vertical="center"/>
    </xf>
    <xf numFmtId="0" fontId="10" fillId="5" borderId="3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vertical="center"/>
    </xf>
    <xf numFmtId="0" fontId="11" fillId="0" borderId="0" xfId="0" applyFont="1"/>
    <xf numFmtId="0" fontId="2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4" fontId="10" fillId="5" borderId="3" xfId="1" applyFont="1" applyFill="1" applyBorder="1" applyAlignment="1">
      <alignment vertical="center"/>
    </xf>
    <xf numFmtId="0" fontId="10" fillId="5" borderId="3" xfId="0" applyFont="1" applyFill="1" applyBorder="1" applyAlignment="1">
      <alignment horizontal="right" vertical="center"/>
    </xf>
    <xf numFmtId="164" fontId="4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2" fontId="4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</cellXfs>
  <cellStyles count="2">
    <cellStyle name="Currency" xfId="1" builtinId="4"/>
    <cellStyle name="Normal" xfId="0" builtinId="0"/>
  </cellStyles>
  <dxfs count="10">
    <dxf>
      <fill>
        <patternFill patternType="solid">
          <fgColor rgb="FFD8A8A0"/>
          <bgColor theme="5" tint="0.59996337778862885"/>
        </patternFill>
      </fill>
    </dxf>
    <dxf>
      <fill>
        <patternFill patternType="solid">
          <fgColor rgb="FFE8C88A"/>
          <bgColor theme="9" tint="0.79998168889431442"/>
        </patternFill>
      </fill>
    </dxf>
    <dxf>
      <fill>
        <patternFill patternType="solid">
          <fgColor rgb="FFC8D8B0"/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8A8A0"/>
        </patternFill>
      </fill>
    </dxf>
    <dxf>
      <fill>
        <patternFill patternType="solid">
          <fgColor rgb="FFE8C88A"/>
        </patternFill>
      </fill>
    </dxf>
    <dxf>
      <fill>
        <patternFill patternType="solid">
          <fgColor rgb="FFC8D8B0"/>
        </patternFill>
      </fill>
    </dxf>
    <dxf>
      <fill>
        <patternFill patternType="solid">
          <fgColor rgb="FFD8A8A0"/>
        </patternFill>
      </fill>
    </dxf>
    <dxf>
      <fill>
        <patternFill patternType="solid">
          <fgColor rgb="FFE8C88A"/>
        </patternFill>
      </fill>
    </dxf>
    <dxf>
      <fill>
        <patternFill patternType="solid">
          <fgColor rgb="FFC8D8B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ysClr val="windowText" lastClr="000000"/>
                </a:solidFill>
              </a:rPr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Dashboard!$B$3</c:f>
              <c:strCache>
                <c:ptCount val="1"/>
                <c:pt idx="0">
                  <c:v>Net Worth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accent6">
                    <a:lumMod val="75000"/>
                  </a:schemeClr>
                </a:solidFill>
                <a:prstDash val="sysDot"/>
              </a:ln>
              <a:effectLst/>
            </c:spPr>
            <c:trendlineType val="linear"/>
            <c:forward val="1"/>
            <c:dispRSqr val="1"/>
            <c:dispEq val="1"/>
            <c:trendlineLbl>
              <c:layout>
                <c:manualLayout>
                  <c:x val="8.5021216097987753E-2"/>
                  <c:y val="0.4856944444444443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Dashboard!$A$4:$A$11</c:f>
              <c:strCache>
                <c:ptCount val="8"/>
                <c:pt idx="0">
                  <c:v>Q1 2024</c:v>
                </c:pt>
                <c:pt idx="1">
                  <c:v>Q2 2024</c:v>
                </c:pt>
                <c:pt idx="2">
                  <c:v>Q3 2024</c:v>
                </c:pt>
                <c:pt idx="3">
                  <c:v>Q4 2024</c:v>
                </c:pt>
                <c:pt idx="4">
                  <c:v>Q1 2025</c:v>
                </c:pt>
                <c:pt idx="5">
                  <c:v>Q2 2025</c:v>
                </c:pt>
                <c:pt idx="6">
                  <c:v>Q3 2025</c:v>
                </c:pt>
                <c:pt idx="7">
                  <c:v>Q4 2025</c:v>
                </c:pt>
              </c:strCache>
            </c:strRef>
          </c:xVal>
          <c:yVal>
            <c:numRef>
              <c:f>Dashboard!$B$4:$B$11</c:f>
              <c:numCache>
                <c:formatCode>"$"#,##0</c:formatCode>
                <c:ptCount val="8"/>
                <c:pt idx="0">
                  <c:v>252468</c:v>
                </c:pt>
                <c:pt idx="1">
                  <c:v>258335</c:v>
                </c:pt>
                <c:pt idx="2">
                  <c:v>265061</c:v>
                </c:pt>
                <c:pt idx="3">
                  <c:v>277360</c:v>
                </c:pt>
                <c:pt idx="4">
                  <c:v>288098</c:v>
                </c:pt>
                <c:pt idx="5">
                  <c:v>298893</c:v>
                </c:pt>
                <c:pt idx="6">
                  <c:v>306583</c:v>
                </c:pt>
                <c:pt idx="7">
                  <c:v>317522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E7-48AA-9F66-22F5E19C9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6770064"/>
        <c:axId val="1956772464"/>
      </c:scatterChart>
      <c:valAx>
        <c:axId val="195677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6772464"/>
        <c:crosses val="autoZero"/>
        <c:crossBetween val="midCat"/>
      </c:valAx>
      <c:valAx>
        <c:axId val="1956772464"/>
        <c:scaling>
          <c:orientation val="minMax"/>
          <c:min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677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ysClr val="windowText" lastClr="000000"/>
                </a:solidFill>
              </a:rPr>
              <a:t>Asset Composition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Dashboard!$B$14</c:f>
              <c:strCache>
                <c:ptCount val="1"/>
                <c:pt idx="0">
                  <c:v>Current Assets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Dashboard!$A$15:$A$22</c:f>
              <c:strCache>
                <c:ptCount val="8"/>
                <c:pt idx="0">
                  <c:v>Q1 2024</c:v>
                </c:pt>
                <c:pt idx="1">
                  <c:v>Q2 2024</c:v>
                </c:pt>
                <c:pt idx="2">
                  <c:v>Q3 2024</c:v>
                </c:pt>
                <c:pt idx="3">
                  <c:v>Q4 2024</c:v>
                </c:pt>
                <c:pt idx="4">
                  <c:v>Q1 2025</c:v>
                </c:pt>
                <c:pt idx="5">
                  <c:v>Q2 2025</c:v>
                </c:pt>
                <c:pt idx="6">
                  <c:v>Q3 2025</c:v>
                </c:pt>
                <c:pt idx="7">
                  <c:v>Q4 2025</c:v>
                </c:pt>
              </c:strCache>
            </c:strRef>
          </c:cat>
          <c:val>
            <c:numRef>
              <c:f>Dashboard!$B$15:$B$22</c:f>
              <c:numCache>
                <c:formatCode>"$"#,##0</c:formatCode>
                <c:ptCount val="8"/>
                <c:pt idx="0">
                  <c:v>19575</c:v>
                </c:pt>
                <c:pt idx="1">
                  <c:v>19676</c:v>
                </c:pt>
                <c:pt idx="2">
                  <c:v>19840</c:v>
                </c:pt>
                <c:pt idx="3">
                  <c:v>20168</c:v>
                </c:pt>
                <c:pt idx="4">
                  <c:v>20598</c:v>
                </c:pt>
                <c:pt idx="5">
                  <c:v>20890</c:v>
                </c:pt>
                <c:pt idx="6">
                  <c:v>21018</c:v>
                </c:pt>
                <c:pt idx="7">
                  <c:v>21438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DD-42DE-8F92-99FA331E6492}"/>
            </c:ext>
          </c:extLst>
        </c:ser>
        <c:ser>
          <c:idx val="1"/>
          <c:order val="1"/>
          <c:tx>
            <c:strRef>
              <c:f>Dashboard!$C$14</c:f>
              <c:strCache>
                <c:ptCount val="1"/>
                <c:pt idx="0">
                  <c:v>Investment Assets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Dashboard!$A$15:$A$22</c:f>
              <c:strCache>
                <c:ptCount val="8"/>
                <c:pt idx="0">
                  <c:v>Q1 2024</c:v>
                </c:pt>
                <c:pt idx="1">
                  <c:v>Q2 2024</c:v>
                </c:pt>
                <c:pt idx="2">
                  <c:v>Q3 2024</c:v>
                </c:pt>
                <c:pt idx="3">
                  <c:v>Q4 2024</c:v>
                </c:pt>
                <c:pt idx="4">
                  <c:v>Q1 2025</c:v>
                </c:pt>
                <c:pt idx="5">
                  <c:v>Q2 2025</c:v>
                </c:pt>
                <c:pt idx="6">
                  <c:v>Q3 2025</c:v>
                </c:pt>
                <c:pt idx="7">
                  <c:v>Q4 2025</c:v>
                </c:pt>
              </c:strCache>
            </c:strRef>
          </c:cat>
          <c:val>
            <c:numRef>
              <c:f>Dashboard!$C$15:$C$22</c:f>
              <c:numCache>
                <c:formatCode>"$"#,##0</c:formatCode>
                <c:ptCount val="8"/>
                <c:pt idx="0">
                  <c:v>132106</c:v>
                </c:pt>
                <c:pt idx="1">
                  <c:v>134925</c:v>
                </c:pt>
                <c:pt idx="2">
                  <c:v>138354</c:v>
                </c:pt>
                <c:pt idx="3">
                  <c:v>141381</c:v>
                </c:pt>
                <c:pt idx="4">
                  <c:v>144138</c:v>
                </c:pt>
                <c:pt idx="5">
                  <c:v>147543</c:v>
                </c:pt>
                <c:pt idx="6">
                  <c:v>151175</c:v>
                </c:pt>
                <c:pt idx="7">
                  <c:v>154410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DD-42DE-8F92-99FA331E6492}"/>
            </c:ext>
          </c:extLst>
        </c:ser>
        <c:ser>
          <c:idx val="2"/>
          <c:order val="2"/>
          <c:tx>
            <c:strRef>
              <c:f>Dashboard!$D$14</c:f>
              <c:strCache>
                <c:ptCount val="1"/>
                <c:pt idx="0">
                  <c:v>Fixed Assets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Dashboard!$A$15:$A$22</c:f>
              <c:strCache>
                <c:ptCount val="8"/>
                <c:pt idx="0">
                  <c:v>Q1 2024</c:v>
                </c:pt>
                <c:pt idx="1">
                  <c:v>Q2 2024</c:v>
                </c:pt>
                <c:pt idx="2">
                  <c:v>Q3 2024</c:v>
                </c:pt>
                <c:pt idx="3">
                  <c:v>Q4 2024</c:v>
                </c:pt>
                <c:pt idx="4">
                  <c:v>Q1 2025</c:v>
                </c:pt>
                <c:pt idx="5">
                  <c:v>Q2 2025</c:v>
                </c:pt>
                <c:pt idx="6">
                  <c:v>Q3 2025</c:v>
                </c:pt>
                <c:pt idx="7">
                  <c:v>Q4 2025</c:v>
                </c:pt>
              </c:strCache>
            </c:strRef>
          </c:cat>
          <c:val>
            <c:numRef>
              <c:f>Dashboard!$D$15:$D$22</c:f>
              <c:numCache>
                <c:formatCode>"$"#,##0</c:formatCode>
                <c:ptCount val="8"/>
                <c:pt idx="0">
                  <c:v>291210</c:v>
                </c:pt>
                <c:pt idx="1">
                  <c:v>290962</c:v>
                </c:pt>
                <c:pt idx="2">
                  <c:v>291823</c:v>
                </c:pt>
                <c:pt idx="3">
                  <c:v>297482</c:v>
                </c:pt>
                <c:pt idx="4">
                  <c:v>300245</c:v>
                </c:pt>
                <c:pt idx="5">
                  <c:v>302725</c:v>
                </c:pt>
                <c:pt idx="6">
                  <c:v>304997</c:v>
                </c:pt>
                <c:pt idx="7">
                  <c:v>310034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DD-42DE-8F92-99FA331E6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56837264"/>
        <c:axId val="1881833696"/>
      </c:barChart>
      <c:catAx>
        <c:axId val="195683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33696"/>
        <c:crosses val="autoZero"/>
        <c:auto val="1"/>
        <c:lblAlgn val="ctr"/>
        <c:lblOffset val="100"/>
        <c:noMultiLvlLbl val="0"/>
      </c:catAx>
      <c:valAx>
        <c:axId val="188183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683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Current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Dashboard!$B$24</c:f>
              <c:strCache>
                <c:ptCount val="1"/>
                <c:pt idx="0">
                  <c:v>Current Value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Dashboard!$A$25:$A$30</c:f>
              <c:strCache>
                <c:ptCount val="6"/>
                <c:pt idx="0">
                  <c:v>Liquidity Ratio</c:v>
                </c:pt>
                <c:pt idx="1">
                  <c:v>Debt-to-Asset Ratio</c:v>
                </c:pt>
                <c:pt idx="2">
                  <c:v>Solvency Ratio</c:v>
                </c:pt>
                <c:pt idx="3">
                  <c:v>Savings Rate</c:v>
                </c:pt>
                <c:pt idx="4">
                  <c:v>Investment Ratio</c:v>
                </c:pt>
                <c:pt idx="5">
                  <c:v>Housing Ratio</c:v>
                </c:pt>
              </c:strCache>
            </c:strRef>
          </c:cat>
          <c:val>
            <c:numRef>
              <c:f>Dashboard!$B$25:$B$30</c:f>
              <c:numCache>
                <c:formatCode>0.00</c:formatCode>
                <c:ptCount val="6"/>
                <c:pt idx="0">
                  <c:v>5.641578947368421</c:v>
                </c:pt>
                <c:pt idx="1">
                  <c:v>0.34650388365899537</c:v>
                </c:pt>
                <c:pt idx="2">
                  <c:v>0.65349611634100457</c:v>
                </c:pt>
                <c:pt idx="3">
                  <c:v>0.16666666666666666</c:v>
                </c:pt>
                <c:pt idx="4">
                  <c:v>0.3177932090507572</c:v>
                </c:pt>
                <c:pt idx="5">
                  <c:v>1.7002314814814814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3-430E-8053-C47E7E0B1C1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024966160"/>
        <c:axId val="2024962320"/>
      </c:barChart>
      <c:catAx>
        <c:axId val="20249661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962320"/>
        <c:crosses val="autoZero"/>
        <c:auto val="1"/>
        <c:lblAlgn val="ctr"/>
        <c:lblOffset val="100"/>
        <c:noMultiLvlLbl val="0"/>
      </c:catAx>
      <c:valAx>
        <c:axId val="2024962320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202496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367778</xdr:colOff>
      <xdr:row>0</xdr:row>
      <xdr:rowOff>147637</xdr:rowOff>
    </xdr:from>
    <xdr:to>
      <xdr:col>14</xdr:col>
      <xdr:colOff>590549</xdr:colOff>
      <xdr:row>19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517D052-7B38-8EA0-AB8D-97461CFC3D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372717</xdr:colOff>
      <xdr:row>19</xdr:row>
      <xdr:rowOff>157161</xdr:rowOff>
    </xdr:from>
    <xdr:to>
      <xdr:col>14</xdr:col>
      <xdr:colOff>600075</xdr:colOff>
      <xdr:row>37</xdr:row>
      <xdr:rowOff>66674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5C02C19-0286-A7B8-251F-A4599DB745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114300</xdr:colOff>
      <xdr:row>0</xdr:row>
      <xdr:rowOff>138112</xdr:rowOff>
    </xdr:from>
    <xdr:to>
      <xdr:col>22</xdr:col>
      <xdr:colOff>209550</xdr:colOff>
      <xdr:row>37</xdr:row>
      <xdr:rowOff>38100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E8D924-2DF1-4FBE-7647-00D948AD0D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3"/>
  <sheetViews>
    <sheetView showGridLines="0" zoomScale="115" zoomScaleNormal="115" workbookViewId="0">
      <selection activeCell="G9" sqref="G9"/>
    </sheetView>
  </sheetViews>
  <sheetFormatPr defaultRowHeight="15" x14ac:dyDescent="0.25"/>
  <cols>
    <col min="1" max="1" width="40" customWidth="1"/>
    <col min="2" max="2" width="15" customWidth="1"/>
  </cols>
  <sheetData>
    <row r="1" spans="1:2" x14ac:dyDescent="0.25">
      <c r="A1" s="20" t="s">
        <v>0</v>
      </c>
      <c r="B1" s="20" t="s">
        <v>1</v>
      </c>
    </row>
    <row r="2" spans="1:2" ht="27.75" customHeight="1" x14ac:dyDescent="0.25">
      <c r="A2" s="3" t="s">
        <v>2</v>
      </c>
      <c r="B2" s="2"/>
    </row>
    <row r="3" spans="1:2" x14ac:dyDescent="0.25">
      <c r="A3" s="4" t="s">
        <v>3</v>
      </c>
      <c r="B3" s="5">
        <v>4820</v>
      </c>
    </row>
    <row r="4" spans="1:2" x14ac:dyDescent="0.25">
      <c r="A4" s="4" t="s">
        <v>4</v>
      </c>
      <c r="B4" s="5">
        <v>13204</v>
      </c>
    </row>
    <row r="5" spans="1:2" x14ac:dyDescent="0.25">
      <c r="A5" s="4" t="s">
        <v>5</v>
      </c>
      <c r="B5" s="5">
        <v>3414</v>
      </c>
    </row>
    <row r="6" spans="1:2" x14ac:dyDescent="0.25">
      <c r="A6" s="6" t="s">
        <v>6</v>
      </c>
      <c r="B6" s="7">
        <f>SUM(B3:B5)</f>
        <v>21438</v>
      </c>
    </row>
    <row r="7" spans="1:2" ht="27.75" customHeight="1" x14ac:dyDescent="0.25">
      <c r="A7" s="3" t="s">
        <v>7</v>
      </c>
      <c r="B7" s="2"/>
    </row>
    <row r="8" spans="1:2" x14ac:dyDescent="0.25">
      <c r="A8" s="4" t="s">
        <v>8</v>
      </c>
      <c r="B8" s="5">
        <v>35625</v>
      </c>
    </row>
    <row r="9" spans="1:2" x14ac:dyDescent="0.25">
      <c r="A9" s="4" t="s">
        <v>9</v>
      </c>
      <c r="B9" s="5">
        <v>72764</v>
      </c>
    </row>
    <row r="10" spans="1:2" x14ac:dyDescent="0.25">
      <c r="A10" s="4" t="s">
        <v>10</v>
      </c>
      <c r="B10" s="5">
        <v>29834</v>
      </c>
    </row>
    <row r="11" spans="1:2" x14ac:dyDescent="0.25">
      <c r="A11" s="4" t="s">
        <v>11</v>
      </c>
      <c r="B11" s="5">
        <v>5865</v>
      </c>
    </row>
    <row r="12" spans="1:2" x14ac:dyDescent="0.25">
      <c r="A12" s="4" t="s">
        <v>12</v>
      </c>
      <c r="B12" s="5">
        <v>7395</v>
      </c>
    </row>
    <row r="13" spans="1:2" x14ac:dyDescent="0.25">
      <c r="A13" s="4" t="s">
        <v>13</v>
      </c>
      <c r="B13" s="5">
        <v>2927</v>
      </c>
    </row>
    <row r="14" spans="1:2" x14ac:dyDescent="0.25">
      <c r="A14" s="6" t="s">
        <v>14</v>
      </c>
      <c r="B14" s="7">
        <f>SUM(B8:B13)</f>
        <v>154410</v>
      </c>
    </row>
    <row r="15" spans="1:2" ht="27.75" customHeight="1" x14ac:dyDescent="0.25">
      <c r="A15" s="3" t="s">
        <v>15</v>
      </c>
      <c r="B15" s="2"/>
    </row>
    <row r="16" spans="1:2" x14ac:dyDescent="0.25">
      <c r="A16" s="4" t="s">
        <v>16</v>
      </c>
      <c r="B16" s="5">
        <v>289539</v>
      </c>
    </row>
    <row r="17" spans="1:2" x14ac:dyDescent="0.25">
      <c r="A17" s="4" t="s">
        <v>17</v>
      </c>
      <c r="B17" s="5">
        <v>12989</v>
      </c>
    </row>
    <row r="18" spans="1:2" x14ac:dyDescent="0.25">
      <c r="A18" s="4" t="s">
        <v>18</v>
      </c>
      <c r="B18" s="5">
        <v>7506</v>
      </c>
    </row>
    <row r="19" spans="1:2" x14ac:dyDescent="0.25">
      <c r="A19" s="6" t="s">
        <v>19</v>
      </c>
      <c r="B19" s="7">
        <f>SUM(B16:B18)</f>
        <v>310034</v>
      </c>
    </row>
    <row r="20" spans="1:2" x14ac:dyDescent="0.25">
      <c r="A20" s="6" t="s">
        <v>20</v>
      </c>
      <c r="B20" s="7">
        <f>B6+B14+B19</f>
        <v>485882</v>
      </c>
    </row>
    <row r="21" spans="1:2" ht="21.75" customHeight="1" x14ac:dyDescent="0.25">
      <c r="A21" s="8" t="s">
        <v>21</v>
      </c>
      <c r="B21" s="2"/>
    </row>
    <row r="22" spans="1:2" x14ac:dyDescent="0.25">
      <c r="A22" s="4" t="s">
        <v>22</v>
      </c>
      <c r="B22" s="5">
        <v>2703</v>
      </c>
    </row>
    <row r="23" spans="1:2" x14ac:dyDescent="0.25">
      <c r="A23" s="4" t="s">
        <v>23</v>
      </c>
      <c r="B23" s="5">
        <v>0</v>
      </c>
    </row>
    <row r="24" spans="1:2" x14ac:dyDescent="0.25">
      <c r="A24" s="4" t="s">
        <v>24</v>
      </c>
      <c r="B24" s="5">
        <v>870</v>
      </c>
    </row>
    <row r="25" spans="1:2" x14ac:dyDescent="0.25">
      <c r="A25" s="6" t="s">
        <v>25</v>
      </c>
      <c r="B25" s="7">
        <f>SUM(B22:B24)</f>
        <v>3573</v>
      </c>
    </row>
    <row r="26" spans="1:2" ht="21.75" customHeight="1" x14ac:dyDescent="0.25">
      <c r="A26" s="8" t="s">
        <v>26</v>
      </c>
      <c r="B26" s="2"/>
    </row>
    <row r="27" spans="1:2" x14ac:dyDescent="0.25">
      <c r="A27" s="4" t="s">
        <v>27</v>
      </c>
      <c r="B27" s="5">
        <v>142700</v>
      </c>
    </row>
    <row r="28" spans="1:2" x14ac:dyDescent="0.25">
      <c r="A28" s="4" t="s">
        <v>28</v>
      </c>
      <c r="B28" s="5">
        <v>15718</v>
      </c>
    </row>
    <row r="29" spans="1:2" x14ac:dyDescent="0.25">
      <c r="A29" s="4" t="s">
        <v>29</v>
      </c>
      <c r="B29" s="5">
        <v>6369</v>
      </c>
    </row>
    <row r="30" spans="1:2" x14ac:dyDescent="0.25">
      <c r="A30" s="4" t="s">
        <v>30</v>
      </c>
      <c r="B30" s="5">
        <v>0</v>
      </c>
    </row>
    <row r="31" spans="1:2" s="23" customFormat="1" ht="24.75" customHeight="1" x14ac:dyDescent="0.25">
      <c r="A31" s="9" t="s">
        <v>31</v>
      </c>
      <c r="B31" s="22">
        <f>SUM(B27:B30)</f>
        <v>164787</v>
      </c>
    </row>
    <row r="32" spans="1:2" s="23" customFormat="1" ht="24.75" customHeight="1" x14ac:dyDescent="0.25">
      <c r="A32" s="9" t="s">
        <v>32</v>
      </c>
      <c r="B32" s="22">
        <f>B25+B31</f>
        <v>168360</v>
      </c>
    </row>
    <row r="33" spans="1:2" s="23" customFormat="1" ht="24.75" customHeight="1" x14ac:dyDescent="0.25">
      <c r="A33" s="9" t="s">
        <v>33</v>
      </c>
      <c r="B33" s="10">
        <f>B20-B32</f>
        <v>317522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showGridLines="0" zoomScale="115" zoomScaleNormal="115" workbookViewId="0">
      <selection activeCell="D31" sqref="D31"/>
    </sheetView>
  </sheetViews>
  <sheetFormatPr defaultRowHeight="15" x14ac:dyDescent="0.25"/>
  <cols>
    <col min="1" max="1" width="32" customWidth="1"/>
    <col min="2" max="2" width="15" customWidth="1"/>
    <col min="3" max="9" width="21" customWidth="1"/>
  </cols>
  <sheetData>
    <row r="1" spans="1:9" ht="18" x14ac:dyDescent="0.25">
      <c r="A1" s="1" t="s">
        <v>34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20" t="s">
        <v>0</v>
      </c>
      <c r="B2" s="20" t="s">
        <v>35</v>
      </c>
      <c r="C2" s="20" t="s">
        <v>36</v>
      </c>
      <c r="D2" s="20" t="s">
        <v>37</v>
      </c>
      <c r="E2" s="20" t="s">
        <v>38</v>
      </c>
      <c r="F2" s="20" t="s">
        <v>39</v>
      </c>
      <c r="G2" s="20" t="s">
        <v>40</v>
      </c>
      <c r="H2" s="20" t="s">
        <v>41</v>
      </c>
      <c r="I2" s="20" t="s">
        <v>42</v>
      </c>
    </row>
    <row r="3" spans="1:9" x14ac:dyDescent="0.25">
      <c r="A3" s="20" t="s">
        <v>2</v>
      </c>
      <c r="B3" s="20"/>
      <c r="C3" s="20"/>
      <c r="D3" s="20"/>
      <c r="E3" s="20"/>
      <c r="F3" s="20"/>
      <c r="G3" s="20"/>
      <c r="H3" s="20"/>
      <c r="I3" s="20"/>
    </row>
    <row r="4" spans="1:9" x14ac:dyDescent="0.25">
      <c r="A4" s="4" t="s">
        <v>3</v>
      </c>
      <c r="B4" s="5">
        <v>4475</v>
      </c>
      <c r="C4" s="5">
        <v>4505</v>
      </c>
      <c r="D4" s="5">
        <v>4577</v>
      </c>
      <c r="E4" s="5">
        <v>4605</v>
      </c>
      <c r="F4" s="5">
        <v>4659</v>
      </c>
      <c r="G4" s="5">
        <v>4772</v>
      </c>
      <c r="H4" s="5">
        <v>4782</v>
      </c>
      <c r="I4" s="5">
        <v>4820</v>
      </c>
    </row>
    <row r="5" spans="1:9" x14ac:dyDescent="0.25">
      <c r="A5" s="4" t="s">
        <v>4</v>
      </c>
      <c r="B5" s="5">
        <v>12101</v>
      </c>
      <c r="C5" s="5">
        <v>12127</v>
      </c>
      <c r="D5" s="5">
        <v>12173</v>
      </c>
      <c r="E5" s="5">
        <v>12424</v>
      </c>
      <c r="F5" s="5">
        <v>12728</v>
      </c>
      <c r="G5" s="5">
        <v>12830</v>
      </c>
      <c r="H5" s="5">
        <v>12891</v>
      </c>
      <c r="I5" s="5">
        <v>13204</v>
      </c>
    </row>
    <row r="6" spans="1:9" x14ac:dyDescent="0.25">
      <c r="A6" s="4" t="s">
        <v>5</v>
      </c>
      <c r="B6" s="5">
        <v>2999</v>
      </c>
      <c r="C6" s="5">
        <v>3044</v>
      </c>
      <c r="D6" s="5">
        <v>3090</v>
      </c>
      <c r="E6" s="5">
        <v>3139</v>
      </c>
      <c r="F6" s="5">
        <v>3211</v>
      </c>
      <c r="G6" s="5">
        <v>3288</v>
      </c>
      <c r="H6" s="5">
        <v>3345</v>
      </c>
      <c r="I6" s="5">
        <v>3414</v>
      </c>
    </row>
    <row r="7" spans="1:9" x14ac:dyDescent="0.25">
      <c r="A7" s="6" t="s">
        <v>6</v>
      </c>
      <c r="B7" s="12">
        <f t="shared" ref="B7:I7" si="0">SUM(B4:B6)</f>
        <v>19575</v>
      </c>
      <c r="C7" s="12">
        <f t="shared" si="0"/>
        <v>19676</v>
      </c>
      <c r="D7" s="12">
        <f t="shared" si="0"/>
        <v>19840</v>
      </c>
      <c r="E7" s="12">
        <f t="shared" si="0"/>
        <v>20168</v>
      </c>
      <c r="F7" s="12">
        <f t="shared" si="0"/>
        <v>20598</v>
      </c>
      <c r="G7" s="12">
        <f t="shared" si="0"/>
        <v>20890</v>
      </c>
      <c r="H7" s="12">
        <f t="shared" si="0"/>
        <v>21018</v>
      </c>
      <c r="I7" s="12">
        <f t="shared" si="0"/>
        <v>21438</v>
      </c>
    </row>
    <row r="8" spans="1:9" x14ac:dyDescent="0.25">
      <c r="A8" s="11" t="s">
        <v>7</v>
      </c>
      <c r="B8" s="2"/>
      <c r="C8" s="2"/>
      <c r="D8" s="2"/>
      <c r="E8" s="2"/>
      <c r="F8" s="2"/>
      <c r="G8" s="2"/>
      <c r="H8" s="2"/>
      <c r="I8" s="2"/>
    </row>
    <row r="9" spans="1:9" x14ac:dyDescent="0.25">
      <c r="A9" s="4" t="s">
        <v>8</v>
      </c>
      <c r="B9" s="5">
        <v>30638</v>
      </c>
      <c r="C9" s="5">
        <v>31437</v>
      </c>
      <c r="D9" s="5">
        <v>32090</v>
      </c>
      <c r="E9" s="5">
        <v>32593</v>
      </c>
      <c r="F9" s="5">
        <v>33136</v>
      </c>
      <c r="G9" s="5">
        <v>34238</v>
      </c>
      <c r="H9" s="5">
        <v>35180</v>
      </c>
      <c r="I9" s="5">
        <v>35625</v>
      </c>
    </row>
    <row r="10" spans="1:9" x14ac:dyDescent="0.25">
      <c r="A10" s="4" t="s">
        <v>9</v>
      </c>
      <c r="B10" s="5">
        <v>63206</v>
      </c>
      <c r="C10" s="5">
        <v>64266</v>
      </c>
      <c r="D10" s="5">
        <v>66021</v>
      </c>
      <c r="E10" s="5">
        <v>67440</v>
      </c>
      <c r="F10" s="5">
        <v>68569</v>
      </c>
      <c r="G10" s="5">
        <v>69613</v>
      </c>
      <c r="H10" s="5">
        <v>71317</v>
      </c>
      <c r="I10" s="5">
        <v>72764</v>
      </c>
    </row>
    <row r="11" spans="1:9" x14ac:dyDescent="0.25">
      <c r="A11" s="4" t="s">
        <v>10</v>
      </c>
      <c r="B11" s="5">
        <v>24410</v>
      </c>
      <c r="C11" s="5">
        <v>25079</v>
      </c>
      <c r="D11" s="5">
        <v>25844</v>
      </c>
      <c r="E11" s="5">
        <v>26654</v>
      </c>
      <c r="F11" s="5">
        <v>27337</v>
      </c>
      <c r="G11" s="5">
        <v>28271</v>
      </c>
      <c r="H11" s="5">
        <v>28904</v>
      </c>
      <c r="I11" s="5">
        <v>29834</v>
      </c>
    </row>
    <row r="12" spans="1:9" x14ac:dyDescent="0.25">
      <c r="A12" s="4" t="s">
        <v>11</v>
      </c>
      <c r="B12" s="5">
        <v>5080</v>
      </c>
      <c r="C12" s="5">
        <v>5235</v>
      </c>
      <c r="D12" s="5">
        <v>5304</v>
      </c>
      <c r="E12" s="5">
        <v>5433</v>
      </c>
      <c r="F12" s="5">
        <v>5557</v>
      </c>
      <c r="G12" s="5">
        <v>5626</v>
      </c>
      <c r="H12" s="5">
        <v>5734</v>
      </c>
      <c r="I12" s="5">
        <v>5865</v>
      </c>
    </row>
    <row r="13" spans="1:9" x14ac:dyDescent="0.25">
      <c r="A13" s="4" t="s">
        <v>12</v>
      </c>
      <c r="B13" s="5">
        <v>6182</v>
      </c>
      <c r="C13" s="5">
        <v>6245</v>
      </c>
      <c r="D13" s="5">
        <v>6399</v>
      </c>
      <c r="E13" s="5">
        <v>6529</v>
      </c>
      <c r="F13" s="5">
        <v>6754</v>
      </c>
      <c r="G13" s="5">
        <v>6965</v>
      </c>
      <c r="H13" s="5">
        <v>7179</v>
      </c>
      <c r="I13" s="5">
        <v>7395</v>
      </c>
    </row>
    <row r="14" spans="1:9" x14ac:dyDescent="0.25">
      <c r="A14" s="4" t="s">
        <v>13</v>
      </c>
      <c r="B14" s="5">
        <v>2590</v>
      </c>
      <c r="C14" s="5">
        <v>2663</v>
      </c>
      <c r="D14" s="5">
        <v>2696</v>
      </c>
      <c r="E14" s="5">
        <v>2732</v>
      </c>
      <c r="F14" s="5">
        <v>2785</v>
      </c>
      <c r="G14" s="5">
        <v>2830</v>
      </c>
      <c r="H14" s="5">
        <v>2861</v>
      </c>
      <c r="I14" s="5">
        <v>2927</v>
      </c>
    </row>
    <row r="15" spans="1:9" x14ac:dyDescent="0.25">
      <c r="A15" s="6" t="s">
        <v>14</v>
      </c>
      <c r="B15" s="12">
        <f t="shared" ref="B15:I15" si="1">SUM(B9:B14)</f>
        <v>132106</v>
      </c>
      <c r="C15" s="12">
        <f t="shared" si="1"/>
        <v>134925</v>
      </c>
      <c r="D15" s="12">
        <f t="shared" si="1"/>
        <v>138354</v>
      </c>
      <c r="E15" s="12">
        <f t="shared" si="1"/>
        <v>141381</v>
      </c>
      <c r="F15" s="12">
        <f t="shared" si="1"/>
        <v>144138</v>
      </c>
      <c r="G15" s="12">
        <f t="shared" si="1"/>
        <v>147543</v>
      </c>
      <c r="H15" s="12">
        <f t="shared" si="1"/>
        <v>151175</v>
      </c>
      <c r="I15" s="12">
        <f t="shared" si="1"/>
        <v>154410</v>
      </c>
    </row>
    <row r="16" spans="1:9" x14ac:dyDescent="0.25">
      <c r="A16" s="11" t="s">
        <v>15</v>
      </c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4" t="s">
        <v>16</v>
      </c>
      <c r="B17" s="5">
        <v>269335</v>
      </c>
      <c r="C17" s="5">
        <v>269327</v>
      </c>
      <c r="D17" s="5">
        <v>270385</v>
      </c>
      <c r="E17" s="5">
        <v>276106</v>
      </c>
      <c r="F17" s="5">
        <v>279201</v>
      </c>
      <c r="G17" s="5">
        <v>281889</v>
      </c>
      <c r="H17" s="5">
        <v>284273</v>
      </c>
      <c r="I17" s="5">
        <v>289539</v>
      </c>
    </row>
    <row r="18" spans="1:9" x14ac:dyDescent="0.25">
      <c r="A18" s="4" t="s">
        <v>17</v>
      </c>
      <c r="B18" s="5">
        <v>15021</v>
      </c>
      <c r="C18" s="5">
        <v>14722</v>
      </c>
      <c r="D18" s="5">
        <v>14414</v>
      </c>
      <c r="E18" s="5">
        <v>14261</v>
      </c>
      <c r="F18" s="5">
        <v>13840</v>
      </c>
      <c r="G18" s="5">
        <v>13578</v>
      </c>
      <c r="H18" s="5">
        <v>13388</v>
      </c>
      <c r="I18" s="5">
        <v>12989</v>
      </c>
    </row>
    <row r="19" spans="1:9" x14ac:dyDescent="0.25">
      <c r="A19" s="4" t="s">
        <v>18</v>
      </c>
      <c r="B19" s="5">
        <v>6854</v>
      </c>
      <c r="C19" s="5">
        <v>6913</v>
      </c>
      <c r="D19" s="5">
        <v>7024</v>
      </c>
      <c r="E19" s="5">
        <v>7115</v>
      </c>
      <c r="F19" s="5">
        <v>7204</v>
      </c>
      <c r="G19" s="5">
        <v>7258</v>
      </c>
      <c r="H19" s="5">
        <v>7336</v>
      </c>
      <c r="I19" s="5">
        <v>7506</v>
      </c>
    </row>
    <row r="20" spans="1:9" x14ac:dyDescent="0.25">
      <c r="A20" s="6" t="s">
        <v>19</v>
      </c>
      <c r="B20" s="12">
        <f t="shared" ref="B20:I20" si="2">SUM(B17:B19)</f>
        <v>291210</v>
      </c>
      <c r="C20" s="12">
        <f t="shared" si="2"/>
        <v>290962</v>
      </c>
      <c r="D20" s="12">
        <f t="shared" si="2"/>
        <v>291823</v>
      </c>
      <c r="E20" s="12">
        <f t="shared" si="2"/>
        <v>297482</v>
      </c>
      <c r="F20" s="12">
        <f t="shared" si="2"/>
        <v>300245</v>
      </c>
      <c r="G20" s="12">
        <f t="shared" si="2"/>
        <v>302725</v>
      </c>
      <c r="H20" s="12">
        <f t="shared" si="2"/>
        <v>304997</v>
      </c>
      <c r="I20" s="12">
        <f t="shared" si="2"/>
        <v>310034</v>
      </c>
    </row>
    <row r="21" spans="1:9" x14ac:dyDescent="0.25">
      <c r="A21" s="6" t="s">
        <v>20</v>
      </c>
      <c r="B21" s="12">
        <f t="shared" ref="B21:I21" si="3">B7+B15+B20</f>
        <v>442891</v>
      </c>
      <c r="C21" s="12">
        <f t="shared" si="3"/>
        <v>445563</v>
      </c>
      <c r="D21" s="12">
        <f t="shared" si="3"/>
        <v>450017</v>
      </c>
      <c r="E21" s="12">
        <f t="shared" si="3"/>
        <v>459031</v>
      </c>
      <c r="F21" s="12">
        <f t="shared" si="3"/>
        <v>464981</v>
      </c>
      <c r="G21" s="12">
        <f t="shared" si="3"/>
        <v>471158</v>
      </c>
      <c r="H21" s="12">
        <f t="shared" si="3"/>
        <v>477190</v>
      </c>
      <c r="I21" s="12">
        <f t="shared" si="3"/>
        <v>485882</v>
      </c>
    </row>
    <row r="22" spans="1:9" x14ac:dyDescent="0.25">
      <c r="A22" s="11" t="s">
        <v>21</v>
      </c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4" t="s">
        <v>22</v>
      </c>
      <c r="B23" s="5">
        <v>3142</v>
      </c>
      <c r="C23" s="5">
        <v>3055</v>
      </c>
      <c r="D23" s="5">
        <v>2976</v>
      </c>
      <c r="E23" s="5">
        <v>2890</v>
      </c>
      <c r="F23" s="5">
        <v>2814</v>
      </c>
      <c r="G23" s="5">
        <v>2751</v>
      </c>
      <c r="H23" s="5">
        <v>2719</v>
      </c>
      <c r="I23" s="5">
        <v>2703</v>
      </c>
    </row>
    <row r="24" spans="1:9" x14ac:dyDescent="0.25">
      <c r="A24" s="4" t="s">
        <v>23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</row>
    <row r="25" spans="1:9" x14ac:dyDescent="0.25">
      <c r="A25" s="4" t="s">
        <v>24</v>
      </c>
      <c r="B25" s="5">
        <v>1000</v>
      </c>
      <c r="C25" s="5">
        <v>983</v>
      </c>
      <c r="D25" s="5">
        <v>959</v>
      </c>
      <c r="E25" s="5">
        <v>931</v>
      </c>
      <c r="F25" s="5">
        <v>917</v>
      </c>
      <c r="G25" s="5">
        <v>908</v>
      </c>
      <c r="H25" s="5">
        <v>888</v>
      </c>
      <c r="I25" s="5">
        <v>870</v>
      </c>
    </row>
    <row r="26" spans="1:9" x14ac:dyDescent="0.25">
      <c r="A26" s="6" t="s">
        <v>25</v>
      </c>
      <c r="B26" s="12">
        <f t="shared" ref="B26:I26" si="4">SUM(B23:B25)</f>
        <v>4142</v>
      </c>
      <c r="C26" s="12">
        <f t="shared" si="4"/>
        <v>4038</v>
      </c>
      <c r="D26" s="12">
        <f t="shared" si="4"/>
        <v>3935</v>
      </c>
      <c r="E26" s="12">
        <f t="shared" si="4"/>
        <v>3821</v>
      </c>
      <c r="F26" s="12">
        <f t="shared" si="4"/>
        <v>3731</v>
      </c>
      <c r="G26" s="12">
        <f t="shared" si="4"/>
        <v>3659</v>
      </c>
      <c r="H26" s="12">
        <f t="shared" si="4"/>
        <v>3607</v>
      </c>
      <c r="I26" s="12">
        <f t="shared" si="4"/>
        <v>3573</v>
      </c>
    </row>
    <row r="27" spans="1:9" x14ac:dyDescent="0.25">
      <c r="A27" s="11" t="s">
        <v>26</v>
      </c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4" t="s">
        <v>27</v>
      </c>
      <c r="B28" s="5">
        <v>160962</v>
      </c>
      <c r="C28" s="5">
        <v>158279</v>
      </c>
      <c r="D28" s="5">
        <v>156759</v>
      </c>
      <c r="E28" s="5">
        <v>153939</v>
      </c>
      <c r="F28" s="5">
        <v>149806</v>
      </c>
      <c r="G28" s="5">
        <v>145739</v>
      </c>
      <c r="H28" s="5">
        <v>144464</v>
      </c>
      <c r="I28" s="5">
        <v>142700</v>
      </c>
    </row>
    <row r="29" spans="1:9" x14ac:dyDescent="0.25">
      <c r="A29" s="4" t="s">
        <v>28</v>
      </c>
      <c r="B29" s="5">
        <v>18258</v>
      </c>
      <c r="C29" s="5">
        <v>17945</v>
      </c>
      <c r="D29" s="5">
        <v>17462</v>
      </c>
      <c r="E29" s="5">
        <v>17182</v>
      </c>
      <c r="F29" s="5">
        <v>16679</v>
      </c>
      <c r="G29" s="5">
        <v>16304</v>
      </c>
      <c r="H29" s="5">
        <v>16012</v>
      </c>
      <c r="I29" s="5">
        <v>15718</v>
      </c>
    </row>
    <row r="30" spans="1:9" x14ac:dyDescent="0.25">
      <c r="A30" s="4" t="s">
        <v>29</v>
      </c>
      <c r="B30" s="5">
        <v>7061</v>
      </c>
      <c r="C30" s="5">
        <v>6966</v>
      </c>
      <c r="D30" s="5">
        <v>6800</v>
      </c>
      <c r="E30" s="5">
        <v>6729</v>
      </c>
      <c r="F30" s="5">
        <v>6667</v>
      </c>
      <c r="G30" s="5">
        <v>6563</v>
      </c>
      <c r="H30" s="5">
        <v>6524</v>
      </c>
      <c r="I30" s="5">
        <v>6369</v>
      </c>
    </row>
    <row r="31" spans="1:9" x14ac:dyDescent="0.25">
      <c r="A31" s="4" t="s">
        <v>30</v>
      </c>
      <c r="B31" s="5">
        <v>0</v>
      </c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</row>
    <row r="32" spans="1:9" x14ac:dyDescent="0.25">
      <c r="A32" s="6" t="s">
        <v>31</v>
      </c>
      <c r="B32" s="12">
        <f t="shared" ref="B32:I32" si="5">SUM(B28:B31)</f>
        <v>186281</v>
      </c>
      <c r="C32" s="12">
        <f t="shared" si="5"/>
        <v>183190</v>
      </c>
      <c r="D32" s="12">
        <f t="shared" si="5"/>
        <v>181021</v>
      </c>
      <c r="E32" s="12">
        <f t="shared" si="5"/>
        <v>177850</v>
      </c>
      <c r="F32" s="12">
        <f t="shared" si="5"/>
        <v>173152</v>
      </c>
      <c r="G32" s="12">
        <f t="shared" si="5"/>
        <v>168606</v>
      </c>
      <c r="H32" s="12">
        <f t="shared" si="5"/>
        <v>167000</v>
      </c>
      <c r="I32" s="12">
        <f t="shared" si="5"/>
        <v>164787</v>
      </c>
    </row>
    <row r="33" spans="1:9" x14ac:dyDescent="0.25">
      <c r="A33" s="6" t="s">
        <v>32</v>
      </c>
      <c r="B33" s="12">
        <f t="shared" ref="B33:I33" si="6">B26+B32</f>
        <v>190423</v>
      </c>
      <c r="C33" s="12">
        <f t="shared" si="6"/>
        <v>187228</v>
      </c>
      <c r="D33" s="12">
        <f t="shared" si="6"/>
        <v>184956</v>
      </c>
      <c r="E33" s="12">
        <f t="shared" si="6"/>
        <v>181671</v>
      </c>
      <c r="F33" s="12">
        <f t="shared" si="6"/>
        <v>176883</v>
      </c>
      <c r="G33" s="12">
        <f t="shared" si="6"/>
        <v>172265</v>
      </c>
      <c r="H33" s="12">
        <f t="shared" si="6"/>
        <v>170607</v>
      </c>
      <c r="I33" s="12">
        <f t="shared" si="6"/>
        <v>168360</v>
      </c>
    </row>
    <row r="34" spans="1:9" x14ac:dyDescent="0.25">
      <c r="A34" s="6" t="s">
        <v>33</v>
      </c>
      <c r="B34" s="7">
        <f t="shared" ref="B34:I34" si="7">B21-B33</f>
        <v>252468</v>
      </c>
      <c r="C34" s="7">
        <f t="shared" si="7"/>
        <v>258335</v>
      </c>
      <c r="D34" s="7">
        <f t="shared" si="7"/>
        <v>265061</v>
      </c>
      <c r="E34" s="7">
        <f t="shared" si="7"/>
        <v>277360</v>
      </c>
      <c r="F34" s="7">
        <f t="shared" si="7"/>
        <v>288098</v>
      </c>
      <c r="G34" s="7">
        <f t="shared" si="7"/>
        <v>298893</v>
      </c>
      <c r="H34" s="7">
        <f t="shared" si="7"/>
        <v>306583</v>
      </c>
      <c r="I34" s="7">
        <f t="shared" si="7"/>
        <v>317522</v>
      </c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6" t="s">
        <v>43</v>
      </c>
      <c r="B36" s="13">
        <v>0</v>
      </c>
      <c r="C36" s="13">
        <f t="shared" ref="C36:I36" si="8">C34-B34</f>
        <v>5867</v>
      </c>
      <c r="D36" s="13">
        <f t="shared" si="8"/>
        <v>6726</v>
      </c>
      <c r="E36" s="13">
        <f t="shared" si="8"/>
        <v>12299</v>
      </c>
      <c r="F36" s="13">
        <f t="shared" si="8"/>
        <v>10738</v>
      </c>
      <c r="G36" s="13">
        <f t="shared" si="8"/>
        <v>10795</v>
      </c>
      <c r="H36" s="13">
        <f t="shared" si="8"/>
        <v>7690</v>
      </c>
      <c r="I36" s="13">
        <f t="shared" si="8"/>
        <v>10939</v>
      </c>
    </row>
    <row r="37" spans="1:9" x14ac:dyDescent="0.25">
      <c r="A37" s="6" t="s">
        <v>44</v>
      </c>
      <c r="B37" s="14">
        <v>0</v>
      </c>
      <c r="C37" s="14">
        <f t="shared" ref="C37:I37" si="9">IFERROR(C36/B34,0)</f>
        <v>2.3238588652819366E-2</v>
      </c>
      <c r="D37" s="14">
        <f t="shared" si="9"/>
        <v>2.6035961058315751E-2</v>
      </c>
      <c r="E37" s="14">
        <f t="shared" si="9"/>
        <v>4.6400639852713151E-2</v>
      </c>
      <c r="F37" s="14">
        <f t="shared" si="9"/>
        <v>3.8715027401211424E-2</v>
      </c>
      <c r="G37" s="14">
        <f t="shared" si="9"/>
        <v>3.7469888718422203E-2</v>
      </c>
      <c r="H37" s="14">
        <f t="shared" si="9"/>
        <v>2.5728270652039358E-2</v>
      </c>
      <c r="I37" s="14">
        <f t="shared" si="9"/>
        <v>3.5680386714201373E-2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showGridLines="0" zoomScale="145" zoomScaleNormal="145" workbookViewId="0">
      <selection activeCell="E18" sqref="E18"/>
    </sheetView>
  </sheetViews>
  <sheetFormatPr defaultRowHeight="15" x14ac:dyDescent="0.25"/>
  <cols>
    <col min="1" max="1" width="34" customWidth="1"/>
    <col min="2" max="3" width="40" customWidth="1"/>
    <col min="4" max="6" width="13" style="28" customWidth="1"/>
  </cols>
  <sheetData>
    <row r="1" spans="1:6" ht="18" x14ac:dyDescent="0.25">
      <c r="A1" s="1" t="s">
        <v>45</v>
      </c>
      <c r="B1" s="2"/>
      <c r="C1" s="2"/>
      <c r="D1" s="24"/>
      <c r="E1" s="24"/>
      <c r="F1" s="24"/>
    </row>
    <row r="2" spans="1:6" x14ac:dyDescent="0.25">
      <c r="A2" s="15" t="s">
        <v>46</v>
      </c>
      <c r="B2" s="2"/>
      <c r="C2" s="2"/>
      <c r="D2" s="24"/>
      <c r="E2" s="24"/>
      <c r="F2" s="24"/>
    </row>
    <row r="3" spans="1:6" x14ac:dyDescent="0.25">
      <c r="A3" s="16" t="s">
        <v>47</v>
      </c>
      <c r="B3" s="5">
        <v>7200</v>
      </c>
      <c r="C3" s="2"/>
      <c r="D3" s="24"/>
      <c r="E3" s="24"/>
      <c r="F3" s="24"/>
    </row>
    <row r="4" spans="1:6" x14ac:dyDescent="0.25">
      <c r="A4" s="16" t="s">
        <v>48</v>
      </c>
      <c r="B4" s="5">
        <v>3800</v>
      </c>
      <c r="C4" s="2"/>
      <c r="D4" s="24"/>
      <c r="E4" s="24"/>
      <c r="F4" s="24"/>
    </row>
    <row r="5" spans="1:6" x14ac:dyDescent="0.25">
      <c r="A5" s="16" t="s">
        <v>49</v>
      </c>
      <c r="B5" s="5">
        <v>350</v>
      </c>
      <c r="C5" s="2"/>
      <c r="D5" s="24"/>
      <c r="E5" s="24"/>
      <c r="F5" s="24"/>
    </row>
    <row r="6" spans="1:6" x14ac:dyDescent="0.25">
      <c r="A6" s="16" t="s">
        <v>50</v>
      </c>
      <c r="B6" s="5">
        <v>1200</v>
      </c>
      <c r="C6" s="2"/>
      <c r="D6" s="24"/>
      <c r="E6" s="24"/>
      <c r="F6" s="24"/>
    </row>
    <row r="7" spans="1:6" x14ac:dyDescent="0.25">
      <c r="A7" s="2"/>
      <c r="B7" s="2"/>
      <c r="C7" s="2"/>
      <c r="D7" s="24"/>
      <c r="E7" s="24"/>
      <c r="F7" s="24"/>
    </row>
    <row r="8" spans="1:6" x14ac:dyDescent="0.25">
      <c r="A8" s="20" t="s">
        <v>51</v>
      </c>
      <c r="B8" s="20" t="s">
        <v>52</v>
      </c>
      <c r="C8" s="20" t="s">
        <v>53</v>
      </c>
      <c r="D8" s="21" t="s">
        <v>54</v>
      </c>
      <c r="E8" s="21" t="s">
        <v>55</v>
      </c>
      <c r="F8" s="21" t="s">
        <v>56</v>
      </c>
    </row>
    <row r="9" spans="1:6" x14ac:dyDescent="0.25">
      <c r="A9" s="16" t="s">
        <v>57</v>
      </c>
      <c r="B9" s="17">
        <f>'Balance Sheet'!B6/B4</f>
        <v>5.641578947368421</v>
      </c>
      <c r="C9" s="17">
        <f>IFERROR('Quarterly History'!H7/B4,0)</f>
        <v>5.5310526315789472</v>
      </c>
      <c r="D9" s="25">
        <f t="shared" ref="D9:D14" si="0">B9-C9</f>
        <v>0.11052631578947381</v>
      </c>
      <c r="E9" s="26" t="s">
        <v>58</v>
      </c>
      <c r="F9" s="26" t="str">
        <f>IF(B9&gt;3,"Healthy",IF(B9&gt;1.79999999999999,"Watch","Concern"))</f>
        <v>Healthy</v>
      </c>
    </row>
    <row r="10" spans="1:6" x14ac:dyDescent="0.25">
      <c r="A10" s="16" t="s">
        <v>59</v>
      </c>
      <c r="B10" s="17">
        <f>'Balance Sheet'!B32/'Balance Sheet'!B20</f>
        <v>0.34650388365899537</v>
      </c>
      <c r="C10" s="17">
        <f>IFERROR('Quarterly History'!H33/'Quarterly History'!H21,0)</f>
        <v>0.35752425658542719</v>
      </c>
      <c r="D10" s="25">
        <f t="shared" si="0"/>
        <v>-1.1020372926431821E-2</v>
      </c>
      <c r="E10" s="26" t="s">
        <v>60</v>
      </c>
      <c r="F10" s="26" t="str">
        <f>IF(B10&lt;0.5,"Healthy",IF(B10&lt;0.65,"Watch","Concern"))</f>
        <v>Healthy</v>
      </c>
    </row>
    <row r="11" spans="1:6" x14ac:dyDescent="0.25">
      <c r="A11" s="16" t="s">
        <v>61</v>
      </c>
      <c r="B11" s="17">
        <f>'Balance Sheet'!B33/'Balance Sheet'!B20</f>
        <v>0.65349611634100457</v>
      </c>
      <c r="C11" s="17">
        <f>IFERROR('Quarterly History'!H34/'Quarterly History'!H21,0)</f>
        <v>0.64247574341457281</v>
      </c>
      <c r="D11" s="25">
        <f t="shared" si="0"/>
        <v>1.1020372926431765E-2</v>
      </c>
      <c r="E11" s="26" t="s">
        <v>62</v>
      </c>
      <c r="F11" s="26" t="str">
        <f>IF(B11&gt;0.5,"Healthy",IF(B11&gt;0.3,"Watch","Concern"))</f>
        <v>Healthy</v>
      </c>
    </row>
    <row r="12" spans="1:6" x14ac:dyDescent="0.25">
      <c r="A12" s="16" t="s">
        <v>63</v>
      </c>
      <c r="B12" s="14">
        <f>B6/B3</f>
        <v>0.16666666666666666</v>
      </c>
      <c r="C12" s="14">
        <f>B6/B3</f>
        <v>0.16666666666666666</v>
      </c>
      <c r="D12" s="27">
        <f t="shared" si="0"/>
        <v>0</v>
      </c>
      <c r="E12" s="26" t="s">
        <v>64</v>
      </c>
      <c r="F12" s="26" t="str">
        <f>IF(B12&gt;0.15,"Healthy",IF(B12&gt;0.09,"Watch","Concern"))</f>
        <v>Healthy</v>
      </c>
    </row>
    <row r="13" spans="1:6" x14ac:dyDescent="0.25">
      <c r="A13" s="16" t="s">
        <v>65</v>
      </c>
      <c r="B13" s="17">
        <f>'Balance Sheet'!B14/'Balance Sheet'!B20</f>
        <v>0.3177932090507572</v>
      </c>
      <c r="C13" s="17">
        <f>IFERROR('Quarterly History'!H15/'Quarterly History'!H21,0)</f>
        <v>0.31680253148641002</v>
      </c>
      <c r="D13" s="25">
        <f t="shared" si="0"/>
        <v>9.9067756434717547E-4</v>
      </c>
      <c r="E13" s="26" t="s">
        <v>66</v>
      </c>
      <c r="F13" s="26" t="str">
        <f>IF(B13&gt;0.3,"Healthy",IF(B13&gt;0.18,"Watch","Concern"))</f>
        <v>Healthy</v>
      </c>
    </row>
    <row r="14" spans="1:6" x14ac:dyDescent="0.25">
      <c r="A14" s="16" t="s">
        <v>67</v>
      </c>
      <c r="B14" s="17">
        <f>('Balance Sheet'!B27/12+B5)/B3</f>
        <v>1.7002314814814814</v>
      </c>
      <c r="C14" s="17">
        <f>IFERROR(('Quarterly History'!H28/12+B5)/B3,0)</f>
        <v>1.7206481481481481</v>
      </c>
      <c r="D14" s="25">
        <f t="shared" si="0"/>
        <v>-2.041666666666675E-2</v>
      </c>
      <c r="E14" s="26" t="s">
        <v>68</v>
      </c>
      <c r="F14" s="26" t="str">
        <f>IF(B14&lt;0.28,"Healthy",IF(B14&lt;0.364,"Watch","Concern"))</f>
        <v>Concern</v>
      </c>
    </row>
  </sheetData>
  <conditionalFormatting sqref="F9:F14">
    <cfRule type="cellIs" dxfId="2" priority="2" operator="equal">
      <formula>"Healthy"</formula>
    </cfRule>
    <cfRule type="cellIs" dxfId="1" priority="3" operator="equal">
      <formula>"Watch"</formula>
    </cfRule>
    <cfRule type="cellIs" dxfId="0" priority="4" operator="equal">
      <formula>"Concern"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showGridLines="0" zoomScale="160" zoomScaleNormal="160" workbookViewId="0">
      <selection activeCell="A2" sqref="A2"/>
    </sheetView>
  </sheetViews>
  <sheetFormatPr defaultRowHeight="15" x14ac:dyDescent="0.25"/>
  <cols>
    <col min="1" max="1" width="30" customWidth="1"/>
    <col min="2" max="3" width="26" customWidth="1"/>
    <col min="4" max="4" width="40" customWidth="1"/>
    <col min="5" max="5" width="26" customWidth="1"/>
    <col min="6" max="6" width="23" customWidth="1"/>
  </cols>
  <sheetData>
    <row r="1" spans="1:6" ht="18" x14ac:dyDescent="0.25">
      <c r="A1" s="1" t="s">
        <v>69</v>
      </c>
      <c r="B1" s="2"/>
      <c r="C1" s="2"/>
      <c r="D1" s="2"/>
      <c r="E1" s="2"/>
      <c r="F1" s="2"/>
    </row>
    <row r="2" spans="1:6" x14ac:dyDescent="0.25">
      <c r="A2" s="20" t="s">
        <v>70</v>
      </c>
      <c r="B2" s="21" t="s">
        <v>53</v>
      </c>
      <c r="C2" s="21" t="s">
        <v>71</v>
      </c>
      <c r="D2" s="21" t="s">
        <v>72</v>
      </c>
      <c r="E2" s="21" t="s">
        <v>73</v>
      </c>
      <c r="F2" s="21" t="s">
        <v>74</v>
      </c>
    </row>
    <row r="3" spans="1:6" x14ac:dyDescent="0.25">
      <c r="A3" s="16" t="s">
        <v>3</v>
      </c>
      <c r="B3" s="13">
        <f>'Quarterly History'!H4</f>
        <v>4782</v>
      </c>
      <c r="C3" s="13">
        <f>'Quarterly History'!I4</f>
        <v>4820</v>
      </c>
      <c r="D3" s="13">
        <f t="shared" ref="D3:D14" si="0">C3-B3</f>
        <v>38</v>
      </c>
      <c r="E3" s="14">
        <f t="shared" ref="E3:E21" si="1">IFERROR(D3/ABS(B3),0)</f>
        <v>7.9464659138435804E-3</v>
      </c>
      <c r="F3" s="14">
        <f t="shared" ref="F3:F21" si="2">IFERROR(D3/$D$23,0)</f>
        <v>3.4738093061522993E-3</v>
      </c>
    </row>
    <row r="4" spans="1:6" x14ac:dyDescent="0.25">
      <c r="A4" s="16" t="s">
        <v>4</v>
      </c>
      <c r="B4" s="13">
        <f>'Quarterly History'!H5</f>
        <v>12891</v>
      </c>
      <c r="C4" s="13">
        <f>'Quarterly History'!I5</f>
        <v>13204</v>
      </c>
      <c r="D4" s="13">
        <f t="shared" si="0"/>
        <v>313</v>
      </c>
      <c r="E4" s="14">
        <f t="shared" si="1"/>
        <v>2.4280505779225817E-2</v>
      </c>
      <c r="F4" s="14">
        <f t="shared" si="2"/>
        <v>2.8613218758570255E-2</v>
      </c>
    </row>
    <row r="5" spans="1:6" x14ac:dyDescent="0.25">
      <c r="A5" s="16" t="s">
        <v>5</v>
      </c>
      <c r="B5" s="13">
        <f>'Quarterly History'!H6</f>
        <v>3345</v>
      </c>
      <c r="C5" s="13">
        <f>'Quarterly History'!I6</f>
        <v>3414</v>
      </c>
      <c r="D5" s="13">
        <f t="shared" si="0"/>
        <v>69</v>
      </c>
      <c r="E5" s="14">
        <f t="shared" si="1"/>
        <v>2.062780269058296E-2</v>
      </c>
      <c r="F5" s="14">
        <f t="shared" si="2"/>
        <v>6.307706371697596E-3</v>
      </c>
    </row>
    <row r="6" spans="1:6" x14ac:dyDescent="0.25">
      <c r="A6" s="16" t="s">
        <v>8</v>
      </c>
      <c r="B6" s="13">
        <f>'Quarterly History'!H9</f>
        <v>35180</v>
      </c>
      <c r="C6" s="13">
        <f>'Quarterly History'!I9</f>
        <v>35625</v>
      </c>
      <c r="D6" s="13">
        <f t="shared" si="0"/>
        <v>445</v>
      </c>
      <c r="E6" s="14">
        <f t="shared" si="1"/>
        <v>1.2649232518476407E-2</v>
      </c>
      <c r="F6" s="14">
        <f t="shared" si="2"/>
        <v>4.068013529573087E-2</v>
      </c>
    </row>
    <row r="7" spans="1:6" x14ac:dyDescent="0.25">
      <c r="A7" s="16" t="s">
        <v>9</v>
      </c>
      <c r="B7" s="13">
        <f>'Quarterly History'!H10</f>
        <v>71317</v>
      </c>
      <c r="C7" s="13">
        <f>'Quarterly History'!I10</f>
        <v>72764</v>
      </c>
      <c r="D7" s="13">
        <f t="shared" si="0"/>
        <v>1447</v>
      </c>
      <c r="E7" s="14">
        <f t="shared" si="1"/>
        <v>2.0289692499684507E-2</v>
      </c>
      <c r="F7" s="14">
        <f t="shared" si="2"/>
        <v>0.13227900173690466</v>
      </c>
    </row>
    <row r="8" spans="1:6" x14ac:dyDescent="0.25">
      <c r="A8" s="16" t="s">
        <v>10</v>
      </c>
      <c r="B8" s="13">
        <f>'Quarterly History'!H11</f>
        <v>28904</v>
      </c>
      <c r="C8" s="13">
        <f>'Quarterly History'!I11</f>
        <v>29834</v>
      </c>
      <c r="D8" s="13">
        <f t="shared" si="0"/>
        <v>930</v>
      </c>
      <c r="E8" s="14">
        <f t="shared" si="1"/>
        <v>3.2175477442568504E-2</v>
      </c>
      <c r="F8" s="14">
        <f t="shared" si="2"/>
        <v>8.5016911966358896E-2</v>
      </c>
    </row>
    <row r="9" spans="1:6" x14ac:dyDescent="0.25">
      <c r="A9" s="16" t="s">
        <v>11</v>
      </c>
      <c r="B9" s="13">
        <f>'Quarterly History'!H12</f>
        <v>5734</v>
      </c>
      <c r="C9" s="13">
        <f>'Quarterly History'!I12</f>
        <v>5865</v>
      </c>
      <c r="D9" s="13">
        <f t="shared" si="0"/>
        <v>131</v>
      </c>
      <c r="E9" s="14">
        <f t="shared" si="1"/>
        <v>2.2846180676665506E-2</v>
      </c>
      <c r="F9" s="14">
        <f t="shared" si="2"/>
        <v>1.197550050278819E-2</v>
      </c>
    </row>
    <row r="10" spans="1:6" x14ac:dyDescent="0.25">
      <c r="A10" s="16" t="s">
        <v>12</v>
      </c>
      <c r="B10" s="13">
        <f>'Quarterly History'!H13</f>
        <v>7179</v>
      </c>
      <c r="C10" s="13">
        <f>'Quarterly History'!I13</f>
        <v>7395</v>
      </c>
      <c r="D10" s="13">
        <f t="shared" si="0"/>
        <v>216</v>
      </c>
      <c r="E10" s="14">
        <f t="shared" si="1"/>
        <v>3.0087755954868366E-2</v>
      </c>
      <c r="F10" s="14">
        <f t="shared" si="2"/>
        <v>1.9745863424444648E-2</v>
      </c>
    </row>
    <row r="11" spans="1:6" x14ac:dyDescent="0.25">
      <c r="A11" s="16" t="s">
        <v>13</v>
      </c>
      <c r="B11" s="13">
        <f>'Quarterly History'!H14</f>
        <v>2861</v>
      </c>
      <c r="C11" s="13">
        <f>'Quarterly History'!I14</f>
        <v>2927</v>
      </c>
      <c r="D11" s="13">
        <f t="shared" si="0"/>
        <v>66</v>
      </c>
      <c r="E11" s="14">
        <f t="shared" si="1"/>
        <v>2.3068857042991962E-2</v>
      </c>
      <c r="F11" s="14">
        <f t="shared" si="2"/>
        <v>6.0334582685803093E-3</v>
      </c>
    </row>
    <row r="12" spans="1:6" x14ac:dyDescent="0.25">
      <c r="A12" s="16" t="s">
        <v>16</v>
      </c>
      <c r="B12" s="13">
        <f>'Quarterly History'!H17</f>
        <v>284273</v>
      </c>
      <c r="C12" s="13">
        <f>'Quarterly History'!I17</f>
        <v>289539</v>
      </c>
      <c r="D12" s="13">
        <f t="shared" si="0"/>
        <v>5266</v>
      </c>
      <c r="E12" s="14">
        <f t="shared" si="1"/>
        <v>1.8524446570726029E-2</v>
      </c>
      <c r="F12" s="14">
        <f t="shared" si="2"/>
        <v>0.48139683700521069</v>
      </c>
    </row>
    <row r="13" spans="1:6" x14ac:dyDescent="0.25">
      <c r="A13" s="16" t="s">
        <v>17</v>
      </c>
      <c r="B13" s="13">
        <f>'Quarterly History'!H18</f>
        <v>13388</v>
      </c>
      <c r="C13" s="13">
        <f>'Quarterly History'!I18</f>
        <v>12989</v>
      </c>
      <c r="D13" s="13">
        <f t="shared" si="0"/>
        <v>-399</v>
      </c>
      <c r="E13" s="14">
        <f t="shared" si="1"/>
        <v>-2.9802808485210636E-2</v>
      </c>
      <c r="F13" s="14">
        <f t="shared" si="2"/>
        <v>-3.6474997714599139E-2</v>
      </c>
    </row>
    <row r="14" spans="1:6" x14ac:dyDescent="0.25">
      <c r="A14" s="16" t="s">
        <v>18</v>
      </c>
      <c r="B14" s="13">
        <f>'Quarterly History'!H19</f>
        <v>7336</v>
      </c>
      <c r="C14" s="13">
        <f>'Quarterly History'!I19</f>
        <v>7506</v>
      </c>
      <c r="D14" s="13">
        <f t="shared" si="0"/>
        <v>170</v>
      </c>
      <c r="E14" s="14">
        <f t="shared" si="1"/>
        <v>2.3173391494002181E-2</v>
      </c>
      <c r="F14" s="14">
        <f t="shared" si="2"/>
        <v>1.5540725843312918E-2</v>
      </c>
    </row>
    <row r="15" spans="1:6" x14ac:dyDescent="0.25">
      <c r="A15" s="16" t="s">
        <v>22</v>
      </c>
      <c r="B15" s="13">
        <f>'Quarterly History'!H23</f>
        <v>2719</v>
      </c>
      <c r="C15" s="13">
        <f>'Quarterly History'!I23</f>
        <v>2703</v>
      </c>
      <c r="D15" s="13">
        <f t="shared" ref="D15:D21" si="3">B15-C15</f>
        <v>16</v>
      </c>
      <c r="E15" s="14">
        <f t="shared" si="1"/>
        <v>5.884516366311144E-3</v>
      </c>
      <c r="F15" s="14">
        <f t="shared" si="2"/>
        <v>1.4626565499588629E-3</v>
      </c>
    </row>
    <row r="16" spans="1:6" x14ac:dyDescent="0.25">
      <c r="A16" s="16" t="s">
        <v>23</v>
      </c>
      <c r="B16" s="13">
        <f>'Quarterly History'!H24</f>
        <v>0</v>
      </c>
      <c r="C16" s="13">
        <f>'Quarterly History'!I24</f>
        <v>0</v>
      </c>
      <c r="D16" s="13">
        <f t="shared" si="3"/>
        <v>0</v>
      </c>
      <c r="E16" s="14">
        <f t="shared" si="1"/>
        <v>0</v>
      </c>
      <c r="F16" s="14">
        <f t="shared" si="2"/>
        <v>0</v>
      </c>
    </row>
    <row r="17" spans="1:6" x14ac:dyDescent="0.25">
      <c r="A17" s="16" t="s">
        <v>24</v>
      </c>
      <c r="B17" s="13">
        <f>'Quarterly History'!H25</f>
        <v>888</v>
      </c>
      <c r="C17" s="13">
        <f>'Quarterly History'!I25</f>
        <v>870</v>
      </c>
      <c r="D17" s="13">
        <f t="shared" si="3"/>
        <v>18</v>
      </c>
      <c r="E17" s="14">
        <f t="shared" si="1"/>
        <v>2.0270270270270271E-2</v>
      </c>
      <c r="F17" s="14">
        <f t="shared" si="2"/>
        <v>1.6454886187037207E-3</v>
      </c>
    </row>
    <row r="18" spans="1:6" x14ac:dyDescent="0.25">
      <c r="A18" s="16" t="s">
        <v>27</v>
      </c>
      <c r="B18" s="13">
        <f>'Quarterly History'!H28</f>
        <v>144464</v>
      </c>
      <c r="C18" s="13">
        <f>'Quarterly History'!I28</f>
        <v>142700</v>
      </c>
      <c r="D18" s="13">
        <f t="shared" si="3"/>
        <v>1764</v>
      </c>
      <c r="E18" s="14">
        <f t="shared" si="1"/>
        <v>1.2210654557536825E-2</v>
      </c>
      <c r="F18" s="14">
        <f t="shared" si="2"/>
        <v>0.16125788463296462</v>
      </c>
    </row>
    <row r="19" spans="1:6" x14ac:dyDescent="0.25">
      <c r="A19" s="16" t="s">
        <v>28</v>
      </c>
      <c r="B19" s="13">
        <f>'Quarterly History'!H29</f>
        <v>16012</v>
      </c>
      <c r="C19" s="13">
        <f>'Quarterly History'!I29</f>
        <v>15718</v>
      </c>
      <c r="D19" s="13">
        <f t="shared" si="3"/>
        <v>294</v>
      </c>
      <c r="E19" s="14">
        <f t="shared" si="1"/>
        <v>1.8361229078191356E-2</v>
      </c>
      <c r="F19" s="14">
        <f t="shared" si="2"/>
        <v>2.6876314105494105E-2</v>
      </c>
    </row>
    <row r="20" spans="1:6" x14ac:dyDescent="0.25">
      <c r="A20" s="16" t="s">
        <v>29</v>
      </c>
      <c r="B20" s="13">
        <f>'Quarterly History'!H30</f>
        <v>6524</v>
      </c>
      <c r="C20" s="13">
        <f>'Quarterly History'!I30</f>
        <v>6369</v>
      </c>
      <c r="D20" s="13">
        <f t="shared" si="3"/>
        <v>155</v>
      </c>
      <c r="E20" s="14">
        <f t="shared" si="1"/>
        <v>2.3758430410790926E-2</v>
      </c>
      <c r="F20" s="14">
        <f t="shared" si="2"/>
        <v>1.4169485327726484E-2</v>
      </c>
    </row>
    <row r="21" spans="1:6" x14ac:dyDescent="0.25">
      <c r="A21" s="16" t="s">
        <v>30</v>
      </c>
      <c r="B21" s="13">
        <f>'Quarterly History'!H31</f>
        <v>0</v>
      </c>
      <c r="C21" s="13">
        <f>'Quarterly History'!I31</f>
        <v>0</v>
      </c>
      <c r="D21" s="13">
        <f t="shared" si="3"/>
        <v>0</v>
      </c>
      <c r="E21" s="14">
        <f t="shared" si="1"/>
        <v>0</v>
      </c>
      <c r="F21" s="14">
        <f t="shared" si="2"/>
        <v>0</v>
      </c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0" t="s">
        <v>75</v>
      </c>
      <c r="B23" s="20"/>
      <c r="C23" s="20"/>
      <c r="D23" s="29">
        <f>'Quarterly History'!I34-'Quarterly History'!H34</f>
        <v>10939</v>
      </c>
      <c r="E23" s="29"/>
      <c r="F23" s="29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4"/>
  <sheetViews>
    <sheetView showGridLines="0" tabSelected="1" zoomScale="115" zoomScaleNormal="115" workbookViewId="0">
      <selection activeCell="D28" sqref="D28"/>
    </sheetView>
  </sheetViews>
  <sheetFormatPr defaultRowHeight="15" x14ac:dyDescent="0.25"/>
  <cols>
    <col min="1" max="1" width="30" customWidth="1"/>
    <col min="2" max="2" width="40" style="34" customWidth="1"/>
    <col min="3" max="4" width="26" customWidth="1"/>
  </cols>
  <sheetData>
    <row r="1" spans="1:4" ht="18" x14ac:dyDescent="0.25">
      <c r="A1" s="1" t="s">
        <v>76</v>
      </c>
      <c r="B1" s="32"/>
      <c r="C1" s="2"/>
      <c r="D1" s="2"/>
    </row>
    <row r="2" spans="1:4" x14ac:dyDescent="0.25">
      <c r="A2" s="15" t="s">
        <v>77</v>
      </c>
      <c r="B2" s="32"/>
      <c r="C2" s="2"/>
      <c r="D2" s="2"/>
    </row>
    <row r="3" spans="1:4" x14ac:dyDescent="0.25">
      <c r="A3" s="20" t="s">
        <v>78</v>
      </c>
      <c r="B3" s="30" t="s">
        <v>79</v>
      </c>
      <c r="C3" s="2"/>
      <c r="D3" s="2"/>
    </row>
    <row r="4" spans="1:4" x14ac:dyDescent="0.25">
      <c r="A4" s="16" t="s">
        <v>35</v>
      </c>
      <c r="B4" s="31">
        <f>'Quarterly History'!B34</f>
        <v>252468</v>
      </c>
      <c r="C4" s="2"/>
      <c r="D4" s="2"/>
    </row>
    <row r="5" spans="1:4" x14ac:dyDescent="0.25">
      <c r="A5" s="16" t="s">
        <v>36</v>
      </c>
      <c r="B5" s="31">
        <f>'Quarterly History'!C34</f>
        <v>258335</v>
      </c>
      <c r="C5" s="2"/>
      <c r="D5" s="2"/>
    </row>
    <row r="6" spans="1:4" x14ac:dyDescent="0.25">
      <c r="A6" s="16" t="s">
        <v>37</v>
      </c>
      <c r="B6" s="31">
        <f>'Quarterly History'!D34</f>
        <v>265061</v>
      </c>
      <c r="C6" s="2"/>
      <c r="D6" s="2"/>
    </row>
    <row r="7" spans="1:4" x14ac:dyDescent="0.25">
      <c r="A7" s="16" t="s">
        <v>38</v>
      </c>
      <c r="B7" s="31">
        <f>'Quarterly History'!E34</f>
        <v>277360</v>
      </c>
      <c r="C7" s="2"/>
      <c r="D7" s="2"/>
    </row>
    <row r="8" spans="1:4" x14ac:dyDescent="0.25">
      <c r="A8" s="16" t="s">
        <v>39</v>
      </c>
      <c r="B8" s="31">
        <f>'Quarterly History'!F34</f>
        <v>288098</v>
      </c>
      <c r="C8" s="2"/>
      <c r="D8" s="2"/>
    </row>
    <row r="9" spans="1:4" x14ac:dyDescent="0.25">
      <c r="A9" s="16" t="s">
        <v>40</v>
      </c>
      <c r="B9" s="31">
        <f>'Quarterly History'!G34</f>
        <v>298893</v>
      </c>
      <c r="C9" s="2"/>
      <c r="D9" s="2"/>
    </row>
    <row r="10" spans="1:4" x14ac:dyDescent="0.25">
      <c r="A10" s="16" t="s">
        <v>41</v>
      </c>
      <c r="B10" s="31">
        <f>'Quarterly History'!H34</f>
        <v>306583</v>
      </c>
      <c r="C10" s="2"/>
      <c r="D10" s="2"/>
    </row>
    <row r="11" spans="1:4" x14ac:dyDescent="0.25">
      <c r="A11" s="16" t="s">
        <v>42</v>
      </c>
      <c r="B11" s="31">
        <f>'Quarterly History'!I34</f>
        <v>317522</v>
      </c>
      <c r="C11" s="2"/>
      <c r="D11" s="2"/>
    </row>
    <row r="12" spans="1:4" x14ac:dyDescent="0.25">
      <c r="A12" s="2"/>
      <c r="B12" s="32"/>
      <c r="C12" s="2"/>
      <c r="D12" s="2"/>
    </row>
    <row r="13" spans="1:4" x14ac:dyDescent="0.25">
      <c r="A13" s="2"/>
      <c r="B13" s="32"/>
      <c r="C13" s="2"/>
      <c r="D13" s="2"/>
    </row>
    <row r="14" spans="1:4" x14ac:dyDescent="0.25">
      <c r="A14" s="20" t="s">
        <v>78</v>
      </c>
      <c r="B14" s="30" t="s">
        <v>80</v>
      </c>
      <c r="C14" s="30" t="s">
        <v>81</v>
      </c>
      <c r="D14" s="30" t="s">
        <v>82</v>
      </c>
    </row>
    <row r="15" spans="1:4" x14ac:dyDescent="0.25">
      <c r="A15" s="16" t="s">
        <v>35</v>
      </c>
      <c r="B15" s="31">
        <f>'Quarterly History'!B7</f>
        <v>19575</v>
      </c>
      <c r="C15" s="31">
        <f>'Quarterly History'!B15</f>
        <v>132106</v>
      </c>
      <c r="D15" s="31">
        <f>'Quarterly History'!B20</f>
        <v>291210</v>
      </c>
    </row>
    <row r="16" spans="1:4" x14ac:dyDescent="0.25">
      <c r="A16" s="16" t="s">
        <v>36</v>
      </c>
      <c r="B16" s="31">
        <f>'Quarterly History'!C7</f>
        <v>19676</v>
      </c>
      <c r="C16" s="31">
        <f>'Quarterly History'!C15</f>
        <v>134925</v>
      </c>
      <c r="D16" s="31">
        <f>'Quarterly History'!C20</f>
        <v>290962</v>
      </c>
    </row>
    <row r="17" spans="1:4" x14ac:dyDescent="0.25">
      <c r="A17" s="16" t="s">
        <v>37</v>
      </c>
      <c r="B17" s="31">
        <f>'Quarterly History'!D7</f>
        <v>19840</v>
      </c>
      <c r="C17" s="31">
        <f>'Quarterly History'!D15</f>
        <v>138354</v>
      </c>
      <c r="D17" s="31">
        <f>'Quarterly History'!D20</f>
        <v>291823</v>
      </c>
    </row>
    <row r="18" spans="1:4" x14ac:dyDescent="0.25">
      <c r="A18" s="16" t="s">
        <v>38</v>
      </c>
      <c r="B18" s="31">
        <f>'Quarterly History'!E7</f>
        <v>20168</v>
      </c>
      <c r="C18" s="31">
        <f>'Quarterly History'!E15</f>
        <v>141381</v>
      </c>
      <c r="D18" s="31">
        <f>'Quarterly History'!E20</f>
        <v>297482</v>
      </c>
    </row>
    <row r="19" spans="1:4" x14ac:dyDescent="0.25">
      <c r="A19" s="16" t="s">
        <v>39</v>
      </c>
      <c r="B19" s="31">
        <f>'Quarterly History'!F7</f>
        <v>20598</v>
      </c>
      <c r="C19" s="31">
        <f>'Quarterly History'!F15</f>
        <v>144138</v>
      </c>
      <c r="D19" s="31">
        <f>'Quarterly History'!F20</f>
        <v>300245</v>
      </c>
    </row>
    <row r="20" spans="1:4" x14ac:dyDescent="0.25">
      <c r="A20" s="16" t="s">
        <v>40</v>
      </c>
      <c r="B20" s="31">
        <f>'Quarterly History'!G7</f>
        <v>20890</v>
      </c>
      <c r="C20" s="31">
        <f>'Quarterly History'!G15</f>
        <v>147543</v>
      </c>
      <c r="D20" s="31">
        <f>'Quarterly History'!G20</f>
        <v>302725</v>
      </c>
    </row>
    <row r="21" spans="1:4" x14ac:dyDescent="0.25">
      <c r="A21" s="16" t="s">
        <v>41</v>
      </c>
      <c r="B21" s="31">
        <f>'Quarterly History'!H7</f>
        <v>21018</v>
      </c>
      <c r="C21" s="31">
        <f>'Quarterly History'!H15</f>
        <v>151175</v>
      </c>
      <c r="D21" s="31">
        <f>'Quarterly History'!H20</f>
        <v>304997</v>
      </c>
    </row>
    <row r="22" spans="1:4" x14ac:dyDescent="0.25">
      <c r="A22" s="16" t="s">
        <v>42</v>
      </c>
      <c r="B22" s="31">
        <f>'Quarterly History'!I7</f>
        <v>21438</v>
      </c>
      <c r="C22" s="31">
        <f>'Quarterly History'!I15</f>
        <v>154410</v>
      </c>
      <c r="D22" s="31">
        <f>'Quarterly History'!I20</f>
        <v>310034</v>
      </c>
    </row>
    <row r="23" spans="1:4" x14ac:dyDescent="0.25">
      <c r="A23" s="2"/>
      <c r="B23" s="32"/>
      <c r="C23" s="2"/>
      <c r="D23" s="2"/>
    </row>
    <row r="24" spans="1:4" x14ac:dyDescent="0.25">
      <c r="A24" s="20" t="s">
        <v>51</v>
      </c>
      <c r="B24" s="30" t="s">
        <v>52</v>
      </c>
      <c r="C24" s="2"/>
      <c r="D24" s="2"/>
    </row>
    <row r="25" spans="1:4" x14ac:dyDescent="0.25">
      <c r="A25" s="16" t="s">
        <v>57</v>
      </c>
      <c r="B25" s="33">
        <f>Ratios!B9</f>
        <v>5.641578947368421</v>
      </c>
      <c r="C25" s="2"/>
      <c r="D25" s="2"/>
    </row>
    <row r="26" spans="1:4" x14ac:dyDescent="0.25">
      <c r="A26" s="16" t="s">
        <v>59</v>
      </c>
      <c r="B26" s="33">
        <f>Ratios!B10</f>
        <v>0.34650388365899537</v>
      </c>
      <c r="C26" s="2"/>
      <c r="D26" s="2"/>
    </row>
    <row r="27" spans="1:4" x14ac:dyDescent="0.25">
      <c r="A27" s="16" t="s">
        <v>61</v>
      </c>
      <c r="B27" s="33">
        <f>Ratios!B11</f>
        <v>0.65349611634100457</v>
      </c>
      <c r="C27" s="2"/>
      <c r="D27" s="2"/>
    </row>
    <row r="28" spans="1:4" x14ac:dyDescent="0.25">
      <c r="A28" s="16" t="s">
        <v>63</v>
      </c>
      <c r="B28" s="33">
        <f>Ratios!B12</f>
        <v>0.16666666666666666</v>
      </c>
      <c r="C28" s="2"/>
      <c r="D28" s="2"/>
    </row>
    <row r="29" spans="1:4" x14ac:dyDescent="0.25">
      <c r="A29" s="16" t="s">
        <v>65</v>
      </c>
      <c r="B29" s="33">
        <f>Ratios!B13</f>
        <v>0.3177932090507572</v>
      </c>
      <c r="C29" s="2"/>
      <c r="D29" s="2"/>
    </row>
    <row r="30" spans="1:4" x14ac:dyDescent="0.25">
      <c r="A30" s="16" t="s">
        <v>67</v>
      </c>
      <c r="B30" s="33">
        <f>Ratios!B14</f>
        <v>1.7002314814814814</v>
      </c>
      <c r="C30" s="2"/>
      <c r="D30" s="2"/>
    </row>
    <row r="31" spans="1:4" x14ac:dyDescent="0.25">
      <c r="A31" s="2"/>
      <c r="B31" s="32"/>
      <c r="C31" s="2"/>
      <c r="D31" s="2"/>
    </row>
    <row r="32" spans="1:4" x14ac:dyDescent="0.25">
      <c r="A32" s="2"/>
      <c r="B32" s="32"/>
      <c r="C32" s="2"/>
      <c r="D32" s="2"/>
    </row>
    <row r="33" spans="1:4" x14ac:dyDescent="0.25">
      <c r="A33" s="2"/>
      <c r="B33" s="32"/>
      <c r="C33" s="2"/>
      <c r="D33" s="2"/>
    </row>
    <row r="34" spans="1:4" x14ac:dyDescent="0.25">
      <c r="A34" s="2"/>
      <c r="B34" s="32"/>
      <c r="C34" s="2"/>
      <c r="D34" s="2"/>
    </row>
    <row r="35" spans="1:4" x14ac:dyDescent="0.25">
      <c r="A35" s="2"/>
      <c r="B35" s="32"/>
      <c r="C35" s="2"/>
      <c r="D35" s="2"/>
    </row>
    <row r="36" spans="1:4" x14ac:dyDescent="0.25">
      <c r="A36" s="2"/>
      <c r="B36" s="32"/>
      <c r="C36" s="2"/>
      <c r="D36" s="2"/>
    </row>
    <row r="37" spans="1:4" x14ac:dyDescent="0.25">
      <c r="A37" s="2"/>
      <c r="B37" s="32"/>
      <c r="C37" s="2"/>
      <c r="D37" s="2"/>
    </row>
    <row r="38" spans="1:4" x14ac:dyDescent="0.25">
      <c r="A38" s="2"/>
      <c r="B38" s="32"/>
      <c r="C38" s="2"/>
      <c r="D38" s="2"/>
    </row>
    <row r="39" spans="1:4" x14ac:dyDescent="0.25">
      <c r="A39" s="2"/>
      <c r="B39" s="32"/>
      <c r="C39" s="2"/>
      <c r="D39" s="2"/>
    </row>
    <row r="40" spans="1:4" x14ac:dyDescent="0.25">
      <c r="C40" s="2"/>
      <c r="D40" s="2"/>
    </row>
    <row r="41" spans="1:4" x14ac:dyDescent="0.25">
      <c r="C41" s="2"/>
      <c r="D41" s="2"/>
    </row>
    <row r="42" spans="1:4" x14ac:dyDescent="0.25">
      <c r="C42" s="2"/>
      <c r="D42" s="2"/>
    </row>
    <row r="43" spans="1:4" x14ac:dyDescent="0.25">
      <c r="C43" s="2"/>
      <c r="D43" s="2"/>
    </row>
    <row r="44" spans="1:4" x14ac:dyDescent="0.25">
      <c r="C44" s="2"/>
      <c r="D44" s="2"/>
    </row>
    <row r="45" spans="1:4" x14ac:dyDescent="0.25">
      <c r="C45" s="2"/>
      <c r="D45" s="2"/>
    </row>
    <row r="46" spans="1:4" x14ac:dyDescent="0.25">
      <c r="C46" s="2"/>
      <c r="D46" s="2"/>
    </row>
    <row r="47" spans="1:4" x14ac:dyDescent="0.25">
      <c r="C47" s="2"/>
      <c r="D47" s="2"/>
    </row>
    <row r="48" spans="1:4" x14ac:dyDescent="0.25">
      <c r="A48" s="2"/>
      <c r="B48" s="32"/>
      <c r="C48" s="2"/>
      <c r="D48" s="2"/>
    </row>
    <row r="49" spans="1:4" x14ac:dyDescent="0.25">
      <c r="A49" s="2"/>
      <c r="B49" s="32"/>
      <c r="C49" s="2"/>
      <c r="D49" s="2"/>
    </row>
    <row r="50" spans="1:4" x14ac:dyDescent="0.25">
      <c r="A50" s="2"/>
      <c r="B50" s="32"/>
      <c r="C50" s="2"/>
      <c r="D50" s="2"/>
    </row>
    <row r="51" spans="1:4" x14ac:dyDescent="0.25">
      <c r="A51" s="2"/>
      <c r="B51" s="32"/>
      <c r="C51" s="2"/>
      <c r="D51" s="2"/>
    </row>
    <row r="52" spans="1:4" x14ac:dyDescent="0.25">
      <c r="A52" s="2"/>
      <c r="B52" s="32"/>
      <c r="C52" s="2"/>
      <c r="D52" s="2"/>
    </row>
    <row r="53" spans="1:4" x14ac:dyDescent="0.25">
      <c r="A53" s="2"/>
      <c r="B53" s="32"/>
      <c r="C53" s="2"/>
      <c r="D53" s="2"/>
    </row>
    <row r="54" spans="1:4" x14ac:dyDescent="0.25">
      <c r="A54" s="2"/>
      <c r="B54" s="32"/>
      <c r="C54" s="2"/>
      <c r="D54" s="2"/>
    </row>
    <row r="55" spans="1:4" x14ac:dyDescent="0.25">
      <c r="A55" s="2"/>
      <c r="B55" s="32"/>
      <c r="C55" s="2"/>
      <c r="D55" s="2"/>
    </row>
    <row r="56" spans="1:4" x14ac:dyDescent="0.25">
      <c r="A56" s="2"/>
      <c r="B56" s="32"/>
      <c r="C56" s="2"/>
      <c r="D56" s="2"/>
    </row>
    <row r="57" spans="1:4" x14ac:dyDescent="0.25">
      <c r="A57" s="2"/>
      <c r="B57" s="32"/>
      <c r="C57" s="2"/>
      <c r="D57" s="2"/>
    </row>
    <row r="58" spans="1:4" x14ac:dyDescent="0.25">
      <c r="A58" s="2"/>
      <c r="B58" s="32"/>
      <c r="C58" s="2"/>
      <c r="D58" s="2"/>
    </row>
    <row r="59" spans="1:4" x14ac:dyDescent="0.25">
      <c r="A59" s="2"/>
      <c r="B59" s="32"/>
      <c r="C59" s="2"/>
      <c r="D59" s="2"/>
    </row>
    <row r="60" spans="1:4" x14ac:dyDescent="0.25">
      <c r="A60" s="2"/>
      <c r="B60" s="32"/>
      <c r="C60" s="2"/>
      <c r="D60" s="2"/>
    </row>
    <row r="61" spans="1:4" x14ac:dyDescent="0.25">
      <c r="A61" s="2"/>
      <c r="B61" s="32"/>
      <c r="C61" s="2"/>
      <c r="D61" s="2"/>
    </row>
    <row r="62" spans="1:4" x14ac:dyDescent="0.25">
      <c r="A62" s="2"/>
      <c r="B62" s="32"/>
      <c r="C62" s="2"/>
      <c r="D62" s="2"/>
    </row>
    <row r="63" spans="1:4" x14ac:dyDescent="0.25">
      <c r="A63" s="2"/>
      <c r="B63" s="32"/>
      <c r="C63" s="2"/>
      <c r="D63" s="2"/>
    </row>
    <row r="64" spans="1:4" x14ac:dyDescent="0.25">
      <c r="A64" s="2"/>
      <c r="B64" s="32"/>
      <c r="C64" s="2"/>
      <c r="D64" s="2"/>
    </row>
    <row r="65" spans="1:4" x14ac:dyDescent="0.25">
      <c r="A65" s="2"/>
      <c r="B65" s="32"/>
      <c r="C65" s="2"/>
      <c r="D65" s="2"/>
    </row>
    <row r="66" spans="1:4" x14ac:dyDescent="0.25">
      <c r="A66" s="2"/>
      <c r="B66" s="32"/>
      <c r="C66" s="2"/>
      <c r="D66" s="2"/>
    </row>
    <row r="67" spans="1:4" x14ac:dyDescent="0.25">
      <c r="A67" s="2"/>
      <c r="B67" s="32"/>
      <c r="C67" s="2"/>
      <c r="D67" s="2"/>
    </row>
    <row r="68" spans="1:4" x14ac:dyDescent="0.25">
      <c r="A68" s="2"/>
      <c r="B68" s="32"/>
      <c r="C68" s="2"/>
      <c r="D68" s="2"/>
    </row>
    <row r="69" spans="1:4" x14ac:dyDescent="0.25">
      <c r="A69" s="2"/>
      <c r="B69" s="32"/>
      <c r="C69" s="2"/>
      <c r="D69" s="2"/>
    </row>
    <row r="70" spans="1:4" x14ac:dyDescent="0.25">
      <c r="A70" s="2"/>
      <c r="B70" s="32"/>
      <c r="C70" s="2"/>
      <c r="D70" s="2"/>
    </row>
    <row r="71" spans="1:4" x14ac:dyDescent="0.25">
      <c r="A71" s="2"/>
      <c r="B71" s="32"/>
      <c r="C71" s="2"/>
      <c r="D71" s="2"/>
    </row>
    <row r="72" spans="1:4" x14ac:dyDescent="0.25">
      <c r="A72" s="2"/>
      <c r="B72" s="32"/>
      <c r="C72" s="2"/>
      <c r="D72" s="2"/>
    </row>
    <row r="73" spans="1:4" x14ac:dyDescent="0.25">
      <c r="A73" s="2"/>
      <c r="B73" s="32"/>
      <c r="C73" s="2"/>
      <c r="D73" s="2"/>
    </row>
    <row r="74" spans="1:4" x14ac:dyDescent="0.25">
      <c r="A74" s="2"/>
      <c r="B74" s="32"/>
      <c r="C74" s="2"/>
      <c r="D74" s="2"/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showGridLines="0" zoomScale="175" zoomScaleNormal="175" workbookViewId="0">
      <selection activeCell="A7" sqref="A7"/>
    </sheetView>
  </sheetViews>
  <sheetFormatPr defaultRowHeight="15" x14ac:dyDescent="0.25"/>
  <cols>
    <col min="1" max="1" width="67.28515625" bestFit="1" customWidth="1"/>
  </cols>
  <sheetData>
    <row r="1" spans="1:1" x14ac:dyDescent="0.25">
      <c r="A1" s="19" t="s">
        <v>83</v>
      </c>
    </row>
    <row r="2" spans="1:1" x14ac:dyDescent="0.25">
      <c r="A2" s="18" t="s">
        <v>84</v>
      </c>
    </row>
    <row r="3" spans="1:1" x14ac:dyDescent="0.25">
      <c r="A3" s="18" t="s">
        <v>85</v>
      </c>
    </row>
    <row r="4" spans="1:1" x14ac:dyDescent="0.25">
      <c r="A4" s="18" t="s">
        <v>86</v>
      </c>
    </row>
    <row r="5" spans="1:1" x14ac:dyDescent="0.25">
      <c r="A5" s="18" t="s">
        <v>87</v>
      </c>
    </row>
    <row r="6" spans="1:1" x14ac:dyDescent="0.25">
      <c r="A6" s="18" t="s">
        <v>88</v>
      </c>
    </row>
    <row r="7" spans="1:1" x14ac:dyDescent="0.25">
      <c r="A7" s="18" t="s">
        <v>89</v>
      </c>
    </row>
    <row r="8" spans="1:1" x14ac:dyDescent="0.25">
      <c r="A8" s="18" t="s">
        <v>90</v>
      </c>
    </row>
    <row r="9" spans="1:1" x14ac:dyDescent="0.25">
      <c r="A9" s="18" t="s">
        <v>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Balance Sheet</vt:lpstr>
      <vt:lpstr>Quarterly History</vt:lpstr>
      <vt:lpstr>Ratios</vt:lpstr>
      <vt:lpstr>Changes</vt:lpstr>
      <vt:lpstr>Dashboard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Frenzel, Tim</cp:lastModifiedBy>
  <dcterms:created xsi:type="dcterms:W3CDTF">2026-04-10T00:56:15Z</dcterms:created>
  <dcterms:modified xsi:type="dcterms:W3CDTF">2026-04-10T13:10:12Z</dcterms:modified>
</cp:coreProperties>
</file>