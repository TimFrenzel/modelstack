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Quarterly History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2E2420"/>
      <sz val="14"/>
    </font>
    <font>
      <name val="Calibri"/>
      <b val="1"/>
      <color rgb="00F5F1EC"/>
      <sz val="11"/>
    </font>
    <font>
      <name val="Calibri"/>
      <b val="1"/>
      <color rgb="006B2D3E"/>
      <sz val="11"/>
    </font>
    <font>
      <name val="Calibri"/>
      <color rgb="002E2420"/>
      <sz val="11"/>
    </font>
    <font>
      <name val="Calibri"/>
      <b val="1"/>
      <color rgb="002E2420"/>
      <sz val="11"/>
    </font>
    <font>
      <name val="Calibri"/>
      <b val="1"/>
      <color rgb="002E2420"/>
      <sz val="12"/>
    </font>
    <font>
      <name val="Calibri"/>
      <b val="1"/>
      <color rgb="005A6672"/>
      <sz val="11"/>
    </font>
    <font>
      <name val="Calibri"/>
      <color rgb="00999999"/>
      <sz val="11"/>
    </font>
    <font>
      <name val="Arial"/>
      <b val="1"/>
      <color rgb="002E2420"/>
      <sz val="14"/>
    </font>
    <font>
      <name val="Arial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6B2D3E"/>
      <sz val="11"/>
    </font>
    <font>
      <name val="Arial"/>
      <color rgb="002E2420"/>
      <sz val="11"/>
    </font>
    <font>
      <name val="Arial"/>
      <b val="1"/>
      <color rgb="002E2420"/>
      <sz val="11"/>
    </font>
    <font>
      <name val="Arial"/>
      <b val="1"/>
      <color rgb="002E2420"/>
      <sz val="12"/>
    </font>
    <font>
      <name val="Arial"/>
      <b val="1"/>
      <color rgb="005A6672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6B2D3E"/>
      </patternFill>
    </fill>
    <fill>
      <patternFill patternType="solid">
        <fgColor rgb="00E0C8D0"/>
      </patternFill>
    </fill>
    <fill>
      <patternFill patternType="solid">
        <fgColor rgb="00EBE5DA"/>
      </patternFill>
    </fill>
    <fill>
      <patternFill patternType="solid">
        <fgColor rgb="00D0D8DC"/>
      </patternFill>
    </fill>
  </fills>
  <borders count="4">
    <border>
      <left/>
      <right/>
      <top/>
      <bottom/>
      <diagonal/>
    </border>
    <border>
      <top style="thin">
        <color rgb="006B2D3E"/>
      </top>
    </border>
    <border>
      <top style="thin">
        <color rgb="006B2D3E"/>
      </top>
      <bottom style="double">
        <color rgb="006B2D3E"/>
      </bottom>
    </border>
    <border>
      <bottom style="thin">
        <color rgb="00B8AFA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 indent="2"/>
    </xf>
    <xf numFmtId="164" fontId="13" fillId="4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4" fontId="14" fillId="0" borderId="1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4" fontId="15" fillId="0" borderId="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1" fillId="2" borderId="3" applyAlignment="1" pivotButton="0" quotePrefix="0" xfId="0">
      <alignment horizontal="center" vertical="center"/>
    </xf>
    <xf numFmtId="2" fontId="13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8D8B0"/>
        </patternFill>
      </fill>
    </dxf>
    <dxf>
      <fill>
        <patternFill patternType="solid">
          <fgColor rgb="00E8C88A"/>
        </patternFill>
      </fill>
    </dxf>
    <dxf>
      <fill>
        <patternFill patternType="solid">
          <fgColor rgb="00D8A8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by Quarter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'Dashboard'!$B$5:$B$12</f>
            </numRef>
          </cat>
          <val>
            <numRef>
              <f>'Dashboard'!$C$5:$C$12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Worth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Composition by Quarter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'Dashboard'!$B$16:$B$23</f>
            </numRef>
          </cat>
          <val>
            <numRef>
              <f>'Dashboard'!$C$16:$C$23</f>
            </numRef>
          </val>
        </ser>
        <ser>
          <idx val="1"/>
          <order val="1"/>
          <tx>
            <strRef>
              <f>'Dashboard'!D15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'Dashboard'!$B$16:$B$23</f>
            </numRef>
          </cat>
          <val>
            <numRef>
              <f>'Dashboard'!$D$16:$D$23</f>
            </numRef>
          </val>
        </ser>
        <ser>
          <idx val="2"/>
          <order val="2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'Dashboard'!$B$16:$B$23</f>
            </numRef>
          </cat>
          <val>
            <numRef>
              <f>'Dashboard'!$E$16:$E$23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Financial Ratios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'Dashboard'!C41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'Dashboard'!$B$42:$B$47</f>
            </numRef>
          </cat>
          <val>
            <numRef>
              <f>'Dashboard'!$C$42:$C$47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QoQ Change by Section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'Dashboard'!$B$66:$B$70</f>
            </numRef>
          </cat>
          <val>
            <numRef>
              <f>'Dashboard'!$C$66:$C$70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64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</cols>
  <sheetData>
    <row r="1"/>
    <row r="2">
      <c r="B2" s="1" t="inlineStr">
        <is>
          <t>Personal Balance Sheet (Current Quarter)</t>
        </is>
      </c>
      <c r="C2" s="2" t="n"/>
    </row>
    <row r="3">
      <c r="B3" s="3" t="inlineStr">
        <is>
          <t>Line Item</t>
        </is>
      </c>
      <c r="C3" s="4" t="inlineStr">
        <is>
          <t>Amount</t>
        </is>
      </c>
    </row>
    <row r="4">
      <c r="B4" s="5" t="inlineStr">
        <is>
          <t>CURRENT ASSETS</t>
        </is>
      </c>
      <c r="C4" s="2" t="n"/>
    </row>
    <row r="5">
      <c r="B5" s="6" t="inlineStr">
        <is>
          <t>Cash and Checking</t>
        </is>
      </c>
      <c r="C5" s="7" t="n">
        <v>4820</v>
      </c>
    </row>
    <row r="6">
      <c r="B6" s="6" t="inlineStr">
        <is>
          <t>Savings Accounts</t>
        </is>
      </c>
      <c r="C6" s="7" t="n">
        <v>13204</v>
      </c>
    </row>
    <row r="7">
      <c r="B7" s="6" t="inlineStr">
        <is>
          <t>Money Market</t>
        </is>
      </c>
      <c r="C7" s="7" t="n">
        <v>3414</v>
      </c>
    </row>
    <row r="8">
      <c r="B8" s="8" t="inlineStr">
        <is>
          <t>Subtotal Current Assets</t>
        </is>
      </c>
      <c r="C8" s="9">
        <f>SUM(C5:C7)</f>
        <v/>
      </c>
    </row>
    <row r="9">
      <c r="B9" s="5" t="inlineStr">
        <is>
          <t>INVESTMENT ASSETS</t>
        </is>
      </c>
      <c r="C9" s="2" t="n"/>
    </row>
    <row r="10">
      <c r="B10" s="6" t="inlineStr">
        <is>
          <t>Taxable Brokerage</t>
        </is>
      </c>
      <c r="C10" s="7" t="n">
        <v>35625</v>
      </c>
    </row>
    <row r="11">
      <c r="B11" s="6" t="inlineStr">
        <is>
          <t>401k / 403b</t>
        </is>
      </c>
      <c r="C11" s="7" t="n">
        <v>72764</v>
      </c>
    </row>
    <row r="12">
      <c r="B12" s="6" t="inlineStr">
        <is>
          <t>IRA / Roth IRA</t>
        </is>
      </c>
      <c r="C12" s="7" t="n">
        <v>29834</v>
      </c>
    </row>
    <row r="13">
      <c r="B13" s="6" t="inlineStr">
        <is>
          <t>HSA</t>
        </is>
      </c>
      <c r="C13" s="7" t="n">
        <v>5865</v>
      </c>
    </row>
    <row r="14">
      <c r="B14" s="6" t="inlineStr">
        <is>
          <t>529 Plan</t>
        </is>
      </c>
      <c r="C14" s="7" t="n">
        <v>7395</v>
      </c>
    </row>
    <row r="15">
      <c r="B15" s="6" t="inlineStr">
        <is>
          <t>Other Investments</t>
        </is>
      </c>
      <c r="C15" s="7" t="n">
        <v>2927</v>
      </c>
    </row>
    <row r="16">
      <c r="B16" s="8" t="inlineStr">
        <is>
          <t>Subtotal Investment Assets</t>
        </is>
      </c>
      <c r="C16" s="9">
        <f>SUM(C10:C15)</f>
        <v/>
      </c>
    </row>
    <row r="17">
      <c r="B17" s="5" t="inlineStr">
        <is>
          <t>FIXED ASSETS</t>
        </is>
      </c>
      <c r="C17" s="2" t="n"/>
    </row>
    <row r="18">
      <c r="B18" s="6" t="inlineStr">
        <is>
          <t>Primary Residence</t>
        </is>
      </c>
      <c r="C18" s="7" t="n">
        <v>289539</v>
      </c>
    </row>
    <row r="19">
      <c r="B19" s="6" t="inlineStr">
        <is>
          <t>Vehicles</t>
        </is>
      </c>
      <c r="C19" s="7" t="n">
        <v>12989</v>
      </c>
    </row>
    <row r="20">
      <c r="B20" s="6" t="inlineStr">
        <is>
          <t>Personal Property</t>
        </is>
      </c>
      <c r="C20" s="7" t="n">
        <v>7506</v>
      </c>
    </row>
    <row r="21">
      <c r="B21" s="8" t="inlineStr">
        <is>
          <t>Subtotal Fixed Assets</t>
        </is>
      </c>
      <c r="C21" s="9">
        <f>SUM(C18:C20)</f>
        <v/>
      </c>
    </row>
    <row r="22">
      <c r="B22" s="8" t="inlineStr">
        <is>
          <t>TOTAL ASSETS</t>
        </is>
      </c>
      <c r="C22" s="9">
        <f>C8+C16+C21</f>
        <v/>
      </c>
    </row>
    <row r="23">
      <c r="B23" s="10" t="inlineStr">
        <is>
          <t>CURRENT LIABILITIES</t>
        </is>
      </c>
      <c r="C23" s="2" t="n"/>
    </row>
    <row r="24">
      <c r="B24" s="6" t="inlineStr">
        <is>
          <t>Credit Cards</t>
        </is>
      </c>
      <c r="C24" s="7" t="n">
        <v>2703</v>
      </c>
    </row>
    <row r="25">
      <c r="B25" s="6" t="inlineStr">
        <is>
          <t>Short-Term Loans</t>
        </is>
      </c>
      <c r="C25" s="7" t="n">
        <v>0</v>
      </c>
    </row>
    <row r="26">
      <c r="B26" s="6" t="inlineStr">
        <is>
          <t>Medical Debt</t>
        </is>
      </c>
      <c r="C26" s="7" t="n">
        <v>870</v>
      </c>
    </row>
    <row r="27">
      <c r="B27" s="8" t="inlineStr">
        <is>
          <t>Subtotal Current Liabilities</t>
        </is>
      </c>
      <c r="C27" s="9">
        <f>SUM(C24:C26)</f>
        <v/>
      </c>
    </row>
    <row r="28">
      <c r="B28" s="10" t="inlineStr">
        <is>
          <t>LONG-TERM LIABILITIES</t>
        </is>
      </c>
      <c r="C28" s="2" t="n"/>
    </row>
    <row r="29">
      <c r="B29" s="6" t="inlineStr">
        <is>
          <t>Mortgage</t>
        </is>
      </c>
      <c r="C29" s="7" t="n">
        <v>142700</v>
      </c>
    </row>
    <row r="30">
      <c r="B30" s="6" t="inlineStr">
        <is>
          <t>Student Loans</t>
        </is>
      </c>
      <c r="C30" s="7" t="n">
        <v>15718</v>
      </c>
    </row>
    <row r="31">
      <c r="B31" s="6" t="inlineStr">
        <is>
          <t>Auto Loans</t>
        </is>
      </c>
      <c r="C31" s="7" t="n">
        <v>6369</v>
      </c>
    </row>
    <row r="32">
      <c r="B32" s="6" t="inlineStr">
        <is>
          <t>HELOC</t>
        </is>
      </c>
      <c r="C32" s="7" t="n">
        <v>0</v>
      </c>
    </row>
    <row r="33">
      <c r="B33" s="8" t="inlineStr">
        <is>
          <t>Subtotal Long-Term Liabilities</t>
        </is>
      </c>
      <c r="C33" s="9">
        <f>SUM(C29:C32)</f>
        <v/>
      </c>
    </row>
    <row r="34">
      <c r="B34" s="8" t="inlineStr">
        <is>
          <t>TOTAL LIABILITIES</t>
        </is>
      </c>
      <c r="C34" s="9">
        <f>C27+C33</f>
        <v/>
      </c>
    </row>
    <row r="35">
      <c r="B35" s="11" t="inlineStr">
        <is>
          <t>NET WORTH</t>
        </is>
      </c>
      <c r="C35" s="12">
        <f>C22-C34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>
      <c r="B2" s="1" t="inlineStr">
        <is>
          <t>Quarterly Balance History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Line Item</t>
        </is>
      </c>
      <c r="C3" s="4" t="inlineStr">
        <is>
          <t>Q1 2024</t>
        </is>
      </c>
      <c r="D3" s="4" t="inlineStr">
        <is>
          <t>Q2 2024</t>
        </is>
      </c>
      <c r="E3" s="4" t="inlineStr">
        <is>
          <t>Q3 2024</t>
        </is>
      </c>
      <c r="F3" s="4" t="inlineStr">
        <is>
          <t>Q4 2024</t>
        </is>
      </c>
      <c r="G3" s="4" t="inlineStr">
        <is>
          <t>Q1 2025</t>
        </is>
      </c>
      <c r="H3" s="4" t="inlineStr">
        <is>
          <t>Q2 2025</t>
        </is>
      </c>
      <c r="I3" s="4" t="inlineStr">
        <is>
          <t>Q3 2025</t>
        </is>
      </c>
      <c r="J3" s="4" t="inlineStr">
        <is>
          <t>Q4 2025</t>
        </is>
      </c>
    </row>
    <row r="4">
      <c r="B4" s="13" t="inlineStr">
        <is>
          <t>CURRENT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B5" s="6" t="inlineStr">
        <is>
          <t>Cash and Checking</t>
        </is>
      </c>
      <c r="C5" s="7" t="n">
        <v>4475</v>
      </c>
      <c r="D5" s="7" t="n">
        <v>4505</v>
      </c>
      <c r="E5" s="7" t="n">
        <v>4577</v>
      </c>
      <c r="F5" s="7" t="n">
        <v>4605</v>
      </c>
      <c r="G5" s="7" t="n">
        <v>4659</v>
      </c>
      <c r="H5" s="7" t="n">
        <v>4772</v>
      </c>
      <c r="I5" s="7" t="n">
        <v>4782</v>
      </c>
      <c r="J5" s="7" t="n">
        <v>4820</v>
      </c>
    </row>
    <row r="6">
      <c r="B6" s="6" t="inlineStr">
        <is>
          <t>Savings Accounts</t>
        </is>
      </c>
      <c r="C6" s="7" t="n">
        <v>12101</v>
      </c>
      <c r="D6" s="7" t="n">
        <v>12127</v>
      </c>
      <c r="E6" s="7" t="n">
        <v>12173</v>
      </c>
      <c r="F6" s="7" t="n">
        <v>12424</v>
      </c>
      <c r="G6" s="7" t="n">
        <v>12728</v>
      </c>
      <c r="H6" s="7" t="n">
        <v>12830</v>
      </c>
      <c r="I6" s="7" t="n">
        <v>12891</v>
      </c>
      <c r="J6" s="7" t="n">
        <v>13204</v>
      </c>
    </row>
    <row r="7">
      <c r="B7" s="6" t="inlineStr">
        <is>
          <t>Money Market</t>
        </is>
      </c>
      <c r="C7" s="7" t="n">
        <v>2999</v>
      </c>
      <c r="D7" s="7" t="n">
        <v>3044</v>
      </c>
      <c r="E7" s="7" t="n">
        <v>3090</v>
      </c>
      <c r="F7" s="7" t="n">
        <v>3139</v>
      </c>
      <c r="G7" s="7" t="n">
        <v>3211</v>
      </c>
      <c r="H7" s="7" t="n">
        <v>3288</v>
      </c>
      <c r="I7" s="7" t="n">
        <v>3345</v>
      </c>
      <c r="J7" s="7" t="n">
        <v>3414</v>
      </c>
    </row>
    <row r="8">
      <c r="B8" s="8" t="inlineStr">
        <is>
          <t>Subtotal Current Assets</t>
        </is>
      </c>
      <c r="C8" s="14">
        <f>SUM(C5:C7)</f>
        <v/>
      </c>
      <c r="D8" s="14">
        <f>SUM(D5:D7)</f>
        <v/>
      </c>
      <c r="E8" s="14">
        <f>SUM(E5:E7)</f>
        <v/>
      </c>
      <c r="F8" s="14">
        <f>SUM(F5:F7)</f>
        <v/>
      </c>
      <c r="G8" s="14">
        <f>SUM(G5:G7)</f>
        <v/>
      </c>
      <c r="H8" s="14">
        <f>SUM(H5:H7)</f>
        <v/>
      </c>
      <c r="I8" s="14">
        <f>SUM(I5:I7)</f>
        <v/>
      </c>
      <c r="J8" s="14">
        <f>SUM(J5:J7)</f>
        <v/>
      </c>
    </row>
    <row r="9">
      <c r="B9" s="13" t="inlineStr">
        <is>
          <t>INVESTMENT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B10" s="6" t="inlineStr">
        <is>
          <t>Taxable Brokerage</t>
        </is>
      </c>
      <c r="C10" s="7" t="n">
        <v>30638</v>
      </c>
      <c r="D10" s="7" t="n">
        <v>31437</v>
      </c>
      <c r="E10" s="7" t="n">
        <v>32090</v>
      </c>
      <c r="F10" s="7" t="n">
        <v>32593</v>
      </c>
      <c r="G10" s="7" t="n">
        <v>33136</v>
      </c>
      <c r="H10" s="7" t="n">
        <v>34238</v>
      </c>
      <c r="I10" s="7" t="n">
        <v>35180</v>
      </c>
      <c r="J10" s="7" t="n">
        <v>35625</v>
      </c>
    </row>
    <row r="11">
      <c r="B11" s="6" t="inlineStr">
        <is>
          <t>401k / 403b</t>
        </is>
      </c>
      <c r="C11" s="7" t="n">
        <v>63206</v>
      </c>
      <c r="D11" s="7" t="n">
        <v>64266</v>
      </c>
      <c r="E11" s="7" t="n">
        <v>66021</v>
      </c>
      <c r="F11" s="7" t="n">
        <v>67440</v>
      </c>
      <c r="G11" s="7" t="n">
        <v>68569</v>
      </c>
      <c r="H11" s="7" t="n">
        <v>69613</v>
      </c>
      <c r="I11" s="7" t="n">
        <v>71317</v>
      </c>
      <c r="J11" s="7" t="n">
        <v>72764</v>
      </c>
    </row>
    <row r="12">
      <c r="B12" s="6" t="inlineStr">
        <is>
          <t>IRA / Roth IRA</t>
        </is>
      </c>
      <c r="C12" s="7" t="n">
        <v>24410</v>
      </c>
      <c r="D12" s="7" t="n">
        <v>25079</v>
      </c>
      <c r="E12" s="7" t="n">
        <v>25844</v>
      </c>
      <c r="F12" s="7" t="n">
        <v>26654</v>
      </c>
      <c r="G12" s="7" t="n">
        <v>27337</v>
      </c>
      <c r="H12" s="7" t="n">
        <v>28271</v>
      </c>
      <c r="I12" s="7" t="n">
        <v>28904</v>
      </c>
      <c r="J12" s="7" t="n">
        <v>29834</v>
      </c>
    </row>
    <row r="13">
      <c r="B13" s="6" t="inlineStr">
        <is>
          <t>HSA</t>
        </is>
      </c>
      <c r="C13" s="7" t="n">
        <v>5080</v>
      </c>
      <c r="D13" s="7" t="n">
        <v>5235</v>
      </c>
      <c r="E13" s="7" t="n">
        <v>5304</v>
      </c>
      <c r="F13" s="7" t="n">
        <v>5433</v>
      </c>
      <c r="G13" s="7" t="n">
        <v>5557</v>
      </c>
      <c r="H13" s="7" t="n">
        <v>5626</v>
      </c>
      <c r="I13" s="7" t="n">
        <v>5734</v>
      </c>
      <c r="J13" s="7" t="n">
        <v>5865</v>
      </c>
    </row>
    <row r="14">
      <c r="B14" s="6" t="inlineStr">
        <is>
          <t>529 Plan</t>
        </is>
      </c>
      <c r="C14" s="7" t="n">
        <v>6182</v>
      </c>
      <c r="D14" s="7" t="n">
        <v>6245</v>
      </c>
      <c r="E14" s="7" t="n">
        <v>6399</v>
      </c>
      <c r="F14" s="7" t="n">
        <v>6529</v>
      </c>
      <c r="G14" s="7" t="n">
        <v>6754</v>
      </c>
      <c r="H14" s="7" t="n">
        <v>6965</v>
      </c>
      <c r="I14" s="7" t="n">
        <v>7179</v>
      </c>
      <c r="J14" s="7" t="n">
        <v>7395</v>
      </c>
    </row>
    <row r="15">
      <c r="B15" s="6" t="inlineStr">
        <is>
          <t>Other Investments</t>
        </is>
      </c>
      <c r="C15" s="7" t="n">
        <v>2590</v>
      </c>
      <c r="D15" s="7" t="n">
        <v>2663</v>
      </c>
      <c r="E15" s="7" t="n">
        <v>2696</v>
      </c>
      <c r="F15" s="7" t="n">
        <v>2732</v>
      </c>
      <c r="G15" s="7" t="n">
        <v>2785</v>
      </c>
      <c r="H15" s="7" t="n">
        <v>2830</v>
      </c>
      <c r="I15" s="7" t="n">
        <v>2861</v>
      </c>
      <c r="J15" s="7" t="n">
        <v>2927</v>
      </c>
    </row>
    <row r="16">
      <c r="B16" s="8" t="inlineStr">
        <is>
          <t>Subtotal Investment Assets</t>
        </is>
      </c>
      <c r="C16" s="14">
        <f>SUM(C10:C15)</f>
        <v/>
      </c>
      <c r="D16" s="14">
        <f>SUM(D10:D15)</f>
        <v/>
      </c>
      <c r="E16" s="14">
        <f>SUM(E10:E15)</f>
        <v/>
      </c>
      <c r="F16" s="14">
        <f>SUM(F10:F15)</f>
        <v/>
      </c>
      <c r="G16" s="14">
        <f>SUM(G10:G15)</f>
        <v/>
      </c>
      <c r="H16" s="14">
        <f>SUM(H10:H15)</f>
        <v/>
      </c>
      <c r="I16" s="14">
        <f>SUM(I10:I15)</f>
        <v/>
      </c>
      <c r="J16" s="14">
        <f>SUM(J10:J15)</f>
        <v/>
      </c>
    </row>
    <row r="17">
      <c r="B17" s="13" t="inlineStr">
        <is>
          <t>FIXED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6" t="inlineStr">
        <is>
          <t>Primary Residence</t>
        </is>
      </c>
      <c r="C18" s="7" t="n">
        <v>269335</v>
      </c>
      <c r="D18" s="7" t="n">
        <v>269327</v>
      </c>
      <c r="E18" s="7" t="n">
        <v>270385</v>
      </c>
      <c r="F18" s="7" t="n">
        <v>276106</v>
      </c>
      <c r="G18" s="7" t="n">
        <v>279201</v>
      </c>
      <c r="H18" s="7" t="n">
        <v>281889</v>
      </c>
      <c r="I18" s="7" t="n">
        <v>284273</v>
      </c>
      <c r="J18" s="7" t="n">
        <v>289539</v>
      </c>
    </row>
    <row r="19">
      <c r="B19" s="6" t="inlineStr">
        <is>
          <t>Vehicles</t>
        </is>
      </c>
      <c r="C19" s="7" t="n">
        <v>15021</v>
      </c>
      <c r="D19" s="7" t="n">
        <v>14722</v>
      </c>
      <c r="E19" s="7" t="n">
        <v>14414</v>
      </c>
      <c r="F19" s="7" t="n">
        <v>14261</v>
      </c>
      <c r="G19" s="7" t="n">
        <v>13840</v>
      </c>
      <c r="H19" s="7" t="n">
        <v>13578</v>
      </c>
      <c r="I19" s="7" t="n">
        <v>13388</v>
      </c>
      <c r="J19" s="7" t="n">
        <v>12989</v>
      </c>
    </row>
    <row r="20">
      <c r="B20" s="6" t="inlineStr">
        <is>
          <t>Personal Property</t>
        </is>
      </c>
      <c r="C20" s="7" t="n">
        <v>6854</v>
      </c>
      <c r="D20" s="7" t="n">
        <v>6913</v>
      </c>
      <c r="E20" s="7" t="n">
        <v>7024</v>
      </c>
      <c r="F20" s="7" t="n">
        <v>7115</v>
      </c>
      <c r="G20" s="7" t="n">
        <v>7204</v>
      </c>
      <c r="H20" s="7" t="n">
        <v>7258</v>
      </c>
      <c r="I20" s="7" t="n">
        <v>7336</v>
      </c>
      <c r="J20" s="7" t="n">
        <v>7506</v>
      </c>
    </row>
    <row r="21">
      <c r="B21" s="8" t="inlineStr">
        <is>
          <t>Subtotal Fixed Assets</t>
        </is>
      </c>
      <c r="C21" s="14">
        <f>SUM(C18:C20)</f>
        <v/>
      </c>
      <c r="D21" s="14">
        <f>SUM(D18:D20)</f>
        <v/>
      </c>
      <c r="E21" s="14">
        <f>SUM(E18:E20)</f>
        <v/>
      </c>
      <c r="F21" s="14">
        <f>SUM(F18:F20)</f>
        <v/>
      </c>
      <c r="G21" s="14">
        <f>SUM(G18:G20)</f>
        <v/>
      </c>
      <c r="H21" s="14">
        <f>SUM(H18:H20)</f>
        <v/>
      </c>
      <c r="I21" s="14">
        <f>SUM(I18:I20)</f>
        <v/>
      </c>
      <c r="J21" s="14">
        <f>SUM(J18:J20)</f>
        <v/>
      </c>
    </row>
    <row r="22">
      <c r="B22" s="8" t="inlineStr">
        <is>
          <t>TOTAL ASSETS</t>
        </is>
      </c>
      <c r="C22" s="14">
        <f>C8+C16+C21</f>
        <v/>
      </c>
      <c r="D22" s="14">
        <f>D8+D16+D21</f>
        <v/>
      </c>
      <c r="E22" s="14">
        <f>E8+E16+E21</f>
        <v/>
      </c>
      <c r="F22" s="14">
        <f>F8+F16+F21</f>
        <v/>
      </c>
      <c r="G22" s="14">
        <f>G8+G16+G21</f>
        <v/>
      </c>
      <c r="H22" s="14">
        <f>H8+H16+H21</f>
        <v/>
      </c>
      <c r="I22" s="14">
        <f>I8+I16+I21</f>
        <v/>
      </c>
      <c r="J22" s="14">
        <f>J8+J16+J21</f>
        <v/>
      </c>
    </row>
    <row r="23">
      <c r="B23" s="13" t="inlineStr">
        <is>
          <t>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B24" s="6" t="inlineStr">
        <is>
          <t>Credit Cards</t>
        </is>
      </c>
      <c r="C24" s="7" t="n">
        <v>3142</v>
      </c>
      <c r="D24" s="7" t="n">
        <v>3055</v>
      </c>
      <c r="E24" s="7" t="n">
        <v>2976</v>
      </c>
      <c r="F24" s="7" t="n">
        <v>2890</v>
      </c>
      <c r="G24" s="7" t="n">
        <v>2814</v>
      </c>
      <c r="H24" s="7" t="n">
        <v>2751</v>
      </c>
      <c r="I24" s="7" t="n">
        <v>2719</v>
      </c>
      <c r="J24" s="7" t="n">
        <v>2703</v>
      </c>
    </row>
    <row r="25">
      <c r="B25" s="6" t="inlineStr">
        <is>
          <t>Short-Term Loans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>
      <c r="B26" s="6" t="inlineStr">
        <is>
          <t>Medical Debt</t>
        </is>
      </c>
      <c r="C26" s="7" t="n">
        <v>1000</v>
      </c>
      <c r="D26" s="7" t="n">
        <v>983</v>
      </c>
      <c r="E26" s="7" t="n">
        <v>959</v>
      </c>
      <c r="F26" s="7" t="n">
        <v>931</v>
      </c>
      <c r="G26" s="7" t="n">
        <v>917</v>
      </c>
      <c r="H26" s="7" t="n">
        <v>908</v>
      </c>
      <c r="I26" s="7" t="n">
        <v>888</v>
      </c>
      <c r="J26" s="7" t="n">
        <v>870</v>
      </c>
    </row>
    <row r="27">
      <c r="B27" s="8" t="inlineStr">
        <is>
          <t>Subtotal Current Liabilities</t>
        </is>
      </c>
      <c r="C27" s="14">
        <f>SUM(C24:C26)</f>
        <v/>
      </c>
      <c r="D27" s="14">
        <f>SUM(D24:D26)</f>
        <v/>
      </c>
      <c r="E27" s="14">
        <f>SUM(E24:E26)</f>
        <v/>
      </c>
      <c r="F27" s="14">
        <f>SUM(F24:F26)</f>
        <v/>
      </c>
      <c r="G27" s="14">
        <f>SUM(G24:G26)</f>
        <v/>
      </c>
      <c r="H27" s="14">
        <f>SUM(H24:H26)</f>
        <v/>
      </c>
      <c r="I27" s="14">
        <f>SUM(I24:I26)</f>
        <v/>
      </c>
      <c r="J27" s="14">
        <f>SUM(J24:J26)</f>
        <v/>
      </c>
    </row>
    <row r="28">
      <c r="B28" s="13" t="inlineStr">
        <is>
          <t>LONG-TERM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B29" s="6" t="inlineStr">
        <is>
          <t>Mortgage</t>
        </is>
      </c>
      <c r="C29" s="7" t="n">
        <v>160962</v>
      </c>
      <c r="D29" s="7" t="n">
        <v>158279</v>
      </c>
      <c r="E29" s="7" t="n">
        <v>156759</v>
      </c>
      <c r="F29" s="7" t="n">
        <v>153939</v>
      </c>
      <c r="G29" s="7" t="n">
        <v>149806</v>
      </c>
      <c r="H29" s="7" t="n">
        <v>145739</v>
      </c>
      <c r="I29" s="7" t="n">
        <v>144464</v>
      </c>
      <c r="J29" s="7" t="n">
        <v>142700</v>
      </c>
    </row>
    <row r="30">
      <c r="B30" s="6" t="inlineStr">
        <is>
          <t>Student Loans</t>
        </is>
      </c>
      <c r="C30" s="7" t="n">
        <v>18258</v>
      </c>
      <c r="D30" s="7" t="n">
        <v>17945</v>
      </c>
      <c r="E30" s="7" t="n">
        <v>17462</v>
      </c>
      <c r="F30" s="7" t="n">
        <v>17182</v>
      </c>
      <c r="G30" s="7" t="n">
        <v>16679</v>
      </c>
      <c r="H30" s="7" t="n">
        <v>16304</v>
      </c>
      <c r="I30" s="7" t="n">
        <v>16012</v>
      </c>
      <c r="J30" s="7" t="n">
        <v>15718</v>
      </c>
    </row>
    <row r="31">
      <c r="B31" s="6" t="inlineStr">
        <is>
          <t>Auto Loans</t>
        </is>
      </c>
      <c r="C31" s="7" t="n">
        <v>7061</v>
      </c>
      <c r="D31" s="7" t="n">
        <v>6966</v>
      </c>
      <c r="E31" s="7" t="n">
        <v>6800</v>
      </c>
      <c r="F31" s="7" t="n">
        <v>6729</v>
      </c>
      <c r="G31" s="7" t="n">
        <v>6667</v>
      </c>
      <c r="H31" s="7" t="n">
        <v>6563</v>
      </c>
      <c r="I31" s="7" t="n">
        <v>6524</v>
      </c>
      <c r="J31" s="7" t="n">
        <v>6369</v>
      </c>
    </row>
    <row r="32">
      <c r="B32" s="6" t="inlineStr">
        <is>
          <t>HELOC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</row>
    <row r="33">
      <c r="B33" s="8" t="inlineStr">
        <is>
          <t>Subtotal Long-Term Liabilities</t>
        </is>
      </c>
      <c r="C33" s="14">
        <f>SUM(C29:C32)</f>
        <v/>
      </c>
      <c r="D33" s="14">
        <f>SUM(D29:D32)</f>
        <v/>
      </c>
      <c r="E33" s="14">
        <f>SUM(E29:E32)</f>
        <v/>
      </c>
      <c r="F33" s="14">
        <f>SUM(F29:F32)</f>
        <v/>
      </c>
      <c r="G33" s="14">
        <f>SUM(G29:G32)</f>
        <v/>
      </c>
      <c r="H33" s="14">
        <f>SUM(H29:H32)</f>
        <v/>
      </c>
      <c r="I33" s="14">
        <f>SUM(I29:I32)</f>
        <v/>
      </c>
      <c r="J33" s="14">
        <f>SUM(J29:J32)</f>
        <v/>
      </c>
    </row>
    <row r="34">
      <c r="B34" s="8" t="inlineStr">
        <is>
          <t>TOTAL LIABILITIES</t>
        </is>
      </c>
      <c r="C34" s="14">
        <f>C27+C33</f>
        <v/>
      </c>
      <c r="D34" s="14">
        <f>D27+D33</f>
        <v/>
      </c>
      <c r="E34" s="14">
        <f>E27+E33</f>
        <v/>
      </c>
      <c r="F34" s="14">
        <f>F27+F33</f>
        <v/>
      </c>
      <c r="G34" s="14">
        <f>G27+G33</f>
        <v/>
      </c>
      <c r="H34" s="14">
        <f>H27+H33</f>
        <v/>
      </c>
      <c r="I34" s="14">
        <f>I27+I33</f>
        <v/>
      </c>
      <c r="J34" s="14">
        <f>J27+J33</f>
        <v/>
      </c>
    </row>
    <row r="35">
      <c r="B35" s="8" t="inlineStr">
        <is>
          <t>NET WORTH</t>
        </is>
      </c>
      <c r="C35" s="9">
        <f>C22-C34</f>
        <v/>
      </c>
      <c r="D35" s="9">
        <f>D22-D34</f>
        <v/>
      </c>
      <c r="E35" s="9">
        <f>E22-E34</f>
        <v/>
      </c>
      <c r="F35" s="9">
        <f>F22-F34</f>
        <v/>
      </c>
      <c r="G35" s="9">
        <f>G22-G34</f>
        <v/>
      </c>
      <c r="H35" s="9">
        <f>H22-H34</f>
        <v/>
      </c>
      <c r="I35" s="9">
        <f>I22-I34</f>
        <v/>
      </c>
      <c r="J35" s="9">
        <f>J22-J34</f>
        <v/>
      </c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B37" s="8" t="inlineStr">
        <is>
          <t>QoQ Change ($)</t>
        </is>
      </c>
      <c r="C37" s="15" t="n">
        <v>0</v>
      </c>
      <c r="D37" s="15">
        <f>D35-C35</f>
        <v/>
      </c>
      <c r="E37" s="15">
        <f>E35-D35</f>
        <v/>
      </c>
      <c r="F37" s="15">
        <f>F35-E35</f>
        <v/>
      </c>
      <c r="G37" s="15">
        <f>G35-F35</f>
        <v/>
      </c>
      <c r="H37" s="15">
        <f>H35-G35</f>
        <v/>
      </c>
      <c r="I37" s="15">
        <f>I35-H35</f>
        <v/>
      </c>
      <c r="J37" s="15">
        <f>J35-I35</f>
        <v/>
      </c>
    </row>
    <row r="38">
      <c r="B38" s="8" t="inlineStr">
        <is>
          <t>QoQ Change (%)</t>
        </is>
      </c>
      <c r="C38" s="16" t="n">
        <v>0</v>
      </c>
      <c r="D38" s="16">
        <f>IFERROR(D37/C35,0)</f>
        <v/>
      </c>
      <c r="E38" s="16">
        <f>IFERROR(E37/D35,0)</f>
        <v/>
      </c>
      <c r="F38" s="16">
        <f>IFERROR(F37/E35,0)</f>
        <v/>
      </c>
      <c r="G38" s="16">
        <f>IFERROR(G37/F35,0)</f>
        <v/>
      </c>
      <c r="H38" s="16">
        <f>IFERROR(H37/G35,0)</f>
        <v/>
      </c>
      <c r="I38" s="16">
        <f>IFERROR(I37/H35,0)</f>
        <v/>
      </c>
      <c r="J38" s="16">
        <f>IFERROR(J37/I35,0)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/>
    <row r="2">
      <c r="B2" s="1" t="inlineStr">
        <is>
          <t>Financial Health Ratios</t>
        </is>
      </c>
      <c r="C2" s="2" t="n"/>
      <c r="D2" s="2" t="n"/>
      <c r="E2" s="2" t="n"/>
      <c r="F2" s="2" t="n"/>
      <c r="G2" s="2" t="n"/>
    </row>
    <row r="3">
      <c r="B3" s="17" t="inlineStr">
        <is>
          <t>Inputs</t>
        </is>
      </c>
      <c r="C3" s="2" t="n"/>
      <c r="D3" s="2" t="n"/>
      <c r="E3" s="2" t="n"/>
      <c r="F3" s="2" t="n"/>
      <c r="G3" s="2" t="n"/>
    </row>
    <row r="4">
      <c r="B4" s="18" t="inlineStr">
        <is>
          <t>Monthly Gross Income</t>
        </is>
      </c>
      <c r="C4" s="7" t="n">
        <v>7200</v>
      </c>
      <c r="D4" s="2" t="n"/>
      <c r="E4" s="2" t="n"/>
      <c r="F4" s="2" t="n"/>
      <c r="G4" s="2" t="n"/>
    </row>
    <row r="5">
      <c r="B5" s="18" t="inlineStr">
        <is>
          <t>Monthly Essential Expenses</t>
        </is>
      </c>
      <c r="C5" s="7" t="n">
        <v>3800</v>
      </c>
      <c r="D5" s="2" t="n"/>
      <c r="E5" s="2" t="n"/>
      <c r="F5" s="2" t="n"/>
      <c r="G5" s="2" t="n"/>
    </row>
    <row r="6">
      <c r="B6" s="18" t="inlineStr">
        <is>
          <t>Monthly Property Tax + Insurance</t>
        </is>
      </c>
      <c r="C6" s="7" t="n">
        <v>350</v>
      </c>
      <c r="D6" s="2" t="n"/>
      <c r="E6" s="2" t="n"/>
      <c r="F6" s="2" t="n"/>
      <c r="G6" s="2" t="n"/>
    </row>
    <row r="7">
      <c r="B7" s="18" t="inlineStr">
        <is>
          <t>Monthly Savings Amount</t>
        </is>
      </c>
      <c r="C7" s="7" t="n">
        <v>1200</v>
      </c>
      <c r="D7" s="2" t="n"/>
      <c r="E7" s="2" t="n"/>
      <c r="F7" s="2" t="n"/>
      <c r="G7" s="2" t="n"/>
    </row>
    <row r="8">
      <c r="B8" s="2" t="n"/>
      <c r="C8" s="2" t="n"/>
      <c r="D8" s="2" t="n"/>
      <c r="E8" s="2" t="n"/>
      <c r="F8" s="2" t="n"/>
      <c r="G8" s="2" t="n"/>
    </row>
    <row r="9">
      <c r="B9" s="19" t="inlineStr">
        <is>
          <t>Ratio</t>
        </is>
      </c>
      <c r="C9" s="20" t="inlineStr">
        <is>
          <t>Current Value</t>
        </is>
      </c>
      <c r="D9" s="20" t="inlineStr">
        <is>
          <t>Prior Quarter</t>
        </is>
      </c>
      <c r="E9" s="20" t="inlineStr">
        <is>
          <t>Change</t>
        </is>
      </c>
      <c r="F9" s="20" t="inlineStr">
        <is>
          <t>Benchmark</t>
        </is>
      </c>
      <c r="G9" s="20" t="inlineStr">
        <is>
          <t>Status</t>
        </is>
      </c>
    </row>
    <row r="10">
      <c r="B10" s="18" t="inlineStr">
        <is>
          <t>Liquidity Ratio</t>
        </is>
      </c>
      <c r="C10" s="21">
        <f>'Balance Sheet'!C8/C5</f>
        <v/>
      </c>
      <c r="D10" s="21">
        <f>IFERROR('Quarterly History'!I8/C5,0)</f>
        <v/>
      </c>
      <c r="E10" s="21">
        <f>C10-D10</f>
        <v/>
      </c>
      <c r="F10" s="18" t="inlineStr">
        <is>
          <t>&gt; 3.0</t>
        </is>
      </c>
      <c r="G10" s="18">
        <f>IF(C10&gt;3.0,"Healthy",IF(C10&gt;1.7999999999999998,"Watch","Concern"))</f>
        <v/>
      </c>
    </row>
    <row r="11">
      <c r="B11" s="18" t="inlineStr">
        <is>
          <t>Debt-to-Asset Ratio</t>
        </is>
      </c>
      <c r="C11" s="21">
        <f>'Balance Sheet'!C34/'Balance Sheet'!C22</f>
        <v/>
      </c>
      <c r="D11" s="21">
        <f>IFERROR('Quarterly History'!I34/'Quarterly History'!I22,0)</f>
        <v/>
      </c>
      <c r="E11" s="21">
        <f>C11-D11</f>
        <v/>
      </c>
      <c r="F11" s="18" t="inlineStr">
        <is>
          <t>&lt; 0.50</t>
        </is>
      </c>
      <c r="G11" s="18">
        <f>IF(C11&lt;0.5,"Healthy",IF(C11&lt;0.65,"Watch","Concern"))</f>
        <v/>
      </c>
    </row>
    <row r="12">
      <c r="B12" s="18" t="inlineStr">
        <is>
          <t>Solvency Ratio</t>
        </is>
      </c>
      <c r="C12" s="21">
        <f>'Balance Sheet'!C35/'Balance Sheet'!C22</f>
        <v/>
      </c>
      <c r="D12" s="21">
        <f>IFERROR('Quarterly History'!I35/'Quarterly History'!I22,0)</f>
        <v/>
      </c>
      <c r="E12" s="21">
        <f>C12-D12</f>
        <v/>
      </c>
      <c r="F12" s="18" t="inlineStr">
        <is>
          <t>&gt; 0.50</t>
        </is>
      </c>
      <c r="G12" s="18">
        <f>IF(C12&gt;0.5,"Healthy",IF(C12&gt;0.3,"Watch","Concern"))</f>
        <v/>
      </c>
    </row>
    <row r="13">
      <c r="B13" s="18" t="inlineStr">
        <is>
          <t>Savings Rate</t>
        </is>
      </c>
      <c r="C13" s="16">
        <f>C7/C4</f>
        <v/>
      </c>
      <c r="D13" s="16">
        <f>C7/C4</f>
        <v/>
      </c>
      <c r="E13" s="16">
        <f>C13-D13</f>
        <v/>
      </c>
      <c r="F13" s="18" t="inlineStr">
        <is>
          <t>&gt; 15%</t>
        </is>
      </c>
      <c r="G13" s="18">
        <f>IF(C13&gt;0.15,"Healthy",IF(C13&gt;0.09,"Watch","Concern"))</f>
        <v/>
      </c>
    </row>
    <row r="14">
      <c r="B14" s="18" t="inlineStr">
        <is>
          <t>Investment Ratio</t>
        </is>
      </c>
      <c r="C14" s="21">
        <f>'Balance Sheet'!C16/'Balance Sheet'!C22</f>
        <v/>
      </c>
      <c r="D14" s="21">
        <f>IFERROR('Quarterly History'!I16/'Quarterly History'!I22,0)</f>
        <v/>
      </c>
      <c r="E14" s="21">
        <f>C14-D14</f>
        <v/>
      </c>
      <c r="F14" s="18" t="inlineStr">
        <is>
          <t>&gt; 0.30</t>
        </is>
      </c>
      <c r="G14" s="18">
        <f>IF(C14&gt;0.3,"Healthy",IF(C14&gt;0.18,"Watch","Concern"))</f>
        <v/>
      </c>
    </row>
    <row r="15">
      <c r="B15" s="18" t="inlineStr">
        <is>
          <t>Housing Ratio</t>
        </is>
      </c>
      <c r="C15" s="21">
        <f>('Balance Sheet'!C29/12+C6)/C4</f>
        <v/>
      </c>
      <c r="D15" s="21">
        <f>IFERROR(('Quarterly History'!I29/12+C6)/C4,0)</f>
        <v/>
      </c>
      <c r="E15" s="21">
        <f>C15-D15</f>
        <v/>
      </c>
      <c r="F15" s="18" t="inlineStr">
        <is>
          <t>&lt; 0.28</t>
        </is>
      </c>
      <c r="G15" s="18">
        <f>IF(C15&lt;0.28,"Healthy",IF(C15&lt;0.36400000000000005,"Watch","Concern"))</f>
        <v/>
      </c>
    </row>
  </sheetData>
  <conditionalFormatting sqref="G10:G15">
    <cfRule type="cellIs" priority="1" operator="equal" dxfId="0">
      <formula>"Healthy"</formula>
    </cfRule>
    <cfRule type="cellIs" priority="2" operator="equal" dxfId="1">
      <formula>"Watch"</formula>
    </cfRule>
    <cfRule type="cellIs" priority="3" operator="equal" dxfId="2">
      <formula>"Concern"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" t="inlineStr">
        <is>
          <t>Quarter-over-Quarter Changes</t>
        </is>
      </c>
      <c r="C2" s="2" t="n"/>
      <c r="D2" s="2" t="n"/>
      <c r="E2" s="2" t="n"/>
      <c r="F2" s="2" t="n"/>
      <c r="G2" s="2" t="n"/>
    </row>
    <row r="3">
      <c r="B3" s="19" t="inlineStr">
        <is>
          <t>Account</t>
        </is>
      </c>
      <c r="C3" s="20" t="inlineStr">
        <is>
          <t>Prior Quarter</t>
        </is>
      </c>
      <c r="D3" s="20" t="inlineStr">
        <is>
          <t>Current Quarter</t>
        </is>
      </c>
      <c r="E3" s="20" t="inlineStr">
        <is>
          <t>Change ($)</t>
        </is>
      </c>
      <c r="F3" s="20" t="inlineStr">
        <is>
          <t>Change (%)</t>
        </is>
      </c>
      <c r="G3" s="20" t="inlineStr">
        <is>
          <t>Share of NW Change</t>
        </is>
      </c>
    </row>
    <row r="4">
      <c r="B4" s="18" t="inlineStr">
        <is>
          <t>Cash and Checking</t>
        </is>
      </c>
      <c r="C4" s="15">
        <f>'Quarterly History'!I5</f>
        <v/>
      </c>
      <c r="D4" s="15">
        <f>'Quarterly History'!J5</f>
        <v/>
      </c>
      <c r="E4" s="15">
        <f>D4-C4</f>
        <v/>
      </c>
      <c r="F4" s="16">
        <f>IFERROR(E4/ABS(C4),0)</f>
        <v/>
      </c>
      <c r="G4" s="16">
        <f>IFERROR(E4/$E$24,0)</f>
        <v/>
      </c>
    </row>
    <row r="5">
      <c r="B5" s="18" t="inlineStr">
        <is>
          <t>Savings Accounts</t>
        </is>
      </c>
      <c r="C5" s="15">
        <f>'Quarterly History'!I6</f>
        <v/>
      </c>
      <c r="D5" s="15">
        <f>'Quarterly History'!J6</f>
        <v/>
      </c>
      <c r="E5" s="15">
        <f>D5-C5</f>
        <v/>
      </c>
      <c r="F5" s="16">
        <f>IFERROR(E5/ABS(C5),0)</f>
        <v/>
      </c>
      <c r="G5" s="16">
        <f>IFERROR(E5/$E$24,0)</f>
        <v/>
      </c>
    </row>
    <row r="6">
      <c r="B6" s="18" t="inlineStr">
        <is>
          <t>Money Market</t>
        </is>
      </c>
      <c r="C6" s="15">
        <f>'Quarterly History'!I7</f>
        <v/>
      </c>
      <c r="D6" s="15">
        <f>'Quarterly History'!J7</f>
        <v/>
      </c>
      <c r="E6" s="15">
        <f>D6-C6</f>
        <v/>
      </c>
      <c r="F6" s="16">
        <f>IFERROR(E6/ABS(C6),0)</f>
        <v/>
      </c>
      <c r="G6" s="16">
        <f>IFERROR(E6/$E$24,0)</f>
        <v/>
      </c>
    </row>
    <row r="7">
      <c r="B7" s="18" t="inlineStr">
        <is>
          <t>Taxable Brokerage</t>
        </is>
      </c>
      <c r="C7" s="15">
        <f>'Quarterly History'!I10</f>
        <v/>
      </c>
      <c r="D7" s="15">
        <f>'Quarterly History'!J10</f>
        <v/>
      </c>
      <c r="E7" s="15">
        <f>D7-C7</f>
        <v/>
      </c>
      <c r="F7" s="16">
        <f>IFERROR(E7/ABS(C7),0)</f>
        <v/>
      </c>
      <c r="G7" s="16">
        <f>IFERROR(E7/$E$24,0)</f>
        <v/>
      </c>
    </row>
    <row r="8">
      <c r="B8" s="18" t="inlineStr">
        <is>
          <t>401k / 403b</t>
        </is>
      </c>
      <c r="C8" s="15">
        <f>'Quarterly History'!I11</f>
        <v/>
      </c>
      <c r="D8" s="15">
        <f>'Quarterly History'!J11</f>
        <v/>
      </c>
      <c r="E8" s="15">
        <f>D8-C8</f>
        <v/>
      </c>
      <c r="F8" s="16">
        <f>IFERROR(E8/ABS(C8),0)</f>
        <v/>
      </c>
      <c r="G8" s="16">
        <f>IFERROR(E8/$E$24,0)</f>
        <v/>
      </c>
    </row>
    <row r="9">
      <c r="B9" s="18" t="inlineStr">
        <is>
          <t>IRA / Roth IRA</t>
        </is>
      </c>
      <c r="C9" s="15">
        <f>'Quarterly History'!I12</f>
        <v/>
      </c>
      <c r="D9" s="15">
        <f>'Quarterly History'!J12</f>
        <v/>
      </c>
      <c r="E9" s="15">
        <f>D9-C9</f>
        <v/>
      </c>
      <c r="F9" s="16">
        <f>IFERROR(E9/ABS(C9),0)</f>
        <v/>
      </c>
      <c r="G9" s="16">
        <f>IFERROR(E9/$E$24,0)</f>
        <v/>
      </c>
    </row>
    <row r="10">
      <c r="B10" s="18" t="inlineStr">
        <is>
          <t>HSA</t>
        </is>
      </c>
      <c r="C10" s="15">
        <f>'Quarterly History'!I13</f>
        <v/>
      </c>
      <c r="D10" s="15">
        <f>'Quarterly History'!J13</f>
        <v/>
      </c>
      <c r="E10" s="15">
        <f>D10-C10</f>
        <v/>
      </c>
      <c r="F10" s="16">
        <f>IFERROR(E10/ABS(C10),0)</f>
        <v/>
      </c>
      <c r="G10" s="16">
        <f>IFERROR(E10/$E$24,0)</f>
        <v/>
      </c>
    </row>
    <row r="11">
      <c r="B11" s="18" t="inlineStr">
        <is>
          <t>529 Plan</t>
        </is>
      </c>
      <c r="C11" s="15">
        <f>'Quarterly History'!I14</f>
        <v/>
      </c>
      <c r="D11" s="15">
        <f>'Quarterly History'!J14</f>
        <v/>
      </c>
      <c r="E11" s="15">
        <f>D11-C11</f>
        <v/>
      </c>
      <c r="F11" s="16">
        <f>IFERROR(E11/ABS(C11),0)</f>
        <v/>
      </c>
      <c r="G11" s="16">
        <f>IFERROR(E11/$E$24,0)</f>
        <v/>
      </c>
    </row>
    <row r="12">
      <c r="B12" s="18" t="inlineStr">
        <is>
          <t>Other Investments</t>
        </is>
      </c>
      <c r="C12" s="15">
        <f>'Quarterly History'!I15</f>
        <v/>
      </c>
      <c r="D12" s="15">
        <f>'Quarterly History'!J15</f>
        <v/>
      </c>
      <c r="E12" s="15">
        <f>D12-C12</f>
        <v/>
      </c>
      <c r="F12" s="16">
        <f>IFERROR(E12/ABS(C12),0)</f>
        <v/>
      </c>
      <c r="G12" s="16">
        <f>IFERROR(E12/$E$24,0)</f>
        <v/>
      </c>
    </row>
    <row r="13">
      <c r="B13" s="18" t="inlineStr">
        <is>
          <t>Primary Residence</t>
        </is>
      </c>
      <c r="C13" s="15">
        <f>'Quarterly History'!I18</f>
        <v/>
      </c>
      <c r="D13" s="15">
        <f>'Quarterly History'!J18</f>
        <v/>
      </c>
      <c r="E13" s="15">
        <f>D13-C13</f>
        <v/>
      </c>
      <c r="F13" s="16">
        <f>IFERROR(E13/ABS(C13),0)</f>
        <v/>
      </c>
      <c r="G13" s="16">
        <f>IFERROR(E13/$E$24,0)</f>
        <v/>
      </c>
    </row>
    <row r="14">
      <c r="B14" s="18" t="inlineStr">
        <is>
          <t>Vehicles</t>
        </is>
      </c>
      <c r="C14" s="15">
        <f>'Quarterly History'!I19</f>
        <v/>
      </c>
      <c r="D14" s="15">
        <f>'Quarterly History'!J19</f>
        <v/>
      </c>
      <c r="E14" s="15">
        <f>D14-C14</f>
        <v/>
      </c>
      <c r="F14" s="16">
        <f>IFERROR(E14/ABS(C14),0)</f>
        <v/>
      </c>
      <c r="G14" s="16">
        <f>IFERROR(E14/$E$24,0)</f>
        <v/>
      </c>
    </row>
    <row r="15">
      <c r="B15" s="18" t="inlineStr">
        <is>
          <t>Personal Property</t>
        </is>
      </c>
      <c r="C15" s="15">
        <f>'Quarterly History'!I20</f>
        <v/>
      </c>
      <c r="D15" s="15">
        <f>'Quarterly History'!J20</f>
        <v/>
      </c>
      <c r="E15" s="15">
        <f>D15-C15</f>
        <v/>
      </c>
      <c r="F15" s="16">
        <f>IFERROR(E15/ABS(C15),0)</f>
        <v/>
      </c>
      <c r="G15" s="16">
        <f>IFERROR(E15/$E$24,0)</f>
        <v/>
      </c>
    </row>
    <row r="16">
      <c r="B16" s="18" t="inlineStr">
        <is>
          <t>Credit Cards</t>
        </is>
      </c>
      <c r="C16" s="15">
        <f>'Quarterly History'!I24</f>
        <v/>
      </c>
      <c r="D16" s="15">
        <f>'Quarterly History'!J24</f>
        <v/>
      </c>
      <c r="E16" s="15">
        <f>D16-C16</f>
        <v/>
      </c>
      <c r="F16" s="16">
        <f>IFERROR(E16/ABS(C16),0)</f>
        <v/>
      </c>
      <c r="G16" s="16">
        <f>IFERROR(E16/$E$24,0)</f>
        <v/>
      </c>
    </row>
    <row r="17">
      <c r="B17" s="18" t="inlineStr">
        <is>
          <t>Short-Term Loans</t>
        </is>
      </c>
      <c r="C17" s="15">
        <f>'Quarterly History'!I25</f>
        <v/>
      </c>
      <c r="D17" s="15">
        <f>'Quarterly History'!J25</f>
        <v/>
      </c>
      <c r="E17" s="15">
        <f>D17-C17</f>
        <v/>
      </c>
      <c r="F17" s="16">
        <f>IFERROR(E17/ABS(C17),0)</f>
        <v/>
      </c>
      <c r="G17" s="16">
        <f>IFERROR(E17/$E$24,0)</f>
        <v/>
      </c>
    </row>
    <row r="18">
      <c r="B18" s="18" t="inlineStr">
        <is>
          <t>Medical Debt</t>
        </is>
      </c>
      <c r="C18" s="15">
        <f>'Quarterly History'!I26</f>
        <v/>
      </c>
      <c r="D18" s="15">
        <f>'Quarterly History'!J26</f>
        <v/>
      </c>
      <c r="E18" s="15">
        <f>D18-C18</f>
        <v/>
      </c>
      <c r="F18" s="16">
        <f>IFERROR(E18/ABS(C18),0)</f>
        <v/>
      </c>
      <c r="G18" s="16">
        <f>IFERROR(E18/$E$24,0)</f>
        <v/>
      </c>
    </row>
    <row r="19">
      <c r="B19" s="18" t="inlineStr">
        <is>
          <t>Mortgage</t>
        </is>
      </c>
      <c r="C19" s="15">
        <f>'Quarterly History'!I29</f>
        <v/>
      </c>
      <c r="D19" s="15">
        <f>'Quarterly History'!J29</f>
        <v/>
      </c>
      <c r="E19" s="15">
        <f>D19-C19</f>
        <v/>
      </c>
      <c r="F19" s="16">
        <f>IFERROR(E19/ABS(C19),0)</f>
        <v/>
      </c>
      <c r="G19" s="16">
        <f>IFERROR(E19/$E$24,0)</f>
        <v/>
      </c>
    </row>
    <row r="20">
      <c r="B20" s="18" t="inlineStr">
        <is>
          <t>Student Loans</t>
        </is>
      </c>
      <c r="C20" s="15">
        <f>'Quarterly History'!I30</f>
        <v/>
      </c>
      <c r="D20" s="15">
        <f>'Quarterly History'!J30</f>
        <v/>
      </c>
      <c r="E20" s="15">
        <f>D20-C20</f>
        <v/>
      </c>
      <c r="F20" s="16">
        <f>IFERROR(E20/ABS(C20),0)</f>
        <v/>
      </c>
      <c r="G20" s="16">
        <f>IFERROR(E20/$E$24,0)</f>
        <v/>
      </c>
    </row>
    <row r="21">
      <c r="B21" s="18" t="inlineStr">
        <is>
          <t>Auto Loans</t>
        </is>
      </c>
      <c r="C21" s="15">
        <f>'Quarterly History'!I31</f>
        <v/>
      </c>
      <c r="D21" s="15">
        <f>'Quarterly History'!J31</f>
        <v/>
      </c>
      <c r="E21" s="15">
        <f>D21-C21</f>
        <v/>
      </c>
      <c r="F21" s="16">
        <f>IFERROR(E21/ABS(C21),0)</f>
        <v/>
      </c>
      <c r="G21" s="16">
        <f>IFERROR(E21/$E$24,0)</f>
        <v/>
      </c>
    </row>
    <row r="22">
      <c r="B22" s="18" t="inlineStr">
        <is>
          <t>HELOC</t>
        </is>
      </c>
      <c r="C22" s="15">
        <f>'Quarterly History'!I32</f>
        <v/>
      </c>
      <c r="D22" s="15">
        <f>'Quarterly History'!J32</f>
        <v/>
      </c>
      <c r="E22" s="15">
        <f>D22-C22</f>
        <v/>
      </c>
      <c r="F22" s="16">
        <f>IFERROR(E22/ABS(C22),0)</f>
        <v/>
      </c>
      <c r="G22" s="16">
        <f>IFERROR(E22/$E$24,0)</f>
        <v/>
      </c>
    </row>
    <row r="23">
      <c r="B23" s="2" t="n"/>
      <c r="C23" s="2" t="n"/>
      <c r="D23" s="2" t="n"/>
      <c r="E23" s="2" t="n"/>
      <c r="F23" s="2" t="n"/>
      <c r="G23" s="2" t="n"/>
    </row>
    <row r="24">
      <c r="B24" s="8" t="inlineStr">
        <is>
          <t>Total Net Worth Change</t>
        </is>
      </c>
      <c r="C24" s="2" t="n"/>
      <c r="D24" s="2" t="n"/>
      <c r="E24" s="14">
        <f>SUM(E4:E22)</f>
        <v/>
      </c>
      <c r="F24" s="2" t="n"/>
      <c r="G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</cols>
  <sheetData>
    <row r="1"/>
    <row r="2">
      <c r="B2" s="1" t="inlineStr">
        <is>
          <t>Financial Dashboard</t>
        </is>
      </c>
      <c r="C2" s="2" t="n"/>
      <c r="D2" s="2" t="n"/>
      <c r="E2" s="2" t="n"/>
    </row>
    <row r="3">
      <c r="B3" s="2" t="n"/>
      <c r="C3" s="2" t="n"/>
      <c r="D3" s="2" t="n"/>
      <c r="E3" s="2" t="n"/>
    </row>
    <row r="4">
      <c r="B4" s="3" t="inlineStr">
        <is>
          <t>Quarter</t>
        </is>
      </c>
      <c r="C4" s="3" t="inlineStr">
        <is>
          <t>Net Worth</t>
        </is>
      </c>
      <c r="D4" s="2" t="n"/>
      <c r="E4" s="2" t="n"/>
    </row>
    <row r="5">
      <c r="B5" s="18" t="inlineStr">
        <is>
          <t>Q1 2024</t>
        </is>
      </c>
      <c r="C5" s="15">
        <f>'Quarterly History'!C35</f>
        <v/>
      </c>
      <c r="D5" s="2" t="n"/>
      <c r="E5" s="2" t="n"/>
    </row>
    <row r="6">
      <c r="B6" s="18" t="inlineStr">
        <is>
          <t>Q2 2024</t>
        </is>
      </c>
      <c r="C6" s="15">
        <f>'Quarterly History'!D35</f>
        <v/>
      </c>
      <c r="D6" s="2" t="n"/>
      <c r="E6" s="2" t="n"/>
    </row>
    <row r="7">
      <c r="B7" s="18" t="inlineStr">
        <is>
          <t>Q3 2024</t>
        </is>
      </c>
      <c r="C7" s="15">
        <f>'Quarterly History'!E35</f>
        <v/>
      </c>
      <c r="D7" s="2" t="n"/>
      <c r="E7" s="2" t="n"/>
    </row>
    <row r="8">
      <c r="B8" s="18" t="inlineStr">
        <is>
          <t>Q4 2024</t>
        </is>
      </c>
      <c r="C8" s="15">
        <f>'Quarterly History'!F35</f>
        <v/>
      </c>
      <c r="D8" s="2" t="n"/>
      <c r="E8" s="2" t="n"/>
    </row>
    <row r="9">
      <c r="B9" s="18" t="inlineStr">
        <is>
          <t>Q1 2025</t>
        </is>
      </c>
      <c r="C9" s="15">
        <f>'Quarterly History'!G35</f>
        <v/>
      </c>
      <c r="D9" s="2" t="n"/>
      <c r="E9" s="2" t="n"/>
    </row>
    <row r="10">
      <c r="B10" s="18" t="inlineStr">
        <is>
          <t>Q2 2025</t>
        </is>
      </c>
      <c r="C10" s="15">
        <f>'Quarterly History'!H35</f>
        <v/>
      </c>
      <c r="D10" s="2" t="n"/>
      <c r="E10" s="2" t="n"/>
    </row>
    <row r="11">
      <c r="B11" s="18" t="inlineStr">
        <is>
          <t>Q3 2025</t>
        </is>
      </c>
      <c r="C11" s="15">
        <f>'Quarterly History'!I35</f>
        <v/>
      </c>
      <c r="D11" s="2" t="n"/>
      <c r="E11" s="2" t="n"/>
    </row>
    <row r="12">
      <c r="B12" s="18" t="inlineStr">
        <is>
          <t>Q4 2025</t>
        </is>
      </c>
      <c r="C12" s="15">
        <f>'Quarterly History'!J35</f>
        <v/>
      </c>
      <c r="D12" s="2" t="n"/>
      <c r="E12" s="2" t="n"/>
    </row>
    <row r="13">
      <c r="B13" s="2" t="n"/>
      <c r="C13" s="2" t="n"/>
      <c r="D13" s="2" t="n"/>
      <c r="E13" s="2" t="n"/>
    </row>
    <row r="14">
      <c r="B14" s="2" t="n"/>
      <c r="C14" s="2" t="n"/>
      <c r="D14" s="2" t="n"/>
      <c r="E14" s="2" t="n"/>
    </row>
    <row r="15">
      <c r="B15" s="3" t="inlineStr">
        <is>
          <t>Quarter</t>
        </is>
      </c>
      <c r="C15" s="3" t="inlineStr">
        <is>
          <t>Current Assets</t>
        </is>
      </c>
      <c r="D15" s="3" t="inlineStr">
        <is>
          <t>Investment Assets</t>
        </is>
      </c>
      <c r="E15" s="3" t="inlineStr">
        <is>
          <t>Fixed Assets</t>
        </is>
      </c>
    </row>
    <row r="16">
      <c r="B16" s="18" t="inlineStr">
        <is>
          <t>Q1 2024</t>
        </is>
      </c>
      <c r="C16" s="15">
        <f>'Quarterly History'!C8</f>
        <v/>
      </c>
      <c r="D16" s="15">
        <f>'Quarterly History'!C16</f>
        <v/>
      </c>
      <c r="E16" s="15">
        <f>'Quarterly History'!C21</f>
        <v/>
      </c>
    </row>
    <row r="17">
      <c r="B17" s="18" t="inlineStr">
        <is>
          <t>Q2 2024</t>
        </is>
      </c>
      <c r="C17" s="15">
        <f>'Quarterly History'!D8</f>
        <v/>
      </c>
      <c r="D17" s="15">
        <f>'Quarterly History'!D16</f>
        <v/>
      </c>
      <c r="E17" s="15">
        <f>'Quarterly History'!D21</f>
        <v/>
      </c>
    </row>
    <row r="18">
      <c r="B18" s="18" t="inlineStr">
        <is>
          <t>Q3 2024</t>
        </is>
      </c>
      <c r="C18" s="15">
        <f>'Quarterly History'!E8</f>
        <v/>
      </c>
      <c r="D18" s="15">
        <f>'Quarterly History'!E16</f>
        <v/>
      </c>
      <c r="E18" s="15">
        <f>'Quarterly History'!E21</f>
        <v/>
      </c>
    </row>
    <row r="19">
      <c r="B19" s="18" t="inlineStr">
        <is>
          <t>Q4 2024</t>
        </is>
      </c>
      <c r="C19" s="15">
        <f>'Quarterly History'!F8</f>
        <v/>
      </c>
      <c r="D19" s="15">
        <f>'Quarterly History'!F16</f>
        <v/>
      </c>
      <c r="E19" s="15">
        <f>'Quarterly History'!F21</f>
        <v/>
      </c>
    </row>
    <row r="20">
      <c r="B20" s="18" t="inlineStr">
        <is>
          <t>Q1 2025</t>
        </is>
      </c>
      <c r="C20" s="15">
        <f>'Quarterly History'!G8</f>
        <v/>
      </c>
      <c r="D20" s="15">
        <f>'Quarterly History'!G16</f>
        <v/>
      </c>
      <c r="E20" s="15">
        <f>'Quarterly History'!G21</f>
        <v/>
      </c>
    </row>
    <row r="21">
      <c r="B21" s="18" t="inlineStr">
        <is>
          <t>Q2 2025</t>
        </is>
      </c>
      <c r="C21" s="15">
        <f>'Quarterly History'!H8</f>
        <v/>
      </c>
      <c r="D21" s="15">
        <f>'Quarterly History'!H16</f>
        <v/>
      </c>
      <c r="E21" s="15">
        <f>'Quarterly History'!H21</f>
        <v/>
      </c>
    </row>
    <row r="22">
      <c r="B22" s="18" t="inlineStr">
        <is>
          <t>Q3 2025</t>
        </is>
      </c>
      <c r="C22" s="15">
        <f>'Quarterly History'!I8</f>
        <v/>
      </c>
      <c r="D22" s="15">
        <f>'Quarterly History'!I16</f>
        <v/>
      </c>
      <c r="E22" s="15">
        <f>'Quarterly History'!I21</f>
        <v/>
      </c>
    </row>
    <row r="23">
      <c r="B23" s="18" t="inlineStr">
        <is>
          <t>Q4 2025</t>
        </is>
      </c>
      <c r="C23" s="15">
        <f>'Quarterly History'!J8</f>
        <v/>
      </c>
      <c r="D23" s="15">
        <f>'Quarterly History'!J16</f>
        <v/>
      </c>
      <c r="E23" s="15">
        <f>'Quarterly History'!J21</f>
        <v/>
      </c>
    </row>
    <row r="24">
      <c r="B24" s="2" t="n"/>
      <c r="C24" s="2" t="n"/>
      <c r="D24" s="2" t="n"/>
      <c r="E24" s="2" t="n"/>
    </row>
    <row r="25">
      <c r="B25" s="2" t="n"/>
      <c r="C25" s="2" t="n"/>
      <c r="D25" s="2" t="n"/>
      <c r="E25" s="2" t="n"/>
    </row>
    <row r="26">
      <c r="B26" s="2" t="n"/>
      <c r="C26" s="2" t="n"/>
      <c r="D26" s="2" t="n"/>
      <c r="E26" s="2" t="n"/>
    </row>
    <row r="27">
      <c r="B27" s="2" t="n"/>
      <c r="C27" s="2" t="n"/>
      <c r="D27" s="2" t="n"/>
      <c r="E27" s="2" t="n"/>
    </row>
    <row r="28">
      <c r="B28" s="2" t="n"/>
      <c r="C28" s="2" t="n"/>
      <c r="D28" s="2" t="n"/>
      <c r="E28" s="2" t="n"/>
    </row>
    <row r="29">
      <c r="B29" s="2" t="n"/>
      <c r="C29" s="2" t="n"/>
      <c r="D29" s="2" t="n"/>
      <c r="E29" s="2" t="n"/>
    </row>
    <row r="30">
      <c r="B30" s="2" t="n"/>
      <c r="C30" s="2" t="n"/>
      <c r="D30" s="2" t="n"/>
      <c r="E30" s="2" t="n"/>
    </row>
    <row r="31">
      <c r="B31" s="2" t="n"/>
      <c r="C31" s="2" t="n"/>
      <c r="D31" s="2" t="n"/>
      <c r="E31" s="2" t="n"/>
    </row>
    <row r="32">
      <c r="B32" s="2" t="n"/>
      <c r="C32" s="2" t="n"/>
      <c r="D32" s="2" t="n"/>
      <c r="E32" s="2" t="n"/>
    </row>
    <row r="33">
      <c r="B33" s="2" t="n"/>
      <c r="C33" s="2" t="n"/>
      <c r="D33" s="2" t="n"/>
      <c r="E33" s="2" t="n"/>
    </row>
    <row r="34">
      <c r="B34" s="2" t="n"/>
      <c r="C34" s="2" t="n"/>
      <c r="D34" s="2" t="n"/>
      <c r="E34" s="2" t="n"/>
    </row>
    <row r="35">
      <c r="B35" s="2" t="n"/>
      <c r="C35" s="2" t="n"/>
      <c r="D35" s="2" t="n"/>
      <c r="E35" s="2" t="n"/>
    </row>
    <row r="36">
      <c r="B36" s="2" t="n"/>
      <c r="C36" s="2" t="n"/>
      <c r="D36" s="2" t="n"/>
      <c r="E36" s="2" t="n"/>
    </row>
    <row r="37">
      <c r="B37" s="2" t="n"/>
      <c r="C37" s="2" t="n"/>
      <c r="D37" s="2" t="n"/>
      <c r="E37" s="2" t="n"/>
    </row>
    <row r="38">
      <c r="B38" s="2" t="n"/>
      <c r="C38" s="2" t="n"/>
      <c r="D38" s="2" t="n"/>
      <c r="E38" s="2" t="n"/>
    </row>
    <row r="39">
      <c r="B39" s="2" t="n"/>
      <c r="C39" s="2" t="n"/>
      <c r="D39" s="2" t="n"/>
      <c r="E39" s="2" t="n"/>
    </row>
    <row r="40">
      <c r="B40" s="2" t="n"/>
      <c r="C40" s="2" t="n"/>
      <c r="D40" s="2" t="n"/>
      <c r="E40" s="2" t="n"/>
    </row>
    <row r="41">
      <c r="B41" s="3" t="inlineStr">
        <is>
          <t>Ratio</t>
        </is>
      </c>
      <c r="C41" s="3" t="inlineStr">
        <is>
          <t>Current Value</t>
        </is>
      </c>
      <c r="D41" s="2" t="n"/>
      <c r="E41" s="2" t="n"/>
    </row>
    <row r="42">
      <c r="B42" s="18" t="inlineStr">
        <is>
          <t>Liquidity Ratio</t>
        </is>
      </c>
      <c r="C42" s="21">
        <f>Ratios!C10</f>
        <v/>
      </c>
      <c r="D42" s="2" t="n"/>
      <c r="E42" s="2" t="n"/>
    </row>
    <row r="43">
      <c r="B43" s="18" t="inlineStr">
        <is>
          <t>Debt-to-Asset Ratio</t>
        </is>
      </c>
      <c r="C43" s="21">
        <f>Ratios!C11</f>
        <v/>
      </c>
      <c r="D43" s="2" t="n"/>
      <c r="E43" s="2" t="n"/>
    </row>
    <row r="44">
      <c r="B44" s="18" t="inlineStr">
        <is>
          <t>Solvency Ratio</t>
        </is>
      </c>
      <c r="C44" s="21">
        <f>Ratios!C12</f>
        <v/>
      </c>
      <c r="D44" s="2" t="n"/>
      <c r="E44" s="2" t="n"/>
    </row>
    <row r="45">
      <c r="B45" s="18" t="inlineStr">
        <is>
          <t>Savings Rate</t>
        </is>
      </c>
      <c r="C45" s="21">
        <f>Ratios!C13</f>
        <v/>
      </c>
      <c r="D45" s="2" t="n"/>
      <c r="E45" s="2" t="n"/>
    </row>
    <row r="46">
      <c r="B46" s="18" t="inlineStr">
        <is>
          <t>Investment Ratio</t>
        </is>
      </c>
      <c r="C46" s="21">
        <f>Ratios!C14</f>
        <v/>
      </c>
      <c r="D46" s="2" t="n"/>
      <c r="E46" s="2" t="n"/>
    </row>
    <row r="47">
      <c r="B47" s="18" t="inlineStr">
        <is>
          <t>Housing Ratio</t>
        </is>
      </c>
      <c r="C47" s="21">
        <f>Ratios!C15</f>
        <v/>
      </c>
      <c r="D47" s="2" t="n"/>
      <c r="E47" s="2" t="n"/>
    </row>
    <row r="48">
      <c r="B48" s="2" t="n"/>
      <c r="C48" s="2" t="n"/>
      <c r="D48" s="2" t="n"/>
      <c r="E48" s="2" t="n"/>
    </row>
    <row r="49">
      <c r="B49" s="2" t="n"/>
      <c r="C49" s="2" t="n"/>
      <c r="D49" s="2" t="n"/>
      <c r="E49" s="2" t="n"/>
    </row>
    <row r="50">
      <c r="B50" s="2" t="n"/>
      <c r="C50" s="2" t="n"/>
      <c r="D50" s="2" t="n"/>
      <c r="E50" s="2" t="n"/>
    </row>
    <row r="51">
      <c r="B51" s="2" t="n"/>
      <c r="C51" s="2" t="n"/>
      <c r="D51" s="2" t="n"/>
      <c r="E51" s="2" t="n"/>
    </row>
    <row r="52">
      <c r="B52" s="2" t="n"/>
      <c r="C52" s="2" t="n"/>
      <c r="D52" s="2" t="n"/>
      <c r="E52" s="2" t="n"/>
    </row>
    <row r="53">
      <c r="B53" s="2" t="n"/>
      <c r="C53" s="2" t="n"/>
      <c r="D53" s="2" t="n"/>
      <c r="E53" s="2" t="n"/>
    </row>
    <row r="54">
      <c r="B54" s="2" t="n"/>
      <c r="C54" s="2" t="n"/>
      <c r="D54" s="2" t="n"/>
      <c r="E54" s="2" t="n"/>
    </row>
    <row r="55">
      <c r="B55" s="2" t="n"/>
      <c r="C55" s="2" t="n"/>
      <c r="D55" s="2" t="n"/>
      <c r="E55" s="2" t="n"/>
    </row>
    <row r="56">
      <c r="B56" s="2" t="n"/>
      <c r="C56" s="2" t="n"/>
      <c r="D56" s="2" t="n"/>
      <c r="E56" s="2" t="n"/>
    </row>
    <row r="57">
      <c r="B57" s="2" t="n"/>
      <c r="C57" s="2" t="n"/>
      <c r="D57" s="2" t="n"/>
      <c r="E57" s="2" t="n"/>
    </row>
    <row r="58">
      <c r="B58" s="2" t="n"/>
      <c r="C58" s="2" t="n"/>
      <c r="D58" s="2" t="n"/>
      <c r="E58" s="2" t="n"/>
    </row>
    <row r="59">
      <c r="B59" s="2" t="n"/>
      <c r="C59" s="2" t="n"/>
      <c r="D59" s="2" t="n"/>
      <c r="E59" s="2" t="n"/>
    </row>
    <row r="60">
      <c r="B60" s="2" t="n"/>
      <c r="C60" s="2" t="n"/>
      <c r="D60" s="2" t="n"/>
      <c r="E60" s="2" t="n"/>
    </row>
    <row r="61">
      <c r="B61" s="2" t="n"/>
      <c r="C61" s="2" t="n"/>
      <c r="D61" s="2" t="n"/>
      <c r="E61" s="2" t="n"/>
    </row>
    <row r="62">
      <c r="B62" s="2" t="n"/>
      <c r="C62" s="2" t="n"/>
      <c r="D62" s="2" t="n"/>
      <c r="E62" s="2" t="n"/>
    </row>
    <row r="63">
      <c r="B63" s="2" t="n"/>
      <c r="C63" s="2" t="n"/>
      <c r="D63" s="2" t="n"/>
      <c r="E63" s="2" t="n"/>
    </row>
    <row r="64">
      <c r="B64" s="2" t="n"/>
      <c r="C64" s="2" t="n"/>
      <c r="D64" s="2" t="n"/>
      <c r="E64" s="2" t="n"/>
    </row>
    <row r="65">
      <c r="B65" s="3" t="inlineStr">
        <is>
          <t>Section</t>
        </is>
      </c>
      <c r="C65" s="3" t="inlineStr">
        <is>
          <t>QoQ Change</t>
        </is>
      </c>
      <c r="D65" s="2" t="n"/>
      <c r="E65" s="2" t="n"/>
    </row>
    <row r="66">
      <c r="B66" s="18" t="inlineStr">
        <is>
          <t>Current Assets</t>
        </is>
      </c>
      <c r="C66" s="15">
        <f>'Quarterly History'!J8-'Quarterly History'!I8</f>
        <v/>
      </c>
      <c r="D66" s="2" t="n"/>
      <c r="E66" s="2" t="n"/>
    </row>
    <row r="67">
      <c r="B67" s="18" t="inlineStr">
        <is>
          <t>Investment Assets</t>
        </is>
      </c>
      <c r="C67" s="15">
        <f>'Quarterly History'!J16-'Quarterly History'!I16</f>
        <v/>
      </c>
      <c r="D67" s="2" t="n"/>
      <c r="E67" s="2" t="n"/>
    </row>
    <row r="68">
      <c r="B68" s="18" t="inlineStr">
        <is>
          <t>Fixed Assets</t>
        </is>
      </c>
      <c r="C68" s="15">
        <f>'Quarterly History'!J21-'Quarterly History'!I21</f>
        <v/>
      </c>
      <c r="D68" s="2" t="n"/>
      <c r="E68" s="2" t="n"/>
    </row>
    <row r="69">
      <c r="B69" s="18" t="inlineStr">
        <is>
          <t>Current Liabilities</t>
        </is>
      </c>
      <c r="C69" s="15">
        <f>'Quarterly History'!J27-'Quarterly History'!I27</f>
        <v/>
      </c>
      <c r="D69" s="2" t="n"/>
      <c r="E69" s="2" t="n"/>
    </row>
    <row r="70">
      <c r="B70" s="18" t="inlineStr">
        <is>
          <t>Long-Term Liabilities</t>
        </is>
      </c>
      <c r="C70" s="15">
        <f>'Quarterly History'!J33-'Quarterly History'!I33</f>
        <v/>
      </c>
      <c r="D70" s="2" t="n"/>
      <c r="E7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2" max="2"/>
  </cols>
  <sheetData>
    <row r="1"/>
    <row r="2">
      <c r="B2" s="2" t="n"/>
      <c r="C2" s="2" t="n"/>
    </row>
    <row r="3">
      <c r="B3" s="2" t="n"/>
      <c r="C3" s="22" t="inlineStr">
        <is>
          <t>Personal Balance Sheet with Financial Ratios</t>
        </is>
      </c>
    </row>
    <row r="4">
      <c r="B4" s="2" t="n"/>
      <c r="C4" s="22" t="inlineStr"/>
    </row>
    <row r="5">
      <c r="B5" s="2" t="n"/>
      <c r="C5" s="22" t="inlineStr">
        <is>
          <t>Sample data covers Q1 2024 through Q4 2025.</t>
        </is>
      </c>
    </row>
    <row r="6">
      <c r="B6" s="2" t="n"/>
      <c r="C6" s="22" t="inlineStr">
        <is>
          <t>All account names and balances are fictional.</t>
        </is>
      </c>
    </row>
    <row r="7">
      <c r="B7" s="2" t="n"/>
      <c r="C7" s="22" t="inlineStr">
        <is>
          <t>Update the Balance Sheet tab each quarter with current figures.</t>
        </is>
      </c>
    </row>
    <row r="8">
      <c r="B8" s="2" t="n"/>
      <c r="C8" s="22" t="inlineStr">
        <is>
          <t>Copy the new quarter into the next column on Quarterly History.</t>
        </is>
      </c>
    </row>
    <row r="9">
      <c r="B9" s="2" t="n"/>
      <c r="C9" s="22" t="inlineStr">
        <is>
          <t>Ratios update automatically from the Balance Sheet and your inputs.</t>
        </is>
      </c>
    </row>
    <row r="10">
      <c r="B10" s="2" t="n"/>
      <c r="C10" s="22" t="inlineStr">
        <is>
          <t>Adjust the monthly income and expense inputs on the Ratios sheet.</t>
        </is>
      </c>
    </row>
    <row r="11">
      <c r="B11" s="2" t="n"/>
      <c r="C11" s="22" t="inlineStr">
        <is>
          <t>Do not insert or delete rows inside the balance sheet structure.</t>
        </is>
      </c>
    </row>
    <row r="12">
      <c r="B12" s="2" t="n"/>
      <c r="C12" s="22" t="inlineStr">
        <is>
          <t>This is not financial advice. Talk to a professional about your situation.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Reed</dc:creator>
  <dcterms:created xsi:type="dcterms:W3CDTF">2024-07-07T16:02:40Z</dcterms:created>
  <dcterms:modified xsi:type="dcterms:W3CDTF">2025-02-14T17:17:40Z</dcterms:modified>
  <cp:lastModifiedBy>Samuel Reed</cp:lastModifiedBy>
  <cp:revision>1</cp:revision>
</cp:coreProperties>
</file>