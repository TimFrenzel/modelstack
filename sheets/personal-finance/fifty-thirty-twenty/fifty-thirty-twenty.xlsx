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I:\My Drive\000_drive_drive\300_WORK\xAI\002_xAI\project\excel-scraping\task_022\"/>
    </mc:Choice>
  </mc:AlternateContent>
  <xr:revisionPtr revIDLastSave="0" documentId="13_ncr:1_{569CC7BF-E75E-4DB9-9922-0CB2E92EA4A5}" xr6:coauthVersionLast="47" xr6:coauthVersionMax="47" xr10:uidLastSave="{00000000-0000-0000-0000-000000000000}"/>
  <bookViews>
    <workbookView xWindow="38280" yWindow="-120" windowWidth="29040" windowHeight="15720" xr2:uid="{00000000-000D-0000-FFFF-FFFF00000000}"/>
  </bookViews>
  <sheets>
    <sheet name="Income" sheetId="1" r:id="rId1"/>
    <sheet name="Category Map" sheetId="2" r:id="rId2"/>
    <sheet name="Expense Log" sheetId="3" r:id="rId3"/>
    <sheet name="Monthly Tracker" sheetId="4" r:id="rId4"/>
    <sheet name="Paycheck Planner" sheetId="5" r:id="rId5"/>
    <sheet name="Analysis" sheetId="6" r:id="rId6"/>
    <sheet name="Readme" sheetId="7" r:id="rId7"/>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5" l="1"/>
  <c r="D17" i="5"/>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 r="B4" i="1"/>
  <c r="B5" i="1" s="1"/>
  <c r="B7" i="1" l="1"/>
  <c r="AI4" i="4"/>
  <c r="D36" i="6" s="1"/>
  <c r="B10" i="1"/>
  <c r="B9" i="1"/>
  <c r="B14" i="1" s="1"/>
  <c r="B15" i="1" s="1"/>
  <c r="E2" i="4"/>
  <c r="AC2" i="4"/>
  <c r="B3" i="4"/>
  <c r="N3" i="4"/>
  <c r="W4" i="4"/>
  <c r="Q2" i="4"/>
  <c r="Z3" i="4"/>
  <c r="K4" i="4"/>
  <c r="AF2" i="4"/>
  <c r="Z4" i="4"/>
  <c r="T2" i="4"/>
  <c r="E3" i="4"/>
  <c r="AC3" i="4"/>
  <c r="N4" i="4"/>
  <c r="H2" i="4"/>
  <c r="Q3" i="4"/>
  <c r="B4" i="4"/>
  <c r="AC4" i="4"/>
  <c r="W2" i="4"/>
  <c r="T3" i="4"/>
  <c r="E4" i="4"/>
  <c r="K2" i="4"/>
  <c r="AI2" i="4"/>
  <c r="H3" i="4"/>
  <c r="AF3" i="4"/>
  <c r="Q4" i="4"/>
  <c r="B2" i="4"/>
  <c r="Z2" i="4"/>
  <c r="K3" i="4"/>
  <c r="AI3" i="4"/>
  <c r="AF4" i="4"/>
  <c r="N2" i="4"/>
  <c r="W3" i="4"/>
  <c r="T4" i="4"/>
  <c r="H4" i="4"/>
  <c r="E18" i="5" l="1"/>
  <c r="D18" i="5"/>
  <c r="B17" i="1"/>
  <c r="B19" i="1" s="1"/>
  <c r="Z7" i="4" s="1"/>
  <c r="B17" i="6" s="1"/>
  <c r="B33" i="6"/>
  <c r="D35" i="6"/>
  <c r="AF9" i="4"/>
  <c r="D19" i="6" s="1"/>
  <c r="B32" i="6"/>
  <c r="W7" i="4"/>
  <c r="B16" i="6" s="1"/>
  <c r="C33" i="6"/>
  <c r="Z8" i="4"/>
  <c r="C17" i="6" s="1"/>
  <c r="C28" i="6"/>
  <c r="C36" i="6"/>
  <c r="D34" i="6"/>
  <c r="B30" i="6"/>
  <c r="C25" i="6"/>
  <c r="AL3" i="4"/>
  <c r="B3" i="6" s="1"/>
  <c r="D30" i="6"/>
  <c r="D29" i="6"/>
  <c r="B34" i="6"/>
  <c r="D32" i="6"/>
  <c r="W9" i="4"/>
  <c r="D16" i="6" s="1"/>
  <c r="C35" i="6"/>
  <c r="AF8" i="4"/>
  <c r="C19" i="6" s="1"/>
  <c r="C34" i="6"/>
  <c r="B26" i="6"/>
  <c r="B27" i="6"/>
  <c r="C27" i="6"/>
  <c r="H8" i="4"/>
  <c r="C11" i="6" s="1"/>
  <c r="E8" i="4"/>
  <c r="C10" i="6" s="1"/>
  <c r="C26" i="6"/>
  <c r="Q8" i="4"/>
  <c r="C14" i="6" s="1"/>
  <c r="C30" i="6"/>
  <c r="D27" i="6"/>
  <c r="B36" i="6"/>
  <c r="AI7" i="4"/>
  <c r="B20" i="6" s="1"/>
  <c r="B31" i="6"/>
  <c r="AL2" i="4"/>
  <c r="B2" i="6" s="1"/>
  <c r="B7" i="4"/>
  <c r="B9" i="6" s="1"/>
  <c r="B25" i="6"/>
  <c r="T9" i="4"/>
  <c r="D15" i="6" s="1"/>
  <c r="D31" i="6"/>
  <c r="B28" i="6"/>
  <c r="K7" i="4"/>
  <c r="B12" i="6" s="1"/>
  <c r="D33" i="6"/>
  <c r="Z9" i="4"/>
  <c r="D17" i="6" s="1"/>
  <c r="N8" i="4"/>
  <c r="C13" i="6" s="1"/>
  <c r="C29" i="6"/>
  <c r="C32" i="6"/>
  <c r="W8" i="4"/>
  <c r="C16" i="6" s="1"/>
  <c r="E9" i="4"/>
  <c r="D10" i="6" s="1"/>
  <c r="D26" i="6"/>
  <c r="B35" i="6"/>
  <c r="AF7" i="4"/>
  <c r="B19" i="6" s="1"/>
  <c r="B9" i="4"/>
  <c r="D9" i="6" s="1"/>
  <c r="D25" i="6"/>
  <c r="AL4" i="4"/>
  <c r="B4" i="6" s="1"/>
  <c r="N7" i="4"/>
  <c r="B13" i="6" s="1"/>
  <c r="B29" i="6"/>
  <c r="T8" i="4"/>
  <c r="C15" i="6" s="1"/>
  <c r="C31" i="6"/>
  <c r="D28" i="6"/>
  <c r="K9" i="4"/>
  <c r="D12" i="6" s="1"/>
  <c r="E7" i="4" l="1"/>
  <c r="B10" i="6" s="1"/>
  <c r="AC8" i="4"/>
  <c r="C18" i="6" s="1"/>
  <c r="Q9" i="4"/>
  <c r="D14" i="6" s="1"/>
  <c r="H9" i="4"/>
  <c r="D11" i="6" s="1"/>
  <c r="B8" i="4"/>
  <c r="C9" i="6" s="1"/>
  <c r="Q7" i="4"/>
  <c r="B14" i="6" s="1"/>
  <c r="AC9" i="4"/>
  <c r="D18" i="6" s="1"/>
  <c r="AC7" i="4"/>
  <c r="B18" i="6" s="1"/>
  <c r="AI8" i="4"/>
  <c r="C20" i="6" s="1"/>
  <c r="B22" i="1"/>
  <c r="B21" i="1"/>
  <c r="B23" i="1"/>
  <c r="AI9" i="4"/>
  <c r="D20" i="6" s="1"/>
  <c r="T7" i="4"/>
  <c r="B15" i="6" s="1"/>
  <c r="H7" i="4"/>
  <c r="B11" i="6" s="1"/>
  <c r="N9" i="4"/>
  <c r="D13" i="6" s="1"/>
  <c r="K8" i="4"/>
  <c r="C12" i="6" s="1"/>
  <c r="AG4" i="4" l="1"/>
  <c r="AH4" i="4" s="1"/>
  <c r="U4" i="4"/>
  <c r="V4" i="4" s="1"/>
  <c r="I4" i="4"/>
  <c r="J4" i="4" s="1"/>
  <c r="AD4" i="4"/>
  <c r="AE4" i="4" s="1"/>
  <c r="R4" i="4"/>
  <c r="S4" i="4" s="1"/>
  <c r="F4" i="4"/>
  <c r="G4" i="4" s="1"/>
  <c r="AA4" i="4"/>
  <c r="AB4" i="4" s="1"/>
  <c r="O4" i="4"/>
  <c r="P4" i="4" s="1"/>
  <c r="C4" i="4"/>
  <c r="AJ4" i="4"/>
  <c r="AK4" i="4" s="1"/>
  <c r="X4" i="4"/>
  <c r="Y4" i="4" s="1"/>
  <c r="L4" i="4"/>
  <c r="M4" i="4" s="1"/>
  <c r="AA2" i="4"/>
  <c r="AB2" i="4" s="1"/>
  <c r="O2" i="4"/>
  <c r="P2" i="4" s="1"/>
  <c r="C2" i="4"/>
  <c r="AJ2" i="4"/>
  <c r="AK2" i="4" s="1"/>
  <c r="X2" i="4"/>
  <c r="Y2" i="4" s="1"/>
  <c r="L2" i="4"/>
  <c r="M2" i="4" s="1"/>
  <c r="AG2" i="4"/>
  <c r="AH2" i="4" s="1"/>
  <c r="U2" i="4"/>
  <c r="V2" i="4" s="1"/>
  <c r="I2" i="4"/>
  <c r="J2" i="4" s="1"/>
  <c r="AD2" i="4"/>
  <c r="AE2" i="4" s="1"/>
  <c r="R2" i="4"/>
  <c r="S2" i="4" s="1"/>
  <c r="F2" i="4"/>
  <c r="G2" i="4" s="1"/>
  <c r="AJ3" i="4"/>
  <c r="AK3" i="4" s="1"/>
  <c r="X3" i="4"/>
  <c r="Y3" i="4" s="1"/>
  <c r="L3" i="4"/>
  <c r="M3" i="4" s="1"/>
  <c r="AG3" i="4"/>
  <c r="AH3" i="4" s="1"/>
  <c r="U3" i="4"/>
  <c r="V3" i="4" s="1"/>
  <c r="I3" i="4"/>
  <c r="J3" i="4" s="1"/>
  <c r="AD3" i="4"/>
  <c r="AE3" i="4" s="1"/>
  <c r="R3" i="4"/>
  <c r="S3" i="4" s="1"/>
  <c r="F3" i="4"/>
  <c r="G3" i="4" s="1"/>
  <c r="AA3" i="4"/>
  <c r="AB3" i="4" s="1"/>
  <c r="O3" i="4"/>
  <c r="P3" i="4" s="1"/>
  <c r="C3" i="4"/>
  <c r="D4" i="4" l="1"/>
  <c r="AM4" i="4"/>
  <c r="AN4" i="4" s="1"/>
  <c r="D3" i="4"/>
  <c r="AM3" i="4"/>
  <c r="AN3" i="4" s="1"/>
  <c r="D2" i="4"/>
  <c r="AM2" i="4"/>
  <c r="AN2" i="4" s="1"/>
</calcChain>
</file>

<file path=xl/sharedStrings.xml><?xml version="1.0" encoding="utf-8"?>
<sst xmlns="http://schemas.openxmlformats.org/spreadsheetml/2006/main" count="1591" uniqueCount="202">
  <si>
    <t>Employment Income</t>
  </si>
  <si>
    <t>Annual Gross Salary</t>
  </si>
  <si>
    <t>Pay Frequency</t>
  </si>
  <si>
    <t>Semi-monthly</t>
  </si>
  <si>
    <t>Paychecks per Year</t>
  </si>
  <si>
    <t>Gross per Paycheck</t>
  </si>
  <si>
    <t>Deductions per Paycheck</t>
  </si>
  <si>
    <t>Federal Tax (est.)</t>
  </si>
  <si>
    <t>State Tax Rate</t>
  </si>
  <si>
    <t>State Tax</t>
  </si>
  <si>
    <t>FICA (7.65%)</t>
  </si>
  <si>
    <t>Payroll Health Insurance</t>
  </si>
  <si>
    <t>Payroll 401k Contribution</t>
  </si>
  <si>
    <t>Other Deductions</t>
  </si>
  <si>
    <t>Total Deductions</t>
  </si>
  <si>
    <t>Net per Paycheck</t>
  </si>
  <si>
    <t>Monthly Net Income</t>
  </si>
  <si>
    <t>Monthly Net from Job</t>
  </si>
  <si>
    <t>Other Monthly Income</t>
  </si>
  <si>
    <t>Total Monthly Net</t>
  </si>
  <si>
    <t>50/30/20 Targets</t>
  </si>
  <si>
    <t>Needs Target (50%)</t>
  </si>
  <si>
    <t>Wants Target (30%)</t>
  </si>
  <si>
    <t>Savings Target (20%)</t>
  </si>
  <si>
    <t>Category</t>
  </si>
  <si>
    <t>Bucket</t>
  </si>
  <si>
    <t>Rent/Mortgage</t>
  </si>
  <si>
    <t>Needs</t>
  </si>
  <si>
    <t>Utilities</t>
  </si>
  <si>
    <t>Groceries</t>
  </si>
  <si>
    <t>Auto Insurance</t>
  </si>
  <si>
    <t>Gas</t>
  </si>
  <si>
    <t>Health Insurance (manual)</t>
  </si>
  <si>
    <t>Phone</t>
  </si>
  <si>
    <t>Min Debt Payment</t>
  </si>
  <si>
    <t>Medical/Prescriptions</t>
  </si>
  <si>
    <t>Renters Insurance</t>
  </si>
  <si>
    <t>Internet</t>
  </si>
  <si>
    <t>Dining Out</t>
  </si>
  <si>
    <t>Wants</t>
  </si>
  <si>
    <t>Coffee Shops</t>
  </si>
  <si>
    <t>Entertainment</t>
  </si>
  <si>
    <t>Clothing</t>
  </si>
  <si>
    <t>Subscriptions</t>
  </si>
  <si>
    <t>Gym</t>
  </si>
  <si>
    <t>Personal Care</t>
  </si>
  <si>
    <t>Gifts</t>
  </si>
  <si>
    <t>Travel</t>
  </si>
  <si>
    <t>Hobbies</t>
  </si>
  <si>
    <t>Alcohol/Bars</t>
  </si>
  <si>
    <t>Emergency Fund</t>
  </si>
  <si>
    <t>Savings</t>
  </si>
  <si>
    <t>Retirement Extra</t>
  </si>
  <si>
    <t>Vacation Fund</t>
  </si>
  <si>
    <t>Sinking Funds</t>
  </si>
  <si>
    <t>Investments</t>
  </si>
  <si>
    <t>529 College</t>
  </si>
  <si>
    <t>Date</t>
  </si>
  <si>
    <t>Payee</t>
  </si>
  <si>
    <t>Amount</t>
  </si>
  <si>
    <t>Recurring</t>
  </si>
  <si>
    <t>Notes</t>
  </si>
  <si>
    <t>Landlord LLC</t>
  </si>
  <si>
    <t>Yes</t>
  </si>
  <si>
    <t>Power Co</t>
  </si>
  <si>
    <t>No</t>
  </si>
  <si>
    <t>Kroger</t>
  </si>
  <si>
    <t>State Farm</t>
  </si>
  <si>
    <t>Costco Gas</t>
  </si>
  <si>
    <t>BP</t>
  </si>
  <si>
    <t>Shell</t>
  </si>
  <si>
    <t>Verizon</t>
  </si>
  <si>
    <t>Chase Visa</t>
  </si>
  <si>
    <t>Dr. Patel</t>
  </si>
  <si>
    <t>Lemonade</t>
  </si>
  <si>
    <t>Xfinity</t>
  </si>
  <si>
    <t>Chipotle</t>
  </si>
  <si>
    <t>Olive Garden</t>
  </si>
  <si>
    <t>Panera</t>
  </si>
  <si>
    <t>Starbucks</t>
  </si>
  <si>
    <t>Local Roast</t>
  </si>
  <si>
    <t>Eventbrite</t>
  </si>
  <si>
    <t>AMC</t>
  </si>
  <si>
    <t>TJ Maxx</t>
  </si>
  <si>
    <t>Old Navy</t>
  </si>
  <si>
    <t>Spotify</t>
  </si>
  <si>
    <t>Planet Fitness</t>
  </si>
  <si>
    <t>Target Beauty</t>
  </si>
  <si>
    <t>Amazon</t>
  </si>
  <si>
    <t>Local Bar</t>
  </si>
  <si>
    <t>Transfer to Savings</t>
  </si>
  <si>
    <t>Vanguard</t>
  </si>
  <si>
    <t>Transfer to Vacation</t>
  </si>
  <si>
    <t>Transfer to Sinking</t>
  </si>
  <si>
    <t>Fidelity Transfer</t>
  </si>
  <si>
    <t>529 Transfer</t>
  </si>
  <si>
    <t>Gas Co</t>
  </si>
  <si>
    <t>Costco</t>
  </si>
  <si>
    <t>CVS</t>
  </si>
  <si>
    <t>Thai Kitchen</t>
  </si>
  <si>
    <t>Target</t>
  </si>
  <si>
    <t>iCloud</t>
  </si>
  <si>
    <t>Great Clips</t>
  </si>
  <si>
    <t>Guitar Center</t>
  </si>
  <si>
    <t>Liquor Store</t>
  </si>
  <si>
    <t>Water Dept</t>
  </si>
  <si>
    <t>Aldi</t>
  </si>
  <si>
    <t>Steam</t>
  </si>
  <si>
    <t>NYT</t>
  </si>
  <si>
    <t>Etsy</t>
  </si>
  <si>
    <t>Trader Joes</t>
  </si>
  <si>
    <t>Student Loan Svc</t>
  </si>
  <si>
    <t>Netflix</t>
  </si>
  <si>
    <t>Delta</t>
  </si>
  <si>
    <t>REI</t>
  </si>
  <si>
    <t>Airbnb</t>
  </si>
  <si>
    <t>Jan Actual</t>
  </si>
  <si>
    <t>Jan Target</t>
  </si>
  <si>
    <t>Jan Delta</t>
  </si>
  <si>
    <t>Feb Actual</t>
  </si>
  <si>
    <t>Feb Target</t>
  </si>
  <si>
    <t>Feb Delta</t>
  </si>
  <si>
    <t>Mar Actual</t>
  </si>
  <si>
    <t>Mar Target</t>
  </si>
  <si>
    <t>Mar Delta</t>
  </si>
  <si>
    <t>Apr Actual</t>
  </si>
  <si>
    <t>Apr Target</t>
  </si>
  <si>
    <t>Apr Delta</t>
  </si>
  <si>
    <t>May Actual</t>
  </si>
  <si>
    <t>May Target</t>
  </si>
  <si>
    <t>May Delta</t>
  </si>
  <si>
    <t>Jun Actual</t>
  </si>
  <si>
    <t>Jun Target</t>
  </si>
  <si>
    <t>Jun Delta</t>
  </si>
  <si>
    <t>Jul Actual</t>
  </si>
  <si>
    <t>Jul Target</t>
  </si>
  <si>
    <t>Jul Delta</t>
  </si>
  <si>
    <t>Aug Actual</t>
  </si>
  <si>
    <t>Aug Target</t>
  </si>
  <si>
    <t>Aug Delta</t>
  </si>
  <si>
    <t>Sep Actual</t>
  </si>
  <si>
    <t>Sep Target</t>
  </si>
  <si>
    <t>Sep Delta</t>
  </si>
  <si>
    <t>Oct Actual</t>
  </si>
  <si>
    <t>Oct Target</t>
  </si>
  <si>
    <t>Oct Delta</t>
  </si>
  <si>
    <t>Nov Actual</t>
  </si>
  <si>
    <t>Nov Target</t>
  </si>
  <si>
    <t>Nov Delta</t>
  </si>
  <si>
    <t>Dec Actual</t>
  </si>
  <si>
    <t>Dec Target</t>
  </si>
  <si>
    <t>Dec Delta</t>
  </si>
  <si>
    <t>Annual Act.</t>
  </si>
  <si>
    <t>Annual Tgt.</t>
  </si>
  <si>
    <t>Annual Delta</t>
  </si>
  <si>
    <t>Actual % of Net Income</t>
  </si>
  <si>
    <t>Bill / Expense</t>
  </si>
  <si>
    <t>Monthly Amount</t>
  </si>
  <si>
    <t>Due Around</t>
  </si>
  <si>
    <t>Paycheck 1 (1st)</t>
  </si>
  <si>
    <t>Paycheck 2 (15th)</t>
  </si>
  <si>
    <t>Auto-pay?</t>
  </si>
  <si>
    <t>1st</t>
  </si>
  <si>
    <t>10th</t>
  </si>
  <si>
    <t>8th</t>
  </si>
  <si>
    <t>12th</t>
  </si>
  <si>
    <t>5th</t>
  </si>
  <si>
    <t>15th</t>
  </si>
  <si>
    <t>20th</t>
  </si>
  <si>
    <t>Various</t>
  </si>
  <si>
    <t>Total Committed</t>
  </si>
  <si>
    <t>Discretionary Remaining</t>
  </si>
  <si>
    <t>Annual Split</t>
  </si>
  <si>
    <t>Monthly % of Net Income</t>
  </si>
  <si>
    <t>Month</t>
  </si>
  <si>
    <t>Needs %</t>
  </si>
  <si>
    <t>Wants %</t>
  </si>
  <si>
    <t>Savings %</t>
  </si>
  <si>
    <t>Jan</t>
  </si>
  <si>
    <t>Feb</t>
  </si>
  <si>
    <t>Mar</t>
  </si>
  <si>
    <t>Apr</t>
  </si>
  <si>
    <t>May</t>
  </si>
  <si>
    <t>Jun</t>
  </si>
  <si>
    <t>Jul</t>
  </si>
  <si>
    <t>Aug</t>
  </si>
  <si>
    <t>Sep</t>
  </si>
  <si>
    <t>Oct</t>
  </si>
  <si>
    <t>Nov</t>
  </si>
  <si>
    <t>Dec</t>
  </si>
  <si>
    <t>Monthly Dollar Split</t>
  </si>
  <si>
    <t>50/30/20 Budget Analyzer</t>
  </si>
  <si>
    <t>Sample data covers January through December 2025.</t>
  </si>
  <si>
    <t>All transactions and income figures are fictional.</t>
  </si>
  <si>
    <t>Start on the Income sheet to set salary and deductions.</t>
  </si>
  <si>
    <t>Payroll health insurance and payroll 401k already reduce net pay.</t>
  </si>
  <si>
    <t>Do not log those again unless you pay them outside payroll.</t>
  </si>
  <si>
    <t>Adjust category buckets on the Category Map sheet if needed.</t>
  </si>
  <si>
    <t>Log expenses in the Expense Log as they happen.</t>
  </si>
  <si>
    <t>The Monthly Tracker auto-classifies spending by bucket.</t>
  </si>
  <si>
    <t>Do not insert or delete rows inside data ranges.</t>
  </si>
  <si>
    <t>This is not financial advice. Talk to a professional about your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</si>
</sst>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
    <numFmt numFmtId="167" formatCode="&quot;$&quot;#,##0.00"/>
  </numFmts>
  <fonts count="7" x14ac:knownFonts="1">
    <font>
      <sz val="11"/>
      <color theme="1"/>
      <name val="Calibri"/>
      <family val="2"/>
      <scheme val="minor"/>
    </font>
    <font>
      <sz val="11"/>
      <color theme="1"/>
      <name val="Calibri"/>
      <family val="2"/>
      <scheme val="minor"/>
    </font>
    <font>
      <b/>
      <sz val="11"/>
      <color rgb="FF9E6B6B"/>
      <name val="Arial"/>
      <family val="2"/>
    </font>
    <font>
      <sz val="11"/>
      <color rgb="FF000000"/>
      <name val="Arial"/>
      <family val="2"/>
    </font>
    <font>
      <b/>
      <sz val="11"/>
      <color rgb="FF000000"/>
      <name val="Arial"/>
      <family val="2"/>
    </font>
    <font>
      <b/>
      <i/>
      <sz val="11"/>
      <color rgb="FF000000"/>
      <name val="Arial"/>
      <family val="2"/>
    </font>
    <font>
      <i/>
      <sz val="10"/>
      <color rgb="FF000000"/>
      <name val="Arial"/>
      <family val="2"/>
    </font>
  </fonts>
  <fills count="9">
    <fill>
      <patternFill patternType="none"/>
    </fill>
    <fill>
      <patternFill patternType="gray125"/>
    </fill>
    <fill>
      <patternFill patternType="solid">
        <fgColor rgb="FFF0E0E0"/>
      </patternFill>
    </fill>
    <fill>
      <patternFill patternType="solid">
        <fgColor rgb="FFEBE5DE"/>
      </patternFill>
    </fill>
    <fill>
      <patternFill patternType="solid">
        <fgColor rgb="FF9E6B6B"/>
      </patternFill>
    </fill>
    <fill>
      <patternFill patternType="solid">
        <fgColor rgb="FFF5F2EE"/>
      </patternFill>
    </fill>
    <fill>
      <patternFill patternType="solid">
        <fgColor rgb="FF3C3638"/>
      </patternFill>
    </fill>
    <fill>
      <patternFill patternType="solid">
        <fgColor rgb="FFE0D8E8"/>
      </patternFill>
    </fill>
    <fill>
      <patternFill patternType="solid">
        <fgColor rgb="FFD8EAD8"/>
      </patternFill>
    </fill>
  </fills>
  <borders count="5">
    <border>
      <left/>
      <right/>
      <top/>
      <bottom/>
      <diagonal/>
    </border>
    <border>
      <left/>
      <right/>
      <top style="thin">
        <color rgb="FF9E6B6B"/>
      </top>
      <bottom/>
      <diagonal/>
    </border>
    <border>
      <left/>
      <right/>
      <top style="thin">
        <color rgb="FF9E6B6B"/>
      </top>
      <bottom style="double">
        <color rgb="FF9E6B6B"/>
      </bottom>
      <diagonal/>
    </border>
    <border>
      <left/>
      <right/>
      <top/>
      <bottom style="thin">
        <color rgb="FFB8B0A8"/>
      </bottom>
      <diagonal/>
    </border>
    <border>
      <left/>
      <right style="hair">
        <color rgb="FFB8B0A8"/>
      </right>
      <top/>
      <bottom style="hair">
        <color rgb="FFB8B0A8"/>
      </bottom>
      <diagonal/>
    </border>
  </borders>
  <cellStyleXfs count="1">
    <xf numFmtId="0" fontId="0" fillId="0" borderId="0"/>
  </cellStyleXfs>
  <cellXfs count="31">
    <xf numFmtId="0" fontId="0" fillId="0" borderId="0" xfId="0"/>
    <xf numFmtId="0" fontId="1" fillId="0" borderId="0" xfId="0" applyFont="1" applyAlignment="1">
      <alignment vertical="center"/>
    </xf>
    <xf numFmtId="0" fontId="2" fillId="2" borderId="0" xfId="0" applyFont="1" applyFill="1" applyAlignment="1">
      <alignment vertical="center"/>
    </xf>
    <xf numFmtId="0" fontId="3" fillId="0" borderId="0" xfId="0" applyFont="1" applyAlignment="1">
      <alignment vertical="center"/>
    </xf>
    <xf numFmtId="164" fontId="3" fillId="3" borderId="0" xfId="0" applyNumberFormat="1" applyFont="1" applyFill="1" applyAlignment="1">
      <alignment vertical="center"/>
    </xf>
    <xf numFmtId="0" fontId="3" fillId="3" borderId="0" xfId="0" applyFont="1" applyFill="1" applyAlignment="1">
      <alignment vertical="center"/>
    </xf>
    <xf numFmtId="3" fontId="3" fillId="0" borderId="0" xfId="0" applyNumberFormat="1" applyFont="1" applyAlignment="1">
      <alignment vertical="center"/>
    </xf>
    <xf numFmtId="164" fontId="3" fillId="0" borderId="0" xfId="0" applyNumberFormat="1" applyFont="1" applyAlignment="1">
      <alignment vertical="center"/>
    </xf>
    <xf numFmtId="165" fontId="3" fillId="3" borderId="0" xfId="0" applyNumberFormat="1" applyFont="1" applyFill="1" applyAlignment="1">
      <alignment vertical="center"/>
    </xf>
    <xf numFmtId="164" fontId="4" fillId="0" borderId="1" xfId="0" applyNumberFormat="1" applyFont="1" applyBorder="1" applyAlignment="1">
      <alignment vertical="center"/>
    </xf>
    <xf numFmtId="164" fontId="4" fillId="0" borderId="2" xfId="0" applyNumberFormat="1" applyFont="1" applyBorder="1" applyAlignment="1">
      <alignment vertical="center"/>
    </xf>
    <xf numFmtId="164" fontId="4" fillId="0" borderId="0" xfId="0" applyNumberFormat="1" applyFont="1" applyAlignment="1">
      <alignment vertical="center"/>
    </xf>
    <xf numFmtId="0" fontId="4" fillId="4" borderId="3" xfId="0" applyFont="1" applyFill="1" applyBorder="1" applyAlignment="1">
      <alignment vertical="center"/>
    </xf>
    <xf numFmtId="0" fontId="3" fillId="5" borderId="0" xfId="0" applyFont="1" applyFill="1" applyAlignment="1">
      <alignment vertical="center"/>
    </xf>
    <xf numFmtId="14" fontId="3" fillId="0" borderId="0" xfId="0" applyNumberFormat="1" applyFont="1" applyAlignment="1">
      <alignment vertical="center"/>
    </xf>
    <xf numFmtId="167" fontId="3" fillId="0" borderId="0" xfId="0" applyNumberFormat="1" applyFont="1" applyAlignment="1">
      <alignment vertical="center"/>
    </xf>
    <xf numFmtId="0" fontId="4" fillId="4" borderId="3" xfId="0" applyFont="1" applyFill="1" applyBorder="1" applyAlignment="1">
      <alignment horizontal="center" vertical="center"/>
    </xf>
    <xf numFmtId="0" fontId="4" fillId="6" borderId="3" xfId="0" applyFont="1" applyFill="1" applyBorder="1" applyAlignment="1">
      <alignment horizontal="center" vertical="center"/>
    </xf>
    <xf numFmtId="0" fontId="4" fillId="2" borderId="0" xfId="0" applyFont="1" applyFill="1" applyAlignment="1">
      <alignment vertical="center"/>
    </xf>
    <xf numFmtId="164" fontId="3" fillId="0" borderId="4" xfId="0" applyNumberFormat="1" applyFont="1" applyBorder="1" applyAlignment="1">
      <alignment vertical="center"/>
    </xf>
    <xf numFmtId="0" fontId="4" fillId="7" borderId="0" xfId="0" applyFont="1" applyFill="1" applyAlignment="1">
      <alignment vertical="center"/>
    </xf>
    <xf numFmtId="0" fontId="4" fillId="8" borderId="0" xfId="0" applyFont="1" applyFill="1" applyAlignment="1">
      <alignment vertical="center"/>
    </xf>
    <xf numFmtId="0" fontId="4" fillId="0" borderId="0" xfId="0" applyFont="1" applyAlignment="1">
      <alignment vertical="center"/>
    </xf>
    <xf numFmtId="0" fontId="3" fillId="2" borderId="0" xfId="0" applyFont="1" applyFill="1" applyAlignment="1">
      <alignment vertical="center"/>
    </xf>
    <xf numFmtId="165" fontId="3" fillId="0" borderId="4" xfId="0" applyNumberFormat="1" applyFont="1" applyBorder="1" applyAlignment="1">
      <alignment vertical="center"/>
    </xf>
    <xf numFmtId="0" fontId="3" fillId="7" borderId="0" xfId="0" applyFont="1" applyFill="1" applyAlignment="1">
      <alignment vertical="center"/>
    </xf>
    <xf numFmtId="0" fontId="3" fillId="8" borderId="0" xfId="0" applyFont="1" applyFill="1" applyAlignment="1">
      <alignment vertical="center"/>
    </xf>
    <xf numFmtId="0" fontId="4" fillId="4" borderId="0" xfId="0" applyFont="1" applyFill="1" applyAlignment="1">
      <alignment vertical="center"/>
    </xf>
    <xf numFmtId="165" fontId="3" fillId="0" borderId="0" xfId="0" applyNumberFormat="1" applyFont="1" applyAlignment="1">
      <alignment vertical="center"/>
    </xf>
    <xf numFmtId="0" fontId="5" fillId="0" borderId="0" xfId="0" applyFont="1" applyAlignment="1">
      <alignment vertical="center"/>
    </xf>
    <xf numFmtId="0" fontId="6" fillId="0" borderId="0" xfId="0" applyFont="1" applyAlignment="1">
      <alignment vertical="center"/>
    </xf>
  </cellXfs>
  <cellStyles count="1">
    <cellStyle name="Normal" xfId="0" builtinId="0"/>
  </cellStyles>
  <dxfs count="27">
    <dxf>
      <fill>
        <patternFill patternType="solid">
          <fgColor rgb="FFC9625E"/>
        </patternFill>
      </fill>
    </dxf>
    <dxf>
      <fill>
        <patternFill patternType="solid">
          <fgColor rgb="FFC8D8B0"/>
        </patternFill>
      </fill>
    </dxf>
    <dxf>
      <fill>
        <patternFill patternType="solid">
          <fgColor rgb="FFE8C0B0"/>
        </patternFill>
      </fill>
    </dxf>
    <dxf>
      <fill>
        <patternFill patternType="solid">
          <fgColor rgb="FFC8D8B0"/>
        </patternFill>
      </fill>
    </dxf>
    <dxf>
      <fill>
        <patternFill patternType="solid">
          <fgColor rgb="FFE8C0B0"/>
        </patternFill>
      </fill>
    </dxf>
    <dxf>
      <fill>
        <patternFill patternType="solid">
          <fgColor rgb="FFC8D8B0"/>
        </patternFill>
      </fill>
    </dxf>
    <dxf>
      <fill>
        <patternFill patternType="solid">
          <fgColor rgb="FFE8C0B0"/>
        </patternFill>
      </fill>
    </dxf>
    <dxf>
      <fill>
        <patternFill patternType="solid">
          <fgColor rgb="FFC8D8B0"/>
        </patternFill>
      </fill>
    </dxf>
    <dxf>
      <fill>
        <patternFill patternType="solid">
          <fgColor rgb="FFE8C0B0"/>
        </patternFill>
      </fill>
    </dxf>
    <dxf>
      <fill>
        <patternFill patternType="solid">
          <fgColor rgb="FFC8D8B0"/>
        </patternFill>
      </fill>
    </dxf>
    <dxf>
      <fill>
        <patternFill patternType="solid">
          <fgColor rgb="FFE8C0B0"/>
        </patternFill>
      </fill>
    </dxf>
    <dxf>
      <fill>
        <patternFill patternType="solid">
          <fgColor rgb="FFC8D8B0"/>
        </patternFill>
      </fill>
    </dxf>
    <dxf>
      <fill>
        <patternFill patternType="solid">
          <fgColor rgb="FFE8C0B0"/>
        </patternFill>
      </fill>
    </dxf>
    <dxf>
      <fill>
        <patternFill patternType="solid">
          <fgColor rgb="FFC8D8B0"/>
        </patternFill>
      </fill>
    </dxf>
    <dxf>
      <fill>
        <patternFill patternType="solid">
          <fgColor rgb="FFE8C0B0"/>
        </patternFill>
      </fill>
    </dxf>
    <dxf>
      <fill>
        <patternFill patternType="solid">
          <fgColor rgb="FFC8D8B0"/>
        </patternFill>
      </fill>
    </dxf>
    <dxf>
      <fill>
        <patternFill patternType="solid">
          <fgColor rgb="FFE8C0B0"/>
        </patternFill>
      </fill>
    </dxf>
    <dxf>
      <fill>
        <patternFill patternType="solid">
          <fgColor rgb="FFC8D8B0"/>
        </patternFill>
      </fill>
    </dxf>
    <dxf>
      <fill>
        <patternFill patternType="solid">
          <fgColor rgb="FFE8C0B0"/>
        </patternFill>
      </fill>
    </dxf>
    <dxf>
      <fill>
        <patternFill patternType="solid">
          <fgColor rgb="FFC8D8B0"/>
        </patternFill>
      </fill>
    </dxf>
    <dxf>
      <fill>
        <patternFill patternType="solid">
          <fgColor rgb="FFE8C0B0"/>
        </patternFill>
      </fill>
    </dxf>
    <dxf>
      <fill>
        <patternFill patternType="solid">
          <fgColor rgb="FFC8D8B0"/>
        </patternFill>
      </fill>
    </dxf>
    <dxf>
      <fill>
        <patternFill patternType="solid">
          <fgColor rgb="FFE8C0B0"/>
        </patternFill>
      </fill>
    </dxf>
    <dxf>
      <fill>
        <patternFill patternType="solid">
          <fgColor rgb="FFC8D8B0"/>
        </patternFill>
      </fill>
    </dxf>
    <dxf>
      <fill>
        <patternFill patternType="solid">
          <fgColor rgb="FFE8C0B0"/>
        </patternFill>
      </fill>
    </dxf>
    <dxf>
      <fill>
        <patternFill patternType="solid">
          <fgColor rgb="FFC8D8B0"/>
        </patternFill>
      </fill>
    </dxf>
    <dxf>
      <fill>
        <patternFill patternType="solid">
          <fgColor rgb="FFE8C0B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 of Net Income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percentStacked"/>
        <c:varyColors val="0"/>
        <c:ser>
          <c:idx val="0"/>
          <c:order val="0"/>
          <c:tx>
            <c:strRef>
              <c:f>Analysis!$B$8</c:f>
              <c:strCache>
                <c:ptCount val="1"/>
                <c:pt idx="0">
                  <c:v>Needs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Analysis!$B$9:$B$20</c:f>
              <c:numCache>
                <c:formatCode>0.0%</c:formatCode>
                <c:ptCount val="12"/>
                <c:pt idx="0">
                  <c:v>0.62855458161024147</c:v>
                </c:pt>
                <c:pt idx="1">
                  <c:v>0.68104078038742333</c:v>
                </c:pt>
                <c:pt idx="2">
                  <c:v>0.66321613011733505</c:v>
                </c:pt>
                <c:pt idx="3">
                  <c:v>0.67051742218880461</c:v>
                </c:pt>
                <c:pt idx="4">
                  <c:v>0.65262628860879712</c:v>
                </c:pt>
                <c:pt idx="5">
                  <c:v>0.67122974336650909</c:v>
                </c:pt>
                <c:pt idx="6">
                  <c:v>0.62655770790874354</c:v>
                </c:pt>
                <c:pt idx="7">
                  <c:v>0.66195057282494696</c:v>
                </c:pt>
                <c:pt idx="8">
                  <c:v>0.64296246463127471</c:v>
                </c:pt>
                <c:pt idx="9">
                  <c:v>0.67448505114861779</c:v>
                </c:pt>
                <c:pt idx="10">
                  <c:v>0.6482502621737668</c:v>
                </c:pt>
                <c:pt idx="11">
                  <c:v>0.65358554779477218</c:v>
                </c:pt>
              </c:numCache>
            </c:numRef>
          </c:val>
          <c:extLst>
            <c:ext xmlns:c16="http://schemas.microsoft.com/office/drawing/2014/chart" uri="{C3380CC4-5D6E-409C-BE32-E72D297353CC}">
              <c16:uniqueId val="{00000000-CE9A-4A25-90E0-63FA6B3E9AE3}"/>
            </c:ext>
          </c:extLst>
        </c:ser>
        <c:ser>
          <c:idx val="1"/>
          <c:order val="1"/>
          <c:tx>
            <c:strRef>
              <c:f>Analysis!$C$8</c:f>
              <c:strCache>
                <c:ptCount val="1"/>
                <c:pt idx="0">
                  <c:v>Wants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Analysis!$C$9:$C$20</c:f>
              <c:numCache>
                <c:formatCode>0.0%</c:formatCode>
                <c:ptCount val="12"/>
                <c:pt idx="0">
                  <c:v>0.12778804487623419</c:v>
                </c:pt>
                <c:pt idx="1">
                  <c:v>0.14322404479708736</c:v>
                </c:pt>
                <c:pt idx="2">
                  <c:v>0.13748748491264171</c:v>
                </c:pt>
                <c:pt idx="3">
                  <c:v>0.1415073507588199</c:v>
                </c:pt>
                <c:pt idx="4">
                  <c:v>0.15426739745543044</c:v>
                </c:pt>
                <c:pt idx="5">
                  <c:v>0.25982389837551195</c:v>
                </c:pt>
                <c:pt idx="6">
                  <c:v>0.12197787847009237</c:v>
                </c:pt>
                <c:pt idx="7">
                  <c:v>0.13187439403233145</c:v>
                </c:pt>
                <c:pt idx="8">
                  <c:v>0.14261144858426164</c:v>
                </c:pt>
                <c:pt idx="9">
                  <c:v>0.13346761906646348</c:v>
                </c:pt>
                <c:pt idx="10">
                  <c:v>0.12992738281327287</c:v>
                </c:pt>
                <c:pt idx="11">
                  <c:v>0.22286155246443334</c:v>
                </c:pt>
              </c:numCache>
            </c:numRef>
          </c:val>
          <c:extLst>
            <c:ext xmlns:c16="http://schemas.microsoft.com/office/drawing/2014/chart" uri="{C3380CC4-5D6E-409C-BE32-E72D297353CC}">
              <c16:uniqueId val="{00000001-CE9A-4A25-90E0-63FA6B3E9AE3}"/>
            </c:ext>
          </c:extLst>
        </c:ser>
        <c:ser>
          <c:idx val="2"/>
          <c:order val="2"/>
          <c:tx>
            <c:strRef>
              <c:f>Analysis!$D$8</c:f>
              <c:strCache>
                <c:ptCount val="1"/>
                <c:pt idx="0">
                  <c:v>Savings %</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Analysis!$D$9:$D$20</c:f>
              <c:numCache>
                <c:formatCode>0.0%</c:formatCode>
                <c:ptCount val="12"/>
                <c:pt idx="0">
                  <c:v>0.23150438275391277</c:v>
                </c:pt>
                <c:pt idx="1">
                  <c:v>0.17214428461188386</c:v>
                </c:pt>
                <c:pt idx="2">
                  <c:v>0.17214428461188386</c:v>
                </c:pt>
                <c:pt idx="3">
                  <c:v>0.17214428461188386</c:v>
                </c:pt>
                <c:pt idx="4">
                  <c:v>0.17214428461188386</c:v>
                </c:pt>
                <c:pt idx="5">
                  <c:v>0.17214428461188386</c:v>
                </c:pt>
                <c:pt idx="6">
                  <c:v>0.23150438275391277</c:v>
                </c:pt>
                <c:pt idx="7">
                  <c:v>0.17214428461188386</c:v>
                </c:pt>
                <c:pt idx="8">
                  <c:v>0.17214428461188386</c:v>
                </c:pt>
                <c:pt idx="9">
                  <c:v>0.17214428461188386</c:v>
                </c:pt>
                <c:pt idx="10">
                  <c:v>0.17214428461188386</c:v>
                </c:pt>
                <c:pt idx="11">
                  <c:v>0.17214428461188386</c:v>
                </c:pt>
              </c:numCache>
            </c:numRef>
          </c:val>
          <c:extLst>
            <c:ext xmlns:c16="http://schemas.microsoft.com/office/drawing/2014/chart" uri="{C3380CC4-5D6E-409C-BE32-E72D297353CC}">
              <c16:uniqueId val="{00000002-CE9A-4A25-90E0-63FA6B3E9AE3}"/>
            </c:ext>
          </c:extLst>
        </c:ser>
        <c:dLbls>
          <c:showLegendKey val="0"/>
          <c:showVal val="0"/>
          <c:showCatName val="0"/>
          <c:showSerName val="0"/>
          <c:showPercent val="0"/>
          <c:showBubbleSize val="0"/>
        </c:dLbls>
        <c:gapWidth val="150"/>
        <c:overlap val="100"/>
        <c:axId val="2068395215"/>
        <c:axId val="2068402895"/>
      </c:barChart>
      <c:catAx>
        <c:axId val="206839521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8402895"/>
        <c:crosses val="autoZero"/>
        <c:auto val="1"/>
        <c:lblAlgn val="ctr"/>
        <c:lblOffset val="100"/>
        <c:noMultiLvlLbl val="0"/>
      </c:catAx>
      <c:valAx>
        <c:axId val="2068402895"/>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839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171450</xdr:colOff>
      <xdr:row>7</xdr:row>
      <xdr:rowOff>0</xdr:rowOff>
    </xdr:from>
    <xdr:to>
      <xdr:col>11</xdr:col>
      <xdr:colOff>476250</xdr:colOff>
      <xdr:row>20</xdr:row>
      <xdr:rowOff>23812</xdr:rowOff>
    </xdr:to>
    <xdr:graphicFrame macro="">
      <xdr:nvGraphicFramePr>
        <xdr:cNvPr id="2" name="Chart 1">
          <a:extLst>
            <a:ext uri="{FF2B5EF4-FFF2-40B4-BE49-F238E27FC236}">
              <a16:creationId xmlns:a16="http://schemas.microsoft.com/office/drawing/2014/main" id="{73104BA5-E328-D51D-31A2-974C223A3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showGridLines="0" tabSelected="1" workbookViewId="0">
      <selection activeCell="J17" sqref="J17"/>
    </sheetView>
  </sheetViews>
  <sheetFormatPr defaultRowHeight="15" x14ac:dyDescent="0.25"/>
  <cols>
    <col min="1" max="1" width="28" customWidth="1"/>
    <col min="2" max="2" width="18" customWidth="1"/>
  </cols>
  <sheetData>
    <row r="1" spans="1:2" x14ac:dyDescent="0.25">
      <c r="A1" s="2" t="s">
        <v>0</v>
      </c>
      <c r="B1" s="1"/>
    </row>
    <row r="2" spans="1:2" x14ac:dyDescent="0.25">
      <c r="A2" s="3" t="s">
        <v>1</v>
      </c>
      <c r="B2" s="4">
        <v>78000</v>
      </c>
    </row>
    <row r="3" spans="1:2" x14ac:dyDescent="0.25">
      <c r="A3" s="3" t="s">
        <v>2</v>
      </c>
      <c r="B3" s="5" t="s">
        <v>3</v>
      </c>
    </row>
    <row r="4" spans="1:2" x14ac:dyDescent="0.25">
      <c r="A4" s="3" t="s">
        <v>4</v>
      </c>
      <c r="B4" s="6">
        <f>IF(B3="Weekly",52,IF(B3="Biweekly",26,IF(B3="Semi-monthly",24,12)))</f>
        <v>24</v>
      </c>
    </row>
    <row r="5" spans="1:2" x14ac:dyDescent="0.25">
      <c r="A5" s="3" t="s">
        <v>5</v>
      </c>
      <c r="B5" s="7">
        <f>B2/B4</f>
        <v>3250</v>
      </c>
    </row>
    <row r="6" spans="1:2" x14ac:dyDescent="0.25">
      <c r="A6" s="2" t="s">
        <v>6</v>
      </c>
      <c r="B6" s="1"/>
    </row>
    <row r="7" spans="1:2" x14ac:dyDescent="0.25">
      <c r="A7" s="3" t="s">
        <v>7</v>
      </c>
      <c r="B7" s="7">
        <f>IF(B2&lt;=11925,B2*0.1,IF(B2&lt;=48475,11925*0.1+(B2-11925)*0.12,IF(B2&lt;=103350,11925*0.1+36550*0.12+(B2-48475)*0.22,IF(B2&lt;=197300,11925*0.1+36550*0.12+54875*0.22+(B2-103350)*0.24,B2*0.22))))/B4</f>
        <v>503.08333333333331</v>
      </c>
    </row>
    <row r="8" spans="1:2" x14ac:dyDescent="0.25">
      <c r="A8" s="3" t="s">
        <v>8</v>
      </c>
      <c r="B8" s="8">
        <v>0.05</v>
      </c>
    </row>
    <row r="9" spans="1:2" x14ac:dyDescent="0.25">
      <c r="A9" s="3" t="s">
        <v>9</v>
      </c>
      <c r="B9" s="7">
        <f>B5*B8</f>
        <v>162.5</v>
      </c>
    </row>
    <row r="10" spans="1:2" x14ac:dyDescent="0.25">
      <c r="A10" s="3" t="s">
        <v>10</v>
      </c>
      <c r="B10" s="7">
        <f>B5*0.0765</f>
        <v>248.625</v>
      </c>
    </row>
    <row r="11" spans="1:2" x14ac:dyDescent="0.25">
      <c r="A11" s="3" t="s">
        <v>11</v>
      </c>
      <c r="B11" s="4">
        <v>180</v>
      </c>
    </row>
    <row r="12" spans="1:2" x14ac:dyDescent="0.25">
      <c r="A12" s="3" t="s">
        <v>12</v>
      </c>
      <c r="B12" s="4">
        <v>250</v>
      </c>
    </row>
    <row r="13" spans="1:2" x14ac:dyDescent="0.25">
      <c r="A13" s="3" t="s">
        <v>13</v>
      </c>
      <c r="B13" s="4">
        <v>0</v>
      </c>
    </row>
    <row r="14" spans="1:2" x14ac:dyDescent="0.25">
      <c r="A14" s="3" t="s">
        <v>14</v>
      </c>
      <c r="B14" s="9">
        <f>SUM(B7,B9:B13)</f>
        <v>1344.2083333333333</v>
      </c>
    </row>
    <row r="15" spans="1:2" x14ac:dyDescent="0.25">
      <c r="A15" s="3" t="s">
        <v>15</v>
      </c>
      <c r="B15" s="10">
        <f>B5-B14</f>
        <v>1905.7916666666667</v>
      </c>
    </row>
    <row r="16" spans="1:2" x14ac:dyDescent="0.25">
      <c r="A16" s="2" t="s">
        <v>16</v>
      </c>
      <c r="B16" s="1"/>
    </row>
    <row r="17" spans="1:2" x14ac:dyDescent="0.25">
      <c r="A17" s="3" t="s">
        <v>17</v>
      </c>
      <c r="B17" s="7">
        <f>B15*(B4/12)</f>
        <v>3811.5833333333335</v>
      </c>
    </row>
    <row r="18" spans="1:2" x14ac:dyDescent="0.25">
      <c r="A18" s="3" t="s">
        <v>18</v>
      </c>
      <c r="B18" s="4">
        <v>400</v>
      </c>
    </row>
    <row r="19" spans="1:2" x14ac:dyDescent="0.25">
      <c r="A19" s="3" t="s">
        <v>19</v>
      </c>
      <c r="B19" s="11">
        <f>B17+B18</f>
        <v>4211.5833333333339</v>
      </c>
    </row>
    <row r="20" spans="1:2" x14ac:dyDescent="0.25">
      <c r="A20" s="2" t="s">
        <v>20</v>
      </c>
      <c r="B20" s="1"/>
    </row>
    <row r="21" spans="1:2" x14ac:dyDescent="0.25">
      <c r="A21" s="3" t="s">
        <v>21</v>
      </c>
      <c r="B21" s="11">
        <f>B19*0.5</f>
        <v>2105.791666666667</v>
      </c>
    </row>
    <row r="22" spans="1:2" x14ac:dyDescent="0.25">
      <c r="A22" s="3" t="s">
        <v>22</v>
      </c>
      <c r="B22" s="11">
        <f>B19*0.3</f>
        <v>1263.4750000000001</v>
      </c>
    </row>
    <row r="23" spans="1:2" x14ac:dyDescent="0.25">
      <c r="A23" s="3" t="s">
        <v>23</v>
      </c>
      <c r="B23" s="11">
        <f>B19*0.2</f>
        <v>842.31666666666683</v>
      </c>
    </row>
  </sheetData>
  <dataValidations count="1">
    <dataValidation type="list" sqref="B3" xr:uid="{00000000-0002-0000-0000-000000000000}">
      <formula1>"Weekly,Biweekly,Semi-monthly,Monthly"</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9"/>
  <sheetViews>
    <sheetView showGridLines="0" workbookViewId="0">
      <selection activeCell="D7" sqref="D7"/>
    </sheetView>
  </sheetViews>
  <sheetFormatPr defaultRowHeight="15" x14ac:dyDescent="0.25"/>
  <cols>
    <col min="1" max="1" width="24" customWidth="1"/>
    <col min="2" max="2" width="14" customWidth="1"/>
  </cols>
  <sheetData>
    <row r="1" spans="1:2" x14ac:dyDescent="0.25">
      <c r="A1" s="12" t="s">
        <v>24</v>
      </c>
      <c r="B1" s="12" t="s">
        <v>25</v>
      </c>
    </row>
    <row r="2" spans="1:2" x14ac:dyDescent="0.25">
      <c r="A2" s="13" t="s">
        <v>26</v>
      </c>
      <c r="B2" s="13" t="s">
        <v>27</v>
      </c>
    </row>
    <row r="3" spans="1:2" x14ac:dyDescent="0.25">
      <c r="A3" s="3" t="s">
        <v>28</v>
      </c>
      <c r="B3" s="3" t="s">
        <v>27</v>
      </c>
    </row>
    <row r="4" spans="1:2" x14ac:dyDescent="0.25">
      <c r="A4" s="13" t="s">
        <v>29</v>
      </c>
      <c r="B4" s="13" t="s">
        <v>27</v>
      </c>
    </row>
    <row r="5" spans="1:2" x14ac:dyDescent="0.25">
      <c r="A5" s="3" t="s">
        <v>30</v>
      </c>
      <c r="B5" s="3" t="s">
        <v>27</v>
      </c>
    </row>
    <row r="6" spans="1:2" x14ac:dyDescent="0.25">
      <c r="A6" s="13" t="s">
        <v>31</v>
      </c>
      <c r="B6" s="13" t="s">
        <v>27</v>
      </c>
    </row>
    <row r="7" spans="1:2" x14ac:dyDescent="0.25">
      <c r="A7" s="3" t="s">
        <v>32</v>
      </c>
      <c r="B7" s="3" t="s">
        <v>27</v>
      </c>
    </row>
    <row r="8" spans="1:2" x14ac:dyDescent="0.25">
      <c r="A8" s="13" t="s">
        <v>33</v>
      </c>
      <c r="B8" s="13" t="s">
        <v>27</v>
      </c>
    </row>
    <row r="9" spans="1:2" x14ac:dyDescent="0.25">
      <c r="A9" s="3" t="s">
        <v>34</v>
      </c>
      <c r="B9" s="3" t="s">
        <v>27</v>
      </c>
    </row>
    <row r="10" spans="1:2" x14ac:dyDescent="0.25">
      <c r="A10" s="13" t="s">
        <v>35</v>
      </c>
      <c r="B10" s="13" t="s">
        <v>27</v>
      </c>
    </row>
    <row r="11" spans="1:2" x14ac:dyDescent="0.25">
      <c r="A11" s="3" t="s">
        <v>36</v>
      </c>
      <c r="B11" s="3" t="s">
        <v>27</v>
      </c>
    </row>
    <row r="12" spans="1:2" x14ac:dyDescent="0.25">
      <c r="A12" s="13" t="s">
        <v>37</v>
      </c>
      <c r="B12" s="13" t="s">
        <v>27</v>
      </c>
    </row>
    <row r="13" spans="1:2" x14ac:dyDescent="0.25">
      <c r="A13" s="3" t="s">
        <v>38</v>
      </c>
      <c r="B13" s="3" t="s">
        <v>39</v>
      </c>
    </row>
    <row r="14" spans="1:2" x14ac:dyDescent="0.25">
      <c r="A14" s="13" t="s">
        <v>40</v>
      </c>
      <c r="B14" s="13" t="s">
        <v>39</v>
      </c>
    </row>
    <row r="15" spans="1:2" x14ac:dyDescent="0.25">
      <c r="A15" s="3" t="s">
        <v>41</v>
      </c>
      <c r="B15" s="3" t="s">
        <v>39</v>
      </c>
    </row>
    <row r="16" spans="1:2" x14ac:dyDescent="0.25">
      <c r="A16" s="13" t="s">
        <v>42</v>
      </c>
      <c r="B16" s="13" t="s">
        <v>39</v>
      </c>
    </row>
    <row r="17" spans="1:2" x14ac:dyDescent="0.25">
      <c r="A17" s="3" t="s">
        <v>43</v>
      </c>
      <c r="B17" s="3" t="s">
        <v>39</v>
      </c>
    </row>
    <row r="18" spans="1:2" x14ac:dyDescent="0.25">
      <c r="A18" s="13" t="s">
        <v>44</v>
      </c>
      <c r="B18" s="13" t="s">
        <v>39</v>
      </c>
    </row>
    <row r="19" spans="1:2" x14ac:dyDescent="0.25">
      <c r="A19" s="3" t="s">
        <v>45</v>
      </c>
      <c r="B19" s="3" t="s">
        <v>39</v>
      </c>
    </row>
    <row r="20" spans="1:2" x14ac:dyDescent="0.25">
      <c r="A20" s="13" t="s">
        <v>46</v>
      </c>
      <c r="B20" s="13" t="s">
        <v>39</v>
      </c>
    </row>
    <row r="21" spans="1:2" x14ac:dyDescent="0.25">
      <c r="A21" s="3" t="s">
        <v>47</v>
      </c>
      <c r="B21" s="3" t="s">
        <v>39</v>
      </c>
    </row>
    <row r="22" spans="1:2" x14ac:dyDescent="0.25">
      <c r="A22" s="13" t="s">
        <v>48</v>
      </c>
      <c r="B22" s="13" t="s">
        <v>39</v>
      </c>
    </row>
    <row r="23" spans="1:2" x14ac:dyDescent="0.25">
      <c r="A23" s="3" t="s">
        <v>49</v>
      </c>
      <c r="B23" s="3" t="s">
        <v>39</v>
      </c>
    </row>
    <row r="24" spans="1:2" x14ac:dyDescent="0.25">
      <c r="A24" s="13" t="s">
        <v>50</v>
      </c>
      <c r="B24" s="13" t="s">
        <v>51</v>
      </c>
    </row>
    <row r="25" spans="1:2" x14ac:dyDescent="0.25">
      <c r="A25" s="3" t="s">
        <v>52</v>
      </c>
      <c r="B25" s="3" t="s">
        <v>51</v>
      </c>
    </row>
    <row r="26" spans="1:2" x14ac:dyDescent="0.25">
      <c r="A26" s="13" t="s">
        <v>53</v>
      </c>
      <c r="B26" s="13" t="s">
        <v>51</v>
      </c>
    </row>
    <row r="27" spans="1:2" x14ac:dyDescent="0.25">
      <c r="A27" s="3" t="s">
        <v>54</v>
      </c>
      <c r="B27" s="3" t="s">
        <v>51</v>
      </c>
    </row>
    <row r="28" spans="1:2" x14ac:dyDescent="0.25">
      <c r="A28" s="13" t="s">
        <v>55</v>
      </c>
      <c r="B28" s="13" t="s">
        <v>51</v>
      </c>
    </row>
    <row r="29" spans="1:2" x14ac:dyDescent="0.25">
      <c r="A29" s="3" t="s">
        <v>56</v>
      </c>
      <c r="B29" s="3" t="s">
        <v>51</v>
      </c>
    </row>
  </sheetData>
  <dataValidations count="1">
    <dataValidation type="list" sqref="B2 B3 B4 B5 B6 B7 B8 B9 B10 B11 B12 B13 B14 B15 B16 B17 B18 B19 B20 B21 B22 B23 B24 B25 B26 B27 B28 B29" xr:uid="{00000000-0002-0000-0100-000000000000}">
      <formula1>"Needs,Wants,Savings"</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53"/>
  <sheetViews>
    <sheetView showGridLines="0" workbookViewId="0">
      <pane ySplit="1" topLeftCell="A2" activePane="bottomLeft" state="frozen"/>
      <selection activeCell="D7" sqref="D7"/>
      <selection pane="bottomLeft" activeCell="D7" sqref="D7"/>
    </sheetView>
  </sheetViews>
  <sheetFormatPr defaultRowHeight="15" x14ac:dyDescent="0.25"/>
  <cols>
    <col min="1" max="7" width="18" customWidth="1"/>
  </cols>
  <sheetData>
    <row r="1" spans="1:7" x14ac:dyDescent="0.25">
      <c r="A1" s="12" t="s">
        <v>57</v>
      </c>
      <c r="B1" s="12" t="s">
        <v>58</v>
      </c>
      <c r="C1" s="12" t="s">
        <v>59</v>
      </c>
      <c r="D1" s="12" t="s">
        <v>24</v>
      </c>
      <c r="E1" s="12" t="s">
        <v>25</v>
      </c>
      <c r="F1" s="12" t="s">
        <v>60</v>
      </c>
      <c r="G1" s="12" t="s">
        <v>61</v>
      </c>
    </row>
    <row r="2" spans="1:7" x14ac:dyDescent="0.25">
      <c r="A2" s="14">
        <v>45666</v>
      </c>
      <c r="B2" s="3" t="s">
        <v>62</v>
      </c>
      <c r="C2" s="15">
        <v>1450</v>
      </c>
      <c r="D2" s="3" t="s">
        <v>26</v>
      </c>
      <c r="E2" s="3" t="str">
        <f>IFERROR(VLOOKUP(D2,'Category Map'!$A$2:$B$29,2,FALSE),"")</f>
        <v>Needs</v>
      </c>
      <c r="F2" s="3" t="s">
        <v>63</v>
      </c>
      <c r="G2" s="1"/>
    </row>
    <row r="3" spans="1:7" x14ac:dyDescent="0.25">
      <c r="A3" s="14">
        <v>45658</v>
      </c>
      <c r="B3" s="3" t="s">
        <v>64</v>
      </c>
      <c r="C3" s="15">
        <v>64.47</v>
      </c>
      <c r="D3" s="3" t="s">
        <v>28</v>
      </c>
      <c r="E3" s="3" t="str">
        <f>IFERROR(VLOOKUP(D3,'Category Map'!$A$2:$B$29,2,FALSE),"")</f>
        <v>Needs</v>
      </c>
      <c r="F3" s="3" t="s">
        <v>65</v>
      </c>
      <c r="G3" s="1"/>
    </row>
    <row r="4" spans="1:7" x14ac:dyDescent="0.25">
      <c r="A4" s="14">
        <v>45673</v>
      </c>
      <c r="B4" s="3" t="s">
        <v>64</v>
      </c>
      <c r="C4" s="15">
        <v>67.650000000000006</v>
      </c>
      <c r="D4" s="3" t="s">
        <v>28</v>
      </c>
      <c r="E4" s="3" t="str">
        <f>IFERROR(VLOOKUP(D4,'Category Map'!$A$2:$B$29,2,FALSE),"")</f>
        <v>Needs</v>
      </c>
      <c r="F4" s="3" t="s">
        <v>65</v>
      </c>
      <c r="G4" s="1"/>
    </row>
    <row r="5" spans="1:7" x14ac:dyDescent="0.25">
      <c r="A5" s="14">
        <v>45667</v>
      </c>
      <c r="B5" s="3" t="s">
        <v>66</v>
      </c>
      <c r="C5" s="15">
        <v>179.74</v>
      </c>
      <c r="D5" s="3" t="s">
        <v>29</v>
      </c>
      <c r="E5" s="3" t="str">
        <f>IFERROR(VLOOKUP(D5,'Category Map'!$A$2:$B$29,2,FALSE),"")</f>
        <v>Needs</v>
      </c>
      <c r="F5" s="3" t="s">
        <v>65</v>
      </c>
      <c r="G5" s="1"/>
    </row>
    <row r="6" spans="1:7" x14ac:dyDescent="0.25">
      <c r="A6" s="14">
        <v>45686</v>
      </c>
      <c r="B6" s="3" t="s">
        <v>66</v>
      </c>
      <c r="C6" s="15">
        <v>156.47999999999999</v>
      </c>
      <c r="D6" s="3" t="s">
        <v>29</v>
      </c>
      <c r="E6" s="3" t="str">
        <f>IFERROR(VLOOKUP(D6,'Category Map'!$A$2:$B$29,2,FALSE),"")</f>
        <v>Needs</v>
      </c>
      <c r="F6" s="3" t="s">
        <v>65</v>
      </c>
      <c r="G6" s="1"/>
    </row>
    <row r="7" spans="1:7" x14ac:dyDescent="0.25">
      <c r="A7" s="14">
        <v>45662</v>
      </c>
      <c r="B7" s="3" t="s">
        <v>67</v>
      </c>
      <c r="C7" s="15">
        <v>105</v>
      </c>
      <c r="D7" s="3" t="s">
        <v>30</v>
      </c>
      <c r="E7" s="3" t="str">
        <f>IFERROR(VLOOKUP(D7,'Category Map'!$A$2:$B$29,2,FALSE),"")</f>
        <v>Needs</v>
      </c>
      <c r="F7" s="3" t="s">
        <v>63</v>
      </c>
      <c r="G7" s="1"/>
    </row>
    <row r="8" spans="1:7" x14ac:dyDescent="0.25">
      <c r="A8" s="14">
        <v>45677</v>
      </c>
      <c r="B8" s="3" t="s">
        <v>68</v>
      </c>
      <c r="C8" s="15">
        <v>24.24</v>
      </c>
      <c r="D8" s="3" t="s">
        <v>31</v>
      </c>
      <c r="E8" s="3" t="str">
        <f>IFERROR(VLOOKUP(D8,'Category Map'!$A$2:$B$29,2,FALSE),"")</f>
        <v>Needs</v>
      </c>
      <c r="F8" s="3" t="s">
        <v>65</v>
      </c>
      <c r="G8" s="1"/>
    </row>
    <row r="9" spans="1:7" x14ac:dyDescent="0.25">
      <c r="A9" s="14">
        <v>45662</v>
      </c>
      <c r="B9" s="3" t="s">
        <v>69</v>
      </c>
      <c r="C9" s="15">
        <v>41.84</v>
      </c>
      <c r="D9" s="3" t="s">
        <v>31</v>
      </c>
      <c r="E9" s="3" t="str">
        <f>IFERROR(VLOOKUP(D9,'Category Map'!$A$2:$B$29,2,FALSE),"")</f>
        <v>Needs</v>
      </c>
      <c r="F9" s="3" t="s">
        <v>65</v>
      </c>
      <c r="G9" s="1"/>
    </row>
    <row r="10" spans="1:7" x14ac:dyDescent="0.25">
      <c r="A10" s="14">
        <v>45659</v>
      </c>
      <c r="B10" s="3" t="s">
        <v>70</v>
      </c>
      <c r="C10" s="15">
        <v>36.979999999999997</v>
      </c>
      <c r="D10" s="3" t="s">
        <v>31</v>
      </c>
      <c r="E10" s="3" t="str">
        <f>IFERROR(VLOOKUP(D10,'Category Map'!$A$2:$B$29,2,FALSE),"")</f>
        <v>Needs</v>
      </c>
      <c r="F10" s="3" t="s">
        <v>65</v>
      </c>
      <c r="G10" s="1"/>
    </row>
    <row r="11" spans="1:7" x14ac:dyDescent="0.25">
      <c r="A11" s="14">
        <v>45663</v>
      </c>
      <c r="B11" s="3" t="s">
        <v>68</v>
      </c>
      <c r="C11" s="15">
        <v>30</v>
      </c>
      <c r="D11" s="3" t="s">
        <v>31</v>
      </c>
      <c r="E11" s="3" t="str">
        <f>IFERROR(VLOOKUP(D11,'Category Map'!$A$2:$B$29,2,FALSE),"")</f>
        <v>Needs</v>
      </c>
      <c r="F11" s="3" t="s">
        <v>65</v>
      </c>
      <c r="G11" s="1"/>
    </row>
    <row r="12" spans="1:7" x14ac:dyDescent="0.25">
      <c r="A12" s="14">
        <v>45666</v>
      </c>
      <c r="B12" s="3" t="s">
        <v>71</v>
      </c>
      <c r="C12" s="15">
        <v>70</v>
      </c>
      <c r="D12" s="3" t="s">
        <v>33</v>
      </c>
      <c r="E12" s="3" t="str">
        <f>IFERROR(VLOOKUP(D12,'Category Map'!$A$2:$B$29,2,FALSE),"")</f>
        <v>Needs</v>
      </c>
      <c r="F12" s="3" t="s">
        <v>63</v>
      </c>
      <c r="G12" s="1"/>
    </row>
    <row r="13" spans="1:7" x14ac:dyDescent="0.25">
      <c r="A13" s="14">
        <v>45682</v>
      </c>
      <c r="B13" s="3" t="s">
        <v>72</v>
      </c>
      <c r="C13" s="15">
        <v>300</v>
      </c>
      <c r="D13" s="3" t="s">
        <v>34</v>
      </c>
      <c r="E13" s="3" t="str">
        <f>IFERROR(VLOOKUP(D13,'Category Map'!$A$2:$B$29,2,FALSE),"")</f>
        <v>Needs</v>
      </c>
      <c r="F13" s="3" t="s">
        <v>63</v>
      </c>
      <c r="G13" s="1"/>
    </row>
    <row r="14" spans="1:7" x14ac:dyDescent="0.25">
      <c r="A14" s="14">
        <v>45658</v>
      </c>
      <c r="B14" s="3" t="s">
        <v>73</v>
      </c>
      <c r="C14" s="15">
        <v>38.81</v>
      </c>
      <c r="D14" s="3" t="s">
        <v>35</v>
      </c>
      <c r="E14" s="3" t="str">
        <f>IFERROR(VLOOKUP(D14,'Category Map'!$A$2:$B$29,2,FALSE),"")</f>
        <v>Needs</v>
      </c>
      <c r="F14" s="3" t="s">
        <v>65</v>
      </c>
      <c r="G14" s="1"/>
    </row>
    <row r="15" spans="1:7" x14ac:dyDescent="0.25">
      <c r="A15" s="14">
        <v>45668</v>
      </c>
      <c r="B15" s="3" t="s">
        <v>74</v>
      </c>
      <c r="C15" s="15">
        <v>22</v>
      </c>
      <c r="D15" s="3" t="s">
        <v>36</v>
      </c>
      <c r="E15" s="3" t="str">
        <f>IFERROR(VLOOKUP(D15,'Category Map'!$A$2:$B$29,2,FALSE),"")</f>
        <v>Needs</v>
      </c>
      <c r="F15" s="3" t="s">
        <v>63</v>
      </c>
      <c r="G15" s="1"/>
    </row>
    <row r="16" spans="1:7" x14ac:dyDescent="0.25">
      <c r="A16" s="14">
        <v>45680</v>
      </c>
      <c r="B16" s="3" t="s">
        <v>75</v>
      </c>
      <c r="C16" s="15">
        <v>60</v>
      </c>
      <c r="D16" s="3" t="s">
        <v>37</v>
      </c>
      <c r="E16" s="3" t="str">
        <f>IFERROR(VLOOKUP(D16,'Category Map'!$A$2:$B$29,2,FALSE),"")</f>
        <v>Needs</v>
      </c>
      <c r="F16" s="3" t="s">
        <v>63</v>
      </c>
      <c r="G16" s="1"/>
    </row>
    <row r="17" spans="1:7" x14ac:dyDescent="0.25">
      <c r="A17" s="14">
        <v>45662</v>
      </c>
      <c r="B17" s="3" t="s">
        <v>76</v>
      </c>
      <c r="C17" s="15">
        <v>43.66</v>
      </c>
      <c r="D17" s="3" t="s">
        <v>38</v>
      </c>
      <c r="E17" s="3" t="str">
        <f>IFERROR(VLOOKUP(D17,'Category Map'!$A$2:$B$29,2,FALSE),"")</f>
        <v>Wants</v>
      </c>
      <c r="F17" s="3" t="s">
        <v>65</v>
      </c>
      <c r="G17" s="1"/>
    </row>
    <row r="18" spans="1:7" x14ac:dyDescent="0.25">
      <c r="A18" s="14">
        <v>45665</v>
      </c>
      <c r="B18" s="3" t="s">
        <v>77</v>
      </c>
      <c r="C18" s="15">
        <v>39.18</v>
      </c>
      <c r="D18" s="3" t="s">
        <v>38</v>
      </c>
      <c r="E18" s="3" t="str">
        <f>IFERROR(VLOOKUP(D18,'Category Map'!$A$2:$B$29,2,FALSE),"")</f>
        <v>Wants</v>
      </c>
      <c r="F18" s="3" t="s">
        <v>65</v>
      </c>
      <c r="G18" s="1"/>
    </row>
    <row r="19" spans="1:7" x14ac:dyDescent="0.25">
      <c r="A19" s="14">
        <v>45680</v>
      </c>
      <c r="B19" s="3" t="s">
        <v>77</v>
      </c>
      <c r="C19" s="15">
        <v>36.06</v>
      </c>
      <c r="D19" s="3" t="s">
        <v>38</v>
      </c>
      <c r="E19" s="3" t="str">
        <f>IFERROR(VLOOKUP(D19,'Category Map'!$A$2:$B$29,2,FALSE),"")</f>
        <v>Wants</v>
      </c>
      <c r="F19" s="3" t="s">
        <v>65</v>
      </c>
      <c r="G19" s="1"/>
    </row>
    <row r="20" spans="1:7" x14ac:dyDescent="0.25">
      <c r="A20" s="14">
        <v>45667</v>
      </c>
      <c r="B20" s="3" t="s">
        <v>78</v>
      </c>
      <c r="C20" s="15">
        <v>31.75</v>
      </c>
      <c r="D20" s="3" t="s">
        <v>38</v>
      </c>
      <c r="E20" s="3" t="str">
        <f>IFERROR(VLOOKUP(D20,'Category Map'!$A$2:$B$29,2,FALSE),"")</f>
        <v>Wants</v>
      </c>
      <c r="F20" s="3" t="s">
        <v>65</v>
      </c>
      <c r="G20" s="1"/>
    </row>
    <row r="21" spans="1:7" x14ac:dyDescent="0.25">
      <c r="A21" s="14">
        <v>45675</v>
      </c>
      <c r="B21" s="3" t="s">
        <v>79</v>
      </c>
      <c r="C21" s="15">
        <v>12.93</v>
      </c>
      <c r="D21" s="3" t="s">
        <v>40</v>
      </c>
      <c r="E21" s="3" t="str">
        <f>IFERROR(VLOOKUP(D21,'Category Map'!$A$2:$B$29,2,FALSE),"")</f>
        <v>Wants</v>
      </c>
      <c r="F21" s="3" t="s">
        <v>65</v>
      </c>
      <c r="G21" s="1"/>
    </row>
    <row r="22" spans="1:7" x14ac:dyDescent="0.25">
      <c r="A22" s="14">
        <v>45675</v>
      </c>
      <c r="B22" s="3" t="s">
        <v>80</v>
      </c>
      <c r="C22" s="15">
        <v>12.88</v>
      </c>
      <c r="D22" s="3" t="s">
        <v>40</v>
      </c>
      <c r="E22" s="3" t="str">
        <f>IFERROR(VLOOKUP(D22,'Category Map'!$A$2:$B$29,2,FALSE),"")</f>
        <v>Wants</v>
      </c>
      <c r="F22" s="3" t="s">
        <v>65</v>
      </c>
      <c r="G22" s="1"/>
    </row>
    <row r="23" spans="1:7" x14ac:dyDescent="0.25">
      <c r="A23" s="14">
        <v>45659</v>
      </c>
      <c r="B23" s="3" t="s">
        <v>79</v>
      </c>
      <c r="C23" s="15">
        <v>14.79</v>
      </c>
      <c r="D23" s="3" t="s">
        <v>40</v>
      </c>
      <c r="E23" s="3" t="str">
        <f>IFERROR(VLOOKUP(D23,'Category Map'!$A$2:$B$29,2,FALSE),"")</f>
        <v>Wants</v>
      </c>
      <c r="F23" s="3" t="s">
        <v>65</v>
      </c>
      <c r="G23" s="1"/>
    </row>
    <row r="24" spans="1:7" x14ac:dyDescent="0.25">
      <c r="A24" s="14">
        <v>45658</v>
      </c>
      <c r="B24" s="3" t="s">
        <v>81</v>
      </c>
      <c r="C24" s="15">
        <v>31.02</v>
      </c>
      <c r="D24" s="3" t="s">
        <v>41</v>
      </c>
      <c r="E24" s="3" t="str">
        <f>IFERROR(VLOOKUP(D24,'Category Map'!$A$2:$B$29,2,FALSE),"")</f>
        <v>Wants</v>
      </c>
      <c r="F24" s="3" t="s">
        <v>65</v>
      </c>
      <c r="G24" s="1"/>
    </row>
    <row r="25" spans="1:7" x14ac:dyDescent="0.25">
      <c r="A25" s="14">
        <v>45666</v>
      </c>
      <c r="B25" s="3" t="s">
        <v>82</v>
      </c>
      <c r="C25" s="15">
        <v>26.3</v>
      </c>
      <c r="D25" s="3" t="s">
        <v>41</v>
      </c>
      <c r="E25" s="3" t="str">
        <f>IFERROR(VLOOKUP(D25,'Category Map'!$A$2:$B$29,2,FALSE),"")</f>
        <v>Wants</v>
      </c>
      <c r="F25" s="3" t="s">
        <v>65</v>
      </c>
      <c r="G25" s="1"/>
    </row>
    <row r="26" spans="1:7" x14ac:dyDescent="0.25">
      <c r="A26" s="14">
        <v>45677</v>
      </c>
      <c r="B26" s="3" t="s">
        <v>83</v>
      </c>
      <c r="C26" s="15">
        <v>43.51</v>
      </c>
      <c r="D26" s="3" t="s">
        <v>42</v>
      </c>
      <c r="E26" s="3" t="str">
        <f>IFERROR(VLOOKUP(D26,'Category Map'!$A$2:$B$29,2,FALSE),"")</f>
        <v>Wants</v>
      </c>
      <c r="F26" s="3" t="s">
        <v>65</v>
      </c>
      <c r="G26" s="1"/>
    </row>
    <row r="27" spans="1:7" x14ac:dyDescent="0.25">
      <c r="A27" s="14">
        <v>45680</v>
      </c>
      <c r="B27" s="3" t="s">
        <v>84</v>
      </c>
      <c r="C27" s="15">
        <v>20.77</v>
      </c>
      <c r="D27" s="3" t="s">
        <v>42</v>
      </c>
      <c r="E27" s="3" t="str">
        <f>IFERROR(VLOOKUP(D27,'Category Map'!$A$2:$B$29,2,FALSE),"")</f>
        <v>Wants</v>
      </c>
      <c r="F27" s="3" t="s">
        <v>65</v>
      </c>
      <c r="G27" s="1"/>
    </row>
    <row r="28" spans="1:7" x14ac:dyDescent="0.25">
      <c r="A28" s="14">
        <v>45666</v>
      </c>
      <c r="B28" s="3" t="s">
        <v>85</v>
      </c>
      <c r="C28" s="15">
        <v>25.24</v>
      </c>
      <c r="D28" s="3" t="s">
        <v>43</v>
      </c>
      <c r="E28" s="3" t="str">
        <f>IFERROR(VLOOKUP(D28,'Category Map'!$A$2:$B$29,2,FALSE),"")</f>
        <v>Wants</v>
      </c>
      <c r="F28" s="3" t="s">
        <v>65</v>
      </c>
      <c r="G28" s="1"/>
    </row>
    <row r="29" spans="1:7" x14ac:dyDescent="0.25">
      <c r="A29" s="14">
        <v>45678</v>
      </c>
      <c r="B29" s="3" t="s">
        <v>85</v>
      </c>
      <c r="C29" s="15">
        <v>19.510000000000002</v>
      </c>
      <c r="D29" s="3" t="s">
        <v>43</v>
      </c>
      <c r="E29" s="3" t="str">
        <f>IFERROR(VLOOKUP(D29,'Category Map'!$A$2:$B$29,2,FALSE),"")</f>
        <v>Wants</v>
      </c>
      <c r="F29" s="3" t="s">
        <v>65</v>
      </c>
      <c r="G29" s="1"/>
    </row>
    <row r="30" spans="1:7" x14ac:dyDescent="0.25">
      <c r="A30" s="14">
        <v>45673</v>
      </c>
      <c r="B30" s="3" t="s">
        <v>86</v>
      </c>
      <c r="C30" s="15">
        <v>40</v>
      </c>
      <c r="D30" s="3" t="s">
        <v>44</v>
      </c>
      <c r="E30" s="3" t="str">
        <f>IFERROR(VLOOKUP(D30,'Category Map'!$A$2:$B$29,2,FALSE),"")</f>
        <v>Wants</v>
      </c>
      <c r="F30" s="3" t="s">
        <v>63</v>
      </c>
      <c r="G30" s="1"/>
    </row>
    <row r="31" spans="1:7" x14ac:dyDescent="0.25">
      <c r="A31" s="14">
        <v>45677</v>
      </c>
      <c r="B31" s="3" t="s">
        <v>87</v>
      </c>
      <c r="C31" s="15">
        <v>44.79</v>
      </c>
      <c r="D31" s="3" t="s">
        <v>45</v>
      </c>
      <c r="E31" s="3" t="str">
        <f>IFERROR(VLOOKUP(D31,'Category Map'!$A$2:$B$29,2,FALSE),"")</f>
        <v>Wants</v>
      </c>
      <c r="F31" s="3" t="s">
        <v>65</v>
      </c>
      <c r="G31" s="1"/>
    </row>
    <row r="32" spans="1:7" x14ac:dyDescent="0.25">
      <c r="A32" s="14">
        <v>45683</v>
      </c>
      <c r="B32" s="3" t="s">
        <v>88</v>
      </c>
      <c r="C32" s="15">
        <v>12</v>
      </c>
      <c r="D32" s="3" t="s">
        <v>46</v>
      </c>
      <c r="E32" s="3" t="str">
        <f>IFERROR(VLOOKUP(D32,'Category Map'!$A$2:$B$29,2,FALSE),"")</f>
        <v>Wants</v>
      </c>
      <c r="F32" s="3" t="s">
        <v>65</v>
      </c>
      <c r="G32" s="1"/>
    </row>
    <row r="33" spans="1:7" x14ac:dyDescent="0.25">
      <c r="A33" s="14">
        <v>45686</v>
      </c>
      <c r="B33" s="3" t="s">
        <v>88</v>
      </c>
      <c r="C33" s="15">
        <v>20.12</v>
      </c>
      <c r="D33" s="3" t="s">
        <v>46</v>
      </c>
      <c r="E33" s="3" t="str">
        <f>IFERROR(VLOOKUP(D33,'Category Map'!$A$2:$B$29,2,FALSE),"")</f>
        <v>Wants</v>
      </c>
      <c r="F33" s="3" t="s">
        <v>65</v>
      </c>
      <c r="G33" s="1"/>
    </row>
    <row r="34" spans="1:7" x14ac:dyDescent="0.25">
      <c r="A34" s="14">
        <v>45670</v>
      </c>
      <c r="B34" s="3" t="s">
        <v>88</v>
      </c>
      <c r="C34" s="15">
        <v>36.700000000000003</v>
      </c>
      <c r="D34" s="3" t="s">
        <v>48</v>
      </c>
      <c r="E34" s="3" t="str">
        <f>IFERROR(VLOOKUP(D34,'Category Map'!$A$2:$B$29,2,FALSE),"")</f>
        <v>Wants</v>
      </c>
      <c r="F34" s="3" t="s">
        <v>65</v>
      </c>
      <c r="G34" s="1"/>
    </row>
    <row r="35" spans="1:7" x14ac:dyDescent="0.25">
      <c r="A35" s="14">
        <v>45680</v>
      </c>
      <c r="B35" s="3" t="s">
        <v>89</v>
      </c>
      <c r="C35" s="15">
        <v>26.98</v>
      </c>
      <c r="D35" s="3" t="s">
        <v>49</v>
      </c>
      <c r="E35" s="3" t="str">
        <f>IFERROR(VLOOKUP(D35,'Category Map'!$A$2:$B$29,2,FALSE),"")</f>
        <v>Wants</v>
      </c>
      <c r="F35" s="3" t="s">
        <v>65</v>
      </c>
      <c r="G35" s="1"/>
    </row>
    <row r="36" spans="1:7" x14ac:dyDescent="0.25">
      <c r="A36" s="14">
        <v>45685</v>
      </c>
      <c r="B36" s="3" t="s">
        <v>90</v>
      </c>
      <c r="C36" s="15">
        <v>200</v>
      </c>
      <c r="D36" s="3" t="s">
        <v>50</v>
      </c>
      <c r="E36" s="3" t="str">
        <f>IFERROR(VLOOKUP(D36,'Category Map'!$A$2:$B$29,2,FALSE),"")</f>
        <v>Savings</v>
      </c>
      <c r="F36" s="3" t="s">
        <v>63</v>
      </c>
      <c r="G36" s="1"/>
    </row>
    <row r="37" spans="1:7" x14ac:dyDescent="0.25">
      <c r="A37" s="14">
        <v>45678</v>
      </c>
      <c r="B37" s="3" t="s">
        <v>91</v>
      </c>
      <c r="C37" s="15">
        <v>200</v>
      </c>
      <c r="D37" s="3" t="s">
        <v>52</v>
      </c>
      <c r="E37" s="3" t="str">
        <f>IFERROR(VLOOKUP(D37,'Category Map'!$A$2:$B$29,2,FALSE),"")</f>
        <v>Savings</v>
      </c>
      <c r="F37" s="3" t="s">
        <v>63</v>
      </c>
      <c r="G37" s="1"/>
    </row>
    <row r="38" spans="1:7" x14ac:dyDescent="0.25">
      <c r="A38" s="14">
        <v>45670</v>
      </c>
      <c r="B38" s="3" t="s">
        <v>92</v>
      </c>
      <c r="C38" s="15">
        <v>100</v>
      </c>
      <c r="D38" s="3" t="s">
        <v>53</v>
      </c>
      <c r="E38" s="3" t="str">
        <f>IFERROR(VLOOKUP(D38,'Category Map'!$A$2:$B$29,2,FALSE),"")</f>
        <v>Savings</v>
      </c>
      <c r="F38" s="3" t="s">
        <v>63</v>
      </c>
      <c r="G38" s="1"/>
    </row>
    <row r="39" spans="1:7" x14ac:dyDescent="0.25">
      <c r="A39" s="14">
        <v>45686</v>
      </c>
      <c r="B39" s="3" t="s">
        <v>93</v>
      </c>
      <c r="C39" s="15">
        <v>75</v>
      </c>
      <c r="D39" s="3" t="s">
        <v>54</v>
      </c>
      <c r="E39" s="3" t="str">
        <f>IFERROR(VLOOKUP(D39,'Category Map'!$A$2:$B$29,2,FALSE),"")</f>
        <v>Savings</v>
      </c>
      <c r="F39" s="3" t="s">
        <v>63</v>
      </c>
      <c r="G39" s="1"/>
    </row>
    <row r="40" spans="1:7" x14ac:dyDescent="0.25">
      <c r="A40" s="14">
        <v>45663</v>
      </c>
      <c r="B40" s="3" t="s">
        <v>94</v>
      </c>
      <c r="C40" s="15">
        <v>150</v>
      </c>
      <c r="D40" s="3" t="s">
        <v>55</v>
      </c>
      <c r="E40" s="3" t="str">
        <f>IFERROR(VLOOKUP(D40,'Category Map'!$A$2:$B$29,2,FALSE),"")</f>
        <v>Savings</v>
      </c>
      <c r="F40" s="3" t="s">
        <v>63</v>
      </c>
      <c r="G40" s="1"/>
    </row>
    <row r="41" spans="1:7" x14ac:dyDescent="0.25">
      <c r="A41" s="14">
        <v>45660</v>
      </c>
      <c r="B41" s="3" t="s">
        <v>95</v>
      </c>
      <c r="C41" s="15">
        <v>250</v>
      </c>
      <c r="D41" s="3" t="s">
        <v>56</v>
      </c>
      <c r="E41" s="3" t="str">
        <f>IFERROR(VLOOKUP(D41,'Category Map'!$A$2:$B$29,2,FALSE),"")</f>
        <v>Savings</v>
      </c>
      <c r="F41" s="3" t="s">
        <v>63</v>
      </c>
      <c r="G41" s="1"/>
    </row>
    <row r="42" spans="1:7" x14ac:dyDescent="0.25">
      <c r="A42" s="14">
        <v>45707</v>
      </c>
      <c r="B42" s="3" t="s">
        <v>62</v>
      </c>
      <c r="C42" s="15">
        <v>1450</v>
      </c>
      <c r="D42" s="3" t="s">
        <v>26</v>
      </c>
      <c r="E42" s="3" t="str">
        <f>IFERROR(VLOOKUP(D42,'Category Map'!$A$2:$B$29,2,FALSE),"")</f>
        <v>Needs</v>
      </c>
      <c r="F42" s="3" t="s">
        <v>63</v>
      </c>
      <c r="G42" s="1"/>
    </row>
    <row r="43" spans="1:7" x14ac:dyDescent="0.25">
      <c r="A43" s="14">
        <v>45703</v>
      </c>
      <c r="B43" s="3" t="s">
        <v>96</v>
      </c>
      <c r="C43" s="15">
        <v>137.83000000000001</v>
      </c>
      <c r="D43" s="3" t="s">
        <v>28</v>
      </c>
      <c r="E43" s="3" t="str">
        <f>IFERROR(VLOOKUP(D43,'Category Map'!$A$2:$B$29,2,FALSE),"")</f>
        <v>Needs</v>
      </c>
      <c r="F43" s="3" t="s">
        <v>65</v>
      </c>
      <c r="G43" s="1"/>
    </row>
    <row r="44" spans="1:7" x14ac:dyDescent="0.25">
      <c r="A44" s="14">
        <v>45705</v>
      </c>
      <c r="B44" s="3" t="s">
        <v>66</v>
      </c>
      <c r="C44" s="15">
        <v>253.81</v>
      </c>
      <c r="D44" s="3" t="s">
        <v>29</v>
      </c>
      <c r="E44" s="3" t="str">
        <f>IFERROR(VLOOKUP(D44,'Category Map'!$A$2:$B$29,2,FALSE),"")</f>
        <v>Needs</v>
      </c>
      <c r="F44" s="3" t="s">
        <v>65</v>
      </c>
      <c r="G44" s="1"/>
    </row>
    <row r="45" spans="1:7" x14ac:dyDescent="0.25">
      <c r="A45" s="14">
        <v>45710</v>
      </c>
      <c r="B45" s="3" t="s">
        <v>97</v>
      </c>
      <c r="C45" s="15">
        <v>271.52</v>
      </c>
      <c r="D45" s="3" t="s">
        <v>29</v>
      </c>
      <c r="E45" s="3" t="str">
        <f>IFERROR(VLOOKUP(D45,'Category Map'!$A$2:$B$29,2,FALSE),"")</f>
        <v>Needs</v>
      </c>
      <c r="F45" s="3" t="s">
        <v>65</v>
      </c>
      <c r="G45" s="1"/>
    </row>
    <row r="46" spans="1:7" x14ac:dyDescent="0.25">
      <c r="A46" s="14">
        <v>45707</v>
      </c>
      <c r="B46" s="3" t="s">
        <v>67</v>
      </c>
      <c r="C46" s="15">
        <v>105</v>
      </c>
      <c r="D46" s="3" t="s">
        <v>30</v>
      </c>
      <c r="E46" s="3" t="str">
        <f>IFERROR(VLOOKUP(D46,'Category Map'!$A$2:$B$29,2,FALSE),"")</f>
        <v>Needs</v>
      </c>
      <c r="F46" s="3" t="s">
        <v>63</v>
      </c>
      <c r="G46" s="1"/>
    </row>
    <row r="47" spans="1:7" x14ac:dyDescent="0.25">
      <c r="A47" s="14">
        <v>45696</v>
      </c>
      <c r="B47" s="3" t="s">
        <v>69</v>
      </c>
      <c r="C47" s="15">
        <v>38.979999999999997</v>
      </c>
      <c r="D47" s="3" t="s">
        <v>31</v>
      </c>
      <c r="E47" s="3" t="str">
        <f>IFERROR(VLOOKUP(D47,'Category Map'!$A$2:$B$29,2,FALSE),"")</f>
        <v>Needs</v>
      </c>
      <c r="F47" s="3" t="s">
        <v>65</v>
      </c>
      <c r="G47" s="1"/>
    </row>
    <row r="48" spans="1:7" x14ac:dyDescent="0.25">
      <c r="A48" s="14">
        <v>45696</v>
      </c>
      <c r="B48" s="3" t="s">
        <v>70</v>
      </c>
      <c r="C48" s="15">
        <v>30.81</v>
      </c>
      <c r="D48" s="3" t="s">
        <v>31</v>
      </c>
      <c r="E48" s="3" t="str">
        <f>IFERROR(VLOOKUP(D48,'Category Map'!$A$2:$B$29,2,FALSE),"")</f>
        <v>Needs</v>
      </c>
      <c r="F48" s="3" t="s">
        <v>65</v>
      </c>
      <c r="G48" s="1"/>
    </row>
    <row r="49" spans="1:7" x14ac:dyDescent="0.25">
      <c r="A49" s="14">
        <v>45690</v>
      </c>
      <c r="B49" s="3" t="s">
        <v>70</v>
      </c>
      <c r="C49" s="15">
        <v>37.909999999999997</v>
      </c>
      <c r="D49" s="3" t="s">
        <v>31</v>
      </c>
      <c r="E49" s="3" t="str">
        <f>IFERROR(VLOOKUP(D49,'Category Map'!$A$2:$B$29,2,FALSE),"")</f>
        <v>Needs</v>
      </c>
      <c r="F49" s="3" t="s">
        <v>65</v>
      </c>
      <c r="G49" s="1"/>
    </row>
    <row r="50" spans="1:7" x14ac:dyDescent="0.25">
      <c r="A50" s="14">
        <v>45691</v>
      </c>
      <c r="B50" s="3" t="s">
        <v>69</v>
      </c>
      <c r="C50" s="15">
        <v>34.99</v>
      </c>
      <c r="D50" s="3" t="s">
        <v>31</v>
      </c>
      <c r="E50" s="3" t="str">
        <f>IFERROR(VLOOKUP(D50,'Category Map'!$A$2:$B$29,2,FALSE),"")</f>
        <v>Needs</v>
      </c>
      <c r="F50" s="3" t="s">
        <v>65</v>
      </c>
      <c r="G50" s="1"/>
    </row>
    <row r="51" spans="1:7" x14ac:dyDescent="0.25">
      <c r="A51" s="14">
        <v>45714</v>
      </c>
      <c r="B51" s="3" t="s">
        <v>71</v>
      </c>
      <c r="C51" s="15">
        <v>70</v>
      </c>
      <c r="D51" s="3" t="s">
        <v>33</v>
      </c>
      <c r="E51" s="3" t="str">
        <f>IFERROR(VLOOKUP(D51,'Category Map'!$A$2:$B$29,2,FALSE),"")</f>
        <v>Needs</v>
      </c>
      <c r="F51" s="3" t="s">
        <v>63</v>
      </c>
      <c r="G51" s="1"/>
    </row>
    <row r="52" spans="1:7" x14ac:dyDescent="0.25">
      <c r="A52" s="14">
        <v>45707</v>
      </c>
      <c r="B52" s="3" t="s">
        <v>72</v>
      </c>
      <c r="C52" s="15">
        <v>300</v>
      </c>
      <c r="D52" s="3" t="s">
        <v>34</v>
      </c>
      <c r="E52" s="3" t="str">
        <f>IFERROR(VLOOKUP(D52,'Category Map'!$A$2:$B$29,2,FALSE),"")</f>
        <v>Needs</v>
      </c>
      <c r="F52" s="3" t="s">
        <v>63</v>
      </c>
      <c r="G52" s="1"/>
    </row>
    <row r="53" spans="1:7" x14ac:dyDescent="0.25">
      <c r="A53" s="14">
        <v>45715</v>
      </c>
      <c r="B53" s="3" t="s">
        <v>73</v>
      </c>
      <c r="C53" s="15">
        <v>28.95</v>
      </c>
      <c r="D53" s="3" t="s">
        <v>35</v>
      </c>
      <c r="E53" s="3" t="str">
        <f>IFERROR(VLOOKUP(D53,'Category Map'!$A$2:$B$29,2,FALSE),"")</f>
        <v>Needs</v>
      </c>
      <c r="F53" s="3" t="s">
        <v>65</v>
      </c>
      <c r="G53" s="1"/>
    </row>
    <row r="54" spans="1:7" x14ac:dyDescent="0.25">
      <c r="A54" s="14">
        <v>45707</v>
      </c>
      <c r="B54" s="3" t="s">
        <v>98</v>
      </c>
      <c r="C54" s="15">
        <v>26.46</v>
      </c>
      <c r="D54" s="3" t="s">
        <v>35</v>
      </c>
      <c r="E54" s="3" t="str">
        <f>IFERROR(VLOOKUP(D54,'Category Map'!$A$2:$B$29,2,FALSE),"")</f>
        <v>Needs</v>
      </c>
      <c r="F54" s="3" t="s">
        <v>65</v>
      </c>
      <c r="G54" s="1"/>
    </row>
    <row r="55" spans="1:7" x14ac:dyDescent="0.25">
      <c r="A55" s="14">
        <v>45711</v>
      </c>
      <c r="B55" s="3" t="s">
        <v>74</v>
      </c>
      <c r="C55" s="15">
        <v>22</v>
      </c>
      <c r="D55" s="3" t="s">
        <v>36</v>
      </c>
      <c r="E55" s="3" t="str">
        <f>IFERROR(VLOOKUP(D55,'Category Map'!$A$2:$B$29,2,FALSE),"")</f>
        <v>Needs</v>
      </c>
      <c r="F55" s="3" t="s">
        <v>63</v>
      </c>
      <c r="G55" s="1"/>
    </row>
    <row r="56" spans="1:7" x14ac:dyDescent="0.25">
      <c r="A56" s="14">
        <v>45710</v>
      </c>
      <c r="B56" s="3" t="s">
        <v>75</v>
      </c>
      <c r="C56" s="15">
        <v>60</v>
      </c>
      <c r="D56" s="3" t="s">
        <v>37</v>
      </c>
      <c r="E56" s="3" t="str">
        <f>IFERROR(VLOOKUP(D56,'Category Map'!$A$2:$B$29,2,FALSE),"")</f>
        <v>Needs</v>
      </c>
      <c r="F56" s="3" t="s">
        <v>63</v>
      </c>
      <c r="G56" s="1"/>
    </row>
    <row r="57" spans="1:7" x14ac:dyDescent="0.25">
      <c r="A57" s="14">
        <v>45690</v>
      </c>
      <c r="B57" s="3" t="s">
        <v>76</v>
      </c>
      <c r="C57" s="15">
        <v>49.86</v>
      </c>
      <c r="D57" s="3" t="s">
        <v>38</v>
      </c>
      <c r="E57" s="3" t="str">
        <f>IFERROR(VLOOKUP(D57,'Category Map'!$A$2:$B$29,2,FALSE),"")</f>
        <v>Wants</v>
      </c>
      <c r="F57" s="3" t="s">
        <v>65</v>
      </c>
      <c r="G57" s="1"/>
    </row>
    <row r="58" spans="1:7" x14ac:dyDescent="0.25">
      <c r="A58" s="14">
        <v>45700</v>
      </c>
      <c r="B58" s="3" t="s">
        <v>99</v>
      </c>
      <c r="C58" s="15">
        <v>41.1</v>
      </c>
      <c r="D58" s="3" t="s">
        <v>38</v>
      </c>
      <c r="E58" s="3" t="str">
        <f>IFERROR(VLOOKUP(D58,'Category Map'!$A$2:$B$29,2,FALSE),"")</f>
        <v>Wants</v>
      </c>
      <c r="F58" s="3" t="s">
        <v>65</v>
      </c>
      <c r="G58" s="1"/>
    </row>
    <row r="59" spans="1:7" x14ac:dyDescent="0.25">
      <c r="A59" s="14">
        <v>45691</v>
      </c>
      <c r="B59" s="3" t="s">
        <v>78</v>
      </c>
      <c r="C59" s="15">
        <v>36.36</v>
      </c>
      <c r="D59" s="3" t="s">
        <v>38</v>
      </c>
      <c r="E59" s="3" t="str">
        <f>IFERROR(VLOOKUP(D59,'Category Map'!$A$2:$B$29,2,FALSE),"")</f>
        <v>Wants</v>
      </c>
      <c r="F59" s="3" t="s">
        <v>65</v>
      </c>
      <c r="G59" s="1"/>
    </row>
    <row r="60" spans="1:7" x14ac:dyDescent="0.25">
      <c r="A60" s="14">
        <v>45701</v>
      </c>
      <c r="B60" s="3" t="s">
        <v>99</v>
      </c>
      <c r="C60" s="15">
        <v>48.09</v>
      </c>
      <c r="D60" s="3" t="s">
        <v>38</v>
      </c>
      <c r="E60" s="3" t="str">
        <f>IFERROR(VLOOKUP(D60,'Category Map'!$A$2:$B$29,2,FALSE),"")</f>
        <v>Wants</v>
      </c>
      <c r="F60" s="3" t="s">
        <v>65</v>
      </c>
      <c r="G60" s="1"/>
    </row>
    <row r="61" spans="1:7" x14ac:dyDescent="0.25">
      <c r="A61" s="14">
        <v>45693</v>
      </c>
      <c r="B61" s="3" t="s">
        <v>79</v>
      </c>
      <c r="C61" s="15">
        <v>14.12</v>
      </c>
      <c r="D61" s="3" t="s">
        <v>40</v>
      </c>
      <c r="E61" s="3" t="str">
        <f>IFERROR(VLOOKUP(D61,'Category Map'!$A$2:$B$29,2,FALSE),"")</f>
        <v>Wants</v>
      </c>
      <c r="F61" s="3" t="s">
        <v>65</v>
      </c>
      <c r="G61" s="1"/>
    </row>
    <row r="62" spans="1:7" x14ac:dyDescent="0.25">
      <c r="A62" s="14">
        <v>45707</v>
      </c>
      <c r="B62" s="3" t="s">
        <v>80</v>
      </c>
      <c r="C62" s="15">
        <v>18.59</v>
      </c>
      <c r="D62" s="3" t="s">
        <v>40</v>
      </c>
      <c r="E62" s="3" t="str">
        <f>IFERROR(VLOOKUP(D62,'Category Map'!$A$2:$B$29,2,FALSE),"")</f>
        <v>Wants</v>
      </c>
      <c r="F62" s="3" t="s">
        <v>65</v>
      </c>
      <c r="G62" s="1"/>
    </row>
    <row r="63" spans="1:7" x14ac:dyDescent="0.25">
      <c r="A63" s="14">
        <v>45706</v>
      </c>
      <c r="B63" s="3" t="s">
        <v>81</v>
      </c>
      <c r="C63" s="15">
        <v>95.26</v>
      </c>
      <c r="D63" s="3" t="s">
        <v>41</v>
      </c>
      <c r="E63" s="3" t="str">
        <f>IFERROR(VLOOKUP(D63,'Category Map'!$A$2:$B$29,2,FALSE),"")</f>
        <v>Wants</v>
      </c>
      <c r="F63" s="3" t="s">
        <v>65</v>
      </c>
      <c r="G63" s="1"/>
    </row>
    <row r="64" spans="1:7" x14ac:dyDescent="0.25">
      <c r="A64" s="14">
        <v>45714</v>
      </c>
      <c r="B64" s="3" t="s">
        <v>100</v>
      </c>
      <c r="C64" s="15">
        <v>69.819999999999993</v>
      </c>
      <c r="D64" s="3" t="s">
        <v>42</v>
      </c>
      <c r="E64" s="3" t="str">
        <f>IFERROR(VLOOKUP(D64,'Category Map'!$A$2:$B$29,2,FALSE),"")</f>
        <v>Wants</v>
      </c>
      <c r="F64" s="3" t="s">
        <v>65</v>
      </c>
      <c r="G64" s="1"/>
    </row>
    <row r="65" spans="1:7" x14ac:dyDescent="0.25">
      <c r="A65" s="14">
        <v>45693</v>
      </c>
      <c r="B65" s="3" t="s">
        <v>101</v>
      </c>
      <c r="C65" s="15">
        <v>62.54</v>
      </c>
      <c r="D65" s="3" t="s">
        <v>43</v>
      </c>
      <c r="E65" s="3" t="str">
        <f>IFERROR(VLOOKUP(D65,'Category Map'!$A$2:$B$29,2,FALSE),"")</f>
        <v>Wants</v>
      </c>
      <c r="F65" s="3" t="s">
        <v>65</v>
      </c>
      <c r="G65" s="1"/>
    </row>
    <row r="66" spans="1:7" x14ac:dyDescent="0.25">
      <c r="A66" s="14">
        <v>45697</v>
      </c>
      <c r="B66" s="3" t="s">
        <v>86</v>
      </c>
      <c r="C66" s="15">
        <v>40</v>
      </c>
      <c r="D66" s="3" t="s">
        <v>44</v>
      </c>
      <c r="E66" s="3" t="str">
        <f>IFERROR(VLOOKUP(D66,'Category Map'!$A$2:$B$29,2,FALSE),"")</f>
        <v>Wants</v>
      </c>
      <c r="F66" s="3" t="s">
        <v>63</v>
      </c>
      <c r="G66" s="1"/>
    </row>
    <row r="67" spans="1:7" x14ac:dyDescent="0.25">
      <c r="A67" s="14">
        <v>45697</v>
      </c>
      <c r="B67" s="3" t="s">
        <v>87</v>
      </c>
      <c r="C67" s="15">
        <v>14.39</v>
      </c>
      <c r="D67" s="3" t="s">
        <v>45</v>
      </c>
      <c r="E67" s="3" t="str">
        <f>IFERROR(VLOOKUP(D67,'Category Map'!$A$2:$B$29,2,FALSE),"")</f>
        <v>Wants</v>
      </c>
      <c r="F67" s="3" t="s">
        <v>65</v>
      </c>
      <c r="G67" s="1"/>
    </row>
    <row r="68" spans="1:7" x14ac:dyDescent="0.25">
      <c r="A68" s="14">
        <v>45696</v>
      </c>
      <c r="B68" s="3" t="s">
        <v>102</v>
      </c>
      <c r="C68" s="15">
        <v>19.47</v>
      </c>
      <c r="D68" s="3" t="s">
        <v>45</v>
      </c>
      <c r="E68" s="3" t="str">
        <f>IFERROR(VLOOKUP(D68,'Category Map'!$A$2:$B$29,2,FALSE),"")</f>
        <v>Wants</v>
      </c>
      <c r="F68" s="3" t="s">
        <v>65</v>
      </c>
      <c r="G68" s="1"/>
    </row>
    <row r="69" spans="1:7" x14ac:dyDescent="0.25">
      <c r="A69" s="14">
        <v>45706</v>
      </c>
      <c r="B69" s="3" t="s">
        <v>88</v>
      </c>
      <c r="C69" s="15">
        <v>24.84</v>
      </c>
      <c r="D69" s="3" t="s">
        <v>46</v>
      </c>
      <c r="E69" s="3" t="str">
        <f>IFERROR(VLOOKUP(D69,'Category Map'!$A$2:$B$29,2,FALSE),"")</f>
        <v>Wants</v>
      </c>
      <c r="F69" s="3" t="s">
        <v>65</v>
      </c>
      <c r="G69" s="1"/>
    </row>
    <row r="70" spans="1:7" x14ac:dyDescent="0.25">
      <c r="A70" s="14">
        <v>45699</v>
      </c>
      <c r="B70" s="3" t="s">
        <v>103</v>
      </c>
      <c r="C70" s="15">
        <v>9.66</v>
      </c>
      <c r="D70" s="3" t="s">
        <v>48</v>
      </c>
      <c r="E70" s="3" t="str">
        <f>IFERROR(VLOOKUP(D70,'Category Map'!$A$2:$B$29,2,FALSE),"")</f>
        <v>Wants</v>
      </c>
      <c r="F70" s="3" t="s">
        <v>65</v>
      </c>
      <c r="G70" s="1"/>
    </row>
    <row r="71" spans="1:7" x14ac:dyDescent="0.25">
      <c r="A71" s="14">
        <v>45703</v>
      </c>
      <c r="B71" s="3" t="s">
        <v>88</v>
      </c>
      <c r="C71" s="15">
        <v>14.56</v>
      </c>
      <c r="D71" s="3" t="s">
        <v>48</v>
      </c>
      <c r="E71" s="3" t="str">
        <f>IFERROR(VLOOKUP(D71,'Category Map'!$A$2:$B$29,2,FALSE),"")</f>
        <v>Wants</v>
      </c>
      <c r="F71" s="3" t="s">
        <v>65</v>
      </c>
      <c r="G71" s="1"/>
    </row>
    <row r="72" spans="1:7" x14ac:dyDescent="0.25">
      <c r="A72" s="14">
        <v>45714</v>
      </c>
      <c r="B72" s="3" t="s">
        <v>89</v>
      </c>
      <c r="C72" s="15">
        <v>16.89</v>
      </c>
      <c r="D72" s="3" t="s">
        <v>49</v>
      </c>
      <c r="E72" s="3" t="str">
        <f>IFERROR(VLOOKUP(D72,'Category Map'!$A$2:$B$29,2,FALSE),"")</f>
        <v>Wants</v>
      </c>
      <c r="F72" s="3" t="s">
        <v>65</v>
      </c>
      <c r="G72" s="1"/>
    </row>
    <row r="73" spans="1:7" x14ac:dyDescent="0.25">
      <c r="A73" s="14">
        <v>45700</v>
      </c>
      <c r="B73" s="3" t="s">
        <v>104</v>
      </c>
      <c r="C73" s="15">
        <v>27.65</v>
      </c>
      <c r="D73" s="3" t="s">
        <v>49</v>
      </c>
      <c r="E73" s="3" t="str">
        <f>IFERROR(VLOOKUP(D73,'Category Map'!$A$2:$B$29,2,FALSE),"")</f>
        <v>Wants</v>
      </c>
      <c r="F73" s="3" t="s">
        <v>65</v>
      </c>
      <c r="G73" s="1"/>
    </row>
    <row r="74" spans="1:7" x14ac:dyDescent="0.25">
      <c r="A74" s="14">
        <v>45704</v>
      </c>
      <c r="B74" s="3" t="s">
        <v>90</v>
      </c>
      <c r="C74" s="15">
        <v>200</v>
      </c>
      <c r="D74" s="3" t="s">
        <v>50</v>
      </c>
      <c r="E74" s="3" t="str">
        <f>IFERROR(VLOOKUP(D74,'Category Map'!$A$2:$B$29,2,FALSE),"")</f>
        <v>Savings</v>
      </c>
      <c r="F74" s="3" t="s">
        <v>63</v>
      </c>
      <c r="G74" s="1"/>
    </row>
    <row r="75" spans="1:7" x14ac:dyDescent="0.25">
      <c r="A75" s="14">
        <v>45696</v>
      </c>
      <c r="B75" s="3" t="s">
        <v>91</v>
      </c>
      <c r="C75" s="15">
        <v>200</v>
      </c>
      <c r="D75" s="3" t="s">
        <v>52</v>
      </c>
      <c r="E75" s="3" t="str">
        <f>IFERROR(VLOOKUP(D75,'Category Map'!$A$2:$B$29,2,FALSE),"")</f>
        <v>Savings</v>
      </c>
      <c r="F75" s="3" t="s">
        <v>63</v>
      </c>
      <c r="G75" s="1"/>
    </row>
    <row r="76" spans="1:7" x14ac:dyDescent="0.25">
      <c r="A76" s="14">
        <v>45714</v>
      </c>
      <c r="B76" s="3" t="s">
        <v>92</v>
      </c>
      <c r="C76" s="15">
        <v>100</v>
      </c>
      <c r="D76" s="3" t="s">
        <v>53</v>
      </c>
      <c r="E76" s="3" t="str">
        <f>IFERROR(VLOOKUP(D76,'Category Map'!$A$2:$B$29,2,FALSE),"")</f>
        <v>Savings</v>
      </c>
      <c r="F76" s="3" t="s">
        <v>63</v>
      </c>
      <c r="G76" s="1"/>
    </row>
    <row r="77" spans="1:7" x14ac:dyDescent="0.25">
      <c r="A77" s="14">
        <v>45710</v>
      </c>
      <c r="B77" s="3" t="s">
        <v>93</v>
      </c>
      <c r="C77" s="15">
        <v>75</v>
      </c>
      <c r="D77" s="3" t="s">
        <v>54</v>
      </c>
      <c r="E77" s="3" t="str">
        <f>IFERROR(VLOOKUP(D77,'Category Map'!$A$2:$B$29,2,FALSE),"")</f>
        <v>Savings</v>
      </c>
      <c r="F77" s="3" t="s">
        <v>63</v>
      </c>
      <c r="G77" s="1"/>
    </row>
    <row r="78" spans="1:7" x14ac:dyDescent="0.25">
      <c r="A78" s="14">
        <v>45705</v>
      </c>
      <c r="B78" s="3" t="s">
        <v>94</v>
      </c>
      <c r="C78" s="15">
        <v>150</v>
      </c>
      <c r="D78" s="3" t="s">
        <v>55</v>
      </c>
      <c r="E78" s="3" t="str">
        <f>IFERROR(VLOOKUP(D78,'Category Map'!$A$2:$B$29,2,FALSE),"")</f>
        <v>Savings</v>
      </c>
      <c r="F78" s="3" t="s">
        <v>63</v>
      </c>
      <c r="G78" s="1"/>
    </row>
    <row r="79" spans="1:7" x14ac:dyDescent="0.25">
      <c r="A79" s="14">
        <v>45747</v>
      </c>
      <c r="B79" s="3" t="s">
        <v>62</v>
      </c>
      <c r="C79" s="15">
        <v>1450</v>
      </c>
      <c r="D79" s="3" t="s">
        <v>26</v>
      </c>
      <c r="E79" s="3" t="str">
        <f>IFERROR(VLOOKUP(D79,'Category Map'!$A$2:$B$29,2,FALSE),"")</f>
        <v>Needs</v>
      </c>
      <c r="F79" s="3" t="s">
        <v>63</v>
      </c>
      <c r="G79" s="1"/>
    </row>
    <row r="80" spans="1:7" x14ac:dyDescent="0.25">
      <c r="A80" s="14">
        <v>45733</v>
      </c>
      <c r="B80" s="3" t="s">
        <v>105</v>
      </c>
      <c r="C80" s="15">
        <v>218.76</v>
      </c>
      <c r="D80" s="3" t="s">
        <v>28</v>
      </c>
      <c r="E80" s="3" t="str">
        <f>IFERROR(VLOOKUP(D80,'Category Map'!$A$2:$B$29,2,FALSE),"")</f>
        <v>Needs</v>
      </c>
      <c r="F80" s="3" t="s">
        <v>65</v>
      </c>
      <c r="G80" s="1"/>
    </row>
    <row r="81" spans="1:7" x14ac:dyDescent="0.25">
      <c r="A81" s="14">
        <v>45746</v>
      </c>
      <c r="B81" s="3" t="s">
        <v>106</v>
      </c>
      <c r="C81" s="15">
        <v>111.42</v>
      </c>
      <c r="D81" s="3" t="s">
        <v>29</v>
      </c>
      <c r="E81" s="3" t="str">
        <f>IFERROR(VLOOKUP(D81,'Category Map'!$A$2:$B$29,2,FALSE),"")</f>
        <v>Needs</v>
      </c>
      <c r="F81" s="3" t="s">
        <v>65</v>
      </c>
      <c r="G81" s="1"/>
    </row>
    <row r="82" spans="1:7" x14ac:dyDescent="0.25">
      <c r="A82" s="14">
        <v>45730</v>
      </c>
      <c r="B82" s="3" t="s">
        <v>66</v>
      </c>
      <c r="C82" s="15">
        <v>141.88</v>
      </c>
      <c r="D82" s="3" t="s">
        <v>29</v>
      </c>
      <c r="E82" s="3" t="str">
        <f>IFERROR(VLOOKUP(D82,'Category Map'!$A$2:$B$29,2,FALSE),"")</f>
        <v>Needs</v>
      </c>
      <c r="F82" s="3" t="s">
        <v>65</v>
      </c>
      <c r="G82" s="1"/>
    </row>
    <row r="83" spans="1:7" x14ac:dyDescent="0.25">
      <c r="A83" s="14">
        <v>45741</v>
      </c>
      <c r="B83" s="3" t="s">
        <v>97</v>
      </c>
      <c r="C83" s="15">
        <v>174.32</v>
      </c>
      <c r="D83" s="3" t="s">
        <v>29</v>
      </c>
      <c r="E83" s="3" t="str">
        <f>IFERROR(VLOOKUP(D83,'Category Map'!$A$2:$B$29,2,FALSE),"")</f>
        <v>Needs</v>
      </c>
      <c r="F83" s="3" t="s">
        <v>65</v>
      </c>
      <c r="G83" s="1"/>
    </row>
    <row r="84" spans="1:7" x14ac:dyDescent="0.25">
      <c r="A84" s="14">
        <v>45737</v>
      </c>
      <c r="B84" s="3" t="s">
        <v>67</v>
      </c>
      <c r="C84" s="15">
        <v>105</v>
      </c>
      <c r="D84" s="3" t="s">
        <v>30</v>
      </c>
      <c r="E84" s="3" t="str">
        <f>IFERROR(VLOOKUP(D84,'Category Map'!$A$2:$B$29,2,FALSE),"")</f>
        <v>Needs</v>
      </c>
      <c r="F84" s="3" t="s">
        <v>63</v>
      </c>
      <c r="G84" s="1"/>
    </row>
    <row r="85" spans="1:7" x14ac:dyDescent="0.25">
      <c r="A85" s="14">
        <v>45737</v>
      </c>
      <c r="B85" s="3" t="s">
        <v>70</v>
      </c>
      <c r="C85" s="15">
        <v>36.549999999999997</v>
      </c>
      <c r="D85" s="3" t="s">
        <v>31</v>
      </c>
      <c r="E85" s="3" t="str">
        <f>IFERROR(VLOOKUP(D85,'Category Map'!$A$2:$B$29,2,FALSE),"")</f>
        <v>Needs</v>
      </c>
      <c r="F85" s="3" t="s">
        <v>65</v>
      </c>
      <c r="G85" s="1"/>
    </row>
    <row r="86" spans="1:7" x14ac:dyDescent="0.25">
      <c r="A86" s="14">
        <v>45728</v>
      </c>
      <c r="B86" s="3" t="s">
        <v>70</v>
      </c>
      <c r="C86" s="15">
        <v>24.99</v>
      </c>
      <c r="D86" s="3" t="s">
        <v>31</v>
      </c>
      <c r="E86" s="3" t="str">
        <f>IFERROR(VLOOKUP(D86,'Category Map'!$A$2:$B$29,2,FALSE),"")</f>
        <v>Needs</v>
      </c>
      <c r="F86" s="3" t="s">
        <v>65</v>
      </c>
      <c r="G86" s="1"/>
    </row>
    <row r="87" spans="1:7" x14ac:dyDescent="0.25">
      <c r="A87" s="14">
        <v>45720</v>
      </c>
      <c r="B87" s="3" t="s">
        <v>70</v>
      </c>
      <c r="C87" s="15">
        <v>24.72</v>
      </c>
      <c r="D87" s="3" t="s">
        <v>31</v>
      </c>
      <c r="E87" s="3" t="str">
        <f>IFERROR(VLOOKUP(D87,'Category Map'!$A$2:$B$29,2,FALSE),"")</f>
        <v>Needs</v>
      </c>
      <c r="F87" s="3" t="s">
        <v>65</v>
      </c>
      <c r="G87" s="1"/>
    </row>
    <row r="88" spans="1:7" x14ac:dyDescent="0.25">
      <c r="A88" s="14">
        <v>45735</v>
      </c>
      <c r="B88" s="3" t="s">
        <v>69</v>
      </c>
      <c r="C88" s="15">
        <v>26.36</v>
      </c>
      <c r="D88" s="3" t="s">
        <v>31</v>
      </c>
      <c r="E88" s="3" t="str">
        <f>IFERROR(VLOOKUP(D88,'Category Map'!$A$2:$B$29,2,FALSE),"")</f>
        <v>Needs</v>
      </c>
      <c r="F88" s="3" t="s">
        <v>65</v>
      </c>
      <c r="G88" s="1"/>
    </row>
    <row r="89" spans="1:7" x14ac:dyDescent="0.25">
      <c r="A89" s="14">
        <v>45737</v>
      </c>
      <c r="B89" s="3" t="s">
        <v>71</v>
      </c>
      <c r="C89" s="15">
        <v>70</v>
      </c>
      <c r="D89" s="3" t="s">
        <v>33</v>
      </c>
      <c r="E89" s="3" t="str">
        <f>IFERROR(VLOOKUP(D89,'Category Map'!$A$2:$B$29,2,FALSE),"")</f>
        <v>Needs</v>
      </c>
      <c r="F89" s="3" t="s">
        <v>63</v>
      </c>
      <c r="G89" s="1"/>
    </row>
    <row r="90" spans="1:7" x14ac:dyDescent="0.25">
      <c r="A90" s="14">
        <v>45733</v>
      </c>
      <c r="B90" s="3" t="s">
        <v>72</v>
      </c>
      <c r="C90" s="15">
        <v>300</v>
      </c>
      <c r="D90" s="3" t="s">
        <v>34</v>
      </c>
      <c r="E90" s="3" t="str">
        <f>IFERROR(VLOOKUP(D90,'Category Map'!$A$2:$B$29,2,FALSE),"")</f>
        <v>Needs</v>
      </c>
      <c r="F90" s="3" t="s">
        <v>63</v>
      </c>
      <c r="G90" s="1"/>
    </row>
    <row r="91" spans="1:7" x14ac:dyDescent="0.25">
      <c r="A91" s="14">
        <v>45740</v>
      </c>
      <c r="B91" s="3" t="s">
        <v>73</v>
      </c>
      <c r="C91" s="15">
        <v>14.41</v>
      </c>
      <c r="D91" s="3" t="s">
        <v>35</v>
      </c>
      <c r="E91" s="3" t="str">
        <f>IFERROR(VLOOKUP(D91,'Category Map'!$A$2:$B$29,2,FALSE),"")</f>
        <v>Needs</v>
      </c>
      <c r="F91" s="3" t="s">
        <v>65</v>
      </c>
      <c r="G91" s="1"/>
    </row>
    <row r="92" spans="1:7" x14ac:dyDescent="0.25">
      <c r="A92" s="14">
        <v>45735</v>
      </c>
      <c r="B92" s="3" t="s">
        <v>98</v>
      </c>
      <c r="C92" s="15">
        <v>12.78</v>
      </c>
      <c r="D92" s="3" t="s">
        <v>35</v>
      </c>
      <c r="E92" s="3" t="str">
        <f>IFERROR(VLOOKUP(D92,'Category Map'!$A$2:$B$29,2,FALSE),"")</f>
        <v>Needs</v>
      </c>
      <c r="F92" s="3" t="s">
        <v>65</v>
      </c>
      <c r="G92" s="1"/>
    </row>
    <row r="93" spans="1:7" x14ac:dyDescent="0.25">
      <c r="A93" s="14">
        <v>45745</v>
      </c>
      <c r="B93" s="3" t="s">
        <v>74</v>
      </c>
      <c r="C93" s="15">
        <v>22</v>
      </c>
      <c r="D93" s="3" t="s">
        <v>36</v>
      </c>
      <c r="E93" s="3" t="str">
        <f>IFERROR(VLOOKUP(D93,'Category Map'!$A$2:$B$29,2,FALSE),"")</f>
        <v>Needs</v>
      </c>
      <c r="F93" s="3" t="s">
        <v>63</v>
      </c>
      <c r="G93" s="1"/>
    </row>
    <row r="94" spans="1:7" x14ac:dyDescent="0.25">
      <c r="A94" s="14">
        <v>45734</v>
      </c>
      <c r="B94" s="3" t="s">
        <v>75</v>
      </c>
      <c r="C94" s="15">
        <v>60</v>
      </c>
      <c r="D94" s="3" t="s">
        <v>37</v>
      </c>
      <c r="E94" s="3" t="str">
        <f>IFERROR(VLOOKUP(D94,'Category Map'!$A$2:$B$29,2,FALSE),"")</f>
        <v>Needs</v>
      </c>
      <c r="F94" s="3" t="s">
        <v>63</v>
      </c>
      <c r="G94" s="1"/>
    </row>
    <row r="95" spans="1:7" x14ac:dyDescent="0.25">
      <c r="A95" s="14">
        <v>45737</v>
      </c>
      <c r="B95" s="3" t="s">
        <v>78</v>
      </c>
      <c r="C95" s="15">
        <v>67.47</v>
      </c>
      <c r="D95" s="3" t="s">
        <v>38</v>
      </c>
      <c r="E95" s="3" t="str">
        <f>IFERROR(VLOOKUP(D95,'Category Map'!$A$2:$B$29,2,FALSE),"")</f>
        <v>Wants</v>
      </c>
      <c r="F95" s="3" t="s">
        <v>65</v>
      </c>
      <c r="G95" s="1"/>
    </row>
    <row r="96" spans="1:7" x14ac:dyDescent="0.25">
      <c r="A96" s="14">
        <v>45727</v>
      </c>
      <c r="B96" s="3" t="s">
        <v>99</v>
      </c>
      <c r="C96" s="15">
        <v>77.44</v>
      </c>
      <c r="D96" s="3" t="s">
        <v>38</v>
      </c>
      <c r="E96" s="3" t="str">
        <f>IFERROR(VLOOKUP(D96,'Category Map'!$A$2:$B$29,2,FALSE),"")</f>
        <v>Wants</v>
      </c>
      <c r="F96" s="3" t="s">
        <v>65</v>
      </c>
      <c r="G96" s="1"/>
    </row>
    <row r="97" spans="1:7" x14ac:dyDescent="0.25">
      <c r="A97" s="14">
        <v>45743</v>
      </c>
      <c r="B97" s="3" t="s">
        <v>80</v>
      </c>
      <c r="C97" s="15">
        <v>10.25</v>
      </c>
      <c r="D97" s="3" t="s">
        <v>40</v>
      </c>
      <c r="E97" s="3" t="str">
        <f>IFERROR(VLOOKUP(D97,'Category Map'!$A$2:$B$29,2,FALSE),"")</f>
        <v>Wants</v>
      </c>
      <c r="F97" s="3" t="s">
        <v>65</v>
      </c>
      <c r="G97" s="1"/>
    </row>
    <row r="98" spans="1:7" x14ac:dyDescent="0.25">
      <c r="A98" s="14">
        <v>45729</v>
      </c>
      <c r="B98" s="3" t="s">
        <v>80</v>
      </c>
      <c r="C98" s="15">
        <v>17.18</v>
      </c>
      <c r="D98" s="3" t="s">
        <v>40</v>
      </c>
      <c r="E98" s="3" t="str">
        <f>IFERROR(VLOOKUP(D98,'Category Map'!$A$2:$B$29,2,FALSE),"")</f>
        <v>Wants</v>
      </c>
      <c r="F98" s="3" t="s">
        <v>65</v>
      </c>
      <c r="G98" s="1"/>
    </row>
    <row r="99" spans="1:7" x14ac:dyDescent="0.25">
      <c r="A99" s="14">
        <v>45726</v>
      </c>
      <c r="B99" s="3" t="s">
        <v>79</v>
      </c>
      <c r="C99" s="15">
        <v>16.62</v>
      </c>
      <c r="D99" s="3" t="s">
        <v>40</v>
      </c>
      <c r="E99" s="3" t="str">
        <f>IFERROR(VLOOKUP(D99,'Category Map'!$A$2:$B$29,2,FALSE),"")</f>
        <v>Wants</v>
      </c>
      <c r="F99" s="3" t="s">
        <v>65</v>
      </c>
      <c r="G99" s="1"/>
    </row>
    <row r="100" spans="1:7" x14ac:dyDescent="0.25">
      <c r="A100" s="14">
        <v>45744</v>
      </c>
      <c r="B100" s="3" t="s">
        <v>107</v>
      </c>
      <c r="C100" s="15">
        <v>94.44</v>
      </c>
      <c r="D100" s="3" t="s">
        <v>41</v>
      </c>
      <c r="E100" s="3" t="str">
        <f>IFERROR(VLOOKUP(D100,'Category Map'!$A$2:$B$29,2,FALSE),"")</f>
        <v>Wants</v>
      </c>
      <c r="F100" s="3" t="s">
        <v>65</v>
      </c>
      <c r="G100" s="1"/>
    </row>
    <row r="101" spans="1:7" x14ac:dyDescent="0.25">
      <c r="A101" s="14">
        <v>45736</v>
      </c>
      <c r="B101" s="3" t="s">
        <v>84</v>
      </c>
      <c r="C101" s="15">
        <v>38.31</v>
      </c>
      <c r="D101" s="3" t="s">
        <v>42</v>
      </c>
      <c r="E101" s="3" t="str">
        <f>IFERROR(VLOOKUP(D101,'Category Map'!$A$2:$B$29,2,FALSE),"")</f>
        <v>Wants</v>
      </c>
      <c r="F101" s="3" t="s">
        <v>65</v>
      </c>
      <c r="G101" s="1"/>
    </row>
    <row r="102" spans="1:7" x14ac:dyDescent="0.25">
      <c r="A102" s="14">
        <v>45739</v>
      </c>
      <c r="B102" s="3" t="s">
        <v>84</v>
      </c>
      <c r="C102" s="15">
        <v>21.85</v>
      </c>
      <c r="D102" s="3" t="s">
        <v>42</v>
      </c>
      <c r="E102" s="3" t="str">
        <f>IFERROR(VLOOKUP(D102,'Category Map'!$A$2:$B$29,2,FALSE),"")</f>
        <v>Wants</v>
      </c>
      <c r="F102" s="3" t="s">
        <v>65</v>
      </c>
      <c r="G102" s="1"/>
    </row>
    <row r="103" spans="1:7" x14ac:dyDescent="0.25">
      <c r="A103" s="14">
        <v>45739</v>
      </c>
      <c r="B103" s="3" t="s">
        <v>108</v>
      </c>
      <c r="C103" s="15">
        <v>28.89</v>
      </c>
      <c r="D103" s="3" t="s">
        <v>43</v>
      </c>
      <c r="E103" s="3" t="str">
        <f>IFERROR(VLOOKUP(D103,'Category Map'!$A$2:$B$29,2,FALSE),"")</f>
        <v>Wants</v>
      </c>
      <c r="F103" s="3" t="s">
        <v>65</v>
      </c>
      <c r="G103" s="1"/>
    </row>
    <row r="104" spans="1:7" x14ac:dyDescent="0.25">
      <c r="A104" s="14">
        <v>45721</v>
      </c>
      <c r="B104" s="3" t="s">
        <v>108</v>
      </c>
      <c r="C104" s="15">
        <v>34.020000000000003</v>
      </c>
      <c r="D104" s="3" t="s">
        <v>43</v>
      </c>
      <c r="E104" s="3" t="str">
        <f>IFERROR(VLOOKUP(D104,'Category Map'!$A$2:$B$29,2,FALSE),"")</f>
        <v>Wants</v>
      </c>
      <c r="F104" s="3" t="s">
        <v>65</v>
      </c>
      <c r="G104" s="1"/>
    </row>
    <row r="105" spans="1:7" x14ac:dyDescent="0.25">
      <c r="A105" s="14">
        <v>45720</v>
      </c>
      <c r="B105" s="3" t="s">
        <v>86</v>
      </c>
      <c r="C105" s="15">
        <v>40</v>
      </c>
      <c r="D105" s="3" t="s">
        <v>44</v>
      </c>
      <c r="E105" s="3" t="str">
        <f>IFERROR(VLOOKUP(D105,'Category Map'!$A$2:$B$29,2,FALSE),"")</f>
        <v>Wants</v>
      </c>
      <c r="F105" s="3" t="s">
        <v>63</v>
      </c>
      <c r="G105" s="1"/>
    </row>
    <row r="106" spans="1:7" x14ac:dyDescent="0.25">
      <c r="A106" s="14">
        <v>45719</v>
      </c>
      <c r="B106" s="3" t="s">
        <v>87</v>
      </c>
      <c r="C106" s="15">
        <v>25.21</v>
      </c>
      <c r="D106" s="3" t="s">
        <v>45</v>
      </c>
      <c r="E106" s="3" t="str">
        <f>IFERROR(VLOOKUP(D106,'Category Map'!$A$2:$B$29,2,FALSE),"")</f>
        <v>Wants</v>
      </c>
      <c r="F106" s="3" t="s">
        <v>65</v>
      </c>
      <c r="G106" s="1"/>
    </row>
    <row r="107" spans="1:7" x14ac:dyDescent="0.25">
      <c r="A107" s="14">
        <v>45717</v>
      </c>
      <c r="B107" s="3" t="s">
        <v>88</v>
      </c>
      <c r="C107" s="15">
        <v>11.66</v>
      </c>
      <c r="D107" s="3" t="s">
        <v>46</v>
      </c>
      <c r="E107" s="3" t="str">
        <f>IFERROR(VLOOKUP(D107,'Category Map'!$A$2:$B$29,2,FALSE),"")</f>
        <v>Wants</v>
      </c>
      <c r="F107" s="3" t="s">
        <v>65</v>
      </c>
      <c r="G107" s="1"/>
    </row>
    <row r="108" spans="1:7" x14ac:dyDescent="0.25">
      <c r="A108" s="14">
        <v>45737</v>
      </c>
      <c r="B108" s="3" t="s">
        <v>109</v>
      </c>
      <c r="C108" s="15">
        <v>12.87</v>
      </c>
      <c r="D108" s="3" t="s">
        <v>46</v>
      </c>
      <c r="E108" s="3" t="str">
        <f>IFERROR(VLOOKUP(D108,'Category Map'!$A$2:$B$29,2,FALSE),"")</f>
        <v>Wants</v>
      </c>
      <c r="F108" s="3" t="s">
        <v>65</v>
      </c>
      <c r="G108" s="1"/>
    </row>
    <row r="109" spans="1:7" x14ac:dyDescent="0.25">
      <c r="A109" s="14">
        <v>45719</v>
      </c>
      <c r="B109" s="3" t="s">
        <v>88</v>
      </c>
      <c r="C109" s="15">
        <v>43.19</v>
      </c>
      <c r="D109" s="3" t="s">
        <v>48</v>
      </c>
      <c r="E109" s="3" t="str">
        <f>IFERROR(VLOOKUP(D109,'Category Map'!$A$2:$B$29,2,FALSE),"")</f>
        <v>Wants</v>
      </c>
      <c r="F109" s="3" t="s">
        <v>65</v>
      </c>
      <c r="G109" s="1"/>
    </row>
    <row r="110" spans="1:7" x14ac:dyDescent="0.25">
      <c r="A110" s="14">
        <v>45741</v>
      </c>
      <c r="B110" s="3" t="s">
        <v>89</v>
      </c>
      <c r="C110" s="15">
        <v>39.64</v>
      </c>
      <c r="D110" s="3" t="s">
        <v>49</v>
      </c>
      <c r="E110" s="3" t="str">
        <f>IFERROR(VLOOKUP(D110,'Category Map'!$A$2:$B$29,2,FALSE),"")</f>
        <v>Wants</v>
      </c>
      <c r="F110" s="3" t="s">
        <v>65</v>
      </c>
      <c r="G110" s="1"/>
    </row>
    <row r="111" spans="1:7" x14ac:dyDescent="0.25">
      <c r="A111" s="14">
        <v>45736</v>
      </c>
      <c r="B111" s="3" t="s">
        <v>90</v>
      </c>
      <c r="C111" s="15">
        <v>200</v>
      </c>
      <c r="D111" s="3" t="s">
        <v>50</v>
      </c>
      <c r="E111" s="3" t="str">
        <f>IFERROR(VLOOKUP(D111,'Category Map'!$A$2:$B$29,2,FALSE),"")</f>
        <v>Savings</v>
      </c>
      <c r="F111" s="3" t="s">
        <v>63</v>
      </c>
      <c r="G111" s="1"/>
    </row>
    <row r="112" spans="1:7" x14ac:dyDescent="0.25">
      <c r="A112" s="14">
        <v>45722</v>
      </c>
      <c r="B112" s="3" t="s">
        <v>91</v>
      </c>
      <c r="C112" s="15">
        <v>200</v>
      </c>
      <c r="D112" s="3" t="s">
        <v>52</v>
      </c>
      <c r="E112" s="3" t="str">
        <f>IFERROR(VLOOKUP(D112,'Category Map'!$A$2:$B$29,2,FALSE),"")</f>
        <v>Savings</v>
      </c>
      <c r="F112" s="3" t="s">
        <v>63</v>
      </c>
      <c r="G112" s="1"/>
    </row>
    <row r="113" spans="1:7" x14ac:dyDescent="0.25">
      <c r="A113" s="14">
        <v>45728</v>
      </c>
      <c r="B113" s="3" t="s">
        <v>92</v>
      </c>
      <c r="C113" s="15">
        <v>100</v>
      </c>
      <c r="D113" s="3" t="s">
        <v>53</v>
      </c>
      <c r="E113" s="3" t="str">
        <f>IFERROR(VLOOKUP(D113,'Category Map'!$A$2:$B$29,2,FALSE),"")</f>
        <v>Savings</v>
      </c>
      <c r="F113" s="3" t="s">
        <v>63</v>
      </c>
      <c r="G113" s="1"/>
    </row>
    <row r="114" spans="1:7" x14ac:dyDescent="0.25">
      <c r="A114" s="14">
        <v>45737</v>
      </c>
      <c r="B114" s="3" t="s">
        <v>93</v>
      </c>
      <c r="C114" s="15">
        <v>75</v>
      </c>
      <c r="D114" s="3" t="s">
        <v>54</v>
      </c>
      <c r="E114" s="3" t="str">
        <f>IFERROR(VLOOKUP(D114,'Category Map'!$A$2:$B$29,2,FALSE),"")</f>
        <v>Savings</v>
      </c>
      <c r="F114" s="3" t="s">
        <v>63</v>
      </c>
      <c r="G114" s="1"/>
    </row>
    <row r="115" spans="1:7" x14ac:dyDescent="0.25">
      <c r="A115" s="14">
        <v>45726</v>
      </c>
      <c r="B115" s="3" t="s">
        <v>94</v>
      </c>
      <c r="C115" s="15">
        <v>150</v>
      </c>
      <c r="D115" s="3" t="s">
        <v>55</v>
      </c>
      <c r="E115" s="3" t="str">
        <f>IFERROR(VLOOKUP(D115,'Category Map'!$A$2:$B$29,2,FALSE),"")</f>
        <v>Savings</v>
      </c>
      <c r="F115" s="3" t="s">
        <v>63</v>
      </c>
      <c r="G115" s="1"/>
    </row>
    <row r="116" spans="1:7" x14ac:dyDescent="0.25">
      <c r="A116" s="14">
        <v>45776</v>
      </c>
      <c r="B116" s="3" t="s">
        <v>62</v>
      </c>
      <c r="C116" s="15">
        <v>1450</v>
      </c>
      <c r="D116" s="3" t="s">
        <v>26</v>
      </c>
      <c r="E116" s="3" t="str">
        <f>IFERROR(VLOOKUP(D116,'Category Map'!$A$2:$B$29,2,FALSE),"")</f>
        <v>Needs</v>
      </c>
      <c r="F116" s="3" t="s">
        <v>63</v>
      </c>
      <c r="G116" s="1"/>
    </row>
    <row r="117" spans="1:7" x14ac:dyDescent="0.25">
      <c r="A117" s="14">
        <v>45751</v>
      </c>
      <c r="B117" s="3" t="s">
        <v>96</v>
      </c>
      <c r="C117" s="15">
        <v>115.39</v>
      </c>
      <c r="D117" s="3" t="s">
        <v>28</v>
      </c>
      <c r="E117" s="3" t="str">
        <f>IFERROR(VLOOKUP(D117,'Category Map'!$A$2:$B$29,2,FALSE),"")</f>
        <v>Needs</v>
      </c>
      <c r="F117" s="3" t="s">
        <v>65</v>
      </c>
      <c r="G117" s="1"/>
    </row>
    <row r="118" spans="1:7" x14ac:dyDescent="0.25">
      <c r="A118" s="14">
        <v>45767</v>
      </c>
      <c r="B118" s="3" t="s">
        <v>64</v>
      </c>
      <c r="C118" s="15">
        <v>83.71</v>
      </c>
      <c r="D118" s="3" t="s">
        <v>28</v>
      </c>
      <c r="E118" s="3" t="str">
        <f>IFERROR(VLOOKUP(D118,'Category Map'!$A$2:$B$29,2,FALSE),"")</f>
        <v>Needs</v>
      </c>
      <c r="F118" s="3" t="s">
        <v>65</v>
      </c>
      <c r="G118" s="1"/>
    </row>
    <row r="119" spans="1:7" x14ac:dyDescent="0.25">
      <c r="A119" s="14">
        <v>45759</v>
      </c>
      <c r="B119" s="3" t="s">
        <v>106</v>
      </c>
      <c r="C119" s="15">
        <v>166.93</v>
      </c>
      <c r="D119" s="3" t="s">
        <v>29</v>
      </c>
      <c r="E119" s="3" t="str">
        <f>IFERROR(VLOOKUP(D119,'Category Map'!$A$2:$B$29,2,FALSE),"")</f>
        <v>Needs</v>
      </c>
      <c r="F119" s="3" t="s">
        <v>65</v>
      </c>
      <c r="G119" s="1"/>
    </row>
    <row r="120" spans="1:7" x14ac:dyDescent="0.25">
      <c r="A120" s="14">
        <v>45758</v>
      </c>
      <c r="B120" s="3" t="s">
        <v>97</v>
      </c>
      <c r="C120" s="15">
        <v>125.1</v>
      </c>
      <c r="D120" s="3" t="s">
        <v>29</v>
      </c>
      <c r="E120" s="3" t="str">
        <f>IFERROR(VLOOKUP(D120,'Category Map'!$A$2:$B$29,2,FALSE),"")</f>
        <v>Needs</v>
      </c>
      <c r="F120" s="3" t="s">
        <v>65</v>
      </c>
      <c r="G120" s="1"/>
    </row>
    <row r="121" spans="1:7" x14ac:dyDescent="0.25">
      <c r="A121" s="14">
        <v>45770</v>
      </c>
      <c r="B121" s="3" t="s">
        <v>106</v>
      </c>
      <c r="C121" s="15">
        <v>158.44999999999999</v>
      </c>
      <c r="D121" s="3" t="s">
        <v>29</v>
      </c>
      <c r="E121" s="3" t="str">
        <f>IFERROR(VLOOKUP(D121,'Category Map'!$A$2:$B$29,2,FALSE),"")</f>
        <v>Needs</v>
      </c>
      <c r="F121" s="3" t="s">
        <v>65</v>
      </c>
      <c r="G121" s="1"/>
    </row>
    <row r="122" spans="1:7" x14ac:dyDescent="0.25">
      <c r="A122" s="14">
        <v>45777</v>
      </c>
      <c r="B122" s="3" t="s">
        <v>67</v>
      </c>
      <c r="C122" s="15">
        <v>105</v>
      </c>
      <c r="D122" s="3" t="s">
        <v>30</v>
      </c>
      <c r="E122" s="3" t="str">
        <f>IFERROR(VLOOKUP(D122,'Category Map'!$A$2:$B$29,2,FALSE),"")</f>
        <v>Needs</v>
      </c>
      <c r="F122" s="3" t="s">
        <v>63</v>
      </c>
      <c r="G122" s="1"/>
    </row>
    <row r="123" spans="1:7" x14ac:dyDescent="0.25">
      <c r="A123" s="14">
        <v>45752</v>
      </c>
      <c r="B123" s="3" t="s">
        <v>70</v>
      </c>
      <c r="C123" s="15">
        <v>47.71</v>
      </c>
      <c r="D123" s="3" t="s">
        <v>31</v>
      </c>
      <c r="E123" s="3" t="str">
        <f>IFERROR(VLOOKUP(D123,'Category Map'!$A$2:$B$29,2,FALSE),"")</f>
        <v>Needs</v>
      </c>
      <c r="F123" s="3" t="s">
        <v>65</v>
      </c>
      <c r="G123" s="1"/>
    </row>
    <row r="124" spans="1:7" x14ac:dyDescent="0.25">
      <c r="A124" s="14">
        <v>45752</v>
      </c>
      <c r="B124" s="3" t="s">
        <v>68</v>
      </c>
      <c r="C124" s="15">
        <v>83.68</v>
      </c>
      <c r="D124" s="3" t="s">
        <v>31</v>
      </c>
      <c r="E124" s="3" t="str">
        <f>IFERROR(VLOOKUP(D124,'Category Map'!$A$2:$B$29,2,FALSE),"")</f>
        <v>Needs</v>
      </c>
      <c r="F124" s="3" t="s">
        <v>65</v>
      </c>
      <c r="G124" s="1"/>
    </row>
    <row r="125" spans="1:7" x14ac:dyDescent="0.25">
      <c r="A125" s="14">
        <v>45772</v>
      </c>
      <c r="B125" s="3" t="s">
        <v>71</v>
      </c>
      <c r="C125" s="15">
        <v>70</v>
      </c>
      <c r="D125" s="3" t="s">
        <v>33</v>
      </c>
      <c r="E125" s="3" t="str">
        <f>IFERROR(VLOOKUP(D125,'Category Map'!$A$2:$B$29,2,FALSE),"")</f>
        <v>Needs</v>
      </c>
      <c r="F125" s="3" t="s">
        <v>63</v>
      </c>
      <c r="G125" s="1"/>
    </row>
    <row r="126" spans="1:7" x14ac:dyDescent="0.25">
      <c r="A126" s="14">
        <v>45763</v>
      </c>
      <c r="B126" s="3" t="s">
        <v>72</v>
      </c>
      <c r="C126" s="15">
        <v>300</v>
      </c>
      <c r="D126" s="3" t="s">
        <v>34</v>
      </c>
      <c r="E126" s="3" t="str">
        <f>IFERROR(VLOOKUP(D126,'Category Map'!$A$2:$B$29,2,FALSE),"")</f>
        <v>Needs</v>
      </c>
      <c r="F126" s="3" t="s">
        <v>63</v>
      </c>
      <c r="G126" s="1"/>
    </row>
    <row r="127" spans="1:7" x14ac:dyDescent="0.25">
      <c r="A127" s="14">
        <v>45773</v>
      </c>
      <c r="B127" s="3" t="s">
        <v>73</v>
      </c>
      <c r="C127" s="15">
        <v>13.92</v>
      </c>
      <c r="D127" s="3" t="s">
        <v>35</v>
      </c>
      <c r="E127" s="3" t="str">
        <f>IFERROR(VLOOKUP(D127,'Category Map'!$A$2:$B$29,2,FALSE),"")</f>
        <v>Needs</v>
      </c>
      <c r="F127" s="3" t="s">
        <v>65</v>
      </c>
      <c r="G127" s="1"/>
    </row>
    <row r="128" spans="1:7" x14ac:dyDescent="0.25">
      <c r="A128" s="14">
        <v>45758</v>
      </c>
      <c r="B128" s="3" t="s">
        <v>73</v>
      </c>
      <c r="C128" s="15">
        <v>22.05</v>
      </c>
      <c r="D128" s="3" t="s">
        <v>35</v>
      </c>
      <c r="E128" s="3" t="str">
        <f>IFERROR(VLOOKUP(D128,'Category Map'!$A$2:$B$29,2,FALSE),"")</f>
        <v>Needs</v>
      </c>
      <c r="F128" s="3" t="s">
        <v>65</v>
      </c>
      <c r="G128" s="1"/>
    </row>
    <row r="129" spans="1:7" x14ac:dyDescent="0.25">
      <c r="A129" s="14">
        <v>45756</v>
      </c>
      <c r="B129" s="3" t="s">
        <v>74</v>
      </c>
      <c r="C129" s="15">
        <v>22</v>
      </c>
      <c r="D129" s="3" t="s">
        <v>36</v>
      </c>
      <c r="E129" s="3" t="str">
        <f>IFERROR(VLOOKUP(D129,'Category Map'!$A$2:$B$29,2,FALSE),"")</f>
        <v>Needs</v>
      </c>
      <c r="F129" s="3" t="s">
        <v>63</v>
      </c>
      <c r="G129" s="1"/>
    </row>
    <row r="130" spans="1:7" x14ac:dyDescent="0.25">
      <c r="A130" s="14">
        <v>45753</v>
      </c>
      <c r="B130" s="3" t="s">
        <v>75</v>
      </c>
      <c r="C130" s="15">
        <v>60</v>
      </c>
      <c r="D130" s="3" t="s">
        <v>37</v>
      </c>
      <c r="E130" s="3" t="str">
        <f>IFERROR(VLOOKUP(D130,'Category Map'!$A$2:$B$29,2,FALSE),"")</f>
        <v>Needs</v>
      </c>
      <c r="F130" s="3" t="s">
        <v>63</v>
      </c>
      <c r="G130" s="1"/>
    </row>
    <row r="131" spans="1:7" x14ac:dyDescent="0.25">
      <c r="A131" s="14">
        <v>45773</v>
      </c>
      <c r="B131" s="3" t="s">
        <v>99</v>
      </c>
      <c r="C131" s="15">
        <v>32.14</v>
      </c>
      <c r="D131" s="3" t="s">
        <v>38</v>
      </c>
      <c r="E131" s="3" t="str">
        <f>IFERROR(VLOOKUP(D131,'Category Map'!$A$2:$B$29,2,FALSE),"")</f>
        <v>Wants</v>
      </c>
      <c r="F131" s="3" t="s">
        <v>65</v>
      </c>
      <c r="G131" s="1"/>
    </row>
    <row r="132" spans="1:7" x14ac:dyDescent="0.25">
      <c r="A132" s="14">
        <v>45756</v>
      </c>
      <c r="B132" s="3" t="s">
        <v>99</v>
      </c>
      <c r="C132" s="15">
        <v>37.51</v>
      </c>
      <c r="D132" s="3" t="s">
        <v>38</v>
      </c>
      <c r="E132" s="3" t="str">
        <f>IFERROR(VLOOKUP(D132,'Category Map'!$A$2:$B$29,2,FALSE),"")</f>
        <v>Wants</v>
      </c>
      <c r="F132" s="3" t="s">
        <v>65</v>
      </c>
      <c r="G132" s="1"/>
    </row>
    <row r="133" spans="1:7" x14ac:dyDescent="0.25">
      <c r="A133" s="14">
        <v>45777</v>
      </c>
      <c r="B133" s="3" t="s">
        <v>99</v>
      </c>
      <c r="C133" s="15">
        <v>31.31</v>
      </c>
      <c r="D133" s="3" t="s">
        <v>38</v>
      </c>
      <c r="E133" s="3" t="str">
        <f>IFERROR(VLOOKUP(D133,'Category Map'!$A$2:$B$29,2,FALSE),"")</f>
        <v>Wants</v>
      </c>
      <c r="F133" s="3" t="s">
        <v>65</v>
      </c>
      <c r="G133" s="1"/>
    </row>
    <row r="134" spans="1:7" x14ac:dyDescent="0.25">
      <c r="A134" s="14">
        <v>45774</v>
      </c>
      <c r="B134" s="3" t="s">
        <v>76</v>
      </c>
      <c r="C134" s="15">
        <v>29.67</v>
      </c>
      <c r="D134" s="3" t="s">
        <v>38</v>
      </c>
      <c r="E134" s="3" t="str">
        <f>IFERROR(VLOOKUP(D134,'Category Map'!$A$2:$B$29,2,FALSE),"")</f>
        <v>Wants</v>
      </c>
      <c r="F134" s="3" t="s">
        <v>65</v>
      </c>
      <c r="G134" s="1"/>
    </row>
    <row r="135" spans="1:7" x14ac:dyDescent="0.25">
      <c r="A135" s="14">
        <v>45762</v>
      </c>
      <c r="B135" s="3" t="s">
        <v>79</v>
      </c>
      <c r="C135" s="15">
        <v>15.58</v>
      </c>
      <c r="D135" s="3" t="s">
        <v>40</v>
      </c>
      <c r="E135" s="3" t="str">
        <f>IFERROR(VLOOKUP(D135,'Category Map'!$A$2:$B$29,2,FALSE),"")</f>
        <v>Wants</v>
      </c>
      <c r="F135" s="3" t="s">
        <v>65</v>
      </c>
      <c r="G135" s="1"/>
    </row>
    <row r="136" spans="1:7" x14ac:dyDescent="0.25">
      <c r="A136" s="14">
        <v>45758</v>
      </c>
      <c r="B136" s="3" t="s">
        <v>79</v>
      </c>
      <c r="C136" s="15">
        <v>18.43</v>
      </c>
      <c r="D136" s="3" t="s">
        <v>40</v>
      </c>
      <c r="E136" s="3" t="str">
        <f>IFERROR(VLOOKUP(D136,'Category Map'!$A$2:$B$29,2,FALSE),"")</f>
        <v>Wants</v>
      </c>
      <c r="F136" s="3" t="s">
        <v>65</v>
      </c>
      <c r="G136" s="1"/>
    </row>
    <row r="137" spans="1:7" x14ac:dyDescent="0.25">
      <c r="A137" s="14">
        <v>45775</v>
      </c>
      <c r="B137" s="3" t="s">
        <v>80</v>
      </c>
      <c r="C137" s="15">
        <v>10.95</v>
      </c>
      <c r="D137" s="3" t="s">
        <v>40</v>
      </c>
      <c r="E137" s="3" t="str">
        <f>IFERROR(VLOOKUP(D137,'Category Map'!$A$2:$B$29,2,FALSE),"")</f>
        <v>Wants</v>
      </c>
      <c r="F137" s="3" t="s">
        <v>65</v>
      </c>
      <c r="G137" s="1"/>
    </row>
    <row r="138" spans="1:7" x14ac:dyDescent="0.25">
      <c r="A138" s="14">
        <v>45763</v>
      </c>
      <c r="B138" s="3" t="s">
        <v>82</v>
      </c>
      <c r="C138" s="15">
        <v>45.49</v>
      </c>
      <c r="D138" s="3" t="s">
        <v>41</v>
      </c>
      <c r="E138" s="3" t="str">
        <f>IFERROR(VLOOKUP(D138,'Category Map'!$A$2:$B$29,2,FALSE),"")</f>
        <v>Wants</v>
      </c>
      <c r="F138" s="3" t="s">
        <v>65</v>
      </c>
      <c r="G138" s="1"/>
    </row>
    <row r="139" spans="1:7" x14ac:dyDescent="0.25">
      <c r="A139" s="14">
        <v>45770</v>
      </c>
      <c r="B139" s="3" t="s">
        <v>81</v>
      </c>
      <c r="C139" s="15">
        <v>49.58</v>
      </c>
      <c r="D139" s="3" t="s">
        <v>41</v>
      </c>
      <c r="E139" s="3" t="str">
        <f>IFERROR(VLOOKUP(D139,'Category Map'!$A$2:$B$29,2,FALSE),"")</f>
        <v>Wants</v>
      </c>
      <c r="F139" s="3" t="s">
        <v>65</v>
      </c>
      <c r="G139" s="1"/>
    </row>
    <row r="140" spans="1:7" x14ac:dyDescent="0.25">
      <c r="A140" s="14">
        <v>45765</v>
      </c>
      <c r="B140" s="3" t="s">
        <v>83</v>
      </c>
      <c r="C140" s="15">
        <v>24.13</v>
      </c>
      <c r="D140" s="3" t="s">
        <v>42</v>
      </c>
      <c r="E140" s="3" t="str">
        <f>IFERROR(VLOOKUP(D140,'Category Map'!$A$2:$B$29,2,FALSE),"")</f>
        <v>Wants</v>
      </c>
      <c r="F140" s="3" t="s">
        <v>65</v>
      </c>
      <c r="G140" s="1"/>
    </row>
    <row r="141" spans="1:7" x14ac:dyDescent="0.25">
      <c r="A141" s="14">
        <v>45753</v>
      </c>
      <c r="B141" s="3" t="s">
        <v>100</v>
      </c>
      <c r="C141" s="15">
        <v>41.56</v>
      </c>
      <c r="D141" s="3" t="s">
        <v>42</v>
      </c>
      <c r="E141" s="3" t="str">
        <f>IFERROR(VLOOKUP(D141,'Category Map'!$A$2:$B$29,2,FALSE),"")</f>
        <v>Wants</v>
      </c>
      <c r="F141" s="3" t="s">
        <v>65</v>
      </c>
      <c r="G141" s="1"/>
    </row>
    <row r="142" spans="1:7" x14ac:dyDescent="0.25">
      <c r="A142" s="14">
        <v>45763</v>
      </c>
      <c r="B142" s="3" t="s">
        <v>85</v>
      </c>
      <c r="C142" s="15">
        <v>55.62</v>
      </c>
      <c r="D142" s="3" t="s">
        <v>43</v>
      </c>
      <c r="E142" s="3" t="str">
        <f>IFERROR(VLOOKUP(D142,'Category Map'!$A$2:$B$29,2,FALSE),"")</f>
        <v>Wants</v>
      </c>
      <c r="F142" s="3" t="s">
        <v>65</v>
      </c>
      <c r="G142" s="1"/>
    </row>
    <row r="143" spans="1:7" x14ac:dyDescent="0.25">
      <c r="A143" s="14">
        <v>45755</v>
      </c>
      <c r="B143" s="3" t="s">
        <v>86</v>
      </c>
      <c r="C143" s="15">
        <v>40</v>
      </c>
      <c r="D143" s="3" t="s">
        <v>44</v>
      </c>
      <c r="E143" s="3" t="str">
        <f>IFERROR(VLOOKUP(D143,'Category Map'!$A$2:$B$29,2,FALSE),"")</f>
        <v>Wants</v>
      </c>
      <c r="F143" s="3" t="s">
        <v>63</v>
      </c>
      <c r="G143" s="1"/>
    </row>
    <row r="144" spans="1:7" x14ac:dyDescent="0.25">
      <c r="A144" s="14">
        <v>45760</v>
      </c>
      <c r="B144" s="3" t="s">
        <v>87</v>
      </c>
      <c r="C144" s="15">
        <v>15.54</v>
      </c>
      <c r="D144" s="3" t="s">
        <v>45</v>
      </c>
      <c r="E144" s="3" t="str">
        <f>IFERROR(VLOOKUP(D144,'Category Map'!$A$2:$B$29,2,FALSE),"")</f>
        <v>Wants</v>
      </c>
      <c r="F144" s="3" t="s">
        <v>65</v>
      </c>
      <c r="G144" s="1"/>
    </row>
    <row r="145" spans="1:7" x14ac:dyDescent="0.25">
      <c r="A145" s="14">
        <v>45764</v>
      </c>
      <c r="B145" s="3" t="s">
        <v>87</v>
      </c>
      <c r="C145" s="15">
        <v>20.61</v>
      </c>
      <c r="D145" s="3" t="s">
        <v>45</v>
      </c>
      <c r="E145" s="3" t="str">
        <f>IFERROR(VLOOKUP(D145,'Category Map'!$A$2:$B$29,2,FALSE),"")</f>
        <v>Wants</v>
      </c>
      <c r="F145" s="3" t="s">
        <v>65</v>
      </c>
      <c r="G145" s="1"/>
    </row>
    <row r="146" spans="1:7" x14ac:dyDescent="0.25">
      <c r="A146" s="14">
        <v>45756</v>
      </c>
      <c r="B146" s="3" t="s">
        <v>88</v>
      </c>
      <c r="C146" s="15">
        <v>14.13</v>
      </c>
      <c r="D146" s="3" t="s">
        <v>46</v>
      </c>
      <c r="E146" s="3" t="str">
        <f>IFERROR(VLOOKUP(D146,'Category Map'!$A$2:$B$29,2,FALSE),"")</f>
        <v>Wants</v>
      </c>
      <c r="F146" s="3" t="s">
        <v>65</v>
      </c>
      <c r="G146" s="1"/>
    </row>
    <row r="147" spans="1:7" x14ac:dyDescent="0.25">
      <c r="A147" s="14">
        <v>45762</v>
      </c>
      <c r="B147" s="3" t="s">
        <v>109</v>
      </c>
      <c r="C147" s="15">
        <v>23.59</v>
      </c>
      <c r="D147" s="3" t="s">
        <v>46</v>
      </c>
      <c r="E147" s="3" t="str">
        <f>IFERROR(VLOOKUP(D147,'Category Map'!$A$2:$B$29,2,FALSE),"")</f>
        <v>Wants</v>
      </c>
      <c r="F147" s="3" t="s">
        <v>65</v>
      </c>
      <c r="G147" s="1"/>
    </row>
    <row r="148" spans="1:7" x14ac:dyDescent="0.25">
      <c r="A148" s="14">
        <v>45755</v>
      </c>
      <c r="B148" s="3" t="s">
        <v>103</v>
      </c>
      <c r="C148" s="15">
        <v>41.96</v>
      </c>
      <c r="D148" s="3" t="s">
        <v>48</v>
      </c>
      <c r="E148" s="3" t="str">
        <f>IFERROR(VLOOKUP(D148,'Category Map'!$A$2:$B$29,2,FALSE),"")</f>
        <v>Wants</v>
      </c>
      <c r="F148" s="3" t="s">
        <v>65</v>
      </c>
      <c r="G148" s="1"/>
    </row>
    <row r="149" spans="1:7" x14ac:dyDescent="0.25">
      <c r="A149" s="14">
        <v>45771</v>
      </c>
      <c r="B149" s="3" t="s">
        <v>89</v>
      </c>
      <c r="C149" s="15">
        <v>19.55</v>
      </c>
      <c r="D149" s="3" t="s">
        <v>49</v>
      </c>
      <c r="E149" s="3" t="str">
        <f>IFERROR(VLOOKUP(D149,'Category Map'!$A$2:$B$29,2,FALSE),"")</f>
        <v>Wants</v>
      </c>
      <c r="F149" s="3" t="s">
        <v>65</v>
      </c>
      <c r="G149" s="1"/>
    </row>
    <row r="150" spans="1:7" x14ac:dyDescent="0.25">
      <c r="A150" s="14">
        <v>45761</v>
      </c>
      <c r="B150" s="3" t="s">
        <v>89</v>
      </c>
      <c r="C150" s="15">
        <v>28.62</v>
      </c>
      <c r="D150" s="3" t="s">
        <v>49</v>
      </c>
      <c r="E150" s="3" t="str">
        <f>IFERROR(VLOOKUP(D150,'Category Map'!$A$2:$B$29,2,FALSE),"")</f>
        <v>Wants</v>
      </c>
      <c r="F150" s="3" t="s">
        <v>65</v>
      </c>
      <c r="G150" s="1"/>
    </row>
    <row r="151" spans="1:7" x14ac:dyDescent="0.25">
      <c r="A151" s="14">
        <v>45776</v>
      </c>
      <c r="B151" s="3" t="s">
        <v>90</v>
      </c>
      <c r="C151" s="15">
        <v>200</v>
      </c>
      <c r="D151" s="3" t="s">
        <v>50</v>
      </c>
      <c r="E151" s="3" t="str">
        <f>IFERROR(VLOOKUP(D151,'Category Map'!$A$2:$B$29,2,FALSE),"")</f>
        <v>Savings</v>
      </c>
      <c r="F151" s="3" t="s">
        <v>63</v>
      </c>
      <c r="G151" s="1"/>
    </row>
    <row r="152" spans="1:7" x14ac:dyDescent="0.25">
      <c r="A152" s="14">
        <v>45777</v>
      </c>
      <c r="B152" s="3" t="s">
        <v>91</v>
      </c>
      <c r="C152" s="15">
        <v>200</v>
      </c>
      <c r="D152" s="3" t="s">
        <v>52</v>
      </c>
      <c r="E152" s="3" t="str">
        <f>IFERROR(VLOOKUP(D152,'Category Map'!$A$2:$B$29,2,FALSE),"")</f>
        <v>Savings</v>
      </c>
      <c r="F152" s="3" t="s">
        <v>63</v>
      </c>
      <c r="G152" s="1"/>
    </row>
    <row r="153" spans="1:7" x14ac:dyDescent="0.25">
      <c r="A153" s="14">
        <v>45761</v>
      </c>
      <c r="B153" s="3" t="s">
        <v>92</v>
      </c>
      <c r="C153" s="15">
        <v>100</v>
      </c>
      <c r="D153" s="3" t="s">
        <v>53</v>
      </c>
      <c r="E153" s="3" t="str">
        <f>IFERROR(VLOOKUP(D153,'Category Map'!$A$2:$B$29,2,FALSE),"")</f>
        <v>Savings</v>
      </c>
      <c r="F153" s="3" t="s">
        <v>63</v>
      </c>
      <c r="G153" s="1"/>
    </row>
    <row r="154" spans="1:7" x14ac:dyDescent="0.25">
      <c r="A154" s="14">
        <v>45760</v>
      </c>
      <c r="B154" s="3" t="s">
        <v>93</v>
      </c>
      <c r="C154" s="15">
        <v>75</v>
      </c>
      <c r="D154" s="3" t="s">
        <v>54</v>
      </c>
      <c r="E154" s="3" t="str">
        <f>IFERROR(VLOOKUP(D154,'Category Map'!$A$2:$B$29,2,FALSE),"")</f>
        <v>Savings</v>
      </c>
      <c r="F154" s="3" t="s">
        <v>63</v>
      </c>
      <c r="G154" s="1"/>
    </row>
    <row r="155" spans="1:7" x14ac:dyDescent="0.25">
      <c r="A155" s="14">
        <v>45764</v>
      </c>
      <c r="B155" s="3" t="s">
        <v>94</v>
      </c>
      <c r="C155" s="15">
        <v>150</v>
      </c>
      <c r="D155" s="3" t="s">
        <v>55</v>
      </c>
      <c r="E155" s="3" t="str">
        <f>IFERROR(VLOOKUP(D155,'Category Map'!$A$2:$B$29,2,FALSE),"")</f>
        <v>Savings</v>
      </c>
      <c r="F155" s="3" t="s">
        <v>63</v>
      </c>
      <c r="G155" s="1"/>
    </row>
    <row r="156" spans="1:7" x14ac:dyDescent="0.25">
      <c r="A156" s="14">
        <v>45806</v>
      </c>
      <c r="B156" s="3" t="s">
        <v>62</v>
      </c>
      <c r="C156" s="15">
        <v>1450</v>
      </c>
      <c r="D156" s="3" t="s">
        <v>26</v>
      </c>
      <c r="E156" s="3" t="str">
        <f>IFERROR(VLOOKUP(D156,'Category Map'!$A$2:$B$29,2,FALSE),"")</f>
        <v>Needs</v>
      </c>
      <c r="F156" s="3" t="s">
        <v>63</v>
      </c>
      <c r="G156" s="1"/>
    </row>
    <row r="157" spans="1:7" x14ac:dyDescent="0.25">
      <c r="A157" s="14">
        <v>45801</v>
      </c>
      <c r="B157" s="3" t="s">
        <v>105</v>
      </c>
      <c r="C157" s="15">
        <v>90.38</v>
      </c>
      <c r="D157" s="3" t="s">
        <v>28</v>
      </c>
      <c r="E157" s="3" t="str">
        <f>IFERROR(VLOOKUP(D157,'Category Map'!$A$2:$B$29,2,FALSE),"")</f>
        <v>Needs</v>
      </c>
      <c r="F157" s="3" t="s">
        <v>65</v>
      </c>
      <c r="G157" s="1"/>
    </row>
    <row r="158" spans="1:7" x14ac:dyDescent="0.25">
      <c r="A158" s="14">
        <v>45802</v>
      </c>
      <c r="B158" s="3" t="s">
        <v>64</v>
      </c>
      <c r="C158" s="15">
        <v>73</v>
      </c>
      <c r="D158" s="3" t="s">
        <v>28</v>
      </c>
      <c r="E158" s="3" t="str">
        <f>IFERROR(VLOOKUP(D158,'Category Map'!$A$2:$B$29,2,FALSE),"")</f>
        <v>Needs</v>
      </c>
      <c r="F158" s="3" t="s">
        <v>65</v>
      </c>
      <c r="G158" s="1"/>
    </row>
    <row r="159" spans="1:7" x14ac:dyDescent="0.25">
      <c r="A159" s="14">
        <v>45805</v>
      </c>
      <c r="B159" s="3" t="s">
        <v>106</v>
      </c>
      <c r="C159" s="15">
        <v>145.18</v>
      </c>
      <c r="D159" s="3" t="s">
        <v>29</v>
      </c>
      <c r="E159" s="3" t="str">
        <f>IFERROR(VLOOKUP(D159,'Category Map'!$A$2:$B$29,2,FALSE),"")</f>
        <v>Needs</v>
      </c>
      <c r="F159" s="3" t="s">
        <v>65</v>
      </c>
      <c r="G159" s="1"/>
    </row>
    <row r="160" spans="1:7" x14ac:dyDescent="0.25">
      <c r="A160" s="14">
        <v>45782</v>
      </c>
      <c r="B160" s="3" t="s">
        <v>110</v>
      </c>
      <c r="C160" s="15">
        <v>156.35</v>
      </c>
      <c r="D160" s="3" t="s">
        <v>29</v>
      </c>
      <c r="E160" s="3" t="str">
        <f>IFERROR(VLOOKUP(D160,'Category Map'!$A$2:$B$29,2,FALSE),"")</f>
        <v>Needs</v>
      </c>
      <c r="F160" s="3" t="s">
        <v>65</v>
      </c>
      <c r="G160" s="1"/>
    </row>
    <row r="161" spans="1:7" x14ac:dyDescent="0.25">
      <c r="A161" s="14">
        <v>45802</v>
      </c>
      <c r="B161" s="3" t="s">
        <v>106</v>
      </c>
      <c r="C161" s="15">
        <v>119.05</v>
      </c>
      <c r="D161" s="3" t="s">
        <v>29</v>
      </c>
      <c r="E161" s="3" t="str">
        <f>IFERROR(VLOOKUP(D161,'Category Map'!$A$2:$B$29,2,FALSE),"")</f>
        <v>Needs</v>
      </c>
      <c r="F161" s="3" t="s">
        <v>65</v>
      </c>
      <c r="G161" s="1"/>
    </row>
    <row r="162" spans="1:7" x14ac:dyDescent="0.25">
      <c r="A162" s="14">
        <v>45806</v>
      </c>
      <c r="B162" s="3" t="s">
        <v>67</v>
      </c>
      <c r="C162" s="15">
        <v>105</v>
      </c>
      <c r="D162" s="3" t="s">
        <v>30</v>
      </c>
      <c r="E162" s="3" t="str">
        <f>IFERROR(VLOOKUP(D162,'Category Map'!$A$2:$B$29,2,FALSE),"")</f>
        <v>Needs</v>
      </c>
      <c r="F162" s="3" t="s">
        <v>63</v>
      </c>
      <c r="G162" s="1"/>
    </row>
    <row r="163" spans="1:7" x14ac:dyDescent="0.25">
      <c r="A163" s="14">
        <v>45792</v>
      </c>
      <c r="B163" s="3" t="s">
        <v>68</v>
      </c>
      <c r="C163" s="15">
        <v>36.909999999999997</v>
      </c>
      <c r="D163" s="3" t="s">
        <v>31</v>
      </c>
      <c r="E163" s="3" t="str">
        <f>IFERROR(VLOOKUP(D163,'Category Map'!$A$2:$B$29,2,FALSE),"")</f>
        <v>Needs</v>
      </c>
      <c r="F163" s="3" t="s">
        <v>65</v>
      </c>
      <c r="G163" s="1"/>
    </row>
    <row r="164" spans="1:7" x14ac:dyDescent="0.25">
      <c r="A164" s="14">
        <v>45782</v>
      </c>
      <c r="B164" s="3" t="s">
        <v>70</v>
      </c>
      <c r="C164" s="15">
        <v>28.73</v>
      </c>
      <c r="D164" s="3" t="s">
        <v>31</v>
      </c>
      <c r="E164" s="3" t="str">
        <f>IFERROR(VLOOKUP(D164,'Category Map'!$A$2:$B$29,2,FALSE),"")</f>
        <v>Needs</v>
      </c>
      <c r="F164" s="3" t="s">
        <v>65</v>
      </c>
      <c r="G164" s="1"/>
    </row>
    <row r="165" spans="1:7" x14ac:dyDescent="0.25">
      <c r="A165" s="14">
        <v>45796</v>
      </c>
      <c r="B165" s="3" t="s">
        <v>69</v>
      </c>
      <c r="C165" s="15">
        <v>43.15</v>
      </c>
      <c r="D165" s="3" t="s">
        <v>31</v>
      </c>
      <c r="E165" s="3" t="str">
        <f>IFERROR(VLOOKUP(D165,'Category Map'!$A$2:$B$29,2,FALSE),"")</f>
        <v>Needs</v>
      </c>
      <c r="F165" s="3" t="s">
        <v>65</v>
      </c>
      <c r="G165" s="1"/>
    </row>
    <row r="166" spans="1:7" x14ac:dyDescent="0.25">
      <c r="A166" s="14">
        <v>45792</v>
      </c>
      <c r="B166" s="3" t="s">
        <v>71</v>
      </c>
      <c r="C166" s="15">
        <v>70</v>
      </c>
      <c r="D166" s="3" t="s">
        <v>33</v>
      </c>
      <c r="E166" s="3" t="str">
        <f>IFERROR(VLOOKUP(D166,'Category Map'!$A$2:$B$29,2,FALSE),"")</f>
        <v>Needs</v>
      </c>
      <c r="F166" s="3" t="s">
        <v>63</v>
      </c>
      <c r="G166" s="1"/>
    </row>
    <row r="167" spans="1:7" x14ac:dyDescent="0.25">
      <c r="A167" s="14">
        <v>45801</v>
      </c>
      <c r="B167" s="3" t="s">
        <v>111</v>
      </c>
      <c r="C167" s="15">
        <v>300</v>
      </c>
      <c r="D167" s="3" t="s">
        <v>34</v>
      </c>
      <c r="E167" s="3" t="str">
        <f>IFERROR(VLOOKUP(D167,'Category Map'!$A$2:$B$29,2,FALSE),"")</f>
        <v>Needs</v>
      </c>
      <c r="F167" s="3" t="s">
        <v>63</v>
      </c>
      <c r="G167" s="1"/>
    </row>
    <row r="168" spans="1:7" x14ac:dyDescent="0.25">
      <c r="A168" s="14">
        <v>45799</v>
      </c>
      <c r="B168" s="3" t="s">
        <v>98</v>
      </c>
      <c r="C168" s="15">
        <v>27.07</v>
      </c>
      <c r="D168" s="3" t="s">
        <v>35</v>
      </c>
      <c r="E168" s="3" t="str">
        <f>IFERROR(VLOOKUP(D168,'Category Map'!$A$2:$B$29,2,FALSE),"")</f>
        <v>Needs</v>
      </c>
      <c r="F168" s="3" t="s">
        <v>65</v>
      </c>
      <c r="G168" s="1"/>
    </row>
    <row r="169" spans="1:7" x14ac:dyDescent="0.25">
      <c r="A169" s="14">
        <v>45778</v>
      </c>
      <c r="B169" s="3" t="s">
        <v>73</v>
      </c>
      <c r="C169" s="15">
        <v>21.77</v>
      </c>
      <c r="D169" s="3" t="s">
        <v>35</v>
      </c>
      <c r="E169" s="3" t="str">
        <f>IFERROR(VLOOKUP(D169,'Category Map'!$A$2:$B$29,2,FALSE),"")</f>
        <v>Needs</v>
      </c>
      <c r="F169" s="3" t="s">
        <v>65</v>
      </c>
      <c r="G169" s="1"/>
    </row>
    <row r="170" spans="1:7" x14ac:dyDescent="0.25">
      <c r="A170" s="14">
        <v>45801</v>
      </c>
      <c r="B170" s="3" t="s">
        <v>74</v>
      </c>
      <c r="C170" s="15">
        <v>22</v>
      </c>
      <c r="D170" s="3" t="s">
        <v>36</v>
      </c>
      <c r="E170" s="3" t="str">
        <f>IFERROR(VLOOKUP(D170,'Category Map'!$A$2:$B$29,2,FALSE),"")</f>
        <v>Needs</v>
      </c>
      <c r="F170" s="3" t="s">
        <v>63</v>
      </c>
      <c r="G170" s="1"/>
    </row>
    <row r="171" spans="1:7" x14ac:dyDescent="0.25">
      <c r="A171" s="14">
        <v>45780</v>
      </c>
      <c r="B171" s="3" t="s">
        <v>75</v>
      </c>
      <c r="C171" s="15">
        <v>60</v>
      </c>
      <c r="D171" s="3" t="s">
        <v>37</v>
      </c>
      <c r="E171" s="3" t="str">
        <f>IFERROR(VLOOKUP(D171,'Category Map'!$A$2:$B$29,2,FALSE),"")</f>
        <v>Needs</v>
      </c>
      <c r="F171" s="3" t="s">
        <v>63</v>
      </c>
      <c r="G171" s="1"/>
    </row>
    <row r="172" spans="1:7" x14ac:dyDescent="0.25">
      <c r="A172" s="14">
        <v>45800</v>
      </c>
      <c r="B172" s="3" t="s">
        <v>78</v>
      </c>
      <c r="C172" s="15">
        <v>103.5</v>
      </c>
      <c r="D172" s="3" t="s">
        <v>38</v>
      </c>
      <c r="E172" s="3" t="str">
        <f>IFERROR(VLOOKUP(D172,'Category Map'!$A$2:$B$29,2,FALSE),"")</f>
        <v>Wants</v>
      </c>
      <c r="F172" s="3" t="s">
        <v>65</v>
      </c>
      <c r="G172" s="1"/>
    </row>
    <row r="173" spans="1:7" x14ac:dyDescent="0.25">
      <c r="A173" s="14">
        <v>45790</v>
      </c>
      <c r="B173" s="3" t="s">
        <v>76</v>
      </c>
      <c r="C173" s="15">
        <v>70.75</v>
      </c>
      <c r="D173" s="3" t="s">
        <v>38</v>
      </c>
      <c r="E173" s="3" t="str">
        <f>IFERROR(VLOOKUP(D173,'Category Map'!$A$2:$B$29,2,FALSE),"")</f>
        <v>Wants</v>
      </c>
      <c r="F173" s="3" t="s">
        <v>65</v>
      </c>
      <c r="G173" s="1"/>
    </row>
    <row r="174" spans="1:7" x14ac:dyDescent="0.25">
      <c r="A174" s="14">
        <v>45807</v>
      </c>
      <c r="B174" s="3" t="s">
        <v>79</v>
      </c>
      <c r="C174" s="15">
        <v>11.04</v>
      </c>
      <c r="D174" s="3" t="s">
        <v>40</v>
      </c>
      <c r="E174" s="3" t="str">
        <f>IFERROR(VLOOKUP(D174,'Category Map'!$A$2:$B$29,2,FALSE),"")</f>
        <v>Wants</v>
      </c>
      <c r="F174" s="3" t="s">
        <v>65</v>
      </c>
      <c r="G174" s="1"/>
    </row>
    <row r="175" spans="1:7" x14ac:dyDescent="0.25">
      <c r="A175" s="14">
        <v>45798</v>
      </c>
      <c r="B175" s="3" t="s">
        <v>80</v>
      </c>
      <c r="C175" s="15">
        <v>11.24</v>
      </c>
      <c r="D175" s="3" t="s">
        <v>40</v>
      </c>
      <c r="E175" s="3" t="str">
        <f>IFERROR(VLOOKUP(D175,'Category Map'!$A$2:$B$29,2,FALSE),"")</f>
        <v>Wants</v>
      </c>
      <c r="F175" s="3" t="s">
        <v>65</v>
      </c>
      <c r="G175" s="1"/>
    </row>
    <row r="176" spans="1:7" x14ac:dyDescent="0.25">
      <c r="A176" s="14">
        <v>45806</v>
      </c>
      <c r="B176" s="3" t="s">
        <v>80</v>
      </c>
      <c r="C176" s="15">
        <v>12.21</v>
      </c>
      <c r="D176" s="3" t="s">
        <v>40</v>
      </c>
      <c r="E176" s="3" t="str">
        <f>IFERROR(VLOOKUP(D176,'Category Map'!$A$2:$B$29,2,FALSE),"")</f>
        <v>Wants</v>
      </c>
      <c r="F176" s="3" t="s">
        <v>65</v>
      </c>
      <c r="G176" s="1"/>
    </row>
    <row r="177" spans="1:7" x14ac:dyDescent="0.25">
      <c r="A177" s="14">
        <v>45803</v>
      </c>
      <c r="B177" s="3" t="s">
        <v>80</v>
      </c>
      <c r="C177" s="15">
        <v>9.67</v>
      </c>
      <c r="D177" s="3" t="s">
        <v>40</v>
      </c>
      <c r="E177" s="3" t="str">
        <f>IFERROR(VLOOKUP(D177,'Category Map'!$A$2:$B$29,2,FALSE),"")</f>
        <v>Wants</v>
      </c>
      <c r="F177" s="3" t="s">
        <v>65</v>
      </c>
      <c r="G177" s="1"/>
    </row>
    <row r="178" spans="1:7" x14ac:dyDescent="0.25">
      <c r="A178" s="14">
        <v>45788</v>
      </c>
      <c r="B178" s="3" t="s">
        <v>82</v>
      </c>
      <c r="C178" s="15">
        <v>46.6</v>
      </c>
      <c r="D178" s="3" t="s">
        <v>41</v>
      </c>
      <c r="E178" s="3" t="str">
        <f>IFERROR(VLOOKUP(D178,'Category Map'!$A$2:$B$29,2,FALSE),"")</f>
        <v>Wants</v>
      </c>
      <c r="F178" s="3" t="s">
        <v>65</v>
      </c>
      <c r="G178" s="1"/>
    </row>
    <row r="179" spans="1:7" x14ac:dyDescent="0.25">
      <c r="A179" s="14">
        <v>45794</v>
      </c>
      <c r="B179" s="3" t="s">
        <v>107</v>
      </c>
      <c r="C179" s="15">
        <v>39.25</v>
      </c>
      <c r="D179" s="3" t="s">
        <v>41</v>
      </c>
      <c r="E179" s="3" t="str">
        <f>IFERROR(VLOOKUP(D179,'Category Map'!$A$2:$B$29,2,FALSE),"")</f>
        <v>Wants</v>
      </c>
      <c r="F179" s="3" t="s">
        <v>65</v>
      </c>
      <c r="G179" s="1"/>
    </row>
    <row r="180" spans="1:7" x14ac:dyDescent="0.25">
      <c r="A180" s="14">
        <v>45795</v>
      </c>
      <c r="B180" s="3" t="s">
        <v>83</v>
      </c>
      <c r="C180" s="15">
        <v>83.64</v>
      </c>
      <c r="D180" s="3" t="s">
        <v>42</v>
      </c>
      <c r="E180" s="3" t="str">
        <f>IFERROR(VLOOKUP(D180,'Category Map'!$A$2:$B$29,2,FALSE),"")</f>
        <v>Wants</v>
      </c>
      <c r="F180" s="3" t="s">
        <v>65</v>
      </c>
      <c r="G180" s="1"/>
    </row>
    <row r="181" spans="1:7" x14ac:dyDescent="0.25">
      <c r="A181" s="14">
        <v>45795</v>
      </c>
      <c r="B181" s="3" t="s">
        <v>85</v>
      </c>
      <c r="C181" s="15">
        <v>52.39</v>
      </c>
      <c r="D181" s="3" t="s">
        <v>43</v>
      </c>
      <c r="E181" s="3" t="str">
        <f>IFERROR(VLOOKUP(D181,'Category Map'!$A$2:$B$29,2,FALSE),"")</f>
        <v>Wants</v>
      </c>
      <c r="F181" s="3" t="s">
        <v>65</v>
      </c>
      <c r="G181" s="1"/>
    </row>
    <row r="182" spans="1:7" x14ac:dyDescent="0.25">
      <c r="A182" s="14">
        <v>45794</v>
      </c>
      <c r="B182" s="3" t="s">
        <v>86</v>
      </c>
      <c r="C182" s="15">
        <v>40</v>
      </c>
      <c r="D182" s="3" t="s">
        <v>44</v>
      </c>
      <c r="E182" s="3" t="str">
        <f>IFERROR(VLOOKUP(D182,'Category Map'!$A$2:$B$29,2,FALSE),"")</f>
        <v>Wants</v>
      </c>
      <c r="F182" s="3" t="s">
        <v>63</v>
      </c>
      <c r="G182" s="1"/>
    </row>
    <row r="183" spans="1:7" x14ac:dyDescent="0.25">
      <c r="A183" s="14">
        <v>45795</v>
      </c>
      <c r="B183" s="3" t="s">
        <v>87</v>
      </c>
      <c r="C183" s="15">
        <v>39.75</v>
      </c>
      <c r="D183" s="3" t="s">
        <v>45</v>
      </c>
      <c r="E183" s="3" t="str">
        <f>IFERROR(VLOOKUP(D183,'Category Map'!$A$2:$B$29,2,FALSE),"")</f>
        <v>Wants</v>
      </c>
      <c r="F183" s="3" t="s">
        <v>65</v>
      </c>
      <c r="G183" s="1"/>
    </row>
    <row r="184" spans="1:7" x14ac:dyDescent="0.25">
      <c r="A184" s="14">
        <v>45778</v>
      </c>
      <c r="B184" s="3" t="s">
        <v>109</v>
      </c>
      <c r="C184" s="15">
        <v>44.71</v>
      </c>
      <c r="D184" s="3" t="s">
        <v>46</v>
      </c>
      <c r="E184" s="3" t="str">
        <f>IFERROR(VLOOKUP(D184,'Category Map'!$A$2:$B$29,2,FALSE),"")</f>
        <v>Wants</v>
      </c>
      <c r="F184" s="3" t="s">
        <v>65</v>
      </c>
      <c r="G184" s="1"/>
    </row>
    <row r="185" spans="1:7" x14ac:dyDescent="0.25">
      <c r="A185" s="14">
        <v>45789</v>
      </c>
      <c r="B185" s="3" t="s">
        <v>88</v>
      </c>
      <c r="C185" s="15">
        <v>30.19</v>
      </c>
      <c r="D185" s="3" t="s">
        <v>48</v>
      </c>
      <c r="E185" s="3" t="str">
        <f>IFERROR(VLOOKUP(D185,'Category Map'!$A$2:$B$29,2,FALSE),"")</f>
        <v>Wants</v>
      </c>
      <c r="F185" s="3" t="s">
        <v>65</v>
      </c>
      <c r="G185" s="1"/>
    </row>
    <row r="186" spans="1:7" x14ac:dyDescent="0.25">
      <c r="A186" s="14">
        <v>45787</v>
      </c>
      <c r="B186" s="3" t="s">
        <v>104</v>
      </c>
      <c r="C186" s="15">
        <v>54.77</v>
      </c>
      <c r="D186" s="3" t="s">
        <v>49</v>
      </c>
      <c r="E186" s="3" t="str">
        <f>IFERROR(VLOOKUP(D186,'Category Map'!$A$2:$B$29,2,FALSE),"")</f>
        <v>Wants</v>
      </c>
      <c r="F186" s="3" t="s">
        <v>65</v>
      </c>
      <c r="G186" s="1"/>
    </row>
    <row r="187" spans="1:7" x14ac:dyDescent="0.25">
      <c r="A187" s="14">
        <v>45788</v>
      </c>
      <c r="B187" s="3" t="s">
        <v>90</v>
      </c>
      <c r="C187" s="15">
        <v>200</v>
      </c>
      <c r="D187" s="3" t="s">
        <v>50</v>
      </c>
      <c r="E187" s="3" t="str">
        <f>IFERROR(VLOOKUP(D187,'Category Map'!$A$2:$B$29,2,FALSE),"")</f>
        <v>Savings</v>
      </c>
      <c r="F187" s="3" t="s">
        <v>63</v>
      </c>
      <c r="G187" s="1"/>
    </row>
    <row r="188" spans="1:7" x14ac:dyDescent="0.25">
      <c r="A188" s="14">
        <v>45798</v>
      </c>
      <c r="B188" s="3" t="s">
        <v>91</v>
      </c>
      <c r="C188" s="15">
        <v>200</v>
      </c>
      <c r="D188" s="3" t="s">
        <v>52</v>
      </c>
      <c r="E188" s="3" t="str">
        <f>IFERROR(VLOOKUP(D188,'Category Map'!$A$2:$B$29,2,FALSE),"")</f>
        <v>Savings</v>
      </c>
      <c r="F188" s="3" t="s">
        <v>63</v>
      </c>
      <c r="G188" s="1"/>
    </row>
    <row r="189" spans="1:7" x14ac:dyDescent="0.25">
      <c r="A189" s="14">
        <v>45797</v>
      </c>
      <c r="B189" s="3" t="s">
        <v>92</v>
      </c>
      <c r="C189" s="15">
        <v>100</v>
      </c>
      <c r="D189" s="3" t="s">
        <v>53</v>
      </c>
      <c r="E189" s="3" t="str">
        <f>IFERROR(VLOOKUP(D189,'Category Map'!$A$2:$B$29,2,FALSE),"")</f>
        <v>Savings</v>
      </c>
      <c r="F189" s="3" t="s">
        <v>63</v>
      </c>
      <c r="G189" s="1"/>
    </row>
    <row r="190" spans="1:7" x14ac:dyDescent="0.25">
      <c r="A190" s="14">
        <v>45804</v>
      </c>
      <c r="B190" s="3" t="s">
        <v>93</v>
      </c>
      <c r="C190" s="15">
        <v>75</v>
      </c>
      <c r="D190" s="3" t="s">
        <v>54</v>
      </c>
      <c r="E190" s="3" t="str">
        <f>IFERROR(VLOOKUP(D190,'Category Map'!$A$2:$B$29,2,FALSE),"")</f>
        <v>Savings</v>
      </c>
      <c r="F190" s="3" t="s">
        <v>63</v>
      </c>
      <c r="G190" s="1"/>
    </row>
    <row r="191" spans="1:7" x14ac:dyDescent="0.25">
      <c r="A191" s="14">
        <v>45784</v>
      </c>
      <c r="B191" s="3" t="s">
        <v>94</v>
      </c>
      <c r="C191" s="15">
        <v>150</v>
      </c>
      <c r="D191" s="3" t="s">
        <v>55</v>
      </c>
      <c r="E191" s="3" t="str">
        <f>IFERROR(VLOOKUP(D191,'Category Map'!$A$2:$B$29,2,FALSE),"")</f>
        <v>Savings</v>
      </c>
      <c r="F191" s="3" t="s">
        <v>63</v>
      </c>
      <c r="G191" s="1"/>
    </row>
    <row r="192" spans="1:7" x14ac:dyDescent="0.25">
      <c r="A192" s="14">
        <v>45837</v>
      </c>
      <c r="B192" s="3" t="s">
        <v>62</v>
      </c>
      <c r="C192" s="15">
        <v>1450</v>
      </c>
      <c r="D192" s="3" t="s">
        <v>26</v>
      </c>
      <c r="E192" s="3" t="str">
        <f>IFERROR(VLOOKUP(D192,'Category Map'!$A$2:$B$29,2,FALSE),"")</f>
        <v>Needs</v>
      </c>
      <c r="F192" s="3" t="s">
        <v>63</v>
      </c>
      <c r="G192" s="1"/>
    </row>
    <row r="193" spans="1:7" x14ac:dyDescent="0.25">
      <c r="A193" s="14">
        <v>45838</v>
      </c>
      <c r="B193" s="3" t="s">
        <v>64</v>
      </c>
      <c r="C193" s="15">
        <v>218.56</v>
      </c>
      <c r="D193" s="3" t="s">
        <v>28</v>
      </c>
      <c r="E193" s="3" t="str">
        <f>IFERROR(VLOOKUP(D193,'Category Map'!$A$2:$B$29,2,FALSE),"")</f>
        <v>Needs</v>
      </c>
      <c r="F193" s="3" t="s">
        <v>65</v>
      </c>
      <c r="G193" s="1"/>
    </row>
    <row r="194" spans="1:7" x14ac:dyDescent="0.25">
      <c r="A194" s="14">
        <v>45831</v>
      </c>
      <c r="B194" s="3" t="s">
        <v>106</v>
      </c>
      <c r="C194" s="15">
        <v>97.33</v>
      </c>
      <c r="D194" s="3" t="s">
        <v>29</v>
      </c>
      <c r="E194" s="3" t="str">
        <f>IFERROR(VLOOKUP(D194,'Category Map'!$A$2:$B$29,2,FALSE),"")</f>
        <v>Needs</v>
      </c>
      <c r="F194" s="3" t="s">
        <v>65</v>
      </c>
      <c r="G194" s="1"/>
    </row>
    <row r="195" spans="1:7" x14ac:dyDescent="0.25">
      <c r="A195" s="14">
        <v>45827</v>
      </c>
      <c r="B195" s="3" t="s">
        <v>97</v>
      </c>
      <c r="C195" s="15">
        <v>154.69</v>
      </c>
      <c r="D195" s="3" t="s">
        <v>29</v>
      </c>
      <c r="E195" s="3" t="str">
        <f>IFERROR(VLOOKUP(D195,'Category Map'!$A$2:$B$29,2,FALSE),"")</f>
        <v>Needs</v>
      </c>
      <c r="F195" s="3" t="s">
        <v>65</v>
      </c>
      <c r="G195" s="1"/>
    </row>
    <row r="196" spans="1:7" x14ac:dyDescent="0.25">
      <c r="A196" s="14">
        <v>45828</v>
      </c>
      <c r="B196" s="3" t="s">
        <v>66</v>
      </c>
      <c r="C196" s="15">
        <v>184.59</v>
      </c>
      <c r="D196" s="3" t="s">
        <v>29</v>
      </c>
      <c r="E196" s="3" t="str">
        <f>IFERROR(VLOOKUP(D196,'Category Map'!$A$2:$B$29,2,FALSE),"")</f>
        <v>Needs</v>
      </c>
      <c r="F196" s="3" t="s">
        <v>65</v>
      </c>
      <c r="G196" s="1"/>
    </row>
    <row r="197" spans="1:7" x14ac:dyDescent="0.25">
      <c r="A197" s="14">
        <v>45813</v>
      </c>
      <c r="B197" s="3" t="s">
        <v>67</v>
      </c>
      <c r="C197" s="15">
        <v>105</v>
      </c>
      <c r="D197" s="3" t="s">
        <v>30</v>
      </c>
      <c r="E197" s="3" t="str">
        <f>IFERROR(VLOOKUP(D197,'Category Map'!$A$2:$B$29,2,FALSE),"")</f>
        <v>Needs</v>
      </c>
      <c r="F197" s="3" t="s">
        <v>63</v>
      </c>
      <c r="G197" s="1"/>
    </row>
    <row r="198" spans="1:7" x14ac:dyDescent="0.25">
      <c r="A198" s="14">
        <v>45831</v>
      </c>
      <c r="B198" s="3" t="s">
        <v>70</v>
      </c>
      <c r="C198" s="15">
        <v>68.900000000000006</v>
      </c>
      <c r="D198" s="3" t="s">
        <v>31</v>
      </c>
      <c r="E198" s="3" t="str">
        <f>IFERROR(VLOOKUP(D198,'Category Map'!$A$2:$B$29,2,FALSE),"")</f>
        <v>Needs</v>
      </c>
      <c r="F198" s="3" t="s">
        <v>65</v>
      </c>
      <c r="G198" s="1"/>
    </row>
    <row r="199" spans="1:7" x14ac:dyDescent="0.25">
      <c r="A199" s="14">
        <v>45836</v>
      </c>
      <c r="B199" s="3" t="s">
        <v>70</v>
      </c>
      <c r="C199" s="15">
        <v>59.3</v>
      </c>
      <c r="D199" s="3" t="s">
        <v>31</v>
      </c>
      <c r="E199" s="3" t="str">
        <f>IFERROR(VLOOKUP(D199,'Category Map'!$A$2:$B$29,2,FALSE),"")</f>
        <v>Needs</v>
      </c>
      <c r="F199" s="3" t="s">
        <v>65</v>
      </c>
      <c r="G199" s="1"/>
    </row>
    <row r="200" spans="1:7" x14ac:dyDescent="0.25">
      <c r="A200" s="14">
        <v>45831</v>
      </c>
      <c r="B200" s="3" t="s">
        <v>71</v>
      </c>
      <c r="C200" s="15">
        <v>70</v>
      </c>
      <c r="D200" s="3" t="s">
        <v>33</v>
      </c>
      <c r="E200" s="3" t="str">
        <f>IFERROR(VLOOKUP(D200,'Category Map'!$A$2:$B$29,2,FALSE),"")</f>
        <v>Needs</v>
      </c>
      <c r="F200" s="3" t="s">
        <v>63</v>
      </c>
      <c r="G200" s="1"/>
    </row>
    <row r="201" spans="1:7" x14ac:dyDescent="0.25">
      <c r="A201" s="14">
        <v>45830</v>
      </c>
      <c r="B201" s="3" t="s">
        <v>72</v>
      </c>
      <c r="C201" s="15">
        <v>300</v>
      </c>
      <c r="D201" s="3" t="s">
        <v>34</v>
      </c>
      <c r="E201" s="3" t="str">
        <f>IFERROR(VLOOKUP(D201,'Category Map'!$A$2:$B$29,2,FALSE),"")</f>
        <v>Needs</v>
      </c>
      <c r="F201" s="3" t="s">
        <v>63</v>
      </c>
      <c r="G201" s="1"/>
    </row>
    <row r="202" spans="1:7" x14ac:dyDescent="0.25">
      <c r="A202" s="14">
        <v>45833</v>
      </c>
      <c r="B202" s="3" t="s">
        <v>73</v>
      </c>
      <c r="C202" s="15">
        <v>21.34</v>
      </c>
      <c r="D202" s="3" t="s">
        <v>35</v>
      </c>
      <c r="E202" s="3" t="str">
        <f>IFERROR(VLOOKUP(D202,'Category Map'!$A$2:$B$29,2,FALSE),"")</f>
        <v>Needs</v>
      </c>
      <c r="F202" s="3" t="s">
        <v>65</v>
      </c>
      <c r="G202" s="1"/>
    </row>
    <row r="203" spans="1:7" x14ac:dyDescent="0.25">
      <c r="A203" s="14">
        <v>45830</v>
      </c>
      <c r="B203" s="3" t="s">
        <v>98</v>
      </c>
      <c r="C203" s="15">
        <v>15.23</v>
      </c>
      <c r="D203" s="3" t="s">
        <v>35</v>
      </c>
      <c r="E203" s="3" t="str">
        <f>IFERROR(VLOOKUP(D203,'Category Map'!$A$2:$B$29,2,FALSE),"")</f>
        <v>Needs</v>
      </c>
      <c r="F203" s="3" t="s">
        <v>65</v>
      </c>
      <c r="G203" s="1"/>
    </row>
    <row r="204" spans="1:7" x14ac:dyDescent="0.25">
      <c r="A204" s="14">
        <v>45832</v>
      </c>
      <c r="B204" s="3" t="s">
        <v>74</v>
      </c>
      <c r="C204" s="15">
        <v>22</v>
      </c>
      <c r="D204" s="3" t="s">
        <v>36</v>
      </c>
      <c r="E204" s="3" t="str">
        <f>IFERROR(VLOOKUP(D204,'Category Map'!$A$2:$B$29,2,FALSE),"")</f>
        <v>Needs</v>
      </c>
      <c r="F204" s="3" t="s">
        <v>63</v>
      </c>
      <c r="G204" s="1"/>
    </row>
    <row r="205" spans="1:7" x14ac:dyDescent="0.25">
      <c r="A205" s="14">
        <v>45823</v>
      </c>
      <c r="B205" s="3" t="s">
        <v>75</v>
      </c>
      <c r="C205" s="15">
        <v>60</v>
      </c>
      <c r="D205" s="3" t="s">
        <v>37</v>
      </c>
      <c r="E205" s="3" t="str">
        <f>IFERROR(VLOOKUP(D205,'Category Map'!$A$2:$B$29,2,FALSE),"")</f>
        <v>Needs</v>
      </c>
      <c r="F205" s="3" t="s">
        <v>63</v>
      </c>
      <c r="G205" s="1"/>
    </row>
    <row r="206" spans="1:7" x14ac:dyDescent="0.25">
      <c r="A206" s="14">
        <v>45825</v>
      </c>
      <c r="B206" s="3" t="s">
        <v>77</v>
      </c>
      <c r="C206" s="15">
        <v>29.99</v>
      </c>
      <c r="D206" s="3" t="s">
        <v>38</v>
      </c>
      <c r="E206" s="3" t="str">
        <f>IFERROR(VLOOKUP(D206,'Category Map'!$A$2:$B$29,2,FALSE),"")</f>
        <v>Wants</v>
      </c>
      <c r="F206" s="3" t="s">
        <v>65</v>
      </c>
      <c r="G206" s="1"/>
    </row>
    <row r="207" spans="1:7" x14ac:dyDescent="0.25">
      <c r="A207" s="14">
        <v>45824</v>
      </c>
      <c r="B207" s="3" t="s">
        <v>78</v>
      </c>
      <c r="C207" s="15">
        <v>31.32</v>
      </c>
      <c r="D207" s="3" t="s">
        <v>38</v>
      </c>
      <c r="E207" s="3" t="str">
        <f>IFERROR(VLOOKUP(D207,'Category Map'!$A$2:$B$29,2,FALSE),"")</f>
        <v>Wants</v>
      </c>
      <c r="F207" s="3" t="s">
        <v>65</v>
      </c>
      <c r="G207" s="1"/>
    </row>
    <row r="208" spans="1:7" x14ac:dyDescent="0.25">
      <c r="A208" s="14">
        <v>45817</v>
      </c>
      <c r="B208" s="3" t="s">
        <v>77</v>
      </c>
      <c r="C208" s="15">
        <v>49.3</v>
      </c>
      <c r="D208" s="3" t="s">
        <v>38</v>
      </c>
      <c r="E208" s="3" t="str">
        <f>IFERROR(VLOOKUP(D208,'Category Map'!$A$2:$B$29,2,FALSE),"")</f>
        <v>Wants</v>
      </c>
      <c r="F208" s="3" t="s">
        <v>65</v>
      </c>
      <c r="G208" s="1"/>
    </row>
    <row r="209" spans="1:7" x14ac:dyDescent="0.25">
      <c r="A209" s="14">
        <v>45826</v>
      </c>
      <c r="B209" s="3" t="s">
        <v>78</v>
      </c>
      <c r="C209" s="15">
        <v>34.92</v>
      </c>
      <c r="D209" s="3" t="s">
        <v>38</v>
      </c>
      <c r="E209" s="3" t="str">
        <f>IFERROR(VLOOKUP(D209,'Category Map'!$A$2:$B$29,2,FALSE),"")</f>
        <v>Wants</v>
      </c>
      <c r="F209" s="3" t="s">
        <v>65</v>
      </c>
      <c r="G209" s="1"/>
    </row>
    <row r="210" spans="1:7" x14ac:dyDescent="0.25">
      <c r="A210" s="14">
        <v>45837</v>
      </c>
      <c r="B210" s="3" t="s">
        <v>79</v>
      </c>
      <c r="C210" s="15">
        <v>13.96</v>
      </c>
      <c r="D210" s="3" t="s">
        <v>40</v>
      </c>
      <c r="E210" s="3" t="str">
        <f>IFERROR(VLOOKUP(D210,'Category Map'!$A$2:$B$29,2,FALSE),"")</f>
        <v>Wants</v>
      </c>
      <c r="F210" s="3" t="s">
        <v>65</v>
      </c>
      <c r="G210" s="1"/>
    </row>
    <row r="211" spans="1:7" x14ac:dyDescent="0.25">
      <c r="A211" s="14">
        <v>45830</v>
      </c>
      <c r="B211" s="3" t="s">
        <v>80</v>
      </c>
      <c r="C211" s="15">
        <v>13.49</v>
      </c>
      <c r="D211" s="3" t="s">
        <v>40</v>
      </c>
      <c r="E211" s="3" t="str">
        <f>IFERROR(VLOOKUP(D211,'Category Map'!$A$2:$B$29,2,FALSE),"")</f>
        <v>Wants</v>
      </c>
      <c r="F211" s="3" t="s">
        <v>65</v>
      </c>
      <c r="G211" s="1"/>
    </row>
    <row r="212" spans="1:7" x14ac:dyDescent="0.25">
      <c r="A212" s="14">
        <v>45816</v>
      </c>
      <c r="B212" s="3" t="s">
        <v>80</v>
      </c>
      <c r="C212" s="15">
        <v>13.46</v>
      </c>
      <c r="D212" s="3" t="s">
        <v>40</v>
      </c>
      <c r="E212" s="3" t="str">
        <f>IFERROR(VLOOKUP(D212,'Category Map'!$A$2:$B$29,2,FALSE),"")</f>
        <v>Wants</v>
      </c>
      <c r="F212" s="3" t="s">
        <v>65</v>
      </c>
      <c r="G212" s="1"/>
    </row>
    <row r="213" spans="1:7" x14ac:dyDescent="0.25">
      <c r="A213" s="14">
        <v>45831</v>
      </c>
      <c r="B213" s="3" t="s">
        <v>107</v>
      </c>
      <c r="C213" s="15">
        <v>29.09</v>
      </c>
      <c r="D213" s="3" t="s">
        <v>41</v>
      </c>
      <c r="E213" s="3" t="str">
        <f>IFERROR(VLOOKUP(D213,'Category Map'!$A$2:$B$29,2,FALSE),"")</f>
        <v>Wants</v>
      </c>
      <c r="F213" s="3" t="s">
        <v>65</v>
      </c>
      <c r="G213" s="1"/>
    </row>
    <row r="214" spans="1:7" x14ac:dyDescent="0.25">
      <c r="A214" s="14">
        <v>45812</v>
      </c>
      <c r="B214" s="3" t="s">
        <v>107</v>
      </c>
      <c r="C214" s="15">
        <v>25.39</v>
      </c>
      <c r="D214" s="3" t="s">
        <v>41</v>
      </c>
      <c r="E214" s="3" t="str">
        <f>IFERROR(VLOOKUP(D214,'Category Map'!$A$2:$B$29,2,FALSE),"")</f>
        <v>Wants</v>
      </c>
      <c r="F214" s="3" t="s">
        <v>65</v>
      </c>
      <c r="G214" s="1"/>
    </row>
    <row r="215" spans="1:7" x14ac:dyDescent="0.25">
      <c r="A215" s="14">
        <v>45835</v>
      </c>
      <c r="B215" s="3" t="s">
        <v>83</v>
      </c>
      <c r="C215" s="15">
        <v>57.93</v>
      </c>
      <c r="D215" s="3" t="s">
        <v>42</v>
      </c>
      <c r="E215" s="3" t="str">
        <f>IFERROR(VLOOKUP(D215,'Category Map'!$A$2:$B$29,2,FALSE),"")</f>
        <v>Wants</v>
      </c>
      <c r="F215" s="3" t="s">
        <v>65</v>
      </c>
      <c r="G215" s="1"/>
    </row>
    <row r="216" spans="1:7" x14ac:dyDescent="0.25">
      <c r="A216" s="14">
        <v>45811</v>
      </c>
      <c r="B216" s="3" t="s">
        <v>112</v>
      </c>
      <c r="C216" s="15">
        <v>61.93</v>
      </c>
      <c r="D216" s="3" t="s">
        <v>43</v>
      </c>
      <c r="E216" s="3" t="str">
        <f>IFERROR(VLOOKUP(D216,'Category Map'!$A$2:$B$29,2,FALSE),"")</f>
        <v>Wants</v>
      </c>
      <c r="F216" s="3" t="s">
        <v>65</v>
      </c>
      <c r="G216" s="1"/>
    </row>
    <row r="217" spans="1:7" x14ac:dyDescent="0.25">
      <c r="A217" s="14">
        <v>45832</v>
      </c>
      <c r="B217" s="3" t="s">
        <v>86</v>
      </c>
      <c r="C217" s="15">
        <v>40</v>
      </c>
      <c r="D217" s="3" t="s">
        <v>44</v>
      </c>
      <c r="E217" s="3" t="str">
        <f>IFERROR(VLOOKUP(D217,'Category Map'!$A$2:$B$29,2,FALSE),"")</f>
        <v>Wants</v>
      </c>
      <c r="F217" s="3" t="s">
        <v>63</v>
      </c>
      <c r="G217" s="1"/>
    </row>
    <row r="218" spans="1:7" x14ac:dyDescent="0.25">
      <c r="A218" s="14">
        <v>45838</v>
      </c>
      <c r="B218" s="3" t="s">
        <v>87</v>
      </c>
      <c r="C218" s="15">
        <v>18.600000000000001</v>
      </c>
      <c r="D218" s="3" t="s">
        <v>45</v>
      </c>
      <c r="E218" s="3" t="str">
        <f>IFERROR(VLOOKUP(D218,'Category Map'!$A$2:$B$29,2,FALSE),"")</f>
        <v>Wants</v>
      </c>
      <c r="F218" s="3" t="s">
        <v>65</v>
      </c>
      <c r="G218" s="1"/>
    </row>
    <row r="219" spans="1:7" x14ac:dyDescent="0.25">
      <c r="A219" s="14">
        <v>45827</v>
      </c>
      <c r="B219" s="3" t="s">
        <v>88</v>
      </c>
      <c r="C219" s="15">
        <v>50.56</v>
      </c>
      <c r="D219" s="3" t="s">
        <v>46</v>
      </c>
      <c r="E219" s="3" t="str">
        <f>IFERROR(VLOOKUP(D219,'Category Map'!$A$2:$B$29,2,FALSE),"")</f>
        <v>Wants</v>
      </c>
      <c r="F219" s="3" t="s">
        <v>65</v>
      </c>
      <c r="G219" s="1"/>
    </row>
    <row r="220" spans="1:7" x14ac:dyDescent="0.25">
      <c r="A220" s="14">
        <v>45818</v>
      </c>
      <c r="B220" s="3" t="s">
        <v>113</v>
      </c>
      <c r="C220" s="15">
        <v>548.54</v>
      </c>
      <c r="D220" s="3" t="s">
        <v>47</v>
      </c>
      <c r="E220" s="3" t="str">
        <f>IFERROR(VLOOKUP(D220,'Category Map'!$A$2:$B$29,2,FALSE),"")</f>
        <v>Wants</v>
      </c>
      <c r="F220" s="3" t="s">
        <v>65</v>
      </c>
      <c r="G220" s="1"/>
    </row>
    <row r="221" spans="1:7" x14ac:dyDescent="0.25">
      <c r="A221" s="14">
        <v>45821</v>
      </c>
      <c r="B221" s="3" t="s">
        <v>114</v>
      </c>
      <c r="C221" s="15">
        <v>44.56</v>
      </c>
      <c r="D221" s="3" t="s">
        <v>48</v>
      </c>
      <c r="E221" s="3" t="str">
        <f>IFERROR(VLOOKUP(D221,'Category Map'!$A$2:$B$29,2,FALSE),"")</f>
        <v>Wants</v>
      </c>
      <c r="F221" s="3" t="s">
        <v>65</v>
      </c>
      <c r="G221" s="1"/>
    </row>
    <row r="222" spans="1:7" x14ac:dyDescent="0.25">
      <c r="A222" s="14">
        <v>45834</v>
      </c>
      <c r="B222" s="3" t="s">
        <v>89</v>
      </c>
      <c r="C222" s="15">
        <v>31.23</v>
      </c>
      <c r="D222" s="3" t="s">
        <v>49</v>
      </c>
      <c r="E222" s="3" t="str">
        <f>IFERROR(VLOOKUP(D222,'Category Map'!$A$2:$B$29,2,FALSE),"")</f>
        <v>Wants</v>
      </c>
      <c r="F222" s="3" t="s">
        <v>65</v>
      </c>
      <c r="G222" s="1"/>
    </row>
    <row r="223" spans="1:7" x14ac:dyDescent="0.25">
      <c r="A223" s="14">
        <v>45821</v>
      </c>
      <c r="B223" s="3" t="s">
        <v>90</v>
      </c>
      <c r="C223" s="15">
        <v>200</v>
      </c>
      <c r="D223" s="3" t="s">
        <v>50</v>
      </c>
      <c r="E223" s="3" t="str">
        <f>IFERROR(VLOOKUP(D223,'Category Map'!$A$2:$B$29,2,FALSE),"")</f>
        <v>Savings</v>
      </c>
      <c r="F223" s="3" t="s">
        <v>63</v>
      </c>
      <c r="G223" s="1"/>
    </row>
    <row r="224" spans="1:7" x14ac:dyDescent="0.25">
      <c r="A224" s="14">
        <v>45827</v>
      </c>
      <c r="B224" s="3" t="s">
        <v>91</v>
      </c>
      <c r="C224" s="15">
        <v>200</v>
      </c>
      <c r="D224" s="3" t="s">
        <v>52</v>
      </c>
      <c r="E224" s="3" t="str">
        <f>IFERROR(VLOOKUP(D224,'Category Map'!$A$2:$B$29,2,FALSE),"")</f>
        <v>Savings</v>
      </c>
      <c r="F224" s="3" t="s">
        <v>63</v>
      </c>
      <c r="G224" s="1"/>
    </row>
    <row r="225" spans="1:7" x14ac:dyDescent="0.25">
      <c r="A225" s="14">
        <v>45816</v>
      </c>
      <c r="B225" s="3" t="s">
        <v>92</v>
      </c>
      <c r="C225" s="15">
        <v>100</v>
      </c>
      <c r="D225" s="3" t="s">
        <v>53</v>
      </c>
      <c r="E225" s="3" t="str">
        <f>IFERROR(VLOOKUP(D225,'Category Map'!$A$2:$B$29,2,FALSE),"")</f>
        <v>Savings</v>
      </c>
      <c r="F225" s="3" t="s">
        <v>63</v>
      </c>
      <c r="G225" s="1"/>
    </row>
    <row r="226" spans="1:7" x14ac:dyDescent="0.25">
      <c r="A226" s="14">
        <v>45823</v>
      </c>
      <c r="B226" s="3" t="s">
        <v>93</v>
      </c>
      <c r="C226" s="15">
        <v>75</v>
      </c>
      <c r="D226" s="3" t="s">
        <v>54</v>
      </c>
      <c r="E226" s="3" t="str">
        <f>IFERROR(VLOOKUP(D226,'Category Map'!$A$2:$B$29,2,FALSE),"")</f>
        <v>Savings</v>
      </c>
      <c r="F226" s="3" t="s">
        <v>63</v>
      </c>
      <c r="G226" s="1"/>
    </row>
    <row r="227" spans="1:7" x14ac:dyDescent="0.25">
      <c r="A227" s="14">
        <v>45827</v>
      </c>
      <c r="B227" s="3" t="s">
        <v>94</v>
      </c>
      <c r="C227" s="15">
        <v>150</v>
      </c>
      <c r="D227" s="3" t="s">
        <v>55</v>
      </c>
      <c r="E227" s="3" t="str">
        <f>IFERROR(VLOOKUP(D227,'Category Map'!$A$2:$B$29,2,FALSE),"")</f>
        <v>Savings</v>
      </c>
      <c r="F227" s="3" t="s">
        <v>63</v>
      </c>
      <c r="G227" s="1"/>
    </row>
    <row r="228" spans="1:7" x14ac:dyDescent="0.25">
      <c r="A228" s="14">
        <v>45854</v>
      </c>
      <c r="B228" s="3" t="s">
        <v>62</v>
      </c>
      <c r="C228" s="15">
        <v>1450</v>
      </c>
      <c r="D228" s="3" t="s">
        <v>26</v>
      </c>
      <c r="E228" s="3" t="str">
        <f>IFERROR(VLOOKUP(D228,'Category Map'!$A$2:$B$29,2,FALSE),"")</f>
        <v>Needs</v>
      </c>
      <c r="F228" s="3" t="s">
        <v>63</v>
      </c>
      <c r="G228" s="1"/>
    </row>
    <row r="229" spans="1:7" x14ac:dyDescent="0.25">
      <c r="A229" s="14">
        <v>45843</v>
      </c>
      <c r="B229" s="3" t="s">
        <v>64</v>
      </c>
      <c r="C229" s="15">
        <v>128.47999999999999</v>
      </c>
      <c r="D229" s="3" t="s">
        <v>28</v>
      </c>
      <c r="E229" s="3" t="str">
        <f>IFERROR(VLOOKUP(D229,'Category Map'!$A$2:$B$29,2,FALSE),"")</f>
        <v>Needs</v>
      </c>
      <c r="F229" s="3" t="s">
        <v>65</v>
      </c>
      <c r="G229" s="1"/>
    </row>
    <row r="230" spans="1:7" x14ac:dyDescent="0.25">
      <c r="A230" s="14">
        <v>45857</v>
      </c>
      <c r="B230" s="3" t="s">
        <v>106</v>
      </c>
      <c r="C230" s="15">
        <v>193.84</v>
      </c>
      <c r="D230" s="3" t="s">
        <v>29</v>
      </c>
      <c r="E230" s="3" t="str">
        <f>IFERROR(VLOOKUP(D230,'Category Map'!$A$2:$B$29,2,FALSE),"")</f>
        <v>Needs</v>
      </c>
      <c r="F230" s="3" t="s">
        <v>65</v>
      </c>
      <c r="G230" s="1"/>
    </row>
    <row r="231" spans="1:7" x14ac:dyDescent="0.25">
      <c r="A231" s="14">
        <v>45865</v>
      </c>
      <c r="B231" s="3" t="s">
        <v>66</v>
      </c>
      <c r="C231" s="15">
        <v>153.38999999999999</v>
      </c>
      <c r="D231" s="3" t="s">
        <v>29</v>
      </c>
      <c r="E231" s="3" t="str">
        <f>IFERROR(VLOOKUP(D231,'Category Map'!$A$2:$B$29,2,FALSE),"")</f>
        <v>Needs</v>
      </c>
      <c r="F231" s="3" t="s">
        <v>65</v>
      </c>
      <c r="G231" s="1"/>
    </row>
    <row r="232" spans="1:7" x14ac:dyDescent="0.25">
      <c r="A232" s="14">
        <v>45865</v>
      </c>
      <c r="B232" s="3" t="s">
        <v>67</v>
      </c>
      <c r="C232" s="15">
        <v>105</v>
      </c>
      <c r="D232" s="3" t="s">
        <v>30</v>
      </c>
      <c r="E232" s="3" t="str">
        <f>IFERROR(VLOOKUP(D232,'Category Map'!$A$2:$B$29,2,FALSE),"")</f>
        <v>Needs</v>
      </c>
      <c r="F232" s="3" t="s">
        <v>63</v>
      </c>
      <c r="G232" s="1"/>
    </row>
    <row r="233" spans="1:7" x14ac:dyDescent="0.25">
      <c r="A233" s="14">
        <v>45849</v>
      </c>
      <c r="B233" s="3" t="s">
        <v>69</v>
      </c>
      <c r="C233" s="15">
        <v>37.39</v>
      </c>
      <c r="D233" s="3" t="s">
        <v>31</v>
      </c>
      <c r="E233" s="3" t="str">
        <f>IFERROR(VLOOKUP(D233,'Category Map'!$A$2:$B$29,2,FALSE),"")</f>
        <v>Needs</v>
      </c>
      <c r="F233" s="3" t="s">
        <v>65</v>
      </c>
      <c r="G233" s="1"/>
    </row>
    <row r="234" spans="1:7" x14ac:dyDescent="0.25">
      <c r="A234" s="14">
        <v>45852</v>
      </c>
      <c r="B234" s="3" t="s">
        <v>69</v>
      </c>
      <c r="C234" s="15">
        <v>47.75</v>
      </c>
      <c r="D234" s="3" t="s">
        <v>31</v>
      </c>
      <c r="E234" s="3" t="str">
        <f>IFERROR(VLOOKUP(D234,'Category Map'!$A$2:$B$29,2,FALSE),"")</f>
        <v>Needs</v>
      </c>
      <c r="F234" s="3" t="s">
        <v>65</v>
      </c>
      <c r="G234" s="1"/>
    </row>
    <row r="235" spans="1:7" x14ac:dyDescent="0.25">
      <c r="A235" s="14">
        <v>45853</v>
      </c>
      <c r="B235" s="3" t="s">
        <v>70</v>
      </c>
      <c r="C235" s="15">
        <v>39.24</v>
      </c>
      <c r="D235" s="3" t="s">
        <v>31</v>
      </c>
      <c r="E235" s="3" t="str">
        <f>IFERROR(VLOOKUP(D235,'Category Map'!$A$2:$B$29,2,FALSE),"")</f>
        <v>Needs</v>
      </c>
      <c r="F235" s="3" t="s">
        <v>65</v>
      </c>
      <c r="G235" s="1"/>
    </row>
    <row r="236" spans="1:7" x14ac:dyDescent="0.25">
      <c r="A236" s="14">
        <v>45852</v>
      </c>
      <c r="B236" s="3" t="s">
        <v>71</v>
      </c>
      <c r="C236" s="15">
        <v>70</v>
      </c>
      <c r="D236" s="3" t="s">
        <v>33</v>
      </c>
      <c r="E236" s="3" t="str">
        <f>IFERROR(VLOOKUP(D236,'Category Map'!$A$2:$B$29,2,FALSE),"")</f>
        <v>Needs</v>
      </c>
      <c r="F236" s="3" t="s">
        <v>63</v>
      </c>
      <c r="G236" s="1"/>
    </row>
    <row r="237" spans="1:7" x14ac:dyDescent="0.25">
      <c r="A237" s="14">
        <v>45844</v>
      </c>
      <c r="B237" s="3" t="s">
        <v>111</v>
      </c>
      <c r="C237" s="15">
        <v>300</v>
      </c>
      <c r="D237" s="3" t="s">
        <v>34</v>
      </c>
      <c r="E237" s="3" t="str">
        <f>IFERROR(VLOOKUP(D237,'Category Map'!$A$2:$B$29,2,FALSE),"")</f>
        <v>Needs</v>
      </c>
      <c r="F237" s="3" t="s">
        <v>63</v>
      </c>
      <c r="G237" s="1"/>
    </row>
    <row r="238" spans="1:7" x14ac:dyDescent="0.25">
      <c r="A238" s="14">
        <v>45858</v>
      </c>
      <c r="B238" s="3" t="s">
        <v>98</v>
      </c>
      <c r="C238" s="15">
        <v>13.5</v>
      </c>
      <c r="D238" s="3" t="s">
        <v>35</v>
      </c>
      <c r="E238" s="3" t="str">
        <f>IFERROR(VLOOKUP(D238,'Category Map'!$A$2:$B$29,2,FALSE),"")</f>
        <v>Needs</v>
      </c>
      <c r="F238" s="3" t="s">
        <v>65</v>
      </c>
      <c r="G238" s="1"/>
    </row>
    <row r="239" spans="1:7" x14ac:dyDescent="0.25">
      <c r="A239" s="14">
        <v>45857</v>
      </c>
      <c r="B239" s="3" t="s">
        <v>73</v>
      </c>
      <c r="C239" s="15">
        <v>18.21</v>
      </c>
      <c r="D239" s="3" t="s">
        <v>35</v>
      </c>
      <c r="E239" s="3" t="str">
        <f>IFERROR(VLOOKUP(D239,'Category Map'!$A$2:$B$29,2,FALSE),"")</f>
        <v>Needs</v>
      </c>
      <c r="F239" s="3" t="s">
        <v>65</v>
      </c>
      <c r="G239" s="1"/>
    </row>
    <row r="240" spans="1:7" x14ac:dyDescent="0.25">
      <c r="A240" s="14">
        <v>45844</v>
      </c>
      <c r="B240" s="3" t="s">
        <v>74</v>
      </c>
      <c r="C240" s="15">
        <v>22</v>
      </c>
      <c r="D240" s="3" t="s">
        <v>36</v>
      </c>
      <c r="E240" s="3" t="str">
        <f>IFERROR(VLOOKUP(D240,'Category Map'!$A$2:$B$29,2,FALSE),"")</f>
        <v>Needs</v>
      </c>
      <c r="F240" s="3" t="s">
        <v>63</v>
      </c>
      <c r="G240" s="1"/>
    </row>
    <row r="241" spans="1:7" x14ac:dyDescent="0.25">
      <c r="A241" s="14">
        <v>45848</v>
      </c>
      <c r="B241" s="3" t="s">
        <v>75</v>
      </c>
      <c r="C241" s="15">
        <v>60</v>
      </c>
      <c r="D241" s="3" t="s">
        <v>37</v>
      </c>
      <c r="E241" s="3" t="str">
        <f>IFERROR(VLOOKUP(D241,'Category Map'!$A$2:$B$29,2,FALSE),"")</f>
        <v>Needs</v>
      </c>
      <c r="F241" s="3" t="s">
        <v>63</v>
      </c>
      <c r="G241" s="1"/>
    </row>
    <row r="242" spans="1:7" x14ac:dyDescent="0.25">
      <c r="A242" s="14">
        <v>45864</v>
      </c>
      <c r="B242" s="3" t="s">
        <v>99</v>
      </c>
      <c r="C242" s="15">
        <v>31.34</v>
      </c>
      <c r="D242" s="3" t="s">
        <v>38</v>
      </c>
      <c r="E242" s="3" t="str">
        <f>IFERROR(VLOOKUP(D242,'Category Map'!$A$2:$B$29,2,FALSE),"")</f>
        <v>Wants</v>
      </c>
      <c r="F242" s="3" t="s">
        <v>65</v>
      </c>
      <c r="G242" s="1"/>
    </row>
    <row r="243" spans="1:7" x14ac:dyDescent="0.25">
      <c r="A243" s="14">
        <v>45843</v>
      </c>
      <c r="B243" s="3" t="s">
        <v>76</v>
      </c>
      <c r="C243" s="15">
        <v>27.99</v>
      </c>
      <c r="D243" s="3" t="s">
        <v>38</v>
      </c>
      <c r="E243" s="3" t="str">
        <f>IFERROR(VLOOKUP(D243,'Category Map'!$A$2:$B$29,2,FALSE),"")</f>
        <v>Wants</v>
      </c>
      <c r="F243" s="3" t="s">
        <v>65</v>
      </c>
      <c r="G243" s="1"/>
    </row>
    <row r="244" spans="1:7" x14ac:dyDescent="0.25">
      <c r="A244" s="14">
        <v>45844</v>
      </c>
      <c r="B244" s="3" t="s">
        <v>78</v>
      </c>
      <c r="C244" s="15">
        <v>39.799999999999997</v>
      </c>
      <c r="D244" s="3" t="s">
        <v>38</v>
      </c>
      <c r="E244" s="3" t="str">
        <f>IFERROR(VLOOKUP(D244,'Category Map'!$A$2:$B$29,2,FALSE),"")</f>
        <v>Wants</v>
      </c>
      <c r="F244" s="3" t="s">
        <v>65</v>
      </c>
      <c r="G244" s="1"/>
    </row>
    <row r="245" spans="1:7" x14ac:dyDescent="0.25">
      <c r="A245" s="14">
        <v>45844</v>
      </c>
      <c r="B245" s="3" t="s">
        <v>76</v>
      </c>
      <c r="C245" s="15">
        <v>27.4</v>
      </c>
      <c r="D245" s="3" t="s">
        <v>38</v>
      </c>
      <c r="E245" s="3" t="str">
        <f>IFERROR(VLOOKUP(D245,'Category Map'!$A$2:$B$29,2,FALSE),"")</f>
        <v>Wants</v>
      </c>
      <c r="F245" s="3" t="s">
        <v>65</v>
      </c>
      <c r="G245" s="1"/>
    </row>
    <row r="246" spans="1:7" x14ac:dyDescent="0.25">
      <c r="A246" s="14">
        <v>45845</v>
      </c>
      <c r="B246" s="3" t="s">
        <v>79</v>
      </c>
      <c r="C246" s="15">
        <v>12.73</v>
      </c>
      <c r="D246" s="3" t="s">
        <v>40</v>
      </c>
      <c r="E246" s="3" t="str">
        <f>IFERROR(VLOOKUP(D246,'Category Map'!$A$2:$B$29,2,FALSE),"")</f>
        <v>Wants</v>
      </c>
      <c r="F246" s="3" t="s">
        <v>65</v>
      </c>
      <c r="G246" s="1"/>
    </row>
    <row r="247" spans="1:7" x14ac:dyDescent="0.25">
      <c r="A247" s="14">
        <v>45852</v>
      </c>
      <c r="B247" s="3" t="s">
        <v>80</v>
      </c>
      <c r="C247" s="15">
        <v>13.64</v>
      </c>
      <c r="D247" s="3" t="s">
        <v>40</v>
      </c>
      <c r="E247" s="3" t="str">
        <f>IFERROR(VLOOKUP(D247,'Category Map'!$A$2:$B$29,2,FALSE),"")</f>
        <v>Wants</v>
      </c>
      <c r="F247" s="3" t="s">
        <v>65</v>
      </c>
      <c r="G247" s="1"/>
    </row>
    <row r="248" spans="1:7" x14ac:dyDescent="0.25">
      <c r="A248" s="14">
        <v>45866</v>
      </c>
      <c r="B248" s="3" t="s">
        <v>79</v>
      </c>
      <c r="C248" s="15">
        <v>8.5399999999999991</v>
      </c>
      <c r="D248" s="3" t="s">
        <v>40</v>
      </c>
      <c r="E248" s="3" t="str">
        <f>IFERROR(VLOOKUP(D248,'Category Map'!$A$2:$B$29,2,FALSE),"")</f>
        <v>Wants</v>
      </c>
      <c r="F248" s="3" t="s">
        <v>65</v>
      </c>
      <c r="G248" s="1"/>
    </row>
    <row r="249" spans="1:7" x14ac:dyDescent="0.25">
      <c r="A249" s="14">
        <v>45865</v>
      </c>
      <c r="B249" s="3" t="s">
        <v>80</v>
      </c>
      <c r="C249" s="15">
        <v>8.68</v>
      </c>
      <c r="D249" s="3" t="s">
        <v>40</v>
      </c>
      <c r="E249" s="3" t="str">
        <f>IFERROR(VLOOKUP(D249,'Category Map'!$A$2:$B$29,2,FALSE),"")</f>
        <v>Wants</v>
      </c>
      <c r="F249" s="3" t="s">
        <v>65</v>
      </c>
      <c r="G249" s="1"/>
    </row>
    <row r="250" spans="1:7" x14ac:dyDescent="0.25">
      <c r="A250" s="14">
        <v>45847</v>
      </c>
      <c r="B250" s="3" t="s">
        <v>82</v>
      </c>
      <c r="C250" s="15">
        <v>58.77</v>
      </c>
      <c r="D250" s="3" t="s">
        <v>41</v>
      </c>
      <c r="E250" s="3" t="str">
        <f>IFERROR(VLOOKUP(D250,'Category Map'!$A$2:$B$29,2,FALSE),"")</f>
        <v>Wants</v>
      </c>
      <c r="F250" s="3" t="s">
        <v>65</v>
      </c>
      <c r="G250" s="1"/>
    </row>
    <row r="251" spans="1:7" x14ac:dyDescent="0.25">
      <c r="A251" s="14">
        <v>45855</v>
      </c>
      <c r="B251" s="3" t="s">
        <v>83</v>
      </c>
      <c r="C251" s="15">
        <v>52.21</v>
      </c>
      <c r="D251" s="3" t="s">
        <v>42</v>
      </c>
      <c r="E251" s="3" t="str">
        <f>IFERROR(VLOOKUP(D251,'Category Map'!$A$2:$B$29,2,FALSE),"")</f>
        <v>Wants</v>
      </c>
      <c r="F251" s="3" t="s">
        <v>65</v>
      </c>
      <c r="G251" s="1"/>
    </row>
    <row r="252" spans="1:7" x14ac:dyDescent="0.25">
      <c r="A252" s="14">
        <v>45858</v>
      </c>
      <c r="B252" s="3" t="s">
        <v>112</v>
      </c>
      <c r="C252" s="15">
        <v>37.08</v>
      </c>
      <c r="D252" s="3" t="s">
        <v>43</v>
      </c>
      <c r="E252" s="3" t="str">
        <f>IFERROR(VLOOKUP(D252,'Category Map'!$A$2:$B$29,2,FALSE),"")</f>
        <v>Wants</v>
      </c>
      <c r="F252" s="3" t="s">
        <v>65</v>
      </c>
      <c r="G252" s="1"/>
    </row>
    <row r="253" spans="1:7" x14ac:dyDescent="0.25">
      <c r="A253" s="14">
        <v>45855</v>
      </c>
      <c r="B253" s="3" t="s">
        <v>112</v>
      </c>
      <c r="C253" s="15">
        <v>24.27</v>
      </c>
      <c r="D253" s="3" t="s">
        <v>43</v>
      </c>
      <c r="E253" s="3" t="str">
        <f>IFERROR(VLOOKUP(D253,'Category Map'!$A$2:$B$29,2,FALSE),"")</f>
        <v>Wants</v>
      </c>
      <c r="F253" s="3" t="s">
        <v>65</v>
      </c>
      <c r="G253" s="1"/>
    </row>
    <row r="254" spans="1:7" x14ac:dyDescent="0.25">
      <c r="A254" s="14">
        <v>45853</v>
      </c>
      <c r="B254" s="3" t="s">
        <v>86</v>
      </c>
      <c r="C254" s="15">
        <v>40</v>
      </c>
      <c r="D254" s="3" t="s">
        <v>44</v>
      </c>
      <c r="E254" s="3" t="str">
        <f>IFERROR(VLOOKUP(D254,'Category Map'!$A$2:$B$29,2,FALSE),"")</f>
        <v>Wants</v>
      </c>
      <c r="F254" s="3" t="s">
        <v>63</v>
      </c>
      <c r="G254" s="1"/>
    </row>
    <row r="255" spans="1:7" x14ac:dyDescent="0.25">
      <c r="A255" s="14">
        <v>45869</v>
      </c>
      <c r="B255" s="3" t="s">
        <v>102</v>
      </c>
      <c r="C255" s="15">
        <v>23.46</v>
      </c>
      <c r="D255" s="3" t="s">
        <v>45</v>
      </c>
      <c r="E255" s="3" t="str">
        <f>IFERROR(VLOOKUP(D255,'Category Map'!$A$2:$B$29,2,FALSE),"")</f>
        <v>Wants</v>
      </c>
      <c r="F255" s="3" t="s">
        <v>65</v>
      </c>
      <c r="G255" s="1"/>
    </row>
    <row r="256" spans="1:7" x14ac:dyDescent="0.25">
      <c r="A256" s="14">
        <v>45851</v>
      </c>
      <c r="B256" s="3" t="s">
        <v>88</v>
      </c>
      <c r="C256" s="15">
        <v>15.36</v>
      </c>
      <c r="D256" s="3" t="s">
        <v>46</v>
      </c>
      <c r="E256" s="3" t="str">
        <f>IFERROR(VLOOKUP(D256,'Category Map'!$A$2:$B$29,2,FALSE),"")</f>
        <v>Wants</v>
      </c>
      <c r="F256" s="3" t="s">
        <v>65</v>
      </c>
      <c r="G256" s="1"/>
    </row>
    <row r="257" spans="1:7" x14ac:dyDescent="0.25">
      <c r="A257" s="14">
        <v>45850</v>
      </c>
      <c r="B257" s="3" t="s">
        <v>88</v>
      </c>
      <c r="C257" s="15">
        <v>10.8</v>
      </c>
      <c r="D257" s="3" t="s">
        <v>46</v>
      </c>
      <c r="E257" s="3" t="str">
        <f>IFERROR(VLOOKUP(D257,'Category Map'!$A$2:$B$29,2,FALSE),"")</f>
        <v>Wants</v>
      </c>
      <c r="F257" s="3" t="s">
        <v>65</v>
      </c>
      <c r="G257" s="1"/>
    </row>
    <row r="258" spans="1:7" x14ac:dyDescent="0.25">
      <c r="A258" s="14">
        <v>45843</v>
      </c>
      <c r="B258" s="3" t="s">
        <v>103</v>
      </c>
      <c r="C258" s="15">
        <v>10.47</v>
      </c>
      <c r="D258" s="3" t="s">
        <v>48</v>
      </c>
      <c r="E258" s="3" t="str">
        <f>IFERROR(VLOOKUP(D258,'Category Map'!$A$2:$B$29,2,FALSE),"")</f>
        <v>Wants</v>
      </c>
      <c r="F258" s="3" t="s">
        <v>65</v>
      </c>
      <c r="G258" s="1"/>
    </row>
    <row r="259" spans="1:7" x14ac:dyDescent="0.25">
      <c r="A259" s="14">
        <v>45839</v>
      </c>
      <c r="B259" s="3" t="s">
        <v>103</v>
      </c>
      <c r="C259" s="15">
        <v>21.08</v>
      </c>
      <c r="D259" s="3" t="s">
        <v>48</v>
      </c>
      <c r="E259" s="3" t="str">
        <f>IFERROR(VLOOKUP(D259,'Category Map'!$A$2:$B$29,2,FALSE),"")</f>
        <v>Wants</v>
      </c>
      <c r="F259" s="3" t="s">
        <v>65</v>
      </c>
      <c r="G259" s="1"/>
    </row>
    <row r="260" spans="1:7" x14ac:dyDescent="0.25">
      <c r="A260" s="14">
        <v>45852</v>
      </c>
      <c r="B260" s="3" t="s">
        <v>89</v>
      </c>
      <c r="C260" s="15">
        <v>21.19</v>
      </c>
      <c r="D260" s="3" t="s">
        <v>49</v>
      </c>
      <c r="E260" s="3" t="str">
        <f>IFERROR(VLOOKUP(D260,'Category Map'!$A$2:$B$29,2,FALSE),"")</f>
        <v>Wants</v>
      </c>
      <c r="F260" s="3" t="s">
        <v>65</v>
      </c>
      <c r="G260" s="1"/>
    </row>
    <row r="261" spans="1:7" x14ac:dyDescent="0.25">
      <c r="A261" s="14">
        <v>45848</v>
      </c>
      <c r="B261" s="3" t="s">
        <v>104</v>
      </c>
      <c r="C261" s="15">
        <v>28.91</v>
      </c>
      <c r="D261" s="3" t="s">
        <v>49</v>
      </c>
      <c r="E261" s="3" t="str">
        <f>IFERROR(VLOOKUP(D261,'Category Map'!$A$2:$B$29,2,FALSE),"")</f>
        <v>Wants</v>
      </c>
      <c r="F261" s="3" t="s">
        <v>65</v>
      </c>
      <c r="G261" s="1"/>
    </row>
    <row r="262" spans="1:7" x14ac:dyDescent="0.25">
      <c r="A262" s="14">
        <v>45839</v>
      </c>
      <c r="B262" s="3" t="s">
        <v>90</v>
      </c>
      <c r="C262" s="15">
        <v>200</v>
      </c>
      <c r="D262" s="3" t="s">
        <v>50</v>
      </c>
      <c r="E262" s="3" t="str">
        <f>IFERROR(VLOOKUP(D262,'Category Map'!$A$2:$B$29,2,FALSE),"")</f>
        <v>Savings</v>
      </c>
      <c r="F262" s="3" t="s">
        <v>63</v>
      </c>
      <c r="G262" s="1"/>
    </row>
    <row r="263" spans="1:7" x14ac:dyDescent="0.25">
      <c r="A263" s="14">
        <v>45842</v>
      </c>
      <c r="B263" s="3" t="s">
        <v>91</v>
      </c>
      <c r="C263" s="15">
        <v>200</v>
      </c>
      <c r="D263" s="3" t="s">
        <v>52</v>
      </c>
      <c r="E263" s="3" t="str">
        <f>IFERROR(VLOOKUP(D263,'Category Map'!$A$2:$B$29,2,FALSE),"")</f>
        <v>Savings</v>
      </c>
      <c r="F263" s="3" t="s">
        <v>63</v>
      </c>
      <c r="G263" s="1"/>
    </row>
    <row r="264" spans="1:7" x14ac:dyDescent="0.25">
      <c r="A264" s="14">
        <v>45845</v>
      </c>
      <c r="B264" s="3" t="s">
        <v>92</v>
      </c>
      <c r="C264" s="15">
        <v>100</v>
      </c>
      <c r="D264" s="3" t="s">
        <v>53</v>
      </c>
      <c r="E264" s="3" t="str">
        <f>IFERROR(VLOOKUP(D264,'Category Map'!$A$2:$B$29,2,FALSE),"")</f>
        <v>Savings</v>
      </c>
      <c r="F264" s="3" t="s">
        <v>63</v>
      </c>
      <c r="G264" s="1"/>
    </row>
    <row r="265" spans="1:7" x14ac:dyDescent="0.25">
      <c r="A265" s="14">
        <v>45856</v>
      </c>
      <c r="B265" s="3" t="s">
        <v>93</v>
      </c>
      <c r="C265" s="15">
        <v>75</v>
      </c>
      <c r="D265" s="3" t="s">
        <v>54</v>
      </c>
      <c r="E265" s="3" t="str">
        <f>IFERROR(VLOOKUP(D265,'Category Map'!$A$2:$B$29,2,FALSE),"")</f>
        <v>Savings</v>
      </c>
      <c r="F265" s="3" t="s">
        <v>63</v>
      </c>
      <c r="G265" s="1"/>
    </row>
    <row r="266" spans="1:7" x14ac:dyDescent="0.25">
      <c r="A266" s="14">
        <v>45853</v>
      </c>
      <c r="B266" s="3" t="s">
        <v>94</v>
      </c>
      <c r="C266" s="15">
        <v>150</v>
      </c>
      <c r="D266" s="3" t="s">
        <v>55</v>
      </c>
      <c r="E266" s="3" t="str">
        <f>IFERROR(VLOOKUP(D266,'Category Map'!$A$2:$B$29,2,FALSE),"")</f>
        <v>Savings</v>
      </c>
      <c r="F266" s="3" t="s">
        <v>63</v>
      </c>
      <c r="G266" s="1"/>
    </row>
    <row r="267" spans="1:7" x14ac:dyDescent="0.25">
      <c r="A267" s="14">
        <v>45866</v>
      </c>
      <c r="B267" s="3" t="s">
        <v>95</v>
      </c>
      <c r="C267" s="15">
        <v>250</v>
      </c>
      <c r="D267" s="3" t="s">
        <v>56</v>
      </c>
      <c r="E267" s="3" t="str">
        <f>IFERROR(VLOOKUP(D267,'Category Map'!$A$2:$B$29,2,FALSE),"")</f>
        <v>Savings</v>
      </c>
      <c r="F267" s="3" t="s">
        <v>63</v>
      </c>
      <c r="G267" s="1"/>
    </row>
    <row r="268" spans="1:7" x14ac:dyDescent="0.25">
      <c r="A268" s="14">
        <v>45885</v>
      </c>
      <c r="B268" s="3" t="s">
        <v>62</v>
      </c>
      <c r="C268" s="15">
        <v>1450</v>
      </c>
      <c r="D268" s="3" t="s">
        <v>26</v>
      </c>
      <c r="E268" s="3" t="str">
        <f>IFERROR(VLOOKUP(D268,'Category Map'!$A$2:$B$29,2,FALSE),"")</f>
        <v>Needs</v>
      </c>
      <c r="F268" s="3" t="s">
        <v>63</v>
      </c>
      <c r="G268" s="1"/>
    </row>
    <row r="269" spans="1:7" x14ac:dyDescent="0.25">
      <c r="A269" s="14">
        <v>45877</v>
      </c>
      <c r="B269" s="3" t="s">
        <v>64</v>
      </c>
      <c r="C269" s="15">
        <v>129.93</v>
      </c>
      <c r="D269" s="3" t="s">
        <v>28</v>
      </c>
      <c r="E269" s="3" t="str">
        <f>IFERROR(VLOOKUP(D269,'Category Map'!$A$2:$B$29,2,FALSE),"")</f>
        <v>Needs</v>
      </c>
      <c r="F269" s="3" t="s">
        <v>65</v>
      </c>
      <c r="G269" s="1"/>
    </row>
    <row r="270" spans="1:7" x14ac:dyDescent="0.25">
      <c r="A270" s="14">
        <v>45873</v>
      </c>
      <c r="B270" s="3" t="s">
        <v>66</v>
      </c>
      <c r="C270" s="15">
        <v>249.87</v>
      </c>
      <c r="D270" s="3" t="s">
        <v>29</v>
      </c>
      <c r="E270" s="3" t="str">
        <f>IFERROR(VLOOKUP(D270,'Category Map'!$A$2:$B$29,2,FALSE),"")</f>
        <v>Needs</v>
      </c>
      <c r="F270" s="3" t="s">
        <v>65</v>
      </c>
      <c r="G270" s="1"/>
    </row>
    <row r="271" spans="1:7" x14ac:dyDescent="0.25">
      <c r="A271" s="14">
        <v>45886</v>
      </c>
      <c r="B271" s="3" t="s">
        <v>106</v>
      </c>
      <c r="C271" s="15">
        <v>207.9</v>
      </c>
      <c r="D271" s="3" t="s">
        <v>29</v>
      </c>
      <c r="E271" s="3" t="str">
        <f>IFERROR(VLOOKUP(D271,'Category Map'!$A$2:$B$29,2,FALSE),"")</f>
        <v>Needs</v>
      </c>
      <c r="F271" s="3" t="s">
        <v>65</v>
      </c>
      <c r="G271" s="1"/>
    </row>
    <row r="272" spans="1:7" x14ac:dyDescent="0.25">
      <c r="A272" s="14">
        <v>45887</v>
      </c>
      <c r="B272" s="3" t="s">
        <v>67</v>
      </c>
      <c r="C272" s="15">
        <v>105</v>
      </c>
      <c r="D272" s="3" t="s">
        <v>30</v>
      </c>
      <c r="E272" s="3" t="str">
        <f>IFERROR(VLOOKUP(D272,'Category Map'!$A$2:$B$29,2,FALSE),"")</f>
        <v>Needs</v>
      </c>
      <c r="F272" s="3" t="s">
        <v>63</v>
      </c>
      <c r="G272" s="1"/>
    </row>
    <row r="273" spans="1:7" x14ac:dyDescent="0.25">
      <c r="A273" s="14">
        <v>45880</v>
      </c>
      <c r="B273" s="3" t="s">
        <v>70</v>
      </c>
      <c r="C273" s="15">
        <v>77.459999999999994</v>
      </c>
      <c r="D273" s="3" t="s">
        <v>31</v>
      </c>
      <c r="E273" s="3" t="str">
        <f>IFERROR(VLOOKUP(D273,'Category Map'!$A$2:$B$29,2,FALSE),"")</f>
        <v>Needs</v>
      </c>
      <c r="F273" s="3" t="s">
        <v>65</v>
      </c>
      <c r="G273" s="1"/>
    </row>
    <row r="274" spans="1:7" x14ac:dyDescent="0.25">
      <c r="A274" s="14">
        <v>45889</v>
      </c>
      <c r="B274" s="3" t="s">
        <v>70</v>
      </c>
      <c r="C274" s="15">
        <v>75.72</v>
      </c>
      <c r="D274" s="3" t="s">
        <v>31</v>
      </c>
      <c r="E274" s="3" t="str">
        <f>IFERROR(VLOOKUP(D274,'Category Map'!$A$2:$B$29,2,FALSE),"")</f>
        <v>Needs</v>
      </c>
      <c r="F274" s="3" t="s">
        <v>65</v>
      </c>
      <c r="G274" s="1"/>
    </row>
    <row r="275" spans="1:7" x14ac:dyDescent="0.25">
      <c r="A275" s="14">
        <v>45886</v>
      </c>
      <c r="B275" s="3" t="s">
        <v>71</v>
      </c>
      <c r="C275" s="15">
        <v>70</v>
      </c>
      <c r="D275" s="3" t="s">
        <v>33</v>
      </c>
      <c r="E275" s="3" t="str">
        <f>IFERROR(VLOOKUP(D275,'Category Map'!$A$2:$B$29,2,FALSE),"")</f>
        <v>Needs</v>
      </c>
      <c r="F275" s="3" t="s">
        <v>63</v>
      </c>
      <c r="G275" s="1"/>
    </row>
    <row r="276" spans="1:7" x14ac:dyDescent="0.25">
      <c r="A276" s="14">
        <v>45897</v>
      </c>
      <c r="B276" s="3" t="s">
        <v>111</v>
      </c>
      <c r="C276" s="15">
        <v>300</v>
      </c>
      <c r="D276" s="3" t="s">
        <v>34</v>
      </c>
      <c r="E276" s="3" t="str">
        <f>IFERROR(VLOOKUP(D276,'Category Map'!$A$2:$B$29,2,FALSE),"")</f>
        <v>Needs</v>
      </c>
      <c r="F276" s="3" t="s">
        <v>63</v>
      </c>
      <c r="G276" s="1"/>
    </row>
    <row r="277" spans="1:7" x14ac:dyDescent="0.25">
      <c r="A277" s="14">
        <v>45871</v>
      </c>
      <c r="B277" s="3" t="s">
        <v>98</v>
      </c>
      <c r="C277" s="15">
        <v>26.54</v>
      </c>
      <c r="D277" s="3" t="s">
        <v>35</v>
      </c>
      <c r="E277" s="3" t="str">
        <f>IFERROR(VLOOKUP(D277,'Category Map'!$A$2:$B$29,2,FALSE),"")</f>
        <v>Needs</v>
      </c>
      <c r="F277" s="3" t="s">
        <v>65</v>
      </c>
      <c r="G277" s="1"/>
    </row>
    <row r="278" spans="1:7" x14ac:dyDescent="0.25">
      <c r="A278" s="14">
        <v>45875</v>
      </c>
      <c r="B278" s="3" t="s">
        <v>73</v>
      </c>
      <c r="C278" s="15">
        <v>13.44</v>
      </c>
      <c r="D278" s="3" t="s">
        <v>35</v>
      </c>
      <c r="E278" s="3" t="str">
        <f>IFERROR(VLOOKUP(D278,'Category Map'!$A$2:$B$29,2,FALSE),"")</f>
        <v>Needs</v>
      </c>
      <c r="F278" s="3" t="s">
        <v>65</v>
      </c>
      <c r="G278" s="1"/>
    </row>
    <row r="279" spans="1:7" x14ac:dyDescent="0.25">
      <c r="A279" s="14">
        <v>45878</v>
      </c>
      <c r="B279" s="3" t="s">
        <v>74</v>
      </c>
      <c r="C279" s="15">
        <v>22</v>
      </c>
      <c r="D279" s="3" t="s">
        <v>36</v>
      </c>
      <c r="E279" s="3" t="str">
        <f>IFERROR(VLOOKUP(D279,'Category Map'!$A$2:$B$29,2,FALSE),"")</f>
        <v>Needs</v>
      </c>
      <c r="F279" s="3" t="s">
        <v>63</v>
      </c>
      <c r="G279" s="1"/>
    </row>
    <row r="280" spans="1:7" x14ac:dyDescent="0.25">
      <c r="A280" s="14">
        <v>45899</v>
      </c>
      <c r="B280" s="3" t="s">
        <v>75</v>
      </c>
      <c r="C280" s="15">
        <v>60</v>
      </c>
      <c r="D280" s="3" t="s">
        <v>37</v>
      </c>
      <c r="E280" s="3" t="str">
        <f>IFERROR(VLOOKUP(D280,'Category Map'!$A$2:$B$29,2,FALSE),"")</f>
        <v>Needs</v>
      </c>
      <c r="F280" s="3" t="s">
        <v>63</v>
      </c>
      <c r="G280" s="1"/>
    </row>
    <row r="281" spans="1:7" x14ac:dyDescent="0.25">
      <c r="A281" s="14">
        <v>45882</v>
      </c>
      <c r="B281" s="3" t="s">
        <v>78</v>
      </c>
      <c r="C281" s="15">
        <v>37.94</v>
      </c>
      <c r="D281" s="3" t="s">
        <v>38</v>
      </c>
      <c r="E281" s="3" t="str">
        <f>IFERROR(VLOOKUP(D281,'Category Map'!$A$2:$B$29,2,FALSE),"")</f>
        <v>Wants</v>
      </c>
      <c r="F281" s="3" t="s">
        <v>65</v>
      </c>
      <c r="G281" s="1"/>
    </row>
    <row r="282" spans="1:7" x14ac:dyDescent="0.25">
      <c r="A282" s="14">
        <v>45885</v>
      </c>
      <c r="B282" s="3" t="s">
        <v>99</v>
      </c>
      <c r="C282" s="15">
        <v>34.51</v>
      </c>
      <c r="D282" s="3" t="s">
        <v>38</v>
      </c>
      <c r="E282" s="3" t="str">
        <f>IFERROR(VLOOKUP(D282,'Category Map'!$A$2:$B$29,2,FALSE),"")</f>
        <v>Wants</v>
      </c>
      <c r="F282" s="3" t="s">
        <v>65</v>
      </c>
      <c r="G282" s="1"/>
    </row>
    <row r="283" spans="1:7" x14ac:dyDescent="0.25">
      <c r="A283" s="14">
        <v>45878</v>
      </c>
      <c r="B283" s="3" t="s">
        <v>78</v>
      </c>
      <c r="C283" s="15">
        <v>30.96</v>
      </c>
      <c r="D283" s="3" t="s">
        <v>38</v>
      </c>
      <c r="E283" s="3" t="str">
        <f>IFERROR(VLOOKUP(D283,'Category Map'!$A$2:$B$29,2,FALSE),"")</f>
        <v>Wants</v>
      </c>
      <c r="F283" s="3" t="s">
        <v>65</v>
      </c>
      <c r="G283" s="1"/>
    </row>
    <row r="284" spans="1:7" x14ac:dyDescent="0.25">
      <c r="A284" s="14">
        <v>45888</v>
      </c>
      <c r="B284" s="3" t="s">
        <v>99</v>
      </c>
      <c r="C284" s="15">
        <v>36</v>
      </c>
      <c r="D284" s="3" t="s">
        <v>38</v>
      </c>
      <c r="E284" s="3" t="str">
        <f>IFERROR(VLOOKUP(D284,'Category Map'!$A$2:$B$29,2,FALSE),"")</f>
        <v>Wants</v>
      </c>
      <c r="F284" s="3" t="s">
        <v>65</v>
      </c>
      <c r="G284" s="1"/>
    </row>
    <row r="285" spans="1:7" x14ac:dyDescent="0.25">
      <c r="A285" s="14">
        <v>45889</v>
      </c>
      <c r="B285" s="3" t="s">
        <v>79</v>
      </c>
      <c r="C285" s="15">
        <v>25.57</v>
      </c>
      <c r="D285" s="3" t="s">
        <v>40</v>
      </c>
      <c r="E285" s="3" t="str">
        <f>IFERROR(VLOOKUP(D285,'Category Map'!$A$2:$B$29,2,FALSE),"")</f>
        <v>Wants</v>
      </c>
      <c r="F285" s="3" t="s">
        <v>65</v>
      </c>
      <c r="G285" s="1"/>
    </row>
    <row r="286" spans="1:7" x14ac:dyDescent="0.25">
      <c r="A286" s="14">
        <v>45878</v>
      </c>
      <c r="B286" s="3" t="s">
        <v>80</v>
      </c>
      <c r="C286" s="15">
        <v>23.28</v>
      </c>
      <c r="D286" s="3" t="s">
        <v>40</v>
      </c>
      <c r="E286" s="3" t="str">
        <f>IFERROR(VLOOKUP(D286,'Category Map'!$A$2:$B$29,2,FALSE),"")</f>
        <v>Wants</v>
      </c>
      <c r="F286" s="3" t="s">
        <v>65</v>
      </c>
      <c r="G286" s="1"/>
    </row>
    <row r="287" spans="1:7" x14ac:dyDescent="0.25">
      <c r="A287" s="14">
        <v>45899</v>
      </c>
      <c r="B287" s="3" t="s">
        <v>81</v>
      </c>
      <c r="C287" s="15">
        <v>56.87</v>
      </c>
      <c r="D287" s="3" t="s">
        <v>41</v>
      </c>
      <c r="E287" s="3" t="str">
        <f>IFERROR(VLOOKUP(D287,'Category Map'!$A$2:$B$29,2,FALSE),"")</f>
        <v>Wants</v>
      </c>
      <c r="F287" s="3" t="s">
        <v>65</v>
      </c>
      <c r="G287" s="1"/>
    </row>
    <row r="288" spans="1:7" x14ac:dyDescent="0.25">
      <c r="A288" s="14">
        <v>45894</v>
      </c>
      <c r="B288" s="3" t="s">
        <v>100</v>
      </c>
      <c r="C288" s="15">
        <v>74.69</v>
      </c>
      <c r="D288" s="3" t="s">
        <v>42</v>
      </c>
      <c r="E288" s="3" t="str">
        <f>IFERROR(VLOOKUP(D288,'Category Map'!$A$2:$B$29,2,FALSE),"")</f>
        <v>Wants</v>
      </c>
      <c r="F288" s="3" t="s">
        <v>65</v>
      </c>
      <c r="G288" s="1"/>
    </row>
    <row r="289" spans="1:7" x14ac:dyDescent="0.25">
      <c r="A289" s="14">
        <v>45893</v>
      </c>
      <c r="B289" s="3" t="s">
        <v>108</v>
      </c>
      <c r="C289" s="15">
        <v>42.72</v>
      </c>
      <c r="D289" s="3" t="s">
        <v>43</v>
      </c>
      <c r="E289" s="3" t="str">
        <f>IFERROR(VLOOKUP(D289,'Category Map'!$A$2:$B$29,2,FALSE),"")</f>
        <v>Wants</v>
      </c>
      <c r="F289" s="3" t="s">
        <v>65</v>
      </c>
      <c r="G289" s="1"/>
    </row>
    <row r="290" spans="1:7" x14ac:dyDescent="0.25">
      <c r="A290" s="14">
        <v>45871</v>
      </c>
      <c r="B290" s="3" t="s">
        <v>86</v>
      </c>
      <c r="C290" s="15">
        <v>40</v>
      </c>
      <c r="D290" s="3" t="s">
        <v>44</v>
      </c>
      <c r="E290" s="3" t="str">
        <f>IFERROR(VLOOKUP(D290,'Category Map'!$A$2:$B$29,2,FALSE),"")</f>
        <v>Wants</v>
      </c>
      <c r="F290" s="3" t="s">
        <v>63</v>
      </c>
      <c r="G290" s="1"/>
    </row>
    <row r="291" spans="1:7" x14ac:dyDescent="0.25">
      <c r="A291" s="14">
        <v>45873</v>
      </c>
      <c r="B291" s="3" t="s">
        <v>102</v>
      </c>
      <c r="C291" s="15">
        <v>38.14</v>
      </c>
      <c r="D291" s="3" t="s">
        <v>45</v>
      </c>
      <c r="E291" s="3" t="str">
        <f>IFERROR(VLOOKUP(D291,'Category Map'!$A$2:$B$29,2,FALSE),"")</f>
        <v>Wants</v>
      </c>
      <c r="F291" s="3" t="s">
        <v>65</v>
      </c>
      <c r="G291" s="1"/>
    </row>
    <row r="292" spans="1:7" x14ac:dyDescent="0.25">
      <c r="A292" s="14">
        <v>45892</v>
      </c>
      <c r="B292" s="3" t="s">
        <v>109</v>
      </c>
      <c r="C292" s="15">
        <v>36.5</v>
      </c>
      <c r="D292" s="3" t="s">
        <v>46</v>
      </c>
      <c r="E292" s="3" t="str">
        <f>IFERROR(VLOOKUP(D292,'Category Map'!$A$2:$B$29,2,FALSE),"")</f>
        <v>Wants</v>
      </c>
      <c r="F292" s="3" t="s">
        <v>65</v>
      </c>
      <c r="G292" s="1"/>
    </row>
    <row r="293" spans="1:7" x14ac:dyDescent="0.25">
      <c r="A293" s="14">
        <v>45874</v>
      </c>
      <c r="B293" s="3" t="s">
        <v>88</v>
      </c>
      <c r="C293" s="15">
        <v>11.92</v>
      </c>
      <c r="D293" s="3" t="s">
        <v>48</v>
      </c>
      <c r="E293" s="3" t="str">
        <f>IFERROR(VLOOKUP(D293,'Category Map'!$A$2:$B$29,2,FALSE),"")</f>
        <v>Wants</v>
      </c>
      <c r="F293" s="3" t="s">
        <v>65</v>
      </c>
      <c r="G293" s="1"/>
    </row>
    <row r="294" spans="1:7" x14ac:dyDescent="0.25">
      <c r="A294" s="14">
        <v>45900</v>
      </c>
      <c r="B294" s="3" t="s">
        <v>114</v>
      </c>
      <c r="C294" s="15">
        <v>18.71</v>
      </c>
      <c r="D294" s="3" t="s">
        <v>48</v>
      </c>
      <c r="E294" s="3" t="str">
        <f>IFERROR(VLOOKUP(D294,'Category Map'!$A$2:$B$29,2,FALSE),"")</f>
        <v>Wants</v>
      </c>
      <c r="F294" s="3" t="s">
        <v>65</v>
      </c>
      <c r="G294" s="1"/>
    </row>
    <row r="295" spans="1:7" x14ac:dyDescent="0.25">
      <c r="A295" s="14">
        <v>45889</v>
      </c>
      <c r="B295" s="3" t="s">
        <v>104</v>
      </c>
      <c r="C295" s="15">
        <v>19.61</v>
      </c>
      <c r="D295" s="3" t="s">
        <v>49</v>
      </c>
      <c r="E295" s="3" t="str">
        <f>IFERROR(VLOOKUP(D295,'Category Map'!$A$2:$B$29,2,FALSE),"")</f>
        <v>Wants</v>
      </c>
      <c r="F295" s="3" t="s">
        <v>65</v>
      </c>
      <c r="G295" s="1"/>
    </row>
    <row r="296" spans="1:7" x14ac:dyDescent="0.25">
      <c r="A296" s="14">
        <v>45872</v>
      </c>
      <c r="B296" s="3" t="s">
        <v>89</v>
      </c>
      <c r="C296" s="15">
        <v>27.98</v>
      </c>
      <c r="D296" s="3" t="s">
        <v>49</v>
      </c>
      <c r="E296" s="3" t="str">
        <f>IFERROR(VLOOKUP(D296,'Category Map'!$A$2:$B$29,2,FALSE),"")</f>
        <v>Wants</v>
      </c>
      <c r="F296" s="3" t="s">
        <v>65</v>
      </c>
      <c r="G296" s="1"/>
    </row>
    <row r="297" spans="1:7" x14ac:dyDescent="0.25">
      <c r="A297" s="14">
        <v>45895</v>
      </c>
      <c r="B297" s="3" t="s">
        <v>90</v>
      </c>
      <c r="C297" s="15">
        <v>200</v>
      </c>
      <c r="D297" s="3" t="s">
        <v>50</v>
      </c>
      <c r="E297" s="3" t="str">
        <f>IFERROR(VLOOKUP(D297,'Category Map'!$A$2:$B$29,2,FALSE),"")</f>
        <v>Savings</v>
      </c>
      <c r="F297" s="3" t="s">
        <v>63</v>
      </c>
      <c r="G297" s="1"/>
    </row>
    <row r="298" spans="1:7" x14ac:dyDescent="0.25">
      <c r="A298" s="14">
        <v>45899</v>
      </c>
      <c r="B298" s="3" t="s">
        <v>91</v>
      </c>
      <c r="C298" s="15">
        <v>200</v>
      </c>
      <c r="D298" s="3" t="s">
        <v>52</v>
      </c>
      <c r="E298" s="3" t="str">
        <f>IFERROR(VLOOKUP(D298,'Category Map'!$A$2:$B$29,2,FALSE),"")</f>
        <v>Savings</v>
      </c>
      <c r="F298" s="3" t="s">
        <v>63</v>
      </c>
      <c r="G298" s="1"/>
    </row>
    <row r="299" spans="1:7" x14ac:dyDescent="0.25">
      <c r="A299" s="14">
        <v>45884</v>
      </c>
      <c r="B299" s="3" t="s">
        <v>92</v>
      </c>
      <c r="C299" s="15">
        <v>100</v>
      </c>
      <c r="D299" s="3" t="s">
        <v>53</v>
      </c>
      <c r="E299" s="3" t="str">
        <f>IFERROR(VLOOKUP(D299,'Category Map'!$A$2:$B$29,2,FALSE),"")</f>
        <v>Savings</v>
      </c>
      <c r="F299" s="3" t="s">
        <v>63</v>
      </c>
      <c r="G299" s="1"/>
    </row>
    <row r="300" spans="1:7" x14ac:dyDescent="0.25">
      <c r="A300" s="14">
        <v>45884</v>
      </c>
      <c r="B300" s="3" t="s">
        <v>93</v>
      </c>
      <c r="C300" s="15">
        <v>75</v>
      </c>
      <c r="D300" s="3" t="s">
        <v>54</v>
      </c>
      <c r="E300" s="3" t="str">
        <f>IFERROR(VLOOKUP(D300,'Category Map'!$A$2:$B$29,2,FALSE),"")</f>
        <v>Savings</v>
      </c>
      <c r="F300" s="3" t="s">
        <v>63</v>
      </c>
      <c r="G300" s="1"/>
    </row>
    <row r="301" spans="1:7" x14ac:dyDescent="0.25">
      <c r="A301" s="14">
        <v>45887</v>
      </c>
      <c r="B301" s="3" t="s">
        <v>94</v>
      </c>
      <c r="C301" s="15">
        <v>150</v>
      </c>
      <c r="D301" s="3" t="s">
        <v>55</v>
      </c>
      <c r="E301" s="3" t="str">
        <f>IFERROR(VLOOKUP(D301,'Category Map'!$A$2:$B$29,2,FALSE),"")</f>
        <v>Savings</v>
      </c>
      <c r="F301" s="3" t="s">
        <v>63</v>
      </c>
      <c r="G301" s="1"/>
    </row>
    <row r="302" spans="1:7" x14ac:dyDescent="0.25">
      <c r="A302" s="14">
        <v>45914</v>
      </c>
      <c r="B302" s="3" t="s">
        <v>62</v>
      </c>
      <c r="C302" s="15">
        <v>1450</v>
      </c>
      <c r="D302" s="3" t="s">
        <v>26</v>
      </c>
      <c r="E302" s="3" t="str">
        <f>IFERROR(VLOOKUP(D302,'Category Map'!$A$2:$B$29,2,FALSE),"")</f>
        <v>Needs</v>
      </c>
      <c r="F302" s="3" t="s">
        <v>63</v>
      </c>
      <c r="G302" s="1"/>
    </row>
    <row r="303" spans="1:7" x14ac:dyDescent="0.25">
      <c r="A303" s="14">
        <v>45904</v>
      </c>
      <c r="B303" s="3" t="s">
        <v>96</v>
      </c>
      <c r="C303" s="15">
        <v>102.41</v>
      </c>
      <c r="D303" s="3" t="s">
        <v>28</v>
      </c>
      <c r="E303" s="3" t="str">
        <f>IFERROR(VLOOKUP(D303,'Category Map'!$A$2:$B$29,2,FALSE),"")</f>
        <v>Needs</v>
      </c>
      <c r="F303" s="3" t="s">
        <v>65</v>
      </c>
      <c r="G303" s="1"/>
    </row>
    <row r="304" spans="1:7" x14ac:dyDescent="0.25">
      <c r="A304" s="14">
        <v>45928</v>
      </c>
      <c r="B304" s="3" t="s">
        <v>66</v>
      </c>
      <c r="C304" s="15">
        <v>164.2</v>
      </c>
      <c r="D304" s="3" t="s">
        <v>29</v>
      </c>
      <c r="E304" s="3" t="str">
        <f>IFERROR(VLOOKUP(D304,'Category Map'!$A$2:$B$29,2,FALSE),"")</f>
        <v>Needs</v>
      </c>
      <c r="F304" s="3" t="s">
        <v>65</v>
      </c>
      <c r="G304" s="1"/>
    </row>
    <row r="305" spans="1:7" x14ac:dyDescent="0.25">
      <c r="A305" s="14">
        <v>45920</v>
      </c>
      <c r="B305" s="3" t="s">
        <v>66</v>
      </c>
      <c r="C305" s="15">
        <v>260.3</v>
      </c>
      <c r="D305" s="3" t="s">
        <v>29</v>
      </c>
      <c r="E305" s="3" t="str">
        <f>IFERROR(VLOOKUP(D305,'Category Map'!$A$2:$B$29,2,FALSE),"")</f>
        <v>Needs</v>
      </c>
      <c r="F305" s="3" t="s">
        <v>65</v>
      </c>
      <c r="G305" s="1"/>
    </row>
    <row r="306" spans="1:7" x14ac:dyDescent="0.25">
      <c r="A306" s="14">
        <v>45922</v>
      </c>
      <c r="B306" s="3" t="s">
        <v>67</v>
      </c>
      <c r="C306" s="15">
        <v>105</v>
      </c>
      <c r="D306" s="3" t="s">
        <v>30</v>
      </c>
      <c r="E306" s="3" t="str">
        <f>IFERROR(VLOOKUP(D306,'Category Map'!$A$2:$B$29,2,FALSE),"")</f>
        <v>Needs</v>
      </c>
      <c r="F306" s="3" t="s">
        <v>63</v>
      </c>
      <c r="G306" s="1"/>
    </row>
    <row r="307" spans="1:7" x14ac:dyDescent="0.25">
      <c r="A307" s="14">
        <v>45905</v>
      </c>
      <c r="B307" s="3" t="s">
        <v>68</v>
      </c>
      <c r="C307" s="15">
        <v>33.75</v>
      </c>
      <c r="D307" s="3" t="s">
        <v>31</v>
      </c>
      <c r="E307" s="3" t="str">
        <f>IFERROR(VLOOKUP(D307,'Category Map'!$A$2:$B$29,2,FALSE),"")</f>
        <v>Needs</v>
      </c>
      <c r="F307" s="3" t="s">
        <v>65</v>
      </c>
      <c r="G307" s="1"/>
    </row>
    <row r="308" spans="1:7" x14ac:dyDescent="0.25">
      <c r="A308" s="14">
        <v>45903</v>
      </c>
      <c r="B308" s="3" t="s">
        <v>69</v>
      </c>
      <c r="C308" s="15">
        <v>40.97</v>
      </c>
      <c r="D308" s="3" t="s">
        <v>31</v>
      </c>
      <c r="E308" s="3" t="str">
        <f>IFERROR(VLOOKUP(D308,'Category Map'!$A$2:$B$29,2,FALSE),"")</f>
        <v>Needs</v>
      </c>
      <c r="F308" s="3" t="s">
        <v>65</v>
      </c>
      <c r="G308" s="1"/>
    </row>
    <row r="309" spans="1:7" x14ac:dyDescent="0.25">
      <c r="A309" s="14">
        <v>45928</v>
      </c>
      <c r="B309" s="3" t="s">
        <v>68</v>
      </c>
      <c r="C309" s="15">
        <v>37.14</v>
      </c>
      <c r="D309" s="3" t="s">
        <v>31</v>
      </c>
      <c r="E309" s="3" t="str">
        <f>IFERROR(VLOOKUP(D309,'Category Map'!$A$2:$B$29,2,FALSE),"")</f>
        <v>Needs</v>
      </c>
      <c r="F309" s="3" t="s">
        <v>65</v>
      </c>
      <c r="G309" s="1"/>
    </row>
    <row r="310" spans="1:7" x14ac:dyDescent="0.25">
      <c r="A310" s="14">
        <v>45920</v>
      </c>
      <c r="B310" s="3" t="s">
        <v>69</v>
      </c>
      <c r="C310" s="15">
        <v>23.09</v>
      </c>
      <c r="D310" s="3" t="s">
        <v>31</v>
      </c>
      <c r="E310" s="3" t="str">
        <f>IFERROR(VLOOKUP(D310,'Category Map'!$A$2:$B$29,2,FALSE),"")</f>
        <v>Needs</v>
      </c>
      <c r="F310" s="3" t="s">
        <v>65</v>
      </c>
      <c r="G310" s="1"/>
    </row>
    <row r="311" spans="1:7" x14ac:dyDescent="0.25">
      <c r="A311" s="14">
        <v>45908</v>
      </c>
      <c r="B311" s="3" t="s">
        <v>71</v>
      </c>
      <c r="C311" s="15">
        <v>70</v>
      </c>
      <c r="D311" s="3" t="s">
        <v>33</v>
      </c>
      <c r="E311" s="3" t="str">
        <f>IFERROR(VLOOKUP(D311,'Category Map'!$A$2:$B$29,2,FALSE),"")</f>
        <v>Needs</v>
      </c>
      <c r="F311" s="3" t="s">
        <v>63</v>
      </c>
      <c r="G311" s="1"/>
    </row>
    <row r="312" spans="1:7" x14ac:dyDescent="0.25">
      <c r="A312" s="14">
        <v>45923</v>
      </c>
      <c r="B312" s="3" t="s">
        <v>111</v>
      </c>
      <c r="C312" s="15">
        <v>300</v>
      </c>
      <c r="D312" s="3" t="s">
        <v>34</v>
      </c>
      <c r="E312" s="3" t="str">
        <f>IFERROR(VLOOKUP(D312,'Category Map'!$A$2:$B$29,2,FALSE),"")</f>
        <v>Needs</v>
      </c>
      <c r="F312" s="3" t="s">
        <v>63</v>
      </c>
      <c r="G312" s="1"/>
    </row>
    <row r="313" spans="1:7" x14ac:dyDescent="0.25">
      <c r="A313" s="14">
        <v>45923</v>
      </c>
      <c r="B313" s="3" t="s">
        <v>73</v>
      </c>
      <c r="C313" s="15">
        <v>12.63</v>
      </c>
      <c r="D313" s="3" t="s">
        <v>35</v>
      </c>
      <c r="E313" s="3" t="str">
        <f>IFERROR(VLOOKUP(D313,'Category Map'!$A$2:$B$29,2,FALSE),"")</f>
        <v>Needs</v>
      </c>
      <c r="F313" s="3" t="s">
        <v>65</v>
      </c>
      <c r="G313" s="1"/>
    </row>
    <row r="314" spans="1:7" x14ac:dyDescent="0.25">
      <c r="A314" s="14">
        <v>45910</v>
      </c>
      <c r="B314" s="3" t="s">
        <v>73</v>
      </c>
      <c r="C314" s="15">
        <v>26.4</v>
      </c>
      <c r="D314" s="3" t="s">
        <v>35</v>
      </c>
      <c r="E314" s="3" t="str">
        <f>IFERROR(VLOOKUP(D314,'Category Map'!$A$2:$B$29,2,FALSE),"")</f>
        <v>Needs</v>
      </c>
      <c r="F314" s="3" t="s">
        <v>65</v>
      </c>
      <c r="G314" s="1"/>
    </row>
    <row r="315" spans="1:7" x14ac:dyDescent="0.25">
      <c r="A315" s="14">
        <v>45909</v>
      </c>
      <c r="B315" s="3" t="s">
        <v>74</v>
      </c>
      <c r="C315" s="15">
        <v>22</v>
      </c>
      <c r="D315" s="3" t="s">
        <v>36</v>
      </c>
      <c r="E315" s="3" t="str">
        <f>IFERROR(VLOOKUP(D315,'Category Map'!$A$2:$B$29,2,FALSE),"")</f>
        <v>Needs</v>
      </c>
      <c r="F315" s="3" t="s">
        <v>63</v>
      </c>
      <c r="G315" s="1"/>
    </row>
    <row r="316" spans="1:7" x14ac:dyDescent="0.25">
      <c r="A316" s="14">
        <v>45927</v>
      </c>
      <c r="B316" s="3" t="s">
        <v>75</v>
      </c>
      <c r="C316" s="15">
        <v>60</v>
      </c>
      <c r="D316" s="3" t="s">
        <v>37</v>
      </c>
      <c r="E316" s="3" t="str">
        <f>IFERROR(VLOOKUP(D316,'Category Map'!$A$2:$B$29,2,FALSE),"")</f>
        <v>Needs</v>
      </c>
      <c r="F316" s="3" t="s">
        <v>63</v>
      </c>
      <c r="G316" s="1"/>
    </row>
    <row r="317" spans="1:7" x14ac:dyDescent="0.25">
      <c r="A317" s="14">
        <v>45919</v>
      </c>
      <c r="B317" s="3" t="s">
        <v>77</v>
      </c>
      <c r="C317" s="15">
        <v>69.5</v>
      </c>
      <c r="D317" s="3" t="s">
        <v>38</v>
      </c>
      <c r="E317" s="3" t="str">
        <f>IFERROR(VLOOKUP(D317,'Category Map'!$A$2:$B$29,2,FALSE),"")</f>
        <v>Wants</v>
      </c>
      <c r="F317" s="3" t="s">
        <v>65</v>
      </c>
      <c r="G317" s="1"/>
    </row>
    <row r="318" spans="1:7" x14ac:dyDescent="0.25">
      <c r="A318" s="14">
        <v>45921</v>
      </c>
      <c r="B318" s="3" t="s">
        <v>78</v>
      </c>
      <c r="C318" s="15">
        <v>50.06</v>
      </c>
      <c r="D318" s="3" t="s">
        <v>38</v>
      </c>
      <c r="E318" s="3" t="str">
        <f>IFERROR(VLOOKUP(D318,'Category Map'!$A$2:$B$29,2,FALSE),"")</f>
        <v>Wants</v>
      </c>
      <c r="F318" s="3" t="s">
        <v>65</v>
      </c>
      <c r="G318" s="1"/>
    </row>
    <row r="319" spans="1:7" x14ac:dyDescent="0.25">
      <c r="A319" s="14">
        <v>45924</v>
      </c>
      <c r="B319" s="3" t="s">
        <v>77</v>
      </c>
      <c r="C319" s="15">
        <v>59.55</v>
      </c>
      <c r="D319" s="3" t="s">
        <v>38</v>
      </c>
      <c r="E319" s="3" t="str">
        <f>IFERROR(VLOOKUP(D319,'Category Map'!$A$2:$B$29,2,FALSE),"")</f>
        <v>Wants</v>
      </c>
      <c r="F319" s="3" t="s">
        <v>65</v>
      </c>
      <c r="G319" s="1"/>
    </row>
    <row r="320" spans="1:7" x14ac:dyDescent="0.25">
      <c r="A320" s="14">
        <v>45911</v>
      </c>
      <c r="B320" s="3" t="s">
        <v>79</v>
      </c>
      <c r="C320" s="15">
        <v>7.5</v>
      </c>
      <c r="D320" s="3" t="s">
        <v>40</v>
      </c>
      <c r="E320" s="3" t="str">
        <f>IFERROR(VLOOKUP(D320,'Category Map'!$A$2:$B$29,2,FALSE),"")</f>
        <v>Wants</v>
      </c>
      <c r="F320" s="3" t="s">
        <v>65</v>
      </c>
      <c r="G320" s="1"/>
    </row>
    <row r="321" spans="1:7" x14ac:dyDescent="0.25">
      <c r="A321" s="14">
        <v>45906</v>
      </c>
      <c r="B321" s="3" t="s">
        <v>79</v>
      </c>
      <c r="C321" s="15">
        <v>13.27</v>
      </c>
      <c r="D321" s="3" t="s">
        <v>40</v>
      </c>
      <c r="E321" s="3" t="str">
        <f>IFERROR(VLOOKUP(D321,'Category Map'!$A$2:$B$29,2,FALSE),"")</f>
        <v>Wants</v>
      </c>
      <c r="F321" s="3" t="s">
        <v>65</v>
      </c>
      <c r="G321" s="1"/>
    </row>
    <row r="322" spans="1:7" x14ac:dyDescent="0.25">
      <c r="A322" s="14">
        <v>45901</v>
      </c>
      <c r="B322" s="3" t="s">
        <v>79</v>
      </c>
      <c r="C322" s="15">
        <v>10.56</v>
      </c>
      <c r="D322" s="3" t="s">
        <v>40</v>
      </c>
      <c r="E322" s="3" t="str">
        <f>IFERROR(VLOOKUP(D322,'Category Map'!$A$2:$B$29,2,FALSE),"")</f>
        <v>Wants</v>
      </c>
      <c r="F322" s="3" t="s">
        <v>65</v>
      </c>
      <c r="G322" s="1"/>
    </row>
    <row r="323" spans="1:7" x14ac:dyDescent="0.25">
      <c r="A323" s="14">
        <v>45926</v>
      </c>
      <c r="B323" s="3" t="s">
        <v>79</v>
      </c>
      <c r="C323" s="15">
        <v>10.71</v>
      </c>
      <c r="D323" s="3" t="s">
        <v>40</v>
      </c>
      <c r="E323" s="3" t="str">
        <f>IFERROR(VLOOKUP(D323,'Category Map'!$A$2:$B$29,2,FALSE),"")</f>
        <v>Wants</v>
      </c>
      <c r="F323" s="3" t="s">
        <v>65</v>
      </c>
      <c r="G323" s="1"/>
    </row>
    <row r="324" spans="1:7" x14ac:dyDescent="0.25">
      <c r="A324" s="14">
        <v>45916</v>
      </c>
      <c r="B324" s="3" t="s">
        <v>82</v>
      </c>
      <c r="C324" s="15">
        <v>42.81</v>
      </c>
      <c r="D324" s="3" t="s">
        <v>41</v>
      </c>
      <c r="E324" s="3" t="str">
        <f>IFERROR(VLOOKUP(D324,'Category Map'!$A$2:$B$29,2,FALSE),"")</f>
        <v>Wants</v>
      </c>
      <c r="F324" s="3" t="s">
        <v>65</v>
      </c>
      <c r="G324" s="1"/>
    </row>
    <row r="325" spans="1:7" x14ac:dyDescent="0.25">
      <c r="A325" s="14">
        <v>45924</v>
      </c>
      <c r="B325" s="3" t="s">
        <v>81</v>
      </c>
      <c r="C325" s="15">
        <v>47.05</v>
      </c>
      <c r="D325" s="3" t="s">
        <v>41</v>
      </c>
      <c r="E325" s="3" t="str">
        <f>IFERROR(VLOOKUP(D325,'Category Map'!$A$2:$B$29,2,FALSE),"")</f>
        <v>Wants</v>
      </c>
      <c r="F325" s="3" t="s">
        <v>65</v>
      </c>
      <c r="G325" s="1"/>
    </row>
    <row r="326" spans="1:7" x14ac:dyDescent="0.25">
      <c r="A326" s="14">
        <v>45926</v>
      </c>
      <c r="B326" s="3" t="s">
        <v>100</v>
      </c>
      <c r="C326" s="15">
        <v>45.67</v>
      </c>
      <c r="D326" s="3" t="s">
        <v>42</v>
      </c>
      <c r="E326" s="3" t="str">
        <f>IFERROR(VLOOKUP(D326,'Category Map'!$A$2:$B$29,2,FALSE),"")</f>
        <v>Wants</v>
      </c>
      <c r="F326" s="3" t="s">
        <v>65</v>
      </c>
      <c r="G326" s="1"/>
    </row>
    <row r="327" spans="1:7" x14ac:dyDescent="0.25">
      <c r="A327" s="14">
        <v>45917</v>
      </c>
      <c r="B327" s="3" t="s">
        <v>108</v>
      </c>
      <c r="C327" s="15">
        <v>60.16</v>
      </c>
      <c r="D327" s="3" t="s">
        <v>43</v>
      </c>
      <c r="E327" s="3" t="str">
        <f>IFERROR(VLOOKUP(D327,'Category Map'!$A$2:$B$29,2,FALSE),"")</f>
        <v>Wants</v>
      </c>
      <c r="F327" s="3" t="s">
        <v>65</v>
      </c>
      <c r="G327" s="1"/>
    </row>
    <row r="328" spans="1:7" x14ac:dyDescent="0.25">
      <c r="A328" s="14">
        <v>45911</v>
      </c>
      <c r="B328" s="3" t="s">
        <v>86</v>
      </c>
      <c r="C328" s="15">
        <v>40</v>
      </c>
      <c r="D328" s="3" t="s">
        <v>44</v>
      </c>
      <c r="E328" s="3" t="str">
        <f>IFERROR(VLOOKUP(D328,'Category Map'!$A$2:$B$29,2,FALSE),"")</f>
        <v>Wants</v>
      </c>
      <c r="F328" s="3" t="s">
        <v>63</v>
      </c>
      <c r="G328" s="1"/>
    </row>
    <row r="329" spans="1:7" x14ac:dyDescent="0.25">
      <c r="A329" s="14">
        <v>45929</v>
      </c>
      <c r="B329" s="3" t="s">
        <v>87</v>
      </c>
      <c r="C329" s="15">
        <v>22.62</v>
      </c>
      <c r="D329" s="3" t="s">
        <v>45</v>
      </c>
      <c r="E329" s="3" t="str">
        <f>IFERROR(VLOOKUP(D329,'Category Map'!$A$2:$B$29,2,FALSE),"")</f>
        <v>Wants</v>
      </c>
      <c r="F329" s="3" t="s">
        <v>65</v>
      </c>
      <c r="G329" s="1"/>
    </row>
    <row r="330" spans="1:7" x14ac:dyDescent="0.25">
      <c r="A330" s="14">
        <v>45923</v>
      </c>
      <c r="B330" s="3" t="s">
        <v>88</v>
      </c>
      <c r="C330" s="15">
        <v>13.86</v>
      </c>
      <c r="D330" s="3" t="s">
        <v>46</v>
      </c>
      <c r="E330" s="3" t="str">
        <f>IFERROR(VLOOKUP(D330,'Category Map'!$A$2:$B$29,2,FALSE),"")</f>
        <v>Wants</v>
      </c>
      <c r="F330" s="3" t="s">
        <v>65</v>
      </c>
      <c r="G330" s="1"/>
    </row>
    <row r="331" spans="1:7" x14ac:dyDescent="0.25">
      <c r="A331" s="14">
        <v>45903</v>
      </c>
      <c r="B331" s="3" t="s">
        <v>88</v>
      </c>
      <c r="C331" s="15">
        <v>25.49</v>
      </c>
      <c r="D331" s="3" t="s">
        <v>46</v>
      </c>
      <c r="E331" s="3" t="str">
        <f>IFERROR(VLOOKUP(D331,'Category Map'!$A$2:$B$29,2,FALSE),"")</f>
        <v>Wants</v>
      </c>
      <c r="F331" s="3" t="s">
        <v>65</v>
      </c>
      <c r="G331" s="1"/>
    </row>
    <row r="332" spans="1:7" x14ac:dyDescent="0.25">
      <c r="A332" s="14">
        <v>45918</v>
      </c>
      <c r="B332" s="3" t="s">
        <v>114</v>
      </c>
      <c r="C332" s="15">
        <v>41.05</v>
      </c>
      <c r="D332" s="3" t="s">
        <v>48</v>
      </c>
      <c r="E332" s="3" t="str">
        <f>IFERROR(VLOOKUP(D332,'Category Map'!$A$2:$B$29,2,FALSE),"")</f>
        <v>Wants</v>
      </c>
      <c r="F332" s="3" t="s">
        <v>65</v>
      </c>
      <c r="G332" s="1"/>
    </row>
    <row r="333" spans="1:7" x14ac:dyDescent="0.25">
      <c r="A333" s="14">
        <v>45917</v>
      </c>
      <c r="B333" s="3" t="s">
        <v>104</v>
      </c>
      <c r="C333" s="15">
        <v>22.84</v>
      </c>
      <c r="D333" s="3" t="s">
        <v>49</v>
      </c>
      <c r="E333" s="3" t="str">
        <f>IFERROR(VLOOKUP(D333,'Category Map'!$A$2:$B$29,2,FALSE),"")</f>
        <v>Wants</v>
      </c>
      <c r="F333" s="3" t="s">
        <v>65</v>
      </c>
      <c r="G333" s="1"/>
    </row>
    <row r="334" spans="1:7" x14ac:dyDescent="0.25">
      <c r="A334" s="14">
        <v>45912</v>
      </c>
      <c r="B334" s="3" t="s">
        <v>104</v>
      </c>
      <c r="C334" s="15">
        <v>17.920000000000002</v>
      </c>
      <c r="D334" s="3" t="s">
        <v>49</v>
      </c>
      <c r="E334" s="3" t="str">
        <f>IFERROR(VLOOKUP(D334,'Category Map'!$A$2:$B$29,2,FALSE),"")</f>
        <v>Wants</v>
      </c>
      <c r="F334" s="3" t="s">
        <v>65</v>
      </c>
      <c r="G334" s="1"/>
    </row>
    <row r="335" spans="1:7" x14ac:dyDescent="0.25">
      <c r="A335" s="14">
        <v>45908</v>
      </c>
      <c r="B335" s="3" t="s">
        <v>90</v>
      </c>
      <c r="C335" s="15">
        <v>200</v>
      </c>
      <c r="D335" s="3" t="s">
        <v>50</v>
      </c>
      <c r="E335" s="3" t="str">
        <f>IFERROR(VLOOKUP(D335,'Category Map'!$A$2:$B$29,2,FALSE),"")</f>
        <v>Savings</v>
      </c>
      <c r="F335" s="3" t="s">
        <v>63</v>
      </c>
      <c r="G335" s="1"/>
    </row>
    <row r="336" spans="1:7" x14ac:dyDescent="0.25">
      <c r="A336" s="14">
        <v>45917</v>
      </c>
      <c r="B336" s="3" t="s">
        <v>91</v>
      </c>
      <c r="C336" s="15">
        <v>200</v>
      </c>
      <c r="D336" s="3" t="s">
        <v>52</v>
      </c>
      <c r="E336" s="3" t="str">
        <f>IFERROR(VLOOKUP(D336,'Category Map'!$A$2:$B$29,2,FALSE),"")</f>
        <v>Savings</v>
      </c>
      <c r="F336" s="3" t="s">
        <v>63</v>
      </c>
      <c r="G336" s="1"/>
    </row>
    <row r="337" spans="1:7" x14ac:dyDescent="0.25">
      <c r="A337" s="14">
        <v>45919</v>
      </c>
      <c r="B337" s="3" t="s">
        <v>92</v>
      </c>
      <c r="C337" s="15">
        <v>100</v>
      </c>
      <c r="D337" s="3" t="s">
        <v>53</v>
      </c>
      <c r="E337" s="3" t="str">
        <f>IFERROR(VLOOKUP(D337,'Category Map'!$A$2:$B$29,2,FALSE),"")</f>
        <v>Savings</v>
      </c>
      <c r="F337" s="3" t="s">
        <v>63</v>
      </c>
      <c r="G337" s="1"/>
    </row>
    <row r="338" spans="1:7" x14ac:dyDescent="0.25">
      <c r="A338" s="14">
        <v>45910</v>
      </c>
      <c r="B338" s="3" t="s">
        <v>93</v>
      </c>
      <c r="C338" s="15">
        <v>75</v>
      </c>
      <c r="D338" s="3" t="s">
        <v>54</v>
      </c>
      <c r="E338" s="3" t="str">
        <f>IFERROR(VLOOKUP(D338,'Category Map'!$A$2:$B$29,2,FALSE),"")</f>
        <v>Savings</v>
      </c>
      <c r="F338" s="3" t="s">
        <v>63</v>
      </c>
      <c r="G338" s="1"/>
    </row>
    <row r="339" spans="1:7" x14ac:dyDescent="0.25">
      <c r="A339" s="14">
        <v>45916</v>
      </c>
      <c r="B339" s="3" t="s">
        <v>94</v>
      </c>
      <c r="C339" s="15">
        <v>150</v>
      </c>
      <c r="D339" s="3" t="s">
        <v>55</v>
      </c>
      <c r="E339" s="3" t="str">
        <f>IFERROR(VLOOKUP(D339,'Category Map'!$A$2:$B$29,2,FALSE),"")</f>
        <v>Savings</v>
      </c>
      <c r="F339" s="3" t="s">
        <v>63</v>
      </c>
      <c r="G339" s="1"/>
    </row>
    <row r="340" spans="1:7" x14ac:dyDescent="0.25">
      <c r="A340" s="14">
        <v>45938</v>
      </c>
      <c r="B340" s="3" t="s">
        <v>62</v>
      </c>
      <c r="C340" s="15">
        <v>1450</v>
      </c>
      <c r="D340" s="3" t="s">
        <v>26</v>
      </c>
      <c r="E340" s="3" t="str">
        <f>IFERROR(VLOOKUP(D340,'Category Map'!$A$2:$B$29,2,FALSE),"")</f>
        <v>Needs</v>
      </c>
      <c r="F340" s="3" t="s">
        <v>63</v>
      </c>
      <c r="G340" s="1"/>
    </row>
    <row r="341" spans="1:7" x14ac:dyDescent="0.25">
      <c r="A341" s="14">
        <v>45939</v>
      </c>
      <c r="B341" s="3" t="s">
        <v>64</v>
      </c>
      <c r="C341" s="15">
        <v>113.84</v>
      </c>
      <c r="D341" s="3" t="s">
        <v>28</v>
      </c>
      <c r="E341" s="3" t="str">
        <f>IFERROR(VLOOKUP(D341,'Category Map'!$A$2:$B$29,2,FALSE),"")</f>
        <v>Needs</v>
      </c>
      <c r="F341" s="3" t="s">
        <v>65</v>
      </c>
      <c r="G341" s="1"/>
    </row>
    <row r="342" spans="1:7" x14ac:dyDescent="0.25">
      <c r="A342" s="14">
        <v>45933</v>
      </c>
      <c r="B342" s="3" t="s">
        <v>96</v>
      </c>
      <c r="C342" s="15">
        <v>107.64</v>
      </c>
      <c r="D342" s="3" t="s">
        <v>28</v>
      </c>
      <c r="E342" s="3" t="str">
        <f>IFERROR(VLOOKUP(D342,'Category Map'!$A$2:$B$29,2,FALSE),"")</f>
        <v>Needs</v>
      </c>
      <c r="F342" s="3" t="s">
        <v>65</v>
      </c>
      <c r="G342" s="1"/>
    </row>
    <row r="343" spans="1:7" x14ac:dyDescent="0.25">
      <c r="A343" s="14">
        <v>45935</v>
      </c>
      <c r="B343" s="3" t="s">
        <v>97</v>
      </c>
      <c r="C343" s="15">
        <v>105.07</v>
      </c>
      <c r="D343" s="3" t="s">
        <v>29</v>
      </c>
      <c r="E343" s="3" t="str">
        <f>IFERROR(VLOOKUP(D343,'Category Map'!$A$2:$B$29,2,FALSE),"")</f>
        <v>Needs</v>
      </c>
      <c r="F343" s="3" t="s">
        <v>65</v>
      </c>
      <c r="G343" s="1"/>
    </row>
    <row r="344" spans="1:7" x14ac:dyDescent="0.25">
      <c r="A344" s="14">
        <v>45947</v>
      </c>
      <c r="B344" s="3" t="s">
        <v>97</v>
      </c>
      <c r="C344" s="15">
        <v>169.91</v>
      </c>
      <c r="D344" s="3" t="s">
        <v>29</v>
      </c>
      <c r="E344" s="3" t="str">
        <f>IFERROR(VLOOKUP(D344,'Category Map'!$A$2:$B$29,2,FALSE),"")</f>
        <v>Needs</v>
      </c>
      <c r="F344" s="3" t="s">
        <v>65</v>
      </c>
      <c r="G344" s="1"/>
    </row>
    <row r="345" spans="1:7" x14ac:dyDescent="0.25">
      <c r="A345" s="14">
        <v>45945</v>
      </c>
      <c r="B345" s="3" t="s">
        <v>97</v>
      </c>
      <c r="C345" s="15">
        <v>159.34</v>
      </c>
      <c r="D345" s="3" t="s">
        <v>29</v>
      </c>
      <c r="E345" s="3" t="str">
        <f>IFERROR(VLOOKUP(D345,'Category Map'!$A$2:$B$29,2,FALSE),"")</f>
        <v>Needs</v>
      </c>
      <c r="F345" s="3" t="s">
        <v>65</v>
      </c>
      <c r="G345" s="1"/>
    </row>
    <row r="346" spans="1:7" x14ac:dyDescent="0.25">
      <c r="A346" s="14">
        <v>45943</v>
      </c>
      <c r="B346" s="3" t="s">
        <v>67</v>
      </c>
      <c r="C346" s="15">
        <v>105</v>
      </c>
      <c r="D346" s="3" t="s">
        <v>30</v>
      </c>
      <c r="E346" s="3" t="str">
        <f>IFERROR(VLOOKUP(D346,'Category Map'!$A$2:$B$29,2,FALSE),"")</f>
        <v>Needs</v>
      </c>
      <c r="F346" s="3" t="s">
        <v>63</v>
      </c>
      <c r="G346" s="1"/>
    </row>
    <row r="347" spans="1:7" x14ac:dyDescent="0.25">
      <c r="A347" s="14">
        <v>45952</v>
      </c>
      <c r="B347" s="3" t="s">
        <v>69</v>
      </c>
      <c r="C347" s="15">
        <v>40.19</v>
      </c>
      <c r="D347" s="3" t="s">
        <v>31</v>
      </c>
      <c r="E347" s="3" t="str">
        <f>IFERROR(VLOOKUP(D347,'Category Map'!$A$2:$B$29,2,FALSE),"")</f>
        <v>Needs</v>
      </c>
      <c r="F347" s="3" t="s">
        <v>65</v>
      </c>
      <c r="G347" s="1"/>
    </row>
    <row r="348" spans="1:7" x14ac:dyDescent="0.25">
      <c r="A348" s="14">
        <v>45939</v>
      </c>
      <c r="B348" s="3" t="s">
        <v>69</v>
      </c>
      <c r="C348" s="15">
        <v>41.09</v>
      </c>
      <c r="D348" s="3" t="s">
        <v>31</v>
      </c>
      <c r="E348" s="3" t="str">
        <f>IFERROR(VLOOKUP(D348,'Category Map'!$A$2:$B$29,2,FALSE),"")</f>
        <v>Needs</v>
      </c>
      <c r="F348" s="3" t="s">
        <v>65</v>
      </c>
      <c r="G348" s="1"/>
    </row>
    <row r="349" spans="1:7" x14ac:dyDescent="0.25">
      <c r="A349" s="14">
        <v>45932</v>
      </c>
      <c r="B349" s="3" t="s">
        <v>70</v>
      </c>
      <c r="C349" s="15">
        <v>45.56</v>
      </c>
      <c r="D349" s="3" t="s">
        <v>31</v>
      </c>
      <c r="E349" s="3" t="str">
        <f>IFERROR(VLOOKUP(D349,'Category Map'!$A$2:$B$29,2,FALSE),"")</f>
        <v>Needs</v>
      </c>
      <c r="F349" s="3" t="s">
        <v>65</v>
      </c>
      <c r="G349" s="1"/>
    </row>
    <row r="350" spans="1:7" x14ac:dyDescent="0.25">
      <c r="A350" s="14">
        <v>45951</v>
      </c>
      <c r="B350" s="3" t="s">
        <v>71</v>
      </c>
      <c r="C350" s="15">
        <v>70</v>
      </c>
      <c r="D350" s="3" t="s">
        <v>33</v>
      </c>
      <c r="E350" s="3" t="str">
        <f>IFERROR(VLOOKUP(D350,'Category Map'!$A$2:$B$29,2,FALSE),"")</f>
        <v>Needs</v>
      </c>
      <c r="F350" s="3" t="s">
        <v>63</v>
      </c>
      <c r="G350" s="1"/>
    </row>
    <row r="351" spans="1:7" x14ac:dyDescent="0.25">
      <c r="A351" s="14">
        <v>45940</v>
      </c>
      <c r="B351" s="3" t="s">
        <v>111</v>
      </c>
      <c r="C351" s="15">
        <v>300</v>
      </c>
      <c r="D351" s="3" t="s">
        <v>34</v>
      </c>
      <c r="E351" s="3" t="str">
        <f>IFERROR(VLOOKUP(D351,'Category Map'!$A$2:$B$29,2,FALSE),"")</f>
        <v>Needs</v>
      </c>
      <c r="F351" s="3" t="s">
        <v>63</v>
      </c>
      <c r="G351" s="1"/>
    </row>
    <row r="352" spans="1:7" x14ac:dyDescent="0.25">
      <c r="A352" s="14">
        <v>45943</v>
      </c>
      <c r="B352" s="3" t="s">
        <v>98</v>
      </c>
      <c r="C352" s="15">
        <v>29.31</v>
      </c>
      <c r="D352" s="3" t="s">
        <v>35</v>
      </c>
      <c r="E352" s="3" t="str">
        <f>IFERROR(VLOOKUP(D352,'Category Map'!$A$2:$B$29,2,FALSE),"")</f>
        <v>Needs</v>
      </c>
      <c r="F352" s="3" t="s">
        <v>65</v>
      </c>
      <c r="G352" s="1"/>
    </row>
    <row r="353" spans="1:7" x14ac:dyDescent="0.25">
      <c r="A353" s="14">
        <v>45951</v>
      </c>
      <c r="B353" s="3" t="s">
        <v>98</v>
      </c>
      <c r="C353" s="15">
        <v>21.7</v>
      </c>
      <c r="D353" s="3" t="s">
        <v>35</v>
      </c>
      <c r="E353" s="3" t="str">
        <f>IFERROR(VLOOKUP(D353,'Category Map'!$A$2:$B$29,2,FALSE),"")</f>
        <v>Needs</v>
      </c>
      <c r="F353" s="3" t="s">
        <v>65</v>
      </c>
      <c r="G353" s="1"/>
    </row>
    <row r="354" spans="1:7" x14ac:dyDescent="0.25">
      <c r="A354" s="14">
        <v>45949</v>
      </c>
      <c r="B354" s="3" t="s">
        <v>74</v>
      </c>
      <c r="C354" s="15">
        <v>22</v>
      </c>
      <c r="D354" s="3" t="s">
        <v>36</v>
      </c>
      <c r="E354" s="3" t="str">
        <f>IFERROR(VLOOKUP(D354,'Category Map'!$A$2:$B$29,2,FALSE),"")</f>
        <v>Needs</v>
      </c>
      <c r="F354" s="3" t="s">
        <v>63</v>
      </c>
      <c r="G354" s="1"/>
    </row>
    <row r="355" spans="1:7" x14ac:dyDescent="0.25">
      <c r="A355" s="14">
        <v>45945</v>
      </c>
      <c r="B355" s="3" t="s">
        <v>75</v>
      </c>
      <c r="C355" s="15">
        <v>60</v>
      </c>
      <c r="D355" s="3" t="s">
        <v>37</v>
      </c>
      <c r="E355" s="3" t="str">
        <f>IFERROR(VLOOKUP(D355,'Category Map'!$A$2:$B$29,2,FALSE),"")</f>
        <v>Needs</v>
      </c>
      <c r="F355" s="3" t="s">
        <v>63</v>
      </c>
      <c r="G355" s="1"/>
    </row>
    <row r="356" spans="1:7" x14ac:dyDescent="0.25">
      <c r="A356" s="14">
        <v>45935</v>
      </c>
      <c r="B356" s="3" t="s">
        <v>78</v>
      </c>
      <c r="C356" s="15">
        <v>41.72</v>
      </c>
      <c r="D356" s="3" t="s">
        <v>38</v>
      </c>
      <c r="E356" s="3" t="str">
        <f>IFERROR(VLOOKUP(D356,'Category Map'!$A$2:$B$29,2,FALSE),"")</f>
        <v>Wants</v>
      </c>
      <c r="F356" s="3" t="s">
        <v>65</v>
      </c>
      <c r="G356" s="1"/>
    </row>
    <row r="357" spans="1:7" x14ac:dyDescent="0.25">
      <c r="A357" s="14">
        <v>45944</v>
      </c>
      <c r="B357" s="3" t="s">
        <v>78</v>
      </c>
      <c r="C357" s="15">
        <v>38.270000000000003</v>
      </c>
      <c r="D357" s="3" t="s">
        <v>38</v>
      </c>
      <c r="E357" s="3" t="str">
        <f>IFERROR(VLOOKUP(D357,'Category Map'!$A$2:$B$29,2,FALSE),"")</f>
        <v>Wants</v>
      </c>
      <c r="F357" s="3" t="s">
        <v>65</v>
      </c>
      <c r="G357" s="1"/>
    </row>
    <row r="358" spans="1:7" x14ac:dyDescent="0.25">
      <c r="A358" s="14">
        <v>45940</v>
      </c>
      <c r="B358" s="3" t="s">
        <v>77</v>
      </c>
      <c r="C358" s="15">
        <v>37.49</v>
      </c>
      <c r="D358" s="3" t="s">
        <v>38</v>
      </c>
      <c r="E358" s="3" t="str">
        <f>IFERROR(VLOOKUP(D358,'Category Map'!$A$2:$B$29,2,FALSE),"")</f>
        <v>Wants</v>
      </c>
      <c r="F358" s="3" t="s">
        <v>65</v>
      </c>
      <c r="G358" s="1"/>
    </row>
    <row r="359" spans="1:7" x14ac:dyDescent="0.25">
      <c r="A359" s="14">
        <v>45952</v>
      </c>
      <c r="B359" s="3" t="s">
        <v>99</v>
      </c>
      <c r="C359" s="15">
        <v>35.880000000000003</v>
      </c>
      <c r="D359" s="3" t="s">
        <v>38</v>
      </c>
      <c r="E359" s="3" t="str">
        <f>IFERROR(VLOOKUP(D359,'Category Map'!$A$2:$B$29,2,FALSE),"")</f>
        <v>Wants</v>
      </c>
      <c r="F359" s="3" t="s">
        <v>65</v>
      </c>
      <c r="G359" s="1"/>
    </row>
    <row r="360" spans="1:7" x14ac:dyDescent="0.25">
      <c r="A360" s="14">
        <v>45932</v>
      </c>
      <c r="B360" s="3" t="s">
        <v>79</v>
      </c>
      <c r="C360" s="15">
        <v>14.07</v>
      </c>
      <c r="D360" s="3" t="s">
        <v>40</v>
      </c>
      <c r="E360" s="3" t="str">
        <f>IFERROR(VLOOKUP(D360,'Category Map'!$A$2:$B$29,2,FALSE),"")</f>
        <v>Wants</v>
      </c>
      <c r="F360" s="3" t="s">
        <v>65</v>
      </c>
      <c r="G360" s="1"/>
    </row>
    <row r="361" spans="1:7" x14ac:dyDescent="0.25">
      <c r="A361" s="14">
        <v>45938</v>
      </c>
      <c r="B361" s="3" t="s">
        <v>80</v>
      </c>
      <c r="C361" s="15">
        <v>21.28</v>
      </c>
      <c r="D361" s="3" t="s">
        <v>40</v>
      </c>
      <c r="E361" s="3" t="str">
        <f>IFERROR(VLOOKUP(D361,'Category Map'!$A$2:$B$29,2,FALSE),"")</f>
        <v>Wants</v>
      </c>
      <c r="F361" s="3" t="s">
        <v>65</v>
      </c>
      <c r="G361" s="1"/>
    </row>
    <row r="362" spans="1:7" x14ac:dyDescent="0.25">
      <c r="A362" s="14">
        <v>45946</v>
      </c>
      <c r="B362" s="3" t="s">
        <v>107</v>
      </c>
      <c r="C362" s="15">
        <v>31.16</v>
      </c>
      <c r="D362" s="3" t="s">
        <v>41</v>
      </c>
      <c r="E362" s="3" t="str">
        <f>IFERROR(VLOOKUP(D362,'Category Map'!$A$2:$B$29,2,FALSE),"")</f>
        <v>Wants</v>
      </c>
      <c r="F362" s="3" t="s">
        <v>65</v>
      </c>
      <c r="G362" s="1"/>
    </row>
    <row r="363" spans="1:7" x14ac:dyDescent="0.25">
      <c r="A363" s="14">
        <v>45946</v>
      </c>
      <c r="B363" s="3" t="s">
        <v>107</v>
      </c>
      <c r="C363" s="15">
        <v>30.13</v>
      </c>
      <c r="D363" s="3" t="s">
        <v>41</v>
      </c>
      <c r="E363" s="3" t="str">
        <f>IFERROR(VLOOKUP(D363,'Category Map'!$A$2:$B$29,2,FALSE),"")</f>
        <v>Wants</v>
      </c>
      <c r="F363" s="3" t="s">
        <v>65</v>
      </c>
      <c r="G363" s="1"/>
    </row>
    <row r="364" spans="1:7" x14ac:dyDescent="0.25">
      <c r="A364" s="14">
        <v>45932</v>
      </c>
      <c r="B364" s="3" t="s">
        <v>100</v>
      </c>
      <c r="C364" s="15">
        <v>52.31</v>
      </c>
      <c r="D364" s="3" t="s">
        <v>42</v>
      </c>
      <c r="E364" s="3" t="str">
        <f>IFERROR(VLOOKUP(D364,'Category Map'!$A$2:$B$29,2,FALSE),"")</f>
        <v>Wants</v>
      </c>
      <c r="F364" s="3" t="s">
        <v>65</v>
      </c>
      <c r="G364" s="1"/>
    </row>
    <row r="365" spans="1:7" x14ac:dyDescent="0.25">
      <c r="A365" s="14">
        <v>45931</v>
      </c>
      <c r="B365" s="3" t="s">
        <v>112</v>
      </c>
      <c r="C365" s="15">
        <v>32.270000000000003</v>
      </c>
      <c r="D365" s="3" t="s">
        <v>43</v>
      </c>
      <c r="E365" s="3" t="str">
        <f>IFERROR(VLOOKUP(D365,'Category Map'!$A$2:$B$29,2,FALSE),"")</f>
        <v>Wants</v>
      </c>
      <c r="F365" s="3" t="s">
        <v>65</v>
      </c>
      <c r="G365" s="1"/>
    </row>
    <row r="366" spans="1:7" x14ac:dyDescent="0.25">
      <c r="A366" s="14">
        <v>45948</v>
      </c>
      <c r="B366" s="3" t="s">
        <v>85</v>
      </c>
      <c r="C366" s="15">
        <v>29.9</v>
      </c>
      <c r="D366" s="3" t="s">
        <v>43</v>
      </c>
      <c r="E366" s="3" t="str">
        <f>IFERROR(VLOOKUP(D366,'Category Map'!$A$2:$B$29,2,FALSE),"")</f>
        <v>Wants</v>
      </c>
      <c r="F366" s="3" t="s">
        <v>65</v>
      </c>
      <c r="G366" s="1"/>
    </row>
    <row r="367" spans="1:7" x14ac:dyDescent="0.25">
      <c r="A367" s="14">
        <v>45938</v>
      </c>
      <c r="B367" s="3" t="s">
        <v>86</v>
      </c>
      <c r="C367" s="15">
        <v>40</v>
      </c>
      <c r="D367" s="3" t="s">
        <v>44</v>
      </c>
      <c r="E367" s="3" t="str">
        <f>IFERROR(VLOOKUP(D367,'Category Map'!$A$2:$B$29,2,FALSE),"")</f>
        <v>Wants</v>
      </c>
      <c r="F367" s="3" t="s">
        <v>63</v>
      </c>
      <c r="G367" s="1"/>
    </row>
    <row r="368" spans="1:7" x14ac:dyDescent="0.25">
      <c r="A368" s="14">
        <v>45939</v>
      </c>
      <c r="B368" s="3" t="s">
        <v>87</v>
      </c>
      <c r="C368" s="15">
        <v>20.059999999999999</v>
      </c>
      <c r="D368" s="3" t="s">
        <v>45</v>
      </c>
      <c r="E368" s="3" t="str">
        <f>IFERROR(VLOOKUP(D368,'Category Map'!$A$2:$B$29,2,FALSE),"")</f>
        <v>Wants</v>
      </c>
      <c r="F368" s="3" t="s">
        <v>65</v>
      </c>
      <c r="G368" s="1"/>
    </row>
    <row r="369" spans="1:7" x14ac:dyDescent="0.25">
      <c r="A369" s="14">
        <v>45947</v>
      </c>
      <c r="B369" s="3" t="s">
        <v>87</v>
      </c>
      <c r="C369" s="15">
        <v>20.59</v>
      </c>
      <c r="D369" s="3" t="s">
        <v>45</v>
      </c>
      <c r="E369" s="3" t="str">
        <f>IFERROR(VLOOKUP(D369,'Category Map'!$A$2:$B$29,2,FALSE),"")</f>
        <v>Wants</v>
      </c>
      <c r="F369" s="3" t="s">
        <v>65</v>
      </c>
      <c r="G369" s="1"/>
    </row>
    <row r="370" spans="1:7" x14ac:dyDescent="0.25">
      <c r="A370" s="14">
        <v>45936</v>
      </c>
      <c r="B370" s="3" t="s">
        <v>88</v>
      </c>
      <c r="C370" s="15">
        <v>24.55</v>
      </c>
      <c r="D370" s="3" t="s">
        <v>46</v>
      </c>
      <c r="E370" s="3" t="str">
        <f>IFERROR(VLOOKUP(D370,'Category Map'!$A$2:$B$29,2,FALSE),"")</f>
        <v>Wants</v>
      </c>
      <c r="F370" s="3" t="s">
        <v>65</v>
      </c>
      <c r="G370" s="1"/>
    </row>
    <row r="371" spans="1:7" x14ac:dyDescent="0.25">
      <c r="A371" s="14">
        <v>45961</v>
      </c>
      <c r="B371" s="3" t="s">
        <v>109</v>
      </c>
      <c r="C371" s="15">
        <v>24.14</v>
      </c>
      <c r="D371" s="3" t="s">
        <v>46</v>
      </c>
      <c r="E371" s="3" t="str">
        <f>IFERROR(VLOOKUP(D371,'Category Map'!$A$2:$B$29,2,FALSE),"")</f>
        <v>Wants</v>
      </c>
      <c r="F371" s="3" t="s">
        <v>65</v>
      </c>
      <c r="G371" s="1"/>
    </row>
    <row r="372" spans="1:7" x14ac:dyDescent="0.25">
      <c r="A372" s="14">
        <v>45946</v>
      </c>
      <c r="B372" s="3" t="s">
        <v>103</v>
      </c>
      <c r="C372" s="15">
        <v>14.11</v>
      </c>
      <c r="D372" s="3" t="s">
        <v>48</v>
      </c>
      <c r="E372" s="3" t="str">
        <f>IFERROR(VLOOKUP(D372,'Category Map'!$A$2:$B$29,2,FALSE),"")</f>
        <v>Wants</v>
      </c>
      <c r="F372" s="3" t="s">
        <v>65</v>
      </c>
      <c r="G372" s="1"/>
    </row>
    <row r="373" spans="1:7" x14ac:dyDescent="0.25">
      <c r="A373" s="14">
        <v>45933</v>
      </c>
      <c r="B373" s="3" t="s">
        <v>103</v>
      </c>
      <c r="C373" s="15">
        <v>21.71</v>
      </c>
      <c r="D373" s="3" t="s">
        <v>48</v>
      </c>
      <c r="E373" s="3" t="str">
        <f>IFERROR(VLOOKUP(D373,'Category Map'!$A$2:$B$29,2,FALSE),"")</f>
        <v>Wants</v>
      </c>
      <c r="F373" s="3" t="s">
        <v>65</v>
      </c>
      <c r="G373" s="1"/>
    </row>
    <row r="374" spans="1:7" x14ac:dyDescent="0.25">
      <c r="A374" s="14">
        <v>45936</v>
      </c>
      <c r="B374" s="3" t="s">
        <v>89</v>
      </c>
      <c r="C374" s="15">
        <v>19.8</v>
      </c>
      <c r="D374" s="3" t="s">
        <v>49</v>
      </c>
      <c r="E374" s="3" t="str">
        <f>IFERROR(VLOOKUP(D374,'Category Map'!$A$2:$B$29,2,FALSE),"")</f>
        <v>Wants</v>
      </c>
      <c r="F374" s="3" t="s">
        <v>65</v>
      </c>
      <c r="G374" s="1"/>
    </row>
    <row r="375" spans="1:7" x14ac:dyDescent="0.25">
      <c r="A375" s="14">
        <v>45955</v>
      </c>
      <c r="B375" s="3" t="s">
        <v>104</v>
      </c>
      <c r="C375" s="15">
        <v>12.67</v>
      </c>
      <c r="D375" s="3" t="s">
        <v>49</v>
      </c>
      <c r="E375" s="3" t="str">
        <f>IFERROR(VLOOKUP(D375,'Category Map'!$A$2:$B$29,2,FALSE),"")</f>
        <v>Wants</v>
      </c>
      <c r="F375" s="3" t="s">
        <v>65</v>
      </c>
      <c r="G375" s="1"/>
    </row>
    <row r="376" spans="1:7" x14ac:dyDescent="0.25">
      <c r="A376" s="14">
        <v>45936</v>
      </c>
      <c r="B376" s="3" t="s">
        <v>90</v>
      </c>
      <c r="C376" s="15">
        <v>200</v>
      </c>
      <c r="D376" s="3" t="s">
        <v>50</v>
      </c>
      <c r="E376" s="3" t="str">
        <f>IFERROR(VLOOKUP(D376,'Category Map'!$A$2:$B$29,2,FALSE),"")</f>
        <v>Savings</v>
      </c>
      <c r="F376" s="3" t="s">
        <v>63</v>
      </c>
      <c r="G376" s="1"/>
    </row>
    <row r="377" spans="1:7" x14ac:dyDescent="0.25">
      <c r="A377" s="14">
        <v>45948</v>
      </c>
      <c r="B377" s="3" t="s">
        <v>91</v>
      </c>
      <c r="C377" s="15">
        <v>200</v>
      </c>
      <c r="D377" s="3" t="s">
        <v>52</v>
      </c>
      <c r="E377" s="3" t="str">
        <f>IFERROR(VLOOKUP(D377,'Category Map'!$A$2:$B$29,2,FALSE),"")</f>
        <v>Savings</v>
      </c>
      <c r="F377" s="3" t="s">
        <v>63</v>
      </c>
      <c r="G377" s="1"/>
    </row>
    <row r="378" spans="1:7" x14ac:dyDescent="0.25">
      <c r="A378" s="14">
        <v>45957</v>
      </c>
      <c r="B378" s="3" t="s">
        <v>92</v>
      </c>
      <c r="C378" s="15">
        <v>100</v>
      </c>
      <c r="D378" s="3" t="s">
        <v>53</v>
      </c>
      <c r="E378" s="3" t="str">
        <f>IFERROR(VLOOKUP(D378,'Category Map'!$A$2:$B$29,2,FALSE),"")</f>
        <v>Savings</v>
      </c>
      <c r="F378" s="3" t="s">
        <v>63</v>
      </c>
      <c r="G378" s="1"/>
    </row>
    <row r="379" spans="1:7" x14ac:dyDescent="0.25">
      <c r="A379" s="14">
        <v>45933</v>
      </c>
      <c r="B379" s="3" t="s">
        <v>93</v>
      </c>
      <c r="C379" s="15">
        <v>75</v>
      </c>
      <c r="D379" s="3" t="s">
        <v>54</v>
      </c>
      <c r="E379" s="3" t="str">
        <f>IFERROR(VLOOKUP(D379,'Category Map'!$A$2:$B$29,2,FALSE),"")</f>
        <v>Savings</v>
      </c>
      <c r="F379" s="3" t="s">
        <v>63</v>
      </c>
      <c r="G379" s="1"/>
    </row>
    <row r="380" spans="1:7" x14ac:dyDescent="0.25">
      <c r="A380" s="14">
        <v>45952</v>
      </c>
      <c r="B380" s="3" t="s">
        <v>94</v>
      </c>
      <c r="C380" s="15">
        <v>150</v>
      </c>
      <c r="D380" s="3" t="s">
        <v>55</v>
      </c>
      <c r="E380" s="3" t="str">
        <f>IFERROR(VLOOKUP(D380,'Category Map'!$A$2:$B$29,2,FALSE),"")</f>
        <v>Savings</v>
      </c>
      <c r="F380" s="3" t="s">
        <v>63</v>
      </c>
      <c r="G380" s="1"/>
    </row>
    <row r="381" spans="1:7" x14ac:dyDescent="0.25">
      <c r="A381" s="14">
        <v>45978</v>
      </c>
      <c r="B381" s="3" t="s">
        <v>62</v>
      </c>
      <c r="C381" s="15">
        <v>1450</v>
      </c>
      <c r="D381" s="3" t="s">
        <v>26</v>
      </c>
      <c r="E381" s="3" t="str">
        <f>IFERROR(VLOOKUP(D381,'Category Map'!$A$2:$B$29,2,FALSE),"")</f>
        <v>Needs</v>
      </c>
      <c r="F381" s="3" t="s">
        <v>63</v>
      </c>
      <c r="G381" s="1"/>
    </row>
    <row r="382" spans="1:7" x14ac:dyDescent="0.25">
      <c r="A382" s="14">
        <v>45969</v>
      </c>
      <c r="B382" s="3" t="s">
        <v>64</v>
      </c>
      <c r="C382" s="15">
        <v>201.03</v>
      </c>
      <c r="D382" s="3" t="s">
        <v>28</v>
      </c>
      <c r="E382" s="3" t="str">
        <f>IFERROR(VLOOKUP(D382,'Category Map'!$A$2:$B$29,2,FALSE),"")</f>
        <v>Needs</v>
      </c>
      <c r="F382" s="3" t="s">
        <v>65</v>
      </c>
      <c r="G382" s="1"/>
    </row>
    <row r="383" spans="1:7" x14ac:dyDescent="0.25">
      <c r="A383" s="14">
        <v>45973</v>
      </c>
      <c r="B383" s="3" t="s">
        <v>110</v>
      </c>
      <c r="C383" s="15">
        <v>195.69</v>
      </c>
      <c r="D383" s="3" t="s">
        <v>29</v>
      </c>
      <c r="E383" s="3" t="str">
        <f>IFERROR(VLOOKUP(D383,'Category Map'!$A$2:$B$29,2,FALSE),"")</f>
        <v>Needs</v>
      </c>
      <c r="F383" s="3" t="s">
        <v>65</v>
      </c>
      <c r="G383" s="1"/>
    </row>
    <row r="384" spans="1:7" x14ac:dyDescent="0.25">
      <c r="A384" s="14">
        <v>45971</v>
      </c>
      <c r="B384" s="3" t="s">
        <v>110</v>
      </c>
      <c r="C384" s="15">
        <v>158.68</v>
      </c>
      <c r="D384" s="3" t="s">
        <v>29</v>
      </c>
      <c r="E384" s="3" t="str">
        <f>IFERROR(VLOOKUP(D384,'Category Map'!$A$2:$B$29,2,FALSE),"")</f>
        <v>Needs</v>
      </c>
      <c r="F384" s="3" t="s">
        <v>65</v>
      </c>
      <c r="G384" s="1"/>
    </row>
    <row r="385" spans="1:7" x14ac:dyDescent="0.25">
      <c r="A385" s="14">
        <v>45969</v>
      </c>
      <c r="B385" s="3" t="s">
        <v>67</v>
      </c>
      <c r="C385" s="15">
        <v>105</v>
      </c>
      <c r="D385" s="3" t="s">
        <v>30</v>
      </c>
      <c r="E385" s="3" t="str">
        <f>IFERROR(VLOOKUP(D385,'Category Map'!$A$2:$B$29,2,FALSE),"")</f>
        <v>Needs</v>
      </c>
      <c r="F385" s="3" t="s">
        <v>63</v>
      </c>
      <c r="G385" s="1"/>
    </row>
    <row r="386" spans="1:7" x14ac:dyDescent="0.25">
      <c r="A386" s="14">
        <v>45980</v>
      </c>
      <c r="B386" s="3" t="s">
        <v>70</v>
      </c>
      <c r="C386" s="15">
        <v>27.92</v>
      </c>
      <c r="D386" s="3" t="s">
        <v>31</v>
      </c>
      <c r="E386" s="3" t="str">
        <f>IFERROR(VLOOKUP(D386,'Category Map'!$A$2:$B$29,2,FALSE),"")</f>
        <v>Needs</v>
      </c>
      <c r="F386" s="3" t="s">
        <v>65</v>
      </c>
      <c r="G386" s="1"/>
    </row>
    <row r="387" spans="1:7" x14ac:dyDescent="0.25">
      <c r="A387" s="14">
        <v>45987</v>
      </c>
      <c r="B387" s="3" t="s">
        <v>69</v>
      </c>
      <c r="C387" s="15">
        <v>27.22</v>
      </c>
      <c r="D387" s="3" t="s">
        <v>31</v>
      </c>
      <c r="E387" s="3" t="str">
        <f>IFERROR(VLOOKUP(D387,'Category Map'!$A$2:$B$29,2,FALSE),"")</f>
        <v>Needs</v>
      </c>
      <c r="F387" s="3" t="s">
        <v>65</v>
      </c>
      <c r="G387" s="1"/>
    </row>
    <row r="388" spans="1:7" x14ac:dyDescent="0.25">
      <c r="A388" s="14">
        <v>45981</v>
      </c>
      <c r="B388" s="3" t="s">
        <v>69</v>
      </c>
      <c r="C388" s="15">
        <v>40.15</v>
      </c>
      <c r="D388" s="3" t="s">
        <v>31</v>
      </c>
      <c r="E388" s="3" t="str">
        <f>IFERROR(VLOOKUP(D388,'Category Map'!$A$2:$B$29,2,FALSE),"")</f>
        <v>Needs</v>
      </c>
      <c r="F388" s="3" t="s">
        <v>65</v>
      </c>
      <c r="G388" s="1"/>
    </row>
    <row r="389" spans="1:7" x14ac:dyDescent="0.25">
      <c r="A389" s="14">
        <v>45975</v>
      </c>
      <c r="B389" s="3" t="s">
        <v>70</v>
      </c>
      <c r="C389" s="15">
        <v>32.96</v>
      </c>
      <c r="D389" s="3" t="s">
        <v>31</v>
      </c>
      <c r="E389" s="3" t="str">
        <f>IFERROR(VLOOKUP(D389,'Category Map'!$A$2:$B$29,2,FALSE),"")</f>
        <v>Needs</v>
      </c>
      <c r="F389" s="3" t="s">
        <v>65</v>
      </c>
      <c r="G389" s="1"/>
    </row>
    <row r="390" spans="1:7" x14ac:dyDescent="0.25">
      <c r="A390" s="14">
        <v>45966</v>
      </c>
      <c r="B390" s="3" t="s">
        <v>71</v>
      </c>
      <c r="C390" s="15">
        <v>70</v>
      </c>
      <c r="D390" s="3" t="s">
        <v>33</v>
      </c>
      <c r="E390" s="3" t="str">
        <f>IFERROR(VLOOKUP(D390,'Category Map'!$A$2:$B$29,2,FALSE),"")</f>
        <v>Needs</v>
      </c>
      <c r="F390" s="3" t="s">
        <v>63</v>
      </c>
      <c r="G390" s="1"/>
    </row>
    <row r="391" spans="1:7" x14ac:dyDescent="0.25">
      <c r="A391" s="14">
        <v>45965</v>
      </c>
      <c r="B391" s="3" t="s">
        <v>72</v>
      </c>
      <c r="C391" s="15">
        <v>300</v>
      </c>
      <c r="D391" s="3" t="s">
        <v>34</v>
      </c>
      <c r="E391" s="3" t="str">
        <f>IFERROR(VLOOKUP(D391,'Category Map'!$A$2:$B$29,2,FALSE),"")</f>
        <v>Needs</v>
      </c>
      <c r="F391" s="3" t="s">
        <v>63</v>
      </c>
      <c r="G391" s="1"/>
    </row>
    <row r="392" spans="1:7" x14ac:dyDescent="0.25">
      <c r="A392" s="14">
        <v>45983</v>
      </c>
      <c r="B392" s="3" t="s">
        <v>98</v>
      </c>
      <c r="C392" s="15">
        <v>39.51</v>
      </c>
      <c r="D392" s="3" t="s">
        <v>35</v>
      </c>
      <c r="E392" s="3" t="str">
        <f>IFERROR(VLOOKUP(D392,'Category Map'!$A$2:$B$29,2,FALSE),"")</f>
        <v>Needs</v>
      </c>
      <c r="F392" s="3" t="s">
        <v>65</v>
      </c>
      <c r="G392" s="1"/>
    </row>
    <row r="393" spans="1:7" x14ac:dyDescent="0.25">
      <c r="A393" s="14">
        <v>45988</v>
      </c>
      <c r="B393" s="3" t="s">
        <v>74</v>
      </c>
      <c r="C393" s="15">
        <v>22</v>
      </c>
      <c r="D393" s="3" t="s">
        <v>36</v>
      </c>
      <c r="E393" s="3" t="str">
        <f>IFERROR(VLOOKUP(D393,'Category Map'!$A$2:$B$29,2,FALSE),"")</f>
        <v>Needs</v>
      </c>
      <c r="F393" s="3" t="s">
        <v>63</v>
      </c>
      <c r="G393" s="1"/>
    </row>
    <row r="394" spans="1:7" x14ac:dyDescent="0.25">
      <c r="A394" s="14">
        <v>45986</v>
      </c>
      <c r="B394" s="3" t="s">
        <v>75</v>
      </c>
      <c r="C394" s="15">
        <v>60</v>
      </c>
      <c r="D394" s="3" t="s">
        <v>37</v>
      </c>
      <c r="E394" s="3" t="str">
        <f>IFERROR(VLOOKUP(D394,'Category Map'!$A$2:$B$29,2,FALSE),"")</f>
        <v>Needs</v>
      </c>
      <c r="F394" s="3" t="s">
        <v>63</v>
      </c>
      <c r="G394" s="1"/>
    </row>
    <row r="395" spans="1:7" x14ac:dyDescent="0.25">
      <c r="A395" s="14">
        <v>45963</v>
      </c>
      <c r="B395" s="3" t="s">
        <v>99</v>
      </c>
      <c r="C395" s="15">
        <v>31.27</v>
      </c>
      <c r="D395" s="3" t="s">
        <v>38</v>
      </c>
      <c r="E395" s="3" t="str">
        <f>IFERROR(VLOOKUP(D395,'Category Map'!$A$2:$B$29,2,FALSE),"")</f>
        <v>Wants</v>
      </c>
      <c r="F395" s="3" t="s">
        <v>65</v>
      </c>
      <c r="G395" s="1"/>
    </row>
    <row r="396" spans="1:7" x14ac:dyDescent="0.25">
      <c r="A396" s="14">
        <v>45976</v>
      </c>
      <c r="B396" s="3" t="s">
        <v>78</v>
      </c>
      <c r="C396" s="15">
        <v>42.06</v>
      </c>
      <c r="D396" s="3" t="s">
        <v>38</v>
      </c>
      <c r="E396" s="3" t="str">
        <f>IFERROR(VLOOKUP(D396,'Category Map'!$A$2:$B$29,2,FALSE),"")</f>
        <v>Wants</v>
      </c>
      <c r="F396" s="3" t="s">
        <v>65</v>
      </c>
      <c r="G396" s="1"/>
    </row>
    <row r="397" spans="1:7" x14ac:dyDescent="0.25">
      <c r="A397" s="14">
        <v>45987</v>
      </c>
      <c r="B397" s="3" t="s">
        <v>78</v>
      </c>
      <c r="C397" s="15">
        <v>31.86</v>
      </c>
      <c r="D397" s="3" t="s">
        <v>38</v>
      </c>
      <c r="E397" s="3" t="str">
        <f>IFERROR(VLOOKUP(D397,'Category Map'!$A$2:$B$29,2,FALSE),"")</f>
        <v>Wants</v>
      </c>
      <c r="F397" s="3" t="s">
        <v>65</v>
      </c>
      <c r="G397" s="1"/>
    </row>
    <row r="398" spans="1:7" x14ac:dyDescent="0.25">
      <c r="A398" s="14">
        <v>45969</v>
      </c>
      <c r="B398" s="3" t="s">
        <v>76</v>
      </c>
      <c r="C398" s="15">
        <v>39.83</v>
      </c>
      <c r="D398" s="3" t="s">
        <v>38</v>
      </c>
      <c r="E398" s="3" t="str">
        <f>IFERROR(VLOOKUP(D398,'Category Map'!$A$2:$B$29,2,FALSE),"")</f>
        <v>Wants</v>
      </c>
      <c r="F398" s="3" t="s">
        <v>65</v>
      </c>
      <c r="G398" s="1"/>
    </row>
    <row r="399" spans="1:7" x14ac:dyDescent="0.25">
      <c r="A399" s="14">
        <v>45987</v>
      </c>
      <c r="B399" s="3" t="s">
        <v>79</v>
      </c>
      <c r="C399" s="15">
        <v>12.43</v>
      </c>
      <c r="D399" s="3" t="s">
        <v>40</v>
      </c>
      <c r="E399" s="3" t="str">
        <f>IFERROR(VLOOKUP(D399,'Category Map'!$A$2:$B$29,2,FALSE),"")</f>
        <v>Wants</v>
      </c>
      <c r="F399" s="3" t="s">
        <v>65</v>
      </c>
      <c r="G399" s="1"/>
    </row>
    <row r="400" spans="1:7" x14ac:dyDescent="0.25">
      <c r="A400" s="14">
        <v>45988</v>
      </c>
      <c r="B400" s="3" t="s">
        <v>79</v>
      </c>
      <c r="C400" s="15">
        <v>10.28</v>
      </c>
      <c r="D400" s="3" t="s">
        <v>40</v>
      </c>
      <c r="E400" s="3" t="str">
        <f>IFERROR(VLOOKUP(D400,'Category Map'!$A$2:$B$29,2,FALSE),"")</f>
        <v>Wants</v>
      </c>
      <c r="F400" s="3" t="s">
        <v>65</v>
      </c>
      <c r="G400" s="1"/>
    </row>
    <row r="401" spans="1:7" x14ac:dyDescent="0.25">
      <c r="A401" s="14">
        <v>45962</v>
      </c>
      <c r="B401" s="3" t="s">
        <v>79</v>
      </c>
      <c r="C401" s="15">
        <v>12.95</v>
      </c>
      <c r="D401" s="3" t="s">
        <v>40</v>
      </c>
      <c r="E401" s="3" t="str">
        <f>IFERROR(VLOOKUP(D401,'Category Map'!$A$2:$B$29,2,FALSE),"")</f>
        <v>Wants</v>
      </c>
      <c r="F401" s="3" t="s">
        <v>65</v>
      </c>
      <c r="G401" s="1"/>
    </row>
    <row r="402" spans="1:7" x14ac:dyDescent="0.25">
      <c r="A402" s="14">
        <v>45968</v>
      </c>
      <c r="B402" s="3" t="s">
        <v>81</v>
      </c>
      <c r="C402" s="15">
        <v>51.3</v>
      </c>
      <c r="D402" s="3" t="s">
        <v>41</v>
      </c>
      <c r="E402" s="3" t="str">
        <f>IFERROR(VLOOKUP(D402,'Category Map'!$A$2:$B$29,2,FALSE),"")</f>
        <v>Wants</v>
      </c>
      <c r="F402" s="3" t="s">
        <v>65</v>
      </c>
      <c r="G402" s="1"/>
    </row>
    <row r="403" spans="1:7" x14ac:dyDescent="0.25">
      <c r="A403" s="14">
        <v>45964</v>
      </c>
      <c r="B403" s="3" t="s">
        <v>83</v>
      </c>
      <c r="C403" s="15">
        <v>85.17</v>
      </c>
      <c r="D403" s="3" t="s">
        <v>42</v>
      </c>
      <c r="E403" s="3" t="str">
        <f>IFERROR(VLOOKUP(D403,'Category Map'!$A$2:$B$29,2,FALSE),"")</f>
        <v>Wants</v>
      </c>
      <c r="F403" s="3" t="s">
        <v>65</v>
      </c>
      <c r="G403" s="1"/>
    </row>
    <row r="404" spans="1:7" x14ac:dyDescent="0.25">
      <c r="A404" s="14">
        <v>45970</v>
      </c>
      <c r="B404" s="3" t="s">
        <v>112</v>
      </c>
      <c r="C404" s="15">
        <v>54.6</v>
      </c>
      <c r="D404" s="3" t="s">
        <v>43</v>
      </c>
      <c r="E404" s="3" t="str">
        <f>IFERROR(VLOOKUP(D404,'Category Map'!$A$2:$B$29,2,FALSE),"")</f>
        <v>Wants</v>
      </c>
      <c r="F404" s="3" t="s">
        <v>65</v>
      </c>
      <c r="G404" s="1"/>
    </row>
    <row r="405" spans="1:7" x14ac:dyDescent="0.25">
      <c r="A405" s="14">
        <v>45982</v>
      </c>
      <c r="B405" s="3" t="s">
        <v>86</v>
      </c>
      <c r="C405" s="15">
        <v>40</v>
      </c>
      <c r="D405" s="3" t="s">
        <v>44</v>
      </c>
      <c r="E405" s="3" t="str">
        <f>IFERROR(VLOOKUP(D405,'Category Map'!$A$2:$B$29,2,FALSE),"")</f>
        <v>Wants</v>
      </c>
      <c r="F405" s="3" t="s">
        <v>63</v>
      </c>
      <c r="G405" s="1"/>
    </row>
    <row r="406" spans="1:7" x14ac:dyDescent="0.25">
      <c r="A406" s="14">
        <v>45978</v>
      </c>
      <c r="B406" s="3" t="s">
        <v>87</v>
      </c>
      <c r="C406" s="15">
        <v>12.42</v>
      </c>
      <c r="D406" s="3" t="s">
        <v>45</v>
      </c>
      <c r="E406" s="3" t="str">
        <f>IFERROR(VLOOKUP(D406,'Category Map'!$A$2:$B$29,2,FALSE),"")</f>
        <v>Wants</v>
      </c>
      <c r="F406" s="3" t="s">
        <v>65</v>
      </c>
      <c r="G406" s="1"/>
    </row>
    <row r="407" spans="1:7" x14ac:dyDescent="0.25">
      <c r="A407" s="14">
        <v>45969</v>
      </c>
      <c r="B407" s="3" t="s">
        <v>102</v>
      </c>
      <c r="C407" s="15">
        <v>14.24</v>
      </c>
      <c r="D407" s="3" t="s">
        <v>45</v>
      </c>
      <c r="E407" s="3" t="str">
        <f>IFERROR(VLOOKUP(D407,'Category Map'!$A$2:$B$29,2,FALSE),"")</f>
        <v>Wants</v>
      </c>
      <c r="F407" s="3" t="s">
        <v>65</v>
      </c>
      <c r="G407" s="1"/>
    </row>
    <row r="408" spans="1:7" x14ac:dyDescent="0.25">
      <c r="A408" s="14">
        <v>45967</v>
      </c>
      <c r="B408" s="3" t="s">
        <v>109</v>
      </c>
      <c r="C408" s="15">
        <v>12.21</v>
      </c>
      <c r="D408" s="3" t="s">
        <v>46</v>
      </c>
      <c r="E408" s="3" t="str">
        <f>IFERROR(VLOOKUP(D408,'Category Map'!$A$2:$B$29,2,FALSE),"")</f>
        <v>Wants</v>
      </c>
      <c r="F408" s="3" t="s">
        <v>65</v>
      </c>
      <c r="G408" s="1"/>
    </row>
    <row r="409" spans="1:7" x14ac:dyDescent="0.25">
      <c r="A409" s="14">
        <v>45964</v>
      </c>
      <c r="B409" s="3" t="s">
        <v>88</v>
      </c>
      <c r="C409" s="15">
        <v>15</v>
      </c>
      <c r="D409" s="3" t="s">
        <v>46</v>
      </c>
      <c r="E409" s="3" t="str">
        <f>IFERROR(VLOOKUP(D409,'Category Map'!$A$2:$B$29,2,FALSE),"")</f>
        <v>Wants</v>
      </c>
      <c r="F409" s="3" t="s">
        <v>65</v>
      </c>
      <c r="G409" s="1"/>
    </row>
    <row r="410" spans="1:7" x14ac:dyDescent="0.25">
      <c r="A410" s="14">
        <v>45963</v>
      </c>
      <c r="B410" s="3" t="s">
        <v>88</v>
      </c>
      <c r="C410" s="15">
        <v>26.43</v>
      </c>
      <c r="D410" s="3" t="s">
        <v>48</v>
      </c>
      <c r="E410" s="3" t="str">
        <f>IFERROR(VLOOKUP(D410,'Category Map'!$A$2:$B$29,2,FALSE),"")</f>
        <v>Wants</v>
      </c>
      <c r="F410" s="3" t="s">
        <v>65</v>
      </c>
      <c r="G410" s="1"/>
    </row>
    <row r="411" spans="1:7" x14ac:dyDescent="0.25">
      <c r="A411" s="14">
        <v>45974</v>
      </c>
      <c r="B411" s="3" t="s">
        <v>89</v>
      </c>
      <c r="C411" s="15">
        <v>25.6</v>
      </c>
      <c r="D411" s="3" t="s">
        <v>49</v>
      </c>
      <c r="E411" s="3" t="str">
        <f>IFERROR(VLOOKUP(D411,'Category Map'!$A$2:$B$29,2,FALSE),"")</f>
        <v>Wants</v>
      </c>
      <c r="F411" s="3" t="s">
        <v>65</v>
      </c>
      <c r="G411" s="1"/>
    </row>
    <row r="412" spans="1:7" x14ac:dyDescent="0.25">
      <c r="A412" s="14">
        <v>45985</v>
      </c>
      <c r="B412" s="3" t="s">
        <v>104</v>
      </c>
      <c r="C412" s="15">
        <v>29.55</v>
      </c>
      <c r="D412" s="3" t="s">
        <v>49</v>
      </c>
      <c r="E412" s="3" t="str">
        <f>IFERROR(VLOOKUP(D412,'Category Map'!$A$2:$B$29,2,FALSE),"")</f>
        <v>Wants</v>
      </c>
      <c r="F412" s="3" t="s">
        <v>65</v>
      </c>
      <c r="G412" s="1"/>
    </row>
    <row r="413" spans="1:7" x14ac:dyDescent="0.25">
      <c r="A413" s="14">
        <v>45979</v>
      </c>
      <c r="B413" s="3" t="s">
        <v>90</v>
      </c>
      <c r="C413" s="15">
        <v>200</v>
      </c>
      <c r="D413" s="3" t="s">
        <v>50</v>
      </c>
      <c r="E413" s="3" t="str">
        <f>IFERROR(VLOOKUP(D413,'Category Map'!$A$2:$B$29,2,FALSE),"")</f>
        <v>Savings</v>
      </c>
      <c r="F413" s="3" t="s">
        <v>63</v>
      </c>
      <c r="G413" s="1"/>
    </row>
    <row r="414" spans="1:7" x14ac:dyDescent="0.25">
      <c r="A414" s="14">
        <v>45986</v>
      </c>
      <c r="B414" s="3" t="s">
        <v>91</v>
      </c>
      <c r="C414" s="15">
        <v>200</v>
      </c>
      <c r="D414" s="3" t="s">
        <v>52</v>
      </c>
      <c r="E414" s="3" t="str">
        <f>IFERROR(VLOOKUP(D414,'Category Map'!$A$2:$B$29,2,FALSE),"")</f>
        <v>Savings</v>
      </c>
      <c r="F414" s="3" t="s">
        <v>63</v>
      </c>
      <c r="G414" s="1"/>
    </row>
    <row r="415" spans="1:7" x14ac:dyDescent="0.25">
      <c r="A415" s="14">
        <v>45983</v>
      </c>
      <c r="B415" s="3" t="s">
        <v>92</v>
      </c>
      <c r="C415" s="15">
        <v>100</v>
      </c>
      <c r="D415" s="3" t="s">
        <v>53</v>
      </c>
      <c r="E415" s="3" t="str">
        <f>IFERROR(VLOOKUP(D415,'Category Map'!$A$2:$B$29,2,FALSE),"")</f>
        <v>Savings</v>
      </c>
      <c r="F415" s="3" t="s">
        <v>63</v>
      </c>
      <c r="G415" s="1"/>
    </row>
    <row r="416" spans="1:7" x14ac:dyDescent="0.25">
      <c r="A416" s="14">
        <v>45984</v>
      </c>
      <c r="B416" s="3" t="s">
        <v>93</v>
      </c>
      <c r="C416" s="15">
        <v>75</v>
      </c>
      <c r="D416" s="3" t="s">
        <v>54</v>
      </c>
      <c r="E416" s="3" t="str">
        <f>IFERROR(VLOOKUP(D416,'Category Map'!$A$2:$B$29,2,FALSE),"")</f>
        <v>Savings</v>
      </c>
      <c r="F416" s="3" t="s">
        <v>63</v>
      </c>
      <c r="G416" s="1"/>
    </row>
    <row r="417" spans="1:7" x14ac:dyDescent="0.25">
      <c r="A417" s="14">
        <v>45977</v>
      </c>
      <c r="B417" s="3" t="s">
        <v>94</v>
      </c>
      <c r="C417" s="15">
        <v>150</v>
      </c>
      <c r="D417" s="3" t="s">
        <v>55</v>
      </c>
      <c r="E417" s="3" t="str">
        <f>IFERROR(VLOOKUP(D417,'Category Map'!$A$2:$B$29,2,FALSE),"")</f>
        <v>Savings</v>
      </c>
      <c r="F417" s="3" t="s">
        <v>63</v>
      </c>
      <c r="G417" s="1"/>
    </row>
    <row r="418" spans="1:7" x14ac:dyDescent="0.25">
      <c r="A418" s="14">
        <v>45993</v>
      </c>
      <c r="B418" s="3" t="s">
        <v>62</v>
      </c>
      <c r="C418" s="15">
        <v>1450</v>
      </c>
      <c r="D418" s="3" t="s">
        <v>26</v>
      </c>
      <c r="E418" s="3" t="str">
        <f>IFERROR(VLOOKUP(D418,'Category Map'!$A$2:$B$29,2,FALSE),"")</f>
        <v>Needs</v>
      </c>
      <c r="F418" s="3" t="s">
        <v>63</v>
      </c>
      <c r="G418" s="1"/>
    </row>
    <row r="419" spans="1:7" x14ac:dyDescent="0.25">
      <c r="A419" s="14">
        <v>45995</v>
      </c>
      <c r="B419" s="3" t="s">
        <v>64</v>
      </c>
      <c r="C419" s="15">
        <v>111.37</v>
      </c>
      <c r="D419" s="3" t="s">
        <v>28</v>
      </c>
      <c r="E419" s="3" t="str">
        <f>IFERROR(VLOOKUP(D419,'Category Map'!$A$2:$B$29,2,FALSE),"")</f>
        <v>Needs</v>
      </c>
      <c r="F419" s="3" t="s">
        <v>65</v>
      </c>
      <c r="G419" s="1"/>
    </row>
    <row r="420" spans="1:7" x14ac:dyDescent="0.25">
      <c r="A420" s="14">
        <v>46019</v>
      </c>
      <c r="B420" s="3" t="s">
        <v>105</v>
      </c>
      <c r="C420" s="15">
        <v>69.3</v>
      </c>
      <c r="D420" s="3" t="s">
        <v>28</v>
      </c>
      <c r="E420" s="3" t="str">
        <f>IFERROR(VLOOKUP(D420,'Category Map'!$A$2:$B$29,2,FALSE),"")</f>
        <v>Needs</v>
      </c>
      <c r="F420" s="3" t="s">
        <v>65</v>
      </c>
      <c r="G420" s="1"/>
    </row>
    <row r="421" spans="1:7" x14ac:dyDescent="0.25">
      <c r="A421" s="14">
        <v>46019</v>
      </c>
      <c r="B421" s="3" t="s">
        <v>66</v>
      </c>
      <c r="C421" s="15">
        <v>269.81</v>
      </c>
      <c r="D421" s="3" t="s">
        <v>29</v>
      </c>
      <c r="E421" s="3" t="str">
        <f>IFERROR(VLOOKUP(D421,'Category Map'!$A$2:$B$29,2,FALSE),"")</f>
        <v>Needs</v>
      </c>
      <c r="F421" s="3" t="s">
        <v>65</v>
      </c>
      <c r="G421" s="1"/>
    </row>
    <row r="422" spans="1:7" x14ac:dyDescent="0.25">
      <c r="A422" s="14">
        <v>45998</v>
      </c>
      <c r="B422" s="3" t="s">
        <v>110</v>
      </c>
      <c r="C422" s="15">
        <v>157.61000000000001</v>
      </c>
      <c r="D422" s="3" t="s">
        <v>29</v>
      </c>
      <c r="E422" s="3" t="str">
        <f>IFERROR(VLOOKUP(D422,'Category Map'!$A$2:$B$29,2,FALSE),"")</f>
        <v>Needs</v>
      </c>
      <c r="F422" s="3" t="s">
        <v>65</v>
      </c>
      <c r="G422" s="1"/>
    </row>
    <row r="423" spans="1:7" x14ac:dyDescent="0.25">
      <c r="A423" s="14">
        <v>46003</v>
      </c>
      <c r="B423" s="3" t="s">
        <v>67</v>
      </c>
      <c r="C423" s="15">
        <v>105</v>
      </c>
      <c r="D423" s="3" t="s">
        <v>30</v>
      </c>
      <c r="E423" s="3" t="str">
        <f>IFERROR(VLOOKUP(D423,'Category Map'!$A$2:$B$29,2,FALSE),"")</f>
        <v>Needs</v>
      </c>
      <c r="F423" s="3" t="s">
        <v>63</v>
      </c>
      <c r="G423" s="1"/>
    </row>
    <row r="424" spans="1:7" x14ac:dyDescent="0.25">
      <c r="A424" s="14">
        <v>46016</v>
      </c>
      <c r="B424" s="3" t="s">
        <v>69</v>
      </c>
      <c r="C424" s="15">
        <v>48.25</v>
      </c>
      <c r="D424" s="3" t="s">
        <v>31</v>
      </c>
      <c r="E424" s="3" t="str">
        <f>IFERROR(VLOOKUP(D424,'Category Map'!$A$2:$B$29,2,FALSE),"")</f>
        <v>Needs</v>
      </c>
      <c r="F424" s="3" t="s">
        <v>65</v>
      </c>
      <c r="G424" s="1"/>
    </row>
    <row r="425" spans="1:7" x14ac:dyDescent="0.25">
      <c r="A425" s="14">
        <v>46010</v>
      </c>
      <c r="B425" s="3" t="s">
        <v>70</v>
      </c>
      <c r="C425" s="15">
        <v>60.18</v>
      </c>
      <c r="D425" s="3" t="s">
        <v>31</v>
      </c>
      <c r="E425" s="3" t="str">
        <f>IFERROR(VLOOKUP(D425,'Category Map'!$A$2:$B$29,2,FALSE),"")</f>
        <v>Needs</v>
      </c>
      <c r="F425" s="3" t="s">
        <v>65</v>
      </c>
      <c r="G425" s="1"/>
    </row>
    <row r="426" spans="1:7" x14ac:dyDescent="0.25">
      <c r="A426" s="14">
        <v>46019</v>
      </c>
      <c r="B426" s="3" t="s">
        <v>71</v>
      </c>
      <c r="C426" s="15">
        <v>70</v>
      </c>
      <c r="D426" s="3" t="s">
        <v>33</v>
      </c>
      <c r="E426" s="3" t="str">
        <f>IFERROR(VLOOKUP(D426,'Category Map'!$A$2:$B$29,2,FALSE),"")</f>
        <v>Needs</v>
      </c>
      <c r="F426" s="3" t="s">
        <v>63</v>
      </c>
      <c r="G426" s="1"/>
    </row>
    <row r="427" spans="1:7" x14ac:dyDescent="0.25">
      <c r="A427" s="14">
        <v>46015</v>
      </c>
      <c r="B427" s="3" t="s">
        <v>111</v>
      </c>
      <c r="C427" s="15">
        <v>300</v>
      </c>
      <c r="D427" s="3" t="s">
        <v>34</v>
      </c>
      <c r="E427" s="3" t="str">
        <f>IFERROR(VLOOKUP(D427,'Category Map'!$A$2:$B$29,2,FALSE),"")</f>
        <v>Needs</v>
      </c>
      <c r="F427" s="3" t="s">
        <v>63</v>
      </c>
      <c r="G427" s="1"/>
    </row>
    <row r="428" spans="1:7" x14ac:dyDescent="0.25">
      <c r="A428" s="14">
        <v>46009</v>
      </c>
      <c r="B428" s="3" t="s">
        <v>98</v>
      </c>
      <c r="C428" s="15">
        <v>29.11</v>
      </c>
      <c r="D428" s="3" t="s">
        <v>35</v>
      </c>
      <c r="E428" s="3" t="str">
        <f>IFERROR(VLOOKUP(D428,'Category Map'!$A$2:$B$29,2,FALSE),"")</f>
        <v>Needs</v>
      </c>
      <c r="F428" s="3" t="s">
        <v>65</v>
      </c>
      <c r="G428" s="1"/>
    </row>
    <row r="429" spans="1:7" x14ac:dyDescent="0.25">
      <c r="A429" s="14">
        <v>45993</v>
      </c>
      <c r="B429" s="3" t="s">
        <v>74</v>
      </c>
      <c r="C429" s="15">
        <v>22</v>
      </c>
      <c r="D429" s="3" t="s">
        <v>36</v>
      </c>
      <c r="E429" s="3" t="str">
        <f>IFERROR(VLOOKUP(D429,'Category Map'!$A$2:$B$29,2,FALSE),"")</f>
        <v>Needs</v>
      </c>
      <c r="F429" s="3" t="s">
        <v>63</v>
      </c>
      <c r="G429" s="1"/>
    </row>
    <row r="430" spans="1:7" x14ac:dyDescent="0.25">
      <c r="A430" s="14">
        <v>46019</v>
      </c>
      <c r="B430" s="3" t="s">
        <v>75</v>
      </c>
      <c r="C430" s="15">
        <v>60</v>
      </c>
      <c r="D430" s="3" t="s">
        <v>37</v>
      </c>
      <c r="E430" s="3" t="str">
        <f>IFERROR(VLOOKUP(D430,'Category Map'!$A$2:$B$29,2,FALSE),"")</f>
        <v>Needs</v>
      </c>
      <c r="F430" s="3" t="s">
        <v>63</v>
      </c>
      <c r="G430" s="1"/>
    </row>
    <row r="431" spans="1:7" x14ac:dyDescent="0.25">
      <c r="A431" s="14">
        <v>45996</v>
      </c>
      <c r="B431" s="3" t="s">
        <v>78</v>
      </c>
      <c r="C431" s="15">
        <v>48.46</v>
      </c>
      <c r="D431" s="3" t="s">
        <v>38</v>
      </c>
      <c r="E431" s="3" t="str">
        <f>IFERROR(VLOOKUP(D431,'Category Map'!$A$2:$B$29,2,FALSE),"")</f>
        <v>Wants</v>
      </c>
      <c r="F431" s="3" t="s">
        <v>65</v>
      </c>
      <c r="G431" s="1"/>
    </row>
    <row r="432" spans="1:7" x14ac:dyDescent="0.25">
      <c r="A432" s="14">
        <v>46011</v>
      </c>
      <c r="B432" s="3" t="s">
        <v>78</v>
      </c>
      <c r="C432" s="15">
        <v>37.700000000000003</v>
      </c>
      <c r="D432" s="3" t="s">
        <v>38</v>
      </c>
      <c r="E432" s="3" t="str">
        <f>IFERROR(VLOOKUP(D432,'Category Map'!$A$2:$B$29,2,FALSE),"")</f>
        <v>Wants</v>
      </c>
      <c r="F432" s="3" t="s">
        <v>65</v>
      </c>
      <c r="G432" s="1"/>
    </row>
    <row r="433" spans="1:7" x14ac:dyDescent="0.25">
      <c r="A433" s="14">
        <v>45992</v>
      </c>
      <c r="B433" s="3" t="s">
        <v>77</v>
      </c>
      <c r="C433" s="15">
        <v>35.17</v>
      </c>
      <c r="D433" s="3" t="s">
        <v>38</v>
      </c>
      <c r="E433" s="3" t="str">
        <f>IFERROR(VLOOKUP(D433,'Category Map'!$A$2:$B$29,2,FALSE),"")</f>
        <v>Wants</v>
      </c>
      <c r="F433" s="3" t="s">
        <v>65</v>
      </c>
      <c r="G433" s="1"/>
    </row>
    <row r="434" spans="1:7" x14ac:dyDescent="0.25">
      <c r="A434" s="14">
        <v>46022</v>
      </c>
      <c r="B434" s="3" t="s">
        <v>76</v>
      </c>
      <c r="C434" s="15">
        <v>34.39</v>
      </c>
      <c r="D434" s="3" t="s">
        <v>38</v>
      </c>
      <c r="E434" s="3" t="str">
        <f>IFERROR(VLOOKUP(D434,'Category Map'!$A$2:$B$29,2,FALSE),"")</f>
        <v>Wants</v>
      </c>
      <c r="F434" s="3" t="s">
        <v>65</v>
      </c>
      <c r="G434" s="1"/>
    </row>
    <row r="435" spans="1:7" x14ac:dyDescent="0.25">
      <c r="A435" s="14">
        <v>46009</v>
      </c>
      <c r="B435" s="3" t="s">
        <v>79</v>
      </c>
      <c r="C435" s="15">
        <v>16.690000000000001</v>
      </c>
      <c r="D435" s="3" t="s">
        <v>40</v>
      </c>
      <c r="E435" s="3" t="str">
        <f>IFERROR(VLOOKUP(D435,'Category Map'!$A$2:$B$29,2,FALSE),"")</f>
        <v>Wants</v>
      </c>
      <c r="F435" s="3" t="s">
        <v>65</v>
      </c>
      <c r="G435" s="1"/>
    </row>
    <row r="436" spans="1:7" x14ac:dyDescent="0.25">
      <c r="A436" s="14">
        <v>46011</v>
      </c>
      <c r="B436" s="3" t="s">
        <v>79</v>
      </c>
      <c r="C436" s="15">
        <v>20.18</v>
      </c>
      <c r="D436" s="3" t="s">
        <v>40</v>
      </c>
      <c r="E436" s="3" t="str">
        <f>IFERROR(VLOOKUP(D436,'Category Map'!$A$2:$B$29,2,FALSE),"")</f>
        <v>Wants</v>
      </c>
      <c r="F436" s="3" t="s">
        <v>65</v>
      </c>
      <c r="G436" s="1"/>
    </row>
    <row r="437" spans="1:7" x14ac:dyDescent="0.25">
      <c r="A437" s="14">
        <v>45999</v>
      </c>
      <c r="B437" s="3" t="s">
        <v>107</v>
      </c>
      <c r="C437" s="15">
        <v>100.65</v>
      </c>
      <c r="D437" s="3" t="s">
        <v>41</v>
      </c>
      <c r="E437" s="3" t="str">
        <f>IFERROR(VLOOKUP(D437,'Category Map'!$A$2:$B$29,2,FALSE),"")</f>
        <v>Wants</v>
      </c>
      <c r="F437" s="3" t="s">
        <v>65</v>
      </c>
      <c r="G437" s="1"/>
    </row>
    <row r="438" spans="1:7" x14ac:dyDescent="0.25">
      <c r="A438" s="14">
        <v>46017</v>
      </c>
      <c r="B438" s="3" t="s">
        <v>100</v>
      </c>
      <c r="C438" s="15">
        <v>50</v>
      </c>
      <c r="D438" s="3" t="s">
        <v>42</v>
      </c>
      <c r="E438" s="3" t="str">
        <f>IFERROR(VLOOKUP(D438,'Category Map'!$A$2:$B$29,2,FALSE),"")</f>
        <v>Wants</v>
      </c>
      <c r="F438" s="3" t="s">
        <v>65</v>
      </c>
      <c r="G438" s="1"/>
    </row>
    <row r="439" spans="1:7" x14ac:dyDescent="0.25">
      <c r="A439" s="14">
        <v>46004</v>
      </c>
      <c r="B439" s="3" t="s">
        <v>85</v>
      </c>
      <c r="C439" s="15">
        <v>29.56</v>
      </c>
      <c r="D439" s="3" t="s">
        <v>43</v>
      </c>
      <c r="E439" s="3" t="str">
        <f>IFERROR(VLOOKUP(D439,'Category Map'!$A$2:$B$29,2,FALSE),"")</f>
        <v>Wants</v>
      </c>
      <c r="F439" s="3" t="s">
        <v>65</v>
      </c>
      <c r="G439" s="1"/>
    </row>
    <row r="440" spans="1:7" x14ac:dyDescent="0.25">
      <c r="A440" s="14">
        <v>45998</v>
      </c>
      <c r="B440" s="3" t="s">
        <v>101</v>
      </c>
      <c r="C440" s="15">
        <v>21</v>
      </c>
      <c r="D440" s="3" t="s">
        <v>43</v>
      </c>
      <c r="E440" s="3" t="str">
        <f>IFERROR(VLOOKUP(D440,'Category Map'!$A$2:$B$29,2,FALSE),"")</f>
        <v>Wants</v>
      </c>
      <c r="F440" s="3" t="s">
        <v>65</v>
      </c>
      <c r="G440" s="1"/>
    </row>
    <row r="441" spans="1:7" x14ac:dyDescent="0.25">
      <c r="A441" s="14">
        <v>46008</v>
      </c>
      <c r="B441" s="3" t="s">
        <v>86</v>
      </c>
      <c r="C441" s="15">
        <v>40</v>
      </c>
      <c r="D441" s="3" t="s">
        <v>44</v>
      </c>
      <c r="E441" s="3" t="str">
        <f>IFERROR(VLOOKUP(D441,'Category Map'!$A$2:$B$29,2,FALSE),"")</f>
        <v>Wants</v>
      </c>
      <c r="F441" s="3" t="s">
        <v>63</v>
      </c>
      <c r="G441" s="1"/>
    </row>
    <row r="442" spans="1:7" x14ac:dyDescent="0.25">
      <c r="A442" s="14">
        <v>45993</v>
      </c>
      <c r="B442" s="3" t="s">
        <v>102</v>
      </c>
      <c r="C442" s="15">
        <v>30.14</v>
      </c>
      <c r="D442" s="3" t="s">
        <v>45</v>
      </c>
      <c r="E442" s="3" t="str">
        <f>IFERROR(VLOOKUP(D442,'Category Map'!$A$2:$B$29,2,FALSE),"")</f>
        <v>Wants</v>
      </c>
      <c r="F442" s="3" t="s">
        <v>65</v>
      </c>
      <c r="G442" s="1"/>
    </row>
    <row r="443" spans="1:7" x14ac:dyDescent="0.25">
      <c r="A443" s="14">
        <v>46009</v>
      </c>
      <c r="B443" s="3" t="s">
        <v>88</v>
      </c>
      <c r="C443" s="15">
        <v>22.85</v>
      </c>
      <c r="D443" s="3" t="s">
        <v>46</v>
      </c>
      <c r="E443" s="3" t="str">
        <f>IFERROR(VLOOKUP(D443,'Category Map'!$A$2:$B$29,2,FALSE),"")</f>
        <v>Wants</v>
      </c>
      <c r="F443" s="3" t="s">
        <v>65</v>
      </c>
      <c r="G443" s="1"/>
    </row>
    <row r="444" spans="1:7" x14ac:dyDescent="0.25">
      <c r="A444" s="14">
        <v>45996</v>
      </c>
      <c r="B444" s="3" t="s">
        <v>113</v>
      </c>
      <c r="C444" s="15">
        <v>228.74</v>
      </c>
      <c r="D444" s="3" t="s">
        <v>47</v>
      </c>
      <c r="E444" s="3" t="str">
        <f>IFERROR(VLOOKUP(D444,'Category Map'!$A$2:$B$29,2,FALSE),"")</f>
        <v>Wants</v>
      </c>
      <c r="F444" s="3" t="s">
        <v>65</v>
      </c>
      <c r="G444" s="1"/>
    </row>
    <row r="445" spans="1:7" x14ac:dyDescent="0.25">
      <c r="A445" s="14">
        <v>45996</v>
      </c>
      <c r="B445" s="3" t="s">
        <v>115</v>
      </c>
      <c r="C445" s="15">
        <v>139.13999999999999</v>
      </c>
      <c r="D445" s="3" t="s">
        <v>47</v>
      </c>
      <c r="E445" s="3" t="str">
        <f>IFERROR(VLOOKUP(D445,'Category Map'!$A$2:$B$29,2,FALSE),"")</f>
        <v>Wants</v>
      </c>
      <c r="F445" s="3" t="s">
        <v>65</v>
      </c>
      <c r="G445" s="1"/>
    </row>
    <row r="446" spans="1:7" x14ac:dyDescent="0.25">
      <c r="A446" s="14">
        <v>46004</v>
      </c>
      <c r="B446" s="3" t="s">
        <v>88</v>
      </c>
      <c r="C446" s="15">
        <v>21.58</v>
      </c>
      <c r="D446" s="3" t="s">
        <v>48</v>
      </c>
      <c r="E446" s="3" t="str">
        <f>IFERROR(VLOOKUP(D446,'Category Map'!$A$2:$B$29,2,FALSE),"")</f>
        <v>Wants</v>
      </c>
      <c r="F446" s="3" t="s">
        <v>65</v>
      </c>
      <c r="G446" s="1"/>
    </row>
    <row r="447" spans="1:7" x14ac:dyDescent="0.25">
      <c r="A447" s="14">
        <v>46015</v>
      </c>
      <c r="B447" s="3" t="s">
        <v>103</v>
      </c>
      <c r="C447" s="15">
        <v>19.93</v>
      </c>
      <c r="D447" s="3" t="s">
        <v>48</v>
      </c>
      <c r="E447" s="3" t="str">
        <f>IFERROR(VLOOKUP(D447,'Category Map'!$A$2:$B$29,2,FALSE),"")</f>
        <v>Wants</v>
      </c>
      <c r="F447" s="3" t="s">
        <v>65</v>
      </c>
      <c r="G447" s="1"/>
    </row>
    <row r="448" spans="1:7" x14ac:dyDescent="0.25">
      <c r="A448" s="14">
        <v>46004</v>
      </c>
      <c r="B448" s="3" t="s">
        <v>104</v>
      </c>
      <c r="C448" s="15">
        <v>42.42</v>
      </c>
      <c r="D448" s="3" t="s">
        <v>49</v>
      </c>
      <c r="E448" s="3" t="str">
        <f>IFERROR(VLOOKUP(D448,'Category Map'!$A$2:$B$29,2,FALSE),"")</f>
        <v>Wants</v>
      </c>
      <c r="F448" s="3" t="s">
        <v>65</v>
      </c>
      <c r="G448" s="1"/>
    </row>
    <row r="449" spans="1:7" x14ac:dyDescent="0.25">
      <c r="A449" s="14">
        <v>46011</v>
      </c>
      <c r="B449" s="3" t="s">
        <v>90</v>
      </c>
      <c r="C449" s="15">
        <v>200</v>
      </c>
      <c r="D449" s="3" t="s">
        <v>50</v>
      </c>
      <c r="E449" s="3" t="str">
        <f>IFERROR(VLOOKUP(D449,'Category Map'!$A$2:$B$29,2,FALSE),"")</f>
        <v>Savings</v>
      </c>
      <c r="F449" s="3" t="s">
        <v>63</v>
      </c>
      <c r="G449" s="1"/>
    </row>
    <row r="450" spans="1:7" x14ac:dyDescent="0.25">
      <c r="A450" s="14">
        <v>46016</v>
      </c>
      <c r="B450" s="3" t="s">
        <v>91</v>
      </c>
      <c r="C450" s="15">
        <v>200</v>
      </c>
      <c r="D450" s="3" t="s">
        <v>52</v>
      </c>
      <c r="E450" s="3" t="str">
        <f>IFERROR(VLOOKUP(D450,'Category Map'!$A$2:$B$29,2,FALSE),"")</f>
        <v>Savings</v>
      </c>
      <c r="F450" s="3" t="s">
        <v>63</v>
      </c>
      <c r="G450" s="1"/>
    </row>
    <row r="451" spans="1:7" x14ac:dyDescent="0.25">
      <c r="A451" s="14">
        <v>45998</v>
      </c>
      <c r="B451" s="3" t="s">
        <v>92</v>
      </c>
      <c r="C451" s="15">
        <v>100</v>
      </c>
      <c r="D451" s="3" t="s">
        <v>53</v>
      </c>
      <c r="E451" s="3" t="str">
        <f>IFERROR(VLOOKUP(D451,'Category Map'!$A$2:$B$29,2,FALSE),"")</f>
        <v>Savings</v>
      </c>
      <c r="F451" s="3" t="s">
        <v>63</v>
      </c>
      <c r="G451" s="1"/>
    </row>
    <row r="452" spans="1:7" x14ac:dyDescent="0.25">
      <c r="A452" s="14">
        <v>46003</v>
      </c>
      <c r="B452" s="3" t="s">
        <v>93</v>
      </c>
      <c r="C452" s="15">
        <v>75</v>
      </c>
      <c r="D452" s="3" t="s">
        <v>54</v>
      </c>
      <c r="E452" s="3" t="str">
        <f>IFERROR(VLOOKUP(D452,'Category Map'!$A$2:$B$29,2,FALSE),"")</f>
        <v>Savings</v>
      </c>
      <c r="F452" s="3" t="s">
        <v>63</v>
      </c>
      <c r="G452" s="1"/>
    </row>
    <row r="453" spans="1:7" x14ac:dyDescent="0.25">
      <c r="A453" s="14">
        <v>46001</v>
      </c>
      <c r="B453" s="3" t="s">
        <v>94</v>
      </c>
      <c r="C453" s="15">
        <v>150</v>
      </c>
      <c r="D453" s="3" t="s">
        <v>55</v>
      </c>
      <c r="E453" s="3" t="str">
        <f>IFERROR(VLOOKUP(D453,'Category Map'!$A$2:$B$29,2,FALSE),"")</f>
        <v>Savings</v>
      </c>
      <c r="F453" s="3" t="s">
        <v>63</v>
      </c>
      <c r="G453" s="1"/>
    </row>
  </sheetData>
  <dataValidations count="2">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xr:uid="{00000000-0002-0000-0200-000000000000}">
      <formula1>_xlfn._LONGTEXT("Rent/Mortgage,Utilities,Groceries,Auto Insurance,Gas,Health Insurance (manual),Phone,Min Debt Payment,Medical/Prescriptions,Renters Insurance,Internet,Dining Out,Coffee Shops,Entertainment,Clothing,Subscriptions,Gym,Personal Care,Gifts,Travel,Hobbies,Alco","hol/Bars,Emergency Fund,Retirement Extra,Vacation Fund,Sinking Funds,Investments,529 College")</formula1>
    </dataValidation>
    <dataValidation type="list" allowBlank="1"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xr:uid="{00000000-0002-0000-0200-000001000000}">
      <formula1>"Yes,No"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9"/>
  <sheetViews>
    <sheetView showGridLines="0" workbookViewId="0">
      <selection activeCell="D7" sqref="D7"/>
    </sheetView>
  </sheetViews>
  <sheetFormatPr defaultRowHeight="15" x14ac:dyDescent="0.25"/>
  <cols>
    <col min="1" max="1" width="22" customWidth="1"/>
    <col min="2" max="41" width="11" customWidth="1"/>
  </cols>
  <sheetData>
    <row r="1" spans="1:40" x14ac:dyDescent="0.25">
      <c r="A1" s="12" t="s">
        <v>25</v>
      </c>
      <c r="B1" s="16" t="s">
        <v>116</v>
      </c>
      <c r="C1" s="16" t="s">
        <v>117</v>
      </c>
      <c r="D1" s="16" t="s">
        <v>118</v>
      </c>
      <c r="E1" s="16" t="s">
        <v>119</v>
      </c>
      <c r="F1" s="16" t="s">
        <v>120</v>
      </c>
      <c r="G1" s="16" t="s">
        <v>121</v>
      </c>
      <c r="H1" s="16" t="s">
        <v>122</v>
      </c>
      <c r="I1" s="16" t="s">
        <v>123</v>
      </c>
      <c r="J1" s="16" t="s">
        <v>124</v>
      </c>
      <c r="K1" s="16" t="s">
        <v>125</v>
      </c>
      <c r="L1" s="16" t="s">
        <v>126</v>
      </c>
      <c r="M1" s="16" t="s">
        <v>127</v>
      </c>
      <c r="N1" s="16" t="s">
        <v>128</v>
      </c>
      <c r="O1" s="16" t="s">
        <v>129</v>
      </c>
      <c r="P1" s="16" t="s">
        <v>130</v>
      </c>
      <c r="Q1" s="16" t="s">
        <v>131</v>
      </c>
      <c r="R1" s="16" t="s">
        <v>132</v>
      </c>
      <c r="S1" s="16" t="s">
        <v>133</v>
      </c>
      <c r="T1" s="16" t="s">
        <v>134</v>
      </c>
      <c r="U1" s="16" t="s">
        <v>135</v>
      </c>
      <c r="V1" s="16" t="s">
        <v>136</v>
      </c>
      <c r="W1" s="16" t="s">
        <v>137</v>
      </c>
      <c r="X1" s="16" t="s">
        <v>138</v>
      </c>
      <c r="Y1" s="16" t="s">
        <v>139</v>
      </c>
      <c r="Z1" s="16" t="s">
        <v>140</v>
      </c>
      <c r="AA1" s="16" t="s">
        <v>141</v>
      </c>
      <c r="AB1" s="16" t="s">
        <v>142</v>
      </c>
      <c r="AC1" s="16" t="s">
        <v>143</v>
      </c>
      <c r="AD1" s="16" t="s">
        <v>144</v>
      </c>
      <c r="AE1" s="16" t="s">
        <v>145</v>
      </c>
      <c r="AF1" s="16" t="s">
        <v>146</v>
      </c>
      <c r="AG1" s="16" t="s">
        <v>147</v>
      </c>
      <c r="AH1" s="16" t="s">
        <v>148</v>
      </c>
      <c r="AI1" s="16" t="s">
        <v>149</v>
      </c>
      <c r="AJ1" s="16" t="s">
        <v>150</v>
      </c>
      <c r="AK1" s="16" t="s">
        <v>151</v>
      </c>
      <c r="AL1" s="17" t="s">
        <v>152</v>
      </c>
      <c r="AM1" s="17" t="s">
        <v>153</v>
      </c>
      <c r="AN1" s="17" t="s">
        <v>154</v>
      </c>
    </row>
    <row r="2" spans="1:40" x14ac:dyDescent="0.25">
      <c r="A2" s="18" t="s">
        <v>27</v>
      </c>
      <c r="B2" s="19">
        <f>SUMIFS('Expense Log'!$C$2:$C$453,'Expense Log'!$E$2:$E$453,"Needs",'Expense Log'!$A$2:$A$453,"&gt;="&amp;DATE(2025,1,1),'Expense Log'!$A$2:$A$453,"&lt;"&amp;DATE(2025,2,1))</f>
        <v>2647.21</v>
      </c>
      <c r="C2" s="19">
        <f>Income!$B$21</f>
        <v>2105.791666666667</v>
      </c>
      <c r="D2" s="19">
        <f>C2-B2</f>
        <v>-541.41833333333307</v>
      </c>
      <c r="E2" s="19">
        <f>SUMIFS('Expense Log'!$C$2:$C$453,'Expense Log'!$E$2:$E$453,"Needs",'Expense Log'!$A$2:$A$453,"&gt;="&amp;DATE(2025,2,1),'Expense Log'!$A$2:$A$453,"&lt;"&amp;DATE(2025,3,1))</f>
        <v>2868.2599999999993</v>
      </c>
      <c r="F2" s="19">
        <f>Income!$B$21</f>
        <v>2105.791666666667</v>
      </c>
      <c r="G2" s="19">
        <f>F2-E2</f>
        <v>-762.46833333333234</v>
      </c>
      <c r="H2" s="19">
        <f>SUMIFS('Expense Log'!$C$2:$C$453,'Expense Log'!$E$2:$E$453,"Needs",'Expense Log'!$A$2:$A$453,"&gt;="&amp;DATE(2025,3,1),'Expense Log'!$A$2:$A$453,"&lt;"&amp;DATE(2025,4,1))</f>
        <v>2793.19</v>
      </c>
      <c r="I2" s="19">
        <f>Income!$B$21</f>
        <v>2105.791666666667</v>
      </c>
      <c r="J2" s="19">
        <f>I2-H2</f>
        <v>-687.39833333333308</v>
      </c>
      <c r="K2" s="19">
        <f>SUMIFS('Expense Log'!$C$2:$C$453,'Expense Log'!$E$2:$E$453,"Needs",'Expense Log'!$A$2:$A$453,"&gt;="&amp;DATE(2025,4,1),'Expense Log'!$A$2:$A$453,"&lt;"&amp;DATE(2025,5,1))</f>
        <v>2823.94</v>
      </c>
      <c r="L2" s="19">
        <f>Income!$B$21</f>
        <v>2105.791666666667</v>
      </c>
      <c r="M2" s="19">
        <f>L2-K2</f>
        <v>-718.14833333333308</v>
      </c>
      <c r="N2" s="19">
        <f>SUMIFS('Expense Log'!$C$2:$C$453,'Expense Log'!$E$2:$E$453,"Needs",'Expense Log'!$A$2:$A$453,"&gt;="&amp;DATE(2025,5,1),'Expense Log'!$A$2:$A$453,"&lt;"&amp;DATE(2025,6,1))</f>
        <v>2748.59</v>
      </c>
      <c r="O2" s="19">
        <f>Income!$B$21</f>
        <v>2105.791666666667</v>
      </c>
      <c r="P2" s="19">
        <f>O2-N2</f>
        <v>-642.79833333333318</v>
      </c>
      <c r="Q2" s="19">
        <f>SUMIFS('Expense Log'!$C$2:$C$453,'Expense Log'!$E$2:$E$453,"Needs",'Expense Log'!$A$2:$A$453,"&gt;="&amp;DATE(2025,6,1),'Expense Log'!$A$2:$A$453,"&lt;"&amp;DATE(2025,7,1))</f>
        <v>2826.9400000000005</v>
      </c>
      <c r="R2" s="19">
        <f>Income!$B$21</f>
        <v>2105.791666666667</v>
      </c>
      <c r="S2" s="19">
        <f>R2-Q2</f>
        <v>-721.14833333333354</v>
      </c>
      <c r="T2" s="19">
        <f>SUMIFS('Expense Log'!$C$2:$C$453,'Expense Log'!$E$2:$E$453,"Needs",'Expense Log'!$A$2:$A$453,"&gt;="&amp;DATE(2025,7,1),'Expense Log'!$A$2:$A$453,"&lt;"&amp;DATE(2025,8,1))</f>
        <v>2638.7999999999997</v>
      </c>
      <c r="U2" s="19">
        <f>Income!$B$21</f>
        <v>2105.791666666667</v>
      </c>
      <c r="V2" s="19">
        <f>U2-T2</f>
        <v>-533.00833333333276</v>
      </c>
      <c r="W2" s="19">
        <f>SUMIFS('Expense Log'!$C$2:$C$453,'Expense Log'!$E$2:$E$453,"Needs",'Expense Log'!$A$2:$A$453,"&gt;="&amp;DATE(2025,8,1),'Expense Log'!$A$2:$A$453,"&lt;"&amp;DATE(2025,9,1))</f>
        <v>2787.86</v>
      </c>
      <c r="X2" s="19">
        <f>Income!$B$21</f>
        <v>2105.791666666667</v>
      </c>
      <c r="Y2" s="19">
        <f>X2-W2</f>
        <v>-682.06833333333316</v>
      </c>
      <c r="Z2" s="19">
        <f>SUMIFS('Expense Log'!$C$2:$C$453,'Expense Log'!$E$2:$E$453,"Needs",'Expense Log'!$A$2:$A$453,"&gt;="&amp;DATE(2025,9,1),'Expense Log'!$A$2:$A$453,"&lt;"&amp;DATE(2025,10,1))</f>
        <v>2707.89</v>
      </c>
      <c r="AA2" s="19">
        <f>Income!$B$21</f>
        <v>2105.791666666667</v>
      </c>
      <c r="AB2" s="19">
        <f>AA2-Z2</f>
        <v>-602.0983333333329</v>
      </c>
      <c r="AC2" s="19">
        <f>SUMIFS('Expense Log'!$C$2:$C$453,'Expense Log'!$E$2:$E$453,"Needs",'Expense Log'!$A$2:$A$453,"&gt;="&amp;DATE(2025,10,1),'Expense Log'!$A$2:$A$453,"&lt;"&amp;DATE(2025,11,1))</f>
        <v>2840.65</v>
      </c>
      <c r="AD2" s="19">
        <f>Income!$B$21</f>
        <v>2105.791666666667</v>
      </c>
      <c r="AE2" s="19">
        <f>AD2-AC2</f>
        <v>-734.85833333333312</v>
      </c>
      <c r="AF2" s="19">
        <f>SUMIFS('Expense Log'!$C$2:$C$453,'Expense Log'!$E$2:$E$453,"Needs",'Expense Log'!$A$2:$A$453,"&gt;="&amp;DATE(2025,11,1),'Expense Log'!$A$2:$A$453,"&lt;"&amp;DATE(2025,12,1))</f>
        <v>2730.1600000000003</v>
      </c>
      <c r="AG2" s="19">
        <f>Income!$B$21</f>
        <v>2105.791666666667</v>
      </c>
      <c r="AH2" s="19">
        <f>AG2-AF2</f>
        <v>-624.36833333333334</v>
      </c>
      <c r="AI2" s="19">
        <f>SUMIFS('Expense Log'!$C$2:$C$453,'Expense Log'!$E$2:$E$453,"Needs",'Expense Log'!$A$2:$A$453,"&gt;="&amp;DATE(2025,12,1),'Expense Log'!$A$2:$A$453,"&lt;"&amp;DATE(2026,1,1))</f>
        <v>2752.6299999999997</v>
      </c>
      <c r="AJ2" s="19">
        <f>Income!$B$21</f>
        <v>2105.791666666667</v>
      </c>
      <c r="AK2" s="19">
        <f>AJ2-AI2</f>
        <v>-646.83833333333268</v>
      </c>
      <c r="AL2" s="7">
        <f t="shared" ref="AL2:AM4" si="0">B2+E2+H2+K2+N2+Q2+T2+W2+Z2+AC2+AF2+AI2</f>
        <v>33166.120000000003</v>
      </c>
      <c r="AM2" s="7">
        <f t="shared" si="0"/>
        <v>25269.500000000011</v>
      </c>
      <c r="AN2" s="7">
        <f>AM2-AL2</f>
        <v>-7896.6199999999917</v>
      </c>
    </row>
    <row r="3" spans="1:40" x14ac:dyDescent="0.25">
      <c r="A3" s="20" t="s">
        <v>39</v>
      </c>
      <c r="B3" s="19">
        <f>SUMIFS('Expense Log'!$C$2:$C$453,'Expense Log'!$E$2:$E$453,"Wants",'Expense Log'!$A$2:$A$453,"&gt;="&amp;DATE(2025,1,1),'Expense Log'!$A$2:$A$453,"&lt;"&amp;DATE(2025,2,1))</f>
        <v>538.19000000000005</v>
      </c>
      <c r="C3" s="19">
        <f>Income!$B$22</f>
        <v>1263.4750000000001</v>
      </c>
      <c r="D3" s="19">
        <f>C3-B3</f>
        <v>725.28500000000008</v>
      </c>
      <c r="E3" s="19">
        <f>SUMIFS('Expense Log'!$C$2:$C$453,'Expense Log'!$E$2:$E$453,"Wants",'Expense Log'!$A$2:$A$453,"&gt;="&amp;DATE(2025,2,1),'Expense Log'!$A$2:$A$453,"&lt;"&amp;DATE(2025,3,1))</f>
        <v>603.19999999999993</v>
      </c>
      <c r="F3" s="19">
        <f>Income!$B$22</f>
        <v>1263.4750000000001</v>
      </c>
      <c r="G3" s="19">
        <f>F3-E3</f>
        <v>660.2750000000002</v>
      </c>
      <c r="H3" s="19">
        <f>SUMIFS('Expense Log'!$C$2:$C$453,'Expense Log'!$E$2:$E$453,"Wants",'Expense Log'!$A$2:$A$453,"&gt;="&amp;DATE(2025,3,1),'Expense Log'!$A$2:$A$453,"&lt;"&amp;DATE(2025,4,1))</f>
        <v>579.04</v>
      </c>
      <c r="I3" s="19">
        <f>Income!$B$22</f>
        <v>1263.4750000000001</v>
      </c>
      <c r="J3" s="19">
        <f>I3-H3</f>
        <v>684.43500000000017</v>
      </c>
      <c r="K3" s="19">
        <f>SUMIFS('Expense Log'!$C$2:$C$453,'Expense Log'!$E$2:$E$453,"Wants",'Expense Log'!$A$2:$A$453,"&gt;="&amp;DATE(2025,4,1),'Expense Log'!$A$2:$A$453,"&lt;"&amp;DATE(2025,5,1))</f>
        <v>595.97</v>
      </c>
      <c r="L3" s="19">
        <f>Income!$B$22</f>
        <v>1263.4750000000001</v>
      </c>
      <c r="M3" s="19">
        <f>L3-K3</f>
        <v>667.50500000000011</v>
      </c>
      <c r="N3" s="19">
        <f>SUMIFS('Expense Log'!$C$2:$C$453,'Expense Log'!$E$2:$E$453,"Wants",'Expense Log'!$A$2:$A$453,"&gt;="&amp;DATE(2025,5,1),'Expense Log'!$A$2:$A$453,"&lt;"&amp;DATE(2025,6,1))</f>
        <v>649.71</v>
      </c>
      <c r="O3" s="19">
        <f>Income!$B$22</f>
        <v>1263.4750000000001</v>
      </c>
      <c r="P3" s="19">
        <f>O3-N3</f>
        <v>613.7650000000001</v>
      </c>
      <c r="Q3" s="19">
        <f>SUMIFS('Expense Log'!$C$2:$C$453,'Expense Log'!$E$2:$E$453,"Wants",'Expense Log'!$A$2:$A$453,"&gt;="&amp;DATE(2025,6,1),'Expense Log'!$A$2:$A$453,"&lt;"&amp;DATE(2025,7,1))</f>
        <v>1094.27</v>
      </c>
      <c r="R3" s="19">
        <f>Income!$B$22</f>
        <v>1263.4750000000001</v>
      </c>
      <c r="S3" s="19">
        <f>R3-Q3</f>
        <v>169.20500000000015</v>
      </c>
      <c r="T3" s="19">
        <f>SUMIFS('Expense Log'!$C$2:$C$453,'Expense Log'!$E$2:$E$453,"Wants",'Expense Log'!$A$2:$A$453,"&gt;="&amp;DATE(2025,7,1),'Expense Log'!$A$2:$A$453,"&lt;"&amp;DATE(2025,8,1))</f>
        <v>513.71999999999991</v>
      </c>
      <c r="U3" s="19">
        <f>Income!$B$22</f>
        <v>1263.4750000000001</v>
      </c>
      <c r="V3" s="19">
        <f>U3-T3</f>
        <v>749.75500000000022</v>
      </c>
      <c r="W3" s="19">
        <f>SUMIFS('Expense Log'!$C$2:$C$453,'Expense Log'!$E$2:$E$453,"Wants",'Expense Log'!$A$2:$A$453,"&gt;="&amp;DATE(2025,8,1),'Expense Log'!$A$2:$A$453,"&lt;"&amp;DATE(2025,9,1))</f>
        <v>555.4</v>
      </c>
      <c r="X3" s="19">
        <f>Income!$B$22</f>
        <v>1263.4750000000001</v>
      </c>
      <c r="Y3" s="19">
        <f>X3-W3</f>
        <v>708.07500000000016</v>
      </c>
      <c r="Z3" s="19">
        <f>SUMIFS('Expense Log'!$C$2:$C$453,'Expense Log'!$E$2:$E$453,"Wants",'Expense Log'!$A$2:$A$453,"&gt;="&amp;DATE(2025,9,1),'Expense Log'!$A$2:$A$453,"&lt;"&amp;DATE(2025,10,1))</f>
        <v>600.62</v>
      </c>
      <c r="AA3" s="19">
        <f>Income!$B$22</f>
        <v>1263.4750000000001</v>
      </c>
      <c r="AB3" s="19">
        <f>AA3-Z3</f>
        <v>662.85500000000013</v>
      </c>
      <c r="AC3" s="19">
        <f>SUMIFS('Expense Log'!$C$2:$C$453,'Expense Log'!$E$2:$E$453,"Wants",'Expense Log'!$A$2:$A$453,"&gt;="&amp;DATE(2025,10,1),'Expense Log'!$A$2:$A$453,"&lt;"&amp;DATE(2025,11,1))</f>
        <v>562.1099999999999</v>
      </c>
      <c r="AD3" s="19">
        <f>Income!$B$22</f>
        <v>1263.4750000000001</v>
      </c>
      <c r="AE3" s="19">
        <f>AD3-AC3</f>
        <v>701.36500000000024</v>
      </c>
      <c r="AF3" s="19">
        <f>SUMIFS('Expense Log'!$C$2:$C$453,'Expense Log'!$E$2:$E$453,"Wants",'Expense Log'!$A$2:$A$453,"&gt;="&amp;DATE(2025,11,1),'Expense Log'!$A$2:$A$453,"&lt;"&amp;DATE(2025,12,1))</f>
        <v>547.19999999999993</v>
      </c>
      <c r="AG3" s="19">
        <f>Income!$B$22</f>
        <v>1263.4750000000001</v>
      </c>
      <c r="AH3" s="19">
        <f>AG3-AF3</f>
        <v>716.2750000000002</v>
      </c>
      <c r="AI3" s="19">
        <f>SUMIFS('Expense Log'!$C$2:$C$453,'Expense Log'!$E$2:$E$453,"Wants",'Expense Log'!$A$2:$A$453,"&gt;="&amp;DATE(2025,12,1),'Expense Log'!$A$2:$A$453,"&lt;"&amp;DATE(2026,1,1))</f>
        <v>938.59999999999991</v>
      </c>
      <c r="AJ3" s="19">
        <f>Income!$B$22</f>
        <v>1263.4750000000001</v>
      </c>
      <c r="AK3" s="19">
        <f>AJ3-AI3</f>
        <v>324.87500000000023</v>
      </c>
      <c r="AL3" s="7">
        <f t="shared" si="0"/>
        <v>7778.0299999999988</v>
      </c>
      <c r="AM3" s="7">
        <f t="shared" si="0"/>
        <v>15161.700000000003</v>
      </c>
      <c r="AN3" s="7">
        <f>AM3-AL3</f>
        <v>7383.6700000000037</v>
      </c>
    </row>
    <row r="4" spans="1:40" x14ac:dyDescent="0.25">
      <c r="A4" s="21" t="s">
        <v>51</v>
      </c>
      <c r="B4" s="19">
        <f>SUMIFS('Expense Log'!$C$2:$C$453,'Expense Log'!$E$2:$E$453,"Savings",'Expense Log'!$A$2:$A$453,"&gt;="&amp;DATE(2025,1,1),'Expense Log'!$A$2:$A$453,"&lt;"&amp;DATE(2025,2,1))</f>
        <v>975</v>
      </c>
      <c r="C4" s="19">
        <f>Income!$B$23</f>
        <v>842.31666666666683</v>
      </c>
      <c r="D4" s="19">
        <f>C4-B4</f>
        <v>-132.68333333333317</v>
      </c>
      <c r="E4" s="19">
        <f>SUMIFS('Expense Log'!$C$2:$C$453,'Expense Log'!$E$2:$E$453,"Savings",'Expense Log'!$A$2:$A$453,"&gt;="&amp;DATE(2025,2,1),'Expense Log'!$A$2:$A$453,"&lt;"&amp;DATE(2025,3,1))</f>
        <v>725</v>
      </c>
      <c r="F4" s="19">
        <f>Income!$B$23</f>
        <v>842.31666666666683</v>
      </c>
      <c r="G4" s="19">
        <f>F4-E4</f>
        <v>117.31666666666683</v>
      </c>
      <c r="H4" s="19">
        <f>SUMIFS('Expense Log'!$C$2:$C$453,'Expense Log'!$E$2:$E$453,"Savings",'Expense Log'!$A$2:$A$453,"&gt;="&amp;DATE(2025,3,1),'Expense Log'!$A$2:$A$453,"&lt;"&amp;DATE(2025,4,1))</f>
        <v>725</v>
      </c>
      <c r="I4" s="19">
        <f>Income!$B$23</f>
        <v>842.31666666666683</v>
      </c>
      <c r="J4" s="19">
        <f>I4-H4</f>
        <v>117.31666666666683</v>
      </c>
      <c r="K4" s="19">
        <f>SUMIFS('Expense Log'!$C$2:$C$453,'Expense Log'!$E$2:$E$453,"Savings",'Expense Log'!$A$2:$A$453,"&gt;="&amp;DATE(2025,4,1),'Expense Log'!$A$2:$A$453,"&lt;"&amp;DATE(2025,5,1))</f>
        <v>725</v>
      </c>
      <c r="L4" s="19">
        <f>Income!$B$23</f>
        <v>842.31666666666683</v>
      </c>
      <c r="M4" s="19">
        <f>L4-K4</f>
        <v>117.31666666666683</v>
      </c>
      <c r="N4" s="19">
        <f>SUMIFS('Expense Log'!$C$2:$C$453,'Expense Log'!$E$2:$E$453,"Savings",'Expense Log'!$A$2:$A$453,"&gt;="&amp;DATE(2025,5,1),'Expense Log'!$A$2:$A$453,"&lt;"&amp;DATE(2025,6,1))</f>
        <v>725</v>
      </c>
      <c r="O4" s="19">
        <f>Income!$B$23</f>
        <v>842.31666666666683</v>
      </c>
      <c r="P4" s="19">
        <f>O4-N4</f>
        <v>117.31666666666683</v>
      </c>
      <c r="Q4" s="19">
        <f>SUMIFS('Expense Log'!$C$2:$C$453,'Expense Log'!$E$2:$E$453,"Savings",'Expense Log'!$A$2:$A$453,"&gt;="&amp;DATE(2025,6,1),'Expense Log'!$A$2:$A$453,"&lt;"&amp;DATE(2025,7,1))</f>
        <v>725</v>
      </c>
      <c r="R4" s="19">
        <f>Income!$B$23</f>
        <v>842.31666666666683</v>
      </c>
      <c r="S4" s="19">
        <f>R4-Q4</f>
        <v>117.31666666666683</v>
      </c>
      <c r="T4" s="19">
        <f>SUMIFS('Expense Log'!$C$2:$C$453,'Expense Log'!$E$2:$E$453,"Savings",'Expense Log'!$A$2:$A$453,"&gt;="&amp;DATE(2025,7,1),'Expense Log'!$A$2:$A$453,"&lt;"&amp;DATE(2025,8,1))</f>
        <v>975</v>
      </c>
      <c r="U4" s="19">
        <f>Income!$B$23</f>
        <v>842.31666666666683</v>
      </c>
      <c r="V4" s="19">
        <f>U4-T4</f>
        <v>-132.68333333333317</v>
      </c>
      <c r="W4" s="19">
        <f>SUMIFS('Expense Log'!$C$2:$C$453,'Expense Log'!$E$2:$E$453,"Savings",'Expense Log'!$A$2:$A$453,"&gt;="&amp;DATE(2025,8,1),'Expense Log'!$A$2:$A$453,"&lt;"&amp;DATE(2025,9,1))</f>
        <v>725</v>
      </c>
      <c r="X4" s="19">
        <f>Income!$B$23</f>
        <v>842.31666666666683</v>
      </c>
      <c r="Y4" s="19">
        <f>X4-W4</f>
        <v>117.31666666666683</v>
      </c>
      <c r="Z4" s="19">
        <f>SUMIFS('Expense Log'!$C$2:$C$453,'Expense Log'!$E$2:$E$453,"Savings",'Expense Log'!$A$2:$A$453,"&gt;="&amp;DATE(2025,9,1),'Expense Log'!$A$2:$A$453,"&lt;"&amp;DATE(2025,10,1))</f>
        <v>725</v>
      </c>
      <c r="AA4" s="19">
        <f>Income!$B$23</f>
        <v>842.31666666666683</v>
      </c>
      <c r="AB4" s="19">
        <f>AA4-Z4</f>
        <v>117.31666666666683</v>
      </c>
      <c r="AC4" s="19">
        <f>SUMIFS('Expense Log'!$C$2:$C$453,'Expense Log'!$E$2:$E$453,"Savings",'Expense Log'!$A$2:$A$453,"&gt;="&amp;DATE(2025,10,1),'Expense Log'!$A$2:$A$453,"&lt;"&amp;DATE(2025,11,1))</f>
        <v>725</v>
      </c>
      <c r="AD4" s="19">
        <f>Income!$B$23</f>
        <v>842.31666666666683</v>
      </c>
      <c r="AE4" s="19">
        <f>AD4-AC4</f>
        <v>117.31666666666683</v>
      </c>
      <c r="AF4" s="19">
        <f>SUMIFS('Expense Log'!$C$2:$C$453,'Expense Log'!$E$2:$E$453,"Savings",'Expense Log'!$A$2:$A$453,"&gt;="&amp;DATE(2025,11,1),'Expense Log'!$A$2:$A$453,"&lt;"&amp;DATE(2025,12,1))</f>
        <v>725</v>
      </c>
      <c r="AG4" s="19">
        <f>Income!$B$23</f>
        <v>842.31666666666683</v>
      </c>
      <c r="AH4" s="19">
        <f>AG4-AF4</f>
        <v>117.31666666666683</v>
      </c>
      <c r="AI4" s="19">
        <f>SUMIFS('Expense Log'!$C$2:$C$453,'Expense Log'!$E$2:$E$453,"Savings",'Expense Log'!$A$2:$A$453,"&gt;="&amp;DATE(2025,12,1),'Expense Log'!$A$2:$A$453,"&lt;"&amp;DATE(2026,1,1))</f>
        <v>725</v>
      </c>
      <c r="AJ4" s="19">
        <f>Income!$B$23</f>
        <v>842.31666666666683</v>
      </c>
      <c r="AK4" s="19">
        <f>AJ4-AI4</f>
        <v>117.31666666666683</v>
      </c>
      <c r="AL4" s="7">
        <f t="shared" si="0"/>
        <v>9200</v>
      </c>
      <c r="AM4" s="7">
        <f t="shared" si="0"/>
        <v>10107.800000000003</v>
      </c>
      <c r="AN4" s="7">
        <f>AM4-AL4</f>
        <v>907.80000000000291</v>
      </c>
    </row>
    <row r="5" spans="1:40"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40" x14ac:dyDescent="0.25">
      <c r="A6" s="22" t="s">
        <v>155</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row>
    <row r="7" spans="1:40" x14ac:dyDescent="0.25">
      <c r="A7" s="23" t="s">
        <v>27</v>
      </c>
      <c r="B7" s="24">
        <f>IFERROR(B2/Income!$B$19,0)</f>
        <v>0.62855458161024147</v>
      </c>
      <c r="C7" s="1"/>
      <c r="D7" s="1"/>
      <c r="E7" s="24">
        <f>IFERROR(E2/Income!$B$19,0)</f>
        <v>0.68104078038742333</v>
      </c>
      <c r="F7" s="1"/>
      <c r="G7" s="1"/>
      <c r="H7" s="24">
        <f>IFERROR(H2/Income!$B$19,0)</f>
        <v>0.66321613011733505</v>
      </c>
      <c r="I7" s="1"/>
      <c r="J7" s="1"/>
      <c r="K7" s="24">
        <f>IFERROR(K2/Income!$B$19,0)</f>
        <v>0.67051742218880461</v>
      </c>
      <c r="L7" s="1"/>
      <c r="M7" s="1"/>
      <c r="N7" s="24">
        <f>IFERROR(N2/Income!$B$19,0)</f>
        <v>0.65262628860879712</v>
      </c>
      <c r="O7" s="1"/>
      <c r="P7" s="1"/>
      <c r="Q7" s="24">
        <f>IFERROR(Q2/Income!$B$19,0)</f>
        <v>0.67122974336650909</v>
      </c>
      <c r="R7" s="1"/>
      <c r="S7" s="1"/>
      <c r="T7" s="24">
        <f>IFERROR(T2/Income!$B$19,0)</f>
        <v>0.62655770790874354</v>
      </c>
      <c r="U7" s="1"/>
      <c r="V7" s="1"/>
      <c r="W7" s="24">
        <f>IFERROR(W2/Income!$B$19,0)</f>
        <v>0.66195057282494696</v>
      </c>
      <c r="X7" s="1"/>
      <c r="Y7" s="1"/>
      <c r="Z7" s="24">
        <f>IFERROR(Z2/Income!$B$19,0)</f>
        <v>0.64296246463127471</v>
      </c>
      <c r="AA7" s="1"/>
      <c r="AB7" s="1"/>
      <c r="AC7" s="24">
        <f>IFERROR(AC2/Income!$B$19,0)</f>
        <v>0.67448505114861779</v>
      </c>
      <c r="AD7" s="1"/>
      <c r="AE7" s="1"/>
      <c r="AF7" s="24">
        <f>IFERROR(AF2/Income!$B$19,0)</f>
        <v>0.6482502621737668</v>
      </c>
      <c r="AG7" s="1"/>
      <c r="AH7" s="1"/>
      <c r="AI7" s="24">
        <f>IFERROR(AI2/Income!$B$19,0)</f>
        <v>0.65358554779477218</v>
      </c>
      <c r="AJ7" s="1"/>
      <c r="AK7" s="1"/>
      <c r="AL7" s="1"/>
      <c r="AM7" s="1"/>
      <c r="AN7" s="1"/>
    </row>
    <row r="8" spans="1:40" x14ac:dyDescent="0.25">
      <c r="A8" s="25" t="s">
        <v>39</v>
      </c>
      <c r="B8" s="24">
        <f>IFERROR(B3/Income!$B$19,0)</f>
        <v>0.12778804487623419</v>
      </c>
      <c r="C8" s="1"/>
      <c r="D8" s="1"/>
      <c r="E8" s="24">
        <f>IFERROR(E3/Income!$B$19,0)</f>
        <v>0.14322404479708736</v>
      </c>
      <c r="F8" s="1"/>
      <c r="G8" s="1"/>
      <c r="H8" s="24">
        <f>IFERROR(H3/Income!$B$19,0)</f>
        <v>0.13748748491264171</v>
      </c>
      <c r="I8" s="1"/>
      <c r="J8" s="1"/>
      <c r="K8" s="24">
        <f>IFERROR(K3/Income!$B$19,0)</f>
        <v>0.1415073507588199</v>
      </c>
      <c r="L8" s="1"/>
      <c r="M8" s="1"/>
      <c r="N8" s="24">
        <f>IFERROR(N3/Income!$B$19,0)</f>
        <v>0.15426739745543044</v>
      </c>
      <c r="O8" s="1"/>
      <c r="P8" s="1"/>
      <c r="Q8" s="24">
        <f>IFERROR(Q3/Income!$B$19,0)</f>
        <v>0.25982389837551195</v>
      </c>
      <c r="R8" s="1"/>
      <c r="S8" s="1"/>
      <c r="T8" s="24">
        <f>IFERROR(T3/Income!$B$19,0)</f>
        <v>0.12197787847009237</v>
      </c>
      <c r="U8" s="1"/>
      <c r="V8" s="1"/>
      <c r="W8" s="24">
        <f>IFERROR(W3/Income!$B$19,0)</f>
        <v>0.13187439403233145</v>
      </c>
      <c r="X8" s="1"/>
      <c r="Y8" s="1"/>
      <c r="Z8" s="24">
        <f>IFERROR(Z3/Income!$B$19,0)</f>
        <v>0.14261144858426164</v>
      </c>
      <c r="AA8" s="1"/>
      <c r="AB8" s="1"/>
      <c r="AC8" s="24">
        <f>IFERROR(AC3/Income!$B$19,0)</f>
        <v>0.13346761906646348</v>
      </c>
      <c r="AD8" s="1"/>
      <c r="AE8" s="1"/>
      <c r="AF8" s="24">
        <f>IFERROR(AF3/Income!$B$19,0)</f>
        <v>0.12992738281327287</v>
      </c>
      <c r="AG8" s="1"/>
      <c r="AH8" s="1"/>
      <c r="AI8" s="24">
        <f>IFERROR(AI3/Income!$B$19,0)</f>
        <v>0.22286155246443334</v>
      </c>
      <c r="AJ8" s="1"/>
      <c r="AK8" s="1"/>
      <c r="AL8" s="1"/>
      <c r="AM8" s="1"/>
      <c r="AN8" s="1"/>
    </row>
    <row r="9" spans="1:40" x14ac:dyDescent="0.25">
      <c r="A9" s="26" t="s">
        <v>51</v>
      </c>
      <c r="B9" s="24">
        <f>IFERROR(B4/Income!$B$19,0)</f>
        <v>0.23150438275391277</v>
      </c>
      <c r="C9" s="1"/>
      <c r="D9" s="1"/>
      <c r="E9" s="24">
        <f>IFERROR(E4/Income!$B$19,0)</f>
        <v>0.17214428461188386</v>
      </c>
      <c r="F9" s="1"/>
      <c r="G9" s="1"/>
      <c r="H9" s="24">
        <f>IFERROR(H4/Income!$B$19,0)</f>
        <v>0.17214428461188386</v>
      </c>
      <c r="I9" s="1"/>
      <c r="J9" s="1"/>
      <c r="K9" s="24">
        <f>IFERROR(K4/Income!$B$19,0)</f>
        <v>0.17214428461188386</v>
      </c>
      <c r="L9" s="1"/>
      <c r="M9" s="1"/>
      <c r="N9" s="24">
        <f>IFERROR(N4/Income!$B$19,0)</f>
        <v>0.17214428461188386</v>
      </c>
      <c r="O9" s="1"/>
      <c r="P9" s="1"/>
      <c r="Q9" s="24">
        <f>IFERROR(Q4/Income!$B$19,0)</f>
        <v>0.17214428461188386</v>
      </c>
      <c r="R9" s="1"/>
      <c r="S9" s="1"/>
      <c r="T9" s="24">
        <f>IFERROR(T4/Income!$B$19,0)</f>
        <v>0.23150438275391277</v>
      </c>
      <c r="U9" s="1"/>
      <c r="V9" s="1"/>
      <c r="W9" s="24">
        <f>IFERROR(W4/Income!$B$19,0)</f>
        <v>0.17214428461188386</v>
      </c>
      <c r="X9" s="1"/>
      <c r="Y9" s="1"/>
      <c r="Z9" s="24">
        <f>IFERROR(Z4/Income!$B$19,0)</f>
        <v>0.17214428461188386</v>
      </c>
      <c r="AA9" s="1"/>
      <c r="AB9" s="1"/>
      <c r="AC9" s="24">
        <f>IFERROR(AC4/Income!$B$19,0)</f>
        <v>0.17214428461188386</v>
      </c>
      <c r="AD9" s="1"/>
      <c r="AE9" s="1"/>
      <c r="AF9" s="24">
        <f>IFERROR(AF4/Income!$B$19,0)</f>
        <v>0.17214428461188386</v>
      </c>
      <c r="AG9" s="1"/>
      <c r="AH9" s="1"/>
      <c r="AI9" s="24">
        <f>IFERROR(AI4/Income!$B$19,0)</f>
        <v>0.17214428461188386</v>
      </c>
      <c r="AJ9" s="1"/>
      <c r="AK9" s="1"/>
      <c r="AL9" s="1"/>
      <c r="AM9" s="1"/>
      <c r="AN9" s="1"/>
    </row>
  </sheetData>
  <conditionalFormatting sqref="D2:D4">
    <cfRule type="cellIs" dxfId="26" priority="1" operator="lessThan">
      <formula>0</formula>
    </cfRule>
    <cfRule type="cellIs" dxfId="25" priority="2" operator="greaterThanOrEqual">
      <formula>0</formula>
    </cfRule>
  </conditionalFormatting>
  <conditionalFormatting sqref="G2:G4">
    <cfRule type="cellIs" dxfId="24" priority="3" operator="lessThan">
      <formula>0</formula>
    </cfRule>
    <cfRule type="cellIs" dxfId="23" priority="4" operator="greaterThanOrEqual">
      <formula>0</formula>
    </cfRule>
  </conditionalFormatting>
  <conditionalFormatting sqref="J2:J4">
    <cfRule type="cellIs" dxfId="22" priority="5" operator="lessThan">
      <formula>0</formula>
    </cfRule>
    <cfRule type="cellIs" dxfId="21" priority="6" operator="greaterThanOrEqual">
      <formula>0</formula>
    </cfRule>
  </conditionalFormatting>
  <conditionalFormatting sqref="M2:M4">
    <cfRule type="cellIs" dxfId="20" priority="7" operator="lessThan">
      <formula>0</formula>
    </cfRule>
    <cfRule type="cellIs" dxfId="19" priority="8" operator="greaterThanOrEqual">
      <formula>0</formula>
    </cfRule>
  </conditionalFormatting>
  <conditionalFormatting sqref="P2:P4">
    <cfRule type="cellIs" dxfId="18" priority="9" operator="lessThan">
      <formula>0</formula>
    </cfRule>
    <cfRule type="cellIs" dxfId="17" priority="10" operator="greaterThanOrEqual">
      <formula>0</formula>
    </cfRule>
  </conditionalFormatting>
  <conditionalFormatting sqref="S2:S4">
    <cfRule type="cellIs" dxfId="16" priority="11" operator="lessThan">
      <formula>0</formula>
    </cfRule>
    <cfRule type="cellIs" dxfId="15" priority="12" operator="greaterThanOrEqual">
      <formula>0</formula>
    </cfRule>
  </conditionalFormatting>
  <conditionalFormatting sqref="V2:V4">
    <cfRule type="cellIs" dxfId="14" priority="13" operator="lessThan">
      <formula>0</formula>
    </cfRule>
    <cfRule type="cellIs" dxfId="13" priority="14" operator="greaterThanOrEqual">
      <formula>0</formula>
    </cfRule>
  </conditionalFormatting>
  <conditionalFormatting sqref="Y2:Y4">
    <cfRule type="cellIs" dxfId="12" priority="15" operator="lessThan">
      <formula>0</formula>
    </cfRule>
    <cfRule type="cellIs" dxfId="11" priority="16" operator="greaterThanOrEqual">
      <formula>0</formula>
    </cfRule>
  </conditionalFormatting>
  <conditionalFormatting sqref="AB2:AB4">
    <cfRule type="cellIs" dxfId="10" priority="17" operator="lessThan">
      <formula>0</formula>
    </cfRule>
    <cfRule type="cellIs" dxfId="9" priority="18" operator="greaterThanOrEqual">
      <formula>0</formula>
    </cfRule>
  </conditionalFormatting>
  <conditionalFormatting sqref="AE2:AE4">
    <cfRule type="cellIs" dxfId="8" priority="19" operator="lessThan">
      <formula>0</formula>
    </cfRule>
    <cfRule type="cellIs" dxfId="7" priority="20" operator="greaterThanOrEqual">
      <formula>0</formula>
    </cfRule>
  </conditionalFormatting>
  <conditionalFormatting sqref="AH2:AH4">
    <cfRule type="cellIs" dxfId="6" priority="21" operator="lessThan">
      <formula>0</formula>
    </cfRule>
    <cfRule type="cellIs" dxfId="5" priority="22" operator="greaterThanOrEqual">
      <formula>0</formula>
    </cfRule>
  </conditionalFormatting>
  <conditionalFormatting sqref="AK2:AK4">
    <cfRule type="cellIs" dxfId="4" priority="23" operator="lessThan">
      <formula>0</formula>
    </cfRule>
    <cfRule type="cellIs" dxfId="3" priority="24" operator="greaterThanOrEqual">
      <formula>0</formula>
    </cfRule>
  </conditionalFormatting>
  <conditionalFormatting sqref="AN2:AN4">
    <cfRule type="cellIs" dxfId="2" priority="25" operator="lessThan">
      <formula>0</formula>
    </cfRule>
    <cfRule type="cellIs" dxfId="1" priority="26" operator="greaterThanOrEqual">
      <formula>0</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
  <sheetViews>
    <sheetView showGridLines="0" workbookViewId="0">
      <selection activeCell="D7" sqref="D7"/>
    </sheetView>
  </sheetViews>
  <sheetFormatPr defaultRowHeight="15" x14ac:dyDescent="0.25"/>
  <cols>
    <col min="1" max="6" width="20" customWidth="1"/>
  </cols>
  <sheetData>
    <row r="1" spans="1:6" x14ac:dyDescent="0.25">
      <c r="A1" s="12" t="s">
        <v>156</v>
      </c>
      <c r="B1" s="12" t="s">
        <v>157</v>
      </c>
      <c r="C1" s="12" t="s">
        <v>158</v>
      </c>
      <c r="D1" s="12" t="s">
        <v>159</v>
      </c>
      <c r="E1" s="12" t="s">
        <v>160</v>
      </c>
      <c r="F1" s="12" t="s">
        <v>161</v>
      </c>
    </row>
    <row r="2" spans="1:6" x14ac:dyDescent="0.25">
      <c r="A2" s="3" t="s">
        <v>26</v>
      </c>
      <c r="B2" s="7">
        <v>1450</v>
      </c>
      <c r="C2" s="3" t="s">
        <v>162</v>
      </c>
      <c r="D2" s="4">
        <v>1450</v>
      </c>
      <c r="E2" s="4">
        <v>0</v>
      </c>
      <c r="F2" s="3" t="s">
        <v>63</v>
      </c>
    </row>
    <row r="3" spans="1:6" x14ac:dyDescent="0.25">
      <c r="A3" s="3" t="s">
        <v>28</v>
      </c>
      <c r="B3" s="7">
        <v>155</v>
      </c>
      <c r="C3" s="3" t="s">
        <v>163</v>
      </c>
      <c r="D3" s="4">
        <v>155</v>
      </c>
      <c r="E3" s="4">
        <v>0</v>
      </c>
      <c r="F3" s="3" t="s">
        <v>63</v>
      </c>
    </row>
    <row r="4" spans="1:6" x14ac:dyDescent="0.25">
      <c r="A4" s="3" t="s">
        <v>37</v>
      </c>
      <c r="B4" s="7">
        <v>60</v>
      </c>
      <c r="C4" s="3" t="s">
        <v>164</v>
      </c>
      <c r="D4" s="4">
        <v>60</v>
      </c>
      <c r="E4" s="4">
        <v>0</v>
      </c>
      <c r="F4" s="3" t="s">
        <v>63</v>
      </c>
    </row>
    <row r="5" spans="1:6" x14ac:dyDescent="0.25">
      <c r="A5" s="3" t="s">
        <v>33</v>
      </c>
      <c r="B5" s="7">
        <v>70</v>
      </c>
      <c r="C5" s="3" t="s">
        <v>165</v>
      </c>
      <c r="D5" s="4">
        <v>70</v>
      </c>
      <c r="E5" s="4">
        <v>0</v>
      </c>
      <c r="F5" s="3" t="s">
        <v>63</v>
      </c>
    </row>
    <row r="6" spans="1:6" x14ac:dyDescent="0.25">
      <c r="A6" s="3" t="s">
        <v>30</v>
      </c>
      <c r="B6" s="7">
        <v>105</v>
      </c>
      <c r="C6" s="3" t="s">
        <v>166</v>
      </c>
      <c r="D6" s="4">
        <v>105</v>
      </c>
      <c r="E6" s="4">
        <v>0</v>
      </c>
      <c r="F6" s="3" t="s">
        <v>63</v>
      </c>
    </row>
    <row r="7" spans="1:6" x14ac:dyDescent="0.25">
      <c r="A7" s="3" t="s">
        <v>36</v>
      </c>
      <c r="B7" s="7">
        <v>22</v>
      </c>
      <c r="C7" s="3" t="s">
        <v>162</v>
      </c>
      <c r="D7" s="4">
        <v>22</v>
      </c>
      <c r="E7" s="4">
        <v>0</v>
      </c>
      <c r="F7" s="3" t="s">
        <v>63</v>
      </c>
    </row>
    <row r="8" spans="1:6" x14ac:dyDescent="0.25">
      <c r="A8" s="3" t="s">
        <v>44</v>
      </c>
      <c r="B8" s="7">
        <v>40</v>
      </c>
      <c r="C8" s="3" t="s">
        <v>162</v>
      </c>
      <c r="D8" s="4">
        <v>40</v>
      </c>
      <c r="E8" s="4">
        <v>0</v>
      </c>
      <c r="F8" s="3" t="s">
        <v>63</v>
      </c>
    </row>
    <row r="9" spans="1:6" x14ac:dyDescent="0.25">
      <c r="A9" s="3" t="s">
        <v>34</v>
      </c>
      <c r="B9" s="7">
        <v>300</v>
      </c>
      <c r="C9" s="3" t="s">
        <v>167</v>
      </c>
      <c r="D9" s="4">
        <v>0</v>
      </c>
      <c r="E9" s="4">
        <v>300</v>
      </c>
      <c r="F9" s="3" t="s">
        <v>63</v>
      </c>
    </row>
    <row r="10" spans="1:6" x14ac:dyDescent="0.25">
      <c r="A10" s="3" t="s">
        <v>50</v>
      </c>
      <c r="B10" s="7">
        <v>200</v>
      </c>
      <c r="C10" s="3" t="s">
        <v>167</v>
      </c>
      <c r="D10" s="4">
        <v>0</v>
      </c>
      <c r="E10" s="4">
        <v>200</v>
      </c>
      <c r="F10" s="3" t="s">
        <v>63</v>
      </c>
    </row>
    <row r="11" spans="1:6" x14ac:dyDescent="0.25">
      <c r="A11" s="3" t="s">
        <v>52</v>
      </c>
      <c r="B11" s="7">
        <v>200</v>
      </c>
      <c r="C11" s="3" t="s">
        <v>167</v>
      </c>
      <c r="D11" s="4">
        <v>0</v>
      </c>
      <c r="E11" s="4">
        <v>200</v>
      </c>
      <c r="F11" s="3" t="s">
        <v>63</v>
      </c>
    </row>
    <row r="12" spans="1:6" x14ac:dyDescent="0.25">
      <c r="A12" s="3" t="s">
        <v>53</v>
      </c>
      <c r="B12" s="7">
        <v>100</v>
      </c>
      <c r="C12" s="3" t="s">
        <v>167</v>
      </c>
      <c r="D12" s="4">
        <v>0</v>
      </c>
      <c r="E12" s="4">
        <v>100</v>
      </c>
      <c r="F12" s="3" t="s">
        <v>65</v>
      </c>
    </row>
    <row r="13" spans="1:6" x14ac:dyDescent="0.25">
      <c r="A13" s="3" t="s">
        <v>54</v>
      </c>
      <c r="B13" s="7">
        <v>75</v>
      </c>
      <c r="C13" s="3" t="s">
        <v>167</v>
      </c>
      <c r="D13" s="4">
        <v>0</v>
      </c>
      <c r="E13" s="4">
        <v>75</v>
      </c>
      <c r="F13" s="3" t="s">
        <v>65</v>
      </c>
    </row>
    <row r="14" spans="1:6" x14ac:dyDescent="0.25">
      <c r="A14" s="3" t="s">
        <v>55</v>
      </c>
      <c r="B14" s="7">
        <v>150</v>
      </c>
      <c r="C14" s="3" t="s">
        <v>168</v>
      </c>
      <c r="D14" s="4">
        <v>0</v>
      </c>
      <c r="E14" s="4">
        <v>150</v>
      </c>
      <c r="F14" s="3" t="s">
        <v>65</v>
      </c>
    </row>
    <row r="15" spans="1:6" x14ac:dyDescent="0.25">
      <c r="A15" s="3" t="s">
        <v>43</v>
      </c>
      <c r="B15" s="7">
        <v>50</v>
      </c>
      <c r="C15" s="3" t="s">
        <v>169</v>
      </c>
      <c r="D15" s="4">
        <v>50</v>
      </c>
      <c r="E15" s="4">
        <v>0</v>
      </c>
      <c r="F15" s="3" t="s">
        <v>63</v>
      </c>
    </row>
    <row r="16" spans="1:6" x14ac:dyDescent="0.25">
      <c r="A16" s="1"/>
      <c r="B16" s="1"/>
      <c r="C16" s="1"/>
      <c r="D16" s="1"/>
      <c r="E16" s="1"/>
      <c r="F16" s="1"/>
    </row>
    <row r="17" spans="1:6" x14ac:dyDescent="0.25">
      <c r="A17" s="22" t="s">
        <v>170</v>
      </c>
      <c r="B17" s="1"/>
      <c r="C17" s="1"/>
      <c r="D17" s="11">
        <f>SUM(D2:D15)</f>
        <v>1952</v>
      </c>
      <c r="E17" s="11">
        <f>SUM(E2:E15)</f>
        <v>1025</v>
      </c>
      <c r="F17" s="1"/>
    </row>
    <row r="18" spans="1:6" x14ac:dyDescent="0.25">
      <c r="A18" s="22" t="s">
        <v>171</v>
      </c>
      <c r="B18" s="1"/>
      <c r="C18" s="1"/>
      <c r="D18" s="11">
        <f>Income!$B$15-D17</f>
        <v>-46.208333333333258</v>
      </c>
      <c r="E18" s="11">
        <f>Income!$B$15-E17</f>
        <v>880.79166666666674</v>
      </c>
      <c r="F18" s="1"/>
    </row>
  </sheetData>
  <conditionalFormatting sqref="D18:E18">
    <cfRule type="cellIs" dxfId="0" priority="1" operator="lessThan">
      <formula>0</formula>
    </cfRule>
  </conditionalFormatting>
  <dataValidations count="1">
    <dataValidation type="list" allowBlank="1" sqref="F2 F3 F4 F5 F6 F7 F8 F9 F10 F11 F12 F13 F14 F15" xr:uid="{00000000-0002-0000-0400-000000000000}">
      <formula1>"Yes,No"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6"/>
  <sheetViews>
    <sheetView showGridLines="0" zoomScale="85" zoomScaleNormal="85" workbookViewId="0">
      <selection activeCell="B7" sqref="B7"/>
    </sheetView>
  </sheetViews>
  <sheetFormatPr defaultRowHeight="15" x14ac:dyDescent="0.25"/>
  <cols>
    <col min="1" max="1" width="26.5703125" bestFit="1" customWidth="1"/>
    <col min="2" max="4" width="14" customWidth="1"/>
  </cols>
  <sheetData>
    <row r="1" spans="1:4" x14ac:dyDescent="0.25">
      <c r="A1" s="2" t="s">
        <v>172</v>
      </c>
      <c r="B1" s="1"/>
      <c r="C1" s="1"/>
      <c r="D1" s="1"/>
    </row>
    <row r="2" spans="1:4" x14ac:dyDescent="0.25">
      <c r="A2" s="3" t="s">
        <v>27</v>
      </c>
      <c r="B2" s="7">
        <f>'Monthly Tracker'!AL2</f>
        <v>33166.120000000003</v>
      </c>
      <c r="C2" s="1"/>
      <c r="D2" s="1"/>
    </row>
    <row r="3" spans="1:4" x14ac:dyDescent="0.25">
      <c r="A3" s="3" t="s">
        <v>39</v>
      </c>
      <c r="B3" s="7">
        <f>'Monthly Tracker'!AL3</f>
        <v>7778.0299999999988</v>
      </c>
      <c r="C3" s="1"/>
      <c r="D3" s="1"/>
    </row>
    <row r="4" spans="1:4" x14ac:dyDescent="0.25">
      <c r="A4" s="3" t="s">
        <v>51</v>
      </c>
      <c r="B4" s="7">
        <f>'Monthly Tracker'!AL4</f>
        <v>9200</v>
      </c>
      <c r="C4" s="1"/>
      <c r="D4" s="1"/>
    </row>
    <row r="5" spans="1:4" x14ac:dyDescent="0.25">
      <c r="A5" s="1"/>
      <c r="B5" s="1"/>
      <c r="C5" s="1"/>
      <c r="D5" s="1"/>
    </row>
    <row r="6" spans="1:4" x14ac:dyDescent="0.25">
      <c r="A6" s="1"/>
      <c r="B6" s="1"/>
      <c r="C6" s="1"/>
      <c r="D6" s="1"/>
    </row>
    <row r="7" spans="1:4" x14ac:dyDescent="0.25">
      <c r="A7" s="2" t="s">
        <v>173</v>
      </c>
      <c r="B7" s="1"/>
      <c r="C7" s="1"/>
      <c r="D7" s="1"/>
    </row>
    <row r="8" spans="1:4" x14ac:dyDescent="0.25">
      <c r="A8" s="27" t="s">
        <v>174</v>
      </c>
      <c r="B8" s="27" t="s">
        <v>175</v>
      </c>
      <c r="C8" s="27" t="s">
        <v>176</v>
      </c>
      <c r="D8" s="27" t="s">
        <v>177</v>
      </c>
    </row>
    <row r="9" spans="1:4" x14ac:dyDescent="0.25">
      <c r="A9" s="3" t="s">
        <v>178</v>
      </c>
      <c r="B9" s="28">
        <f>'Monthly Tracker'!B7</f>
        <v>0.62855458161024147</v>
      </c>
      <c r="C9" s="28">
        <f>'Monthly Tracker'!B8</f>
        <v>0.12778804487623419</v>
      </c>
      <c r="D9" s="28">
        <f>'Monthly Tracker'!B9</f>
        <v>0.23150438275391277</v>
      </c>
    </row>
    <row r="10" spans="1:4" x14ac:dyDescent="0.25">
      <c r="A10" s="3" t="s">
        <v>179</v>
      </c>
      <c r="B10" s="28">
        <f>'Monthly Tracker'!E7</f>
        <v>0.68104078038742333</v>
      </c>
      <c r="C10" s="28">
        <f>'Monthly Tracker'!E8</f>
        <v>0.14322404479708736</v>
      </c>
      <c r="D10" s="28">
        <f>'Monthly Tracker'!E9</f>
        <v>0.17214428461188386</v>
      </c>
    </row>
    <row r="11" spans="1:4" x14ac:dyDescent="0.25">
      <c r="A11" s="3" t="s">
        <v>180</v>
      </c>
      <c r="B11" s="28">
        <f>'Monthly Tracker'!H7</f>
        <v>0.66321613011733505</v>
      </c>
      <c r="C11" s="28">
        <f>'Monthly Tracker'!H8</f>
        <v>0.13748748491264171</v>
      </c>
      <c r="D11" s="28">
        <f>'Monthly Tracker'!H9</f>
        <v>0.17214428461188386</v>
      </c>
    </row>
    <row r="12" spans="1:4" x14ac:dyDescent="0.25">
      <c r="A12" s="3" t="s">
        <v>181</v>
      </c>
      <c r="B12" s="28">
        <f>'Monthly Tracker'!K7</f>
        <v>0.67051742218880461</v>
      </c>
      <c r="C12" s="28">
        <f>'Monthly Tracker'!K8</f>
        <v>0.1415073507588199</v>
      </c>
      <c r="D12" s="28">
        <f>'Monthly Tracker'!K9</f>
        <v>0.17214428461188386</v>
      </c>
    </row>
    <row r="13" spans="1:4" x14ac:dyDescent="0.25">
      <c r="A13" s="3" t="s">
        <v>182</v>
      </c>
      <c r="B13" s="28">
        <f>'Monthly Tracker'!N7</f>
        <v>0.65262628860879712</v>
      </c>
      <c r="C13" s="28">
        <f>'Monthly Tracker'!N8</f>
        <v>0.15426739745543044</v>
      </c>
      <c r="D13" s="28">
        <f>'Monthly Tracker'!N9</f>
        <v>0.17214428461188386</v>
      </c>
    </row>
    <row r="14" spans="1:4" x14ac:dyDescent="0.25">
      <c r="A14" s="3" t="s">
        <v>183</v>
      </c>
      <c r="B14" s="28">
        <f>'Monthly Tracker'!Q7</f>
        <v>0.67122974336650909</v>
      </c>
      <c r="C14" s="28">
        <f>'Monthly Tracker'!Q8</f>
        <v>0.25982389837551195</v>
      </c>
      <c r="D14" s="28">
        <f>'Monthly Tracker'!Q9</f>
        <v>0.17214428461188386</v>
      </c>
    </row>
    <row r="15" spans="1:4" x14ac:dyDescent="0.25">
      <c r="A15" s="3" t="s">
        <v>184</v>
      </c>
      <c r="B15" s="28">
        <f>'Monthly Tracker'!T7</f>
        <v>0.62655770790874354</v>
      </c>
      <c r="C15" s="28">
        <f>'Monthly Tracker'!T8</f>
        <v>0.12197787847009237</v>
      </c>
      <c r="D15" s="28">
        <f>'Monthly Tracker'!T9</f>
        <v>0.23150438275391277</v>
      </c>
    </row>
    <row r="16" spans="1:4" x14ac:dyDescent="0.25">
      <c r="A16" s="3" t="s">
        <v>185</v>
      </c>
      <c r="B16" s="28">
        <f>'Monthly Tracker'!W7</f>
        <v>0.66195057282494696</v>
      </c>
      <c r="C16" s="28">
        <f>'Monthly Tracker'!W8</f>
        <v>0.13187439403233145</v>
      </c>
      <c r="D16" s="28">
        <f>'Monthly Tracker'!W9</f>
        <v>0.17214428461188386</v>
      </c>
    </row>
    <row r="17" spans="1:4" x14ac:dyDescent="0.25">
      <c r="A17" s="3" t="s">
        <v>186</v>
      </c>
      <c r="B17" s="28">
        <f>'Monthly Tracker'!Z7</f>
        <v>0.64296246463127471</v>
      </c>
      <c r="C17" s="28">
        <f>'Monthly Tracker'!Z8</f>
        <v>0.14261144858426164</v>
      </c>
      <c r="D17" s="28">
        <f>'Monthly Tracker'!Z9</f>
        <v>0.17214428461188386</v>
      </c>
    </row>
    <row r="18" spans="1:4" x14ac:dyDescent="0.25">
      <c r="A18" s="3" t="s">
        <v>187</v>
      </c>
      <c r="B18" s="28">
        <f>'Monthly Tracker'!AC7</f>
        <v>0.67448505114861779</v>
      </c>
      <c r="C18" s="28">
        <f>'Monthly Tracker'!AC8</f>
        <v>0.13346761906646348</v>
      </c>
      <c r="D18" s="28">
        <f>'Monthly Tracker'!AC9</f>
        <v>0.17214428461188386</v>
      </c>
    </row>
    <row r="19" spans="1:4" x14ac:dyDescent="0.25">
      <c r="A19" s="3" t="s">
        <v>188</v>
      </c>
      <c r="B19" s="28">
        <f>'Monthly Tracker'!AF7</f>
        <v>0.6482502621737668</v>
      </c>
      <c r="C19" s="28">
        <f>'Monthly Tracker'!AF8</f>
        <v>0.12992738281327287</v>
      </c>
      <c r="D19" s="28">
        <f>'Monthly Tracker'!AF9</f>
        <v>0.17214428461188386</v>
      </c>
    </row>
    <row r="20" spans="1:4" x14ac:dyDescent="0.25">
      <c r="A20" s="3" t="s">
        <v>189</v>
      </c>
      <c r="B20" s="28">
        <f>'Monthly Tracker'!AI7</f>
        <v>0.65358554779477218</v>
      </c>
      <c r="C20" s="28">
        <f>'Monthly Tracker'!AI8</f>
        <v>0.22286155246443334</v>
      </c>
      <c r="D20" s="28">
        <f>'Monthly Tracker'!AI9</f>
        <v>0.17214428461188386</v>
      </c>
    </row>
    <row r="21" spans="1:4" x14ac:dyDescent="0.25">
      <c r="A21" s="1"/>
      <c r="B21" s="1"/>
      <c r="C21" s="1"/>
      <c r="D21" s="1"/>
    </row>
    <row r="22" spans="1:4" x14ac:dyDescent="0.25">
      <c r="A22" s="1"/>
      <c r="B22" s="1"/>
      <c r="C22" s="1"/>
      <c r="D22" s="1"/>
    </row>
    <row r="23" spans="1:4" x14ac:dyDescent="0.25">
      <c r="A23" s="2" t="s">
        <v>190</v>
      </c>
      <c r="B23" s="1"/>
      <c r="C23" s="1"/>
      <c r="D23" s="1"/>
    </row>
    <row r="24" spans="1:4" x14ac:dyDescent="0.25">
      <c r="A24" s="27" t="s">
        <v>174</v>
      </c>
      <c r="B24" s="27" t="s">
        <v>27</v>
      </c>
      <c r="C24" s="27" t="s">
        <v>39</v>
      </c>
      <c r="D24" s="27" t="s">
        <v>51</v>
      </c>
    </row>
    <row r="25" spans="1:4" x14ac:dyDescent="0.25">
      <c r="A25" s="3" t="s">
        <v>178</v>
      </c>
      <c r="B25" s="7">
        <f>'Monthly Tracker'!B2</f>
        <v>2647.21</v>
      </c>
      <c r="C25" s="7">
        <f>'Monthly Tracker'!B3</f>
        <v>538.19000000000005</v>
      </c>
      <c r="D25" s="7">
        <f>'Monthly Tracker'!B4</f>
        <v>975</v>
      </c>
    </row>
    <row r="26" spans="1:4" x14ac:dyDescent="0.25">
      <c r="A26" s="3" t="s">
        <v>179</v>
      </c>
      <c r="B26" s="7">
        <f>'Monthly Tracker'!E2</f>
        <v>2868.2599999999993</v>
      </c>
      <c r="C26" s="7">
        <f>'Monthly Tracker'!E3</f>
        <v>603.19999999999993</v>
      </c>
      <c r="D26" s="7">
        <f>'Monthly Tracker'!E4</f>
        <v>725</v>
      </c>
    </row>
    <row r="27" spans="1:4" x14ac:dyDescent="0.25">
      <c r="A27" s="3" t="s">
        <v>180</v>
      </c>
      <c r="B27" s="7">
        <f>'Monthly Tracker'!H2</f>
        <v>2793.19</v>
      </c>
      <c r="C27" s="7">
        <f>'Monthly Tracker'!H3</f>
        <v>579.04</v>
      </c>
      <c r="D27" s="7">
        <f>'Monthly Tracker'!H4</f>
        <v>725</v>
      </c>
    </row>
    <row r="28" spans="1:4" x14ac:dyDescent="0.25">
      <c r="A28" s="3" t="s">
        <v>181</v>
      </c>
      <c r="B28" s="7">
        <f>'Monthly Tracker'!K2</f>
        <v>2823.94</v>
      </c>
      <c r="C28" s="7">
        <f>'Monthly Tracker'!K3</f>
        <v>595.97</v>
      </c>
      <c r="D28" s="7">
        <f>'Monthly Tracker'!K4</f>
        <v>725</v>
      </c>
    </row>
    <row r="29" spans="1:4" x14ac:dyDescent="0.25">
      <c r="A29" s="3" t="s">
        <v>182</v>
      </c>
      <c r="B29" s="7">
        <f>'Monthly Tracker'!N2</f>
        <v>2748.59</v>
      </c>
      <c r="C29" s="7">
        <f>'Monthly Tracker'!N3</f>
        <v>649.71</v>
      </c>
      <c r="D29" s="7">
        <f>'Monthly Tracker'!N4</f>
        <v>725</v>
      </c>
    </row>
    <row r="30" spans="1:4" x14ac:dyDescent="0.25">
      <c r="A30" s="3" t="s">
        <v>183</v>
      </c>
      <c r="B30" s="7">
        <f>'Monthly Tracker'!Q2</f>
        <v>2826.9400000000005</v>
      </c>
      <c r="C30" s="7">
        <f>'Monthly Tracker'!Q3</f>
        <v>1094.27</v>
      </c>
      <c r="D30" s="7">
        <f>'Monthly Tracker'!Q4</f>
        <v>725</v>
      </c>
    </row>
    <row r="31" spans="1:4" x14ac:dyDescent="0.25">
      <c r="A31" s="3" t="s">
        <v>184</v>
      </c>
      <c r="B31" s="7">
        <f>'Monthly Tracker'!T2</f>
        <v>2638.7999999999997</v>
      </c>
      <c r="C31" s="7">
        <f>'Monthly Tracker'!T3</f>
        <v>513.71999999999991</v>
      </c>
      <c r="D31" s="7">
        <f>'Monthly Tracker'!T4</f>
        <v>975</v>
      </c>
    </row>
    <row r="32" spans="1:4" x14ac:dyDescent="0.25">
      <c r="A32" s="3" t="s">
        <v>185</v>
      </c>
      <c r="B32" s="7">
        <f>'Monthly Tracker'!W2</f>
        <v>2787.86</v>
      </c>
      <c r="C32" s="7">
        <f>'Monthly Tracker'!W3</f>
        <v>555.4</v>
      </c>
      <c r="D32" s="7">
        <f>'Monthly Tracker'!W4</f>
        <v>725</v>
      </c>
    </row>
    <row r="33" spans="1:4" x14ac:dyDescent="0.25">
      <c r="A33" s="3" t="s">
        <v>186</v>
      </c>
      <c r="B33" s="7">
        <f>'Monthly Tracker'!Z2</f>
        <v>2707.89</v>
      </c>
      <c r="C33" s="7">
        <f>'Monthly Tracker'!Z3</f>
        <v>600.62</v>
      </c>
      <c r="D33" s="7">
        <f>'Monthly Tracker'!Z4</f>
        <v>725</v>
      </c>
    </row>
    <row r="34" spans="1:4" x14ac:dyDescent="0.25">
      <c r="A34" s="3" t="s">
        <v>187</v>
      </c>
      <c r="B34" s="7">
        <f>'Monthly Tracker'!AC2</f>
        <v>2840.65</v>
      </c>
      <c r="C34" s="7">
        <f>'Monthly Tracker'!AC3</f>
        <v>562.1099999999999</v>
      </c>
      <c r="D34" s="7">
        <f>'Monthly Tracker'!AC4</f>
        <v>725</v>
      </c>
    </row>
    <row r="35" spans="1:4" x14ac:dyDescent="0.25">
      <c r="A35" s="3" t="s">
        <v>188</v>
      </c>
      <c r="B35" s="7">
        <f>'Monthly Tracker'!AF2</f>
        <v>2730.1600000000003</v>
      </c>
      <c r="C35" s="7">
        <f>'Monthly Tracker'!AF3</f>
        <v>547.19999999999993</v>
      </c>
      <c r="D35" s="7">
        <f>'Monthly Tracker'!AF4</f>
        <v>725</v>
      </c>
    </row>
    <row r="36" spans="1:4" x14ac:dyDescent="0.25">
      <c r="A36" s="3" t="s">
        <v>189</v>
      </c>
      <c r="B36" s="7">
        <f>'Monthly Tracker'!AI2</f>
        <v>2752.6299999999997</v>
      </c>
      <c r="C36" s="7">
        <f>'Monthly Tracker'!AI3</f>
        <v>938.59999999999991</v>
      </c>
      <c r="D36" s="7">
        <f>'Monthly Tracker'!AI4</f>
        <v>725</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2"/>
  <sheetViews>
    <sheetView showGridLines="0" workbookViewId="0"/>
  </sheetViews>
  <sheetFormatPr defaultRowHeight="15" x14ac:dyDescent="0.25"/>
  <cols>
    <col min="1" max="1" width="65" customWidth="1"/>
  </cols>
  <sheetData>
    <row r="1" spans="1:1" x14ac:dyDescent="0.25">
      <c r="A1" s="29" t="s">
        <v>191</v>
      </c>
    </row>
    <row r="3" spans="1:1" x14ac:dyDescent="0.25">
      <c r="A3" s="30" t="s">
        <v>192</v>
      </c>
    </row>
    <row r="4" spans="1:1" x14ac:dyDescent="0.25">
      <c r="A4" s="30" t="s">
        <v>193</v>
      </c>
    </row>
    <row r="5" spans="1:1" x14ac:dyDescent="0.25">
      <c r="A5" s="30" t="s">
        <v>194</v>
      </c>
    </row>
    <row r="6" spans="1:1" x14ac:dyDescent="0.25">
      <c r="A6" s="30" t="s">
        <v>195</v>
      </c>
    </row>
    <row r="7" spans="1:1" x14ac:dyDescent="0.25">
      <c r="A7" s="30" t="s">
        <v>196</v>
      </c>
    </row>
    <row r="8" spans="1:1" x14ac:dyDescent="0.25">
      <c r="A8" s="30" t="s">
        <v>197</v>
      </c>
    </row>
    <row r="9" spans="1:1" x14ac:dyDescent="0.25">
      <c r="A9" s="30" t="s">
        <v>198</v>
      </c>
    </row>
    <row r="10" spans="1:1" x14ac:dyDescent="0.25">
      <c r="A10" s="30" t="s">
        <v>199</v>
      </c>
    </row>
    <row r="11" spans="1:1" x14ac:dyDescent="0.25">
      <c r="A11" s="30" t="s">
        <v>200</v>
      </c>
    </row>
    <row r="12" spans="1:1" x14ac:dyDescent="0.25">
      <c r="A12" s="30" t="s">
        <v>201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Income</vt:lpstr>
      <vt:lpstr>Category Map</vt:lpstr>
      <vt:lpstr>Expense Log</vt:lpstr>
      <vt:lpstr>Monthly Tracker</vt:lpstr>
      <vt:lpstr>Paycheck Planner</vt:lpstr>
      <vt:lpstr>Analysis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Frenzel, Tim</cp:lastModifiedBy>
  <dcterms:created xsi:type="dcterms:W3CDTF">2026-04-09T23:58:20Z</dcterms:created>
  <dcterms:modified xsi:type="dcterms:W3CDTF">2026-04-10T00:01:40Z</dcterms:modified>
</cp:coreProperties>
</file>