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come" sheetId="1" state="visible" r:id="rId1"/>
    <sheet xmlns:r="http://schemas.openxmlformats.org/officeDocument/2006/relationships" name="Category Map" sheetId="2" state="visible" r:id="rId2"/>
    <sheet xmlns:r="http://schemas.openxmlformats.org/officeDocument/2006/relationships" name="Expense Log" sheetId="3" state="visible" r:id="rId3"/>
    <sheet xmlns:r="http://schemas.openxmlformats.org/officeDocument/2006/relationships" name="Monthly Tracker" sheetId="4" state="visible" r:id="rId4"/>
    <sheet xmlns:r="http://schemas.openxmlformats.org/officeDocument/2006/relationships" name="Paycheck Planner" sheetId="5" state="visible" r:id="rId5"/>
    <sheet xmlns:r="http://schemas.openxmlformats.org/officeDocument/2006/relationships" name="Analysis" sheetId="6" state="visible" r:id="rId6"/>
    <sheet xmlns:r="http://schemas.openxmlformats.org/officeDocument/2006/relationships" name="Readme" sheetId="7" state="visible" r:id="rId7"/>
  </sheets>
  <definedNames/>
  <calcPr calcId="124519" fullCalcOnLoad="1"/>
</workbook>
</file>

<file path=xl/styles.xml><?xml version="1.0" encoding="utf-8"?>
<styleSheet xmlns="http://schemas.openxmlformats.org/spreadsheetml/2006/main">
  <numFmts count="5">
    <numFmt numFmtId="164" formatCode="&quot;$&quot;#,##0"/>
    <numFmt numFmtId="165" formatCode="0.0%"/>
    <numFmt numFmtId="166" formatCode="yyyy-mm-dd"/>
    <numFmt numFmtId="167" formatCode="m/d/yyyy"/>
    <numFmt numFmtId="168" formatCode="&quot;$&quot;#,##0.00"/>
  </numFmts>
  <fonts count="12">
    <font>
      <name val="Calibri"/>
      <family val="2"/>
      <color theme="1"/>
      <sz val="11"/>
      <scheme val="minor"/>
    </font>
    <font>
      <name val="Calibri"/>
      <b val="1"/>
      <color rgb="003C3638"/>
      <sz val="14"/>
    </font>
    <font>
      <name val="Calibri"/>
      <b val="1"/>
      <color rgb="009E6B6B"/>
      <sz val="11"/>
    </font>
    <font>
      <name val="Calibri"/>
      <color rgb="003C3638"/>
      <sz val="11"/>
    </font>
    <font>
      <name val="Calibri"/>
      <b val="1"/>
      <color rgb="003C3638"/>
      <sz val="11"/>
    </font>
    <font>
      <name val="Calibri"/>
      <b val="1"/>
      <color rgb="00F5F2EE"/>
      <sz val="11"/>
    </font>
    <font>
      <name val="Calibri"/>
      <color rgb="00999999"/>
      <sz val="11"/>
    </font>
    <font>
      <name val="Arial"/>
      <b val="1"/>
      <color rgb="00000000"/>
      <sz val="14"/>
    </font>
    <font>
      <name val="Arial"/>
      <family val="2"/>
      <color theme="1"/>
      <sz val="11"/>
      <scheme val="minor"/>
    </font>
    <font>
      <name val="Arial"/>
      <b val="1"/>
      <color rgb="009E6B6B"/>
      <sz val="11"/>
    </font>
    <font>
      <name val="Arial"/>
      <color rgb="00000000"/>
      <sz val="11"/>
    </font>
    <font>
      <name val="Arial"/>
      <b val="1"/>
      <color rgb="00000000"/>
      <sz val="11"/>
    </font>
  </fonts>
  <fills count="9">
    <fill>
      <patternFill/>
    </fill>
    <fill>
      <patternFill patternType="gray125"/>
    </fill>
    <fill>
      <patternFill patternType="solid">
        <fgColor rgb="00F0E0E0"/>
      </patternFill>
    </fill>
    <fill>
      <patternFill patternType="solid">
        <fgColor rgb="00EBE5DE"/>
      </patternFill>
    </fill>
    <fill>
      <patternFill patternType="solid">
        <fgColor rgb="009E6B6B"/>
      </patternFill>
    </fill>
    <fill>
      <patternFill patternType="solid">
        <fgColor rgb="00F5F2EE"/>
      </patternFill>
    </fill>
    <fill>
      <patternFill patternType="solid">
        <fgColor rgb="003C3638"/>
      </patternFill>
    </fill>
    <fill>
      <patternFill patternType="solid">
        <fgColor rgb="00E0D8E8"/>
      </patternFill>
    </fill>
    <fill>
      <patternFill patternType="solid">
        <fgColor rgb="00D8EAD8"/>
      </patternFill>
    </fill>
  </fills>
  <borders count="5">
    <border>
      <left/>
      <right/>
      <top/>
      <bottom/>
      <diagonal/>
    </border>
    <border>
      <top style="thin">
        <color rgb="009E6B6B"/>
      </top>
    </border>
    <border>
      <top style="thin">
        <color rgb="009E6B6B"/>
      </top>
      <bottom style="double">
        <color rgb="009E6B6B"/>
      </bottom>
    </border>
    <border>
      <bottom style="thin">
        <color rgb="00B8B0A8"/>
      </bottom>
    </border>
    <border>
      <right style="hair">
        <color rgb="00B8B0A8"/>
      </right>
      <bottom style="hair">
        <color rgb="00B8B0A8"/>
      </bottom>
    </border>
  </borders>
  <cellStyleXfs count="1">
    <xf numFmtId="0" fontId="0" fillId="0" borderId="0"/>
  </cellStyleXfs>
  <cellXfs count="31">
    <xf numFmtId="0" fontId="0" fillId="0" borderId="0" pivotButton="0" quotePrefix="0" xfId="0"/>
    <xf numFmtId="0" fontId="7" fillId="0" borderId="0" applyAlignment="1" pivotButton="0" quotePrefix="0" xfId="0">
      <alignment vertical="center"/>
    </xf>
    <xf numFmtId="0" fontId="8" fillId="0" borderId="0" applyAlignment="1" pivotButton="0" quotePrefix="0" xfId="0">
      <alignment vertical="center"/>
    </xf>
    <xf numFmtId="0" fontId="9" fillId="2" borderId="0" applyAlignment="1" pivotButton="0" quotePrefix="0" xfId="0">
      <alignment vertical="center"/>
    </xf>
    <xf numFmtId="0" fontId="10" fillId="0" borderId="0" applyAlignment="1" pivotButton="0" quotePrefix="0" xfId="0">
      <alignment vertical="center"/>
    </xf>
    <xf numFmtId="164" fontId="10" fillId="3" borderId="0" applyAlignment="1" pivotButton="0" quotePrefix="0" xfId="0">
      <alignment vertical="center"/>
    </xf>
    <xf numFmtId="0" fontId="10" fillId="3" borderId="0" applyAlignment="1" pivotButton="0" quotePrefix="0" xfId="0">
      <alignment vertical="center"/>
    </xf>
    <xf numFmtId="3" fontId="10" fillId="0" borderId="0" applyAlignment="1" pivotButton="0" quotePrefix="0" xfId="0">
      <alignment vertical="center"/>
    </xf>
    <xf numFmtId="164" fontId="10" fillId="0" borderId="0" applyAlignment="1" pivotButton="0" quotePrefix="0" xfId="0">
      <alignment vertical="center"/>
    </xf>
    <xf numFmtId="165" fontId="10" fillId="3" borderId="0" applyAlignment="1" pivotButton="0" quotePrefix="0" xfId="0">
      <alignment vertical="center"/>
    </xf>
    <xf numFmtId="164" fontId="11" fillId="0" borderId="1" applyAlignment="1" pivotButton="0" quotePrefix="0" xfId="0">
      <alignment vertical="center"/>
    </xf>
    <xf numFmtId="164" fontId="11" fillId="0" borderId="2" applyAlignment="1" pivotButton="0" quotePrefix="0" xfId="0">
      <alignment vertical="center"/>
    </xf>
    <xf numFmtId="164" fontId="11" fillId="0" borderId="0" applyAlignment="1" pivotButton="0" quotePrefix="0" xfId="0">
      <alignment vertical="center"/>
    </xf>
    <xf numFmtId="0" fontId="11" fillId="4" borderId="3" applyAlignment="1" pivotButton="0" quotePrefix="0" xfId="0">
      <alignment vertical="center"/>
    </xf>
    <xf numFmtId="0" fontId="10" fillId="5" borderId="0" applyAlignment="1" pivotButton="0" quotePrefix="0" xfId="0">
      <alignment vertical="center"/>
    </xf>
    <xf numFmtId="167" fontId="10" fillId="0" borderId="0" applyAlignment="1" pivotButton="0" quotePrefix="0" xfId="0">
      <alignment vertical="center"/>
    </xf>
    <xf numFmtId="168" fontId="10" fillId="0" borderId="0" applyAlignment="1" pivotButton="0" quotePrefix="0" xfId="0">
      <alignment vertical="center"/>
    </xf>
    <xf numFmtId="0" fontId="11" fillId="4" borderId="3" applyAlignment="1" pivotButton="0" quotePrefix="0" xfId="0">
      <alignment horizontal="center" vertical="center"/>
    </xf>
    <xf numFmtId="0" fontId="11" fillId="6" borderId="3" applyAlignment="1" pivotButton="0" quotePrefix="0" xfId="0">
      <alignment horizontal="center" vertical="center"/>
    </xf>
    <xf numFmtId="0" fontId="11" fillId="2" borderId="0" applyAlignment="1" pivotButton="0" quotePrefix="0" xfId="0">
      <alignment vertical="center"/>
    </xf>
    <xf numFmtId="164" fontId="10" fillId="0" borderId="4" applyAlignment="1" pivotButton="0" quotePrefix="0" xfId="0">
      <alignment vertical="center"/>
    </xf>
    <xf numFmtId="0" fontId="11" fillId="7" borderId="0" applyAlignment="1" pivotButton="0" quotePrefix="0" xfId="0">
      <alignment vertical="center"/>
    </xf>
    <xf numFmtId="0" fontId="11" fillId="8" borderId="0" applyAlignment="1" pivotButton="0" quotePrefix="0" xfId="0">
      <alignment vertical="center"/>
    </xf>
    <xf numFmtId="0" fontId="11" fillId="0" borderId="0" applyAlignment="1" pivotButton="0" quotePrefix="0" xfId="0">
      <alignment vertical="center"/>
    </xf>
    <xf numFmtId="0" fontId="10" fillId="2" borderId="0" applyAlignment="1" pivotButton="0" quotePrefix="0" xfId="0">
      <alignment vertical="center"/>
    </xf>
    <xf numFmtId="165" fontId="10" fillId="0" borderId="4" applyAlignment="1" pivotButton="0" quotePrefix="0" xfId="0">
      <alignment vertical="center"/>
    </xf>
    <xf numFmtId="0" fontId="10" fillId="7" borderId="0" applyAlignment="1" pivotButton="0" quotePrefix="0" xfId="0">
      <alignment vertical="center"/>
    </xf>
    <xf numFmtId="0" fontId="10" fillId="8" borderId="0" applyAlignment="1" pivotButton="0" quotePrefix="0" xfId="0">
      <alignment vertical="center"/>
    </xf>
    <xf numFmtId="0" fontId="9" fillId="0" borderId="0" applyAlignment="1" pivotButton="0" quotePrefix="0" xfId="0">
      <alignment vertical="center"/>
    </xf>
    <xf numFmtId="0" fontId="11" fillId="4" borderId="0" applyAlignment="1" pivotButton="0" quotePrefix="0" xfId="0">
      <alignment vertical="center"/>
    </xf>
    <xf numFmtId="165" fontId="10" fillId="0" borderId="0" applyAlignment="1" pivotButton="0" quotePrefix="0" xfId="0">
      <alignment vertical="center"/>
    </xf>
  </cellXfs>
  <cellStyles count="1">
    <cellStyle name="Normal" xfId="0" builtinId="0" hidden="0"/>
  </cellStyles>
  <dxfs count="3">
    <dxf>
      <fill>
        <patternFill patternType="solid">
          <fgColor rgb="00E8C0B0"/>
        </patternFill>
      </fill>
    </dxf>
    <dxf>
      <fill>
        <patternFill patternType="solid">
          <fgColor rgb="00C8D8B0"/>
        </patternFill>
      </fill>
    </dxf>
    <dxf>
      <fill>
        <patternFill patternType="solid">
          <fgColor rgb="00C9625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Annual Needs / Wants / Savings</a:t>
            </a:r>
          </a:p>
        </rich>
      </tx>
    </title>
    <plotArea>
      <pieChart>
        <varyColors val="1"/>
        <ser>
          <idx val="0"/>
          <order val="0"/>
          <spPr>
            <a:ln xmlns:a="http://schemas.openxmlformats.org/drawingml/2006/main">
              <a:prstDash val="solid"/>
            </a:ln>
          </spPr>
          <cat>
            <numRef>
              <f>'Analysis'!$B$5:$B$7</f>
            </numRef>
          </cat>
          <val>
            <numRef>
              <f>'Analysis'!$C$4:$C$7</f>
            </numRef>
          </val>
        </ser>
        <firstSliceAng val="0"/>
      </pieChart>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Monthly Adherence (% of Net Income)</a:t>
            </a:r>
          </a:p>
        </rich>
      </tx>
    </title>
    <plotArea>
      <lineChart>
        <grouping val="standard"/>
        <ser>
          <idx val="0"/>
          <order val="0"/>
          <tx>
            <strRef>
              <f>'Analysis'!C21</f>
            </strRef>
          </tx>
          <spPr>
            <a:ln xmlns:a="http://schemas.openxmlformats.org/drawingml/2006/main">
              <a:prstDash val="solid"/>
            </a:ln>
          </spPr>
          <marker>
            <symbol val="none"/>
            <spPr>
              <a:ln xmlns:a="http://schemas.openxmlformats.org/drawingml/2006/main">
                <a:prstDash val="solid"/>
              </a:ln>
            </spPr>
          </marker>
          <cat>
            <numRef>
              <f>'Analysis'!$B$22:$B$33</f>
            </numRef>
          </cat>
          <val>
            <numRef>
              <f>'Analysis'!$C$22:$C$33</f>
            </numRef>
          </val>
        </ser>
        <ser>
          <idx val="1"/>
          <order val="1"/>
          <tx>
            <strRef>
              <f>'Analysis'!D21</f>
            </strRef>
          </tx>
          <spPr>
            <a:ln xmlns:a="http://schemas.openxmlformats.org/drawingml/2006/main">
              <a:prstDash val="solid"/>
            </a:ln>
          </spPr>
          <marker>
            <symbol val="none"/>
            <spPr>
              <a:ln xmlns:a="http://schemas.openxmlformats.org/drawingml/2006/main">
                <a:prstDash val="solid"/>
              </a:ln>
            </spPr>
          </marker>
          <cat>
            <numRef>
              <f>'Analysis'!$B$22:$B$33</f>
            </numRef>
          </cat>
          <val>
            <numRef>
              <f>'Analysis'!$D$22:$D$33</f>
            </numRef>
          </val>
        </ser>
        <ser>
          <idx val="2"/>
          <order val="2"/>
          <tx>
            <strRef>
              <f>'Analysis'!E21</f>
            </strRef>
          </tx>
          <spPr>
            <a:ln xmlns:a="http://schemas.openxmlformats.org/drawingml/2006/main">
              <a:prstDash val="solid"/>
            </a:ln>
          </spPr>
          <marker>
            <symbol val="none"/>
            <spPr>
              <a:ln xmlns:a="http://schemas.openxmlformats.org/drawingml/2006/main">
                <a:prstDash val="solid"/>
              </a:ln>
            </spPr>
          </marker>
          <cat>
            <numRef>
              <f>'Analysis'!$B$22:$B$33</f>
            </numRef>
          </cat>
          <val>
            <numRef>
              <f>'Analysis'!$E$22:$E$33</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Percentage</a:t>
                </a:r>
              </a:p>
            </rich>
          </tx>
        </title>
        <majorTickMark val="none"/>
        <minorTickMark val="none"/>
        <crossAx val="10"/>
      </valAx>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Monthly Spending by Bucket</a:t>
            </a:r>
          </a:p>
        </rich>
      </tx>
    </title>
    <plotArea>
      <barChart>
        <barDir val="col"/>
        <grouping val="stacked"/>
        <ser>
          <idx val="0"/>
          <order val="0"/>
          <tx>
            <strRef>
              <f>'Analysis'!C53</f>
            </strRef>
          </tx>
          <spPr>
            <a:ln xmlns:a="http://schemas.openxmlformats.org/drawingml/2006/main">
              <a:prstDash val="solid"/>
            </a:ln>
          </spPr>
          <cat>
            <numRef>
              <f>'Analysis'!$B$54:$B$65</f>
            </numRef>
          </cat>
          <val>
            <numRef>
              <f>'Analysis'!$C$54:$C$65</f>
            </numRef>
          </val>
        </ser>
        <ser>
          <idx val="1"/>
          <order val="1"/>
          <tx>
            <strRef>
              <f>'Analysis'!D53</f>
            </strRef>
          </tx>
          <spPr>
            <a:ln xmlns:a="http://schemas.openxmlformats.org/drawingml/2006/main">
              <a:prstDash val="solid"/>
            </a:ln>
          </spPr>
          <cat>
            <numRef>
              <f>'Analysis'!$B$54:$B$65</f>
            </numRef>
          </cat>
          <val>
            <numRef>
              <f>'Analysis'!$D$54:$D$65</f>
            </numRef>
          </val>
        </ser>
        <ser>
          <idx val="2"/>
          <order val="2"/>
          <tx>
            <strRef>
              <f>'Analysis'!E53</f>
            </strRef>
          </tx>
          <spPr>
            <a:ln xmlns:a="http://schemas.openxmlformats.org/drawingml/2006/main">
              <a:prstDash val="solid"/>
            </a:ln>
          </spPr>
          <cat>
            <numRef>
              <f>'Analysis'!$B$54:$B$65</f>
            </numRef>
          </cat>
          <val>
            <numRef>
              <f>'Analysis'!$E$54:$E$65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Dollars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drawing1.xml><?xml version="1.0" encoding="utf-8"?>
<wsDr xmlns="http://schemas.openxmlformats.org/drawingml/2006/spreadsheetDrawing">
  <oneCellAnchor>
    <from>
      <col>4</col>
      <colOff>0</colOff>
      <row>3</row>
      <rowOff>0</rowOff>
    </from>
    <ext cx="504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34</row>
      <rowOff>0</rowOff>
    </from>
    <ext cx="6480000" cy="36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col>
      <colOff>0</colOff>
      <row>66</row>
      <rowOff>0</rowOff>
    </from>
    <ext cx="6480000" cy="36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25"/>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28" customWidth="1" min="1" max="1"/>
    <col width="18" customWidth="1" min="2" max="2"/>
  </cols>
  <sheetData>
    <row r="1"/>
    <row r="2">
      <c r="B2" s="1" t="inlineStr">
        <is>
          <t>Income &amp; Pay Breakdown</t>
        </is>
      </c>
      <c r="C2" s="2" t="n"/>
    </row>
    <row r="3">
      <c r="B3" s="3" t="inlineStr">
        <is>
          <t>Employment Income</t>
        </is>
      </c>
      <c r="C3" s="2" t="n"/>
    </row>
    <row r="4">
      <c r="B4" s="4" t="inlineStr">
        <is>
          <t>Annual Gross Salary</t>
        </is>
      </c>
      <c r="C4" s="5" t="n">
        <v>78000</v>
      </c>
    </row>
    <row r="5">
      <c r="B5" s="4" t="inlineStr">
        <is>
          <t>Pay Frequency</t>
        </is>
      </c>
      <c r="C5" s="6" t="inlineStr">
        <is>
          <t>Semi-monthly</t>
        </is>
      </c>
    </row>
    <row r="6">
      <c r="B6" s="4" t="inlineStr">
        <is>
          <t>Paychecks per Year</t>
        </is>
      </c>
      <c r="C6" s="7">
        <f>IF(C5="Weekly",52,IF(C5="Biweekly",26,IF(C5="Semi-monthly",24,12)))</f>
        <v/>
      </c>
    </row>
    <row r="7">
      <c r="B7" s="4" t="inlineStr">
        <is>
          <t>Gross per Paycheck</t>
        </is>
      </c>
      <c r="C7" s="8">
        <f>C4/C6</f>
        <v/>
      </c>
    </row>
    <row r="8">
      <c r="B8" s="3" t="inlineStr">
        <is>
          <t>Deductions per Paycheck</t>
        </is>
      </c>
      <c r="C8" s="2" t="n"/>
    </row>
    <row r="9">
      <c r="B9" s="4" t="inlineStr">
        <is>
          <t>Federal Tax (est.)</t>
        </is>
      </c>
      <c r="C9" s="8">
        <f>IF(C4&lt;=11925,C4*0.1,IF(C4&lt;=48475,11925*0.1+(C4-11925)*0.12,IF(C4&lt;=103350,11925*0.1+36550*0.12+(C4-48475)*0.22,IF(C4&lt;=197300,11925*0.1+36550*0.12+54875*0.22+(C4-103350)*0.24,C4*0.22))))/C6</f>
        <v/>
      </c>
    </row>
    <row r="10">
      <c r="B10" s="4" t="inlineStr">
        <is>
          <t>State Tax Rate</t>
        </is>
      </c>
      <c r="C10" s="9" t="n">
        <v>0.05</v>
      </c>
    </row>
    <row r="11">
      <c r="B11" s="4" t="inlineStr">
        <is>
          <t>State Tax</t>
        </is>
      </c>
      <c r="C11" s="8">
        <f>C7*C10</f>
        <v/>
      </c>
    </row>
    <row r="12">
      <c r="B12" s="4" t="inlineStr">
        <is>
          <t>FICA (7.65%)</t>
        </is>
      </c>
      <c r="C12" s="8">
        <f>C7*0.0765</f>
        <v/>
      </c>
    </row>
    <row r="13">
      <c r="B13" s="4" t="inlineStr">
        <is>
          <t>Health Insurance</t>
        </is>
      </c>
      <c r="C13" s="5" t="n">
        <v>180</v>
      </c>
    </row>
    <row r="14">
      <c r="B14" s="4" t="inlineStr">
        <is>
          <t>401k Contribution</t>
        </is>
      </c>
      <c r="C14" s="5" t="n">
        <v>250</v>
      </c>
    </row>
    <row r="15">
      <c r="B15" s="4" t="inlineStr">
        <is>
          <t>Other Deductions</t>
        </is>
      </c>
      <c r="C15" s="5" t="n">
        <v>0</v>
      </c>
    </row>
    <row r="16">
      <c r="B16" s="4" t="inlineStr">
        <is>
          <t>Total Deductions</t>
        </is>
      </c>
      <c r="C16" s="10">
        <f>SUM(C9,C11:C15)</f>
        <v/>
      </c>
    </row>
    <row r="17">
      <c r="B17" s="4" t="inlineStr">
        <is>
          <t>Net per Paycheck</t>
        </is>
      </c>
      <c r="C17" s="11">
        <f>C7-C16</f>
        <v/>
      </c>
    </row>
    <row r="18">
      <c r="B18" s="3" t="inlineStr">
        <is>
          <t>Monthly Net Income</t>
        </is>
      </c>
      <c r="C18" s="2" t="n"/>
    </row>
    <row r="19">
      <c r="B19" s="4" t="inlineStr">
        <is>
          <t>Monthly Net from Job</t>
        </is>
      </c>
      <c r="C19" s="8">
        <f>C17*(C6/12)</f>
        <v/>
      </c>
    </row>
    <row r="20">
      <c r="B20" s="4" t="inlineStr">
        <is>
          <t>Other Monthly Income</t>
        </is>
      </c>
      <c r="C20" s="5" t="n">
        <v>400</v>
      </c>
    </row>
    <row r="21">
      <c r="B21" s="4" t="inlineStr">
        <is>
          <t>Total Monthly Net</t>
        </is>
      </c>
      <c r="C21" s="12">
        <f>C19+C20</f>
        <v/>
      </c>
    </row>
    <row r="22">
      <c r="B22" s="3" t="inlineStr">
        <is>
          <t>50/30/20 Targets</t>
        </is>
      </c>
      <c r="C22" s="2" t="n"/>
    </row>
    <row r="23">
      <c r="B23" s="4" t="inlineStr">
        <is>
          <t>Needs Target (50%)</t>
        </is>
      </c>
      <c r="C23" s="12">
        <f>C21*0.5</f>
        <v/>
      </c>
    </row>
    <row r="24">
      <c r="B24" s="4" t="inlineStr">
        <is>
          <t>Wants Target (30%)</t>
        </is>
      </c>
      <c r="C24" s="12">
        <f>C21*0.3</f>
        <v/>
      </c>
    </row>
    <row r="25">
      <c r="B25" s="4" t="inlineStr">
        <is>
          <t>Savings Target (20%)</t>
        </is>
      </c>
      <c r="C25" s="12">
        <f>C21*0.2</f>
        <v/>
      </c>
    </row>
  </sheetData>
  <dataValidations count="1">
    <dataValidation sqref="C5" showDropDown="0" showInputMessage="0" showErrorMessage="0" allowBlank="0" type="list">
      <formula1>"Weekly,Biweekly,Semi-monthly,Monthly"</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31"/>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24" customWidth="1" min="1" max="1"/>
    <col width="14" customWidth="1" min="2" max="2"/>
  </cols>
  <sheetData>
    <row r="1"/>
    <row r="2">
      <c r="B2" s="1" t="inlineStr">
        <is>
          <t>Category Classification</t>
        </is>
      </c>
      <c r="C2" s="2" t="n"/>
    </row>
    <row r="3">
      <c r="B3" s="13" t="inlineStr">
        <is>
          <t>Category</t>
        </is>
      </c>
      <c r="C3" s="13" t="inlineStr">
        <is>
          <t>Bucket</t>
        </is>
      </c>
    </row>
    <row r="4">
      <c r="B4" s="14" t="inlineStr">
        <is>
          <t>Rent/Mortgage</t>
        </is>
      </c>
      <c r="C4" s="14" t="inlineStr">
        <is>
          <t>Needs</t>
        </is>
      </c>
    </row>
    <row r="5">
      <c r="B5" s="4" t="inlineStr">
        <is>
          <t>Utilities</t>
        </is>
      </c>
      <c r="C5" s="4" t="inlineStr">
        <is>
          <t>Needs</t>
        </is>
      </c>
    </row>
    <row r="6">
      <c r="B6" s="14" t="inlineStr">
        <is>
          <t>Groceries</t>
        </is>
      </c>
      <c r="C6" s="14" t="inlineStr">
        <is>
          <t>Needs</t>
        </is>
      </c>
    </row>
    <row r="7">
      <c r="B7" s="4" t="inlineStr">
        <is>
          <t>Auto Insurance</t>
        </is>
      </c>
      <c r="C7" s="4" t="inlineStr">
        <is>
          <t>Needs</t>
        </is>
      </c>
    </row>
    <row r="8">
      <c r="B8" s="14" t="inlineStr">
        <is>
          <t>Gas</t>
        </is>
      </c>
      <c r="C8" s="14" t="inlineStr">
        <is>
          <t>Needs</t>
        </is>
      </c>
    </row>
    <row r="9">
      <c r="B9" s="4" t="inlineStr">
        <is>
          <t>Health Insurance</t>
        </is>
      </c>
      <c r="C9" s="4" t="inlineStr">
        <is>
          <t>Needs</t>
        </is>
      </c>
    </row>
    <row r="10">
      <c r="B10" s="14" t="inlineStr">
        <is>
          <t>Phone</t>
        </is>
      </c>
      <c r="C10" s="14" t="inlineStr">
        <is>
          <t>Needs</t>
        </is>
      </c>
    </row>
    <row r="11">
      <c r="B11" s="4" t="inlineStr">
        <is>
          <t>Min Debt Payment</t>
        </is>
      </c>
      <c r="C11" s="4" t="inlineStr">
        <is>
          <t>Needs</t>
        </is>
      </c>
    </row>
    <row r="12">
      <c r="B12" s="14" t="inlineStr">
        <is>
          <t>Medical/Prescriptions</t>
        </is>
      </c>
      <c r="C12" s="14" t="inlineStr">
        <is>
          <t>Needs</t>
        </is>
      </c>
    </row>
    <row r="13">
      <c r="B13" s="4" t="inlineStr">
        <is>
          <t>Renters Insurance</t>
        </is>
      </c>
      <c r="C13" s="4" t="inlineStr">
        <is>
          <t>Needs</t>
        </is>
      </c>
    </row>
    <row r="14">
      <c r="B14" s="14" t="inlineStr">
        <is>
          <t>Internet</t>
        </is>
      </c>
      <c r="C14" s="14" t="inlineStr">
        <is>
          <t>Needs</t>
        </is>
      </c>
    </row>
    <row r="15">
      <c r="B15" s="4" t="inlineStr">
        <is>
          <t>Dining Out</t>
        </is>
      </c>
      <c r="C15" s="4" t="inlineStr">
        <is>
          <t>Wants</t>
        </is>
      </c>
    </row>
    <row r="16">
      <c r="B16" s="14" t="inlineStr">
        <is>
          <t>Coffee Shops</t>
        </is>
      </c>
      <c r="C16" s="14" t="inlineStr">
        <is>
          <t>Wants</t>
        </is>
      </c>
    </row>
    <row r="17">
      <c r="B17" s="4" t="inlineStr">
        <is>
          <t>Entertainment</t>
        </is>
      </c>
      <c r="C17" s="4" t="inlineStr">
        <is>
          <t>Wants</t>
        </is>
      </c>
    </row>
    <row r="18">
      <c r="B18" s="14" t="inlineStr">
        <is>
          <t>Clothing</t>
        </is>
      </c>
      <c r="C18" s="14" t="inlineStr">
        <is>
          <t>Wants</t>
        </is>
      </c>
    </row>
    <row r="19">
      <c r="B19" s="4" t="inlineStr">
        <is>
          <t>Subscriptions</t>
        </is>
      </c>
      <c r="C19" s="4" t="inlineStr">
        <is>
          <t>Wants</t>
        </is>
      </c>
    </row>
    <row r="20">
      <c r="B20" s="14" t="inlineStr">
        <is>
          <t>Gym</t>
        </is>
      </c>
      <c r="C20" s="14" t="inlineStr">
        <is>
          <t>Wants</t>
        </is>
      </c>
    </row>
    <row r="21">
      <c r="B21" s="4" t="inlineStr">
        <is>
          <t>Personal Care</t>
        </is>
      </c>
      <c r="C21" s="4" t="inlineStr">
        <is>
          <t>Wants</t>
        </is>
      </c>
    </row>
    <row r="22">
      <c r="B22" s="14" t="inlineStr">
        <is>
          <t>Gifts</t>
        </is>
      </c>
      <c r="C22" s="14" t="inlineStr">
        <is>
          <t>Wants</t>
        </is>
      </c>
    </row>
    <row r="23">
      <c r="B23" s="4" t="inlineStr">
        <is>
          <t>Travel</t>
        </is>
      </c>
      <c r="C23" s="4" t="inlineStr">
        <is>
          <t>Wants</t>
        </is>
      </c>
    </row>
    <row r="24">
      <c r="B24" s="14" t="inlineStr">
        <is>
          <t>Hobbies</t>
        </is>
      </c>
      <c r="C24" s="14" t="inlineStr">
        <is>
          <t>Wants</t>
        </is>
      </c>
    </row>
    <row r="25">
      <c r="B25" s="4" t="inlineStr">
        <is>
          <t>Alcohol/Bars</t>
        </is>
      </c>
      <c r="C25" s="4" t="inlineStr">
        <is>
          <t>Wants</t>
        </is>
      </c>
    </row>
    <row r="26">
      <c r="B26" s="14" t="inlineStr">
        <is>
          <t>Emergency Fund</t>
        </is>
      </c>
      <c r="C26" s="14" t="inlineStr">
        <is>
          <t>Savings</t>
        </is>
      </c>
    </row>
    <row r="27">
      <c r="B27" s="4" t="inlineStr">
        <is>
          <t>Retirement Extra</t>
        </is>
      </c>
      <c r="C27" s="4" t="inlineStr">
        <is>
          <t>Savings</t>
        </is>
      </c>
    </row>
    <row r="28">
      <c r="B28" s="14" t="inlineStr">
        <is>
          <t>Vacation Fund</t>
        </is>
      </c>
      <c r="C28" s="14" t="inlineStr">
        <is>
          <t>Savings</t>
        </is>
      </c>
    </row>
    <row r="29">
      <c r="B29" s="4" t="inlineStr">
        <is>
          <t>Sinking Funds</t>
        </is>
      </c>
      <c r="C29" s="4" t="inlineStr">
        <is>
          <t>Savings</t>
        </is>
      </c>
    </row>
    <row r="30">
      <c r="B30" s="14" t="inlineStr">
        <is>
          <t>Investments</t>
        </is>
      </c>
      <c r="C30" s="14" t="inlineStr">
        <is>
          <t>Savings</t>
        </is>
      </c>
    </row>
    <row r="31">
      <c r="B31" s="4" t="inlineStr">
        <is>
          <t>529 College</t>
        </is>
      </c>
      <c r="C31" s="4" t="inlineStr">
        <is>
          <t>Savings</t>
        </is>
      </c>
    </row>
  </sheetData>
  <dataValidations count="1">
    <dataValidation sqref="C4 C5 C6 C7 C8 C9 C10 C11 C12 C13 C14 C15 C16 C17 C18 C19 C20 C21 C22 C23 C24 C25 C26 C27 C28 C29 C30 C31" showDropDown="0" showInputMessage="0" showErrorMessage="0" allowBlank="0" type="list">
      <formula1>"Needs,Wants,Savings"</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461"/>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s>
  <sheetData>
    <row r="1"/>
    <row r="2">
      <c r="B2" s="1" t="inlineStr">
        <is>
          <t>Expense Log</t>
        </is>
      </c>
      <c r="C2" s="2" t="n"/>
      <c r="D2" s="2" t="n"/>
      <c r="E2" s="2" t="n"/>
      <c r="F2" s="2" t="n"/>
      <c r="G2" s="2" t="n"/>
    </row>
    <row r="3">
      <c r="B3" s="13" t="inlineStr">
        <is>
          <t>Date</t>
        </is>
      </c>
      <c r="C3" s="13" t="inlineStr">
        <is>
          <t>Payee</t>
        </is>
      </c>
      <c r="D3" s="13" t="inlineStr">
        <is>
          <t>Amount</t>
        </is>
      </c>
      <c r="E3" s="13" t="inlineStr">
        <is>
          <t>Category</t>
        </is>
      </c>
      <c r="F3" s="13" t="inlineStr">
        <is>
          <t>Recurring</t>
        </is>
      </c>
      <c r="G3" s="13" t="inlineStr">
        <is>
          <t>Notes</t>
        </is>
      </c>
    </row>
    <row r="4">
      <c r="B4" s="15" t="n">
        <v>45666</v>
      </c>
      <c r="C4" s="4" t="inlineStr">
        <is>
          <t>Landlord LLC</t>
        </is>
      </c>
      <c r="D4" s="16" t="n">
        <v>1450</v>
      </c>
      <c r="E4" s="4" t="inlineStr">
        <is>
          <t>Rent/Mortgage</t>
        </is>
      </c>
      <c r="F4" s="4" t="inlineStr">
        <is>
          <t>Yes</t>
        </is>
      </c>
      <c r="G4" s="2" t="n"/>
    </row>
    <row r="5">
      <c r="B5" s="15" t="n">
        <v>45658</v>
      </c>
      <c r="C5" s="4" t="inlineStr">
        <is>
          <t>Power Co</t>
        </is>
      </c>
      <c r="D5" s="16" t="n">
        <v>64.47</v>
      </c>
      <c r="E5" s="4" t="inlineStr">
        <is>
          <t>Utilities</t>
        </is>
      </c>
      <c r="F5" s="4" t="inlineStr">
        <is>
          <t>No</t>
        </is>
      </c>
      <c r="G5" s="2" t="n"/>
    </row>
    <row r="6">
      <c r="B6" s="15" t="n">
        <v>45673</v>
      </c>
      <c r="C6" s="4" t="inlineStr">
        <is>
          <t>Power Co</t>
        </is>
      </c>
      <c r="D6" s="16" t="n">
        <v>67.65000000000001</v>
      </c>
      <c r="E6" s="4" t="inlineStr">
        <is>
          <t>Utilities</t>
        </is>
      </c>
      <c r="F6" s="4" t="inlineStr">
        <is>
          <t>No</t>
        </is>
      </c>
      <c r="G6" s="2" t="n"/>
    </row>
    <row r="7">
      <c r="B7" s="15" t="n">
        <v>45667</v>
      </c>
      <c r="C7" s="4" t="inlineStr">
        <is>
          <t>Kroger</t>
        </is>
      </c>
      <c r="D7" s="16" t="n">
        <v>179.74</v>
      </c>
      <c r="E7" s="4" t="inlineStr">
        <is>
          <t>Groceries</t>
        </is>
      </c>
      <c r="F7" s="4" t="inlineStr">
        <is>
          <t>No</t>
        </is>
      </c>
      <c r="G7" s="2" t="n"/>
    </row>
    <row r="8">
      <c r="B8" s="15" t="n">
        <v>45686</v>
      </c>
      <c r="C8" s="4" t="inlineStr">
        <is>
          <t>Kroger</t>
        </is>
      </c>
      <c r="D8" s="16" t="n">
        <v>156.48</v>
      </c>
      <c r="E8" s="4" t="inlineStr">
        <is>
          <t>Groceries</t>
        </is>
      </c>
      <c r="F8" s="4" t="inlineStr">
        <is>
          <t>No</t>
        </is>
      </c>
      <c r="G8" s="2" t="n"/>
    </row>
    <row r="9">
      <c r="B9" s="15" t="n">
        <v>45662</v>
      </c>
      <c r="C9" s="4" t="inlineStr">
        <is>
          <t>State Farm</t>
        </is>
      </c>
      <c r="D9" s="16" t="n">
        <v>105</v>
      </c>
      <c r="E9" s="4" t="inlineStr">
        <is>
          <t>Auto Insurance</t>
        </is>
      </c>
      <c r="F9" s="4" t="inlineStr">
        <is>
          <t>Yes</t>
        </is>
      </c>
      <c r="G9" s="2" t="n"/>
    </row>
    <row r="10">
      <c r="B10" s="15" t="n">
        <v>45677</v>
      </c>
      <c r="C10" s="4" t="inlineStr">
        <is>
          <t>Costco Gas</t>
        </is>
      </c>
      <c r="D10" s="16" t="n">
        <v>24.24</v>
      </c>
      <c r="E10" s="4" t="inlineStr">
        <is>
          <t>Gas</t>
        </is>
      </c>
      <c r="F10" s="4" t="inlineStr">
        <is>
          <t>No</t>
        </is>
      </c>
      <c r="G10" s="2" t="n"/>
    </row>
    <row r="11">
      <c r="B11" s="15" t="n">
        <v>45662</v>
      </c>
      <c r="C11" s="4" t="inlineStr">
        <is>
          <t>BP</t>
        </is>
      </c>
      <c r="D11" s="16" t="n">
        <v>41.84</v>
      </c>
      <c r="E11" s="4" t="inlineStr">
        <is>
          <t>Gas</t>
        </is>
      </c>
      <c r="F11" s="4" t="inlineStr">
        <is>
          <t>No</t>
        </is>
      </c>
      <c r="G11" s="2" t="n"/>
    </row>
    <row r="12">
      <c r="B12" s="15" t="n">
        <v>45659</v>
      </c>
      <c r="C12" s="4" t="inlineStr">
        <is>
          <t>Shell</t>
        </is>
      </c>
      <c r="D12" s="16" t="n">
        <v>36.98</v>
      </c>
      <c r="E12" s="4" t="inlineStr">
        <is>
          <t>Gas</t>
        </is>
      </c>
      <c r="F12" s="4" t="inlineStr">
        <is>
          <t>No</t>
        </is>
      </c>
      <c r="G12" s="2" t="n"/>
    </row>
    <row r="13">
      <c r="B13" s="15" t="n">
        <v>45663</v>
      </c>
      <c r="C13" s="4" t="inlineStr">
        <is>
          <t>Costco Gas</t>
        </is>
      </c>
      <c r="D13" s="16" t="n">
        <v>30</v>
      </c>
      <c r="E13" s="4" t="inlineStr">
        <is>
          <t>Gas</t>
        </is>
      </c>
      <c r="F13" s="4" t="inlineStr">
        <is>
          <t>No</t>
        </is>
      </c>
      <c r="G13" s="2" t="n"/>
    </row>
    <row r="14">
      <c r="B14" s="15" t="n">
        <v>45666</v>
      </c>
      <c r="C14" s="4" t="inlineStr">
        <is>
          <t>Anthem</t>
        </is>
      </c>
      <c r="D14" s="16" t="n">
        <v>180</v>
      </c>
      <c r="E14" s="4" t="inlineStr">
        <is>
          <t>Health Insurance</t>
        </is>
      </c>
      <c r="F14" s="4" t="inlineStr">
        <is>
          <t>Yes</t>
        </is>
      </c>
      <c r="G14" s="2" t="n"/>
    </row>
    <row r="15">
      <c r="B15" s="15" t="n">
        <v>45682</v>
      </c>
      <c r="C15" s="4" t="inlineStr">
        <is>
          <t>Verizon</t>
        </is>
      </c>
      <c r="D15" s="16" t="n">
        <v>70</v>
      </c>
      <c r="E15" s="4" t="inlineStr">
        <is>
          <t>Phone</t>
        </is>
      </c>
      <c r="F15" s="4" t="inlineStr">
        <is>
          <t>Yes</t>
        </is>
      </c>
      <c r="G15" s="2" t="n"/>
    </row>
    <row r="16">
      <c r="B16" s="15" t="n">
        <v>45661</v>
      </c>
      <c r="C16" s="4" t="inlineStr">
        <is>
          <t>Chase Visa</t>
        </is>
      </c>
      <c r="D16" s="16" t="n">
        <v>300</v>
      </c>
      <c r="E16" s="4" t="inlineStr">
        <is>
          <t>Min Debt Payment</t>
        </is>
      </c>
      <c r="F16" s="4" t="inlineStr">
        <is>
          <t>Yes</t>
        </is>
      </c>
      <c r="G16" s="2" t="n"/>
    </row>
    <row r="17">
      <c r="B17" s="15" t="n">
        <v>45668</v>
      </c>
      <c r="C17" s="4" t="inlineStr">
        <is>
          <t>Dr. Patel</t>
        </is>
      </c>
      <c r="D17" s="16" t="n">
        <v>24.76</v>
      </c>
      <c r="E17" s="4" t="inlineStr">
        <is>
          <t>Medical/Prescriptions</t>
        </is>
      </c>
      <c r="F17" s="4" t="inlineStr">
        <is>
          <t>No</t>
        </is>
      </c>
      <c r="G17" s="2" t="n"/>
    </row>
    <row r="18">
      <c r="B18" s="15" t="n">
        <v>45683</v>
      </c>
      <c r="C18" s="4" t="inlineStr">
        <is>
          <t>Lemonade</t>
        </is>
      </c>
      <c r="D18" s="16" t="n">
        <v>22</v>
      </c>
      <c r="E18" s="4" t="inlineStr">
        <is>
          <t>Renters Insurance</t>
        </is>
      </c>
      <c r="F18" s="4" t="inlineStr">
        <is>
          <t>Yes</t>
        </is>
      </c>
      <c r="G18" s="2" t="n"/>
    </row>
    <row r="19">
      <c r="B19" s="15" t="n">
        <v>45680</v>
      </c>
      <c r="C19" s="4" t="inlineStr">
        <is>
          <t>Xfinity</t>
        </is>
      </c>
      <c r="D19" s="16" t="n">
        <v>60</v>
      </c>
      <c r="E19" s="4" t="inlineStr">
        <is>
          <t>Internet</t>
        </is>
      </c>
      <c r="F19" s="4" t="inlineStr">
        <is>
          <t>Yes</t>
        </is>
      </c>
      <c r="G19" s="2" t="n"/>
    </row>
    <row r="20">
      <c r="B20" s="15" t="n">
        <v>45662</v>
      </c>
      <c r="C20" s="4" t="inlineStr">
        <is>
          <t>Chipotle</t>
        </is>
      </c>
      <c r="D20" s="16" t="n">
        <v>43.66</v>
      </c>
      <c r="E20" s="4" t="inlineStr">
        <is>
          <t>Dining Out</t>
        </is>
      </c>
      <c r="F20" s="4" t="inlineStr">
        <is>
          <t>No</t>
        </is>
      </c>
      <c r="G20" s="2" t="n"/>
    </row>
    <row r="21">
      <c r="B21" s="15" t="n">
        <v>45665</v>
      </c>
      <c r="C21" s="4" t="inlineStr">
        <is>
          <t>Olive Garden</t>
        </is>
      </c>
      <c r="D21" s="16" t="n">
        <v>39.18</v>
      </c>
      <c r="E21" s="4" t="inlineStr">
        <is>
          <t>Dining Out</t>
        </is>
      </c>
      <c r="F21" s="4" t="inlineStr">
        <is>
          <t>No</t>
        </is>
      </c>
      <c r="G21" s="2" t="n"/>
    </row>
    <row r="22">
      <c r="B22" s="15" t="n">
        <v>45680</v>
      </c>
      <c r="C22" s="4" t="inlineStr">
        <is>
          <t>Olive Garden</t>
        </is>
      </c>
      <c r="D22" s="16" t="n">
        <v>36.06</v>
      </c>
      <c r="E22" s="4" t="inlineStr">
        <is>
          <t>Dining Out</t>
        </is>
      </c>
      <c r="F22" s="4" t="inlineStr">
        <is>
          <t>No</t>
        </is>
      </c>
      <c r="G22" s="2" t="n"/>
    </row>
    <row r="23">
      <c r="B23" s="15" t="n">
        <v>45667</v>
      </c>
      <c r="C23" s="4" t="inlineStr">
        <is>
          <t>Panera</t>
        </is>
      </c>
      <c r="D23" s="16" t="n">
        <v>31.75</v>
      </c>
      <c r="E23" s="4" t="inlineStr">
        <is>
          <t>Dining Out</t>
        </is>
      </c>
      <c r="F23" s="4" t="inlineStr">
        <is>
          <t>No</t>
        </is>
      </c>
      <c r="G23" s="2" t="n"/>
    </row>
    <row r="24">
      <c r="B24" s="15" t="n">
        <v>45675</v>
      </c>
      <c r="C24" s="4" t="inlineStr">
        <is>
          <t>Starbucks</t>
        </is>
      </c>
      <c r="D24" s="16" t="n">
        <v>12.93</v>
      </c>
      <c r="E24" s="4" t="inlineStr">
        <is>
          <t>Coffee Shops</t>
        </is>
      </c>
      <c r="F24" s="4" t="inlineStr">
        <is>
          <t>No</t>
        </is>
      </c>
      <c r="G24" s="2" t="n"/>
    </row>
    <row r="25">
      <c r="B25" s="15" t="n">
        <v>45675</v>
      </c>
      <c r="C25" s="4" t="inlineStr">
        <is>
          <t>Local Roast</t>
        </is>
      </c>
      <c r="D25" s="16" t="n">
        <v>12.88</v>
      </c>
      <c r="E25" s="4" t="inlineStr">
        <is>
          <t>Coffee Shops</t>
        </is>
      </c>
      <c r="F25" s="4" t="inlineStr">
        <is>
          <t>No</t>
        </is>
      </c>
      <c r="G25" s="2" t="n"/>
    </row>
    <row r="26">
      <c r="B26" s="15" t="n">
        <v>45659</v>
      </c>
      <c r="C26" s="4" t="inlineStr">
        <is>
          <t>Starbucks</t>
        </is>
      </c>
      <c r="D26" s="16" t="n">
        <v>14.79</v>
      </c>
      <c r="E26" s="4" t="inlineStr">
        <is>
          <t>Coffee Shops</t>
        </is>
      </c>
      <c r="F26" s="4" t="inlineStr">
        <is>
          <t>No</t>
        </is>
      </c>
      <c r="G26" s="2" t="n"/>
    </row>
    <row r="27">
      <c r="B27" s="15" t="n">
        <v>45658</v>
      </c>
      <c r="C27" s="4" t="inlineStr">
        <is>
          <t>Eventbrite</t>
        </is>
      </c>
      <c r="D27" s="16" t="n">
        <v>31.02</v>
      </c>
      <c r="E27" s="4" t="inlineStr">
        <is>
          <t>Entertainment</t>
        </is>
      </c>
      <c r="F27" s="4" t="inlineStr">
        <is>
          <t>No</t>
        </is>
      </c>
      <c r="G27" s="2" t="n"/>
    </row>
    <row r="28">
      <c r="B28" s="15" t="n">
        <v>45666</v>
      </c>
      <c r="C28" s="4" t="inlineStr">
        <is>
          <t>AMC</t>
        </is>
      </c>
      <c r="D28" s="16" t="n">
        <v>26.3</v>
      </c>
      <c r="E28" s="4" t="inlineStr">
        <is>
          <t>Entertainment</t>
        </is>
      </c>
      <c r="F28" s="4" t="inlineStr">
        <is>
          <t>No</t>
        </is>
      </c>
      <c r="G28" s="2" t="n"/>
    </row>
    <row r="29">
      <c r="B29" s="15" t="n">
        <v>45677</v>
      </c>
      <c r="C29" s="4" t="inlineStr">
        <is>
          <t>TJ Maxx</t>
        </is>
      </c>
      <c r="D29" s="16" t="n">
        <v>43.51</v>
      </c>
      <c r="E29" s="4" t="inlineStr">
        <is>
          <t>Clothing</t>
        </is>
      </c>
      <c r="F29" s="4" t="inlineStr">
        <is>
          <t>No</t>
        </is>
      </c>
      <c r="G29" s="2" t="n"/>
    </row>
    <row r="30">
      <c r="B30" s="15" t="n">
        <v>45680</v>
      </c>
      <c r="C30" s="4" t="inlineStr">
        <is>
          <t>Old Navy</t>
        </is>
      </c>
      <c r="D30" s="16" t="n">
        <v>20.77</v>
      </c>
      <c r="E30" s="4" t="inlineStr">
        <is>
          <t>Clothing</t>
        </is>
      </c>
      <c r="F30" s="4" t="inlineStr">
        <is>
          <t>No</t>
        </is>
      </c>
      <c r="G30" s="2" t="n"/>
    </row>
    <row r="31">
      <c r="B31" s="15" t="n">
        <v>45666</v>
      </c>
      <c r="C31" s="4" t="inlineStr">
        <is>
          <t>Spotify</t>
        </is>
      </c>
      <c r="D31" s="16" t="n">
        <v>25.24</v>
      </c>
      <c r="E31" s="4" t="inlineStr">
        <is>
          <t>Subscriptions</t>
        </is>
      </c>
      <c r="F31" s="4" t="inlineStr">
        <is>
          <t>No</t>
        </is>
      </c>
      <c r="G31" s="2" t="n"/>
    </row>
    <row r="32">
      <c r="B32" s="15" t="n">
        <v>45678</v>
      </c>
      <c r="C32" s="4" t="inlineStr">
        <is>
          <t>Spotify</t>
        </is>
      </c>
      <c r="D32" s="16" t="n">
        <v>19.51</v>
      </c>
      <c r="E32" s="4" t="inlineStr">
        <is>
          <t>Subscriptions</t>
        </is>
      </c>
      <c r="F32" s="4" t="inlineStr">
        <is>
          <t>No</t>
        </is>
      </c>
      <c r="G32" s="2" t="n"/>
    </row>
    <row r="33">
      <c r="B33" s="15" t="n">
        <v>45673</v>
      </c>
      <c r="C33" s="4" t="inlineStr">
        <is>
          <t>Planet Fitness</t>
        </is>
      </c>
      <c r="D33" s="16" t="n">
        <v>40</v>
      </c>
      <c r="E33" s="4" t="inlineStr">
        <is>
          <t>Gym</t>
        </is>
      </c>
      <c r="F33" s="4" t="inlineStr">
        <is>
          <t>Yes</t>
        </is>
      </c>
      <c r="G33" s="2" t="n"/>
    </row>
    <row r="34">
      <c r="B34" s="15" t="n">
        <v>45677</v>
      </c>
      <c r="C34" s="4" t="inlineStr">
        <is>
          <t>Target Beauty</t>
        </is>
      </c>
      <c r="D34" s="16" t="n">
        <v>44.79</v>
      </c>
      <c r="E34" s="4" t="inlineStr">
        <is>
          <t>Personal Care</t>
        </is>
      </c>
      <c r="F34" s="4" t="inlineStr">
        <is>
          <t>No</t>
        </is>
      </c>
      <c r="G34" s="2" t="n"/>
    </row>
    <row r="35">
      <c r="B35" s="15" t="n">
        <v>45683</v>
      </c>
      <c r="C35" s="4" t="inlineStr">
        <is>
          <t>Amazon</t>
        </is>
      </c>
      <c r="D35" s="16" t="n">
        <v>12</v>
      </c>
      <c r="E35" s="4" t="inlineStr">
        <is>
          <t>Gifts</t>
        </is>
      </c>
      <c r="F35" s="4" t="inlineStr">
        <is>
          <t>No</t>
        </is>
      </c>
      <c r="G35" s="2" t="n"/>
    </row>
    <row r="36">
      <c r="B36" s="15" t="n">
        <v>45686</v>
      </c>
      <c r="C36" s="4" t="inlineStr">
        <is>
          <t>Amazon</t>
        </is>
      </c>
      <c r="D36" s="16" t="n">
        <v>20.12</v>
      </c>
      <c r="E36" s="4" t="inlineStr">
        <is>
          <t>Gifts</t>
        </is>
      </c>
      <c r="F36" s="4" t="inlineStr">
        <is>
          <t>No</t>
        </is>
      </c>
      <c r="G36" s="2" t="n"/>
    </row>
    <row r="37">
      <c r="B37" s="15" t="n">
        <v>45670</v>
      </c>
      <c r="C37" s="4" t="inlineStr">
        <is>
          <t>Amazon</t>
        </is>
      </c>
      <c r="D37" s="16" t="n">
        <v>36.7</v>
      </c>
      <c r="E37" s="4" t="inlineStr">
        <is>
          <t>Hobbies</t>
        </is>
      </c>
      <c r="F37" s="4" t="inlineStr">
        <is>
          <t>No</t>
        </is>
      </c>
      <c r="G37" s="2" t="n"/>
    </row>
    <row r="38">
      <c r="B38" s="15" t="n">
        <v>45680</v>
      </c>
      <c r="C38" s="4" t="inlineStr">
        <is>
          <t>Local Bar</t>
        </is>
      </c>
      <c r="D38" s="16" t="n">
        <v>26.98</v>
      </c>
      <c r="E38" s="4" t="inlineStr">
        <is>
          <t>Alcohol/Bars</t>
        </is>
      </c>
      <c r="F38" s="4" t="inlineStr">
        <is>
          <t>No</t>
        </is>
      </c>
      <c r="G38" s="2" t="n"/>
    </row>
    <row r="39">
      <c r="B39" s="15" t="n">
        <v>45685</v>
      </c>
      <c r="C39" s="4" t="inlineStr">
        <is>
          <t>Transfer to Savings</t>
        </is>
      </c>
      <c r="D39" s="16" t="n">
        <v>200</v>
      </c>
      <c r="E39" s="4" t="inlineStr">
        <is>
          <t>Emergency Fund</t>
        </is>
      </c>
      <c r="F39" s="4" t="inlineStr">
        <is>
          <t>Yes</t>
        </is>
      </c>
      <c r="G39" s="2" t="n"/>
    </row>
    <row r="40">
      <c r="B40" s="15" t="n">
        <v>45678</v>
      </c>
      <c r="C40" s="4" t="inlineStr">
        <is>
          <t>Vanguard</t>
        </is>
      </c>
      <c r="D40" s="16" t="n">
        <v>200</v>
      </c>
      <c r="E40" s="4" t="inlineStr">
        <is>
          <t>Retirement Extra</t>
        </is>
      </c>
      <c r="F40" s="4" t="inlineStr">
        <is>
          <t>Yes</t>
        </is>
      </c>
      <c r="G40" s="2" t="n"/>
    </row>
    <row r="41">
      <c r="B41" s="15" t="n">
        <v>45670</v>
      </c>
      <c r="C41" s="4" t="inlineStr">
        <is>
          <t>Transfer to Vacation</t>
        </is>
      </c>
      <c r="D41" s="16" t="n">
        <v>100</v>
      </c>
      <c r="E41" s="4" t="inlineStr">
        <is>
          <t>Vacation Fund</t>
        </is>
      </c>
      <c r="F41" s="4" t="inlineStr">
        <is>
          <t>Yes</t>
        </is>
      </c>
      <c r="G41" s="2" t="n"/>
    </row>
    <row r="42">
      <c r="B42" s="15" t="n">
        <v>45686</v>
      </c>
      <c r="C42" s="4" t="inlineStr">
        <is>
          <t>Transfer to Sinking</t>
        </is>
      </c>
      <c r="D42" s="16" t="n">
        <v>75</v>
      </c>
      <c r="E42" s="4" t="inlineStr">
        <is>
          <t>Sinking Funds</t>
        </is>
      </c>
      <c r="F42" s="4" t="inlineStr">
        <is>
          <t>Yes</t>
        </is>
      </c>
      <c r="G42" s="2" t="n"/>
    </row>
    <row r="43">
      <c r="B43" s="15" t="n">
        <v>45663</v>
      </c>
      <c r="C43" s="4" t="inlineStr">
        <is>
          <t>Fidelity Transfer</t>
        </is>
      </c>
      <c r="D43" s="16" t="n">
        <v>150</v>
      </c>
      <c r="E43" s="4" t="inlineStr">
        <is>
          <t>Investments</t>
        </is>
      </c>
      <c r="F43" s="4" t="inlineStr">
        <is>
          <t>Yes</t>
        </is>
      </c>
      <c r="G43" s="2" t="n"/>
    </row>
    <row r="44">
      <c r="B44" s="15" t="n">
        <v>45660</v>
      </c>
      <c r="C44" s="4" t="inlineStr">
        <is>
          <t>529 Transfer</t>
        </is>
      </c>
      <c r="D44" s="16" t="n">
        <v>250</v>
      </c>
      <c r="E44" s="4" t="inlineStr">
        <is>
          <t>529 College</t>
        </is>
      </c>
      <c r="F44" s="4" t="inlineStr">
        <is>
          <t>Yes</t>
        </is>
      </c>
      <c r="G44" s="2" t="n"/>
    </row>
    <row r="45">
      <c r="B45" s="15" t="n">
        <v>45707</v>
      </c>
      <c r="C45" s="4" t="inlineStr">
        <is>
          <t>Landlord LLC</t>
        </is>
      </c>
      <c r="D45" s="16" t="n">
        <v>1450</v>
      </c>
      <c r="E45" s="4" t="inlineStr">
        <is>
          <t>Rent/Mortgage</t>
        </is>
      </c>
      <c r="F45" s="4" t="inlineStr">
        <is>
          <t>Yes</t>
        </is>
      </c>
      <c r="G45" s="2" t="n"/>
    </row>
    <row r="46">
      <c r="B46" s="15" t="n">
        <v>45703</v>
      </c>
      <c r="C46" s="4" t="inlineStr">
        <is>
          <t>Gas Co</t>
        </is>
      </c>
      <c r="D46" s="16" t="n">
        <v>137.83</v>
      </c>
      <c r="E46" s="4" t="inlineStr">
        <is>
          <t>Utilities</t>
        </is>
      </c>
      <c r="F46" s="4" t="inlineStr">
        <is>
          <t>No</t>
        </is>
      </c>
      <c r="G46" s="2" t="n"/>
    </row>
    <row r="47">
      <c r="B47" s="15" t="n">
        <v>45705</v>
      </c>
      <c r="C47" s="4" t="inlineStr">
        <is>
          <t>Kroger</t>
        </is>
      </c>
      <c r="D47" s="16" t="n">
        <v>253.81</v>
      </c>
      <c r="E47" s="4" t="inlineStr">
        <is>
          <t>Groceries</t>
        </is>
      </c>
      <c r="F47" s="4" t="inlineStr">
        <is>
          <t>No</t>
        </is>
      </c>
      <c r="G47" s="2" t="n"/>
    </row>
    <row r="48">
      <c r="B48" s="15" t="n">
        <v>45710</v>
      </c>
      <c r="C48" s="4" t="inlineStr">
        <is>
          <t>Costco</t>
        </is>
      </c>
      <c r="D48" s="16" t="n">
        <v>271.52</v>
      </c>
      <c r="E48" s="4" t="inlineStr">
        <is>
          <t>Groceries</t>
        </is>
      </c>
      <c r="F48" s="4" t="inlineStr">
        <is>
          <t>No</t>
        </is>
      </c>
      <c r="G48" s="2" t="n"/>
    </row>
    <row r="49">
      <c r="B49" s="15" t="n">
        <v>45707</v>
      </c>
      <c r="C49" s="4" t="inlineStr">
        <is>
          <t>State Farm</t>
        </is>
      </c>
      <c r="D49" s="16" t="n">
        <v>105</v>
      </c>
      <c r="E49" s="4" t="inlineStr">
        <is>
          <t>Auto Insurance</t>
        </is>
      </c>
      <c r="F49" s="4" t="inlineStr">
        <is>
          <t>Yes</t>
        </is>
      </c>
      <c r="G49" s="2" t="n"/>
    </row>
    <row r="50">
      <c r="B50" s="15" t="n">
        <v>45696</v>
      </c>
      <c r="C50" s="4" t="inlineStr">
        <is>
          <t>BP</t>
        </is>
      </c>
      <c r="D50" s="16" t="n">
        <v>38.98</v>
      </c>
      <c r="E50" s="4" t="inlineStr">
        <is>
          <t>Gas</t>
        </is>
      </c>
      <c r="F50" s="4" t="inlineStr">
        <is>
          <t>No</t>
        </is>
      </c>
      <c r="G50" s="2" t="n"/>
    </row>
    <row r="51">
      <c r="B51" s="15" t="n">
        <v>45696</v>
      </c>
      <c r="C51" s="4" t="inlineStr">
        <is>
          <t>Shell</t>
        </is>
      </c>
      <c r="D51" s="16" t="n">
        <v>30.81</v>
      </c>
      <c r="E51" s="4" t="inlineStr">
        <is>
          <t>Gas</t>
        </is>
      </c>
      <c r="F51" s="4" t="inlineStr">
        <is>
          <t>No</t>
        </is>
      </c>
      <c r="G51" s="2" t="n"/>
    </row>
    <row r="52">
      <c r="B52" s="15" t="n">
        <v>45690</v>
      </c>
      <c r="C52" s="4" t="inlineStr">
        <is>
          <t>Shell</t>
        </is>
      </c>
      <c r="D52" s="16" t="n">
        <v>37.91</v>
      </c>
      <c r="E52" s="4" t="inlineStr">
        <is>
          <t>Gas</t>
        </is>
      </c>
      <c r="F52" s="4" t="inlineStr">
        <is>
          <t>No</t>
        </is>
      </c>
      <c r="G52" s="2" t="n"/>
    </row>
    <row r="53">
      <c r="B53" s="15" t="n">
        <v>45691</v>
      </c>
      <c r="C53" s="4" t="inlineStr">
        <is>
          <t>BP</t>
        </is>
      </c>
      <c r="D53" s="16" t="n">
        <v>34.99</v>
      </c>
      <c r="E53" s="4" t="inlineStr">
        <is>
          <t>Gas</t>
        </is>
      </c>
      <c r="F53" s="4" t="inlineStr">
        <is>
          <t>No</t>
        </is>
      </c>
      <c r="G53" s="2" t="n"/>
    </row>
    <row r="54">
      <c r="B54" s="15" t="n">
        <v>45714</v>
      </c>
      <c r="C54" s="4" t="inlineStr">
        <is>
          <t>Anthem</t>
        </is>
      </c>
      <c r="D54" s="16" t="n">
        <v>180</v>
      </c>
      <c r="E54" s="4" t="inlineStr">
        <is>
          <t>Health Insurance</t>
        </is>
      </c>
      <c r="F54" s="4" t="inlineStr">
        <is>
          <t>Yes</t>
        </is>
      </c>
      <c r="G54" s="2" t="n"/>
    </row>
    <row r="55">
      <c r="B55" s="15" t="n">
        <v>45707</v>
      </c>
      <c r="C55" s="4" t="inlineStr">
        <is>
          <t>Verizon</t>
        </is>
      </c>
      <c r="D55" s="16" t="n">
        <v>70</v>
      </c>
      <c r="E55" s="4" t="inlineStr">
        <is>
          <t>Phone</t>
        </is>
      </c>
      <c r="F55" s="4" t="inlineStr">
        <is>
          <t>Yes</t>
        </is>
      </c>
      <c r="G55" s="2" t="n"/>
    </row>
    <row r="56">
      <c r="B56" s="15" t="n">
        <v>45715</v>
      </c>
      <c r="C56" s="4" t="inlineStr">
        <is>
          <t>Chase Visa</t>
        </is>
      </c>
      <c r="D56" s="16" t="n">
        <v>300</v>
      </c>
      <c r="E56" s="4" t="inlineStr">
        <is>
          <t>Min Debt Payment</t>
        </is>
      </c>
      <c r="F56" s="4" t="inlineStr">
        <is>
          <t>Yes</t>
        </is>
      </c>
      <c r="G56" s="2" t="n"/>
    </row>
    <row r="57">
      <c r="B57" s="15" t="n">
        <v>45701</v>
      </c>
      <c r="C57" s="4" t="inlineStr">
        <is>
          <t>CVS</t>
        </is>
      </c>
      <c r="D57" s="16" t="n">
        <v>26.46</v>
      </c>
      <c r="E57" s="4" t="inlineStr">
        <is>
          <t>Medical/Prescriptions</t>
        </is>
      </c>
      <c r="F57" s="4" t="inlineStr">
        <is>
          <t>No</t>
        </is>
      </c>
      <c r="G57" s="2" t="n"/>
    </row>
    <row r="58">
      <c r="B58" s="15" t="n">
        <v>45711</v>
      </c>
      <c r="C58" s="4" t="inlineStr">
        <is>
          <t>Dr. Patel</t>
        </is>
      </c>
      <c r="D58" s="16" t="n">
        <v>27.09</v>
      </c>
      <c r="E58" s="4" t="inlineStr">
        <is>
          <t>Medical/Prescriptions</t>
        </is>
      </c>
      <c r="F58" s="4" t="inlineStr">
        <is>
          <t>No</t>
        </is>
      </c>
      <c r="G58" s="2" t="n"/>
    </row>
    <row r="59">
      <c r="B59" s="15" t="n">
        <v>45710</v>
      </c>
      <c r="C59" s="4" t="inlineStr">
        <is>
          <t>Lemonade</t>
        </is>
      </c>
      <c r="D59" s="16" t="n">
        <v>22</v>
      </c>
      <c r="E59" s="4" t="inlineStr">
        <is>
          <t>Renters Insurance</t>
        </is>
      </c>
      <c r="F59" s="4" t="inlineStr">
        <is>
          <t>Yes</t>
        </is>
      </c>
      <c r="G59" s="2" t="n"/>
    </row>
    <row r="60">
      <c r="B60" s="15" t="n">
        <v>45712</v>
      </c>
      <c r="C60" s="4" t="inlineStr">
        <is>
          <t>Xfinity</t>
        </is>
      </c>
      <c r="D60" s="16" t="n">
        <v>60</v>
      </c>
      <c r="E60" s="4" t="inlineStr">
        <is>
          <t>Internet</t>
        </is>
      </c>
      <c r="F60" s="4" t="inlineStr">
        <is>
          <t>Yes</t>
        </is>
      </c>
      <c r="G60" s="2" t="n"/>
    </row>
    <row r="61">
      <c r="B61" s="15" t="n">
        <v>45711</v>
      </c>
      <c r="C61" s="4" t="inlineStr">
        <is>
          <t>Thai Kitchen</t>
        </is>
      </c>
      <c r="D61" s="16" t="n">
        <v>27.39</v>
      </c>
      <c r="E61" s="4" t="inlineStr">
        <is>
          <t>Dining Out</t>
        </is>
      </c>
      <c r="F61" s="4" t="inlineStr">
        <is>
          <t>No</t>
        </is>
      </c>
      <c r="G61" s="2" t="n"/>
    </row>
    <row r="62">
      <c r="B62" s="15" t="n">
        <v>45691</v>
      </c>
      <c r="C62" s="4" t="inlineStr">
        <is>
          <t>Panera</t>
        </is>
      </c>
      <c r="D62" s="16" t="n">
        <v>32.71</v>
      </c>
      <c r="E62" s="4" t="inlineStr">
        <is>
          <t>Dining Out</t>
        </is>
      </c>
      <c r="F62" s="4" t="inlineStr">
        <is>
          <t>No</t>
        </is>
      </c>
      <c r="G62" s="2" t="n"/>
    </row>
    <row r="63">
      <c r="B63" s="15" t="n">
        <v>45701</v>
      </c>
      <c r="C63" s="4" t="inlineStr">
        <is>
          <t>Thai Kitchen</t>
        </is>
      </c>
      <c r="D63" s="16" t="n">
        <v>36.26</v>
      </c>
      <c r="E63" s="4" t="inlineStr">
        <is>
          <t>Dining Out</t>
        </is>
      </c>
      <c r="F63" s="4" t="inlineStr">
        <is>
          <t>No</t>
        </is>
      </c>
      <c r="G63" s="2" t="n"/>
    </row>
    <row r="64">
      <c r="B64" s="15" t="n">
        <v>45696</v>
      </c>
      <c r="C64" s="4" t="inlineStr">
        <is>
          <t>Chipotle</t>
        </is>
      </c>
      <c r="D64" s="16" t="n">
        <v>28.44</v>
      </c>
      <c r="E64" s="4" t="inlineStr">
        <is>
          <t>Dining Out</t>
        </is>
      </c>
      <c r="F64" s="4" t="inlineStr">
        <is>
          <t>No</t>
        </is>
      </c>
      <c r="G64" s="2" t="n"/>
    </row>
    <row r="65">
      <c r="B65" s="15" t="n">
        <v>45708</v>
      </c>
      <c r="C65" s="4" t="inlineStr">
        <is>
          <t>Local Roast</t>
        </is>
      </c>
      <c r="D65" s="16" t="n">
        <v>12.4</v>
      </c>
      <c r="E65" s="4" t="inlineStr">
        <is>
          <t>Coffee Shops</t>
        </is>
      </c>
      <c r="F65" s="4" t="inlineStr">
        <is>
          <t>No</t>
        </is>
      </c>
      <c r="G65" s="2" t="n"/>
    </row>
    <row r="66">
      <c r="B66" s="15" t="n">
        <v>45708</v>
      </c>
      <c r="C66" s="4" t="inlineStr">
        <is>
          <t>Starbucks</t>
        </is>
      </c>
      <c r="D66" s="16" t="n">
        <v>10.58</v>
      </c>
      <c r="E66" s="4" t="inlineStr">
        <is>
          <t>Coffee Shops</t>
        </is>
      </c>
      <c r="F66" s="4" t="inlineStr">
        <is>
          <t>No</t>
        </is>
      </c>
      <c r="G66" s="2" t="n"/>
    </row>
    <row r="67">
      <c r="B67" s="15" t="n">
        <v>45716</v>
      </c>
      <c r="C67" s="4" t="inlineStr">
        <is>
          <t>Starbucks</t>
        </is>
      </c>
      <c r="D67" s="16" t="n">
        <v>9.960000000000001</v>
      </c>
      <c r="E67" s="4" t="inlineStr">
        <is>
          <t>Coffee Shops</t>
        </is>
      </c>
      <c r="F67" s="4" t="inlineStr">
        <is>
          <t>No</t>
        </is>
      </c>
      <c r="G67" s="2" t="n"/>
    </row>
    <row r="68">
      <c r="B68" s="15" t="n">
        <v>45712</v>
      </c>
      <c r="C68" s="4" t="inlineStr">
        <is>
          <t>AMC</t>
        </is>
      </c>
      <c r="D68" s="16" t="n">
        <v>104.04</v>
      </c>
      <c r="E68" s="4" t="inlineStr">
        <is>
          <t>Entertainment</t>
        </is>
      </c>
      <c r="F68" s="4" t="inlineStr">
        <is>
          <t>No</t>
        </is>
      </c>
      <c r="G68" s="2" t="n"/>
    </row>
    <row r="69">
      <c r="B69" s="15" t="n">
        <v>45697</v>
      </c>
      <c r="C69" s="4" t="inlineStr">
        <is>
          <t>TJ Maxx</t>
        </is>
      </c>
      <c r="D69" s="16" t="n">
        <v>71.33</v>
      </c>
      <c r="E69" s="4" t="inlineStr">
        <is>
          <t>Clothing</t>
        </is>
      </c>
      <c r="F69" s="4" t="inlineStr">
        <is>
          <t>No</t>
        </is>
      </c>
      <c r="G69" s="2" t="n"/>
    </row>
    <row r="70">
      <c r="B70" s="15" t="n">
        <v>45712</v>
      </c>
      <c r="C70" s="4" t="inlineStr">
        <is>
          <t>iCloud</t>
        </is>
      </c>
      <c r="D70" s="16" t="n">
        <v>58.06</v>
      </c>
      <c r="E70" s="4" t="inlineStr">
        <is>
          <t>Subscriptions</t>
        </is>
      </c>
      <c r="F70" s="4" t="inlineStr">
        <is>
          <t>No</t>
        </is>
      </c>
      <c r="G70" s="2" t="n"/>
    </row>
    <row r="71">
      <c r="B71" s="15" t="n">
        <v>45701</v>
      </c>
      <c r="C71" s="4" t="inlineStr">
        <is>
          <t>Planet Fitness</t>
        </is>
      </c>
      <c r="D71" s="16" t="n">
        <v>40</v>
      </c>
      <c r="E71" s="4" t="inlineStr">
        <is>
          <t>Gym</t>
        </is>
      </c>
      <c r="F71" s="4" t="inlineStr">
        <is>
          <t>Yes</t>
        </is>
      </c>
      <c r="G71" s="2" t="n"/>
    </row>
    <row r="72">
      <c r="B72" s="15" t="n">
        <v>45692</v>
      </c>
      <c r="C72" s="4" t="inlineStr">
        <is>
          <t>Great Clips</t>
        </is>
      </c>
      <c r="D72" s="16" t="n">
        <v>12.04</v>
      </c>
      <c r="E72" s="4" t="inlineStr">
        <is>
          <t>Personal Care</t>
        </is>
      </c>
      <c r="F72" s="4" t="inlineStr">
        <is>
          <t>No</t>
        </is>
      </c>
      <c r="G72" s="2" t="n"/>
    </row>
    <row r="73">
      <c r="B73" s="15" t="n">
        <v>45715</v>
      </c>
      <c r="C73" s="4" t="inlineStr">
        <is>
          <t>Target Beauty</t>
        </is>
      </c>
      <c r="D73" s="16" t="n">
        <v>11.82</v>
      </c>
      <c r="E73" s="4" t="inlineStr">
        <is>
          <t>Personal Care</t>
        </is>
      </c>
      <c r="F73" s="4" t="inlineStr">
        <is>
          <t>No</t>
        </is>
      </c>
      <c r="G73" s="2" t="n"/>
    </row>
    <row r="74">
      <c r="B74" s="15" t="n">
        <v>45706</v>
      </c>
      <c r="C74" s="4" t="inlineStr">
        <is>
          <t>Etsy</t>
        </is>
      </c>
      <c r="D74" s="16" t="n">
        <v>40.34</v>
      </c>
      <c r="E74" s="4" t="inlineStr">
        <is>
          <t>Gifts</t>
        </is>
      </c>
      <c r="F74" s="4" t="inlineStr">
        <is>
          <t>No</t>
        </is>
      </c>
      <c r="G74" s="2" t="n"/>
    </row>
    <row r="75">
      <c r="B75" s="15" t="n">
        <v>45705</v>
      </c>
      <c r="C75" s="4" t="inlineStr">
        <is>
          <t>Guitar Center</t>
        </is>
      </c>
      <c r="D75" s="16" t="n">
        <v>14.96</v>
      </c>
      <c r="E75" s="4" t="inlineStr">
        <is>
          <t>Hobbies</t>
        </is>
      </c>
      <c r="F75" s="4" t="inlineStr">
        <is>
          <t>No</t>
        </is>
      </c>
      <c r="G75" s="2" t="n"/>
    </row>
    <row r="76">
      <c r="B76" s="15" t="n">
        <v>45697</v>
      </c>
      <c r="C76" s="4" t="inlineStr">
        <is>
          <t>Guitar Center</t>
        </is>
      </c>
      <c r="D76" s="16" t="n">
        <v>17.47</v>
      </c>
      <c r="E76" s="4" t="inlineStr">
        <is>
          <t>Hobbies</t>
        </is>
      </c>
      <c r="F76" s="4" t="inlineStr">
        <is>
          <t>No</t>
        </is>
      </c>
      <c r="G76" s="2" t="n"/>
    </row>
    <row r="77">
      <c r="B77" s="15" t="n">
        <v>45700</v>
      </c>
      <c r="C77" s="4" t="inlineStr">
        <is>
          <t>Liquor Store</t>
        </is>
      </c>
      <c r="D77" s="16" t="n">
        <v>53.15</v>
      </c>
      <c r="E77" s="4" t="inlineStr">
        <is>
          <t>Alcohol/Bars</t>
        </is>
      </c>
      <c r="F77" s="4" t="inlineStr">
        <is>
          <t>No</t>
        </is>
      </c>
      <c r="G77" s="2" t="n"/>
    </row>
    <row r="78">
      <c r="B78" s="15" t="n">
        <v>45704</v>
      </c>
      <c r="C78" s="4" t="inlineStr">
        <is>
          <t>Transfer to Savings</t>
        </is>
      </c>
      <c r="D78" s="16" t="n">
        <v>200</v>
      </c>
      <c r="E78" s="4" t="inlineStr">
        <is>
          <t>Emergency Fund</t>
        </is>
      </c>
      <c r="F78" s="4" t="inlineStr">
        <is>
          <t>Yes</t>
        </is>
      </c>
      <c r="G78" s="2" t="n"/>
    </row>
    <row r="79">
      <c r="B79" s="15" t="n">
        <v>45696</v>
      </c>
      <c r="C79" s="4" t="inlineStr">
        <is>
          <t>Vanguard</t>
        </is>
      </c>
      <c r="D79" s="16" t="n">
        <v>200</v>
      </c>
      <c r="E79" s="4" t="inlineStr">
        <is>
          <t>Retirement Extra</t>
        </is>
      </c>
      <c r="F79" s="4" t="inlineStr">
        <is>
          <t>Yes</t>
        </is>
      </c>
      <c r="G79" s="2" t="n"/>
    </row>
    <row r="80">
      <c r="B80" s="15" t="n">
        <v>45714</v>
      </c>
      <c r="C80" s="4" t="inlineStr">
        <is>
          <t>Transfer to Vacation</t>
        </is>
      </c>
      <c r="D80" s="16" t="n">
        <v>100</v>
      </c>
      <c r="E80" s="4" t="inlineStr">
        <is>
          <t>Vacation Fund</t>
        </is>
      </c>
      <c r="F80" s="4" t="inlineStr">
        <is>
          <t>Yes</t>
        </is>
      </c>
      <c r="G80" s="2" t="n"/>
    </row>
    <row r="81">
      <c r="B81" s="15" t="n">
        <v>45710</v>
      </c>
      <c r="C81" s="4" t="inlineStr">
        <is>
          <t>Transfer to Sinking</t>
        </is>
      </c>
      <c r="D81" s="16" t="n">
        <v>75</v>
      </c>
      <c r="E81" s="4" t="inlineStr">
        <is>
          <t>Sinking Funds</t>
        </is>
      </c>
      <c r="F81" s="4" t="inlineStr">
        <is>
          <t>Yes</t>
        </is>
      </c>
      <c r="G81" s="2" t="n"/>
    </row>
    <row r="82">
      <c r="B82" s="15" t="n">
        <v>45705</v>
      </c>
      <c r="C82" s="4" t="inlineStr">
        <is>
          <t>Fidelity Transfer</t>
        </is>
      </c>
      <c r="D82" s="16" t="n">
        <v>150</v>
      </c>
      <c r="E82" s="4" t="inlineStr">
        <is>
          <t>Investments</t>
        </is>
      </c>
      <c r="F82" s="4" t="inlineStr">
        <is>
          <t>Yes</t>
        </is>
      </c>
      <c r="G82" s="2" t="n"/>
    </row>
    <row r="83">
      <c r="B83" s="15" t="n">
        <v>45747</v>
      </c>
      <c r="C83" s="4" t="inlineStr">
        <is>
          <t>Landlord LLC</t>
        </is>
      </c>
      <c r="D83" s="16" t="n">
        <v>1450</v>
      </c>
      <c r="E83" s="4" t="inlineStr">
        <is>
          <t>Rent/Mortgage</t>
        </is>
      </c>
      <c r="F83" s="4" t="inlineStr">
        <is>
          <t>Yes</t>
        </is>
      </c>
      <c r="G83" s="2" t="n"/>
    </row>
    <row r="84">
      <c r="B84" s="15" t="n">
        <v>45733</v>
      </c>
      <c r="C84" s="4" t="inlineStr">
        <is>
          <t>Water Dept</t>
        </is>
      </c>
      <c r="D84" s="16" t="n">
        <v>218.76</v>
      </c>
      <c r="E84" s="4" t="inlineStr">
        <is>
          <t>Utilities</t>
        </is>
      </c>
      <c r="F84" s="4" t="inlineStr">
        <is>
          <t>No</t>
        </is>
      </c>
      <c r="G84" s="2" t="n"/>
    </row>
    <row r="85">
      <c r="B85" s="15" t="n">
        <v>45746</v>
      </c>
      <c r="C85" s="4" t="inlineStr">
        <is>
          <t>Aldi</t>
        </is>
      </c>
      <c r="D85" s="16" t="n">
        <v>111.42</v>
      </c>
      <c r="E85" s="4" t="inlineStr">
        <is>
          <t>Groceries</t>
        </is>
      </c>
      <c r="F85" s="4" t="inlineStr">
        <is>
          <t>No</t>
        </is>
      </c>
      <c r="G85" s="2" t="n"/>
    </row>
    <row r="86">
      <c r="B86" s="15" t="n">
        <v>45730</v>
      </c>
      <c r="C86" s="4" t="inlineStr">
        <is>
          <t>Kroger</t>
        </is>
      </c>
      <c r="D86" s="16" t="n">
        <v>141.88</v>
      </c>
      <c r="E86" s="4" t="inlineStr">
        <is>
          <t>Groceries</t>
        </is>
      </c>
      <c r="F86" s="4" t="inlineStr">
        <is>
          <t>No</t>
        </is>
      </c>
      <c r="G86" s="2" t="n"/>
    </row>
    <row r="87">
      <c r="B87" s="15" t="n">
        <v>45741</v>
      </c>
      <c r="C87" s="4" t="inlineStr">
        <is>
          <t>Costco</t>
        </is>
      </c>
      <c r="D87" s="16" t="n">
        <v>174.32</v>
      </c>
      <c r="E87" s="4" t="inlineStr">
        <is>
          <t>Groceries</t>
        </is>
      </c>
      <c r="F87" s="4" t="inlineStr">
        <is>
          <t>No</t>
        </is>
      </c>
      <c r="G87" s="2" t="n"/>
    </row>
    <row r="88">
      <c r="B88" s="15" t="n">
        <v>45737</v>
      </c>
      <c r="C88" s="4" t="inlineStr">
        <is>
          <t>State Farm</t>
        </is>
      </c>
      <c r="D88" s="16" t="n">
        <v>105</v>
      </c>
      <c r="E88" s="4" t="inlineStr">
        <is>
          <t>Auto Insurance</t>
        </is>
      </c>
      <c r="F88" s="4" t="inlineStr">
        <is>
          <t>Yes</t>
        </is>
      </c>
      <c r="G88" s="2" t="n"/>
    </row>
    <row r="89">
      <c r="B89" s="15" t="n">
        <v>45737</v>
      </c>
      <c r="C89" s="4" t="inlineStr">
        <is>
          <t>Shell</t>
        </is>
      </c>
      <c r="D89" s="16" t="n">
        <v>36.55</v>
      </c>
      <c r="E89" s="4" t="inlineStr">
        <is>
          <t>Gas</t>
        </is>
      </c>
      <c r="F89" s="4" t="inlineStr">
        <is>
          <t>No</t>
        </is>
      </c>
      <c r="G89" s="2" t="n"/>
    </row>
    <row r="90">
      <c r="B90" s="15" t="n">
        <v>45728</v>
      </c>
      <c r="C90" s="4" t="inlineStr">
        <is>
          <t>Shell</t>
        </is>
      </c>
      <c r="D90" s="16" t="n">
        <v>24.99</v>
      </c>
      <c r="E90" s="4" t="inlineStr">
        <is>
          <t>Gas</t>
        </is>
      </c>
      <c r="F90" s="4" t="inlineStr">
        <is>
          <t>No</t>
        </is>
      </c>
      <c r="G90" s="2" t="n"/>
    </row>
    <row r="91">
      <c r="B91" s="15" t="n">
        <v>45720</v>
      </c>
      <c r="C91" s="4" t="inlineStr">
        <is>
          <t>Shell</t>
        </is>
      </c>
      <c r="D91" s="16" t="n">
        <v>24.72</v>
      </c>
      <c r="E91" s="4" t="inlineStr">
        <is>
          <t>Gas</t>
        </is>
      </c>
      <c r="F91" s="4" t="inlineStr">
        <is>
          <t>No</t>
        </is>
      </c>
      <c r="G91" s="2" t="n"/>
    </row>
    <row r="92">
      <c r="B92" s="15" t="n">
        <v>45735</v>
      </c>
      <c r="C92" s="4" t="inlineStr">
        <is>
          <t>BP</t>
        </is>
      </c>
      <c r="D92" s="16" t="n">
        <v>26.36</v>
      </c>
      <c r="E92" s="4" t="inlineStr">
        <is>
          <t>Gas</t>
        </is>
      </c>
      <c r="F92" s="4" t="inlineStr">
        <is>
          <t>No</t>
        </is>
      </c>
      <c r="G92" s="2" t="n"/>
    </row>
    <row r="93">
      <c r="B93" s="15" t="n">
        <v>45737</v>
      </c>
      <c r="C93" s="4" t="inlineStr">
        <is>
          <t>Anthem</t>
        </is>
      </c>
      <c r="D93" s="16" t="n">
        <v>180</v>
      </c>
      <c r="E93" s="4" t="inlineStr">
        <is>
          <t>Health Insurance</t>
        </is>
      </c>
      <c r="F93" s="4" t="inlineStr">
        <is>
          <t>Yes</t>
        </is>
      </c>
      <c r="G93" s="2" t="n"/>
    </row>
    <row r="94">
      <c r="B94" s="15" t="n">
        <v>45733</v>
      </c>
      <c r="C94" s="4" t="inlineStr">
        <is>
          <t>Verizon</t>
        </is>
      </c>
      <c r="D94" s="16" t="n">
        <v>70</v>
      </c>
      <c r="E94" s="4" t="inlineStr">
        <is>
          <t>Phone</t>
        </is>
      </c>
      <c r="F94" s="4" t="inlineStr">
        <is>
          <t>Yes</t>
        </is>
      </c>
      <c r="G94" s="2" t="n"/>
    </row>
    <row r="95">
      <c r="B95" s="15" t="n">
        <v>45728</v>
      </c>
      <c r="C95" s="4" t="inlineStr">
        <is>
          <t>Student Loan Svc</t>
        </is>
      </c>
      <c r="D95" s="16" t="n">
        <v>300</v>
      </c>
      <c r="E95" s="4" t="inlineStr">
        <is>
          <t>Min Debt Payment</t>
        </is>
      </c>
      <c r="F95" s="4" t="inlineStr">
        <is>
          <t>Yes</t>
        </is>
      </c>
      <c r="G95" s="2" t="n"/>
    </row>
    <row r="96">
      <c r="B96" s="15" t="n">
        <v>45735</v>
      </c>
      <c r="C96" s="4" t="inlineStr">
        <is>
          <t>CVS</t>
        </is>
      </c>
      <c r="D96" s="16" t="n">
        <v>12.78</v>
      </c>
      <c r="E96" s="4" t="inlineStr">
        <is>
          <t>Medical/Prescriptions</t>
        </is>
      </c>
      <c r="F96" s="4" t="inlineStr">
        <is>
          <t>No</t>
        </is>
      </c>
      <c r="G96" s="2" t="n"/>
    </row>
    <row r="97">
      <c r="B97" s="15" t="n">
        <v>45745</v>
      </c>
      <c r="C97" s="4" t="inlineStr">
        <is>
          <t>CVS</t>
        </is>
      </c>
      <c r="D97" s="16" t="n">
        <v>24.99</v>
      </c>
      <c r="E97" s="4" t="inlineStr">
        <is>
          <t>Medical/Prescriptions</t>
        </is>
      </c>
      <c r="F97" s="4" t="inlineStr">
        <is>
          <t>No</t>
        </is>
      </c>
      <c r="G97" s="2" t="n"/>
    </row>
    <row r="98">
      <c r="B98" s="15" t="n">
        <v>45734</v>
      </c>
      <c r="C98" s="4" t="inlineStr">
        <is>
          <t>Lemonade</t>
        </is>
      </c>
      <c r="D98" s="16" t="n">
        <v>22</v>
      </c>
      <c r="E98" s="4" t="inlineStr">
        <is>
          <t>Renters Insurance</t>
        </is>
      </c>
      <c r="F98" s="4" t="inlineStr">
        <is>
          <t>Yes</t>
        </is>
      </c>
      <c r="G98" s="2" t="n"/>
    </row>
    <row r="99">
      <c r="B99" s="15" t="n">
        <v>45718</v>
      </c>
      <c r="C99" s="4" t="inlineStr">
        <is>
          <t>Xfinity</t>
        </is>
      </c>
      <c r="D99" s="16" t="n">
        <v>60</v>
      </c>
      <c r="E99" s="4" t="inlineStr">
        <is>
          <t>Internet</t>
        </is>
      </c>
      <c r="F99" s="4" t="inlineStr">
        <is>
          <t>Yes</t>
        </is>
      </c>
      <c r="G99" s="2" t="n"/>
    </row>
    <row r="100">
      <c r="B100" s="15" t="n">
        <v>45741</v>
      </c>
      <c r="C100" s="4" t="inlineStr">
        <is>
          <t>Panera</t>
        </is>
      </c>
      <c r="D100" s="16" t="n">
        <v>63.32</v>
      </c>
      <c r="E100" s="4" t="inlineStr">
        <is>
          <t>Dining Out</t>
        </is>
      </c>
      <c r="F100" s="4" t="inlineStr">
        <is>
          <t>No</t>
        </is>
      </c>
      <c r="G100" s="2" t="n"/>
    </row>
    <row r="101">
      <c r="B101" s="15" t="n">
        <v>45727</v>
      </c>
      <c r="C101" s="4" t="inlineStr">
        <is>
          <t>Thai Kitchen</t>
        </is>
      </c>
      <c r="D101" s="16" t="n">
        <v>57.34</v>
      </c>
      <c r="E101" s="4" t="inlineStr">
        <is>
          <t>Dining Out</t>
        </is>
      </c>
      <c r="F101" s="4" t="inlineStr">
        <is>
          <t>No</t>
        </is>
      </c>
      <c r="G101" s="2" t="n"/>
    </row>
    <row r="102">
      <c r="B102" s="15" t="n">
        <v>45730</v>
      </c>
      <c r="C102" s="4" t="inlineStr">
        <is>
          <t>Chipotle</t>
        </is>
      </c>
      <c r="D102" s="16" t="n">
        <v>68.73999999999999</v>
      </c>
      <c r="E102" s="4" t="inlineStr">
        <is>
          <t>Dining Out</t>
        </is>
      </c>
      <c r="F102" s="4" t="inlineStr">
        <is>
          <t>No</t>
        </is>
      </c>
      <c r="G102" s="2" t="n"/>
    </row>
    <row r="103">
      <c r="B103" s="15" t="n">
        <v>45743</v>
      </c>
      <c r="C103" s="4" t="inlineStr">
        <is>
          <t>Local Roast</t>
        </is>
      </c>
      <c r="D103" s="16" t="n">
        <v>25.77</v>
      </c>
      <c r="E103" s="4" t="inlineStr">
        <is>
          <t>Coffee Shops</t>
        </is>
      </c>
      <c r="F103" s="4" t="inlineStr">
        <is>
          <t>No</t>
        </is>
      </c>
      <c r="G103" s="2" t="n"/>
    </row>
    <row r="104">
      <c r="B104" s="15" t="n">
        <v>45729</v>
      </c>
      <c r="C104" s="4" t="inlineStr">
        <is>
          <t>Local Roast</t>
        </is>
      </c>
      <c r="D104" s="16" t="n">
        <v>24.93</v>
      </c>
      <c r="E104" s="4" t="inlineStr">
        <is>
          <t>Coffee Shops</t>
        </is>
      </c>
      <c r="F104" s="4" t="inlineStr">
        <is>
          <t>No</t>
        </is>
      </c>
      <c r="G104" s="2" t="n"/>
    </row>
    <row r="105">
      <c r="B105" s="15" t="n">
        <v>45746</v>
      </c>
      <c r="C105" s="4" t="inlineStr">
        <is>
          <t>Steam</t>
        </is>
      </c>
      <c r="D105" s="16" t="n">
        <v>47.3</v>
      </c>
      <c r="E105" s="4" t="inlineStr">
        <is>
          <t>Entertainment</t>
        </is>
      </c>
      <c r="F105" s="4" t="inlineStr">
        <is>
          <t>No</t>
        </is>
      </c>
      <c r="G105" s="2" t="n"/>
    </row>
    <row r="106">
      <c r="B106" s="15" t="n">
        <v>45728</v>
      </c>
      <c r="C106" s="4" t="inlineStr">
        <is>
          <t>AMC</t>
        </is>
      </c>
      <c r="D106" s="16" t="n">
        <v>26.63</v>
      </c>
      <c r="E106" s="4" t="inlineStr">
        <is>
          <t>Entertainment</t>
        </is>
      </c>
      <c r="F106" s="4" t="inlineStr">
        <is>
          <t>No</t>
        </is>
      </c>
      <c r="G106" s="2" t="n"/>
    </row>
    <row r="107">
      <c r="B107" s="15" t="n">
        <v>45733</v>
      </c>
      <c r="C107" s="4" t="inlineStr">
        <is>
          <t>TJ Maxx</t>
        </is>
      </c>
      <c r="D107" s="16" t="n">
        <v>36.83</v>
      </c>
      <c r="E107" s="4" t="inlineStr">
        <is>
          <t>Clothing</t>
        </is>
      </c>
      <c r="F107" s="4" t="inlineStr">
        <is>
          <t>No</t>
        </is>
      </c>
      <c r="G107" s="2" t="n"/>
    </row>
    <row r="108">
      <c r="B108" s="15" t="n">
        <v>45740</v>
      </c>
      <c r="C108" s="4" t="inlineStr">
        <is>
          <t>Old Navy</t>
        </is>
      </c>
      <c r="D108" s="16" t="n">
        <v>28.29</v>
      </c>
      <c r="E108" s="4" t="inlineStr">
        <is>
          <t>Clothing</t>
        </is>
      </c>
      <c r="F108" s="4" t="inlineStr">
        <is>
          <t>No</t>
        </is>
      </c>
      <c r="G108" s="2" t="n"/>
    </row>
    <row r="109">
      <c r="B109" s="15" t="n">
        <v>45725</v>
      </c>
      <c r="C109" s="4" t="inlineStr">
        <is>
          <t>Netflix</t>
        </is>
      </c>
      <c r="D109" s="16" t="n">
        <v>52.26</v>
      </c>
      <c r="E109" s="4" t="inlineStr">
        <is>
          <t>Subscriptions</t>
        </is>
      </c>
      <c r="F109" s="4" t="inlineStr">
        <is>
          <t>No</t>
        </is>
      </c>
      <c r="G109" s="2" t="n"/>
    </row>
    <row r="110">
      <c r="B110" s="15" t="n">
        <v>45725</v>
      </c>
      <c r="C110" s="4" t="inlineStr">
        <is>
          <t>Planet Fitness</t>
        </is>
      </c>
      <c r="D110" s="16" t="n">
        <v>40</v>
      </c>
      <c r="E110" s="4" t="inlineStr">
        <is>
          <t>Gym</t>
        </is>
      </c>
      <c r="F110" s="4" t="inlineStr">
        <is>
          <t>Yes</t>
        </is>
      </c>
      <c r="G110" s="2" t="n"/>
    </row>
    <row r="111">
      <c r="B111" s="15" t="n">
        <v>45745</v>
      </c>
      <c r="C111" s="4" t="inlineStr">
        <is>
          <t>Great Clips</t>
        </is>
      </c>
      <c r="D111" s="16" t="n">
        <v>12.59</v>
      </c>
      <c r="E111" s="4" t="inlineStr">
        <is>
          <t>Personal Care</t>
        </is>
      </c>
      <c r="F111" s="4" t="inlineStr">
        <is>
          <t>No</t>
        </is>
      </c>
      <c r="G111" s="2" t="n"/>
    </row>
    <row r="112">
      <c r="B112" s="15" t="n">
        <v>45744</v>
      </c>
      <c r="C112" s="4" t="inlineStr">
        <is>
          <t>Great Clips</t>
        </is>
      </c>
      <c r="D112" s="16" t="n">
        <v>19.15</v>
      </c>
      <c r="E112" s="4" t="inlineStr">
        <is>
          <t>Personal Care</t>
        </is>
      </c>
      <c r="F112" s="4" t="inlineStr">
        <is>
          <t>No</t>
        </is>
      </c>
      <c r="G112" s="2" t="n"/>
    </row>
    <row r="113">
      <c r="B113" s="15" t="n">
        <v>45719</v>
      </c>
      <c r="C113" s="4" t="inlineStr">
        <is>
          <t>Amazon</t>
        </is>
      </c>
      <c r="D113" s="16" t="n">
        <v>25.37</v>
      </c>
      <c r="E113" s="4" t="inlineStr">
        <is>
          <t>Gifts</t>
        </is>
      </c>
      <c r="F113" s="4" t="inlineStr">
        <is>
          <t>No</t>
        </is>
      </c>
      <c r="G113" s="2" t="n"/>
    </row>
    <row r="114">
      <c r="B114" s="15" t="n">
        <v>45730</v>
      </c>
      <c r="C114" s="4" t="inlineStr">
        <is>
          <t>Amazon</t>
        </is>
      </c>
      <c r="D114" s="16" t="n">
        <v>25.19</v>
      </c>
      <c r="E114" s="4" t="inlineStr">
        <is>
          <t>Gifts</t>
        </is>
      </c>
      <c r="F114" s="4" t="inlineStr">
        <is>
          <t>No</t>
        </is>
      </c>
      <c r="G114" s="2" t="n"/>
    </row>
    <row r="115">
      <c r="B115" s="15" t="n">
        <v>45746</v>
      </c>
      <c r="C115" s="4" t="inlineStr">
        <is>
          <t>Amazon</t>
        </is>
      </c>
      <c r="D115" s="16" t="n">
        <v>17.05</v>
      </c>
      <c r="E115" s="4" t="inlineStr">
        <is>
          <t>Hobbies</t>
        </is>
      </c>
      <c r="F115" s="4" t="inlineStr">
        <is>
          <t>No</t>
        </is>
      </c>
      <c r="G115" s="2" t="n"/>
    </row>
    <row r="116">
      <c r="B116" s="15" t="n">
        <v>45733</v>
      </c>
      <c r="C116" s="4" t="inlineStr">
        <is>
          <t>Amazon</t>
        </is>
      </c>
      <c r="D116" s="16" t="n">
        <v>11.53</v>
      </c>
      <c r="E116" s="4" t="inlineStr">
        <is>
          <t>Hobbies</t>
        </is>
      </c>
      <c r="F116" s="4" t="inlineStr">
        <is>
          <t>No</t>
        </is>
      </c>
      <c r="G116" s="2" t="n"/>
    </row>
    <row r="117">
      <c r="B117" s="15" t="n">
        <v>45718</v>
      </c>
      <c r="C117" s="4" t="inlineStr">
        <is>
          <t>Local Bar</t>
        </is>
      </c>
      <c r="D117" s="16" t="n">
        <v>18.43</v>
      </c>
      <c r="E117" s="4" t="inlineStr">
        <is>
          <t>Alcohol/Bars</t>
        </is>
      </c>
      <c r="F117" s="4" t="inlineStr">
        <is>
          <t>No</t>
        </is>
      </c>
      <c r="G117" s="2" t="n"/>
    </row>
    <row r="118">
      <c r="B118" s="15" t="n">
        <v>45723</v>
      </c>
      <c r="C118" s="4" t="inlineStr">
        <is>
          <t>Local Bar</t>
        </is>
      </c>
      <c r="D118" s="16" t="n">
        <v>23.57</v>
      </c>
      <c r="E118" s="4" t="inlineStr">
        <is>
          <t>Alcohol/Bars</t>
        </is>
      </c>
      <c r="F118" s="4" t="inlineStr">
        <is>
          <t>No</t>
        </is>
      </c>
      <c r="G118" s="2" t="n"/>
    </row>
    <row r="119">
      <c r="B119" s="15" t="n">
        <v>45731</v>
      </c>
      <c r="C119" s="4" t="inlineStr">
        <is>
          <t>Transfer to Savings</t>
        </is>
      </c>
      <c r="D119" s="16" t="n">
        <v>200</v>
      </c>
      <c r="E119" s="4" t="inlineStr">
        <is>
          <t>Emergency Fund</t>
        </is>
      </c>
      <c r="F119" s="4" t="inlineStr">
        <is>
          <t>Yes</t>
        </is>
      </c>
      <c r="G119" s="2" t="n"/>
    </row>
    <row r="120">
      <c r="B120" s="15" t="n">
        <v>45734</v>
      </c>
      <c r="C120" s="4" t="inlineStr">
        <is>
          <t>Vanguard</t>
        </is>
      </c>
      <c r="D120" s="16" t="n">
        <v>200</v>
      </c>
      <c r="E120" s="4" t="inlineStr">
        <is>
          <t>Retirement Extra</t>
        </is>
      </c>
      <c r="F120" s="4" t="inlineStr">
        <is>
          <t>Yes</t>
        </is>
      </c>
      <c r="G120" s="2" t="n"/>
    </row>
    <row r="121">
      <c r="B121" s="15" t="n">
        <v>45737</v>
      </c>
      <c r="C121" s="4" t="inlineStr">
        <is>
          <t>Transfer to Vacation</t>
        </is>
      </c>
      <c r="D121" s="16" t="n">
        <v>100</v>
      </c>
      <c r="E121" s="4" t="inlineStr">
        <is>
          <t>Vacation Fund</t>
        </is>
      </c>
      <c r="F121" s="4" t="inlineStr">
        <is>
          <t>Yes</t>
        </is>
      </c>
      <c r="G121" s="2" t="n"/>
    </row>
    <row r="122">
      <c r="B122" s="15" t="n">
        <v>45745</v>
      </c>
      <c r="C122" s="4" t="inlineStr">
        <is>
          <t>Transfer to Sinking</t>
        </is>
      </c>
      <c r="D122" s="16" t="n">
        <v>75</v>
      </c>
      <c r="E122" s="4" t="inlineStr">
        <is>
          <t>Sinking Funds</t>
        </is>
      </c>
      <c r="F122" s="4" t="inlineStr">
        <is>
          <t>Yes</t>
        </is>
      </c>
      <c r="G122" s="2" t="n"/>
    </row>
    <row r="123">
      <c r="B123" s="15" t="n">
        <v>45742</v>
      </c>
      <c r="C123" s="4" t="inlineStr">
        <is>
          <t>Fidelity Transfer</t>
        </is>
      </c>
      <c r="D123" s="16" t="n">
        <v>150</v>
      </c>
      <c r="E123" s="4" t="inlineStr">
        <is>
          <t>Investments</t>
        </is>
      </c>
      <c r="F123" s="4" t="inlineStr">
        <is>
          <t>Yes</t>
        </is>
      </c>
      <c r="G123" s="2" t="n"/>
    </row>
    <row r="124">
      <c r="B124" s="15" t="n">
        <v>45759</v>
      </c>
      <c r="C124" s="4" t="inlineStr">
        <is>
          <t>Landlord LLC</t>
        </is>
      </c>
      <c r="D124" s="16" t="n">
        <v>1450</v>
      </c>
      <c r="E124" s="4" t="inlineStr">
        <is>
          <t>Rent/Mortgage</t>
        </is>
      </c>
      <c r="F124" s="4" t="inlineStr">
        <is>
          <t>Yes</t>
        </is>
      </c>
      <c r="G124" s="2" t="n"/>
    </row>
    <row r="125">
      <c r="B125" s="15" t="n">
        <v>45770</v>
      </c>
      <c r="C125" s="4" t="inlineStr">
        <is>
          <t>Power Co</t>
        </is>
      </c>
      <c r="D125" s="16" t="n">
        <v>140.81</v>
      </c>
      <c r="E125" s="4" t="inlineStr">
        <is>
          <t>Utilities</t>
        </is>
      </c>
      <c r="F125" s="4" t="inlineStr">
        <is>
          <t>No</t>
        </is>
      </c>
      <c r="G125" s="2" t="n"/>
    </row>
    <row r="126">
      <c r="B126" s="15" t="n">
        <v>45752</v>
      </c>
      <c r="C126" s="4" t="inlineStr">
        <is>
          <t>Kroger</t>
        </is>
      </c>
      <c r="D126" s="16" t="n">
        <v>169.32</v>
      </c>
      <c r="E126" s="4" t="inlineStr">
        <is>
          <t>Groceries</t>
        </is>
      </c>
      <c r="F126" s="4" t="inlineStr">
        <is>
          <t>No</t>
        </is>
      </c>
      <c r="G126" s="2" t="n"/>
    </row>
    <row r="127">
      <c r="B127" s="15" t="n">
        <v>45752</v>
      </c>
      <c r="C127" s="4" t="inlineStr">
        <is>
          <t>Costco</t>
        </is>
      </c>
      <c r="D127" s="16" t="n">
        <v>106.03</v>
      </c>
      <c r="E127" s="4" t="inlineStr">
        <is>
          <t>Groceries</t>
        </is>
      </c>
      <c r="F127" s="4" t="inlineStr">
        <is>
          <t>No</t>
        </is>
      </c>
      <c r="G127" s="2" t="n"/>
    </row>
    <row r="128">
      <c r="B128" s="15" t="n">
        <v>45772</v>
      </c>
      <c r="C128" s="4" t="inlineStr">
        <is>
          <t>Trader Joes</t>
        </is>
      </c>
      <c r="D128" s="16" t="n">
        <v>185.96</v>
      </c>
      <c r="E128" s="4" t="inlineStr">
        <is>
          <t>Groceries</t>
        </is>
      </c>
      <c r="F128" s="4" t="inlineStr">
        <is>
          <t>No</t>
        </is>
      </c>
      <c r="G128" s="2" t="n"/>
    </row>
    <row r="129">
      <c r="B129" s="15" t="n">
        <v>45763</v>
      </c>
      <c r="C129" s="4" t="inlineStr">
        <is>
          <t>State Farm</t>
        </is>
      </c>
      <c r="D129" s="16" t="n">
        <v>105</v>
      </c>
      <c r="E129" s="4" t="inlineStr">
        <is>
          <t>Auto Insurance</t>
        </is>
      </c>
      <c r="F129" s="4" t="inlineStr">
        <is>
          <t>Yes</t>
        </is>
      </c>
      <c r="G129" s="2" t="n"/>
    </row>
    <row r="130">
      <c r="B130" s="15" t="n">
        <v>45772</v>
      </c>
      <c r="C130" s="4" t="inlineStr">
        <is>
          <t>Costco Gas</t>
        </is>
      </c>
      <c r="D130" s="16" t="n">
        <v>30.99</v>
      </c>
      <c r="E130" s="4" t="inlineStr">
        <is>
          <t>Gas</t>
        </is>
      </c>
      <c r="F130" s="4" t="inlineStr">
        <is>
          <t>No</t>
        </is>
      </c>
      <c r="G130" s="2" t="n"/>
    </row>
    <row r="131">
      <c r="B131" s="15" t="n">
        <v>45758</v>
      </c>
      <c r="C131" s="4" t="inlineStr">
        <is>
          <t>BP</t>
        </is>
      </c>
      <c r="D131" s="16" t="n">
        <v>43.64</v>
      </c>
      <c r="E131" s="4" t="inlineStr">
        <is>
          <t>Gas</t>
        </is>
      </c>
      <c r="F131" s="4" t="inlineStr">
        <is>
          <t>No</t>
        </is>
      </c>
      <c r="G131" s="2" t="n"/>
    </row>
    <row r="132">
      <c r="B132" s="15" t="n">
        <v>45762</v>
      </c>
      <c r="C132" s="4" t="inlineStr">
        <is>
          <t>Costco Gas</t>
        </is>
      </c>
      <c r="D132" s="16" t="n">
        <v>49.9</v>
      </c>
      <c r="E132" s="4" t="inlineStr">
        <is>
          <t>Gas</t>
        </is>
      </c>
      <c r="F132" s="4" t="inlineStr">
        <is>
          <t>No</t>
        </is>
      </c>
      <c r="G132" s="2" t="n"/>
    </row>
    <row r="133">
      <c r="B133" s="15" t="n">
        <v>45755</v>
      </c>
      <c r="C133" s="4" t="inlineStr">
        <is>
          <t>Anthem</t>
        </is>
      </c>
      <c r="D133" s="16" t="n">
        <v>180</v>
      </c>
      <c r="E133" s="4" t="inlineStr">
        <is>
          <t>Health Insurance</t>
        </is>
      </c>
      <c r="F133" s="4" t="inlineStr">
        <is>
          <t>Yes</t>
        </is>
      </c>
      <c r="G133" s="2" t="n"/>
    </row>
    <row r="134">
      <c r="B134" s="15" t="n">
        <v>45761</v>
      </c>
      <c r="C134" s="4" t="inlineStr">
        <is>
          <t>Verizon</t>
        </is>
      </c>
      <c r="D134" s="16" t="n">
        <v>70</v>
      </c>
      <c r="E134" s="4" t="inlineStr">
        <is>
          <t>Phone</t>
        </is>
      </c>
      <c r="F134" s="4" t="inlineStr">
        <is>
          <t>Yes</t>
        </is>
      </c>
      <c r="G134" s="2" t="n"/>
    </row>
    <row r="135">
      <c r="B135" s="15" t="n">
        <v>45766</v>
      </c>
      <c r="C135" s="4" t="inlineStr">
        <is>
          <t>Chase Visa</t>
        </is>
      </c>
      <c r="D135" s="16" t="n">
        <v>300</v>
      </c>
      <c r="E135" s="4" t="inlineStr">
        <is>
          <t>Min Debt Payment</t>
        </is>
      </c>
      <c r="F135" s="4" t="inlineStr">
        <is>
          <t>Yes</t>
        </is>
      </c>
      <c r="G135" s="2" t="n"/>
    </row>
    <row r="136">
      <c r="B136" s="15" t="n">
        <v>45771</v>
      </c>
      <c r="C136" s="4" t="inlineStr">
        <is>
          <t>Dr. Patel</t>
        </is>
      </c>
      <c r="D136" s="16" t="n">
        <v>57.58</v>
      </c>
      <c r="E136" s="4" t="inlineStr">
        <is>
          <t>Medical/Prescriptions</t>
        </is>
      </c>
      <c r="F136" s="4" t="inlineStr">
        <is>
          <t>No</t>
        </is>
      </c>
      <c r="G136" s="2" t="n"/>
    </row>
    <row r="137">
      <c r="B137" s="15" t="n">
        <v>45756</v>
      </c>
      <c r="C137" s="4" t="inlineStr">
        <is>
          <t>Lemonade</t>
        </is>
      </c>
      <c r="D137" s="16" t="n">
        <v>22</v>
      </c>
      <c r="E137" s="4" t="inlineStr">
        <is>
          <t>Renters Insurance</t>
        </is>
      </c>
      <c r="F137" s="4" t="inlineStr">
        <is>
          <t>Yes</t>
        </is>
      </c>
      <c r="G137" s="2" t="n"/>
    </row>
    <row r="138">
      <c r="B138" s="15" t="n">
        <v>45777</v>
      </c>
      <c r="C138" s="4" t="inlineStr">
        <is>
          <t>Xfinity</t>
        </is>
      </c>
      <c r="D138" s="16" t="n">
        <v>60</v>
      </c>
      <c r="E138" s="4" t="inlineStr">
        <is>
          <t>Internet</t>
        </is>
      </c>
      <c r="F138" s="4" t="inlineStr">
        <is>
          <t>Yes</t>
        </is>
      </c>
      <c r="G138" s="2" t="n"/>
    </row>
    <row r="139">
      <c r="B139" s="15" t="n">
        <v>45748</v>
      </c>
      <c r="C139" s="4" t="inlineStr">
        <is>
          <t>Panera</t>
        </is>
      </c>
      <c r="D139" s="16" t="n">
        <v>78.61</v>
      </c>
      <c r="E139" s="4" t="inlineStr">
        <is>
          <t>Dining Out</t>
        </is>
      </c>
      <c r="F139" s="4" t="inlineStr">
        <is>
          <t>No</t>
        </is>
      </c>
      <c r="G139" s="2" t="n"/>
    </row>
    <row r="140">
      <c r="B140" s="15" t="n">
        <v>45769</v>
      </c>
      <c r="C140" s="4" t="inlineStr">
        <is>
          <t>Olive Garden</t>
        </is>
      </c>
      <c r="D140" s="16" t="n">
        <v>79.59</v>
      </c>
      <c r="E140" s="4" t="inlineStr">
        <is>
          <t>Dining Out</t>
        </is>
      </c>
      <c r="F140" s="4" t="inlineStr">
        <is>
          <t>No</t>
        </is>
      </c>
      <c r="G140" s="2" t="n"/>
    </row>
    <row r="141">
      <c r="B141" s="15" t="n">
        <v>45776</v>
      </c>
      <c r="C141" s="4" t="inlineStr">
        <is>
          <t>Local Roast</t>
        </is>
      </c>
      <c r="D141" s="16" t="n">
        <v>7.2</v>
      </c>
      <c r="E141" s="4" t="inlineStr">
        <is>
          <t>Coffee Shops</t>
        </is>
      </c>
      <c r="F141" s="4" t="inlineStr">
        <is>
          <t>No</t>
        </is>
      </c>
      <c r="G141" s="2" t="n"/>
    </row>
    <row r="142">
      <c r="B142" s="15" t="n">
        <v>45775</v>
      </c>
      <c r="C142" s="4" t="inlineStr">
        <is>
          <t>Local Roast</t>
        </is>
      </c>
      <c r="D142" s="16" t="n">
        <v>8.43</v>
      </c>
      <c r="E142" s="4" t="inlineStr">
        <is>
          <t>Coffee Shops</t>
        </is>
      </c>
      <c r="F142" s="4" t="inlineStr">
        <is>
          <t>No</t>
        </is>
      </c>
      <c r="G142" s="2" t="n"/>
    </row>
    <row r="143">
      <c r="B143" s="15" t="n">
        <v>45772</v>
      </c>
      <c r="C143" s="4" t="inlineStr">
        <is>
          <t>Starbucks</t>
        </is>
      </c>
      <c r="D143" s="16" t="n">
        <v>11.64</v>
      </c>
      <c r="E143" s="4" t="inlineStr">
        <is>
          <t>Coffee Shops</t>
        </is>
      </c>
      <c r="F143" s="4" t="inlineStr">
        <is>
          <t>No</t>
        </is>
      </c>
      <c r="G143" s="2" t="n"/>
    </row>
    <row r="144">
      <c r="B144" s="15" t="n">
        <v>45777</v>
      </c>
      <c r="C144" s="4" t="inlineStr">
        <is>
          <t>Starbucks</t>
        </is>
      </c>
      <c r="D144" s="16" t="n">
        <v>13.3</v>
      </c>
      <c r="E144" s="4" t="inlineStr">
        <is>
          <t>Coffee Shops</t>
        </is>
      </c>
      <c r="F144" s="4" t="inlineStr">
        <is>
          <t>No</t>
        </is>
      </c>
      <c r="G144" s="2" t="n"/>
    </row>
    <row r="145">
      <c r="B145" s="15" t="n">
        <v>45762</v>
      </c>
      <c r="C145" s="4" t="inlineStr">
        <is>
          <t>AMC</t>
        </is>
      </c>
      <c r="D145" s="16" t="n">
        <v>27.71</v>
      </c>
      <c r="E145" s="4" t="inlineStr">
        <is>
          <t>Entertainment</t>
        </is>
      </c>
      <c r="F145" s="4" t="inlineStr">
        <is>
          <t>No</t>
        </is>
      </c>
      <c r="G145" s="2" t="n"/>
    </row>
    <row r="146">
      <c r="B146" s="15" t="n">
        <v>45769</v>
      </c>
      <c r="C146" s="4" t="inlineStr">
        <is>
          <t>Steam</t>
        </is>
      </c>
      <c r="D146" s="16" t="n">
        <v>43.16</v>
      </c>
      <c r="E146" s="4" t="inlineStr">
        <is>
          <t>Entertainment</t>
        </is>
      </c>
      <c r="F146" s="4" t="inlineStr">
        <is>
          <t>No</t>
        </is>
      </c>
      <c r="G146" s="2" t="n"/>
    </row>
    <row r="147">
      <c r="B147" s="15" t="n">
        <v>45776</v>
      </c>
      <c r="C147" s="4" t="inlineStr">
        <is>
          <t>TJ Maxx</t>
        </is>
      </c>
      <c r="D147" s="16" t="n">
        <v>48.04</v>
      </c>
      <c r="E147" s="4" t="inlineStr">
        <is>
          <t>Clothing</t>
        </is>
      </c>
      <c r="F147" s="4" t="inlineStr">
        <is>
          <t>No</t>
        </is>
      </c>
      <c r="G147" s="2" t="n"/>
    </row>
    <row r="148">
      <c r="B148" s="15" t="n">
        <v>45763</v>
      </c>
      <c r="C148" s="4" t="inlineStr">
        <is>
          <t>Spotify</t>
        </is>
      </c>
      <c r="D148" s="16" t="n">
        <v>55.62</v>
      </c>
      <c r="E148" s="4" t="inlineStr">
        <is>
          <t>Subscriptions</t>
        </is>
      </c>
      <c r="F148" s="4" t="inlineStr">
        <is>
          <t>No</t>
        </is>
      </c>
      <c r="G148" s="2" t="n"/>
    </row>
    <row r="149">
      <c r="B149" s="15" t="n">
        <v>45755</v>
      </c>
      <c r="C149" s="4" t="inlineStr">
        <is>
          <t>Planet Fitness</t>
        </is>
      </c>
      <c r="D149" s="16" t="n">
        <v>40</v>
      </c>
      <c r="E149" s="4" t="inlineStr">
        <is>
          <t>Gym</t>
        </is>
      </c>
      <c r="F149" s="4" t="inlineStr">
        <is>
          <t>Yes</t>
        </is>
      </c>
      <c r="G149" s="2" t="n"/>
    </row>
    <row r="150">
      <c r="B150" s="15" t="n">
        <v>45760</v>
      </c>
      <c r="C150" s="4" t="inlineStr">
        <is>
          <t>Target Beauty</t>
        </is>
      </c>
      <c r="D150" s="16" t="n">
        <v>15.54</v>
      </c>
      <c r="E150" s="4" t="inlineStr">
        <is>
          <t>Personal Care</t>
        </is>
      </c>
      <c r="F150" s="4" t="inlineStr">
        <is>
          <t>No</t>
        </is>
      </c>
      <c r="G150" s="2" t="n"/>
    </row>
    <row r="151">
      <c r="B151" s="15" t="n">
        <v>45764</v>
      </c>
      <c r="C151" s="4" t="inlineStr">
        <is>
          <t>Target Beauty</t>
        </is>
      </c>
      <c r="D151" s="16" t="n">
        <v>20.61</v>
      </c>
      <c r="E151" s="4" t="inlineStr">
        <is>
          <t>Personal Care</t>
        </is>
      </c>
      <c r="F151" s="4" t="inlineStr">
        <is>
          <t>No</t>
        </is>
      </c>
      <c r="G151" s="2" t="n"/>
    </row>
    <row r="152">
      <c r="B152" s="15" t="n">
        <v>45756</v>
      </c>
      <c r="C152" s="4" t="inlineStr">
        <is>
          <t>Amazon</t>
        </is>
      </c>
      <c r="D152" s="16" t="n">
        <v>14.13</v>
      </c>
      <c r="E152" s="4" t="inlineStr">
        <is>
          <t>Gifts</t>
        </is>
      </c>
      <c r="F152" s="4" t="inlineStr">
        <is>
          <t>No</t>
        </is>
      </c>
      <c r="G152" s="2" t="n"/>
    </row>
    <row r="153">
      <c r="B153" s="15" t="n">
        <v>45762</v>
      </c>
      <c r="C153" s="4" t="inlineStr">
        <is>
          <t>Etsy</t>
        </is>
      </c>
      <c r="D153" s="16" t="n">
        <v>23.59</v>
      </c>
      <c r="E153" s="4" t="inlineStr">
        <is>
          <t>Gifts</t>
        </is>
      </c>
      <c r="F153" s="4" t="inlineStr">
        <is>
          <t>No</t>
        </is>
      </c>
      <c r="G153" s="2" t="n"/>
    </row>
    <row r="154">
      <c r="B154" s="15" t="n">
        <v>45755</v>
      </c>
      <c r="C154" s="4" t="inlineStr">
        <is>
          <t>Guitar Center</t>
        </is>
      </c>
      <c r="D154" s="16" t="n">
        <v>41.96</v>
      </c>
      <c r="E154" s="4" t="inlineStr">
        <is>
          <t>Hobbies</t>
        </is>
      </c>
      <c r="F154" s="4" t="inlineStr">
        <is>
          <t>No</t>
        </is>
      </c>
      <c r="G154" s="2" t="n"/>
    </row>
    <row r="155">
      <c r="B155" s="15" t="n">
        <v>45771</v>
      </c>
      <c r="C155" s="4" t="inlineStr">
        <is>
          <t>Local Bar</t>
        </is>
      </c>
      <c r="D155" s="16" t="n">
        <v>19.55</v>
      </c>
      <c r="E155" s="4" t="inlineStr">
        <is>
          <t>Alcohol/Bars</t>
        </is>
      </c>
      <c r="F155" s="4" t="inlineStr">
        <is>
          <t>No</t>
        </is>
      </c>
      <c r="G155" s="2" t="n"/>
    </row>
    <row r="156">
      <c r="B156" s="15" t="n">
        <v>45761</v>
      </c>
      <c r="C156" s="4" t="inlineStr">
        <is>
          <t>Local Bar</t>
        </is>
      </c>
      <c r="D156" s="16" t="n">
        <v>28.62</v>
      </c>
      <c r="E156" s="4" t="inlineStr">
        <is>
          <t>Alcohol/Bars</t>
        </is>
      </c>
      <c r="F156" s="4" t="inlineStr">
        <is>
          <t>No</t>
        </is>
      </c>
      <c r="G156" s="2" t="n"/>
    </row>
    <row r="157">
      <c r="B157" s="15" t="n">
        <v>45776</v>
      </c>
      <c r="C157" s="4" t="inlineStr">
        <is>
          <t>Transfer to Savings</t>
        </is>
      </c>
      <c r="D157" s="16" t="n">
        <v>200</v>
      </c>
      <c r="E157" s="4" t="inlineStr">
        <is>
          <t>Emergency Fund</t>
        </is>
      </c>
      <c r="F157" s="4" t="inlineStr">
        <is>
          <t>Yes</t>
        </is>
      </c>
      <c r="G157" s="2" t="n"/>
    </row>
    <row r="158">
      <c r="B158" s="15" t="n">
        <v>45777</v>
      </c>
      <c r="C158" s="4" t="inlineStr">
        <is>
          <t>Vanguard</t>
        </is>
      </c>
      <c r="D158" s="16" t="n">
        <v>200</v>
      </c>
      <c r="E158" s="4" t="inlineStr">
        <is>
          <t>Retirement Extra</t>
        </is>
      </c>
      <c r="F158" s="4" t="inlineStr">
        <is>
          <t>Yes</t>
        </is>
      </c>
      <c r="G158" s="2" t="n"/>
    </row>
    <row r="159">
      <c r="B159" s="15" t="n">
        <v>45761</v>
      </c>
      <c r="C159" s="4" t="inlineStr">
        <is>
          <t>Transfer to Vacation</t>
        </is>
      </c>
      <c r="D159" s="16" t="n">
        <v>100</v>
      </c>
      <c r="E159" s="4" t="inlineStr">
        <is>
          <t>Vacation Fund</t>
        </is>
      </c>
      <c r="F159" s="4" t="inlineStr">
        <is>
          <t>Yes</t>
        </is>
      </c>
      <c r="G159" s="2" t="n"/>
    </row>
    <row r="160">
      <c r="B160" s="15" t="n">
        <v>45760</v>
      </c>
      <c r="C160" s="4" t="inlineStr">
        <is>
          <t>Transfer to Sinking</t>
        </is>
      </c>
      <c r="D160" s="16" t="n">
        <v>75</v>
      </c>
      <c r="E160" s="4" t="inlineStr">
        <is>
          <t>Sinking Funds</t>
        </is>
      </c>
      <c r="F160" s="4" t="inlineStr">
        <is>
          <t>Yes</t>
        </is>
      </c>
      <c r="G160" s="2" t="n"/>
    </row>
    <row r="161">
      <c r="B161" s="15" t="n">
        <v>45764</v>
      </c>
      <c r="C161" s="4" t="inlineStr">
        <is>
          <t>Fidelity Transfer</t>
        </is>
      </c>
      <c r="D161" s="16" t="n">
        <v>150</v>
      </c>
      <c r="E161" s="4" t="inlineStr">
        <is>
          <t>Investments</t>
        </is>
      </c>
      <c r="F161" s="4" t="inlineStr">
        <is>
          <t>Yes</t>
        </is>
      </c>
      <c r="G161" s="2" t="n"/>
    </row>
    <row r="162">
      <c r="B162" s="15" t="n">
        <v>45806</v>
      </c>
      <c r="C162" s="4" t="inlineStr">
        <is>
          <t>Landlord LLC</t>
        </is>
      </c>
      <c r="D162" s="16" t="n">
        <v>1450</v>
      </c>
      <c r="E162" s="4" t="inlineStr">
        <is>
          <t>Rent/Mortgage</t>
        </is>
      </c>
      <c r="F162" s="4" t="inlineStr">
        <is>
          <t>Yes</t>
        </is>
      </c>
      <c r="G162" s="2" t="n"/>
    </row>
    <row r="163">
      <c r="B163" s="15" t="n">
        <v>45801</v>
      </c>
      <c r="C163" s="4" t="inlineStr">
        <is>
          <t>Water Dept</t>
        </is>
      </c>
      <c r="D163" s="16" t="n">
        <v>90.38</v>
      </c>
      <c r="E163" s="4" t="inlineStr">
        <is>
          <t>Utilities</t>
        </is>
      </c>
      <c r="F163" s="4" t="inlineStr">
        <is>
          <t>No</t>
        </is>
      </c>
      <c r="G163" s="2" t="n"/>
    </row>
    <row r="164">
      <c r="B164" s="15" t="n">
        <v>45802</v>
      </c>
      <c r="C164" s="4" t="inlineStr">
        <is>
          <t>Power Co</t>
        </is>
      </c>
      <c r="D164" s="16" t="n">
        <v>73</v>
      </c>
      <c r="E164" s="4" t="inlineStr">
        <is>
          <t>Utilities</t>
        </is>
      </c>
      <c r="F164" s="4" t="inlineStr">
        <is>
          <t>No</t>
        </is>
      </c>
      <c r="G164" s="2" t="n"/>
    </row>
    <row r="165">
      <c r="B165" s="15" t="n">
        <v>45805</v>
      </c>
      <c r="C165" s="4" t="inlineStr">
        <is>
          <t>Aldi</t>
        </is>
      </c>
      <c r="D165" s="16" t="n">
        <v>145.18</v>
      </c>
      <c r="E165" s="4" t="inlineStr">
        <is>
          <t>Groceries</t>
        </is>
      </c>
      <c r="F165" s="4" t="inlineStr">
        <is>
          <t>No</t>
        </is>
      </c>
      <c r="G165" s="2" t="n"/>
    </row>
    <row r="166">
      <c r="B166" s="15" t="n">
        <v>45782</v>
      </c>
      <c r="C166" s="4" t="inlineStr">
        <is>
          <t>Trader Joes</t>
        </is>
      </c>
      <c r="D166" s="16" t="n">
        <v>156.35</v>
      </c>
      <c r="E166" s="4" t="inlineStr">
        <is>
          <t>Groceries</t>
        </is>
      </c>
      <c r="F166" s="4" t="inlineStr">
        <is>
          <t>No</t>
        </is>
      </c>
      <c r="G166" s="2" t="n"/>
    </row>
    <row r="167">
      <c r="B167" s="15" t="n">
        <v>45802</v>
      </c>
      <c r="C167" s="4" t="inlineStr">
        <is>
          <t>Aldi</t>
        </is>
      </c>
      <c r="D167" s="16" t="n">
        <v>119.05</v>
      </c>
      <c r="E167" s="4" t="inlineStr">
        <is>
          <t>Groceries</t>
        </is>
      </c>
      <c r="F167" s="4" t="inlineStr">
        <is>
          <t>No</t>
        </is>
      </c>
      <c r="G167" s="2" t="n"/>
    </row>
    <row r="168">
      <c r="B168" s="15" t="n">
        <v>45806</v>
      </c>
      <c r="C168" s="4" t="inlineStr">
        <is>
          <t>State Farm</t>
        </is>
      </c>
      <c r="D168" s="16" t="n">
        <v>105</v>
      </c>
      <c r="E168" s="4" t="inlineStr">
        <is>
          <t>Auto Insurance</t>
        </is>
      </c>
      <c r="F168" s="4" t="inlineStr">
        <is>
          <t>Yes</t>
        </is>
      </c>
      <c r="G168" s="2" t="n"/>
    </row>
    <row r="169">
      <c r="B169" s="15" t="n">
        <v>45792</v>
      </c>
      <c r="C169" s="4" t="inlineStr">
        <is>
          <t>Costco Gas</t>
        </is>
      </c>
      <c r="D169" s="16" t="n">
        <v>36.91</v>
      </c>
      <c r="E169" s="4" t="inlineStr">
        <is>
          <t>Gas</t>
        </is>
      </c>
      <c r="F169" s="4" t="inlineStr">
        <is>
          <t>No</t>
        </is>
      </c>
      <c r="G169" s="2" t="n"/>
    </row>
    <row r="170">
      <c r="B170" s="15" t="n">
        <v>45782</v>
      </c>
      <c r="C170" s="4" t="inlineStr">
        <is>
          <t>Shell</t>
        </is>
      </c>
      <c r="D170" s="16" t="n">
        <v>28.73</v>
      </c>
      <c r="E170" s="4" t="inlineStr">
        <is>
          <t>Gas</t>
        </is>
      </c>
      <c r="F170" s="4" t="inlineStr">
        <is>
          <t>No</t>
        </is>
      </c>
      <c r="G170" s="2" t="n"/>
    </row>
    <row r="171">
      <c r="B171" s="15" t="n">
        <v>45796</v>
      </c>
      <c r="C171" s="4" t="inlineStr">
        <is>
          <t>BP</t>
        </is>
      </c>
      <c r="D171" s="16" t="n">
        <v>43.15</v>
      </c>
      <c r="E171" s="4" t="inlineStr">
        <is>
          <t>Gas</t>
        </is>
      </c>
      <c r="F171" s="4" t="inlineStr">
        <is>
          <t>No</t>
        </is>
      </c>
      <c r="G171" s="2" t="n"/>
    </row>
    <row r="172">
      <c r="B172" s="15" t="n">
        <v>45792</v>
      </c>
      <c r="C172" s="4" t="inlineStr">
        <is>
          <t>Anthem</t>
        </is>
      </c>
      <c r="D172" s="16" t="n">
        <v>180</v>
      </c>
      <c r="E172" s="4" t="inlineStr">
        <is>
          <t>Health Insurance</t>
        </is>
      </c>
      <c r="F172" s="4" t="inlineStr">
        <is>
          <t>Yes</t>
        </is>
      </c>
      <c r="G172" s="2" t="n"/>
    </row>
    <row r="173">
      <c r="B173" s="15" t="n">
        <v>45801</v>
      </c>
      <c r="C173" s="4" t="inlineStr">
        <is>
          <t>Verizon</t>
        </is>
      </c>
      <c r="D173" s="16" t="n">
        <v>70</v>
      </c>
      <c r="E173" s="4" t="inlineStr">
        <is>
          <t>Phone</t>
        </is>
      </c>
      <c r="F173" s="4" t="inlineStr">
        <is>
          <t>Yes</t>
        </is>
      </c>
      <c r="G173" s="2" t="n"/>
    </row>
    <row r="174">
      <c r="B174" s="15" t="n">
        <v>45786</v>
      </c>
      <c r="C174" s="4" t="inlineStr">
        <is>
          <t>Student Loan Svc</t>
        </is>
      </c>
      <c r="D174" s="16" t="n">
        <v>300</v>
      </c>
      <c r="E174" s="4" t="inlineStr">
        <is>
          <t>Min Debt Payment</t>
        </is>
      </c>
      <c r="F174" s="4" t="inlineStr">
        <is>
          <t>Yes</t>
        </is>
      </c>
      <c r="G174" s="2" t="n"/>
    </row>
    <row r="175">
      <c r="B175" s="15" t="n">
        <v>45788</v>
      </c>
      <c r="C175" s="4" t="inlineStr">
        <is>
          <t>CVS</t>
        </is>
      </c>
      <c r="D175" s="16" t="n">
        <v>48.52</v>
      </c>
      <c r="E175" s="4" t="inlineStr">
        <is>
          <t>Medical/Prescriptions</t>
        </is>
      </c>
      <c r="F175" s="4" t="inlineStr">
        <is>
          <t>No</t>
        </is>
      </c>
      <c r="G175" s="2" t="n"/>
    </row>
    <row r="176">
      <c r="B176" s="15" t="n">
        <v>45780</v>
      </c>
      <c r="C176" s="4" t="inlineStr">
        <is>
          <t>Lemonade</t>
        </is>
      </c>
      <c r="D176" s="16" t="n">
        <v>22</v>
      </c>
      <c r="E176" s="4" t="inlineStr">
        <is>
          <t>Renters Insurance</t>
        </is>
      </c>
      <c r="F176" s="4" t="inlineStr">
        <is>
          <t>Yes</t>
        </is>
      </c>
      <c r="G176" s="2" t="n"/>
    </row>
    <row r="177">
      <c r="B177" s="15" t="n">
        <v>45779</v>
      </c>
      <c r="C177" s="4" t="inlineStr">
        <is>
          <t>Xfinity</t>
        </is>
      </c>
      <c r="D177" s="16" t="n">
        <v>60</v>
      </c>
      <c r="E177" s="4" t="inlineStr">
        <is>
          <t>Internet</t>
        </is>
      </c>
      <c r="F177" s="4" t="inlineStr">
        <is>
          <t>Yes</t>
        </is>
      </c>
      <c r="G177" s="2" t="n"/>
    </row>
    <row r="178">
      <c r="B178" s="15" t="n">
        <v>45795</v>
      </c>
      <c r="C178" s="4" t="inlineStr">
        <is>
          <t>Chipotle</t>
        </is>
      </c>
      <c r="D178" s="16" t="n">
        <v>39.69</v>
      </c>
      <c r="E178" s="4" t="inlineStr">
        <is>
          <t>Dining Out</t>
        </is>
      </c>
      <c r="F178" s="4" t="inlineStr">
        <is>
          <t>No</t>
        </is>
      </c>
      <c r="G178" s="2" t="n"/>
    </row>
    <row r="179">
      <c r="B179" s="15" t="n">
        <v>45800</v>
      </c>
      <c r="C179" s="4" t="inlineStr">
        <is>
          <t>Panera</t>
        </is>
      </c>
      <c r="D179" s="16" t="n">
        <v>39.76</v>
      </c>
      <c r="E179" s="4" t="inlineStr">
        <is>
          <t>Dining Out</t>
        </is>
      </c>
      <c r="F179" s="4" t="inlineStr">
        <is>
          <t>No</t>
        </is>
      </c>
      <c r="G179" s="2" t="n"/>
    </row>
    <row r="180">
      <c r="B180" s="15" t="n">
        <v>45797</v>
      </c>
      <c r="C180" s="4" t="inlineStr">
        <is>
          <t>Olive Garden</t>
        </is>
      </c>
      <c r="D180" s="16" t="n">
        <v>61.49</v>
      </c>
      <c r="E180" s="4" t="inlineStr">
        <is>
          <t>Dining Out</t>
        </is>
      </c>
      <c r="F180" s="4" t="inlineStr">
        <is>
          <t>No</t>
        </is>
      </c>
      <c r="G180" s="2" t="n"/>
    </row>
    <row r="181">
      <c r="B181" s="15" t="n">
        <v>45806</v>
      </c>
      <c r="C181" s="4" t="inlineStr">
        <is>
          <t>Local Roast</t>
        </is>
      </c>
      <c r="D181" s="16" t="n">
        <v>27.09</v>
      </c>
      <c r="E181" s="4" t="inlineStr">
        <is>
          <t>Coffee Shops</t>
        </is>
      </c>
      <c r="F181" s="4" t="inlineStr">
        <is>
          <t>No</t>
        </is>
      </c>
      <c r="G181" s="2" t="n"/>
    </row>
    <row r="182">
      <c r="B182" s="15" t="n">
        <v>45803</v>
      </c>
      <c r="C182" s="4" t="inlineStr">
        <is>
          <t>Local Roast</t>
        </is>
      </c>
      <c r="D182" s="16" t="n">
        <v>23.01</v>
      </c>
      <c r="E182" s="4" t="inlineStr">
        <is>
          <t>Coffee Shops</t>
        </is>
      </c>
      <c r="F182" s="4" t="inlineStr">
        <is>
          <t>No</t>
        </is>
      </c>
      <c r="G182" s="2" t="n"/>
    </row>
    <row r="183">
      <c r="B183" s="15" t="n">
        <v>45788</v>
      </c>
      <c r="C183" s="4" t="inlineStr">
        <is>
          <t>AMC</t>
        </is>
      </c>
      <c r="D183" s="16" t="n">
        <v>46.6</v>
      </c>
      <c r="E183" s="4" t="inlineStr">
        <is>
          <t>Entertainment</t>
        </is>
      </c>
      <c r="F183" s="4" t="inlineStr">
        <is>
          <t>No</t>
        </is>
      </c>
      <c r="G183" s="2" t="n"/>
    </row>
    <row r="184">
      <c r="B184" s="15" t="n">
        <v>45794</v>
      </c>
      <c r="C184" s="4" t="inlineStr">
        <is>
          <t>Steam</t>
        </is>
      </c>
      <c r="D184" s="16" t="n">
        <v>39.25</v>
      </c>
      <c r="E184" s="4" t="inlineStr">
        <is>
          <t>Entertainment</t>
        </is>
      </c>
      <c r="F184" s="4" t="inlineStr">
        <is>
          <t>No</t>
        </is>
      </c>
      <c r="G184" s="2" t="n"/>
    </row>
    <row r="185">
      <c r="B185" s="15" t="n">
        <v>45795</v>
      </c>
      <c r="C185" s="4" t="inlineStr">
        <is>
          <t>TJ Maxx</t>
        </is>
      </c>
      <c r="D185" s="16" t="n">
        <v>83.64</v>
      </c>
      <c r="E185" s="4" t="inlineStr">
        <is>
          <t>Clothing</t>
        </is>
      </c>
      <c r="F185" s="4" t="inlineStr">
        <is>
          <t>No</t>
        </is>
      </c>
      <c r="G185" s="2" t="n"/>
    </row>
    <row r="186">
      <c r="B186" s="15" t="n">
        <v>45795</v>
      </c>
      <c r="C186" s="4" t="inlineStr">
        <is>
          <t>Spotify</t>
        </is>
      </c>
      <c r="D186" s="16" t="n">
        <v>52.39</v>
      </c>
      <c r="E186" s="4" t="inlineStr">
        <is>
          <t>Subscriptions</t>
        </is>
      </c>
      <c r="F186" s="4" t="inlineStr">
        <is>
          <t>No</t>
        </is>
      </c>
      <c r="G186" s="2" t="n"/>
    </row>
    <row r="187">
      <c r="B187" s="15" t="n">
        <v>45794</v>
      </c>
      <c r="C187" s="4" t="inlineStr">
        <is>
          <t>Planet Fitness</t>
        </is>
      </c>
      <c r="D187" s="16" t="n">
        <v>40</v>
      </c>
      <c r="E187" s="4" t="inlineStr">
        <is>
          <t>Gym</t>
        </is>
      </c>
      <c r="F187" s="4" t="inlineStr">
        <is>
          <t>Yes</t>
        </is>
      </c>
      <c r="G187" s="2" t="n"/>
    </row>
    <row r="188">
      <c r="B188" s="15" t="n">
        <v>45795</v>
      </c>
      <c r="C188" s="4" t="inlineStr">
        <is>
          <t>Target Beauty</t>
        </is>
      </c>
      <c r="D188" s="16" t="n">
        <v>39.75</v>
      </c>
      <c r="E188" s="4" t="inlineStr">
        <is>
          <t>Personal Care</t>
        </is>
      </c>
      <c r="F188" s="4" t="inlineStr">
        <is>
          <t>No</t>
        </is>
      </c>
      <c r="G188" s="2" t="n"/>
    </row>
    <row r="189">
      <c r="B189" s="15" t="n">
        <v>45778</v>
      </c>
      <c r="C189" s="4" t="inlineStr">
        <is>
          <t>Etsy</t>
        </is>
      </c>
      <c r="D189" s="16" t="n">
        <v>44.71</v>
      </c>
      <c r="E189" s="4" t="inlineStr">
        <is>
          <t>Gifts</t>
        </is>
      </c>
      <c r="F189" s="4" t="inlineStr">
        <is>
          <t>No</t>
        </is>
      </c>
      <c r="G189" s="2" t="n"/>
    </row>
    <row r="190">
      <c r="B190" s="15" t="n">
        <v>45789</v>
      </c>
      <c r="C190" s="4" t="inlineStr">
        <is>
          <t>Amazon</t>
        </is>
      </c>
      <c r="D190" s="16" t="n">
        <v>30.19</v>
      </c>
      <c r="E190" s="4" t="inlineStr">
        <is>
          <t>Hobbies</t>
        </is>
      </c>
      <c r="F190" s="4" t="inlineStr">
        <is>
          <t>No</t>
        </is>
      </c>
      <c r="G190" s="2" t="n"/>
    </row>
    <row r="191">
      <c r="B191" s="15" t="n">
        <v>45787</v>
      </c>
      <c r="C191" s="4" t="inlineStr">
        <is>
          <t>Liquor Store</t>
        </is>
      </c>
      <c r="D191" s="16" t="n">
        <v>54.77</v>
      </c>
      <c r="E191" s="4" t="inlineStr">
        <is>
          <t>Alcohol/Bars</t>
        </is>
      </c>
      <c r="F191" s="4" t="inlineStr">
        <is>
          <t>No</t>
        </is>
      </c>
      <c r="G191" s="2" t="n"/>
    </row>
    <row r="192">
      <c r="B192" s="15" t="n">
        <v>45788</v>
      </c>
      <c r="C192" s="4" t="inlineStr">
        <is>
          <t>Transfer to Savings</t>
        </is>
      </c>
      <c r="D192" s="16" t="n">
        <v>200</v>
      </c>
      <c r="E192" s="4" t="inlineStr">
        <is>
          <t>Emergency Fund</t>
        </is>
      </c>
      <c r="F192" s="4" t="inlineStr">
        <is>
          <t>Yes</t>
        </is>
      </c>
      <c r="G192" s="2" t="n"/>
    </row>
    <row r="193">
      <c r="B193" s="15" t="n">
        <v>45798</v>
      </c>
      <c r="C193" s="4" t="inlineStr">
        <is>
          <t>Vanguard</t>
        </is>
      </c>
      <c r="D193" s="16" t="n">
        <v>200</v>
      </c>
      <c r="E193" s="4" t="inlineStr">
        <is>
          <t>Retirement Extra</t>
        </is>
      </c>
      <c r="F193" s="4" t="inlineStr">
        <is>
          <t>Yes</t>
        </is>
      </c>
      <c r="G193" s="2" t="n"/>
    </row>
    <row r="194">
      <c r="B194" s="15" t="n">
        <v>45797</v>
      </c>
      <c r="C194" s="4" t="inlineStr">
        <is>
          <t>Transfer to Vacation</t>
        </is>
      </c>
      <c r="D194" s="16" t="n">
        <v>100</v>
      </c>
      <c r="E194" s="4" t="inlineStr">
        <is>
          <t>Vacation Fund</t>
        </is>
      </c>
      <c r="F194" s="4" t="inlineStr">
        <is>
          <t>Yes</t>
        </is>
      </c>
      <c r="G194" s="2" t="n"/>
    </row>
    <row r="195">
      <c r="B195" s="15" t="n">
        <v>45804</v>
      </c>
      <c r="C195" s="4" t="inlineStr">
        <is>
          <t>Transfer to Sinking</t>
        </is>
      </c>
      <c r="D195" s="16" t="n">
        <v>75</v>
      </c>
      <c r="E195" s="4" t="inlineStr">
        <is>
          <t>Sinking Funds</t>
        </is>
      </c>
      <c r="F195" s="4" t="inlineStr">
        <is>
          <t>Yes</t>
        </is>
      </c>
      <c r="G195" s="2" t="n"/>
    </row>
    <row r="196">
      <c r="B196" s="15" t="n">
        <v>45784</v>
      </c>
      <c r="C196" s="4" t="inlineStr">
        <is>
          <t>Fidelity Transfer</t>
        </is>
      </c>
      <c r="D196" s="16" t="n">
        <v>150</v>
      </c>
      <c r="E196" s="4" t="inlineStr">
        <is>
          <t>Investments</t>
        </is>
      </c>
      <c r="F196" s="4" t="inlineStr">
        <is>
          <t>Yes</t>
        </is>
      </c>
      <c r="G196" s="2" t="n"/>
    </row>
    <row r="197">
      <c r="B197" s="15" t="n">
        <v>45837</v>
      </c>
      <c r="C197" s="4" t="inlineStr">
        <is>
          <t>Landlord LLC</t>
        </is>
      </c>
      <c r="D197" s="16" t="n">
        <v>1450</v>
      </c>
      <c r="E197" s="4" t="inlineStr">
        <is>
          <t>Rent/Mortgage</t>
        </is>
      </c>
      <c r="F197" s="4" t="inlineStr">
        <is>
          <t>Yes</t>
        </is>
      </c>
      <c r="G197" s="2" t="n"/>
    </row>
    <row r="198">
      <c r="B198" s="15" t="n">
        <v>45838</v>
      </c>
      <c r="C198" s="4" t="inlineStr">
        <is>
          <t>Power Co</t>
        </is>
      </c>
      <c r="D198" s="16" t="n">
        <v>218.56</v>
      </c>
      <c r="E198" s="4" t="inlineStr">
        <is>
          <t>Utilities</t>
        </is>
      </c>
      <c r="F198" s="4" t="inlineStr">
        <is>
          <t>No</t>
        </is>
      </c>
      <c r="G198" s="2" t="n"/>
    </row>
    <row r="199">
      <c r="B199" s="15" t="n">
        <v>45831</v>
      </c>
      <c r="C199" s="4" t="inlineStr">
        <is>
          <t>Aldi</t>
        </is>
      </c>
      <c r="D199" s="16" t="n">
        <v>97.33</v>
      </c>
      <c r="E199" s="4" t="inlineStr">
        <is>
          <t>Groceries</t>
        </is>
      </c>
      <c r="F199" s="4" t="inlineStr">
        <is>
          <t>No</t>
        </is>
      </c>
      <c r="G199" s="2" t="n"/>
    </row>
    <row r="200">
      <c r="B200" s="15" t="n">
        <v>45827</v>
      </c>
      <c r="C200" s="4" t="inlineStr">
        <is>
          <t>Costco</t>
        </is>
      </c>
      <c r="D200" s="16" t="n">
        <v>154.69</v>
      </c>
      <c r="E200" s="4" t="inlineStr">
        <is>
          <t>Groceries</t>
        </is>
      </c>
      <c r="F200" s="4" t="inlineStr">
        <is>
          <t>No</t>
        </is>
      </c>
      <c r="G200" s="2" t="n"/>
    </row>
    <row r="201">
      <c r="B201" s="15" t="n">
        <v>45828</v>
      </c>
      <c r="C201" s="4" t="inlineStr">
        <is>
          <t>Kroger</t>
        </is>
      </c>
      <c r="D201" s="16" t="n">
        <v>184.59</v>
      </c>
      <c r="E201" s="4" t="inlineStr">
        <is>
          <t>Groceries</t>
        </is>
      </c>
      <c r="F201" s="4" t="inlineStr">
        <is>
          <t>No</t>
        </is>
      </c>
      <c r="G201" s="2" t="n"/>
    </row>
    <row r="202">
      <c r="B202" s="15" t="n">
        <v>45813</v>
      </c>
      <c r="C202" s="4" t="inlineStr">
        <is>
          <t>State Farm</t>
        </is>
      </c>
      <c r="D202" s="16" t="n">
        <v>105</v>
      </c>
      <c r="E202" s="4" t="inlineStr">
        <is>
          <t>Auto Insurance</t>
        </is>
      </c>
      <c r="F202" s="4" t="inlineStr">
        <is>
          <t>Yes</t>
        </is>
      </c>
      <c r="G202" s="2" t="n"/>
    </row>
    <row r="203">
      <c r="B203" s="15" t="n">
        <v>45831</v>
      </c>
      <c r="C203" s="4" t="inlineStr">
        <is>
          <t>Shell</t>
        </is>
      </c>
      <c r="D203" s="16" t="n">
        <v>68.90000000000001</v>
      </c>
      <c r="E203" s="4" t="inlineStr">
        <is>
          <t>Gas</t>
        </is>
      </c>
      <c r="F203" s="4" t="inlineStr">
        <is>
          <t>No</t>
        </is>
      </c>
      <c r="G203" s="2" t="n"/>
    </row>
    <row r="204">
      <c r="B204" s="15" t="n">
        <v>45836</v>
      </c>
      <c r="C204" s="4" t="inlineStr">
        <is>
          <t>Shell</t>
        </is>
      </c>
      <c r="D204" s="16" t="n">
        <v>59.3</v>
      </c>
      <c r="E204" s="4" t="inlineStr">
        <is>
          <t>Gas</t>
        </is>
      </c>
      <c r="F204" s="4" t="inlineStr">
        <is>
          <t>No</t>
        </is>
      </c>
      <c r="G204" s="2" t="n"/>
    </row>
    <row r="205">
      <c r="B205" s="15" t="n">
        <v>45831</v>
      </c>
      <c r="C205" s="4" t="inlineStr">
        <is>
          <t>Anthem</t>
        </is>
      </c>
      <c r="D205" s="16" t="n">
        <v>180</v>
      </c>
      <c r="E205" s="4" t="inlineStr">
        <is>
          <t>Health Insurance</t>
        </is>
      </c>
      <c r="F205" s="4" t="inlineStr">
        <is>
          <t>Yes</t>
        </is>
      </c>
      <c r="G205" s="2" t="n"/>
    </row>
    <row r="206">
      <c r="B206" s="15" t="n">
        <v>45830</v>
      </c>
      <c r="C206" s="4" t="inlineStr">
        <is>
          <t>Verizon</t>
        </is>
      </c>
      <c r="D206" s="16" t="n">
        <v>70</v>
      </c>
      <c r="E206" s="4" t="inlineStr">
        <is>
          <t>Phone</t>
        </is>
      </c>
      <c r="F206" s="4" t="inlineStr">
        <is>
          <t>Yes</t>
        </is>
      </c>
      <c r="G206" s="2" t="n"/>
    </row>
    <row r="207">
      <c r="B207" s="15" t="n">
        <v>45819</v>
      </c>
      <c r="C207" s="4" t="inlineStr">
        <is>
          <t>Student Loan Svc</t>
        </is>
      </c>
      <c r="D207" s="16" t="n">
        <v>300</v>
      </c>
      <c r="E207" s="4" t="inlineStr">
        <is>
          <t>Min Debt Payment</t>
        </is>
      </c>
      <c r="F207" s="4" t="inlineStr">
        <is>
          <t>Yes</t>
        </is>
      </c>
      <c r="G207" s="2" t="n"/>
    </row>
    <row r="208">
      <c r="B208" s="15" t="n">
        <v>45830</v>
      </c>
      <c r="C208" s="4" t="inlineStr">
        <is>
          <t>Dr. Patel</t>
        </is>
      </c>
      <c r="D208" s="16" t="n">
        <v>43.17</v>
      </c>
      <c r="E208" s="4" t="inlineStr">
        <is>
          <t>Medical/Prescriptions</t>
        </is>
      </c>
      <c r="F208" s="4" t="inlineStr">
        <is>
          <t>No</t>
        </is>
      </c>
      <c r="G208" s="2" t="n"/>
    </row>
    <row r="209">
      <c r="B209" s="15" t="n">
        <v>45830</v>
      </c>
      <c r="C209" s="4" t="inlineStr">
        <is>
          <t>Lemonade</t>
        </is>
      </c>
      <c r="D209" s="16" t="n">
        <v>22</v>
      </c>
      <c r="E209" s="4" t="inlineStr">
        <is>
          <t>Renters Insurance</t>
        </is>
      </c>
      <c r="F209" s="4" t="inlineStr">
        <is>
          <t>Yes</t>
        </is>
      </c>
      <c r="G209" s="2" t="n"/>
    </row>
    <row r="210">
      <c r="B210" s="15" t="n">
        <v>45832</v>
      </c>
      <c r="C210" s="4" t="inlineStr">
        <is>
          <t>Xfinity</t>
        </is>
      </c>
      <c r="D210" s="16" t="n">
        <v>60</v>
      </c>
      <c r="E210" s="4" t="inlineStr">
        <is>
          <t>Internet</t>
        </is>
      </c>
      <c r="F210" s="4" t="inlineStr">
        <is>
          <t>Yes</t>
        </is>
      </c>
      <c r="G210" s="2" t="n"/>
    </row>
    <row r="211">
      <c r="B211" s="15" t="n">
        <v>45815</v>
      </c>
      <c r="C211" s="4" t="inlineStr">
        <is>
          <t>Chipotle</t>
        </is>
      </c>
      <c r="D211" s="16" t="n">
        <v>65.89</v>
      </c>
      <c r="E211" s="4" t="inlineStr">
        <is>
          <t>Dining Out</t>
        </is>
      </c>
      <c r="F211" s="4" t="inlineStr">
        <is>
          <t>No</t>
        </is>
      </c>
      <c r="G211" s="2" t="n"/>
    </row>
    <row r="212">
      <c r="B212" s="15" t="n">
        <v>45819</v>
      </c>
      <c r="C212" s="4" t="inlineStr">
        <is>
          <t>Olive Garden</t>
        </is>
      </c>
      <c r="D212" s="16" t="n">
        <v>67.76000000000001</v>
      </c>
      <c r="E212" s="4" t="inlineStr">
        <is>
          <t>Dining Out</t>
        </is>
      </c>
      <c r="F212" s="4" t="inlineStr">
        <is>
          <t>No</t>
        </is>
      </c>
      <c r="G212" s="2" t="n"/>
    </row>
    <row r="213">
      <c r="B213" s="15" t="n">
        <v>45824</v>
      </c>
      <c r="C213" s="4" t="inlineStr">
        <is>
          <t>Panera</t>
        </is>
      </c>
      <c r="D213" s="16" t="n">
        <v>39.99</v>
      </c>
      <c r="E213" s="4" t="inlineStr">
        <is>
          <t>Dining Out</t>
        </is>
      </c>
      <c r="F213" s="4" t="inlineStr">
        <is>
          <t>No</t>
        </is>
      </c>
      <c r="G213" s="2" t="n"/>
    </row>
    <row r="214">
      <c r="B214" s="15" t="n">
        <v>45824</v>
      </c>
      <c r="C214" s="4" t="inlineStr">
        <is>
          <t>Local Roast</t>
        </is>
      </c>
      <c r="D214" s="16" t="n">
        <v>15.63</v>
      </c>
      <c r="E214" s="4" t="inlineStr">
        <is>
          <t>Coffee Shops</t>
        </is>
      </c>
      <c r="F214" s="4" t="inlineStr">
        <is>
          <t>No</t>
        </is>
      </c>
      <c r="G214" s="2" t="n"/>
    </row>
    <row r="215">
      <c r="B215" s="15" t="n">
        <v>45835</v>
      </c>
      <c r="C215" s="4" t="inlineStr">
        <is>
          <t>Local Roast</t>
        </is>
      </c>
      <c r="D215" s="16" t="n">
        <v>14.34</v>
      </c>
      <c r="E215" s="4" t="inlineStr">
        <is>
          <t>Coffee Shops</t>
        </is>
      </c>
      <c r="F215" s="4" t="inlineStr">
        <is>
          <t>No</t>
        </is>
      </c>
      <c r="G215" s="2" t="n"/>
    </row>
    <row r="216">
      <c r="B216" s="15" t="n">
        <v>45832</v>
      </c>
      <c r="C216" s="4" t="inlineStr">
        <is>
          <t>Starbucks</t>
        </is>
      </c>
      <c r="D216" s="16" t="n">
        <v>16.78</v>
      </c>
      <c r="E216" s="4" t="inlineStr">
        <is>
          <t>Coffee Shops</t>
        </is>
      </c>
      <c r="F216" s="4" t="inlineStr">
        <is>
          <t>No</t>
        </is>
      </c>
      <c r="G216" s="2" t="n"/>
    </row>
    <row r="217">
      <c r="B217" s="15" t="n">
        <v>45817</v>
      </c>
      <c r="C217" s="4" t="inlineStr">
        <is>
          <t>Steam</t>
        </is>
      </c>
      <c r="D217" s="16" t="n">
        <v>28.7</v>
      </c>
      <c r="E217" s="4" t="inlineStr">
        <is>
          <t>Entertainment</t>
        </is>
      </c>
      <c r="F217" s="4" t="inlineStr">
        <is>
          <t>No</t>
        </is>
      </c>
      <c r="G217" s="2" t="n"/>
    </row>
    <row r="218">
      <c r="B218" s="15" t="n">
        <v>45837</v>
      </c>
      <c r="C218" s="4" t="inlineStr">
        <is>
          <t>AMC</t>
        </is>
      </c>
      <c r="D218" s="16" t="n">
        <v>44.15</v>
      </c>
      <c r="E218" s="4" t="inlineStr">
        <is>
          <t>Entertainment</t>
        </is>
      </c>
      <c r="F218" s="4" t="inlineStr">
        <is>
          <t>No</t>
        </is>
      </c>
      <c r="G218" s="2" t="n"/>
    </row>
    <row r="219">
      <c r="B219" s="15" t="n">
        <v>45812</v>
      </c>
      <c r="C219" s="4" t="inlineStr">
        <is>
          <t>Old Navy</t>
        </is>
      </c>
      <c r="D219" s="16" t="n">
        <v>74.42</v>
      </c>
      <c r="E219" s="4" t="inlineStr">
        <is>
          <t>Clothing</t>
        </is>
      </c>
      <c r="F219" s="4" t="inlineStr">
        <is>
          <t>No</t>
        </is>
      </c>
      <c r="G219" s="2" t="n"/>
    </row>
    <row r="220">
      <c r="B220" s="15" t="n">
        <v>45835</v>
      </c>
      <c r="C220" s="4" t="inlineStr">
        <is>
          <t>Netflix</t>
        </is>
      </c>
      <c r="D220" s="16" t="n">
        <v>48.28</v>
      </c>
      <c r="E220" s="4" t="inlineStr">
        <is>
          <t>Subscriptions</t>
        </is>
      </c>
      <c r="F220" s="4" t="inlineStr">
        <is>
          <t>No</t>
        </is>
      </c>
      <c r="G220" s="2" t="n"/>
    </row>
    <row r="221">
      <c r="B221" s="15" t="n">
        <v>45831</v>
      </c>
      <c r="C221" s="4" t="inlineStr">
        <is>
          <t>Planet Fitness</t>
        </is>
      </c>
      <c r="D221" s="16" t="n">
        <v>40</v>
      </c>
      <c r="E221" s="4" t="inlineStr">
        <is>
          <t>Gym</t>
        </is>
      </c>
      <c r="F221" s="4" t="inlineStr">
        <is>
          <t>Yes</t>
        </is>
      </c>
      <c r="G221" s="2" t="n"/>
    </row>
    <row r="222">
      <c r="B222" s="15" t="n">
        <v>45837</v>
      </c>
      <c r="C222" s="4" t="inlineStr">
        <is>
          <t>Great Clips</t>
        </is>
      </c>
      <c r="D222" s="16" t="n">
        <v>37.92</v>
      </c>
      <c r="E222" s="4" t="inlineStr">
        <is>
          <t>Personal Care</t>
        </is>
      </c>
      <c r="F222" s="4" t="inlineStr">
        <is>
          <t>No</t>
        </is>
      </c>
      <c r="G222" s="2" t="n"/>
    </row>
    <row r="223">
      <c r="B223" s="15" t="n">
        <v>45835</v>
      </c>
      <c r="C223" s="4" t="inlineStr">
        <is>
          <t>Etsy</t>
        </is>
      </c>
      <c r="D223" s="16" t="n">
        <v>28.36</v>
      </c>
      <c r="E223" s="4" t="inlineStr">
        <is>
          <t>Gifts</t>
        </is>
      </c>
      <c r="F223" s="4" t="inlineStr">
        <is>
          <t>No</t>
        </is>
      </c>
      <c r="G223" s="2" t="n"/>
    </row>
    <row r="224">
      <c r="B224" s="15" t="n">
        <v>45827</v>
      </c>
      <c r="C224" s="4" t="inlineStr">
        <is>
          <t>Delta</t>
        </is>
      </c>
      <c r="D224" s="16" t="n">
        <v>806.09</v>
      </c>
      <c r="E224" s="4" t="inlineStr">
        <is>
          <t>Travel</t>
        </is>
      </c>
      <c r="F224" s="4" t="inlineStr">
        <is>
          <t>No</t>
        </is>
      </c>
      <c r="G224" s="2" t="n"/>
    </row>
    <row r="225">
      <c r="B225" s="15" t="n">
        <v>45820</v>
      </c>
      <c r="C225" s="4" t="inlineStr">
        <is>
          <t>Guitar Center</t>
        </is>
      </c>
      <c r="D225" s="16" t="n">
        <v>18.08</v>
      </c>
      <c r="E225" s="4" t="inlineStr">
        <is>
          <t>Hobbies</t>
        </is>
      </c>
      <c r="F225" s="4" t="inlineStr">
        <is>
          <t>No</t>
        </is>
      </c>
      <c r="G225" s="2" t="n"/>
    </row>
    <row r="226">
      <c r="B226" s="15" t="n">
        <v>45817</v>
      </c>
      <c r="C226" s="4" t="inlineStr">
        <is>
          <t>Local Bar</t>
        </is>
      </c>
      <c r="D226" s="16" t="n">
        <v>32.05</v>
      </c>
      <c r="E226" s="4" t="inlineStr">
        <is>
          <t>Alcohol/Bars</t>
        </is>
      </c>
      <c r="F226" s="4" t="inlineStr">
        <is>
          <t>No</t>
        </is>
      </c>
      <c r="G226" s="2" t="n"/>
    </row>
    <row r="227">
      <c r="B227" s="15" t="n">
        <v>45814</v>
      </c>
      <c r="C227" s="4" t="inlineStr">
        <is>
          <t>Transfer to Savings</t>
        </is>
      </c>
      <c r="D227" s="16" t="n">
        <v>200</v>
      </c>
      <c r="E227" s="4" t="inlineStr">
        <is>
          <t>Emergency Fund</t>
        </is>
      </c>
      <c r="F227" s="4" t="inlineStr">
        <is>
          <t>Yes</t>
        </is>
      </c>
      <c r="G227" s="2" t="n"/>
    </row>
    <row r="228">
      <c r="B228" s="15" t="n">
        <v>45815</v>
      </c>
      <c r="C228" s="4" t="inlineStr">
        <is>
          <t>Vanguard</t>
        </is>
      </c>
      <c r="D228" s="16" t="n">
        <v>200</v>
      </c>
      <c r="E228" s="4" t="inlineStr">
        <is>
          <t>Retirement Extra</t>
        </is>
      </c>
      <c r="F228" s="4" t="inlineStr">
        <is>
          <t>Yes</t>
        </is>
      </c>
      <c r="G228" s="2" t="n"/>
    </row>
    <row r="229">
      <c r="B229" s="15" t="n">
        <v>45821</v>
      </c>
      <c r="C229" s="4" t="inlineStr">
        <is>
          <t>Transfer to Vacation</t>
        </is>
      </c>
      <c r="D229" s="16" t="n">
        <v>100</v>
      </c>
      <c r="E229" s="4" t="inlineStr">
        <is>
          <t>Vacation Fund</t>
        </is>
      </c>
      <c r="F229" s="4" t="inlineStr">
        <is>
          <t>Yes</t>
        </is>
      </c>
      <c r="G229" s="2" t="n"/>
    </row>
    <row r="230">
      <c r="B230" s="15" t="n">
        <v>45827</v>
      </c>
      <c r="C230" s="4" t="inlineStr">
        <is>
          <t>Transfer to Sinking</t>
        </is>
      </c>
      <c r="D230" s="16" t="n">
        <v>75</v>
      </c>
      <c r="E230" s="4" t="inlineStr">
        <is>
          <t>Sinking Funds</t>
        </is>
      </c>
      <c r="F230" s="4" t="inlineStr">
        <is>
          <t>Yes</t>
        </is>
      </c>
      <c r="G230" s="2" t="n"/>
    </row>
    <row r="231">
      <c r="B231" s="15" t="n">
        <v>45816</v>
      </c>
      <c r="C231" s="4" t="inlineStr">
        <is>
          <t>Fidelity Transfer</t>
        </is>
      </c>
      <c r="D231" s="16" t="n">
        <v>150</v>
      </c>
      <c r="E231" s="4" t="inlineStr">
        <is>
          <t>Investments</t>
        </is>
      </c>
      <c r="F231" s="4" t="inlineStr">
        <is>
          <t>Yes</t>
        </is>
      </c>
      <c r="G231" s="2" t="n"/>
    </row>
    <row r="232">
      <c r="B232" s="15" t="n">
        <v>45853</v>
      </c>
      <c r="C232" s="4" t="inlineStr">
        <is>
          <t>Landlord LLC</t>
        </is>
      </c>
      <c r="D232" s="16" t="n">
        <v>1450</v>
      </c>
      <c r="E232" s="4" t="inlineStr">
        <is>
          <t>Rent/Mortgage</t>
        </is>
      </c>
      <c r="F232" s="4" t="inlineStr">
        <is>
          <t>Yes</t>
        </is>
      </c>
      <c r="G232" s="2" t="n"/>
    </row>
    <row r="233">
      <c r="B233" s="15" t="n">
        <v>45841</v>
      </c>
      <c r="C233" s="4" t="inlineStr">
        <is>
          <t>Power Co</t>
        </is>
      </c>
      <c r="D233" s="16" t="n">
        <v>159.86</v>
      </c>
      <c r="E233" s="4" t="inlineStr">
        <is>
          <t>Utilities</t>
        </is>
      </c>
      <c r="F233" s="4" t="inlineStr">
        <is>
          <t>No</t>
        </is>
      </c>
      <c r="G233" s="2" t="n"/>
    </row>
    <row r="234">
      <c r="B234" s="15" t="n">
        <v>45842</v>
      </c>
      <c r="C234" s="4" t="inlineStr">
        <is>
          <t>Trader Joes</t>
        </is>
      </c>
      <c r="D234" s="16" t="n">
        <v>163.99</v>
      </c>
      <c r="E234" s="4" t="inlineStr">
        <is>
          <t>Groceries</t>
        </is>
      </c>
      <c r="F234" s="4" t="inlineStr">
        <is>
          <t>No</t>
        </is>
      </c>
      <c r="G234" s="2" t="n"/>
    </row>
    <row r="235">
      <c r="B235" s="15" t="n">
        <v>45857</v>
      </c>
      <c r="C235" s="4" t="inlineStr">
        <is>
          <t>Aldi</t>
        </is>
      </c>
      <c r="D235" s="16" t="n">
        <v>112.17</v>
      </c>
      <c r="E235" s="4" t="inlineStr">
        <is>
          <t>Groceries</t>
        </is>
      </c>
      <c r="F235" s="4" t="inlineStr">
        <is>
          <t>No</t>
        </is>
      </c>
      <c r="G235" s="2" t="n"/>
    </row>
    <row r="236">
      <c r="B236" s="15" t="n">
        <v>45865</v>
      </c>
      <c r="C236" s="4" t="inlineStr">
        <is>
          <t>Kroger</t>
        </is>
      </c>
      <c r="D236" s="16" t="n">
        <v>129.22</v>
      </c>
      <c r="E236" s="4" t="inlineStr">
        <is>
          <t>Groceries</t>
        </is>
      </c>
      <c r="F236" s="4" t="inlineStr">
        <is>
          <t>No</t>
        </is>
      </c>
      <c r="G236" s="2" t="n"/>
    </row>
    <row r="237">
      <c r="B237" s="15" t="n">
        <v>45865</v>
      </c>
      <c r="C237" s="4" t="inlineStr">
        <is>
          <t>State Farm</t>
        </is>
      </c>
      <c r="D237" s="16" t="n">
        <v>105</v>
      </c>
      <c r="E237" s="4" t="inlineStr">
        <is>
          <t>Auto Insurance</t>
        </is>
      </c>
      <c r="F237" s="4" t="inlineStr">
        <is>
          <t>Yes</t>
        </is>
      </c>
      <c r="G237" s="2" t="n"/>
    </row>
    <row r="238">
      <c r="B238" s="15" t="n">
        <v>45849</v>
      </c>
      <c r="C238" s="4" t="inlineStr">
        <is>
          <t>BP</t>
        </is>
      </c>
      <c r="D238" s="16" t="n">
        <v>37.39</v>
      </c>
      <c r="E238" s="4" t="inlineStr">
        <is>
          <t>Gas</t>
        </is>
      </c>
      <c r="F238" s="4" t="inlineStr">
        <is>
          <t>No</t>
        </is>
      </c>
      <c r="G238" s="2" t="n"/>
    </row>
    <row r="239">
      <c r="B239" s="15" t="n">
        <v>45852</v>
      </c>
      <c r="C239" s="4" t="inlineStr">
        <is>
          <t>BP</t>
        </is>
      </c>
      <c r="D239" s="16" t="n">
        <v>47.75</v>
      </c>
      <c r="E239" s="4" t="inlineStr">
        <is>
          <t>Gas</t>
        </is>
      </c>
      <c r="F239" s="4" t="inlineStr">
        <is>
          <t>No</t>
        </is>
      </c>
      <c r="G239" s="2" t="n"/>
    </row>
    <row r="240">
      <c r="B240" s="15" t="n">
        <v>45853</v>
      </c>
      <c r="C240" s="4" t="inlineStr">
        <is>
          <t>Shell</t>
        </is>
      </c>
      <c r="D240" s="16" t="n">
        <v>39.24</v>
      </c>
      <c r="E240" s="4" t="inlineStr">
        <is>
          <t>Gas</t>
        </is>
      </c>
      <c r="F240" s="4" t="inlineStr">
        <is>
          <t>No</t>
        </is>
      </c>
      <c r="G240" s="2" t="n"/>
    </row>
    <row r="241">
      <c r="B241" s="15" t="n">
        <v>45852</v>
      </c>
      <c r="C241" s="4" t="inlineStr">
        <is>
          <t>Anthem</t>
        </is>
      </c>
      <c r="D241" s="16" t="n">
        <v>180</v>
      </c>
      <c r="E241" s="4" t="inlineStr">
        <is>
          <t>Health Insurance</t>
        </is>
      </c>
      <c r="F241" s="4" t="inlineStr">
        <is>
          <t>Yes</t>
        </is>
      </c>
      <c r="G241" s="2" t="n"/>
    </row>
    <row r="242">
      <c r="B242" s="15" t="n">
        <v>45844</v>
      </c>
      <c r="C242" s="4" t="inlineStr">
        <is>
          <t>Verizon</t>
        </is>
      </c>
      <c r="D242" s="16" t="n">
        <v>70</v>
      </c>
      <c r="E242" s="4" t="inlineStr">
        <is>
          <t>Phone</t>
        </is>
      </c>
      <c r="F242" s="4" t="inlineStr">
        <is>
          <t>Yes</t>
        </is>
      </c>
      <c r="G242" s="2" t="n"/>
    </row>
    <row r="243">
      <c r="B243" s="15" t="n">
        <v>45866</v>
      </c>
      <c r="C243" s="4" t="inlineStr">
        <is>
          <t>Chase Visa</t>
        </is>
      </c>
      <c r="D243" s="16" t="n">
        <v>300</v>
      </c>
      <c r="E243" s="4" t="inlineStr">
        <is>
          <t>Min Debt Payment</t>
        </is>
      </c>
      <c r="F243" s="4" t="inlineStr">
        <is>
          <t>Yes</t>
        </is>
      </c>
      <c r="G243" s="2" t="n"/>
    </row>
    <row r="244">
      <c r="B244" s="15" t="n">
        <v>45858</v>
      </c>
      <c r="C244" s="4" t="inlineStr">
        <is>
          <t>CVS</t>
        </is>
      </c>
      <c r="D244" s="16" t="n">
        <v>26.36</v>
      </c>
      <c r="E244" s="4" t="inlineStr">
        <is>
          <t>Medical/Prescriptions</t>
        </is>
      </c>
      <c r="F244" s="4" t="inlineStr">
        <is>
          <t>No</t>
        </is>
      </c>
      <c r="G244" s="2" t="n"/>
    </row>
    <row r="245">
      <c r="B245" s="15" t="n">
        <v>45857</v>
      </c>
      <c r="C245" s="4" t="inlineStr">
        <is>
          <t>Lemonade</t>
        </is>
      </c>
      <c r="D245" s="16" t="n">
        <v>22</v>
      </c>
      <c r="E245" s="4" t="inlineStr">
        <is>
          <t>Renters Insurance</t>
        </is>
      </c>
      <c r="F245" s="4" t="inlineStr">
        <is>
          <t>Yes</t>
        </is>
      </c>
      <c r="G245" s="2" t="n"/>
    </row>
    <row r="246">
      <c r="B246" s="15" t="n">
        <v>45844</v>
      </c>
      <c r="C246" s="4" t="inlineStr">
        <is>
          <t>Xfinity</t>
        </is>
      </c>
      <c r="D246" s="16" t="n">
        <v>60</v>
      </c>
      <c r="E246" s="4" t="inlineStr">
        <is>
          <t>Internet</t>
        </is>
      </c>
      <c r="F246" s="4" t="inlineStr">
        <is>
          <t>Yes</t>
        </is>
      </c>
      <c r="G246" s="2" t="n"/>
    </row>
    <row r="247">
      <c r="B247" s="15" t="n">
        <v>45841</v>
      </c>
      <c r="C247" s="4" t="inlineStr">
        <is>
          <t>Chipotle</t>
        </is>
      </c>
      <c r="D247" s="16" t="n">
        <v>44.57</v>
      </c>
      <c r="E247" s="4" t="inlineStr">
        <is>
          <t>Dining Out</t>
        </is>
      </c>
      <c r="F247" s="4" t="inlineStr">
        <is>
          <t>No</t>
        </is>
      </c>
      <c r="G247" s="2" t="n"/>
    </row>
    <row r="248">
      <c r="B248" s="15" t="n">
        <v>45840</v>
      </c>
      <c r="C248" s="4" t="inlineStr">
        <is>
          <t>Thai Kitchen</t>
        </is>
      </c>
      <c r="D248" s="16" t="n">
        <v>62.47</v>
      </c>
      <c r="E248" s="4" t="inlineStr">
        <is>
          <t>Dining Out</t>
        </is>
      </c>
      <c r="F248" s="4" t="inlineStr">
        <is>
          <t>No</t>
        </is>
      </c>
      <c r="G248" s="2" t="n"/>
    </row>
    <row r="249">
      <c r="B249" s="15" t="n">
        <v>45864</v>
      </c>
      <c r="C249" s="4" t="inlineStr">
        <is>
          <t>Thai Kitchen</t>
        </is>
      </c>
      <c r="D249" s="16" t="n">
        <v>56.67</v>
      </c>
      <c r="E249" s="4" t="inlineStr">
        <is>
          <t>Dining Out</t>
        </is>
      </c>
      <c r="F249" s="4" t="inlineStr">
        <is>
          <t>No</t>
        </is>
      </c>
      <c r="G249" s="2" t="n"/>
    </row>
    <row r="250">
      <c r="B250" s="15" t="n">
        <v>45844</v>
      </c>
      <c r="C250" s="4" t="inlineStr">
        <is>
          <t>Starbucks</t>
        </is>
      </c>
      <c r="D250" s="16" t="n">
        <v>15.44</v>
      </c>
      <c r="E250" s="4" t="inlineStr">
        <is>
          <t>Coffee Shops</t>
        </is>
      </c>
      <c r="F250" s="4" t="inlineStr">
        <is>
          <t>No</t>
        </is>
      </c>
      <c r="G250" s="2" t="n"/>
    </row>
    <row r="251">
      <c r="B251" s="15" t="n">
        <v>45855</v>
      </c>
      <c r="C251" s="4" t="inlineStr">
        <is>
          <t>Local Roast</t>
        </is>
      </c>
      <c r="D251" s="16" t="n">
        <v>24.97</v>
      </c>
      <c r="E251" s="4" t="inlineStr">
        <is>
          <t>Coffee Shops</t>
        </is>
      </c>
      <c r="F251" s="4" t="inlineStr">
        <is>
          <t>No</t>
        </is>
      </c>
      <c r="G251" s="2" t="n"/>
    </row>
    <row r="252">
      <c r="B252" s="15" t="n">
        <v>45846</v>
      </c>
      <c r="C252" s="4" t="inlineStr">
        <is>
          <t>AMC</t>
        </is>
      </c>
      <c r="D252" s="16" t="n">
        <v>55.9</v>
      </c>
      <c r="E252" s="4" t="inlineStr">
        <is>
          <t>Entertainment</t>
        </is>
      </c>
      <c r="F252" s="4" t="inlineStr">
        <is>
          <t>No</t>
        </is>
      </c>
      <c r="G252" s="2" t="n"/>
    </row>
    <row r="253">
      <c r="B253" s="15" t="n">
        <v>45849</v>
      </c>
      <c r="C253" s="4" t="inlineStr">
        <is>
          <t>Target</t>
        </is>
      </c>
      <c r="D253" s="16" t="n">
        <v>48.75</v>
      </c>
      <c r="E253" s="4" t="inlineStr">
        <is>
          <t>Clothing</t>
        </is>
      </c>
      <c r="F253" s="4" t="inlineStr">
        <is>
          <t>No</t>
        </is>
      </c>
      <c r="G253" s="2" t="n"/>
    </row>
    <row r="254">
      <c r="B254" s="15" t="n">
        <v>45864</v>
      </c>
      <c r="C254" s="4" t="inlineStr">
        <is>
          <t>Netflix</t>
        </is>
      </c>
      <c r="D254" s="16" t="n">
        <v>17.71</v>
      </c>
      <c r="E254" s="4" t="inlineStr">
        <is>
          <t>Subscriptions</t>
        </is>
      </c>
      <c r="F254" s="4" t="inlineStr">
        <is>
          <t>No</t>
        </is>
      </c>
      <c r="G254" s="2" t="n"/>
    </row>
    <row r="255">
      <c r="B255" s="15" t="n">
        <v>45866</v>
      </c>
      <c r="C255" s="4" t="inlineStr">
        <is>
          <t>Spotify</t>
        </is>
      </c>
      <c r="D255" s="16" t="n">
        <v>17.74</v>
      </c>
      <c r="E255" s="4" t="inlineStr">
        <is>
          <t>Subscriptions</t>
        </is>
      </c>
      <c r="F255" s="4" t="inlineStr">
        <is>
          <t>No</t>
        </is>
      </c>
      <c r="G255" s="2" t="n"/>
    </row>
    <row r="256">
      <c r="B256" s="15" t="n">
        <v>45848</v>
      </c>
      <c r="C256" s="4" t="inlineStr">
        <is>
          <t>Planet Fitness</t>
        </is>
      </c>
      <c r="D256" s="16" t="n">
        <v>40</v>
      </c>
      <c r="E256" s="4" t="inlineStr">
        <is>
          <t>Gym</t>
        </is>
      </c>
      <c r="F256" s="4" t="inlineStr">
        <is>
          <t>Yes</t>
        </is>
      </c>
      <c r="G256" s="2" t="n"/>
    </row>
    <row r="257">
      <c r="B257" s="15" t="n">
        <v>45864</v>
      </c>
      <c r="C257" s="4" t="inlineStr">
        <is>
          <t>Great Clips</t>
        </is>
      </c>
      <c r="D257" s="16" t="n">
        <v>15.85</v>
      </c>
      <c r="E257" s="4" t="inlineStr">
        <is>
          <t>Personal Care</t>
        </is>
      </c>
      <c r="F257" s="4" t="inlineStr">
        <is>
          <t>No</t>
        </is>
      </c>
      <c r="G257" s="2" t="n"/>
    </row>
    <row r="258">
      <c r="B258" s="15" t="n">
        <v>45855</v>
      </c>
      <c r="C258" s="4" t="inlineStr">
        <is>
          <t>Great Clips</t>
        </is>
      </c>
      <c r="D258" s="16" t="n">
        <v>18.53</v>
      </c>
      <c r="E258" s="4" t="inlineStr">
        <is>
          <t>Personal Care</t>
        </is>
      </c>
      <c r="F258" s="4" t="inlineStr">
        <is>
          <t>No</t>
        </is>
      </c>
      <c r="G258" s="2" t="n"/>
    </row>
    <row r="259">
      <c r="B259" s="15" t="n">
        <v>45869</v>
      </c>
      <c r="C259" s="4" t="inlineStr">
        <is>
          <t>Amazon</t>
        </is>
      </c>
      <c r="D259" s="16" t="n">
        <v>15.82</v>
      </c>
      <c r="E259" s="4" t="inlineStr">
        <is>
          <t>Gifts</t>
        </is>
      </c>
      <c r="F259" s="4" t="inlineStr">
        <is>
          <t>No</t>
        </is>
      </c>
      <c r="G259" s="2" t="n"/>
    </row>
    <row r="260">
      <c r="B260" s="15" t="n">
        <v>45855</v>
      </c>
      <c r="C260" s="4" t="inlineStr">
        <is>
          <t>Etsy</t>
        </is>
      </c>
      <c r="D260" s="16" t="n">
        <v>13.68</v>
      </c>
      <c r="E260" s="4" t="inlineStr">
        <is>
          <t>Gifts</t>
        </is>
      </c>
      <c r="F260" s="4" t="inlineStr">
        <is>
          <t>No</t>
        </is>
      </c>
      <c r="G260" s="2" t="n"/>
    </row>
    <row r="261">
      <c r="B261" s="15" t="n">
        <v>45860</v>
      </c>
      <c r="C261" s="4" t="inlineStr">
        <is>
          <t>REI</t>
        </is>
      </c>
      <c r="D261" s="16" t="n">
        <v>12.79</v>
      </c>
      <c r="E261" s="4" t="inlineStr">
        <is>
          <t>Hobbies</t>
        </is>
      </c>
      <c r="F261" s="4" t="inlineStr">
        <is>
          <t>No</t>
        </is>
      </c>
      <c r="G261" s="2" t="n"/>
    </row>
    <row r="262">
      <c r="B262" s="15" t="n">
        <v>45850</v>
      </c>
      <c r="C262" s="4" t="inlineStr">
        <is>
          <t>Amazon</t>
        </is>
      </c>
      <c r="D262" s="16" t="n">
        <v>19.53</v>
      </c>
      <c r="E262" s="4" t="inlineStr">
        <is>
          <t>Hobbies</t>
        </is>
      </c>
      <c r="F262" s="4" t="inlineStr">
        <is>
          <t>No</t>
        </is>
      </c>
      <c r="G262" s="2" t="n"/>
    </row>
    <row r="263">
      <c r="B263" s="15" t="n">
        <v>45852</v>
      </c>
      <c r="C263" s="4" t="inlineStr">
        <is>
          <t>Liquor Store</t>
        </is>
      </c>
      <c r="D263" s="16" t="n">
        <v>51.43</v>
      </c>
      <c r="E263" s="4" t="inlineStr">
        <is>
          <t>Alcohol/Bars</t>
        </is>
      </c>
      <c r="F263" s="4" t="inlineStr">
        <is>
          <t>No</t>
        </is>
      </c>
      <c r="G263" s="2" t="n"/>
    </row>
    <row r="264">
      <c r="B264" s="15" t="n">
        <v>45863</v>
      </c>
      <c r="C264" s="4" t="inlineStr">
        <is>
          <t>Transfer to Savings</t>
        </is>
      </c>
      <c r="D264" s="16" t="n">
        <v>200</v>
      </c>
      <c r="E264" s="4" t="inlineStr">
        <is>
          <t>Emergency Fund</t>
        </is>
      </c>
      <c r="F264" s="4" t="inlineStr">
        <is>
          <t>Yes</t>
        </is>
      </c>
      <c r="G264" s="2" t="n"/>
    </row>
    <row r="265">
      <c r="B265" s="15" t="n">
        <v>45843</v>
      </c>
      <c r="C265" s="4" t="inlineStr">
        <is>
          <t>Vanguard</t>
        </is>
      </c>
      <c r="D265" s="16" t="n">
        <v>200</v>
      </c>
      <c r="E265" s="4" t="inlineStr">
        <is>
          <t>Retirement Extra</t>
        </is>
      </c>
      <c r="F265" s="4" t="inlineStr">
        <is>
          <t>Yes</t>
        </is>
      </c>
      <c r="G265" s="2" t="n"/>
    </row>
    <row r="266">
      <c r="B266" s="15" t="n">
        <v>45839</v>
      </c>
      <c r="C266" s="4" t="inlineStr">
        <is>
          <t>Transfer to Vacation</t>
        </is>
      </c>
      <c r="D266" s="16" t="n">
        <v>100</v>
      </c>
      <c r="E266" s="4" t="inlineStr">
        <is>
          <t>Vacation Fund</t>
        </is>
      </c>
      <c r="F266" s="4" t="inlineStr">
        <is>
          <t>Yes</t>
        </is>
      </c>
      <c r="G266" s="2" t="n"/>
    </row>
    <row r="267">
      <c r="B267" s="15" t="n">
        <v>45867</v>
      </c>
      <c r="C267" s="4" t="inlineStr">
        <is>
          <t>Transfer to Sinking</t>
        </is>
      </c>
      <c r="D267" s="16" t="n">
        <v>75</v>
      </c>
      <c r="E267" s="4" t="inlineStr">
        <is>
          <t>Sinking Funds</t>
        </is>
      </c>
      <c r="F267" s="4" t="inlineStr">
        <is>
          <t>Yes</t>
        </is>
      </c>
      <c r="G267" s="2" t="n"/>
    </row>
    <row r="268">
      <c r="B268" s="15" t="n">
        <v>45855</v>
      </c>
      <c r="C268" s="4" t="inlineStr">
        <is>
          <t>Fidelity Transfer</t>
        </is>
      </c>
      <c r="D268" s="16" t="n">
        <v>150</v>
      </c>
      <c r="E268" s="4" t="inlineStr">
        <is>
          <t>Investments</t>
        </is>
      </c>
      <c r="F268" s="4" t="inlineStr">
        <is>
          <t>Yes</t>
        </is>
      </c>
      <c r="G268" s="2" t="n"/>
    </row>
    <row r="269">
      <c r="B269" s="15" t="n">
        <v>45869</v>
      </c>
      <c r="C269" s="4" t="inlineStr">
        <is>
          <t>529 Transfer</t>
        </is>
      </c>
      <c r="D269" s="16" t="n">
        <v>250</v>
      </c>
      <c r="E269" s="4" t="inlineStr">
        <is>
          <t>529 College</t>
        </is>
      </c>
      <c r="F269" s="4" t="inlineStr">
        <is>
          <t>Yes</t>
        </is>
      </c>
      <c r="G269" s="2" t="n"/>
    </row>
    <row r="270">
      <c r="B270" s="15" t="n">
        <v>45888</v>
      </c>
      <c r="C270" s="4" t="inlineStr">
        <is>
          <t>Landlord LLC</t>
        </is>
      </c>
      <c r="D270" s="16" t="n">
        <v>1450</v>
      </c>
      <c r="E270" s="4" t="inlineStr">
        <is>
          <t>Rent/Mortgage</t>
        </is>
      </c>
      <c r="F270" s="4" t="inlineStr">
        <is>
          <t>Yes</t>
        </is>
      </c>
      <c r="G270" s="2" t="n"/>
    </row>
    <row r="271">
      <c r="B271" s="15" t="n">
        <v>45885</v>
      </c>
      <c r="C271" s="4" t="inlineStr">
        <is>
          <t>Power Co</t>
        </is>
      </c>
      <c r="D271" s="16" t="n">
        <v>56.24</v>
      </c>
      <c r="E271" s="4" t="inlineStr">
        <is>
          <t>Utilities</t>
        </is>
      </c>
      <c r="F271" s="4" t="inlineStr">
        <is>
          <t>No</t>
        </is>
      </c>
      <c r="G271" s="2" t="n"/>
    </row>
    <row r="272">
      <c r="B272" s="15" t="n">
        <v>45874</v>
      </c>
      <c r="C272" s="4" t="inlineStr">
        <is>
          <t>Power Co</t>
        </is>
      </c>
      <c r="D272" s="16" t="n">
        <v>102.78</v>
      </c>
      <c r="E272" s="4" t="inlineStr">
        <is>
          <t>Utilities</t>
        </is>
      </c>
      <c r="F272" s="4" t="inlineStr">
        <is>
          <t>No</t>
        </is>
      </c>
      <c r="G272" s="2" t="n"/>
    </row>
    <row r="273">
      <c r="B273" s="15" t="n">
        <v>45870</v>
      </c>
      <c r="C273" s="4" t="inlineStr">
        <is>
          <t>Costco</t>
        </is>
      </c>
      <c r="D273" s="16" t="n">
        <v>216.17</v>
      </c>
      <c r="E273" s="4" t="inlineStr">
        <is>
          <t>Groceries</t>
        </is>
      </c>
      <c r="F273" s="4" t="inlineStr">
        <is>
          <t>No</t>
        </is>
      </c>
      <c r="G273" s="2" t="n"/>
    </row>
    <row r="274">
      <c r="B274" s="15" t="n">
        <v>45871</v>
      </c>
      <c r="C274" s="4" t="inlineStr">
        <is>
          <t>Costco</t>
        </is>
      </c>
      <c r="D274" s="16" t="n">
        <v>277.84</v>
      </c>
      <c r="E274" s="4" t="inlineStr">
        <is>
          <t>Groceries</t>
        </is>
      </c>
      <c r="F274" s="4" t="inlineStr">
        <is>
          <t>No</t>
        </is>
      </c>
      <c r="G274" s="2" t="n"/>
    </row>
    <row r="275">
      <c r="B275" s="15" t="n">
        <v>45885</v>
      </c>
      <c r="C275" s="4" t="inlineStr">
        <is>
          <t>State Farm</t>
        </is>
      </c>
      <c r="D275" s="16" t="n">
        <v>105</v>
      </c>
      <c r="E275" s="4" t="inlineStr">
        <is>
          <t>Auto Insurance</t>
        </is>
      </c>
      <c r="F275" s="4" t="inlineStr">
        <is>
          <t>Yes</t>
        </is>
      </c>
      <c r="G275" s="2" t="n"/>
    </row>
    <row r="276">
      <c r="B276" s="15" t="n">
        <v>45872</v>
      </c>
      <c r="C276" s="4" t="inlineStr">
        <is>
          <t>Shell</t>
        </is>
      </c>
      <c r="D276" s="16" t="n">
        <v>53.12</v>
      </c>
      <c r="E276" s="4" t="inlineStr">
        <is>
          <t>Gas</t>
        </is>
      </c>
      <c r="F276" s="4" t="inlineStr">
        <is>
          <t>No</t>
        </is>
      </c>
      <c r="G276" s="2" t="n"/>
    </row>
    <row r="277">
      <c r="B277" s="15" t="n">
        <v>45895</v>
      </c>
      <c r="C277" s="4" t="inlineStr">
        <is>
          <t>Shell</t>
        </is>
      </c>
      <c r="D277" s="16" t="n">
        <v>51.54</v>
      </c>
      <c r="E277" s="4" t="inlineStr">
        <is>
          <t>Gas</t>
        </is>
      </c>
      <c r="F277" s="4" t="inlineStr">
        <is>
          <t>No</t>
        </is>
      </c>
      <c r="G277" s="2" t="n"/>
    </row>
    <row r="278">
      <c r="B278" s="15" t="n">
        <v>45885</v>
      </c>
      <c r="C278" s="4" t="inlineStr">
        <is>
          <t>Anthem</t>
        </is>
      </c>
      <c r="D278" s="16" t="n">
        <v>180</v>
      </c>
      <c r="E278" s="4" t="inlineStr">
        <is>
          <t>Health Insurance</t>
        </is>
      </c>
      <c r="F278" s="4" t="inlineStr">
        <is>
          <t>Yes</t>
        </is>
      </c>
      <c r="G278" s="2" t="n"/>
    </row>
    <row r="279">
      <c r="B279" s="15" t="n">
        <v>45873</v>
      </c>
      <c r="C279" s="4" t="inlineStr">
        <is>
          <t>Verizon</t>
        </is>
      </c>
      <c r="D279" s="16" t="n">
        <v>70</v>
      </c>
      <c r="E279" s="4" t="inlineStr">
        <is>
          <t>Phone</t>
        </is>
      </c>
      <c r="F279" s="4" t="inlineStr">
        <is>
          <t>Yes</t>
        </is>
      </c>
      <c r="G279" s="2" t="n"/>
    </row>
    <row r="280">
      <c r="B280" s="15" t="n">
        <v>45886</v>
      </c>
      <c r="C280" s="4" t="inlineStr">
        <is>
          <t>Student Loan Svc</t>
        </is>
      </c>
      <c r="D280" s="16" t="n">
        <v>300</v>
      </c>
      <c r="E280" s="4" t="inlineStr">
        <is>
          <t>Min Debt Payment</t>
        </is>
      </c>
      <c r="F280" s="4" t="inlineStr">
        <is>
          <t>Yes</t>
        </is>
      </c>
      <c r="G280" s="2" t="n"/>
    </row>
    <row r="281">
      <c r="B281" s="15" t="n">
        <v>45884</v>
      </c>
      <c r="C281" s="4" t="inlineStr">
        <is>
          <t>Dr. Patel</t>
        </is>
      </c>
      <c r="D281" s="16" t="n">
        <v>15.57</v>
      </c>
      <c r="E281" s="4" t="inlineStr">
        <is>
          <t>Medical/Prescriptions</t>
        </is>
      </c>
      <c r="F281" s="4" t="inlineStr">
        <is>
          <t>No</t>
        </is>
      </c>
      <c r="G281" s="2" t="n"/>
    </row>
    <row r="282">
      <c r="B282" s="15" t="n">
        <v>45874</v>
      </c>
      <c r="C282" s="4" t="inlineStr">
        <is>
          <t>CVS</t>
        </is>
      </c>
      <c r="D282" s="16" t="n">
        <v>20.85</v>
      </c>
      <c r="E282" s="4" t="inlineStr">
        <is>
          <t>Medical/Prescriptions</t>
        </is>
      </c>
      <c r="F282" s="4" t="inlineStr">
        <is>
          <t>No</t>
        </is>
      </c>
      <c r="G282" s="2" t="n"/>
    </row>
    <row r="283">
      <c r="B283" s="15" t="n">
        <v>45886</v>
      </c>
      <c r="C283" s="4" t="inlineStr">
        <is>
          <t>Lemonade</t>
        </is>
      </c>
      <c r="D283" s="16" t="n">
        <v>22</v>
      </c>
      <c r="E283" s="4" t="inlineStr">
        <is>
          <t>Renters Insurance</t>
        </is>
      </c>
      <c r="F283" s="4" t="inlineStr">
        <is>
          <t>Yes</t>
        </is>
      </c>
      <c r="G283" s="2" t="n"/>
    </row>
    <row r="284">
      <c r="B284" s="15" t="n">
        <v>45897</v>
      </c>
      <c r="C284" s="4" t="inlineStr">
        <is>
          <t>Xfinity</t>
        </is>
      </c>
      <c r="D284" s="16" t="n">
        <v>60</v>
      </c>
      <c r="E284" s="4" t="inlineStr">
        <is>
          <t>Internet</t>
        </is>
      </c>
      <c r="F284" s="4" t="inlineStr">
        <is>
          <t>Yes</t>
        </is>
      </c>
      <c r="G284" s="2" t="n"/>
    </row>
    <row r="285">
      <c r="B285" s="15" t="n">
        <v>45876</v>
      </c>
      <c r="C285" s="4" t="inlineStr">
        <is>
          <t>Panera</t>
        </is>
      </c>
      <c r="D285" s="16" t="n">
        <v>51.73</v>
      </c>
      <c r="E285" s="4" t="inlineStr">
        <is>
          <t>Dining Out</t>
        </is>
      </c>
      <c r="F285" s="4" t="inlineStr">
        <is>
          <t>No</t>
        </is>
      </c>
      <c r="G285" s="2" t="n"/>
    </row>
    <row r="286">
      <c r="B286" s="15" t="n">
        <v>45886</v>
      </c>
      <c r="C286" s="4" t="inlineStr">
        <is>
          <t>Thai Kitchen</t>
        </is>
      </c>
      <c r="D286" s="16" t="n">
        <v>47.45</v>
      </c>
      <c r="E286" s="4" t="inlineStr">
        <is>
          <t>Dining Out</t>
        </is>
      </c>
      <c r="F286" s="4" t="inlineStr">
        <is>
          <t>No</t>
        </is>
      </c>
      <c r="G286" s="2" t="n"/>
    </row>
    <row r="287">
      <c r="B287" s="15" t="n">
        <v>45878</v>
      </c>
      <c r="C287" s="4" t="inlineStr">
        <is>
          <t>Chipotle</t>
        </is>
      </c>
      <c r="D287" s="16" t="n">
        <v>28.35</v>
      </c>
      <c r="E287" s="4" t="inlineStr">
        <is>
          <t>Dining Out</t>
        </is>
      </c>
      <c r="F287" s="4" t="inlineStr">
        <is>
          <t>No</t>
        </is>
      </c>
      <c r="G287" s="2" t="n"/>
    </row>
    <row r="288">
      <c r="B288" s="15" t="n">
        <v>45899</v>
      </c>
      <c r="C288" s="4" t="inlineStr">
        <is>
          <t>Panera</t>
        </is>
      </c>
      <c r="D288" s="16" t="n">
        <v>27.67</v>
      </c>
      <c r="E288" s="4" t="inlineStr">
        <is>
          <t>Dining Out</t>
        </is>
      </c>
      <c r="F288" s="4" t="inlineStr">
        <is>
          <t>No</t>
        </is>
      </c>
      <c r="G288" s="2" t="n"/>
    </row>
    <row r="289">
      <c r="B289" s="15" t="n">
        <v>45882</v>
      </c>
      <c r="C289" s="4" t="inlineStr">
        <is>
          <t>Starbucks</t>
        </is>
      </c>
      <c r="D289" s="16" t="n">
        <v>10.12</v>
      </c>
      <c r="E289" s="4" t="inlineStr">
        <is>
          <t>Coffee Shops</t>
        </is>
      </c>
      <c r="F289" s="4" t="inlineStr">
        <is>
          <t>No</t>
        </is>
      </c>
      <c r="G289" s="2" t="n"/>
    </row>
    <row r="290">
      <c r="B290" s="15" t="n">
        <v>45885</v>
      </c>
      <c r="C290" s="4" t="inlineStr">
        <is>
          <t>Local Roast</t>
        </is>
      </c>
      <c r="D290" s="16" t="n">
        <v>9.199999999999999</v>
      </c>
      <c r="E290" s="4" t="inlineStr">
        <is>
          <t>Coffee Shops</t>
        </is>
      </c>
      <c r="F290" s="4" t="inlineStr">
        <is>
          <t>No</t>
        </is>
      </c>
      <c r="G290" s="2" t="n"/>
    </row>
    <row r="291">
      <c r="B291" s="15" t="n">
        <v>45878</v>
      </c>
      <c r="C291" s="4" t="inlineStr">
        <is>
          <t>Starbucks</t>
        </is>
      </c>
      <c r="D291" s="16" t="n">
        <v>8.25</v>
      </c>
      <c r="E291" s="4" t="inlineStr">
        <is>
          <t>Coffee Shops</t>
        </is>
      </c>
      <c r="F291" s="4" t="inlineStr">
        <is>
          <t>No</t>
        </is>
      </c>
      <c r="G291" s="2" t="n"/>
    </row>
    <row r="292">
      <c r="B292" s="15" t="n">
        <v>45888</v>
      </c>
      <c r="C292" s="4" t="inlineStr">
        <is>
          <t>Local Roast</t>
        </is>
      </c>
      <c r="D292" s="16" t="n">
        <v>9.6</v>
      </c>
      <c r="E292" s="4" t="inlineStr">
        <is>
          <t>Coffee Shops</t>
        </is>
      </c>
      <c r="F292" s="4" t="inlineStr">
        <is>
          <t>No</t>
        </is>
      </c>
      <c r="G292" s="2" t="n"/>
    </row>
    <row r="293">
      <c r="B293" s="15" t="n">
        <v>45891</v>
      </c>
      <c r="C293" s="4" t="inlineStr">
        <is>
          <t>Steam</t>
        </is>
      </c>
      <c r="D293" s="16" t="n">
        <v>94.05</v>
      </c>
      <c r="E293" s="4" t="inlineStr">
        <is>
          <t>Entertainment</t>
        </is>
      </c>
      <c r="F293" s="4" t="inlineStr">
        <is>
          <t>No</t>
        </is>
      </c>
      <c r="G293" s="2" t="n"/>
    </row>
    <row r="294">
      <c r="B294" s="15" t="n">
        <v>45897</v>
      </c>
      <c r="C294" s="4" t="inlineStr">
        <is>
          <t>Target</t>
        </is>
      </c>
      <c r="D294" s="16" t="n">
        <v>50.96</v>
      </c>
      <c r="E294" s="4" t="inlineStr">
        <is>
          <t>Clothing</t>
        </is>
      </c>
      <c r="F294" s="4" t="inlineStr">
        <is>
          <t>No</t>
        </is>
      </c>
      <c r="G294" s="2" t="n"/>
    </row>
    <row r="295">
      <c r="B295" s="15" t="n">
        <v>45900</v>
      </c>
      <c r="C295" s="4" t="inlineStr">
        <is>
          <t>Netflix</t>
        </is>
      </c>
      <c r="D295" s="16" t="n">
        <v>46.95</v>
      </c>
      <c r="E295" s="4" t="inlineStr">
        <is>
          <t>Subscriptions</t>
        </is>
      </c>
      <c r="F295" s="4" t="inlineStr">
        <is>
          <t>No</t>
        </is>
      </c>
      <c r="G295" s="2" t="n"/>
    </row>
    <row r="296">
      <c r="B296" s="15" t="n">
        <v>45892</v>
      </c>
      <c r="C296" s="4" t="inlineStr">
        <is>
          <t>Planet Fitness</t>
        </is>
      </c>
      <c r="D296" s="16" t="n">
        <v>40</v>
      </c>
      <c r="E296" s="4" t="inlineStr">
        <is>
          <t>Gym</t>
        </is>
      </c>
      <c r="F296" s="4" t="inlineStr">
        <is>
          <t>Yes</t>
        </is>
      </c>
      <c r="G296" s="2" t="n"/>
    </row>
    <row r="297">
      <c r="B297" s="15" t="n">
        <v>45876</v>
      </c>
      <c r="C297" s="4" t="inlineStr">
        <is>
          <t>Target Beauty</t>
        </is>
      </c>
      <c r="D297" s="16" t="n">
        <v>23.8</v>
      </c>
      <c r="E297" s="4" t="inlineStr">
        <is>
          <t>Personal Care</t>
        </is>
      </c>
      <c r="F297" s="4" t="inlineStr">
        <is>
          <t>No</t>
        </is>
      </c>
      <c r="G297" s="2" t="n"/>
    </row>
    <row r="298">
      <c r="B298" s="15" t="n">
        <v>45895</v>
      </c>
      <c r="C298" s="4" t="inlineStr">
        <is>
          <t>Etsy</t>
        </is>
      </c>
      <c r="D298" s="16" t="n">
        <v>36.93</v>
      </c>
      <c r="E298" s="4" t="inlineStr">
        <is>
          <t>Gifts</t>
        </is>
      </c>
      <c r="F298" s="4" t="inlineStr">
        <is>
          <t>No</t>
        </is>
      </c>
      <c r="G298" s="2" t="n"/>
    </row>
    <row r="299">
      <c r="B299" s="15" t="n">
        <v>45873</v>
      </c>
      <c r="C299" s="4" t="inlineStr">
        <is>
          <t>REI</t>
        </is>
      </c>
      <c r="D299" s="16" t="n">
        <v>38.14</v>
      </c>
      <c r="E299" s="4" t="inlineStr">
        <is>
          <t>Hobbies</t>
        </is>
      </c>
      <c r="F299" s="4" t="inlineStr">
        <is>
          <t>No</t>
        </is>
      </c>
      <c r="G299" s="2" t="n"/>
    </row>
    <row r="300">
      <c r="B300" s="15" t="n">
        <v>45892</v>
      </c>
      <c r="C300" s="4" t="inlineStr">
        <is>
          <t>Local Bar</t>
        </is>
      </c>
      <c r="D300" s="16" t="n">
        <v>41.72</v>
      </c>
      <c r="E300" s="4" t="inlineStr">
        <is>
          <t>Alcohol/Bars</t>
        </is>
      </c>
      <c r="F300" s="4" t="inlineStr">
        <is>
          <t>No</t>
        </is>
      </c>
      <c r="G300" s="2" t="n"/>
    </row>
    <row r="301">
      <c r="B301" s="15" t="n">
        <v>45881</v>
      </c>
      <c r="C301" s="4" t="inlineStr">
        <is>
          <t>Transfer to Savings</t>
        </is>
      </c>
      <c r="D301" s="16" t="n">
        <v>200</v>
      </c>
      <c r="E301" s="4" t="inlineStr">
        <is>
          <t>Emergency Fund</t>
        </is>
      </c>
      <c r="F301" s="4" t="inlineStr">
        <is>
          <t>Yes</t>
        </is>
      </c>
      <c r="G301" s="2" t="n"/>
    </row>
    <row r="302">
      <c r="B302" s="15" t="n">
        <v>45893</v>
      </c>
      <c r="C302" s="4" t="inlineStr">
        <is>
          <t>Vanguard</t>
        </is>
      </c>
      <c r="D302" s="16" t="n">
        <v>200</v>
      </c>
      <c r="E302" s="4" t="inlineStr">
        <is>
          <t>Retirement Extra</t>
        </is>
      </c>
      <c r="F302" s="4" t="inlineStr">
        <is>
          <t>Yes</t>
        </is>
      </c>
      <c r="G302" s="2" t="n"/>
    </row>
    <row r="303">
      <c r="B303" s="15" t="n">
        <v>45874</v>
      </c>
      <c r="C303" s="4" t="inlineStr">
        <is>
          <t>Transfer to Vacation</t>
        </is>
      </c>
      <c r="D303" s="16" t="n">
        <v>100</v>
      </c>
      <c r="E303" s="4" t="inlineStr">
        <is>
          <t>Vacation Fund</t>
        </is>
      </c>
      <c r="F303" s="4" t="inlineStr">
        <is>
          <t>Yes</t>
        </is>
      </c>
      <c r="G303" s="2" t="n"/>
    </row>
    <row r="304">
      <c r="B304" s="15" t="n">
        <v>45889</v>
      </c>
      <c r="C304" s="4" t="inlineStr">
        <is>
          <t>Transfer to Sinking</t>
        </is>
      </c>
      <c r="D304" s="16" t="n">
        <v>75</v>
      </c>
      <c r="E304" s="4" t="inlineStr">
        <is>
          <t>Sinking Funds</t>
        </is>
      </c>
      <c r="F304" s="4" t="inlineStr">
        <is>
          <t>Yes</t>
        </is>
      </c>
      <c r="G304" s="2" t="n"/>
    </row>
    <row r="305">
      <c r="B305" s="15" t="n">
        <v>45883</v>
      </c>
      <c r="C305" s="4" t="inlineStr">
        <is>
          <t>Fidelity Transfer</t>
        </is>
      </c>
      <c r="D305" s="16" t="n">
        <v>150</v>
      </c>
      <c r="E305" s="4" t="inlineStr">
        <is>
          <t>Investments</t>
        </is>
      </c>
      <c r="F305" s="4" t="inlineStr">
        <is>
          <t>Yes</t>
        </is>
      </c>
      <c r="G305" s="2" t="n"/>
    </row>
    <row r="306">
      <c r="B306" s="15" t="n">
        <v>45920</v>
      </c>
      <c r="C306" s="4" t="inlineStr">
        <is>
          <t>Landlord LLC</t>
        </is>
      </c>
      <c r="D306" s="16" t="n">
        <v>1450</v>
      </c>
      <c r="E306" s="4" t="inlineStr">
        <is>
          <t>Rent/Mortgage</t>
        </is>
      </c>
      <c r="F306" s="4" t="inlineStr">
        <is>
          <t>Yes</t>
        </is>
      </c>
      <c r="G306" s="2" t="n"/>
    </row>
    <row r="307">
      <c r="B307" s="15" t="n">
        <v>45926</v>
      </c>
      <c r="C307" s="4" t="inlineStr">
        <is>
          <t>Water Dept</t>
        </is>
      </c>
      <c r="D307" s="16" t="n">
        <v>226.66</v>
      </c>
      <c r="E307" s="4" t="inlineStr">
        <is>
          <t>Utilities</t>
        </is>
      </c>
      <c r="F307" s="4" t="inlineStr">
        <is>
          <t>No</t>
        </is>
      </c>
      <c r="G307" s="2" t="n"/>
    </row>
    <row r="308">
      <c r="B308" s="15" t="n">
        <v>45918</v>
      </c>
      <c r="C308" s="4" t="inlineStr">
        <is>
          <t>Trader Joes</t>
        </is>
      </c>
      <c r="D308" s="16" t="n">
        <v>135.78</v>
      </c>
      <c r="E308" s="4" t="inlineStr">
        <is>
          <t>Groceries</t>
        </is>
      </c>
      <c r="F308" s="4" t="inlineStr">
        <is>
          <t>No</t>
        </is>
      </c>
      <c r="G308" s="2" t="n"/>
    </row>
    <row r="309">
      <c r="B309" s="15" t="n">
        <v>45914</v>
      </c>
      <c r="C309" s="4" t="inlineStr">
        <is>
          <t>Trader Joes</t>
        </is>
      </c>
      <c r="D309" s="16" t="n">
        <v>136.97</v>
      </c>
      <c r="E309" s="4" t="inlineStr">
        <is>
          <t>Groceries</t>
        </is>
      </c>
      <c r="F309" s="4" t="inlineStr">
        <is>
          <t>No</t>
        </is>
      </c>
      <c r="G309" s="2" t="n"/>
    </row>
    <row r="310">
      <c r="B310" s="15" t="n">
        <v>45904</v>
      </c>
      <c r="C310" s="4" t="inlineStr">
        <is>
          <t>Kroger</t>
        </is>
      </c>
      <c r="D310" s="16" t="n">
        <v>155.83</v>
      </c>
      <c r="E310" s="4" t="inlineStr">
        <is>
          <t>Groceries</t>
        </is>
      </c>
      <c r="F310" s="4" t="inlineStr">
        <is>
          <t>No</t>
        </is>
      </c>
      <c r="G310" s="2" t="n"/>
    </row>
    <row r="311">
      <c r="B311" s="15" t="n">
        <v>45925</v>
      </c>
      <c r="C311" s="4" t="inlineStr">
        <is>
          <t>State Farm</t>
        </is>
      </c>
      <c r="D311" s="16" t="n">
        <v>105</v>
      </c>
      <c r="E311" s="4" t="inlineStr">
        <is>
          <t>Auto Insurance</t>
        </is>
      </c>
      <c r="F311" s="4" t="inlineStr">
        <is>
          <t>Yes</t>
        </is>
      </c>
      <c r="G311" s="2" t="n"/>
    </row>
    <row r="312">
      <c r="B312" s="15" t="n">
        <v>45920</v>
      </c>
      <c r="C312" s="4" t="inlineStr">
        <is>
          <t>BP</t>
        </is>
      </c>
      <c r="D312" s="16" t="n">
        <v>38.33</v>
      </c>
      <c r="E312" s="4" t="inlineStr">
        <is>
          <t>Gas</t>
        </is>
      </c>
      <c r="F312" s="4" t="inlineStr">
        <is>
          <t>No</t>
        </is>
      </c>
      <c r="G312" s="2" t="n"/>
    </row>
    <row r="313">
      <c r="B313" s="15" t="n">
        <v>45902</v>
      </c>
      <c r="C313" s="4" t="inlineStr">
        <is>
          <t>BP</t>
        </is>
      </c>
      <c r="D313" s="16" t="n">
        <v>24.63</v>
      </c>
      <c r="E313" s="4" t="inlineStr">
        <is>
          <t>Gas</t>
        </is>
      </c>
      <c r="F313" s="4" t="inlineStr">
        <is>
          <t>No</t>
        </is>
      </c>
      <c r="G313" s="2" t="n"/>
    </row>
    <row r="314">
      <c r="B314" s="15" t="n">
        <v>45928</v>
      </c>
      <c r="C314" s="4" t="inlineStr">
        <is>
          <t>Shell</t>
        </is>
      </c>
      <c r="D314" s="16" t="n">
        <v>39.05</v>
      </c>
      <c r="E314" s="4" t="inlineStr">
        <is>
          <t>Gas</t>
        </is>
      </c>
      <c r="F314" s="4" t="inlineStr">
        <is>
          <t>No</t>
        </is>
      </c>
      <c r="G314" s="2" t="n"/>
    </row>
    <row r="315">
      <c r="B315" s="15" t="n">
        <v>45921</v>
      </c>
      <c r="C315" s="4" t="inlineStr">
        <is>
          <t>BP</t>
        </is>
      </c>
      <c r="D315" s="16" t="n">
        <v>39.14</v>
      </c>
      <c r="E315" s="4" t="inlineStr">
        <is>
          <t>Gas</t>
        </is>
      </c>
      <c r="F315" s="4" t="inlineStr">
        <is>
          <t>No</t>
        </is>
      </c>
      <c r="G315" s="2" t="n"/>
    </row>
    <row r="316">
      <c r="B316" s="15" t="n">
        <v>45911</v>
      </c>
      <c r="C316" s="4" t="inlineStr">
        <is>
          <t>Anthem</t>
        </is>
      </c>
      <c r="D316" s="16" t="n">
        <v>180</v>
      </c>
      <c r="E316" s="4" t="inlineStr">
        <is>
          <t>Health Insurance</t>
        </is>
      </c>
      <c r="F316" s="4" t="inlineStr">
        <is>
          <t>Yes</t>
        </is>
      </c>
      <c r="G316" s="2" t="n"/>
    </row>
    <row r="317">
      <c r="B317" s="15" t="n">
        <v>45925</v>
      </c>
      <c r="C317" s="4" t="inlineStr">
        <is>
          <t>Verizon</t>
        </is>
      </c>
      <c r="D317" s="16" t="n">
        <v>70</v>
      </c>
      <c r="E317" s="4" t="inlineStr">
        <is>
          <t>Phone</t>
        </is>
      </c>
      <c r="F317" s="4" t="inlineStr">
        <is>
          <t>Yes</t>
        </is>
      </c>
      <c r="G317" s="2" t="n"/>
    </row>
    <row r="318">
      <c r="B318" s="15" t="n">
        <v>45904</v>
      </c>
      <c r="C318" s="4" t="inlineStr">
        <is>
          <t>Student Loan Svc</t>
        </is>
      </c>
      <c r="D318" s="16" t="n">
        <v>300</v>
      </c>
      <c r="E318" s="4" t="inlineStr">
        <is>
          <t>Min Debt Payment</t>
        </is>
      </c>
      <c r="F318" s="4" t="inlineStr">
        <is>
          <t>Yes</t>
        </is>
      </c>
      <c r="G318" s="2" t="n"/>
    </row>
    <row r="319">
      <c r="B319" s="15" t="n">
        <v>45925</v>
      </c>
      <c r="C319" s="4" t="inlineStr">
        <is>
          <t>Dr. Patel</t>
        </is>
      </c>
      <c r="D319" s="16" t="n">
        <v>29.35</v>
      </c>
      <c r="E319" s="4" t="inlineStr">
        <is>
          <t>Medical/Prescriptions</t>
        </is>
      </c>
      <c r="F319" s="4" t="inlineStr">
        <is>
          <t>No</t>
        </is>
      </c>
      <c r="G319" s="2" t="n"/>
    </row>
    <row r="320">
      <c r="B320" s="15" t="n">
        <v>45920</v>
      </c>
      <c r="C320" s="4" t="inlineStr">
        <is>
          <t>CVS</t>
        </is>
      </c>
      <c r="D320" s="16" t="n">
        <v>21.43</v>
      </c>
      <c r="E320" s="4" t="inlineStr">
        <is>
          <t>Medical/Prescriptions</t>
        </is>
      </c>
      <c r="F320" s="4" t="inlineStr">
        <is>
          <t>No</t>
        </is>
      </c>
      <c r="G320" s="2" t="n"/>
    </row>
    <row r="321">
      <c r="B321" s="15" t="n">
        <v>45906</v>
      </c>
      <c r="C321" s="4" t="inlineStr">
        <is>
          <t>Lemonade</t>
        </is>
      </c>
      <c r="D321" s="16" t="n">
        <v>22</v>
      </c>
      <c r="E321" s="4" t="inlineStr">
        <is>
          <t>Renters Insurance</t>
        </is>
      </c>
      <c r="F321" s="4" t="inlineStr">
        <is>
          <t>Yes</t>
        </is>
      </c>
      <c r="G321" s="2" t="n"/>
    </row>
    <row r="322">
      <c r="B322" s="15" t="n">
        <v>45914</v>
      </c>
      <c r="C322" s="4" t="inlineStr">
        <is>
          <t>Xfinity</t>
        </is>
      </c>
      <c r="D322" s="16" t="n">
        <v>60</v>
      </c>
      <c r="E322" s="4" t="inlineStr">
        <is>
          <t>Internet</t>
        </is>
      </c>
      <c r="F322" s="4" t="inlineStr">
        <is>
          <t>Yes</t>
        </is>
      </c>
      <c r="G322" s="2" t="n"/>
    </row>
    <row r="323">
      <c r="B323" s="15" t="n">
        <v>45921</v>
      </c>
      <c r="C323" s="4" t="inlineStr">
        <is>
          <t>Olive Garden</t>
        </is>
      </c>
      <c r="D323" s="16" t="n">
        <v>59.17</v>
      </c>
      <c r="E323" s="4" t="inlineStr">
        <is>
          <t>Dining Out</t>
        </is>
      </c>
      <c r="F323" s="4" t="inlineStr">
        <is>
          <t>No</t>
        </is>
      </c>
      <c r="G323" s="2" t="n"/>
    </row>
    <row r="324">
      <c r="B324" s="15" t="n">
        <v>45909</v>
      </c>
      <c r="C324" s="4" t="inlineStr">
        <is>
          <t>Chipotle</t>
        </is>
      </c>
      <c r="D324" s="16" t="n">
        <v>45.91</v>
      </c>
      <c r="E324" s="4" t="inlineStr">
        <is>
          <t>Dining Out</t>
        </is>
      </c>
      <c r="F324" s="4" t="inlineStr">
        <is>
          <t>No</t>
        </is>
      </c>
      <c r="G324" s="2" t="n"/>
    </row>
    <row r="325">
      <c r="B325" s="15" t="n">
        <v>45927</v>
      </c>
      <c r="C325" s="4" t="inlineStr">
        <is>
          <t>Olive Garden</t>
        </is>
      </c>
      <c r="D325" s="16" t="n">
        <v>66.45</v>
      </c>
      <c r="E325" s="4" t="inlineStr">
        <is>
          <t>Dining Out</t>
        </is>
      </c>
      <c r="F325" s="4" t="inlineStr">
        <is>
          <t>No</t>
        </is>
      </c>
      <c r="G325" s="2" t="n"/>
    </row>
    <row r="326">
      <c r="B326" s="15" t="n">
        <v>45919</v>
      </c>
      <c r="C326" s="4" t="inlineStr">
        <is>
          <t>Local Roast</t>
        </is>
      </c>
      <c r="D326" s="16" t="n">
        <v>18.53</v>
      </c>
      <c r="E326" s="4" t="inlineStr">
        <is>
          <t>Coffee Shops</t>
        </is>
      </c>
      <c r="F326" s="4" t="inlineStr">
        <is>
          <t>No</t>
        </is>
      </c>
      <c r="G326" s="2" t="n"/>
    </row>
    <row r="327">
      <c r="B327" s="15" t="n">
        <v>45921</v>
      </c>
      <c r="C327" s="4" t="inlineStr">
        <is>
          <t>Starbucks</t>
        </is>
      </c>
      <c r="D327" s="16" t="n">
        <v>13.35</v>
      </c>
      <c r="E327" s="4" t="inlineStr">
        <is>
          <t>Coffee Shops</t>
        </is>
      </c>
      <c r="F327" s="4" t="inlineStr">
        <is>
          <t>No</t>
        </is>
      </c>
      <c r="G327" s="2" t="n"/>
    </row>
    <row r="328">
      <c r="B328" s="15" t="n">
        <v>45924</v>
      </c>
      <c r="C328" s="4" t="inlineStr">
        <is>
          <t>Local Roast</t>
        </is>
      </c>
      <c r="D328" s="16" t="n">
        <v>15.88</v>
      </c>
      <c r="E328" s="4" t="inlineStr">
        <is>
          <t>Coffee Shops</t>
        </is>
      </c>
      <c r="F328" s="4" t="inlineStr">
        <is>
          <t>No</t>
        </is>
      </c>
      <c r="G328" s="2" t="n"/>
    </row>
    <row r="329">
      <c r="B329" s="15" t="n">
        <v>45901</v>
      </c>
      <c r="C329" s="4" t="inlineStr">
        <is>
          <t>Eventbrite</t>
        </is>
      </c>
      <c r="D329" s="16" t="n">
        <v>52.99</v>
      </c>
      <c r="E329" s="4" t="inlineStr">
        <is>
          <t>Entertainment</t>
        </is>
      </c>
      <c r="F329" s="4" t="inlineStr">
        <is>
          <t>No</t>
        </is>
      </c>
      <c r="G329" s="2" t="n"/>
    </row>
    <row r="330">
      <c r="B330" s="15" t="n">
        <v>45905</v>
      </c>
      <c r="C330" s="4" t="inlineStr">
        <is>
          <t>Target</t>
        </is>
      </c>
      <c r="D330" s="16" t="n">
        <v>32.32</v>
      </c>
      <c r="E330" s="4" t="inlineStr">
        <is>
          <t>Clothing</t>
        </is>
      </c>
      <c r="F330" s="4" t="inlineStr">
        <is>
          <t>No</t>
        </is>
      </c>
      <c r="G330" s="2" t="n"/>
    </row>
    <row r="331">
      <c r="B331" s="15" t="n">
        <v>45905</v>
      </c>
      <c r="C331" s="4" t="inlineStr">
        <is>
          <t>Target</t>
        </is>
      </c>
      <c r="D331" s="16" t="n">
        <v>27.01</v>
      </c>
      <c r="E331" s="4" t="inlineStr">
        <is>
          <t>Clothing</t>
        </is>
      </c>
      <c r="F331" s="4" t="inlineStr">
        <is>
          <t>No</t>
        </is>
      </c>
      <c r="G331" s="2" t="n"/>
    </row>
    <row r="332">
      <c r="B332" s="15" t="n">
        <v>45927</v>
      </c>
      <c r="C332" s="4" t="inlineStr">
        <is>
          <t>Spotify</t>
        </is>
      </c>
      <c r="D332" s="16" t="n">
        <v>66.05</v>
      </c>
      <c r="E332" s="4" t="inlineStr">
        <is>
          <t>Subscriptions</t>
        </is>
      </c>
      <c r="F332" s="4" t="inlineStr">
        <is>
          <t>No</t>
        </is>
      </c>
      <c r="G332" s="2" t="n"/>
    </row>
    <row r="333">
      <c r="B333" s="15" t="n">
        <v>45910</v>
      </c>
      <c r="C333" s="4" t="inlineStr">
        <is>
          <t>Planet Fitness</t>
        </is>
      </c>
      <c r="D333" s="16" t="n">
        <v>40</v>
      </c>
      <c r="E333" s="4" t="inlineStr">
        <is>
          <t>Gym</t>
        </is>
      </c>
      <c r="F333" s="4" t="inlineStr">
        <is>
          <t>Yes</t>
        </is>
      </c>
      <c r="G333" s="2" t="n"/>
    </row>
    <row r="334">
      <c r="B334" s="15" t="n">
        <v>45929</v>
      </c>
      <c r="C334" s="4" t="inlineStr">
        <is>
          <t>Great Clips</t>
        </is>
      </c>
      <c r="D334" s="16" t="n">
        <v>19.13</v>
      </c>
      <c r="E334" s="4" t="inlineStr">
        <is>
          <t>Personal Care</t>
        </is>
      </c>
      <c r="F334" s="4" t="inlineStr">
        <is>
          <t>No</t>
        </is>
      </c>
      <c r="G334" s="2" t="n"/>
    </row>
    <row r="335">
      <c r="B335" s="15" t="n">
        <v>45906</v>
      </c>
      <c r="C335" s="4" t="inlineStr">
        <is>
          <t>Great Clips</t>
        </is>
      </c>
      <c r="D335" s="16" t="n">
        <v>18.85</v>
      </c>
      <c r="E335" s="4" t="inlineStr">
        <is>
          <t>Personal Care</t>
        </is>
      </c>
      <c r="F335" s="4" t="inlineStr">
        <is>
          <t>No</t>
        </is>
      </c>
      <c r="G335" s="2" t="n"/>
    </row>
    <row r="336">
      <c r="B336" s="15" t="n">
        <v>45917</v>
      </c>
      <c r="C336" s="4" t="inlineStr">
        <is>
          <t>Etsy</t>
        </is>
      </c>
      <c r="D336" s="16" t="n">
        <v>42.11</v>
      </c>
      <c r="E336" s="4" t="inlineStr">
        <is>
          <t>Gifts</t>
        </is>
      </c>
      <c r="F336" s="4" t="inlineStr">
        <is>
          <t>No</t>
        </is>
      </c>
      <c r="G336" s="2" t="n"/>
    </row>
    <row r="337">
      <c r="B337" s="15" t="n">
        <v>45929</v>
      </c>
      <c r="C337" s="4" t="inlineStr">
        <is>
          <t>Guitar Center</t>
        </is>
      </c>
      <c r="D337" s="16" t="n">
        <v>13.71</v>
      </c>
      <c r="E337" s="4" t="inlineStr">
        <is>
          <t>Hobbies</t>
        </is>
      </c>
      <c r="F337" s="4" t="inlineStr">
        <is>
          <t>No</t>
        </is>
      </c>
      <c r="G337" s="2" t="n"/>
    </row>
    <row r="338">
      <c r="B338" s="15" t="n">
        <v>45914</v>
      </c>
      <c r="C338" s="4" t="inlineStr">
        <is>
          <t>REI</t>
        </is>
      </c>
      <c r="D338" s="16" t="n">
        <v>11.31</v>
      </c>
      <c r="E338" s="4" t="inlineStr">
        <is>
          <t>Hobbies</t>
        </is>
      </c>
      <c r="F338" s="4" t="inlineStr">
        <is>
          <t>No</t>
        </is>
      </c>
      <c r="G338" s="2" t="n"/>
    </row>
    <row r="339">
      <c r="B339" s="15" t="n">
        <v>45923</v>
      </c>
      <c r="C339" s="4" t="inlineStr">
        <is>
          <t>Liquor Store</t>
        </is>
      </c>
      <c r="D339" s="16" t="n">
        <v>58.25</v>
      </c>
      <c r="E339" s="4" t="inlineStr">
        <is>
          <t>Alcohol/Bars</t>
        </is>
      </c>
      <c r="F339" s="4" t="inlineStr">
        <is>
          <t>No</t>
        </is>
      </c>
      <c r="G339" s="2" t="n"/>
    </row>
    <row r="340">
      <c r="B340" s="15" t="n">
        <v>45903</v>
      </c>
      <c r="C340" s="4" t="inlineStr">
        <is>
          <t>Transfer to Savings</t>
        </is>
      </c>
      <c r="D340" s="16" t="n">
        <v>200</v>
      </c>
      <c r="E340" s="4" t="inlineStr">
        <is>
          <t>Emergency Fund</t>
        </is>
      </c>
      <c r="F340" s="4" t="inlineStr">
        <is>
          <t>Yes</t>
        </is>
      </c>
      <c r="G340" s="2" t="n"/>
    </row>
    <row r="341">
      <c r="B341" s="15" t="n">
        <v>45924</v>
      </c>
      <c r="C341" s="4" t="inlineStr">
        <is>
          <t>Vanguard</t>
        </is>
      </c>
      <c r="D341" s="16" t="n">
        <v>200</v>
      </c>
      <c r="E341" s="4" t="inlineStr">
        <is>
          <t>Retirement Extra</t>
        </is>
      </c>
      <c r="F341" s="4" t="inlineStr">
        <is>
          <t>Yes</t>
        </is>
      </c>
      <c r="G341" s="2" t="n"/>
    </row>
    <row r="342">
      <c r="B342" s="15" t="n">
        <v>45928</v>
      </c>
      <c r="C342" s="4" t="inlineStr">
        <is>
          <t>Transfer to Vacation</t>
        </is>
      </c>
      <c r="D342" s="16" t="n">
        <v>100</v>
      </c>
      <c r="E342" s="4" t="inlineStr">
        <is>
          <t>Vacation Fund</t>
        </is>
      </c>
      <c r="F342" s="4" t="inlineStr">
        <is>
          <t>Yes</t>
        </is>
      </c>
      <c r="G342" s="2" t="n"/>
    </row>
    <row r="343">
      <c r="B343" s="15" t="n">
        <v>45918</v>
      </c>
      <c r="C343" s="4" t="inlineStr">
        <is>
          <t>Transfer to Sinking</t>
        </is>
      </c>
      <c r="D343" s="16" t="n">
        <v>75</v>
      </c>
      <c r="E343" s="4" t="inlineStr">
        <is>
          <t>Sinking Funds</t>
        </is>
      </c>
      <c r="F343" s="4" t="inlineStr">
        <is>
          <t>Yes</t>
        </is>
      </c>
      <c r="G343" s="2" t="n"/>
    </row>
    <row r="344">
      <c r="B344" s="15" t="n">
        <v>45916</v>
      </c>
      <c r="C344" s="4" t="inlineStr">
        <is>
          <t>Fidelity Transfer</t>
        </is>
      </c>
      <c r="D344" s="16" t="n">
        <v>150</v>
      </c>
      <c r="E344" s="4" t="inlineStr">
        <is>
          <t>Investments</t>
        </is>
      </c>
      <c r="F344" s="4" t="inlineStr">
        <is>
          <t>Yes</t>
        </is>
      </c>
      <c r="G344" s="2" t="n"/>
    </row>
    <row r="345">
      <c r="B345" s="15" t="n">
        <v>45941</v>
      </c>
      <c r="C345" s="4" t="inlineStr">
        <is>
          <t>Landlord LLC</t>
        </is>
      </c>
      <c r="D345" s="16" t="n">
        <v>1450</v>
      </c>
      <c r="E345" s="4" t="inlineStr">
        <is>
          <t>Rent/Mortgage</t>
        </is>
      </c>
      <c r="F345" s="4" t="inlineStr">
        <is>
          <t>Yes</t>
        </is>
      </c>
      <c r="G345" s="2" t="n"/>
    </row>
    <row r="346">
      <c r="B346" s="15" t="n">
        <v>45938</v>
      </c>
      <c r="C346" s="4" t="inlineStr">
        <is>
          <t>Water Dept</t>
        </is>
      </c>
      <c r="D346" s="16" t="n">
        <v>143.85</v>
      </c>
      <c r="E346" s="4" t="inlineStr">
        <is>
          <t>Utilities</t>
        </is>
      </c>
      <c r="F346" s="4" t="inlineStr">
        <is>
          <t>No</t>
        </is>
      </c>
      <c r="G346" s="2" t="n"/>
    </row>
    <row r="347">
      <c r="B347" s="15" t="n">
        <v>45940</v>
      </c>
      <c r="C347" s="4" t="inlineStr">
        <is>
          <t>Kroger</t>
        </is>
      </c>
      <c r="D347" s="16" t="n">
        <v>135.5</v>
      </c>
      <c r="E347" s="4" t="inlineStr">
        <is>
          <t>Groceries</t>
        </is>
      </c>
      <c r="F347" s="4" t="inlineStr">
        <is>
          <t>No</t>
        </is>
      </c>
      <c r="G347" s="2" t="n"/>
    </row>
    <row r="348">
      <c r="B348" s="15" t="n">
        <v>45946</v>
      </c>
      <c r="C348" s="4" t="inlineStr">
        <is>
          <t>Costco</t>
        </is>
      </c>
      <c r="D348" s="16" t="n">
        <v>114.07</v>
      </c>
      <c r="E348" s="4" t="inlineStr">
        <is>
          <t>Groceries</t>
        </is>
      </c>
      <c r="F348" s="4" t="inlineStr">
        <is>
          <t>No</t>
        </is>
      </c>
      <c r="G348" s="2" t="n"/>
    </row>
    <row r="349">
      <c r="B349" s="15" t="n">
        <v>45938</v>
      </c>
      <c r="C349" s="4" t="inlineStr">
        <is>
          <t>Costco</t>
        </is>
      </c>
      <c r="D349" s="16" t="n">
        <v>110</v>
      </c>
      <c r="E349" s="4" t="inlineStr">
        <is>
          <t>Groceries</t>
        </is>
      </c>
      <c r="F349" s="4" t="inlineStr">
        <is>
          <t>No</t>
        </is>
      </c>
      <c r="G349" s="2" t="n"/>
    </row>
    <row r="350">
      <c r="B350" s="15" t="n">
        <v>45952</v>
      </c>
      <c r="C350" s="4" t="inlineStr">
        <is>
          <t>Costco</t>
        </is>
      </c>
      <c r="D350" s="16" t="n">
        <v>126.22</v>
      </c>
      <c r="E350" s="4" t="inlineStr">
        <is>
          <t>Groceries</t>
        </is>
      </c>
      <c r="F350" s="4" t="inlineStr">
        <is>
          <t>No</t>
        </is>
      </c>
      <c r="G350" s="2" t="n"/>
    </row>
    <row r="351">
      <c r="B351" s="15" t="n">
        <v>45961</v>
      </c>
      <c r="C351" s="4" t="inlineStr">
        <is>
          <t>State Farm</t>
        </is>
      </c>
      <c r="D351" s="16" t="n">
        <v>105</v>
      </c>
      <c r="E351" s="4" t="inlineStr">
        <is>
          <t>Auto Insurance</t>
        </is>
      </c>
      <c r="F351" s="4" t="inlineStr">
        <is>
          <t>Yes</t>
        </is>
      </c>
      <c r="G351" s="2" t="n"/>
    </row>
    <row r="352">
      <c r="B352" s="15" t="n">
        <v>45935</v>
      </c>
      <c r="C352" s="4" t="inlineStr">
        <is>
          <t>Shell</t>
        </is>
      </c>
      <c r="D352" s="16" t="n">
        <v>44.8</v>
      </c>
      <c r="E352" s="4" t="inlineStr">
        <is>
          <t>Gas</t>
        </is>
      </c>
      <c r="F352" s="4" t="inlineStr">
        <is>
          <t>No</t>
        </is>
      </c>
      <c r="G352" s="2" t="n"/>
    </row>
    <row r="353">
      <c r="B353" s="15" t="n">
        <v>45957</v>
      </c>
      <c r="C353" s="4" t="inlineStr">
        <is>
          <t>Costco Gas</t>
        </is>
      </c>
      <c r="D353" s="16" t="n">
        <v>81.05</v>
      </c>
      <c r="E353" s="4" t="inlineStr">
        <is>
          <t>Gas</t>
        </is>
      </c>
      <c r="F353" s="4" t="inlineStr">
        <is>
          <t>No</t>
        </is>
      </c>
      <c r="G353" s="2" t="n"/>
    </row>
    <row r="354">
      <c r="B354" s="15" t="n">
        <v>45953</v>
      </c>
      <c r="C354" s="4" t="inlineStr">
        <is>
          <t>Anthem</t>
        </is>
      </c>
      <c r="D354" s="16" t="n">
        <v>180</v>
      </c>
      <c r="E354" s="4" t="inlineStr">
        <is>
          <t>Health Insurance</t>
        </is>
      </c>
      <c r="F354" s="4" t="inlineStr">
        <is>
          <t>Yes</t>
        </is>
      </c>
      <c r="G354" s="2" t="n"/>
    </row>
    <row r="355">
      <c r="B355" s="15" t="n">
        <v>45935</v>
      </c>
      <c r="C355" s="4" t="inlineStr">
        <is>
          <t>Verizon</t>
        </is>
      </c>
      <c r="D355" s="16" t="n">
        <v>70</v>
      </c>
      <c r="E355" s="4" t="inlineStr">
        <is>
          <t>Phone</t>
        </is>
      </c>
      <c r="F355" s="4" t="inlineStr">
        <is>
          <t>Yes</t>
        </is>
      </c>
      <c r="G355" s="2" t="n"/>
    </row>
    <row r="356">
      <c r="B356" s="15" t="n">
        <v>45947</v>
      </c>
      <c r="C356" s="4" t="inlineStr">
        <is>
          <t>Chase Visa</t>
        </is>
      </c>
      <c r="D356" s="16" t="n">
        <v>300</v>
      </c>
      <c r="E356" s="4" t="inlineStr">
        <is>
          <t>Min Debt Payment</t>
        </is>
      </c>
      <c r="F356" s="4" t="inlineStr">
        <is>
          <t>Yes</t>
        </is>
      </c>
      <c r="G356" s="2" t="n"/>
    </row>
    <row r="357">
      <c r="B357" s="15" t="n">
        <v>45957</v>
      </c>
      <c r="C357" s="4" t="inlineStr">
        <is>
          <t>CVS</t>
        </is>
      </c>
      <c r="D357" s="16" t="n">
        <v>26.84</v>
      </c>
      <c r="E357" s="4" t="inlineStr">
        <is>
          <t>Medical/Prescriptions</t>
        </is>
      </c>
      <c r="F357" s="4" t="inlineStr">
        <is>
          <t>No</t>
        </is>
      </c>
      <c r="G357" s="2" t="n"/>
    </row>
    <row r="358">
      <c r="B358" s="15" t="n">
        <v>45941</v>
      </c>
      <c r="C358" s="4" t="inlineStr">
        <is>
          <t>Dr. Patel</t>
        </is>
      </c>
      <c r="D358" s="16" t="n">
        <v>18.76</v>
      </c>
      <c r="E358" s="4" t="inlineStr">
        <is>
          <t>Medical/Prescriptions</t>
        </is>
      </c>
      <c r="F358" s="4" t="inlineStr">
        <is>
          <t>No</t>
        </is>
      </c>
      <c r="G358" s="2" t="n"/>
    </row>
    <row r="359">
      <c r="B359" s="15" t="n">
        <v>45938</v>
      </c>
      <c r="C359" s="4" t="inlineStr">
        <is>
          <t>Lemonade</t>
        </is>
      </c>
      <c r="D359" s="16" t="n">
        <v>22</v>
      </c>
      <c r="E359" s="4" t="inlineStr">
        <is>
          <t>Renters Insurance</t>
        </is>
      </c>
      <c r="F359" s="4" t="inlineStr">
        <is>
          <t>Yes</t>
        </is>
      </c>
      <c r="G359" s="2" t="n"/>
    </row>
    <row r="360">
      <c r="B360" s="15" t="n">
        <v>45937</v>
      </c>
      <c r="C360" s="4" t="inlineStr">
        <is>
          <t>Xfinity</t>
        </is>
      </c>
      <c r="D360" s="16" t="n">
        <v>60</v>
      </c>
      <c r="E360" s="4" t="inlineStr">
        <is>
          <t>Internet</t>
        </is>
      </c>
      <c r="F360" s="4" t="inlineStr">
        <is>
          <t>Yes</t>
        </is>
      </c>
      <c r="G360" s="2" t="n"/>
    </row>
    <row r="361">
      <c r="B361" s="15" t="n">
        <v>45959</v>
      </c>
      <c r="C361" s="4" t="inlineStr">
        <is>
          <t>Thai Kitchen</t>
        </is>
      </c>
      <c r="D361" s="16" t="n">
        <v>50.53</v>
      </c>
      <c r="E361" s="4" t="inlineStr">
        <is>
          <t>Dining Out</t>
        </is>
      </c>
      <c r="F361" s="4" t="inlineStr">
        <is>
          <t>No</t>
        </is>
      </c>
      <c r="G361" s="2" t="n"/>
    </row>
    <row r="362">
      <c r="B362" s="15" t="n">
        <v>45940</v>
      </c>
      <c r="C362" s="4" t="inlineStr">
        <is>
          <t>Chipotle</t>
        </is>
      </c>
      <c r="D362" s="16" t="n">
        <v>52.11</v>
      </c>
      <c r="E362" s="4" t="inlineStr">
        <is>
          <t>Dining Out</t>
        </is>
      </c>
      <c r="F362" s="4" t="inlineStr">
        <is>
          <t>No</t>
        </is>
      </c>
      <c r="G362" s="2" t="n"/>
    </row>
    <row r="363">
      <c r="B363" s="15" t="n">
        <v>45941</v>
      </c>
      <c r="C363" s="4" t="inlineStr">
        <is>
          <t>Olive Garden</t>
        </is>
      </c>
      <c r="D363" s="16" t="n">
        <v>43.65</v>
      </c>
      <c r="E363" s="4" t="inlineStr">
        <is>
          <t>Dining Out</t>
        </is>
      </c>
      <c r="F363" s="4" t="inlineStr">
        <is>
          <t>No</t>
        </is>
      </c>
      <c r="G363" s="2" t="n"/>
    </row>
    <row r="364">
      <c r="B364" s="15" t="n">
        <v>45937</v>
      </c>
      <c r="C364" s="4" t="inlineStr">
        <is>
          <t>Chipotle</t>
        </is>
      </c>
      <c r="D364" s="16" t="n">
        <v>28.53</v>
      </c>
      <c r="E364" s="4" t="inlineStr">
        <is>
          <t>Dining Out</t>
        </is>
      </c>
      <c r="F364" s="4" t="inlineStr">
        <is>
          <t>No</t>
        </is>
      </c>
      <c r="G364" s="2" t="n"/>
    </row>
    <row r="365">
      <c r="B365" s="15" t="n">
        <v>45945</v>
      </c>
      <c r="C365" s="4" t="inlineStr">
        <is>
          <t>Local Roast</t>
        </is>
      </c>
      <c r="D365" s="16" t="n">
        <v>11.05</v>
      </c>
      <c r="E365" s="4" t="inlineStr">
        <is>
          <t>Coffee Shops</t>
        </is>
      </c>
      <c r="F365" s="4" t="inlineStr">
        <is>
          <t>No</t>
        </is>
      </c>
      <c r="G365" s="2" t="n"/>
    </row>
    <row r="366">
      <c r="B366" s="15" t="n">
        <v>45945</v>
      </c>
      <c r="C366" s="4" t="inlineStr">
        <is>
          <t>Local Roast</t>
        </is>
      </c>
      <c r="D366" s="16" t="n">
        <v>12.93</v>
      </c>
      <c r="E366" s="4" t="inlineStr">
        <is>
          <t>Coffee Shops</t>
        </is>
      </c>
      <c r="F366" s="4" t="inlineStr">
        <is>
          <t>No</t>
        </is>
      </c>
      <c r="G366" s="2" t="n"/>
    </row>
    <row r="367">
      <c r="B367" s="15" t="n">
        <v>45952</v>
      </c>
      <c r="C367" s="4" t="inlineStr">
        <is>
          <t>Local Roast</t>
        </is>
      </c>
      <c r="D367" s="16" t="n">
        <v>10.07</v>
      </c>
      <c r="E367" s="4" t="inlineStr">
        <is>
          <t>Coffee Shops</t>
        </is>
      </c>
      <c r="F367" s="4" t="inlineStr">
        <is>
          <t>No</t>
        </is>
      </c>
      <c r="G367" s="2" t="n"/>
    </row>
    <row r="368">
      <c r="B368" s="15" t="n">
        <v>45953</v>
      </c>
      <c r="C368" s="4" t="inlineStr">
        <is>
          <t>Starbucks</t>
        </is>
      </c>
      <c r="D368" s="16" t="n">
        <v>11.66</v>
      </c>
      <c r="E368" s="4" t="inlineStr">
        <is>
          <t>Coffee Shops</t>
        </is>
      </c>
      <c r="F368" s="4" t="inlineStr">
        <is>
          <t>No</t>
        </is>
      </c>
      <c r="G368" s="2" t="n"/>
    </row>
    <row r="369">
      <c r="B369" s="15" t="n">
        <v>45940</v>
      </c>
      <c r="C369" s="4" t="inlineStr">
        <is>
          <t>Steam</t>
        </is>
      </c>
      <c r="D369" s="16" t="n">
        <v>68.70999999999999</v>
      </c>
      <c r="E369" s="4" t="inlineStr">
        <is>
          <t>Entertainment</t>
        </is>
      </c>
      <c r="F369" s="4" t="inlineStr">
        <is>
          <t>No</t>
        </is>
      </c>
      <c r="G369" s="2" t="n"/>
    </row>
    <row r="370">
      <c r="B370" s="15" t="n">
        <v>45934</v>
      </c>
      <c r="C370" s="4" t="inlineStr">
        <is>
          <t>Target</t>
        </is>
      </c>
      <c r="D370" s="16" t="n">
        <v>18.92</v>
      </c>
      <c r="E370" s="4" t="inlineStr">
        <is>
          <t>Clothing</t>
        </is>
      </c>
      <c r="F370" s="4" t="inlineStr">
        <is>
          <t>No</t>
        </is>
      </c>
      <c r="G370" s="2" t="n"/>
    </row>
    <row r="371">
      <c r="B371" s="15" t="n">
        <v>45951</v>
      </c>
      <c r="C371" s="4" t="inlineStr">
        <is>
          <t>Target</t>
        </is>
      </c>
      <c r="D371" s="16" t="n">
        <v>25.24</v>
      </c>
      <c r="E371" s="4" t="inlineStr">
        <is>
          <t>Clothing</t>
        </is>
      </c>
      <c r="F371" s="4" t="inlineStr">
        <is>
          <t>No</t>
        </is>
      </c>
      <c r="G371" s="2" t="n"/>
    </row>
    <row r="372">
      <c r="B372" s="15" t="n">
        <v>45957</v>
      </c>
      <c r="C372" s="4" t="inlineStr">
        <is>
          <t>iCloud</t>
        </is>
      </c>
      <c r="D372" s="16" t="n">
        <v>41.94</v>
      </c>
      <c r="E372" s="4" t="inlineStr">
        <is>
          <t>Subscriptions</t>
        </is>
      </c>
      <c r="F372" s="4" t="inlineStr">
        <is>
          <t>No</t>
        </is>
      </c>
      <c r="G372" s="2" t="n"/>
    </row>
    <row r="373">
      <c r="B373" s="15" t="n">
        <v>45941</v>
      </c>
      <c r="C373" s="4" t="inlineStr">
        <is>
          <t>Planet Fitness</t>
        </is>
      </c>
      <c r="D373" s="16" t="n">
        <v>40</v>
      </c>
      <c r="E373" s="4" t="inlineStr">
        <is>
          <t>Gym</t>
        </is>
      </c>
      <c r="F373" s="4" t="inlineStr">
        <is>
          <t>Yes</t>
        </is>
      </c>
      <c r="G373" s="2" t="n"/>
    </row>
    <row r="374">
      <c r="B374" s="15" t="n">
        <v>45946</v>
      </c>
      <c r="C374" s="4" t="inlineStr">
        <is>
          <t>Target Beauty</t>
        </is>
      </c>
      <c r="D374" s="16" t="n">
        <v>30.86</v>
      </c>
      <c r="E374" s="4" t="inlineStr">
        <is>
          <t>Personal Care</t>
        </is>
      </c>
      <c r="F374" s="4" t="inlineStr">
        <is>
          <t>No</t>
        </is>
      </c>
      <c r="G374" s="2" t="n"/>
    </row>
    <row r="375">
      <c r="B375" s="15" t="n">
        <v>45932</v>
      </c>
      <c r="C375" s="4" t="inlineStr">
        <is>
          <t>Amazon</t>
        </is>
      </c>
      <c r="D375" s="16" t="n">
        <v>30.51</v>
      </c>
      <c r="E375" s="4" t="inlineStr">
        <is>
          <t>Gifts</t>
        </is>
      </c>
      <c r="F375" s="4" t="inlineStr">
        <is>
          <t>No</t>
        </is>
      </c>
      <c r="G375" s="2" t="n"/>
    </row>
    <row r="376">
      <c r="B376" s="15" t="n">
        <v>45931</v>
      </c>
      <c r="C376" s="4" t="inlineStr">
        <is>
          <t>REI</t>
        </is>
      </c>
      <c r="D376" s="16" t="n">
        <v>19.36</v>
      </c>
      <c r="E376" s="4" t="inlineStr">
        <is>
          <t>Hobbies</t>
        </is>
      </c>
      <c r="F376" s="4" t="inlineStr">
        <is>
          <t>No</t>
        </is>
      </c>
      <c r="G376" s="2" t="n"/>
    </row>
    <row r="377">
      <c r="B377" s="15" t="n">
        <v>45948</v>
      </c>
      <c r="C377" s="4" t="inlineStr">
        <is>
          <t>REI</t>
        </is>
      </c>
      <c r="D377" s="16" t="n">
        <v>17.94</v>
      </c>
      <c r="E377" s="4" t="inlineStr">
        <is>
          <t>Hobbies</t>
        </is>
      </c>
      <c r="F377" s="4" t="inlineStr">
        <is>
          <t>No</t>
        </is>
      </c>
      <c r="G377" s="2" t="n"/>
    </row>
    <row r="378">
      <c r="B378" s="15" t="n">
        <v>45946</v>
      </c>
      <c r="C378" s="4" t="inlineStr">
        <is>
          <t>Liquor Store</t>
        </is>
      </c>
      <c r="D378" s="16" t="n">
        <v>36.77</v>
      </c>
      <c r="E378" s="4" t="inlineStr">
        <is>
          <t>Alcohol/Bars</t>
        </is>
      </c>
      <c r="F378" s="4" t="inlineStr">
        <is>
          <t>No</t>
        </is>
      </c>
      <c r="G378" s="2" t="n"/>
    </row>
    <row r="379">
      <c r="B379" s="15" t="n">
        <v>45958</v>
      </c>
      <c r="C379" s="4" t="inlineStr">
        <is>
          <t>Transfer to Savings</t>
        </is>
      </c>
      <c r="D379" s="16" t="n">
        <v>200</v>
      </c>
      <c r="E379" s="4" t="inlineStr">
        <is>
          <t>Emergency Fund</t>
        </is>
      </c>
      <c r="F379" s="4" t="inlineStr">
        <is>
          <t>Yes</t>
        </is>
      </c>
      <c r="G379" s="2" t="n"/>
    </row>
    <row r="380">
      <c r="B380" s="15" t="n">
        <v>45939</v>
      </c>
      <c r="C380" s="4" t="inlineStr">
        <is>
          <t>Vanguard</t>
        </is>
      </c>
      <c r="D380" s="16" t="n">
        <v>200</v>
      </c>
      <c r="E380" s="4" t="inlineStr">
        <is>
          <t>Retirement Extra</t>
        </is>
      </c>
      <c r="F380" s="4" t="inlineStr">
        <is>
          <t>Yes</t>
        </is>
      </c>
      <c r="G380" s="2" t="n"/>
    </row>
    <row r="381">
      <c r="B381" s="15" t="n">
        <v>45947</v>
      </c>
      <c r="C381" s="4" t="inlineStr">
        <is>
          <t>Transfer to Vacation</t>
        </is>
      </c>
      <c r="D381" s="16" t="n">
        <v>100</v>
      </c>
      <c r="E381" s="4" t="inlineStr">
        <is>
          <t>Vacation Fund</t>
        </is>
      </c>
      <c r="F381" s="4" t="inlineStr">
        <is>
          <t>Yes</t>
        </is>
      </c>
      <c r="G381" s="2" t="n"/>
    </row>
    <row r="382">
      <c r="B382" s="15" t="n">
        <v>45940</v>
      </c>
      <c r="C382" s="4" t="inlineStr">
        <is>
          <t>Transfer to Sinking</t>
        </is>
      </c>
      <c r="D382" s="16" t="n">
        <v>75</v>
      </c>
      <c r="E382" s="4" t="inlineStr">
        <is>
          <t>Sinking Funds</t>
        </is>
      </c>
      <c r="F382" s="4" t="inlineStr">
        <is>
          <t>Yes</t>
        </is>
      </c>
      <c r="G382" s="2" t="n"/>
    </row>
    <row r="383">
      <c r="B383" s="15" t="n">
        <v>45933</v>
      </c>
      <c r="C383" s="4" t="inlineStr">
        <is>
          <t>Fidelity Transfer</t>
        </is>
      </c>
      <c r="D383" s="16" t="n">
        <v>150</v>
      </c>
      <c r="E383" s="4" t="inlineStr">
        <is>
          <t>Investments</t>
        </is>
      </c>
      <c r="F383" s="4" t="inlineStr">
        <is>
          <t>Yes</t>
        </is>
      </c>
      <c r="G383" s="2" t="n"/>
    </row>
    <row r="384">
      <c r="B384" s="15" t="n">
        <v>45977</v>
      </c>
      <c r="C384" s="4" t="inlineStr">
        <is>
          <t>Landlord LLC</t>
        </is>
      </c>
      <c r="D384" s="16" t="n">
        <v>1450</v>
      </c>
      <c r="E384" s="4" t="inlineStr">
        <is>
          <t>Rent/Mortgage</t>
        </is>
      </c>
      <c r="F384" s="4" t="inlineStr">
        <is>
          <t>Yes</t>
        </is>
      </c>
      <c r="G384" s="2" t="n"/>
    </row>
    <row r="385">
      <c r="B385" s="15" t="n">
        <v>45975</v>
      </c>
      <c r="C385" s="4" t="inlineStr">
        <is>
          <t>Power Co</t>
        </is>
      </c>
      <c r="D385" s="16" t="n">
        <v>67.77</v>
      </c>
      <c r="E385" s="4" t="inlineStr">
        <is>
          <t>Utilities</t>
        </is>
      </c>
      <c r="F385" s="4" t="inlineStr">
        <is>
          <t>No</t>
        </is>
      </c>
      <c r="G385" s="2" t="n"/>
    </row>
    <row r="386">
      <c r="B386" s="15" t="n">
        <v>45963</v>
      </c>
      <c r="C386" s="4" t="inlineStr">
        <is>
          <t>Gas Co</t>
        </is>
      </c>
      <c r="D386" s="16" t="n">
        <v>79.7</v>
      </c>
      <c r="E386" s="4" t="inlineStr">
        <is>
          <t>Utilities</t>
        </is>
      </c>
      <c r="F386" s="4" t="inlineStr">
        <is>
          <t>No</t>
        </is>
      </c>
      <c r="G386" s="2" t="n"/>
    </row>
    <row r="387">
      <c r="B387" s="15" t="n">
        <v>45990</v>
      </c>
      <c r="C387" s="4" t="inlineStr">
        <is>
          <t>Kroger</t>
        </is>
      </c>
      <c r="D387" s="16" t="n">
        <v>276.25</v>
      </c>
      <c r="E387" s="4" t="inlineStr">
        <is>
          <t>Groceries</t>
        </is>
      </c>
      <c r="F387" s="4" t="inlineStr">
        <is>
          <t>No</t>
        </is>
      </c>
      <c r="G387" s="2" t="n"/>
    </row>
    <row r="388">
      <c r="B388" s="15" t="n">
        <v>45967</v>
      </c>
      <c r="C388" s="4" t="inlineStr">
        <is>
          <t>Costco</t>
        </is>
      </c>
      <c r="D388" s="16" t="n">
        <v>247.71</v>
      </c>
      <c r="E388" s="4" t="inlineStr">
        <is>
          <t>Groceries</t>
        </is>
      </c>
      <c r="F388" s="4" t="inlineStr">
        <is>
          <t>No</t>
        </is>
      </c>
      <c r="G388" s="2" t="n"/>
    </row>
    <row r="389">
      <c r="B389" s="15" t="n">
        <v>45979</v>
      </c>
      <c r="C389" s="4" t="inlineStr">
        <is>
          <t>State Farm</t>
        </is>
      </c>
      <c r="D389" s="16" t="n">
        <v>105</v>
      </c>
      <c r="E389" s="4" t="inlineStr">
        <is>
          <t>Auto Insurance</t>
        </is>
      </c>
      <c r="F389" s="4" t="inlineStr">
        <is>
          <t>Yes</t>
        </is>
      </c>
      <c r="G389" s="2" t="n"/>
    </row>
    <row r="390">
      <c r="B390" s="15" t="n">
        <v>45968</v>
      </c>
      <c r="C390" s="4" t="inlineStr">
        <is>
          <t>BP</t>
        </is>
      </c>
      <c r="D390" s="16" t="n">
        <v>27.98</v>
      </c>
      <c r="E390" s="4" t="inlineStr">
        <is>
          <t>Gas</t>
        </is>
      </c>
      <c r="F390" s="4" t="inlineStr">
        <is>
          <t>No</t>
        </is>
      </c>
      <c r="G390" s="2" t="n"/>
    </row>
    <row r="391">
      <c r="B391" s="15" t="n">
        <v>45975</v>
      </c>
      <c r="C391" s="4" t="inlineStr">
        <is>
          <t>BP</t>
        </is>
      </c>
      <c r="D391" s="16" t="n">
        <v>32.32</v>
      </c>
      <c r="E391" s="4" t="inlineStr">
        <is>
          <t>Gas</t>
        </is>
      </c>
      <c r="F391" s="4" t="inlineStr">
        <is>
          <t>No</t>
        </is>
      </c>
      <c r="G391" s="2" t="n"/>
    </row>
    <row r="392">
      <c r="B392" s="15" t="n">
        <v>45989</v>
      </c>
      <c r="C392" s="4" t="inlineStr">
        <is>
          <t>Shell</t>
        </is>
      </c>
      <c r="D392" s="16" t="n">
        <v>35.7</v>
      </c>
      <c r="E392" s="4" t="inlineStr">
        <is>
          <t>Gas</t>
        </is>
      </c>
      <c r="F392" s="4" t="inlineStr">
        <is>
          <t>No</t>
        </is>
      </c>
      <c r="G392" s="2" t="n"/>
    </row>
    <row r="393">
      <c r="B393" s="15" t="n">
        <v>45969</v>
      </c>
      <c r="C393" s="4" t="inlineStr">
        <is>
          <t>Shell</t>
        </is>
      </c>
      <c r="D393" s="16" t="n">
        <v>39.37</v>
      </c>
      <c r="E393" s="4" t="inlineStr">
        <is>
          <t>Gas</t>
        </is>
      </c>
      <c r="F393" s="4" t="inlineStr">
        <is>
          <t>No</t>
        </is>
      </c>
      <c r="G393" s="2" t="n"/>
    </row>
    <row r="394">
      <c r="B394" s="15" t="n">
        <v>45968</v>
      </c>
      <c r="C394" s="4" t="inlineStr">
        <is>
          <t>Anthem</t>
        </is>
      </c>
      <c r="D394" s="16" t="n">
        <v>180</v>
      </c>
      <c r="E394" s="4" t="inlineStr">
        <is>
          <t>Health Insurance</t>
        </is>
      </c>
      <c r="F394" s="4" t="inlineStr">
        <is>
          <t>Yes</t>
        </is>
      </c>
      <c r="G394" s="2" t="n"/>
    </row>
    <row r="395">
      <c r="B395" s="15" t="n">
        <v>45974</v>
      </c>
      <c r="C395" s="4" t="inlineStr">
        <is>
          <t>Verizon</t>
        </is>
      </c>
      <c r="D395" s="16" t="n">
        <v>70</v>
      </c>
      <c r="E395" s="4" t="inlineStr">
        <is>
          <t>Phone</t>
        </is>
      </c>
      <c r="F395" s="4" t="inlineStr">
        <is>
          <t>Yes</t>
        </is>
      </c>
      <c r="G395" s="2" t="n"/>
    </row>
    <row r="396">
      <c r="B396" s="15" t="n">
        <v>45968</v>
      </c>
      <c r="C396" s="4" t="inlineStr">
        <is>
          <t>Chase Visa</t>
        </is>
      </c>
      <c r="D396" s="16" t="n">
        <v>300</v>
      </c>
      <c r="E396" s="4" t="inlineStr">
        <is>
          <t>Min Debt Payment</t>
        </is>
      </c>
      <c r="F396" s="4" t="inlineStr">
        <is>
          <t>Yes</t>
        </is>
      </c>
      <c r="G396" s="2" t="n"/>
    </row>
    <row r="397">
      <c r="B397" s="15" t="n">
        <v>45979</v>
      </c>
      <c r="C397" s="4" t="inlineStr">
        <is>
          <t>CVS</t>
        </is>
      </c>
      <c r="D397" s="16" t="n">
        <v>29.54</v>
      </c>
      <c r="E397" s="4" t="inlineStr">
        <is>
          <t>Medical/Prescriptions</t>
        </is>
      </c>
      <c r="F397" s="4" t="inlineStr">
        <is>
          <t>No</t>
        </is>
      </c>
      <c r="G397" s="2" t="n"/>
    </row>
    <row r="398">
      <c r="B398" s="15" t="n">
        <v>45985</v>
      </c>
      <c r="C398" s="4" t="inlineStr">
        <is>
          <t>Dr. Patel</t>
        </is>
      </c>
      <c r="D398" s="16" t="n">
        <v>17.75</v>
      </c>
      <c r="E398" s="4" t="inlineStr">
        <is>
          <t>Medical/Prescriptions</t>
        </is>
      </c>
      <c r="F398" s="4" t="inlineStr">
        <is>
          <t>No</t>
        </is>
      </c>
      <c r="G398" s="2" t="n"/>
    </row>
    <row r="399">
      <c r="B399" s="15" t="n">
        <v>45977</v>
      </c>
      <c r="C399" s="4" t="inlineStr">
        <is>
          <t>Lemonade</t>
        </is>
      </c>
      <c r="D399" s="16" t="n">
        <v>22</v>
      </c>
      <c r="E399" s="4" t="inlineStr">
        <is>
          <t>Renters Insurance</t>
        </is>
      </c>
      <c r="F399" s="4" t="inlineStr">
        <is>
          <t>Yes</t>
        </is>
      </c>
      <c r="G399" s="2" t="n"/>
    </row>
    <row r="400">
      <c r="B400" s="15" t="n">
        <v>45991</v>
      </c>
      <c r="C400" s="4" t="inlineStr">
        <is>
          <t>Xfinity</t>
        </is>
      </c>
      <c r="D400" s="16" t="n">
        <v>60</v>
      </c>
      <c r="E400" s="4" t="inlineStr">
        <is>
          <t>Internet</t>
        </is>
      </c>
      <c r="F400" s="4" t="inlineStr">
        <is>
          <t>Yes</t>
        </is>
      </c>
      <c r="G400" s="2" t="n"/>
    </row>
    <row r="401">
      <c r="B401" s="15" t="n">
        <v>45983</v>
      </c>
      <c r="C401" s="4" t="inlineStr">
        <is>
          <t>Chipotle</t>
        </is>
      </c>
      <c r="D401" s="16" t="n">
        <v>29.49</v>
      </c>
      <c r="E401" s="4" t="inlineStr">
        <is>
          <t>Dining Out</t>
        </is>
      </c>
      <c r="F401" s="4" t="inlineStr">
        <is>
          <t>No</t>
        </is>
      </c>
      <c r="G401" s="2" t="n"/>
    </row>
    <row r="402">
      <c r="B402" s="15" t="n">
        <v>45965</v>
      </c>
      <c r="C402" s="4" t="inlineStr">
        <is>
          <t>Thai Kitchen</t>
        </is>
      </c>
      <c r="D402" s="16" t="n">
        <v>39.68</v>
      </c>
      <c r="E402" s="4" t="inlineStr">
        <is>
          <t>Dining Out</t>
        </is>
      </c>
      <c r="F402" s="4" t="inlineStr">
        <is>
          <t>No</t>
        </is>
      </c>
      <c r="G402" s="2" t="n"/>
    </row>
    <row r="403">
      <c r="B403" s="15" t="n">
        <v>45967</v>
      </c>
      <c r="C403" s="4" t="inlineStr">
        <is>
          <t>Olive Garden</t>
        </is>
      </c>
      <c r="D403" s="16" t="n">
        <v>43.04</v>
      </c>
      <c r="E403" s="4" t="inlineStr">
        <is>
          <t>Dining Out</t>
        </is>
      </c>
      <c r="F403" s="4" t="inlineStr">
        <is>
          <t>No</t>
        </is>
      </c>
      <c r="G403" s="2" t="n"/>
    </row>
    <row r="404">
      <c r="B404" s="15" t="n">
        <v>45967</v>
      </c>
      <c r="C404" s="4" t="inlineStr">
        <is>
          <t>Chipotle</t>
        </is>
      </c>
      <c r="D404" s="16" t="n">
        <v>26.29</v>
      </c>
      <c r="E404" s="4" t="inlineStr">
        <is>
          <t>Dining Out</t>
        </is>
      </c>
      <c r="F404" s="4" t="inlineStr">
        <is>
          <t>No</t>
        </is>
      </c>
      <c r="G404" s="2" t="n"/>
    </row>
    <row r="405">
      <c r="B405" s="15" t="n">
        <v>45981</v>
      </c>
      <c r="C405" s="4" t="inlineStr">
        <is>
          <t>Starbucks</t>
        </is>
      </c>
      <c r="D405" s="16" t="n">
        <v>16.56</v>
      </c>
      <c r="E405" s="4" t="inlineStr">
        <is>
          <t>Coffee Shops</t>
        </is>
      </c>
      <c r="F405" s="4" t="inlineStr">
        <is>
          <t>No</t>
        </is>
      </c>
      <c r="G405" s="2" t="n"/>
    </row>
    <row r="406">
      <c r="B406" s="15" t="n">
        <v>45978</v>
      </c>
      <c r="C406" s="4" t="inlineStr">
        <is>
          <t>Starbucks</t>
        </is>
      </c>
      <c r="D406" s="16" t="n">
        <v>18.4</v>
      </c>
      <c r="E406" s="4" t="inlineStr">
        <is>
          <t>Coffee Shops</t>
        </is>
      </c>
      <c r="F406" s="4" t="inlineStr">
        <is>
          <t>No</t>
        </is>
      </c>
      <c r="G406" s="2" t="n"/>
    </row>
    <row r="407">
      <c r="B407" s="15" t="n">
        <v>45988</v>
      </c>
      <c r="C407" s="4" t="inlineStr">
        <is>
          <t>Local Roast</t>
        </is>
      </c>
      <c r="D407" s="16" t="n">
        <v>11.12</v>
      </c>
      <c r="E407" s="4" t="inlineStr">
        <is>
          <t>Coffee Shops</t>
        </is>
      </c>
      <c r="F407" s="4" t="inlineStr">
        <is>
          <t>No</t>
        </is>
      </c>
      <c r="G407" s="2" t="n"/>
    </row>
    <row r="408">
      <c r="B408" s="15" t="n">
        <v>45984</v>
      </c>
      <c r="C408" s="4" t="inlineStr">
        <is>
          <t>AMC</t>
        </is>
      </c>
      <c r="D408" s="16" t="n">
        <v>25.67</v>
      </c>
      <c r="E408" s="4" t="inlineStr">
        <is>
          <t>Entertainment</t>
        </is>
      </c>
      <c r="F408" s="4" t="inlineStr">
        <is>
          <t>No</t>
        </is>
      </c>
      <c r="G408" s="2" t="n"/>
    </row>
    <row r="409">
      <c r="B409" s="15" t="n">
        <v>45973</v>
      </c>
      <c r="C409" s="4" t="inlineStr">
        <is>
          <t>Steam</t>
        </is>
      </c>
      <c r="D409" s="16" t="n">
        <v>27.7</v>
      </c>
      <c r="E409" s="4" t="inlineStr">
        <is>
          <t>Entertainment</t>
        </is>
      </c>
      <c r="F409" s="4" t="inlineStr">
        <is>
          <t>No</t>
        </is>
      </c>
      <c r="G409" s="2" t="n"/>
    </row>
    <row r="410">
      <c r="B410" s="15" t="n">
        <v>45970</v>
      </c>
      <c r="C410" s="4" t="inlineStr">
        <is>
          <t>Target</t>
        </is>
      </c>
      <c r="D410" s="16" t="n">
        <v>78.11</v>
      </c>
      <c r="E410" s="4" t="inlineStr">
        <is>
          <t>Clothing</t>
        </is>
      </c>
      <c r="F410" s="4" t="inlineStr">
        <is>
          <t>No</t>
        </is>
      </c>
      <c r="G410" s="2" t="n"/>
    </row>
    <row r="411">
      <c r="B411" s="15" t="n">
        <v>45968</v>
      </c>
      <c r="C411" s="4" t="inlineStr">
        <is>
          <t>Netflix</t>
        </is>
      </c>
      <c r="D411" s="16" t="n">
        <v>30.65</v>
      </c>
      <c r="E411" s="4" t="inlineStr">
        <is>
          <t>Subscriptions</t>
        </is>
      </c>
      <c r="F411" s="4" t="inlineStr">
        <is>
          <t>No</t>
        </is>
      </c>
      <c r="G411" s="2" t="n"/>
    </row>
    <row r="412">
      <c r="B412" s="15" t="n">
        <v>45966</v>
      </c>
      <c r="C412" s="4" t="inlineStr">
        <is>
          <t>Planet Fitness</t>
        </is>
      </c>
      <c r="D412" s="16" t="n">
        <v>40</v>
      </c>
      <c r="E412" s="4" t="inlineStr">
        <is>
          <t>Gym</t>
        </is>
      </c>
      <c r="F412" s="4" t="inlineStr">
        <is>
          <t>Yes</t>
        </is>
      </c>
      <c r="G412" s="2" t="n"/>
    </row>
    <row r="413">
      <c r="B413" s="15" t="n">
        <v>45964</v>
      </c>
      <c r="C413" s="4" t="inlineStr">
        <is>
          <t>Great Clips</t>
        </is>
      </c>
      <c r="D413" s="16" t="n">
        <v>42.58</v>
      </c>
      <c r="E413" s="4" t="inlineStr">
        <is>
          <t>Personal Care</t>
        </is>
      </c>
      <c r="F413" s="4" t="inlineStr">
        <is>
          <t>No</t>
        </is>
      </c>
      <c r="G413" s="2" t="n"/>
    </row>
    <row r="414">
      <c r="B414" s="15" t="n">
        <v>45976</v>
      </c>
      <c r="C414" s="4" t="inlineStr">
        <is>
          <t>Etsy</t>
        </is>
      </c>
      <c r="D414" s="16" t="n">
        <v>14.77</v>
      </c>
      <c r="E414" s="4" t="inlineStr">
        <is>
          <t>Gifts</t>
        </is>
      </c>
      <c r="F414" s="4" t="inlineStr">
        <is>
          <t>No</t>
        </is>
      </c>
      <c r="G414" s="2" t="n"/>
    </row>
    <row r="415">
      <c r="B415" s="15" t="n">
        <v>45970</v>
      </c>
      <c r="C415" s="4" t="inlineStr">
        <is>
          <t>Etsy</t>
        </is>
      </c>
      <c r="D415" s="16" t="n">
        <v>20.69</v>
      </c>
      <c r="E415" s="4" t="inlineStr">
        <is>
          <t>Gifts</t>
        </is>
      </c>
      <c r="F415" s="4" t="inlineStr">
        <is>
          <t>No</t>
        </is>
      </c>
      <c r="G415" s="2" t="n"/>
    </row>
    <row r="416">
      <c r="B416" s="15" t="n">
        <v>45978</v>
      </c>
      <c r="C416" s="4" t="inlineStr">
        <is>
          <t>Guitar Center</t>
        </is>
      </c>
      <c r="D416" s="16" t="n">
        <v>20.96</v>
      </c>
      <c r="E416" s="4" t="inlineStr">
        <is>
          <t>Hobbies</t>
        </is>
      </c>
      <c r="F416" s="4" t="inlineStr">
        <is>
          <t>No</t>
        </is>
      </c>
      <c r="G416" s="2" t="n"/>
    </row>
    <row r="417">
      <c r="B417" s="15" t="n">
        <v>45969</v>
      </c>
      <c r="C417" s="4" t="inlineStr">
        <is>
          <t>Amazon</t>
        </is>
      </c>
      <c r="D417" s="16" t="n">
        <v>19.08</v>
      </c>
      <c r="E417" s="4" t="inlineStr">
        <is>
          <t>Hobbies</t>
        </is>
      </c>
      <c r="F417" s="4" t="inlineStr">
        <is>
          <t>No</t>
        </is>
      </c>
      <c r="G417" s="2" t="n"/>
    </row>
    <row r="418">
      <c r="B418" s="15" t="n">
        <v>45975</v>
      </c>
      <c r="C418" s="4" t="inlineStr">
        <is>
          <t>Liquor Store</t>
        </is>
      </c>
      <c r="D418" s="16" t="n">
        <v>42.95</v>
      </c>
      <c r="E418" s="4" t="inlineStr">
        <is>
          <t>Alcohol/Bars</t>
        </is>
      </c>
      <c r="F418" s="4" t="inlineStr">
        <is>
          <t>No</t>
        </is>
      </c>
      <c r="G418" s="2" t="n"/>
    </row>
    <row r="419">
      <c r="B419" s="15" t="n">
        <v>45976</v>
      </c>
      <c r="C419" s="4" t="inlineStr">
        <is>
          <t>Transfer to Savings</t>
        </is>
      </c>
      <c r="D419" s="16" t="n">
        <v>200</v>
      </c>
      <c r="E419" s="4" t="inlineStr">
        <is>
          <t>Emergency Fund</t>
        </is>
      </c>
      <c r="F419" s="4" t="inlineStr">
        <is>
          <t>Yes</t>
        </is>
      </c>
      <c r="G419" s="2" t="n"/>
    </row>
    <row r="420">
      <c r="B420" s="15" t="n">
        <v>45968</v>
      </c>
      <c r="C420" s="4" t="inlineStr">
        <is>
          <t>Vanguard</t>
        </is>
      </c>
      <c r="D420" s="16" t="n">
        <v>200</v>
      </c>
      <c r="E420" s="4" t="inlineStr">
        <is>
          <t>Retirement Extra</t>
        </is>
      </c>
      <c r="F420" s="4" t="inlineStr">
        <is>
          <t>Yes</t>
        </is>
      </c>
      <c r="G420" s="2" t="n"/>
    </row>
    <row r="421">
      <c r="B421" s="15" t="n">
        <v>45989</v>
      </c>
      <c r="C421" s="4" t="inlineStr">
        <is>
          <t>Transfer to Vacation</t>
        </is>
      </c>
      <c r="D421" s="16" t="n">
        <v>100</v>
      </c>
      <c r="E421" s="4" t="inlineStr">
        <is>
          <t>Vacation Fund</t>
        </is>
      </c>
      <c r="F421" s="4" t="inlineStr">
        <is>
          <t>Yes</t>
        </is>
      </c>
      <c r="G421" s="2" t="n"/>
    </row>
    <row r="422">
      <c r="B422" s="15" t="n">
        <v>45964</v>
      </c>
      <c r="C422" s="4" t="inlineStr">
        <is>
          <t>Transfer to Sinking</t>
        </is>
      </c>
      <c r="D422" s="16" t="n">
        <v>75</v>
      </c>
      <c r="E422" s="4" t="inlineStr">
        <is>
          <t>Sinking Funds</t>
        </is>
      </c>
      <c r="F422" s="4" t="inlineStr">
        <is>
          <t>Yes</t>
        </is>
      </c>
      <c r="G422" s="2" t="n"/>
    </row>
    <row r="423">
      <c r="B423" s="15" t="n">
        <v>45968</v>
      </c>
      <c r="C423" s="4" t="inlineStr">
        <is>
          <t>Fidelity Transfer</t>
        </is>
      </c>
      <c r="D423" s="16" t="n">
        <v>150</v>
      </c>
      <c r="E423" s="4" t="inlineStr">
        <is>
          <t>Investments</t>
        </is>
      </c>
      <c r="F423" s="4" t="inlineStr">
        <is>
          <t>Yes</t>
        </is>
      </c>
      <c r="G423" s="2" t="n"/>
    </row>
    <row r="424">
      <c r="B424" s="15" t="n">
        <v>46012</v>
      </c>
      <c r="C424" s="4" t="inlineStr">
        <is>
          <t>Landlord LLC</t>
        </is>
      </c>
      <c r="D424" s="16" t="n">
        <v>1450</v>
      </c>
      <c r="E424" s="4" t="inlineStr">
        <is>
          <t>Rent/Mortgage</t>
        </is>
      </c>
      <c r="F424" s="4" t="inlineStr">
        <is>
          <t>Yes</t>
        </is>
      </c>
      <c r="G424" s="2" t="n"/>
    </row>
    <row r="425">
      <c r="B425" s="15" t="n">
        <v>46004</v>
      </c>
      <c r="C425" s="4" t="inlineStr">
        <is>
          <t>Water Dept</t>
        </is>
      </c>
      <c r="D425" s="16" t="n">
        <v>99.22</v>
      </c>
      <c r="E425" s="4" t="inlineStr">
        <is>
          <t>Utilities</t>
        </is>
      </c>
      <c r="F425" s="4" t="inlineStr">
        <is>
          <t>No</t>
        </is>
      </c>
      <c r="G425" s="2" t="n"/>
    </row>
    <row r="426">
      <c r="B426" s="15" t="n">
        <v>46015</v>
      </c>
      <c r="C426" s="4" t="inlineStr">
        <is>
          <t>Power Co</t>
        </is>
      </c>
      <c r="D426" s="16" t="n">
        <v>114.52</v>
      </c>
      <c r="E426" s="4" t="inlineStr">
        <is>
          <t>Utilities</t>
        </is>
      </c>
      <c r="F426" s="4" t="inlineStr">
        <is>
          <t>No</t>
        </is>
      </c>
      <c r="G426" s="2" t="n"/>
    </row>
    <row r="427">
      <c r="B427" s="15" t="n">
        <v>45999</v>
      </c>
      <c r="C427" s="4" t="inlineStr">
        <is>
          <t>Aldi</t>
        </is>
      </c>
      <c r="D427" s="16" t="n">
        <v>108.26</v>
      </c>
      <c r="E427" s="4" t="inlineStr">
        <is>
          <t>Groceries</t>
        </is>
      </c>
      <c r="F427" s="4" t="inlineStr">
        <is>
          <t>No</t>
        </is>
      </c>
      <c r="G427" s="2" t="n"/>
    </row>
    <row r="428">
      <c r="B428" s="15" t="n">
        <v>46007</v>
      </c>
      <c r="C428" s="4" t="inlineStr">
        <is>
          <t>Trader Joes</t>
        </is>
      </c>
      <c r="D428" s="16" t="n">
        <v>95.48</v>
      </c>
      <c r="E428" s="4" t="inlineStr">
        <is>
          <t>Groceries</t>
        </is>
      </c>
      <c r="F428" s="4" t="inlineStr">
        <is>
          <t>No</t>
        </is>
      </c>
      <c r="G428" s="2" t="n"/>
    </row>
    <row r="429">
      <c r="B429" s="15" t="n">
        <v>45993</v>
      </c>
      <c r="C429" s="4" t="inlineStr">
        <is>
          <t>Aldi</t>
        </is>
      </c>
      <c r="D429" s="16" t="n">
        <v>70.77</v>
      </c>
      <c r="E429" s="4" t="inlineStr">
        <is>
          <t>Groceries</t>
        </is>
      </c>
      <c r="F429" s="4" t="inlineStr">
        <is>
          <t>No</t>
        </is>
      </c>
      <c r="G429" s="2" t="n"/>
    </row>
    <row r="430">
      <c r="B430" s="15" t="n">
        <v>46012</v>
      </c>
      <c r="C430" s="4" t="inlineStr">
        <is>
          <t>Trader Joes</t>
        </is>
      </c>
      <c r="D430" s="16" t="n">
        <v>105.14</v>
      </c>
      <c r="E430" s="4" t="inlineStr">
        <is>
          <t>Groceries</t>
        </is>
      </c>
      <c r="F430" s="4" t="inlineStr">
        <is>
          <t>No</t>
        </is>
      </c>
      <c r="G430" s="2" t="n"/>
    </row>
    <row r="431">
      <c r="B431" s="15" t="n">
        <v>46021</v>
      </c>
      <c r="C431" s="4" t="inlineStr">
        <is>
          <t>State Farm</t>
        </is>
      </c>
      <c r="D431" s="16" t="n">
        <v>105</v>
      </c>
      <c r="E431" s="4" t="inlineStr">
        <is>
          <t>Auto Insurance</t>
        </is>
      </c>
      <c r="F431" s="4" t="inlineStr">
        <is>
          <t>Yes</t>
        </is>
      </c>
      <c r="G431" s="2" t="n"/>
    </row>
    <row r="432">
      <c r="B432" s="15" t="n">
        <v>45993</v>
      </c>
      <c r="C432" s="4" t="inlineStr">
        <is>
          <t>Shell</t>
        </is>
      </c>
      <c r="D432" s="16" t="n">
        <v>42.55</v>
      </c>
      <c r="E432" s="4" t="inlineStr">
        <is>
          <t>Gas</t>
        </is>
      </c>
      <c r="F432" s="4" t="inlineStr">
        <is>
          <t>No</t>
        </is>
      </c>
      <c r="G432" s="2" t="n"/>
    </row>
    <row r="433">
      <c r="B433" s="15" t="n">
        <v>46006</v>
      </c>
      <c r="C433" s="4" t="inlineStr">
        <is>
          <t>Shell</t>
        </is>
      </c>
      <c r="D433" s="16" t="n">
        <v>30.38</v>
      </c>
      <c r="E433" s="4" t="inlineStr">
        <is>
          <t>Gas</t>
        </is>
      </c>
      <c r="F433" s="4" t="inlineStr">
        <is>
          <t>No</t>
        </is>
      </c>
      <c r="G433" s="2" t="n"/>
    </row>
    <row r="434">
      <c r="B434" s="15" t="n">
        <v>45998</v>
      </c>
      <c r="C434" s="4" t="inlineStr">
        <is>
          <t>BP</t>
        </is>
      </c>
      <c r="D434" s="16" t="n">
        <v>36.49</v>
      </c>
      <c r="E434" s="4" t="inlineStr">
        <is>
          <t>Gas</t>
        </is>
      </c>
      <c r="F434" s="4" t="inlineStr">
        <is>
          <t>No</t>
        </is>
      </c>
      <c r="G434" s="2" t="n"/>
    </row>
    <row r="435">
      <c r="B435" s="15" t="n">
        <v>46011</v>
      </c>
      <c r="C435" s="4" t="inlineStr">
        <is>
          <t>Anthem</t>
        </is>
      </c>
      <c r="D435" s="16" t="n">
        <v>180</v>
      </c>
      <c r="E435" s="4" t="inlineStr">
        <is>
          <t>Health Insurance</t>
        </is>
      </c>
      <c r="F435" s="4" t="inlineStr">
        <is>
          <t>Yes</t>
        </is>
      </c>
      <c r="G435" s="2" t="n"/>
    </row>
    <row r="436">
      <c r="B436" s="15" t="n">
        <v>46003</v>
      </c>
      <c r="C436" s="4" t="inlineStr">
        <is>
          <t>Verizon</t>
        </is>
      </c>
      <c r="D436" s="16" t="n">
        <v>70</v>
      </c>
      <c r="E436" s="4" t="inlineStr">
        <is>
          <t>Phone</t>
        </is>
      </c>
      <c r="F436" s="4" t="inlineStr">
        <is>
          <t>Yes</t>
        </is>
      </c>
      <c r="G436" s="2" t="n"/>
    </row>
    <row r="437">
      <c r="B437" s="15" t="n">
        <v>45992</v>
      </c>
      <c r="C437" s="4" t="inlineStr">
        <is>
          <t>Student Loan Svc</t>
        </is>
      </c>
      <c r="D437" s="16" t="n">
        <v>300</v>
      </c>
      <c r="E437" s="4" t="inlineStr">
        <is>
          <t>Min Debt Payment</t>
        </is>
      </c>
      <c r="F437" s="4" t="inlineStr">
        <is>
          <t>Yes</t>
        </is>
      </c>
      <c r="G437" s="2" t="n"/>
    </row>
    <row r="438">
      <c r="B438" s="15" t="n">
        <v>46008</v>
      </c>
      <c r="C438" s="4" t="inlineStr">
        <is>
          <t>CVS</t>
        </is>
      </c>
      <c r="D438" s="16" t="n">
        <v>12.66</v>
      </c>
      <c r="E438" s="4" t="inlineStr">
        <is>
          <t>Medical/Prescriptions</t>
        </is>
      </c>
      <c r="F438" s="4" t="inlineStr">
        <is>
          <t>No</t>
        </is>
      </c>
      <c r="G438" s="2" t="n"/>
    </row>
    <row r="439">
      <c r="B439" s="15" t="n">
        <v>46019</v>
      </c>
      <c r="C439" s="4" t="inlineStr">
        <is>
          <t>Dr. Patel</t>
        </is>
      </c>
      <c r="D439" s="16" t="n">
        <v>26.76</v>
      </c>
      <c r="E439" s="4" t="inlineStr">
        <is>
          <t>Medical/Prescriptions</t>
        </is>
      </c>
      <c r="F439" s="4" t="inlineStr">
        <is>
          <t>No</t>
        </is>
      </c>
      <c r="G439" s="2" t="n"/>
    </row>
    <row r="440">
      <c r="B440" s="15" t="n">
        <v>46015</v>
      </c>
      <c r="C440" s="4" t="inlineStr">
        <is>
          <t>Lemonade</t>
        </is>
      </c>
      <c r="D440" s="16" t="n">
        <v>22</v>
      </c>
      <c r="E440" s="4" t="inlineStr">
        <is>
          <t>Renters Insurance</t>
        </is>
      </c>
      <c r="F440" s="4" t="inlineStr">
        <is>
          <t>Yes</t>
        </is>
      </c>
      <c r="G440" s="2" t="n"/>
    </row>
    <row r="441">
      <c r="B441" s="15" t="n">
        <v>45992</v>
      </c>
      <c r="C441" s="4" t="inlineStr">
        <is>
          <t>Xfinity</t>
        </is>
      </c>
      <c r="D441" s="16" t="n">
        <v>60</v>
      </c>
      <c r="E441" s="4" t="inlineStr">
        <is>
          <t>Internet</t>
        </is>
      </c>
      <c r="F441" s="4" t="inlineStr">
        <is>
          <t>Yes</t>
        </is>
      </c>
      <c r="G441" s="2" t="n"/>
    </row>
    <row r="442">
      <c r="B442" s="15" t="n">
        <v>46007</v>
      </c>
      <c r="C442" s="4" t="inlineStr">
        <is>
          <t>Olive Garden</t>
        </is>
      </c>
      <c r="D442" s="16" t="n">
        <v>54.2</v>
      </c>
      <c r="E442" s="4" t="inlineStr">
        <is>
          <t>Dining Out</t>
        </is>
      </c>
      <c r="F442" s="4" t="inlineStr">
        <is>
          <t>No</t>
        </is>
      </c>
      <c r="G442" s="2" t="n"/>
    </row>
    <row r="443">
      <c r="B443" s="15" t="n">
        <v>46017</v>
      </c>
      <c r="C443" s="4" t="inlineStr">
        <is>
          <t>Thai Kitchen</t>
        </is>
      </c>
      <c r="D443" s="16" t="n">
        <v>36.33</v>
      </c>
      <c r="E443" s="4" t="inlineStr">
        <is>
          <t>Dining Out</t>
        </is>
      </c>
      <c r="F443" s="4" t="inlineStr">
        <is>
          <t>No</t>
        </is>
      </c>
      <c r="G443" s="2" t="n"/>
    </row>
    <row r="444">
      <c r="B444" s="15" t="n">
        <v>46003</v>
      </c>
      <c r="C444" s="4" t="inlineStr">
        <is>
          <t>Thai Kitchen</t>
        </is>
      </c>
      <c r="D444" s="16" t="n">
        <v>64.98</v>
      </c>
      <c r="E444" s="4" t="inlineStr">
        <is>
          <t>Dining Out</t>
        </is>
      </c>
      <c r="F444" s="4" t="inlineStr">
        <is>
          <t>No</t>
        </is>
      </c>
      <c r="G444" s="2" t="n"/>
    </row>
    <row r="445">
      <c r="B445" s="15" t="n">
        <v>45997</v>
      </c>
      <c r="C445" s="4" t="inlineStr">
        <is>
          <t>Starbucks</t>
        </is>
      </c>
      <c r="D445" s="16" t="n">
        <v>16.32</v>
      </c>
      <c r="E445" s="4" t="inlineStr">
        <is>
          <t>Coffee Shops</t>
        </is>
      </c>
      <c r="F445" s="4" t="inlineStr">
        <is>
          <t>No</t>
        </is>
      </c>
      <c r="G445" s="2" t="n"/>
    </row>
    <row r="446">
      <c r="B446" s="15" t="n">
        <v>46008</v>
      </c>
      <c r="C446" s="4" t="inlineStr">
        <is>
          <t>Local Roast</t>
        </is>
      </c>
      <c r="D446" s="16" t="n">
        <v>25.7</v>
      </c>
      <c r="E446" s="4" t="inlineStr">
        <is>
          <t>Coffee Shops</t>
        </is>
      </c>
      <c r="F446" s="4" t="inlineStr">
        <is>
          <t>No</t>
        </is>
      </c>
      <c r="G446" s="2" t="n"/>
    </row>
    <row r="447">
      <c r="B447" s="15" t="n">
        <v>45997</v>
      </c>
      <c r="C447" s="4" t="inlineStr">
        <is>
          <t>Steam</t>
        </is>
      </c>
      <c r="D447" s="16" t="n">
        <v>50.51</v>
      </c>
      <c r="E447" s="4" t="inlineStr">
        <is>
          <t>Entertainment</t>
        </is>
      </c>
      <c r="F447" s="4" t="inlineStr">
        <is>
          <t>No</t>
        </is>
      </c>
      <c r="G447" s="2" t="n"/>
    </row>
    <row r="448">
      <c r="B448" s="15" t="n">
        <v>46011</v>
      </c>
      <c r="C448" s="4" t="inlineStr">
        <is>
          <t>TJ Maxx</t>
        </is>
      </c>
      <c r="D448" s="16" t="n">
        <v>64.83</v>
      </c>
      <c r="E448" s="4" t="inlineStr">
        <is>
          <t>Clothing</t>
        </is>
      </c>
      <c r="F448" s="4" t="inlineStr">
        <is>
          <t>No</t>
        </is>
      </c>
      <c r="G448" s="2" t="n"/>
    </row>
    <row r="449">
      <c r="B449" s="15" t="n">
        <v>46021</v>
      </c>
      <c r="C449" s="4" t="inlineStr">
        <is>
          <t>Spotify</t>
        </is>
      </c>
      <c r="D449" s="16" t="n">
        <v>33.54</v>
      </c>
      <c r="E449" s="4" t="inlineStr">
        <is>
          <t>Subscriptions</t>
        </is>
      </c>
      <c r="F449" s="4" t="inlineStr">
        <is>
          <t>No</t>
        </is>
      </c>
      <c r="G449" s="2" t="n"/>
    </row>
    <row r="450">
      <c r="B450" s="15" t="n">
        <v>46000</v>
      </c>
      <c r="C450" s="4" t="inlineStr">
        <is>
          <t>Planet Fitness</t>
        </is>
      </c>
      <c r="D450" s="16" t="n">
        <v>40</v>
      </c>
      <c r="E450" s="4" t="inlineStr">
        <is>
          <t>Gym</t>
        </is>
      </c>
      <c r="F450" s="4" t="inlineStr">
        <is>
          <t>Yes</t>
        </is>
      </c>
      <c r="G450" s="2" t="n"/>
    </row>
    <row r="451">
      <c r="B451" s="15" t="n">
        <v>46012</v>
      </c>
      <c r="C451" s="4" t="inlineStr">
        <is>
          <t>Target Beauty</t>
        </is>
      </c>
      <c r="D451" s="16" t="n">
        <v>9.91</v>
      </c>
      <c r="E451" s="4" t="inlineStr">
        <is>
          <t>Personal Care</t>
        </is>
      </c>
      <c r="F451" s="4" t="inlineStr">
        <is>
          <t>No</t>
        </is>
      </c>
      <c r="G451" s="2" t="n"/>
    </row>
    <row r="452">
      <c r="B452" s="15" t="n">
        <v>45996</v>
      </c>
      <c r="C452" s="4" t="inlineStr">
        <is>
          <t>Target Beauty</t>
        </is>
      </c>
      <c r="D452" s="16" t="n">
        <v>10.31</v>
      </c>
      <c r="E452" s="4" t="inlineStr">
        <is>
          <t>Personal Care</t>
        </is>
      </c>
      <c r="F452" s="4" t="inlineStr">
        <is>
          <t>No</t>
        </is>
      </c>
      <c r="G452" s="2" t="n"/>
    </row>
    <row r="453">
      <c r="B453" s="15" t="n">
        <v>46008</v>
      </c>
      <c r="C453" s="4" t="inlineStr">
        <is>
          <t>Etsy</t>
        </is>
      </c>
      <c r="D453" s="16" t="n">
        <v>27.6</v>
      </c>
      <c r="E453" s="4" t="inlineStr">
        <is>
          <t>Gifts</t>
        </is>
      </c>
      <c r="F453" s="4" t="inlineStr">
        <is>
          <t>No</t>
        </is>
      </c>
      <c r="G453" s="2" t="n"/>
    </row>
    <row r="454">
      <c r="B454" s="15" t="n">
        <v>45993</v>
      </c>
      <c r="C454" s="4" t="inlineStr">
        <is>
          <t>Delta</t>
        </is>
      </c>
      <c r="D454" s="16" t="n">
        <v>571.6799999999999</v>
      </c>
      <c r="E454" s="4" t="inlineStr">
        <is>
          <t>Travel</t>
        </is>
      </c>
      <c r="F454" s="4" t="inlineStr">
        <is>
          <t>No</t>
        </is>
      </c>
      <c r="G454" s="2" t="n"/>
    </row>
    <row r="455">
      <c r="B455" s="15" t="n">
        <v>46009</v>
      </c>
      <c r="C455" s="4" t="inlineStr">
        <is>
          <t>REI</t>
        </is>
      </c>
      <c r="D455" s="16" t="n">
        <v>19.59</v>
      </c>
      <c r="E455" s="4" t="inlineStr">
        <is>
          <t>Hobbies</t>
        </is>
      </c>
      <c r="F455" s="4" t="inlineStr">
        <is>
          <t>No</t>
        </is>
      </c>
      <c r="G455" s="2" t="n"/>
    </row>
    <row r="456">
      <c r="B456" s="15" t="n">
        <v>46014</v>
      </c>
      <c r="C456" s="4" t="inlineStr">
        <is>
          <t>Local Bar</t>
        </is>
      </c>
      <c r="D456" s="16" t="n">
        <v>54.74</v>
      </c>
      <c r="E456" s="4" t="inlineStr">
        <is>
          <t>Alcohol/Bars</t>
        </is>
      </c>
      <c r="F456" s="4" t="inlineStr">
        <is>
          <t>No</t>
        </is>
      </c>
      <c r="G456" s="2" t="n"/>
    </row>
    <row r="457">
      <c r="B457" s="15" t="n">
        <v>46010</v>
      </c>
      <c r="C457" s="4" t="inlineStr">
        <is>
          <t>Transfer to Savings</t>
        </is>
      </c>
      <c r="D457" s="16" t="n">
        <v>200</v>
      </c>
      <c r="E457" s="4" t="inlineStr">
        <is>
          <t>Emergency Fund</t>
        </is>
      </c>
      <c r="F457" s="4" t="inlineStr">
        <is>
          <t>Yes</t>
        </is>
      </c>
      <c r="G457" s="2" t="n"/>
    </row>
    <row r="458">
      <c r="B458" s="15" t="n">
        <v>45994</v>
      </c>
      <c r="C458" s="4" t="inlineStr">
        <is>
          <t>Vanguard</t>
        </is>
      </c>
      <c r="D458" s="16" t="n">
        <v>200</v>
      </c>
      <c r="E458" s="4" t="inlineStr">
        <is>
          <t>Retirement Extra</t>
        </is>
      </c>
      <c r="F458" s="4" t="inlineStr">
        <is>
          <t>Yes</t>
        </is>
      </c>
      <c r="G458" s="2" t="n"/>
    </row>
    <row r="459">
      <c r="B459" s="15" t="n">
        <v>46016</v>
      </c>
      <c r="C459" s="4" t="inlineStr">
        <is>
          <t>Transfer to Vacation</t>
        </is>
      </c>
      <c r="D459" s="16" t="n">
        <v>100</v>
      </c>
      <c r="E459" s="4" t="inlineStr">
        <is>
          <t>Vacation Fund</t>
        </is>
      </c>
      <c r="F459" s="4" t="inlineStr">
        <is>
          <t>Yes</t>
        </is>
      </c>
      <c r="G459" s="2" t="n"/>
    </row>
    <row r="460">
      <c r="B460" s="15" t="n">
        <v>45996</v>
      </c>
      <c r="C460" s="4" t="inlineStr">
        <is>
          <t>Transfer to Sinking</t>
        </is>
      </c>
      <c r="D460" s="16" t="n">
        <v>75</v>
      </c>
      <c r="E460" s="4" t="inlineStr">
        <is>
          <t>Sinking Funds</t>
        </is>
      </c>
      <c r="F460" s="4" t="inlineStr">
        <is>
          <t>Yes</t>
        </is>
      </c>
      <c r="G460" s="2" t="n"/>
    </row>
    <row r="461">
      <c r="B461" s="15" t="n">
        <v>46001</v>
      </c>
      <c r="C461" s="4" t="inlineStr">
        <is>
          <t>Fidelity Transfer</t>
        </is>
      </c>
      <c r="D461" s="16" t="n">
        <v>150</v>
      </c>
      <c r="E461" s="4" t="inlineStr">
        <is>
          <t>Investments</t>
        </is>
      </c>
      <c r="F461" s="4" t="inlineStr">
        <is>
          <t>Yes</t>
        </is>
      </c>
      <c r="G461" s="2" t="n"/>
    </row>
  </sheetData>
  <dataValidations count="2">
    <dataValidation sqref="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E105 E106 E107 E108 E109 E110 E111 E112 E113 E114 E115 E116 E117 E118 E119 E120 E121 E122 E123 E124 E125 E126 E127 E128 E129 E130 E131 E132 E133 E134 E135 E136 E137 E138 E139 E140 E141 E142 E143 E144 E145 E146 E147 E148 E149 E150 E151 E152 E153 E154 E155 E156 E157 E158 E159 E160 E161 E162 E163 E164 E165 E166 E167 E168 E169 E170 E171 E172 E173 E174 E175 E176 E177 E178 E179 E180 E181 E182 E183 E184 E185 E186 E187 E188 E189 E190 E191 E192 E193 E194 E195 E196 E197 E198 E199 E200 E201 E202 E203 E204 E205 E206 E207 E208 E209 E210 E211 E212 E213 E214 E215 E216 E217 E218 E219 E220 E221 E222 E223 E224 E225 E226 E227 E228 E229 E230 E231 E232 E233 E234 E235 E236 E237 E238 E239 E240 E241 E242 E243 E244 E245 E246 E247 E248 E249 E250 E251 E252 E253 E254 E255 E256 E257 E258 E259 E260 E261 E262 E263 E264 E265 E266 E267 E268 E269 E270 E271 E272 E273 E274 E275 E276 E277 E278 E279 E280 E281 E282 E283 E284 E285 E286 E287 E288 E289 E290 E291 E292 E293 E294 E295 E296 E297 E298 E299 E300 E301 E302 E303 E304 E305 E306 E307 E308 E309 E310 E311 E312 E313 E314 E315 E316 E317 E318 E319 E320 E321 E322 E323 E324 E325 E326 E327 E328 E329 E330 E331 E332 E333 E334 E335 E336 E337 E338 E339 E340 E341 E342 E343 E344 E345 E346 E347 E348 E349 E350 E351 E352 E353 E354 E355 E356 E357 E358 E359 E360 E361 E362 E363 E364 E365 E366 E367 E368 E369 E370 E371 E372 E373 E374 E375 E376 E377 E378 E379 E380 E381 E382 E383 E384 E385 E386 E387 E388 E389 E390 E391 E392 E393 E394 E395 E396 E397 E398 E399 E400 E401 E402 E403 E404 E405 E406 E407 E408 E409 E410 E411 E412 E413 E414 E415 E416 E417 E418 E419 E420 E421 E422 E423 E424 E425 E426 E427 E428 E429 E430 E431 E432 E433 E434 E435 E436 E437 E438 E439 E440 E441 E442 E443 E444 E445 E446 E447 E448 E449 E450 E451 E452 E453 E454 E455 E456 E457 E458 E459 E460 E461" showDropDown="0" showInputMessage="0" showErrorMessage="0" allowBlank="1" type="list">
      <formula1>"Rent/Mortgage,Utilities,Groceries,Auto Insurance,Gas,Health Insurance,Phone,Min Debt Payment,Medical/Prescriptions,Renters Insurance,Internet,Dining Out,Coffee Shops,Entertainment,Clothing,Subscriptions,Gym,Personal Care,Gifts,Travel,Hobbies,Alcohol/Bars,Emergency Fund,Retirement Extra,Vacation Fund,Sinking Funds,Investments,529 College"</formula1>
    </dataValidation>
    <dataValidation sqref="F4 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F115 F116 F117 F118 F119 F120 F121 F122 F123 F124 F125 F126 F127 F128 F129 F130 F131 F132 F133 F134 F135 F136 F137 F138 F139 F140 F141 F142 F143 F144 F145 F146 F147 F148 F149 F150 F151 F152 F153 F154 F155 F156 F157 F158 F159 F160 F161 F162 F163 F164 F165 F166 F167 F168 F169 F170 F171 F172 F173 F174 F175 F176 F177 F178 F179 F180 F181 F182 F183 F184 F185 F186 F187 F188 F189 F190 F191 F192 F193 F194 F195 F196 F197 F198 F199 F200 F201 F202 F203 F204 F205 F206 F207 F208 F209 F210 F211 F212 F213 F214 F215 F216 F217 F218 F219 F220 F221 F222 F223 F224 F225 F226 F227 F228 F229 F230 F231 F232 F233 F234 F235 F236 F237 F238 F239 F240 F241 F242 F243 F244 F245 F246 F247 F248 F249 F250 F251 F252 F253 F254 F255 F256 F257 F258 F259 F260 F261 F262 F263 F264 F265 F266 F267 F268 F269 F270 F271 F272 F273 F274 F275 F276 F277 F278 F279 F280 F281 F282 F283 F284 F285 F286 F287 F288 F289 F290 F291 F292 F293 F294 F295 F296 F297 F298 F299 F300 F301 F302 F303 F304 F305 F306 F307 F308 F309 F310 F311 F312 F313 F314 F315 F316 F317 F318 F319 F320 F321 F322 F323 F324 F325 F326 F327 F328 F329 F330 F331 F332 F333 F334 F335 F336 F337 F338 F339 F340 F341 F342 F343 F344 F345 F346 F347 F348 F349 F350 F351 F352 F353 F354 F355 F356 F357 F358 F359 F360 F361 F362 F363 F364 F365 F366 F367 F368 F369 F370 F371 F372 F373 F374 F375 F376 F377 F378 F379 F380 F381 F382 F383 F384 F385 F386 F387 F388 F389 F390 F391 F392 F393 F394 F395 F396 F397 F398 F399 F400 F401 F402 F403 F404 F405 F406 F407 F408 F409 F410 F411 F412 F413 F414 F415 F416 F417 F418 F419 F420 F421 F422 F423 F424 F425 F426 F427 F428 F429 F430 F431 F432 F433 F434 F435 F436 F437 F438 F439 F440 F441 F442 F443 F444 F445 F446 F447 F448 F449 F450 F451 F452 F453 F454 F455 F456 F457 F458 F459 F460 F461"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O11"/>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22"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s>
  <sheetData>
    <row r="1"/>
    <row r="2">
      <c r="B2" s="1" t="inlineStr">
        <is>
          <t>50/30/20 Monthly Tracker</t>
        </is>
      </c>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c r="AN2" s="2" t="n"/>
      <c r="AO2" s="2" t="n"/>
    </row>
    <row r="3">
      <c r="B3" s="13" t="inlineStr">
        <is>
          <t>Bucket</t>
        </is>
      </c>
      <c r="C3" s="17" t="inlineStr">
        <is>
          <t>Jan Actual</t>
        </is>
      </c>
      <c r="D3" s="17" t="inlineStr">
        <is>
          <t>Jan Target</t>
        </is>
      </c>
      <c r="E3" s="17" t="inlineStr">
        <is>
          <t>Jan Delta</t>
        </is>
      </c>
      <c r="F3" s="17" t="inlineStr">
        <is>
          <t>Feb Actual</t>
        </is>
      </c>
      <c r="G3" s="17" t="inlineStr">
        <is>
          <t>Feb Target</t>
        </is>
      </c>
      <c r="H3" s="17" t="inlineStr">
        <is>
          <t>Feb Delta</t>
        </is>
      </c>
      <c r="I3" s="17" t="inlineStr">
        <is>
          <t>Mar Actual</t>
        </is>
      </c>
      <c r="J3" s="17" t="inlineStr">
        <is>
          <t>Mar Target</t>
        </is>
      </c>
      <c r="K3" s="17" t="inlineStr">
        <is>
          <t>Mar Delta</t>
        </is>
      </c>
      <c r="L3" s="17" t="inlineStr">
        <is>
          <t>Apr Actual</t>
        </is>
      </c>
      <c r="M3" s="17" t="inlineStr">
        <is>
          <t>Apr Target</t>
        </is>
      </c>
      <c r="N3" s="17" t="inlineStr">
        <is>
          <t>Apr Delta</t>
        </is>
      </c>
      <c r="O3" s="17" t="inlineStr">
        <is>
          <t>May Actual</t>
        </is>
      </c>
      <c r="P3" s="17" t="inlineStr">
        <is>
          <t>May Target</t>
        </is>
      </c>
      <c r="Q3" s="17" t="inlineStr">
        <is>
          <t>May Delta</t>
        </is>
      </c>
      <c r="R3" s="17" t="inlineStr">
        <is>
          <t>Jun Actual</t>
        </is>
      </c>
      <c r="S3" s="17" t="inlineStr">
        <is>
          <t>Jun Target</t>
        </is>
      </c>
      <c r="T3" s="17" t="inlineStr">
        <is>
          <t>Jun Delta</t>
        </is>
      </c>
      <c r="U3" s="17" t="inlineStr">
        <is>
          <t>Jul Actual</t>
        </is>
      </c>
      <c r="V3" s="17" t="inlineStr">
        <is>
          <t>Jul Target</t>
        </is>
      </c>
      <c r="W3" s="17" t="inlineStr">
        <is>
          <t>Jul Delta</t>
        </is>
      </c>
      <c r="X3" s="17" t="inlineStr">
        <is>
          <t>Aug Actual</t>
        </is>
      </c>
      <c r="Y3" s="17" t="inlineStr">
        <is>
          <t>Aug Target</t>
        </is>
      </c>
      <c r="Z3" s="17" t="inlineStr">
        <is>
          <t>Aug Delta</t>
        </is>
      </c>
      <c r="AA3" s="17" t="inlineStr">
        <is>
          <t>Sep Actual</t>
        </is>
      </c>
      <c r="AB3" s="17" t="inlineStr">
        <is>
          <t>Sep Target</t>
        </is>
      </c>
      <c r="AC3" s="17" t="inlineStr">
        <is>
          <t>Sep Delta</t>
        </is>
      </c>
      <c r="AD3" s="17" t="inlineStr">
        <is>
          <t>Oct Actual</t>
        </is>
      </c>
      <c r="AE3" s="17" t="inlineStr">
        <is>
          <t>Oct Target</t>
        </is>
      </c>
      <c r="AF3" s="17" t="inlineStr">
        <is>
          <t>Oct Delta</t>
        </is>
      </c>
      <c r="AG3" s="17" t="inlineStr">
        <is>
          <t>Nov Actual</t>
        </is>
      </c>
      <c r="AH3" s="17" t="inlineStr">
        <is>
          <t>Nov Target</t>
        </is>
      </c>
      <c r="AI3" s="17" t="inlineStr">
        <is>
          <t>Nov Delta</t>
        </is>
      </c>
      <c r="AJ3" s="17" t="inlineStr">
        <is>
          <t>Dec Actual</t>
        </is>
      </c>
      <c r="AK3" s="17" t="inlineStr">
        <is>
          <t>Dec Target</t>
        </is>
      </c>
      <c r="AL3" s="17" t="inlineStr">
        <is>
          <t>Dec Delta</t>
        </is>
      </c>
      <c r="AM3" s="18" t="inlineStr">
        <is>
          <t>Annual Act.</t>
        </is>
      </c>
      <c r="AN3" s="18" t="inlineStr">
        <is>
          <t>Annual Tgt.</t>
        </is>
      </c>
      <c r="AO3" s="18" t="inlineStr">
        <is>
          <t>Annual Delta</t>
        </is>
      </c>
    </row>
    <row r="4">
      <c r="B4" s="19" t="inlineStr">
        <is>
          <t>Needs</t>
        </is>
      </c>
      <c r="C4" s="20">
        <f>SUMPRODUCT((MONTH('Expense Log'!$B$4:$B$461)=1)*(VLOOKUP('Expense Log'!$E$4:$E$461,'Category Map'!$B$4:$C$31,2,FALSE)="Needs")*'Expense Log'!$D$4:$D$461)</f>
        <v/>
      </c>
      <c r="D4" s="20">
        <f>Income!$C$23</f>
        <v/>
      </c>
      <c r="E4" s="20">
        <f>D4-C4</f>
        <v/>
      </c>
      <c r="F4" s="20">
        <f>SUMPRODUCT((MONTH('Expense Log'!$B$4:$B$461)=2)*(VLOOKUP('Expense Log'!$E$4:$E$461,'Category Map'!$B$4:$C$31,2,FALSE)="Needs")*'Expense Log'!$D$4:$D$461)</f>
        <v/>
      </c>
      <c r="G4" s="20">
        <f>Income!$C$23</f>
        <v/>
      </c>
      <c r="H4" s="20">
        <f>G4-F4</f>
        <v/>
      </c>
      <c r="I4" s="20">
        <f>SUMPRODUCT((MONTH('Expense Log'!$B$4:$B$461)=3)*(VLOOKUP('Expense Log'!$E$4:$E$461,'Category Map'!$B$4:$C$31,2,FALSE)="Needs")*'Expense Log'!$D$4:$D$461)</f>
        <v/>
      </c>
      <c r="J4" s="20">
        <f>Income!$C$23</f>
        <v/>
      </c>
      <c r="K4" s="20">
        <f>J4-I4</f>
        <v/>
      </c>
      <c r="L4" s="20">
        <f>SUMPRODUCT((MONTH('Expense Log'!$B$4:$B$461)=4)*(VLOOKUP('Expense Log'!$E$4:$E$461,'Category Map'!$B$4:$C$31,2,FALSE)="Needs")*'Expense Log'!$D$4:$D$461)</f>
        <v/>
      </c>
      <c r="M4" s="20">
        <f>Income!$C$23</f>
        <v/>
      </c>
      <c r="N4" s="20">
        <f>M4-L4</f>
        <v/>
      </c>
      <c r="O4" s="20">
        <f>SUMPRODUCT((MONTH('Expense Log'!$B$4:$B$461)=5)*(VLOOKUP('Expense Log'!$E$4:$E$461,'Category Map'!$B$4:$C$31,2,FALSE)="Needs")*'Expense Log'!$D$4:$D$461)</f>
        <v/>
      </c>
      <c r="P4" s="20">
        <f>Income!$C$23</f>
        <v/>
      </c>
      <c r="Q4" s="20">
        <f>P4-O4</f>
        <v/>
      </c>
      <c r="R4" s="20">
        <f>SUMPRODUCT((MONTH('Expense Log'!$B$4:$B$461)=6)*(VLOOKUP('Expense Log'!$E$4:$E$461,'Category Map'!$B$4:$C$31,2,FALSE)="Needs")*'Expense Log'!$D$4:$D$461)</f>
        <v/>
      </c>
      <c r="S4" s="20">
        <f>Income!$C$23</f>
        <v/>
      </c>
      <c r="T4" s="20">
        <f>S4-R4</f>
        <v/>
      </c>
      <c r="U4" s="20">
        <f>SUMPRODUCT((MONTH('Expense Log'!$B$4:$B$461)=7)*(VLOOKUP('Expense Log'!$E$4:$E$461,'Category Map'!$B$4:$C$31,2,FALSE)="Needs")*'Expense Log'!$D$4:$D$461)</f>
        <v/>
      </c>
      <c r="V4" s="20">
        <f>Income!$C$23</f>
        <v/>
      </c>
      <c r="W4" s="20">
        <f>V4-U4</f>
        <v/>
      </c>
      <c r="X4" s="20">
        <f>SUMPRODUCT((MONTH('Expense Log'!$B$4:$B$461)=8)*(VLOOKUP('Expense Log'!$E$4:$E$461,'Category Map'!$B$4:$C$31,2,FALSE)="Needs")*'Expense Log'!$D$4:$D$461)</f>
        <v/>
      </c>
      <c r="Y4" s="20">
        <f>Income!$C$23</f>
        <v/>
      </c>
      <c r="Z4" s="20">
        <f>Y4-X4</f>
        <v/>
      </c>
      <c r="AA4" s="20">
        <f>SUMPRODUCT((MONTH('Expense Log'!$B$4:$B$461)=9)*(VLOOKUP('Expense Log'!$E$4:$E$461,'Category Map'!$B$4:$C$31,2,FALSE)="Needs")*'Expense Log'!$D$4:$D$461)</f>
        <v/>
      </c>
      <c r="AB4" s="20">
        <f>Income!$C$23</f>
        <v/>
      </c>
      <c r="AC4" s="20">
        <f>AB4-AA4</f>
        <v/>
      </c>
      <c r="AD4" s="20">
        <f>SUMPRODUCT((MONTH('Expense Log'!$B$4:$B$461)=10)*(VLOOKUP('Expense Log'!$E$4:$E$461,'Category Map'!$B$4:$C$31,2,FALSE)="Needs")*'Expense Log'!$D$4:$D$461)</f>
        <v/>
      </c>
      <c r="AE4" s="20">
        <f>Income!$C$23</f>
        <v/>
      </c>
      <c r="AF4" s="20">
        <f>AE4-AD4</f>
        <v/>
      </c>
      <c r="AG4" s="20">
        <f>SUMPRODUCT((MONTH('Expense Log'!$B$4:$B$461)=11)*(VLOOKUP('Expense Log'!$E$4:$E$461,'Category Map'!$B$4:$C$31,2,FALSE)="Needs")*'Expense Log'!$D$4:$D$461)</f>
        <v/>
      </c>
      <c r="AH4" s="20">
        <f>Income!$C$23</f>
        <v/>
      </c>
      <c r="AI4" s="20">
        <f>AH4-AG4</f>
        <v/>
      </c>
      <c r="AJ4" s="20">
        <f>SUMPRODUCT((MONTH('Expense Log'!$B$4:$B$461)=12)*(VLOOKUP('Expense Log'!$E$4:$E$461,'Category Map'!$B$4:$C$31,2,FALSE)="Needs")*'Expense Log'!$D$4:$D$461)</f>
        <v/>
      </c>
      <c r="AK4" s="20">
        <f>Income!$C$23</f>
        <v/>
      </c>
      <c r="AL4" s="20">
        <f>AK4-AJ4</f>
        <v/>
      </c>
      <c r="AM4" s="8">
        <f>C4+F4+I4+L4+O4+R4+U4+X4+AA4+AD4+AG4+AJ4</f>
        <v/>
      </c>
      <c r="AN4" s="8">
        <f>D4+G4+J4+M4+P4+S4+V4+Y4+AB4+AE4+AH4+AK4</f>
        <v/>
      </c>
      <c r="AO4" s="8">
        <f>AN4-AM4</f>
        <v/>
      </c>
    </row>
    <row r="5">
      <c r="B5" s="21" t="inlineStr">
        <is>
          <t>Wants</t>
        </is>
      </c>
      <c r="C5" s="20">
        <f>SUMPRODUCT((MONTH('Expense Log'!$B$4:$B$461)=1)*(VLOOKUP('Expense Log'!$E$4:$E$461,'Category Map'!$B$4:$C$31,2,FALSE)="Wants")*'Expense Log'!$D$4:$D$461)</f>
        <v/>
      </c>
      <c r="D5" s="20">
        <f>Income!$C$24</f>
        <v/>
      </c>
      <c r="E5" s="20">
        <f>D5-C5</f>
        <v/>
      </c>
      <c r="F5" s="20">
        <f>SUMPRODUCT((MONTH('Expense Log'!$B$4:$B$461)=2)*(VLOOKUP('Expense Log'!$E$4:$E$461,'Category Map'!$B$4:$C$31,2,FALSE)="Wants")*'Expense Log'!$D$4:$D$461)</f>
        <v/>
      </c>
      <c r="G5" s="20">
        <f>Income!$C$24</f>
        <v/>
      </c>
      <c r="H5" s="20">
        <f>G5-F5</f>
        <v/>
      </c>
      <c r="I5" s="20">
        <f>SUMPRODUCT((MONTH('Expense Log'!$B$4:$B$461)=3)*(VLOOKUP('Expense Log'!$E$4:$E$461,'Category Map'!$B$4:$C$31,2,FALSE)="Wants")*'Expense Log'!$D$4:$D$461)</f>
        <v/>
      </c>
      <c r="J5" s="20">
        <f>Income!$C$24</f>
        <v/>
      </c>
      <c r="K5" s="20">
        <f>J5-I5</f>
        <v/>
      </c>
      <c r="L5" s="20">
        <f>SUMPRODUCT((MONTH('Expense Log'!$B$4:$B$461)=4)*(VLOOKUP('Expense Log'!$E$4:$E$461,'Category Map'!$B$4:$C$31,2,FALSE)="Wants")*'Expense Log'!$D$4:$D$461)</f>
        <v/>
      </c>
      <c r="M5" s="20">
        <f>Income!$C$24</f>
        <v/>
      </c>
      <c r="N5" s="20">
        <f>M5-L5</f>
        <v/>
      </c>
      <c r="O5" s="20">
        <f>SUMPRODUCT((MONTH('Expense Log'!$B$4:$B$461)=5)*(VLOOKUP('Expense Log'!$E$4:$E$461,'Category Map'!$B$4:$C$31,2,FALSE)="Wants")*'Expense Log'!$D$4:$D$461)</f>
        <v/>
      </c>
      <c r="P5" s="20">
        <f>Income!$C$24</f>
        <v/>
      </c>
      <c r="Q5" s="20">
        <f>P5-O5</f>
        <v/>
      </c>
      <c r="R5" s="20">
        <f>SUMPRODUCT((MONTH('Expense Log'!$B$4:$B$461)=6)*(VLOOKUP('Expense Log'!$E$4:$E$461,'Category Map'!$B$4:$C$31,2,FALSE)="Wants")*'Expense Log'!$D$4:$D$461)</f>
        <v/>
      </c>
      <c r="S5" s="20">
        <f>Income!$C$24</f>
        <v/>
      </c>
      <c r="T5" s="20">
        <f>S5-R5</f>
        <v/>
      </c>
      <c r="U5" s="20">
        <f>SUMPRODUCT((MONTH('Expense Log'!$B$4:$B$461)=7)*(VLOOKUP('Expense Log'!$E$4:$E$461,'Category Map'!$B$4:$C$31,2,FALSE)="Wants")*'Expense Log'!$D$4:$D$461)</f>
        <v/>
      </c>
      <c r="V5" s="20">
        <f>Income!$C$24</f>
        <v/>
      </c>
      <c r="W5" s="20">
        <f>V5-U5</f>
        <v/>
      </c>
      <c r="X5" s="20">
        <f>SUMPRODUCT((MONTH('Expense Log'!$B$4:$B$461)=8)*(VLOOKUP('Expense Log'!$E$4:$E$461,'Category Map'!$B$4:$C$31,2,FALSE)="Wants")*'Expense Log'!$D$4:$D$461)</f>
        <v/>
      </c>
      <c r="Y5" s="20">
        <f>Income!$C$24</f>
        <v/>
      </c>
      <c r="Z5" s="20">
        <f>Y5-X5</f>
        <v/>
      </c>
      <c r="AA5" s="20">
        <f>SUMPRODUCT((MONTH('Expense Log'!$B$4:$B$461)=9)*(VLOOKUP('Expense Log'!$E$4:$E$461,'Category Map'!$B$4:$C$31,2,FALSE)="Wants")*'Expense Log'!$D$4:$D$461)</f>
        <v/>
      </c>
      <c r="AB5" s="20">
        <f>Income!$C$24</f>
        <v/>
      </c>
      <c r="AC5" s="20">
        <f>AB5-AA5</f>
        <v/>
      </c>
      <c r="AD5" s="20">
        <f>SUMPRODUCT((MONTH('Expense Log'!$B$4:$B$461)=10)*(VLOOKUP('Expense Log'!$E$4:$E$461,'Category Map'!$B$4:$C$31,2,FALSE)="Wants")*'Expense Log'!$D$4:$D$461)</f>
        <v/>
      </c>
      <c r="AE5" s="20">
        <f>Income!$C$24</f>
        <v/>
      </c>
      <c r="AF5" s="20">
        <f>AE5-AD5</f>
        <v/>
      </c>
      <c r="AG5" s="20">
        <f>SUMPRODUCT((MONTH('Expense Log'!$B$4:$B$461)=11)*(VLOOKUP('Expense Log'!$E$4:$E$461,'Category Map'!$B$4:$C$31,2,FALSE)="Wants")*'Expense Log'!$D$4:$D$461)</f>
        <v/>
      </c>
      <c r="AH5" s="20">
        <f>Income!$C$24</f>
        <v/>
      </c>
      <c r="AI5" s="20">
        <f>AH5-AG5</f>
        <v/>
      </c>
      <c r="AJ5" s="20">
        <f>SUMPRODUCT((MONTH('Expense Log'!$B$4:$B$461)=12)*(VLOOKUP('Expense Log'!$E$4:$E$461,'Category Map'!$B$4:$C$31,2,FALSE)="Wants")*'Expense Log'!$D$4:$D$461)</f>
        <v/>
      </c>
      <c r="AK5" s="20">
        <f>Income!$C$24</f>
        <v/>
      </c>
      <c r="AL5" s="20">
        <f>AK5-AJ5</f>
        <v/>
      </c>
      <c r="AM5" s="8">
        <f>C5+F5+I5+L5+O5+R5+U5+X5+AA5+AD5+AG5+AJ5</f>
        <v/>
      </c>
      <c r="AN5" s="8">
        <f>D5+G5+J5+M5+P5+S5+V5+Y5+AB5+AE5+AH5+AK5</f>
        <v/>
      </c>
      <c r="AO5" s="8">
        <f>AN5-AM5</f>
        <v/>
      </c>
    </row>
    <row r="6">
      <c r="B6" s="22" t="inlineStr">
        <is>
          <t>Savings</t>
        </is>
      </c>
      <c r="C6" s="20">
        <f>SUMPRODUCT((MONTH('Expense Log'!$B$4:$B$461)=1)*(VLOOKUP('Expense Log'!$E$4:$E$461,'Category Map'!$B$4:$C$31,2,FALSE)="Savings")*'Expense Log'!$D$4:$D$461)</f>
        <v/>
      </c>
      <c r="D6" s="20">
        <f>Income!$C$25</f>
        <v/>
      </c>
      <c r="E6" s="20">
        <f>D6-C6</f>
        <v/>
      </c>
      <c r="F6" s="20">
        <f>SUMPRODUCT((MONTH('Expense Log'!$B$4:$B$461)=2)*(VLOOKUP('Expense Log'!$E$4:$E$461,'Category Map'!$B$4:$C$31,2,FALSE)="Savings")*'Expense Log'!$D$4:$D$461)</f>
        <v/>
      </c>
      <c r="G6" s="20">
        <f>Income!$C$25</f>
        <v/>
      </c>
      <c r="H6" s="20">
        <f>G6-F6</f>
        <v/>
      </c>
      <c r="I6" s="20">
        <f>SUMPRODUCT((MONTH('Expense Log'!$B$4:$B$461)=3)*(VLOOKUP('Expense Log'!$E$4:$E$461,'Category Map'!$B$4:$C$31,2,FALSE)="Savings")*'Expense Log'!$D$4:$D$461)</f>
        <v/>
      </c>
      <c r="J6" s="20">
        <f>Income!$C$25</f>
        <v/>
      </c>
      <c r="K6" s="20">
        <f>J6-I6</f>
        <v/>
      </c>
      <c r="L6" s="20">
        <f>SUMPRODUCT((MONTH('Expense Log'!$B$4:$B$461)=4)*(VLOOKUP('Expense Log'!$E$4:$E$461,'Category Map'!$B$4:$C$31,2,FALSE)="Savings")*'Expense Log'!$D$4:$D$461)</f>
        <v/>
      </c>
      <c r="M6" s="20">
        <f>Income!$C$25</f>
        <v/>
      </c>
      <c r="N6" s="20">
        <f>M6-L6</f>
        <v/>
      </c>
      <c r="O6" s="20">
        <f>SUMPRODUCT((MONTH('Expense Log'!$B$4:$B$461)=5)*(VLOOKUP('Expense Log'!$E$4:$E$461,'Category Map'!$B$4:$C$31,2,FALSE)="Savings")*'Expense Log'!$D$4:$D$461)</f>
        <v/>
      </c>
      <c r="P6" s="20">
        <f>Income!$C$25</f>
        <v/>
      </c>
      <c r="Q6" s="20">
        <f>P6-O6</f>
        <v/>
      </c>
      <c r="R6" s="20">
        <f>SUMPRODUCT((MONTH('Expense Log'!$B$4:$B$461)=6)*(VLOOKUP('Expense Log'!$E$4:$E$461,'Category Map'!$B$4:$C$31,2,FALSE)="Savings")*'Expense Log'!$D$4:$D$461)</f>
        <v/>
      </c>
      <c r="S6" s="20">
        <f>Income!$C$25</f>
        <v/>
      </c>
      <c r="T6" s="20">
        <f>S6-R6</f>
        <v/>
      </c>
      <c r="U6" s="20">
        <f>SUMPRODUCT((MONTH('Expense Log'!$B$4:$B$461)=7)*(VLOOKUP('Expense Log'!$E$4:$E$461,'Category Map'!$B$4:$C$31,2,FALSE)="Savings")*'Expense Log'!$D$4:$D$461)</f>
        <v/>
      </c>
      <c r="V6" s="20">
        <f>Income!$C$25</f>
        <v/>
      </c>
      <c r="W6" s="20">
        <f>V6-U6</f>
        <v/>
      </c>
      <c r="X6" s="20">
        <f>SUMPRODUCT((MONTH('Expense Log'!$B$4:$B$461)=8)*(VLOOKUP('Expense Log'!$E$4:$E$461,'Category Map'!$B$4:$C$31,2,FALSE)="Savings")*'Expense Log'!$D$4:$D$461)</f>
        <v/>
      </c>
      <c r="Y6" s="20">
        <f>Income!$C$25</f>
        <v/>
      </c>
      <c r="Z6" s="20">
        <f>Y6-X6</f>
        <v/>
      </c>
      <c r="AA6" s="20">
        <f>SUMPRODUCT((MONTH('Expense Log'!$B$4:$B$461)=9)*(VLOOKUP('Expense Log'!$E$4:$E$461,'Category Map'!$B$4:$C$31,2,FALSE)="Savings")*'Expense Log'!$D$4:$D$461)</f>
        <v/>
      </c>
      <c r="AB6" s="20">
        <f>Income!$C$25</f>
        <v/>
      </c>
      <c r="AC6" s="20">
        <f>AB6-AA6</f>
        <v/>
      </c>
      <c r="AD6" s="20">
        <f>SUMPRODUCT((MONTH('Expense Log'!$B$4:$B$461)=10)*(VLOOKUP('Expense Log'!$E$4:$E$461,'Category Map'!$B$4:$C$31,2,FALSE)="Savings")*'Expense Log'!$D$4:$D$461)</f>
        <v/>
      </c>
      <c r="AE6" s="20">
        <f>Income!$C$25</f>
        <v/>
      </c>
      <c r="AF6" s="20">
        <f>AE6-AD6</f>
        <v/>
      </c>
      <c r="AG6" s="20">
        <f>SUMPRODUCT((MONTH('Expense Log'!$B$4:$B$461)=11)*(VLOOKUP('Expense Log'!$E$4:$E$461,'Category Map'!$B$4:$C$31,2,FALSE)="Savings")*'Expense Log'!$D$4:$D$461)</f>
        <v/>
      </c>
      <c r="AH6" s="20">
        <f>Income!$C$25</f>
        <v/>
      </c>
      <c r="AI6" s="20">
        <f>AH6-AG6</f>
        <v/>
      </c>
      <c r="AJ6" s="20">
        <f>SUMPRODUCT((MONTH('Expense Log'!$B$4:$B$461)=12)*(VLOOKUP('Expense Log'!$E$4:$E$461,'Category Map'!$B$4:$C$31,2,FALSE)="Savings")*'Expense Log'!$D$4:$D$461)</f>
        <v/>
      </c>
      <c r="AK6" s="20">
        <f>Income!$C$25</f>
        <v/>
      </c>
      <c r="AL6" s="20">
        <f>AK6-AJ6</f>
        <v/>
      </c>
      <c r="AM6" s="8">
        <f>C6+F6+I6+L6+O6+R6+U6+X6+AA6+AD6+AG6+AJ6</f>
        <v/>
      </c>
      <c r="AN6" s="8">
        <f>D6+G6+J6+M6+P6+S6+V6+Y6+AB6+AE6+AH6+AK6</f>
        <v/>
      </c>
      <c r="AO6" s="8">
        <f>AN6-AM6</f>
        <v/>
      </c>
    </row>
    <row r="7">
      <c r="B7" s="2" t="n"/>
      <c r="C7" s="2" t="n"/>
      <c r="D7" s="2" t="n"/>
      <c r="E7" s="2" t="n"/>
      <c r="F7" s="2" t="n"/>
      <c r="G7" s="2" t="n"/>
      <c r="H7" s="2" t="n"/>
      <c r="I7" s="2" t="n"/>
      <c r="J7" s="2" t="n"/>
      <c r="K7" s="2" t="n"/>
      <c r="L7" s="2" t="n"/>
      <c r="M7" s="2" t="n"/>
      <c r="N7" s="2" t="n"/>
      <c r="O7" s="2" t="n"/>
      <c r="P7" s="2" t="n"/>
      <c r="Q7" s="2" t="n"/>
      <c r="R7" s="2" t="n"/>
      <c r="S7" s="2" t="n"/>
      <c r="T7" s="2" t="n"/>
      <c r="U7" s="2" t="n"/>
      <c r="V7" s="2" t="n"/>
      <c r="W7" s="2" t="n"/>
      <c r="X7" s="2" t="n"/>
      <c r="Y7" s="2" t="n"/>
      <c r="Z7" s="2" t="n"/>
      <c r="AA7" s="2" t="n"/>
      <c r="AB7" s="2" t="n"/>
      <c r="AC7" s="2" t="n"/>
      <c r="AD7" s="2" t="n"/>
      <c r="AE7" s="2" t="n"/>
      <c r="AF7" s="2" t="n"/>
      <c r="AG7" s="2" t="n"/>
      <c r="AH7" s="2" t="n"/>
      <c r="AI7" s="2" t="n"/>
      <c r="AJ7" s="2" t="n"/>
      <c r="AK7" s="2" t="n"/>
      <c r="AL7" s="2" t="n"/>
      <c r="AM7" s="2" t="n"/>
      <c r="AN7" s="2" t="n"/>
      <c r="AO7" s="2" t="n"/>
    </row>
    <row r="8">
      <c r="B8" s="23" t="inlineStr">
        <is>
          <t>Actual % of Net Income</t>
        </is>
      </c>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2" t="n"/>
      <c r="AA8" s="2" t="n"/>
      <c r="AB8" s="2" t="n"/>
      <c r="AC8" s="2" t="n"/>
      <c r="AD8" s="2" t="n"/>
      <c r="AE8" s="2" t="n"/>
      <c r="AF8" s="2" t="n"/>
      <c r="AG8" s="2" t="n"/>
      <c r="AH8" s="2" t="n"/>
      <c r="AI8" s="2" t="n"/>
      <c r="AJ8" s="2" t="n"/>
      <c r="AK8" s="2" t="n"/>
      <c r="AL8" s="2" t="n"/>
      <c r="AM8" s="2" t="n"/>
      <c r="AN8" s="2" t="n"/>
      <c r="AO8" s="2" t="n"/>
    </row>
    <row r="9">
      <c r="B9" s="24" t="inlineStr">
        <is>
          <t>Needs</t>
        </is>
      </c>
      <c r="C9" s="25">
        <f>IFERROR(C4/Income!$C$21,0)</f>
        <v/>
      </c>
      <c r="D9" s="2" t="n"/>
      <c r="E9" s="2" t="n"/>
      <c r="F9" s="25">
        <f>IFERROR(F4/Income!$C$21,0)</f>
        <v/>
      </c>
      <c r="G9" s="2" t="n"/>
      <c r="H9" s="2" t="n"/>
      <c r="I9" s="25">
        <f>IFERROR(I4/Income!$C$21,0)</f>
        <v/>
      </c>
      <c r="J9" s="2" t="n"/>
      <c r="K9" s="2" t="n"/>
      <c r="L9" s="25">
        <f>IFERROR(L4/Income!$C$21,0)</f>
        <v/>
      </c>
      <c r="M9" s="2" t="n"/>
      <c r="N9" s="2" t="n"/>
      <c r="O9" s="25">
        <f>IFERROR(O4/Income!$C$21,0)</f>
        <v/>
      </c>
      <c r="P9" s="2" t="n"/>
      <c r="Q9" s="2" t="n"/>
      <c r="R9" s="25">
        <f>IFERROR(R4/Income!$C$21,0)</f>
        <v/>
      </c>
      <c r="S9" s="2" t="n"/>
      <c r="T9" s="2" t="n"/>
      <c r="U9" s="25">
        <f>IFERROR(U4/Income!$C$21,0)</f>
        <v/>
      </c>
      <c r="V9" s="2" t="n"/>
      <c r="W9" s="2" t="n"/>
      <c r="X9" s="25">
        <f>IFERROR(X4/Income!$C$21,0)</f>
        <v/>
      </c>
      <c r="Y9" s="2" t="n"/>
      <c r="Z9" s="2" t="n"/>
      <c r="AA9" s="25">
        <f>IFERROR(AA4/Income!$C$21,0)</f>
        <v/>
      </c>
      <c r="AB9" s="2" t="n"/>
      <c r="AC9" s="2" t="n"/>
      <c r="AD9" s="25">
        <f>IFERROR(AD4/Income!$C$21,0)</f>
        <v/>
      </c>
      <c r="AE9" s="2" t="n"/>
      <c r="AF9" s="2" t="n"/>
      <c r="AG9" s="25">
        <f>IFERROR(AG4/Income!$C$21,0)</f>
        <v/>
      </c>
      <c r="AH9" s="2" t="n"/>
      <c r="AI9" s="2" t="n"/>
      <c r="AJ9" s="25">
        <f>IFERROR(AJ4/Income!$C$21,0)</f>
        <v/>
      </c>
      <c r="AK9" s="2" t="n"/>
      <c r="AL9" s="2" t="n"/>
      <c r="AM9" s="2" t="n"/>
      <c r="AN9" s="2" t="n"/>
      <c r="AO9" s="2" t="n"/>
    </row>
    <row r="10">
      <c r="B10" s="26" t="inlineStr">
        <is>
          <t>Wants</t>
        </is>
      </c>
      <c r="C10" s="25">
        <f>IFERROR(C5/Income!$C$21,0)</f>
        <v/>
      </c>
      <c r="D10" s="2" t="n"/>
      <c r="E10" s="2" t="n"/>
      <c r="F10" s="25">
        <f>IFERROR(F5/Income!$C$21,0)</f>
        <v/>
      </c>
      <c r="G10" s="2" t="n"/>
      <c r="H10" s="2" t="n"/>
      <c r="I10" s="25">
        <f>IFERROR(I5/Income!$C$21,0)</f>
        <v/>
      </c>
      <c r="J10" s="2" t="n"/>
      <c r="K10" s="2" t="n"/>
      <c r="L10" s="25">
        <f>IFERROR(L5/Income!$C$21,0)</f>
        <v/>
      </c>
      <c r="M10" s="2" t="n"/>
      <c r="N10" s="2" t="n"/>
      <c r="O10" s="25">
        <f>IFERROR(O5/Income!$C$21,0)</f>
        <v/>
      </c>
      <c r="P10" s="2" t="n"/>
      <c r="Q10" s="2" t="n"/>
      <c r="R10" s="25">
        <f>IFERROR(R5/Income!$C$21,0)</f>
        <v/>
      </c>
      <c r="S10" s="2" t="n"/>
      <c r="T10" s="2" t="n"/>
      <c r="U10" s="25">
        <f>IFERROR(U5/Income!$C$21,0)</f>
        <v/>
      </c>
      <c r="V10" s="2" t="n"/>
      <c r="W10" s="2" t="n"/>
      <c r="X10" s="25">
        <f>IFERROR(X5/Income!$C$21,0)</f>
        <v/>
      </c>
      <c r="Y10" s="2" t="n"/>
      <c r="Z10" s="2" t="n"/>
      <c r="AA10" s="25">
        <f>IFERROR(AA5/Income!$C$21,0)</f>
        <v/>
      </c>
      <c r="AB10" s="2" t="n"/>
      <c r="AC10" s="2" t="n"/>
      <c r="AD10" s="25">
        <f>IFERROR(AD5/Income!$C$21,0)</f>
        <v/>
      </c>
      <c r="AE10" s="2" t="n"/>
      <c r="AF10" s="2" t="n"/>
      <c r="AG10" s="25">
        <f>IFERROR(AG5/Income!$C$21,0)</f>
        <v/>
      </c>
      <c r="AH10" s="2" t="n"/>
      <c r="AI10" s="2" t="n"/>
      <c r="AJ10" s="25">
        <f>IFERROR(AJ5/Income!$C$21,0)</f>
        <v/>
      </c>
      <c r="AK10" s="2" t="n"/>
      <c r="AL10" s="2" t="n"/>
      <c r="AM10" s="2" t="n"/>
      <c r="AN10" s="2" t="n"/>
      <c r="AO10" s="2" t="n"/>
    </row>
    <row r="11">
      <c r="B11" s="27" t="inlineStr">
        <is>
          <t>Savings</t>
        </is>
      </c>
      <c r="C11" s="25">
        <f>IFERROR(C6/Income!$C$21,0)</f>
        <v/>
      </c>
      <c r="D11" s="2" t="n"/>
      <c r="E11" s="2" t="n"/>
      <c r="F11" s="25">
        <f>IFERROR(F6/Income!$C$21,0)</f>
        <v/>
      </c>
      <c r="G11" s="2" t="n"/>
      <c r="H11" s="2" t="n"/>
      <c r="I11" s="25">
        <f>IFERROR(I6/Income!$C$21,0)</f>
        <v/>
      </c>
      <c r="J11" s="2" t="n"/>
      <c r="K11" s="2" t="n"/>
      <c r="L11" s="25">
        <f>IFERROR(L6/Income!$C$21,0)</f>
        <v/>
      </c>
      <c r="M11" s="2" t="n"/>
      <c r="N11" s="2" t="n"/>
      <c r="O11" s="25">
        <f>IFERROR(O6/Income!$C$21,0)</f>
        <v/>
      </c>
      <c r="P11" s="2" t="n"/>
      <c r="Q11" s="2" t="n"/>
      <c r="R11" s="25">
        <f>IFERROR(R6/Income!$C$21,0)</f>
        <v/>
      </c>
      <c r="S11" s="2" t="n"/>
      <c r="T11" s="2" t="n"/>
      <c r="U11" s="25">
        <f>IFERROR(U6/Income!$C$21,0)</f>
        <v/>
      </c>
      <c r="V11" s="2" t="n"/>
      <c r="W11" s="2" t="n"/>
      <c r="X11" s="25">
        <f>IFERROR(X6/Income!$C$21,0)</f>
        <v/>
      </c>
      <c r="Y11" s="2" t="n"/>
      <c r="Z11" s="2" t="n"/>
      <c r="AA11" s="25">
        <f>IFERROR(AA6/Income!$C$21,0)</f>
        <v/>
      </c>
      <c r="AB11" s="2" t="n"/>
      <c r="AC11" s="2" t="n"/>
      <c r="AD11" s="25">
        <f>IFERROR(AD6/Income!$C$21,0)</f>
        <v/>
      </c>
      <c r="AE11" s="2" t="n"/>
      <c r="AF11" s="2" t="n"/>
      <c r="AG11" s="25">
        <f>IFERROR(AG6/Income!$C$21,0)</f>
        <v/>
      </c>
      <c r="AH11" s="2" t="n"/>
      <c r="AI11" s="2" t="n"/>
      <c r="AJ11" s="25">
        <f>IFERROR(AJ6/Income!$C$21,0)</f>
        <v/>
      </c>
      <c r="AK11" s="2" t="n"/>
      <c r="AL11" s="2" t="n"/>
      <c r="AM11" s="2" t="n"/>
      <c r="AN11" s="2" t="n"/>
      <c r="AO11" s="2" t="n"/>
    </row>
  </sheetData>
  <conditionalFormatting sqref="E4:E6">
    <cfRule type="cellIs" priority="1" operator="lessThan" dxfId="0">
      <formula>0</formula>
    </cfRule>
    <cfRule type="cellIs" priority="2" operator="greaterThanOrEqual" dxfId="1">
      <formula>0</formula>
    </cfRule>
  </conditionalFormatting>
  <conditionalFormatting sqref="H4:H6">
    <cfRule type="cellIs" priority="3" operator="lessThan" dxfId="0">
      <formula>0</formula>
    </cfRule>
    <cfRule type="cellIs" priority="4" operator="greaterThanOrEqual" dxfId="1">
      <formula>0</formula>
    </cfRule>
  </conditionalFormatting>
  <conditionalFormatting sqref="K4:K6">
    <cfRule type="cellIs" priority="5" operator="lessThan" dxfId="0">
      <formula>0</formula>
    </cfRule>
    <cfRule type="cellIs" priority="6" operator="greaterThanOrEqual" dxfId="1">
      <formula>0</formula>
    </cfRule>
  </conditionalFormatting>
  <conditionalFormatting sqref="N4:N6">
    <cfRule type="cellIs" priority="7" operator="lessThan" dxfId="0">
      <formula>0</formula>
    </cfRule>
    <cfRule type="cellIs" priority="8" operator="greaterThanOrEqual" dxfId="1">
      <formula>0</formula>
    </cfRule>
  </conditionalFormatting>
  <conditionalFormatting sqref="Q4:Q6">
    <cfRule type="cellIs" priority="9" operator="lessThan" dxfId="0">
      <formula>0</formula>
    </cfRule>
    <cfRule type="cellIs" priority="10" operator="greaterThanOrEqual" dxfId="1">
      <formula>0</formula>
    </cfRule>
  </conditionalFormatting>
  <conditionalFormatting sqref="T4:T6">
    <cfRule type="cellIs" priority="11" operator="lessThan" dxfId="0">
      <formula>0</formula>
    </cfRule>
    <cfRule type="cellIs" priority="12" operator="greaterThanOrEqual" dxfId="1">
      <formula>0</formula>
    </cfRule>
  </conditionalFormatting>
  <conditionalFormatting sqref="W4:W6">
    <cfRule type="cellIs" priority="13" operator="lessThan" dxfId="0">
      <formula>0</formula>
    </cfRule>
    <cfRule type="cellIs" priority="14" operator="greaterThanOrEqual" dxfId="1">
      <formula>0</formula>
    </cfRule>
  </conditionalFormatting>
  <conditionalFormatting sqref="Z4:Z6">
    <cfRule type="cellIs" priority="15" operator="lessThan" dxfId="0">
      <formula>0</formula>
    </cfRule>
    <cfRule type="cellIs" priority="16" operator="greaterThanOrEqual" dxfId="1">
      <formula>0</formula>
    </cfRule>
  </conditionalFormatting>
  <conditionalFormatting sqref="AC4:AC6">
    <cfRule type="cellIs" priority="17" operator="lessThan" dxfId="0">
      <formula>0</formula>
    </cfRule>
    <cfRule type="cellIs" priority="18" operator="greaterThanOrEqual" dxfId="1">
      <formula>0</formula>
    </cfRule>
  </conditionalFormatting>
  <conditionalFormatting sqref="AF4:AF6">
    <cfRule type="cellIs" priority="19" operator="lessThan" dxfId="0">
      <formula>0</formula>
    </cfRule>
    <cfRule type="cellIs" priority="20" operator="greaterThanOrEqual" dxfId="1">
      <formula>0</formula>
    </cfRule>
  </conditionalFormatting>
  <conditionalFormatting sqref="AI4:AI6">
    <cfRule type="cellIs" priority="21" operator="lessThan" dxfId="0">
      <formula>0</formula>
    </cfRule>
    <cfRule type="cellIs" priority="22" operator="greaterThanOrEqual" dxfId="1">
      <formula>0</formula>
    </cfRule>
  </conditionalFormatting>
  <conditionalFormatting sqref="AL4:AL6">
    <cfRule type="cellIs" priority="23" operator="lessThan" dxfId="0">
      <formula>0</formula>
    </cfRule>
    <cfRule type="cellIs" priority="24" operator="greaterThanOrEqual" dxfId="1">
      <formula>0</formula>
    </cfRule>
  </conditionalFormatting>
  <conditionalFormatting sqref="AO4:AO6">
    <cfRule type="cellIs" priority="25" operator="lessThan" dxfId="0">
      <formula>0</formula>
    </cfRule>
    <cfRule type="cellIs" priority="26" operator="greaterThanOrEqual" dxfId="1">
      <formula>0</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1"/>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s>
  <sheetData>
    <row r="1"/>
    <row r="2">
      <c r="B2" s="1" t="inlineStr">
        <is>
          <t>Paycheck Planner (Semi-Monthly)</t>
        </is>
      </c>
      <c r="C2" s="2" t="n"/>
      <c r="D2" s="2" t="n"/>
      <c r="E2" s="2" t="n"/>
      <c r="F2" s="2" t="n"/>
      <c r="G2" s="2" t="n"/>
    </row>
    <row r="3">
      <c r="B3" s="13" t="inlineStr">
        <is>
          <t>Bill / Expense</t>
        </is>
      </c>
      <c r="C3" s="13" t="inlineStr">
        <is>
          <t>Monthly Amount</t>
        </is>
      </c>
      <c r="D3" s="13" t="inlineStr">
        <is>
          <t>Due Around</t>
        </is>
      </c>
      <c r="E3" s="13" t="inlineStr">
        <is>
          <t>Paycheck 1 (1st)</t>
        </is>
      </c>
      <c r="F3" s="13" t="inlineStr">
        <is>
          <t>Paycheck 2 (15th)</t>
        </is>
      </c>
      <c r="G3" s="13" t="inlineStr">
        <is>
          <t>Auto-pay?</t>
        </is>
      </c>
    </row>
    <row r="4">
      <c r="B4" s="4" t="inlineStr">
        <is>
          <t>Rent/Mortgage</t>
        </is>
      </c>
      <c r="C4" s="8" t="n">
        <v>1450</v>
      </c>
      <c r="D4" s="4" t="inlineStr">
        <is>
          <t>1st</t>
        </is>
      </c>
      <c r="E4" s="5" t="n">
        <v>1450</v>
      </c>
      <c r="F4" s="5" t="n">
        <v>0</v>
      </c>
      <c r="G4" s="4" t="inlineStr">
        <is>
          <t>Yes</t>
        </is>
      </c>
    </row>
    <row r="5">
      <c r="B5" s="4" t="inlineStr">
        <is>
          <t>Utilities</t>
        </is>
      </c>
      <c r="C5" s="8" t="n">
        <v>155</v>
      </c>
      <c r="D5" s="4" t="inlineStr">
        <is>
          <t>10th</t>
        </is>
      </c>
      <c r="E5" s="5" t="n">
        <v>155</v>
      </c>
      <c r="F5" s="5" t="n">
        <v>0</v>
      </c>
      <c r="G5" s="4" t="inlineStr">
        <is>
          <t>Yes</t>
        </is>
      </c>
    </row>
    <row r="6">
      <c r="B6" s="4" t="inlineStr">
        <is>
          <t>Internet</t>
        </is>
      </c>
      <c r="C6" s="8" t="n">
        <v>60</v>
      </c>
      <c r="D6" s="4" t="inlineStr">
        <is>
          <t>8th</t>
        </is>
      </c>
      <c r="E6" s="5" t="n">
        <v>60</v>
      </c>
      <c r="F6" s="5" t="n">
        <v>0</v>
      </c>
      <c r="G6" s="4" t="inlineStr">
        <is>
          <t>Yes</t>
        </is>
      </c>
    </row>
    <row r="7">
      <c r="B7" s="4" t="inlineStr">
        <is>
          <t>Phone</t>
        </is>
      </c>
      <c r="C7" s="8" t="n">
        <v>70</v>
      </c>
      <c r="D7" s="4" t="inlineStr">
        <is>
          <t>12th</t>
        </is>
      </c>
      <c r="E7" s="5" t="n">
        <v>70</v>
      </c>
      <c r="F7" s="5" t="n">
        <v>0</v>
      </c>
      <c r="G7" s="4" t="inlineStr">
        <is>
          <t>Yes</t>
        </is>
      </c>
    </row>
    <row r="8">
      <c r="B8" s="4" t="inlineStr">
        <is>
          <t>Health Insurance</t>
        </is>
      </c>
      <c r="C8" s="8" t="n">
        <v>180</v>
      </c>
      <c r="D8" s="4" t="inlineStr">
        <is>
          <t>1st</t>
        </is>
      </c>
      <c r="E8" s="5" t="n">
        <v>180</v>
      </c>
      <c r="F8" s="5" t="n">
        <v>0</v>
      </c>
      <c r="G8" s="4" t="inlineStr">
        <is>
          <t>Yes</t>
        </is>
      </c>
    </row>
    <row r="9">
      <c r="B9" s="4" t="inlineStr">
        <is>
          <t>Auto Insurance</t>
        </is>
      </c>
      <c r="C9" s="8" t="n">
        <v>105</v>
      </c>
      <c r="D9" s="4" t="inlineStr">
        <is>
          <t>5th</t>
        </is>
      </c>
      <c r="E9" s="5" t="n">
        <v>105</v>
      </c>
      <c r="F9" s="5" t="n">
        <v>0</v>
      </c>
      <c r="G9" s="4" t="inlineStr">
        <is>
          <t>Yes</t>
        </is>
      </c>
    </row>
    <row r="10">
      <c r="B10" s="4" t="inlineStr">
        <is>
          <t>Renters Insurance</t>
        </is>
      </c>
      <c r="C10" s="8" t="n">
        <v>22</v>
      </c>
      <c r="D10" s="4" t="inlineStr">
        <is>
          <t>1st</t>
        </is>
      </c>
      <c r="E10" s="5" t="n">
        <v>22</v>
      </c>
      <c r="F10" s="5" t="n">
        <v>0</v>
      </c>
      <c r="G10" s="4" t="inlineStr">
        <is>
          <t>Yes</t>
        </is>
      </c>
    </row>
    <row r="11">
      <c r="B11" s="4" t="inlineStr">
        <is>
          <t>Gym</t>
        </is>
      </c>
      <c r="C11" s="8" t="n">
        <v>40</v>
      </c>
      <c r="D11" s="4" t="inlineStr">
        <is>
          <t>1st</t>
        </is>
      </c>
      <c r="E11" s="5" t="n">
        <v>40</v>
      </c>
      <c r="F11" s="5" t="n">
        <v>0</v>
      </c>
      <c r="G11" s="4" t="inlineStr">
        <is>
          <t>Yes</t>
        </is>
      </c>
    </row>
    <row r="12">
      <c r="B12" s="4" t="inlineStr">
        <is>
          <t>Min Debt Payment</t>
        </is>
      </c>
      <c r="C12" s="8" t="n">
        <v>300</v>
      </c>
      <c r="D12" s="4" t="inlineStr">
        <is>
          <t>15th</t>
        </is>
      </c>
      <c r="E12" s="5" t="n">
        <v>0</v>
      </c>
      <c r="F12" s="5" t="n">
        <v>300</v>
      </c>
      <c r="G12" s="4" t="inlineStr">
        <is>
          <t>Yes</t>
        </is>
      </c>
    </row>
    <row r="13">
      <c r="B13" s="4" t="inlineStr">
        <is>
          <t>Emergency Fund</t>
        </is>
      </c>
      <c r="C13" s="8" t="n">
        <v>200</v>
      </c>
      <c r="D13" s="4" t="inlineStr">
        <is>
          <t>15th</t>
        </is>
      </c>
      <c r="E13" s="5" t="n">
        <v>0</v>
      </c>
      <c r="F13" s="5" t="n">
        <v>200</v>
      </c>
      <c r="G13" s="4" t="inlineStr">
        <is>
          <t>Yes</t>
        </is>
      </c>
    </row>
    <row r="14">
      <c r="B14" s="4" t="inlineStr">
        <is>
          <t>Retirement Extra</t>
        </is>
      </c>
      <c r="C14" s="8" t="n">
        <v>200</v>
      </c>
      <c r="D14" s="4" t="inlineStr">
        <is>
          <t>15th</t>
        </is>
      </c>
      <c r="E14" s="5" t="n">
        <v>0</v>
      </c>
      <c r="F14" s="5" t="n">
        <v>200</v>
      </c>
      <c r="G14" s="4" t="inlineStr">
        <is>
          <t>Yes</t>
        </is>
      </c>
    </row>
    <row r="15">
      <c r="B15" s="4" t="inlineStr">
        <is>
          <t>Vacation Fund</t>
        </is>
      </c>
      <c r="C15" s="8" t="n">
        <v>100</v>
      </c>
      <c r="D15" s="4" t="inlineStr">
        <is>
          <t>15th</t>
        </is>
      </c>
      <c r="E15" s="5" t="n">
        <v>0</v>
      </c>
      <c r="F15" s="5" t="n">
        <v>100</v>
      </c>
      <c r="G15" s="4" t="inlineStr">
        <is>
          <t>No</t>
        </is>
      </c>
    </row>
    <row r="16">
      <c r="B16" s="4" t="inlineStr">
        <is>
          <t>Sinking Funds</t>
        </is>
      </c>
      <c r="C16" s="8" t="n">
        <v>75</v>
      </c>
      <c r="D16" s="4" t="inlineStr">
        <is>
          <t>15th</t>
        </is>
      </c>
      <c r="E16" s="5" t="n">
        <v>0</v>
      </c>
      <c r="F16" s="5" t="n">
        <v>75</v>
      </c>
      <c r="G16" s="4" t="inlineStr">
        <is>
          <t>No</t>
        </is>
      </c>
    </row>
    <row r="17">
      <c r="B17" s="4" t="inlineStr">
        <is>
          <t>Investments</t>
        </is>
      </c>
      <c r="C17" s="8" t="n">
        <v>150</v>
      </c>
      <c r="D17" s="4" t="inlineStr">
        <is>
          <t>20th</t>
        </is>
      </c>
      <c r="E17" s="5" t="n">
        <v>0</v>
      </c>
      <c r="F17" s="5" t="n">
        <v>150</v>
      </c>
      <c r="G17" s="4" t="inlineStr">
        <is>
          <t>No</t>
        </is>
      </c>
    </row>
    <row r="18">
      <c r="B18" s="4" t="inlineStr">
        <is>
          <t>Subscriptions</t>
        </is>
      </c>
      <c r="C18" s="8" t="n">
        <v>50</v>
      </c>
      <c r="D18" s="4" t="inlineStr">
        <is>
          <t>Various</t>
        </is>
      </c>
      <c r="E18" s="5" t="n">
        <v>50</v>
      </c>
      <c r="F18" s="5" t="n">
        <v>0</v>
      </c>
      <c r="G18" s="4" t="inlineStr">
        <is>
          <t>Yes</t>
        </is>
      </c>
    </row>
    <row r="19">
      <c r="B19" s="2" t="n"/>
      <c r="C19" s="2" t="n"/>
      <c r="D19" s="2" t="n"/>
      <c r="E19" s="2" t="n"/>
      <c r="F19" s="2" t="n"/>
      <c r="G19" s="2" t="n"/>
    </row>
    <row r="20">
      <c r="B20" s="23" t="inlineStr">
        <is>
          <t>Total Committed</t>
        </is>
      </c>
      <c r="C20" s="2" t="n"/>
      <c r="D20" s="2" t="n"/>
      <c r="E20" s="12">
        <f>SUM(E4:E18)</f>
        <v/>
      </c>
      <c r="F20" s="12">
        <f>SUM(F4:F18)</f>
        <v/>
      </c>
      <c r="G20" s="2" t="n"/>
    </row>
    <row r="21">
      <c r="B21" s="23" t="inlineStr">
        <is>
          <t>Discretionary Remaining</t>
        </is>
      </c>
      <c r="C21" s="2" t="n"/>
      <c r="D21" s="2" t="n"/>
      <c r="E21" s="12">
        <f>Income!$C$17-E20</f>
        <v/>
      </c>
      <c r="F21" s="12">
        <f>Income!$C$17-F20</f>
        <v/>
      </c>
      <c r="G21" s="2" t="n"/>
    </row>
  </sheetData>
  <conditionalFormatting sqref="E21:F21">
    <cfRule type="cellIs" priority="1" operator="lessThan" dxfId="2">
      <formula>0</formula>
    </cfRule>
  </conditionalFormatting>
  <dataValidations count="1">
    <dataValidation sqref="G4 G5 G6 G7 G8 G9 G10 G11 G12 G13 G14 G15 G16 G17 G18"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65"/>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14" customWidth="1" min="3" max="3"/>
    <col width="14" customWidth="1" min="4" max="4"/>
  </cols>
  <sheetData>
    <row r="1"/>
    <row r="2">
      <c r="B2" s="1" t="inlineStr">
        <is>
          <t>Budget Analysis</t>
        </is>
      </c>
      <c r="C2" s="2" t="n"/>
      <c r="D2" s="2" t="n"/>
      <c r="E2" s="2" t="n"/>
    </row>
    <row r="3">
      <c r="B3" s="2" t="n"/>
      <c r="C3" s="2" t="n"/>
      <c r="D3" s="2" t="n"/>
      <c r="E3" s="2" t="n"/>
    </row>
    <row r="4">
      <c r="B4" s="28" t="inlineStr">
        <is>
          <t>Annual Split</t>
        </is>
      </c>
      <c r="C4" s="2" t="n"/>
      <c r="D4" s="2" t="n"/>
      <c r="E4" s="2" t="n"/>
    </row>
    <row r="5">
      <c r="B5" s="4" t="inlineStr">
        <is>
          <t>Needs</t>
        </is>
      </c>
      <c r="C5" s="8">
        <f>'Monthly Tracker'!AM4</f>
        <v/>
      </c>
      <c r="D5" s="2" t="n"/>
      <c r="E5" s="2" t="n"/>
    </row>
    <row r="6">
      <c r="B6" s="4" t="inlineStr">
        <is>
          <t>Wants</t>
        </is>
      </c>
      <c r="C6" s="8">
        <f>'Monthly Tracker'!AM5</f>
        <v/>
      </c>
      <c r="D6" s="2" t="n"/>
      <c r="E6" s="2" t="n"/>
    </row>
    <row r="7">
      <c r="B7" s="4" t="inlineStr">
        <is>
          <t>Savings</t>
        </is>
      </c>
      <c r="C7" s="8">
        <f>'Monthly Tracker'!AM6</f>
        <v/>
      </c>
      <c r="D7" s="2" t="n"/>
      <c r="E7" s="2" t="n"/>
    </row>
    <row r="8">
      <c r="B8" s="2" t="n"/>
      <c r="C8" s="2" t="n"/>
      <c r="D8" s="2" t="n"/>
      <c r="E8" s="2" t="n"/>
    </row>
    <row r="9">
      <c r="B9" s="2" t="n"/>
      <c r="C9" s="2" t="n"/>
      <c r="D9" s="2" t="n"/>
      <c r="E9" s="2" t="n"/>
    </row>
    <row r="10">
      <c r="B10" s="2" t="n"/>
      <c r="C10" s="2" t="n"/>
      <c r="D10" s="2" t="n"/>
      <c r="E10" s="2" t="n"/>
    </row>
    <row r="11">
      <c r="B11" s="2" t="n"/>
      <c r="C11" s="2" t="n"/>
      <c r="D11" s="2" t="n"/>
      <c r="E11" s="2" t="n"/>
    </row>
    <row r="12">
      <c r="B12" s="2" t="n"/>
      <c r="C12" s="2" t="n"/>
      <c r="D12" s="2" t="n"/>
      <c r="E12" s="2" t="n"/>
    </row>
    <row r="13">
      <c r="B13" s="2" t="n"/>
      <c r="C13" s="2" t="n"/>
      <c r="D13" s="2" t="n"/>
      <c r="E13" s="2" t="n"/>
    </row>
    <row r="14">
      <c r="B14" s="2" t="n"/>
      <c r="C14" s="2" t="n"/>
      <c r="D14" s="2" t="n"/>
      <c r="E14" s="2" t="n"/>
    </row>
    <row r="15">
      <c r="B15" s="2" t="n"/>
      <c r="C15" s="2" t="n"/>
      <c r="D15" s="2" t="n"/>
      <c r="E15" s="2" t="n"/>
    </row>
    <row r="16">
      <c r="B16" s="2" t="n"/>
      <c r="C16" s="2" t="n"/>
      <c r="D16" s="2" t="n"/>
      <c r="E16" s="2" t="n"/>
    </row>
    <row r="17">
      <c r="B17" s="2" t="n"/>
      <c r="C17" s="2" t="n"/>
      <c r="D17" s="2" t="n"/>
      <c r="E17" s="2" t="n"/>
    </row>
    <row r="18">
      <c r="B18" s="2" t="n"/>
      <c r="C18" s="2" t="n"/>
      <c r="D18" s="2" t="n"/>
      <c r="E18" s="2" t="n"/>
    </row>
    <row r="19">
      <c r="B19" s="2" t="n"/>
      <c r="C19" s="2" t="n"/>
      <c r="D19" s="2" t="n"/>
      <c r="E19" s="2" t="n"/>
    </row>
    <row r="20">
      <c r="B20" s="2" t="n"/>
      <c r="C20" s="2" t="n"/>
      <c r="D20" s="2" t="n"/>
      <c r="E20" s="2" t="n"/>
    </row>
    <row r="21">
      <c r="B21" s="29" t="inlineStr">
        <is>
          <t>Month</t>
        </is>
      </c>
      <c r="C21" s="29" t="inlineStr">
        <is>
          <t>Needs %</t>
        </is>
      </c>
      <c r="D21" s="29" t="inlineStr">
        <is>
          <t>Wants %</t>
        </is>
      </c>
      <c r="E21" s="29" t="inlineStr">
        <is>
          <t>Savings %</t>
        </is>
      </c>
    </row>
    <row r="22">
      <c r="B22" s="4" t="inlineStr">
        <is>
          <t>Jan</t>
        </is>
      </c>
      <c r="C22" s="30">
        <f>'Monthly Tracker'!C9</f>
        <v/>
      </c>
      <c r="D22" s="30">
        <f>'Monthly Tracker'!C10</f>
        <v/>
      </c>
      <c r="E22" s="30">
        <f>'Monthly Tracker'!C11</f>
        <v/>
      </c>
    </row>
    <row r="23">
      <c r="B23" s="4" t="inlineStr">
        <is>
          <t>Feb</t>
        </is>
      </c>
      <c r="C23" s="30">
        <f>'Monthly Tracker'!F9</f>
        <v/>
      </c>
      <c r="D23" s="30">
        <f>'Monthly Tracker'!F10</f>
        <v/>
      </c>
      <c r="E23" s="30">
        <f>'Monthly Tracker'!F11</f>
        <v/>
      </c>
    </row>
    <row r="24">
      <c r="B24" s="4" t="inlineStr">
        <is>
          <t>Mar</t>
        </is>
      </c>
      <c r="C24" s="30">
        <f>'Monthly Tracker'!I9</f>
        <v/>
      </c>
      <c r="D24" s="30">
        <f>'Monthly Tracker'!I10</f>
        <v/>
      </c>
      <c r="E24" s="30">
        <f>'Monthly Tracker'!I11</f>
        <v/>
      </c>
    </row>
    <row r="25">
      <c r="B25" s="4" t="inlineStr">
        <is>
          <t>Apr</t>
        </is>
      </c>
      <c r="C25" s="30">
        <f>'Monthly Tracker'!L9</f>
        <v/>
      </c>
      <c r="D25" s="30">
        <f>'Monthly Tracker'!L10</f>
        <v/>
      </c>
      <c r="E25" s="30">
        <f>'Monthly Tracker'!L11</f>
        <v/>
      </c>
    </row>
    <row r="26">
      <c r="B26" s="4" t="inlineStr">
        <is>
          <t>May</t>
        </is>
      </c>
      <c r="C26" s="30">
        <f>'Monthly Tracker'!O9</f>
        <v/>
      </c>
      <c r="D26" s="30">
        <f>'Monthly Tracker'!O10</f>
        <v/>
      </c>
      <c r="E26" s="30">
        <f>'Monthly Tracker'!O11</f>
        <v/>
      </c>
    </row>
    <row r="27">
      <c r="B27" s="4" t="inlineStr">
        <is>
          <t>Jun</t>
        </is>
      </c>
      <c r="C27" s="30">
        <f>'Monthly Tracker'!R9</f>
        <v/>
      </c>
      <c r="D27" s="30">
        <f>'Monthly Tracker'!R10</f>
        <v/>
      </c>
      <c r="E27" s="30">
        <f>'Monthly Tracker'!R11</f>
        <v/>
      </c>
    </row>
    <row r="28">
      <c r="B28" s="4" t="inlineStr">
        <is>
          <t>Jul</t>
        </is>
      </c>
      <c r="C28" s="30">
        <f>'Monthly Tracker'!U9</f>
        <v/>
      </c>
      <c r="D28" s="30">
        <f>'Monthly Tracker'!U10</f>
        <v/>
      </c>
      <c r="E28" s="30">
        <f>'Monthly Tracker'!U11</f>
        <v/>
      </c>
    </row>
    <row r="29">
      <c r="B29" s="4" t="inlineStr">
        <is>
          <t>Aug</t>
        </is>
      </c>
      <c r="C29" s="30">
        <f>'Monthly Tracker'!X9</f>
        <v/>
      </c>
      <c r="D29" s="30">
        <f>'Monthly Tracker'!X10</f>
        <v/>
      </c>
      <c r="E29" s="30">
        <f>'Monthly Tracker'!X11</f>
        <v/>
      </c>
    </row>
    <row r="30">
      <c r="B30" s="4" t="inlineStr">
        <is>
          <t>Sep</t>
        </is>
      </c>
      <c r="C30" s="30">
        <f>'Monthly Tracker'!AA9</f>
        <v/>
      </c>
      <c r="D30" s="30">
        <f>'Monthly Tracker'!AA10</f>
        <v/>
      </c>
      <c r="E30" s="30">
        <f>'Monthly Tracker'!AA11</f>
        <v/>
      </c>
    </row>
    <row r="31">
      <c r="B31" s="4" t="inlineStr">
        <is>
          <t>Oct</t>
        </is>
      </c>
      <c r="C31" s="30">
        <f>'Monthly Tracker'!AD9</f>
        <v/>
      </c>
      <c r="D31" s="30">
        <f>'Monthly Tracker'!AD10</f>
        <v/>
      </c>
      <c r="E31" s="30">
        <f>'Monthly Tracker'!AD11</f>
        <v/>
      </c>
    </row>
    <row r="32">
      <c r="B32" s="4" t="inlineStr">
        <is>
          <t>Nov</t>
        </is>
      </c>
      <c r="C32" s="30">
        <f>'Monthly Tracker'!AG9</f>
        <v/>
      </c>
      <c r="D32" s="30">
        <f>'Monthly Tracker'!AG10</f>
        <v/>
      </c>
      <c r="E32" s="30">
        <f>'Monthly Tracker'!AG11</f>
        <v/>
      </c>
    </row>
    <row r="33">
      <c r="B33" s="4" t="inlineStr">
        <is>
          <t>Dec</t>
        </is>
      </c>
      <c r="C33" s="30">
        <f>'Monthly Tracker'!AJ9</f>
        <v/>
      </c>
      <c r="D33" s="30">
        <f>'Monthly Tracker'!AJ10</f>
        <v/>
      </c>
      <c r="E33" s="30">
        <f>'Monthly Tracker'!AJ11</f>
        <v/>
      </c>
    </row>
    <row r="34">
      <c r="B34" s="2" t="n"/>
      <c r="C34" s="2" t="n"/>
      <c r="D34" s="2" t="n"/>
      <c r="E34" s="2" t="n"/>
    </row>
    <row r="35">
      <c r="B35" s="2" t="n"/>
      <c r="C35" s="2" t="n"/>
      <c r="D35" s="2" t="n"/>
      <c r="E35" s="2" t="n"/>
    </row>
    <row r="36">
      <c r="B36" s="2" t="n"/>
      <c r="C36" s="2" t="n"/>
      <c r="D36" s="2" t="n"/>
      <c r="E36" s="2" t="n"/>
    </row>
    <row r="37">
      <c r="B37" s="2" t="n"/>
      <c r="C37" s="2" t="n"/>
      <c r="D37" s="2" t="n"/>
      <c r="E37" s="2" t="n"/>
    </row>
    <row r="38">
      <c r="B38" s="2" t="n"/>
      <c r="C38" s="2" t="n"/>
      <c r="D38" s="2" t="n"/>
      <c r="E38" s="2" t="n"/>
    </row>
    <row r="39">
      <c r="B39" s="2" t="n"/>
      <c r="C39" s="2" t="n"/>
      <c r="D39" s="2" t="n"/>
      <c r="E39" s="2" t="n"/>
    </row>
    <row r="40">
      <c r="B40" s="2" t="n"/>
      <c r="C40" s="2" t="n"/>
      <c r="D40" s="2" t="n"/>
      <c r="E40" s="2" t="n"/>
    </row>
    <row r="41">
      <c r="B41" s="2" t="n"/>
      <c r="C41" s="2" t="n"/>
      <c r="D41" s="2" t="n"/>
      <c r="E41" s="2" t="n"/>
    </row>
    <row r="42">
      <c r="B42" s="2" t="n"/>
      <c r="C42" s="2" t="n"/>
      <c r="D42" s="2" t="n"/>
      <c r="E42" s="2" t="n"/>
    </row>
    <row r="43">
      <c r="B43" s="2" t="n"/>
      <c r="C43" s="2" t="n"/>
      <c r="D43" s="2" t="n"/>
      <c r="E43" s="2" t="n"/>
    </row>
    <row r="44">
      <c r="B44" s="2" t="n"/>
      <c r="C44" s="2" t="n"/>
      <c r="D44" s="2" t="n"/>
      <c r="E44" s="2" t="n"/>
    </row>
    <row r="45">
      <c r="B45" s="2" t="n"/>
      <c r="C45" s="2" t="n"/>
      <c r="D45" s="2" t="n"/>
      <c r="E45" s="2" t="n"/>
    </row>
    <row r="46">
      <c r="B46" s="2" t="n"/>
      <c r="C46" s="2" t="n"/>
      <c r="D46" s="2" t="n"/>
      <c r="E46" s="2" t="n"/>
    </row>
    <row r="47">
      <c r="B47" s="2" t="n"/>
      <c r="C47" s="2" t="n"/>
      <c r="D47" s="2" t="n"/>
      <c r="E47" s="2" t="n"/>
    </row>
    <row r="48">
      <c r="B48" s="2" t="n"/>
      <c r="C48" s="2" t="n"/>
      <c r="D48" s="2" t="n"/>
      <c r="E48" s="2" t="n"/>
    </row>
    <row r="49">
      <c r="B49" s="2" t="n"/>
      <c r="C49" s="2" t="n"/>
      <c r="D49" s="2" t="n"/>
      <c r="E49" s="2" t="n"/>
    </row>
    <row r="50">
      <c r="B50" s="2" t="n"/>
      <c r="C50" s="2" t="n"/>
      <c r="D50" s="2" t="n"/>
      <c r="E50" s="2" t="n"/>
    </row>
    <row r="51">
      <c r="B51" s="2" t="n"/>
      <c r="C51" s="2" t="n"/>
      <c r="D51" s="2" t="n"/>
      <c r="E51" s="2" t="n"/>
    </row>
    <row r="52">
      <c r="B52" s="2" t="n"/>
      <c r="C52" s="2" t="n"/>
      <c r="D52" s="2" t="n"/>
      <c r="E52" s="2" t="n"/>
    </row>
    <row r="53">
      <c r="B53" s="29" t="inlineStr">
        <is>
          <t>Month</t>
        </is>
      </c>
      <c r="C53" s="29" t="inlineStr">
        <is>
          <t>Needs</t>
        </is>
      </c>
      <c r="D53" s="29" t="inlineStr">
        <is>
          <t>Wants</t>
        </is>
      </c>
      <c r="E53" s="29" t="inlineStr">
        <is>
          <t>Savings</t>
        </is>
      </c>
    </row>
    <row r="54">
      <c r="B54" s="4" t="inlineStr">
        <is>
          <t>Jan</t>
        </is>
      </c>
      <c r="C54" s="8">
        <f>'Monthly Tracker'!C4</f>
        <v/>
      </c>
      <c r="D54" s="8">
        <f>'Monthly Tracker'!C5</f>
        <v/>
      </c>
      <c r="E54" s="8">
        <f>'Monthly Tracker'!C6</f>
        <v/>
      </c>
    </row>
    <row r="55">
      <c r="B55" s="4" t="inlineStr">
        <is>
          <t>Feb</t>
        </is>
      </c>
      <c r="C55" s="8">
        <f>'Monthly Tracker'!F4</f>
        <v/>
      </c>
      <c r="D55" s="8">
        <f>'Monthly Tracker'!F5</f>
        <v/>
      </c>
      <c r="E55" s="8">
        <f>'Monthly Tracker'!F6</f>
        <v/>
      </c>
    </row>
    <row r="56">
      <c r="B56" s="4" t="inlineStr">
        <is>
          <t>Mar</t>
        </is>
      </c>
      <c r="C56" s="8">
        <f>'Monthly Tracker'!I4</f>
        <v/>
      </c>
      <c r="D56" s="8">
        <f>'Monthly Tracker'!I5</f>
        <v/>
      </c>
      <c r="E56" s="8">
        <f>'Monthly Tracker'!I6</f>
        <v/>
      </c>
    </row>
    <row r="57">
      <c r="B57" s="4" t="inlineStr">
        <is>
          <t>Apr</t>
        </is>
      </c>
      <c r="C57" s="8">
        <f>'Monthly Tracker'!L4</f>
        <v/>
      </c>
      <c r="D57" s="8">
        <f>'Monthly Tracker'!L5</f>
        <v/>
      </c>
      <c r="E57" s="8">
        <f>'Monthly Tracker'!L6</f>
        <v/>
      </c>
    </row>
    <row r="58">
      <c r="B58" s="4" t="inlineStr">
        <is>
          <t>May</t>
        </is>
      </c>
      <c r="C58" s="8">
        <f>'Monthly Tracker'!O4</f>
        <v/>
      </c>
      <c r="D58" s="8">
        <f>'Monthly Tracker'!O5</f>
        <v/>
      </c>
      <c r="E58" s="8">
        <f>'Monthly Tracker'!O6</f>
        <v/>
      </c>
    </row>
    <row r="59">
      <c r="B59" s="4" t="inlineStr">
        <is>
          <t>Jun</t>
        </is>
      </c>
      <c r="C59" s="8">
        <f>'Monthly Tracker'!R4</f>
        <v/>
      </c>
      <c r="D59" s="8">
        <f>'Monthly Tracker'!R5</f>
        <v/>
      </c>
      <c r="E59" s="8">
        <f>'Monthly Tracker'!R6</f>
        <v/>
      </c>
    </row>
    <row r="60">
      <c r="B60" s="4" t="inlineStr">
        <is>
          <t>Jul</t>
        </is>
      </c>
      <c r="C60" s="8">
        <f>'Monthly Tracker'!U4</f>
        <v/>
      </c>
      <c r="D60" s="8">
        <f>'Monthly Tracker'!U5</f>
        <v/>
      </c>
      <c r="E60" s="8">
        <f>'Monthly Tracker'!U6</f>
        <v/>
      </c>
    </row>
    <row r="61">
      <c r="B61" s="4" t="inlineStr">
        <is>
          <t>Aug</t>
        </is>
      </c>
      <c r="C61" s="8">
        <f>'Monthly Tracker'!X4</f>
        <v/>
      </c>
      <c r="D61" s="8">
        <f>'Monthly Tracker'!X5</f>
        <v/>
      </c>
      <c r="E61" s="8">
        <f>'Monthly Tracker'!X6</f>
        <v/>
      </c>
    </row>
    <row r="62">
      <c r="B62" s="4" t="inlineStr">
        <is>
          <t>Sep</t>
        </is>
      </c>
      <c r="C62" s="8">
        <f>'Monthly Tracker'!AA4</f>
        <v/>
      </c>
      <c r="D62" s="8">
        <f>'Monthly Tracker'!AA5</f>
        <v/>
      </c>
      <c r="E62" s="8">
        <f>'Monthly Tracker'!AA6</f>
        <v/>
      </c>
    </row>
    <row r="63">
      <c r="B63" s="4" t="inlineStr">
        <is>
          <t>Oct</t>
        </is>
      </c>
      <c r="C63" s="8">
        <f>'Monthly Tracker'!AD4</f>
        <v/>
      </c>
      <c r="D63" s="8">
        <f>'Monthly Tracker'!AD5</f>
        <v/>
      </c>
      <c r="E63" s="8">
        <f>'Monthly Tracker'!AD6</f>
        <v/>
      </c>
    </row>
    <row r="64">
      <c r="B64" s="4" t="inlineStr">
        <is>
          <t>Nov</t>
        </is>
      </c>
      <c r="C64" s="8">
        <f>'Monthly Tracker'!AG4</f>
        <v/>
      </c>
      <c r="D64" s="8">
        <f>'Monthly Tracker'!AG5</f>
        <v/>
      </c>
      <c r="E64" s="8">
        <f>'Monthly Tracker'!AG6</f>
        <v/>
      </c>
    </row>
    <row r="65">
      <c r="B65" s="4" t="inlineStr">
        <is>
          <t>Dec</t>
        </is>
      </c>
      <c r="C65" s="8">
        <f>'Monthly Tracker'!AJ4</f>
        <v/>
      </c>
      <c r="D65" s="8">
        <f>'Monthly Tracker'!AJ5</f>
        <v/>
      </c>
      <c r="E65" s="8">
        <f>'Monthly Tracker'!AJ6</f>
        <v/>
      </c>
    </row>
  </sheetData>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C12"/>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65" customWidth="1" min="2" max="2"/>
  </cols>
  <sheetData>
    <row r="1"/>
    <row r="2">
      <c r="B2" s="2" t="n"/>
      <c r="C2" s="2" t="n"/>
    </row>
    <row r="3">
      <c r="B3" s="2" t="n"/>
      <c r="C3" s="4" t="inlineStr">
        <is>
          <t>50/30/20 Budget Analyzer</t>
        </is>
      </c>
    </row>
    <row r="4">
      <c r="B4" s="2" t="n"/>
      <c r="C4" s="4" t="inlineStr"/>
    </row>
    <row r="5">
      <c r="B5" s="2" t="n"/>
      <c r="C5" s="4" t="inlineStr">
        <is>
          <t>Sample data covers January through December 2025.</t>
        </is>
      </c>
    </row>
    <row r="6">
      <c r="B6" s="2" t="n"/>
      <c r="C6" s="4" t="inlineStr">
        <is>
          <t>All transactions and income figures are fictional.</t>
        </is>
      </c>
    </row>
    <row r="7">
      <c r="B7" s="2" t="n"/>
      <c r="C7" s="4" t="inlineStr">
        <is>
          <t>Start on the Income sheet to set salary and deductions.</t>
        </is>
      </c>
    </row>
    <row r="8">
      <c r="B8" s="2" t="n"/>
      <c r="C8" s="4" t="inlineStr">
        <is>
          <t>Adjust category buckets on the Category Map sheet if needed.</t>
        </is>
      </c>
    </row>
    <row r="9">
      <c r="B9" s="2" t="n"/>
      <c r="C9" s="4" t="inlineStr">
        <is>
          <t>Log expenses in the Expense Log as they happen.</t>
        </is>
      </c>
    </row>
    <row r="10">
      <c r="B10" s="2" t="n"/>
      <c r="C10" s="4" t="inlineStr">
        <is>
          <t>The Monthly Tracker auto-classifies spending by bucket.</t>
        </is>
      </c>
    </row>
    <row r="11">
      <c r="B11" s="2" t="n"/>
      <c r="C11" s="4" t="inlineStr">
        <is>
          <t>Do not insert or delete rows inside data ranges.</t>
        </is>
      </c>
    </row>
    <row r="12">
      <c r="B12" s="2" t="n"/>
      <c r="C12" s="4" t="inlineStr">
        <is>
          <t>This is not financial advice. Talk to a professional about your situation.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Samuel Reed</dc:creator>
  <dcterms:created xsi:type="dcterms:W3CDTF">2024-07-07T16:02:40Z</dcterms:created>
  <dcterms:modified xsi:type="dcterms:W3CDTF">2025-02-14T17:17:40Z</dcterms:modified>
  <cp:lastModifiedBy>Samuel Reed</cp:lastModifiedBy>
  <cp:revision>1</cp:revision>
</cp:coreProperties>
</file>