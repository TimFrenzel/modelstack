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My Drive\000_drive_drive\600_PROJECTS\modelstack\sheets\education-and-career\student-loan-payoff-optimizer\"/>
    </mc:Choice>
  </mc:AlternateContent>
  <xr:revisionPtr revIDLastSave="0" documentId="13_ncr:1_{09B7EC53-2565-4175-B380-E65CBDCFDDE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My Loans" sheetId="1" r:id="rId1"/>
    <sheet name="Avalanche" sheetId="2" r:id="rId2"/>
    <sheet name="Snowball" sheetId="3" r:id="rId3"/>
    <sheet name="Comparison" sheetId="4" r:id="rId4"/>
    <sheet name="Amortization (Full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4" i="5" l="1"/>
  <c r="B750" i="5"/>
  <c r="D750" i="5" s="1"/>
  <c r="C750" i="5" s="1"/>
  <c r="E750" i="5" s="1"/>
  <c r="F750" i="5" s="1"/>
  <c r="B751" i="5" s="1"/>
  <c r="B626" i="5"/>
  <c r="B502" i="5"/>
  <c r="B378" i="5"/>
  <c r="B254" i="5"/>
  <c r="D254" i="5" s="1"/>
  <c r="B130" i="5"/>
  <c r="D130" i="5" s="1"/>
  <c r="B6" i="5"/>
  <c r="D6" i="5" s="1"/>
  <c r="B136" i="3"/>
  <c r="D29" i="4" s="1"/>
  <c r="B135" i="3"/>
  <c r="D28" i="4" s="1"/>
  <c r="B134" i="3"/>
  <c r="D27" i="4" s="1"/>
  <c r="B133" i="3"/>
  <c r="D26" i="4" s="1"/>
  <c r="B132" i="3"/>
  <c r="D25" i="4" s="1"/>
  <c r="B131" i="3"/>
  <c r="D24" i="4" s="1"/>
  <c r="B130" i="3"/>
  <c r="D23" i="4" s="1"/>
  <c r="B129" i="3"/>
  <c r="D22" i="4" s="1"/>
  <c r="B127" i="3"/>
  <c r="C6" i="4" s="1"/>
  <c r="B126" i="3"/>
  <c r="C5" i="4" s="1"/>
  <c r="B136" i="2"/>
  <c r="D18" i="4" s="1"/>
  <c r="B135" i="2"/>
  <c r="D17" i="4" s="1"/>
  <c r="B134" i="2"/>
  <c r="D16" i="4" s="1"/>
  <c r="B133" i="2"/>
  <c r="D15" i="4" s="1"/>
  <c r="B132" i="2"/>
  <c r="D14" i="4" s="1"/>
  <c r="B131" i="2"/>
  <c r="D13" i="4" s="1"/>
  <c r="B130" i="2"/>
  <c r="D12" i="4" s="1"/>
  <c r="B129" i="2"/>
  <c r="D11" i="4" s="1"/>
  <c r="B127" i="2"/>
  <c r="B6" i="4" s="1"/>
  <c r="B126" i="2"/>
  <c r="B5" i="4" s="1"/>
  <c r="B22" i="1"/>
  <c r="B20" i="1"/>
  <c r="B19" i="1"/>
  <c r="B18" i="1"/>
  <c r="B14" i="1"/>
  <c r="B15" i="1" s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O14" i="1" s="1"/>
  <c r="J3" i="1"/>
  <c r="N15" i="1" s="1"/>
  <c r="I3" i="1"/>
  <c r="H3" i="1"/>
  <c r="C12" i="4" l="1"/>
  <c r="B12" i="4"/>
  <c r="C22" i="4"/>
  <c r="B22" i="4"/>
  <c r="O16" i="1"/>
  <c r="O21" i="1"/>
  <c r="O20" i="1"/>
  <c r="O19" i="1"/>
  <c r="O18" i="1"/>
  <c r="O15" i="1"/>
  <c r="O17" i="1"/>
  <c r="N17" i="1"/>
  <c r="N16" i="1"/>
  <c r="N21" i="1"/>
  <c r="N20" i="1"/>
  <c r="N19" i="1"/>
  <c r="N18" i="1"/>
  <c r="N14" i="1"/>
  <c r="D5" i="4"/>
  <c r="C254" i="5"/>
  <c r="E254" i="5" s="1"/>
  <c r="F254" i="5" s="1"/>
  <c r="B255" i="5" s="1"/>
  <c r="C6" i="5"/>
  <c r="E6" i="5" s="1"/>
  <c r="F6" i="5" s="1"/>
  <c r="B7" i="5" s="1"/>
  <c r="C130" i="5"/>
  <c r="E130" i="5" s="1"/>
  <c r="F130" i="5" s="1"/>
  <c r="B131" i="5" s="1"/>
  <c r="D751" i="5"/>
  <c r="C751" i="5" s="1"/>
  <c r="E751" i="5" s="1"/>
  <c r="F751" i="5" s="1"/>
  <c r="B752" i="5" s="1"/>
  <c r="D378" i="5"/>
  <c r="C378" i="5" s="1"/>
  <c r="E378" i="5" s="1"/>
  <c r="F378" i="5" s="1"/>
  <c r="B379" i="5" s="1"/>
  <c r="D502" i="5"/>
  <c r="D626" i="5"/>
  <c r="D874" i="5"/>
  <c r="E2" i="2"/>
  <c r="B2" i="3"/>
  <c r="D379" i="5" l="1"/>
  <c r="C379" i="5" s="1"/>
  <c r="E379" i="5" s="1"/>
  <c r="F379" i="5" s="1"/>
  <c r="B380" i="5" s="1"/>
  <c r="D752" i="5"/>
  <c r="C17" i="4"/>
  <c r="B17" i="4"/>
  <c r="D7" i="5"/>
  <c r="C7" i="5" s="1"/>
  <c r="E7" i="5" s="1"/>
  <c r="F7" i="5" s="1"/>
  <c r="B8" i="5" s="1"/>
  <c r="D255" i="5"/>
  <c r="C255" i="5"/>
  <c r="E255" i="5" s="1"/>
  <c r="F255" i="5" s="1"/>
  <c r="B256" i="5" s="1"/>
  <c r="C25" i="4"/>
  <c r="B25" i="4"/>
  <c r="C502" i="5"/>
  <c r="E502" i="5" s="1"/>
  <c r="F502" i="5" s="1"/>
  <c r="B503" i="5" s="1"/>
  <c r="C23" i="4"/>
  <c r="B23" i="4"/>
  <c r="C26" i="4"/>
  <c r="B26" i="4"/>
  <c r="B28" i="4"/>
  <c r="C28" i="4"/>
  <c r="C11" i="4"/>
  <c r="B11" i="4"/>
  <c r="C29" i="4"/>
  <c r="B29" i="4"/>
  <c r="C15" i="4"/>
  <c r="B15" i="4"/>
  <c r="C24" i="4"/>
  <c r="B24" i="4"/>
  <c r="C27" i="4"/>
  <c r="B27" i="4"/>
  <c r="C16" i="4"/>
  <c r="B16" i="4"/>
  <c r="C18" i="4"/>
  <c r="B18" i="4"/>
  <c r="C874" i="5"/>
  <c r="E874" i="5" s="1"/>
  <c r="F874" i="5" s="1"/>
  <c r="B875" i="5" s="1"/>
  <c r="D131" i="5"/>
  <c r="C131" i="5" s="1"/>
  <c r="E131" i="5" s="1"/>
  <c r="F131" i="5" s="1"/>
  <c r="B132" i="5" s="1"/>
  <c r="C13" i="4"/>
  <c r="B13" i="4"/>
  <c r="C626" i="5"/>
  <c r="E626" i="5" s="1"/>
  <c r="F626" i="5" s="1"/>
  <c r="B627" i="5" s="1"/>
  <c r="C14" i="4"/>
  <c r="B14" i="4"/>
  <c r="K2" i="2"/>
  <c r="K2" i="3"/>
  <c r="H2" i="3"/>
  <c r="C2" i="3"/>
  <c r="T2" i="3"/>
  <c r="B2" i="2"/>
  <c r="D2" i="3"/>
  <c r="Q2" i="2"/>
  <c r="T2" i="2"/>
  <c r="W2" i="3"/>
  <c r="F2" i="2"/>
  <c r="Q2" i="3"/>
  <c r="G2" i="2"/>
  <c r="E2" i="3"/>
  <c r="N2" i="2"/>
  <c r="N2" i="3"/>
  <c r="H2" i="2"/>
  <c r="W2" i="2"/>
  <c r="Y2" i="2" l="1"/>
  <c r="S2" i="3"/>
  <c r="AG2" i="2"/>
  <c r="Y2" i="3"/>
  <c r="V2" i="2"/>
  <c r="S2" i="2"/>
  <c r="V2" i="3"/>
  <c r="AB2" i="3"/>
  <c r="D256" i="5"/>
  <c r="C256" i="5"/>
  <c r="E256" i="5" s="1"/>
  <c r="F256" i="5" s="1"/>
  <c r="B257" i="5" s="1"/>
  <c r="D8" i="5"/>
  <c r="C8" i="5" s="1"/>
  <c r="E8" i="5" s="1"/>
  <c r="F8" i="5" s="1"/>
  <c r="B9" i="5" s="1"/>
  <c r="D132" i="5"/>
  <c r="C132" i="5" s="1"/>
  <c r="E132" i="5" s="1"/>
  <c r="F132" i="5" s="1"/>
  <c r="B133" i="5" s="1"/>
  <c r="D380" i="5"/>
  <c r="C380" i="5"/>
  <c r="E380" i="5" s="1"/>
  <c r="F380" i="5" s="1"/>
  <c r="B381" i="5" s="1"/>
  <c r="D627" i="5"/>
  <c r="D503" i="5"/>
  <c r="D875" i="5"/>
  <c r="C875" i="5"/>
  <c r="E875" i="5" s="1"/>
  <c r="F875" i="5" s="1"/>
  <c r="B876" i="5" s="1"/>
  <c r="C752" i="5"/>
  <c r="E752" i="5" s="1"/>
  <c r="F752" i="5" s="1"/>
  <c r="B753" i="5" s="1"/>
  <c r="U2" i="3"/>
  <c r="O2" i="3"/>
  <c r="R2" i="2"/>
  <c r="L2" i="3"/>
  <c r="R2" i="3"/>
  <c r="X2" i="2"/>
  <c r="O2" i="2"/>
  <c r="L2" i="2"/>
  <c r="I2" i="2"/>
  <c r="X2" i="3"/>
  <c r="J2" i="2"/>
  <c r="F2" i="3"/>
  <c r="I2" i="3"/>
  <c r="C2" i="2"/>
  <c r="P2" i="3"/>
  <c r="U2" i="2"/>
  <c r="M2" i="3"/>
  <c r="P2" i="2"/>
  <c r="M2" i="2"/>
  <c r="G2" i="3"/>
  <c r="J2" i="3"/>
  <c r="D2" i="2"/>
  <c r="Z2" i="2" l="1"/>
  <c r="AA2" i="2" s="1"/>
  <c r="Z2" i="3"/>
  <c r="AA2" i="3" s="1"/>
  <c r="BF2" i="2"/>
  <c r="BP2" i="2"/>
  <c r="AB2" i="2"/>
  <c r="AL2" i="3"/>
  <c r="BP2" i="3"/>
  <c r="AG2" i="3"/>
  <c r="BK2" i="3"/>
  <c r="AL2" i="2"/>
  <c r="AQ2" i="2"/>
  <c r="AV2" i="2"/>
  <c r="BK2" i="2"/>
  <c r="BA2" i="3"/>
  <c r="AQ2" i="3"/>
  <c r="BA2" i="2"/>
  <c r="AV2" i="3"/>
  <c r="BF2" i="3"/>
  <c r="D9" i="5"/>
  <c r="C9" i="5" s="1"/>
  <c r="E9" i="5" s="1"/>
  <c r="F9" i="5" s="1"/>
  <c r="B10" i="5" s="1"/>
  <c r="D257" i="5"/>
  <c r="C257" i="5"/>
  <c r="E257" i="5" s="1"/>
  <c r="F257" i="5" s="1"/>
  <c r="B258" i="5" s="1"/>
  <c r="D381" i="5"/>
  <c r="D133" i="5"/>
  <c r="C133" i="5" s="1"/>
  <c r="E133" i="5" s="1"/>
  <c r="F133" i="5" s="1"/>
  <c r="B134" i="5" s="1"/>
  <c r="C627" i="5"/>
  <c r="E627" i="5" s="1"/>
  <c r="F627" i="5" s="1"/>
  <c r="B628" i="5" s="1"/>
  <c r="D753" i="5"/>
  <c r="D876" i="5"/>
  <c r="C876" i="5" s="1"/>
  <c r="E876" i="5" s="1"/>
  <c r="F876" i="5" s="1"/>
  <c r="B877" i="5" s="1"/>
  <c r="C503" i="5"/>
  <c r="E503" i="5" s="1"/>
  <c r="F503" i="5" s="1"/>
  <c r="B504" i="5" s="1"/>
  <c r="D10" i="5" l="1"/>
  <c r="C10" i="5"/>
  <c r="E10" i="5" s="1"/>
  <c r="F10" i="5" s="1"/>
  <c r="B11" i="5" s="1"/>
  <c r="D258" i="5"/>
  <c r="C258" i="5"/>
  <c r="E258" i="5" s="1"/>
  <c r="F258" i="5" s="1"/>
  <c r="B259" i="5" s="1"/>
  <c r="D877" i="5"/>
  <c r="C877" i="5" s="1"/>
  <c r="E877" i="5" s="1"/>
  <c r="F877" i="5" s="1"/>
  <c r="B878" i="5" s="1"/>
  <c r="D504" i="5"/>
  <c r="C504" i="5" s="1"/>
  <c r="E504" i="5" s="1"/>
  <c r="F504" i="5" s="1"/>
  <c r="B505" i="5" s="1"/>
  <c r="D628" i="5"/>
  <c r="C628" i="5"/>
  <c r="E628" i="5" s="1"/>
  <c r="F628" i="5" s="1"/>
  <c r="B629" i="5" s="1"/>
  <c r="AC2" i="3"/>
  <c r="AD2" i="3" s="1"/>
  <c r="C381" i="5"/>
  <c r="E381" i="5" s="1"/>
  <c r="F381" i="5" s="1"/>
  <c r="B382" i="5" s="1"/>
  <c r="D134" i="5"/>
  <c r="C134" i="5" s="1"/>
  <c r="E134" i="5" s="1"/>
  <c r="F134" i="5" s="1"/>
  <c r="B135" i="5" s="1"/>
  <c r="C753" i="5"/>
  <c r="E753" i="5" s="1"/>
  <c r="F753" i="5" s="1"/>
  <c r="B754" i="5" s="1"/>
  <c r="AC2" i="2"/>
  <c r="AD2" i="2" s="1"/>
  <c r="D878" i="5" l="1"/>
  <c r="C878" i="5"/>
  <c r="E878" i="5" s="1"/>
  <c r="F878" i="5" s="1"/>
  <c r="B879" i="5" s="1"/>
  <c r="D629" i="5"/>
  <c r="C629" i="5"/>
  <c r="E629" i="5" s="1"/>
  <c r="F629" i="5" s="1"/>
  <c r="B630" i="5" s="1"/>
  <c r="D11" i="5"/>
  <c r="C11" i="5"/>
  <c r="E11" i="5" s="1"/>
  <c r="F11" i="5"/>
  <c r="B12" i="5" s="1"/>
  <c r="D505" i="5"/>
  <c r="C505" i="5" s="1"/>
  <c r="E505" i="5" s="1"/>
  <c r="F505" i="5" s="1"/>
  <c r="B506" i="5" s="1"/>
  <c r="D259" i="5"/>
  <c r="C259" i="5" s="1"/>
  <c r="E259" i="5" s="1"/>
  <c r="F259" i="5" s="1"/>
  <c r="B260" i="5" s="1"/>
  <c r="D135" i="5"/>
  <c r="C135" i="5" s="1"/>
  <c r="E135" i="5" s="1"/>
  <c r="F135" i="5" s="1"/>
  <c r="B136" i="5" s="1"/>
  <c r="AE2" i="2"/>
  <c r="AE2" i="3"/>
  <c r="D754" i="5"/>
  <c r="C754" i="5" s="1"/>
  <c r="E754" i="5" s="1"/>
  <c r="F754" i="5" s="1"/>
  <c r="B755" i="5" s="1"/>
  <c r="AF2" i="3"/>
  <c r="AF2" i="2"/>
  <c r="D382" i="5"/>
  <c r="C382" i="5"/>
  <c r="E382" i="5" s="1"/>
  <c r="F382" i="5" s="1"/>
  <c r="B383" i="5" s="1"/>
  <c r="D136" i="5" l="1"/>
  <c r="C136" i="5"/>
  <c r="E136" i="5" s="1"/>
  <c r="F136" i="5" s="1"/>
  <c r="B137" i="5" s="1"/>
  <c r="D630" i="5"/>
  <c r="C630" i="5" s="1"/>
  <c r="E630" i="5" s="1"/>
  <c r="F630" i="5" s="1"/>
  <c r="B631" i="5" s="1"/>
  <c r="D260" i="5"/>
  <c r="C260" i="5" s="1"/>
  <c r="E260" i="5" s="1"/>
  <c r="F260" i="5" s="1"/>
  <c r="B261" i="5" s="1"/>
  <c r="D383" i="5"/>
  <c r="C383" i="5" s="1"/>
  <c r="E383" i="5" s="1"/>
  <c r="F383" i="5" s="1"/>
  <c r="B384" i="5" s="1"/>
  <c r="D879" i="5"/>
  <c r="C879" i="5" s="1"/>
  <c r="E879" i="5" s="1"/>
  <c r="F879" i="5" s="1"/>
  <c r="B880" i="5" s="1"/>
  <c r="D506" i="5"/>
  <c r="C506" i="5"/>
  <c r="E506" i="5" s="1"/>
  <c r="F506" i="5" s="1"/>
  <c r="B507" i="5" s="1"/>
  <c r="D755" i="5"/>
  <c r="C755" i="5" s="1"/>
  <c r="E755" i="5" s="1"/>
  <c r="F755" i="5" s="1"/>
  <c r="B756" i="5" s="1"/>
  <c r="B3" i="3"/>
  <c r="D12" i="5"/>
  <c r="C12" i="5" s="1"/>
  <c r="E12" i="5" s="1"/>
  <c r="F12" i="5" s="1"/>
  <c r="B13" i="5" s="1"/>
  <c r="B3" i="2"/>
  <c r="AH2" i="3"/>
  <c r="AI2" i="3" s="1"/>
  <c r="AH2" i="2"/>
  <c r="AI2" i="2" s="1"/>
  <c r="D384" i="5" l="1"/>
  <c r="C384" i="5"/>
  <c r="E384" i="5" s="1"/>
  <c r="F384" i="5" s="1"/>
  <c r="B385" i="5" s="1"/>
  <c r="D507" i="5"/>
  <c r="C507" i="5" s="1"/>
  <c r="E507" i="5" s="1"/>
  <c r="F507" i="5" s="1"/>
  <c r="B508" i="5" s="1"/>
  <c r="D261" i="5"/>
  <c r="C261" i="5"/>
  <c r="E261" i="5" s="1"/>
  <c r="F261" i="5" s="1"/>
  <c r="B262" i="5" s="1"/>
  <c r="D880" i="5"/>
  <c r="C880" i="5" s="1"/>
  <c r="E880" i="5" s="1"/>
  <c r="F880" i="5" s="1"/>
  <c r="B881" i="5" s="1"/>
  <c r="D756" i="5"/>
  <c r="C756" i="5"/>
  <c r="E756" i="5" s="1"/>
  <c r="F756" i="5" s="1"/>
  <c r="B757" i="5" s="1"/>
  <c r="D631" i="5"/>
  <c r="C631" i="5" s="1"/>
  <c r="E631" i="5" s="1"/>
  <c r="F631" i="5" s="1"/>
  <c r="B632" i="5" s="1"/>
  <c r="D137" i="5"/>
  <c r="C137" i="5" s="1"/>
  <c r="E137" i="5" s="1"/>
  <c r="F137" i="5" s="1"/>
  <c r="B138" i="5" s="1"/>
  <c r="D13" i="5"/>
  <c r="C13" i="5" s="1"/>
  <c r="E13" i="5" s="1"/>
  <c r="F13" i="5" s="1"/>
  <c r="B14" i="5" s="1"/>
  <c r="AJ2" i="3"/>
  <c r="AK2" i="3"/>
  <c r="AJ2" i="2"/>
  <c r="AK2" i="2"/>
  <c r="C3" i="2"/>
  <c r="C3" i="3"/>
  <c r="D3" i="2"/>
  <c r="D3" i="3"/>
  <c r="AB3" i="3" l="1"/>
  <c r="AB3" i="2"/>
  <c r="D138" i="5"/>
  <c r="C138" i="5" s="1"/>
  <c r="E138" i="5" s="1"/>
  <c r="F138" i="5" s="1"/>
  <c r="B139" i="5" s="1"/>
  <c r="D757" i="5"/>
  <c r="C757" i="5" s="1"/>
  <c r="E757" i="5" s="1"/>
  <c r="F757" i="5" s="1"/>
  <c r="B758" i="5" s="1"/>
  <c r="D881" i="5"/>
  <c r="C881" i="5" s="1"/>
  <c r="E881" i="5" s="1"/>
  <c r="F881" i="5" s="1"/>
  <c r="B882" i="5" s="1"/>
  <c r="D385" i="5"/>
  <c r="C385" i="5"/>
  <c r="E385" i="5" s="1"/>
  <c r="F385" i="5" s="1"/>
  <c r="B386" i="5" s="1"/>
  <c r="D632" i="5"/>
  <c r="C632" i="5" s="1"/>
  <c r="E632" i="5" s="1"/>
  <c r="F632" i="5" s="1"/>
  <c r="B633" i="5" s="1"/>
  <c r="D262" i="5"/>
  <c r="C262" i="5"/>
  <c r="E262" i="5" s="1"/>
  <c r="F262" i="5" s="1"/>
  <c r="B263" i="5" s="1"/>
  <c r="D508" i="5"/>
  <c r="C508" i="5" s="1"/>
  <c r="E508" i="5" s="1"/>
  <c r="F508" i="5" s="1"/>
  <c r="B509" i="5" s="1"/>
  <c r="D14" i="5"/>
  <c r="C14" i="5"/>
  <c r="E14" i="5" s="1"/>
  <c r="F14" i="5" s="1"/>
  <c r="B15" i="5" s="1"/>
  <c r="AM2" i="2"/>
  <c r="AN2" i="2" s="1"/>
  <c r="E3" i="2"/>
  <c r="AM2" i="3"/>
  <c r="AN2" i="3" s="1"/>
  <c r="E3" i="3"/>
  <c r="D633" i="5" l="1"/>
  <c r="C633" i="5"/>
  <c r="E633" i="5" s="1"/>
  <c r="F633" i="5" s="1"/>
  <c r="B634" i="5" s="1"/>
  <c r="D263" i="5"/>
  <c r="C263" i="5"/>
  <c r="E263" i="5" s="1"/>
  <c r="F263" i="5" s="1"/>
  <c r="B264" i="5" s="1"/>
  <c r="D386" i="5"/>
  <c r="C386" i="5"/>
  <c r="E386" i="5" s="1"/>
  <c r="F386" i="5" s="1"/>
  <c r="B387" i="5" s="1"/>
  <c r="D509" i="5"/>
  <c r="C509" i="5"/>
  <c r="E509" i="5" s="1"/>
  <c r="F509" i="5" s="1"/>
  <c r="B510" i="5" s="1"/>
  <c r="D882" i="5"/>
  <c r="C882" i="5"/>
  <c r="E882" i="5" s="1"/>
  <c r="F882" i="5" s="1"/>
  <c r="B883" i="5" s="1"/>
  <c r="D758" i="5"/>
  <c r="C758" i="5"/>
  <c r="E758" i="5" s="1"/>
  <c r="F758" i="5" s="1"/>
  <c r="B759" i="5" s="1"/>
  <c r="D139" i="5"/>
  <c r="C139" i="5"/>
  <c r="E139" i="5" s="1"/>
  <c r="F139" i="5" s="1"/>
  <c r="B140" i="5" s="1"/>
  <c r="AO2" i="2"/>
  <c r="AP2" i="2"/>
  <c r="D15" i="5"/>
  <c r="C15" i="5"/>
  <c r="E15" i="5" s="1"/>
  <c r="F15" i="5" s="1"/>
  <c r="B16" i="5" s="1"/>
  <c r="AP2" i="3"/>
  <c r="AO2" i="3"/>
  <c r="F3" i="2"/>
  <c r="G3" i="2"/>
  <c r="F3" i="3"/>
  <c r="G3" i="3"/>
  <c r="AG3" i="3" l="1"/>
  <c r="AG3" i="2"/>
  <c r="D759" i="5"/>
  <c r="C759" i="5" s="1"/>
  <c r="E759" i="5" s="1"/>
  <c r="F759" i="5" s="1"/>
  <c r="B760" i="5" s="1"/>
  <c r="D883" i="5"/>
  <c r="C883" i="5"/>
  <c r="E883" i="5" s="1"/>
  <c r="F883" i="5"/>
  <c r="B884" i="5" s="1"/>
  <c r="D264" i="5"/>
  <c r="C264" i="5"/>
  <c r="E264" i="5" s="1"/>
  <c r="F264" i="5" s="1"/>
  <c r="B265" i="5" s="1"/>
  <c r="D510" i="5"/>
  <c r="C510" i="5" s="1"/>
  <c r="E510" i="5" s="1"/>
  <c r="F510" i="5" s="1"/>
  <c r="B511" i="5" s="1"/>
  <c r="D387" i="5"/>
  <c r="C387" i="5" s="1"/>
  <c r="E387" i="5" s="1"/>
  <c r="F387" i="5" s="1"/>
  <c r="B388" i="5" s="1"/>
  <c r="D140" i="5"/>
  <c r="C140" i="5"/>
  <c r="E140" i="5" s="1"/>
  <c r="F140" i="5" s="1"/>
  <c r="B141" i="5" s="1"/>
  <c r="D16" i="5"/>
  <c r="C16" i="5" s="1"/>
  <c r="E16" i="5" s="1"/>
  <c r="F16" i="5" s="1"/>
  <c r="B17" i="5" s="1"/>
  <c r="D634" i="5"/>
  <c r="C634" i="5" s="1"/>
  <c r="E634" i="5" s="1"/>
  <c r="F634" i="5" s="1"/>
  <c r="B635" i="5" s="1"/>
  <c r="H3" i="3"/>
  <c r="H3" i="2"/>
  <c r="AR2" i="2"/>
  <c r="AS2" i="2" s="1"/>
  <c r="AR2" i="3"/>
  <c r="AS2" i="3" s="1"/>
  <c r="AU2" i="3" l="1"/>
  <c r="D388" i="5"/>
  <c r="C388" i="5"/>
  <c r="E388" i="5" s="1"/>
  <c r="F388" i="5" s="1"/>
  <c r="B389" i="5" s="1"/>
  <c r="D760" i="5"/>
  <c r="C760" i="5"/>
  <c r="E760" i="5" s="1"/>
  <c r="F760" i="5" s="1"/>
  <c r="B761" i="5" s="1"/>
  <c r="D511" i="5"/>
  <c r="C511" i="5" s="1"/>
  <c r="E511" i="5" s="1"/>
  <c r="F511" i="5" s="1"/>
  <c r="B512" i="5" s="1"/>
  <c r="D635" i="5"/>
  <c r="C635" i="5" s="1"/>
  <c r="E635" i="5" s="1"/>
  <c r="F635" i="5" s="1"/>
  <c r="B636" i="5" s="1"/>
  <c r="D141" i="5"/>
  <c r="C141" i="5"/>
  <c r="E141" i="5" s="1"/>
  <c r="F141" i="5" s="1"/>
  <c r="B142" i="5" s="1"/>
  <c r="D265" i="5"/>
  <c r="C265" i="5" s="1"/>
  <c r="E265" i="5" s="1"/>
  <c r="F265" i="5" s="1"/>
  <c r="B266" i="5" s="1"/>
  <c r="D17" i="5"/>
  <c r="C17" i="5" s="1"/>
  <c r="E17" i="5" s="1"/>
  <c r="F17" i="5" s="1"/>
  <c r="B18" i="5" s="1"/>
  <c r="AW2" i="3"/>
  <c r="AX2" i="3" s="1"/>
  <c r="AY2" i="3" s="1"/>
  <c r="N3" i="3" s="1"/>
  <c r="AU2" i="2"/>
  <c r="AT2" i="3"/>
  <c r="D884" i="5"/>
  <c r="C884" i="5"/>
  <c r="E884" i="5" s="1"/>
  <c r="F884" i="5" s="1"/>
  <c r="B885" i="5" s="1"/>
  <c r="AT2" i="2"/>
  <c r="I3" i="2"/>
  <c r="J3" i="2"/>
  <c r="I3" i="3"/>
  <c r="J3" i="3"/>
  <c r="AL3" i="3" l="1"/>
  <c r="AL3" i="2"/>
  <c r="D18" i="5"/>
  <c r="C18" i="5"/>
  <c r="E18" i="5" s="1"/>
  <c r="F18" i="5" s="1"/>
  <c r="B19" i="5" s="1"/>
  <c r="D142" i="5"/>
  <c r="C142" i="5"/>
  <c r="E142" i="5" s="1"/>
  <c r="F142" i="5" s="1"/>
  <c r="B143" i="5" s="1"/>
  <c r="D266" i="5"/>
  <c r="C266" i="5" s="1"/>
  <c r="E266" i="5" s="1"/>
  <c r="F266" i="5" s="1"/>
  <c r="B267" i="5" s="1"/>
  <c r="D636" i="5"/>
  <c r="C636" i="5"/>
  <c r="E636" i="5" s="1"/>
  <c r="F636" i="5" s="1"/>
  <c r="B637" i="5" s="1"/>
  <c r="D761" i="5"/>
  <c r="C761" i="5" s="1"/>
  <c r="E761" i="5" s="1"/>
  <c r="F761" i="5" s="1"/>
  <c r="B762" i="5" s="1"/>
  <c r="D512" i="5"/>
  <c r="C512" i="5" s="1"/>
  <c r="E512" i="5" s="1"/>
  <c r="F512" i="5" s="1"/>
  <c r="B513" i="5" s="1"/>
  <c r="D885" i="5"/>
  <c r="C885" i="5"/>
  <c r="E885" i="5" s="1"/>
  <c r="F885" i="5" s="1"/>
  <c r="B886" i="5" s="1"/>
  <c r="D389" i="5"/>
  <c r="C389" i="5" s="1"/>
  <c r="E389" i="5" s="1"/>
  <c r="F389" i="5" s="1"/>
  <c r="B390" i="5" s="1"/>
  <c r="K3" i="2"/>
  <c r="K3" i="3"/>
  <c r="AW2" i="2"/>
  <c r="AX2" i="2" s="1"/>
  <c r="AZ2" i="3"/>
  <c r="O3" i="3"/>
  <c r="P3" i="3"/>
  <c r="AV3" i="3" l="1"/>
  <c r="D762" i="5"/>
  <c r="C762" i="5" s="1"/>
  <c r="E762" i="5" s="1"/>
  <c r="F762" i="5" s="1"/>
  <c r="B763" i="5" s="1"/>
  <c r="D637" i="5"/>
  <c r="C637" i="5" s="1"/>
  <c r="E637" i="5" s="1"/>
  <c r="F637" i="5" s="1"/>
  <c r="B638" i="5" s="1"/>
  <c r="D267" i="5"/>
  <c r="C267" i="5" s="1"/>
  <c r="E267" i="5" s="1"/>
  <c r="F267" i="5" s="1"/>
  <c r="B268" i="5" s="1"/>
  <c r="D19" i="5"/>
  <c r="C19" i="5" s="1"/>
  <c r="E19" i="5" s="1"/>
  <c r="F19" i="5" s="1"/>
  <c r="B20" i="5" s="1"/>
  <c r="D390" i="5"/>
  <c r="C390" i="5"/>
  <c r="E390" i="5" s="1"/>
  <c r="F390" i="5" s="1"/>
  <c r="B391" i="5" s="1"/>
  <c r="D886" i="5"/>
  <c r="C886" i="5" s="1"/>
  <c r="E886" i="5" s="1"/>
  <c r="F886" i="5" s="1"/>
  <c r="B887" i="5" s="1"/>
  <c r="D513" i="5"/>
  <c r="C513" i="5" s="1"/>
  <c r="E513" i="5" s="1"/>
  <c r="F513" i="5" s="1"/>
  <c r="B514" i="5" s="1"/>
  <c r="D143" i="5"/>
  <c r="C143" i="5" s="1"/>
  <c r="E143" i="5" s="1"/>
  <c r="F143" i="5" s="1"/>
  <c r="B144" i="5" s="1"/>
  <c r="BB2" i="3"/>
  <c r="BC2" i="3" s="1"/>
  <c r="AY2" i="2"/>
  <c r="AZ2" i="2"/>
  <c r="L3" i="3"/>
  <c r="L3" i="2"/>
  <c r="M3" i="2"/>
  <c r="M3" i="3"/>
  <c r="BE2" i="3" l="1"/>
  <c r="AQ3" i="2"/>
  <c r="AQ3" i="3"/>
  <c r="D514" i="5"/>
  <c r="C514" i="5" s="1"/>
  <c r="E514" i="5" s="1"/>
  <c r="F514" i="5" s="1"/>
  <c r="B515" i="5" s="1"/>
  <c r="D268" i="5"/>
  <c r="C268" i="5"/>
  <c r="E268" i="5" s="1"/>
  <c r="F268" i="5"/>
  <c r="B269" i="5" s="1"/>
  <c r="D887" i="5"/>
  <c r="C887" i="5"/>
  <c r="E887" i="5" s="1"/>
  <c r="F887" i="5" s="1"/>
  <c r="B888" i="5" s="1"/>
  <c r="D20" i="5"/>
  <c r="C20" i="5" s="1"/>
  <c r="E20" i="5" s="1"/>
  <c r="F20" i="5" s="1"/>
  <c r="B21" i="5" s="1"/>
  <c r="D638" i="5"/>
  <c r="C638" i="5" s="1"/>
  <c r="E638" i="5" s="1"/>
  <c r="F638" i="5" s="1"/>
  <c r="B639" i="5" s="1"/>
  <c r="D144" i="5"/>
  <c r="C144" i="5" s="1"/>
  <c r="E144" i="5" s="1"/>
  <c r="F144" i="5" s="1"/>
  <c r="B145" i="5" s="1"/>
  <c r="D391" i="5"/>
  <c r="C391" i="5" s="1"/>
  <c r="E391" i="5" s="1"/>
  <c r="F391" i="5" s="1"/>
  <c r="B392" i="5" s="1"/>
  <c r="D763" i="5"/>
  <c r="C763" i="5" s="1"/>
  <c r="E763" i="5" s="1"/>
  <c r="F763" i="5" s="1"/>
  <c r="B764" i="5" s="1"/>
  <c r="BG2" i="3"/>
  <c r="BH2" i="3" s="1"/>
  <c r="BI2" i="3" s="1"/>
  <c r="T3" i="3" s="1"/>
  <c r="BB2" i="2"/>
  <c r="BC2" i="2" s="1"/>
  <c r="BD2" i="3"/>
  <c r="N3" i="2"/>
  <c r="D145" i="5" l="1"/>
  <c r="C145" i="5"/>
  <c r="E145" i="5" s="1"/>
  <c r="F145" i="5" s="1"/>
  <c r="B146" i="5" s="1"/>
  <c r="D21" i="5"/>
  <c r="C21" i="5" s="1"/>
  <c r="E21" i="5" s="1"/>
  <c r="F21" i="5" s="1"/>
  <c r="B22" i="5" s="1"/>
  <c r="D888" i="5"/>
  <c r="C888" i="5"/>
  <c r="E888" i="5" s="1"/>
  <c r="F888" i="5" s="1"/>
  <c r="B889" i="5" s="1"/>
  <c r="D764" i="5"/>
  <c r="C764" i="5"/>
  <c r="E764" i="5" s="1"/>
  <c r="F764" i="5" s="1"/>
  <c r="B765" i="5" s="1"/>
  <c r="D639" i="5"/>
  <c r="C639" i="5"/>
  <c r="E639" i="5" s="1"/>
  <c r="F639" i="5" s="1"/>
  <c r="B640" i="5" s="1"/>
  <c r="D515" i="5"/>
  <c r="C515" i="5" s="1"/>
  <c r="E515" i="5" s="1"/>
  <c r="F515" i="5" s="1"/>
  <c r="B516" i="5" s="1"/>
  <c r="D392" i="5"/>
  <c r="C392" i="5"/>
  <c r="E392" i="5" s="1"/>
  <c r="F392" i="5" s="1"/>
  <c r="B393" i="5" s="1"/>
  <c r="V3" i="3"/>
  <c r="D269" i="5"/>
  <c r="C269" i="5"/>
  <c r="E269" i="5" s="1"/>
  <c r="F269" i="5" s="1"/>
  <c r="B270" i="5" s="1"/>
  <c r="BJ2" i="3"/>
  <c r="BL2" i="3" s="1"/>
  <c r="BM2" i="3" s="1"/>
  <c r="BN2" i="3" s="1"/>
  <c r="W3" i="3" s="1"/>
  <c r="Q3" i="3"/>
  <c r="BD2" i="2"/>
  <c r="BE2" i="2"/>
  <c r="U3" i="3"/>
  <c r="O3" i="2"/>
  <c r="P3" i="2"/>
  <c r="BO2" i="3" l="1"/>
  <c r="BQ2" i="3"/>
  <c r="AV3" i="2"/>
  <c r="BF3" i="3"/>
  <c r="D270" i="5"/>
  <c r="C270" i="5"/>
  <c r="E270" i="5" s="1"/>
  <c r="F270" i="5" s="1"/>
  <c r="B271" i="5" s="1"/>
  <c r="D516" i="5"/>
  <c r="C516" i="5" s="1"/>
  <c r="E516" i="5" s="1"/>
  <c r="F516" i="5" s="1"/>
  <c r="B517" i="5" s="1"/>
  <c r="D889" i="5"/>
  <c r="C889" i="5" s="1"/>
  <c r="E889" i="5" s="1"/>
  <c r="F889" i="5" s="1"/>
  <c r="B890" i="5" s="1"/>
  <c r="D393" i="5"/>
  <c r="C393" i="5"/>
  <c r="E393" i="5" s="1"/>
  <c r="F393" i="5" s="1"/>
  <c r="B394" i="5" s="1"/>
  <c r="D765" i="5"/>
  <c r="C765" i="5"/>
  <c r="E765" i="5" s="1"/>
  <c r="F765" i="5" s="1"/>
  <c r="B766" i="5" s="1"/>
  <c r="D22" i="5"/>
  <c r="C22" i="5" s="1"/>
  <c r="E22" i="5" s="1"/>
  <c r="F22" i="5" s="1"/>
  <c r="B23" i="5" s="1"/>
  <c r="D146" i="5"/>
  <c r="C146" i="5" s="1"/>
  <c r="E146" i="5" s="1"/>
  <c r="F146" i="5" s="1"/>
  <c r="B147" i="5" s="1"/>
  <c r="S3" i="3"/>
  <c r="Y3" i="3"/>
  <c r="BG2" i="2"/>
  <c r="BH2" i="2" s="1"/>
  <c r="D640" i="5"/>
  <c r="C640" i="5" s="1"/>
  <c r="E640" i="5" s="1"/>
  <c r="F640" i="5" s="1"/>
  <c r="B641" i="5" s="1"/>
  <c r="Q3" i="2"/>
  <c r="R3" i="3"/>
  <c r="X3" i="3"/>
  <c r="BK3" i="3" l="1"/>
  <c r="BP3" i="3"/>
  <c r="BA3" i="3"/>
  <c r="D23" i="5"/>
  <c r="C23" i="5"/>
  <c r="E23" i="5" s="1"/>
  <c r="F23" i="5" s="1"/>
  <c r="B24" i="5" s="1"/>
  <c r="D890" i="5"/>
  <c r="C890" i="5"/>
  <c r="E890" i="5" s="1"/>
  <c r="F890" i="5" s="1"/>
  <c r="B891" i="5" s="1"/>
  <c r="D147" i="5"/>
  <c r="C147" i="5" s="1"/>
  <c r="E147" i="5" s="1"/>
  <c r="F147" i="5" s="1"/>
  <c r="B148" i="5" s="1"/>
  <c r="D766" i="5"/>
  <c r="C766" i="5" s="1"/>
  <c r="E766" i="5" s="1"/>
  <c r="F766" i="5" s="1"/>
  <c r="B767" i="5" s="1"/>
  <c r="D641" i="5"/>
  <c r="C641" i="5" s="1"/>
  <c r="E641" i="5" s="1"/>
  <c r="F641" i="5" s="1"/>
  <c r="B642" i="5" s="1"/>
  <c r="D394" i="5"/>
  <c r="C394" i="5"/>
  <c r="E394" i="5" s="1"/>
  <c r="F394" i="5" s="1"/>
  <c r="B395" i="5" s="1"/>
  <c r="D517" i="5"/>
  <c r="C517" i="5" s="1"/>
  <c r="E517" i="5" s="1"/>
  <c r="F517" i="5" s="1"/>
  <c r="B518" i="5" s="1"/>
  <c r="D271" i="5"/>
  <c r="C271" i="5"/>
  <c r="E271" i="5" s="1"/>
  <c r="F271" i="5" s="1"/>
  <c r="B272" i="5" s="1"/>
  <c r="S3" i="2"/>
  <c r="BI2" i="2"/>
  <c r="BJ2" i="2"/>
  <c r="BL2" i="2" s="1"/>
  <c r="BM2" i="2" s="1"/>
  <c r="BN2" i="2" s="1"/>
  <c r="W3" i="2" s="1"/>
  <c r="Z3" i="3"/>
  <c r="AA3" i="3" s="1"/>
  <c r="R3" i="2"/>
  <c r="BA3" i="2" l="1"/>
  <c r="D767" i="5"/>
  <c r="C767" i="5" s="1"/>
  <c r="E767" i="5" s="1"/>
  <c r="F767" i="5" s="1"/>
  <c r="B768" i="5" s="1"/>
  <c r="D148" i="5"/>
  <c r="C148" i="5"/>
  <c r="E148" i="5" s="1"/>
  <c r="F148" i="5" s="1"/>
  <c r="B149" i="5" s="1"/>
  <c r="D272" i="5"/>
  <c r="C272" i="5"/>
  <c r="E272" i="5" s="1"/>
  <c r="F272" i="5" s="1"/>
  <c r="B273" i="5" s="1"/>
  <c r="D891" i="5"/>
  <c r="C891" i="5" s="1"/>
  <c r="E891" i="5" s="1"/>
  <c r="F891" i="5" s="1"/>
  <c r="B892" i="5" s="1"/>
  <c r="D24" i="5"/>
  <c r="C24" i="5"/>
  <c r="E24" i="5" s="1"/>
  <c r="F24" i="5" s="1"/>
  <c r="B25" i="5" s="1"/>
  <c r="D395" i="5"/>
  <c r="C395" i="5"/>
  <c r="E395" i="5" s="1"/>
  <c r="F395" i="5" s="1"/>
  <c r="B396" i="5" s="1"/>
  <c r="D518" i="5"/>
  <c r="C518" i="5" s="1"/>
  <c r="E518" i="5" s="1"/>
  <c r="F518" i="5" s="1"/>
  <c r="B519" i="5" s="1"/>
  <c r="D642" i="5"/>
  <c r="C642" i="5"/>
  <c r="E642" i="5" s="1"/>
  <c r="F642" i="5" s="1"/>
  <c r="B643" i="5" s="1"/>
  <c r="Y3" i="2"/>
  <c r="T3" i="2"/>
  <c r="BQ2" i="2"/>
  <c r="AC3" i="3"/>
  <c r="AD3" i="3" s="1"/>
  <c r="BO2" i="2"/>
  <c r="X3" i="2"/>
  <c r="BK3" i="2" l="1"/>
  <c r="D892" i="5"/>
  <c r="C892" i="5" s="1"/>
  <c r="E892" i="5" s="1"/>
  <c r="F892" i="5" s="1"/>
  <c r="B893" i="5" s="1"/>
  <c r="D25" i="5"/>
  <c r="C25" i="5"/>
  <c r="E25" i="5" s="1"/>
  <c r="F25" i="5" s="1"/>
  <c r="B26" i="5" s="1"/>
  <c r="D768" i="5"/>
  <c r="C768" i="5"/>
  <c r="E768" i="5" s="1"/>
  <c r="F768" i="5" s="1"/>
  <c r="B769" i="5" s="1"/>
  <c r="D396" i="5"/>
  <c r="C396" i="5" s="1"/>
  <c r="E396" i="5" s="1"/>
  <c r="F396" i="5" s="1"/>
  <c r="B397" i="5" s="1"/>
  <c r="D273" i="5"/>
  <c r="C273" i="5"/>
  <c r="E273" i="5" s="1"/>
  <c r="F273" i="5" s="1"/>
  <c r="B274" i="5" s="1"/>
  <c r="D149" i="5"/>
  <c r="C149" i="5"/>
  <c r="E149" i="5" s="1"/>
  <c r="F149" i="5" s="1"/>
  <c r="B150" i="5" s="1"/>
  <c r="D643" i="5"/>
  <c r="C643" i="5"/>
  <c r="E643" i="5" s="1"/>
  <c r="F643" i="5" s="1"/>
  <c r="B644" i="5" s="1"/>
  <c r="D519" i="5"/>
  <c r="C519" i="5"/>
  <c r="E519" i="5" s="1"/>
  <c r="F519" i="5" s="1"/>
  <c r="B520" i="5" s="1"/>
  <c r="V3" i="2"/>
  <c r="AE3" i="3"/>
  <c r="AF3" i="3"/>
  <c r="U3" i="2"/>
  <c r="BP3" i="2" l="1"/>
  <c r="BF3" i="2"/>
  <c r="D397" i="5"/>
  <c r="C397" i="5"/>
  <c r="E397" i="5" s="1"/>
  <c r="F397" i="5" s="1"/>
  <c r="B398" i="5" s="1"/>
  <c r="D274" i="5"/>
  <c r="C274" i="5"/>
  <c r="E274" i="5" s="1"/>
  <c r="F274" i="5" s="1"/>
  <c r="B275" i="5" s="1"/>
  <c r="D769" i="5"/>
  <c r="C769" i="5" s="1"/>
  <c r="E769" i="5" s="1"/>
  <c r="F769" i="5" s="1"/>
  <c r="B770" i="5" s="1"/>
  <c r="D644" i="5"/>
  <c r="C644" i="5"/>
  <c r="E644" i="5" s="1"/>
  <c r="F644" i="5" s="1"/>
  <c r="B645" i="5" s="1"/>
  <c r="D26" i="5"/>
  <c r="C26" i="5" s="1"/>
  <c r="E26" i="5" s="1"/>
  <c r="F26" i="5" s="1"/>
  <c r="B27" i="5" s="1"/>
  <c r="D893" i="5"/>
  <c r="C893" i="5" s="1"/>
  <c r="E893" i="5" s="1"/>
  <c r="F893" i="5" s="1"/>
  <c r="B894" i="5" s="1"/>
  <c r="D520" i="5"/>
  <c r="C520" i="5" s="1"/>
  <c r="E520" i="5" s="1"/>
  <c r="F520" i="5" s="1"/>
  <c r="B521" i="5" s="1"/>
  <c r="D150" i="5"/>
  <c r="C150" i="5" s="1"/>
  <c r="E150" i="5" s="1"/>
  <c r="F150" i="5" s="1"/>
  <c r="B151" i="5" s="1"/>
  <c r="AH3" i="3"/>
  <c r="AI3" i="3" s="1"/>
  <c r="B4" i="3"/>
  <c r="Z3" i="2"/>
  <c r="AA3" i="2" s="1"/>
  <c r="AK3" i="3" l="1"/>
  <c r="AM3" i="3" s="1"/>
  <c r="AN3" i="3" s="1"/>
  <c r="AO3" i="3" s="1"/>
  <c r="H4" i="3" s="1"/>
  <c r="D894" i="5"/>
  <c r="C894" i="5"/>
  <c r="E894" i="5" s="1"/>
  <c r="F894" i="5" s="1"/>
  <c r="B895" i="5" s="1"/>
  <c r="D275" i="5"/>
  <c r="C275" i="5"/>
  <c r="E275" i="5" s="1"/>
  <c r="F275" i="5" s="1"/>
  <c r="B276" i="5" s="1"/>
  <c r="D27" i="5"/>
  <c r="C27" i="5" s="1"/>
  <c r="E27" i="5" s="1"/>
  <c r="F27" i="5" s="1"/>
  <c r="B28" i="5" s="1"/>
  <c r="D151" i="5"/>
  <c r="C151" i="5" s="1"/>
  <c r="E151" i="5" s="1"/>
  <c r="F151" i="5" s="1"/>
  <c r="B152" i="5" s="1"/>
  <c r="D770" i="5"/>
  <c r="C770" i="5" s="1"/>
  <c r="E770" i="5" s="1"/>
  <c r="F770" i="5" s="1"/>
  <c r="B771" i="5" s="1"/>
  <c r="D398" i="5"/>
  <c r="C398" i="5" s="1"/>
  <c r="E398" i="5" s="1"/>
  <c r="F398" i="5" s="1"/>
  <c r="B399" i="5" s="1"/>
  <c r="D521" i="5"/>
  <c r="C521" i="5" s="1"/>
  <c r="E521" i="5" s="1"/>
  <c r="F521" i="5" s="1"/>
  <c r="B522" i="5" s="1"/>
  <c r="AC3" i="2"/>
  <c r="AD3" i="2" s="1"/>
  <c r="AJ3" i="3"/>
  <c r="D645" i="5"/>
  <c r="C645" i="5" s="1"/>
  <c r="E645" i="5" s="1"/>
  <c r="F645" i="5" s="1"/>
  <c r="B646" i="5" s="1"/>
  <c r="C4" i="3"/>
  <c r="D4" i="3"/>
  <c r="AB4" i="3" l="1"/>
  <c r="D399" i="5"/>
  <c r="C399" i="5"/>
  <c r="E399" i="5" s="1"/>
  <c r="F399" i="5" s="1"/>
  <c r="B400" i="5" s="1"/>
  <c r="D152" i="5"/>
  <c r="C152" i="5"/>
  <c r="E152" i="5" s="1"/>
  <c r="F152" i="5" s="1"/>
  <c r="B153" i="5" s="1"/>
  <c r="D771" i="5"/>
  <c r="C771" i="5" s="1"/>
  <c r="E771" i="5" s="1"/>
  <c r="F771" i="5" s="1"/>
  <c r="B772" i="5" s="1"/>
  <c r="D646" i="5"/>
  <c r="C646" i="5"/>
  <c r="E646" i="5" s="1"/>
  <c r="F646" i="5" s="1"/>
  <c r="B647" i="5" s="1"/>
  <c r="D522" i="5"/>
  <c r="C522" i="5"/>
  <c r="E522" i="5" s="1"/>
  <c r="F522" i="5" s="1"/>
  <c r="B523" i="5" s="1"/>
  <c r="D28" i="5"/>
  <c r="C28" i="5" s="1"/>
  <c r="E28" i="5" s="1"/>
  <c r="F28" i="5" s="1"/>
  <c r="B29" i="5" s="1"/>
  <c r="F276" i="5"/>
  <c r="B277" i="5" s="1"/>
  <c r="D276" i="5"/>
  <c r="C276" i="5"/>
  <c r="E276" i="5" s="1"/>
  <c r="D895" i="5"/>
  <c r="C895" i="5"/>
  <c r="E895" i="5" s="1"/>
  <c r="F895" i="5" s="1"/>
  <c r="B896" i="5" s="1"/>
  <c r="E4" i="3"/>
  <c r="AP3" i="3"/>
  <c r="AE3" i="2"/>
  <c r="AF3" i="2"/>
  <c r="I4" i="3"/>
  <c r="J4" i="3"/>
  <c r="AL4" i="3" l="1"/>
  <c r="D523" i="5"/>
  <c r="C523" i="5"/>
  <c r="E523" i="5" s="1"/>
  <c r="F523" i="5" s="1"/>
  <c r="B524" i="5" s="1"/>
  <c r="D772" i="5"/>
  <c r="C772" i="5" s="1"/>
  <c r="E772" i="5" s="1"/>
  <c r="F772" i="5" s="1"/>
  <c r="B773" i="5" s="1"/>
  <c r="D29" i="5"/>
  <c r="C29" i="5" s="1"/>
  <c r="E29" i="5" s="1"/>
  <c r="F29" i="5" s="1"/>
  <c r="B30" i="5" s="1"/>
  <c r="D647" i="5"/>
  <c r="C647" i="5" s="1"/>
  <c r="E647" i="5" s="1"/>
  <c r="F647" i="5" s="1"/>
  <c r="B648" i="5" s="1"/>
  <c r="D153" i="5"/>
  <c r="C153" i="5"/>
  <c r="E153" i="5" s="1"/>
  <c r="F153" i="5" s="1"/>
  <c r="B154" i="5" s="1"/>
  <c r="D400" i="5"/>
  <c r="C400" i="5" s="1"/>
  <c r="E400" i="5" s="1"/>
  <c r="F400" i="5" s="1"/>
  <c r="B401" i="5" s="1"/>
  <c r="D896" i="5"/>
  <c r="C896" i="5" s="1"/>
  <c r="E896" i="5" s="1"/>
  <c r="F896" i="5" s="1"/>
  <c r="B897" i="5" s="1"/>
  <c r="AR3" i="3"/>
  <c r="AS3" i="3" s="1"/>
  <c r="D277" i="5"/>
  <c r="C277" i="5" s="1"/>
  <c r="E277" i="5" s="1"/>
  <c r="F277" i="5" s="1"/>
  <c r="B278" i="5" s="1"/>
  <c r="AH3" i="2"/>
  <c r="AI3" i="2" s="1"/>
  <c r="B4" i="2"/>
  <c r="F4" i="3"/>
  <c r="G4" i="3"/>
  <c r="AG4" i="3" l="1"/>
  <c r="D401" i="5"/>
  <c r="C401" i="5" s="1"/>
  <c r="E401" i="5" s="1"/>
  <c r="F401" i="5" s="1"/>
  <c r="B402" i="5" s="1"/>
  <c r="D897" i="5"/>
  <c r="C897" i="5"/>
  <c r="E897" i="5" s="1"/>
  <c r="F897" i="5" s="1"/>
  <c r="B898" i="5" s="1"/>
  <c r="D30" i="5"/>
  <c r="C30" i="5" s="1"/>
  <c r="E30" i="5" s="1"/>
  <c r="F30" i="5" s="1"/>
  <c r="B31" i="5" s="1"/>
  <c r="D648" i="5"/>
  <c r="C648" i="5"/>
  <c r="E648" i="5" s="1"/>
  <c r="F648" i="5" s="1"/>
  <c r="B649" i="5" s="1"/>
  <c r="D524" i="5"/>
  <c r="C524" i="5" s="1"/>
  <c r="E524" i="5" s="1"/>
  <c r="F524" i="5" s="1"/>
  <c r="B525" i="5" s="1"/>
  <c r="D154" i="5"/>
  <c r="C154" i="5"/>
  <c r="E154" i="5" s="1"/>
  <c r="F154" i="5" s="1"/>
  <c r="B155" i="5" s="1"/>
  <c r="D773" i="5"/>
  <c r="C773" i="5" s="1"/>
  <c r="E773" i="5" s="1"/>
  <c r="F773" i="5" s="1"/>
  <c r="B774" i="5" s="1"/>
  <c r="D278" i="5"/>
  <c r="C278" i="5" s="1"/>
  <c r="E278" i="5" s="1"/>
  <c r="F278" i="5" s="1"/>
  <c r="B279" i="5" s="1"/>
  <c r="AJ3" i="2"/>
  <c r="AT3" i="3"/>
  <c r="AK3" i="2"/>
  <c r="AU3" i="3"/>
  <c r="C4" i="2"/>
  <c r="D4" i="2"/>
  <c r="AB4" i="2" l="1"/>
  <c r="D31" i="5"/>
  <c r="C31" i="5" s="1"/>
  <c r="E31" i="5" s="1"/>
  <c r="F31" i="5" s="1"/>
  <c r="B32" i="5" s="1"/>
  <c r="D155" i="5"/>
  <c r="C155" i="5"/>
  <c r="E155" i="5" s="1"/>
  <c r="F155" i="5" s="1"/>
  <c r="B156" i="5" s="1"/>
  <c r="D649" i="5"/>
  <c r="C649" i="5" s="1"/>
  <c r="E649" i="5" s="1"/>
  <c r="F649" i="5" s="1"/>
  <c r="B650" i="5" s="1"/>
  <c r="D279" i="5"/>
  <c r="C279" i="5"/>
  <c r="E279" i="5" s="1"/>
  <c r="F279" i="5" s="1"/>
  <c r="B280" i="5" s="1"/>
  <c r="D525" i="5"/>
  <c r="C525" i="5" s="1"/>
  <c r="E525" i="5" s="1"/>
  <c r="F525" i="5" s="1"/>
  <c r="B526" i="5" s="1"/>
  <c r="D898" i="5"/>
  <c r="C898" i="5" s="1"/>
  <c r="E898" i="5" s="1"/>
  <c r="F898" i="5" s="1"/>
  <c r="B899" i="5" s="1"/>
  <c r="D402" i="5"/>
  <c r="C402" i="5"/>
  <c r="E402" i="5" s="1"/>
  <c r="F402" i="5" s="1"/>
  <c r="B403" i="5" s="1"/>
  <c r="D774" i="5"/>
  <c r="C774" i="5" s="1"/>
  <c r="E774" i="5" s="1"/>
  <c r="F774" i="5" s="1"/>
  <c r="B775" i="5" s="1"/>
  <c r="E4" i="2"/>
  <c r="K4" i="3"/>
  <c r="AW3" i="3"/>
  <c r="AX3" i="3" s="1"/>
  <c r="AM3" i="2"/>
  <c r="AN3" i="2" s="1"/>
  <c r="AP3" i="2" l="1"/>
  <c r="D280" i="5"/>
  <c r="C280" i="5"/>
  <c r="E280" i="5" s="1"/>
  <c r="F280" i="5" s="1"/>
  <c r="B281" i="5" s="1"/>
  <c r="D526" i="5"/>
  <c r="C526" i="5"/>
  <c r="E526" i="5" s="1"/>
  <c r="F526" i="5" s="1"/>
  <c r="B527" i="5" s="1"/>
  <c r="D650" i="5"/>
  <c r="C650" i="5" s="1"/>
  <c r="E650" i="5" s="1"/>
  <c r="F650" i="5" s="1"/>
  <c r="B651" i="5" s="1"/>
  <c r="D156" i="5"/>
  <c r="C156" i="5"/>
  <c r="E156" i="5" s="1"/>
  <c r="F156" i="5" s="1"/>
  <c r="B157" i="5" s="1"/>
  <c r="D899" i="5"/>
  <c r="C899" i="5"/>
  <c r="E899" i="5" s="1"/>
  <c r="F899" i="5" s="1"/>
  <c r="B900" i="5" s="1"/>
  <c r="D775" i="5"/>
  <c r="C775" i="5" s="1"/>
  <c r="E775" i="5" s="1"/>
  <c r="F775" i="5" s="1"/>
  <c r="B776" i="5" s="1"/>
  <c r="D32" i="5"/>
  <c r="C32" i="5"/>
  <c r="E32" i="5" s="1"/>
  <c r="F32" i="5" s="1"/>
  <c r="B33" i="5" s="1"/>
  <c r="AY3" i="3"/>
  <c r="D403" i="5"/>
  <c r="C403" i="5" s="1"/>
  <c r="E403" i="5" s="1"/>
  <c r="F403" i="5" s="1"/>
  <c r="B404" i="5" s="1"/>
  <c r="AR3" i="2"/>
  <c r="AS3" i="2" s="1"/>
  <c r="AT3" i="2" s="1"/>
  <c r="K4" i="2" s="1"/>
  <c r="AZ3" i="3"/>
  <c r="AO3" i="2"/>
  <c r="L4" i="3"/>
  <c r="M4" i="3"/>
  <c r="F4" i="2"/>
  <c r="G4" i="2"/>
  <c r="AU3" i="2" l="1"/>
  <c r="AG4" i="2"/>
  <c r="AQ4" i="3"/>
  <c r="D776" i="5"/>
  <c r="C776" i="5" s="1"/>
  <c r="E776" i="5" s="1"/>
  <c r="F776" i="5" s="1"/>
  <c r="B777" i="5" s="1"/>
  <c r="D651" i="5"/>
  <c r="C651" i="5"/>
  <c r="E651" i="5" s="1"/>
  <c r="F651" i="5"/>
  <c r="B652" i="5" s="1"/>
  <c r="D900" i="5"/>
  <c r="C900" i="5" s="1"/>
  <c r="E900" i="5" s="1"/>
  <c r="F900" i="5" s="1"/>
  <c r="B901" i="5" s="1"/>
  <c r="D404" i="5"/>
  <c r="C404" i="5"/>
  <c r="E404" i="5" s="1"/>
  <c r="F404" i="5" s="1"/>
  <c r="B405" i="5" s="1"/>
  <c r="D157" i="5"/>
  <c r="C157" i="5" s="1"/>
  <c r="E157" i="5" s="1"/>
  <c r="F157" i="5" s="1"/>
  <c r="B158" i="5" s="1"/>
  <c r="D527" i="5"/>
  <c r="C527" i="5"/>
  <c r="E527" i="5" s="1"/>
  <c r="F527" i="5" s="1"/>
  <c r="B528" i="5" s="1"/>
  <c r="D33" i="5"/>
  <c r="C33" i="5"/>
  <c r="E33" i="5" s="1"/>
  <c r="F33" i="5" s="1"/>
  <c r="B34" i="5" s="1"/>
  <c r="AW3" i="2"/>
  <c r="AX3" i="2" s="1"/>
  <c r="AY3" i="2" s="1"/>
  <c r="N4" i="2" s="1"/>
  <c r="N4" i="3"/>
  <c r="D281" i="5"/>
  <c r="C281" i="5"/>
  <c r="E281" i="5" s="1"/>
  <c r="F281" i="5" s="1"/>
  <c r="B282" i="5" s="1"/>
  <c r="H4" i="2"/>
  <c r="BB3" i="3"/>
  <c r="BC3" i="3" s="1"/>
  <c r="L4" i="2"/>
  <c r="M4" i="2"/>
  <c r="AQ4" i="2" l="1"/>
  <c r="D282" i="5"/>
  <c r="C282" i="5" s="1"/>
  <c r="E282" i="5" s="1"/>
  <c r="F282" i="5" s="1"/>
  <c r="B283" i="5" s="1"/>
  <c r="D158" i="5"/>
  <c r="C158" i="5"/>
  <c r="E158" i="5" s="1"/>
  <c r="F158" i="5" s="1"/>
  <c r="B159" i="5" s="1"/>
  <c r="D901" i="5"/>
  <c r="C901" i="5" s="1"/>
  <c r="E901" i="5" s="1"/>
  <c r="F901" i="5" s="1"/>
  <c r="B902" i="5" s="1"/>
  <c r="D34" i="5"/>
  <c r="C34" i="5"/>
  <c r="E34" i="5" s="1"/>
  <c r="F34" i="5" s="1"/>
  <c r="B35" i="5" s="1"/>
  <c r="D405" i="5"/>
  <c r="C405" i="5" s="1"/>
  <c r="E405" i="5" s="1"/>
  <c r="F405" i="5" s="1"/>
  <c r="B406" i="5" s="1"/>
  <c r="D777" i="5"/>
  <c r="C777" i="5" s="1"/>
  <c r="E777" i="5" s="1"/>
  <c r="F777" i="5" s="1"/>
  <c r="B778" i="5" s="1"/>
  <c r="D528" i="5"/>
  <c r="C528" i="5" s="1"/>
  <c r="E528" i="5" s="1"/>
  <c r="F528" i="5" s="1"/>
  <c r="B529" i="5" s="1"/>
  <c r="BE3" i="3"/>
  <c r="BD3" i="3"/>
  <c r="D652" i="5"/>
  <c r="C652" i="5"/>
  <c r="E652" i="5" s="1"/>
  <c r="F652" i="5" s="1"/>
  <c r="B653" i="5" s="1"/>
  <c r="AZ3" i="2"/>
  <c r="I4" i="2"/>
  <c r="O4" i="3"/>
  <c r="O4" i="2"/>
  <c r="J4" i="2"/>
  <c r="P4" i="3"/>
  <c r="P4" i="2"/>
  <c r="AV4" i="2" l="1"/>
  <c r="AV4" i="3"/>
  <c r="AL4" i="2"/>
  <c r="D778" i="5"/>
  <c r="C778" i="5"/>
  <c r="E778" i="5" s="1"/>
  <c r="F778" i="5" s="1"/>
  <c r="B779" i="5" s="1"/>
  <c r="D653" i="5"/>
  <c r="C653" i="5"/>
  <c r="E653" i="5" s="1"/>
  <c r="F653" i="5" s="1"/>
  <c r="B654" i="5" s="1"/>
  <c r="D35" i="5"/>
  <c r="C35" i="5"/>
  <c r="E35" i="5" s="1"/>
  <c r="F35" i="5" s="1"/>
  <c r="B36" i="5" s="1"/>
  <c r="D283" i="5"/>
  <c r="C283" i="5" s="1"/>
  <c r="E283" i="5" s="1"/>
  <c r="F283" i="5" s="1"/>
  <c r="B284" i="5" s="1"/>
  <c r="D902" i="5"/>
  <c r="C902" i="5" s="1"/>
  <c r="E902" i="5" s="1"/>
  <c r="F902" i="5" s="1"/>
  <c r="B903" i="5" s="1"/>
  <c r="D159" i="5"/>
  <c r="C159" i="5" s="1"/>
  <c r="E159" i="5" s="1"/>
  <c r="F159" i="5" s="1"/>
  <c r="B160" i="5" s="1"/>
  <c r="D529" i="5"/>
  <c r="C529" i="5" s="1"/>
  <c r="E529" i="5" s="1"/>
  <c r="F529" i="5" s="1"/>
  <c r="B530" i="5" s="1"/>
  <c r="D406" i="5"/>
  <c r="C406" i="5" s="1"/>
  <c r="E406" i="5" s="1"/>
  <c r="F406" i="5" s="1"/>
  <c r="B407" i="5" s="1"/>
  <c r="BB3" i="2"/>
  <c r="BC3" i="2" s="1"/>
  <c r="BG3" i="3"/>
  <c r="BH3" i="3" s="1"/>
  <c r="Q4" i="3"/>
  <c r="BJ3" i="3" l="1"/>
  <c r="BL3" i="3" s="1"/>
  <c r="BM3" i="3" s="1"/>
  <c r="BN3" i="3" s="1"/>
  <c r="W4" i="3" s="1"/>
  <c r="BE3" i="2"/>
  <c r="D284" i="5"/>
  <c r="C284" i="5"/>
  <c r="E284" i="5" s="1"/>
  <c r="F284" i="5" s="1"/>
  <c r="B285" i="5" s="1"/>
  <c r="D903" i="5"/>
  <c r="C903" i="5" s="1"/>
  <c r="E903" i="5" s="1"/>
  <c r="F903" i="5" s="1"/>
  <c r="B904" i="5" s="1"/>
  <c r="D779" i="5"/>
  <c r="C779" i="5" s="1"/>
  <c r="E779" i="5" s="1"/>
  <c r="F779" i="5" s="1"/>
  <c r="B780" i="5" s="1"/>
  <c r="D36" i="5"/>
  <c r="C36" i="5"/>
  <c r="E36" i="5" s="1"/>
  <c r="F36" i="5" s="1"/>
  <c r="B37" i="5" s="1"/>
  <c r="D654" i="5"/>
  <c r="C654" i="5"/>
  <c r="E654" i="5" s="1"/>
  <c r="F654" i="5" s="1"/>
  <c r="B655" i="5" s="1"/>
  <c r="D530" i="5"/>
  <c r="C530" i="5" s="1"/>
  <c r="E530" i="5" s="1"/>
  <c r="F530" i="5" s="1"/>
  <c r="B531" i="5" s="1"/>
  <c r="D407" i="5"/>
  <c r="C407" i="5" s="1"/>
  <c r="E407" i="5" s="1"/>
  <c r="F407" i="5" s="1"/>
  <c r="B408" i="5" s="1"/>
  <c r="D160" i="5"/>
  <c r="C160" i="5"/>
  <c r="E160" i="5" s="1"/>
  <c r="F160" i="5" s="1"/>
  <c r="B161" i="5" s="1"/>
  <c r="S4" i="3"/>
  <c r="Y4" i="3"/>
  <c r="BI3" i="3"/>
  <c r="BO3" i="3"/>
  <c r="BG3" i="2"/>
  <c r="BH3" i="2" s="1"/>
  <c r="BI3" i="2" s="1"/>
  <c r="T4" i="2" s="1"/>
  <c r="BD3" i="2"/>
  <c r="R4" i="3"/>
  <c r="X4" i="3"/>
  <c r="BK4" i="3" l="1"/>
  <c r="BA4" i="3"/>
  <c r="D408" i="5"/>
  <c r="C408" i="5"/>
  <c r="E408" i="5" s="1"/>
  <c r="F408" i="5"/>
  <c r="B409" i="5" s="1"/>
  <c r="D655" i="5"/>
  <c r="C655" i="5"/>
  <c r="E655" i="5" s="1"/>
  <c r="F655" i="5" s="1"/>
  <c r="B656" i="5" s="1"/>
  <c r="D531" i="5"/>
  <c r="C531" i="5"/>
  <c r="E531" i="5" s="1"/>
  <c r="F531" i="5" s="1"/>
  <c r="B532" i="5" s="1"/>
  <c r="D780" i="5"/>
  <c r="C780" i="5"/>
  <c r="E780" i="5" s="1"/>
  <c r="F780" i="5" s="1"/>
  <c r="B781" i="5" s="1"/>
  <c r="D161" i="5"/>
  <c r="C161" i="5"/>
  <c r="E161" i="5" s="1"/>
  <c r="F161" i="5"/>
  <c r="B162" i="5" s="1"/>
  <c r="D37" i="5"/>
  <c r="C37" i="5" s="1"/>
  <c r="E37" i="5" s="1"/>
  <c r="F37" i="5" s="1"/>
  <c r="B38" i="5" s="1"/>
  <c r="D904" i="5"/>
  <c r="C904" i="5" s="1"/>
  <c r="E904" i="5" s="1"/>
  <c r="F904" i="5" s="1"/>
  <c r="B905" i="5" s="1"/>
  <c r="D285" i="5"/>
  <c r="C285" i="5" s="1"/>
  <c r="E285" i="5" s="1"/>
  <c r="F285" i="5" s="1"/>
  <c r="B286" i="5" s="1"/>
  <c r="V4" i="2"/>
  <c r="T4" i="3"/>
  <c r="BQ3" i="3"/>
  <c r="BJ3" i="2"/>
  <c r="BL3" i="2" s="1"/>
  <c r="BM3" i="2" s="1"/>
  <c r="BN3" i="2" s="1"/>
  <c r="W4" i="2" s="1"/>
  <c r="Q4" i="2"/>
  <c r="U4" i="2"/>
  <c r="BF4" i="2" l="1"/>
  <c r="D781" i="5"/>
  <c r="C781" i="5" s="1"/>
  <c r="E781" i="5" s="1"/>
  <c r="F781" i="5" s="1"/>
  <c r="B782" i="5" s="1"/>
  <c r="D656" i="5"/>
  <c r="C656" i="5"/>
  <c r="E656" i="5" s="1"/>
  <c r="F656" i="5" s="1"/>
  <c r="B657" i="5" s="1"/>
  <c r="D905" i="5"/>
  <c r="C905" i="5" s="1"/>
  <c r="E905" i="5" s="1"/>
  <c r="F905" i="5" s="1"/>
  <c r="B906" i="5" s="1"/>
  <c r="D286" i="5"/>
  <c r="C286" i="5" s="1"/>
  <c r="E286" i="5" s="1"/>
  <c r="F286" i="5" s="1"/>
  <c r="B287" i="5" s="1"/>
  <c r="D38" i="5"/>
  <c r="C38" i="5"/>
  <c r="E38" i="5" s="1"/>
  <c r="F38" i="5" s="1"/>
  <c r="B39" i="5" s="1"/>
  <c r="D532" i="5"/>
  <c r="C532" i="5" s="1"/>
  <c r="E532" i="5" s="1"/>
  <c r="F532" i="5" s="1"/>
  <c r="B533" i="5" s="1"/>
  <c r="D409" i="5"/>
  <c r="C409" i="5"/>
  <c r="E409" i="5" s="1"/>
  <c r="F409" i="5" s="1"/>
  <c r="B410" i="5" s="1"/>
  <c r="V4" i="3"/>
  <c r="BO3" i="2"/>
  <c r="Y4" i="2"/>
  <c r="D162" i="5"/>
  <c r="C162" i="5" s="1"/>
  <c r="E162" i="5" s="1"/>
  <c r="F162" i="5" s="1"/>
  <c r="B163" i="5" s="1"/>
  <c r="BQ3" i="2"/>
  <c r="S4" i="2"/>
  <c r="X4" i="2"/>
  <c r="R4" i="2"/>
  <c r="U4" i="3"/>
  <c r="BP4" i="3" l="1"/>
  <c r="BF4" i="3"/>
  <c r="BP4" i="2"/>
  <c r="BA4" i="2"/>
  <c r="BK4" i="2"/>
  <c r="D533" i="5"/>
  <c r="C533" i="5" s="1"/>
  <c r="E533" i="5" s="1"/>
  <c r="F533" i="5" s="1"/>
  <c r="B534" i="5" s="1"/>
  <c r="D287" i="5"/>
  <c r="C287" i="5"/>
  <c r="E287" i="5" s="1"/>
  <c r="F287" i="5" s="1"/>
  <c r="B288" i="5" s="1"/>
  <c r="D39" i="5"/>
  <c r="C39" i="5"/>
  <c r="E39" i="5" s="1"/>
  <c r="F39" i="5" s="1"/>
  <c r="B40" i="5" s="1"/>
  <c r="D163" i="5"/>
  <c r="C163" i="5" s="1"/>
  <c r="E163" i="5" s="1"/>
  <c r="F163" i="5" s="1"/>
  <c r="B164" i="5" s="1"/>
  <c r="D410" i="5"/>
  <c r="C410" i="5" s="1"/>
  <c r="E410" i="5" s="1"/>
  <c r="F410" i="5" s="1"/>
  <c r="B411" i="5" s="1"/>
  <c r="D906" i="5"/>
  <c r="C906" i="5"/>
  <c r="E906" i="5" s="1"/>
  <c r="F906" i="5" s="1"/>
  <c r="B907" i="5" s="1"/>
  <c r="D657" i="5"/>
  <c r="C657" i="5" s="1"/>
  <c r="E657" i="5" s="1"/>
  <c r="F657" i="5" s="1"/>
  <c r="B658" i="5" s="1"/>
  <c r="D782" i="5"/>
  <c r="C782" i="5"/>
  <c r="E782" i="5" s="1"/>
  <c r="F782" i="5" s="1"/>
  <c r="B783" i="5" s="1"/>
  <c r="Z4" i="2"/>
  <c r="AA4" i="2" s="1"/>
  <c r="Z4" i="3"/>
  <c r="AA4" i="3" s="1"/>
  <c r="D40" i="5" l="1"/>
  <c r="C40" i="5" s="1"/>
  <c r="E40" i="5" s="1"/>
  <c r="F40" i="5" s="1"/>
  <c r="B41" i="5" s="1"/>
  <c r="D658" i="5"/>
  <c r="C658" i="5"/>
  <c r="E658" i="5" s="1"/>
  <c r="F658" i="5" s="1"/>
  <c r="B659" i="5" s="1"/>
  <c r="D783" i="5"/>
  <c r="C783" i="5" s="1"/>
  <c r="E783" i="5" s="1"/>
  <c r="F783" i="5" s="1"/>
  <c r="B784" i="5" s="1"/>
  <c r="D411" i="5"/>
  <c r="C411" i="5" s="1"/>
  <c r="E411" i="5" s="1"/>
  <c r="F411" i="5" s="1"/>
  <c r="B412" i="5" s="1"/>
  <c r="D534" i="5"/>
  <c r="C534" i="5"/>
  <c r="E534" i="5" s="1"/>
  <c r="F534" i="5" s="1"/>
  <c r="B535" i="5" s="1"/>
  <c r="D164" i="5"/>
  <c r="C164" i="5"/>
  <c r="E164" i="5" s="1"/>
  <c r="F164" i="5" s="1"/>
  <c r="B165" i="5" s="1"/>
  <c r="D907" i="5"/>
  <c r="C907" i="5" s="1"/>
  <c r="E907" i="5" s="1"/>
  <c r="F907" i="5" s="1"/>
  <c r="B908" i="5" s="1"/>
  <c r="D288" i="5"/>
  <c r="C288" i="5" s="1"/>
  <c r="E288" i="5" s="1"/>
  <c r="F288" i="5" s="1"/>
  <c r="B289" i="5" s="1"/>
  <c r="AC4" i="3"/>
  <c r="AD4" i="3" s="1"/>
  <c r="AC4" i="2"/>
  <c r="AD4" i="2" s="1"/>
  <c r="D908" i="5" l="1"/>
  <c r="C908" i="5"/>
  <c r="E908" i="5" s="1"/>
  <c r="F908" i="5" s="1"/>
  <c r="B909" i="5" s="1"/>
  <c r="D535" i="5"/>
  <c r="C535" i="5"/>
  <c r="E535" i="5" s="1"/>
  <c r="F535" i="5" s="1"/>
  <c r="B536" i="5" s="1"/>
  <c r="D289" i="5"/>
  <c r="C289" i="5" s="1"/>
  <c r="E289" i="5" s="1"/>
  <c r="F289" i="5" s="1"/>
  <c r="B290" i="5" s="1"/>
  <c r="D412" i="5"/>
  <c r="C412" i="5" s="1"/>
  <c r="E412" i="5" s="1"/>
  <c r="F412" i="5" s="1"/>
  <c r="B413" i="5" s="1"/>
  <c r="D659" i="5"/>
  <c r="C659" i="5" s="1"/>
  <c r="E659" i="5" s="1"/>
  <c r="F659" i="5" s="1"/>
  <c r="B660" i="5" s="1"/>
  <c r="D784" i="5"/>
  <c r="C784" i="5" s="1"/>
  <c r="E784" i="5" s="1"/>
  <c r="F784" i="5" s="1"/>
  <c r="B785" i="5" s="1"/>
  <c r="D41" i="5"/>
  <c r="C41" i="5" s="1"/>
  <c r="E41" i="5" s="1"/>
  <c r="F41" i="5" s="1"/>
  <c r="B42" i="5" s="1"/>
  <c r="AF4" i="2"/>
  <c r="D165" i="5"/>
  <c r="C165" i="5" s="1"/>
  <c r="E165" i="5" s="1"/>
  <c r="F165" i="5" s="1"/>
  <c r="B166" i="5" s="1"/>
  <c r="AE4" i="2"/>
  <c r="AE4" i="3"/>
  <c r="AF4" i="3"/>
  <c r="D42" i="5" l="1"/>
  <c r="C42" i="5"/>
  <c r="E42" i="5" s="1"/>
  <c r="F42" i="5"/>
  <c r="B43" i="5" s="1"/>
  <c r="D660" i="5"/>
  <c r="C660" i="5"/>
  <c r="E660" i="5" s="1"/>
  <c r="F660" i="5" s="1"/>
  <c r="B661" i="5" s="1"/>
  <c r="D785" i="5"/>
  <c r="C785" i="5"/>
  <c r="E785" i="5" s="1"/>
  <c r="F785" i="5" s="1"/>
  <c r="B786" i="5" s="1"/>
  <c r="D413" i="5"/>
  <c r="C413" i="5" s="1"/>
  <c r="E413" i="5" s="1"/>
  <c r="F413" i="5" s="1"/>
  <c r="B414" i="5" s="1"/>
  <c r="D909" i="5"/>
  <c r="C909" i="5" s="1"/>
  <c r="E909" i="5" s="1"/>
  <c r="F909" i="5" s="1"/>
  <c r="B910" i="5" s="1"/>
  <c r="D290" i="5"/>
  <c r="C290" i="5" s="1"/>
  <c r="E290" i="5" s="1"/>
  <c r="F290" i="5" s="1"/>
  <c r="B291" i="5" s="1"/>
  <c r="D536" i="5"/>
  <c r="C536" i="5" s="1"/>
  <c r="E536" i="5" s="1"/>
  <c r="F536" i="5" s="1"/>
  <c r="B537" i="5" s="1"/>
  <c r="D166" i="5"/>
  <c r="C166" i="5" s="1"/>
  <c r="E166" i="5" s="1"/>
  <c r="F166" i="5" s="1"/>
  <c r="B167" i="5" s="1"/>
  <c r="AH4" i="2"/>
  <c r="AI4" i="2" s="1"/>
  <c r="AH4" i="3"/>
  <c r="AI4" i="3" s="1"/>
  <c r="B5" i="2"/>
  <c r="B5" i="3"/>
  <c r="AK4" i="2" l="1"/>
  <c r="D414" i="5"/>
  <c r="C414" i="5"/>
  <c r="E414" i="5" s="1"/>
  <c r="F414" i="5" s="1"/>
  <c r="B415" i="5" s="1"/>
  <c r="D291" i="5"/>
  <c r="C291" i="5"/>
  <c r="E291" i="5" s="1"/>
  <c r="F291" i="5" s="1"/>
  <c r="B292" i="5" s="1"/>
  <c r="D167" i="5"/>
  <c r="C167" i="5" s="1"/>
  <c r="E167" i="5" s="1"/>
  <c r="F167" i="5" s="1"/>
  <c r="B168" i="5" s="1"/>
  <c r="D910" i="5"/>
  <c r="C910" i="5" s="1"/>
  <c r="E910" i="5" s="1"/>
  <c r="F910" i="5" s="1"/>
  <c r="B911" i="5" s="1"/>
  <c r="D786" i="5"/>
  <c r="C786" i="5" s="1"/>
  <c r="E786" i="5" s="1"/>
  <c r="F786" i="5" s="1"/>
  <c r="B787" i="5" s="1"/>
  <c r="D661" i="5"/>
  <c r="C661" i="5" s="1"/>
  <c r="E661" i="5" s="1"/>
  <c r="F661" i="5" s="1"/>
  <c r="B662" i="5" s="1"/>
  <c r="D537" i="5"/>
  <c r="C537" i="5"/>
  <c r="E537" i="5" s="1"/>
  <c r="F537" i="5" s="1"/>
  <c r="B538" i="5" s="1"/>
  <c r="AK4" i="3"/>
  <c r="D43" i="5"/>
  <c r="C43" i="5" s="1"/>
  <c r="E43" i="5" s="1"/>
  <c r="F43" i="5" s="1"/>
  <c r="B44" i="5" s="1"/>
  <c r="AJ4" i="3"/>
  <c r="AM4" i="2"/>
  <c r="AN4" i="2" s="1"/>
  <c r="AO4" i="2" s="1"/>
  <c r="H5" i="2" s="1"/>
  <c r="AJ4" i="2"/>
  <c r="C5" i="3"/>
  <c r="C5" i="2"/>
  <c r="D5" i="2"/>
  <c r="D5" i="3"/>
  <c r="AP4" i="2" l="1"/>
  <c r="AB5" i="2"/>
  <c r="AB5" i="3"/>
  <c r="D538" i="5"/>
  <c r="C538" i="5" s="1"/>
  <c r="E538" i="5" s="1"/>
  <c r="F538" i="5" s="1"/>
  <c r="B539" i="5" s="1"/>
  <c r="D911" i="5"/>
  <c r="C911" i="5" s="1"/>
  <c r="E911" i="5" s="1"/>
  <c r="F911" i="5" s="1"/>
  <c r="B912" i="5" s="1"/>
  <c r="D662" i="5"/>
  <c r="C662" i="5"/>
  <c r="E662" i="5" s="1"/>
  <c r="F662" i="5" s="1"/>
  <c r="B663" i="5" s="1"/>
  <c r="D168" i="5"/>
  <c r="C168" i="5"/>
  <c r="E168" i="5" s="1"/>
  <c r="F168" i="5" s="1"/>
  <c r="B169" i="5" s="1"/>
  <c r="D415" i="5"/>
  <c r="C415" i="5" s="1"/>
  <c r="E415" i="5" s="1"/>
  <c r="F415" i="5" s="1"/>
  <c r="B416" i="5" s="1"/>
  <c r="D787" i="5"/>
  <c r="C787" i="5"/>
  <c r="E787" i="5" s="1"/>
  <c r="F787" i="5" s="1"/>
  <c r="B788" i="5" s="1"/>
  <c r="D292" i="5"/>
  <c r="C292" i="5"/>
  <c r="E292" i="5" s="1"/>
  <c r="F292" i="5" s="1"/>
  <c r="B293" i="5" s="1"/>
  <c r="D44" i="5"/>
  <c r="C44" i="5"/>
  <c r="E44" i="5" s="1"/>
  <c r="F44" i="5" s="1"/>
  <c r="B45" i="5" s="1"/>
  <c r="E5" i="3"/>
  <c r="E5" i="2"/>
  <c r="AR4" i="2"/>
  <c r="AS4" i="2" s="1"/>
  <c r="AM4" i="3"/>
  <c r="AN4" i="3" s="1"/>
  <c r="I5" i="2"/>
  <c r="J5" i="2"/>
  <c r="AP4" i="3" l="1"/>
  <c r="AL5" i="2"/>
  <c r="D45" i="5"/>
  <c r="C45" i="5" s="1"/>
  <c r="E45" i="5" s="1"/>
  <c r="F45" i="5" s="1"/>
  <c r="B46" i="5" s="1"/>
  <c r="D169" i="5"/>
  <c r="C169" i="5" s="1"/>
  <c r="E169" i="5" s="1"/>
  <c r="F169" i="5" s="1"/>
  <c r="B170" i="5" s="1"/>
  <c r="D663" i="5"/>
  <c r="C663" i="5"/>
  <c r="E663" i="5" s="1"/>
  <c r="F663" i="5" s="1"/>
  <c r="B664" i="5" s="1"/>
  <c r="D912" i="5"/>
  <c r="C912" i="5" s="1"/>
  <c r="E912" i="5" s="1"/>
  <c r="F912" i="5" s="1"/>
  <c r="B913" i="5" s="1"/>
  <c r="D416" i="5"/>
  <c r="C416" i="5" s="1"/>
  <c r="E416" i="5" s="1"/>
  <c r="F416" i="5" s="1"/>
  <c r="B417" i="5" s="1"/>
  <c r="D539" i="5"/>
  <c r="C539" i="5" s="1"/>
  <c r="E539" i="5" s="1"/>
  <c r="F539" i="5" s="1"/>
  <c r="B540" i="5" s="1"/>
  <c r="D788" i="5"/>
  <c r="C788" i="5" s="1"/>
  <c r="E788" i="5" s="1"/>
  <c r="F788" i="5" s="1"/>
  <c r="B789" i="5" s="1"/>
  <c r="D293" i="5"/>
  <c r="C293" i="5" s="1"/>
  <c r="E293" i="5" s="1"/>
  <c r="F293" i="5" s="1"/>
  <c r="B294" i="5" s="1"/>
  <c r="AO4" i="3"/>
  <c r="AU4" i="2"/>
  <c r="AT4" i="2"/>
  <c r="AR4" i="3"/>
  <c r="AS4" i="3" s="1"/>
  <c r="AT4" i="3" s="1"/>
  <c r="K5" i="3" s="1"/>
  <c r="F5" i="3"/>
  <c r="G5" i="3"/>
  <c r="F5" i="2"/>
  <c r="G5" i="2"/>
  <c r="AU4" i="3" l="1"/>
  <c r="AG5" i="2"/>
  <c r="AG5" i="3"/>
  <c r="D294" i="5"/>
  <c r="C294" i="5" s="1"/>
  <c r="E294" i="5" s="1"/>
  <c r="F294" i="5" s="1"/>
  <c r="B295" i="5" s="1"/>
  <c r="D789" i="5"/>
  <c r="C789" i="5"/>
  <c r="E789" i="5" s="1"/>
  <c r="F789" i="5" s="1"/>
  <c r="B790" i="5" s="1"/>
  <c r="D540" i="5"/>
  <c r="C540" i="5" s="1"/>
  <c r="E540" i="5" s="1"/>
  <c r="F540" i="5" s="1"/>
  <c r="B541" i="5" s="1"/>
  <c r="D664" i="5"/>
  <c r="C664" i="5"/>
  <c r="E664" i="5" s="1"/>
  <c r="F664" i="5" s="1"/>
  <c r="B665" i="5" s="1"/>
  <c r="D417" i="5"/>
  <c r="C417" i="5" s="1"/>
  <c r="E417" i="5" s="1"/>
  <c r="F417" i="5" s="1"/>
  <c r="B418" i="5" s="1"/>
  <c r="D170" i="5"/>
  <c r="C170" i="5"/>
  <c r="E170" i="5" s="1"/>
  <c r="F170" i="5" s="1"/>
  <c r="B171" i="5" s="1"/>
  <c r="D913" i="5"/>
  <c r="C913" i="5" s="1"/>
  <c r="E913" i="5" s="1"/>
  <c r="F913" i="5" s="1"/>
  <c r="B914" i="5" s="1"/>
  <c r="D46" i="5"/>
  <c r="C46" i="5" s="1"/>
  <c r="E46" i="5" s="1"/>
  <c r="F46" i="5" s="1"/>
  <c r="B47" i="5" s="1"/>
  <c r="AW4" i="2"/>
  <c r="AX4" i="2" s="1"/>
  <c r="K5" i="2"/>
  <c r="H5" i="3"/>
  <c r="AW4" i="3"/>
  <c r="AX4" i="3" s="1"/>
  <c r="L5" i="3"/>
  <c r="M5" i="3"/>
  <c r="AQ5" i="3" l="1"/>
  <c r="D665" i="5"/>
  <c r="C665" i="5"/>
  <c r="E665" i="5" s="1"/>
  <c r="F665" i="5" s="1"/>
  <c r="B666" i="5" s="1"/>
  <c r="D541" i="5"/>
  <c r="C541" i="5"/>
  <c r="E541" i="5" s="1"/>
  <c r="F541" i="5" s="1"/>
  <c r="B542" i="5" s="1"/>
  <c r="D914" i="5"/>
  <c r="C914" i="5"/>
  <c r="E914" i="5" s="1"/>
  <c r="F914" i="5" s="1"/>
  <c r="B915" i="5" s="1"/>
  <c r="D171" i="5"/>
  <c r="C171" i="5" s="1"/>
  <c r="E171" i="5" s="1"/>
  <c r="F171" i="5" s="1"/>
  <c r="B172" i="5" s="1"/>
  <c r="D295" i="5"/>
  <c r="C295" i="5" s="1"/>
  <c r="E295" i="5" s="1"/>
  <c r="F295" i="5" s="1"/>
  <c r="B296" i="5" s="1"/>
  <c r="D418" i="5"/>
  <c r="C418" i="5" s="1"/>
  <c r="E418" i="5" s="1"/>
  <c r="F418" i="5" s="1"/>
  <c r="B419" i="5" s="1"/>
  <c r="D790" i="5"/>
  <c r="C790" i="5" s="1"/>
  <c r="E790" i="5" s="1"/>
  <c r="F790" i="5" s="1"/>
  <c r="B791" i="5" s="1"/>
  <c r="D47" i="5"/>
  <c r="C47" i="5" s="1"/>
  <c r="E47" i="5" s="1"/>
  <c r="F47" i="5" s="1"/>
  <c r="B48" i="5" s="1"/>
  <c r="AY4" i="2"/>
  <c r="AZ4" i="3"/>
  <c r="AY4" i="3"/>
  <c r="AZ4" i="2"/>
  <c r="I5" i="3"/>
  <c r="L5" i="2"/>
  <c r="M5" i="2"/>
  <c r="J5" i="3"/>
  <c r="AQ5" i="2" l="1"/>
  <c r="AL5" i="3"/>
  <c r="D791" i="5"/>
  <c r="C791" i="5" s="1"/>
  <c r="E791" i="5" s="1"/>
  <c r="F791" i="5" s="1"/>
  <c r="B792" i="5" s="1"/>
  <c r="D172" i="5"/>
  <c r="C172" i="5"/>
  <c r="E172" i="5" s="1"/>
  <c r="F172" i="5" s="1"/>
  <c r="B173" i="5" s="1"/>
  <c r="D296" i="5"/>
  <c r="C296" i="5" s="1"/>
  <c r="E296" i="5" s="1"/>
  <c r="F296" i="5" s="1"/>
  <c r="B297" i="5" s="1"/>
  <c r="D915" i="5"/>
  <c r="C915" i="5" s="1"/>
  <c r="E915" i="5" s="1"/>
  <c r="F915" i="5" s="1"/>
  <c r="B916" i="5" s="1"/>
  <c r="D419" i="5"/>
  <c r="C419" i="5" s="1"/>
  <c r="E419" i="5" s="1"/>
  <c r="F419" i="5" s="1"/>
  <c r="B420" i="5" s="1"/>
  <c r="D542" i="5"/>
  <c r="C542" i="5" s="1"/>
  <c r="E542" i="5" s="1"/>
  <c r="F542" i="5" s="1"/>
  <c r="B543" i="5" s="1"/>
  <c r="D666" i="5"/>
  <c r="C666" i="5" s="1"/>
  <c r="E666" i="5" s="1"/>
  <c r="F666" i="5" s="1"/>
  <c r="B667" i="5" s="1"/>
  <c r="BB4" i="3"/>
  <c r="BC4" i="3" s="1"/>
  <c r="N5" i="3"/>
  <c r="D48" i="5"/>
  <c r="C48" i="5"/>
  <c r="E48" i="5" s="1"/>
  <c r="F48" i="5" s="1"/>
  <c r="B49" i="5" s="1"/>
  <c r="N5" i="2"/>
  <c r="BB4" i="2"/>
  <c r="BC4" i="2" s="1"/>
  <c r="D667" i="5" l="1"/>
  <c r="C667" i="5"/>
  <c r="E667" i="5" s="1"/>
  <c r="F667" i="5" s="1"/>
  <c r="B668" i="5" s="1"/>
  <c r="D543" i="5"/>
  <c r="C543" i="5"/>
  <c r="E543" i="5" s="1"/>
  <c r="F543" i="5" s="1"/>
  <c r="B544" i="5" s="1"/>
  <c r="D297" i="5"/>
  <c r="C297" i="5"/>
  <c r="E297" i="5" s="1"/>
  <c r="F297" i="5" s="1"/>
  <c r="B298" i="5" s="1"/>
  <c r="D916" i="5"/>
  <c r="C916" i="5" s="1"/>
  <c r="E916" i="5" s="1"/>
  <c r="F916" i="5" s="1"/>
  <c r="B917" i="5" s="1"/>
  <c r="D173" i="5"/>
  <c r="C173" i="5"/>
  <c r="E173" i="5" s="1"/>
  <c r="F173" i="5" s="1"/>
  <c r="B174" i="5" s="1"/>
  <c r="D420" i="5"/>
  <c r="C420" i="5"/>
  <c r="E420" i="5" s="1"/>
  <c r="F420" i="5" s="1"/>
  <c r="B421" i="5" s="1"/>
  <c r="D792" i="5"/>
  <c r="C792" i="5"/>
  <c r="E792" i="5" s="1"/>
  <c r="F792" i="5" s="1"/>
  <c r="B793" i="5" s="1"/>
  <c r="D49" i="5"/>
  <c r="C49" i="5"/>
  <c r="E49" i="5" s="1"/>
  <c r="F49" i="5" s="1"/>
  <c r="B50" i="5" s="1"/>
  <c r="BE4" i="3"/>
  <c r="BD4" i="3"/>
  <c r="BD4" i="2"/>
  <c r="BE4" i="2"/>
  <c r="O5" i="2"/>
  <c r="O5" i="3"/>
  <c r="P5" i="2"/>
  <c r="P5" i="3"/>
  <c r="AV5" i="3" l="1"/>
  <c r="AV5" i="2"/>
  <c r="D421" i="5"/>
  <c r="C421" i="5" s="1"/>
  <c r="E421" i="5" s="1"/>
  <c r="F421" i="5" s="1"/>
  <c r="B422" i="5" s="1"/>
  <c r="D50" i="5"/>
  <c r="C50" i="5"/>
  <c r="E50" i="5" s="1"/>
  <c r="F50" i="5" s="1"/>
  <c r="B51" i="5" s="1"/>
  <c r="D917" i="5"/>
  <c r="C917" i="5" s="1"/>
  <c r="E917" i="5" s="1"/>
  <c r="F917" i="5" s="1"/>
  <c r="B918" i="5" s="1"/>
  <c r="D793" i="5"/>
  <c r="C793" i="5" s="1"/>
  <c r="E793" i="5" s="1"/>
  <c r="F793" i="5" s="1"/>
  <c r="B794" i="5" s="1"/>
  <c r="D298" i="5"/>
  <c r="C298" i="5" s="1"/>
  <c r="E298" i="5" s="1"/>
  <c r="F298" i="5" s="1"/>
  <c r="B299" i="5" s="1"/>
  <c r="D544" i="5"/>
  <c r="C544" i="5" s="1"/>
  <c r="E544" i="5" s="1"/>
  <c r="F544" i="5" s="1"/>
  <c r="B545" i="5" s="1"/>
  <c r="D668" i="5"/>
  <c r="C668" i="5" s="1"/>
  <c r="E668" i="5" s="1"/>
  <c r="F668" i="5" s="1"/>
  <c r="B669" i="5" s="1"/>
  <c r="Q5" i="3"/>
  <c r="D174" i="5"/>
  <c r="C174" i="5" s="1"/>
  <c r="E174" i="5" s="1"/>
  <c r="F174" i="5" s="1"/>
  <c r="B175" i="5" s="1"/>
  <c r="BG4" i="2"/>
  <c r="BH4" i="2" s="1"/>
  <c r="Q5" i="2"/>
  <c r="BG4" i="3"/>
  <c r="BH4" i="3" s="1"/>
  <c r="BJ4" i="2" l="1"/>
  <c r="BL4" i="2" s="1"/>
  <c r="BM4" i="2" s="1"/>
  <c r="BN4" i="2" s="1"/>
  <c r="W5" i="2" s="1"/>
  <c r="D545" i="5"/>
  <c r="C545" i="5"/>
  <c r="E545" i="5" s="1"/>
  <c r="F545" i="5" s="1"/>
  <c r="B546" i="5" s="1"/>
  <c r="D299" i="5"/>
  <c r="C299" i="5"/>
  <c r="E299" i="5" s="1"/>
  <c r="F299" i="5" s="1"/>
  <c r="B300" i="5" s="1"/>
  <c r="D794" i="5"/>
  <c r="C794" i="5" s="1"/>
  <c r="E794" i="5" s="1"/>
  <c r="F794" i="5" s="1"/>
  <c r="B795" i="5" s="1"/>
  <c r="D422" i="5"/>
  <c r="C422" i="5"/>
  <c r="E422" i="5" s="1"/>
  <c r="F422" i="5" s="1"/>
  <c r="B423" i="5" s="1"/>
  <c r="D918" i="5"/>
  <c r="C918" i="5"/>
  <c r="E918" i="5" s="1"/>
  <c r="F918" i="5" s="1"/>
  <c r="B919" i="5" s="1"/>
  <c r="D51" i="5"/>
  <c r="C51" i="5" s="1"/>
  <c r="E51" i="5" s="1"/>
  <c r="F51" i="5" s="1"/>
  <c r="B52" i="5" s="1"/>
  <c r="D175" i="5"/>
  <c r="C175" i="5" s="1"/>
  <c r="E175" i="5" s="1"/>
  <c r="F175" i="5" s="1"/>
  <c r="B176" i="5" s="1"/>
  <c r="S5" i="3"/>
  <c r="BI4" i="3"/>
  <c r="S5" i="2"/>
  <c r="BJ4" i="3"/>
  <c r="BL4" i="3" s="1"/>
  <c r="BM4" i="3" s="1"/>
  <c r="BN4" i="3" s="1"/>
  <c r="W5" i="3" s="1"/>
  <c r="Y5" i="2"/>
  <c r="D669" i="5"/>
  <c r="C669" i="5"/>
  <c r="E669" i="5" s="1"/>
  <c r="F669" i="5" s="1"/>
  <c r="B670" i="5" s="1"/>
  <c r="BI4" i="2"/>
  <c r="BO4" i="2"/>
  <c r="R5" i="3"/>
  <c r="R5" i="2"/>
  <c r="X5" i="2"/>
  <c r="BK5" i="2" l="1"/>
  <c r="BA5" i="2"/>
  <c r="BA5" i="3"/>
  <c r="D919" i="5"/>
  <c r="C919" i="5" s="1"/>
  <c r="E919" i="5" s="1"/>
  <c r="F919" i="5" s="1"/>
  <c r="B920" i="5" s="1"/>
  <c r="D300" i="5"/>
  <c r="C300" i="5"/>
  <c r="E300" i="5" s="1"/>
  <c r="F300" i="5" s="1"/>
  <c r="B301" i="5" s="1"/>
  <c r="D670" i="5"/>
  <c r="C670" i="5"/>
  <c r="E670" i="5" s="1"/>
  <c r="F670" i="5" s="1"/>
  <c r="B671" i="5" s="1"/>
  <c r="D795" i="5"/>
  <c r="C795" i="5"/>
  <c r="E795" i="5" s="1"/>
  <c r="F795" i="5" s="1"/>
  <c r="B796" i="5" s="1"/>
  <c r="D546" i="5"/>
  <c r="C546" i="5" s="1"/>
  <c r="E546" i="5" s="1"/>
  <c r="F546" i="5" s="1"/>
  <c r="B547" i="5" s="1"/>
  <c r="D176" i="5"/>
  <c r="C176" i="5" s="1"/>
  <c r="E176" i="5" s="1"/>
  <c r="F176" i="5" s="1"/>
  <c r="B177" i="5" s="1"/>
  <c r="D52" i="5"/>
  <c r="C52" i="5" s="1"/>
  <c r="E52" i="5" s="1"/>
  <c r="F52" i="5" s="1"/>
  <c r="B53" i="5" s="1"/>
  <c r="Y5" i="3"/>
  <c r="T5" i="2"/>
  <c r="BQ4" i="2"/>
  <c r="D423" i="5"/>
  <c r="C423" i="5"/>
  <c r="E423" i="5" s="1"/>
  <c r="F423" i="5" s="1"/>
  <c r="B424" i="5" s="1"/>
  <c r="BO4" i="3"/>
  <c r="T5" i="3"/>
  <c r="BQ4" i="3"/>
  <c r="X5" i="3"/>
  <c r="BK5" i="3" l="1"/>
  <c r="D796" i="5"/>
  <c r="C796" i="5" s="1"/>
  <c r="E796" i="5" s="1"/>
  <c r="F796" i="5" s="1"/>
  <c r="B797" i="5" s="1"/>
  <c r="D547" i="5"/>
  <c r="C547" i="5"/>
  <c r="E547" i="5" s="1"/>
  <c r="F547" i="5" s="1"/>
  <c r="B548" i="5" s="1"/>
  <c r="D920" i="5"/>
  <c r="C920" i="5"/>
  <c r="E920" i="5" s="1"/>
  <c r="F920" i="5" s="1"/>
  <c r="B921" i="5" s="1"/>
  <c r="D671" i="5"/>
  <c r="C671" i="5" s="1"/>
  <c r="E671" i="5" s="1"/>
  <c r="F671" i="5" s="1"/>
  <c r="B672" i="5" s="1"/>
  <c r="D53" i="5"/>
  <c r="C53" i="5" s="1"/>
  <c r="E53" i="5" s="1"/>
  <c r="F53" i="5" s="1"/>
  <c r="B54" i="5" s="1"/>
  <c r="D424" i="5"/>
  <c r="C424" i="5"/>
  <c r="E424" i="5" s="1"/>
  <c r="F424" i="5" s="1"/>
  <c r="B425" i="5" s="1"/>
  <c r="D177" i="5"/>
  <c r="C177" i="5" s="1"/>
  <c r="E177" i="5" s="1"/>
  <c r="F177" i="5" s="1"/>
  <c r="B178" i="5" s="1"/>
  <c r="D301" i="5"/>
  <c r="C301" i="5"/>
  <c r="E301" i="5" s="1"/>
  <c r="F301" i="5" s="1"/>
  <c r="B302" i="5" s="1"/>
  <c r="V5" i="3"/>
  <c r="V5" i="2"/>
  <c r="U5" i="2"/>
  <c r="U5" i="3"/>
  <c r="BP5" i="3" l="1"/>
  <c r="BF5" i="3"/>
  <c r="BP5" i="2"/>
  <c r="BF5" i="2"/>
  <c r="D425" i="5"/>
  <c r="C425" i="5" s="1"/>
  <c r="E425" i="5" s="1"/>
  <c r="F425" i="5" s="1"/>
  <c r="B426" i="5" s="1"/>
  <c r="D921" i="5"/>
  <c r="C921" i="5"/>
  <c r="E921" i="5" s="1"/>
  <c r="F921" i="5" s="1"/>
  <c r="B922" i="5" s="1"/>
  <c r="D54" i="5"/>
  <c r="C54" i="5"/>
  <c r="E54" i="5" s="1"/>
  <c r="F54" i="5" s="1"/>
  <c r="B55" i="5" s="1"/>
  <c r="D797" i="5"/>
  <c r="C797" i="5" s="1"/>
  <c r="E797" i="5" s="1"/>
  <c r="F797" i="5" s="1"/>
  <c r="B798" i="5" s="1"/>
  <c r="D672" i="5"/>
  <c r="C672" i="5"/>
  <c r="E672" i="5" s="1"/>
  <c r="F672" i="5" s="1"/>
  <c r="B673" i="5" s="1"/>
  <c r="D548" i="5"/>
  <c r="C548" i="5" s="1"/>
  <c r="E548" i="5" s="1"/>
  <c r="F548" i="5" s="1"/>
  <c r="B549" i="5" s="1"/>
  <c r="D302" i="5"/>
  <c r="C302" i="5" s="1"/>
  <c r="E302" i="5" s="1"/>
  <c r="F302" i="5" s="1"/>
  <c r="B303" i="5" s="1"/>
  <c r="D178" i="5"/>
  <c r="C178" i="5" s="1"/>
  <c r="E178" i="5" s="1"/>
  <c r="F178" i="5" s="1"/>
  <c r="B179" i="5" s="1"/>
  <c r="Z5" i="2"/>
  <c r="AA5" i="2" s="1"/>
  <c r="Z5" i="3"/>
  <c r="AA5" i="3" s="1"/>
  <c r="D55" i="5" l="1"/>
  <c r="C55" i="5" s="1"/>
  <c r="E55" i="5" s="1"/>
  <c r="F55" i="5" s="1"/>
  <c r="B56" i="5" s="1"/>
  <c r="D922" i="5"/>
  <c r="C922" i="5"/>
  <c r="E922" i="5" s="1"/>
  <c r="F922" i="5" s="1"/>
  <c r="B923" i="5" s="1"/>
  <c r="D798" i="5"/>
  <c r="C798" i="5" s="1"/>
  <c r="E798" i="5" s="1"/>
  <c r="F798" i="5" s="1"/>
  <c r="B799" i="5" s="1"/>
  <c r="D179" i="5"/>
  <c r="C179" i="5" s="1"/>
  <c r="E179" i="5" s="1"/>
  <c r="F179" i="5" s="1"/>
  <c r="B180" i="5" s="1"/>
  <c r="D673" i="5"/>
  <c r="C673" i="5" s="1"/>
  <c r="E673" i="5" s="1"/>
  <c r="F673" i="5" s="1"/>
  <c r="B674" i="5" s="1"/>
  <c r="D426" i="5"/>
  <c r="C426" i="5"/>
  <c r="E426" i="5" s="1"/>
  <c r="F426" i="5" s="1"/>
  <c r="B427" i="5" s="1"/>
  <c r="D303" i="5"/>
  <c r="C303" i="5" s="1"/>
  <c r="E303" i="5" s="1"/>
  <c r="F303" i="5" s="1"/>
  <c r="B304" i="5" s="1"/>
  <c r="D549" i="5"/>
  <c r="C549" i="5" s="1"/>
  <c r="E549" i="5" s="1"/>
  <c r="F549" i="5" s="1"/>
  <c r="B550" i="5" s="1"/>
  <c r="AC5" i="2"/>
  <c r="AD5" i="2" s="1"/>
  <c r="AC5" i="3"/>
  <c r="AD5" i="3" s="1"/>
  <c r="D304" i="5" l="1"/>
  <c r="C304" i="5"/>
  <c r="E304" i="5" s="1"/>
  <c r="F304" i="5" s="1"/>
  <c r="B305" i="5" s="1"/>
  <c r="D674" i="5"/>
  <c r="C674" i="5"/>
  <c r="E674" i="5" s="1"/>
  <c r="F674" i="5" s="1"/>
  <c r="B675" i="5" s="1"/>
  <c r="D550" i="5"/>
  <c r="C550" i="5" s="1"/>
  <c r="E550" i="5" s="1"/>
  <c r="F550" i="5" s="1"/>
  <c r="B551" i="5" s="1"/>
  <c r="D180" i="5"/>
  <c r="C180" i="5"/>
  <c r="E180" i="5" s="1"/>
  <c r="F180" i="5" s="1"/>
  <c r="B181" i="5" s="1"/>
  <c r="D923" i="5"/>
  <c r="C923" i="5"/>
  <c r="E923" i="5" s="1"/>
  <c r="F923" i="5" s="1"/>
  <c r="B924" i="5" s="1"/>
  <c r="D427" i="5"/>
  <c r="C427" i="5" s="1"/>
  <c r="E427" i="5" s="1"/>
  <c r="F427" i="5" s="1"/>
  <c r="B428" i="5" s="1"/>
  <c r="D799" i="5"/>
  <c r="C799" i="5" s="1"/>
  <c r="E799" i="5" s="1"/>
  <c r="F799" i="5" s="1"/>
  <c r="B800" i="5" s="1"/>
  <c r="D56" i="5"/>
  <c r="C56" i="5"/>
  <c r="E56" i="5" s="1"/>
  <c r="F56" i="5" s="1"/>
  <c r="B57" i="5" s="1"/>
  <c r="AE5" i="3"/>
  <c r="AF5" i="3"/>
  <c r="AE5" i="2"/>
  <c r="AF5" i="2"/>
  <c r="D924" i="5" l="1"/>
  <c r="C924" i="5"/>
  <c r="E924" i="5" s="1"/>
  <c r="F924" i="5" s="1"/>
  <c r="B925" i="5" s="1"/>
  <c r="D428" i="5"/>
  <c r="C428" i="5"/>
  <c r="E428" i="5" s="1"/>
  <c r="F428" i="5" s="1"/>
  <c r="B429" i="5" s="1"/>
  <c r="D551" i="5"/>
  <c r="C551" i="5" s="1"/>
  <c r="E551" i="5" s="1"/>
  <c r="F551" i="5" s="1"/>
  <c r="B552" i="5" s="1"/>
  <c r="D800" i="5"/>
  <c r="C800" i="5" s="1"/>
  <c r="E800" i="5" s="1"/>
  <c r="F800" i="5" s="1"/>
  <c r="B801" i="5" s="1"/>
  <c r="D181" i="5"/>
  <c r="C181" i="5" s="1"/>
  <c r="E181" i="5" s="1"/>
  <c r="F181" i="5" s="1"/>
  <c r="B182" i="5" s="1"/>
  <c r="D675" i="5"/>
  <c r="C675" i="5"/>
  <c r="E675" i="5" s="1"/>
  <c r="F675" i="5" s="1"/>
  <c r="B676" i="5" s="1"/>
  <c r="D57" i="5"/>
  <c r="C57" i="5" s="1"/>
  <c r="E57" i="5" s="1"/>
  <c r="F57" i="5" s="1"/>
  <c r="B58" i="5" s="1"/>
  <c r="AH5" i="3"/>
  <c r="AI5" i="3" s="1"/>
  <c r="D305" i="5"/>
  <c r="C305" i="5"/>
  <c r="E305" i="5" s="1"/>
  <c r="F305" i="5" s="1"/>
  <c r="B306" i="5" s="1"/>
  <c r="B6" i="2"/>
  <c r="B6" i="3"/>
  <c r="AH5" i="2"/>
  <c r="AI5" i="2" s="1"/>
  <c r="D182" i="5" l="1"/>
  <c r="C182" i="5" s="1"/>
  <c r="E182" i="5" s="1"/>
  <c r="F182" i="5" s="1"/>
  <c r="B183" i="5" s="1"/>
  <c r="D58" i="5"/>
  <c r="C58" i="5"/>
  <c r="E58" i="5" s="1"/>
  <c r="F58" i="5" s="1"/>
  <c r="B59" i="5" s="1"/>
  <c r="D552" i="5"/>
  <c r="C552" i="5" s="1"/>
  <c r="E552" i="5" s="1"/>
  <c r="F552" i="5" s="1"/>
  <c r="B553" i="5" s="1"/>
  <c r="D676" i="5"/>
  <c r="C676" i="5"/>
  <c r="E676" i="5" s="1"/>
  <c r="F676" i="5" s="1"/>
  <c r="B677" i="5" s="1"/>
  <c r="D801" i="5"/>
  <c r="C801" i="5"/>
  <c r="E801" i="5" s="1"/>
  <c r="F801" i="5" s="1"/>
  <c r="B802" i="5" s="1"/>
  <c r="D429" i="5"/>
  <c r="C429" i="5"/>
  <c r="E429" i="5" s="1"/>
  <c r="F429" i="5" s="1"/>
  <c r="B430" i="5" s="1"/>
  <c r="AJ5" i="3"/>
  <c r="AK5" i="2"/>
  <c r="D306" i="5"/>
  <c r="C306" i="5" s="1"/>
  <c r="E306" i="5" s="1"/>
  <c r="F306" i="5" s="1"/>
  <c r="B307" i="5" s="1"/>
  <c r="D925" i="5"/>
  <c r="C925" i="5" s="1"/>
  <c r="E925" i="5" s="1"/>
  <c r="F925" i="5" s="1"/>
  <c r="B926" i="5" s="1"/>
  <c r="AK5" i="3"/>
  <c r="AJ5" i="2"/>
  <c r="C6" i="3"/>
  <c r="C6" i="2"/>
  <c r="D6" i="3"/>
  <c r="D6" i="2"/>
  <c r="AB6" i="2" l="1"/>
  <c r="AB6" i="3"/>
  <c r="D430" i="5"/>
  <c r="C430" i="5" s="1"/>
  <c r="E430" i="5" s="1"/>
  <c r="F430" i="5" s="1"/>
  <c r="B431" i="5" s="1"/>
  <c r="D553" i="5"/>
  <c r="C553" i="5" s="1"/>
  <c r="E553" i="5" s="1"/>
  <c r="F553" i="5" s="1"/>
  <c r="B554" i="5" s="1"/>
  <c r="D802" i="5"/>
  <c r="C802" i="5" s="1"/>
  <c r="E802" i="5" s="1"/>
  <c r="F802" i="5" s="1"/>
  <c r="B803" i="5" s="1"/>
  <c r="D677" i="5"/>
  <c r="C677" i="5" s="1"/>
  <c r="E677" i="5" s="1"/>
  <c r="F677" i="5" s="1"/>
  <c r="B678" i="5" s="1"/>
  <c r="D59" i="5"/>
  <c r="C59" i="5" s="1"/>
  <c r="E59" i="5" s="1"/>
  <c r="F59" i="5" s="1"/>
  <c r="B60" i="5" s="1"/>
  <c r="D926" i="5"/>
  <c r="C926" i="5" s="1"/>
  <c r="E926" i="5" s="1"/>
  <c r="F926" i="5" s="1"/>
  <c r="B927" i="5" s="1"/>
  <c r="D307" i="5"/>
  <c r="C307" i="5" s="1"/>
  <c r="E307" i="5" s="1"/>
  <c r="F307" i="5" s="1"/>
  <c r="B308" i="5" s="1"/>
  <c r="D183" i="5"/>
  <c r="C183" i="5"/>
  <c r="E183" i="5" s="1"/>
  <c r="F183" i="5" s="1"/>
  <c r="B184" i="5" s="1"/>
  <c r="AM5" i="2"/>
  <c r="AN5" i="2" s="1"/>
  <c r="AM5" i="3"/>
  <c r="AN5" i="3" s="1"/>
  <c r="E6" i="3"/>
  <c r="E6" i="2"/>
  <c r="D927" i="5" l="1"/>
  <c r="C927" i="5" s="1"/>
  <c r="E927" i="5" s="1"/>
  <c r="F927" i="5" s="1"/>
  <c r="B928" i="5" s="1"/>
  <c r="D60" i="5"/>
  <c r="C60" i="5"/>
  <c r="E60" i="5" s="1"/>
  <c r="F60" i="5" s="1"/>
  <c r="B61" i="5" s="1"/>
  <c r="D803" i="5"/>
  <c r="C803" i="5"/>
  <c r="E803" i="5" s="1"/>
  <c r="F803" i="5" s="1"/>
  <c r="B804" i="5" s="1"/>
  <c r="D678" i="5"/>
  <c r="C678" i="5" s="1"/>
  <c r="E678" i="5" s="1"/>
  <c r="F678" i="5" s="1"/>
  <c r="B679" i="5" s="1"/>
  <c r="D554" i="5"/>
  <c r="C554" i="5" s="1"/>
  <c r="E554" i="5" s="1"/>
  <c r="F554" i="5" s="1"/>
  <c r="B555" i="5" s="1"/>
  <c r="D308" i="5"/>
  <c r="C308" i="5" s="1"/>
  <c r="E308" i="5" s="1"/>
  <c r="F308" i="5" s="1"/>
  <c r="B309" i="5" s="1"/>
  <c r="D431" i="5"/>
  <c r="C431" i="5" s="1"/>
  <c r="E431" i="5" s="1"/>
  <c r="F431" i="5" s="1"/>
  <c r="B432" i="5" s="1"/>
  <c r="AO5" i="2"/>
  <c r="AP5" i="2"/>
  <c r="D184" i="5"/>
  <c r="C184" i="5"/>
  <c r="E184" i="5" s="1"/>
  <c r="F184" i="5" s="1"/>
  <c r="B185" i="5" s="1"/>
  <c r="AO5" i="3"/>
  <c r="AP5" i="3"/>
  <c r="F6" i="2"/>
  <c r="G6" i="2"/>
  <c r="F6" i="3"/>
  <c r="G6" i="3"/>
  <c r="AG6" i="3" l="1"/>
  <c r="AG6" i="2"/>
  <c r="D432" i="5"/>
  <c r="C432" i="5" s="1"/>
  <c r="E432" i="5" s="1"/>
  <c r="F432" i="5" s="1"/>
  <c r="B433" i="5" s="1"/>
  <c r="D804" i="5"/>
  <c r="C804" i="5"/>
  <c r="E804" i="5" s="1"/>
  <c r="F804" i="5" s="1"/>
  <c r="B805" i="5" s="1"/>
  <c r="D309" i="5"/>
  <c r="C309" i="5" s="1"/>
  <c r="E309" i="5" s="1"/>
  <c r="F309" i="5" s="1"/>
  <c r="B310" i="5" s="1"/>
  <c r="D679" i="5"/>
  <c r="C679" i="5" s="1"/>
  <c r="E679" i="5" s="1"/>
  <c r="F679" i="5" s="1"/>
  <c r="B680" i="5" s="1"/>
  <c r="D61" i="5"/>
  <c r="C61" i="5" s="1"/>
  <c r="E61" i="5" s="1"/>
  <c r="F61" i="5" s="1"/>
  <c r="B62" i="5" s="1"/>
  <c r="D555" i="5"/>
  <c r="C555" i="5" s="1"/>
  <c r="E555" i="5" s="1"/>
  <c r="F555" i="5" s="1"/>
  <c r="B556" i="5" s="1"/>
  <c r="D185" i="5"/>
  <c r="C185" i="5" s="1"/>
  <c r="E185" i="5" s="1"/>
  <c r="F185" i="5" s="1"/>
  <c r="B186" i="5" s="1"/>
  <c r="D928" i="5"/>
  <c r="C928" i="5" s="1"/>
  <c r="E928" i="5" s="1"/>
  <c r="F928" i="5" s="1"/>
  <c r="B929" i="5" s="1"/>
  <c r="H6" i="3"/>
  <c r="AR5" i="2"/>
  <c r="AS5" i="2" s="1"/>
  <c r="H6" i="2"/>
  <c r="AR5" i="3"/>
  <c r="AS5" i="3" s="1"/>
  <c r="AU5" i="3" l="1"/>
  <c r="D556" i="5"/>
  <c r="C556" i="5" s="1"/>
  <c r="E556" i="5" s="1"/>
  <c r="F556" i="5" s="1"/>
  <c r="B557" i="5" s="1"/>
  <c r="D805" i="5"/>
  <c r="C805" i="5"/>
  <c r="E805" i="5" s="1"/>
  <c r="F805" i="5" s="1"/>
  <c r="B806" i="5" s="1"/>
  <c r="D680" i="5"/>
  <c r="C680" i="5" s="1"/>
  <c r="E680" i="5" s="1"/>
  <c r="F680" i="5" s="1"/>
  <c r="B681" i="5" s="1"/>
  <c r="D929" i="5"/>
  <c r="C929" i="5" s="1"/>
  <c r="E929" i="5" s="1"/>
  <c r="F929" i="5" s="1"/>
  <c r="B930" i="5" s="1"/>
  <c r="D62" i="5"/>
  <c r="C62" i="5"/>
  <c r="E62" i="5" s="1"/>
  <c r="F62" i="5" s="1"/>
  <c r="B63" i="5" s="1"/>
  <c r="D433" i="5"/>
  <c r="C433" i="5" s="1"/>
  <c r="E433" i="5" s="1"/>
  <c r="F433" i="5" s="1"/>
  <c r="B434" i="5" s="1"/>
  <c r="D186" i="5"/>
  <c r="C186" i="5"/>
  <c r="E186" i="5" s="1"/>
  <c r="F186" i="5" s="1"/>
  <c r="B187" i="5" s="1"/>
  <c r="AW5" i="3"/>
  <c r="AX5" i="3" s="1"/>
  <c r="AY5" i="3" s="1"/>
  <c r="N6" i="3" s="1"/>
  <c r="D310" i="5"/>
  <c r="C310" i="5"/>
  <c r="E310" i="5" s="1"/>
  <c r="F310" i="5" s="1"/>
  <c r="B311" i="5" s="1"/>
  <c r="AT5" i="3"/>
  <c r="AT5" i="2"/>
  <c r="AU5" i="2"/>
  <c r="I6" i="2"/>
  <c r="J6" i="2"/>
  <c r="I6" i="3"/>
  <c r="J6" i="3"/>
  <c r="AL6" i="3" l="1"/>
  <c r="AL6" i="2"/>
  <c r="D434" i="5"/>
  <c r="C434" i="5" s="1"/>
  <c r="E434" i="5" s="1"/>
  <c r="F434" i="5" s="1"/>
  <c r="B435" i="5" s="1"/>
  <c r="D187" i="5"/>
  <c r="C187" i="5"/>
  <c r="E187" i="5" s="1"/>
  <c r="F187" i="5" s="1"/>
  <c r="B188" i="5" s="1"/>
  <c r="D63" i="5"/>
  <c r="C63" i="5" s="1"/>
  <c r="E63" i="5" s="1"/>
  <c r="F63" i="5" s="1"/>
  <c r="B64" i="5" s="1"/>
  <c r="D681" i="5"/>
  <c r="C681" i="5"/>
  <c r="E681" i="5" s="1"/>
  <c r="F681" i="5" s="1"/>
  <c r="B682" i="5" s="1"/>
  <c r="D311" i="5"/>
  <c r="C311" i="5" s="1"/>
  <c r="E311" i="5" s="1"/>
  <c r="F311" i="5" s="1"/>
  <c r="B312" i="5" s="1"/>
  <c r="D930" i="5"/>
  <c r="C930" i="5" s="1"/>
  <c r="E930" i="5" s="1"/>
  <c r="F930" i="5" s="1"/>
  <c r="B931" i="5" s="1"/>
  <c r="D806" i="5"/>
  <c r="C806" i="5" s="1"/>
  <c r="E806" i="5" s="1"/>
  <c r="F806" i="5" s="1"/>
  <c r="B807" i="5" s="1"/>
  <c r="D557" i="5"/>
  <c r="C557" i="5"/>
  <c r="E557" i="5" s="1"/>
  <c r="F557" i="5" s="1"/>
  <c r="B558" i="5" s="1"/>
  <c r="AW5" i="2"/>
  <c r="AX5" i="2" s="1"/>
  <c r="AZ5" i="3"/>
  <c r="K6" i="3"/>
  <c r="K6" i="2"/>
  <c r="O6" i="3"/>
  <c r="P6" i="3"/>
  <c r="AV6" i="3" l="1"/>
  <c r="D312" i="5"/>
  <c r="C312" i="5" s="1"/>
  <c r="E312" i="5" s="1"/>
  <c r="F312" i="5" s="1"/>
  <c r="B313" i="5" s="1"/>
  <c r="D558" i="5"/>
  <c r="C558" i="5" s="1"/>
  <c r="E558" i="5" s="1"/>
  <c r="F558" i="5" s="1"/>
  <c r="B559" i="5" s="1"/>
  <c r="D931" i="5"/>
  <c r="C931" i="5"/>
  <c r="E931" i="5" s="1"/>
  <c r="F931" i="5" s="1"/>
  <c r="B932" i="5" s="1"/>
  <c r="D64" i="5"/>
  <c r="C64" i="5" s="1"/>
  <c r="E64" i="5" s="1"/>
  <c r="F64" i="5" s="1"/>
  <c r="B65" i="5" s="1"/>
  <c r="D435" i="5"/>
  <c r="C435" i="5"/>
  <c r="E435" i="5" s="1"/>
  <c r="F435" i="5" s="1"/>
  <c r="B436" i="5" s="1"/>
  <c r="D682" i="5"/>
  <c r="C682" i="5"/>
  <c r="E682" i="5" s="1"/>
  <c r="F682" i="5" s="1"/>
  <c r="B683" i="5" s="1"/>
  <c r="D188" i="5"/>
  <c r="C188" i="5" s="1"/>
  <c r="E188" i="5" s="1"/>
  <c r="F188" i="5" s="1"/>
  <c r="B189" i="5" s="1"/>
  <c r="D807" i="5"/>
  <c r="C807" i="5"/>
  <c r="E807" i="5" s="1"/>
  <c r="F807" i="5" s="1"/>
  <c r="B808" i="5" s="1"/>
  <c r="AY5" i="2"/>
  <c r="AZ5" i="2"/>
  <c r="BB5" i="3"/>
  <c r="BC5" i="3" s="1"/>
  <c r="L6" i="3"/>
  <c r="M6" i="3"/>
  <c r="L6" i="2"/>
  <c r="M6" i="2"/>
  <c r="BE5" i="3" l="1"/>
  <c r="AQ6" i="2"/>
  <c r="AQ6" i="3"/>
  <c r="D65" i="5"/>
  <c r="C65" i="5" s="1"/>
  <c r="E65" i="5" s="1"/>
  <c r="F65" i="5" s="1"/>
  <c r="B66" i="5" s="1"/>
  <c r="D436" i="5"/>
  <c r="C436" i="5"/>
  <c r="E436" i="5" s="1"/>
  <c r="F436" i="5" s="1"/>
  <c r="B437" i="5" s="1"/>
  <c r="D313" i="5"/>
  <c r="C313" i="5" s="1"/>
  <c r="E313" i="5" s="1"/>
  <c r="F313" i="5" s="1"/>
  <c r="B314" i="5" s="1"/>
  <c r="D683" i="5"/>
  <c r="C683" i="5" s="1"/>
  <c r="E683" i="5" s="1"/>
  <c r="F683" i="5" s="1"/>
  <c r="B684" i="5" s="1"/>
  <c r="D932" i="5"/>
  <c r="C932" i="5" s="1"/>
  <c r="E932" i="5" s="1"/>
  <c r="F932" i="5" s="1"/>
  <c r="B933" i="5" s="1"/>
  <c r="D559" i="5"/>
  <c r="C559" i="5" s="1"/>
  <c r="E559" i="5" s="1"/>
  <c r="F559" i="5" s="1"/>
  <c r="B560" i="5" s="1"/>
  <c r="D808" i="5"/>
  <c r="C808" i="5" s="1"/>
  <c r="E808" i="5" s="1"/>
  <c r="F808" i="5" s="1"/>
  <c r="B809" i="5" s="1"/>
  <c r="D189" i="5"/>
  <c r="C189" i="5"/>
  <c r="E189" i="5" s="1"/>
  <c r="F189" i="5" s="1"/>
  <c r="B190" i="5" s="1"/>
  <c r="BB5" i="2"/>
  <c r="BC5" i="2" s="1"/>
  <c r="BG5" i="3"/>
  <c r="BH5" i="3" s="1"/>
  <c r="BI5" i="3" s="1"/>
  <c r="T6" i="3" s="1"/>
  <c r="BD5" i="3"/>
  <c r="N6" i="2"/>
  <c r="D809" i="5" l="1"/>
  <c r="C809" i="5" s="1"/>
  <c r="E809" i="5" s="1"/>
  <c r="F809" i="5" s="1"/>
  <c r="B810" i="5" s="1"/>
  <c r="D684" i="5"/>
  <c r="C684" i="5"/>
  <c r="E684" i="5" s="1"/>
  <c r="F684" i="5" s="1"/>
  <c r="B685" i="5" s="1"/>
  <c r="D933" i="5"/>
  <c r="C933" i="5" s="1"/>
  <c r="E933" i="5" s="1"/>
  <c r="F933" i="5" s="1"/>
  <c r="B934" i="5" s="1"/>
  <c r="D314" i="5"/>
  <c r="C314" i="5" s="1"/>
  <c r="E314" i="5" s="1"/>
  <c r="F314" i="5" s="1"/>
  <c r="B315" i="5" s="1"/>
  <c r="D437" i="5"/>
  <c r="C437" i="5" s="1"/>
  <c r="E437" i="5" s="1"/>
  <c r="F437" i="5" s="1"/>
  <c r="B438" i="5" s="1"/>
  <c r="D560" i="5"/>
  <c r="C560" i="5" s="1"/>
  <c r="E560" i="5" s="1"/>
  <c r="F560" i="5" s="1"/>
  <c r="B561" i="5" s="1"/>
  <c r="D66" i="5"/>
  <c r="C66" i="5" s="1"/>
  <c r="E66" i="5" s="1"/>
  <c r="F66" i="5" s="1"/>
  <c r="B67" i="5" s="1"/>
  <c r="D190" i="5"/>
  <c r="C190" i="5" s="1"/>
  <c r="E190" i="5" s="1"/>
  <c r="F190" i="5" s="1"/>
  <c r="B191" i="5" s="1"/>
  <c r="BD5" i="2"/>
  <c r="BE5" i="2"/>
  <c r="Q6" i="3"/>
  <c r="V6" i="3"/>
  <c r="BJ5" i="3"/>
  <c r="BL5" i="3" s="1"/>
  <c r="BM5" i="3" s="1"/>
  <c r="O6" i="2"/>
  <c r="U6" i="3"/>
  <c r="P6" i="2"/>
  <c r="BF6" i="3" l="1"/>
  <c r="AV6" i="2"/>
  <c r="D67" i="5"/>
  <c r="C67" i="5" s="1"/>
  <c r="E67" i="5" s="1"/>
  <c r="F67" i="5" s="1"/>
  <c r="B68" i="5" s="1"/>
  <c r="D438" i="5"/>
  <c r="C438" i="5" s="1"/>
  <c r="E438" i="5" s="1"/>
  <c r="F438" i="5" s="1"/>
  <c r="B439" i="5" s="1"/>
  <c r="D191" i="5"/>
  <c r="C191" i="5" s="1"/>
  <c r="E191" i="5" s="1"/>
  <c r="F191" i="5" s="1"/>
  <c r="B192" i="5" s="1"/>
  <c r="D561" i="5"/>
  <c r="C561" i="5"/>
  <c r="E561" i="5" s="1"/>
  <c r="F561" i="5" s="1"/>
  <c r="B562" i="5" s="1"/>
  <c r="D685" i="5"/>
  <c r="C685" i="5" s="1"/>
  <c r="E685" i="5" s="1"/>
  <c r="F685" i="5" s="1"/>
  <c r="B686" i="5" s="1"/>
  <c r="D315" i="5"/>
  <c r="C315" i="5" s="1"/>
  <c r="E315" i="5" s="1"/>
  <c r="F315" i="5" s="1"/>
  <c r="B316" i="5" s="1"/>
  <c r="D934" i="5"/>
  <c r="C934" i="5" s="1"/>
  <c r="E934" i="5" s="1"/>
  <c r="F934" i="5" s="1"/>
  <c r="B935" i="5" s="1"/>
  <c r="D810" i="5"/>
  <c r="C810" i="5" s="1"/>
  <c r="E810" i="5" s="1"/>
  <c r="F810" i="5" s="1"/>
  <c r="B811" i="5" s="1"/>
  <c r="S6" i="3"/>
  <c r="BN5" i="3"/>
  <c r="BO5" i="3"/>
  <c r="BG5" i="2"/>
  <c r="BH5" i="2" s="1"/>
  <c r="Q6" i="2"/>
  <c r="R6" i="3"/>
  <c r="BA6" i="3" l="1"/>
  <c r="D686" i="5"/>
  <c r="C686" i="5" s="1"/>
  <c r="E686" i="5" s="1"/>
  <c r="F686" i="5" s="1"/>
  <c r="B687" i="5" s="1"/>
  <c r="D811" i="5"/>
  <c r="C811" i="5" s="1"/>
  <c r="E811" i="5" s="1"/>
  <c r="F811" i="5" s="1"/>
  <c r="B812" i="5" s="1"/>
  <c r="D562" i="5"/>
  <c r="C562" i="5"/>
  <c r="E562" i="5" s="1"/>
  <c r="F562" i="5" s="1"/>
  <c r="B563" i="5" s="1"/>
  <c r="D935" i="5"/>
  <c r="C935" i="5"/>
  <c r="E935" i="5" s="1"/>
  <c r="F935" i="5" s="1"/>
  <c r="B936" i="5" s="1"/>
  <c r="D439" i="5"/>
  <c r="C439" i="5" s="1"/>
  <c r="E439" i="5" s="1"/>
  <c r="F439" i="5" s="1"/>
  <c r="B440" i="5" s="1"/>
  <c r="D316" i="5"/>
  <c r="C316" i="5" s="1"/>
  <c r="E316" i="5" s="1"/>
  <c r="F316" i="5" s="1"/>
  <c r="B317" i="5" s="1"/>
  <c r="D192" i="5"/>
  <c r="C192" i="5" s="1"/>
  <c r="E192" i="5" s="1"/>
  <c r="F192" i="5" s="1"/>
  <c r="B193" i="5" s="1"/>
  <c r="D68" i="5"/>
  <c r="C68" i="5" s="1"/>
  <c r="E68" i="5" s="1"/>
  <c r="F68" i="5" s="1"/>
  <c r="B69" i="5" s="1"/>
  <c r="W6" i="3"/>
  <c r="BQ5" i="3"/>
  <c r="BI5" i="2"/>
  <c r="S6" i="2"/>
  <c r="BJ5" i="2"/>
  <c r="BL5" i="2" s="1"/>
  <c r="BM5" i="2" s="1"/>
  <c r="BN5" i="2" s="1"/>
  <c r="W6" i="2" s="1"/>
  <c r="R6" i="2"/>
  <c r="BO5" i="2" l="1"/>
  <c r="BA6" i="2"/>
  <c r="D193" i="5"/>
  <c r="C193" i="5" s="1"/>
  <c r="E193" i="5" s="1"/>
  <c r="F193" i="5" s="1"/>
  <c r="B194" i="5" s="1"/>
  <c r="D563" i="5"/>
  <c r="C563" i="5" s="1"/>
  <c r="E563" i="5" s="1"/>
  <c r="F563" i="5" s="1"/>
  <c r="B564" i="5" s="1"/>
  <c r="D317" i="5"/>
  <c r="C317" i="5"/>
  <c r="E317" i="5" s="1"/>
  <c r="F317" i="5" s="1"/>
  <c r="B318" i="5" s="1"/>
  <c r="D936" i="5"/>
  <c r="C936" i="5"/>
  <c r="E936" i="5" s="1"/>
  <c r="F936" i="5" s="1"/>
  <c r="B937" i="5" s="1"/>
  <c r="D687" i="5"/>
  <c r="C687" i="5" s="1"/>
  <c r="E687" i="5" s="1"/>
  <c r="F687" i="5" s="1"/>
  <c r="B688" i="5" s="1"/>
  <c r="D440" i="5"/>
  <c r="C440" i="5"/>
  <c r="E440" i="5" s="1"/>
  <c r="F440" i="5" s="1"/>
  <c r="B441" i="5" s="1"/>
  <c r="D812" i="5"/>
  <c r="C812" i="5" s="1"/>
  <c r="E812" i="5" s="1"/>
  <c r="F812" i="5" s="1"/>
  <c r="B813" i="5" s="1"/>
  <c r="D69" i="5"/>
  <c r="C69" i="5"/>
  <c r="E69" i="5" s="1"/>
  <c r="F69" i="5" s="1"/>
  <c r="B70" i="5" s="1"/>
  <c r="T6" i="2"/>
  <c r="BQ5" i="2"/>
  <c r="Y6" i="3"/>
  <c r="Y6" i="2"/>
  <c r="X6" i="2"/>
  <c r="X6" i="3"/>
  <c r="BP6" i="3" l="1"/>
  <c r="BK6" i="3"/>
  <c r="BK6" i="2"/>
  <c r="D813" i="5"/>
  <c r="C813" i="5"/>
  <c r="E813" i="5" s="1"/>
  <c r="F813" i="5" s="1"/>
  <c r="B814" i="5" s="1"/>
  <c r="D937" i="5"/>
  <c r="C937" i="5" s="1"/>
  <c r="E937" i="5" s="1"/>
  <c r="F937" i="5" s="1"/>
  <c r="B938" i="5" s="1"/>
  <c r="D688" i="5"/>
  <c r="C688" i="5" s="1"/>
  <c r="E688" i="5" s="1"/>
  <c r="F688" i="5" s="1"/>
  <c r="B689" i="5" s="1"/>
  <c r="D318" i="5"/>
  <c r="C318" i="5" s="1"/>
  <c r="E318" i="5" s="1"/>
  <c r="F318" i="5" s="1"/>
  <c r="B319" i="5" s="1"/>
  <c r="D70" i="5"/>
  <c r="C70" i="5"/>
  <c r="E70" i="5" s="1"/>
  <c r="F70" i="5" s="1"/>
  <c r="B71" i="5" s="1"/>
  <c r="D441" i="5"/>
  <c r="C441" i="5" s="1"/>
  <c r="E441" i="5" s="1"/>
  <c r="F441" i="5" s="1"/>
  <c r="B442" i="5" s="1"/>
  <c r="D564" i="5"/>
  <c r="C564" i="5" s="1"/>
  <c r="E564" i="5" s="1"/>
  <c r="F564" i="5" s="1"/>
  <c r="B565" i="5" s="1"/>
  <c r="D194" i="5"/>
  <c r="C194" i="5"/>
  <c r="E194" i="5" s="1"/>
  <c r="F194" i="5" s="1"/>
  <c r="B195" i="5" s="1"/>
  <c r="Z6" i="3"/>
  <c r="AA6" i="3" s="1"/>
  <c r="V6" i="2"/>
  <c r="U6" i="2"/>
  <c r="BP6" i="2" l="1"/>
  <c r="BF6" i="2"/>
  <c r="D71" i="5"/>
  <c r="C71" i="5" s="1"/>
  <c r="E71" i="5" s="1"/>
  <c r="F71" i="5" s="1"/>
  <c r="B72" i="5" s="1"/>
  <c r="D938" i="5"/>
  <c r="C938" i="5" s="1"/>
  <c r="E938" i="5" s="1"/>
  <c r="F938" i="5" s="1"/>
  <c r="B939" i="5" s="1"/>
  <c r="D319" i="5"/>
  <c r="C319" i="5"/>
  <c r="E319" i="5" s="1"/>
  <c r="F319" i="5" s="1"/>
  <c r="B320" i="5" s="1"/>
  <c r="D565" i="5"/>
  <c r="C565" i="5" s="1"/>
  <c r="E565" i="5" s="1"/>
  <c r="F565" i="5" s="1"/>
  <c r="B566" i="5" s="1"/>
  <c r="D689" i="5"/>
  <c r="C689" i="5" s="1"/>
  <c r="E689" i="5" s="1"/>
  <c r="F689" i="5" s="1"/>
  <c r="B690" i="5" s="1"/>
  <c r="D814" i="5"/>
  <c r="C814" i="5"/>
  <c r="E814" i="5" s="1"/>
  <c r="F814" i="5" s="1"/>
  <c r="B815" i="5" s="1"/>
  <c r="D195" i="5"/>
  <c r="C195" i="5" s="1"/>
  <c r="E195" i="5" s="1"/>
  <c r="F195" i="5" s="1"/>
  <c r="B196" i="5" s="1"/>
  <c r="D442" i="5"/>
  <c r="C442" i="5"/>
  <c r="E442" i="5" s="1"/>
  <c r="F442" i="5" s="1"/>
  <c r="B443" i="5" s="1"/>
  <c r="Z6" i="2"/>
  <c r="AA6" i="2" s="1"/>
  <c r="AC6" i="3"/>
  <c r="AD6" i="3" s="1"/>
  <c r="D690" i="5" l="1"/>
  <c r="C690" i="5"/>
  <c r="E690" i="5" s="1"/>
  <c r="F690" i="5" s="1"/>
  <c r="B691" i="5" s="1"/>
  <c r="D815" i="5"/>
  <c r="C815" i="5"/>
  <c r="E815" i="5" s="1"/>
  <c r="F815" i="5" s="1"/>
  <c r="B816" i="5" s="1"/>
  <c r="D320" i="5"/>
  <c r="C320" i="5"/>
  <c r="E320" i="5" s="1"/>
  <c r="F320" i="5" s="1"/>
  <c r="B321" i="5" s="1"/>
  <c r="D566" i="5"/>
  <c r="C566" i="5" s="1"/>
  <c r="E566" i="5" s="1"/>
  <c r="F566" i="5" s="1"/>
  <c r="B567" i="5" s="1"/>
  <c r="D443" i="5"/>
  <c r="C443" i="5"/>
  <c r="E443" i="5" s="1"/>
  <c r="F443" i="5" s="1"/>
  <c r="B444" i="5" s="1"/>
  <c r="D939" i="5"/>
  <c r="C939" i="5" s="1"/>
  <c r="E939" i="5" s="1"/>
  <c r="F939" i="5" s="1"/>
  <c r="B940" i="5" s="1"/>
  <c r="D72" i="5"/>
  <c r="C72" i="5" s="1"/>
  <c r="E72" i="5" s="1"/>
  <c r="F72" i="5" s="1"/>
  <c r="B73" i="5" s="1"/>
  <c r="D196" i="5"/>
  <c r="C196" i="5" s="1"/>
  <c r="E196" i="5" s="1"/>
  <c r="F196" i="5" s="1"/>
  <c r="B197" i="5" s="1"/>
  <c r="AF6" i="3"/>
  <c r="AE6" i="3"/>
  <c r="AC6" i="2"/>
  <c r="AD6" i="2" s="1"/>
  <c r="D73" i="5" l="1"/>
  <c r="C73" i="5"/>
  <c r="E73" i="5" s="1"/>
  <c r="F73" i="5" s="1"/>
  <c r="B74" i="5" s="1"/>
  <c r="D567" i="5"/>
  <c r="C567" i="5"/>
  <c r="E567" i="5" s="1"/>
  <c r="F567" i="5" s="1"/>
  <c r="B568" i="5" s="1"/>
  <c r="D940" i="5"/>
  <c r="C940" i="5" s="1"/>
  <c r="E940" i="5" s="1"/>
  <c r="F940" i="5" s="1"/>
  <c r="B941" i="5" s="1"/>
  <c r="D321" i="5"/>
  <c r="C321" i="5" s="1"/>
  <c r="E321" i="5" s="1"/>
  <c r="F321" i="5" s="1"/>
  <c r="B322" i="5" s="1"/>
  <c r="D691" i="5"/>
  <c r="C691" i="5" s="1"/>
  <c r="E691" i="5" s="1"/>
  <c r="F691" i="5" s="1"/>
  <c r="B692" i="5" s="1"/>
  <c r="D444" i="5"/>
  <c r="C444" i="5" s="1"/>
  <c r="E444" i="5" s="1"/>
  <c r="F444" i="5" s="1"/>
  <c r="B445" i="5" s="1"/>
  <c r="D816" i="5"/>
  <c r="C816" i="5"/>
  <c r="E816" i="5" s="1"/>
  <c r="F816" i="5" s="1"/>
  <c r="B817" i="5" s="1"/>
  <c r="D197" i="5"/>
  <c r="C197" i="5" s="1"/>
  <c r="E197" i="5" s="1"/>
  <c r="F197" i="5" s="1"/>
  <c r="B198" i="5" s="1"/>
  <c r="AE6" i="2"/>
  <c r="AF6" i="2"/>
  <c r="B7" i="3"/>
  <c r="AH6" i="3"/>
  <c r="AI6" i="3" s="1"/>
  <c r="AK6" i="3" l="1"/>
  <c r="D445" i="5"/>
  <c r="C445" i="5"/>
  <c r="E445" i="5" s="1"/>
  <c r="F445" i="5" s="1"/>
  <c r="B446" i="5" s="1"/>
  <c r="D817" i="5"/>
  <c r="C817" i="5"/>
  <c r="E817" i="5" s="1"/>
  <c r="F817" i="5" s="1"/>
  <c r="B818" i="5" s="1"/>
  <c r="D692" i="5"/>
  <c r="C692" i="5"/>
  <c r="E692" i="5" s="1"/>
  <c r="F692" i="5" s="1"/>
  <c r="B693" i="5" s="1"/>
  <c r="D322" i="5"/>
  <c r="C322" i="5" s="1"/>
  <c r="E322" i="5" s="1"/>
  <c r="F322" i="5" s="1"/>
  <c r="B323" i="5" s="1"/>
  <c r="D74" i="5"/>
  <c r="C74" i="5"/>
  <c r="E74" i="5" s="1"/>
  <c r="F74" i="5" s="1"/>
  <c r="B75" i="5" s="1"/>
  <c r="D941" i="5"/>
  <c r="C941" i="5" s="1"/>
  <c r="E941" i="5" s="1"/>
  <c r="F941" i="5" s="1"/>
  <c r="B942" i="5" s="1"/>
  <c r="D568" i="5"/>
  <c r="C568" i="5" s="1"/>
  <c r="E568" i="5" s="1"/>
  <c r="F568" i="5" s="1"/>
  <c r="B569" i="5" s="1"/>
  <c r="D198" i="5"/>
  <c r="C198" i="5"/>
  <c r="E198" i="5" s="1"/>
  <c r="F198" i="5" s="1"/>
  <c r="B199" i="5" s="1"/>
  <c r="AM6" i="3"/>
  <c r="AN6" i="3" s="1"/>
  <c r="AO6" i="3" s="1"/>
  <c r="H7" i="3" s="1"/>
  <c r="B7" i="2"/>
  <c r="AJ6" i="3"/>
  <c r="AH6" i="2"/>
  <c r="AI6" i="2" s="1"/>
  <c r="C7" i="3"/>
  <c r="D7" i="3"/>
  <c r="AB7" i="3" l="1"/>
  <c r="D569" i="5"/>
  <c r="C569" i="5"/>
  <c r="E569" i="5" s="1"/>
  <c r="F569" i="5" s="1"/>
  <c r="B570" i="5" s="1"/>
  <c r="D75" i="5"/>
  <c r="C75" i="5"/>
  <c r="E75" i="5" s="1"/>
  <c r="F75" i="5" s="1"/>
  <c r="B76" i="5" s="1"/>
  <c r="D323" i="5"/>
  <c r="C323" i="5" s="1"/>
  <c r="E323" i="5" s="1"/>
  <c r="F323" i="5" s="1"/>
  <c r="B324" i="5" s="1"/>
  <c r="D818" i="5"/>
  <c r="C818" i="5" s="1"/>
  <c r="E818" i="5" s="1"/>
  <c r="F818" i="5" s="1"/>
  <c r="B819" i="5" s="1"/>
  <c r="D942" i="5"/>
  <c r="C942" i="5" s="1"/>
  <c r="E942" i="5" s="1"/>
  <c r="F942" i="5" s="1"/>
  <c r="B943" i="5" s="1"/>
  <c r="D693" i="5"/>
  <c r="C693" i="5" s="1"/>
  <c r="E693" i="5" s="1"/>
  <c r="F693" i="5" s="1"/>
  <c r="B694" i="5" s="1"/>
  <c r="D446" i="5"/>
  <c r="C446" i="5" s="1"/>
  <c r="E446" i="5" s="1"/>
  <c r="F446" i="5" s="1"/>
  <c r="B447" i="5" s="1"/>
  <c r="D199" i="5"/>
  <c r="C199" i="5" s="1"/>
  <c r="E199" i="5" s="1"/>
  <c r="F199" i="5" s="1"/>
  <c r="B200" i="5" s="1"/>
  <c r="AJ6" i="2"/>
  <c r="AK6" i="2"/>
  <c r="E7" i="3"/>
  <c r="AP6" i="3"/>
  <c r="I7" i="3"/>
  <c r="J7" i="3"/>
  <c r="C7" i="2"/>
  <c r="D7" i="2"/>
  <c r="AB7" i="2" l="1"/>
  <c r="AL7" i="3"/>
  <c r="D694" i="5"/>
  <c r="C694" i="5"/>
  <c r="E694" i="5" s="1"/>
  <c r="F694" i="5" s="1"/>
  <c r="B695" i="5" s="1"/>
  <c r="D819" i="5"/>
  <c r="C819" i="5"/>
  <c r="E819" i="5" s="1"/>
  <c r="F819" i="5" s="1"/>
  <c r="B820" i="5" s="1"/>
  <c r="D324" i="5"/>
  <c r="C324" i="5"/>
  <c r="E324" i="5" s="1"/>
  <c r="F324" i="5" s="1"/>
  <c r="B325" i="5" s="1"/>
  <c r="D570" i="5"/>
  <c r="C570" i="5"/>
  <c r="E570" i="5" s="1"/>
  <c r="F570" i="5" s="1"/>
  <c r="B571" i="5" s="1"/>
  <c r="D447" i="5"/>
  <c r="C447" i="5" s="1"/>
  <c r="E447" i="5" s="1"/>
  <c r="F447" i="5" s="1"/>
  <c r="B448" i="5" s="1"/>
  <c r="D943" i="5"/>
  <c r="C943" i="5" s="1"/>
  <c r="E943" i="5" s="1"/>
  <c r="F943" i="5" s="1"/>
  <c r="B944" i="5" s="1"/>
  <c r="D76" i="5"/>
  <c r="C76" i="5" s="1"/>
  <c r="E76" i="5" s="1"/>
  <c r="F76" i="5" s="1"/>
  <c r="B77" i="5" s="1"/>
  <c r="D200" i="5"/>
  <c r="C200" i="5"/>
  <c r="E200" i="5" s="1"/>
  <c r="F200" i="5" s="1"/>
  <c r="B201" i="5" s="1"/>
  <c r="E7" i="2"/>
  <c r="AM6" i="2"/>
  <c r="AN6" i="2" s="1"/>
  <c r="AR6" i="3"/>
  <c r="AS6" i="3" s="1"/>
  <c r="F7" i="3"/>
  <c r="G7" i="3"/>
  <c r="AG7" i="3" l="1"/>
  <c r="D201" i="5"/>
  <c r="C201" i="5"/>
  <c r="E201" i="5" s="1"/>
  <c r="F201" i="5" s="1"/>
  <c r="B202" i="5" s="1"/>
  <c r="D325" i="5"/>
  <c r="C325" i="5" s="1"/>
  <c r="E325" i="5" s="1"/>
  <c r="F325" i="5" s="1"/>
  <c r="B326" i="5" s="1"/>
  <c r="D944" i="5"/>
  <c r="C944" i="5" s="1"/>
  <c r="E944" i="5" s="1"/>
  <c r="F944" i="5" s="1"/>
  <c r="B945" i="5" s="1"/>
  <c r="D77" i="5"/>
  <c r="C77" i="5"/>
  <c r="E77" i="5" s="1"/>
  <c r="F77" i="5" s="1"/>
  <c r="B78" i="5" s="1"/>
  <c r="D695" i="5"/>
  <c r="C695" i="5" s="1"/>
  <c r="E695" i="5" s="1"/>
  <c r="F695" i="5" s="1"/>
  <c r="B696" i="5" s="1"/>
  <c r="D448" i="5"/>
  <c r="C448" i="5" s="1"/>
  <c r="E448" i="5" s="1"/>
  <c r="F448" i="5" s="1"/>
  <c r="B449" i="5" s="1"/>
  <c r="D820" i="5"/>
  <c r="C820" i="5" s="1"/>
  <c r="E820" i="5" s="1"/>
  <c r="F820" i="5" s="1"/>
  <c r="B821" i="5" s="1"/>
  <c r="AO6" i="2"/>
  <c r="D571" i="5"/>
  <c r="C571" i="5" s="1"/>
  <c r="E571" i="5" s="1"/>
  <c r="F571" i="5" s="1"/>
  <c r="B572" i="5" s="1"/>
  <c r="AP6" i="2"/>
  <c r="AT6" i="3"/>
  <c r="AU6" i="3"/>
  <c r="F7" i="2"/>
  <c r="G7" i="2"/>
  <c r="AG7" i="2" l="1"/>
  <c r="D449" i="5"/>
  <c r="C449" i="5" s="1"/>
  <c r="E449" i="5" s="1"/>
  <c r="F449" i="5" s="1"/>
  <c r="B450" i="5" s="1"/>
  <c r="D78" i="5"/>
  <c r="C78" i="5"/>
  <c r="E78" i="5" s="1"/>
  <c r="F78" i="5" s="1"/>
  <c r="B79" i="5" s="1"/>
  <c r="D696" i="5"/>
  <c r="C696" i="5"/>
  <c r="E696" i="5" s="1"/>
  <c r="F696" i="5" s="1"/>
  <c r="B697" i="5" s="1"/>
  <c r="D572" i="5"/>
  <c r="C572" i="5" s="1"/>
  <c r="E572" i="5" s="1"/>
  <c r="F572" i="5" s="1"/>
  <c r="B573" i="5" s="1"/>
  <c r="D945" i="5"/>
  <c r="C945" i="5"/>
  <c r="E945" i="5" s="1"/>
  <c r="F945" i="5" s="1"/>
  <c r="B946" i="5" s="1"/>
  <c r="D326" i="5"/>
  <c r="C326" i="5" s="1"/>
  <c r="E326" i="5" s="1"/>
  <c r="F326" i="5" s="1"/>
  <c r="B327" i="5" s="1"/>
  <c r="D202" i="5"/>
  <c r="C202" i="5" s="1"/>
  <c r="E202" i="5" s="1"/>
  <c r="F202" i="5" s="1"/>
  <c r="B203" i="5" s="1"/>
  <c r="D821" i="5"/>
  <c r="C821" i="5" s="1"/>
  <c r="E821" i="5" s="1"/>
  <c r="F821" i="5" s="1"/>
  <c r="B822" i="5" s="1"/>
  <c r="AR6" i="2"/>
  <c r="AS6" i="2" s="1"/>
  <c r="AW6" i="3"/>
  <c r="AX6" i="3" s="1"/>
  <c r="H7" i="2"/>
  <c r="K7" i="3"/>
  <c r="AU6" i="2" l="1"/>
  <c r="D327" i="5"/>
  <c r="C327" i="5"/>
  <c r="E327" i="5" s="1"/>
  <c r="F327" i="5" s="1"/>
  <c r="B328" i="5" s="1"/>
  <c r="D79" i="5"/>
  <c r="C79" i="5" s="1"/>
  <c r="E79" i="5" s="1"/>
  <c r="F79" i="5" s="1"/>
  <c r="B80" i="5" s="1"/>
  <c r="D573" i="5"/>
  <c r="C573" i="5"/>
  <c r="E573" i="5" s="1"/>
  <c r="F573" i="5" s="1"/>
  <c r="B574" i="5" s="1"/>
  <c r="D450" i="5"/>
  <c r="C450" i="5"/>
  <c r="E450" i="5" s="1"/>
  <c r="F450" i="5" s="1"/>
  <c r="B451" i="5" s="1"/>
  <c r="D946" i="5"/>
  <c r="C946" i="5"/>
  <c r="E946" i="5" s="1"/>
  <c r="F946" i="5" s="1"/>
  <c r="B947" i="5" s="1"/>
  <c r="D822" i="5"/>
  <c r="C822" i="5" s="1"/>
  <c r="E822" i="5" s="1"/>
  <c r="F822" i="5" s="1"/>
  <c r="B823" i="5" s="1"/>
  <c r="D203" i="5"/>
  <c r="C203" i="5" s="1"/>
  <c r="E203" i="5" s="1"/>
  <c r="F203" i="5" s="1"/>
  <c r="B204" i="5" s="1"/>
  <c r="AZ6" i="3"/>
  <c r="AT6" i="2"/>
  <c r="AY6" i="3"/>
  <c r="AW6" i="2"/>
  <c r="AX6" i="2" s="1"/>
  <c r="AY6" i="2" s="1"/>
  <c r="N7" i="2" s="1"/>
  <c r="D697" i="5"/>
  <c r="C697" i="5" s="1"/>
  <c r="E697" i="5" s="1"/>
  <c r="F697" i="5" s="1"/>
  <c r="B698" i="5" s="1"/>
  <c r="L7" i="3"/>
  <c r="M7" i="3"/>
  <c r="I7" i="2"/>
  <c r="J7" i="2"/>
  <c r="AL7" i="2" l="1"/>
  <c r="AQ7" i="3"/>
  <c r="D823" i="5"/>
  <c r="C823" i="5" s="1"/>
  <c r="E823" i="5" s="1"/>
  <c r="F823" i="5" s="1"/>
  <c r="B824" i="5" s="1"/>
  <c r="D698" i="5"/>
  <c r="C698" i="5" s="1"/>
  <c r="E698" i="5" s="1"/>
  <c r="F698" i="5" s="1"/>
  <c r="B699" i="5" s="1"/>
  <c r="D947" i="5"/>
  <c r="C947" i="5"/>
  <c r="E947" i="5" s="1"/>
  <c r="F947" i="5" s="1"/>
  <c r="B948" i="5" s="1"/>
  <c r="D80" i="5"/>
  <c r="C80" i="5" s="1"/>
  <c r="E80" i="5" s="1"/>
  <c r="F80" i="5" s="1"/>
  <c r="B81" i="5" s="1"/>
  <c r="D204" i="5"/>
  <c r="C204" i="5" s="1"/>
  <c r="E204" i="5" s="1"/>
  <c r="F204" i="5" s="1"/>
  <c r="B205" i="5" s="1"/>
  <c r="D451" i="5"/>
  <c r="C451" i="5" s="1"/>
  <c r="E451" i="5" s="1"/>
  <c r="F451" i="5" s="1"/>
  <c r="B452" i="5" s="1"/>
  <c r="D574" i="5"/>
  <c r="C574" i="5" s="1"/>
  <c r="E574" i="5" s="1"/>
  <c r="F574" i="5" s="1"/>
  <c r="B575" i="5" s="1"/>
  <c r="D328" i="5"/>
  <c r="C328" i="5" s="1"/>
  <c r="E328" i="5" s="1"/>
  <c r="F328" i="5" s="1"/>
  <c r="B329" i="5" s="1"/>
  <c r="AZ6" i="2"/>
  <c r="K7" i="2"/>
  <c r="N7" i="3"/>
  <c r="BB6" i="3"/>
  <c r="BC6" i="3" s="1"/>
  <c r="O7" i="2"/>
  <c r="P7" i="2"/>
  <c r="AV7" i="2" l="1"/>
  <c r="D329" i="5"/>
  <c r="C329" i="5"/>
  <c r="E329" i="5" s="1"/>
  <c r="F329" i="5" s="1"/>
  <c r="B330" i="5" s="1"/>
  <c r="D575" i="5"/>
  <c r="C575" i="5"/>
  <c r="E575" i="5" s="1"/>
  <c r="F575" i="5" s="1"/>
  <c r="B576" i="5" s="1"/>
  <c r="D81" i="5"/>
  <c r="C81" i="5" s="1"/>
  <c r="E81" i="5" s="1"/>
  <c r="F81" i="5" s="1"/>
  <c r="B82" i="5" s="1"/>
  <c r="D452" i="5"/>
  <c r="C452" i="5" s="1"/>
  <c r="E452" i="5" s="1"/>
  <c r="F452" i="5" s="1"/>
  <c r="B453" i="5" s="1"/>
  <c r="D699" i="5"/>
  <c r="C699" i="5"/>
  <c r="E699" i="5" s="1"/>
  <c r="F699" i="5" s="1"/>
  <c r="B700" i="5" s="1"/>
  <c r="D205" i="5"/>
  <c r="C205" i="5" s="1"/>
  <c r="E205" i="5" s="1"/>
  <c r="F205" i="5" s="1"/>
  <c r="B206" i="5" s="1"/>
  <c r="D948" i="5"/>
  <c r="C948" i="5" s="1"/>
  <c r="E948" i="5" s="1"/>
  <c r="F948" i="5" s="1"/>
  <c r="B949" i="5" s="1"/>
  <c r="D824" i="5"/>
  <c r="C824" i="5" s="1"/>
  <c r="E824" i="5" s="1"/>
  <c r="F824" i="5" s="1"/>
  <c r="B825" i="5" s="1"/>
  <c r="BD6" i="3"/>
  <c r="BE6" i="3"/>
  <c r="BB6" i="2"/>
  <c r="BC6" i="2" s="1"/>
  <c r="L7" i="2"/>
  <c r="M7" i="2"/>
  <c r="O7" i="3"/>
  <c r="P7" i="3"/>
  <c r="BE6" i="2" l="1"/>
  <c r="AV7" i="3"/>
  <c r="AQ7" i="2"/>
  <c r="D206" i="5"/>
  <c r="C206" i="5" s="1"/>
  <c r="E206" i="5" s="1"/>
  <c r="F206" i="5" s="1"/>
  <c r="B207" i="5" s="1"/>
  <c r="D82" i="5"/>
  <c r="C82" i="5"/>
  <c r="E82" i="5" s="1"/>
  <c r="F82" i="5" s="1"/>
  <c r="B83" i="5" s="1"/>
  <c r="D453" i="5"/>
  <c r="C453" i="5"/>
  <c r="E453" i="5" s="1"/>
  <c r="F453" i="5" s="1"/>
  <c r="B454" i="5" s="1"/>
  <c r="D825" i="5"/>
  <c r="C825" i="5" s="1"/>
  <c r="E825" i="5" s="1"/>
  <c r="F825" i="5" s="1"/>
  <c r="B826" i="5" s="1"/>
  <c r="D700" i="5"/>
  <c r="C700" i="5" s="1"/>
  <c r="E700" i="5" s="1"/>
  <c r="F700" i="5" s="1"/>
  <c r="B701" i="5" s="1"/>
  <c r="D576" i="5"/>
  <c r="C576" i="5" s="1"/>
  <c r="E576" i="5" s="1"/>
  <c r="F576" i="5" s="1"/>
  <c r="B577" i="5" s="1"/>
  <c r="D330" i="5"/>
  <c r="C330" i="5"/>
  <c r="E330" i="5" s="1"/>
  <c r="F330" i="5" s="1"/>
  <c r="B331" i="5" s="1"/>
  <c r="D949" i="5"/>
  <c r="C949" i="5" s="1"/>
  <c r="E949" i="5" s="1"/>
  <c r="F949" i="5" s="1"/>
  <c r="B950" i="5" s="1"/>
  <c r="BG6" i="2"/>
  <c r="BH6" i="2" s="1"/>
  <c r="BI6" i="2" s="1"/>
  <c r="T7" i="2" s="1"/>
  <c r="BD6" i="2"/>
  <c r="Q7" i="3"/>
  <c r="BG6" i="3"/>
  <c r="BH6" i="3" s="1"/>
  <c r="BJ6" i="3" l="1"/>
  <c r="BL6" i="3" s="1"/>
  <c r="BM6" i="3" s="1"/>
  <c r="BN6" i="3" s="1"/>
  <c r="W7" i="3" s="1"/>
  <c r="BJ6" i="2"/>
  <c r="BL6" i="2" s="1"/>
  <c r="BM6" i="2" s="1"/>
  <c r="BN6" i="2" s="1"/>
  <c r="W7" i="2" s="1"/>
  <c r="Y7" i="2" s="1"/>
  <c r="D577" i="5"/>
  <c r="C577" i="5"/>
  <c r="E577" i="5" s="1"/>
  <c r="F577" i="5" s="1"/>
  <c r="B578" i="5" s="1"/>
  <c r="D701" i="5"/>
  <c r="C701" i="5"/>
  <c r="E701" i="5" s="1"/>
  <c r="F701" i="5" s="1"/>
  <c r="B702" i="5" s="1"/>
  <c r="D83" i="5"/>
  <c r="C83" i="5"/>
  <c r="E83" i="5" s="1"/>
  <c r="F83" i="5" s="1"/>
  <c r="B84" i="5" s="1"/>
  <c r="D454" i="5"/>
  <c r="C454" i="5"/>
  <c r="E454" i="5" s="1"/>
  <c r="F454" i="5" s="1"/>
  <c r="B455" i="5" s="1"/>
  <c r="D950" i="5"/>
  <c r="C950" i="5" s="1"/>
  <c r="E950" i="5" s="1"/>
  <c r="F950" i="5" s="1"/>
  <c r="B951" i="5" s="1"/>
  <c r="D826" i="5"/>
  <c r="C826" i="5" s="1"/>
  <c r="E826" i="5" s="1"/>
  <c r="F826" i="5" s="1"/>
  <c r="B827" i="5" s="1"/>
  <c r="D207" i="5"/>
  <c r="C207" i="5" s="1"/>
  <c r="E207" i="5" s="1"/>
  <c r="F207" i="5" s="1"/>
  <c r="B208" i="5" s="1"/>
  <c r="D331" i="5"/>
  <c r="C331" i="5"/>
  <c r="E331" i="5" s="1"/>
  <c r="F331" i="5" s="1"/>
  <c r="B332" i="5" s="1"/>
  <c r="V7" i="2"/>
  <c r="BI6" i="3"/>
  <c r="BO6" i="3"/>
  <c r="Y7" i="3"/>
  <c r="S7" i="3"/>
  <c r="Q7" i="2"/>
  <c r="X7" i="3"/>
  <c r="X7" i="2"/>
  <c r="R7" i="3"/>
  <c r="U7" i="2"/>
  <c r="BQ6" i="2" l="1"/>
  <c r="BO6" i="2"/>
  <c r="BF7" i="2"/>
  <c r="BA7" i="3"/>
  <c r="BK7" i="2"/>
  <c r="BK7" i="3"/>
  <c r="D332" i="5"/>
  <c r="C332" i="5" s="1"/>
  <c r="E332" i="5" s="1"/>
  <c r="F332" i="5" s="1"/>
  <c r="B333" i="5" s="1"/>
  <c r="D455" i="5"/>
  <c r="C455" i="5" s="1"/>
  <c r="E455" i="5" s="1"/>
  <c r="F455" i="5" s="1"/>
  <c r="B456" i="5" s="1"/>
  <c r="D702" i="5"/>
  <c r="C702" i="5" s="1"/>
  <c r="E702" i="5" s="1"/>
  <c r="F702" i="5" s="1"/>
  <c r="B703" i="5" s="1"/>
  <c r="D578" i="5"/>
  <c r="C578" i="5" s="1"/>
  <c r="E578" i="5" s="1"/>
  <c r="F578" i="5" s="1"/>
  <c r="B579" i="5" s="1"/>
  <c r="D951" i="5"/>
  <c r="C951" i="5" s="1"/>
  <c r="E951" i="5" s="1"/>
  <c r="F951" i="5" s="1"/>
  <c r="B952" i="5" s="1"/>
  <c r="D208" i="5"/>
  <c r="C208" i="5"/>
  <c r="E208" i="5" s="1"/>
  <c r="F208" i="5" s="1"/>
  <c r="B209" i="5" s="1"/>
  <c r="D827" i="5"/>
  <c r="C827" i="5"/>
  <c r="E827" i="5" s="1"/>
  <c r="F827" i="5" s="1"/>
  <c r="B828" i="5" s="1"/>
  <c r="T7" i="3"/>
  <c r="BQ6" i="3"/>
  <c r="D84" i="5"/>
  <c r="C84" i="5" s="1"/>
  <c r="E84" i="5" s="1"/>
  <c r="F84" i="5" s="1"/>
  <c r="B85" i="5" s="1"/>
  <c r="S7" i="2"/>
  <c r="R7" i="2"/>
  <c r="BP7" i="2" l="1"/>
  <c r="BA7" i="2"/>
  <c r="D85" i="5"/>
  <c r="C85" i="5"/>
  <c r="E85" i="5" s="1"/>
  <c r="F85" i="5" s="1"/>
  <c r="B86" i="5" s="1"/>
  <c r="D579" i="5"/>
  <c r="C579" i="5"/>
  <c r="E579" i="5" s="1"/>
  <c r="F579" i="5" s="1"/>
  <c r="B580" i="5" s="1"/>
  <c r="D456" i="5"/>
  <c r="C456" i="5" s="1"/>
  <c r="E456" i="5" s="1"/>
  <c r="F456" i="5" s="1"/>
  <c r="B457" i="5" s="1"/>
  <c r="D828" i="5"/>
  <c r="C828" i="5" s="1"/>
  <c r="E828" i="5" s="1"/>
  <c r="F828" i="5" s="1"/>
  <c r="B829" i="5" s="1"/>
  <c r="D952" i="5"/>
  <c r="C952" i="5" s="1"/>
  <c r="E952" i="5" s="1"/>
  <c r="F952" i="5" s="1"/>
  <c r="B953" i="5" s="1"/>
  <c r="D703" i="5"/>
  <c r="C703" i="5" s="1"/>
  <c r="E703" i="5" s="1"/>
  <c r="F703" i="5" s="1"/>
  <c r="B704" i="5" s="1"/>
  <c r="D333" i="5"/>
  <c r="C333" i="5" s="1"/>
  <c r="E333" i="5" s="1"/>
  <c r="F333" i="5" s="1"/>
  <c r="B334" i="5" s="1"/>
  <c r="D209" i="5"/>
  <c r="C209" i="5"/>
  <c r="E209" i="5" s="1"/>
  <c r="F209" i="5"/>
  <c r="B210" i="5" s="1"/>
  <c r="V7" i="3"/>
  <c r="Z7" i="2"/>
  <c r="AA7" i="2" s="1"/>
  <c r="U7" i="3"/>
  <c r="BP7" i="3" l="1"/>
  <c r="BF7" i="3"/>
  <c r="D829" i="5"/>
  <c r="C829" i="5"/>
  <c r="E829" i="5" s="1"/>
  <c r="F829" i="5" s="1"/>
  <c r="B830" i="5" s="1"/>
  <c r="D953" i="5"/>
  <c r="C953" i="5" s="1"/>
  <c r="E953" i="5" s="1"/>
  <c r="F953" i="5" s="1"/>
  <c r="B954" i="5" s="1"/>
  <c r="D580" i="5"/>
  <c r="C580" i="5" s="1"/>
  <c r="E580" i="5" s="1"/>
  <c r="F580" i="5" s="1"/>
  <c r="B581" i="5" s="1"/>
  <c r="D86" i="5"/>
  <c r="C86" i="5"/>
  <c r="E86" i="5" s="1"/>
  <c r="F86" i="5" s="1"/>
  <c r="B87" i="5" s="1"/>
  <c r="D704" i="5"/>
  <c r="C704" i="5" s="1"/>
  <c r="E704" i="5" s="1"/>
  <c r="F704" i="5" s="1"/>
  <c r="B705" i="5" s="1"/>
  <c r="D457" i="5"/>
  <c r="C457" i="5" s="1"/>
  <c r="E457" i="5" s="1"/>
  <c r="F457" i="5" s="1"/>
  <c r="B458" i="5" s="1"/>
  <c r="D334" i="5"/>
  <c r="C334" i="5" s="1"/>
  <c r="E334" i="5" s="1"/>
  <c r="F334" i="5" s="1"/>
  <c r="B335" i="5" s="1"/>
  <c r="Z7" i="3"/>
  <c r="AA7" i="3" s="1"/>
  <c r="AC7" i="2"/>
  <c r="AD7" i="2" s="1"/>
  <c r="D210" i="5"/>
  <c r="C210" i="5"/>
  <c r="E210" i="5" s="1"/>
  <c r="F210" i="5" s="1"/>
  <c r="B211" i="5" s="1"/>
  <c r="D335" i="5" l="1"/>
  <c r="C335" i="5"/>
  <c r="E335" i="5" s="1"/>
  <c r="F335" i="5" s="1"/>
  <c r="B336" i="5" s="1"/>
  <c r="D87" i="5"/>
  <c r="C87" i="5" s="1"/>
  <c r="E87" i="5" s="1"/>
  <c r="F87" i="5" s="1"/>
  <c r="B88" i="5" s="1"/>
  <c r="D705" i="5"/>
  <c r="C705" i="5"/>
  <c r="E705" i="5" s="1"/>
  <c r="F705" i="5" s="1"/>
  <c r="B706" i="5" s="1"/>
  <c r="D954" i="5"/>
  <c r="C954" i="5" s="1"/>
  <c r="E954" i="5" s="1"/>
  <c r="F954" i="5" s="1"/>
  <c r="B955" i="5" s="1"/>
  <c r="D458" i="5"/>
  <c r="C458" i="5"/>
  <c r="E458" i="5" s="1"/>
  <c r="F458" i="5"/>
  <c r="B459" i="5" s="1"/>
  <c r="D581" i="5"/>
  <c r="C581" i="5"/>
  <c r="E581" i="5" s="1"/>
  <c r="F581" i="5" s="1"/>
  <c r="B582" i="5" s="1"/>
  <c r="D830" i="5"/>
  <c r="C830" i="5" s="1"/>
  <c r="E830" i="5" s="1"/>
  <c r="F830" i="5" s="1"/>
  <c r="B831" i="5" s="1"/>
  <c r="D211" i="5"/>
  <c r="C211" i="5" s="1"/>
  <c r="E211" i="5" s="1"/>
  <c r="F211" i="5" s="1"/>
  <c r="B212" i="5" s="1"/>
  <c r="AE7" i="2"/>
  <c r="AF7" i="2"/>
  <c r="AC7" i="3"/>
  <c r="AD7" i="3" s="1"/>
  <c r="D955" i="5" l="1"/>
  <c r="C955" i="5"/>
  <c r="E955" i="5" s="1"/>
  <c r="F955" i="5"/>
  <c r="B956" i="5" s="1"/>
  <c r="D582" i="5"/>
  <c r="C582" i="5"/>
  <c r="E582" i="5" s="1"/>
  <c r="F582" i="5" s="1"/>
  <c r="B583" i="5" s="1"/>
  <c r="D706" i="5"/>
  <c r="C706" i="5"/>
  <c r="E706" i="5" s="1"/>
  <c r="F706" i="5" s="1"/>
  <c r="B707" i="5" s="1"/>
  <c r="D336" i="5"/>
  <c r="C336" i="5" s="1"/>
  <c r="E336" i="5" s="1"/>
  <c r="F336" i="5" s="1"/>
  <c r="B337" i="5" s="1"/>
  <c r="D831" i="5"/>
  <c r="C831" i="5" s="1"/>
  <c r="E831" i="5" s="1"/>
  <c r="F831" i="5" s="1"/>
  <c r="B832" i="5" s="1"/>
  <c r="D88" i="5"/>
  <c r="C88" i="5" s="1"/>
  <c r="E88" i="5" s="1"/>
  <c r="F88" i="5" s="1"/>
  <c r="B89" i="5" s="1"/>
  <c r="D212" i="5"/>
  <c r="C212" i="5"/>
  <c r="E212" i="5" s="1"/>
  <c r="F212" i="5" s="1"/>
  <c r="B213" i="5" s="1"/>
  <c r="AF7" i="3"/>
  <c r="AH7" i="2"/>
  <c r="AI7" i="2" s="1"/>
  <c r="AE7" i="3"/>
  <c r="D459" i="5"/>
  <c r="C459" i="5"/>
  <c r="E459" i="5" s="1"/>
  <c r="F459" i="5" s="1"/>
  <c r="B460" i="5" s="1"/>
  <c r="B8" i="2"/>
  <c r="AK7" i="2" l="1"/>
  <c r="D337" i="5"/>
  <c r="C337" i="5"/>
  <c r="E337" i="5" s="1"/>
  <c r="F337" i="5" s="1"/>
  <c r="B338" i="5" s="1"/>
  <c r="D832" i="5"/>
  <c r="C832" i="5" s="1"/>
  <c r="E832" i="5" s="1"/>
  <c r="F832" i="5" s="1"/>
  <c r="B833" i="5" s="1"/>
  <c r="D707" i="5"/>
  <c r="C707" i="5" s="1"/>
  <c r="E707" i="5" s="1"/>
  <c r="F707" i="5" s="1"/>
  <c r="B708" i="5" s="1"/>
  <c r="D89" i="5"/>
  <c r="C89" i="5" s="1"/>
  <c r="E89" i="5" s="1"/>
  <c r="F89" i="5" s="1"/>
  <c r="B90" i="5" s="1"/>
  <c r="D460" i="5"/>
  <c r="C460" i="5" s="1"/>
  <c r="E460" i="5" s="1"/>
  <c r="F460" i="5" s="1"/>
  <c r="B461" i="5" s="1"/>
  <c r="D583" i="5"/>
  <c r="C583" i="5"/>
  <c r="E583" i="5" s="1"/>
  <c r="F583" i="5" s="1"/>
  <c r="B584" i="5" s="1"/>
  <c r="D213" i="5"/>
  <c r="C213" i="5" s="1"/>
  <c r="E213" i="5" s="1"/>
  <c r="F213" i="5" s="1"/>
  <c r="B214" i="5" s="1"/>
  <c r="AM7" i="2"/>
  <c r="AN7" i="2" s="1"/>
  <c r="AO7" i="2" s="1"/>
  <c r="H8" i="2" s="1"/>
  <c r="AJ7" i="2"/>
  <c r="D956" i="5"/>
  <c r="C956" i="5" s="1"/>
  <c r="E956" i="5" s="1"/>
  <c r="F956" i="5" s="1"/>
  <c r="B957" i="5" s="1"/>
  <c r="B8" i="3"/>
  <c r="AH7" i="3"/>
  <c r="AI7" i="3" s="1"/>
  <c r="C8" i="2"/>
  <c r="D8" i="2"/>
  <c r="AB8" i="2" l="1"/>
  <c r="D214" i="5"/>
  <c r="C214" i="5" s="1"/>
  <c r="E214" i="5" s="1"/>
  <c r="F214" i="5" s="1"/>
  <c r="B215" i="5" s="1"/>
  <c r="D461" i="5"/>
  <c r="C461" i="5" s="1"/>
  <c r="E461" i="5" s="1"/>
  <c r="F461" i="5" s="1"/>
  <c r="B462" i="5" s="1"/>
  <c r="D708" i="5"/>
  <c r="C708" i="5"/>
  <c r="E708" i="5" s="1"/>
  <c r="F708" i="5" s="1"/>
  <c r="B709" i="5" s="1"/>
  <c r="D584" i="5"/>
  <c r="C584" i="5" s="1"/>
  <c r="E584" i="5" s="1"/>
  <c r="F584" i="5" s="1"/>
  <c r="B585" i="5" s="1"/>
  <c r="D957" i="5"/>
  <c r="C957" i="5"/>
  <c r="E957" i="5" s="1"/>
  <c r="F957" i="5" s="1"/>
  <c r="B958" i="5" s="1"/>
  <c r="D90" i="5"/>
  <c r="C90" i="5"/>
  <c r="E90" i="5" s="1"/>
  <c r="F90" i="5" s="1"/>
  <c r="B91" i="5" s="1"/>
  <c r="D833" i="5"/>
  <c r="C833" i="5" s="1"/>
  <c r="E833" i="5" s="1"/>
  <c r="F833" i="5" s="1"/>
  <c r="B834" i="5" s="1"/>
  <c r="D338" i="5"/>
  <c r="C338" i="5" s="1"/>
  <c r="E338" i="5" s="1"/>
  <c r="F338" i="5" s="1"/>
  <c r="B339" i="5" s="1"/>
  <c r="AK7" i="3"/>
  <c r="E8" i="2"/>
  <c r="AJ7" i="3"/>
  <c r="AP7" i="2"/>
  <c r="C8" i="3"/>
  <c r="D8" i="3"/>
  <c r="I8" i="2"/>
  <c r="J8" i="2"/>
  <c r="AL8" i="2" l="1"/>
  <c r="AB8" i="3"/>
  <c r="D91" i="5"/>
  <c r="C91" i="5" s="1"/>
  <c r="E91" i="5" s="1"/>
  <c r="F91" i="5" s="1"/>
  <c r="B92" i="5" s="1"/>
  <c r="D834" i="5"/>
  <c r="C834" i="5" s="1"/>
  <c r="E834" i="5" s="1"/>
  <c r="F834" i="5" s="1"/>
  <c r="B835" i="5" s="1"/>
  <c r="D462" i="5"/>
  <c r="C462" i="5"/>
  <c r="E462" i="5" s="1"/>
  <c r="F462" i="5" s="1"/>
  <c r="B463" i="5" s="1"/>
  <c r="D585" i="5"/>
  <c r="C585" i="5"/>
  <c r="E585" i="5" s="1"/>
  <c r="F585" i="5" s="1"/>
  <c r="B586" i="5" s="1"/>
  <c r="D215" i="5"/>
  <c r="C215" i="5"/>
  <c r="E215" i="5" s="1"/>
  <c r="F215" i="5" s="1"/>
  <c r="B216" i="5" s="1"/>
  <c r="F958" i="5"/>
  <c r="B959" i="5" s="1"/>
  <c r="D958" i="5"/>
  <c r="C958" i="5"/>
  <c r="E958" i="5" s="1"/>
  <c r="D339" i="5"/>
  <c r="C339" i="5"/>
  <c r="E339" i="5" s="1"/>
  <c r="F339" i="5" s="1"/>
  <c r="B340" i="5" s="1"/>
  <c r="D709" i="5"/>
  <c r="C709" i="5"/>
  <c r="E709" i="5" s="1"/>
  <c r="F709" i="5" s="1"/>
  <c r="B710" i="5" s="1"/>
  <c r="E8" i="3"/>
  <c r="AM7" i="3"/>
  <c r="AN7" i="3" s="1"/>
  <c r="AR7" i="2"/>
  <c r="AS7" i="2" s="1"/>
  <c r="F8" i="2"/>
  <c r="G8" i="2"/>
  <c r="AG8" i="2" l="1"/>
  <c r="D463" i="5"/>
  <c r="C463" i="5" s="1"/>
  <c r="E463" i="5" s="1"/>
  <c r="F463" i="5" s="1"/>
  <c r="B464" i="5" s="1"/>
  <c r="D340" i="5"/>
  <c r="C340" i="5" s="1"/>
  <c r="E340" i="5" s="1"/>
  <c r="F340" i="5" s="1"/>
  <c r="B341" i="5" s="1"/>
  <c r="D586" i="5"/>
  <c r="C586" i="5"/>
  <c r="E586" i="5" s="1"/>
  <c r="F586" i="5" s="1"/>
  <c r="B587" i="5" s="1"/>
  <c r="D710" i="5"/>
  <c r="C710" i="5" s="1"/>
  <c r="E710" i="5" s="1"/>
  <c r="F710" i="5" s="1"/>
  <c r="B711" i="5" s="1"/>
  <c r="D835" i="5"/>
  <c r="C835" i="5" s="1"/>
  <c r="E835" i="5" s="1"/>
  <c r="F835" i="5" s="1"/>
  <c r="B836" i="5" s="1"/>
  <c r="D216" i="5"/>
  <c r="C216" i="5" s="1"/>
  <c r="E216" i="5" s="1"/>
  <c r="F216" i="5" s="1"/>
  <c r="B217" i="5" s="1"/>
  <c r="D92" i="5"/>
  <c r="C92" i="5" s="1"/>
  <c r="E92" i="5" s="1"/>
  <c r="F92" i="5" s="1"/>
  <c r="B93" i="5" s="1"/>
  <c r="AO7" i="3"/>
  <c r="D959" i="5"/>
  <c r="C959" i="5"/>
  <c r="E959" i="5" s="1"/>
  <c r="F959" i="5" s="1"/>
  <c r="B960" i="5" s="1"/>
  <c r="AP7" i="3"/>
  <c r="AT7" i="2"/>
  <c r="AU7" i="2"/>
  <c r="F8" i="3"/>
  <c r="G8" i="3"/>
  <c r="AG8" i="3" l="1"/>
  <c r="D711" i="5"/>
  <c r="C711" i="5"/>
  <c r="E711" i="5" s="1"/>
  <c r="F711" i="5" s="1"/>
  <c r="B712" i="5" s="1"/>
  <c r="D836" i="5"/>
  <c r="C836" i="5" s="1"/>
  <c r="E836" i="5" s="1"/>
  <c r="F836" i="5" s="1"/>
  <c r="B837" i="5" s="1"/>
  <c r="D341" i="5"/>
  <c r="C341" i="5"/>
  <c r="E341" i="5" s="1"/>
  <c r="F341" i="5" s="1"/>
  <c r="B342" i="5" s="1"/>
  <c r="D217" i="5"/>
  <c r="C217" i="5" s="1"/>
  <c r="E217" i="5" s="1"/>
  <c r="F217" i="5" s="1"/>
  <c r="B218" i="5" s="1"/>
  <c r="D960" i="5"/>
  <c r="C960" i="5"/>
  <c r="E960" i="5" s="1"/>
  <c r="F960" i="5" s="1"/>
  <c r="B961" i="5" s="1"/>
  <c r="D464" i="5"/>
  <c r="C464" i="5"/>
  <c r="E464" i="5" s="1"/>
  <c r="F464" i="5" s="1"/>
  <c r="B465" i="5" s="1"/>
  <c r="D93" i="5"/>
  <c r="C93" i="5" s="1"/>
  <c r="E93" i="5" s="1"/>
  <c r="F93" i="5" s="1"/>
  <c r="B94" i="5" s="1"/>
  <c r="K8" i="2"/>
  <c r="AW7" i="2"/>
  <c r="AX7" i="2" s="1"/>
  <c r="H8" i="3"/>
  <c r="D587" i="5"/>
  <c r="C587" i="5" s="1"/>
  <c r="E587" i="5" s="1"/>
  <c r="F587" i="5" s="1"/>
  <c r="B588" i="5" s="1"/>
  <c r="AR7" i="3"/>
  <c r="AS7" i="3" s="1"/>
  <c r="AU7" i="3" l="1"/>
  <c r="D465" i="5"/>
  <c r="C465" i="5"/>
  <c r="E465" i="5" s="1"/>
  <c r="F465" i="5" s="1"/>
  <c r="B466" i="5" s="1"/>
  <c r="D588" i="5"/>
  <c r="C588" i="5" s="1"/>
  <c r="E588" i="5" s="1"/>
  <c r="F588" i="5" s="1"/>
  <c r="B589" i="5" s="1"/>
  <c r="D218" i="5"/>
  <c r="C218" i="5"/>
  <c r="E218" i="5" s="1"/>
  <c r="F218" i="5" s="1"/>
  <c r="B219" i="5" s="1"/>
  <c r="D712" i="5"/>
  <c r="C712" i="5"/>
  <c r="E712" i="5" s="1"/>
  <c r="F712" i="5" s="1"/>
  <c r="B713" i="5" s="1"/>
  <c r="D961" i="5"/>
  <c r="C961" i="5" s="1"/>
  <c r="E961" i="5" s="1"/>
  <c r="F961" i="5" s="1"/>
  <c r="B962" i="5" s="1"/>
  <c r="D837" i="5"/>
  <c r="C837" i="5" s="1"/>
  <c r="E837" i="5" s="1"/>
  <c r="F837" i="5" s="1"/>
  <c r="B838" i="5" s="1"/>
  <c r="D94" i="5"/>
  <c r="C94" i="5" s="1"/>
  <c r="E94" i="5" s="1"/>
  <c r="F94" i="5" s="1"/>
  <c r="B95" i="5" s="1"/>
  <c r="D342" i="5"/>
  <c r="C342" i="5"/>
  <c r="E342" i="5" s="1"/>
  <c r="F342" i="5" s="1"/>
  <c r="B343" i="5" s="1"/>
  <c r="AZ7" i="2"/>
  <c r="AW7" i="3"/>
  <c r="AX7" i="3" s="1"/>
  <c r="AY7" i="3" s="1"/>
  <c r="N8" i="3" s="1"/>
  <c r="AY7" i="2"/>
  <c r="AT7" i="3"/>
  <c r="L8" i="2"/>
  <c r="M8" i="2"/>
  <c r="I8" i="3"/>
  <c r="J8" i="3"/>
  <c r="AL8" i="3" l="1"/>
  <c r="AQ8" i="2"/>
  <c r="D219" i="5"/>
  <c r="C219" i="5" s="1"/>
  <c r="E219" i="5" s="1"/>
  <c r="F219" i="5" s="1"/>
  <c r="B220" i="5" s="1"/>
  <c r="D838" i="5"/>
  <c r="C838" i="5"/>
  <c r="E838" i="5" s="1"/>
  <c r="F838" i="5" s="1"/>
  <c r="B839" i="5" s="1"/>
  <c r="D713" i="5"/>
  <c r="C713" i="5" s="1"/>
  <c r="E713" i="5" s="1"/>
  <c r="F713" i="5" s="1"/>
  <c r="B714" i="5" s="1"/>
  <c r="D343" i="5"/>
  <c r="C343" i="5" s="1"/>
  <c r="E343" i="5" s="1"/>
  <c r="F343" i="5" s="1"/>
  <c r="B344" i="5" s="1"/>
  <c r="D962" i="5"/>
  <c r="C962" i="5" s="1"/>
  <c r="E962" i="5" s="1"/>
  <c r="F962" i="5" s="1"/>
  <c r="B963" i="5" s="1"/>
  <c r="D589" i="5"/>
  <c r="C589" i="5" s="1"/>
  <c r="E589" i="5" s="1"/>
  <c r="F589" i="5" s="1"/>
  <c r="B590" i="5" s="1"/>
  <c r="D95" i="5"/>
  <c r="C95" i="5" s="1"/>
  <c r="E95" i="5" s="1"/>
  <c r="F95" i="5" s="1"/>
  <c r="B96" i="5" s="1"/>
  <c r="N8" i="2"/>
  <c r="D466" i="5"/>
  <c r="C466" i="5" s="1"/>
  <c r="E466" i="5" s="1"/>
  <c r="F466" i="5" s="1"/>
  <c r="B467" i="5" s="1"/>
  <c r="AZ7" i="3"/>
  <c r="K8" i="3"/>
  <c r="BB7" i="2"/>
  <c r="BC7" i="2" s="1"/>
  <c r="O8" i="3"/>
  <c r="P8" i="3"/>
  <c r="AV8" i="3" l="1"/>
  <c r="D963" i="5"/>
  <c r="C963" i="5" s="1"/>
  <c r="E963" i="5" s="1"/>
  <c r="F963" i="5" s="1"/>
  <c r="B964" i="5" s="1"/>
  <c r="D96" i="5"/>
  <c r="C96" i="5"/>
  <c r="E96" i="5" s="1"/>
  <c r="F96" i="5" s="1"/>
  <c r="B97" i="5" s="1"/>
  <c r="D714" i="5"/>
  <c r="C714" i="5"/>
  <c r="E714" i="5" s="1"/>
  <c r="F714" i="5" s="1"/>
  <c r="B715" i="5" s="1"/>
  <c r="D220" i="5"/>
  <c r="C220" i="5"/>
  <c r="E220" i="5" s="1"/>
  <c r="F220" i="5" s="1"/>
  <c r="B221" i="5" s="1"/>
  <c r="D590" i="5"/>
  <c r="C590" i="5" s="1"/>
  <c r="E590" i="5" s="1"/>
  <c r="F590" i="5" s="1"/>
  <c r="B591" i="5" s="1"/>
  <c r="D344" i="5"/>
  <c r="C344" i="5" s="1"/>
  <c r="E344" i="5" s="1"/>
  <c r="F344" i="5" s="1"/>
  <c r="B345" i="5" s="1"/>
  <c r="D839" i="5"/>
  <c r="C839" i="5"/>
  <c r="E839" i="5" s="1"/>
  <c r="F839" i="5" s="1"/>
  <c r="B840" i="5" s="1"/>
  <c r="D467" i="5"/>
  <c r="C467" i="5"/>
  <c r="E467" i="5" s="1"/>
  <c r="F467" i="5" s="1"/>
  <c r="B468" i="5" s="1"/>
  <c r="BD7" i="2"/>
  <c r="BB7" i="3"/>
  <c r="BC7" i="3" s="1"/>
  <c r="BE7" i="2"/>
  <c r="L8" i="3"/>
  <c r="O8" i="2"/>
  <c r="P8" i="2"/>
  <c r="M8" i="3"/>
  <c r="AV8" i="2" l="1"/>
  <c r="AQ8" i="3"/>
  <c r="D840" i="5"/>
  <c r="C840" i="5" s="1"/>
  <c r="E840" i="5" s="1"/>
  <c r="F840" i="5" s="1"/>
  <c r="B841" i="5" s="1"/>
  <c r="D221" i="5"/>
  <c r="C221" i="5"/>
  <c r="E221" i="5" s="1"/>
  <c r="F221" i="5"/>
  <c r="B222" i="5" s="1"/>
  <c r="D345" i="5"/>
  <c r="C345" i="5" s="1"/>
  <c r="E345" i="5" s="1"/>
  <c r="F345" i="5" s="1"/>
  <c r="B346" i="5" s="1"/>
  <c r="D715" i="5"/>
  <c r="C715" i="5" s="1"/>
  <c r="E715" i="5" s="1"/>
  <c r="F715" i="5" s="1"/>
  <c r="B716" i="5" s="1"/>
  <c r="D468" i="5"/>
  <c r="C468" i="5" s="1"/>
  <c r="E468" i="5" s="1"/>
  <c r="F468" i="5" s="1"/>
  <c r="B469" i="5" s="1"/>
  <c r="D591" i="5"/>
  <c r="C591" i="5" s="1"/>
  <c r="E591" i="5" s="1"/>
  <c r="F591" i="5" s="1"/>
  <c r="B592" i="5" s="1"/>
  <c r="D97" i="5"/>
  <c r="C97" i="5" s="1"/>
  <c r="E97" i="5" s="1"/>
  <c r="F97" i="5" s="1"/>
  <c r="B98" i="5" s="1"/>
  <c r="D964" i="5"/>
  <c r="C964" i="5" s="1"/>
  <c r="E964" i="5" s="1"/>
  <c r="F964" i="5" s="1"/>
  <c r="B965" i="5" s="1"/>
  <c r="Q8" i="2"/>
  <c r="BG7" i="2"/>
  <c r="BH7" i="2" s="1"/>
  <c r="BD7" i="3"/>
  <c r="BE7" i="3"/>
  <c r="BJ7" i="2" l="1"/>
  <c r="BL7" i="2" s="1"/>
  <c r="BM7" i="2" s="1"/>
  <c r="BN7" i="2" s="1"/>
  <c r="W8" i="2" s="1"/>
  <c r="D716" i="5"/>
  <c r="C716" i="5"/>
  <c r="E716" i="5" s="1"/>
  <c r="F716" i="5" s="1"/>
  <c r="B717" i="5" s="1"/>
  <c r="D965" i="5"/>
  <c r="C965" i="5" s="1"/>
  <c r="E965" i="5" s="1"/>
  <c r="F965" i="5" s="1"/>
  <c r="B966" i="5" s="1"/>
  <c r="D98" i="5"/>
  <c r="C98" i="5" s="1"/>
  <c r="E98" i="5" s="1"/>
  <c r="F98" i="5" s="1"/>
  <c r="B99" i="5" s="1"/>
  <c r="D469" i="5"/>
  <c r="C469" i="5"/>
  <c r="E469" i="5" s="1"/>
  <c r="F469" i="5" s="1"/>
  <c r="B470" i="5" s="1"/>
  <c r="D346" i="5"/>
  <c r="C346" i="5"/>
  <c r="E346" i="5" s="1"/>
  <c r="F346" i="5" s="1"/>
  <c r="B347" i="5" s="1"/>
  <c r="D841" i="5"/>
  <c r="C841" i="5"/>
  <c r="E841" i="5" s="1"/>
  <c r="F841" i="5" s="1"/>
  <c r="B842" i="5" s="1"/>
  <c r="C592" i="5"/>
  <c r="E592" i="5" s="1"/>
  <c r="F592" i="5" s="1"/>
  <c r="B593" i="5" s="1"/>
  <c r="D592" i="5"/>
  <c r="S8" i="2"/>
  <c r="BG7" i="3"/>
  <c r="BH7" i="3" s="1"/>
  <c r="D222" i="5"/>
  <c r="C222" i="5"/>
  <c r="E222" i="5" s="1"/>
  <c r="F222" i="5" s="1"/>
  <c r="B223" i="5" s="1"/>
  <c r="Q8" i="3"/>
  <c r="Y8" i="2"/>
  <c r="BI7" i="2"/>
  <c r="BO7" i="2"/>
  <c r="X8" i="2"/>
  <c r="R8" i="2"/>
  <c r="BA8" i="2" l="1"/>
  <c r="BK8" i="2"/>
  <c r="D842" i="5"/>
  <c r="C842" i="5" s="1"/>
  <c r="E842" i="5" s="1"/>
  <c r="F842" i="5" s="1"/>
  <c r="B843" i="5" s="1"/>
  <c r="D223" i="5"/>
  <c r="C223" i="5"/>
  <c r="E223" i="5" s="1"/>
  <c r="F223" i="5" s="1"/>
  <c r="B224" i="5" s="1"/>
  <c r="D593" i="5"/>
  <c r="C593" i="5"/>
  <c r="E593" i="5" s="1"/>
  <c r="F593" i="5" s="1"/>
  <c r="B594" i="5" s="1"/>
  <c r="D966" i="5"/>
  <c r="C966" i="5"/>
  <c r="E966" i="5" s="1"/>
  <c r="F966" i="5" s="1"/>
  <c r="B967" i="5" s="1"/>
  <c r="D470" i="5"/>
  <c r="C470" i="5"/>
  <c r="E470" i="5" s="1"/>
  <c r="F470" i="5" s="1"/>
  <c r="B471" i="5" s="1"/>
  <c r="D99" i="5"/>
  <c r="C99" i="5" s="1"/>
  <c r="E99" i="5" s="1"/>
  <c r="F99" i="5" s="1"/>
  <c r="B100" i="5" s="1"/>
  <c r="D717" i="5"/>
  <c r="C717" i="5" s="1"/>
  <c r="E717" i="5" s="1"/>
  <c r="F717" i="5" s="1"/>
  <c r="B718" i="5" s="1"/>
  <c r="S8" i="3"/>
  <c r="D347" i="5"/>
  <c r="C347" i="5" s="1"/>
  <c r="E347" i="5" s="1"/>
  <c r="F347" i="5" s="1"/>
  <c r="B348" i="5" s="1"/>
  <c r="BJ7" i="3"/>
  <c r="BL7" i="3" s="1"/>
  <c r="BM7" i="3" s="1"/>
  <c r="BN7" i="3" s="1"/>
  <c r="W8" i="3" s="1"/>
  <c r="BI7" i="3"/>
  <c r="T8" i="2"/>
  <c r="BQ7" i="2"/>
  <c r="R8" i="3"/>
  <c r="BA8" i="3" l="1"/>
  <c r="D843" i="5"/>
  <c r="C843" i="5"/>
  <c r="E843" i="5" s="1"/>
  <c r="F843" i="5" s="1"/>
  <c r="B844" i="5" s="1"/>
  <c r="D471" i="5"/>
  <c r="C471" i="5"/>
  <c r="E471" i="5" s="1"/>
  <c r="F471" i="5" s="1"/>
  <c r="B472" i="5" s="1"/>
  <c r="D718" i="5"/>
  <c r="C718" i="5"/>
  <c r="E718" i="5" s="1"/>
  <c r="F718" i="5" s="1"/>
  <c r="B719" i="5" s="1"/>
  <c r="D967" i="5"/>
  <c r="C967" i="5"/>
  <c r="E967" i="5" s="1"/>
  <c r="F967" i="5" s="1"/>
  <c r="B968" i="5" s="1"/>
  <c r="D348" i="5"/>
  <c r="C348" i="5"/>
  <c r="E348" i="5" s="1"/>
  <c r="F348" i="5" s="1"/>
  <c r="B349" i="5" s="1"/>
  <c r="D224" i="5"/>
  <c r="C224" i="5"/>
  <c r="E224" i="5" s="1"/>
  <c r="F224" i="5" s="1"/>
  <c r="B225" i="5" s="1"/>
  <c r="D100" i="5"/>
  <c r="C100" i="5" s="1"/>
  <c r="E100" i="5" s="1"/>
  <c r="F100" i="5" s="1"/>
  <c r="B101" i="5" s="1"/>
  <c r="D594" i="5"/>
  <c r="C594" i="5"/>
  <c r="E594" i="5" s="1"/>
  <c r="F594" i="5"/>
  <c r="B595" i="5" s="1"/>
  <c r="T8" i="3"/>
  <c r="BQ7" i="3"/>
  <c r="Y8" i="3"/>
  <c r="V8" i="2"/>
  <c r="BO7" i="3"/>
  <c r="U8" i="2"/>
  <c r="X8" i="3"/>
  <c r="BK8" i="3" l="1"/>
  <c r="BP8" i="2"/>
  <c r="BF8" i="2"/>
  <c r="D101" i="5"/>
  <c r="C101" i="5"/>
  <c r="E101" i="5" s="1"/>
  <c r="F101" i="5" s="1"/>
  <c r="B102" i="5" s="1"/>
  <c r="D719" i="5"/>
  <c r="C719" i="5" s="1"/>
  <c r="E719" i="5" s="1"/>
  <c r="F719" i="5" s="1"/>
  <c r="B720" i="5" s="1"/>
  <c r="D349" i="5"/>
  <c r="C349" i="5" s="1"/>
  <c r="E349" i="5" s="1"/>
  <c r="F349" i="5" s="1"/>
  <c r="B350" i="5" s="1"/>
  <c r="D472" i="5"/>
  <c r="C472" i="5"/>
  <c r="E472" i="5" s="1"/>
  <c r="F472" i="5" s="1"/>
  <c r="B473" i="5" s="1"/>
  <c r="D844" i="5"/>
  <c r="C844" i="5" s="1"/>
  <c r="E844" i="5" s="1"/>
  <c r="F844" i="5" s="1"/>
  <c r="B845" i="5" s="1"/>
  <c r="D225" i="5"/>
  <c r="C225" i="5" s="1"/>
  <c r="E225" i="5" s="1"/>
  <c r="F225" i="5" s="1"/>
  <c r="B226" i="5" s="1"/>
  <c r="Z8" i="2"/>
  <c r="AA8" i="2" s="1"/>
  <c r="D968" i="5"/>
  <c r="C968" i="5" s="1"/>
  <c r="E968" i="5" s="1"/>
  <c r="F968" i="5" s="1"/>
  <c r="B969" i="5" s="1"/>
  <c r="V8" i="3"/>
  <c r="D595" i="5"/>
  <c r="C595" i="5"/>
  <c r="E595" i="5" s="1"/>
  <c r="F595" i="5" s="1"/>
  <c r="B596" i="5" s="1"/>
  <c r="U8" i="3"/>
  <c r="BP8" i="3" l="1"/>
  <c r="BF8" i="3"/>
  <c r="D226" i="5"/>
  <c r="C226" i="5"/>
  <c r="E226" i="5" s="1"/>
  <c r="F226" i="5" s="1"/>
  <c r="B227" i="5" s="1"/>
  <c r="D845" i="5"/>
  <c r="C845" i="5" s="1"/>
  <c r="E845" i="5" s="1"/>
  <c r="F845" i="5" s="1"/>
  <c r="B846" i="5" s="1"/>
  <c r="D720" i="5"/>
  <c r="C720" i="5" s="1"/>
  <c r="E720" i="5" s="1"/>
  <c r="F720" i="5" s="1"/>
  <c r="B721" i="5" s="1"/>
  <c r="D350" i="5"/>
  <c r="C350" i="5"/>
  <c r="E350" i="5" s="1"/>
  <c r="F350" i="5" s="1"/>
  <c r="B351" i="5" s="1"/>
  <c r="D596" i="5"/>
  <c r="C596" i="5" s="1"/>
  <c r="E596" i="5" s="1"/>
  <c r="F596" i="5" s="1"/>
  <c r="B597" i="5" s="1"/>
  <c r="D969" i="5"/>
  <c r="C969" i="5" s="1"/>
  <c r="E969" i="5" s="1"/>
  <c r="F969" i="5" s="1"/>
  <c r="B970" i="5" s="1"/>
  <c r="D473" i="5"/>
  <c r="C473" i="5" s="1"/>
  <c r="E473" i="5" s="1"/>
  <c r="F473" i="5" s="1"/>
  <c r="B474" i="5" s="1"/>
  <c r="D102" i="5"/>
  <c r="C102" i="5"/>
  <c r="E102" i="5" s="1"/>
  <c r="F102" i="5" s="1"/>
  <c r="B103" i="5" s="1"/>
  <c r="Z8" i="3"/>
  <c r="AA8" i="3" s="1"/>
  <c r="AC8" i="2"/>
  <c r="AD8" i="2" s="1"/>
  <c r="D474" i="5" l="1"/>
  <c r="C474" i="5"/>
  <c r="E474" i="5" s="1"/>
  <c r="F474" i="5" s="1"/>
  <c r="B475" i="5" s="1"/>
  <c r="D970" i="5"/>
  <c r="C970" i="5"/>
  <c r="E970" i="5" s="1"/>
  <c r="F970" i="5" s="1"/>
  <c r="B971" i="5" s="1"/>
  <c r="D351" i="5"/>
  <c r="C351" i="5"/>
  <c r="E351" i="5" s="1"/>
  <c r="F351" i="5" s="1"/>
  <c r="B352" i="5" s="1"/>
  <c r="D721" i="5"/>
  <c r="C721" i="5" s="1"/>
  <c r="E721" i="5" s="1"/>
  <c r="F721" i="5" s="1"/>
  <c r="B722" i="5" s="1"/>
  <c r="D227" i="5"/>
  <c r="C227" i="5"/>
  <c r="E227" i="5" s="1"/>
  <c r="F227" i="5" s="1"/>
  <c r="B228" i="5" s="1"/>
  <c r="D597" i="5"/>
  <c r="C597" i="5"/>
  <c r="E597" i="5" s="1"/>
  <c r="F597" i="5" s="1"/>
  <c r="B598" i="5" s="1"/>
  <c r="D846" i="5"/>
  <c r="C846" i="5" s="1"/>
  <c r="E846" i="5" s="1"/>
  <c r="F846" i="5" s="1"/>
  <c r="B847" i="5" s="1"/>
  <c r="D103" i="5"/>
  <c r="C103" i="5" s="1"/>
  <c r="E103" i="5" s="1"/>
  <c r="F103" i="5" s="1"/>
  <c r="B104" i="5" s="1"/>
  <c r="AF8" i="2"/>
  <c r="AE8" i="2"/>
  <c r="AC8" i="3"/>
  <c r="AD8" i="3" s="1"/>
  <c r="D722" i="5" l="1"/>
  <c r="C722" i="5" s="1"/>
  <c r="E722" i="5" s="1"/>
  <c r="F722" i="5" s="1"/>
  <c r="B723" i="5" s="1"/>
  <c r="D598" i="5"/>
  <c r="C598" i="5" s="1"/>
  <c r="E598" i="5" s="1"/>
  <c r="F598" i="5" s="1"/>
  <c r="B599" i="5" s="1"/>
  <c r="D352" i="5"/>
  <c r="C352" i="5"/>
  <c r="E352" i="5" s="1"/>
  <c r="F352" i="5" s="1"/>
  <c r="B353" i="5" s="1"/>
  <c r="D475" i="5"/>
  <c r="C475" i="5" s="1"/>
  <c r="E475" i="5" s="1"/>
  <c r="F475" i="5" s="1"/>
  <c r="B476" i="5" s="1"/>
  <c r="D847" i="5"/>
  <c r="C847" i="5"/>
  <c r="E847" i="5" s="1"/>
  <c r="F847" i="5" s="1"/>
  <c r="B848" i="5" s="1"/>
  <c r="D228" i="5"/>
  <c r="C228" i="5" s="1"/>
  <c r="E228" i="5" s="1"/>
  <c r="F228" i="5" s="1"/>
  <c r="B229" i="5" s="1"/>
  <c r="D971" i="5"/>
  <c r="C971" i="5"/>
  <c r="E971" i="5" s="1"/>
  <c r="F971" i="5" s="1"/>
  <c r="B972" i="5" s="1"/>
  <c r="D104" i="5"/>
  <c r="C104" i="5" s="1"/>
  <c r="E104" i="5" s="1"/>
  <c r="F104" i="5" s="1"/>
  <c r="B105" i="5" s="1"/>
  <c r="AE8" i="3"/>
  <c r="B9" i="2"/>
  <c r="AF8" i="3"/>
  <c r="AH8" i="2"/>
  <c r="AI8" i="2" s="1"/>
  <c r="D476" i="5" l="1"/>
  <c r="C476" i="5" s="1"/>
  <c r="E476" i="5" s="1"/>
  <c r="F476" i="5" s="1"/>
  <c r="B477" i="5" s="1"/>
  <c r="D105" i="5"/>
  <c r="C105" i="5"/>
  <c r="E105" i="5" s="1"/>
  <c r="F105" i="5" s="1"/>
  <c r="B106" i="5" s="1"/>
  <c r="D972" i="5"/>
  <c r="C972" i="5"/>
  <c r="E972" i="5" s="1"/>
  <c r="F972" i="5" s="1"/>
  <c r="B973" i="5" s="1"/>
  <c r="D599" i="5"/>
  <c r="C599" i="5" s="1"/>
  <c r="E599" i="5" s="1"/>
  <c r="F599" i="5" s="1"/>
  <c r="B600" i="5" s="1"/>
  <c r="D229" i="5"/>
  <c r="C229" i="5" s="1"/>
  <c r="E229" i="5" s="1"/>
  <c r="F229" i="5" s="1"/>
  <c r="B230" i="5" s="1"/>
  <c r="D353" i="5"/>
  <c r="C353" i="5" s="1"/>
  <c r="E353" i="5" s="1"/>
  <c r="F353" i="5" s="1"/>
  <c r="B354" i="5" s="1"/>
  <c r="D723" i="5"/>
  <c r="C723" i="5"/>
  <c r="E723" i="5" s="1"/>
  <c r="F723" i="5" s="1"/>
  <c r="B724" i="5" s="1"/>
  <c r="AK8" i="2"/>
  <c r="C848" i="5"/>
  <c r="E848" i="5" s="1"/>
  <c r="F848" i="5" s="1"/>
  <c r="B849" i="5" s="1"/>
  <c r="D848" i="5"/>
  <c r="AJ8" i="2"/>
  <c r="AH8" i="3"/>
  <c r="AI8" i="3" s="1"/>
  <c r="B9" i="3"/>
  <c r="C9" i="2"/>
  <c r="D9" i="2"/>
  <c r="AK8" i="3" l="1"/>
  <c r="AB9" i="2"/>
  <c r="D849" i="5"/>
  <c r="C849" i="5"/>
  <c r="E849" i="5" s="1"/>
  <c r="F849" i="5" s="1"/>
  <c r="B850" i="5" s="1"/>
  <c r="D724" i="5"/>
  <c r="C724" i="5" s="1"/>
  <c r="E724" i="5" s="1"/>
  <c r="F724" i="5" s="1"/>
  <c r="B725" i="5" s="1"/>
  <c r="D106" i="5"/>
  <c r="C106" i="5"/>
  <c r="E106" i="5" s="1"/>
  <c r="F106" i="5" s="1"/>
  <c r="B107" i="5" s="1"/>
  <c r="D230" i="5"/>
  <c r="C230" i="5"/>
  <c r="E230" i="5" s="1"/>
  <c r="F230" i="5" s="1"/>
  <c r="B231" i="5" s="1"/>
  <c r="D973" i="5"/>
  <c r="C973" i="5" s="1"/>
  <c r="E973" i="5" s="1"/>
  <c r="F973" i="5" s="1"/>
  <c r="B974" i="5" s="1"/>
  <c r="D354" i="5"/>
  <c r="C354" i="5" s="1"/>
  <c r="E354" i="5" s="1"/>
  <c r="F354" i="5" s="1"/>
  <c r="B355" i="5" s="1"/>
  <c r="D600" i="5"/>
  <c r="C600" i="5" s="1"/>
  <c r="E600" i="5" s="1"/>
  <c r="F600" i="5" s="1"/>
  <c r="B601" i="5" s="1"/>
  <c r="D477" i="5"/>
  <c r="C477" i="5"/>
  <c r="E477" i="5" s="1"/>
  <c r="F477" i="5" s="1"/>
  <c r="B478" i="5" s="1"/>
  <c r="AM8" i="2"/>
  <c r="AN8" i="2" s="1"/>
  <c r="AM8" i="3"/>
  <c r="AN8" i="3" s="1"/>
  <c r="AO8" i="3" s="1"/>
  <c r="H9" i="3" s="1"/>
  <c r="AJ8" i="3"/>
  <c r="E9" i="2"/>
  <c r="C9" i="3"/>
  <c r="D9" i="3"/>
  <c r="AB9" i="3" l="1"/>
  <c r="D974" i="5"/>
  <c r="C974" i="5"/>
  <c r="E974" i="5" s="1"/>
  <c r="F974" i="5" s="1"/>
  <c r="B975" i="5" s="1"/>
  <c r="D231" i="5"/>
  <c r="C231" i="5" s="1"/>
  <c r="E231" i="5" s="1"/>
  <c r="F231" i="5" s="1"/>
  <c r="B232" i="5" s="1"/>
  <c r="D850" i="5"/>
  <c r="C850" i="5"/>
  <c r="E850" i="5" s="1"/>
  <c r="F850" i="5" s="1"/>
  <c r="B851" i="5" s="1"/>
  <c r="D355" i="5"/>
  <c r="C355" i="5"/>
  <c r="E355" i="5" s="1"/>
  <c r="F355" i="5"/>
  <c r="B356" i="5" s="1"/>
  <c r="D725" i="5"/>
  <c r="C725" i="5" s="1"/>
  <c r="E725" i="5" s="1"/>
  <c r="F725" i="5" s="1"/>
  <c r="B726" i="5" s="1"/>
  <c r="D478" i="5"/>
  <c r="C478" i="5" s="1"/>
  <c r="E478" i="5" s="1"/>
  <c r="F478" i="5" s="1"/>
  <c r="B479" i="5" s="1"/>
  <c r="D601" i="5"/>
  <c r="C601" i="5"/>
  <c r="E601" i="5" s="1"/>
  <c r="F601" i="5" s="1"/>
  <c r="B602" i="5" s="1"/>
  <c r="AP8" i="2"/>
  <c r="AO8" i="2"/>
  <c r="D107" i="5"/>
  <c r="C107" i="5"/>
  <c r="E107" i="5" s="1"/>
  <c r="F107" i="5" s="1"/>
  <c r="B108" i="5" s="1"/>
  <c r="AP8" i="3"/>
  <c r="E9" i="3"/>
  <c r="I9" i="3"/>
  <c r="J9" i="3"/>
  <c r="F9" i="2"/>
  <c r="G9" i="2"/>
  <c r="AG9" i="2" l="1"/>
  <c r="AL9" i="3"/>
  <c r="D479" i="5"/>
  <c r="C479" i="5"/>
  <c r="E479" i="5" s="1"/>
  <c r="F479" i="5" s="1"/>
  <c r="B480" i="5" s="1"/>
  <c r="D232" i="5"/>
  <c r="C232" i="5" s="1"/>
  <c r="E232" i="5" s="1"/>
  <c r="F232" i="5" s="1"/>
  <c r="B233" i="5" s="1"/>
  <c r="D726" i="5"/>
  <c r="C726" i="5" s="1"/>
  <c r="E726" i="5" s="1"/>
  <c r="F726" i="5" s="1"/>
  <c r="B727" i="5" s="1"/>
  <c r="D108" i="5"/>
  <c r="C108" i="5"/>
  <c r="E108" i="5" s="1"/>
  <c r="F108" i="5" s="1"/>
  <c r="B109" i="5" s="1"/>
  <c r="D975" i="5"/>
  <c r="C975" i="5" s="1"/>
  <c r="E975" i="5" s="1"/>
  <c r="F975" i="5" s="1"/>
  <c r="B976" i="5" s="1"/>
  <c r="D851" i="5"/>
  <c r="C851" i="5" s="1"/>
  <c r="E851" i="5" s="1"/>
  <c r="F851" i="5" s="1"/>
  <c r="B852" i="5" s="1"/>
  <c r="D356" i="5"/>
  <c r="C356" i="5" s="1"/>
  <c r="E356" i="5" s="1"/>
  <c r="F356" i="5" s="1"/>
  <c r="B357" i="5" s="1"/>
  <c r="D602" i="5"/>
  <c r="C602" i="5" s="1"/>
  <c r="E602" i="5" s="1"/>
  <c r="F602" i="5" s="1"/>
  <c r="B603" i="5" s="1"/>
  <c r="AR8" i="3"/>
  <c r="AS8" i="3" s="1"/>
  <c r="H9" i="2"/>
  <c r="AR8" i="2"/>
  <c r="AS8" i="2" s="1"/>
  <c r="F9" i="3"/>
  <c r="G9" i="3"/>
  <c r="AU8" i="3" l="1"/>
  <c r="AG9" i="3"/>
  <c r="D109" i="5"/>
  <c r="C109" i="5" s="1"/>
  <c r="E109" i="5" s="1"/>
  <c r="F109" i="5" s="1"/>
  <c r="B110" i="5" s="1"/>
  <c r="D357" i="5"/>
  <c r="C357" i="5" s="1"/>
  <c r="E357" i="5" s="1"/>
  <c r="F357" i="5" s="1"/>
  <c r="B358" i="5" s="1"/>
  <c r="D727" i="5"/>
  <c r="C727" i="5"/>
  <c r="E727" i="5" s="1"/>
  <c r="F727" i="5" s="1"/>
  <c r="B728" i="5" s="1"/>
  <c r="D976" i="5"/>
  <c r="C976" i="5" s="1"/>
  <c r="E976" i="5" s="1"/>
  <c r="F976" i="5" s="1"/>
  <c r="B977" i="5" s="1"/>
  <c r="D480" i="5"/>
  <c r="C480" i="5"/>
  <c r="E480" i="5" s="1"/>
  <c r="F480" i="5" s="1"/>
  <c r="B481" i="5" s="1"/>
  <c r="D852" i="5"/>
  <c r="C852" i="5" s="1"/>
  <c r="E852" i="5" s="1"/>
  <c r="F852" i="5" s="1"/>
  <c r="B853" i="5" s="1"/>
  <c r="D233" i="5"/>
  <c r="C233" i="5" s="1"/>
  <c r="E233" i="5" s="1"/>
  <c r="F233" i="5" s="1"/>
  <c r="B234" i="5" s="1"/>
  <c r="D603" i="5"/>
  <c r="C603" i="5"/>
  <c r="E603" i="5" s="1"/>
  <c r="F603" i="5" s="1"/>
  <c r="B604" i="5" s="1"/>
  <c r="AT8" i="3"/>
  <c r="AW8" i="3"/>
  <c r="AX8" i="3" s="1"/>
  <c r="AY8" i="3" s="1"/>
  <c r="N9" i="3" s="1"/>
  <c r="AT8" i="2"/>
  <c r="AU8" i="2"/>
  <c r="I9" i="2"/>
  <c r="J9" i="2"/>
  <c r="AZ8" i="3" l="1"/>
  <c r="AL9" i="2"/>
  <c r="D853" i="5"/>
  <c r="C853" i="5"/>
  <c r="E853" i="5" s="1"/>
  <c r="F853" i="5" s="1"/>
  <c r="B854" i="5" s="1"/>
  <c r="D481" i="5"/>
  <c r="C481" i="5" s="1"/>
  <c r="E481" i="5" s="1"/>
  <c r="F481" i="5" s="1"/>
  <c r="B482" i="5" s="1"/>
  <c r="D977" i="5"/>
  <c r="C977" i="5" s="1"/>
  <c r="E977" i="5" s="1"/>
  <c r="F977" i="5" s="1"/>
  <c r="B978" i="5" s="1"/>
  <c r="D110" i="5"/>
  <c r="C110" i="5"/>
  <c r="E110" i="5" s="1"/>
  <c r="F110" i="5" s="1"/>
  <c r="B111" i="5" s="1"/>
  <c r="D234" i="5"/>
  <c r="C234" i="5" s="1"/>
  <c r="E234" i="5" s="1"/>
  <c r="F234" i="5" s="1"/>
  <c r="B235" i="5" s="1"/>
  <c r="D358" i="5"/>
  <c r="C358" i="5" s="1"/>
  <c r="E358" i="5" s="1"/>
  <c r="F358" i="5" s="1"/>
  <c r="B359" i="5" s="1"/>
  <c r="D604" i="5"/>
  <c r="C604" i="5" s="1"/>
  <c r="E604" i="5" s="1"/>
  <c r="F604" i="5" s="1"/>
  <c r="B605" i="5" s="1"/>
  <c r="K9" i="3"/>
  <c r="BB8" i="3"/>
  <c r="BC8" i="3" s="1"/>
  <c r="K9" i="2"/>
  <c r="D728" i="5"/>
  <c r="C728" i="5"/>
  <c r="E728" i="5" s="1"/>
  <c r="F728" i="5" s="1"/>
  <c r="B729" i="5" s="1"/>
  <c r="AW8" i="2"/>
  <c r="AX8" i="2" s="1"/>
  <c r="O9" i="3"/>
  <c r="P9" i="3"/>
  <c r="BE8" i="3" l="1"/>
  <c r="AZ8" i="2"/>
  <c r="AV9" i="3"/>
  <c r="D605" i="5"/>
  <c r="C605" i="5"/>
  <c r="E605" i="5" s="1"/>
  <c r="F605" i="5" s="1"/>
  <c r="B606" i="5" s="1"/>
  <c r="D359" i="5"/>
  <c r="C359" i="5"/>
  <c r="E359" i="5" s="1"/>
  <c r="F359" i="5" s="1"/>
  <c r="B360" i="5" s="1"/>
  <c r="D729" i="5"/>
  <c r="C729" i="5"/>
  <c r="E729" i="5" s="1"/>
  <c r="F729" i="5" s="1"/>
  <c r="B730" i="5" s="1"/>
  <c r="D235" i="5"/>
  <c r="C235" i="5"/>
  <c r="E235" i="5" s="1"/>
  <c r="F235" i="5" s="1"/>
  <c r="B236" i="5" s="1"/>
  <c r="D482" i="5"/>
  <c r="C482" i="5" s="1"/>
  <c r="E482" i="5" s="1"/>
  <c r="F482" i="5" s="1"/>
  <c r="B483" i="5" s="1"/>
  <c r="D111" i="5"/>
  <c r="C111" i="5"/>
  <c r="E111" i="5" s="1"/>
  <c r="F111" i="5" s="1"/>
  <c r="B112" i="5" s="1"/>
  <c r="D978" i="5"/>
  <c r="C978" i="5"/>
  <c r="E978" i="5" s="1"/>
  <c r="F978" i="5" s="1"/>
  <c r="B979" i="5" s="1"/>
  <c r="D854" i="5"/>
  <c r="C854" i="5" s="1"/>
  <c r="E854" i="5" s="1"/>
  <c r="F854" i="5" s="1"/>
  <c r="B855" i="5" s="1"/>
  <c r="BB8" i="2"/>
  <c r="BC8" i="2" s="1"/>
  <c r="BD8" i="2" s="1"/>
  <c r="Q9" i="2" s="1"/>
  <c r="BG8" i="3"/>
  <c r="BH8" i="3" s="1"/>
  <c r="BI8" i="3" s="1"/>
  <c r="T9" i="3" s="1"/>
  <c r="BD8" i="3"/>
  <c r="AY8" i="2"/>
  <c r="L9" i="2"/>
  <c r="L9" i="3"/>
  <c r="M9" i="3"/>
  <c r="M9" i="2"/>
  <c r="AQ9" i="3" l="1"/>
  <c r="AQ9" i="2"/>
  <c r="D112" i="5"/>
  <c r="C112" i="5" s="1"/>
  <c r="E112" i="5" s="1"/>
  <c r="F112" i="5" s="1"/>
  <c r="B113" i="5" s="1"/>
  <c r="D855" i="5"/>
  <c r="C855" i="5"/>
  <c r="E855" i="5" s="1"/>
  <c r="F855" i="5" s="1"/>
  <c r="B856" i="5" s="1"/>
  <c r="D483" i="5"/>
  <c r="C483" i="5"/>
  <c r="E483" i="5" s="1"/>
  <c r="F483" i="5" s="1"/>
  <c r="B484" i="5" s="1"/>
  <c r="D730" i="5"/>
  <c r="C730" i="5"/>
  <c r="E730" i="5" s="1"/>
  <c r="F730" i="5" s="1"/>
  <c r="B731" i="5" s="1"/>
  <c r="D606" i="5"/>
  <c r="C606" i="5" s="1"/>
  <c r="E606" i="5" s="1"/>
  <c r="F606" i="5" s="1"/>
  <c r="B607" i="5" s="1"/>
  <c r="D236" i="5"/>
  <c r="C236" i="5" s="1"/>
  <c r="E236" i="5" s="1"/>
  <c r="F236" i="5" s="1"/>
  <c r="B237" i="5" s="1"/>
  <c r="D360" i="5"/>
  <c r="C360" i="5"/>
  <c r="E360" i="5" s="1"/>
  <c r="F360" i="5" s="1"/>
  <c r="B361" i="5" s="1"/>
  <c r="D979" i="5"/>
  <c r="C979" i="5"/>
  <c r="E979" i="5" s="1"/>
  <c r="F979" i="5" s="1"/>
  <c r="B980" i="5" s="1"/>
  <c r="N9" i="2"/>
  <c r="Q9" i="3"/>
  <c r="S9" i="2"/>
  <c r="BJ8" i="3"/>
  <c r="BL8" i="3" s="1"/>
  <c r="BM8" i="3" s="1"/>
  <c r="V9" i="3"/>
  <c r="BE8" i="2"/>
  <c r="R9" i="2"/>
  <c r="U9" i="3"/>
  <c r="BF9" i="3" l="1"/>
  <c r="BA9" i="2"/>
  <c r="D607" i="5"/>
  <c r="C607" i="5" s="1"/>
  <c r="E607" i="5" s="1"/>
  <c r="F607" i="5" s="1"/>
  <c r="B608" i="5" s="1"/>
  <c r="D856" i="5"/>
  <c r="C856" i="5" s="1"/>
  <c r="E856" i="5" s="1"/>
  <c r="F856" i="5" s="1"/>
  <c r="B857" i="5" s="1"/>
  <c r="D484" i="5"/>
  <c r="C484" i="5" s="1"/>
  <c r="E484" i="5" s="1"/>
  <c r="F484" i="5" s="1"/>
  <c r="B485" i="5" s="1"/>
  <c r="D361" i="5"/>
  <c r="C361" i="5"/>
  <c r="E361" i="5" s="1"/>
  <c r="F361" i="5" s="1"/>
  <c r="B362" i="5" s="1"/>
  <c r="D731" i="5"/>
  <c r="C731" i="5" s="1"/>
  <c r="E731" i="5" s="1"/>
  <c r="F731" i="5" s="1"/>
  <c r="B732" i="5" s="1"/>
  <c r="D980" i="5"/>
  <c r="C980" i="5"/>
  <c r="E980" i="5" s="1"/>
  <c r="F980" i="5" s="1"/>
  <c r="B981" i="5" s="1"/>
  <c r="D113" i="5"/>
  <c r="C113" i="5" s="1"/>
  <c r="E113" i="5" s="1"/>
  <c r="F113" i="5" s="1"/>
  <c r="B114" i="5" s="1"/>
  <c r="D237" i="5"/>
  <c r="C237" i="5" s="1"/>
  <c r="E237" i="5" s="1"/>
  <c r="F237" i="5" s="1"/>
  <c r="B238" i="5" s="1"/>
  <c r="BN8" i="3"/>
  <c r="BO8" i="3"/>
  <c r="BG8" i="2"/>
  <c r="BH8" i="2" s="1"/>
  <c r="S9" i="3"/>
  <c r="O9" i="2"/>
  <c r="P9" i="2"/>
  <c r="R9" i="3"/>
  <c r="BA9" i="3" l="1"/>
  <c r="AV9" i="2"/>
  <c r="D857" i="5"/>
  <c r="C857" i="5" s="1"/>
  <c r="E857" i="5" s="1"/>
  <c r="F857" i="5" s="1"/>
  <c r="B858" i="5" s="1"/>
  <c r="D981" i="5"/>
  <c r="C981" i="5"/>
  <c r="E981" i="5" s="1"/>
  <c r="F981" i="5" s="1"/>
  <c r="B982" i="5" s="1"/>
  <c r="D608" i="5"/>
  <c r="C608" i="5"/>
  <c r="E608" i="5" s="1"/>
  <c r="F608" i="5" s="1"/>
  <c r="B609" i="5" s="1"/>
  <c r="D732" i="5"/>
  <c r="C732" i="5"/>
  <c r="E732" i="5" s="1"/>
  <c r="F732" i="5" s="1"/>
  <c r="B733" i="5" s="1"/>
  <c r="D362" i="5"/>
  <c r="C362" i="5" s="1"/>
  <c r="E362" i="5" s="1"/>
  <c r="F362" i="5" s="1"/>
  <c r="B363" i="5" s="1"/>
  <c r="D238" i="5"/>
  <c r="C238" i="5" s="1"/>
  <c r="E238" i="5" s="1"/>
  <c r="F238" i="5" s="1"/>
  <c r="B239" i="5" s="1"/>
  <c r="D485" i="5"/>
  <c r="C485" i="5" s="1"/>
  <c r="E485" i="5" s="1"/>
  <c r="F485" i="5" s="1"/>
  <c r="B486" i="5" s="1"/>
  <c r="D114" i="5"/>
  <c r="C114" i="5"/>
  <c r="E114" i="5" s="1"/>
  <c r="F114" i="5"/>
  <c r="B115" i="5" s="1"/>
  <c r="BJ8" i="2"/>
  <c r="BL8" i="2" s="1"/>
  <c r="BM8" i="2" s="1"/>
  <c r="BN8" i="2" s="1"/>
  <c r="W9" i="2" s="1"/>
  <c r="BI8" i="2"/>
  <c r="W9" i="3"/>
  <c r="BQ8" i="3"/>
  <c r="D363" i="5" l="1"/>
  <c r="C363" i="5"/>
  <c r="E363" i="5" s="1"/>
  <c r="F363" i="5"/>
  <c r="B364" i="5" s="1"/>
  <c r="D609" i="5"/>
  <c r="C609" i="5"/>
  <c r="E609" i="5" s="1"/>
  <c r="F609" i="5" s="1"/>
  <c r="B610" i="5" s="1"/>
  <c r="D239" i="5"/>
  <c r="C239" i="5"/>
  <c r="E239" i="5" s="1"/>
  <c r="F239" i="5" s="1"/>
  <c r="B240" i="5" s="1"/>
  <c r="D858" i="5"/>
  <c r="C858" i="5" s="1"/>
  <c r="E858" i="5" s="1"/>
  <c r="F858" i="5" s="1"/>
  <c r="B859" i="5" s="1"/>
  <c r="D733" i="5"/>
  <c r="C733" i="5"/>
  <c r="E733" i="5" s="1"/>
  <c r="F733" i="5" s="1"/>
  <c r="B734" i="5" s="1"/>
  <c r="D486" i="5"/>
  <c r="C486" i="5" s="1"/>
  <c r="E486" i="5" s="1"/>
  <c r="F486" i="5" s="1"/>
  <c r="B487" i="5" s="1"/>
  <c r="D982" i="5"/>
  <c r="C982" i="5"/>
  <c r="E982" i="5" s="1"/>
  <c r="F982" i="5" s="1"/>
  <c r="B983" i="5" s="1"/>
  <c r="BO8" i="2"/>
  <c r="Y9" i="2"/>
  <c r="T9" i="2"/>
  <c r="BQ8" i="2"/>
  <c r="D115" i="5"/>
  <c r="C115" i="5" s="1"/>
  <c r="E115" i="5" s="1"/>
  <c r="F115" i="5" s="1"/>
  <c r="B116" i="5" s="1"/>
  <c r="Y9" i="3"/>
  <c r="X9" i="2"/>
  <c r="X9" i="3"/>
  <c r="BP9" i="3" l="1"/>
  <c r="BK9" i="3"/>
  <c r="BK9" i="2"/>
  <c r="D116" i="5"/>
  <c r="C116" i="5"/>
  <c r="E116" i="5" s="1"/>
  <c r="F116" i="5" s="1"/>
  <c r="B117" i="5" s="1"/>
  <c r="D734" i="5"/>
  <c r="C734" i="5" s="1"/>
  <c r="E734" i="5" s="1"/>
  <c r="F734" i="5" s="1"/>
  <c r="B735" i="5" s="1"/>
  <c r="D610" i="5"/>
  <c r="C610" i="5"/>
  <c r="E610" i="5" s="1"/>
  <c r="F610" i="5" s="1"/>
  <c r="B611" i="5" s="1"/>
  <c r="D487" i="5"/>
  <c r="C487" i="5" s="1"/>
  <c r="E487" i="5" s="1"/>
  <c r="F487" i="5" s="1"/>
  <c r="B488" i="5" s="1"/>
  <c r="D859" i="5"/>
  <c r="C859" i="5"/>
  <c r="E859" i="5" s="1"/>
  <c r="F859" i="5" s="1"/>
  <c r="B860" i="5" s="1"/>
  <c r="D240" i="5"/>
  <c r="C240" i="5" s="1"/>
  <c r="E240" i="5" s="1"/>
  <c r="F240" i="5" s="1"/>
  <c r="B241" i="5" s="1"/>
  <c r="D983" i="5"/>
  <c r="C983" i="5" s="1"/>
  <c r="E983" i="5" s="1"/>
  <c r="F983" i="5" s="1"/>
  <c r="B984" i="5" s="1"/>
  <c r="V9" i="2"/>
  <c r="D364" i="5"/>
  <c r="C364" i="5"/>
  <c r="E364" i="5" s="1"/>
  <c r="F364" i="5" s="1"/>
  <c r="B365" i="5" s="1"/>
  <c r="Z9" i="3"/>
  <c r="AA9" i="3" s="1"/>
  <c r="U9" i="2"/>
  <c r="BP9" i="2" l="1"/>
  <c r="BF9" i="2"/>
  <c r="D860" i="5"/>
  <c r="C860" i="5" s="1"/>
  <c r="E860" i="5" s="1"/>
  <c r="F860" i="5" s="1"/>
  <c r="B861" i="5" s="1"/>
  <c r="D365" i="5"/>
  <c r="C365" i="5"/>
  <c r="E365" i="5" s="1"/>
  <c r="F365" i="5" s="1"/>
  <c r="B366" i="5" s="1"/>
  <c r="D735" i="5"/>
  <c r="C735" i="5" s="1"/>
  <c r="E735" i="5" s="1"/>
  <c r="F735" i="5" s="1"/>
  <c r="B736" i="5" s="1"/>
  <c r="D984" i="5"/>
  <c r="C984" i="5" s="1"/>
  <c r="E984" i="5" s="1"/>
  <c r="F984" i="5" s="1"/>
  <c r="B985" i="5" s="1"/>
  <c r="D488" i="5"/>
  <c r="C488" i="5" s="1"/>
  <c r="E488" i="5" s="1"/>
  <c r="F488" i="5" s="1"/>
  <c r="B489" i="5" s="1"/>
  <c r="D117" i="5"/>
  <c r="C117" i="5" s="1"/>
  <c r="E117" i="5" s="1"/>
  <c r="F117" i="5" s="1"/>
  <c r="B118" i="5" s="1"/>
  <c r="D241" i="5"/>
  <c r="C241" i="5" s="1"/>
  <c r="E241" i="5" s="1"/>
  <c r="F241" i="5" s="1"/>
  <c r="B242" i="5" s="1"/>
  <c r="D611" i="5"/>
  <c r="C611" i="5"/>
  <c r="E611" i="5" s="1"/>
  <c r="F611" i="5" s="1"/>
  <c r="B612" i="5" s="1"/>
  <c r="Z9" i="2"/>
  <c r="AA9" i="2" s="1"/>
  <c r="AC9" i="3"/>
  <c r="AD9" i="3" s="1"/>
  <c r="D489" i="5" l="1"/>
  <c r="C489" i="5"/>
  <c r="E489" i="5" s="1"/>
  <c r="F489" i="5"/>
  <c r="B490" i="5" s="1"/>
  <c r="D612" i="5"/>
  <c r="C612" i="5" s="1"/>
  <c r="E612" i="5" s="1"/>
  <c r="F612" i="5" s="1"/>
  <c r="B613" i="5" s="1"/>
  <c r="D366" i="5"/>
  <c r="C366" i="5" s="1"/>
  <c r="E366" i="5" s="1"/>
  <c r="F366" i="5" s="1"/>
  <c r="B367" i="5" s="1"/>
  <c r="D242" i="5"/>
  <c r="C242" i="5"/>
  <c r="E242" i="5" s="1"/>
  <c r="F242" i="5" s="1"/>
  <c r="B243" i="5" s="1"/>
  <c r="D736" i="5"/>
  <c r="C736" i="5" s="1"/>
  <c r="E736" i="5" s="1"/>
  <c r="F736" i="5" s="1"/>
  <c r="B737" i="5" s="1"/>
  <c r="D861" i="5"/>
  <c r="C861" i="5"/>
  <c r="E861" i="5" s="1"/>
  <c r="F861" i="5" s="1"/>
  <c r="B862" i="5" s="1"/>
  <c r="D118" i="5"/>
  <c r="C118" i="5"/>
  <c r="E118" i="5" s="1"/>
  <c r="F118" i="5" s="1"/>
  <c r="B119" i="5" s="1"/>
  <c r="AC9" i="2"/>
  <c r="AD9" i="2" s="1"/>
  <c r="D985" i="5"/>
  <c r="C985" i="5" s="1"/>
  <c r="E985" i="5" s="1"/>
  <c r="F985" i="5" s="1"/>
  <c r="B986" i="5" s="1"/>
  <c r="AE9" i="3"/>
  <c r="AF9" i="3"/>
  <c r="D367" i="5" l="1"/>
  <c r="C367" i="5"/>
  <c r="E367" i="5" s="1"/>
  <c r="F367" i="5" s="1"/>
  <c r="B368" i="5" s="1"/>
  <c r="D862" i="5"/>
  <c r="C862" i="5"/>
  <c r="E862" i="5" s="1"/>
  <c r="F862" i="5" s="1"/>
  <c r="B863" i="5" s="1"/>
  <c r="D613" i="5"/>
  <c r="C613" i="5"/>
  <c r="E613" i="5" s="1"/>
  <c r="F613" i="5" s="1"/>
  <c r="B614" i="5" s="1"/>
  <c r="D243" i="5"/>
  <c r="C243" i="5" s="1"/>
  <c r="E243" i="5" s="1"/>
  <c r="F243" i="5" s="1"/>
  <c r="B244" i="5" s="1"/>
  <c r="D986" i="5"/>
  <c r="C986" i="5"/>
  <c r="E986" i="5" s="1"/>
  <c r="F986" i="5" s="1"/>
  <c r="B987" i="5" s="1"/>
  <c r="D119" i="5"/>
  <c r="C119" i="5" s="1"/>
  <c r="E119" i="5" s="1"/>
  <c r="F119" i="5" s="1"/>
  <c r="B120" i="5" s="1"/>
  <c r="AH9" i="3"/>
  <c r="AI9" i="3" s="1"/>
  <c r="D490" i="5"/>
  <c r="C490" i="5" s="1"/>
  <c r="E490" i="5" s="1"/>
  <c r="F490" i="5" s="1"/>
  <c r="B491" i="5" s="1"/>
  <c r="AF9" i="2"/>
  <c r="B10" i="3"/>
  <c r="AE9" i="2"/>
  <c r="D737" i="5"/>
  <c r="C737" i="5"/>
  <c r="E737" i="5" s="1"/>
  <c r="F737" i="5" s="1"/>
  <c r="B738" i="5" s="1"/>
  <c r="D120" i="5" l="1"/>
  <c r="C120" i="5"/>
  <c r="E120" i="5" s="1"/>
  <c r="F120" i="5" s="1"/>
  <c r="B121" i="5" s="1"/>
  <c r="D738" i="5"/>
  <c r="C738" i="5" s="1"/>
  <c r="E738" i="5" s="1"/>
  <c r="F738" i="5" s="1"/>
  <c r="B739" i="5" s="1"/>
  <c r="D244" i="5"/>
  <c r="C244" i="5"/>
  <c r="E244" i="5" s="1"/>
  <c r="F244" i="5" s="1"/>
  <c r="B245" i="5" s="1"/>
  <c r="D614" i="5"/>
  <c r="C614" i="5" s="1"/>
  <c r="E614" i="5" s="1"/>
  <c r="F614" i="5" s="1"/>
  <c r="B615" i="5" s="1"/>
  <c r="D368" i="5"/>
  <c r="C368" i="5" s="1"/>
  <c r="E368" i="5" s="1"/>
  <c r="F368" i="5" s="1"/>
  <c r="B369" i="5" s="1"/>
  <c r="D987" i="5"/>
  <c r="C987" i="5" s="1"/>
  <c r="E987" i="5" s="1"/>
  <c r="F987" i="5" s="1"/>
  <c r="B988" i="5" s="1"/>
  <c r="D863" i="5"/>
  <c r="C863" i="5"/>
  <c r="E863" i="5" s="1"/>
  <c r="F863" i="5" s="1"/>
  <c r="B864" i="5" s="1"/>
  <c r="D491" i="5"/>
  <c r="C491" i="5"/>
  <c r="E491" i="5" s="1"/>
  <c r="F491" i="5" s="1"/>
  <c r="B492" i="5" s="1"/>
  <c r="AH9" i="2"/>
  <c r="AI9" i="2" s="1"/>
  <c r="AJ9" i="3"/>
  <c r="AK9" i="3"/>
  <c r="B10" i="2"/>
  <c r="C10" i="3"/>
  <c r="D10" i="3"/>
  <c r="AB10" i="3" l="1"/>
  <c r="D492" i="5"/>
  <c r="C492" i="5"/>
  <c r="E492" i="5" s="1"/>
  <c r="F492" i="5" s="1"/>
  <c r="B493" i="5" s="1"/>
  <c r="D988" i="5"/>
  <c r="C988" i="5" s="1"/>
  <c r="E988" i="5" s="1"/>
  <c r="F988" i="5" s="1"/>
  <c r="B989" i="5" s="1"/>
  <c r="D369" i="5"/>
  <c r="C369" i="5"/>
  <c r="E369" i="5" s="1"/>
  <c r="F369" i="5" s="1"/>
  <c r="B370" i="5" s="1"/>
  <c r="D245" i="5"/>
  <c r="C245" i="5"/>
  <c r="E245" i="5" s="1"/>
  <c r="F245" i="5" s="1"/>
  <c r="B246" i="5" s="1"/>
  <c r="D864" i="5"/>
  <c r="C864" i="5"/>
  <c r="E864" i="5" s="1"/>
  <c r="F864" i="5" s="1"/>
  <c r="B865" i="5" s="1"/>
  <c r="D615" i="5"/>
  <c r="C615" i="5" s="1"/>
  <c r="E615" i="5" s="1"/>
  <c r="F615" i="5" s="1"/>
  <c r="B616" i="5" s="1"/>
  <c r="D739" i="5"/>
  <c r="C739" i="5"/>
  <c r="E739" i="5" s="1"/>
  <c r="F739" i="5" s="1"/>
  <c r="B740" i="5" s="1"/>
  <c r="D121" i="5"/>
  <c r="C121" i="5"/>
  <c r="E121" i="5" s="1"/>
  <c r="F121" i="5" s="1"/>
  <c r="B122" i="5" s="1"/>
  <c r="AM9" i="3"/>
  <c r="AN9" i="3" s="1"/>
  <c r="E10" i="3"/>
  <c r="AJ9" i="2"/>
  <c r="AK9" i="2"/>
  <c r="C10" i="2"/>
  <c r="D10" i="2"/>
  <c r="AB10" i="2" l="1"/>
  <c r="D246" i="5"/>
  <c r="C246" i="5"/>
  <c r="E246" i="5" s="1"/>
  <c r="F246" i="5" s="1"/>
  <c r="B247" i="5" s="1"/>
  <c r="D989" i="5"/>
  <c r="C989" i="5" s="1"/>
  <c r="E989" i="5" s="1"/>
  <c r="F989" i="5" s="1"/>
  <c r="B990" i="5" s="1"/>
  <c r="D865" i="5"/>
  <c r="C865" i="5" s="1"/>
  <c r="E865" i="5" s="1"/>
  <c r="F865" i="5" s="1"/>
  <c r="B866" i="5" s="1"/>
  <c r="D122" i="5"/>
  <c r="C122" i="5"/>
  <c r="E122" i="5" s="1"/>
  <c r="F122" i="5" s="1"/>
  <c r="B123" i="5" s="1"/>
  <c r="D493" i="5"/>
  <c r="C493" i="5" s="1"/>
  <c r="E493" i="5" s="1"/>
  <c r="F493" i="5" s="1"/>
  <c r="B494" i="5" s="1"/>
  <c r="D616" i="5"/>
  <c r="C616" i="5" s="1"/>
  <c r="E616" i="5" s="1"/>
  <c r="F616" i="5" s="1"/>
  <c r="B617" i="5" s="1"/>
  <c r="D370" i="5"/>
  <c r="C370" i="5" s="1"/>
  <c r="E370" i="5" s="1"/>
  <c r="F370" i="5" s="1"/>
  <c r="B371" i="5" s="1"/>
  <c r="D740" i="5"/>
  <c r="C740" i="5" s="1"/>
  <c r="E740" i="5" s="1"/>
  <c r="F740" i="5" s="1"/>
  <c r="B741" i="5" s="1"/>
  <c r="AP9" i="3"/>
  <c r="E10" i="2"/>
  <c r="AO9" i="3"/>
  <c r="AM9" i="2"/>
  <c r="AN9" i="2" s="1"/>
  <c r="F10" i="3"/>
  <c r="G10" i="3"/>
  <c r="AG10" i="3" l="1"/>
  <c r="D741" i="5"/>
  <c r="C741" i="5" s="1"/>
  <c r="E741" i="5" s="1"/>
  <c r="F741" i="5" s="1"/>
  <c r="B742" i="5" s="1"/>
  <c r="D617" i="5"/>
  <c r="C617" i="5" s="1"/>
  <c r="E617" i="5" s="1"/>
  <c r="F617" i="5" s="1"/>
  <c r="B618" i="5" s="1"/>
  <c r="D123" i="5"/>
  <c r="C123" i="5"/>
  <c r="E123" i="5" s="1"/>
  <c r="F123" i="5" s="1"/>
  <c r="B124" i="5" s="1"/>
  <c r="D866" i="5"/>
  <c r="C866" i="5" s="1"/>
  <c r="E866" i="5" s="1"/>
  <c r="F866" i="5" s="1"/>
  <c r="B867" i="5" s="1"/>
  <c r="D371" i="5"/>
  <c r="C371" i="5"/>
  <c r="E371" i="5" s="1"/>
  <c r="F371" i="5" s="1"/>
  <c r="B372" i="5" s="1"/>
  <c r="D494" i="5"/>
  <c r="C494" i="5"/>
  <c r="E494" i="5" s="1"/>
  <c r="F494" i="5" s="1"/>
  <c r="B495" i="5" s="1"/>
  <c r="D990" i="5"/>
  <c r="C990" i="5"/>
  <c r="E990" i="5" s="1"/>
  <c r="F990" i="5" s="1"/>
  <c r="B991" i="5" s="1"/>
  <c r="D247" i="5"/>
  <c r="C247" i="5"/>
  <c r="E247" i="5" s="1"/>
  <c r="F247" i="5" s="1"/>
  <c r="B248" i="5" s="1"/>
  <c r="AO9" i="2"/>
  <c r="AP9" i="2"/>
  <c r="AR9" i="3"/>
  <c r="AS9" i="3" s="1"/>
  <c r="H10" i="3"/>
  <c r="F10" i="2"/>
  <c r="G10" i="2"/>
  <c r="AG10" i="2" l="1"/>
  <c r="D867" i="5"/>
  <c r="C867" i="5" s="1"/>
  <c r="E867" i="5" s="1"/>
  <c r="F867" i="5" s="1"/>
  <c r="B868" i="5" s="1"/>
  <c r="D372" i="5"/>
  <c r="C372" i="5" s="1"/>
  <c r="E372" i="5" s="1"/>
  <c r="F372" i="5" s="1"/>
  <c r="B373" i="5" s="1"/>
  <c r="D248" i="5"/>
  <c r="C248" i="5" s="1"/>
  <c r="E248" i="5" s="1"/>
  <c r="F248" i="5" s="1"/>
  <c r="B249" i="5" s="1"/>
  <c r="D495" i="5"/>
  <c r="C495" i="5"/>
  <c r="E495" i="5" s="1"/>
  <c r="F495" i="5" s="1"/>
  <c r="B496" i="5" s="1"/>
  <c r="D618" i="5"/>
  <c r="C618" i="5"/>
  <c r="E618" i="5" s="1"/>
  <c r="F618" i="5" s="1"/>
  <c r="B619" i="5" s="1"/>
  <c r="D742" i="5"/>
  <c r="C742" i="5" s="1"/>
  <c r="E742" i="5" s="1"/>
  <c r="F742" i="5" s="1"/>
  <c r="B743" i="5" s="1"/>
  <c r="D991" i="5"/>
  <c r="C991" i="5" s="1"/>
  <c r="E991" i="5" s="1"/>
  <c r="F991" i="5" s="1"/>
  <c r="B992" i="5" s="1"/>
  <c r="H10" i="2"/>
  <c r="AR9" i="2"/>
  <c r="AS9" i="2" s="1"/>
  <c r="D124" i="5"/>
  <c r="C124" i="5" s="1"/>
  <c r="E124" i="5" s="1"/>
  <c r="F124" i="5" s="1"/>
  <c r="B125" i="5" s="1"/>
  <c r="AT9" i="3"/>
  <c r="AU9" i="3"/>
  <c r="I10" i="3"/>
  <c r="J10" i="3"/>
  <c r="AU9" i="2" l="1"/>
  <c r="AL10" i="3"/>
  <c r="D125" i="5"/>
  <c r="B126" i="5" s="1"/>
  <c r="C125" i="5"/>
  <c r="E125" i="5" s="1"/>
  <c r="F125" i="5" s="1"/>
  <c r="D496" i="5"/>
  <c r="C496" i="5" s="1"/>
  <c r="E496" i="5" s="1"/>
  <c r="F496" i="5" s="1"/>
  <c r="B497" i="5" s="1"/>
  <c r="D868" i="5"/>
  <c r="C868" i="5" s="1"/>
  <c r="E868" i="5" s="1"/>
  <c r="F868" i="5" s="1"/>
  <c r="B869" i="5" s="1"/>
  <c r="D743" i="5"/>
  <c r="C743" i="5"/>
  <c r="E743" i="5" s="1"/>
  <c r="F743" i="5" s="1"/>
  <c r="B744" i="5" s="1"/>
  <c r="D373" i="5"/>
  <c r="B374" i="5" s="1"/>
  <c r="C373" i="5"/>
  <c r="E373" i="5" s="1"/>
  <c r="F373" i="5" s="1"/>
  <c r="D992" i="5"/>
  <c r="C992" i="5" s="1"/>
  <c r="E992" i="5" s="1"/>
  <c r="F992" i="5" s="1"/>
  <c r="B993" i="5" s="1"/>
  <c r="D619" i="5"/>
  <c r="C619" i="5"/>
  <c r="E619" i="5" s="1"/>
  <c r="F619" i="5" s="1"/>
  <c r="B620" i="5" s="1"/>
  <c r="AW9" i="2"/>
  <c r="AX9" i="2" s="1"/>
  <c r="AY9" i="2" s="1"/>
  <c r="N10" i="2" s="1"/>
  <c r="D249" i="5"/>
  <c r="B250" i="5" s="1"/>
  <c r="C249" i="5"/>
  <c r="E249" i="5" s="1"/>
  <c r="F249" i="5" s="1"/>
  <c r="AW9" i="3"/>
  <c r="AX9" i="3" s="1"/>
  <c r="AT9" i="2"/>
  <c r="K10" i="3"/>
  <c r="I10" i="2"/>
  <c r="J10" i="2"/>
  <c r="AZ9" i="3" l="1"/>
  <c r="AL10" i="2"/>
  <c r="D744" i="5"/>
  <c r="C744" i="5"/>
  <c r="E744" i="5" s="1"/>
  <c r="F744" i="5" s="1"/>
  <c r="B745" i="5" s="1"/>
  <c r="D869" i="5"/>
  <c r="B870" i="5" s="1"/>
  <c r="D497" i="5"/>
  <c r="B498" i="5" s="1"/>
  <c r="D993" i="5"/>
  <c r="B994" i="5" s="1"/>
  <c r="D620" i="5"/>
  <c r="C620" i="5" s="1"/>
  <c r="E620" i="5" s="1"/>
  <c r="F620" i="5" s="1"/>
  <c r="B621" i="5" s="1"/>
  <c r="BB9" i="3"/>
  <c r="BC9" i="3" s="1"/>
  <c r="BD9" i="3" s="1"/>
  <c r="Q10" i="3" s="1"/>
  <c r="K10" i="2"/>
  <c r="AZ9" i="2"/>
  <c r="AY9" i="3"/>
  <c r="L10" i="3"/>
  <c r="O10" i="2"/>
  <c r="M10" i="3"/>
  <c r="P10" i="2"/>
  <c r="AV10" i="2" l="1"/>
  <c r="AQ10" i="3"/>
  <c r="D621" i="5"/>
  <c r="B622" i="5" s="1"/>
  <c r="F1" i="5" s="1"/>
  <c r="F2" i="5" s="1"/>
  <c r="B21" i="1" s="1"/>
  <c r="D745" i="5"/>
  <c r="B746" i="5" s="1"/>
  <c r="BB9" i="2"/>
  <c r="BC9" i="2" s="1"/>
  <c r="C869" i="5"/>
  <c r="E869" i="5" s="1"/>
  <c r="F869" i="5" s="1"/>
  <c r="BE9" i="3"/>
  <c r="S10" i="3"/>
  <c r="N10" i="3"/>
  <c r="C993" i="5"/>
  <c r="E993" i="5" s="1"/>
  <c r="F993" i="5" s="1"/>
  <c r="C497" i="5"/>
  <c r="E497" i="5" s="1"/>
  <c r="F497" i="5" s="1"/>
  <c r="L10" i="2"/>
  <c r="M10" i="2"/>
  <c r="R10" i="3"/>
  <c r="C745" i="5" l="1"/>
  <c r="E745" i="5" s="1"/>
  <c r="F745" i="5" s="1"/>
  <c r="BE9" i="2"/>
  <c r="BA10" i="3"/>
  <c r="AQ10" i="2"/>
  <c r="BD9" i="2"/>
  <c r="C621" i="5"/>
  <c r="E621" i="5" s="1"/>
  <c r="F621" i="5" s="1"/>
  <c r="BG9" i="2"/>
  <c r="BH9" i="2" s="1"/>
  <c r="BI9" i="2" s="1"/>
  <c r="T10" i="2" s="1"/>
  <c r="BG9" i="3"/>
  <c r="BH9" i="3" s="1"/>
  <c r="O10" i="3"/>
  <c r="P10" i="3"/>
  <c r="AV10" i="3" l="1"/>
  <c r="BI9" i="3"/>
  <c r="Q10" i="2"/>
  <c r="BJ9" i="3"/>
  <c r="BL9" i="3" s="1"/>
  <c r="BM9" i="3" s="1"/>
  <c r="BN9" i="3" s="1"/>
  <c r="W10" i="3" s="1"/>
  <c r="BJ9" i="2"/>
  <c r="BL9" i="2" s="1"/>
  <c r="BM9" i="2" s="1"/>
  <c r="V10" i="2"/>
  <c r="U10" i="2"/>
  <c r="BF10" i="2" l="1"/>
  <c r="Y10" i="3"/>
  <c r="BN9" i="2"/>
  <c r="BO9" i="2"/>
  <c r="BO9" i="3"/>
  <c r="S10" i="2"/>
  <c r="T10" i="3"/>
  <c r="BQ9" i="3"/>
  <c r="R10" i="2"/>
  <c r="X10" i="3"/>
  <c r="BK10" i="3" l="1"/>
  <c r="BA10" i="2"/>
  <c r="V10" i="3"/>
  <c r="W10" i="2"/>
  <c r="BQ9" i="2"/>
  <c r="U10" i="3"/>
  <c r="BP10" i="3" l="1"/>
  <c r="BF10" i="3"/>
  <c r="Y10" i="2"/>
  <c r="Z10" i="3"/>
  <c r="AA10" i="3" s="1"/>
  <c r="X10" i="2"/>
  <c r="BP10" i="2" l="1"/>
  <c r="BK10" i="2"/>
  <c r="Z10" i="2"/>
  <c r="AA10" i="2" s="1"/>
  <c r="AC10" i="3"/>
  <c r="AD10" i="3" s="1"/>
  <c r="AF10" i="3" l="1"/>
  <c r="AE10" i="3"/>
  <c r="AC10" i="2"/>
  <c r="AD10" i="2" s="1"/>
  <c r="AF10" i="2" l="1"/>
  <c r="AE10" i="2"/>
  <c r="B11" i="3"/>
  <c r="AH10" i="3"/>
  <c r="AI10" i="3" s="1"/>
  <c r="AK10" i="3" l="1"/>
  <c r="AJ10" i="3"/>
  <c r="B11" i="2"/>
  <c r="AH10" i="2"/>
  <c r="AI10" i="2" s="1"/>
  <c r="C11" i="3"/>
  <c r="D11" i="3"/>
  <c r="AB11" i="3" l="1"/>
  <c r="AJ10" i="2"/>
  <c r="AK10" i="2"/>
  <c r="E11" i="3"/>
  <c r="AM10" i="3"/>
  <c r="AN10" i="3" s="1"/>
  <c r="C11" i="2"/>
  <c r="D11" i="2"/>
  <c r="AB11" i="2" l="1"/>
  <c r="AO10" i="3"/>
  <c r="AM10" i="2"/>
  <c r="AN10" i="2" s="1"/>
  <c r="AP10" i="3"/>
  <c r="E11" i="2"/>
  <c r="F11" i="3"/>
  <c r="G11" i="3"/>
  <c r="AG11" i="3" l="1"/>
  <c r="AO10" i="2"/>
  <c r="AP10" i="2"/>
  <c r="AR10" i="3"/>
  <c r="AS10" i="3" s="1"/>
  <c r="H11" i="3"/>
  <c r="F11" i="2"/>
  <c r="G11" i="2"/>
  <c r="AG11" i="2" l="1"/>
  <c r="AR10" i="2"/>
  <c r="AS10" i="2" s="1"/>
  <c r="AT10" i="3"/>
  <c r="H11" i="2"/>
  <c r="AU10" i="3"/>
  <c r="I11" i="3"/>
  <c r="J11" i="3"/>
  <c r="AL11" i="3" l="1"/>
  <c r="AT10" i="2"/>
  <c r="AU10" i="2"/>
  <c r="K11" i="3"/>
  <c r="AW10" i="3"/>
  <c r="AX10" i="3" s="1"/>
  <c r="I11" i="2"/>
  <c r="J11" i="2"/>
  <c r="AL11" i="2" l="1"/>
  <c r="AZ10" i="3"/>
  <c r="AY10" i="3"/>
  <c r="AW10" i="2"/>
  <c r="AX10" i="2" s="1"/>
  <c r="K11" i="2"/>
  <c r="L11" i="3"/>
  <c r="M11" i="3"/>
  <c r="AQ11" i="3" l="1"/>
  <c r="N11" i="3"/>
  <c r="BB10" i="3"/>
  <c r="BC10" i="3" s="1"/>
  <c r="AY10" i="2"/>
  <c r="AZ10" i="2"/>
  <c r="L11" i="2"/>
  <c r="M11" i="2"/>
  <c r="AQ11" i="2" l="1"/>
  <c r="N11" i="2"/>
  <c r="BD10" i="3"/>
  <c r="BE10" i="3"/>
  <c r="BB10" i="2"/>
  <c r="BC10" i="2" s="1"/>
  <c r="O11" i="3"/>
  <c r="P11" i="3"/>
  <c r="AV11" i="3" l="1"/>
  <c r="BG10" i="3"/>
  <c r="BH10" i="3" s="1"/>
  <c r="BD10" i="2"/>
  <c r="Q11" i="3"/>
  <c r="BE10" i="2"/>
  <c r="O11" i="2"/>
  <c r="P11" i="2"/>
  <c r="AV11" i="2" l="1"/>
  <c r="BI10" i="3"/>
  <c r="BJ10" i="3"/>
  <c r="BL10" i="3" s="1"/>
  <c r="BM10" i="3" s="1"/>
  <c r="BN10" i="3" s="1"/>
  <c r="W11" i="3" s="1"/>
  <c r="S11" i="3"/>
  <c r="Q11" i="2"/>
  <c r="BG10" i="2"/>
  <c r="BH10" i="2" s="1"/>
  <c r="R11" i="3"/>
  <c r="BJ10" i="2" l="1"/>
  <c r="BL10" i="2" s="1"/>
  <c r="BM10" i="2" s="1"/>
  <c r="BN10" i="2" s="1"/>
  <c r="W11" i="2" s="1"/>
  <c r="BA11" i="3"/>
  <c r="Y11" i="3"/>
  <c r="BO10" i="3"/>
  <c r="Y11" i="2"/>
  <c r="T11" i="3"/>
  <c r="BQ10" i="3"/>
  <c r="BI10" i="2"/>
  <c r="BO10" i="2"/>
  <c r="S11" i="2"/>
  <c r="X11" i="3"/>
  <c r="R11" i="2"/>
  <c r="X11" i="2"/>
  <c r="BK11" i="2" l="1"/>
  <c r="BA11" i="2"/>
  <c r="BK11" i="3"/>
  <c r="T11" i="2"/>
  <c r="BQ10" i="2"/>
  <c r="V11" i="3"/>
  <c r="U11" i="3"/>
  <c r="BP11" i="3" l="1"/>
  <c r="BF11" i="3"/>
  <c r="V11" i="2"/>
  <c r="Z11" i="3"/>
  <c r="AA11" i="3" s="1"/>
  <c r="U11" i="2"/>
  <c r="BP11" i="2" l="1"/>
  <c r="BF11" i="2"/>
  <c r="AC11" i="3"/>
  <c r="AD11" i="3" s="1"/>
  <c r="Z11" i="2"/>
  <c r="AA11" i="2" s="1"/>
  <c r="AC11" i="2" l="1"/>
  <c r="AD11" i="2" s="1"/>
  <c r="AE11" i="3"/>
  <c r="AF11" i="3"/>
  <c r="B12" i="3" l="1"/>
  <c r="AH11" i="3"/>
  <c r="AI11" i="3" s="1"/>
  <c r="AE11" i="2"/>
  <c r="AF11" i="2"/>
  <c r="AH11" i="2" l="1"/>
  <c r="AI11" i="2" s="1"/>
  <c r="B12" i="2"/>
  <c r="AJ11" i="3"/>
  <c r="AK11" i="3"/>
  <c r="C12" i="3"/>
  <c r="D12" i="3"/>
  <c r="AB12" i="3" l="1"/>
  <c r="AM11" i="3"/>
  <c r="AN11" i="3" s="1"/>
  <c r="E12" i="3"/>
  <c r="AJ11" i="2"/>
  <c r="AK11" i="2"/>
  <c r="C12" i="2"/>
  <c r="D12" i="2"/>
  <c r="AB12" i="2" l="1"/>
  <c r="AM11" i="2"/>
  <c r="AN11" i="2" s="1"/>
  <c r="AO11" i="3"/>
  <c r="AP11" i="3"/>
  <c r="E12" i="2"/>
  <c r="F12" i="3"/>
  <c r="G12" i="3"/>
  <c r="AG12" i="3" l="1"/>
  <c r="H12" i="3"/>
  <c r="AO11" i="2"/>
  <c r="AP11" i="2"/>
  <c r="AR11" i="3"/>
  <c r="AS11" i="3" s="1"/>
  <c r="F12" i="2"/>
  <c r="G12" i="2"/>
  <c r="AU11" i="3" l="1"/>
  <c r="AG12" i="2"/>
  <c r="AW11" i="3"/>
  <c r="AX11" i="3" s="1"/>
  <c r="AY11" i="3" s="1"/>
  <c r="N12" i="3" s="1"/>
  <c r="AR11" i="2"/>
  <c r="AS11" i="2" s="1"/>
  <c r="AT11" i="3"/>
  <c r="H12" i="2"/>
  <c r="I12" i="3"/>
  <c r="J12" i="3"/>
  <c r="AU11" i="2" l="1"/>
  <c r="AL12" i="3"/>
  <c r="AZ11" i="3"/>
  <c r="AW11" i="2"/>
  <c r="AX11" i="2" s="1"/>
  <c r="AY11" i="2" s="1"/>
  <c r="N12" i="2" s="1"/>
  <c r="K12" i="3"/>
  <c r="AT11" i="2"/>
  <c r="I12" i="2"/>
  <c r="O12" i="3"/>
  <c r="J12" i="2"/>
  <c r="P12" i="3"/>
  <c r="AV12" i="3" l="1"/>
  <c r="AL12" i="2"/>
  <c r="K12" i="2"/>
  <c r="AZ11" i="2"/>
  <c r="BB11" i="3"/>
  <c r="BC11" i="3" s="1"/>
  <c r="L12" i="3"/>
  <c r="O12" i="2"/>
  <c r="M12" i="3"/>
  <c r="P12" i="2"/>
  <c r="AV12" i="2" l="1"/>
  <c r="AQ12" i="3"/>
  <c r="BB11" i="2"/>
  <c r="BC11" i="2" s="1"/>
  <c r="BD11" i="3"/>
  <c r="BE11" i="3"/>
  <c r="L12" i="2"/>
  <c r="M12" i="2"/>
  <c r="AQ12" i="2" l="1"/>
  <c r="BE11" i="2"/>
  <c r="BD11" i="2"/>
  <c r="Q12" i="3"/>
  <c r="BG11" i="3"/>
  <c r="BH11" i="3" s="1"/>
  <c r="BJ11" i="3" l="1"/>
  <c r="BL11" i="3" s="1"/>
  <c r="BM11" i="3" s="1"/>
  <c r="BN11" i="3" s="1"/>
  <c r="W12" i="3" s="1"/>
  <c r="Y12" i="3" s="1"/>
  <c r="BG11" i="2"/>
  <c r="BH11" i="2" s="1"/>
  <c r="S12" i="3"/>
  <c r="Q12" i="2"/>
  <c r="BI11" i="3"/>
  <c r="BO11" i="3"/>
  <c r="R12" i="3"/>
  <c r="X12" i="3"/>
  <c r="BK12" i="3" l="1"/>
  <c r="BA12" i="3"/>
  <c r="BJ11" i="2"/>
  <c r="BL11" i="2" s="1"/>
  <c r="BM11" i="2" s="1"/>
  <c r="BN11" i="2" s="1"/>
  <c r="W12" i="2" s="1"/>
  <c r="S12" i="2"/>
  <c r="BI11" i="2"/>
  <c r="T12" i="3"/>
  <c r="BQ11" i="3"/>
  <c r="R12" i="2"/>
  <c r="BA12" i="2" l="1"/>
  <c r="BO11" i="2"/>
  <c r="Y12" i="2"/>
  <c r="T12" i="2"/>
  <c r="BQ11" i="2"/>
  <c r="V12" i="3"/>
  <c r="U12" i="3"/>
  <c r="X12" i="2"/>
  <c r="BK12" i="2" l="1"/>
  <c r="BP12" i="3"/>
  <c r="BF12" i="3"/>
  <c r="Z12" i="3"/>
  <c r="AA12" i="3" s="1"/>
  <c r="V12" i="2"/>
  <c r="U12" i="2"/>
  <c r="BP12" i="2" l="1"/>
  <c r="BF12" i="2"/>
  <c r="AC12" i="3"/>
  <c r="AD12" i="3" s="1"/>
  <c r="Z12" i="2"/>
  <c r="AA12" i="2" s="1"/>
  <c r="AC12" i="2" l="1"/>
  <c r="AD12" i="2" s="1"/>
  <c r="AE12" i="3"/>
  <c r="AF12" i="3"/>
  <c r="AH12" i="3" l="1"/>
  <c r="AI12" i="3" s="1"/>
  <c r="B13" i="3"/>
  <c r="AE12" i="2"/>
  <c r="AF12" i="2"/>
  <c r="B13" i="2" l="1"/>
  <c r="AJ12" i="3"/>
  <c r="AH12" i="2"/>
  <c r="AI12" i="2" s="1"/>
  <c r="AK12" i="3"/>
  <c r="C13" i="3"/>
  <c r="D13" i="3"/>
  <c r="AB13" i="3" l="1"/>
  <c r="AJ12" i="2"/>
  <c r="AK12" i="2"/>
  <c r="AM12" i="3"/>
  <c r="AN12" i="3" s="1"/>
  <c r="E13" i="3"/>
  <c r="C13" i="2"/>
  <c r="D13" i="2"/>
  <c r="AP12" i="3" l="1"/>
  <c r="AB13" i="2"/>
  <c r="AR12" i="3"/>
  <c r="AS12" i="3" s="1"/>
  <c r="AT12" i="3" s="1"/>
  <c r="K13" i="3" s="1"/>
  <c r="E13" i="2"/>
  <c r="AO12" i="3"/>
  <c r="AM12" i="2"/>
  <c r="AN12" i="2" s="1"/>
  <c r="F13" i="3"/>
  <c r="G13" i="3"/>
  <c r="AG13" i="3" l="1"/>
  <c r="AO12" i="2"/>
  <c r="H13" i="3"/>
  <c r="AU12" i="3"/>
  <c r="AP12" i="2"/>
  <c r="L13" i="3"/>
  <c r="F13" i="2"/>
  <c r="M13" i="3"/>
  <c r="G13" i="2"/>
  <c r="AG13" i="2" l="1"/>
  <c r="AQ13" i="3"/>
  <c r="AR12" i="2"/>
  <c r="AS12" i="2" s="1"/>
  <c r="AW12" i="3"/>
  <c r="AX12" i="3" s="1"/>
  <c r="H13" i="2"/>
  <c r="I13" i="3"/>
  <c r="J13" i="3"/>
  <c r="AL13" i="3" l="1"/>
  <c r="AT12" i="2"/>
  <c r="AY12" i="3"/>
  <c r="AU12" i="2"/>
  <c r="AZ12" i="3"/>
  <c r="I13" i="2"/>
  <c r="J13" i="2"/>
  <c r="AL13" i="2" l="1"/>
  <c r="K13" i="2"/>
  <c r="N13" i="3"/>
  <c r="BB12" i="3"/>
  <c r="BC12" i="3" s="1"/>
  <c r="AW12" i="2"/>
  <c r="AX12" i="2" s="1"/>
  <c r="AZ12" i="2" l="1"/>
  <c r="BD12" i="3"/>
  <c r="BB12" i="2"/>
  <c r="BC12" i="2" s="1"/>
  <c r="BD12" i="2" s="1"/>
  <c r="Q13" i="2" s="1"/>
  <c r="BE12" i="3"/>
  <c r="AY12" i="2"/>
  <c r="O13" i="3"/>
  <c r="L13" i="2"/>
  <c r="P13" i="3"/>
  <c r="M13" i="2"/>
  <c r="AQ13" i="2" l="1"/>
  <c r="AV13" i="3"/>
  <c r="BG12" i="3"/>
  <c r="BH12" i="3" s="1"/>
  <c r="S13" i="2"/>
  <c r="BE12" i="2"/>
  <c r="N13" i="2"/>
  <c r="Q13" i="3"/>
  <c r="R13" i="2"/>
  <c r="BA13" i="2" l="1"/>
  <c r="BI12" i="3"/>
  <c r="S13" i="3"/>
  <c r="BG12" i="2"/>
  <c r="BH12" i="2" s="1"/>
  <c r="BJ12" i="3"/>
  <c r="BL12" i="3" s="1"/>
  <c r="BM12" i="3" s="1"/>
  <c r="BN12" i="3" s="1"/>
  <c r="W13" i="3" s="1"/>
  <c r="R13" i="3"/>
  <c r="O13" i="2"/>
  <c r="P13" i="2"/>
  <c r="AV13" i="2" l="1"/>
  <c r="BA13" i="3"/>
  <c r="BO12" i="3"/>
  <c r="Y13" i="3"/>
  <c r="T13" i="3"/>
  <c r="BQ12" i="3"/>
  <c r="BI12" i="2"/>
  <c r="BJ12" i="2"/>
  <c r="BL12" i="2" s="1"/>
  <c r="BM12" i="2" s="1"/>
  <c r="BN12" i="2" s="1"/>
  <c r="W13" i="2" s="1"/>
  <c r="X13" i="3"/>
  <c r="BK13" i="3" l="1"/>
  <c r="BO12" i="2"/>
  <c r="Y13" i="2"/>
  <c r="T13" i="2"/>
  <c r="BQ12" i="2"/>
  <c r="V13" i="3"/>
  <c r="U13" i="3"/>
  <c r="X13" i="2"/>
  <c r="BK13" i="2" l="1"/>
  <c r="BP13" i="3"/>
  <c r="BF13" i="3"/>
  <c r="Z13" i="3"/>
  <c r="AA13" i="3" s="1"/>
  <c r="V13" i="2"/>
  <c r="U13" i="2"/>
  <c r="BP13" i="2" l="1"/>
  <c r="BF13" i="2"/>
  <c r="Z13" i="2"/>
  <c r="AA13" i="2" s="1"/>
  <c r="AC13" i="3"/>
  <c r="AD13" i="3" s="1"/>
  <c r="AE13" i="3" l="1"/>
  <c r="AF13" i="3"/>
  <c r="AC13" i="2"/>
  <c r="AD13" i="2" s="1"/>
  <c r="AE13" i="2" l="1"/>
  <c r="AF13" i="2"/>
  <c r="B14" i="3"/>
  <c r="AH13" i="3"/>
  <c r="AI13" i="3" s="1"/>
  <c r="AK13" i="3" l="1"/>
  <c r="AM13" i="3"/>
  <c r="AN13" i="3" s="1"/>
  <c r="AO13" i="3" s="1"/>
  <c r="H14" i="3" s="1"/>
  <c r="AH13" i="2"/>
  <c r="AI13" i="2" s="1"/>
  <c r="AJ13" i="3"/>
  <c r="B14" i="2"/>
  <c r="C14" i="3"/>
  <c r="D14" i="3"/>
  <c r="AK13" i="2" l="1"/>
  <c r="AP13" i="3"/>
  <c r="AB14" i="3"/>
  <c r="AJ13" i="2"/>
  <c r="E14" i="3"/>
  <c r="AR13" i="3"/>
  <c r="AS13" i="3" s="1"/>
  <c r="AM13" i="2"/>
  <c r="AN13" i="2" s="1"/>
  <c r="AO13" i="2" s="1"/>
  <c r="H14" i="2" s="1"/>
  <c r="I14" i="3"/>
  <c r="C14" i="2"/>
  <c r="J14" i="3"/>
  <c r="D14" i="2"/>
  <c r="AB14" i="2" l="1"/>
  <c r="AL14" i="3"/>
  <c r="E14" i="2"/>
  <c r="AT13" i="3"/>
  <c r="AP13" i="2"/>
  <c r="AU13" i="3"/>
  <c r="I14" i="2"/>
  <c r="J14" i="2"/>
  <c r="F14" i="3"/>
  <c r="G14" i="3"/>
  <c r="AG14" i="3" l="1"/>
  <c r="AL14" i="2"/>
  <c r="K14" i="3"/>
  <c r="AW13" i="3"/>
  <c r="AX13" i="3" s="1"/>
  <c r="AR13" i="2"/>
  <c r="AS13" i="2" s="1"/>
  <c r="F14" i="2"/>
  <c r="G14" i="2"/>
  <c r="AG14" i="2" l="1"/>
  <c r="AT13" i="2"/>
  <c r="AU13" i="2"/>
  <c r="AY13" i="3"/>
  <c r="AZ13" i="3"/>
  <c r="L14" i="3"/>
  <c r="M14" i="3"/>
  <c r="AQ14" i="3" l="1"/>
  <c r="AW13" i="2"/>
  <c r="AX13" i="2" s="1"/>
  <c r="K14" i="2"/>
  <c r="BB13" i="3"/>
  <c r="BC13" i="3" s="1"/>
  <c r="N14" i="3"/>
  <c r="BE13" i="3" l="1"/>
  <c r="BD13" i="3"/>
  <c r="AZ13" i="2"/>
  <c r="AY13" i="2"/>
  <c r="L14" i="2"/>
  <c r="O14" i="3"/>
  <c r="M14" i="2"/>
  <c r="P14" i="3"/>
  <c r="AV14" i="3" l="1"/>
  <c r="AQ14" i="2"/>
  <c r="Q14" i="3"/>
  <c r="BB13" i="2"/>
  <c r="BC13" i="2" s="1"/>
  <c r="N14" i="2"/>
  <c r="BG13" i="3"/>
  <c r="BH13" i="3" s="1"/>
  <c r="BJ13" i="3" l="1"/>
  <c r="BL13" i="3" s="1"/>
  <c r="BM13" i="3" s="1"/>
  <c r="BN13" i="3" s="1"/>
  <c r="W14" i="3" s="1"/>
  <c r="S14" i="3"/>
  <c r="BD13" i="2"/>
  <c r="BI13" i="3"/>
  <c r="BO13" i="3"/>
  <c r="BE13" i="2"/>
  <c r="O14" i="2"/>
  <c r="P14" i="2"/>
  <c r="R14" i="3"/>
  <c r="BA14" i="3" l="1"/>
  <c r="AV14" i="2"/>
  <c r="Q14" i="2"/>
  <c r="BG13" i="2"/>
  <c r="BH13" i="2" s="1"/>
  <c r="T14" i="3"/>
  <c r="BQ13" i="3"/>
  <c r="Y14" i="3"/>
  <c r="X14" i="3"/>
  <c r="BJ13" i="2" l="1"/>
  <c r="BL13" i="2" s="1"/>
  <c r="BM13" i="2" s="1"/>
  <c r="BN13" i="2" s="1"/>
  <c r="W14" i="2" s="1"/>
  <c r="Y14" i="2" s="1"/>
  <c r="BK14" i="3"/>
  <c r="S14" i="2"/>
  <c r="V14" i="3"/>
  <c r="BI13" i="2"/>
  <c r="R14" i="2"/>
  <c r="X14" i="2"/>
  <c r="U14" i="3"/>
  <c r="BO13" i="2" l="1"/>
  <c r="BP14" i="3"/>
  <c r="BF14" i="3"/>
  <c r="BK14" i="2"/>
  <c r="BA14" i="2"/>
  <c r="T14" i="2"/>
  <c r="BQ13" i="2"/>
  <c r="Z14" i="3"/>
  <c r="AA14" i="3" s="1"/>
  <c r="V14" i="2" l="1"/>
  <c r="AC14" i="3"/>
  <c r="AD14" i="3" s="1"/>
  <c r="U14" i="2"/>
  <c r="BP14" i="2" l="1"/>
  <c r="BF14" i="2"/>
  <c r="Z14" i="2"/>
  <c r="AA14" i="2" s="1"/>
  <c r="AE14" i="3"/>
  <c r="AF14" i="3"/>
  <c r="B15" i="3" l="1"/>
  <c r="AH14" i="3"/>
  <c r="AI14" i="3" s="1"/>
  <c r="AC14" i="2"/>
  <c r="AD14" i="2" s="1"/>
  <c r="AF14" i="2" l="1"/>
  <c r="AK14" i="3"/>
  <c r="AE14" i="2"/>
  <c r="AJ14" i="3"/>
  <c r="C15" i="3"/>
  <c r="D15" i="3"/>
  <c r="AB15" i="3" l="1"/>
  <c r="E15" i="3"/>
  <c r="AM14" i="3"/>
  <c r="AN14" i="3" s="1"/>
  <c r="B15" i="2"/>
  <c r="AH14" i="2"/>
  <c r="AI14" i="2" s="1"/>
  <c r="AK14" i="2" l="1"/>
  <c r="AM14" i="2"/>
  <c r="AN14" i="2" s="1"/>
  <c r="AO14" i="2" s="1"/>
  <c r="H15" i="2" s="1"/>
  <c r="AO14" i="3"/>
  <c r="AP14" i="3"/>
  <c r="AJ14" i="2"/>
  <c r="F15" i="3"/>
  <c r="C15" i="2"/>
  <c r="G15" i="3"/>
  <c r="D15" i="2"/>
  <c r="AP14" i="2" l="1"/>
  <c r="AB15" i="2"/>
  <c r="AG15" i="3"/>
  <c r="H15" i="3"/>
  <c r="E15" i="2"/>
  <c r="AR14" i="2"/>
  <c r="AS14" i="2" s="1"/>
  <c r="AR14" i="3"/>
  <c r="AS14" i="3" s="1"/>
  <c r="I15" i="2"/>
  <c r="J15" i="2"/>
  <c r="AL15" i="2" l="1"/>
  <c r="AT14" i="3"/>
  <c r="AU14" i="2"/>
  <c r="AT14" i="2"/>
  <c r="AU14" i="3"/>
  <c r="F15" i="2"/>
  <c r="G15" i="2"/>
  <c r="I15" i="3"/>
  <c r="J15" i="3"/>
  <c r="AL15" i="3" l="1"/>
  <c r="AG15" i="2"/>
  <c r="K15" i="2"/>
  <c r="K15" i="3"/>
  <c r="AW14" i="2"/>
  <c r="AX14" i="2" s="1"/>
  <c r="AW14" i="3"/>
  <c r="AX14" i="3" s="1"/>
  <c r="AY14" i="3" l="1"/>
  <c r="AY14" i="2"/>
  <c r="AZ14" i="3"/>
  <c r="AZ14" i="2"/>
  <c r="L15" i="3"/>
  <c r="M15" i="3"/>
  <c r="L15" i="2"/>
  <c r="M15" i="2"/>
  <c r="AQ15" i="2" l="1"/>
  <c r="AQ15" i="3"/>
  <c r="BB14" i="3"/>
  <c r="BC14" i="3" s="1"/>
  <c r="BB14" i="2"/>
  <c r="BC14" i="2" s="1"/>
  <c r="N15" i="3"/>
  <c r="N15" i="2"/>
  <c r="BE14" i="3" l="1"/>
  <c r="BD14" i="2"/>
  <c r="BD14" i="3"/>
  <c r="BE14" i="2"/>
  <c r="O15" i="2"/>
  <c r="O15" i="3"/>
  <c r="P15" i="2"/>
  <c r="P15" i="3"/>
  <c r="AV15" i="3" l="1"/>
  <c r="AV15" i="2"/>
  <c r="Q15" i="2"/>
  <c r="Q15" i="3"/>
  <c r="BG14" i="2"/>
  <c r="BH14" i="2" s="1"/>
  <c r="BG14" i="3"/>
  <c r="BH14" i="3" s="1"/>
  <c r="S15" i="2" l="1"/>
  <c r="BJ14" i="3"/>
  <c r="BL14" i="3" s="1"/>
  <c r="BM14" i="3" s="1"/>
  <c r="BN14" i="3" s="1"/>
  <c r="W15" i="3" s="1"/>
  <c r="BI14" i="3"/>
  <c r="BJ14" i="2"/>
  <c r="BL14" i="2" s="1"/>
  <c r="BM14" i="2" s="1"/>
  <c r="BN14" i="2" s="1"/>
  <c r="W15" i="2" s="1"/>
  <c r="BI14" i="2"/>
  <c r="S15" i="3"/>
  <c r="R15" i="3"/>
  <c r="R15" i="2"/>
  <c r="BA15" i="2" l="1"/>
  <c r="BA15" i="3"/>
  <c r="Y15" i="2"/>
  <c r="BO14" i="2"/>
  <c r="T15" i="2"/>
  <c r="BQ14" i="2"/>
  <c r="BO14" i="3"/>
  <c r="T15" i="3"/>
  <c r="BQ14" i="3"/>
  <c r="Y15" i="3"/>
  <c r="X15" i="2"/>
  <c r="X15" i="3"/>
  <c r="BK15" i="3" l="1"/>
  <c r="BK15" i="2"/>
  <c r="V15" i="3"/>
  <c r="V15" i="2"/>
  <c r="U15" i="2"/>
  <c r="U15" i="3"/>
  <c r="BP15" i="3" l="1"/>
  <c r="BF15" i="3"/>
  <c r="BP15" i="2"/>
  <c r="BF15" i="2"/>
  <c r="Z15" i="3"/>
  <c r="AA15" i="3" s="1"/>
  <c r="Z15" i="2"/>
  <c r="AA15" i="2" s="1"/>
  <c r="AC15" i="3" l="1"/>
  <c r="AD15" i="3" s="1"/>
  <c r="AC15" i="2"/>
  <c r="AD15" i="2" s="1"/>
  <c r="AE15" i="2" l="1"/>
  <c r="AF15" i="2"/>
  <c r="AE15" i="3"/>
  <c r="AF15" i="3"/>
  <c r="AH15" i="3" l="1"/>
  <c r="AI15" i="3" s="1"/>
  <c r="B16" i="3"/>
  <c r="AH15" i="2"/>
  <c r="AI15" i="2" s="1"/>
  <c r="B16" i="2"/>
  <c r="AJ15" i="2" l="1"/>
  <c r="AK15" i="2"/>
  <c r="AJ15" i="3"/>
  <c r="AK15" i="3"/>
  <c r="C16" i="2"/>
  <c r="D16" i="2"/>
  <c r="C16" i="3"/>
  <c r="D16" i="3"/>
  <c r="AB16" i="3" l="1"/>
  <c r="AB16" i="2"/>
  <c r="E16" i="3"/>
  <c r="AM15" i="2"/>
  <c r="AN15" i="2" s="1"/>
  <c r="AM15" i="3"/>
  <c r="AN15" i="3" s="1"/>
  <c r="E16" i="2"/>
  <c r="AP15" i="2" l="1"/>
  <c r="AO15" i="3"/>
  <c r="AP15" i="3"/>
  <c r="AO15" i="2"/>
  <c r="AR15" i="2"/>
  <c r="AS15" i="2" s="1"/>
  <c r="AT15" i="2" s="1"/>
  <c r="K16" i="2" s="1"/>
  <c r="F16" i="3"/>
  <c r="F16" i="2"/>
  <c r="G16" i="2"/>
  <c r="G16" i="3"/>
  <c r="AU15" i="2" l="1"/>
  <c r="AG16" i="2"/>
  <c r="AG16" i="3"/>
  <c r="AR15" i="3"/>
  <c r="AS15" i="3" s="1"/>
  <c r="AW15" i="2"/>
  <c r="AX15" i="2" s="1"/>
  <c r="H16" i="2"/>
  <c r="H16" i="3"/>
  <c r="L16" i="2"/>
  <c r="M16" i="2"/>
  <c r="AZ15" i="2" l="1"/>
  <c r="AQ16" i="2"/>
  <c r="AU15" i="3"/>
  <c r="AY15" i="2"/>
  <c r="AT15" i="3"/>
  <c r="BB15" i="2"/>
  <c r="BC15" i="2" s="1"/>
  <c r="BD15" i="2" s="1"/>
  <c r="Q16" i="2" s="1"/>
  <c r="I16" i="3"/>
  <c r="I16" i="2"/>
  <c r="J16" i="3"/>
  <c r="J16" i="2"/>
  <c r="BE15" i="2" l="1"/>
  <c r="AL16" i="2"/>
  <c r="AL16" i="3"/>
  <c r="K16" i="3"/>
  <c r="BG15" i="2"/>
  <c r="BH15" i="2" s="1"/>
  <c r="BI15" i="2" s="1"/>
  <c r="T16" i="2" s="1"/>
  <c r="AW15" i="3"/>
  <c r="AX15" i="3" s="1"/>
  <c r="S16" i="2"/>
  <c r="N16" i="2"/>
  <c r="R16" i="2"/>
  <c r="AZ15" i="3" l="1"/>
  <c r="BA16" i="2"/>
  <c r="V16" i="2"/>
  <c r="BB15" i="3"/>
  <c r="BC15" i="3" s="1"/>
  <c r="BD15" i="3" s="1"/>
  <c r="Q16" i="3" s="1"/>
  <c r="AY15" i="3"/>
  <c r="BJ15" i="2"/>
  <c r="BL15" i="2" s="1"/>
  <c r="BM15" i="2" s="1"/>
  <c r="O16" i="2"/>
  <c r="P16" i="2"/>
  <c r="L16" i="3"/>
  <c r="U16" i="2"/>
  <c r="M16" i="3"/>
  <c r="BF16" i="2" l="1"/>
  <c r="AQ16" i="3"/>
  <c r="AV16" i="2"/>
  <c r="N16" i="3"/>
  <c r="BN15" i="2"/>
  <c r="BO15" i="2"/>
  <c r="S16" i="3"/>
  <c r="BE15" i="3"/>
  <c r="R16" i="3"/>
  <c r="BA16" i="3" l="1"/>
  <c r="BG15" i="3"/>
  <c r="BH15" i="3" s="1"/>
  <c r="W16" i="2"/>
  <c r="BQ15" i="2"/>
  <c r="O16" i="3"/>
  <c r="P16" i="3"/>
  <c r="AV16" i="3" l="1"/>
  <c r="BI15" i="3"/>
  <c r="BJ15" i="3"/>
  <c r="BL15" i="3" s="1"/>
  <c r="BM15" i="3" s="1"/>
  <c r="BN15" i="3" s="1"/>
  <c r="W16" i="3" s="1"/>
  <c r="Y16" i="2"/>
  <c r="X16" i="2"/>
  <c r="BP16" i="2" l="1"/>
  <c r="BK16" i="2"/>
  <c r="Z16" i="2"/>
  <c r="AA16" i="2" s="1"/>
  <c r="BO15" i="3"/>
  <c r="T16" i="3"/>
  <c r="BQ15" i="3"/>
  <c r="Y16" i="3"/>
  <c r="X16" i="3"/>
  <c r="BK16" i="3" l="1"/>
  <c r="AC16" i="2"/>
  <c r="AD16" i="2" s="1"/>
  <c r="V16" i="3"/>
  <c r="U16" i="3"/>
  <c r="AF16" i="2" l="1"/>
  <c r="BP16" i="3"/>
  <c r="BF16" i="3"/>
  <c r="Z16" i="3"/>
  <c r="AA16" i="3" s="1"/>
  <c r="AE16" i="2"/>
  <c r="AH16" i="2"/>
  <c r="AI16" i="2" s="1"/>
  <c r="AJ16" i="2" s="1"/>
  <c r="E17" i="2" s="1"/>
  <c r="AK16" i="2" l="1"/>
  <c r="AM16" i="2"/>
  <c r="AN16" i="2" s="1"/>
  <c r="AO16" i="2" s="1"/>
  <c r="H17" i="2" s="1"/>
  <c r="B17" i="2"/>
  <c r="AC16" i="3"/>
  <c r="AD16" i="3" s="1"/>
  <c r="F17" i="2"/>
  <c r="G17" i="2"/>
  <c r="AG17" i="2" l="1"/>
  <c r="AE16" i="3"/>
  <c r="AF16" i="3"/>
  <c r="AP16" i="2"/>
  <c r="I17" i="2"/>
  <c r="J17" i="2"/>
  <c r="C17" i="2"/>
  <c r="D17" i="2"/>
  <c r="AB17" i="2" l="1"/>
  <c r="AL17" i="2"/>
  <c r="B17" i="3"/>
  <c r="AH16" i="3"/>
  <c r="AI16" i="3" s="1"/>
  <c r="AR16" i="2"/>
  <c r="AS16" i="2" s="1"/>
  <c r="AJ16" i="3" l="1"/>
  <c r="AK16" i="3"/>
  <c r="AT16" i="2"/>
  <c r="AU16" i="2"/>
  <c r="C17" i="3"/>
  <c r="D17" i="3"/>
  <c r="AB17" i="3" l="1"/>
  <c r="AW16" i="2"/>
  <c r="AX16" i="2" s="1"/>
  <c r="AM16" i="3"/>
  <c r="AN16" i="3" s="1"/>
  <c r="K17" i="2"/>
  <c r="E17" i="3"/>
  <c r="AP16" i="3" l="1"/>
  <c r="AO16" i="3"/>
  <c r="AZ16" i="2"/>
  <c r="AY16" i="2"/>
  <c r="L17" i="2"/>
  <c r="M17" i="2"/>
  <c r="F17" i="3"/>
  <c r="G17" i="3"/>
  <c r="AG17" i="3" l="1"/>
  <c r="AQ17" i="2"/>
  <c r="H17" i="3"/>
  <c r="BB16" i="2"/>
  <c r="BC16" i="2" s="1"/>
  <c r="N17" i="2"/>
  <c r="AR16" i="3"/>
  <c r="AS16" i="3" s="1"/>
  <c r="AU16" i="3" l="1"/>
  <c r="AT16" i="3"/>
  <c r="AW16" i="3"/>
  <c r="AX16" i="3" s="1"/>
  <c r="AY16" i="3" s="1"/>
  <c r="N17" i="3" s="1"/>
  <c r="BD16" i="2"/>
  <c r="BE16" i="2"/>
  <c r="O17" i="2"/>
  <c r="I17" i="3"/>
  <c r="P17" i="2"/>
  <c r="J17" i="3"/>
  <c r="AL17" i="3" l="1"/>
  <c r="AV17" i="2"/>
  <c r="Q17" i="2"/>
  <c r="BG16" i="2"/>
  <c r="BH16" i="2" s="1"/>
  <c r="AZ16" i="3"/>
  <c r="K17" i="3"/>
  <c r="O17" i="3"/>
  <c r="P17" i="3"/>
  <c r="BJ16" i="2" l="1"/>
  <c r="BL16" i="2" s="1"/>
  <c r="BM16" i="2" s="1"/>
  <c r="BN16" i="2" s="1"/>
  <c r="W17" i="2" s="1"/>
  <c r="Y17" i="2" s="1"/>
  <c r="AV17" i="3"/>
  <c r="S17" i="2"/>
  <c r="BB16" i="3"/>
  <c r="BC16" i="3" s="1"/>
  <c r="BI16" i="2"/>
  <c r="X17" i="2"/>
  <c r="L17" i="3"/>
  <c r="R17" i="2"/>
  <c r="M17" i="3"/>
  <c r="BO16" i="2" l="1"/>
  <c r="BA17" i="2"/>
  <c r="AQ17" i="3"/>
  <c r="BK17" i="2"/>
  <c r="T17" i="2"/>
  <c r="BQ16" i="2"/>
  <c r="BD16" i="3"/>
  <c r="BE16" i="3"/>
  <c r="BG16" i="3" l="1"/>
  <c r="BH16" i="3" s="1"/>
  <c r="Q17" i="3"/>
  <c r="V17" i="2"/>
  <c r="U17" i="2"/>
  <c r="BP17" i="2" l="1"/>
  <c r="BF17" i="2"/>
  <c r="BI16" i="3"/>
  <c r="Z17" i="2"/>
  <c r="AA17" i="2" s="1"/>
  <c r="S17" i="3"/>
  <c r="BJ16" i="3"/>
  <c r="BL16" i="3" s="1"/>
  <c r="BM16" i="3" s="1"/>
  <c r="BN16" i="3" s="1"/>
  <c r="W17" i="3" s="1"/>
  <c r="R17" i="3"/>
  <c r="BA17" i="3" l="1"/>
  <c r="AC17" i="2"/>
  <c r="AD17" i="2" s="1"/>
  <c r="T17" i="3"/>
  <c r="BQ16" i="3"/>
  <c r="Y17" i="3"/>
  <c r="BO16" i="3"/>
  <c r="X17" i="3"/>
  <c r="BK17" i="3" l="1"/>
  <c r="AF17" i="2"/>
  <c r="AE17" i="2"/>
  <c r="V17" i="3"/>
  <c r="U17" i="3"/>
  <c r="BP17" i="3" l="1"/>
  <c r="BF17" i="3"/>
  <c r="Z17" i="3"/>
  <c r="AA17" i="3" s="1"/>
  <c r="AH17" i="2"/>
  <c r="AI17" i="2" s="1"/>
  <c r="B18" i="2"/>
  <c r="AK17" i="2" l="1"/>
  <c r="AJ17" i="2"/>
  <c r="AC17" i="3"/>
  <c r="AD17" i="3" s="1"/>
  <c r="C18" i="2"/>
  <c r="D18" i="2"/>
  <c r="AB18" i="2" l="1"/>
  <c r="AM17" i="2"/>
  <c r="AN17" i="2" s="1"/>
  <c r="E18" i="2"/>
  <c r="AE17" i="3"/>
  <c r="AF17" i="3"/>
  <c r="B18" i="3" l="1"/>
  <c r="AP17" i="2"/>
  <c r="AO17" i="2"/>
  <c r="AH17" i="3"/>
  <c r="AI17" i="3" s="1"/>
  <c r="F18" i="2"/>
  <c r="G18" i="2"/>
  <c r="AG18" i="2" l="1"/>
  <c r="AK17" i="3"/>
  <c r="H18" i="2"/>
  <c r="AJ17" i="3"/>
  <c r="AR17" i="2"/>
  <c r="AS17" i="2" s="1"/>
  <c r="D18" i="3"/>
  <c r="C18" i="3"/>
  <c r="AB18" i="3" l="1"/>
  <c r="E18" i="3"/>
  <c r="AT17" i="2"/>
  <c r="AU17" i="2"/>
  <c r="AM17" i="3"/>
  <c r="AN17" i="3" s="1"/>
  <c r="I18" i="2"/>
  <c r="J18" i="2"/>
  <c r="AL18" i="2" l="1"/>
  <c r="AW17" i="2"/>
  <c r="AX17" i="2" s="1"/>
  <c r="AO17" i="3"/>
  <c r="K18" i="2"/>
  <c r="AP17" i="3"/>
  <c r="F18" i="3"/>
  <c r="G18" i="3"/>
  <c r="AG18" i="3" l="1"/>
  <c r="AY17" i="2"/>
  <c r="AR17" i="3"/>
  <c r="AS17" i="3" s="1"/>
  <c r="H18" i="3"/>
  <c r="AZ17" i="2"/>
  <c r="L18" i="2"/>
  <c r="M18" i="2"/>
  <c r="AQ18" i="2" l="1"/>
  <c r="BB17" i="2"/>
  <c r="BC17" i="2" s="1"/>
  <c r="AU17" i="3"/>
  <c r="AT17" i="3"/>
  <c r="N18" i="2"/>
  <c r="I18" i="3"/>
  <c r="J18" i="3"/>
  <c r="AL18" i="3" l="1"/>
  <c r="AW17" i="3"/>
  <c r="AX17" i="3" s="1"/>
  <c r="BD17" i="2"/>
  <c r="BE17" i="2"/>
  <c r="K18" i="3"/>
  <c r="O18" i="2"/>
  <c r="P18" i="2"/>
  <c r="AV18" i="2" l="1"/>
  <c r="AY17" i="3"/>
  <c r="Q18" i="2"/>
  <c r="AZ17" i="3"/>
  <c r="BG17" i="2"/>
  <c r="BH17" i="2" s="1"/>
  <c r="L18" i="3"/>
  <c r="M18" i="3"/>
  <c r="AQ18" i="3" l="1"/>
  <c r="BI17" i="2"/>
  <c r="BB17" i="3"/>
  <c r="BC17" i="3" s="1"/>
  <c r="S18" i="2"/>
  <c r="N18" i="3"/>
  <c r="BJ17" i="2"/>
  <c r="BL17" i="2" s="1"/>
  <c r="BM17" i="2" s="1"/>
  <c r="BN17" i="2" s="1"/>
  <c r="W18" i="2" s="1"/>
  <c r="R18" i="2"/>
  <c r="BA18" i="2" l="1"/>
  <c r="BD17" i="3"/>
  <c r="BO17" i="2"/>
  <c r="T18" i="2"/>
  <c r="BQ17" i="2"/>
  <c r="Y18" i="2"/>
  <c r="BE17" i="3"/>
  <c r="X18" i="2"/>
  <c r="O18" i="3"/>
  <c r="P18" i="3"/>
  <c r="AV18" i="3" l="1"/>
  <c r="BK18" i="2"/>
  <c r="V18" i="2"/>
  <c r="BG17" i="3"/>
  <c r="BH17" i="3" s="1"/>
  <c r="Q18" i="3"/>
  <c r="U18" i="2"/>
  <c r="BJ17" i="3" l="1"/>
  <c r="BL17" i="3" s="1"/>
  <c r="BM17" i="3" s="1"/>
  <c r="BN17" i="3" s="1"/>
  <c r="W18" i="3" s="1"/>
  <c r="BP18" i="2"/>
  <c r="BF18" i="2"/>
  <c r="Z18" i="2"/>
  <c r="AA18" i="2" s="1"/>
  <c r="Y18" i="3"/>
  <c r="S18" i="3"/>
  <c r="BI17" i="3"/>
  <c r="BO17" i="3"/>
  <c r="X18" i="3"/>
  <c r="R18" i="3"/>
  <c r="BA18" i="3" l="1"/>
  <c r="BK18" i="3"/>
  <c r="T18" i="3"/>
  <c r="BQ17" i="3"/>
  <c r="AC18" i="2"/>
  <c r="AD18" i="2" s="1"/>
  <c r="AE18" i="2" l="1"/>
  <c r="V18" i="3"/>
  <c r="AF18" i="2"/>
  <c r="U18" i="3"/>
  <c r="BP18" i="3" l="1"/>
  <c r="BF18" i="3"/>
  <c r="AH18" i="2"/>
  <c r="AI18" i="2" s="1"/>
  <c r="Z18" i="3"/>
  <c r="AA18" i="3" s="1"/>
  <c r="B19" i="2"/>
  <c r="AC18" i="3" l="1"/>
  <c r="AD18" i="3" s="1"/>
  <c r="AJ18" i="2"/>
  <c r="AK18" i="2"/>
  <c r="C19" i="2"/>
  <c r="D19" i="2"/>
  <c r="AB19" i="2" l="1"/>
  <c r="AM18" i="2"/>
  <c r="AN18" i="2" s="1"/>
  <c r="E19" i="2"/>
  <c r="AE18" i="3"/>
  <c r="AF18" i="3"/>
  <c r="B19" i="3" l="1"/>
  <c r="AH18" i="3"/>
  <c r="AI18" i="3" s="1"/>
  <c r="AO18" i="2"/>
  <c r="AP18" i="2"/>
  <c r="F19" i="2"/>
  <c r="G19" i="2"/>
  <c r="AG19" i="2" l="1"/>
  <c r="AR18" i="2"/>
  <c r="AS18" i="2" s="1"/>
  <c r="H19" i="2"/>
  <c r="D19" i="3"/>
  <c r="AJ18" i="3"/>
  <c r="AK18" i="3"/>
  <c r="C19" i="3"/>
  <c r="AB19" i="3" l="1"/>
  <c r="AU18" i="2"/>
  <c r="AT18" i="2"/>
  <c r="AM18" i="3"/>
  <c r="AN18" i="3" s="1"/>
  <c r="E19" i="3"/>
  <c r="I19" i="2"/>
  <c r="J19" i="2"/>
  <c r="AL19" i="2" l="1"/>
  <c r="K19" i="2"/>
  <c r="AP18" i="3"/>
  <c r="AW18" i="2"/>
  <c r="AX18" i="2" s="1"/>
  <c r="AO18" i="3"/>
  <c r="F19" i="3"/>
  <c r="G19" i="3"/>
  <c r="AG19" i="3" l="1"/>
  <c r="AR18" i="3"/>
  <c r="AS18" i="3" s="1"/>
  <c r="H19" i="3"/>
  <c r="AY18" i="2"/>
  <c r="AZ18" i="2"/>
  <c r="L19" i="2"/>
  <c r="M19" i="2"/>
  <c r="AQ19" i="2" l="1"/>
  <c r="BB18" i="2"/>
  <c r="BC18" i="2" s="1"/>
  <c r="AT18" i="3"/>
  <c r="AU18" i="3"/>
  <c r="N19" i="2"/>
  <c r="I19" i="3"/>
  <c r="J19" i="3"/>
  <c r="BE18" i="2" l="1"/>
  <c r="AL19" i="3"/>
  <c r="BG18" i="2"/>
  <c r="BH18" i="2" s="1"/>
  <c r="BI18" i="2" s="1"/>
  <c r="T19" i="2" s="1"/>
  <c r="K19" i="3"/>
  <c r="AW18" i="3"/>
  <c r="AX18" i="3" s="1"/>
  <c r="BD18" i="2"/>
  <c r="O19" i="2"/>
  <c r="P19" i="2"/>
  <c r="BJ18" i="2" l="1"/>
  <c r="BL18" i="2" s="1"/>
  <c r="BM18" i="2" s="1"/>
  <c r="BN18" i="2" s="1"/>
  <c r="W19" i="2" s="1"/>
  <c r="AV19" i="2"/>
  <c r="BO18" i="2"/>
  <c r="V19" i="2"/>
  <c r="Q19" i="2"/>
  <c r="BQ18" i="2"/>
  <c r="AY18" i="3"/>
  <c r="Y19" i="2"/>
  <c r="AZ18" i="3"/>
  <c r="U19" i="2"/>
  <c r="X19" i="2"/>
  <c r="L19" i="3"/>
  <c r="M19" i="3"/>
  <c r="AQ19" i="3" l="1"/>
  <c r="BK19" i="2"/>
  <c r="BF19" i="2"/>
  <c r="S19" i="2"/>
  <c r="BB18" i="3"/>
  <c r="BC18" i="3" s="1"/>
  <c r="N19" i="3"/>
  <c r="R19" i="2"/>
  <c r="BP19" i="2" l="1"/>
  <c r="BA19" i="2"/>
  <c r="BD18" i="3"/>
  <c r="BE18" i="3"/>
  <c r="Z19" i="2"/>
  <c r="AA19" i="2" s="1"/>
  <c r="O19" i="3"/>
  <c r="P19" i="3"/>
  <c r="AV19" i="3" l="1"/>
  <c r="AC19" i="2"/>
  <c r="AD19" i="2" s="1"/>
  <c r="BG18" i="3"/>
  <c r="BH18" i="3" s="1"/>
  <c r="Q19" i="3"/>
  <c r="AF19" i="2" l="1"/>
  <c r="S19" i="3"/>
  <c r="BI18" i="3"/>
  <c r="BJ18" i="3"/>
  <c r="BL18" i="3" s="1"/>
  <c r="BM18" i="3" s="1"/>
  <c r="BN18" i="3" s="1"/>
  <c r="W19" i="3" s="1"/>
  <c r="AE19" i="2"/>
  <c r="AH19" i="2"/>
  <c r="AI19" i="2" s="1"/>
  <c r="AJ19" i="2" s="1"/>
  <c r="E20" i="2" s="1"/>
  <c r="R19" i="3"/>
  <c r="BA19" i="3" l="1"/>
  <c r="T19" i="3"/>
  <c r="BQ18" i="3"/>
  <c r="AK19" i="2"/>
  <c r="B20" i="2"/>
  <c r="BO18" i="3"/>
  <c r="Y19" i="3"/>
  <c r="F20" i="2"/>
  <c r="G20" i="2"/>
  <c r="X19" i="3"/>
  <c r="BK19" i="3" l="1"/>
  <c r="AG20" i="2"/>
  <c r="AM19" i="2"/>
  <c r="AN19" i="2" s="1"/>
  <c r="V19" i="3"/>
  <c r="U19" i="3"/>
  <c r="C20" i="2"/>
  <c r="D20" i="2"/>
  <c r="AB20" i="2" l="1"/>
  <c r="BP19" i="3"/>
  <c r="BF19" i="3"/>
  <c r="AO19" i="2"/>
  <c r="Z19" i="3"/>
  <c r="AA19" i="3" s="1"/>
  <c r="AP19" i="2"/>
  <c r="AC19" i="3" l="1"/>
  <c r="AD19" i="3" s="1"/>
  <c r="H20" i="2"/>
  <c r="AR19" i="2"/>
  <c r="AS19" i="2" s="1"/>
  <c r="AF19" i="3" l="1"/>
  <c r="AT19" i="2"/>
  <c r="AH19" i="3"/>
  <c r="AI19" i="3" s="1"/>
  <c r="AJ19" i="3" s="1"/>
  <c r="E20" i="3" s="1"/>
  <c r="AU19" i="2"/>
  <c r="AE19" i="3"/>
  <c r="I20" i="2"/>
  <c r="J20" i="2"/>
  <c r="AL20" i="2" l="1"/>
  <c r="B20" i="3"/>
  <c r="AW19" i="2"/>
  <c r="AX19" i="2" s="1"/>
  <c r="AK19" i="3"/>
  <c r="K20" i="2"/>
  <c r="F20" i="3"/>
  <c r="G20" i="3"/>
  <c r="AZ19" i="2" l="1"/>
  <c r="AG20" i="3"/>
  <c r="BB19" i="2"/>
  <c r="BC19" i="2" s="1"/>
  <c r="BD19" i="2" s="1"/>
  <c r="Q20" i="2" s="1"/>
  <c r="D20" i="3"/>
  <c r="AM19" i="3"/>
  <c r="AN19" i="3" s="1"/>
  <c r="AY19" i="2"/>
  <c r="C20" i="3"/>
  <c r="L20" i="2"/>
  <c r="M20" i="2"/>
  <c r="AQ20" i="2" l="1"/>
  <c r="AB20" i="3"/>
  <c r="AO19" i="3"/>
  <c r="S20" i="2"/>
  <c r="BE19" i="2"/>
  <c r="AP19" i="3"/>
  <c r="N20" i="2"/>
  <c r="R20" i="2"/>
  <c r="BA20" i="2" l="1"/>
  <c r="H20" i="3"/>
  <c r="BG19" i="2"/>
  <c r="BH19" i="2" s="1"/>
  <c r="AR19" i="3"/>
  <c r="AS19" i="3" s="1"/>
  <c r="O20" i="2"/>
  <c r="P20" i="2"/>
  <c r="BJ19" i="2" l="1"/>
  <c r="BL19" i="2" s="1"/>
  <c r="BM19" i="2" s="1"/>
  <c r="BN19" i="2" s="1"/>
  <c r="W20" i="2" s="1"/>
  <c r="AV20" i="2"/>
  <c r="AU19" i="3"/>
  <c r="AT19" i="3"/>
  <c r="BI19" i="2"/>
  <c r="BO19" i="2"/>
  <c r="Y20" i="2"/>
  <c r="I20" i="3"/>
  <c r="J20" i="3"/>
  <c r="X20" i="2"/>
  <c r="BK20" i="2" l="1"/>
  <c r="AL20" i="3"/>
  <c r="K20" i="3"/>
  <c r="T20" i="2"/>
  <c r="BQ19" i="2"/>
  <c r="AW19" i="3"/>
  <c r="AX19" i="3" s="1"/>
  <c r="AZ19" i="3" l="1"/>
  <c r="V20" i="2"/>
  <c r="BB19" i="3"/>
  <c r="BC19" i="3" s="1"/>
  <c r="BD19" i="3" s="1"/>
  <c r="Q20" i="3" s="1"/>
  <c r="AY19" i="3"/>
  <c r="U20" i="2"/>
  <c r="L20" i="3"/>
  <c r="M20" i="3"/>
  <c r="BE19" i="3" l="1"/>
  <c r="AQ20" i="3"/>
  <c r="BP20" i="2"/>
  <c r="BF20" i="2"/>
  <c r="N20" i="3"/>
  <c r="S20" i="3"/>
  <c r="BG19" i="3"/>
  <c r="BH19" i="3" s="1"/>
  <c r="Z20" i="2"/>
  <c r="AA20" i="2" s="1"/>
  <c r="R20" i="3"/>
  <c r="BJ19" i="3" l="1"/>
  <c r="BL19" i="3" s="1"/>
  <c r="BM19" i="3" s="1"/>
  <c r="BN19" i="3" s="1"/>
  <c r="W20" i="3" s="1"/>
  <c r="BA20" i="3"/>
  <c r="AC20" i="2"/>
  <c r="AD20" i="2" s="1"/>
  <c r="Y20" i="3"/>
  <c r="BI19" i="3"/>
  <c r="BO19" i="3"/>
  <c r="O20" i="3"/>
  <c r="P20" i="3"/>
  <c r="X20" i="3"/>
  <c r="BK20" i="3" l="1"/>
  <c r="AV20" i="3"/>
  <c r="AE20" i="2"/>
  <c r="AF20" i="2"/>
  <c r="T20" i="3"/>
  <c r="BQ19" i="3"/>
  <c r="V20" i="3" l="1"/>
  <c r="B21" i="2"/>
  <c r="AH20" i="2"/>
  <c r="AI20" i="2" s="1"/>
  <c r="U20" i="3"/>
  <c r="BP20" i="3" l="1"/>
  <c r="BF20" i="3"/>
  <c r="AK20" i="2"/>
  <c r="AJ20" i="2"/>
  <c r="Z20" i="3"/>
  <c r="AA20" i="3" s="1"/>
  <c r="C21" i="2"/>
  <c r="D21" i="2"/>
  <c r="AB21" i="2" l="1"/>
  <c r="AC20" i="3"/>
  <c r="AD20" i="3" s="1"/>
  <c r="E21" i="2"/>
  <c r="AM20" i="2"/>
  <c r="AN20" i="2" s="1"/>
  <c r="AO20" i="2" l="1"/>
  <c r="AE20" i="3"/>
  <c r="AP20" i="2"/>
  <c r="AF20" i="3"/>
  <c r="F21" i="2"/>
  <c r="G21" i="2"/>
  <c r="AG21" i="2" l="1"/>
  <c r="AH20" i="3"/>
  <c r="AI20" i="3" s="1"/>
  <c r="B21" i="3"/>
  <c r="AR20" i="2"/>
  <c r="AS20" i="2" s="1"/>
  <c r="H21" i="2"/>
  <c r="AK20" i="3" l="1"/>
  <c r="D21" i="3"/>
  <c r="AU20" i="2"/>
  <c r="AJ20" i="3"/>
  <c r="AT20" i="2"/>
  <c r="AM20" i="3"/>
  <c r="AN20" i="3" s="1"/>
  <c r="AO20" i="3" s="1"/>
  <c r="H21" i="3" s="1"/>
  <c r="C21" i="3"/>
  <c r="I21" i="2"/>
  <c r="J21" i="2"/>
  <c r="AL21" i="2" l="1"/>
  <c r="AB21" i="3"/>
  <c r="AW20" i="2"/>
  <c r="AX20" i="2" s="1"/>
  <c r="K21" i="2"/>
  <c r="E21" i="3"/>
  <c r="AP20" i="3"/>
  <c r="I21" i="3"/>
  <c r="J21" i="3"/>
  <c r="AL21" i="3" l="1"/>
  <c r="AZ20" i="2"/>
  <c r="AR20" i="3"/>
  <c r="AS20" i="3" s="1"/>
  <c r="AY20" i="2"/>
  <c r="L21" i="2"/>
  <c r="M21" i="2"/>
  <c r="F21" i="3"/>
  <c r="G21" i="3"/>
  <c r="AG21" i="3" l="1"/>
  <c r="AQ21" i="2"/>
  <c r="N21" i="2"/>
  <c r="AU20" i="3"/>
  <c r="AT20" i="3"/>
  <c r="BB20" i="2"/>
  <c r="BC20" i="2" s="1"/>
  <c r="BD20" i="2" l="1"/>
  <c r="BE20" i="2"/>
  <c r="K21" i="3"/>
  <c r="AW20" i="3"/>
  <c r="AX20" i="3" s="1"/>
  <c r="O21" i="2"/>
  <c r="P21" i="2"/>
  <c r="AV21" i="2" l="1"/>
  <c r="AZ20" i="3"/>
  <c r="BG20" i="2"/>
  <c r="BH20" i="2" s="1"/>
  <c r="Q21" i="2"/>
  <c r="AY20" i="3"/>
  <c r="L21" i="3"/>
  <c r="M21" i="3"/>
  <c r="AQ21" i="3" l="1"/>
  <c r="N21" i="3"/>
  <c r="BI20" i="2"/>
  <c r="BB20" i="3"/>
  <c r="BC20" i="3" s="1"/>
  <c r="S21" i="2"/>
  <c r="BJ20" i="2"/>
  <c r="BL20" i="2" s="1"/>
  <c r="BM20" i="2" s="1"/>
  <c r="BN20" i="2" s="1"/>
  <c r="W21" i="2" s="1"/>
  <c r="R21" i="2"/>
  <c r="BO20" i="2" l="1"/>
  <c r="BA21" i="2"/>
  <c r="BD20" i="3"/>
  <c r="BE20" i="3"/>
  <c r="Y21" i="2"/>
  <c r="T21" i="2"/>
  <c r="BQ20" i="2"/>
  <c r="X21" i="2"/>
  <c r="O21" i="3"/>
  <c r="P21" i="3"/>
  <c r="AV21" i="3" l="1"/>
  <c r="BK21" i="2"/>
  <c r="Q21" i="3"/>
  <c r="V21" i="2"/>
  <c r="BG20" i="3"/>
  <c r="BH20" i="3" s="1"/>
  <c r="U21" i="2"/>
  <c r="BP21" i="2" l="1"/>
  <c r="BF21" i="2"/>
  <c r="S21" i="3"/>
  <c r="Z21" i="2"/>
  <c r="AA21" i="2" s="1"/>
  <c r="BI20" i="3"/>
  <c r="BJ20" i="3"/>
  <c r="BL20" i="3" s="1"/>
  <c r="BM20" i="3" s="1"/>
  <c r="BN20" i="3" s="1"/>
  <c r="W21" i="3" s="1"/>
  <c r="R21" i="3"/>
  <c r="BA21" i="3" l="1"/>
  <c r="AC21" i="2"/>
  <c r="AD21" i="2" s="1"/>
  <c r="Y21" i="3"/>
  <c r="BO20" i="3"/>
  <c r="T21" i="3"/>
  <c r="BQ20" i="3"/>
  <c r="X21" i="3"/>
  <c r="BK21" i="3" l="1"/>
  <c r="V21" i="3"/>
  <c r="AE21" i="2"/>
  <c r="AF21" i="2"/>
  <c r="U21" i="3"/>
  <c r="BP21" i="3" l="1"/>
  <c r="BF21" i="3"/>
  <c r="AH21" i="2"/>
  <c r="AI21" i="2" s="1"/>
  <c r="B22" i="2"/>
  <c r="Z21" i="3"/>
  <c r="AA21" i="3" s="1"/>
  <c r="AC21" i="3" l="1"/>
  <c r="AD21" i="3" s="1"/>
  <c r="AJ21" i="2"/>
  <c r="AK21" i="2"/>
  <c r="C22" i="2"/>
  <c r="D22" i="2"/>
  <c r="AB22" i="2" l="1"/>
  <c r="AM21" i="2"/>
  <c r="AN21" i="2" s="1"/>
  <c r="E22" i="2"/>
  <c r="AE21" i="3"/>
  <c r="AF21" i="3"/>
  <c r="AH21" i="3" l="1"/>
  <c r="AI21" i="3" s="1"/>
  <c r="AO21" i="2"/>
  <c r="AP21" i="2"/>
  <c r="B22" i="3"/>
  <c r="F22" i="2"/>
  <c r="G22" i="2"/>
  <c r="AG22" i="2" l="1"/>
  <c r="AR21" i="2"/>
  <c r="AS21" i="2" s="1"/>
  <c r="D22" i="3"/>
  <c r="H22" i="2"/>
  <c r="AJ21" i="3"/>
  <c r="AK21" i="3"/>
  <c r="C22" i="3"/>
  <c r="AU21" i="2" l="1"/>
  <c r="AB22" i="3"/>
  <c r="AT21" i="2"/>
  <c r="AM21" i="3"/>
  <c r="AN21" i="3" s="1"/>
  <c r="E22" i="3"/>
  <c r="AW21" i="2"/>
  <c r="AX21" i="2" s="1"/>
  <c r="AY21" i="2" s="1"/>
  <c r="N22" i="2" s="1"/>
  <c r="I22" i="2"/>
  <c r="J22" i="2"/>
  <c r="AP21" i="3" l="1"/>
  <c r="AR21" i="3" s="1"/>
  <c r="AS21" i="3" s="1"/>
  <c r="AT21" i="3" s="1"/>
  <c r="K22" i="3" s="1"/>
  <c r="AL22" i="2"/>
  <c r="AZ21" i="2"/>
  <c r="K22" i="2"/>
  <c r="AO21" i="3"/>
  <c r="O22" i="2"/>
  <c r="F22" i="3"/>
  <c r="P22" i="2"/>
  <c r="G22" i="3"/>
  <c r="AG22" i="3" l="1"/>
  <c r="AV22" i="2"/>
  <c r="H22" i="3"/>
  <c r="AU21" i="3"/>
  <c r="BB21" i="2"/>
  <c r="BC21" i="2" s="1"/>
  <c r="L22" i="3"/>
  <c r="M22" i="3"/>
  <c r="L22" i="2"/>
  <c r="M22" i="2"/>
  <c r="AQ22" i="2" l="1"/>
  <c r="AQ22" i="3"/>
  <c r="BD21" i="2"/>
  <c r="BE21" i="2"/>
  <c r="AW21" i="3"/>
  <c r="AX21" i="3" s="1"/>
  <c r="I22" i="3"/>
  <c r="J22" i="3"/>
  <c r="AZ21" i="3" l="1"/>
  <c r="AL22" i="3"/>
  <c r="BB21" i="3"/>
  <c r="BC21" i="3" s="1"/>
  <c r="BD21" i="3" s="1"/>
  <c r="Q22" i="3" s="1"/>
  <c r="BG21" i="2"/>
  <c r="BH21" i="2" s="1"/>
  <c r="AY21" i="3"/>
  <c r="Q22" i="2"/>
  <c r="N22" i="3" l="1"/>
  <c r="BJ21" i="2"/>
  <c r="BL21" i="2" s="1"/>
  <c r="BM21" i="2" s="1"/>
  <c r="BN21" i="2" s="1"/>
  <c r="W22" i="2" s="1"/>
  <c r="S22" i="2"/>
  <c r="BI21" i="2"/>
  <c r="BO21" i="2"/>
  <c r="BE21" i="3"/>
  <c r="S22" i="3"/>
  <c r="R22" i="3"/>
  <c r="R22" i="2"/>
  <c r="BA22" i="2" l="1"/>
  <c r="BA22" i="3"/>
  <c r="T22" i="2"/>
  <c r="BQ21" i="2"/>
  <c r="Y22" i="2"/>
  <c r="BG21" i="3"/>
  <c r="BH21" i="3" s="1"/>
  <c r="X22" i="2"/>
  <c r="O22" i="3"/>
  <c r="P22" i="3"/>
  <c r="BJ21" i="3" l="1"/>
  <c r="BL21" i="3" s="1"/>
  <c r="BM21" i="3" s="1"/>
  <c r="BN21" i="3" s="1"/>
  <c r="W22" i="3" s="1"/>
  <c r="Y22" i="3" s="1"/>
  <c r="AV22" i="3"/>
  <c r="BK22" i="2"/>
  <c r="V22" i="2"/>
  <c r="BI21" i="3"/>
  <c r="BO21" i="3"/>
  <c r="U22" i="2"/>
  <c r="X22" i="3"/>
  <c r="BK22" i="3" l="1"/>
  <c r="BP22" i="2"/>
  <c r="BF22" i="2"/>
  <c r="Z22" i="2"/>
  <c r="AA22" i="2" s="1"/>
  <c r="T22" i="3"/>
  <c r="BQ21" i="3"/>
  <c r="AC22" i="2" l="1"/>
  <c r="AD22" i="2" s="1"/>
  <c r="V22" i="3"/>
  <c r="U22" i="3"/>
  <c r="BP22" i="3" l="1"/>
  <c r="BF22" i="3"/>
  <c r="Z22" i="3"/>
  <c r="AA22" i="3" s="1"/>
  <c r="AE22" i="2"/>
  <c r="AF22" i="2"/>
  <c r="B23" i="2" l="1"/>
  <c r="AH22" i="2"/>
  <c r="AI22" i="2" s="1"/>
  <c r="AC22" i="3"/>
  <c r="AD22" i="3" s="1"/>
  <c r="AF22" i="3" l="1"/>
  <c r="AK22" i="2"/>
  <c r="AM22" i="2" s="1"/>
  <c r="AN22" i="2" s="1"/>
  <c r="AO22" i="2" s="1"/>
  <c r="H23" i="2" s="1"/>
  <c r="AH22" i="3"/>
  <c r="AI22" i="3" s="1"/>
  <c r="AJ22" i="3" s="1"/>
  <c r="E23" i="3" s="1"/>
  <c r="AE22" i="3"/>
  <c r="AJ22" i="2"/>
  <c r="C23" i="2"/>
  <c r="D23" i="2"/>
  <c r="AB23" i="2" l="1"/>
  <c r="E23" i="2"/>
  <c r="AP22" i="2"/>
  <c r="B23" i="3"/>
  <c r="AK22" i="3"/>
  <c r="F23" i="3"/>
  <c r="I23" i="2"/>
  <c r="G23" i="3"/>
  <c r="J23" i="2"/>
  <c r="AL23" i="2" l="1"/>
  <c r="AG23" i="3"/>
  <c r="AM22" i="3"/>
  <c r="AN22" i="3" s="1"/>
  <c r="AR22" i="2"/>
  <c r="AS22" i="2" s="1"/>
  <c r="D23" i="3"/>
  <c r="C23" i="3"/>
  <c r="F23" i="2"/>
  <c r="G23" i="2"/>
  <c r="AG23" i="2" l="1"/>
  <c r="AB23" i="3"/>
  <c r="AP22" i="3"/>
  <c r="AO22" i="3"/>
  <c r="AT22" i="2"/>
  <c r="AU22" i="2"/>
  <c r="AR22" i="3" l="1"/>
  <c r="AS22" i="3" s="1"/>
  <c r="H23" i="3"/>
  <c r="AW22" i="2"/>
  <c r="AX22" i="2" s="1"/>
  <c r="K23" i="2"/>
  <c r="AU22" i="3" l="1"/>
  <c r="AY22" i="2"/>
  <c r="AZ22" i="2"/>
  <c r="AW22" i="3"/>
  <c r="AX22" i="3" s="1"/>
  <c r="AY22" i="3" s="1"/>
  <c r="N23" i="3" s="1"/>
  <c r="AT22" i="3"/>
  <c r="L23" i="2"/>
  <c r="M23" i="2"/>
  <c r="I23" i="3"/>
  <c r="J23" i="3"/>
  <c r="AZ22" i="3" l="1"/>
  <c r="AL23" i="3"/>
  <c r="AQ23" i="2"/>
  <c r="BB22" i="3"/>
  <c r="BC22" i="3" s="1"/>
  <c r="K23" i="3"/>
  <c r="BB22" i="2"/>
  <c r="BC22" i="2" s="1"/>
  <c r="N23" i="2"/>
  <c r="O23" i="3"/>
  <c r="P23" i="3"/>
  <c r="AV23" i="3" l="1"/>
  <c r="BD22" i="3"/>
  <c r="BD22" i="2"/>
  <c r="BE22" i="3"/>
  <c r="BE22" i="2"/>
  <c r="L23" i="3"/>
  <c r="M23" i="3"/>
  <c r="O23" i="2"/>
  <c r="P23" i="2"/>
  <c r="AV23" i="2" l="1"/>
  <c r="AQ23" i="3"/>
  <c r="BG22" i="3"/>
  <c r="BH22" i="3" s="1"/>
  <c r="Q23" i="2"/>
  <c r="Q23" i="3"/>
  <c r="BG22" i="2"/>
  <c r="BH22" i="2" s="1"/>
  <c r="BI22" i="2" l="1"/>
  <c r="BJ22" i="3"/>
  <c r="BL22" i="3" s="1"/>
  <c r="BM22" i="3" s="1"/>
  <c r="BN22" i="3" s="1"/>
  <c r="W23" i="3" s="1"/>
  <c r="BJ22" i="2"/>
  <c r="BL22" i="2" s="1"/>
  <c r="BM22" i="2" s="1"/>
  <c r="BN22" i="2" s="1"/>
  <c r="W23" i="2" s="1"/>
  <c r="BI22" i="3"/>
  <c r="BO22" i="3"/>
  <c r="S23" i="3"/>
  <c r="S23" i="2"/>
  <c r="R23" i="2"/>
  <c r="R23" i="3"/>
  <c r="BA23" i="3" l="1"/>
  <c r="BA23" i="2"/>
  <c r="T23" i="3"/>
  <c r="BQ22" i="3"/>
  <c r="Y23" i="3"/>
  <c r="BO22" i="2"/>
  <c r="Y23" i="2"/>
  <c r="T23" i="2"/>
  <c r="BQ22" i="2"/>
  <c r="X23" i="3"/>
  <c r="X23" i="2"/>
  <c r="BK23" i="2" l="1"/>
  <c r="BK23" i="3"/>
  <c r="V23" i="2"/>
  <c r="V23" i="3"/>
  <c r="U23" i="3"/>
  <c r="U23" i="2"/>
  <c r="BP23" i="2" l="1"/>
  <c r="BF23" i="2"/>
  <c r="BP23" i="3"/>
  <c r="BF23" i="3"/>
  <c r="Z23" i="2"/>
  <c r="AA23" i="2" s="1"/>
  <c r="Z23" i="3"/>
  <c r="AA23" i="3" s="1"/>
  <c r="AC23" i="2" l="1"/>
  <c r="AD23" i="2" s="1"/>
  <c r="AC23" i="3"/>
  <c r="AD23" i="3" s="1"/>
  <c r="AE23" i="2" l="1"/>
  <c r="AE23" i="3"/>
  <c r="AF23" i="3"/>
  <c r="AF23" i="2"/>
  <c r="AH23" i="3" l="1"/>
  <c r="AI23" i="3" s="1"/>
  <c r="AH23" i="2"/>
  <c r="AI23" i="2" s="1"/>
  <c r="B24" i="3"/>
  <c r="B24" i="2"/>
  <c r="AK23" i="3" l="1"/>
  <c r="AM23" i="3" s="1"/>
  <c r="AN23" i="3" s="1"/>
  <c r="AO23" i="3" s="1"/>
  <c r="H24" i="3" s="1"/>
  <c r="D24" i="3"/>
  <c r="AJ23" i="2"/>
  <c r="AK23" i="2"/>
  <c r="AJ23" i="3"/>
  <c r="C24" i="2"/>
  <c r="C24" i="3"/>
  <c r="D24" i="2"/>
  <c r="AB24" i="3" l="1"/>
  <c r="AB24" i="2"/>
  <c r="E24" i="2"/>
  <c r="AP23" i="3"/>
  <c r="E24" i="3"/>
  <c r="AM23" i="2"/>
  <c r="AN23" i="2" s="1"/>
  <c r="I24" i="3"/>
  <c r="J24" i="3"/>
  <c r="AL24" i="3" l="1"/>
  <c r="AP23" i="2"/>
  <c r="AO23" i="2"/>
  <c r="AR23" i="3"/>
  <c r="AS23" i="3" s="1"/>
  <c r="F24" i="2"/>
  <c r="G24" i="2"/>
  <c r="F24" i="3"/>
  <c r="G24" i="3"/>
  <c r="AU23" i="3" l="1"/>
  <c r="AG24" i="3"/>
  <c r="AG24" i="2"/>
  <c r="AR23" i="2"/>
  <c r="AS23" i="2" s="1"/>
  <c r="AW23" i="3"/>
  <c r="AX23" i="3" s="1"/>
  <c r="AY23" i="3" s="1"/>
  <c r="N24" i="3" s="1"/>
  <c r="AT23" i="3"/>
  <c r="H24" i="2"/>
  <c r="AT23" i="2" l="1"/>
  <c r="AU23" i="2"/>
  <c r="K24" i="3"/>
  <c r="AZ23" i="3"/>
  <c r="I24" i="2"/>
  <c r="O24" i="3"/>
  <c r="P24" i="3"/>
  <c r="J24" i="2"/>
  <c r="AV24" i="3" l="1"/>
  <c r="AL24" i="2"/>
  <c r="AW23" i="2"/>
  <c r="AX23" i="2" s="1"/>
  <c r="BB23" i="3"/>
  <c r="BC23" i="3" s="1"/>
  <c r="K24" i="2"/>
  <c r="L24" i="3"/>
  <c r="M24" i="3"/>
  <c r="AQ24" i="3" l="1"/>
  <c r="BD23" i="3"/>
  <c r="BE23" i="3"/>
  <c r="AY23" i="2"/>
  <c r="AZ23" i="2"/>
  <c r="L24" i="2"/>
  <c r="M24" i="2"/>
  <c r="AQ24" i="2" l="1"/>
  <c r="BG23" i="3"/>
  <c r="BH23" i="3" s="1"/>
  <c r="Q24" i="3"/>
  <c r="BB23" i="2"/>
  <c r="BC23" i="2" s="1"/>
  <c r="N24" i="2"/>
  <c r="S24" i="3" l="1"/>
  <c r="BE23" i="2"/>
  <c r="BJ23" i="3"/>
  <c r="BL23" i="3" s="1"/>
  <c r="BM23" i="3" s="1"/>
  <c r="BN23" i="3" s="1"/>
  <c r="W24" i="3" s="1"/>
  <c r="BD23" i="2"/>
  <c r="BI23" i="3"/>
  <c r="O24" i="2"/>
  <c r="R24" i="3"/>
  <c r="P24" i="2"/>
  <c r="BA24" i="3" l="1"/>
  <c r="AV24" i="2"/>
  <c r="Q24" i="2"/>
  <c r="BG23" i="2"/>
  <c r="BH23" i="2" s="1"/>
  <c r="Y24" i="3"/>
  <c r="BO23" i="3"/>
  <c r="T24" i="3"/>
  <c r="BQ23" i="3"/>
  <c r="X24" i="3"/>
  <c r="BK24" i="3" l="1"/>
  <c r="BI23" i="2"/>
  <c r="BJ23" i="2"/>
  <c r="BL23" i="2" s="1"/>
  <c r="BM23" i="2" s="1"/>
  <c r="BN23" i="2" s="1"/>
  <c r="W24" i="2" s="1"/>
  <c r="V24" i="3"/>
  <c r="S24" i="2"/>
  <c r="U24" i="3"/>
  <c r="R24" i="2"/>
  <c r="BA24" i="2" l="1"/>
  <c r="BP24" i="3"/>
  <c r="BF24" i="3"/>
  <c r="BO23" i="2"/>
  <c r="Z24" i="3"/>
  <c r="AA24" i="3" s="1"/>
  <c r="Y24" i="2"/>
  <c r="T24" i="2"/>
  <c r="BQ23" i="2"/>
  <c r="X24" i="2"/>
  <c r="BK24" i="2" l="1"/>
  <c r="AC24" i="3"/>
  <c r="AD24" i="3" s="1"/>
  <c r="V24" i="2"/>
  <c r="U24" i="2"/>
  <c r="BP24" i="2" l="1"/>
  <c r="BF24" i="2"/>
  <c r="Z24" i="2"/>
  <c r="AA24" i="2" s="1"/>
  <c r="AF24" i="3"/>
  <c r="AE24" i="3"/>
  <c r="AH24" i="3" l="1"/>
  <c r="AI24" i="3" s="1"/>
  <c r="B25" i="3"/>
  <c r="AC24" i="2"/>
  <c r="AD24" i="2" s="1"/>
  <c r="AF24" i="2" l="1"/>
  <c r="AE24" i="2"/>
  <c r="D25" i="3"/>
  <c r="AJ24" i="3"/>
  <c r="AK24" i="3"/>
  <c r="C25" i="3"/>
  <c r="AB25" i="3" l="1"/>
  <c r="AM24" i="3"/>
  <c r="AN24" i="3" s="1"/>
  <c r="E25" i="3"/>
  <c r="B25" i="2"/>
  <c r="AH24" i="2"/>
  <c r="AI24" i="2" s="1"/>
  <c r="AK24" i="2" l="1"/>
  <c r="AM24" i="2" s="1"/>
  <c r="AN24" i="2" s="1"/>
  <c r="AO24" i="2" s="1"/>
  <c r="H25" i="2" s="1"/>
  <c r="AO24" i="3"/>
  <c r="AP24" i="3"/>
  <c r="AJ24" i="2"/>
  <c r="F25" i="3"/>
  <c r="G25" i="3"/>
  <c r="C25" i="2"/>
  <c r="D25" i="2"/>
  <c r="AB25" i="2" l="1"/>
  <c r="AG25" i="3"/>
  <c r="H25" i="3"/>
  <c r="AP24" i="2"/>
  <c r="E25" i="2"/>
  <c r="AR24" i="3"/>
  <c r="AS24" i="3" s="1"/>
  <c r="I25" i="2"/>
  <c r="J25" i="2"/>
  <c r="AL25" i="2" l="1"/>
  <c r="AU24" i="3"/>
  <c r="AT24" i="3"/>
  <c r="AR24" i="2"/>
  <c r="AS24" i="2" s="1"/>
  <c r="I25" i="3"/>
  <c r="F25" i="2"/>
  <c r="G25" i="2"/>
  <c r="J25" i="3"/>
  <c r="AU24" i="2" l="1"/>
  <c r="AG25" i="2"/>
  <c r="AL25" i="3"/>
  <c r="AW24" i="3"/>
  <c r="AX24" i="3" s="1"/>
  <c r="AW24" i="2"/>
  <c r="AX24" i="2" s="1"/>
  <c r="AY24" i="2" s="1"/>
  <c r="N25" i="2" s="1"/>
  <c r="AT24" i="2"/>
  <c r="K25" i="3"/>
  <c r="AY24" i="3" l="1"/>
  <c r="AZ24" i="3"/>
  <c r="K25" i="2"/>
  <c r="AZ24" i="2"/>
  <c r="O25" i="2"/>
  <c r="L25" i="3"/>
  <c r="M25" i="3"/>
  <c r="P25" i="2"/>
  <c r="AQ25" i="3" l="1"/>
  <c r="AV25" i="2"/>
  <c r="BB24" i="3"/>
  <c r="BC24" i="3" s="1"/>
  <c r="BB24" i="2"/>
  <c r="BC24" i="2" s="1"/>
  <c r="N25" i="3"/>
  <c r="L25" i="2"/>
  <c r="M25" i="2"/>
  <c r="BE24" i="2" l="1"/>
  <c r="AQ25" i="2"/>
  <c r="BG24" i="2"/>
  <c r="BH24" i="2" s="1"/>
  <c r="BI24" i="2" s="1"/>
  <c r="T25" i="2" s="1"/>
  <c r="BD24" i="2"/>
  <c r="BD24" i="3"/>
  <c r="BE24" i="3"/>
  <c r="O25" i="3"/>
  <c r="P25" i="3"/>
  <c r="AV25" i="3" l="1"/>
  <c r="V25" i="2"/>
  <c r="BJ24" i="2"/>
  <c r="BL24" i="2" s="1"/>
  <c r="BM24" i="2" s="1"/>
  <c r="BN24" i="2" s="1"/>
  <c r="W25" i="2" s="1"/>
  <c r="Q25" i="2"/>
  <c r="Q25" i="3"/>
  <c r="BG24" i="3"/>
  <c r="BH24" i="3" s="1"/>
  <c r="U25" i="2"/>
  <c r="BF25" i="2" l="1"/>
  <c r="S25" i="2"/>
  <c r="BO24" i="2"/>
  <c r="BQ24" i="2"/>
  <c r="BI24" i="3"/>
  <c r="BJ24" i="3"/>
  <c r="BL24" i="3" s="1"/>
  <c r="BM24" i="3" s="1"/>
  <c r="BN24" i="3" s="1"/>
  <c r="W25" i="3" s="1"/>
  <c r="Y25" i="2"/>
  <c r="S25" i="3"/>
  <c r="X25" i="2"/>
  <c r="R25" i="3"/>
  <c r="R25" i="2"/>
  <c r="BO24" i="3" l="1"/>
  <c r="BP25" i="2"/>
  <c r="BA25" i="2"/>
  <c r="BA25" i="3"/>
  <c r="BK25" i="2"/>
  <c r="Y25" i="3"/>
  <c r="Z25" i="2"/>
  <c r="AA25" i="2" s="1"/>
  <c r="T25" i="3"/>
  <c r="BQ24" i="3"/>
  <c r="X25" i="3"/>
  <c r="BK25" i="3" l="1"/>
  <c r="V25" i="3"/>
  <c r="AC25" i="2"/>
  <c r="AD25" i="2" s="1"/>
  <c r="U25" i="3"/>
  <c r="BP25" i="3" l="1"/>
  <c r="BF25" i="3"/>
  <c r="Z25" i="3"/>
  <c r="AA25" i="3" s="1"/>
  <c r="AE25" i="2"/>
  <c r="AF25" i="2"/>
  <c r="B26" i="2" l="1"/>
  <c r="AH25" i="2"/>
  <c r="AI25" i="2" s="1"/>
  <c r="AC25" i="3"/>
  <c r="AD25" i="3" s="1"/>
  <c r="AF25" i="3" l="1"/>
  <c r="AH25" i="3"/>
  <c r="AI25" i="3" s="1"/>
  <c r="AJ25" i="3" s="1"/>
  <c r="E26" i="3" s="1"/>
  <c r="AE25" i="3"/>
  <c r="AK25" i="2"/>
  <c r="AJ25" i="2"/>
  <c r="C26" i="2"/>
  <c r="D26" i="2"/>
  <c r="AB26" i="2" l="1"/>
  <c r="AM25" i="2"/>
  <c r="AN25" i="2" s="1"/>
  <c r="E26" i="2"/>
  <c r="B26" i="3"/>
  <c r="AK25" i="3"/>
  <c r="F26" i="3"/>
  <c r="G26" i="3"/>
  <c r="AG26" i="3" l="1"/>
  <c r="AM25" i="3"/>
  <c r="AN25" i="3" s="1"/>
  <c r="AO25" i="2"/>
  <c r="D26" i="3"/>
  <c r="AP25" i="2"/>
  <c r="C26" i="3"/>
  <c r="F26" i="2"/>
  <c r="G26" i="2"/>
  <c r="AG26" i="2" l="1"/>
  <c r="AB26" i="3"/>
  <c r="AO25" i="3"/>
  <c r="AP25" i="3"/>
  <c r="AR25" i="2"/>
  <c r="AS25" i="2" s="1"/>
  <c r="H26" i="2"/>
  <c r="AU25" i="2" l="1"/>
  <c r="AW25" i="2"/>
  <c r="AX25" i="2" s="1"/>
  <c r="AY25" i="2" s="1"/>
  <c r="N26" i="2" s="1"/>
  <c r="H26" i="3"/>
  <c r="AR25" i="3"/>
  <c r="AS25" i="3" s="1"/>
  <c r="AT25" i="2"/>
  <c r="I26" i="2"/>
  <c r="J26" i="2"/>
  <c r="AL26" i="2" l="1"/>
  <c r="AU25" i="3"/>
  <c r="K26" i="2"/>
  <c r="AT25" i="3"/>
  <c r="AZ25" i="2"/>
  <c r="O26" i="2"/>
  <c r="I26" i="3"/>
  <c r="P26" i="2"/>
  <c r="J26" i="3"/>
  <c r="AL26" i="3" l="1"/>
  <c r="AV26" i="2"/>
  <c r="BB25" i="2"/>
  <c r="BC25" i="2" s="1"/>
  <c r="K26" i="3"/>
  <c r="AW25" i="3"/>
  <c r="AX25" i="3" s="1"/>
  <c r="L26" i="2"/>
  <c r="M26" i="2"/>
  <c r="AQ26" i="2" l="1"/>
  <c r="AY25" i="3"/>
  <c r="BD25" i="2"/>
  <c r="AZ25" i="3"/>
  <c r="BE25" i="2"/>
  <c r="L26" i="3"/>
  <c r="M26" i="3"/>
  <c r="AQ26" i="3" l="1"/>
  <c r="N26" i="3"/>
  <c r="BG25" i="2"/>
  <c r="BH25" i="2" s="1"/>
  <c r="BB25" i="3"/>
  <c r="BC25" i="3" s="1"/>
  <c r="Q26" i="2"/>
  <c r="BD25" i="3" l="1"/>
  <c r="S26" i="2"/>
  <c r="BJ25" i="2"/>
  <c r="BL25" i="2" s="1"/>
  <c r="BM25" i="2" s="1"/>
  <c r="BN25" i="2" s="1"/>
  <c r="W26" i="2" s="1"/>
  <c r="BI25" i="2"/>
  <c r="BE25" i="3"/>
  <c r="R26" i="2"/>
  <c r="O26" i="3"/>
  <c r="P26" i="3"/>
  <c r="BO25" i="2" l="1"/>
  <c r="AV26" i="3"/>
  <c r="BA26" i="2"/>
  <c r="T26" i="2"/>
  <c r="BQ25" i="2"/>
  <c r="Y26" i="2"/>
  <c r="BG25" i="3"/>
  <c r="BH25" i="3" s="1"/>
  <c r="Q26" i="3"/>
  <c r="X26" i="2"/>
  <c r="BK26" i="2" l="1"/>
  <c r="V26" i="2"/>
  <c r="S26" i="3"/>
  <c r="BJ25" i="3"/>
  <c r="BL25" i="3" s="1"/>
  <c r="BM25" i="3" s="1"/>
  <c r="BN25" i="3" s="1"/>
  <c r="W26" i="3" s="1"/>
  <c r="BI25" i="3"/>
  <c r="U26" i="2"/>
  <c r="R26" i="3"/>
  <c r="BA26" i="3" l="1"/>
  <c r="BP26" i="2"/>
  <c r="BF26" i="2"/>
  <c r="Y26" i="3"/>
  <c r="Z26" i="2"/>
  <c r="AA26" i="2" s="1"/>
  <c r="T26" i="3"/>
  <c r="BQ25" i="3"/>
  <c r="BO25" i="3"/>
  <c r="X26" i="3"/>
  <c r="BK26" i="3" l="1"/>
  <c r="V26" i="3"/>
  <c r="AC26" i="2"/>
  <c r="AD26" i="2" s="1"/>
  <c r="U26" i="3"/>
  <c r="BP26" i="3" l="1"/>
  <c r="BF26" i="3"/>
  <c r="AF26" i="2"/>
  <c r="AE26" i="2"/>
  <c r="Z26" i="3"/>
  <c r="AA26" i="3" s="1"/>
  <c r="B27" i="2" l="1"/>
  <c r="AC26" i="3"/>
  <c r="AD26" i="3" s="1"/>
  <c r="AH26" i="2"/>
  <c r="AI26" i="2" s="1"/>
  <c r="AJ26" i="2" l="1"/>
  <c r="AE26" i="3"/>
  <c r="AK26" i="2"/>
  <c r="AF26" i="3"/>
  <c r="C27" i="2"/>
  <c r="D27" i="2"/>
  <c r="AB27" i="2" l="1"/>
  <c r="AH26" i="3"/>
  <c r="AI26" i="3" s="1"/>
  <c r="AM26" i="2"/>
  <c r="AN26" i="2" s="1"/>
  <c r="B27" i="3"/>
  <c r="E27" i="2"/>
  <c r="AK26" i="3" l="1"/>
  <c r="AO26" i="2"/>
  <c r="AP26" i="2"/>
  <c r="AJ26" i="3"/>
  <c r="D27" i="3"/>
  <c r="AM26" i="3"/>
  <c r="AN26" i="3" s="1"/>
  <c r="AO26" i="3" s="1"/>
  <c r="H27" i="3" s="1"/>
  <c r="C27" i="3"/>
  <c r="F27" i="2"/>
  <c r="G27" i="2"/>
  <c r="AG27" i="2" l="1"/>
  <c r="AB27" i="3"/>
  <c r="AR26" i="2"/>
  <c r="AS26" i="2" s="1"/>
  <c r="AP26" i="3"/>
  <c r="E27" i="3"/>
  <c r="H27" i="2"/>
  <c r="I27" i="3"/>
  <c r="J27" i="3"/>
  <c r="AL27" i="3" l="1"/>
  <c r="AT26" i="2"/>
  <c r="AU26" i="2"/>
  <c r="AR26" i="3"/>
  <c r="AS26" i="3" s="1"/>
  <c r="F27" i="3"/>
  <c r="I27" i="2"/>
  <c r="G27" i="3"/>
  <c r="J27" i="2"/>
  <c r="AU26" i="3" l="1"/>
  <c r="AL27" i="2"/>
  <c r="AG27" i="3"/>
  <c r="AW26" i="3"/>
  <c r="AX26" i="3" s="1"/>
  <c r="AY26" i="3" s="1"/>
  <c r="N27" i="3" s="1"/>
  <c r="K27" i="2"/>
  <c r="AW26" i="2"/>
  <c r="AX26" i="2" s="1"/>
  <c r="AT26" i="3"/>
  <c r="AZ26" i="2" l="1"/>
  <c r="AZ26" i="3"/>
  <c r="AY26" i="2"/>
  <c r="K27" i="3"/>
  <c r="O27" i="3"/>
  <c r="P27" i="3"/>
  <c r="L27" i="2"/>
  <c r="M27" i="2"/>
  <c r="AQ27" i="2" l="1"/>
  <c r="AV27" i="3"/>
  <c r="BB26" i="3"/>
  <c r="BC26" i="3" s="1"/>
  <c r="N27" i="2"/>
  <c r="BB26" i="2"/>
  <c r="BC26" i="2" s="1"/>
  <c r="L27" i="3"/>
  <c r="M27" i="3"/>
  <c r="AQ27" i="3" l="1"/>
  <c r="BE26" i="3"/>
  <c r="BD26" i="2"/>
  <c r="BE26" i="2"/>
  <c r="BD26" i="3"/>
  <c r="O27" i="2"/>
  <c r="P27" i="2"/>
  <c r="AV27" i="2" l="1"/>
  <c r="Q27" i="2"/>
  <c r="BG26" i="3"/>
  <c r="BH26" i="3" s="1"/>
  <c r="Q27" i="3"/>
  <c r="BG26" i="2"/>
  <c r="BH26" i="2" s="1"/>
  <c r="BJ26" i="2" l="1"/>
  <c r="BL26" i="2" s="1"/>
  <c r="BM26" i="2" s="1"/>
  <c r="BN26" i="2" s="1"/>
  <c r="W27" i="2" s="1"/>
  <c r="Y27" i="2" s="1"/>
  <c r="S27" i="3"/>
  <c r="S27" i="2"/>
  <c r="BI26" i="3"/>
  <c r="BJ26" i="3"/>
  <c r="BL26" i="3" s="1"/>
  <c r="BM26" i="3" s="1"/>
  <c r="BN26" i="3" s="1"/>
  <c r="W27" i="3" s="1"/>
  <c r="BI26" i="2"/>
  <c r="BO26" i="2"/>
  <c r="R27" i="3"/>
  <c r="X27" i="2"/>
  <c r="R27" i="2"/>
  <c r="BA27" i="2" l="1"/>
  <c r="BK27" i="2"/>
  <c r="BA27" i="3"/>
  <c r="Y27" i="3"/>
  <c r="T27" i="2"/>
  <c r="BQ26" i="2"/>
  <c r="BO26" i="3"/>
  <c r="T27" i="3"/>
  <c r="BQ26" i="3"/>
  <c r="X27" i="3"/>
  <c r="BK27" i="3" l="1"/>
  <c r="V27" i="3"/>
  <c r="V27" i="2"/>
  <c r="U27" i="3"/>
  <c r="U27" i="2"/>
  <c r="BP27" i="2" l="1"/>
  <c r="BF27" i="2"/>
  <c r="BP27" i="3"/>
  <c r="BF27" i="3"/>
  <c r="Z27" i="2"/>
  <c r="AA27" i="2" s="1"/>
  <c r="Z27" i="3"/>
  <c r="AA27" i="3" s="1"/>
  <c r="AC27" i="3" l="1"/>
  <c r="AD27" i="3" s="1"/>
  <c r="AC27" i="2"/>
  <c r="AD27" i="2" s="1"/>
  <c r="AF27" i="2" l="1"/>
  <c r="AH27" i="2"/>
  <c r="AI27" i="2" s="1"/>
  <c r="AJ27" i="2" s="1"/>
  <c r="E28" i="2" s="1"/>
  <c r="AE27" i="2"/>
  <c r="AE27" i="3"/>
  <c r="AF27" i="3"/>
  <c r="B28" i="3" l="1"/>
  <c r="B28" i="2"/>
  <c r="AH27" i="3"/>
  <c r="AI27" i="3" s="1"/>
  <c r="AK27" i="2"/>
  <c r="F28" i="2"/>
  <c r="G28" i="2"/>
  <c r="AG28" i="2" l="1"/>
  <c r="AJ27" i="3"/>
  <c r="AM27" i="2"/>
  <c r="AN27" i="2" s="1"/>
  <c r="AK27" i="3"/>
  <c r="D28" i="3"/>
  <c r="C28" i="3"/>
  <c r="C28" i="2"/>
  <c r="D28" i="2"/>
  <c r="AB28" i="2" l="1"/>
  <c r="AB28" i="3"/>
  <c r="AO27" i="2"/>
  <c r="AM27" i="3"/>
  <c r="AN27" i="3" s="1"/>
  <c r="AP27" i="2"/>
  <c r="E28" i="3"/>
  <c r="H28" i="2" l="1"/>
  <c r="AR27" i="2"/>
  <c r="AS27" i="2" s="1"/>
  <c r="AO27" i="3"/>
  <c r="AP27" i="3"/>
  <c r="F28" i="3"/>
  <c r="G28" i="3"/>
  <c r="AU27" i="2" l="1"/>
  <c r="AG28" i="3"/>
  <c r="AR27" i="3"/>
  <c r="AS27" i="3" s="1"/>
  <c r="AW27" i="2"/>
  <c r="AX27" i="2" s="1"/>
  <c r="AY27" i="2" s="1"/>
  <c r="N28" i="2" s="1"/>
  <c r="H28" i="3"/>
  <c r="AT27" i="2"/>
  <c r="I28" i="2"/>
  <c r="J28" i="2"/>
  <c r="AL28" i="2" l="1"/>
  <c r="K28" i="2"/>
  <c r="AZ27" i="2"/>
  <c r="AT27" i="3"/>
  <c r="AU27" i="3"/>
  <c r="O28" i="2"/>
  <c r="P28" i="2"/>
  <c r="I28" i="3"/>
  <c r="J28" i="3"/>
  <c r="AL28" i="3" l="1"/>
  <c r="AV28" i="2"/>
  <c r="BB27" i="2"/>
  <c r="BC27" i="2" s="1"/>
  <c r="AW27" i="3"/>
  <c r="AX27" i="3" s="1"/>
  <c r="K28" i="3"/>
  <c r="L28" i="2"/>
  <c r="M28" i="2"/>
  <c r="BE27" i="2" l="1"/>
  <c r="AQ28" i="2"/>
  <c r="BG27" i="2"/>
  <c r="BH27" i="2" s="1"/>
  <c r="BI27" i="2" s="1"/>
  <c r="T28" i="2" s="1"/>
  <c r="BD27" i="2"/>
  <c r="AZ27" i="3"/>
  <c r="AY27" i="3"/>
  <c r="L28" i="3"/>
  <c r="M28" i="3"/>
  <c r="AQ28" i="3" l="1"/>
  <c r="Q28" i="2"/>
  <c r="V28" i="2"/>
  <c r="BB27" i="3"/>
  <c r="BC27" i="3" s="1"/>
  <c r="BJ27" i="2"/>
  <c r="BL27" i="2" s="1"/>
  <c r="BM27" i="2" s="1"/>
  <c r="BN27" i="2" s="1"/>
  <c r="W28" i="2" s="1"/>
  <c r="N28" i="3"/>
  <c r="U28" i="2"/>
  <c r="BO27" i="2" l="1"/>
  <c r="BQ27" i="2"/>
  <c r="BE27" i="3"/>
  <c r="BF28" i="2"/>
  <c r="S28" i="2"/>
  <c r="Y28" i="2"/>
  <c r="BG27" i="3"/>
  <c r="BH27" i="3" s="1"/>
  <c r="BI27" i="3" s="1"/>
  <c r="T28" i="3" s="1"/>
  <c r="BD27" i="3"/>
  <c r="O28" i="3"/>
  <c r="P28" i="3"/>
  <c r="X28" i="2"/>
  <c r="R28" i="2"/>
  <c r="BJ27" i="3" l="1"/>
  <c r="BL27" i="3" s="1"/>
  <c r="BM27" i="3" s="1"/>
  <c r="BN27" i="3" s="1"/>
  <c r="W28" i="3" s="1"/>
  <c r="BP28" i="2"/>
  <c r="BA28" i="2"/>
  <c r="BK28" i="2"/>
  <c r="AV28" i="3"/>
  <c r="Z28" i="2"/>
  <c r="AA28" i="2" s="1"/>
  <c r="BO27" i="3"/>
  <c r="Q28" i="3"/>
  <c r="BQ27" i="3"/>
  <c r="Y28" i="3"/>
  <c r="V28" i="3"/>
  <c r="X28" i="3"/>
  <c r="U28" i="3"/>
  <c r="BF28" i="3" l="1"/>
  <c r="BK28" i="3"/>
  <c r="S28" i="3"/>
  <c r="AC28" i="2"/>
  <c r="AD28" i="2" s="1"/>
  <c r="R28" i="3"/>
  <c r="BP28" i="3" l="1"/>
  <c r="BA28" i="3"/>
  <c r="AE28" i="2"/>
  <c r="AF28" i="2"/>
  <c r="Z28" i="3"/>
  <c r="AA28" i="3" s="1"/>
  <c r="AC28" i="3" l="1"/>
  <c r="AD28" i="3" s="1"/>
  <c r="AF28" i="3"/>
  <c r="AH28" i="2"/>
  <c r="AI28" i="2" s="1"/>
  <c r="B29" i="2"/>
  <c r="AK28" i="2" l="1"/>
  <c r="AH28" i="3"/>
  <c r="AI28" i="3" s="1"/>
  <c r="AJ28" i="3" s="1"/>
  <c r="E29" i="3" s="1"/>
  <c r="AM28" i="2"/>
  <c r="AN28" i="2" s="1"/>
  <c r="AO28" i="2" s="1"/>
  <c r="H29" i="2" s="1"/>
  <c r="AJ28" i="2"/>
  <c r="AE28" i="3"/>
  <c r="C29" i="2"/>
  <c r="D29" i="2"/>
  <c r="AB29" i="2" l="1"/>
  <c r="E29" i="2"/>
  <c r="B29" i="3"/>
  <c r="AP28" i="2"/>
  <c r="AK28" i="3"/>
  <c r="I29" i="2"/>
  <c r="F29" i="3"/>
  <c r="J29" i="2"/>
  <c r="G29" i="3"/>
  <c r="AG29" i="3" l="1"/>
  <c r="AL29" i="2"/>
  <c r="D29" i="3"/>
  <c r="AR28" i="2"/>
  <c r="AS28" i="2" s="1"/>
  <c r="AM28" i="3"/>
  <c r="AN28" i="3" s="1"/>
  <c r="F29" i="2"/>
  <c r="G29" i="2"/>
  <c r="C29" i="3"/>
  <c r="AB29" i="3" l="1"/>
  <c r="AG29" i="2"/>
  <c r="AP28" i="3"/>
  <c r="AU28" i="2"/>
  <c r="AO28" i="3"/>
  <c r="AT28" i="2"/>
  <c r="AR28" i="3" l="1"/>
  <c r="AS28" i="3" s="1"/>
  <c r="K29" i="2"/>
  <c r="AW28" i="2"/>
  <c r="AX28" i="2" s="1"/>
  <c r="H29" i="3"/>
  <c r="AY28" i="2" l="1"/>
  <c r="AZ28" i="2"/>
  <c r="AT28" i="3"/>
  <c r="AU28" i="3"/>
  <c r="I29" i="3"/>
  <c r="L29" i="2"/>
  <c r="J29" i="3"/>
  <c r="M29" i="2"/>
  <c r="AQ29" i="2" l="1"/>
  <c r="AL29" i="3"/>
  <c r="BB28" i="2"/>
  <c r="BC28" i="2" s="1"/>
  <c r="K29" i="3"/>
  <c r="AW28" i="3"/>
  <c r="AX28" i="3" s="1"/>
  <c r="N29" i="2"/>
  <c r="BD28" i="2" l="1"/>
  <c r="AZ28" i="3"/>
  <c r="BE28" i="2"/>
  <c r="AY28" i="3"/>
  <c r="L29" i="3"/>
  <c r="O29" i="2"/>
  <c r="M29" i="3"/>
  <c r="P29" i="2"/>
  <c r="AV29" i="2" l="1"/>
  <c r="AQ29" i="3"/>
  <c r="N29" i="3"/>
  <c r="BG28" i="2"/>
  <c r="BH28" i="2" s="1"/>
  <c r="BB28" i="3"/>
  <c r="BC28" i="3" s="1"/>
  <c r="Q29" i="2"/>
  <c r="BE28" i="3" l="1"/>
  <c r="BJ28" i="2"/>
  <c r="BL28" i="2" s="1"/>
  <c r="BM28" i="2" s="1"/>
  <c r="BN28" i="2" s="1"/>
  <c r="W29" i="2" s="1"/>
  <c r="S29" i="2"/>
  <c r="BD28" i="3"/>
  <c r="BG28" i="3"/>
  <c r="BH28" i="3" s="1"/>
  <c r="BI28" i="3" s="1"/>
  <c r="T29" i="3" s="1"/>
  <c r="Y29" i="2"/>
  <c r="BI28" i="2"/>
  <c r="BO28" i="2"/>
  <c r="O29" i="3"/>
  <c r="R29" i="2"/>
  <c r="P29" i="3"/>
  <c r="X29" i="2"/>
  <c r="BK29" i="2" l="1"/>
  <c r="BA29" i="2"/>
  <c r="AV29" i="3"/>
  <c r="BJ28" i="3"/>
  <c r="BL28" i="3" s="1"/>
  <c r="BM28" i="3" s="1"/>
  <c r="BN28" i="3" s="1"/>
  <c r="W29" i="3" s="1"/>
  <c r="Q29" i="3"/>
  <c r="V29" i="3"/>
  <c r="T29" i="2"/>
  <c r="BQ28" i="2"/>
  <c r="U29" i="3"/>
  <c r="BF29" i="3" l="1"/>
  <c r="BO28" i="3"/>
  <c r="Y29" i="3"/>
  <c r="S29" i="3"/>
  <c r="V29" i="2"/>
  <c r="BQ28" i="3"/>
  <c r="X29" i="3"/>
  <c r="U29" i="2"/>
  <c r="R29" i="3"/>
  <c r="BP29" i="3" l="1"/>
  <c r="BA29" i="3"/>
  <c r="BP29" i="2"/>
  <c r="BF29" i="2"/>
  <c r="BK29" i="3"/>
  <c r="Z29" i="3"/>
  <c r="AA29" i="3" s="1"/>
  <c r="Z29" i="2"/>
  <c r="AA29" i="2" s="1"/>
  <c r="AC29" i="3" l="1"/>
  <c r="AD29" i="3" s="1"/>
  <c r="AC29" i="2"/>
  <c r="AD29" i="2" s="1"/>
  <c r="AE29" i="2" l="1"/>
  <c r="AF29" i="2"/>
  <c r="AE29" i="3"/>
  <c r="AF29" i="3"/>
  <c r="AH29" i="3" l="1"/>
  <c r="AI29" i="3" s="1"/>
  <c r="B30" i="3"/>
  <c r="AH29" i="2"/>
  <c r="AI29" i="2" s="1"/>
  <c r="B30" i="2"/>
  <c r="AK29" i="3" l="1"/>
  <c r="AJ29" i="2"/>
  <c r="D30" i="3"/>
  <c r="AK29" i="2"/>
  <c r="AM29" i="3"/>
  <c r="AN29" i="3" s="1"/>
  <c r="AO29" i="3" s="1"/>
  <c r="H30" i="3" s="1"/>
  <c r="AJ29" i="3"/>
  <c r="C30" i="3"/>
  <c r="C30" i="2"/>
  <c r="D30" i="2"/>
  <c r="AP29" i="3" l="1"/>
  <c r="AB30" i="2"/>
  <c r="AB30" i="3"/>
  <c r="AR29" i="3"/>
  <c r="AS29" i="3" s="1"/>
  <c r="AM29" i="2"/>
  <c r="AN29" i="2" s="1"/>
  <c r="E30" i="2"/>
  <c r="E30" i="3"/>
  <c r="I30" i="3"/>
  <c r="J30" i="3"/>
  <c r="AP29" i="2" l="1"/>
  <c r="AL30" i="3"/>
  <c r="AT29" i="3"/>
  <c r="AR29" i="2"/>
  <c r="AS29" i="2" s="1"/>
  <c r="AT29" i="2" s="1"/>
  <c r="K30" i="2" s="1"/>
  <c r="AU29" i="3"/>
  <c r="AO29" i="2"/>
  <c r="F30" i="2"/>
  <c r="F30" i="3"/>
  <c r="G30" i="3"/>
  <c r="G30" i="2"/>
  <c r="AG30" i="3" l="1"/>
  <c r="AG30" i="2"/>
  <c r="AU29" i="2"/>
  <c r="AW29" i="3"/>
  <c r="AX29" i="3" s="1"/>
  <c r="H30" i="2"/>
  <c r="K30" i="3"/>
  <c r="L30" i="2"/>
  <c r="M30" i="2"/>
  <c r="AZ29" i="3" l="1"/>
  <c r="AQ30" i="2"/>
  <c r="AW29" i="2"/>
  <c r="AX29" i="2" s="1"/>
  <c r="BB29" i="3"/>
  <c r="BC29" i="3" s="1"/>
  <c r="BD29" i="3" s="1"/>
  <c r="Q30" i="3" s="1"/>
  <c r="AY29" i="3"/>
  <c r="I30" i="2"/>
  <c r="L30" i="3"/>
  <c r="J30" i="2"/>
  <c r="M30" i="3"/>
  <c r="AQ30" i="3" l="1"/>
  <c r="AL30" i="2"/>
  <c r="AY29" i="2"/>
  <c r="S30" i="3"/>
  <c r="BE29" i="3"/>
  <c r="N30" i="3"/>
  <c r="AZ29" i="2"/>
  <c r="R30" i="3"/>
  <c r="BA30" i="3" l="1"/>
  <c r="BB29" i="2"/>
  <c r="BC29" i="2" s="1"/>
  <c r="N30" i="2"/>
  <c r="BG29" i="3"/>
  <c r="BH29" i="3" s="1"/>
  <c r="O30" i="3"/>
  <c r="P30" i="3"/>
  <c r="BJ29" i="3" l="1"/>
  <c r="BL29" i="3" s="1"/>
  <c r="BM29" i="3" s="1"/>
  <c r="BN29" i="3" s="1"/>
  <c r="W30" i="3" s="1"/>
  <c r="AV30" i="3"/>
  <c r="BE29" i="2"/>
  <c r="Y30" i="3"/>
  <c r="BD29" i="2"/>
  <c r="BI29" i="3"/>
  <c r="BO29" i="3"/>
  <c r="O30" i="2"/>
  <c r="X30" i="3"/>
  <c r="P30" i="2"/>
  <c r="BK30" i="3" l="1"/>
  <c r="AV30" i="2"/>
  <c r="BG29" i="2"/>
  <c r="BH29" i="2" s="1"/>
  <c r="T30" i="3"/>
  <c r="BQ29" i="3"/>
  <c r="Q30" i="2"/>
  <c r="BI29" i="2" l="1"/>
  <c r="BJ29" i="2"/>
  <c r="BL29" i="2" s="1"/>
  <c r="BM29" i="2" s="1"/>
  <c r="BN29" i="2" s="1"/>
  <c r="W30" i="2" s="1"/>
  <c r="V30" i="3"/>
  <c r="S30" i="2"/>
  <c r="U30" i="3"/>
  <c r="R30" i="2"/>
  <c r="BA30" i="2" l="1"/>
  <c r="BP30" i="3"/>
  <c r="BF30" i="3"/>
  <c r="Z30" i="3"/>
  <c r="AA30" i="3" s="1"/>
  <c r="Y30" i="2"/>
  <c r="BO29" i="2"/>
  <c r="T30" i="2"/>
  <c r="BQ29" i="2"/>
  <c r="X30" i="2"/>
  <c r="BK30" i="2" l="1"/>
  <c r="AC30" i="3"/>
  <c r="AD30" i="3" s="1"/>
  <c r="V30" i="2"/>
  <c r="U30" i="2"/>
  <c r="BP30" i="2" l="1"/>
  <c r="BF30" i="2"/>
  <c r="Z30" i="2"/>
  <c r="AA30" i="2" s="1"/>
  <c r="AE30" i="3"/>
  <c r="AF30" i="3"/>
  <c r="AC30" i="2" l="1"/>
  <c r="AD30" i="2" s="1"/>
  <c r="AH30" i="3"/>
  <c r="AI30" i="3" s="1"/>
  <c r="B31" i="3"/>
  <c r="D31" i="3" l="1"/>
  <c r="AK30" i="3"/>
  <c r="AJ30" i="3"/>
  <c r="AE30" i="2"/>
  <c r="AF30" i="2"/>
  <c r="C31" i="3"/>
  <c r="AB31" i="3" l="1"/>
  <c r="AH30" i="2"/>
  <c r="AI30" i="2" s="1"/>
  <c r="B31" i="2"/>
  <c r="E31" i="3"/>
  <c r="AM30" i="3"/>
  <c r="AN30" i="3" s="1"/>
  <c r="AO30" i="3" l="1"/>
  <c r="AP30" i="3"/>
  <c r="G31" i="3"/>
  <c r="AJ30" i="2"/>
  <c r="AK30" i="2"/>
  <c r="C31" i="2"/>
  <c r="F31" i="3"/>
  <c r="D31" i="2"/>
  <c r="AG31" i="3" l="1"/>
  <c r="AB31" i="2"/>
  <c r="E31" i="2"/>
  <c r="AR30" i="3"/>
  <c r="AS30" i="3" s="1"/>
  <c r="AM30" i="2"/>
  <c r="AN30" i="2" s="1"/>
  <c r="H31" i="3"/>
  <c r="AP30" i="2" l="1"/>
  <c r="AT30" i="3"/>
  <c r="AO30" i="2"/>
  <c r="AU30" i="3"/>
  <c r="I31" i="3"/>
  <c r="F31" i="2"/>
  <c r="G31" i="2"/>
  <c r="J31" i="3"/>
  <c r="AG31" i="2" l="1"/>
  <c r="AL31" i="3"/>
  <c r="H31" i="2"/>
  <c r="K31" i="3"/>
  <c r="AR30" i="2"/>
  <c r="AS30" i="2" s="1"/>
  <c r="AW30" i="3"/>
  <c r="AX30" i="3" s="1"/>
  <c r="AU30" i="2" l="1"/>
  <c r="AZ30" i="3"/>
  <c r="AW30" i="2"/>
  <c r="AX30" i="2" s="1"/>
  <c r="AY30" i="2" s="1"/>
  <c r="N31" i="2" s="1"/>
  <c r="AY30" i="3"/>
  <c r="AT30" i="2"/>
  <c r="I31" i="2"/>
  <c r="L31" i="3"/>
  <c r="J31" i="2"/>
  <c r="M31" i="3"/>
  <c r="AQ31" i="3" l="1"/>
  <c r="AL31" i="2"/>
  <c r="N31" i="3"/>
  <c r="BB30" i="3"/>
  <c r="BC30" i="3" s="1"/>
  <c r="K31" i="2"/>
  <c r="AZ30" i="2"/>
  <c r="O31" i="2"/>
  <c r="P31" i="2"/>
  <c r="AV31" i="2" l="1"/>
  <c r="BB30" i="2"/>
  <c r="BC30" i="2" s="1"/>
  <c r="BD30" i="3"/>
  <c r="BE30" i="3"/>
  <c r="O31" i="3"/>
  <c r="L31" i="2"/>
  <c r="M31" i="2"/>
  <c r="P31" i="3"/>
  <c r="BE30" i="2" l="1"/>
  <c r="AQ31" i="2"/>
  <c r="AV31" i="3"/>
  <c r="BG30" i="2"/>
  <c r="BH30" i="2" s="1"/>
  <c r="BI30" i="2" s="1"/>
  <c r="T31" i="2" s="1"/>
  <c r="BD30" i="2"/>
  <c r="BG30" i="3"/>
  <c r="BH30" i="3" s="1"/>
  <c r="Q31" i="3"/>
  <c r="BJ30" i="2" l="1"/>
  <c r="BL30" i="2" s="1"/>
  <c r="BM30" i="2" s="1"/>
  <c r="BN30" i="2" s="1"/>
  <c r="W31" i="2" s="1"/>
  <c r="BI30" i="3"/>
  <c r="S31" i="3"/>
  <c r="BJ30" i="3"/>
  <c r="BL30" i="3" s="1"/>
  <c r="BM30" i="3" s="1"/>
  <c r="BN30" i="3" s="1"/>
  <c r="W31" i="3" s="1"/>
  <c r="BO30" i="2"/>
  <c r="V31" i="2"/>
  <c r="Q31" i="2"/>
  <c r="U31" i="2"/>
  <c r="R31" i="3"/>
  <c r="BA31" i="3" l="1"/>
  <c r="BF31" i="2"/>
  <c r="BQ30" i="2"/>
  <c r="BO30" i="3"/>
  <c r="Y31" i="3"/>
  <c r="S31" i="2"/>
  <c r="T31" i="3"/>
  <c r="BQ30" i="3"/>
  <c r="Y31" i="2"/>
  <c r="X31" i="3"/>
  <c r="R31" i="2"/>
  <c r="X31" i="2"/>
  <c r="BK31" i="2" l="1"/>
  <c r="BP31" i="2"/>
  <c r="BA31" i="2"/>
  <c r="BK31" i="3"/>
  <c r="Z31" i="2"/>
  <c r="AA31" i="2" s="1"/>
  <c r="V31" i="3"/>
  <c r="U31" i="3"/>
  <c r="BP31" i="3" l="1"/>
  <c r="BF31" i="3"/>
  <c r="AC31" i="2"/>
  <c r="AD31" i="2" s="1"/>
  <c r="Z31" i="3"/>
  <c r="AA31" i="3" s="1"/>
  <c r="AC31" i="3" l="1"/>
  <c r="AD31" i="3" s="1"/>
  <c r="AE31" i="2"/>
  <c r="AF31" i="2"/>
  <c r="AF31" i="3" l="1"/>
  <c r="AH31" i="2"/>
  <c r="AI31" i="2" s="1"/>
  <c r="AK31" i="2"/>
  <c r="B32" i="2"/>
  <c r="AH31" i="3"/>
  <c r="AI31" i="3" s="1"/>
  <c r="AJ31" i="3" s="1"/>
  <c r="E32" i="3" s="1"/>
  <c r="AE31" i="3"/>
  <c r="G32" i="3" l="1"/>
  <c r="B32" i="3"/>
  <c r="AK31" i="3"/>
  <c r="AM31" i="2"/>
  <c r="AN31" i="2" s="1"/>
  <c r="AO31" i="2" s="1"/>
  <c r="H32" i="2" s="1"/>
  <c r="AJ31" i="2"/>
  <c r="F32" i="3"/>
  <c r="C32" i="2"/>
  <c r="D32" i="2"/>
  <c r="AB32" i="2" l="1"/>
  <c r="AG32" i="3"/>
  <c r="D32" i="3"/>
  <c r="AM31" i="3"/>
  <c r="AN31" i="3" s="1"/>
  <c r="E32" i="2"/>
  <c r="AP31" i="2"/>
  <c r="I32" i="2"/>
  <c r="C32" i="3"/>
  <c r="J32" i="2"/>
  <c r="AB32" i="3" l="1"/>
  <c r="AL32" i="2"/>
  <c r="AR31" i="2"/>
  <c r="AS31" i="2" s="1"/>
  <c r="AO31" i="3"/>
  <c r="AP31" i="3"/>
  <c r="F32" i="2"/>
  <c r="G32" i="2"/>
  <c r="AG32" i="2" l="1"/>
  <c r="AT31" i="2"/>
  <c r="AU31" i="2"/>
  <c r="AR31" i="3"/>
  <c r="AS31" i="3" s="1"/>
  <c r="H32" i="3"/>
  <c r="AT31" i="3" l="1"/>
  <c r="AW31" i="2"/>
  <c r="AX31" i="2" s="1"/>
  <c r="AU31" i="3"/>
  <c r="K32" i="2"/>
  <c r="I32" i="3"/>
  <c r="J32" i="3"/>
  <c r="AL32" i="3" l="1"/>
  <c r="AZ31" i="2"/>
  <c r="AW31" i="3"/>
  <c r="AX31" i="3" s="1"/>
  <c r="AY31" i="2"/>
  <c r="K32" i="3"/>
  <c r="L32" i="2"/>
  <c r="M32" i="2"/>
  <c r="AQ32" i="2" l="1"/>
  <c r="AY31" i="3"/>
  <c r="BB31" i="2"/>
  <c r="BC31" i="2" s="1"/>
  <c r="AZ31" i="3"/>
  <c r="N32" i="2"/>
  <c r="L32" i="3"/>
  <c r="M32" i="3"/>
  <c r="AQ32" i="3" l="1"/>
  <c r="BE31" i="2"/>
  <c r="N32" i="3"/>
  <c r="BD31" i="2"/>
  <c r="BB31" i="3"/>
  <c r="BC31" i="3" s="1"/>
  <c r="O32" i="2"/>
  <c r="P32" i="2"/>
  <c r="AV32" i="2" l="1"/>
  <c r="BD31" i="3"/>
  <c r="BG31" i="2"/>
  <c r="BH31" i="2" s="1"/>
  <c r="BE31" i="3"/>
  <c r="Q32" i="2"/>
  <c r="O32" i="3"/>
  <c r="P32" i="3"/>
  <c r="AV32" i="3" l="1"/>
  <c r="BI31" i="2"/>
  <c r="BG31" i="3"/>
  <c r="BH31" i="3" s="1"/>
  <c r="BJ31" i="2"/>
  <c r="BL31" i="2" s="1"/>
  <c r="BM31" i="2" s="1"/>
  <c r="BN31" i="2" s="1"/>
  <c r="W32" i="2" s="1"/>
  <c r="Q32" i="3"/>
  <c r="S32" i="2"/>
  <c r="R32" i="2"/>
  <c r="BA32" i="2" l="1"/>
  <c r="Y32" i="2"/>
  <c r="S32" i="3"/>
  <c r="BJ31" i="3"/>
  <c r="BL31" i="3" s="1"/>
  <c r="BM31" i="3" s="1"/>
  <c r="BN31" i="3" s="1"/>
  <c r="W32" i="3" s="1"/>
  <c r="T32" i="2"/>
  <c r="BQ31" i="2"/>
  <c r="BI31" i="3"/>
  <c r="BO31" i="3"/>
  <c r="BO31" i="2"/>
  <c r="R32" i="3"/>
  <c r="X32" i="2"/>
  <c r="BK32" i="2" l="1"/>
  <c r="BA32" i="3"/>
  <c r="V32" i="2"/>
  <c r="T32" i="3"/>
  <c r="BQ31" i="3"/>
  <c r="Y32" i="3"/>
  <c r="U32" i="2"/>
  <c r="X32" i="3"/>
  <c r="BK32" i="3" l="1"/>
  <c r="BP32" i="2"/>
  <c r="BF32" i="2"/>
  <c r="Z32" i="2"/>
  <c r="AA32" i="2" s="1"/>
  <c r="V32" i="3"/>
  <c r="U32" i="3"/>
  <c r="BP32" i="3" l="1"/>
  <c r="BF32" i="3"/>
  <c r="Z32" i="3"/>
  <c r="AA32" i="3" s="1"/>
  <c r="AC32" i="2"/>
  <c r="AD32" i="2" s="1"/>
  <c r="AF32" i="2" l="1"/>
  <c r="AH32" i="2" s="1"/>
  <c r="AI32" i="2" s="1"/>
  <c r="AJ32" i="2" s="1"/>
  <c r="E33" i="2" s="1"/>
  <c r="AE32" i="2"/>
  <c r="AC32" i="3"/>
  <c r="AD32" i="3" s="1"/>
  <c r="AF32" i="3" l="1"/>
  <c r="AE32" i="3"/>
  <c r="B33" i="2"/>
  <c r="AK32" i="2"/>
  <c r="F33" i="2"/>
  <c r="G33" i="2"/>
  <c r="AG33" i="2" l="1"/>
  <c r="B33" i="3"/>
  <c r="AM32" i="2"/>
  <c r="AN32" i="2" s="1"/>
  <c r="AH32" i="3"/>
  <c r="AI32" i="3" s="1"/>
  <c r="C33" i="2"/>
  <c r="D33" i="2"/>
  <c r="AP32" i="2" l="1"/>
  <c r="AB33" i="2"/>
  <c r="D33" i="3"/>
  <c r="AJ32" i="3"/>
  <c r="AO32" i="2"/>
  <c r="AR32" i="2"/>
  <c r="AS32" i="2" s="1"/>
  <c r="AT32" i="2" s="1"/>
  <c r="K33" i="2" s="1"/>
  <c r="AK32" i="3"/>
  <c r="C33" i="3"/>
  <c r="AB33" i="3" l="1"/>
  <c r="E33" i="3"/>
  <c r="AM32" i="3"/>
  <c r="AN32" i="3" s="1"/>
  <c r="H33" i="2"/>
  <c r="AU32" i="2"/>
  <c r="L33" i="2"/>
  <c r="M33" i="2"/>
  <c r="AQ33" i="2" l="1"/>
  <c r="AW32" i="2"/>
  <c r="AX32" i="2" s="1"/>
  <c r="AP32" i="3"/>
  <c r="AO32" i="3"/>
  <c r="G33" i="3"/>
  <c r="I33" i="2"/>
  <c r="F33" i="3"/>
  <c r="J33" i="2"/>
  <c r="AG33" i="3" l="1"/>
  <c r="AL33" i="2"/>
  <c r="AY32" i="2"/>
  <c r="H33" i="3"/>
  <c r="AR32" i="3"/>
  <c r="AS32" i="3" s="1"/>
  <c r="AZ32" i="2"/>
  <c r="AU32" i="3" l="1"/>
  <c r="N33" i="2"/>
  <c r="AT32" i="3"/>
  <c r="BB32" i="2"/>
  <c r="BC32" i="2" s="1"/>
  <c r="I33" i="3"/>
  <c r="J33" i="3"/>
  <c r="AL33" i="3" l="1"/>
  <c r="BD32" i="2"/>
  <c r="BE32" i="2"/>
  <c r="K33" i="3"/>
  <c r="AW32" i="3"/>
  <c r="AX32" i="3" s="1"/>
  <c r="O33" i="2"/>
  <c r="P33" i="2"/>
  <c r="AV33" i="2" l="1"/>
  <c r="BG32" i="2"/>
  <c r="BH32" i="2" s="1"/>
  <c r="Q33" i="2"/>
  <c r="AY32" i="3"/>
  <c r="AZ32" i="3"/>
  <c r="L33" i="3"/>
  <c r="M33" i="3"/>
  <c r="AQ33" i="3" l="1"/>
  <c r="BB32" i="3"/>
  <c r="BC32" i="3" s="1"/>
  <c r="BI32" i="2"/>
  <c r="BJ32" i="2"/>
  <c r="BL32" i="2" s="1"/>
  <c r="BM32" i="2" s="1"/>
  <c r="BN32" i="2" s="1"/>
  <c r="W33" i="2" s="1"/>
  <c r="S33" i="2"/>
  <c r="N33" i="3"/>
  <c r="R33" i="2"/>
  <c r="BA33" i="2" l="1"/>
  <c r="Y33" i="2"/>
  <c r="BE32" i="3"/>
  <c r="BO32" i="2"/>
  <c r="BD32" i="3"/>
  <c r="T33" i="2"/>
  <c r="BQ32" i="2"/>
  <c r="O33" i="3"/>
  <c r="X33" i="2"/>
  <c r="P33" i="3"/>
  <c r="BK33" i="2" l="1"/>
  <c r="AV33" i="3"/>
  <c r="Q33" i="3"/>
  <c r="BG32" i="3"/>
  <c r="BH32" i="3" s="1"/>
  <c r="V33" i="2"/>
  <c r="U33" i="2"/>
  <c r="BP33" i="2" l="1"/>
  <c r="BF33" i="2"/>
  <c r="BJ32" i="3"/>
  <c r="BL32" i="3" s="1"/>
  <c r="BM32" i="3" s="1"/>
  <c r="BN32" i="3" s="1"/>
  <c r="W33" i="3" s="1"/>
  <c r="BI32" i="3"/>
  <c r="S33" i="3"/>
  <c r="Z33" i="2"/>
  <c r="AA33" i="2" s="1"/>
  <c r="R33" i="3"/>
  <c r="BA33" i="3" l="1"/>
  <c r="AC33" i="2"/>
  <c r="AD33" i="2" s="1"/>
  <c r="BO32" i="3"/>
  <c r="Y33" i="3"/>
  <c r="T33" i="3"/>
  <c r="BQ32" i="3"/>
  <c r="X33" i="3"/>
  <c r="BK33" i="3" l="1"/>
  <c r="AE33" i="2"/>
  <c r="AF33" i="2"/>
  <c r="V33" i="3"/>
  <c r="U33" i="3"/>
  <c r="BP33" i="3" l="1"/>
  <c r="BF33" i="3"/>
  <c r="Z33" i="3"/>
  <c r="AA33" i="3" s="1"/>
  <c r="B34" i="2"/>
  <c r="AH33" i="2"/>
  <c r="AI33" i="2" s="1"/>
  <c r="AJ33" i="2" l="1"/>
  <c r="AC33" i="3"/>
  <c r="AD33" i="3" s="1"/>
  <c r="AK33" i="2"/>
  <c r="C34" i="2"/>
  <c r="D34" i="2"/>
  <c r="AB34" i="2" l="1"/>
  <c r="AE33" i="3"/>
  <c r="AM33" i="2"/>
  <c r="AN33" i="2" s="1"/>
  <c r="AF33" i="3"/>
  <c r="E34" i="2"/>
  <c r="B34" i="3" l="1"/>
  <c r="AH33" i="3"/>
  <c r="AI33" i="3" s="1"/>
  <c r="AP33" i="2"/>
  <c r="AO33" i="2"/>
  <c r="F34" i="2"/>
  <c r="G34" i="2"/>
  <c r="AG34" i="2" l="1"/>
  <c r="H34" i="2"/>
  <c r="AJ33" i="3"/>
  <c r="AK33" i="3"/>
  <c r="AR33" i="2"/>
  <c r="AS33" i="2" s="1"/>
  <c r="D34" i="3"/>
  <c r="C34" i="3"/>
  <c r="AB34" i="3" l="1"/>
  <c r="AT33" i="2"/>
  <c r="AU33" i="2"/>
  <c r="E34" i="3"/>
  <c r="AM33" i="3"/>
  <c r="AN33" i="3" s="1"/>
  <c r="I34" i="2"/>
  <c r="J34" i="2"/>
  <c r="AL34" i="2" l="1"/>
  <c r="G34" i="3"/>
  <c r="AO33" i="3"/>
  <c r="AW33" i="2"/>
  <c r="AX33" i="2" s="1"/>
  <c r="K34" i="2"/>
  <c r="AP33" i="3"/>
  <c r="F34" i="3"/>
  <c r="AZ33" i="2" l="1"/>
  <c r="BB33" i="2" s="1"/>
  <c r="BC33" i="2" s="1"/>
  <c r="BD33" i="2" s="1"/>
  <c r="Q34" i="2" s="1"/>
  <c r="AG34" i="3"/>
  <c r="H34" i="3"/>
  <c r="AR33" i="3"/>
  <c r="AS33" i="3" s="1"/>
  <c r="AY33" i="2"/>
  <c r="L34" i="2"/>
  <c r="M34" i="2"/>
  <c r="BE33" i="2" l="1"/>
  <c r="AQ34" i="2"/>
  <c r="N34" i="2"/>
  <c r="AU33" i="3"/>
  <c r="S34" i="2"/>
  <c r="AT33" i="3"/>
  <c r="BG33" i="2"/>
  <c r="BH33" i="2" s="1"/>
  <c r="R34" i="2"/>
  <c r="I34" i="3"/>
  <c r="J34" i="3"/>
  <c r="BJ33" i="2" l="1"/>
  <c r="BL33" i="2" s="1"/>
  <c r="BM33" i="2" s="1"/>
  <c r="BN33" i="2" s="1"/>
  <c r="W34" i="2" s="1"/>
  <c r="AL34" i="3"/>
  <c r="BA34" i="2"/>
  <c r="Y34" i="2"/>
  <c r="AW33" i="3"/>
  <c r="AX33" i="3" s="1"/>
  <c r="BI33" i="2"/>
  <c r="BO33" i="2"/>
  <c r="K34" i="3"/>
  <c r="O34" i="2"/>
  <c r="X34" i="2"/>
  <c r="P34" i="2"/>
  <c r="BK34" i="2" l="1"/>
  <c r="AV34" i="2"/>
  <c r="AY33" i="3"/>
  <c r="T34" i="2"/>
  <c r="BQ33" i="2"/>
  <c r="AZ33" i="3"/>
  <c r="L34" i="3"/>
  <c r="M34" i="3"/>
  <c r="AQ34" i="3" l="1"/>
  <c r="BB33" i="3"/>
  <c r="BC33" i="3" s="1"/>
  <c r="N34" i="3"/>
  <c r="V34" i="2"/>
  <c r="U34" i="2"/>
  <c r="BP34" i="2" l="1"/>
  <c r="BF34" i="2"/>
  <c r="BE33" i="3"/>
  <c r="Z34" i="2"/>
  <c r="AA34" i="2" s="1"/>
  <c r="BD33" i="3"/>
  <c r="O34" i="3"/>
  <c r="P34" i="3"/>
  <c r="AV34" i="3" l="1"/>
  <c r="Q34" i="3"/>
  <c r="BG33" i="3"/>
  <c r="BH33" i="3" s="1"/>
  <c r="AC34" i="2"/>
  <c r="AD34" i="2" s="1"/>
  <c r="BI33" i="3" l="1"/>
  <c r="AE34" i="2"/>
  <c r="AF34" i="2"/>
  <c r="BJ33" i="3"/>
  <c r="BL33" i="3" s="1"/>
  <c r="BM33" i="3" s="1"/>
  <c r="BN33" i="3" s="1"/>
  <c r="W34" i="3" s="1"/>
  <c r="S34" i="3"/>
  <c r="R34" i="3"/>
  <c r="BA34" i="3" l="1"/>
  <c r="B35" i="2"/>
  <c r="AH34" i="2"/>
  <c r="AI34" i="2" s="1"/>
  <c r="BO33" i="3"/>
  <c r="Y34" i="3"/>
  <c r="T34" i="3"/>
  <c r="BQ33" i="3"/>
  <c r="X34" i="3"/>
  <c r="BK34" i="3" l="1"/>
  <c r="AK34" i="2"/>
  <c r="AJ34" i="2"/>
  <c r="V34" i="3"/>
  <c r="U34" i="3"/>
  <c r="C35" i="2"/>
  <c r="D35" i="2"/>
  <c r="AB35" i="2" l="1"/>
  <c r="BP34" i="3"/>
  <c r="BF34" i="3"/>
  <c r="AM34" i="2"/>
  <c r="AN34" i="2" s="1"/>
  <c r="E35" i="2"/>
  <c r="Z34" i="3"/>
  <c r="AA34" i="3" s="1"/>
  <c r="AP34" i="2" l="1"/>
  <c r="AR34" i="2"/>
  <c r="AS34" i="2" s="1"/>
  <c r="AT34" i="2" s="1"/>
  <c r="K35" i="2" s="1"/>
  <c r="AO34" i="2"/>
  <c r="AC34" i="3"/>
  <c r="AD34" i="3" s="1"/>
  <c r="F35" i="2"/>
  <c r="G35" i="2"/>
  <c r="AF34" i="3" l="1"/>
  <c r="AG35" i="2"/>
  <c r="AH34" i="3"/>
  <c r="AI34" i="3" s="1"/>
  <c r="AJ34" i="3" s="1"/>
  <c r="E35" i="3" s="1"/>
  <c r="H35" i="2"/>
  <c r="AE34" i="3"/>
  <c r="AU34" i="2"/>
  <c r="L35" i="2"/>
  <c r="M35" i="2"/>
  <c r="AQ35" i="2" l="1"/>
  <c r="B35" i="3"/>
  <c r="AW34" i="2"/>
  <c r="AX34" i="2" s="1"/>
  <c r="AK34" i="3"/>
  <c r="G35" i="3"/>
  <c r="F35" i="3"/>
  <c r="I35" i="2"/>
  <c r="J35" i="2"/>
  <c r="AL35" i="2" l="1"/>
  <c r="AG35" i="3"/>
  <c r="AY34" i="2"/>
  <c r="AZ34" i="2"/>
  <c r="D35" i="3"/>
  <c r="AM34" i="3"/>
  <c r="AN34" i="3" s="1"/>
  <c r="C35" i="3"/>
  <c r="AB35" i="3" l="1"/>
  <c r="AO34" i="3"/>
  <c r="N35" i="2"/>
  <c r="BB34" i="2"/>
  <c r="BC34" i="2" s="1"/>
  <c r="AP34" i="3"/>
  <c r="BD34" i="2" l="1"/>
  <c r="AR34" i="3"/>
  <c r="AS34" i="3" s="1"/>
  <c r="BE34" i="2"/>
  <c r="H35" i="3"/>
  <c r="O35" i="2"/>
  <c r="P35" i="2"/>
  <c r="AV35" i="2" l="1"/>
  <c r="BG34" i="2"/>
  <c r="BH34" i="2" s="1"/>
  <c r="AT34" i="3"/>
  <c r="AU34" i="3"/>
  <c r="Q35" i="2"/>
  <c r="I35" i="3"/>
  <c r="J35" i="3"/>
  <c r="AL35" i="3" l="1"/>
  <c r="BJ34" i="2"/>
  <c r="BL34" i="2" s="1"/>
  <c r="BM34" i="2" s="1"/>
  <c r="BN34" i="2" s="1"/>
  <c r="W35" i="2" s="1"/>
  <c r="K35" i="3"/>
  <c r="S35" i="2"/>
  <c r="BI34" i="2"/>
  <c r="AW34" i="3"/>
  <c r="AX34" i="3" s="1"/>
  <c r="R35" i="2"/>
  <c r="BA35" i="2" l="1"/>
  <c r="AZ34" i="3"/>
  <c r="AY34" i="3"/>
  <c r="Y35" i="2"/>
  <c r="BO34" i="2"/>
  <c r="T35" i="2"/>
  <c r="BQ34" i="2"/>
  <c r="X35" i="2"/>
  <c r="L35" i="3"/>
  <c r="M35" i="3"/>
  <c r="AQ35" i="3" l="1"/>
  <c r="BK35" i="2"/>
  <c r="V35" i="2"/>
  <c r="BB34" i="3"/>
  <c r="BC34" i="3" s="1"/>
  <c r="N35" i="3"/>
  <c r="U35" i="2"/>
  <c r="BP35" i="2" l="1"/>
  <c r="BF35" i="2"/>
  <c r="Z35" i="2"/>
  <c r="AA35" i="2" s="1"/>
  <c r="BD34" i="3"/>
  <c r="BE34" i="3"/>
  <c r="O35" i="3"/>
  <c r="P35" i="3"/>
  <c r="AV35" i="3" l="1"/>
  <c r="BG34" i="3"/>
  <c r="BH34" i="3" s="1"/>
  <c r="Q35" i="3"/>
  <c r="AC35" i="2"/>
  <c r="AD35" i="2" s="1"/>
  <c r="AE35" i="2" l="1"/>
  <c r="S35" i="3"/>
  <c r="BJ34" i="3"/>
  <c r="BL34" i="3" s="1"/>
  <c r="BM34" i="3" s="1"/>
  <c r="BN34" i="3" s="1"/>
  <c r="W35" i="3" s="1"/>
  <c r="AF35" i="2"/>
  <c r="BI34" i="3"/>
  <c r="R35" i="3"/>
  <c r="BO34" i="3" l="1"/>
  <c r="BA35" i="3"/>
  <c r="AH35" i="2"/>
  <c r="AI35" i="2" s="1"/>
  <c r="T35" i="3"/>
  <c r="BQ34" i="3"/>
  <c r="Y35" i="3"/>
  <c r="B36" i="2"/>
  <c r="X35" i="3"/>
  <c r="BK35" i="3" l="1"/>
  <c r="AJ35" i="2"/>
  <c r="AK35" i="2"/>
  <c r="V35" i="3"/>
  <c r="C36" i="2"/>
  <c r="U35" i="3"/>
  <c r="D36" i="2"/>
  <c r="BP35" i="3" l="1"/>
  <c r="BF35" i="3"/>
  <c r="AB36" i="2"/>
  <c r="E36" i="2"/>
  <c r="AM35" i="2"/>
  <c r="AN35" i="2" s="1"/>
  <c r="Z35" i="3"/>
  <c r="AA35" i="3" s="1"/>
  <c r="AP35" i="2" l="1"/>
  <c r="AC35" i="3"/>
  <c r="AD35" i="3" s="1"/>
  <c r="AO35" i="2"/>
  <c r="F36" i="2"/>
  <c r="G36" i="2"/>
  <c r="AG36" i="2" l="1"/>
  <c r="AE35" i="3"/>
  <c r="H36" i="2"/>
  <c r="AF35" i="3"/>
  <c r="AR35" i="2"/>
  <c r="AS35" i="2" s="1"/>
  <c r="AU35" i="2" l="1"/>
  <c r="AT35" i="2"/>
  <c r="B36" i="3"/>
  <c r="AH35" i="3"/>
  <c r="AI35" i="3" s="1"/>
  <c r="I36" i="2"/>
  <c r="J36" i="2"/>
  <c r="AL36" i="2" l="1"/>
  <c r="AK35" i="3"/>
  <c r="AJ35" i="3"/>
  <c r="D36" i="3"/>
  <c r="K36" i="2"/>
  <c r="AW35" i="2"/>
  <c r="AX35" i="2" s="1"/>
  <c r="C36" i="3"/>
  <c r="AZ35" i="2" l="1"/>
  <c r="AB36" i="3"/>
  <c r="AM35" i="3"/>
  <c r="AN35" i="3" s="1"/>
  <c r="E36" i="3"/>
  <c r="BB35" i="2"/>
  <c r="BC35" i="2" s="1"/>
  <c r="BD35" i="2" s="1"/>
  <c r="Q36" i="2" s="1"/>
  <c r="AY35" i="2"/>
  <c r="L36" i="2"/>
  <c r="M36" i="2"/>
  <c r="AQ36" i="2" l="1"/>
  <c r="N36" i="2"/>
  <c r="G36" i="3"/>
  <c r="BE35" i="2"/>
  <c r="AO35" i="3"/>
  <c r="S36" i="2"/>
  <c r="AP35" i="3"/>
  <c r="F36" i="3"/>
  <c r="R36" i="2"/>
  <c r="BA36" i="2" l="1"/>
  <c r="AG36" i="3"/>
  <c r="BG35" i="2"/>
  <c r="BH35" i="2" s="1"/>
  <c r="AR35" i="3"/>
  <c r="AS35" i="3" s="1"/>
  <c r="H36" i="3"/>
  <c r="O36" i="2"/>
  <c r="P36" i="2"/>
  <c r="AV36" i="2" l="1"/>
  <c r="BI35" i="2"/>
  <c r="AT35" i="3"/>
  <c r="AU35" i="3"/>
  <c r="BJ35" i="2"/>
  <c r="BL35" i="2" s="1"/>
  <c r="BM35" i="2" s="1"/>
  <c r="BN35" i="2" s="1"/>
  <c r="W36" i="2" s="1"/>
  <c r="I36" i="3"/>
  <c r="J36" i="3"/>
  <c r="AL36" i="3" l="1"/>
  <c r="K36" i="3"/>
  <c r="Y36" i="2"/>
  <c r="BO35" i="2"/>
  <c r="AW35" i="3"/>
  <c r="AX35" i="3" s="1"/>
  <c r="T36" i="2"/>
  <c r="BQ35" i="2"/>
  <c r="X36" i="2"/>
  <c r="AZ35" i="3" l="1"/>
  <c r="BK36" i="2"/>
  <c r="V36" i="2"/>
  <c r="BB35" i="3"/>
  <c r="BC35" i="3" s="1"/>
  <c r="BD35" i="3" s="1"/>
  <c r="Q36" i="3" s="1"/>
  <c r="AY35" i="3"/>
  <c r="L36" i="3"/>
  <c r="U36" i="2"/>
  <c r="M36" i="3"/>
  <c r="BE35" i="3" l="1"/>
  <c r="BP36" i="2"/>
  <c r="BF36" i="2"/>
  <c r="AQ36" i="3"/>
  <c r="BG35" i="3"/>
  <c r="BH35" i="3" s="1"/>
  <c r="N36" i="3"/>
  <c r="Z36" i="2"/>
  <c r="AA36" i="2" s="1"/>
  <c r="S36" i="3"/>
  <c r="R36" i="3"/>
  <c r="BA36" i="3" l="1"/>
  <c r="BI35" i="3"/>
  <c r="BJ35" i="3"/>
  <c r="BL35" i="3" s="1"/>
  <c r="BM35" i="3" s="1"/>
  <c r="BN35" i="3" s="1"/>
  <c r="W36" i="3" s="1"/>
  <c r="AC36" i="2"/>
  <c r="AD36" i="2" s="1"/>
  <c r="AF36" i="2"/>
  <c r="O36" i="3"/>
  <c r="P36" i="3"/>
  <c r="AV36" i="3" l="1"/>
  <c r="AH36" i="2"/>
  <c r="AI36" i="2" s="1"/>
  <c r="AJ36" i="2" s="1"/>
  <c r="E37" i="2" s="1"/>
  <c r="Y36" i="3"/>
  <c r="BO35" i="3"/>
  <c r="AE36" i="2"/>
  <c r="T36" i="3"/>
  <c r="BQ35" i="3"/>
  <c r="X36" i="3"/>
  <c r="BK36" i="3" l="1"/>
  <c r="AK36" i="2"/>
  <c r="B37" i="2"/>
  <c r="V36" i="3"/>
  <c r="U36" i="3"/>
  <c r="F37" i="2"/>
  <c r="G37" i="2"/>
  <c r="AG37" i="2" l="1"/>
  <c r="BP36" i="3"/>
  <c r="BF36" i="3"/>
  <c r="AM36" i="2"/>
  <c r="AN36" i="2" s="1"/>
  <c r="Z36" i="3"/>
  <c r="AA36" i="3" s="1"/>
  <c r="C37" i="2"/>
  <c r="D37" i="2"/>
  <c r="AB37" i="2" l="1"/>
  <c r="AO36" i="2"/>
  <c r="AP36" i="2"/>
  <c r="AC36" i="3"/>
  <c r="AD36" i="3" s="1"/>
  <c r="AE36" i="3" l="1"/>
  <c r="AR36" i="2"/>
  <c r="AS36" i="2" s="1"/>
  <c r="AF36" i="3"/>
  <c r="H37" i="2"/>
  <c r="AT36" i="2" l="1"/>
  <c r="AH36" i="3"/>
  <c r="AI36" i="3" s="1"/>
  <c r="AU36" i="2"/>
  <c r="B37" i="3"/>
  <c r="I37" i="2"/>
  <c r="J37" i="2"/>
  <c r="AL37" i="2" l="1"/>
  <c r="AW36" i="2"/>
  <c r="AX36" i="2" s="1"/>
  <c r="K37" i="2"/>
  <c r="D37" i="3"/>
  <c r="AK36" i="3"/>
  <c r="AJ36" i="3"/>
  <c r="C37" i="3"/>
  <c r="AB37" i="3" l="1"/>
  <c r="AZ36" i="2"/>
  <c r="AM36" i="3"/>
  <c r="AN36" i="3" s="1"/>
  <c r="AY36" i="2"/>
  <c r="E37" i="3"/>
  <c r="L37" i="2"/>
  <c r="M37" i="2"/>
  <c r="AQ37" i="2" l="1"/>
  <c r="AO36" i="3"/>
  <c r="AP36" i="3"/>
  <c r="BB36" i="2"/>
  <c r="BC36" i="2" s="1"/>
  <c r="N37" i="2"/>
  <c r="G37" i="3"/>
  <c r="F37" i="3"/>
  <c r="BE36" i="2" l="1"/>
  <c r="AG37" i="3"/>
  <c r="BG36" i="2"/>
  <c r="BH36" i="2" s="1"/>
  <c r="BI36" i="2" s="1"/>
  <c r="T37" i="2" s="1"/>
  <c r="H37" i="3"/>
  <c r="AR36" i="3"/>
  <c r="AS36" i="3" s="1"/>
  <c r="BD36" i="2"/>
  <c r="O37" i="2"/>
  <c r="P37" i="2"/>
  <c r="AV37" i="2" l="1"/>
  <c r="Q37" i="2"/>
  <c r="AT36" i="3"/>
  <c r="V37" i="2"/>
  <c r="BJ36" i="2"/>
  <c r="BL36" i="2" s="1"/>
  <c r="BM36" i="2" s="1"/>
  <c r="AU36" i="3"/>
  <c r="I37" i="3"/>
  <c r="J37" i="3"/>
  <c r="U37" i="2"/>
  <c r="BF37" i="2" l="1"/>
  <c r="AL37" i="3"/>
  <c r="S37" i="2"/>
  <c r="AW36" i="3"/>
  <c r="AX36" i="3" s="1"/>
  <c r="BN36" i="2"/>
  <c r="BO36" i="2"/>
  <c r="K37" i="3"/>
  <c r="R37" i="2"/>
  <c r="AZ36" i="3" l="1"/>
  <c r="BA37" i="2"/>
  <c r="W37" i="2"/>
  <c r="BQ36" i="2"/>
  <c r="BB36" i="3"/>
  <c r="BC36" i="3" s="1"/>
  <c r="BD36" i="3" s="1"/>
  <c r="Q37" i="3" s="1"/>
  <c r="AY36" i="3"/>
  <c r="L37" i="3"/>
  <c r="M37" i="3"/>
  <c r="BE36" i="3" l="1"/>
  <c r="AQ37" i="3"/>
  <c r="Y37" i="2"/>
  <c r="BG36" i="3"/>
  <c r="BH36" i="3" s="1"/>
  <c r="N37" i="3"/>
  <c r="S37" i="3"/>
  <c r="X37" i="2"/>
  <c r="R37" i="3"/>
  <c r="BA37" i="3" l="1"/>
  <c r="BP37" i="2"/>
  <c r="BK37" i="2"/>
  <c r="BJ36" i="3"/>
  <c r="BL36" i="3" s="1"/>
  <c r="BM36" i="3" s="1"/>
  <c r="BN36" i="3" s="1"/>
  <c r="W37" i="3" s="1"/>
  <c r="Z37" i="2"/>
  <c r="AA37" i="2" s="1"/>
  <c r="BI36" i="3"/>
  <c r="O37" i="3"/>
  <c r="P37" i="3"/>
  <c r="AV37" i="3" l="1"/>
  <c r="AC37" i="2"/>
  <c r="AD37" i="2" s="1"/>
  <c r="BO36" i="3"/>
  <c r="Y37" i="3"/>
  <c r="T37" i="3"/>
  <c r="BQ36" i="3"/>
  <c r="X37" i="3"/>
  <c r="BK37" i="3" l="1"/>
  <c r="AF37" i="2"/>
  <c r="AE37" i="2"/>
  <c r="V37" i="3"/>
  <c r="U37" i="3"/>
  <c r="BP37" i="3" l="1"/>
  <c r="BF37" i="3"/>
  <c r="Z37" i="3"/>
  <c r="AA37" i="3" s="1"/>
  <c r="AH37" i="2"/>
  <c r="AI37" i="2" s="1"/>
  <c r="B38" i="2"/>
  <c r="AJ37" i="2" l="1"/>
  <c r="AK37" i="2"/>
  <c r="AC37" i="3"/>
  <c r="AD37" i="3" s="1"/>
  <c r="C38" i="2"/>
  <c r="D38" i="2"/>
  <c r="AB38" i="2" l="1"/>
  <c r="AE37" i="3"/>
  <c r="AF37" i="3"/>
  <c r="E38" i="2"/>
  <c r="AM37" i="2"/>
  <c r="AN37" i="2" s="1"/>
  <c r="AO37" i="2" l="1"/>
  <c r="AP37" i="2"/>
  <c r="AH37" i="3"/>
  <c r="AI37" i="3" s="1"/>
  <c r="B38" i="3"/>
  <c r="F38" i="2"/>
  <c r="G38" i="2"/>
  <c r="AG38" i="2" l="1"/>
  <c r="D38" i="3"/>
  <c r="AJ37" i="3"/>
  <c r="AK37" i="3"/>
  <c r="AR37" i="2"/>
  <c r="AS37" i="2" s="1"/>
  <c r="H38" i="2"/>
  <c r="C38" i="3"/>
  <c r="AB38" i="3" l="1"/>
  <c r="E38" i="3"/>
  <c r="AT37" i="2"/>
  <c r="AM37" i="3"/>
  <c r="AN37" i="3" s="1"/>
  <c r="AU37" i="2"/>
  <c r="I38" i="2"/>
  <c r="J38" i="2"/>
  <c r="AL38" i="2" l="1"/>
  <c r="AP37" i="3"/>
  <c r="G38" i="3"/>
  <c r="K38" i="2"/>
  <c r="AO37" i="3"/>
  <c r="AW37" i="2"/>
  <c r="AX37" i="2" s="1"/>
  <c r="F38" i="3"/>
  <c r="AG38" i="3" l="1"/>
  <c r="AR37" i="3"/>
  <c r="AS37" i="3" s="1"/>
  <c r="AY37" i="2"/>
  <c r="AZ37" i="2"/>
  <c r="H38" i="3"/>
  <c r="L38" i="2"/>
  <c r="M38" i="2"/>
  <c r="AQ38" i="2" l="1"/>
  <c r="N38" i="2"/>
  <c r="AT37" i="3"/>
  <c r="BB37" i="2"/>
  <c r="BC37" i="2" s="1"/>
  <c r="AU37" i="3"/>
  <c r="I38" i="3"/>
  <c r="J38" i="3"/>
  <c r="AL38" i="3" l="1"/>
  <c r="K38" i="3"/>
  <c r="BD37" i="2"/>
  <c r="BE37" i="2"/>
  <c r="AW37" i="3"/>
  <c r="AX37" i="3" s="1"/>
  <c r="O38" i="2"/>
  <c r="P38" i="2"/>
  <c r="AV38" i="2" l="1"/>
  <c r="BG37" i="2"/>
  <c r="BH37" i="2" s="1"/>
  <c r="AY37" i="3"/>
  <c r="Q38" i="2"/>
  <c r="AZ37" i="3"/>
  <c r="L38" i="3"/>
  <c r="M38" i="3"/>
  <c r="AQ38" i="3" l="1"/>
  <c r="S38" i="2"/>
  <c r="BJ37" i="2"/>
  <c r="BL37" i="2" s="1"/>
  <c r="BM37" i="2" s="1"/>
  <c r="BN37" i="2" s="1"/>
  <c r="W38" i="2" s="1"/>
  <c r="N38" i="3"/>
  <c r="BI37" i="2"/>
  <c r="BB37" i="3"/>
  <c r="BC37" i="3" s="1"/>
  <c r="R38" i="2"/>
  <c r="BA38" i="2" l="1"/>
  <c r="Y38" i="2"/>
  <c r="BD37" i="3"/>
  <c r="BO37" i="2"/>
  <c r="BE37" i="3"/>
  <c r="T38" i="2"/>
  <c r="BQ37" i="2"/>
  <c r="O38" i="3"/>
  <c r="P38" i="3"/>
  <c r="X38" i="2"/>
  <c r="BK38" i="2" l="1"/>
  <c r="AV38" i="3"/>
  <c r="Q38" i="3"/>
  <c r="V38" i="2"/>
  <c r="BG37" i="3"/>
  <c r="BH37" i="3" s="1"/>
  <c r="U38" i="2"/>
  <c r="BP38" i="2" l="1"/>
  <c r="BF38" i="2"/>
  <c r="S38" i="3"/>
  <c r="BI37" i="3"/>
  <c r="BJ37" i="3"/>
  <c r="BL37" i="3" s="1"/>
  <c r="BM37" i="3" s="1"/>
  <c r="BN37" i="3" s="1"/>
  <c r="W38" i="3" s="1"/>
  <c r="Z38" i="2"/>
  <c r="AA38" i="2" s="1"/>
  <c r="R38" i="3"/>
  <c r="BA38" i="3" l="1"/>
  <c r="AC38" i="2"/>
  <c r="AD38" i="2" s="1"/>
  <c r="T38" i="3"/>
  <c r="BQ37" i="3"/>
  <c r="Y38" i="3"/>
  <c r="BO37" i="3"/>
  <c r="X38" i="3"/>
  <c r="BK38" i="3" l="1"/>
  <c r="AE38" i="2"/>
  <c r="V38" i="3"/>
  <c r="AF38" i="2"/>
  <c r="U38" i="3"/>
  <c r="BP38" i="3" l="1"/>
  <c r="BF38" i="3"/>
  <c r="AH38" i="2"/>
  <c r="AI38" i="2" s="1"/>
  <c r="B39" i="2"/>
  <c r="Z38" i="3"/>
  <c r="AA38" i="3" s="1"/>
  <c r="AJ38" i="2" l="1"/>
  <c r="AC38" i="3"/>
  <c r="AD38" i="3" s="1"/>
  <c r="D39" i="2"/>
  <c r="AK38" i="2"/>
  <c r="C39" i="2"/>
  <c r="AB39" i="2" l="1"/>
  <c r="AM38" i="2"/>
  <c r="AN38" i="2" s="1"/>
  <c r="AE38" i="3"/>
  <c r="AF38" i="3"/>
  <c r="E39" i="2"/>
  <c r="B39" i="3" l="1"/>
  <c r="AH38" i="3"/>
  <c r="AI38" i="3" s="1"/>
  <c r="AO38" i="2"/>
  <c r="AP38" i="2"/>
  <c r="F39" i="2"/>
  <c r="G39" i="2"/>
  <c r="AG39" i="2" l="1"/>
  <c r="AR38" i="2"/>
  <c r="AS38" i="2" s="1"/>
  <c r="H39" i="2"/>
  <c r="AK38" i="3"/>
  <c r="AJ38" i="3"/>
  <c r="D39" i="3"/>
  <c r="C39" i="3"/>
  <c r="AB39" i="3" l="1"/>
  <c r="E39" i="3"/>
  <c r="AM38" i="3"/>
  <c r="AN38" i="3" s="1"/>
  <c r="AT38" i="2"/>
  <c r="AU38" i="2"/>
  <c r="I39" i="2"/>
  <c r="J39" i="2"/>
  <c r="AP38" i="3" l="1"/>
  <c r="AL39" i="2"/>
  <c r="G39" i="3"/>
  <c r="AW38" i="2"/>
  <c r="AX38" i="2" s="1"/>
  <c r="AR38" i="3"/>
  <c r="AS38" i="3" s="1"/>
  <c r="AT38" i="3" s="1"/>
  <c r="K39" i="3" s="1"/>
  <c r="K39" i="2"/>
  <c r="AO38" i="3"/>
  <c r="F39" i="3"/>
  <c r="AG39" i="3" l="1"/>
  <c r="AY38" i="2"/>
  <c r="H39" i="3"/>
  <c r="AZ38" i="2"/>
  <c r="AU38" i="3"/>
  <c r="L39" i="3"/>
  <c r="M39" i="3"/>
  <c r="L39" i="2"/>
  <c r="M39" i="2"/>
  <c r="AQ39" i="2" l="1"/>
  <c r="AQ39" i="3"/>
  <c r="N39" i="2"/>
  <c r="BB38" i="2"/>
  <c r="BC38" i="2" s="1"/>
  <c r="AW38" i="3"/>
  <c r="AX38" i="3" s="1"/>
  <c r="I39" i="3"/>
  <c r="J39" i="3"/>
  <c r="AL39" i="3" l="1"/>
  <c r="BE38" i="2"/>
  <c r="BD38" i="2"/>
  <c r="AY38" i="3"/>
  <c r="AZ38" i="3"/>
  <c r="O39" i="2"/>
  <c r="P39" i="2"/>
  <c r="AV39" i="2" l="1"/>
  <c r="BG38" i="2"/>
  <c r="BH38" i="2" s="1"/>
  <c r="Q39" i="2"/>
  <c r="BB38" i="3"/>
  <c r="BC38" i="3" s="1"/>
  <c r="N39" i="3"/>
  <c r="S39" i="2" l="1"/>
  <c r="BD38" i="3"/>
  <c r="BI38" i="2"/>
  <c r="BJ38" i="2"/>
  <c r="BL38" i="2" s="1"/>
  <c r="BM38" i="2" s="1"/>
  <c r="BN38" i="2" s="1"/>
  <c r="W39" i="2" s="1"/>
  <c r="BE38" i="3"/>
  <c r="R39" i="2"/>
  <c r="O39" i="3"/>
  <c r="P39" i="3"/>
  <c r="BO38" i="2" l="1"/>
  <c r="AV39" i="3"/>
  <c r="BA39" i="2"/>
  <c r="Q39" i="3"/>
  <c r="BG38" i="3"/>
  <c r="BH38" i="3" s="1"/>
  <c r="T39" i="2"/>
  <c r="BQ38" i="2"/>
  <c r="Y39" i="2"/>
  <c r="X39" i="2"/>
  <c r="BJ38" i="3" l="1"/>
  <c r="BL38" i="3" s="1"/>
  <c r="BM38" i="3" s="1"/>
  <c r="BN38" i="3" s="1"/>
  <c r="W39" i="3" s="1"/>
  <c r="BK39" i="2"/>
  <c r="V39" i="2"/>
  <c r="S39" i="3"/>
  <c r="Y39" i="3"/>
  <c r="BI38" i="3"/>
  <c r="BO38" i="3"/>
  <c r="X39" i="3"/>
  <c r="U39" i="2"/>
  <c r="R39" i="3"/>
  <c r="BA39" i="3" l="1"/>
  <c r="BP39" i="2"/>
  <c r="BF39" i="2"/>
  <c r="BK39" i="3"/>
  <c r="Z39" i="2"/>
  <c r="AA39" i="2" s="1"/>
  <c r="T39" i="3"/>
  <c r="BQ38" i="3"/>
  <c r="AC39" i="2" l="1"/>
  <c r="AD39" i="2" s="1"/>
  <c r="V39" i="3"/>
  <c r="U39" i="3"/>
  <c r="AF39" i="2" l="1"/>
  <c r="BP39" i="3"/>
  <c r="BF39" i="3"/>
  <c r="Z39" i="3"/>
  <c r="AA39" i="3" s="1"/>
  <c r="AH39" i="2"/>
  <c r="AI39" i="2" s="1"/>
  <c r="AJ39" i="2" s="1"/>
  <c r="E40" i="2" s="1"/>
  <c r="AE39" i="2"/>
  <c r="B40" i="2" l="1"/>
  <c r="AK39" i="2"/>
  <c r="AC39" i="3"/>
  <c r="AD39" i="3" s="1"/>
  <c r="F40" i="2"/>
  <c r="G40" i="2"/>
  <c r="AF39" i="3" l="1"/>
  <c r="AG40" i="2"/>
  <c r="AH39" i="3"/>
  <c r="AI39" i="3" s="1"/>
  <c r="AJ39" i="3" s="1"/>
  <c r="E40" i="3" s="1"/>
  <c r="AE39" i="3"/>
  <c r="AM39" i="2"/>
  <c r="AN39" i="2" s="1"/>
  <c r="D40" i="2"/>
  <c r="C40" i="2"/>
  <c r="AB40" i="2" l="1"/>
  <c r="AO39" i="2"/>
  <c r="G40" i="3"/>
  <c r="AP39" i="2"/>
  <c r="B40" i="3"/>
  <c r="AK39" i="3"/>
  <c r="F40" i="3"/>
  <c r="AG40" i="3" l="1"/>
  <c r="D40" i="3"/>
  <c r="AR39" i="2"/>
  <c r="AS39" i="2" s="1"/>
  <c r="AM39" i="3"/>
  <c r="AN39" i="3" s="1"/>
  <c r="H40" i="2"/>
  <c r="C40" i="3"/>
  <c r="AB40" i="3" l="1"/>
  <c r="AT39" i="2"/>
  <c r="AP39" i="3"/>
  <c r="AO39" i="3"/>
  <c r="AU39" i="2"/>
  <c r="I40" i="2"/>
  <c r="J40" i="2"/>
  <c r="AL40" i="2" l="1"/>
  <c r="AR39" i="3"/>
  <c r="AS39" i="3" s="1"/>
  <c r="K40" i="2"/>
  <c r="AW39" i="2"/>
  <c r="AX39" i="2" s="1"/>
  <c r="H40" i="3"/>
  <c r="AT39" i="3" l="1"/>
  <c r="AZ39" i="2"/>
  <c r="AU39" i="3"/>
  <c r="AY39" i="2"/>
  <c r="L40" i="2"/>
  <c r="M40" i="2"/>
  <c r="I40" i="3"/>
  <c r="J40" i="3"/>
  <c r="AL40" i="3" l="1"/>
  <c r="AQ40" i="2"/>
  <c r="BB39" i="2"/>
  <c r="BC39" i="2" s="1"/>
  <c r="AW39" i="3"/>
  <c r="AX39" i="3" s="1"/>
  <c r="N40" i="2"/>
  <c r="K40" i="3"/>
  <c r="AZ39" i="3" l="1"/>
  <c r="BE39" i="2"/>
  <c r="BD39" i="2"/>
  <c r="BB39" i="3"/>
  <c r="BC39" i="3" s="1"/>
  <c r="BD39" i="3" s="1"/>
  <c r="Q40" i="3" s="1"/>
  <c r="AY39" i="3"/>
  <c r="O40" i="2"/>
  <c r="L40" i="3"/>
  <c r="P40" i="2"/>
  <c r="M40" i="3"/>
  <c r="BE39" i="3" l="1"/>
  <c r="AQ40" i="3"/>
  <c r="AV40" i="2"/>
  <c r="BG39" i="3"/>
  <c r="BH39" i="3" s="1"/>
  <c r="BG39" i="2"/>
  <c r="BH39" i="2" s="1"/>
  <c r="N40" i="3"/>
  <c r="Q40" i="2"/>
  <c r="S40" i="3"/>
  <c r="R40" i="3"/>
  <c r="BA40" i="3" l="1"/>
  <c r="BI39" i="3"/>
  <c r="S40" i="2"/>
  <c r="BJ39" i="3"/>
  <c r="BL39" i="3" s="1"/>
  <c r="BM39" i="3" s="1"/>
  <c r="BN39" i="3" s="1"/>
  <c r="W40" i="3" s="1"/>
  <c r="BI39" i="2"/>
  <c r="BJ39" i="2"/>
  <c r="BL39" i="2" s="1"/>
  <c r="BM39" i="2" s="1"/>
  <c r="BN39" i="2" s="1"/>
  <c r="W40" i="2" s="1"/>
  <c r="O40" i="3"/>
  <c r="P40" i="3"/>
  <c r="R40" i="2"/>
  <c r="BO39" i="3" l="1"/>
  <c r="BA40" i="2"/>
  <c r="AV40" i="3"/>
  <c r="Y40" i="2"/>
  <c r="T40" i="3"/>
  <c r="BQ39" i="3"/>
  <c r="T40" i="2"/>
  <c r="BQ39" i="2"/>
  <c r="Y40" i="3"/>
  <c r="BO39" i="2"/>
  <c r="X40" i="2"/>
  <c r="X40" i="3"/>
  <c r="BK40" i="3" l="1"/>
  <c r="BK40" i="2"/>
  <c r="V40" i="2"/>
  <c r="V40" i="3"/>
  <c r="U40" i="3"/>
  <c r="U40" i="2"/>
  <c r="BP40" i="2" l="1"/>
  <c r="BF40" i="2"/>
  <c r="BP40" i="3"/>
  <c r="BF40" i="3"/>
  <c r="Z40" i="2"/>
  <c r="AA40" i="2" s="1"/>
  <c r="Z40" i="3"/>
  <c r="AA40" i="3" s="1"/>
  <c r="AC40" i="3" l="1"/>
  <c r="AD40" i="3" s="1"/>
  <c r="AF40" i="3"/>
  <c r="AC40" i="2"/>
  <c r="AD40" i="2" s="1"/>
  <c r="AF40" i="2" l="1"/>
  <c r="AE40" i="2"/>
  <c r="AH40" i="3"/>
  <c r="AI40" i="3" s="1"/>
  <c r="AJ40" i="3" s="1"/>
  <c r="E41" i="3" s="1"/>
  <c r="AE40" i="3"/>
  <c r="G41" i="3" l="1"/>
  <c r="B41" i="3"/>
  <c r="AK40" i="3"/>
  <c r="B41" i="2"/>
  <c r="AH40" i="2"/>
  <c r="AI40" i="2" s="1"/>
  <c r="F41" i="3"/>
  <c r="AG41" i="3" l="1"/>
  <c r="AM40" i="3"/>
  <c r="AN40" i="3" s="1"/>
  <c r="AJ40" i="2"/>
  <c r="AK40" i="2"/>
  <c r="D41" i="2"/>
  <c r="D41" i="3"/>
  <c r="C41" i="3"/>
  <c r="C41" i="2"/>
  <c r="AB41" i="2" l="1"/>
  <c r="AB41" i="3"/>
  <c r="E41" i="2"/>
  <c r="AM40" i="2"/>
  <c r="AN40" i="2" s="1"/>
  <c r="AO40" i="3"/>
  <c r="AP40" i="3"/>
  <c r="AO40" i="2" l="1"/>
  <c r="AR40" i="3"/>
  <c r="AS40" i="3" s="1"/>
  <c r="AP40" i="2"/>
  <c r="H41" i="3"/>
  <c r="F41" i="2"/>
  <c r="G41" i="2"/>
  <c r="AG41" i="2" l="1"/>
  <c r="AT40" i="3"/>
  <c r="AR40" i="2"/>
  <c r="AS40" i="2" s="1"/>
  <c r="AU40" i="3"/>
  <c r="H41" i="2"/>
  <c r="I41" i="3"/>
  <c r="J41" i="3"/>
  <c r="AU40" i="2" l="1"/>
  <c r="AL41" i="3"/>
  <c r="K41" i="3"/>
  <c r="AW40" i="2"/>
  <c r="AX40" i="2" s="1"/>
  <c r="AY40" i="2" s="1"/>
  <c r="N41" i="2" s="1"/>
  <c r="AW40" i="3"/>
  <c r="AX40" i="3" s="1"/>
  <c r="AT40" i="2"/>
  <c r="I41" i="2"/>
  <c r="J41" i="2"/>
  <c r="AL41" i="2" l="1"/>
  <c r="AZ40" i="3"/>
  <c r="K41" i="2"/>
  <c r="AY40" i="3"/>
  <c r="AZ40" i="2"/>
  <c r="L41" i="3"/>
  <c r="O41" i="2"/>
  <c r="P41" i="2"/>
  <c r="M41" i="3"/>
  <c r="AV41" i="2" l="1"/>
  <c r="AQ41" i="3"/>
  <c r="N41" i="3"/>
  <c r="BB40" i="2"/>
  <c r="BC40" i="2" s="1"/>
  <c r="BB40" i="3"/>
  <c r="BC40" i="3" s="1"/>
  <c r="L41" i="2"/>
  <c r="M41" i="2"/>
  <c r="BE40" i="3" l="1"/>
  <c r="AQ41" i="2"/>
  <c r="BG40" i="3"/>
  <c r="BH40" i="3" s="1"/>
  <c r="BI40" i="3" s="1"/>
  <c r="T41" i="3" s="1"/>
  <c r="BE40" i="2"/>
  <c r="BD40" i="3"/>
  <c r="BD40" i="2"/>
  <c r="O41" i="3"/>
  <c r="P41" i="3"/>
  <c r="AV41" i="3" l="1"/>
  <c r="Q41" i="3"/>
  <c r="BJ40" i="3"/>
  <c r="BL40" i="3" s="1"/>
  <c r="BM40" i="3" s="1"/>
  <c r="Q41" i="2"/>
  <c r="V41" i="3"/>
  <c r="BG40" i="2"/>
  <c r="BH40" i="2" s="1"/>
  <c r="U41" i="3"/>
  <c r="BF41" i="3" l="1"/>
  <c r="S41" i="2"/>
  <c r="BJ40" i="2"/>
  <c r="BL40" i="2" s="1"/>
  <c r="BM40" i="2" s="1"/>
  <c r="BN40" i="2" s="1"/>
  <c r="W41" i="2" s="1"/>
  <c r="BN40" i="3"/>
  <c r="BO40" i="3"/>
  <c r="S41" i="3"/>
  <c r="BI40" i="2"/>
  <c r="R41" i="3"/>
  <c r="R41" i="2"/>
  <c r="BA41" i="2" l="1"/>
  <c r="BA41" i="3"/>
  <c r="Y41" i="2"/>
  <c r="T41" i="2"/>
  <c r="BQ40" i="2"/>
  <c r="W41" i="3"/>
  <c r="BQ40" i="3"/>
  <c r="BO40" i="2"/>
  <c r="X41" i="2"/>
  <c r="BK41" i="2" l="1"/>
  <c r="Y41" i="3"/>
  <c r="V41" i="2"/>
  <c r="U41" i="2"/>
  <c r="X41" i="3"/>
  <c r="BP41" i="3" l="1"/>
  <c r="BK41" i="3"/>
  <c r="BP41" i="2"/>
  <c r="BF41" i="2"/>
  <c r="Z41" i="2"/>
  <c r="AA41" i="2" s="1"/>
  <c r="Z41" i="3"/>
  <c r="AA41" i="3" s="1"/>
  <c r="AC41" i="3" l="1"/>
  <c r="AD41" i="3" s="1"/>
  <c r="AC41" i="2"/>
  <c r="AD41" i="2" s="1"/>
  <c r="AF41" i="2" l="1"/>
  <c r="AE41" i="2"/>
  <c r="AE41" i="3"/>
  <c r="AF41" i="3"/>
  <c r="AH41" i="3" l="1"/>
  <c r="AI41" i="3" s="1"/>
  <c r="AK41" i="3"/>
  <c r="B42" i="3"/>
  <c r="B42" i="2"/>
  <c r="AH41" i="2"/>
  <c r="AI41" i="2" s="1"/>
  <c r="AJ41" i="2" l="1"/>
  <c r="AK41" i="2"/>
  <c r="D42" i="3"/>
  <c r="D42" i="2"/>
  <c r="AM41" i="3"/>
  <c r="AN41" i="3" s="1"/>
  <c r="AO41" i="3" s="1"/>
  <c r="H42" i="3" s="1"/>
  <c r="AJ41" i="3"/>
  <c r="C42" i="3"/>
  <c r="C42" i="2"/>
  <c r="AP41" i="3" l="1"/>
  <c r="AB42" i="2"/>
  <c r="AB42" i="3"/>
  <c r="AM41" i="2"/>
  <c r="AN41" i="2" s="1"/>
  <c r="AR41" i="3"/>
  <c r="AS41" i="3" s="1"/>
  <c r="E42" i="3"/>
  <c r="E42" i="2"/>
  <c r="I42" i="3"/>
  <c r="J42" i="3"/>
  <c r="AL42" i="3" l="1"/>
  <c r="AO41" i="2"/>
  <c r="AU41" i="3"/>
  <c r="AT41" i="3"/>
  <c r="AP41" i="2"/>
  <c r="G42" i="3"/>
  <c r="F42" i="2"/>
  <c r="G42" i="2"/>
  <c r="F42" i="3"/>
  <c r="AG42" i="3" l="1"/>
  <c r="AG42" i="2"/>
  <c r="H42" i="2"/>
  <c r="K42" i="3"/>
  <c r="AW41" i="3"/>
  <c r="AX41" i="3" s="1"/>
  <c r="AR41" i="2"/>
  <c r="AS41" i="2" s="1"/>
  <c r="AU41" i="2" l="1"/>
  <c r="AT41" i="2"/>
  <c r="AY41" i="3"/>
  <c r="AZ41" i="3"/>
  <c r="L42" i="3"/>
  <c r="I42" i="2"/>
  <c r="M42" i="3"/>
  <c r="J42" i="2"/>
  <c r="AL42" i="2" l="1"/>
  <c r="AQ42" i="3"/>
  <c r="AW41" i="2"/>
  <c r="AX41" i="2" s="1"/>
  <c r="N42" i="3"/>
  <c r="K42" i="2"/>
  <c r="BB41" i="3"/>
  <c r="BC41" i="3" s="1"/>
  <c r="AZ41" i="2" l="1"/>
  <c r="BB41" i="2"/>
  <c r="BC41" i="2" s="1"/>
  <c r="BD41" i="2" s="1"/>
  <c r="Q42" i="2" s="1"/>
  <c r="BD41" i="3"/>
  <c r="AY41" i="2"/>
  <c r="BE41" i="3"/>
  <c r="O42" i="3"/>
  <c r="P42" i="3"/>
  <c r="L42" i="2"/>
  <c r="M42" i="2"/>
  <c r="AQ42" i="2" l="1"/>
  <c r="AV42" i="3"/>
  <c r="Q42" i="3"/>
  <c r="BG41" i="3"/>
  <c r="BH41" i="3" s="1"/>
  <c r="S42" i="2"/>
  <c r="N42" i="2"/>
  <c r="BE41" i="2"/>
  <c r="R42" i="2"/>
  <c r="BA42" i="2" l="1"/>
  <c r="BG41" i="2"/>
  <c r="BH41" i="2" s="1"/>
  <c r="S42" i="3"/>
  <c r="BJ41" i="3"/>
  <c r="BL41" i="3" s="1"/>
  <c r="BM41" i="3" s="1"/>
  <c r="BN41" i="3" s="1"/>
  <c r="W42" i="3" s="1"/>
  <c r="BI41" i="3"/>
  <c r="O42" i="2"/>
  <c r="R42" i="3"/>
  <c r="P42" i="2"/>
  <c r="BO41" i="3" l="1"/>
  <c r="BA42" i="3"/>
  <c r="AV42" i="2"/>
  <c r="BI41" i="2"/>
  <c r="BJ41" i="2"/>
  <c r="BL41" i="2" s="1"/>
  <c r="BM41" i="2" s="1"/>
  <c r="BN41" i="2" s="1"/>
  <c r="W42" i="2" s="1"/>
  <c r="Y42" i="3"/>
  <c r="T42" i="3"/>
  <c r="BQ41" i="3"/>
  <c r="X42" i="3"/>
  <c r="BK42" i="3" l="1"/>
  <c r="BO41" i="2"/>
  <c r="Y42" i="2"/>
  <c r="V42" i="3"/>
  <c r="T42" i="2"/>
  <c r="BQ41" i="2"/>
  <c r="U42" i="3"/>
  <c r="X42" i="2"/>
  <c r="BK42" i="2" l="1"/>
  <c r="BP42" i="3"/>
  <c r="BF42" i="3"/>
  <c r="Z42" i="3"/>
  <c r="AA42" i="3" s="1"/>
  <c r="V42" i="2"/>
  <c r="U42" i="2"/>
  <c r="BP42" i="2" l="1"/>
  <c r="BF42" i="2"/>
  <c r="Z42" i="2"/>
  <c r="AA42" i="2" s="1"/>
  <c r="AC42" i="3"/>
  <c r="AD42" i="3" s="1"/>
  <c r="AE42" i="3" l="1"/>
  <c r="AF42" i="3"/>
  <c r="AC42" i="2"/>
  <c r="AD42" i="2" s="1"/>
  <c r="AE42" i="2" l="1"/>
  <c r="AF42" i="2"/>
  <c r="AH42" i="3"/>
  <c r="AI42" i="3" s="1"/>
  <c r="B43" i="3"/>
  <c r="AK42" i="3" l="1"/>
  <c r="D43" i="3"/>
  <c r="AJ42" i="3"/>
  <c r="AH42" i="2"/>
  <c r="AI42" i="2" s="1"/>
  <c r="AM42" i="3"/>
  <c r="AN42" i="3" s="1"/>
  <c r="AO42" i="3" s="1"/>
  <c r="H43" i="3" s="1"/>
  <c r="B43" i="2"/>
  <c r="C43" i="3"/>
  <c r="AP42" i="3" l="1"/>
  <c r="AB43" i="3"/>
  <c r="AR42" i="3"/>
  <c r="AS42" i="3" s="1"/>
  <c r="AT42" i="3" s="1"/>
  <c r="K43" i="3" s="1"/>
  <c r="D43" i="2"/>
  <c r="AK42" i="2"/>
  <c r="AJ42" i="2"/>
  <c r="E43" i="3"/>
  <c r="I43" i="3"/>
  <c r="C43" i="2"/>
  <c r="J43" i="3"/>
  <c r="AB43" i="2" l="1"/>
  <c r="AL43" i="3"/>
  <c r="AM42" i="2"/>
  <c r="AN42" i="2" s="1"/>
  <c r="G43" i="3"/>
  <c r="E43" i="2"/>
  <c r="AU42" i="3"/>
  <c r="L43" i="3"/>
  <c r="F43" i="3"/>
  <c r="M43" i="3"/>
  <c r="AG43" i="3" l="1"/>
  <c r="AQ43" i="3"/>
  <c r="AO42" i="2"/>
  <c r="AW42" i="3"/>
  <c r="AX42" i="3" s="1"/>
  <c r="AP42" i="2"/>
  <c r="F43" i="2"/>
  <c r="G43" i="2"/>
  <c r="AZ42" i="3" l="1"/>
  <c r="AG43" i="2"/>
  <c r="H43" i="2"/>
  <c r="AY42" i="3"/>
  <c r="BB42" i="3"/>
  <c r="BC42" i="3" s="1"/>
  <c r="BD42" i="3" s="1"/>
  <c r="Q43" i="3" s="1"/>
  <c r="AR42" i="2"/>
  <c r="AS42" i="2" s="1"/>
  <c r="BE42" i="3" l="1"/>
  <c r="AU42" i="2"/>
  <c r="AW42" i="2" s="1"/>
  <c r="AX42" i="2" s="1"/>
  <c r="AY42" i="2" s="1"/>
  <c r="N43" i="2" s="1"/>
  <c r="S43" i="3"/>
  <c r="N43" i="3"/>
  <c r="BG42" i="3"/>
  <c r="BH42" i="3" s="1"/>
  <c r="BI42" i="3" s="1"/>
  <c r="T43" i="3" s="1"/>
  <c r="AT42" i="2"/>
  <c r="R43" i="3"/>
  <c r="I43" i="2"/>
  <c r="J43" i="2"/>
  <c r="AL43" i="2" l="1"/>
  <c r="BA43" i="3"/>
  <c r="V43" i="3"/>
  <c r="BJ42" i="3"/>
  <c r="BL42" i="3" s="1"/>
  <c r="BM42" i="3" s="1"/>
  <c r="BN42" i="3" s="1"/>
  <c r="W43" i="3" s="1"/>
  <c r="K43" i="2"/>
  <c r="AZ42" i="2"/>
  <c r="U43" i="3"/>
  <c r="O43" i="3"/>
  <c r="P43" i="3"/>
  <c r="O43" i="2"/>
  <c r="P43" i="2"/>
  <c r="BQ42" i="3" l="1"/>
  <c r="AV43" i="2"/>
  <c r="AV43" i="3"/>
  <c r="BF43" i="3"/>
  <c r="Y43" i="3"/>
  <c r="Z43" i="3" s="1"/>
  <c r="AA43" i="3" s="1"/>
  <c r="BB42" i="2"/>
  <c r="BC42" i="2" s="1"/>
  <c r="BO42" i="3"/>
  <c r="L43" i="2"/>
  <c r="X43" i="3"/>
  <c r="M43" i="2"/>
  <c r="BK43" i="3" l="1"/>
  <c r="BP43" i="3"/>
  <c r="AQ43" i="2"/>
  <c r="AC43" i="3"/>
  <c r="AD43" i="3" s="1"/>
  <c r="BE42" i="2"/>
  <c r="BD42" i="2"/>
  <c r="Q43" i="2" l="1"/>
  <c r="BG42" i="2"/>
  <c r="BH42" i="2" s="1"/>
  <c r="AF43" i="3"/>
  <c r="AE43" i="3"/>
  <c r="BJ42" i="2" l="1"/>
  <c r="BL42" i="2" s="1"/>
  <c r="BM42" i="2" s="1"/>
  <c r="BN42" i="2" s="1"/>
  <c r="W43" i="2" s="1"/>
  <c r="Y43" i="2" s="1"/>
  <c r="B44" i="3"/>
  <c r="AH43" i="3"/>
  <c r="AI43" i="3" s="1"/>
  <c r="BI42" i="2"/>
  <c r="BO42" i="2"/>
  <c r="S43" i="2"/>
  <c r="R43" i="2"/>
  <c r="X43" i="2"/>
  <c r="BK43" i="2" l="1"/>
  <c r="BA43" i="2"/>
  <c r="T43" i="2"/>
  <c r="BQ42" i="2"/>
  <c r="AJ43" i="3"/>
  <c r="D44" i="3"/>
  <c r="AK43" i="3"/>
  <c r="C44" i="3"/>
  <c r="AB44" i="3" l="1"/>
  <c r="E44" i="3"/>
  <c r="V43" i="2"/>
  <c r="AM43" i="3"/>
  <c r="AN43" i="3" s="1"/>
  <c r="U43" i="2"/>
  <c r="BP43" i="2" l="1"/>
  <c r="BF43" i="2"/>
  <c r="Z43" i="2"/>
  <c r="AA43" i="2" s="1"/>
  <c r="AO43" i="3"/>
  <c r="AP43" i="3"/>
  <c r="G44" i="3"/>
  <c r="F44" i="3"/>
  <c r="AG44" i="3" l="1"/>
  <c r="H44" i="3"/>
  <c r="AR43" i="3"/>
  <c r="AS43" i="3" s="1"/>
  <c r="AC43" i="2"/>
  <c r="AD43" i="2" s="1"/>
  <c r="AF43" i="2" l="1"/>
  <c r="AT43" i="3"/>
  <c r="AU43" i="3"/>
  <c r="AE43" i="2"/>
  <c r="J44" i="3"/>
  <c r="AH43" i="2"/>
  <c r="AI43" i="2" s="1"/>
  <c r="AJ43" i="2" s="1"/>
  <c r="E44" i="2" s="1"/>
  <c r="I44" i="3"/>
  <c r="AK43" i="2" l="1"/>
  <c r="AL44" i="3"/>
  <c r="AM43" i="2"/>
  <c r="AN43" i="2" s="1"/>
  <c r="AO43" i="2" s="1"/>
  <c r="H44" i="2" s="1"/>
  <c r="B44" i="2"/>
  <c r="AW43" i="3"/>
  <c r="AX43" i="3" s="1"/>
  <c r="K44" i="3"/>
  <c r="F44" i="2"/>
  <c r="G44" i="2"/>
  <c r="AG44" i="2" l="1"/>
  <c r="AZ43" i="3"/>
  <c r="AY43" i="3"/>
  <c r="AP43" i="2"/>
  <c r="D44" i="2"/>
  <c r="I44" i="2"/>
  <c r="L44" i="3"/>
  <c r="C44" i="2"/>
  <c r="J44" i="2"/>
  <c r="M44" i="3"/>
  <c r="AB44" i="2" l="1"/>
  <c r="AQ44" i="3"/>
  <c r="AL44" i="2"/>
  <c r="N44" i="3"/>
  <c r="BB43" i="3"/>
  <c r="BC43" i="3" s="1"/>
  <c r="AR43" i="2"/>
  <c r="AS43" i="2" s="1"/>
  <c r="AT43" i="2" l="1"/>
  <c r="AU43" i="2"/>
  <c r="BE43" i="3"/>
  <c r="BD43" i="3"/>
  <c r="O44" i="3"/>
  <c r="P44" i="3"/>
  <c r="AV44" i="3" l="1"/>
  <c r="BG43" i="3"/>
  <c r="BH43" i="3" s="1"/>
  <c r="K44" i="2"/>
  <c r="Q44" i="3"/>
  <c r="AW43" i="2"/>
  <c r="AX43" i="2" s="1"/>
  <c r="AZ43" i="2" l="1"/>
  <c r="S44" i="3"/>
  <c r="BB43" i="2"/>
  <c r="BC43" i="2" s="1"/>
  <c r="BD43" i="2" s="1"/>
  <c r="Q44" i="2" s="1"/>
  <c r="BI43" i="3"/>
  <c r="BJ43" i="3"/>
  <c r="BL43" i="3" s="1"/>
  <c r="BM43" i="3" s="1"/>
  <c r="BN43" i="3" s="1"/>
  <c r="W44" i="3" s="1"/>
  <c r="AY43" i="2"/>
  <c r="L44" i="2"/>
  <c r="R44" i="3"/>
  <c r="M44" i="2"/>
  <c r="BO43" i="3" l="1"/>
  <c r="BA44" i="3"/>
  <c r="AQ44" i="2"/>
  <c r="T44" i="3"/>
  <c r="BQ43" i="3"/>
  <c r="S44" i="2"/>
  <c r="BE43" i="2"/>
  <c r="N44" i="2"/>
  <c r="Y44" i="3"/>
  <c r="R44" i="2"/>
  <c r="X44" i="3"/>
  <c r="BK44" i="3" l="1"/>
  <c r="BA44" i="2"/>
  <c r="V44" i="3"/>
  <c r="BG43" i="2"/>
  <c r="BH43" i="2" s="1"/>
  <c r="O44" i="2"/>
  <c r="P44" i="2"/>
  <c r="U44" i="3"/>
  <c r="BP44" i="3" l="1"/>
  <c r="BF44" i="3"/>
  <c r="AV44" i="2"/>
  <c r="Z44" i="3"/>
  <c r="AA44" i="3" s="1"/>
  <c r="BJ43" i="2"/>
  <c r="BL43" i="2" s="1"/>
  <c r="BM43" i="2" s="1"/>
  <c r="BN43" i="2" s="1"/>
  <c r="W44" i="2" s="1"/>
  <c r="BI43" i="2"/>
  <c r="AC44" i="3" l="1"/>
  <c r="AD44" i="3" s="1"/>
  <c r="Y44" i="2"/>
  <c r="T44" i="2"/>
  <c r="BQ43" i="2"/>
  <c r="BO43" i="2"/>
  <c r="X44" i="2"/>
  <c r="BK44" i="2" l="1"/>
  <c r="AE44" i="3"/>
  <c r="V44" i="2"/>
  <c r="AF44" i="3"/>
  <c r="U44" i="2"/>
  <c r="BP44" i="2" l="1"/>
  <c r="BF44" i="2"/>
  <c r="Z44" i="2"/>
  <c r="AA44" i="2" s="1"/>
  <c r="AH44" i="3"/>
  <c r="AI44" i="3" s="1"/>
  <c r="B45" i="3"/>
  <c r="AK44" i="3" l="1"/>
  <c r="AM44" i="3"/>
  <c r="AN44" i="3" s="1"/>
  <c r="AO44" i="3" s="1"/>
  <c r="H45" i="3" s="1"/>
  <c r="AJ44" i="3"/>
  <c r="D45" i="3"/>
  <c r="AC44" i="2"/>
  <c r="AD44" i="2" s="1"/>
  <c r="C45" i="3"/>
  <c r="AB45" i="3" l="1"/>
  <c r="AF44" i="2"/>
  <c r="E45" i="3"/>
  <c r="AE44" i="2"/>
  <c r="J45" i="3"/>
  <c r="AP44" i="3"/>
  <c r="I45" i="3"/>
  <c r="AL45" i="3" l="1"/>
  <c r="AH44" i="2"/>
  <c r="AI44" i="2" s="1"/>
  <c r="B45" i="2"/>
  <c r="AR44" i="3"/>
  <c r="AS44" i="3" s="1"/>
  <c r="G45" i="3"/>
  <c r="F45" i="3"/>
  <c r="AU44" i="3" l="1"/>
  <c r="AG45" i="3"/>
  <c r="D45" i="2"/>
  <c r="AW44" i="3"/>
  <c r="AX44" i="3" s="1"/>
  <c r="AY44" i="3" s="1"/>
  <c r="N45" i="3" s="1"/>
  <c r="AK44" i="2"/>
  <c r="AT44" i="3"/>
  <c r="AJ44" i="2"/>
  <c r="C45" i="2"/>
  <c r="AB45" i="2" l="1"/>
  <c r="AZ44" i="3"/>
  <c r="AM44" i="2"/>
  <c r="AN44" i="2" s="1"/>
  <c r="E45" i="2"/>
  <c r="K45" i="3"/>
  <c r="O45" i="3"/>
  <c r="P45" i="3"/>
  <c r="AV45" i="3" l="1"/>
  <c r="AO44" i="2"/>
  <c r="AP44" i="2"/>
  <c r="BB44" i="3"/>
  <c r="BC44" i="3" s="1"/>
  <c r="F45" i="2"/>
  <c r="L45" i="3"/>
  <c r="G45" i="2"/>
  <c r="M45" i="3"/>
  <c r="AQ45" i="3" l="1"/>
  <c r="AG45" i="2"/>
  <c r="BD44" i="3"/>
  <c r="AR44" i="2"/>
  <c r="AS44" i="2" s="1"/>
  <c r="H45" i="2"/>
  <c r="BE44" i="3"/>
  <c r="Q45" i="3" l="1"/>
  <c r="BG44" i="3"/>
  <c r="BH44" i="3" s="1"/>
  <c r="AT44" i="2"/>
  <c r="AU44" i="2"/>
  <c r="I45" i="2"/>
  <c r="J45" i="2"/>
  <c r="BJ44" i="3" l="1"/>
  <c r="BL44" i="3" s="1"/>
  <c r="BM44" i="3" s="1"/>
  <c r="BN44" i="3" s="1"/>
  <c r="W45" i="3" s="1"/>
  <c r="Y45" i="3" s="1"/>
  <c r="AL45" i="2"/>
  <c r="K45" i="2"/>
  <c r="BI44" i="3"/>
  <c r="AW44" i="2"/>
  <c r="AX44" i="2" s="1"/>
  <c r="S45" i="3"/>
  <c r="X45" i="3"/>
  <c r="R45" i="3"/>
  <c r="BO44" i="3" l="1"/>
  <c r="AZ44" i="2"/>
  <c r="BA45" i="3"/>
  <c r="BK45" i="3"/>
  <c r="T45" i="3"/>
  <c r="BQ44" i="3"/>
  <c r="BB44" i="2"/>
  <c r="BC44" i="2" s="1"/>
  <c r="BD44" i="2" s="1"/>
  <c r="Q45" i="2" s="1"/>
  <c r="AY44" i="2"/>
  <c r="L45" i="2"/>
  <c r="M45" i="2"/>
  <c r="AQ45" i="2" l="1"/>
  <c r="BE44" i="2"/>
  <c r="V45" i="3"/>
  <c r="S45" i="2"/>
  <c r="N45" i="2"/>
  <c r="R45" i="2"/>
  <c r="U45" i="3"/>
  <c r="BP45" i="3" l="1"/>
  <c r="BF45" i="3"/>
  <c r="BA45" i="2"/>
  <c r="Z45" i="3"/>
  <c r="AA45" i="3" s="1"/>
  <c r="BG44" i="2"/>
  <c r="BH44" i="2" s="1"/>
  <c r="O45" i="2"/>
  <c r="P45" i="2"/>
  <c r="AV45" i="2" l="1"/>
  <c r="BI44" i="2"/>
  <c r="BJ44" i="2"/>
  <c r="BL44" i="2" s="1"/>
  <c r="BM44" i="2" s="1"/>
  <c r="BN44" i="2" s="1"/>
  <c r="W45" i="2" s="1"/>
  <c r="AC45" i="3"/>
  <c r="AD45" i="3" s="1"/>
  <c r="AF45" i="3" l="1"/>
  <c r="BO44" i="2"/>
  <c r="AE45" i="3"/>
  <c r="T45" i="2"/>
  <c r="BQ44" i="2"/>
  <c r="Y45" i="2"/>
  <c r="X45" i="2"/>
  <c r="BK45" i="2" l="1"/>
  <c r="V45" i="2"/>
  <c r="B46" i="3"/>
  <c r="AH45" i="3"/>
  <c r="AI45" i="3" s="1"/>
  <c r="U45" i="2"/>
  <c r="BP45" i="2" l="1"/>
  <c r="BF45" i="2"/>
  <c r="D46" i="3"/>
  <c r="AK45" i="3"/>
  <c r="Z45" i="2"/>
  <c r="AA45" i="2" s="1"/>
  <c r="AJ45" i="3"/>
  <c r="C46" i="3"/>
  <c r="AB46" i="3" l="1"/>
  <c r="AC45" i="2"/>
  <c r="AD45" i="2" s="1"/>
  <c r="E46" i="3"/>
  <c r="AM45" i="3"/>
  <c r="AN45" i="3" s="1"/>
  <c r="AP45" i="3" l="1"/>
  <c r="AE45" i="2"/>
  <c r="AO45" i="3"/>
  <c r="G46" i="3"/>
  <c r="AF45" i="2"/>
  <c r="F46" i="3"/>
  <c r="AG46" i="3" l="1"/>
  <c r="H46" i="3"/>
  <c r="AH45" i="2"/>
  <c r="AI45" i="2" s="1"/>
  <c r="B46" i="2"/>
  <c r="AR45" i="3"/>
  <c r="AS45" i="3" s="1"/>
  <c r="AU45" i="3" l="1"/>
  <c r="AW45" i="3" s="1"/>
  <c r="AX45" i="3" s="1"/>
  <c r="AY45" i="3" s="1"/>
  <c r="N46" i="3" s="1"/>
  <c r="D46" i="2"/>
  <c r="J46" i="3"/>
  <c r="AJ45" i="2"/>
  <c r="AK45" i="2"/>
  <c r="AT45" i="3"/>
  <c r="C46" i="2"/>
  <c r="I46" i="3"/>
  <c r="AZ45" i="3" l="1"/>
  <c r="AL46" i="3"/>
  <c r="AB46" i="2"/>
  <c r="E46" i="2"/>
  <c r="K46" i="3"/>
  <c r="BB45" i="3"/>
  <c r="BC45" i="3" s="1"/>
  <c r="AM45" i="2"/>
  <c r="AN45" i="2" s="1"/>
  <c r="O46" i="3"/>
  <c r="P46" i="3"/>
  <c r="AV46" i="3" l="1"/>
  <c r="AO45" i="2"/>
  <c r="AP45" i="2"/>
  <c r="BD45" i="3"/>
  <c r="BE45" i="3"/>
  <c r="F46" i="2"/>
  <c r="G46" i="2"/>
  <c r="L46" i="3"/>
  <c r="M46" i="3"/>
  <c r="AQ46" i="3" l="1"/>
  <c r="AG46" i="2"/>
  <c r="BG45" i="3"/>
  <c r="BH45" i="3" s="1"/>
  <c r="Q46" i="3"/>
  <c r="AR45" i="2"/>
  <c r="AS45" i="2" s="1"/>
  <c r="H46" i="2"/>
  <c r="BI45" i="3" l="1"/>
  <c r="BJ45" i="3"/>
  <c r="BL45" i="3" s="1"/>
  <c r="BM45" i="3" s="1"/>
  <c r="BN45" i="3" s="1"/>
  <c r="W46" i="3" s="1"/>
  <c r="AU45" i="2"/>
  <c r="AT45" i="2"/>
  <c r="S46" i="3"/>
  <c r="R46" i="3"/>
  <c r="I46" i="2"/>
  <c r="J46" i="2"/>
  <c r="AL46" i="2" l="1"/>
  <c r="BA46" i="3"/>
  <c r="K46" i="2"/>
  <c r="AW45" i="2"/>
  <c r="AX45" i="2" s="1"/>
  <c r="BO45" i="3"/>
  <c r="Y46" i="3"/>
  <c r="T46" i="3"/>
  <c r="BQ45" i="3"/>
  <c r="X46" i="3"/>
  <c r="BK46" i="3" l="1"/>
  <c r="AY45" i="2"/>
  <c r="AZ45" i="2"/>
  <c r="V46" i="3"/>
  <c r="U46" i="3"/>
  <c r="L46" i="2"/>
  <c r="M46" i="2"/>
  <c r="AQ46" i="2" l="1"/>
  <c r="BP46" i="3"/>
  <c r="BF46" i="3"/>
  <c r="Z46" i="3"/>
  <c r="AA46" i="3" s="1"/>
  <c r="BB45" i="2"/>
  <c r="BC45" i="2" s="1"/>
  <c r="N46" i="2"/>
  <c r="BE45" i="2" l="1"/>
  <c r="AC46" i="3"/>
  <c r="AD46" i="3" s="1"/>
  <c r="BG45" i="2"/>
  <c r="BH45" i="2" s="1"/>
  <c r="BI45" i="2" s="1"/>
  <c r="T46" i="2" s="1"/>
  <c r="BD45" i="2"/>
  <c r="O46" i="2"/>
  <c r="P46" i="2"/>
  <c r="AV46" i="2" l="1"/>
  <c r="BJ45" i="2"/>
  <c r="BL45" i="2" s="1"/>
  <c r="BM45" i="2" s="1"/>
  <c r="V46" i="2"/>
  <c r="AF46" i="3"/>
  <c r="Q46" i="2"/>
  <c r="AE46" i="3"/>
  <c r="U46" i="2"/>
  <c r="BF46" i="2" l="1"/>
  <c r="S46" i="2"/>
  <c r="BN45" i="2"/>
  <c r="BO45" i="2"/>
  <c r="AH46" i="3"/>
  <c r="AI46" i="3" s="1"/>
  <c r="B47" i="3"/>
  <c r="R46" i="2"/>
  <c r="BA46" i="2" l="1"/>
  <c r="AJ46" i="3"/>
  <c r="D47" i="3"/>
  <c r="W46" i="2"/>
  <c r="BQ45" i="2"/>
  <c r="AK46" i="3"/>
  <c r="C47" i="3"/>
  <c r="AB47" i="3" l="1"/>
  <c r="Y46" i="2"/>
  <c r="AM46" i="3"/>
  <c r="AN46" i="3" s="1"/>
  <c r="E47" i="3"/>
  <c r="X46" i="2"/>
  <c r="BP46" i="2" l="1"/>
  <c r="BK46" i="2"/>
  <c r="G47" i="3"/>
  <c r="AO46" i="3"/>
  <c r="AP46" i="3"/>
  <c r="Z46" i="2"/>
  <c r="AA46" i="2" s="1"/>
  <c r="F47" i="3"/>
  <c r="AG47" i="3" l="1"/>
  <c r="AC46" i="2"/>
  <c r="AD46" i="2" s="1"/>
  <c r="H47" i="3"/>
  <c r="AR46" i="3"/>
  <c r="AS46" i="3" s="1"/>
  <c r="AE46" i="2" l="1"/>
  <c r="AT46" i="3"/>
  <c r="AU46" i="3"/>
  <c r="J47" i="3"/>
  <c r="AF46" i="2"/>
  <c r="I47" i="3"/>
  <c r="AL47" i="3" l="1"/>
  <c r="AH46" i="2"/>
  <c r="AI46" i="2" s="1"/>
  <c r="K47" i="3"/>
  <c r="AW46" i="3"/>
  <c r="AX46" i="3" s="1"/>
  <c r="B47" i="2"/>
  <c r="AK46" i="2" l="1"/>
  <c r="D47" i="2"/>
  <c r="AZ46" i="3"/>
  <c r="AY46" i="3"/>
  <c r="AJ46" i="2"/>
  <c r="AM46" i="2"/>
  <c r="AN46" i="2" s="1"/>
  <c r="AO46" i="2" s="1"/>
  <c r="H47" i="2" s="1"/>
  <c r="C47" i="2"/>
  <c r="L47" i="3"/>
  <c r="M47" i="3"/>
  <c r="AQ47" i="3" l="1"/>
  <c r="AB47" i="2"/>
  <c r="N47" i="3"/>
  <c r="E47" i="2"/>
  <c r="BB46" i="3"/>
  <c r="BC46" i="3" s="1"/>
  <c r="AP46" i="2"/>
  <c r="I47" i="2"/>
  <c r="J47" i="2"/>
  <c r="AL47" i="2" l="1"/>
  <c r="BD46" i="3"/>
  <c r="AR46" i="2"/>
  <c r="AS46" i="2" s="1"/>
  <c r="BE46" i="3"/>
  <c r="F47" i="2"/>
  <c r="O47" i="3"/>
  <c r="G47" i="2"/>
  <c r="P47" i="3"/>
  <c r="AV47" i="3" l="1"/>
  <c r="AG47" i="2"/>
  <c r="BG46" i="3"/>
  <c r="BH46" i="3" s="1"/>
  <c r="AU46" i="2"/>
  <c r="Q47" i="3"/>
  <c r="AT46" i="2"/>
  <c r="BI46" i="3" l="1"/>
  <c r="BJ46" i="3"/>
  <c r="BL46" i="3" s="1"/>
  <c r="BM46" i="3" s="1"/>
  <c r="BN46" i="3" s="1"/>
  <c r="W47" i="3" s="1"/>
  <c r="K47" i="2"/>
  <c r="S47" i="3"/>
  <c r="AW46" i="2"/>
  <c r="AX46" i="2" s="1"/>
  <c r="R47" i="3"/>
  <c r="BA47" i="3" l="1"/>
  <c r="AY46" i="2"/>
  <c r="AZ46" i="2"/>
  <c r="Y47" i="3"/>
  <c r="BO46" i="3"/>
  <c r="T47" i="3"/>
  <c r="BQ46" i="3"/>
  <c r="L47" i="2"/>
  <c r="X47" i="3"/>
  <c r="M47" i="2"/>
  <c r="BK47" i="3" l="1"/>
  <c r="AQ47" i="2"/>
  <c r="V47" i="3"/>
  <c r="BB46" i="2"/>
  <c r="BC46" i="2" s="1"/>
  <c r="N47" i="2"/>
  <c r="U47" i="3"/>
  <c r="BP47" i="3" l="1"/>
  <c r="BF47" i="3"/>
  <c r="Z47" i="3"/>
  <c r="AA47" i="3" s="1"/>
  <c r="BD46" i="2"/>
  <c r="BE46" i="2"/>
  <c r="O47" i="2"/>
  <c r="P47" i="2"/>
  <c r="AV47" i="2" l="1"/>
  <c r="Q47" i="2"/>
  <c r="AC47" i="3"/>
  <c r="AD47" i="3" s="1"/>
  <c r="BG46" i="2"/>
  <c r="BH46" i="2" s="1"/>
  <c r="BI46" i="2" l="1"/>
  <c r="BJ46" i="2"/>
  <c r="BL46" i="2" s="1"/>
  <c r="BM46" i="2" s="1"/>
  <c r="BN46" i="2" s="1"/>
  <c r="W47" i="2" s="1"/>
  <c r="AF47" i="3"/>
  <c r="S47" i="2"/>
  <c r="AE47" i="3"/>
  <c r="R47" i="2"/>
  <c r="BA47" i="2" l="1"/>
  <c r="Y47" i="2"/>
  <c r="B48" i="3"/>
  <c r="AH47" i="3"/>
  <c r="AI47" i="3" s="1"/>
  <c r="BO46" i="2"/>
  <c r="T47" i="2"/>
  <c r="BQ46" i="2"/>
  <c r="X47" i="2"/>
  <c r="BK47" i="2" l="1"/>
  <c r="AJ47" i="3"/>
  <c r="V47" i="2"/>
  <c r="D48" i="3"/>
  <c r="AK47" i="3"/>
  <c r="C48" i="3"/>
  <c r="U47" i="2"/>
  <c r="BP47" i="2" l="1"/>
  <c r="BF47" i="2"/>
  <c r="AB48" i="3"/>
  <c r="E48" i="3"/>
  <c r="Z47" i="2"/>
  <c r="AA47" i="2" s="1"/>
  <c r="AM47" i="3"/>
  <c r="AN47" i="3" s="1"/>
  <c r="G48" i="3" l="1"/>
  <c r="AC47" i="2"/>
  <c r="AD47" i="2" s="1"/>
  <c r="AO47" i="3"/>
  <c r="AP47" i="3"/>
  <c r="F48" i="3"/>
  <c r="AG48" i="3" l="1"/>
  <c r="H48" i="3"/>
  <c r="AF47" i="2"/>
  <c r="AR47" i="3"/>
  <c r="AS47" i="3" s="1"/>
  <c r="AE47" i="2"/>
  <c r="AU47" i="3" l="1"/>
  <c r="AW47" i="3"/>
  <c r="AX47" i="3" s="1"/>
  <c r="AY47" i="3" s="1"/>
  <c r="N48" i="3" s="1"/>
  <c r="AT47" i="3"/>
  <c r="J48" i="3"/>
  <c r="B48" i="2"/>
  <c r="AH47" i="2"/>
  <c r="AI47" i="2" s="1"/>
  <c r="I48" i="3"/>
  <c r="AL48" i="3" l="1"/>
  <c r="AJ47" i="2"/>
  <c r="D48" i="2"/>
  <c r="AK47" i="2"/>
  <c r="K48" i="3"/>
  <c r="AZ47" i="3"/>
  <c r="O48" i="3"/>
  <c r="C48" i="2"/>
  <c r="P48" i="3"/>
  <c r="AB48" i="2" l="1"/>
  <c r="AV48" i="3"/>
  <c r="AM47" i="2"/>
  <c r="AN47" i="2" s="1"/>
  <c r="BB47" i="3"/>
  <c r="BC47" i="3" s="1"/>
  <c r="E48" i="2"/>
  <c r="L48" i="3"/>
  <c r="M48" i="3"/>
  <c r="AP47" i="2" l="1"/>
  <c r="AQ48" i="3"/>
  <c r="BD47" i="3"/>
  <c r="AR47" i="2"/>
  <c r="AS47" i="2" s="1"/>
  <c r="AT47" i="2" s="1"/>
  <c r="K48" i="2" s="1"/>
  <c r="BE47" i="3"/>
  <c r="AO47" i="2"/>
  <c r="F48" i="2"/>
  <c r="G48" i="2"/>
  <c r="AG48" i="2" l="1"/>
  <c r="H48" i="2"/>
  <c r="AU47" i="2"/>
  <c r="Q48" i="3"/>
  <c r="BG47" i="3"/>
  <c r="BH47" i="3" s="1"/>
  <c r="L48" i="2"/>
  <c r="M48" i="2"/>
  <c r="AQ48" i="2" l="1"/>
  <c r="BI47" i="3"/>
  <c r="BJ47" i="3"/>
  <c r="BL47" i="3" s="1"/>
  <c r="BM47" i="3" s="1"/>
  <c r="BN47" i="3" s="1"/>
  <c r="W48" i="3" s="1"/>
  <c r="S48" i="3"/>
  <c r="AW47" i="2"/>
  <c r="AX47" i="2" s="1"/>
  <c r="R48" i="3"/>
  <c r="I48" i="2"/>
  <c r="J48" i="2"/>
  <c r="AZ47" i="2" l="1"/>
  <c r="BB47" i="2" s="1"/>
  <c r="BC47" i="2" s="1"/>
  <c r="BD47" i="2" s="1"/>
  <c r="Q48" i="2" s="1"/>
  <c r="AL48" i="2"/>
  <c r="BA48" i="3"/>
  <c r="BO47" i="3"/>
  <c r="Y48" i="3"/>
  <c r="T48" i="3"/>
  <c r="BQ47" i="3"/>
  <c r="AY47" i="2"/>
  <c r="X48" i="3"/>
  <c r="BK48" i="3" l="1"/>
  <c r="N48" i="2"/>
  <c r="S48" i="2"/>
  <c r="V48" i="3"/>
  <c r="BE47" i="2"/>
  <c r="R48" i="2"/>
  <c r="U48" i="3"/>
  <c r="BP48" i="3" l="1"/>
  <c r="BF48" i="3"/>
  <c r="BA48" i="2"/>
  <c r="BG47" i="2"/>
  <c r="BH47" i="2" s="1"/>
  <c r="Z48" i="3"/>
  <c r="AA48" i="3" s="1"/>
  <c r="O48" i="2"/>
  <c r="P48" i="2"/>
  <c r="AV48" i="2" l="1"/>
  <c r="BJ47" i="2"/>
  <c r="BL47" i="2" s="1"/>
  <c r="BM47" i="2" s="1"/>
  <c r="BN47" i="2" s="1"/>
  <c r="W48" i="2" s="1"/>
  <c r="BI47" i="2"/>
  <c r="AC48" i="3"/>
  <c r="AD48" i="3" s="1"/>
  <c r="AF48" i="3" l="1"/>
  <c r="Y48" i="2"/>
  <c r="AE48" i="3"/>
  <c r="BO47" i="2"/>
  <c r="T48" i="2"/>
  <c r="BQ47" i="2"/>
  <c r="X48" i="2"/>
  <c r="BK48" i="2" l="1"/>
  <c r="B49" i="3"/>
  <c r="V48" i="2"/>
  <c r="AH48" i="3"/>
  <c r="AI48" i="3" s="1"/>
  <c r="U48" i="2"/>
  <c r="BP48" i="2" l="1"/>
  <c r="BF48" i="2"/>
  <c r="AK48" i="3"/>
  <c r="Z48" i="2"/>
  <c r="AA48" i="2" s="1"/>
  <c r="AJ48" i="3"/>
  <c r="D49" i="3"/>
  <c r="C49" i="3"/>
  <c r="AB49" i="3" l="1"/>
  <c r="E49" i="3"/>
  <c r="AM48" i="3"/>
  <c r="AN48" i="3" s="1"/>
  <c r="AC48" i="2"/>
  <c r="AD48" i="2" s="1"/>
  <c r="AP48" i="3" l="1"/>
  <c r="AR48" i="3"/>
  <c r="AS48" i="3" s="1"/>
  <c r="AT48" i="3" s="1"/>
  <c r="K49" i="3" s="1"/>
  <c r="AE48" i="2"/>
  <c r="AO48" i="3"/>
  <c r="G49" i="3"/>
  <c r="AF48" i="2"/>
  <c r="F49" i="3"/>
  <c r="AG49" i="3" l="1"/>
  <c r="AH48" i="2"/>
  <c r="AI48" i="2" s="1"/>
  <c r="B49" i="2"/>
  <c r="H49" i="3"/>
  <c r="AU48" i="3"/>
  <c r="L49" i="3"/>
  <c r="M49" i="3"/>
  <c r="AQ49" i="3" l="1"/>
  <c r="AK48" i="2"/>
  <c r="J49" i="3"/>
  <c r="AJ48" i="2"/>
  <c r="AW48" i="3"/>
  <c r="AX48" i="3" s="1"/>
  <c r="D49" i="2"/>
  <c r="C49" i="2"/>
  <c r="I49" i="3"/>
  <c r="AZ48" i="3" l="1"/>
  <c r="AL49" i="3"/>
  <c r="AB49" i="2"/>
  <c r="AY48" i="3"/>
  <c r="AM48" i="2"/>
  <c r="AN48" i="2" s="1"/>
  <c r="BB48" i="3"/>
  <c r="BC48" i="3" s="1"/>
  <c r="BD48" i="3" s="1"/>
  <c r="Q49" i="3" s="1"/>
  <c r="E49" i="2"/>
  <c r="AP48" i="2" l="1"/>
  <c r="N49" i="3"/>
  <c r="S49" i="3"/>
  <c r="AO48" i="2"/>
  <c r="BE48" i="3"/>
  <c r="F49" i="2"/>
  <c r="R49" i="3"/>
  <c r="G49" i="2"/>
  <c r="BA49" i="3" l="1"/>
  <c r="AG49" i="2"/>
  <c r="BG48" i="3"/>
  <c r="BH48" i="3" s="1"/>
  <c r="H49" i="2"/>
  <c r="AR48" i="2"/>
  <c r="AS48" i="2" s="1"/>
  <c r="O49" i="3"/>
  <c r="P49" i="3"/>
  <c r="AU48" i="2" l="1"/>
  <c r="AV49" i="3"/>
  <c r="BI48" i="3"/>
  <c r="BJ48" i="3"/>
  <c r="BL48" i="3" s="1"/>
  <c r="BM48" i="3" s="1"/>
  <c r="BN48" i="3" s="1"/>
  <c r="W49" i="3" s="1"/>
  <c r="AW48" i="2"/>
  <c r="AX48" i="2" s="1"/>
  <c r="AY48" i="2" s="1"/>
  <c r="N49" i="2" s="1"/>
  <c r="AT48" i="2"/>
  <c r="I49" i="2"/>
  <c r="J49" i="2"/>
  <c r="AZ48" i="2" l="1"/>
  <c r="AL49" i="2"/>
  <c r="K49" i="2"/>
  <c r="T49" i="3"/>
  <c r="BQ48" i="3"/>
  <c r="BB48" i="2"/>
  <c r="BC48" i="2" s="1"/>
  <c r="Y49" i="3"/>
  <c r="BO48" i="3"/>
  <c r="O49" i="2"/>
  <c r="X49" i="3"/>
  <c r="P49" i="2"/>
  <c r="BK49" i="3" l="1"/>
  <c r="AV49" i="2"/>
  <c r="BE48" i="2"/>
  <c r="BD48" i="2"/>
  <c r="V49" i="3"/>
  <c r="U49" i="3"/>
  <c r="L49" i="2"/>
  <c r="M49" i="2"/>
  <c r="AQ49" i="2" l="1"/>
  <c r="BP49" i="3"/>
  <c r="BF49" i="3"/>
  <c r="Z49" i="3"/>
  <c r="AA49" i="3" s="1"/>
  <c r="Q49" i="2"/>
  <c r="BG48" i="2"/>
  <c r="BH48" i="2" s="1"/>
  <c r="S49" i="2" l="1"/>
  <c r="AC49" i="3"/>
  <c r="AD49" i="3" s="1"/>
  <c r="BI48" i="2"/>
  <c r="BJ48" i="2"/>
  <c r="BL48" i="2" s="1"/>
  <c r="BM48" i="2" s="1"/>
  <c r="BN48" i="2" s="1"/>
  <c r="W49" i="2" s="1"/>
  <c r="R49" i="2"/>
  <c r="BA49" i="2" l="1"/>
  <c r="BO48" i="2"/>
  <c r="Y49" i="2"/>
  <c r="T49" i="2"/>
  <c r="BQ48" i="2"/>
  <c r="AF49" i="3"/>
  <c r="AE49" i="3"/>
  <c r="X49" i="2"/>
  <c r="BK49" i="2" l="1"/>
  <c r="V49" i="2"/>
  <c r="AH49" i="3"/>
  <c r="AI49" i="3" s="1"/>
  <c r="B50" i="3"/>
  <c r="U49" i="2"/>
  <c r="BP49" i="2" l="1"/>
  <c r="BF49" i="2"/>
  <c r="AJ49" i="3"/>
  <c r="AK49" i="3"/>
  <c r="D50" i="3"/>
  <c r="Z49" i="2"/>
  <c r="AA49" i="2" s="1"/>
  <c r="C50" i="3"/>
  <c r="AB50" i="3" l="1"/>
  <c r="AC49" i="2"/>
  <c r="AD49" i="2" s="1"/>
  <c r="AM49" i="3"/>
  <c r="AN49" i="3" s="1"/>
  <c r="E50" i="3"/>
  <c r="AP49" i="3" l="1"/>
  <c r="AO49" i="3"/>
  <c r="AE49" i="2"/>
  <c r="G50" i="3"/>
  <c r="AF49" i="2"/>
  <c r="F50" i="3"/>
  <c r="AG50" i="3" l="1"/>
  <c r="AH49" i="2"/>
  <c r="AI49" i="2" s="1"/>
  <c r="B50" i="2"/>
  <c r="H50" i="3"/>
  <c r="AR49" i="3"/>
  <c r="AS49" i="3" s="1"/>
  <c r="AU49" i="3" l="1"/>
  <c r="J50" i="3"/>
  <c r="D50" i="2"/>
  <c r="AJ49" i="2"/>
  <c r="AW49" i="3"/>
  <c r="AX49" i="3" s="1"/>
  <c r="AY49" i="3" s="1"/>
  <c r="N50" i="3" s="1"/>
  <c r="AK49" i="2"/>
  <c r="AT49" i="3"/>
  <c r="C50" i="2"/>
  <c r="I50" i="3"/>
  <c r="AL50" i="3" l="1"/>
  <c r="AB50" i="2"/>
  <c r="AZ49" i="3"/>
  <c r="E50" i="2"/>
  <c r="K50" i="3"/>
  <c r="AM49" i="2"/>
  <c r="AN49" i="2" s="1"/>
  <c r="O50" i="3"/>
  <c r="P50" i="3"/>
  <c r="AV50" i="3" l="1"/>
  <c r="AO49" i="2"/>
  <c r="AP49" i="2"/>
  <c r="BB49" i="3"/>
  <c r="BC49" i="3" s="1"/>
  <c r="G50" i="2"/>
  <c r="L50" i="3"/>
  <c r="M50" i="3"/>
  <c r="F50" i="2"/>
  <c r="AG50" i="2" l="1"/>
  <c r="AQ50" i="3"/>
  <c r="BD49" i="3"/>
  <c r="AR49" i="2"/>
  <c r="AS49" i="2" s="1"/>
  <c r="H50" i="2"/>
  <c r="BE49" i="3"/>
  <c r="Q50" i="3" l="1"/>
  <c r="BG49" i="3"/>
  <c r="BH49" i="3" s="1"/>
  <c r="AT49" i="2"/>
  <c r="AU49" i="2"/>
  <c r="I50" i="2"/>
  <c r="J50" i="2"/>
  <c r="AL50" i="2" l="1"/>
  <c r="BI49" i="3"/>
  <c r="K50" i="2"/>
  <c r="BJ49" i="3"/>
  <c r="BL49" i="3" s="1"/>
  <c r="BM49" i="3" s="1"/>
  <c r="BN49" i="3" s="1"/>
  <c r="W50" i="3" s="1"/>
  <c r="AW49" i="2"/>
  <c r="AX49" i="2" s="1"/>
  <c r="S50" i="3"/>
  <c r="R50" i="3"/>
  <c r="BA50" i="3" l="1"/>
  <c r="AZ49" i="2"/>
  <c r="T50" i="3"/>
  <c r="BQ49" i="3"/>
  <c r="Y50" i="3"/>
  <c r="BO49" i="3"/>
  <c r="AY49" i="2"/>
  <c r="X50" i="3"/>
  <c r="L50" i="2"/>
  <c r="M50" i="2"/>
  <c r="AQ50" i="2" l="1"/>
  <c r="BK50" i="3"/>
  <c r="N50" i="2"/>
  <c r="BB49" i="2"/>
  <c r="BC49" i="2" s="1"/>
  <c r="V50" i="3"/>
  <c r="U50" i="3"/>
  <c r="BE49" i="2" l="1"/>
  <c r="BP50" i="3"/>
  <c r="BF50" i="3"/>
  <c r="BG49" i="2"/>
  <c r="BH49" i="2" s="1"/>
  <c r="BI49" i="2" s="1"/>
  <c r="T50" i="2" s="1"/>
  <c r="BD49" i="2"/>
  <c r="Z50" i="3"/>
  <c r="AA50" i="3" s="1"/>
  <c r="O50" i="2"/>
  <c r="P50" i="2"/>
  <c r="BJ49" i="2" l="1"/>
  <c r="BL49" i="2" s="1"/>
  <c r="BM49" i="2" s="1"/>
  <c r="BN49" i="2" s="1"/>
  <c r="W50" i="2" s="1"/>
  <c r="Y50" i="2" s="1"/>
  <c r="AV50" i="2"/>
  <c r="AC50" i="3"/>
  <c r="AD50" i="3" s="1"/>
  <c r="Q50" i="2"/>
  <c r="V50" i="2"/>
  <c r="X50" i="2"/>
  <c r="U50" i="2"/>
  <c r="BQ49" i="2" l="1"/>
  <c r="BO49" i="2"/>
  <c r="BF50" i="2"/>
  <c r="BK50" i="2"/>
  <c r="S50" i="2"/>
  <c r="AF50" i="3"/>
  <c r="AE50" i="3"/>
  <c r="R50" i="2"/>
  <c r="BP50" i="2" l="1"/>
  <c r="BA50" i="2"/>
  <c r="B51" i="3"/>
  <c r="Z50" i="2"/>
  <c r="AA50" i="2" s="1"/>
  <c r="AH50" i="3"/>
  <c r="AI50" i="3" s="1"/>
  <c r="AK50" i="3" l="1"/>
  <c r="AM50" i="3"/>
  <c r="AN50" i="3" s="1"/>
  <c r="AO50" i="3" s="1"/>
  <c r="H51" i="3" s="1"/>
  <c r="AJ50" i="3"/>
  <c r="AC50" i="2"/>
  <c r="AD50" i="2" s="1"/>
  <c r="D51" i="3"/>
  <c r="C51" i="3"/>
  <c r="AB51" i="3" l="1"/>
  <c r="AF50" i="2"/>
  <c r="AE50" i="2"/>
  <c r="E51" i="3"/>
  <c r="J51" i="3"/>
  <c r="AP50" i="3"/>
  <c r="I51" i="3"/>
  <c r="AL51" i="3" l="1"/>
  <c r="G51" i="3"/>
  <c r="AH50" i="2"/>
  <c r="AI50" i="2" s="1"/>
  <c r="AR50" i="3"/>
  <c r="AS50" i="3" s="1"/>
  <c r="B51" i="2"/>
  <c r="F51" i="3"/>
  <c r="AG51" i="3" l="1"/>
  <c r="D51" i="2"/>
  <c r="AT50" i="3"/>
  <c r="AK50" i="2"/>
  <c r="AU50" i="3"/>
  <c r="AJ50" i="2"/>
  <c r="C51" i="2"/>
  <c r="AB51" i="2" l="1"/>
  <c r="E51" i="2"/>
  <c r="AW50" i="3"/>
  <c r="AX50" i="3" s="1"/>
  <c r="K51" i="3"/>
  <c r="AM50" i="2"/>
  <c r="AN50" i="2" s="1"/>
  <c r="AP50" i="2" l="1"/>
  <c r="AR50" i="2"/>
  <c r="AS50" i="2" s="1"/>
  <c r="AT50" i="2" s="1"/>
  <c r="K51" i="2" s="1"/>
  <c r="AY50" i="3"/>
  <c r="G51" i="2"/>
  <c r="AO50" i="2"/>
  <c r="AZ50" i="3"/>
  <c r="F51" i="2"/>
  <c r="L51" i="3"/>
  <c r="M51" i="3"/>
  <c r="AQ51" i="3" l="1"/>
  <c r="AG51" i="2"/>
  <c r="N51" i="3"/>
  <c r="AU50" i="2"/>
  <c r="BB50" i="3"/>
  <c r="BC50" i="3" s="1"/>
  <c r="H51" i="2"/>
  <c r="L51" i="2"/>
  <c r="M51" i="2"/>
  <c r="AQ51" i="2" l="1"/>
  <c r="BE50" i="3"/>
  <c r="AW50" i="2"/>
  <c r="AX50" i="2" s="1"/>
  <c r="BD50" i="3"/>
  <c r="O51" i="3"/>
  <c r="P51" i="3"/>
  <c r="I51" i="2"/>
  <c r="J51" i="2"/>
  <c r="AL51" i="2" l="1"/>
  <c r="AV51" i="3"/>
  <c r="AZ50" i="2"/>
  <c r="BG50" i="3"/>
  <c r="BH50" i="3" s="1"/>
  <c r="Q51" i="3"/>
  <c r="AY50" i="2"/>
  <c r="BI50" i="3" l="1"/>
  <c r="BB50" i="2"/>
  <c r="BC50" i="2" s="1"/>
  <c r="N51" i="2"/>
  <c r="S51" i="3"/>
  <c r="BJ50" i="3"/>
  <c r="BL50" i="3" s="1"/>
  <c r="BM50" i="3" s="1"/>
  <c r="BN50" i="3" s="1"/>
  <c r="W51" i="3" s="1"/>
  <c r="R51" i="3"/>
  <c r="BA51" i="3" l="1"/>
  <c r="BE50" i="2"/>
  <c r="BO50" i="3"/>
  <c r="Y51" i="3"/>
  <c r="BD50" i="2"/>
  <c r="T51" i="3"/>
  <c r="BQ50" i="3"/>
  <c r="O51" i="2"/>
  <c r="X51" i="3"/>
  <c r="P51" i="2"/>
  <c r="BK51" i="3" l="1"/>
  <c r="AV51" i="2"/>
  <c r="BG50" i="2"/>
  <c r="BH50" i="2" s="1"/>
  <c r="V51" i="3"/>
  <c r="Q51" i="2"/>
  <c r="U51" i="3"/>
  <c r="BP51" i="3" l="1"/>
  <c r="BF51" i="3"/>
  <c r="BJ50" i="2"/>
  <c r="BL50" i="2" s="1"/>
  <c r="BM50" i="2" s="1"/>
  <c r="BN50" i="2" s="1"/>
  <c r="W51" i="2" s="1"/>
  <c r="S51" i="2"/>
  <c r="BI50" i="2"/>
  <c r="Z51" i="3"/>
  <c r="AA51" i="3" s="1"/>
  <c r="R51" i="2"/>
  <c r="BO50" i="2" l="1"/>
  <c r="BA51" i="2"/>
  <c r="T51" i="2"/>
  <c r="BQ50" i="2"/>
  <c r="AC51" i="3"/>
  <c r="AD51" i="3" s="1"/>
  <c r="Y51" i="2"/>
  <c r="X51" i="2"/>
  <c r="AF51" i="3" l="1"/>
  <c r="BK51" i="2"/>
  <c r="V51" i="2"/>
  <c r="AH51" i="3"/>
  <c r="AI51" i="3" s="1"/>
  <c r="AJ51" i="3" s="1"/>
  <c r="E52" i="3" s="1"/>
  <c r="AE51" i="3"/>
  <c r="U51" i="2"/>
  <c r="BP51" i="2" l="1"/>
  <c r="BF51" i="2"/>
  <c r="B52" i="3"/>
  <c r="G52" i="3"/>
  <c r="AK51" i="3"/>
  <c r="Z51" i="2"/>
  <c r="AA51" i="2" s="1"/>
  <c r="F52" i="3"/>
  <c r="AG52" i="3" l="1"/>
  <c r="D52" i="3"/>
  <c r="AM51" i="3"/>
  <c r="AN51" i="3" s="1"/>
  <c r="AC51" i="2"/>
  <c r="AD51" i="2" s="1"/>
  <c r="C52" i="3"/>
  <c r="AP51" i="3" l="1"/>
  <c r="AB52" i="3"/>
  <c r="AF51" i="2"/>
  <c r="AR51" i="3"/>
  <c r="AS51" i="3" s="1"/>
  <c r="AT51" i="3" s="1"/>
  <c r="K52" i="3" s="1"/>
  <c r="AE51" i="2"/>
  <c r="AO51" i="3"/>
  <c r="B52" i="2" l="1"/>
  <c r="AU51" i="3"/>
  <c r="H52" i="3"/>
  <c r="AH51" i="2"/>
  <c r="AI51" i="2" s="1"/>
  <c r="L52" i="3"/>
  <c r="M52" i="3"/>
  <c r="AK51" i="2" l="1"/>
  <c r="AQ52" i="3"/>
  <c r="AJ51" i="2"/>
  <c r="J52" i="3"/>
  <c r="AW51" i="3"/>
  <c r="AX51" i="3" s="1"/>
  <c r="AM51" i="2"/>
  <c r="AN51" i="2" s="1"/>
  <c r="AO51" i="2" s="1"/>
  <c r="H52" i="2" s="1"/>
  <c r="D52" i="2"/>
  <c r="I52" i="3"/>
  <c r="C52" i="2"/>
  <c r="AP51" i="2" l="1"/>
  <c r="AB52" i="2"/>
  <c r="AL52" i="3"/>
  <c r="AY51" i="3"/>
  <c r="AZ51" i="3"/>
  <c r="E52" i="2"/>
  <c r="AR51" i="2"/>
  <c r="AS51" i="2" s="1"/>
  <c r="I52" i="2"/>
  <c r="J52" i="2"/>
  <c r="AL52" i="2" l="1"/>
  <c r="N52" i="3"/>
  <c r="AT51" i="2"/>
  <c r="G52" i="2"/>
  <c r="AU51" i="2"/>
  <c r="BB51" i="3"/>
  <c r="BC51" i="3" s="1"/>
  <c r="F52" i="2"/>
  <c r="AG52" i="2" l="1"/>
  <c r="AW51" i="2"/>
  <c r="AX51" i="2" s="1"/>
  <c r="K52" i="2"/>
  <c r="BD51" i="3"/>
  <c r="BE51" i="3"/>
  <c r="O52" i="3"/>
  <c r="P52" i="3"/>
  <c r="AV52" i="3" l="1"/>
  <c r="AZ51" i="2"/>
  <c r="AY51" i="2"/>
  <c r="Q52" i="3"/>
  <c r="BG51" i="3"/>
  <c r="BH51" i="3" s="1"/>
  <c r="L52" i="2"/>
  <c r="M52" i="2"/>
  <c r="AQ52" i="2" l="1"/>
  <c r="BB51" i="2"/>
  <c r="BC51" i="2" s="1"/>
  <c r="BJ51" i="3"/>
  <c r="BL51" i="3" s="1"/>
  <c r="BM51" i="3" s="1"/>
  <c r="BN51" i="3" s="1"/>
  <c r="W52" i="3" s="1"/>
  <c r="N52" i="2"/>
  <c r="BI51" i="3"/>
  <c r="BO51" i="3"/>
  <c r="S52" i="3"/>
  <c r="R52" i="3"/>
  <c r="BE51" i="2" l="1"/>
  <c r="BA52" i="3"/>
  <c r="T52" i="3"/>
  <c r="BQ51" i="3"/>
  <c r="BG51" i="2"/>
  <c r="BH51" i="2" s="1"/>
  <c r="BI51" i="2" s="1"/>
  <c r="T52" i="2" s="1"/>
  <c r="Y52" i="3"/>
  <c r="BD51" i="2"/>
  <c r="X52" i="3"/>
  <c r="O52" i="2"/>
  <c r="P52" i="2"/>
  <c r="AV52" i="2" l="1"/>
  <c r="BK52" i="3"/>
  <c r="V52" i="3"/>
  <c r="BJ51" i="2"/>
  <c r="BL51" i="2" s="1"/>
  <c r="BM51" i="2" s="1"/>
  <c r="BN51" i="2" s="1"/>
  <c r="W52" i="2" s="1"/>
  <c r="V52" i="2"/>
  <c r="Q52" i="2"/>
  <c r="U52" i="2"/>
  <c r="U52" i="3"/>
  <c r="BP52" i="3" l="1"/>
  <c r="BF52" i="3"/>
  <c r="BF52" i="2"/>
  <c r="Y52" i="2"/>
  <c r="BQ51" i="2"/>
  <c r="S52" i="2"/>
  <c r="Z52" i="3"/>
  <c r="AA52" i="3" s="1"/>
  <c r="BO51" i="2"/>
  <c r="R52" i="2"/>
  <c r="X52" i="2"/>
  <c r="BK52" i="2" l="1"/>
  <c r="BP52" i="2"/>
  <c r="BA52" i="2"/>
  <c r="AC52" i="3"/>
  <c r="AD52" i="3" s="1"/>
  <c r="Z52" i="2"/>
  <c r="AA52" i="2" s="1"/>
  <c r="AF52" i="3" l="1"/>
  <c r="AE52" i="3"/>
  <c r="AC52" i="2"/>
  <c r="AD52" i="2" s="1"/>
  <c r="AH52" i="3"/>
  <c r="AI52" i="3" s="1"/>
  <c r="AJ52" i="3" s="1"/>
  <c r="E53" i="3" s="1"/>
  <c r="G53" i="3" l="1"/>
  <c r="AE52" i="2"/>
  <c r="B53" i="3"/>
  <c r="AK52" i="3"/>
  <c r="AF52" i="2"/>
  <c r="F53" i="3"/>
  <c r="AG53" i="3" l="1"/>
  <c r="AM52" i="3"/>
  <c r="AN52" i="3" s="1"/>
  <c r="D53" i="3"/>
  <c r="AH52" i="2"/>
  <c r="AI52" i="2" s="1"/>
  <c r="B53" i="2"/>
  <c r="C53" i="3"/>
  <c r="AB53" i="3" l="1"/>
  <c r="D53" i="2"/>
  <c r="AJ52" i="2"/>
  <c r="AK52" i="2"/>
  <c r="AO52" i="3"/>
  <c r="AP52" i="3"/>
  <c r="C53" i="2"/>
  <c r="AB53" i="2" l="1"/>
  <c r="AM52" i="2"/>
  <c r="AN52" i="2" s="1"/>
  <c r="E53" i="2"/>
  <c r="AR52" i="3"/>
  <c r="AS52" i="3" s="1"/>
  <c r="H53" i="3"/>
  <c r="AU52" i="3" l="1"/>
  <c r="G53" i="2"/>
  <c r="J53" i="3"/>
  <c r="AT52" i="3"/>
  <c r="AO52" i="2"/>
  <c r="AP52" i="2"/>
  <c r="F53" i="2"/>
  <c r="I53" i="3"/>
  <c r="AL53" i="3" l="1"/>
  <c r="AG53" i="2"/>
  <c r="H53" i="2"/>
  <c r="K53" i="3"/>
  <c r="AR52" i="2"/>
  <c r="AS52" i="2" s="1"/>
  <c r="AW52" i="3"/>
  <c r="AX52" i="3" s="1"/>
  <c r="AT52" i="2" l="1"/>
  <c r="AY52" i="3"/>
  <c r="AU52" i="2"/>
  <c r="AZ52" i="3"/>
  <c r="L53" i="3"/>
  <c r="I53" i="2"/>
  <c r="M53" i="3"/>
  <c r="J53" i="2"/>
  <c r="AL53" i="2" l="1"/>
  <c r="AQ53" i="3"/>
  <c r="BB52" i="3"/>
  <c r="BC52" i="3" s="1"/>
  <c r="N53" i="3"/>
  <c r="AW52" i="2"/>
  <c r="AX52" i="2" s="1"/>
  <c r="K53" i="2"/>
  <c r="BE52" i="3" l="1"/>
  <c r="AY52" i="2"/>
  <c r="BD52" i="3"/>
  <c r="AZ52" i="2"/>
  <c r="BG52" i="3"/>
  <c r="BH52" i="3" s="1"/>
  <c r="BI52" i="3" s="1"/>
  <c r="T53" i="3" s="1"/>
  <c r="O53" i="3"/>
  <c r="L53" i="2"/>
  <c r="P53" i="3"/>
  <c r="M53" i="2"/>
  <c r="AQ53" i="2" l="1"/>
  <c r="AV53" i="3"/>
  <c r="V53" i="3"/>
  <c r="Q53" i="3"/>
  <c r="BJ52" i="3"/>
  <c r="BL52" i="3" s="1"/>
  <c r="BM52" i="3" s="1"/>
  <c r="BN52" i="3" s="1"/>
  <c r="W53" i="3" s="1"/>
  <c r="BB52" i="2"/>
  <c r="BC52" i="2" s="1"/>
  <c r="N53" i="2"/>
  <c r="U53" i="3"/>
  <c r="BO52" i="3" l="1"/>
  <c r="BF53" i="3"/>
  <c r="Y53" i="3"/>
  <c r="BD52" i="2"/>
  <c r="BE52" i="2"/>
  <c r="S53" i="3"/>
  <c r="BQ52" i="3"/>
  <c r="R53" i="3"/>
  <c r="X53" i="3"/>
  <c r="O53" i="2"/>
  <c r="P53" i="2"/>
  <c r="AV53" i="2" l="1"/>
  <c r="BK53" i="3"/>
  <c r="BP53" i="3"/>
  <c r="BA53" i="3"/>
  <c r="Q53" i="2"/>
  <c r="BG52" i="2"/>
  <c r="BH52" i="2" s="1"/>
  <c r="Z53" i="3"/>
  <c r="AA53" i="3" s="1"/>
  <c r="BJ52" i="2" l="1"/>
  <c r="BL52" i="2" s="1"/>
  <c r="BM52" i="2" s="1"/>
  <c r="BN52" i="2" s="1"/>
  <c r="W53" i="2" s="1"/>
  <c r="Y53" i="2" s="1"/>
  <c r="S53" i="2"/>
  <c r="BI52" i="2"/>
  <c r="BO52" i="2"/>
  <c r="AC53" i="3"/>
  <c r="AD53" i="3" s="1"/>
  <c r="X53" i="2"/>
  <c r="R53" i="2"/>
  <c r="BA53" i="2" l="1"/>
  <c r="BK53" i="2"/>
  <c r="AE53" i="3"/>
  <c r="AF53" i="3"/>
  <c r="T53" i="2"/>
  <c r="BQ52" i="2"/>
  <c r="AH53" i="3" l="1"/>
  <c r="AI53" i="3" s="1"/>
  <c r="V53" i="2"/>
  <c r="B54" i="3"/>
  <c r="U53" i="2"/>
  <c r="AK53" i="3" l="1"/>
  <c r="BP53" i="2"/>
  <c r="BF53" i="2"/>
  <c r="AM53" i="3"/>
  <c r="AN53" i="3" s="1"/>
  <c r="AO53" i="3" s="1"/>
  <c r="H54" i="3" s="1"/>
  <c r="D54" i="3"/>
  <c r="Z53" i="2"/>
  <c r="AA53" i="2" s="1"/>
  <c r="AJ53" i="3"/>
  <c r="C54" i="3"/>
  <c r="AB54" i="3" l="1"/>
  <c r="E54" i="3"/>
  <c r="AP53" i="3"/>
  <c r="J54" i="3"/>
  <c r="AC53" i="2"/>
  <c r="AD53" i="2" s="1"/>
  <c r="I54" i="3"/>
  <c r="AL54" i="3" l="1"/>
  <c r="AR53" i="3"/>
  <c r="AS53" i="3" s="1"/>
  <c r="G54" i="3"/>
  <c r="AE53" i="2"/>
  <c r="AF53" i="2"/>
  <c r="F54" i="3"/>
  <c r="AG54" i="3" l="1"/>
  <c r="AH53" i="2"/>
  <c r="AI53" i="2" s="1"/>
  <c r="B54" i="2"/>
  <c r="AT53" i="3"/>
  <c r="AU53" i="3"/>
  <c r="AW53" i="3" l="1"/>
  <c r="AX53" i="3" s="1"/>
  <c r="K54" i="3"/>
  <c r="AJ53" i="2"/>
  <c r="AK53" i="2"/>
  <c r="D54" i="2"/>
  <c r="C54" i="2"/>
  <c r="AB54" i="2" l="1"/>
  <c r="AM53" i="2"/>
  <c r="AN53" i="2" s="1"/>
  <c r="E54" i="2"/>
  <c r="AY53" i="3"/>
  <c r="AZ53" i="3"/>
  <c r="L54" i="3"/>
  <c r="M54" i="3"/>
  <c r="AP53" i="2" l="1"/>
  <c r="AQ54" i="3"/>
  <c r="G54" i="2"/>
  <c r="BB53" i="3"/>
  <c r="BC53" i="3" s="1"/>
  <c r="AR53" i="2"/>
  <c r="AS53" i="2" s="1"/>
  <c r="AT53" i="2" s="1"/>
  <c r="K54" i="2" s="1"/>
  <c r="AO53" i="2"/>
  <c r="N54" i="3"/>
  <c r="F54" i="2"/>
  <c r="AU53" i="2" l="1"/>
  <c r="AG54" i="2"/>
  <c r="AW53" i="2"/>
  <c r="AX53" i="2" s="1"/>
  <c r="BE53" i="3"/>
  <c r="H54" i="2"/>
  <c r="BD53" i="3"/>
  <c r="L54" i="2"/>
  <c r="O54" i="3"/>
  <c r="M54" i="2"/>
  <c r="P54" i="3"/>
  <c r="AV54" i="3" l="1"/>
  <c r="AQ54" i="2"/>
  <c r="AY53" i="2"/>
  <c r="BG53" i="3"/>
  <c r="BH53" i="3" s="1"/>
  <c r="AZ53" i="2"/>
  <c r="Q54" i="3"/>
  <c r="I54" i="2"/>
  <c r="J54" i="2"/>
  <c r="BJ53" i="3" l="1"/>
  <c r="BL53" i="3" s="1"/>
  <c r="BM53" i="3" s="1"/>
  <c r="BN53" i="3" s="1"/>
  <c r="W54" i="3" s="1"/>
  <c r="AL54" i="2"/>
  <c r="Y54" i="3"/>
  <c r="BI53" i="3"/>
  <c r="BO53" i="3"/>
  <c r="N54" i="2"/>
  <c r="S54" i="3"/>
  <c r="BB53" i="2"/>
  <c r="BC53" i="2" s="1"/>
  <c r="R54" i="3"/>
  <c r="X54" i="3"/>
  <c r="BK54" i="3" l="1"/>
  <c r="BA54" i="3"/>
  <c r="T54" i="3"/>
  <c r="BQ53" i="3"/>
  <c r="BE53" i="2"/>
  <c r="BD53" i="2"/>
  <c r="O54" i="2"/>
  <c r="P54" i="2"/>
  <c r="AV54" i="2" l="1"/>
  <c r="V54" i="3"/>
  <c r="Q54" i="2"/>
  <c r="BG53" i="2"/>
  <c r="BH53" i="2" s="1"/>
  <c r="U54" i="3"/>
  <c r="BJ53" i="2" l="1"/>
  <c r="BL53" i="2" s="1"/>
  <c r="BM53" i="2" s="1"/>
  <c r="BN53" i="2" s="1"/>
  <c r="W54" i="2" s="1"/>
  <c r="BP54" i="3"/>
  <c r="BF54" i="3"/>
  <c r="S54" i="2"/>
  <c r="Y54" i="2"/>
  <c r="Z54" i="3"/>
  <c r="AA54" i="3" s="1"/>
  <c r="BI53" i="2"/>
  <c r="BO53" i="2"/>
  <c r="R54" i="2"/>
  <c r="X54" i="2"/>
  <c r="BK54" i="2" l="1"/>
  <c r="BA54" i="2"/>
  <c r="T54" i="2"/>
  <c r="BQ53" i="2"/>
  <c r="AC54" i="3"/>
  <c r="AD54" i="3" s="1"/>
  <c r="AE54" i="3" l="1"/>
  <c r="V54" i="2"/>
  <c r="AF54" i="3"/>
  <c r="U54" i="2"/>
  <c r="BP54" i="2" l="1"/>
  <c r="BF54" i="2"/>
  <c r="AH54" i="3"/>
  <c r="AI54" i="3" s="1"/>
  <c r="Z54" i="2"/>
  <c r="AA54" i="2" s="1"/>
  <c r="B55" i="3"/>
  <c r="D55" i="3" l="1"/>
  <c r="AC54" i="2"/>
  <c r="AD54" i="2" s="1"/>
  <c r="AK54" i="3"/>
  <c r="AJ54" i="3"/>
  <c r="C55" i="3"/>
  <c r="AF54" i="2" l="1"/>
  <c r="AB55" i="3"/>
  <c r="AH54" i="2"/>
  <c r="AI54" i="2" s="1"/>
  <c r="AJ54" i="2" s="1"/>
  <c r="E55" i="2" s="1"/>
  <c r="AM54" i="3"/>
  <c r="AN54" i="3" s="1"/>
  <c r="AP54" i="3"/>
  <c r="E55" i="3"/>
  <c r="AE54" i="2"/>
  <c r="AR54" i="3" l="1"/>
  <c r="AS54" i="3" s="1"/>
  <c r="AT54" i="3" s="1"/>
  <c r="K55" i="3" s="1"/>
  <c r="G55" i="2"/>
  <c r="B55" i="2"/>
  <c r="G55" i="3"/>
  <c r="AO54" i="3"/>
  <c r="AK54" i="2"/>
  <c r="F55" i="2"/>
  <c r="F55" i="3"/>
  <c r="AG55" i="3" l="1"/>
  <c r="AG55" i="2"/>
  <c r="D55" i="2"/>
  <c r="AM54" i="2"/>
  <c r="AN54" i="2" s="1"/>
  <c r="M55" i="3"/>
  <c r="H55" i="3"/>
  <c r="AU54" i="3"/>
  <c r="L55" i="3"/>
  <c r="C55" i="2"/>
  <c r="AB55" i="2" l="1"/>
  <c r="AQ55" i="3"/>
  <c r="AP54" i="2"/>
  <c r="AO54" i="2"/>
  <c r="AW54" i="3"/>
  <c r="AX54" i="3" s="1"/>
  <c r="J55" i="3"/>
  <c r="I55" i="3"/>
  <c r="AL55" i="3" l="1"/>
  <c r="AY54" i="3"/>
  <c r="AR54" i="2"/>
  <c r="AS54" i="2" s="1"/>
  <c r="H55" i="2"/>
  <c r="AZ54" i="3"/>
  <c r="BB54" i="3" l="1"/>
  <c r="BC54" i="3" s="1"/>
  <c r="N55" i="3"/>
  <c r="AT54" i="2"/>
  <c r="AU54" i="2"/>
  <c r="I55" i="2"/>
  <c r="J55" i="2"/>
  <c r="AL55" i="2" l="1"/>
  <c r="AW54" i="2"/>
  <c r="AX54" i="2" s="1"/>
  <c r="K55" i="2"/>
  <c r="BD54" i="3"/>
  <c r="BE54" i="3"/>
  <c r="O55" i="3"/>
  <c r="P55" i="3"/>
  <c r="AV55" i="3" l="1"/>
  <c r="AY54" i="2"/>
  <c r="AZ54" i="2"/>
  <c r="BG54" i="3"/>
  <c r="BH54" i="3" s="1"/>
  <c r="Q55" i="3"/>
  <c r="L55" i="2"/>
  <c r="M55" i="2"/>
  <c r="AQ55" i="2" l="1"/>
  <c r="BB54" i="2"/>
  <c r="BC54" i="2" s="1"/>
  <c r="N55" i="2"/>
  <c r="S55" i="3"/>
  <c r="BI54" i="3"/>
  <c r="BJ54" i="3"/>
  <c r="BL54" i="3" s="1"/>
  <c r="BM54" i="3" s="1"/>
  <c r="BN54" i="3" s="1"/>
  <c r="W55" i="3" s="1"/>
  <c r="R55" i="3"/>
  <c r="BE54" i="2" l="1"/>
  <c r="BA55" i="3"/>
  <c r="Y55" i="3"/>
  <c r="BD54" i="2"/>
  <c r="T55" i="3"/>
  <c r="BQ54" i="3"/>
  <c r="BG54" i="2"/>
  <c r="BH54" i="2" s="1"/>
  <c r="BI54" i="2" s="1"/>
  <c r="T55" i="2" s="1"/>
  <c r="BO54" i="3"/>
  <c r="O55" i="2"/>
  <c r="X55" i="3"/>
  <c r="P55" i="2"/>
  <c r="BK55" i="3" l="1"/>
  <c r="AV55" i="2"/>
  <c r="V55" i="2"/>
  <c r="BJ54" i="2"/>
  <c r="BL54" i="2" s="1"/>
  <c r="BM54" i="2" s="1"/>
  <c r="BN54" i="2" s="1"/>
  <c r="W55" i="2" s="1"/>
  <c r="V55" i="3"/>
  <c r="Q55" i="2"/>
  <c r="U55" i="3"/>
  <c r="U55" i="2"/>
  <c r="BF55" i="2" l="1"/>
  <c r="BP55" i="3"/>
  <c r="BF55" i="3"/>
  <c r="S55" i="2"/>
  <c r="BQ54" i="2"/>
  <c r="Z55" i="3"/>
  <c r="AA55" i="3" s="1"/>
  <c r="Y55" i="2"/>
  <c r="BO54" i="2"/>
  <c r="X55" i="2"/>
  <c r="R55" i="2"/>
  <c r="BP55" i="2" l="1"/>
  <c r="BA55" i="2"/>
  <c r="BK55" i="2"/>
  <c r="AC55" i="3"/>
  <c r="AD55" i="3" s="1"/>
  <c r="Z55" i="2"/>
  <c r="AA55" i="2" s="1"/>
  <c r="AF55" i="3" l="1"/>
  <c r="AC55" i="2"/>
  <c r="AD55" i="2" s="1"/>
  <c r="AE55" i="3"/>
  <c r="AF55" i="2" l="1"/>
  <c r="B56" i="3"/>
  <c r="AE55" i="2"/>
  <c r="AH55" i="2"/>
  <c r="AI55" i="2" s="1"/>
  <c r="AJ55" i="2" s="1"/>
  <c r="E56" i="2" s="1"/>
  <c r="AH55" i="3"/>
  <c r="AI55" i="3" s="1"/>
  <c r="G56" i="2" l="1"/>
  <c r="AK55" i="3"/>
  <c r="AK55" i="2"/>
  <c r="AJ55" i="3"/>
  <c r="B56" i="2"/>
  <c r="D56" i="3"/>
  <c r="C56" i="3"/>
  <c r="F56" i="2"/>
  <c r="AG56" i="2" l="1"/>
  <c r="AB56" i="3"/>
  <c r="AM55" i="3"/>
  <c r="AN55" i="3" s="1"/>
  <c r="E56" i="3"/>
  <c r="AM55" i="2"/>
  <c r="AN55" i="2" s="1"/>
  <c r="D56" i="2"/>
  <c r="C56" i="2"/>
  <c r="AB56" i="2" l="1"/>
  <c r="G56" i="3"/>
  <c r="AO55" i="3"/>
  <c r="AP55" i="3"/>
  <c r="AO55" i="2"/>
  <c r="AP55" i="2"/>
  <c r="F56" i="3"/>
  <c r="AG56" i="3" l="1"/>
  <c r="AR55" i="3"/>
  <c r="AS55" i="3" s="1"/>
  <c r="H56" i="3"/>
  <c r="H56" i="2"/>
  <c r="AR55" i="2"/>
  <c r="AS55" i="2" s="1"/>
  <c r="AU55" i="2" l="1"/>
  <c r="J56" i="3"/>
  <c r="AW55" i="2"/>
  <c r="AX55" i="2" s="1"/>
  <c r="AY55" i="2" s="1"/>
  <c r="N56" i="2" s="1"/>
  <c r="AT55" i="3"/>
  <c r="AU55" i="3"/>
  <c r="AT55" i="2"/>
  <c r="I56" i="2"/>
  <c r="I56" i="3"/>
  <c r="J56" i="2"/>
  <c r="AL56" i="3" l="1"/>
  <c r="AL56" i="2"/>
  <c r="K56" i="3"/>
  <c r="K56" i="2"/>
  <c r="AZ55" i="2"/>
  <c r="AW55" i="3"/>
  <c r="AX55" i="3" s="1"/>
  <c r="O56" i="2"/>
  <c r="P56" i="2"/>
  <c r="AV56" i="2" l="1"/>
  <c r="AY55" i="3"/>
  <c r="AZ55" i="3"/>
  <c r="BB55" i="2"/>
  <c r="BC55" i="2" s="1"/>
  <c r="M56" i="3"/>
  <c r="L56" i="3"/>
  <c r="L56" i="2"/>
  <c r="M56" i="2"/>
  <c r="AQ56" i="2" l="1"/>
  <c r="AQ56" i="3"/>
  <c r="BB55" i="3"/>
  <c r="BC55" i="3" s="1"/>
  <c r="BE55" i="2"/>
  <c r="N56" i="3"/>
  <c r="BD55" i="2"/>
  <c r="BD55" i="3" l="1"/>
  <c r="BG55" i="2"/>
  <c r="BH55" i="2" s="1"/>
  <c r="BE55" i="3"/>
  <c r="Q56" i="2"/>
  <c r="O56" i="3"/>
  <c r="P56" i="3"/>
  <c r="AV56" i="3" l="1"/>
  <c r="BG55" i="3"/>
  <c r="BH55" i="3" s="1"/>
  <c r="BI55" i="2"/>
  <c r="S56" i="2"/>
  <c r="BJ55" i="2"/>
  <c r="BL55" i="2" s="1"/>
  <c r="BM55" i="2" s="1"/>
  <c r="BN55" i="2" s="1"/>
  <c r="W56" i="2" s="1"/>
  <c r="Q56" i="3"/>
  <c r="R56" i="2"/>
  <c r="BO55" i="2" l="1"/>
  <c r="BA56" i="2"/>
  <c r="BI55" i="3"/>
  <c r="T56" i="2"/>
  <c r="BQ55" i="2"/>
  <c r="BJ55" i="3"/>
  <c r="BL55" i="3" s="1"/>
  <c r="BM55" i="3" s="1"/>
  <c r="BN55" i="3" s="1"/>
  <c r="W56" i="3" s="1"/>
  <c r="S56" i="3"/>
  <c r="Y56" i="2"/>
  <c r="X56" i="2"/>
  <c r="R56" i="3"/>
  <c r="BA56" i="3" l="1"/>
  <c r="BK56" i="2"/>
  <c r="Y56" i="3"/>
  <c r="T56" i="3"/>
  <c r="BQ55" i="3"/>
  <c r="V56" i="2"/>
  <c r="BO55" i="3"/>
  <c r="U56" i="2"/>
  <c r="X56" i="3"/>
  <c r="BK56" i="3" l="1"/>
  <c r="BP56" i="2"/>
  <c r="BF56" i="2"/>
  <c r="Z56" i="2"/>
  <c r="AA56" i="2" s="1"/>
  <c r="V56" i="3"/>
  <c r="U56" i="3"/>
  <c r="BP56" i="3" l="1"/>
  <c r="BF56" i="3"/>
  <c r="Z56" i="3"/>
  <c r="AA56" i="3" s="1"/>
  <c r="AC56" i="2"/>
  <c r="AD56" i="2" s="1"/>
  <c r="AE56" i="2" l="1"/>
  <c r="AF56" i="2"/>
  <c r="AC56" i="3"/>
  <c r="AD56" i="3" s="1"/>
  <c r="AH56" i="2" l="1"/>
  <c r="AI56" i="2" s="1"/>
  <c r="AE56" i="3"/>
  <c r="AF56" i="3"/>
  <c r="B57" i="2"/>
  <c r="D57" i="2" l="1"/>
  <c r="AH56" i="3"/>
  <c r="AI56" i="3" s="1"/>
  <c r="B57" i="3"/>
  <c r="AJ56" i="2"/>
  <c r="AK56" i="2"/>
  <c r="C57" i="2"/>
  <c r="AK56" i="3" l="1"/>
  <c r="AB57" i="2"/>
  <c r="AM56" i="3"/>
  <c r="AN56" i="3" s="1"/>
  <c r="AO56" i="3" s="1"/>
  <c r="H57" i="3" s="1"/>
  <c r="AM56" i="2"/>
  <c r="AN56" i="2" s="1"/>
  <c r="D57" i="3"/>
  <c r="E57" i="2"/>
  <c r="AJ56" i="3"/>
  <c r="C57" i="3"/>
  <c r="AB57" i="3" l="1"/>
  <c r="J57" i="3"/>
  <c r="AO56" i="2"/>
  <c r="AP56" i="3"/>
  <c r="G57" i="2"/>
  <c r="AP56" i="2"/>
  <c r="E57" i="3"/>
  <c r="F57" i="2"/>
  <c r="I57" i="3"/>
  <c r="AL57" i="3" l="1"/>
  <c r="AG57" i="2"/>
  <c r="H57" i="2"/>
  <c r="G57" i="3"/>
  <c r="AR56" i="2"/>
  <c r="AS56" i="2" s="1"/>
  <c r="AR56" i="3"/>
  <c r="AS56" i="3" s="1"/>
  <c r="F57" i="3"/>
  <c r="AG57" i="3" l="1"/>
  <c r="AT56" i="3"/>
  <c r="AU56" i="3"/>
  <c r="AT56" i="2"/>
  <c r="J57" i="2"/>
  <c r="AU56" i="2"/>
  <c r="I57" i="2"/>
  <c r="AL57" i="2" l="1"/>
  <c r="K57" i="2"/>
  <c r="AW56" i="2"/>
  <c r="AX56" i="2" s="1"/>
  <c r="AW56" i="3"/>
  <c r="AX56" i="3" s="1"/>
  <c r="K57" i="3"/>
  <c r="M57" i="3" l="1"/>
  <c r="AY56" i="3"/>
  <c r="AZ56" i="2"/>
  <c r="AY56" i="2"/>
  <c r="AZ56" i="3"/>
  <c r="L57" i="3"/>
  <c r="L57" i="2"/>
  <c r="M57" i="2"/>
  <c r="AQ57" i="2" l="1"/>
  <c r="AQ57" i="3"/>
  <c r="N57" i="3"/>
  <c r="BB56" i="2"/>
  <c r="BC56" i="2" s="1"/>
  <c r="BB56" i="3"/>
  <c r="BC56" i="3" s="1"/>
  <c r="N57" i="2"/>
  <c r="BD56" i="3" l="1"/>
  <c r="BD56" i="2"/>
  <c r="BE56" i="3"/>
  <c r="BE56" i="2"/>
  <c r="O57" i="3"/>
  <c r="O57" i="2"/>
  <c r="P57" i="3"/>
  <c r="P57" i="2"/>
  <c r="AV57" i="2" l="1"/>
  <c r="AV57" i="3"/>
  <c r="Q57" i="2"/>
  <c r="Q57" i="3"/>
  <c r="BG56" i="2"/>
  <c r="BH56" i="2" s="1"/>
  <c r="BG56" i="3"/>
  <c r="BH56" i="3" s="1"/>
  <c r="BJ56" i="3" l="1"/>
  <c r="BL56" i="3" s="1"/>
  <c r="BM56" i="3" s="1"/>
  <c r="BN56" i="3" s="1"/>
  <c r="W57" i="3" s="1"/>
  <c r="S57" i="2"/>
  <c r="Y57" i="3"/>
  <c r="BI56" i="2"/>
  <c r="BJ56" i="2"/>
  <c r="BL56" i="2" s="1"/>
  <c r="BM56" i="2" s="1"/>
  <c r="BN56" i="2" s="1"/>
  <c r="W57" i="2" s="1"/>
  <c r="BI56" i="3"/>
  <c r="BO56" i="3"/>
  <c r="S57" i="3"/>
  <c r="R57" i="2"/>
  <c r="R57" i="3"/>
  <c r="X57" i="3"/>
  <c r="BK57" i="3" l="1"/>
  <c r="BA57" i="3"/>
  <c r="BA57" i="2"/>
  <c r="T57" i="3"/>
  <c r="BQ56" i="3"/>
  <c r="BO56" i="2"/>
  <c r="Y57" i="2"/>
  <c r="T57" i="2"/>
  <c r="BQ56" i="2"/>
  <c r="X57" i="2"/>
  <c r="BK57" i="2" l="1"/>
  <c r="V57" i="3"/>
  <c r="V57" i="2"/>
  <c r="U57" i="3"/>
  <c r="U57" i="2"/>
  <c r="BP57" i="2" l="1"/>
  <c r="BF57" i="2"/>
  <c r="BP57" i="3"/>
  <c r="BF57" i="3"/>
  <c r="Z57" i="2"/>
  <c r="AA57" i="2" s="1"/>
  <c r="Z57" i="3"/>
  <c r="AA57" i="3" s="1"/>
  <c r="AC57" i="3" l="1"/>
  <c r="AD57" i="3" s="1"/>
  <c r="AC57" i="2"/>
  <c r="AD57" i="2" s="1"/>
  <c r="AF57" i="2" l="1"/>
  <c r="AH57" i="2" s="1"/>
  <c r="AI57" i="2" s="1"/>
  <c r="AJ57" i="2" s="1"/>
  <c r="E58" i="2" s="1"/>
  <c r="AE57" i="2"/>
  <c r="AE57" i="3"/>
  <c r="AF57" i="3"/>
  <c r="AH57" i="3" l="1"/>
  <c r="AI57" i="3" s="1"/>
  <c r="G58" i="2"/>
  <c r="B58" i="3"/>
  <c r="AK57" i="2"/>
  <c r="B58" i="2"/>
  <c r="F58" i="2"/>
  <c r="AG58" i="2" l="1"/>
  <c r="D58" i="2"/>
  <c r="AM57" i="2"/>
  <c r="AN57" i="2" s="1"/>
  <c r="D58" i="3"/>
  <c r="AJ57" i="3"/>
  <c r="AK57" i="3"/>
  <c r="C58" i="2"/>
  <c r="C58" i="3"/>
  <c r="AB58" i="3" l="1"/>
  <c r="AB58" i="2"/>
  <c r="AP57" i="2"/>
  <c r="AO57" i="2"/>
  <c r="AM57" i="3"/>
  <c r="AN57" i="3" s="1"/>
  <c r="E58" i="3"/>
  <c r="H58" i="2" l="1"/>
  <c r="AR57" i="2"/>
  <c r="AS57" i="2" s="1"/>
  <c r="AP57" i="3"/>
  <c r="G58" i="3"/>
  <c r="AO57" i="3"/>
  <c r="F58" i="3"/>
  <c r="AG58" i="3" l="1"/>
  <c r="H58" i="3"/>
  <c r="AR57" i="3"/>
  <c r="AS57" i="3" s="1"/>
  <c r="AT57" i="2"/>
  <c r="AU57" i="2"/>
  <c r="J58" i="2"/>
  <c r="I58" i="2"/>
  <c r="AL58" i="2" l="1"/>
  <c r="AW57" i="2"/>
  <c r="AX57" i="2" s="1"/>
  <c r="K58" i="2"/>
  <c r="AU57" i="3"/>
  <c r="AT57" i="3"/>
  <c r="J58" i="3"/>
  <c r="I58" i="3"/>
  <c r="AL58" i="3" l="1"/>
  <c r="AW57" i="3"/>
  <c r="AX57" i="3" s="1"/>
  <c r="K58" i="3"/>
  <c r="AY57" i="2"/>
  <c r="AZ57" i="2"/>
  <c r="L58" i="2"/>
  <c r="M58" i="2"/>
  <c r="AQ58" i="2" l="1"/>
  <c r="BB57" i="2"/>
  <c r="BC57" i="2" s="1"/>
  <c r="N58" i="2"/>
  <c r="AY57" i="3"/>
  <c r="M58" i="3"/>
  <c r="AZ57" i="3"/>
  <c r="L58" i="3"/>
  <c r="BE57" i="2" l="1"/>
  <c r="AQ58" i="3"/>
  <c r="N58" i="3"/>
  <c r="BD57" i="2"/>
  <c r="BG57" i="2"/>
  <c r="BH57" i="2" s="1"/>
  <c r="BI57" i="2" s="1"/>
  <c r="T58" i="2" s="1"/>
  <c r="BB57" i="3"/>
  <c r="BC57" i="3" s="1"/>
  <c r="O58" i="2"/>
  <c r="P58" i="2"/>
  <c r="BJ57" i="2" l="1"/>
  <c r="BL57" i="2" s="1"/>
  <c r="BM57" i="2" s="1"/>
  <c r="BN57" i="2" s="1"/>
  <c r="W58" i="2" s="1"/>
  <c r="Y58" i="2" s="1"/>
  <c r="AV58" i="2"/>
  <c r="BD57" i="3"/>
  <c r="Q58" i="2"/>
  <c r="BQ57" i="2"/>
  <c r="BE57" i="3"/>
  <c r="V58" i="2"/>
  <c r="U58" i="2"/>
  <c r="O58" i="3"/>
  <c r="X58" i="2"/>
  <c r="P58" i="3"/>
  <c r="BO57" i="2" l="1"/>
  <c r="BK58" i="2"/>
  <c r="AV58" i="3"/>
  <c r="BF58" i="2"/>
  <c r="BG57" i="3"/>
  <c r="BH57" i="3" s="1"/>
  <c r="Q58" i="3"/>
  <c r="S58" i="2"/>
  <c r="R58" i="2"/>
  <c r="BP58" i="2" l="1"/>
  <c r="BA58" i="2"/>
  <c r="BI57" i="3"/>
  <c r="Z58" i="2"/>
  <c r="AA58" i="2" s="1"/>
  <c r="BJ57" i="3"/>
  <c r="BL57" i="3" s="1"/>
  <c r="BM57" i="3" s="1"/>
  <c r="BN57" i="3" s="1"/>
  <c r="W58" i="3" s="1"/>
  <c r="S58" i="3"/>
  <c r="R58" i="3"/>
  <c r="BA58" i="3" l="1"/>
  <c r="Y58" i="3"/>
  <c r="AC58" i="2"/>
  <c r="AD58" i="2" s="1"/>
  <c r="T58" i="3"/>
  <c r="BQ57" i="3"/>
  <c r="BO57" i="3"/>
  <c r="X58" i="3"/>
  <c r="AF58" i="2" l="1"/>
  <c r="BK58" i="3"/>
  <c r="AE58" i="2"/>
  <c r="V58" i="3"/>
  <c r="AH58" i="2"/>
  <c r="AI58" i="2" s="1"/>
  <c r="AJ58" i="2" s="1"/>
  <c r="E59" i="2" s="1"/>
  <c r="U58" i="3"/>
  <c r="BP58" i="3" l="1"/>
  <c r="BF58" i="3"/>
  <c r="AK58" i="2"/>
  <c r="G59" i="2"/>
  <c r="Z58" i="3"/>
  <c r="AA58" i="3" s="1"/>
  <c r="B59" i="2"/>
  <c r="F59" i="2"/>
  <c r="AG59" i="2" l="1"/>
  <c r="AC58" i="3"/>
  <c r="AD58" i="3" s="1"/>
  <c r="D59" i="2"/>
  <c r="AM58" i="2"/>
  <c r="AN58" i="2" s="1"/>
  <c r="C59" i="2"/>
  <c r="AB59" i="2" l="1"/>
  <c r="AE58" i="3"/>
  <c r="AO58" i="2"/>
  <c r="AP58" i="2"/>
  <c r="AF58" i="3"/>
  <c r="AH58" i="3" l="1"/>
  <c r="AI58" i="3" s="1"/>
  <c r="AR58" i="2"/>
  <c r="AS58" i="2" s="1"/>
  <c r="H59" i="2"/>
  <c r="B59" i="3"/>
  <c r="D59" i="3" l="1"/>
  <c r="AT58" i="2"/>
  <c r="AU58" i="2"/>
  <c r="J59" i="2"/>
  <c r="AJ58" i="3"/>
  <c r="AK58" i="3"/>
  <c r="C59" i="3"/>
  <c r="I59" i="2"/>
  <c r="AL59" i="2" l="1"/>
  <c r="AB59" i="3"/>
  <c r="K59" i="2"/>
  <c r="E59" i="3"/>
  <c r="AW58" i="2"/>
  <c r="AX58" i="2" s="1"/>
  <c r="AM58" i="3"/>
  <c r="AN58" i="3" s="1"/>
  <c r="G59" i="3" l="1"/>
  <c r="AO58" i="3"/>
  <c r="AP58" i="3"/>
  <c r="AY58" i="2"/>
  <c r="AZ58" i="2"/>
  <c r="L59" i="2"/>
  <c r="M59" i="2"/>
  <c r="F59" i="3"/>
  <c r="AG59" i="3" l="1"/>
  <c r="AQ59" i="2"/>
  <c r="N59" i="2"/>
  <c r="AR58" i="3"/>
  <c r="AS58" i="3" s="1"/>
  <c r="BB58" i="2"/>
  <c r="BC58" i="2" s="1"/>
  <c r="H59" i="3"/>
  <c r="BE58" i="2" l="1"/>
  <c r="J59" i="3"/>
  <c r="BG58" i="2"/>
  <c r="BH58" i="2" s="1"/>
  <c r="BI58" i="2" s="1"/>
  <c r="T59" i="2" s="1"/>
  <c r="BD58" i="2"/>
  <c r="AT58" i="3"/>
  <c r="AU58" i="3"/>
  <c r="O59" i="2"/>
  <c r="I59" i="3"/>
  <c r="P59" i="2"/>
  <c r="AL59" i="3" l="1"/>
  <c r="AV59" i="2"/>
  <c r="V59" i="2"/>
  <c r="AW58" i="3"/>
  <c r="AX58" i="3" s="1"/>
  <c r="Q59" i="2"/>
  <c r="BJ58" i="2"/>
  <c r="BL58" i="2" s="1"/>
  <c r="BM58" i="2" s="1"/>
  <c r="K59" i="3"/>
  <c r="U59" i="2"/>
  <c r="BF59" i="2" l="1"/>
  <c r="BN58" i="2"/>
  <c r="BO58" i="2"/>
  <c r="S59" i="2"/>
  <c r="M59" i="3"/>
  <c r="AY58" i="3"/>
  <c r="AZ58" i="3"/>
  <c r="L59" i="3"/>
  <c r="R59" i="2"/>
  <c r="BA59" i="2" l="1"/>
  <c r="AQ59" i="3"/>
  <c r="BB58" i="3"/>
  <c r="BC58" i="3" s="1"/>
  <c r="N59" i="3"/>
  <c r="W59" i="2"/>
  <c r="BQ58" i="2"/>
  <c r="BD58" i="3" l="1"/>
  <c r="Y59" i="2"/>
  <c r="BE58" i="3"/>
  <c r="X59" i="2"/>
  <c r="O59" i="3"/>
  <c r="P59" i="3"/>
  <c r="AV59" i="3" l="1"/>
  <c r="BP59" i="2"/>
  <c r="BK59" i="2"/>
  <c r="BG58" i="3"/>
  <c r="BH58" i="3" s="1"/>
  <c r="Z59" i="2"/>
  <c r="AA59" i="2" s="1"/>
  <c r="Q59" i="3"/>
  <c r="AC59" i="2" l="1"/>
  <c r="AD59" i="2" s="1"/>
  <c r="BJ58" i="3"/>
  <c r="BL58" i="3" s="1"/>
  <c r="BM58" i="3" s="1"/>
  <c r="BN58" i="3" s="1"/>
  <c r="W59" i="3" s="1"/>
  <c r="BI58" i="3"/>
  <c r="S59" i="3"/>
  <c r="R59" i="3"/>
  <c r="BO58" i="3" l="1"/>
  <c r="BA59" i="3"/>
  <c r="Y59" i="3"/>
  <c r="T59" i="3"/>
  <c r="BQ58" i="3"/>
  <c r="AE59" i="2"/>
  <c r="AF59" i="2"/>
  <c r="X59" i="3"/>
  <c r="BK59" i="3" l="1"/>
  <c r="V59" i="3"/>
  <c r="AH59" i="2"/>
  <c r="AI59" i="2" s="1"/>
  <c r="B60" i="2"/>
  <c r="U59" i="3"/>
  <c r="BP59" i="3" l="1"/>
  <c r="BF59" i="3"/>
  <c r="D60" i="2"/>
  <c r="AK59" i="2"/>
  <c r="AJ59" i="2"/>
  <c r="Z59" i="3"/>
  <c r="AA59" i="3" s="1"/>
  <c r="C60" i="2"/>
  <c r="AB60" i="2" l="1"/>
  <c r="AC59" i="3"/>
  <c r="AD59" i="3" s="1"/>
  <c r="AM59" i="2"/>
  <c r="AN59" i="2" s="1"/>
  <c r="E60" i="2"/>
  <c r="G60" i="2" l="1"/>
  <c r="AO59" i="2"/>
  <c r="AP59" i="2"/>
  <c r="AE59" i="3"/>
  <c r="AF59" i="3"/>
  <c r="F60" i="2"/>
  <c r="AG60" i="2" l="1"/>
  <c r="B60" i="3"/>
  <c r="H60" i="2"/>
  <c r="AH59" i="3"/>
  <c r="AI59" i="3" s="1"/>
  <c r="AR59" i="2"/>
  <c r="AS59" i="2" s="1"/>
  <c r="AU59" i="2" l="1"/>
  <c r="AW59" i="2"/>
  <c r="AX59" i="2" s="1"/>
  <c r="AY59" i="2" s="1"/>
  <c r="N60" i="2" s="1"/>
  <c r="AK59" i="3"/>
  <c r="D60" i="3"/>
  <c r="AJ59" i="3"/>
  <c r="J60" i="2"/>
  <c r="AT59" i="2"/>
  <c r="I60" i="2"/>
  <c r="C60" i="3"/>
  <c r="AB60" i="3" l="1"/>
  <c r="AL60" i="2"/>
  <c r="AM59" i="3"/>
  <c r="AN59" i="3" s="1"/>
  <c r="E60" i="3"/>
  <c r="K60" i="2"/>
  <c r="AZ59" i="2"/>
  <c r="O60" i="2"/>
  <c r="P60" i="2"/>
  <c r="AV60" i="2" l="1"/>
  <c r="AO59" i="3"/>
  <c r="G60" i="3"/>
  <c r="AP59" i="3"/>
  <c r="BB59" i="2"/>
  <c r="BC59" i="2" s="1"/>
  <c r="L60" i="2"/>
  <c r="M60" i="2"/>
  <c r="F60" i="3"/>
  <c r="AG60" i="3" l="1"/>
  <c r="AQ60" i="2"/>
  <c r="BD59" i="2"/>
  <c r="H60" i="3"/>
  <c r="AR59" i="3"/>
  <c r="AS59" i="3" s="1"/>
  <c r="BE59" i="2"/>
  <c r="AU59" i="3" l="1"/>
  <c r="AW59" i="3"/>
  <c r="AX59" i="3" s="1"/>
  <c r="AY59" i="3" s="1"/>
  <c r="N60" i="3" s="1"/>
  <c r="Q60" i="2"/>
  <c r="AT59" i="3"/>
  <c r="BG59" i="2"/>
  <c r="BH59" i="2" s="1"/>
  <c r="J60" i="3"/>
  <c r="I60" i="3"/>
  <c r="AL60" i="3" l="1"/>
  <c r="K60" i="3"/>
  <c r="BI59" i="2"/>
  <c r="S60" i="2"/>
  <c r="BJ59" i="2"/>
  <c r="BL59" i="2" s="1"/>
  <c r="BM59" i="2" s="1"/>
  <c r="BN59" i="2" s="1"/>
  <c r="W60" i="2" s="1"/>
  <c r="AZ59" i="3"/>
  <c r="R60" i="2"/>
  <c r="O60" i="3"/>
  <c r="P60" i="3"/>
  <c r="BO59" i="2" l="1"/>
  <c r="AV60" i="3"/>
  <c r="BA60" i="2"/>
  <c r="M60" i="3"/>
  <c r="T60" i="2"/>
  <c r="BQ59" i="2"/>
  <c r="Y60" i="2"/>
  <c r="BB59" i="3"/>
  <c r="BC59" i="3" s="1"/>
  <c r="X60" i="2"/>
  <c r="L60" i="3"/>
  <c r="AQ60" i="3" l="1"/>
  <c r="BK60" i="2"/>
  <c r="BD59" i="3"/>
  <c r="BE59" i="3"/>
  <c r="V60" i="2"/>
  <c r="U60" i="2"/>
  <c r="BP60" i="2" l="1"/>
  <c r="BF60" i="2"/>
  <c r="BG59" i="3"/>
  <c r="BH59" i="3" s="1"/>
  <c r="Z60" i="2"/>
  <c r="AA60" i="2" s="1"/>
  <c r="Q60" i="3"/>
  <c r="AC60" i="2" l="1"/>
  <c r="AD60" i="2" s="1"/>
  <c r="BJ59" i="3"/>
  <c r="BL59" i="3" s="1"/>
  <c r="BM59" i="3" s="1"/>
  <c r="BN59" i="3" s="1"/>
  <c r="W60" i="3" s="1"/>
  <c r="S60" i="3"/>
  <c r="BI59" i="3"/>
  <c r="R60" i="3"/>
  <c r="BO59" i="3" l="1"/>
  <c r="AF60" i="2"/>
  <c r="BA60" i="3"/>
  <c r="T60" i="3"/>
  <c r="BQ59" i="3"/>
  <c r="AH60" i="2"/>
  <c r="AI60" i="2" s="1"/>
  <c r="AJ60" i="2" s="1"/>
  <c r="E61" i="2" s="1"/>
  <c r="Y60" i="3"/>
  <c r="AE60" i="2"/>
  <c r="X60" i="3"/>
  <c r="BK60" i="3" l="1"/>
  <c r="B61" i="2"/>
  <c r="G61" i="2"/>
  <c r="AK60" i="2"/>
  <c r="V60" i="3"/>
  <c r="U60" i="3"/>
  <c r="F61" i="2"/>
  <c r="AG61" i="2" l="1"/>
  <c r="BP60" i="3"/>
  <c r="BF60" i="3"/>
  <c r="Z60" i="3"/>
  <c r="AA60" i="3" s="1"/>
  <c r="AM60" i="2"/>
  <c r="AN60" i="2" s="1"/>
  <c r="D61" i="2"/>
  <c r="C61" i="2"/>
  <c r="AB61" i="2" l="1"/>
  <c r="AO60" i="2"/>
  <c r="AP60" i="2"/>
  <c r="AC60" i="3"/>
  <c r="AD60" i="3" s="1"/>
  <c r="AE60" i="3" l="1"/>
  <c r="H61" i="2"/>
  <c r="AF60" i="3"/>
  <c r="AR60" i="2"/>
  <c r="AS60" i="2" s="1"/>
  <c r="AT60" i="2" l="1"/>
  <c r="AU60" i="2"/>
  <c r="AH60" i="3"/>
  <c r="AI60" i="3" s="1"/>
  <c r="J61" i="2"/>
  <c r="B61" i="3"/>
  <c r="I61" i="2"/>
  <c r="AL61" i="2" l="1"/>
  <c r="D61" i="3"/>
  <c r="AJ60" i="3"/>
  <c r="AK60" i="3"/>
  <c r="AW60" i="2"/>
  <c r="AX60" i="2" s="1"/>
  <c r="K61" i="2"/>
  <c r="C61" i="3"/>
  <c r="AB61" i="3" l="1"/>
  <c r="AM60" i="3"/>
  <c r="AN60" i="3" s="1"/>
  <c r="E61" i="3"/>
  <c r="AY60" i="2"/>
  <c r="M61" i="2"/>
  <c r="AZ60" i="2"/>
  <c r="L61" i="2"/>
  <c r="AQ61" i="2" l="1"/>
  <c r="AO60" i="3"/>
  <c r="N61" i="2"/>
  <c r="G61" i="3"/>
  <c r="BB60" i="2"/>
  <c r="BC60" i="2" s="1"/>
  <c r="AP60" i="3"/>
  <c r="F61" i="3"/>
  <c r="BE60" i="2" l="1"/>
  <c r="AG61" i="3"/>
  <c r="H61" i="3"/>
  <c r="AR60" i="3"/>
  <c r="AS60" i="3" s="1"/>
  <c r="BG60" i="2"/>
  <c r="BH60" i="2" s="1"/>
  <c r="BI60" i="2" s="1"/>
  <c r="T61" i="2" s="1"/>
  <c r="BD60" i="2"/>
  <c r="O61" i="2"/>
  <c r="P61" i="2"/>
  <c r="BJ60" i="2" l="1"/>
  <c r="BL60" i="2" s="1"/>
  <c r="BM60" i="2" s="1"/>
  <c r="BN60" i="2" s="1"/>
  <c r="W61" i="2" s="1"/>
  <c r="AU60" i="3"/>
  <c r="AV61" i="2"/>
  <c r="AW60" i="3"/>
  <c r="AX60" i="3" s="1"/>
  <c r="AY60" i="3" s="1"/>
  <c r="N61" i="3" s="1"/>
  <c r="Y61" i="2"/>
  <c r="AT60" i="3"/>
  <c r="J61" i="3"/>
  <c r="Q61" i="2"/>
  <c r="BQ60" i="2"/>
  <c r="BO60" i="2"/>
  <c r="V61" i="2"/>
  <c r="I61" i="3"/>
  <c r="U61" i="2"/>
  <c r="X61" i="2"/>
  <c r="BK61" i="2" l="1"/>
  <c r="BF61" i="2"/>
  <c r="AL61" i="3"/>
  <c r="K61" i="3"/>
  <c r="S61" i="2"/>
  <c r="AZ60" i="3"/>
  <c r="O61" i="3"/>
  <c r="R61" i="2"/>
  <c r="P61" i="3"/>
  <c r="BP61" i="2" l="1"/>
  <c r="BA61" i="2"/>
  <c r="AV61" i="3"/>
  <c r="M61" i="3"/>
  <c r="BB60" i="3"/>
  <c r="BC60" i="3" s="1"/>
  <c r="Z61" i="2"/>
  <c r="AA61" i="2" s="1"/>
  <c r="L61" i="3"/>
  <c r="AQ61" i="3" l="1"/>
  <c r="BE60" i="3"/>
  <c r="AC61" i="2"/>
  <c r="AD61" i="2" s="1"/>
  <c r="BD60" i="3"/>
  <c r="Q61" i="3" l="1"/>
  <c r="AF61" i="2"/>
  <c r="AE61" i="2"/>
  <c r="BG60" i="3"/>
  <c r="BH60" i="3" s="1"/>
  <c r="BI60" i="3" l="1"/>
  <c r="AH61" i="2"/>
  <c r="AI61" i="2" s="1"/>
  <c r="BJ60" i="3"/>
  <c r="BL60" i="3" s="1"/>
  <c r="BM60" i="3" s="1"/>
  <c r="BN60" i="3" s="1"/>
  <c r="W61" i="3" s="1"/>
  <c r="B62" i="2"/>
  <c r="S61" i="3"/>
  <c r="R61" i="3"/>
  <c r="BA61" i="3" l="1"/>
  <c r="D62" i="2"/>
  <c r="AJ61" i="2"/>
  <c r="Y61" i="3"/>
  <c r="AK61" i="2"/>
  <c r="BO60" i="3"/>
  <c r="T61" i="3"/>
  <c r="BQ60" i="3"/>
  <c r="X61" i="3"/>
  <c r="C62" i="2"/>
  <c r="AB62" i="2" l="1"/>
  <c r="BK61" i="3"/>
  <c r="E62" i="2"/>
  <c r="V61" i="3"/>
  <c r="AM61" i="2"/>
  <c r="AN61" i="2" s="1"/>
  <c r="U61" i="3"/>
  <c r="AP61" i="2" l="1"/>
  <c r="BP61" i="3"/>
  <c r="BF61" i="3"/>
  <c r="Z61" i="3"/>
  <c r="AA61" i="3" s="1"/>
  <c r="AR61" i="2"/>
  <c r="AS61" i="2" s="1"/>
  <c r="AT61" i="2" s="1"/>
  <c r="K62" i="2" s="1"/>
  <c r="G62" i="2"/>
  <c r="AO61" i="2"/>
  <c r="F62" i="2"/>
  <c r="AU61" i="2" l="1"/>
  <c r="AG62" i="2"/>
  <c r="H62" i="2"/>
  <c r="AW61" i="2"/>
  <c r="AX61" i="2" s="1"/>
  <c r="AY61" i="2" s="1"/>
  <c r="N62" i="2" s="1"/>
  <c r="M62" i="2"/>
  <c r="AC61" i="3"/>
  <c r="AD61" i="3" s="1"/>
  <c r="L62" i="2"/>
  <c r="AQ62" i="2" l="1"/>
  <c r="AZ61" i="2"/>
  <c r="AE61" i="3"/>
  <c r="J62" i="2"/>
  <c r="AF61" i="3"/>
  <c r="I62" i="2"/>
  <c r="O62" i="2"/>
  <c r="P62" i="2"/>
  <c r="AV62" i="2" l="1"/>
  <c r="AL62" i="2"/>
  <c r="AH61" i="3"/>
  <c r="AI61" i="3" s="1"/>
  <c r="BB61" i="2"/>
  <c r="BC61" i="2" s="1"/>
  <c r="B62" i="3"/>
  <c r="AJ61" i="3" l="1"/>
  <c r="BD61" i="2"/>
  <c r="AK61" i="3"/>
  <c r="D62" i="3"/>
  <c r="BE61" i="2"/>
  <c r="C62" i="3"/>
  <c r="AB62" i="3" l="1"/>
  <c r="BG61" i="2"/>
  <c r="BH61" i="2" s="1"/>
  <c r="AM61" i="3"/>
  <c r="AN61" i="3" s="1"/>
  <c r="Q62" i="2"/>
  <c r="E62" i="3"/>
  <c r="S62" i="2" l="1"/>
  <c r="AP61" i="3"/>
  <c r="AO61" i="3"/>
  <c r="BJ61" i="2"/>
  <c r="BL61" i="2" s="1"/>
  <c r="BM61" i="2" s="1"/>
  <c r="BN61" i="2" s="1"/>
  <c r="W62" i="2" s="1"/>
  <c r="G62" i="3"/>
  <c r="BI61" i="2"/>
  <c r="R62" i="2"/>
  <c r="F62" i="3"/>
  <c r="AG62" i="3" l="1"/>
  <c r="BA62" i="2"/>
  <c r="AR61" i="3"/>
  <c r="AS61" i="3" s="1"/>
  <c r="Y62" i="2"/>
  <c r="H62" i="3"/>
  <c r="BO61" i="2"/>
  <c r="T62" i="2"/>
  <c r="BQ61" i="2"/>
  <c r="X62" i="2"/>
  <c r="BK62" i="2" l="1"/>
  <c r="V62" i="2"/>
  <c r="AT61" i="3"/>
  <c r="AU61" i="3"/>
  <c r="J62" i="3"/>
  <c r="I62" i="3"/>
  <c r="U62" i="2"/>
  <c r="BP62" i="2" l="1"/>
  <c r="BF62" i="2"/>
  <c r="AL62" i="3"/>
  <c r="AW61" i="3"/>
  <c r="AX61" i="3" s="1"/>
  <c r="K62" i="3"/>
  <c r="Z62" i="2"/>
  <c r="AA62" i="2" s="1"/>
  <c r="AC62" i="2" l="1"/>
  <c r="AD62" i="2" s="1"/>
  <c r="M62" i="3"/>
  <c r="AZ61" i="3"/>
  <c r="AY61" i="3"/>
  <c r="L62" i="3"/>
  <c r="AF62" i="2" l="1"/>
  <c r="AQ62" i="3"/>
  <c r="BB61" i="3"/>
  <c r="BC61" i="3" s="1"/>
  <c r="AH62" i="2"/>
  <c r="AI62" i="2" s="1"/>
  <c r="AJ62" i="2" s="1"/>
  <c r="E63" i="2" s="1"/>
  <c r="N62" i="3"/>
  <c r="AE62" i="2"/>
  <c r="AK62" i="2" l="1"/>
  <c r="G63" i="2"/>
  <c r="BD61" i="3"/>
  <c r="BE61" i="3"/>
  <c r="B63" i="2"/>
  <c r="F63" i="2"/>
  <c r="O62" i="3"/>
  <c r="P62" i="3"/>
  <c r="AV62" i="3" l="1"/>
  <c r="AG63" i="2"/>
  <c r="Q62" i="3"/>
  <c r="BG61" i="3"/>
  <c r="BH61" i="3" s="1"/>
  <c r="D63" i="2"/>
  <c r="AM62" i="2"/>
  <c r="AN62" i="2" s="1"/>
  <c r="C63" i="2"/>
  <c r="AB63" i="2" l="1"/>
  <c r="BI61" i="3"/>
  <c r="BJ61" i="3"/>
  <c r="BL61" i="3" s="1"/>
  <c r="BM61" i="3" s="1"/>
  <c r="BN61" i="3" s="1"/>
  <c r="W62" i="3" s="1"/>
  <c r="AP62" i="2"/>
  <c r="S62" i="3"/>
  <c r="AO62" i="2"/>
  <c r="R62" i="3"/>
  <c r="BA62" i="3" l="1"/>
  <c r="H63" i="2"/>
  <c r="Y62" i="3"/>
  <c r="BO61" i="3"/>
  <c r="AR62" i="2"/>
  <c r="AS62" i="2" s="1"/>
  <c r="T62" i="3"/>
  <c r="BQ61" i="3"/>
  <c r="X62" i="3"/>
  <c r="BK62" i="3" l="1"/>
  <c r="AT62" i="2"/>
  <c r="J63" i="2"/>
  <c r="V62" i="3"/>
  <c r="AU62" i="2"/>
  <c r="U62" i="3"/>
  <c r="I63" i="2"/>
  <c r="AL63" i="2" l="1"/>
  <c r="BP62" i="3"/>
  <c r="BF62" i="3"/>
  <c r="Z62" i="3"/>
  <c r="AA62" i="3" s="1"/>
  <c r="AW62" i="2"/>
  <c r="AX62" i="2" s="1"/>
  <c r="K63" i="2"/>
  <c r="AY62" i="2" l="1"/>
  <c r="AZ62" i="2"/>
  <c r="AC62" i="3"/>
  <c r="AD62" i="3" s="1"/>
  <c r="M63" i="2"/>
  <c r="L63" i="2"/>
  <c r="AQ63" i="2" l="1"/>
  <c r="AE62" i="3"/>
  <c r="AF62" i="3"/>
  <c r="BB62" i="2"/>
  <c r="BC62" i="2" s="1"/>
  <c r="N63" i="2"/>
  <c r="AH62" i="3" l="1"/>
  <c r="AI62" i="3" s="1"/>
  <c r="BD62" i="2"/>
  <c r="B63" i="3"/>
  <c r="BE62" i="2"/>
  <c r="O63" i="2"/>
  <c r="P63" i="2"/>
  <c r="AV63" i="2" l="1"/>
  <c r="BG62" i="2"/>
  <c r="BH62" i="2" s="1"/>
  <c r="D63" i="3"/>
  <c r="Q63" i="2"/>
  <c r="AJ62" i="3"/>
  <c r="AK62" i="3"/>
  <c r="C63" i="3"/>
  <c r="AB63" i="3" l="1"/>
  <c r="S63" i="2"/>
  <c r="BI62" i="2"/>
  <c r="BJ62" i="2"/>
  <c r="BL62" i="2" s="1"/>
  <c r="BM62" i="2" s="1"/>
  <c r="BN62" i="2" s="1"/>
  <c r="W63" i="2" s="1"/>
  <c r="AM62" i="3"/>
  <c r="AN62" i="3" s="1"/>
  <c r="E63" i="3"/>
  <c r="R63" i="2"/>
  <c r="AP62" i="3" l="1"/>
  <c r="BA63" i="2"/>
  <c r="Y63" i="2"/>
  <c r="BO62" i="2"/>
  <c r="T63" i="2"/>
  <c r="BQ62" i="2"/>
  <c r="G63" i="3"/>
  <c r="AR62" i="3"/>
  <c r="AS62" i="3" s="1"/>
  <c r="AT62" i="3" s="1"/>
  <c r="K63" i="3" s="1"/>
  <c r="AO62" i="3"/>
  <c r="F63" i="3"/>
  <c r="X63" i="2"/>
  <c r="BK63" i="2" l="1"/>
  <c r="AG63" i="3"/>
  <c r="H63" i="3"/>
  <c r="AU62" i="3"/>
  <c r="V63" i="2"/>
  <c r="M63" i="3"/>
  <c r="U63" i="2"/>
  <c r="L63" i="3"/>
  <c r="AQ63" i="3" l="1"/>
  <c r="BP63" i="2"/>
  <c r="BF63" i="2"/>
  <c r="AW62" i="3"/>
  <c r="AX62" i="3" s="1"/>
  <c r="J63" i="3"/>
  <c r="Z63" i="2"/>
  <c r="AA63" i="2" s="1"/>
  <c r="I63" i="3"/>
  <c r="AL63" i="3" l="1"/>
  <c r="AY62" i="3"/>
  <c r="AC63" i="2"/>
  <c r="AD63" i="2" s="1"/>
  <c r="AZ62" i="3"/>
  <c r="BB62" i="3" l="1"/>
  <c r="BC62" i="3" s="1"/>
  <c r="BE62" i="3"/>
  <c r="AE63" i="2"/>
  <c r="AF63" i="2"/>
  <c r="N63" i="3"/>
  <c r="AH63" i="2" l="1"/>
  <c r="AI63" i="2" s="1"/>
  <c r="B64" i="2"/>
  <c r="BG62" i="3"/>
  <c r="BH62" i="3" s="1"/>
  <c r="BI62" i="3" s="1"/>
  <c r="T63" i="3" s="1"/>
  <c r="BD62" i="3"/>
  <c r="O63" i="3"/>
  <c r="P63" i="3"/>
  <c r="AK63" i="2" l="1"/>
  <c r="AV63" i="3"/>
  <c r="D64" i="2"/>
  <c r="Q63" i="3"/>
  <c r="BJ62" i="3"/>
  <c r="BL62" i="3" s="1"/>
  <c r="BM62" i="3" s="1"/>
  <c r="V63" i="3"/>
  <c r="AM63" i="2"/>
  <c r="AN63" i="2" s="1"/>
  <c r="AO63" i="2" s="1"/>
  <c r="H64" i="2" s="1"/>
  <c r="AJ63" i="2"/>
  <c r="U63" i="3"/>
  <c r="C64" i="2"/>
  <c r="AB64" i="2" l="1"/>
  <c r="BF63" i="3"/>
  <c r="BN62" i="3"/>
  <c r="BO62" i="3"/>
  <c r="S63" i="3"/>
  <c r="AP63" i="2"/>
  <c r="J64" i="2"/>
  <c r="E64" i="2"/>
  <c r="I64" i="2"/>
  <c r="R63" i="3"/>
  <c r="BA63" i="3" l="1"/>
  <c r="AL64" i="2"/>
  <c r="AR63" i="2"/>
  <c r="AS63" i="2" s="1"/>
  <c r="G64" i="2"/>
  <c r="W63" i="3"/>
  <c r="BQ62" i="3"/>
  <c r="F64" i="2"/>
  <c r="AG64" i="2" l="1"/>
  <c r="AT63" i="2"/>
  <c r="Y63" i="3"/>
  <c r="AU63" i="2"/>
  <c r="X63" i="3"/>
  <c r="BP63" i="3" l="1"/>
  <c r="BK63" i="3"/>
  <c r="Z63" i="3"/>
  <c r="AA63" i="3" s="1"/>
  <c r="AW63" i="2"/>
  <c r="AX63" i="2" s="1"/>
  <c r="K64" i="2"/>
  <c r="M64" i="2" l="1"/>
  <c r="AY63" i="2"/>
  <c r="AZ63" i="2"/>
  <c r="AC63" i="3"/>
  <c r="AD63" i="3" s="1"/>
  <c r="L64" i="2"/>
  <c r="AQ64" i="2" l="1"/>
  <c r="AE63" i="3"/>
  <c r="AF63" i="3"/>
  <c r="N64" i="2"/>
  <c r="BB63" i="2"/>
  <c r="BC63" i="2" s="1"/>
  <c r="BE63" i="2" l="1"/>
  <c r="BD63" i="2"/>
  <c r="B64" i="3"/>
  <c r="P64" i="2"/>
  <c r="AH63" i="3"/>
  <c r="AI63" i="3" s="1"/>
  <c r="O64" i="2"/>
  <c r="AK63" i="3" l="1"/>
  <c r="AV64" i="2"/>
  <c r="AM63" i="3"/>
  <c r="AN63" i="3" s="1"/>
  <c r="AO63" i="3" s="1"/>
  <c r="H64" i="3" s="1"/>
  <c r="AJ63" i="3"/>
  <c r="D64" i="3"/>
  <c r="Q64" i="2"/>
  <c r="BG63" i="2"/>
  <c r="BH63" i="2" s="1"/>
  <c r="C64" i="3"/>
  <c r="AB64" i="3" l="1"/>
  <c r="J64" i="3"/>
  <c r="AP63" i="3"/>
  <c r="S64" i="2"/>
  <c r="E64" i="3"/>
  <c r="BI63" i="2"/>
  <c r="BJ63" i="2"/>
  <c r="BL63" i="2" s="1"/>
  <c r="BM63" i="2" s="1"/>
  <c r="BN63" i="2" s="1"/>
  <c r="W64" i="2" s="1"/>
  <c r="R64" i="2"/>
  <c r="I64" i="3"/>
  <c r="AL64" i="3" l="1"/>
  <c r="BA64" i="2"/>
  <c r="AR63" i="3"/>
  <c r="AS63" i="3" s="1"/>
  <c r="T64" i="2"/>
  <c r="BQ63" i="2"/>
  <c r="G64" i="3"/>
  <c r="Y64" i="2"/>
  <c r="BO63" i="2"/>
  <c r="X64" i="2"/>
  <c r="F64" i="3"/>
  <c r="AU63" i="3" l="1"/>
  <c r="AG64" i="3"/>
  <c r="BK64" i="2"/>
  <c r="AT63" i="3"/>
  <c r="V64" i="2"/>
  <c r="AW63" i="3"/>
  <c r="AX63" i="3" s="1"/>
  <c r="AY63" i="3" s="1"/>
  <c r="N64" i="3" s="1"/>
  <c r="U64" i="2"/>
  <c r="BP64" i="2" l="1"/>
  <c r="BF64" i="2"/>
  <c r="Z64" i="2"/>
  <c r="AA64" i="2" s="1"/>
  <c r="K64" i="3"/>
  <c r="AZ63" i="3"/>
  <c r="O64" i="3"/>
  <c r="P64" i="3"/>
  <c r="AV64" i="3" l="1"/>
  <c r="BB63" i="3"/>
  <c r="BC63" i="3" s="1"/>
  <c r="M64" i="3"/>
  <c r="AC64" i="2"/>
  <c r="AD64" i="2" s="1"/>
  <c r="L64" i="3"/>
  <c r="AQ64" i="3" l="1"/>
  <c r="AF64" i="2"/>
  <c r="AE64" i="2"/>
  <c r="BD63" i="3"/>
  <c r="BE63" i="3"/>
  <c r="BG63" i="3" l="1"/>
  <c r="BH63" i="3" s="1"/>
  <c r="AH64" i="2"/>
  <c r="AI64" i="2" s="1"/>
  <c r="Q64" i="3"/>
  <c r="B65" i="2"/>
  <c r="S64" i="3" l="1"/>
  <c r="D65" i="2"/>
  <c r="AJ64" i="2"/>
  <c r="BI63" i="3"/>
  <c r="AK64" i="2"/>
  <c r="BJ63" i="3"/>
  <c r="BL63" i="3" s="1"/>
  <c r="BM63" i="3" s="1"/>
  <c r="BN63" i="3" s="1"/>
  <c r="W64" i="3" s="1"/>
  <c r="C65" i="2"/>
  <c r="R64" i="3"/>
  <c r="BO63" i="3" l="1"/>
  <c r="BA64" i="3"/>
  <c r="AB65" i="2"/>
  <c r="E65" i="2"/>
  <c r="T64" i="3"/>
  <c r="BQ63" i="3"/>
  <c r="Y64" i="3"/>
  <c r="AM64" i="2"/>
  <c r="AN64" i="2" s="1"/>
  <c r="X64" i="3"/>
  <c r="BK64" i="3" l="1"/>
  <c r="AO64" i="2"/>
  <c r="V64" i="3"/>
  <c r="AP64" i="2"/>
  <c r="G65" i="2"/>
  <c r="F65" i="2"/>
  <c r="U64" i="3"/>
  <c r="BP64" i="3" l="1"/>
  <c r="BF64" i="3"/>
  <c r="AG65" i="2"/>
  <c r="Z64" i="3"/>
  <c r="AA64" i="3" s="1"/>
  <c r="AR64" i="2"/>
  <c r="AS64" i="2" s="1"/>
  <c r="H65" i="2"/>
  <c r="J65" i="2" l="1"/>
  <c r="AT64" i="2"/>
  <c r="AU64" i="2"/>
  <c r="AC64" i="3"/>
  <c r="AD64" i="3" s="1"/>
  <c r="I65" i="2"/>
  <c r="AL65" i="2" l="1"/>
  <c r="AF64" i="3"/>
  <c r="AW64" i="2"/>
  <c r="AX64" i="2" s="1"/>
  <c r="AE64" i="3"/>
  <c r="K65" i="2"/>
  <c r="AZ64" i="2" l="1"/>
  <c r="M65" i="2"/>
  <c r="AH64" i="3"/>
  <c r="AI64" i="3" s="1"/>
  <c r="B65" i="3"/>
  <c r="BB64" i="2"/>
  <c r="BC64" i="2" s="1"/>
  <c r="BD64" i="2" s="1"/>
  <c r="Q65" i="2" s="1"/>
  <c r="AY64" i="2"/>
  <c r="L65" i="2"/>
  <c r="AQ65" i="2" l="1"/>
  <c r="S65" i="2"/>
  <c r="AJ64" i="3"/>
  <c r="N65" i="2"/>
  <c r="D65" i="3"/>
  <c r="BE64" i="2"/>
  <c r="AK64" i="3"/>
  <c r="C65" i="3"/>
  <c r="R65" i="2"/>
  <c r="BA65" i="2" l="1"/>
  <c r="AB65" i="3"/>
  <c r="P65" i="2"/>
  <c r="BG64" i="2"/>
  <c r="BH64" i="2" s="1"/>
  <c r="AM64" i="3"/>
  <c r="AN64" i="3" s="1"/>
  <c r="E65" i="3"/>
  <c r="O65" i="2"/>
  <c r="AP64" i="3" l="1"/>
  <c r="AV65" i="2"/>
  <c r="AR64" i="3"/>
  <c r="AS64" i="3" s="1"/>
  <c r="AT64" i="3" s="1"/>
  <c r="K65" i="3" s="1"/>
  <c r="BJ64" i="2"/>
  <c r="BL64" i="2" s="1"/>
  <c r="BM64" i="2" s="1"/>
  <c r="BN64" i="2" s="1"/>
  <c r="W65" i="2" s="1"/>
  <c r="BI64" i="2"/>
  <c r="G65" i="3"/>
  <c r="AO64" i="3"/>
  <c r="F65" i="3"/>
  <c r="AG65" i="3" l="1"/>
  <c r="BO64" i="2"/>
  <c r="Y65" i="2"/>
  <c r="H65" i="3"/>
  <c r="M65" i="3"/>
  <c r="AU64" i="3"/>
  <c r="T65" i="2"/>
  <c r="BQ64" i="2"/>
  <c r="L65" i="3"/>
  <c r="X65" i="2"/>
  <c r="BK65" i="2" l="1"/>
  <c r="AQ65" i="3"/>
  <c r="J65" i="3"/>
  <c r="AW64" i="3"/>
  <c r="AX64" i="3" s="1"/>
  <c r="V65" i="2"/>
  <c r="U65" i="2"/>
  <c r="I65" i="3"/>
  <c r="AL65" i="3" l="1"/>
  <c r="BP65" i="2"/>
  <c r="BF65" i="2"/>
  <c r="AY64" i="3"/>
  <c r="Z65" i="2"/>
  <c r="AA65" i="2" s="1"/>
  <c r="AZ64" i="3"/>
  <c r="N65" i="3" l="1"/>
  <c r="BB64" i="3"/>
  <c r="BC64" i="3" s="1"/>
  <c r="AC65" i="2"/>
  <c r="AD65" i="2" s="1"/>
  <c r="AF65" i="2" l="1"/>
  <c r="AH65" i="2" s="1"/>
  <c r="AI65" i="2" s="1"/>
  <c r="AJ65" i="2" s="1"/>
  <c r="E66" i="2" s="1"/>
  <c r="BD64" i="3"/>
  <c r="AE65" i="2"/>
  <c r="BE64" i="3"/>
  <c r="P65" i="3"/>
  <c r="O65" i="3"/>
  <c r="AV65" i="3" l="1"/>
  <c r="BG64" i="3"/>
  <c r="BH64" i="3" s="1"/>
  <c r="B66" i="2"/>
  <c r="Q65" i="3"/>
  <c r="G66" i="2"/>
  <c r="AK65" i="2"/>
  <c r="F66" i="2"/>
  <c r="AG66" i="2" l="1"/>
  <c r="BI64" i="3"/>
  <c r="S65" i="3"/>
  <c r="BJ64" i="3"/>
  <c r="BL64" i="3" s="1"/>
  <c r="BM64" i="3" s="1"/>
  <c r="BN64" i="3" s="1"/>
  <c r="W65" i="3" s="1"/>
  <c r="AM65" i="2"/>
  <c r="AN65" i="2" s="1"/>
  <c r="D66" i="2"/>
  <c r="R65" i="3"/>
  <c r="C66" i="2"/>
  <c r="AB66" i="2" l="1"/>
  <c r="BA65" i="3"/>
  <c r="AP65" i="2"/>
  <c r="Y65" i="3"/>
  <c r="AO65" i="2"/>
  <c r="BO64" i="3"/>
  <c r="T65" i="3"/>
  <c r="BQ64" i="3"/>
  <c r="X65" i="3"/>
  <c r="BK65" i="3" l="1"/>
  <c r="H66" i="2"/>
  <c r="AR65" i="2"/>
  <c r="AS65" i="2" s="1"/>
  <c r="V65" i="3"/>
  <c r="U65" i="3"/>
  <c r="AU65" i="2" l="1"/>
  <c r="BP65" i="3"/>
  <c r="BF65" i="3"/>
  <c r="AW65" i="2"/>
  <c r="AX65" i="2" s="1"/>
  <c r="AY65" i="2" s="1"/>
  <c r="N66" i="2" s="1"/>
  <c r="Z65" i="3"/>
  <c r="AA65" i="3" s="1"/>
  <c r="AT65" i="2"/>
  <c r="J66" i="2"/>
  <c r="I66" i="2"/>
  <c r="AL66" i="2" l="1"/>
  <c r="AC65" i="3"/>
  <c r="AD65" i="3" s="1"/>
  <c r="P66" i="2"/>
  <c r="K66" i="2"/>
  <c r="AZ65" i="2"/>
  <c r="O66" i="2"/>
  <c r="AV66" i="2" l="1"/>
  <c r="BB65" i="2"/>
  <c r="BC65" i="2" s="1"/>
  <c r="M66" i="2"/>
  <c r="AE65" i="3"/>
  <c r="AF65" i="3"/>
  <c r="L66" i="2"/>
  <c r="BE65" i="2" l="1"/>
  <c r="AQ66" i="2"/>
  <c r="AH65" i="3"/>
  <c r="AI65" i="3" s="1"/>
  <c r="BG65" i="2"/>
  <c r="BH65" i="2" s="1"/>
  <c r="BI65" i="2" s="1"/>
  <c r="T66" i="2" s="1"/>
  <c r="B66" i="3"/>
  <c r="BD65" i="2"/>
  <c r="D66" i="3" l="1"/>
  <c r="AJ65" i="3"/>
  <c r="AK65" i="3"/>
  <c r="Q66" i="2"/>
  <c r="V66" i="2"/>
  <c r="BJ65" i="2"/>
  <c r="BL65" i="2" s="1"/>
  <c r="BM65" i="2" s="1"/>
  <c r="BN65" i="2" s="1"/>
  <c r="W66" i="2" s="1"/>
  <c r="U66" i="2"/>
  <c r="C66" i="3"/>
  <c r="BQ65" i="2" l="1"/>
  <c r="AB66" i="3"/>
  <c r="BF66" i="2"/>
  <c r="AM65" i="3"/>
  <c r="AN65" i="3" s="1"/>
  <c r="S66" i="2"/>
  <c r="Y66" i="2"/>
  <c r="E66" i="3"/>
  <c r="BO65" i="2"/>
  <c r="X66" i="2"/>
  <c r="R66" i="2"/>
  <c r="BP66" i="2" l="1"/>
  <c r="BA66" i="2"/>
  <c r="BK66" i="2"/>
  <c r="AO65" i="3"/>
  <c r="Z66" i="2"/>
  <c r="AA66" i="2" s="1"/>
  <c r="AP65" i="3"/>
  <c r="G66" i="3"/>
  <c r="F66" i="3"/>
  <c r="AG66" i="3" l="1"/>
  <c r="AR65" i="3"/>
  <c r="AS65" i="3" s="1"/>
  <c r="H66" i="3"/>
  <c r="AC66" i="2"/>
  <c r="AD66" i="2" s="1"/>
  <c r="AE66" i="2" l="1"/>
  <c r="J66" i="3"/>
  <c r="AF66" i="2"/>
  <c r="AT65" i="3"/>
  <c r="AU65" i="3"/>
  <c r="I66" i="3"/>
  <c r="AL66" i="3" l="1"/>
  <c r="AH66" i="2"/>
  <c r="AI66" i="2" s="1"/>
  <c r="AW65" i="3"/>
  <c r="AX65" i="3" s="1"/>
  <c r="K66" i="3"/>
  <c r="B67" i="2"/>
  <c r="AK66" i="2" l="1"/>
  <c r="D67" i="2"/>
  <c r="M66" i="3"/>
  <c r="AM66" i="2"/>
  <c r="AN66" i="2" s="1"/>
  <c r="AO66" i="2" s="1"/>
  <c r="H67" i="2" s="1"/>
  <c r="AY65" i="3"/>
  <c r="AZ65" i="3"/>
  <c r="AJ66" i="2"/>
  <c r="C67" i="2"/>
  <c r="L66" i="3"/>
  <c r="AQ66" i="3" l="1"/>
  <c r="AB67" i="2"/>
  <c r="J67" i="2"/>
  <c r="N66" i="3"/>
  <c r="AP66" i="2"/>
  <c r="E67" i="2"/>
  <c r="BB65" i="3"/>
  <c r="BC65" i="3" s="1"/>
  <c r="I67" i="2"/>
  <c r="BE65" i="3" l="1"/>
  <c r="AL67" i="2"/>
  <c r="P66" i="3"/>
  <c r="BD65" i="3"/>
  <c r="BG65" i="3"/>
  <c r="BH65" i="3" s="1"/>
  <c r="BI65" i="3" s="1"/>
  <c r="T66" i="3" s="1"/>
  <c r="G67" i="2"/>
  <c r="AR66" i="2"/>
  <c r="AS66" i="2" s="1"/>
  <c r="O66" i="3"/>
  <c r="F67" i="2"/>
  <c r="AG67" i="2" l="1"/>
  <c r="AV66" i="3"/>
  <c r="BJ65" i="3"/>
  <c r="BL65" i="3" s="1"/>
  <c r="BM65" i="3" s="1"/>
  <c r="BN65" i="3" s="1"/>
  <c r="W66" i="3" s="1"/>
  <c r="V66" i="3"/>
  <c r="Q66" i="3"/>
  <c r="AT66" i="2"/>
  <c r="AU66" i="2"/>
  <c r="U66" i="3"/>
  <c r="BF66" i="3" l="1"/>
  <c r="Y66" i="3"/>
  <c r="K67" i="2"/>
  <c r="BO65" i="3"/>
  <c r="AW66" i="2"/>
  <c r="AX66" i="2" s="1"/>
  <c r="BQ65" i="3"/>
  <c r="S66" i="3"/>
  <c r="X66" i="3"/>
  <c r="R66" i="3"/>
  <c r="BP66" i="3" l="1"/>
  <c r="BA66" i="3"/>
  <c r="BK66" i="3"/>
  <c r="AY66" i="2"/>
  <c r="M67" i="2"/>
  <c r="AZ66" i="2"/>
  <c r="Z66" i="3"/>
  <c r="AA66" i="3" s="1"/>
  <c r="L67" i="2"/>
  <c r="AQ67" i="2" l="1"/>
  <c r="BB66" i="2"/>
  <c r="BC66" i="2" s="1"/>
  <c r="N67" i="2"/>
  <c r="AC66" i="3"/>
  <c r="AD66" i="3" s="1"/>
  <c r="AF66" i="3" l="1"/>
  <c r="BD66" i="2"/>
  <c r="AE66" i="3"/>
  <c r="P67" i="2"/>
  <c r="BE66" i="2"/>
  <c r="O67" i="2"/>
  <c r="AV67" i="2" l="1"/>
  <c r="BG66" i="2"/>
  <c r="BH66" i="2" s="1"/>
  <c r="B67" i="3"/>
  <c r="Q67" i="2"/>
  <c r="AH66" i="3"/>
  <c r="AI66" i="3" s="1"/>
  <c r="S67" i="2" l="1"/>
  <c r="AJ66" i="3"/>
  <c r="BI66" i="2"/>
  <c r="D67" i="3"/>
  <c r="BJ66" i="2"/>
  <c r="BL66" i="2" s="1"/>
  <c r="BM66" i="2" s="1"/>
  <c r="BN66" i="2" s="1"/>
  <c r="W67" i="2" s="1"/>
  <c r="AK66" i="3"/>
  <c r="C67" i="3"/>
  <c r="R67" i="2"/>
  <c r="BO66" i="2" l="1"/>
  <c r="BA67" i="2"/>
  <c r="AB67" i="3"/>
  <c r="T67" i="2"/>
  <c r="BQ66" i="2"/>
  <c r="AM66" i="3"/>
  <c r="AN66" i="3" s="1"/>
  <c r="E67" i="3"/>
  <c r="Y67" i="2"/>
  <c r="X67" i="2"/>
  <c r="BK67" i="2" l="1"/>
  <c r="V67" i="2"/>
  <c r="G67" i="3"/>
  <c r="AO66" i="3"/>
  <c r="AP66" i="3"/>
  <c r="F67" i="3"/>
  <c r="U67" i="2"/>
  <c r="BP67" i="2" l="1"/>
  <c r="BF67" i="2"/>
  <c r="AG67" i="3"/>
  <c r="H67" i="3"/>
  <c r="AR66" i="3"/>
  <c r="AS66" i="3" s="1"/>
  <c r="Z67" i="2"/>
  <c r="AA67" i="2" s="1"/>
  <c r="AU66" i="3" l="1"/>
  <c r="AW66" i="3" s="1"/>
  <c r="AX66" i="3" s="1"/>
  <c r="AY66" i="3" s="1"/>
  <c r="N67" i="3" s="1"/>
  <c r="J67" i="3"/>
  <c r="AT66" i="3"/>
  <c r="AC67" i="2"/>
  <c r="AD67" i="2" s="1"/>
  <c r="I67" i="3"/>
  <c r="AL67" i="3" l="1"/>
  <c r="AE67" i="2"/>
  <c r="AF67" i="2"/>
  <c r="K67" i="3"/>
  <c r="P67" i="3"/>
  <c r="AZ66" i="3"/>
  <c r="O67" i="3"/>
  <c r="AV67" i="3" l="1"/>
  <c r="M67" i="3"/>
  <c r="AH67" i="2"/>
  <c r="AI67" i="2" s="1"/>
  <c r="B68" i="2"/>
  <c r="BB66" i="3"/>
  <c r="BC66" i="3" s="1"/>
  <c r="L67" i="3"/>
  <c r="AQ67" i="3" l="1"/>
  <c r="BD66" i="3"/>
  <c r="AK67" i="2"/>
  <c r="D68" i="2"/>
  <c r="BE66" i="3"/>
  <c r="AJ67" i="2"/>
  <c r="C68" i="2"/>
  <c r="AB68" i="2" l="1"/>
  <c r="AM67" i="2"/>
  <c r="AN67" i="2" s="1"/>
  <c r="Q67" i="3"/>
  <c r="E68" i="2"/>
  <c r="BG66" i="3"/>
  <c r="BH66" i="3" s="1"/>
  <c r="BJ66" i="3" l="1"/>
  <c r="BL66" i="3" s="1"/>
  <c r="BM66" i="3" s="1"/>
  <c r="BN66" i="3" s="1"/>
  <c r="W67" i="3" s="1"/>
  <c r="Y67" i="3" s="1"/>
  <c r="S67" i="3"/>
  <c r="AP67" i="2"/>
  <c r="AO67" i="2"/>
  <c r="G68" i="2"/>
  <c r="BI66" i="3"/>
  <c r="F68" i="2"/>
  <c r="R67" i="3"/>
  <c r="X67" i="3"/>
  <c r="BO66" i="3" l="1"/>
  <c r="BK67" i="3"/>
  <c r="BA67" i="3"/>
  <c r="AG68" i="2"/>
  <c r="H68" i="2"/>
  <c r="AR67" i="2"/>
  <c r="AS67" i="2" s="1"/>
  <c r="T67" i="3"/>
  <c r="BQ66" i="3"/>
  <c r="AT67" i="2" l="1"/>
  <c r="AU67" i="2"/>
  <c r="J68" i="2"/>
  <c r="V67" i="3"/>
  <c r="U67" i="3"/>
  <c r="I68" i="2"/>
  <c r="AL68" i="2" l="1"/>
  <c r="BP67" i="3"/>
  <c r="BF67" i="3"/>
  <c r="Z67" i="3"/>
  <c r="AA67" i="3" s="1"/>
  <c r="AW67" i="2"/>
  <c r="AX67" i="2" s="1"/>
  <c r="K68" i="2"/>
  <c r="AY67" i="2" l="1"/>
  <c r="AZ67" i="2"/>
  <c r="AC67" i="3"/>
  <c r="AD67" i="3" s="1"/>
  <c r="M68" i="2"/>
  <c r="L68" i="2"/>
  <c r="AQ68" i="2" l="1"/>
  <c r="BB67" i="2"/>
  <c r="BC67" i="2" s="1"/>
  <c r="AE67" i="3"/>
  <c r="AF67" i="3"/>
  <c r="N68" i="2"/>
  <c r="B68" i="3" l="1"/>
  <c r="P68" i="2"/>
  <c r="BD67" i="2"/>
  <c r="BE67" i="2"/>
  <c r="AH67" i="3"/>
  <c r="AI67" i="3" s="1"/>
  <c r="O68" i="2"/>
  <c r="AV68" i="2" l="1"/>
  <c r="Q68" i="2"/>
  <c r="AK67" i="3"/>
  <c r="AJ67" i="3"/>
  <c r="BG67" i="2"/>
  <c r="BH67" i="2" s="1"/>
  <c r="D68" i="3"/>
  <c r="C68" i="3"/>
  <c r="AB68" i="3" l="1"/>
  <c r="E68" i="3"/>
  <c r="BI67" i="2"/>
  <c r="BJ67" i="2"/>
  <c r="BL67" i="2" s="1"/>
  <c r="BM67" i="2" s="1"/>
  <c r="BN67" i="2" s="1"/>
  <c r="W68" i="2" s="1"/>
  <c r="AM67" i="3"/>
  <c r="AN67" i="3" s="1"/>
  <c r="S68" i="2"/>
  <c r="R68" i="2"/>
  <c r="BA68" i="2" l="1"/>
  <c r="AP67" i="3"/>
  <c r="AO67" i="3"/>
  <c r="T68" i="2"/>
  <c r="BQ67" i="2"/>
  <c r="G68" i="3"/>
  <c r="Y68" i="2"/>
  <c r="BO67" i="2"/>
  <c r="F68" i="3"/>
  <c r="X68" i="2"/>
  <c r="BK68" i="2" l="1"/>
  <c r="AG68" i="3"/>
  <c r="V68" i="2"/>
  <c r="AR67" i="3"/>
  <c r="AS67" i="3" s="1"/>
  <c r="H68" i="3"/>
  <c r="U68" i="2"/>
  <c r="BP68" i="2" l="1"/>
  <c r="BF68" i="2"/>
  <c r="AT67" i="3"/>
  <c r="AU67" i="3"/>
  <c r="Z68" i="2"/>
  <c r="AA68" i="2" s="1"/>
  <c r="J68" i="3"/>
  <c r="I68" i="3"/>
  <c r="AL68" i="3" l="1"/>
  <c r="AC68" i="2"/>
  <c r="AD68" i="2" s="1"/>
  <c r="K68" i="3"/>
  <c r="AW67" i="3"/>
  <c r="AX67" i="3" s="1"/>
  <c r="M68" i="3" l="1"/>
  <c r="AY67" i="3"/>
  <c r="AF68" i="2"/>
  <c r="AZ67" i="3"/>
  <c r="AE68" i="2"/>
  <c r="L68" i="3"/>
  <c r="AQ68" i="3" l="1"/>
  <c r="BB67" i="3"/>
  <c r="BC67" i="3" s="1"/>
  <c r="AH68" i="2"/>
  <c r="AI68" i="2" s="1"/>
  <c r="B69" i="2"/>
  <c r="N68" i="3"/>
  <c r="AJ68" i="2" l="1"/>
  <c r="AK68" i="2"/>
  <c r="BE67" i="3"/>
  <c r="P68" i="3"/>
  <c r="D69" i="2"/>
  <c r="BD67" i="3"/>
  <c r="O68" i="3"/>
  <c r="C69" i="2"/>
  <c r="AB69" i="2" l="1"/>
  <c r="AV68" i="3"/>
  <c r="BG67" i="3"/>
  <c r="BH67" i="3" s="1"/>
  <c r="AM68" i="2"/>
  <c r="AN68" i="2" s="1"/>
  <c r="Q68" i="3"/>
  <c r="E69" i="2"/>
  <c r="BI67" i="3" l="1"/>
  <c r="BJ67" i="3"/>
  <c r="BL67" i="3" s="1"/>
  <c r="BM67" i="3" s="1"/>
  <c r="BN67" i="3" s="1"/>
  <c r="W68" i="3" s="1"/>
  <c r="AO68" i="2"/>
  <c r="G69" i="2"/>
  <c r="S68" i="3"/>
  <c r="AP68" i="2"/>
  <c r="F69" i="2"/>
  <c r="R68" i="3"/>
  <c r="BA68" i="3" l="1"/>
  <c r="AG69" i="2"/>
  <c r="Y68" i="3"/>
  <c r="BO67" i="3"/>
  <c r="H69" i="2"/>
  <c r="AR68" i="2"/>
  <c r="AS68" i="2" s="1"/>
  <c r="T68" i="3"/>
  <c r="BQ67" i="3"/>
  <c r="X68" i="3"/>
  <c r="BK68" i="3" l="1"/>
  <c r="AU68" i="2"/>
  <c r="V68" i="3"/>
  <c r="AT68" i="2"/>
  <c r="J69" i="2"/>
  <c r="I69" i="2"/>
  <c r="U68" i="3"/>
  <c r="BP68" i="3" l="1"/>
  <c r="BF68" i="3"/>
  <c r="AL69" i="2"/>
  <c r="Z68" i="3"/>
  <c r="AA68" i="3" s="1"/>
  <c r="K69" i="2"/>
  <c r="AW68" i="2"/>
  <c r="AX68" i="2" s="1"/>
  <c r="M69" i="2" l="1"/>
  <c r="AY68" i="2"/>
  <c r="AC68" i="3"/>
  <c r="AD68" i="3" s="1"/>
  <c r="AZ68" i="2"/>
  <c r="L69" i="2"/>
  <c r="AQ69" i="2" l="1"/>
  <c r="AE68" i="3"/>
  <c r="AF68" i="3"/>
  <c r="BB68" i="2"/>
  <c r="BC68" i="2" s="1"/>
  <c r="N69" i="2"/>
  <c r="P69" i="2" l="1"/>
  <c r="BD68" i="2"/>
  <c r="B69" i="3"/>
  <c r="BE68" i="2"/>
  <c r="AH68" i="3"/>
  <c r="AI68" i="3" s="1"/>
  <c r="O69" i="2"/>
  <c r="AV69" i="2" l="1"/>
  <c r="BG68" i="2"/>
  <c r="BH68" i="2" s="1"/>
  <c r="D69" i="3"/>
  <c r="Q69" i="2"/>
  <c r="AJ68" i="3"/>
  <c r="AK68" i="3"/>
  <c r="C69" i="3"/>
  <c r="AB69" i="3" l="1"/>
  <c r="E69" i="3"/>
  <c r="S69" i="2"/>
  <c r="BJ68" i="2"/>
  <c r="BL68" i="2" s="1"/>
  <c r="BM68" i="2" s="1"/>
  <c r="BN68" i="2" s="1"/>
  <c r="W69" i="2" s="1"/>
  <c r="BI68" i="2"/>
  <c r="AM68" i="3"/>
  <c r="AN68" i="3" s="1"/>
  <c r="R69" i="2"/>
  <c r="AP68" i="3" l="1"/>
  <c r="BA69" i="2"/>
  <c r="Y69" i="2"/>
  <c r="G69" i="3"/>
  <c r="AR68" i="3"/>
  <c r="AS68" i="3" s="1"/>
  <c r="AT68" i="3" s="1"/>
  <c r="K69" i="3" s="1"/>
  <c r="AO68" i="3"/>
  <c r="BO68" i="2"/>
  <c r="T69" i="2"/>
  <c r="BQ68" i="2"/>
  <c r="X69" i="2"/>
  <c r="F69" i="3"/>
  <c r="AG69" i="3" l="1"/>
  <c r="BK69" i="2"/>
  <c r="V69" i="2"/>
  <c r="H69" i="3"/>
  <c r="M69" i="3"/>
  <c r="AU68" i="3"/>
  <c r="L69" i="3"/>
  <c r="U69" i="2"/>
  <c r="BP69" i="2" l="1"/>
  <c r="BF69" i="2"/>
  <c r="AQ69" i="3"/>
  <c r="AW68" i="3"/>
  <c r="AX68" i="3" s="1"/>
  <c r="J69" i="3"/>
  <c r="Z69" i="2"/>
  <c r="AA69" i="2" s="1"/>
  <c r="I69" i="3"/>
  <c r="AL69" i="3" l="1"/>
  <c r="AY68" i="3"/>
  <c r="AZ68" i="3"/>
  <c r="AC69" i="2"/>
  <c r="AD69" i="2" s="1"/>
  <c r="AF69" i="2" l="1"/>
  <c r="AE69" i="2"/>
  <c r="BB68" i="3"/>
  <c r="BC68" i="3" s="1"/>
  <c r="N69" i="3"/>
  <c r="BD68" i="3" l="1"/>
  <c r="P69" i="3"/>
  <c r="BE68" i="3"/>
  <c r="B70" i="2"/>
  <c r="AH69" i="2"/>
  <c r="AI69" i="2" s="1"/>
  <c r="O69" i="3"/>
  <c r="AV69" i="3" l="1"/>
  <c r="D70" i="2"/>
  <c r="AK69" i="2"/>
  <c r="AJ69" i="2"/>
  <c r="BG68" i="3"/>
  <c r="BH68" i="3" s="1"/>
  <c r="Q69" i="3"/>
  <c r="C70" i="2"/>
  <c r="AB70" i="2" l="1"/>
  <c r="BI68" i="3"/>
  <c r="BJ68" i="3"/>
  <c r="BL68" i="3" s="1"/>
  <c r="BM68" i="3" s="1"/>
  <c r="BN68" i="3" s="1"/>
  <c r="W69" i="3" s="1"/>
  <c r="AM69" i="2"/>
  <c r="AN69" i="2" s="1"/>
  <c r="E70" i="2"/>
  <c r="S69" i="3"/>
  <c r="R69" i="3"/>
  <c r="BA69" i="3" l="1"/>
  <c r="G70" i="2"/>
  <c r="AO69" i="2"/>
  <c r="AP69" i="2"/>
  <c r="BO68" i="3"/>
  <c r="T69" i="3"/>
  <c r="BQ68" i="3"/>
  <c r="Y69" i="3"/>
  <c r="X69" i="3"/>
  <c r="F70" i="2"/>
  <c r="AG70" i="2" l="1"/>
  <c r="BK69" i="3"/>
  <c r="V69" i="3"/>
  <c r="H70" i="2"/>
  <c r="AR69" i="2"/>
  <c r="AS69" i="2" s="1"/>
  <c r="U69" i="3"/>
  <c r="AU69" i="2" l="1"/>
  <c r="BP69" i="3"/>
  <c r="BF69" i="3"/>
  <c r="J70" i="2"/>
  <c r="Z69" i="3"/>
  <c r="AA69" i="3" s="1"/>
  <c r="AW69" i="2"/>
  <c r="AX69" i="2" s="1"/>
  <c r="AY69" i="2" s="1"/>
  <c r="N70" i="2" s="1"/>
  <c r="AT69" i="2"/>
  <c r="I70" i="2"/>
  <c r="AZ69" i="2" l="1"/>
  <c r="BB69" i="2" s="1"/>
  <c r="BC69" i="2" s="1"/>
  <c r="BD69" i="2" s="1"/>
  <c r="Q70" i="2" s="1"/>
  <c r="AL70" i="2"/>
  <c r="AC69" i="3"/>
  <c r="AD69" i="3" s="1"/>
  <c r="P70" i="2"/>
  <c r="K70" i="2"/>
  <c r="O70" i="2"/>
  <c r="AV70" i="2" l="1"/>
  <c r="S70" i="2"/>
  <c r="BE69" i="2"/>
  <c r="M70" i="2"/>
  <c r="AE69" i="3"/>
  <c r="AF69" i="3"/>
  <c r="R70" i="2"/>
  <c r="L70" i="2"/>
  <c r="AQ70" i="2" l="1"/>
  <c r="BA70" i="2"/>
  <c r="BG69" i="2"/>
  <c r="BH69" i="2" s="1"/>
  <c r="AH69" i="3"/>
  <c r="AI69" i="3" s="1"/>
  <c r="B70" i="3"/>
  <c r="AK69" i="3" l="1"/>
  <c r="BJ69" i="2"/>
  <c r="BL69" i="2" s="1"/>
  <c r="BM69" i="2" s="1"/>
  <c r="BN69" i="2" s="1"/>
  <c r="W70" i="2" s="1"/>
  <c r="D70" i="3"/>
  <c r="BI69" i="2"/>
  <c r="BO69" i="2"/>
  <c r="AJ69" i="3"/>
  <c r="C70" i="3"/>
  <c r="AB70" i="3" l="1"/>
  <c r="E70" i="3"/>
  <c r="T70" i="2"/>
  <c r="BQ69" i="2"/>
  <c r="Y70" i="2"/>
  <c r="AM69" i="3"/>
  <c r="AN69" i="3" s="1"/>
  <c r="X70" i="2"/>
  <c r="BK70" i="2" l="1"/>
  <c r="V70" i="2"/>
  <c r="AO69" i="3"/>
  <c r="G70" i="3"/>
  <c r="AP69" i="3"/>
  <c r="F70" i="3"/>
  <c r="U70" i="2"/>
  <c r="BP70" i="2" l="1"/>
  <c r="BF70" i="2"/>
  <c r="AG70" i="3"/>
  <c r="H70" i="3"/>
  <c r="Z70" i="2"/>
  <c r="AA70" i="2" s="1"/>
  <c r="AR69" i="3"/>
  <c r="AS69" i="3" s="1"/>
  <c r="AU69" i="3" l="1"/>
  <c r="J70" i="3"/>
  <c r="AW69" i="3"/>
  <c r="AX69" i="3" s="1"/>
  <c r="AY69" i="3" s="1"/>
  <c r="N70" i="3" s="1"/>
  <c r="AC70" i="2"/>
  <c r="AD70" i="2" s="1"/>
  <c r="AT69" i="3"/>
  <c r="I70" i="3"/>
  <c r="AL70" i="3" l="1"/>
  <c r="AE70" i="2"/>
  <c r="P70" i="3"/>
  <c r="K70" i="3"/>
  <c r="AF70" i="2"/>
  <c r="AZ69" i="3"/>
  <c r="O70" i="3"/>
  <c r="AV70" i="3" l="1"/>
  <c r="M70" i="3"/>
  <c r="B71" i="2"/>
  <c r="BB69" i="3"/>
  <c r="BC69" i="3" s="1"/>
  <c r="AH70" i="2"/>
  <c r="AI70" i="2" s="1"/>
  <c r="L70" i="3"/>
  <c r="AK70" i="2" l="1"/>
  <c r="AQ70" i="3"/>
  <c r="BD69" i="3"/>
  <c r="BE69" i="3"/>
  <c r="AM70" i="2"/>
  <c r="AN70" i="2" s="1"/>
  <c r="AO70" i="2" s="1"/>
  <c r="H71" i="2" s="1"/>
  <c r="D71" i="2"/>
  <c r="AJ70" i="2"/>
  <c r="C71" i="2"/>
  <c r="AB71" i="2" l="1"/>
  <c r="BG69" i="3"/>
  <c r="BH69" i="3" s="1"/>
  <c r="E71" i="2"/>
  <c r="J71" i="2"/>
  <c r="AP70" i="2"/>
  <c r="Q70" i="3"/>
  <c r="I71" i="2"/>
  <c r="AL71" i="2" l="1"/>
  <c r="AR70" i="2"/>
  <c r="AS70" i="2" s="1"/>
  <c r="BI69" i="3"/>
  <c r="G71" i="2"/>
  <c r="BJ69" i="3"/>
  <c r="BL69" i="3" s="1"/>
  <c r="BM69" i="3" s="1"/>
  <c r="BN69" i="3" s="1"/>
  <c r="W70" i="3" s="1"/>
  <c r="S70" i="3"/>
  <c r="R70" i="3"/>
  <c r="F71" i="2"/>
  <c r="AG71" i="2" l="1"/>
  <c r="BA70" i="3"/>
  <c r="Y70" i="3"/>
  <c r="BO69" i="3"/>
  <c r="AT70" i="2"/>
  <c r="T70" i="3"/>
  <c r="BQ69" i="3"/>
  <c r="AU70" i="2"/>
  <c r="X70" i="3"/>
  <c r="BK70" i="3" l="1"/>
  <c r="K71" i="2"/>
  <c r="V70" i="3"/>
  <c r="AW70" i="2"/>
  <c r="AX70" i="2" s="1"/>
  <c r="U70" i="3"/>
  <c r="BP70" i="3" l="1"/>
  <c r="BF70" i="3"/>
  <c r="AY70" i="2"/>
  <c r="M71" i="2"/>
  <c r="AZ70" i="2"/>
  <c r="Z70" i="3"/>
  <c r="AA70" i="3" s="1"/>
  <c r="L71" i="2"/>
  <c r="AQ71" i="2" l="1"/>
  <c r="AC70" i="3"/>
  <c r="AD70" i="3" s="1"/>
  <c r="BB70" i="2"/>
  <c r="BC70" i="2" s="1"/>
  <c r="N71" i="2"/>
  <c r="P71" i="2" l="1"/>
  <c r="BE70" i="2"/>
  <c r="BD70" i="2"/>
  <c r="AE70" i="3"/>
  <c r="AF70" i="3"/>
  <c r="O71" i="2"/>
  <c r="AV71" i="2" l="1"/>
  <c r="AH70" i="3"/>
  <c r="AI70" i="3" s="1"/>
  <c r="B71" i="3"/>
  <c r="Q71" i="2"/>
  <c r="BG70" i="2"/>
  <c r="BH70" i="2" s="1"/>
  <c r="BJ70" i="2" l="1"/>
  <c r="BL70" i="2" s="1"/>
  <c r="BM70" i="2" s="1"/>
  <c r="BN70" i="2" s="1"/>
  <c r="W71" i="2" s="1"/>
  <c r="Y71" i="2" s="1"/>
  <c r="D71" i="3"/>
  <c r="BI70" i="2"/>
  <c r="BO70" i="2"/>
  <c r="S71" i="2"/>
  <c r="AK70" i="3"/>
  <c r="AJ70" i="3"/>
  <c r="R71" i="2"/>
  <c r="X71" i="2"/>
  <c r="C71" i="3"/>
  <c r="AB71" i="3" l="1"/>
  <c r="BK71" i="2"/>
  <c r="BA71" i="2"/>
  <c r="T71" i="2"/>
  <c r="BQ70" i="2"/>
  <c r="E71" i="3"/>
  <c r="AM70" i="3"/>
  <c r="AN70" i="3" s="1"/>
  <c r="G71" i="3" l="1"/>
  <c r="V71" i="2"/>
  <c r="AO70" i="3"/>
  <c r="AP70" i="3"/>
  <c r="F71" i="3"/>
  <c r="U71" i="2"/>
  <c r="BP71" i="2" l="1"/>
  <c r="BF71" i="2"/>
  <c r="AG71" i="3"/>
  <c r="AR70" i="3"/>
  <c r="AS70" i="3" s="1"/>
  <c r="Z71" i="2"/>
  <c r="AA71" i="2" s="1"/>
  <c r="H71" i="3"/>
  <c r="AC71" i="2" l="1"/>
  <c r="AD71" i="2" s="1"/>
  <c r="AF71" i="2"/>
  <c r="J71" i="3"/>
  <c r="AT70" i="3"/>
  <c r="AU70" i="3"/>
  <c r="I71" i="3"/>
  <c r="AL71" i="3" l="1"/>
  <c r="K71" i="3"/>
  <c r="AH71" i="2"/>
  <c r="AI71" i="2" s="1"/>
  <c r="AJ71" i="2" s="1"/>
  <c r="E72" i="2" s="1"/>
  <c r="AW70" i="3"/>
  <c r="AX70" i="3" s="1"/>
  <c r="AZ70" i="3"/>
  <c r="AE71" i="2"/>
  <c r="AK71" i="2" l="1"/>
  <c r="BB70" i="3"/>
  <c r="BC70" i="3" s="1"/>
  <c r="BD70" i="3" s="1"/>
  <c r="Q71" i="3" s="1"/>
  <c r="AM71" i="2"/>
  <c r="AN71" i="2" s="1"/>
  <c r="AY70" i="3"/>
  <c r="M71" i="3"/>
  <c r="G72" i="2"/>
  <c r="B72" i="2"/>
  <c r="F72" i="2"/>
  <c r="L71" i="3"/>
  <c r="BE70" i="3" l="1"/>
  <c r="AQ71" i="3"/>
  <c r="AG72" i="2"/>
  <c r="AO71" i="2"/>
  <c r="N71" i="3"/>
  <c r="D72" i="2"/>
  <c r="AP71" i="2"/>
  <c r="S71" i="3"/>
  <c r="BG70" i="3"/>
  <c r="BH70" i="3" s="1"/>
  <c r="C72" i="2"/>
  <c r="R71" i="3"/>
  <c r="BJ70" i="3" l="1"/>
  <c r="BL70" i="3" s="1"/>
  <c r="BM70" i="3" s="1"/>
  <c r="BN70" i="3" s="1"/>
  <c r="W71" i="3" s="1"/>
  <c r="BA71" i="3"/>
  <c r="AB72" i="2"/>
  <c r="Y71" i="3"/>
  <c r="P71" i="3"/>
  <c r="BI70" i="3"/>
  <c r="BO70" i="3"/>
  <c r="H72" i="2"/>
  <c r="AR71" i="2"/>
  <c r="AS71" i="2" s="1"/>
  <c r="O71" i="3"/>
  <c r="X71" i="3"/>
  <c r="BK71" i="3" l="1"/>
  <c r="AV71" i="3"/>
  <c r="AU71" i="2"/>
  <c r="T71" i="3"/>
  <c r="BQ70" i="3"/>
  <c r="AT71" i="2"/>
  <c r="J72" i="2"/>
  <c r="I72" i="2"/>
  <c r="AL72" i="2" l="1"/>
  <c r="AW71" i="2"/>
  <c r="AX71" i="2" s="1"/>
  <c r="K72" i="2"/>
  <c r="V71" i="3"/>
  <c r="U71" i="3"/>
  <c r="BP71" i="3" l="1"/>
  <c r="BF71" i="3"/>
  <c r="AY71" i="2"/>
  <c r="AZ71" i="2"/>
  <c r="M72" i="2"/>
  <c r="Z71" i="3"/>
  <c r="AA71" i="3" s="1"/>
  <c r="L72" i="2"/>
  <c r="AQ72" i="2" l="1"/>
  <c r="BB71" i="2"/>
  <c r="BC71" i="2" s="1"/>
  <c r="AC71" i="3"/>
  <c r="AD71" i="3" s="1"/>
  <c r="N72" i="2"/>
  <c r="BE71" i="2" l="1"/>
  <c r="AE71" i="3"/>
  <c r="BG71" i="2"/>
  <c r="BH71" i="2" s="1"/>
  <c r="BI71" i="2" s="1"/>
  <c r="T72" i="2" s="1"/>
  <c r="P72" i="2"/>
  <c r="AF71" i="3"/>
  <c r="BD71" i="2"/>
  <c r="O72" i="2"/>
  <c r="AV72" i="2" l="1"/>
  <c r="AH71" i="3"/>
  <c r="AI71" i="3" s="1"/>
  <c r="Q72" i="2"/>
  <c r="B72" i="3"/>
  <c r="V72" i="2"/>
  <c r="BJ71" i="2"/>
  <c r="BL71" i="2" s="1"/>
  <c r="BM71" i="2" s="1"/>
  <c r="U72" i="2"/>
  <c r="BF72" i="2" l="1"/>
  <c r="S72" i="2"/>
  <c r="BN71" i="2"/>
  <c r="BO71" i="2"/>
  <c r="D72" i="3"/>
  <c r="AJ71" i="3"/>
  <c r="AK71" i="3"/>
  <c r="R72" i="2"/>
  <c r="C72" i="3"/>
  <c r="AB72" i="3" l="1"/>
  <c r="BA72" i="2"/>
  <c r="W72" i="2"/>
  <c r="BQ71" i="2"/>
  <c r="AM71" i="3"/>
  <c r="AN71" i="3" s="1"/>
  <c r="E72" i="3"/>
  <c r="AP71" i="3" l="1"/>
  <c r="AO71" i="3"/>
  <c r="Y72" i="2"/>
  <c r="G72" i="3"/>
  <c r="X72" i="2"/>
  <c r="F72" i="3"/>
  <c r="AG72" i="3" l="1"/>
  <c r="BP72" i="2"/>
  <c r="BK72" i="2"/>
  <c r="H72" i="3"/>
  <c r="Z72" i="2"/>
  <c r="AA72" i="2" s="1"/>
  <c r="AR71" i="3"/>
  <c r="AS71" i="3" s="1"/>
  <c r="J72" i="3" l="1"/>
  <c r="AC72" i="2"/>
  <c r="AD72" i="2" s="1"/>
  <c r="AT71" i="3"/>
  <c r="AU71" i="3"/>
  <c r="I72" i="3"/>
  <c r="AL72" i="3" l="1"/>
  <c r="K72" i="3"/>
  <c r="AE72" i="2"/>
  <c r="AF72" i="2"/>
  <c r="AW71" i="3"/>
  <c r="AX71" i="3" s="1"/>
  <c r="AZ71" i="3" l="1"/>
  <c r="AH72" i="2"/>
  <c r="AI72" i="2" s="1"/>
  <c r="AY71" i="3"/>
  <c r="M72" i="3"/>
  <c r="B73" i="2"/>
  <c r="L72" i="3"/>
  <c r="AQ72" i="3" l="1"/>
  <c r="D73" i="2"/>
  <c r="AJ72" i="2"/>
  <c r="N72" i="3"/>
  <c r="AK72" i="2"/>
  <c r="BB71" i="3"/>
  <c r="BC71" i="3" s="1"/>
  <c r="C73" i="2"/>
  <c r="BE71" i="3" l="1"/>
  <c r="AB73" i="2"/>
  <c r="P72" i="3"/>
  <c r="BG71" i="3"/>
  <c r="BH71" i="3" s="1"/>
  <c r="BI71" i="3" s="1"/>
  <c r="T72" i="3" s="1"/>
  <c r="BD71" i="3"/>
  <c r="AM72" i="2"/>
  <c r="AN72" i="2" s="1"/>
  <c r="E73" i="2"/>
  <c r="O72" i="3"/>
  <c r="AV72" i="3" l="1"/>
  <c r="AO72" i="2"/>
  <c r="Q72" i="3"/>
  <c r="BJ71" i="3"/>
  <c r="BL71" i="3" s="1"/>
  <c r="BM71" i="3" s="1"/>
  <c r="BN71" i="3" s="1"/>
  <c r="W72" i="3" s="1"/>
  <c r="G73" i="2"/>
  <c r="AP72" i="2"/>
  <c r="V72" i="3"/>
  <c r="F73" i="2"/>
  <c r="U72" i="3"/>
  <c r="BF72" i="3" l="1"/>
  <c r="AG73" i="2"/>
  <c r="Y72" i="3"/>
  <c r="BO71" i="3"/>
  <c r="BQ71" i="3"/>
  <c r="H73" i="2"/>
  <c r="S72" i="3"/>
  <c r="AR72" i="2"/>
  <c r="AS72" i="2" s="1"/>
  <c r="X72" i="3"/>
  <c r="R72" i="3"/>
  <c r="AU72" i="2" l="1"/>
  <c r="BP72" i="3"/>
  <c r="BA72" i="3"/>
  <c r="BK72" i="3"/>
  <c r="AT72" i="2"/>
  <c r="AW72" i="2"/>
  <c r="AX72" i="2" s="1"/>
  <c r="AY72" i="2" s="1"/>
  <c r="N73" i="2" s="1"/>
  <c r="Z72" i="3"/>
  <c r="AA72" i="3" s="1"/>
  <c r="J73" i="2"/>
  <c r="I73" i="2"/>
  <c r="AL73" i="2" l="1"/>
  <c r="AC72" i="3"/>
  <c r="AD72" i="3" s="1"/>
  <c r="AZ72" i="2"/>
  <c r="P73" i="2"/>
  <c r="K73" i="2"/>
  <c r="O73" i="2"/>
  <c r="AV73" i="2" l="1"/>
  <c r="M73" i="2"/>
  <c r="BB72" i="2"/>
  <c r="BC72" i="2" s="1"/>
  <c r="AE72" i="3"/>
  <c r="AF72" i="3"/>
  <c r="L73" i="2"/>
  <c r="AQ73" i="2" l="1"/>
  <c r="BE72" i="2"/>
  <c r="AH72" i="3"/>
  <c r="AI72" i="3" s="1"/>
  <c r="BD72" i="2"/>
  <c r="B73" i="3"/>
  <c r="AK72" i="3" l="1"/>
  <c r="D73" i="3"/>
  <c r="AM72" i="3"/>
  <c r="AN72" i="3" s="1"/>
  <c r="AO72" i="3" s="1"/>
  <c r="H73" i="3" s="1"/>
  <c r="Q73" i="2"/>
  <c r="BG72" i="2"/>
  <c r="BH72" i="2" s="1"/>
  <c r="AJ72" i="3"/>
  <c r="C73" i="3"/>
  <c r="AB73" i="3" l="1"/>
  <c r="E73" i="3"/>
  <c r="BJ72" i="2"/>
  <c r="BL72" i="2" s="1"/>
  <c r="BM72" i="2" s="1"/>
  <c r="BN72" i="2" s="1"/>
  <c r="W73" i="2" s="1"/>
  <c r="S73" i="2"/>
  <c r="BI72" i="2"/>
  <c r="J73" i="3"/>
  <c r="AP72" i="3"/>
  <c r="I73" i="3"/>
  <c r="R73" i="2"/>
  <c r="BO72" i="2" l="1"/>
  <c r="BA73" i="2"/>
  <c r="AL73" i="3"/>
  <c r="AR72" i="3"/>
  <c r="AS72" i="3" s="1"/>
  <c r="Y73" i="2"/>
  <c r="T73" i="2"/>
  <c r="BQ72" i="2"/>
  <c r="G73" i="3"/>
  <c r="X73" i="2"/>
  <c r="F73" i="3"/>
  <c r="AU72" i="3" l="1"/>
  <c r="AG73" i="3"/>
  <c r="BK73" i="2"/>
  <c r="AW72" i="3"/>
  <c r="AX72" i="3" s="1"/>
  <c r="AY72" i="3" s="1"/>
  <c r="N73" i="3" s="1"/>
  <c r="V73" i="2"/>
  <c r="AT72" i="3"/>
  <c r="U73" i="2"/>
  <c r="BP73" i="2" l="1"/>
  <c r="BF73" i="2"/>
  <c r="P73" i="3"/>
  <c r="Z73" i="2"/>
  <c r="AA73" i="2" s="1"/>
  <c r="AZ72" i="3"/>
  <c r="K73" i="3"/>
  <c r="O73" i="3"/>
  <c r="AV73" i="3" l="1"/>
  <c r="AC73" i="2"/>
  <c r="AD73" i="2" s="1"/>
  <c r="BB72" i="3"/>
  <c r="BC72" i="3" s="1"/>
  <c r="M73" i="3"/>
  <c r="L73" i="3"/>
  <c r="AQ73" i="3" l="1"/>
  <c r="AE73" i="2"/>
  <c r="BD72" i="3"/>
  <c r="BE72" i="3"/>
  <c r="AF73" i="2"/>
  <c r="AH73" i="2" l="1"/>
  <c r="AI73" i="2" s="1"/>
  <c r="Q73" i="3"/>
  <c r="BG72" i="3"/>
  <c r="BH72" i="3" s="1"/>
  <c r="B74" i="2"/>
  <c r="BI72" i="3" l="1"/>
  <c r="D74" i="2"/>
  <c r="BJ72" i="3"/>
  <c r="BL72" i="3" s="1"/>
  <c r="BM72" i="3" s="1"/>
  <c r="BN72" i="3" s="1"/>
  <c r="W73" i="3" s="1"/>
  <c r="S73" i="3"/>
  <c r="AJ73" i="2"/>
  <c r="AK73" i="2"/>
  <c r="R73" i="3"/>
  <c r="C74" i="2"/>
  <c r="AB74" i="2" l="1"/>
  <c r="BA73" i="3"/>
  <c r="Y73" i="3"/>
  <c r="AM73" i="2"/>
  <c r="AN73" i="2" s="1"/>
  <c r="BO72" i="3"/>
  <c r="E74" i="2"/>
  <c r="T73" i="3"/>
  <c r="BQ72" i="3"/>
  <c r="X73" i="3"/>
  <c r="BK73" i="3" l="1"/>
  <c r="V73" i="3"/>
  <c r="AO73" i="2"/>
  <c r="G74" i="2"/>
  <c r="AP73" i="2"/>
  <c r="U73" i="3"/>
  <c r="F74" i="2"/>
  <c r="AG74" i="2" l="1"/>
  <c r="BP73" i="3"/>
  <c r="BF73" i="3"/>
  <c r="H74" i="2"/>
  <c r="Z73" i="3"/>
  <c r="AA73" i="3" s="1"/>
  <c r="AR73" i="2"/>
  <c r="AS73" i="2" s="1"/>
  <c r="AU73" i="2" l="1"/>
  <c r="AC73" i="3"/>
  <c r="AD73" i="3" s="1"/>
  <c r="AW73" i="2"/>
  <c r="AX73" i="2" s="1"/>
  <c r="AY73" i="2" s="1"/>
  <c r="N74" i="2" s="1"/>
  <c r="AT73" i="2"/>
  <c r="J74" i="2"/>
  <c r="I74" i="2"/>
  <c r="AZ73" i="2" l="1"/>
  <c r="AL74" i="2"/>
  <c r="BB73" i="2"/>
  <c r="BC73" i="2" s="1"/>
  <c r="K74" i="2"/>
  <c r="AE73" i="3"/>
  <c r="P74" i="2"/>
  <c r="AF73" i="3"/>
  <c r="O74" i="2"/>
  <c r="AV74" i="2" l="1"/>
  <c r="B74" i="3"/>
  <c r="AH73" i="3"/>
  <c r="AI73" i="3" s="1"/>
  <c r="BD73" i="2"/>
  <c r="M74" i="2"/>
  <c r="BE73" i="2"/>
  <c r="L74" i="2"/>
  <c r="AK73" i="3" l="1"/>
  <c r="AQ74" i="2"/>
  <c r="AM73" i="3"/>
  <c r="AN73" i="3" s="1"/>
  <c r="AO73" i="3" s="1"/>
  <c r="H74" i="3" s="1"/>
  <c r="Q74" i="2"/>
  <c r="AJ73" i="3"/>
  <c r="D74" i="3"/>
  <c r="BG73" i="2"/>
  <c r="BH73" i="2" s="1"/>
  <c r="C74" i="3"/>
  <c r="AB74" i="3" l="1"/>
  <c r="E74" i="3"/>
  <c r="S74" i="2"/>
  <c r="BJ73" i="2"/>
  <c r="BL73" i="2" s="1"/>
  <c r="BM73" i="2" s="1"/>
  <c r="BN73" i="2" s="1"/>
  <c r="W74" i="2" s="1"/>
  <c r="J74" i="3"/>
  <c r="AP73" i="3"/>
  <c r="BI73" i="2"/>
  <c r="I74" i="3"/>
  <c r="R74" i="2"/>
  <c r="BA74" i="2" l="1"/>
  <c r="AL74" i="3"/>
  <c r="BO73" i="2"/>
  <c r="G74" i="3"/>
  <c r="Y74" i="2"/>
  <c r="AR73" i="3"/>
  <c r="AS73" i="3" s="1"/>
  <c r="T74" i="2"/>
  <c r="BQ73" i="2"/>
  <c r="X74" i="2"/>
  <c r="F74" i="3"/>
  <c r="AG74" i="3" l="1"/>
  <c r="BK74" i="2"/>
  <c r="V74" i="2"/>
  <c r="AU73" i="3"/>
  <c r="AT73" i="3"/>
  <c r="U74" i="2"/>
  <c r="BP74" i="2" l="1"/>
  <c r="BF74" i="2"/>
  <c r="Z74" i="2"/>
  <c r="AA74" i="2" s="1"/>
  <c r="AW73" i="3"/>
  <c r="AX73" i="3" s="1"/>
  <c r="K74" i="3"/>
  <c r="AZ73" i="3" l="1"/>
  <c r="BB73" i="3"/>
  <c r="BC73" i="3" s="1"/>
  <c r="BD73" i="3" s="1"/>
  <c r="Q74" i="3" s="1"/>
  <c r="AY73" i="3"/>
  <c r="M74" i="3"/>
  <c r="AC74" i="2"/>
  <c r="AD74" i="2" s="1"/>
  <c r="L74" i="3"/>
  <c r="AQ74" i="3" l="1"/>
  <c r="AE74" i="2"/>
  <c r="AF74" i="2"/>
  <c r="N74" i="3"/>
  <c r="S74" i="3"/>
  <c r="BE73" i="3"/>
  <c r="R74" i="3"/>
  <c r="BA74" i="3" l="1"/>
  <c r="AH74" i="2"/>
  <c r="AI74" i="2" s="1"/>
  <c r="B75" i="2"/>
  <c r="P74" i="3"/>
  <c r="BG73" i="3"/>
  <c r="BH73" i="3" s="1"/>
  <c r="O74" i="3"/>
  <c r="BJ73" i="3" l="1"/>
  <c r="BL73" i="3" s="1"/>
  <c r="BM73" i="3" s="1"/>
  <c r="BN73" i="3" s="1"/>
  <c r="W74" i="3" s="1"/>
  <c r="AV74" i="3"/>
  <c r="Y74" i="3"/>
  <c r="AJ74" i="2"/>
  <c r="BI73" i="3"/>
  <c r="BO73" i="3"/>
  <c r="D75" i="2"/>
  <c r="AK74" i="2"/>
  <c r="C75" i="2"/>
  <c r="X74" i="3"/>
  <c r="BK74" i="3" l="1"/>
  <c r="AB75" i="2"/>
  <c r="E75" i="2"/>
  <c r="T74" i="3"/>
  <c r="BQ73" i="3"/>
  <c r="AM74" i="2"/>
  <c r="AN74" i="2" s="1"/>
  <c r="V74" i="3" l="1"/>
  <c r="AO74" i="2"/>
  <c r="AP74" i="2"/>
  <c r="G75" i="2"/>
  <c r="U74" i="3"/>
  <c r="F75" i="2"/>
  <c r="AG75" i="2" l="1"/>
  <c r="BP74" i="3"/>
  <c r="BF74" i="3"/>
  <c r="AR74" i="2"/>
  <c r="AS74" i="2" s="1"/>
  <c r="H75" i="2"/>
  <c r="Z74" i="3"/>
  <c r="AA74" i="3" s="1"/>
  <c r="J75" i="2" l="1"/>
  <c r="AU74" i="2"/>
  <c r="AC74" i="3"/>
  <c r="AD74" i="3" s="1"/>
  <c r="AT74" i="2"/>
  <c r="I75" i="2"/>
  <c r="AL75" i="2" l="1"/>
  <c r="K75" i="2"/>
  <c r="AF74" i="3"/>
  <c r="AE74" i="3"/>
  <c r="AW74" i="2"/>
  <c r="AX74" i="2" s="1"/>
  <c r="AY74" i="2" l="1"/>
  <c r="B75" i="3"/>
  <c r="M75" i="2"/>
  <c r="AZ74" i="2"/>
  <c r="AH74" i="3"/>
  <c r="AI74" i="3" s="1"/>
  <c r="L75" i="2"/>
  <c r="AQ75" i="2" l="1"/>
  <c r="BB74" i="2"/>
  <c r="BC74" i="2" s="1"/>
  <c r="AJ74" i="3"/>
  <c r="AK74" i="3"/>
  <c r="D75" i="3"/>
  <c r="N75" i="2"/>
  <c r="C75" i="3"/>
  <c r="AB75" i="3" l="1"/>
  <c r="AM74" i="3"/>
  <c r="AN74" i="3" s="1"/>
  <c r="BE74" i="2"/>
  <c r="BD74" i="2"/>
  <c r="E75" i="3"/>
  <c r="P75" i="2"/>
  <c r="O75" i="2"/>
  <c r="AP74" i="3" l="1"/>
  <c r="AV75" i="2"/>
  <c r="G75" i="3"/>
  <c r="BG74" i="2"/>
  <c r="BH74" i="2" s="1"/>
  <c r="AR74" i="3"/>
  <c r="AS74" i="3" s="1"/>
  <c r="AT74" i="3" s="1"/>
  <c r="K75" i="3" s="1"/>
  <c r="AO74" i="3"/>
  <c r="Q75" i="2"/>
  <c r="F75" i="3"/>
  <c r="AG75" i="3" l="1"/>
  <c r="H75" i="3"/>
  <c r="AU74" i="3"/>
  <c r="BJ74" i="2"/>
  <c r="BL74" i="2" s="1"/>
  <c r="BM74" i="2" s="1"/>
  <c r="BN74" i="2" s="1"/>
  <c r="W75" i="2" s="1"/>
  <c r="M75" i="3"/>
  <c r="BI74" i="2"/>
  <c r="S75" i="2"/>
  <c r="R75" i="2"/>
  <c r="L75" i="3"/>
  <c r="AQ75" i="3" l="1"/>
  <c r="BA75" i="2"/>
  <c r="AW74" i="3"/>
  <c r="AX74" i="3" s="1"/>
  <c r="BO74" i="2"/>
  <c r="Y75" i="2"/>
  <c r="T75" i="2"/>
  <c r="BQ74" i="2"/>
  <c r="J75" i="3"/>
  <c r="X75" i="2"/>
  <c r="I75" i="3"/>
  <c r="AL75" i="3" l="1"/>
  <c r="BK75" i="2"/>
  <c r="AZ74" i="3"/>
  <c r="AY74" i="3"/>
  <c r="V75" i="2"/>
  <c r="U75" i="2"/>
  <c r="BP75" i="2" l="1"/>
  <c r="BF75" i="2"/>
  <c r="N75" i="3"/>
  <c r="BB74" i="3"/>
  <c r="BC74" i="3" s="1"/>
  <c r="Z75" i="2"/>
  <c r="AA75" i="2" s="1"/>
  <c r="AC75" i="2" l="1"/>
  <c r="AD75" i="2" s="1"/>
  <c r="BE74" i="3"/>
  <c r="P75" i="3"/>
  <c r="BD74" i="3"/>
  <c r="O75" i="3"/>
  <c r="AV75" i="3" l="1"/>
  <c r="Q75" i="3"/>
  <c r="BG74" i="3"/>
  <c r="BH74" i="3" s="1"/>
  <c r="AE75" i="2"/>
  <c r="AF75" i="2"/>
  <c r="B76" i="2" l="1"/>
  <c r="BJ74" i="3"/>
  <c r="BL74" i="3" s="1"/>
  <c r="BM74" i="3" s="1"/>
  <c r="BN74" i="3" s="1"/>
  <c r="W75" i="3" s="1"/>
  <c r="AH75" i="2"/>
  <c r="AI75" i="2" s="1"/>
  <c r="BI74" i="3"/>
  <c r="BO74" i="3"/>
  <c r="S75" i="3"/>
  <c r="R75" i="3"/>
  <c r="AK75" i="2" l="1"/>
  <c r="BA75" i="3"/>
  <c r="T75" i="3"/>
  <c r="BQ74" i="3"/>
  <c r="AM75" i="2"/>
  <c r="AN75" i="2" s="1"/>
  <c r="AO75" i="2" s="1"/>
  <c r="H76" i="2" s="1"/>
  <c r="AJ75" i="2"/>
  <c r="Y75" i="3"/>
  <c r="D76" i="2"/>
  <c r="X75" i="3"/>
  <c r="C76" i="2"/>
  <c r="AB76" i="2" l="1"/>
  <c r="BK75" i="3"/>
  <c r="AP75" i="2"/>
  <c r="E76" i="2"/>
  <c r="V75" i="3"/>
  <c r="J76" i="2"/>
  <c r="I76" i="2"/>
  <c r="U75" i="3"/>
  <c r="BP75" i="3" l="1"/>
  <c r="BF75" i="3"/>
  <c r="AL76" i="2"/>
  <c r="AR75" i="2"/>
  <c r="AS75" i="2" s="1"/>
  <c r="G76" i="2"/>
  <c r="Z75" i="3"/>
  <c r="AA75" i="3" s="1"/>
  <c r="F76" i="2"/>
  <c r="AG76" i="2" l="1"/>
  <c r="AT75" i="2"/>
  <c r="AU75" i="2"/>
  <c r="AC75" i="3"/>
  <c r="AD75" i="3" s="1"/>
  <c r="AE75" i="3" l="1"/>
  <c r="AF75" i="3"/>
  <c r="AW75" i="2"/>
  <c r="AX75" i="2" s="1"/>
  <c r="K76" i="2"/>
  <c r="M76" i="2" l="1"/>
  <c r="AH75" i="3"/>
  <c r="AI75" i="3" s="1"/>
  <c r="AY75" i="2"/>
  <c r="AZ75" i="2"/>
  <c r="B76" i="3"/>
  <c r="L76" i="2"/>
  <c r="AK75" i="3" l="1"/>
  <c r="AQ76" i="2"/>
  <c r="D76" i="3"/>
  <c r="N76" i="2"/>
  <c r="BB75" i="2"/>
  <c r="BC75" i="2" s="1"/>
  <c r="AM75" i="3"/>
  <c r="AN75" i="3" s="1"/>
  <c r="AO75" i="3" s="1"/>
  <c r="H76" i="3" s="1"/>
  <c r="AJ75" i="3"/>
  <c r="C76" i="3"/>
  <c r="BE75" i="2" l="1"/>
  <c r="AB76" i="3"/>
  <c r="E76" i="3"/>
  <c r="BG75" i="2"/>
  <c r="BH75" i="2" s="1"/>
  <c r="BI75" i="2" s="1"/>
  <c r="T76" i="2" s="1"/>
  <c r="J76" i="3"/>
  <c r="AP75" i="3"/>
  <c r="P76" i="2"/>
  <c r="BD75" i="2"/>
  <c r="O76" i="2"/>
  <c r="I76" i="3"/>
  <c r="AL76" i="3" l="1"/>
  <c r="AV76" i="2"/>
  <c r="Q76" i="2"/>
  <c r="BJ75" i="2"/>
  <c r="BL75" i="2" s="1"/>
  <c r="BM75" i="2" s="1"/>
  <c r="BN75" i="2" s="1"/>
  <c r="W76" i="2" s="1"/>
  <c r="G76" i="3"/>
  <c r="V76" i="2"/>
  <c r="AR75" i="3"/>
  <c r="AS75" i="3" s="1"/>
  <c r="U76" i="2"/>
  <c r="F76" i="3"/>
  <c r="AU75" i="3" l="1"/>
  <c r="AG76" i="3"/>
  <c r="BF76" i="2"/>
  <c r="S76" i="2"/>
  <c r="BQ75" i="2"/>
  <c r="Y76" i="2"/>
  <c r="AT75" i="3"/>
  <c r="AW75" i="3"/>
  <c r="AX75" i="3" s="1"/>
  <c r="AY75" i="3" s="1"/>
  <c r="N76" i="3" s="1"/>
  <c r="BO75" i="2"/>
  <c r="X76" i="2"/>
  <c r="R76" i="2"/>
  <c r="BP76" i="2" l="1"/>
  <c r="BA76" i="2"/>
  <c r="BK76" i="2"/>
  <c r="P76" i="3"/>
  <c r="Z76" i="2"/>
  <c r="AA76" i="2" s="1"/>
  <c r="K76" i="3"/>
  <c r="AZ75" i="3"/>
  <c r="O76" i="3"/>
  <c r="AV76" i="3" l="1"/>
  <c r="M76" i="3"/>
  <c r="AC76" i="2"/>
  <c r="AD76" i="2" s="1"/>
  <c r="BB75" i="3"/>
  <c r="BC75" i="3" s="1"/>
  <c r="L76" i="3"/>
  <c r="AQ76" i="3" l="1"/>
  <c r="AE76" i="2"/>
  <c r="BE75" i="3"/>
  <c r="BD75" i="3"/>
  <c r="AF76" i="2"/>
  <c r="Q76" i="3" l="1"/>
  <c r="AH76" i="2"/>
  <c r="AI76" i="2" s="1"/>
  <c r="B77" i="2"/>
  <c r="BG75" i="3"/>
  <c r="BH75" i="3" s="1"/>
  <c r="AJ76" i="2" l="1"/>
  <c r="BI75" i="3"/>
  <c r="BJ75" i="3"/>
  <c r="BL75" i="3" s="1"/>
  <c r="BM75" i="3" s="1"/>
  <c r="BN75" i="3" s="1"/>
  <c r="W76" i="3" s="1"/>
  <c r="D77" i="2"/>
  <c r="AK76" i="2"/>
  <c r="S76" i="3"/>
  <c r="R76" i="3"/>
  <c r="C77" i="2"/>
  <c r="AB77" i="2" l="1"/>
  <c r="BA76" i="3"/>
  <c r="AM76" i="2"/>
  <c r="AN76" i="2" s="1"/>
  <c r="BO75" i="3"/>
  <c r="Y76" i="3"/>
  <c r="T76" i="3"/>
  <c r="BQ75" i="3"/>
  <c r="E77" i="2"/>
  <c r="X76" i="3"/>
  <c r="BK76" i="3" l="1"/>
  <c r="G77" i="2"/>
  <c r="V76" i="3"/>
  <c r="AO76" i="2"/>
  <c r="AP76" i="2"/>
  <c r="F77" i="2"/>
  <c r="U76" i="3"/>
  <c r="BP76" i="3" l="1"/>
  <c r="BF76" i="3"/>
  <c r="AG77" i="2"/>
  <c r="H77" i="2"/>
  <c r="Z76" i="3"/>
  <c r="AA76" i="3" s="1"/>
  <c r="AR76" i="2"/>
  <c r="AS76" i="2" s="1"/>
  <c r="AC76" i="3" l="1"/>
  <c r="AD76" i="3" s="1"/>
  <c r="J77" i="2"/>
  <c r="AT76" i="2"/>
  <c r="AU76" i="2"/>
  <c r="I77" i="2"/>
  <c r="AL77" i="2" l="1"/>
  <c r="AW76" i="2"/>
  <c r="AX76" i="2" s="1"/>
  <c r="K77" i="2"/>
  <c r="AE76" i="3"/>
  <c r="AF76" i="3"/>
  <c r="AZ76" i="2" l="1"/>
  <c r="BB76" i="2" s="1"/>
  <c r="BC76" i="2" s="1"/>
  <c r="BD76" i="2" s="1"/>
  <c r="Q77" i="2" s="1"/>
  <c r="B77" i="3"/>
  <c r="AH76" i="3"/>
  <c r="AI76" i="3" s="1"/>
  <c r="M77" i="2"/>
  <c r="AY76" i="2"/>
  <c r="L77" i="2"/>
  <c r="AQ77" i="2" l="1"/>
  <c r="N77" i="2"/>
  <c r="AJ76" i="3"/>
  <c r="AK76" i="3"/>
  <c r="S77" i="2"/>
  <c r="BE76" i="2"/>
  <c r="D77" i="3"/>
  <c r="R77" i="2"/>
  <c r="C77" i="3"/>
  <c r="AB77" i="3" l="1"/>
  <c r="BA77" i="2"/>
  <c r="E77" i="3"/>
  <c r="BG76" i="2"/>
  <c r="BH76" i="2" s="1"/>
  <c r="AM76" i="3"/>
  <c r="AN76" i="3" s="1"/>
  <c r="P77" i="2"/>
  <c r="O77" i="2"/>
  <c r="AP76" i="3" l="1"/>
  <c r="AV77" i="2"/>
  <c r="AR76" i="3"/>
  <c r="AS76" i="3" s="1"/>
  <c r="AT76" i="3" s="1"/>
  <c r="K77" i="3" s="1"/>
  <c r="G77" i="3"/>
  <c r="BI76" i="2"/>
  <c r="BJ76" i="2"/>
  <c r="BL76" i="2" s="1"/>
  <c r="BM76" i="2" s="1"/>
  <c r="BN76" i="2" s="1"/>
  <c r="W77" i="2" s="1"/>
  <c r="AO76" i="3"/>
  <c r="F77" i="3"/>
  <c r="AG77" i="3" l="1"/>
  <c r="T77" i="2"/>
  <c r="BQ76" i="2"/>
  <c r="Y77" i="2"/>
  <c r="BO76" i="2"/>
  <c r="H77" i="3"/>
  <c r="M77" i="3"/>
  <c r="AU76" i="3"/>
  <c r="X77" i="2"/>
  <c r="L77" i="3"/>
  <c r="AQ77" i="3" l="1"/>
  <c r="BK77" i="2"/>
  <c r="AW76" i="3"/>
  <c r="AX76" i="3" s="1"/>
  <c r="V77" i="2"/>
  <c r="J77" i="3"/>
  <c r="I77" i="3"/>
  <c r="U77" i="2"/>
  <c r="AZ76" i="3" l="1"/>
  <c r="BP77" i="2"/>
  <c r="BF77" i="2"/>
  <c r="AL77" i="3"/>
  <c r="Z77" i="2"/>
  <c r="AA77" i="2" s="1"/>
  <c r="BB76" i="3"/>
  <c r="BC76" i="3" s="1"/>
  <c r="BD76" i="3" s="1"/>
  <c r="Q77" i="3" s="1"/>
  <c r="AY76" i="3"/>
  <c r="S77" i="3" l="1"/>
  <c r="N77" i="3"/>
  <c r="BE76" i="3"/>
  <c r="AC77" i="2"/>
  <c r="AD77" i="2" s="1"/>
  <c r="R77" i="3"/>
  <c r="BA77" i="3" l="1"/>
  <c r="AE77" i="2"/>
  <c r="BG76" i="3"/>
  <c r="BH76" i="3" s="1"/>
  <c r="AF77" i="2"/>
  <c r="P77" i="3"/>
  <c r="O77" i="3"/>
  <c r="BJ76" i="3" l="1"/>
  <c r="BL76" i="3" s="1"/>
  <c r="BM76" i="3" s="1"/>
  <c r="BN76" i="3" s="1"/>
  <c r="W77" i="3" s="1"/>
  <c r="AV77" i="3"/>
  <c r="AH77" i="2"/>
  <c r="AI77" i="2" s="1"/>
  <c r="BI76" i="3"/>
  <c r="BO76" i="3"/>
  <c r="Y77" i="3"/>
  <c r="B78" i="2"/>
  <c r="X77" i="3"/>
  <c r="BK77" i="3" l="1"/>
  <c r="AJ77" i="2"/>
  <c r="T77" i="3"/>
  <c r="BQ76" i="3"/>
  <c r="AK77" i="2"/>
  <c r="D78" i="2"/>
  <c r="C78" i="2"/>
  <c r="AB78" i="2" l="1"/>
  <c r="AM77" i="2"/>
  <c r="AN77" i="2" s="1"/>
  <c r="V77" i="3"/>
  <c r="E78" i="2"/>
  <c r="U77" i="3"/>
  <c r="BP77" i="3" l="1"/>
  <c r="BF77" i="3"/>
  <c r="Z77" i="3"/>
  <c r="AA77" i="3" s="1"/>
  <c r="G78" i="2"/>
  <c r="AP77" i="2"/>
  <c r="AO77" i="2"/>
  <c r="F78" i="2"/>
  <c r="AG78" i="2" l="1"/>
  <c r="AR77" i="2"/>
  <c r="AS77" i="2" s="1"/>
  <c r="AC77" i="3"/>
  <c r="AD77" i="3" s="1"/>
  <c r="H78" i="2"/>
  <c r="J78" i="2" l="1"/>
  <c r="AE77" i="3"/>
  <c r="AF77" i="3"/>
  <c r="AT77" i="2"/>
  <c r="AU77" i="2"/>
  <c r="I78" i="2"/>
  <c r="AL78" i="2" l="1"/>
  <c r="AH77" i="3"/>
  <c r="AI77" i="3" s="1"/>
  <c r="AW77" i="2"/>
  <c r="AX77" i="2" s="1"/>
  <c r="K78" i="2"/>
  <c r="B78" i="3"/>
  <c r="M78" i="2" l="1"/>
  <c r="D78" i="3"/>
  <c r="AZ77" i="2"/>
  <c r="AK77" i="3"/>
  <c r="AY77" i="2"/>
  <c r="AJ77" i="3"/>
  <c r="L78" i="2"/>
  <c r="C78" i="3"/>
  <c r="AB78" i="3" l="1"/>
  <c r="AQ78" i="2"/>
  <c r="N78" i="2"/>
  <c r="BB77" i="2"/>
  <c r="BC77" i="2" s="1"/>
  <c r="AM77" i="3"/>
  <c r="AN77" i="3" s="1"/>
  <c r="E78" i="3"/>
  <c r="BE77" i="2" l="1"/>
  <c r="AP77" i="3"/>
  <c r="P78" i="2"/>
  <c r="BG77" i="2"/>
  <c r="BH77" i="2" s="1"/>
  <c r="BI77" i="2" s="1"/>
  <c r="T78" i="2" s="1"/>
  <c r="BD77" i="2"/>
  <c r="G78" i="3"/>
  <c r="AO77" i="3"/>
  <c r="F78" i="3"/>
  <c r="O78" i="2"/>
  <c r="AR77" i="3" l="1"/>
  <c r="AS77" i="3" s="1"/>
  <c r="AT77" i="3" s="1"/>
  <c r="K78" i="3" s="1"/>
  <c r="AV78" i="2"/>
  <c r="AG78" i="3"/>
  <c r="H78" i="3"/>
  <c r="V78" i="2"/>
  <c r="M78" i="3"/>
  <c r="Q78" i="2"/>
  <c r="BJ77" i="2"/>
  <c r="BL77" i="2" s="1"/>
  <c r="BM77" i="2" s="1"/>
  <c r="L78" i="3"/>
  <c r="U78" i="2"/>
  <c r="AU77" i="3" l="1"/>
  <c r="AW77" i="3" s="1"/>
  <c r="AX77" i="3" s="1"/>
  <c r="AY77" i="3" s="1"/>
  <c r="N78" i="3" s="1"/>
  <c r="BF78" i="2"/>
  <c r="AQ78" i="3"/>
  <c r="S78" i="2"/>
  <c r="J78" i="3"/>
  <c r="BN77" i="2"/>
  <c r="BO77" i="2"/>
  <c r="P78" i="3"/>
  <c r="AZ77" i="3"/>
  <c r="O78" i="3"/>
  <c r="R78" i="2"/>
  <c r="I78" i="3"/>
  <c r="AL78" i="3" l="1"/>
  <c r="BA78" i="2"/>
  <c r="AV78" i="3"/>
  <c r="BB77" i="3"/>
  <c r="BC77" i="3" s="1"/>
  <c r="W78" i="2"/>
  <c r="BQ77" i="2"/>
  <c r="BD77" i="3" l="1"/>
  <c r="BE77" i="3"/>
  <c r="Y78" i="2"/>
  <c r="X78" i="2"/>
  <c r="BP78" i="2" l="1"/>
  <c r="BK78" i="2"/>
  <c r="Z78" i="2"/>
  <c r="AA78" i="2" s="1"/>
  <c r="BG77" i="3"/>
  <c r="BH77" i="3" s="1"/>
  <c r="Q78" i="3"/>
  <c r="S78" i="3" l="1"/>
  <c r="BI77" i="3"/>
  <c r="BJ77" i="3"/>
  <c r="BL77" i="3" s="1"/>
  <c r="BM77" i="3" s="1"/>
  <c r="BN77" i="3" s="1"/>
  <c r="W78" i="3" s="1"/>
  <c r="AC78" i="2"/>
  <c r="AD78" i="2" s="1"/>
  <c r="R78" i="3"/>
  <c r="BA78" i="3" l="1"/>
  <c r="AE78" i="2"/>
  <c r="Y78" i="3"/>
  <c r="AF78" i="2"/>
  <c r="BO77" i="3"/>
  <c r="T78" i="3"/>
  <c r="BQ77" i="3"/>
  <c r="X78" i="3"/>
  <c r="BK78" i="3" l="1"/>
  <c r="AH78" i="2"/>
  <c r="AI78" i="2" s="1"/>
  <c r="B79" i="2"/>
  <c r="V78" i="3"/>
  <c r="U78" i="3"/>
  <c r="AK78" i="2" l="1"/>
  <c r="BP78" i="3"/>
  <c r="BF78" i="3"/>
  <c r="Z78" i="3"/>
  <c r="AA78" i="3" s="1"/>
  <c r="AM78" i="2"/>
  <c r="AN78" i="2" s="1"/>
  <c r="AO78" i="2" s="1"/>
  <c r="H79" i="2" s="1"/>
  <c r="D79" i="2"/>
  <c r="AJ78" i="2"/>
  <c r="C79" i="2"/>
  <c r="AB79" i="2" l="1"/>
  <c r="E79" i="2"/>
  <c r="J79" i="2"/>
  <c r="AP78" i="2"/>
  <c r="AC78" i="3"/>
  <c r="AD78" i="3" s="1"/>
  <c r="I79" i="2"/>
  <c r="AL79" i="2" l="1"/>
  <c r="AR78" i="2"/>
  <c r="AS78" i="2" s="1"/>
  <c r="AE78" i="3"/>
  <c r="G79" i="2"/>
  <c r="AF78" i="3"/>
  <c r="F79" i="2"/>
  <c r="AU78" i="2" l="1"/>
  <c r="AG79" i="2"/>
  <c r="AH78" i="3"/>
  <c r="AI78" i="3" s="1"/>
  <c r="AW78" i="2"/>
  <c r="AX78" i="2" s="1"/>
  <c r="AY78" i="2" s="1"/>
  <c r="N79" i="2" s="1"/>
  <c r="B79" i="3"/>
  <c r="AT78" i="2"/>
  <c r="K79" i="2" l="1"/>
  <c r="P79" i="2"/>
  <c r="AJ78" i="3"/>
  <c r="D79" i="3"/>
  <c r="AZ78" i="2"/>
  <c r="AK78" i="3"/>
  <c r="C79" i="3"/>
  <c r="O79" i="2"/>
  <c r="AV79" i="2" l="1"/>
  <c r="AB79" i="3"/>
  <c r="E79" i="3"/>
  <c r="AM78" i="3"/>
  <c r="AN78" i="3" s="1"/>
  <c r="BB78" i="2"/>
  <c r="BC78" i="2" s="1"/>
  <c r="M79" i="2"/>
  <c r="L79" i="2"/>
  <c r="AQ79" i="2" l="1"/>
  <c r="G79" i="3"/>
  <c r="AO78" i="3"/>
  <c r="AP78" i="3"/>
  <c r="BD78" i="2"/>
  <c r="BE78" i="2"/>
  <c r="F79" i="3"/>
  <c r="AG79" i="3" l="1"/>
  <c r="AR78" i="3"/>
  <c r="AS78" i="3" s="1"/>
  <c r="H79" i="3"/>
  <c r="Q79" i="2"/>
  <c r="BG78" i="2"/>
  <c r="BH78" i="2" s="1"/>
  <c r="BJ78" i="2" l="1"/>
  <c r="BL78" i="2" s="1"/>
  <c r="BM78" i="2" s="1"/>
  <c r="BN78" i="2" s="1"/>
  <c r="W79" i="2" s="1"/>
  <c r="Y79" i="2" s="1"/>
  <c r="S79" i="2"/>
  <c r="AT78" i="3"/>
  <c r="J79" i="3"/>
  <c r="AU78" i="3"/>
  <c r="BI78" i="2"/>
  <c r="BO78" i="2"/>
  <c r="I79" i="3"/>
  <c r="X79" i="2"/>
  <c r="R79" i="2"/>
  <c r="BA79" i="2" l="1"/>
  <c r="BK79" i="2"/>
  <c r="AL79" i="3"/>
  <c r="AW78" i="3"/>
  <c r="AX78" i="3" s="1"/>
  <c r="T79" i="2"/>
  <c r="BQ78" i="2"/>
  <c r="K79" i="3"/>
  <c r="AZ78" i="3" l="1"/>
  <c r="M79" i="3"/>
  <c r="AY78" i="3"/>
  <c r="V79" i="2"/>
  <c r="L79" i="3"/>
  <c r="U79" i="2"/>
  <c r="BP79" i="2" l="1"/>
  <c r="BF79" i="2"/>
  <c r="AQ79" i="3"/>
  <c r="Z79" i="2"/>
  <c r="AA79" i="2" s="1"/>
  <c r="N79" i="3"/>
  <c r="BB78" i="3"/>
  <c r="BC78" i="3" s="1"/>
  <c r="P79" i="3" l="1"/>
  <c r="AC79" i="2"/>
  <c r="AD79" i="2" s="1"/>
  <c r="BD78" i="3"/>
  <c r="BE78" i="3"/>
  <c r="O79" i="3"/>
  <c r="AV79" i="3" l="1"/>
  <c r="Q79" i="3"/>
  <c r="BG78" i="3"/>
  <c r="BH78" i="3" s="1"/>
  <c r="AE79" i="2"/>
  <c r="AF79" i="2"/>
  <c r="B80" i="2" l="1"/>
  <c r="BI78" i="3"/>
  <c r="AH79" i="2"/>
  <c r="AI79" i="2" s="1"/>
  <c r="BJ78" i="3"/>
  <c r="BL78" i="3" s="1"/>
  <c r="BM78" i="3" s="1"/>
  <c r="BN78" i="3" s="1"/>
  <c r="W79" i="3" s="1"/>
  <c r="S79" i="3"/>
  <c r="R79" i="3"/>
  <c r="BA79" i="3" l="1"/>
  <c r="AJ79" i="2"/>
  <c r="BO78" i="3"/>
  <c r="Y79" i="3"/>
  <c r="AK79" i="2"/>
  <c r="T79" i="3"/>
  <c r="BQ78" i="3"/>
  <c r="D80" i="2"/>
  <c r="C80" i="2"/>
  <c r="X79" i="3"/>
  <c r="BK79" i="3" l="1"/>
  <c r="AB80" i="2"/>
  <c r="E80" i="2"/>
  <c r="V79" i="3"/>
  <c r="AM79" i="2"/>
  <c r="AN79" i="2" s="1"/>
  <c r="U79" i="3"/>
  <c r="BP79" i="3" l="1"/>
  <c r="BF79" i="3"/>
  <c r="AP79" i="2"/>
  <c r="G80" i="2"/>
  <c r="AO79" i="2"/>
  <c r="Z79" i="3"/>
  <c r="AA79" i="3" s="1"/>
  <c r="F80" i="2"/>
  <c r="AG80" i="2" l="1"/>
  <c r="H80" i="2"/>
  <c r="AR79" i="2"/>
  <c r="AS79" i="2" s="1"/>
  <c r="AC79" i="3"/>
  <c r="AD79" i="3" s="1"/>
  <c r="AF79" i="3" l="1"/>
  <c r="AH79" i="3" s="1"/>
  <c r="AI79" i="3" s="1"/>
  <c r="AJ79" i="3" s="1"/>
  <c r="E80" i="3" s="1"/>
  <c r="AE79" i="3"/>
  <c r="J80" i="2"/>
  <c r="AT79" i="2"/>
  <c r="AU79" i="2"/>
  <c r="I80" i="2"/>
  <c r="AL80" i="2" l="1"/>
  <c r="AW79" i="2"/>
  <c r="AX79" i="2" s="1"/>
  <c r="B80" i="3"/>
  <c r="K80" i="2"/>
  <c r="G80" i="3"/>
  <c r="AK79" i="3"/>
  <c r="F80" i="3"/>
  <c r="AZ79" i="2" l="1"/>
  <c r="AG80" i="3"/>
  <c r="AY79" i="2"/>
  <c r="D80" i="3"/>
  <c r="AM79" i="3"/>
  <c r="AN79" i="3" s="1"/>
  <c r="M80" i="2"/>
  <c r="BB79" i="2"/>
  <c r="BC79" i="2" s="1"/>
  <c r="BD79" i="2" s="1"/>
  <c r="Q80" i="2" s="1"/>
  <c r="L80" i="2"/>
  <c r="C80" i="3"/>
  <c r="AP79" i="3" l="1"/>
  <c r="AB80" i="3"/>
  <c r="AQ80" i="2"/>
  <c r="AR79" i="3"/>
  <c r="AS79" i="3" s="1"/>
  <c r="AT79" i="3" s="1"/>
  <c r="K80" i="3" s="1"/>
  <c r="AO79" i="3"/>
  <c r="S80" i="2"/>
  <c r="BE79" i="2"/>
  <c r="N80" i="2"/>
  <c r="R80" i="2"/>
  <c r="BA80" i="2" l="1"/>
  <c r="BG79" i="2"/>
  <c r="BH79" i="2" s="1"/>
  <c r="H80" i="3"/>
  <c r="P80" i="2"/>
  <c r="M80" i="3"/>
  <c r="AU79" i="3"/>
  <c r="L80" i="3"/>
  <c r="O80" i="2"/>
  <c r="AV80" i="2" l="1"/>
  <c r="AQ80" i="3"/>
  <c r="AW79" i="3"/>
  <c r="AX79" i="3" s="1"/>
  <c r="BJ79" i="2"/>
  <c r="BL79" i="2" s="1"/>
  <c r="BM79" i="2" s="1"/>
  <c r="BN79" i="2" s="1"/>
  <c r="W80" i="2" s="1"/>
  <c r="J80" i="3"/>
  <c r="BI79" i="2"/>
  <c r="I80" i="3"/>
  <c r="AZ79" i="3" l="1"/>
  <c r="BB79" i="3" s="1"/>
  <c r="BC79" i="3" s="1"/>
  <c r="BD79" i="3" s="1"/>
  <c r="Q80" i="3" s="1"/>
  <c r="AL80" i="3"/>
  <c r="BO79" i="2"/>
  <c r="T80" i="2"/>
  <c r="BQ79" i="2"/>
  <c r="Y80" i="2"/>
  <c r="AY79" i="3"/>
  <c r="X80" i="2"/>
  <c r="BK80" i="2" l="1"/>
  <c r="V80" i="2"/>
  <c r="N80" i="3"/>
  <c r="BE79" i="3"/>
  <c r="S80" i="3"/>
  <c r="U80" i="2"/>
  <c r="R80" i="3"/>
  <c r="BA80" i="3" l="1"/>
  <c r="BP80" i="2"/>
  <c r="BF80" i="2"/>
  <c r="P80" i="3"/>
  <c r="BG79" i="3"/>
  <c r="BH79" i="3" s="1"/>
  <c r="Z80" i="2"/>
  <c r="AA80" i="2" s="1"/>
  <c r="O80" i="3"/>
  <c r="BJ79" i="3" l="1"/>
  <c r="BL79" i="3" s="1"/>
  <c r="BM79" i="3" s="1"/>
  <c r="BN79" i="3" s="1"/>
  <c r="W80" i="3" s="1"/>
  <c r="Y80" i="3" s="1"/>
  <c r="AV80" i="3"/>
  <c r="BI79" i="3"/>
  <c r="AC80" i="2"/>
  <c r="AD80" i="2" s="1"/>
  <c r="X80" i="3"/>
  <c r="BO79" i="3" l="1"/>
  <c r="BK80" i="3"/>
  <c r="T80" i="3"/>
  <c r="BQ79" i="3"/>
  <c r="AE80" i="2"/>
  <c r="AF80" i="2"/>
  <c r="AH80" i="2" l="1"/>
  <c r="AI80" i="2" s="1"/>
  <c r="B81" i="2"/>
  <c r="V80" i="3"/>
  <c r="U80" i="3"/>
  <c r="BP80" i="3" l="1"/>
  <c r="BF80" i="3"/>
  <c r="Z80" i="3"/>
  <c r="AA80" i="3" s="1"/>
  <c r="D81" i="2"/>
  <c r="AJ80" i="2"/>
  <c r="AK80" i="2"/>
  <c r="C81" i="2"/>
  <c r="AB81" i="2" l="1"/>
  <c r="AM80" i="2"/>
  <c r="AN80" i="2" s="1"/>
  <c r="E81" i="2"/>
  <c r="AC80" i="3"/>
  <c r="AD80" i="3" s="1"/>
  <c r="AE80" i="3" l="1"/>
  <c r="G81" i="2"/>
  <c r="AP80" i="2"/>
  <c r="AF80" i="3"/>
  <c r="AO80" i="2"/>
  <c r="F81" i="2"/>
  <c r="AG81" i="2" l="1"/>
  <c r="AH80" i="3"/>
  <c r="AI80" i="3" s="1"/>
  <c r="H81" i="2"/>
  <c r="AR80" i="2"/>
  <c r="AS80" i="2" s="1"/>
  <c r="B81" i="3"/>
  <c r="D81" i="3" l="1"/>
  <c r="AT80" i="2"/>
  <c r="J81" i="2"/>
  <c r="AK80" i="3"/>
  <c r="AU80" i="2"/>
  <c r="AJ80" i="3"/>
  <c r="C81" i="3"/>
  <c r="I81" i="2"/>
  <c r="AL81" i="2" l="1"/>
  <c r="AB81" i="3"/>
  <c r="AM80" i="3"/>
  <c r="AN80" i="3" s="1"/>
  <c r="K81" i="2"/>
  <c r="AW80" i="2"/>
  <c r="AX80" i="2" s="1"/>
  <c r="E81" i="3"/>
  <c r="AP80" i="3" l="1"/>
  <c r="AZ80" i="2"/>
  <c r="M81" i="2"/>
  <c r="G81" i="3"/>
  <c r="AY80" i="2"/>
  <c r="AR80" i="3"/>
  <c r="AS80" i="3" s="1"/>
  <c r="AT80" i="3" s="1"/>
  <c r="K81" i="3" s="1"/>
  <c r="AO80" i="3"/>
  <c r="L81" i="2"/>
  <c r="F81" i="3"/>
  <c r="AU80" i="3" l="1"/>
  <c r="AG81" i="3"/>
  <c r="AQ81" i="2"/>
  <c r="AW80" i="3"/>
  <c r="AX80" i="3" s="1"/>
  <c r="N81" i="2"/>
  <c r="H81" i="3"/>
  <c r="M81" i="3"/>
  <c r="BB80" i="2"/>
  <c r="BC80" i="2" s="1"/>
  <c r="L81" i="3"/>
  <c r="BE80" i="2" l="1"/>
  <c r="BG80" i="2" s="1"/>
  <c r="BH80" i="2" s="1"/>
  <c r="BI80" i="2" s="1"/>
  <c r="T81" i="2" s="1"/>
  <c r="AQ81" i="3"/>
  <c r="BD80" i="2"/>
  <c r="AZ80" i="3"/>
  <c r="J81" i="3"/>
  <c r="P81" i="2"/>
  <c r="AY80" i="3"/>
  <c r="O81" i="2"/>
  <c r="I81" i="3"/>
  <c r="AL81" i="3" l="1"/>
  <c r="AV81" i="2"/>
  <c r="BB80" i="3"/>
  <c r="BC80" i="3" s="1"/>
  <c r="Q81" i="2"/>
  <c r="V81" i="2"/>
  <c r="N81" i="3"/>
  <c r="BJ80" i="2"/>
  <c r="BL80" i="2" s="1"/>
  <c r="BM80" i="2" s="1"/>
  <c r="U81" i="2"/>
  <c r="BF81" i="2" l="1"/>
  <c r="BE80" i="3"/>
  <c r="S81" i="2"/>
  <c r="BN80" i="2"/>
  <c r="BO80" i="2"/>
  <c r="P81" i="3"/>
  <c r="BD80" i="3"/>
  <c r="R81" i="2"/>
  <c r="O81" i="3"/>
  <c r="AV81" i="3" l="1"/>
  <c r="BA81" i="2"/>
  <c r="W81" i="2"/>
  <c r="BQ80" i="2"/>
  <c r="Q81" i="3"/>
  <c r="BG80" i="3"/>
  <c r="BH80" i="3" s="1"/>
  <c r="S81" i="3" l="1"/>
  <c r="Y81" i="2"/>
  <c r="BI80" i="3"/>
  <c r="BJ80" i="3"/>
  <c r="BL80" i="3" s="1"/>
  <c r="BM80" i="3" s="1"/>
  <c r="BN80" i="3" s="1"/>
  <c r="W81" i="3" s="1"/>
  <c r="X81" i="2"/>
  <c r="R81" i="3"/>
  <c r="BA81" i="3" l="1"/>
  <c r="BP81" i="2"/>
  <c r="BK81" i="2"/>
  <c r="Z81" i="2"/>
  <c r="AA81" i="2" s="1"/>
  <c r="Y81" i="3"/>
  <c r="T81" i="3"/>
  <c r="BQ80" i="3"/>
  <c r="BO80" i="3"/>
  <c r="X81" i="3"/>
  <c r="BK81" i="3" l="1"/>
  <c r="AC81" i="2"/>
  <c r="AD81" i="2" s="1"/>
  <c r="V81" i="3"/>
  <c r="U81" i="3"/>
  <c r="BP81" i="3" l="1"/>
  <c r="BF81" i="3"/>
  <c r="Z81" i="3"/>
  <c r="AA81" i="3" s="1"/>
  <c r="AE81" i="2"/>
  <c r="AF81" i="2"/>
  <c r="AH81" i="2" l="1"/>
  <c r="AI81" i="2" s="1"/>
  <c r="B82" i="2"/>
  <c r="AC81" i="3"/>
  <c r="AD81" i="3" s="1"/>
  <c r="AK81" i="2" l="1"/>
  <c r="AE81" i="3"/>
  <c r="AM81" i="2"/>
  <c r="AN81" i="2" s="1"/>
  <c r="AO81" i="2" s="1"/>
  <c r="H82" i="2" s="1"/>
  <c r="AF81" i="3"/>
  <c r="D82" i="2"/>
  <c r="AJ81" i="2"/>
  <c r="C82" i="2"/>
  <c r="AB82" i="2" l="1"/>
  <c r="J82" i="2"/>
  <c r="E82" i="2"/>
  <c r="AH81" i="3"/>
  <c r="AI81" i="3" s="1"/>
  <c r="AP81" i="2"/>
  <c r="B82" i="3"/>
  <c r="I82" i="2"/>
  <c r="AL82" i="2" l="1"/>
  <c r="AJ81" i="3"/>
  <c r="AR81" i="2"/>
  <c r="AS81" i="2" s="1"/>
  <c r="G82" i="2"/>
  <c r="D82" i="3"/>
  <c r="AK81" i="3"/>
  <c r="C82" i="3"/>
  <c r="F82" i="2"/>
  <c r="AG82" i="2" l="1"/>
  <c r="AB82" i="3"/>
  <c r="AT81" i="2"/>
  <c r="AU81" i="2"/>
  <c r="E82" i="3"/>
  <c r="AM81" i="3"/>
  <c r="AN81" i="3" s="1"/>
  <c r="AW81" i="2" l="1"/>
  <c r="AX81" i="2" s="1"/>
  <c r="G82" i="3"/>
  <c r="AO81" i="3"/>
  <c r="K82" i="2"/>
  <c r="AP81" i="3"/>
  <c r="F82" i="3"/>
  <c r="AG82" i="3" l="1"/>
  <c r="H82" i="3"/>
  <c r="M82" i="2"/>
  <c r="AR81" i="3"/>
  <c r="AS81" i="3" s="1"/>
  <c r="AY81" i="2"/>
  <c r="AZ81" i="2"/>
  <c r="L82" i="2"/>
  <c r="AQ82" i="2" l="1"/>
  <c r="BB81" i="2"/>
  <c r="BC81" i="2" s="1"/>
  <c r="AT81" i="3"/>
  <c r="J82" i="3"/>
  <c r="N82" i="2"/>
  <c r="AU81" i="3"/>
  <c r="I82" i="3"/>
  <c r="AL82" i="3" l="1"/>
  <c r="BD81" i="2"/>
  <c r="K82" i="3"/>
  <c r="AW81" i="3"/>
  <c r="AX81" i="3" s="1"/>
  <c r="BE81" i="2"/>
  <c r="P82" i="2"/>
  <c r="O82" i="2"/>
  <c r="AV82" i="2" l="1"/>
  <c r="M82" i="3"/>
  <c r="AZ81" i="3"/>
  <c r="BG81" i="2"/>
  <c r="BH81" i="2" s="1"/>
  <c r="AY81" i="3"/>
  <c r="Q82" i="2"/>
  <c r="L82" i="3"/>
  <c r="AQ82" i="3" l="1"/>
  <c r="BI81" i="2"/>
  <c r="BB81" i="3"/>
  <c r="BC81" i="3" s="1"/>
  <c r="BJ81" i="2"/>
  <c r="BL81" i="2" s="1"/>
  <c r="BM81" i="2" s="1"/>
  <c r="BN81" i="2" s="1"/>
  <c r="W82" i="2" s="1"/>
  <c r="S82" i="2"/>
  <c r="N82" i="3"/>
  <c r="R82" i="2"/>
  <c r="BA82" i="2" l="1"/>
  <c r="BD81" i="3"/>
  <c r="BE81" i="3"/>
  <c r="P82" i="3"/>
  <c r="Y82" i="2"/>
  <c r="BO81" i="2"/>
  <c r="T82" i="2"/>
  <c r="BQ81" i="2"/>
  <c r="X82" i="2"/>
  <c r="O82" i="3"/>
  <c r="AV82" i="3" l="1"/>
  <c r="BK82" i="2"/>
  <c r="BG81" i="3"/>
  <c r="BH81" i="3" s="1"/>
  <c r="V82" i="2"/>
  <c r="Q82" i="3"/>
  <c r="U82" i="2"/>
  <c r="BP82" i="2" l="1"/>
  <c r="BF82" i="2"/>
  <c r="BJ81" i="3"/>
  <c r="BL81" i="3" s="1"/>
  <c r="BM81" i="3" s="1"/>
  <c r="BN81" i="3" s="1"/>
  <c r="W82" i="3" s="1"/>
  <c r="BI81" i="3"/>
  <c r="S82" i="3"/>
  <c r="Z82" i="2"/>
  <c r="AA82" i="2" s="1"/>
  <c r="R82" i="3"/>
  <c r="BO81" i="3" l="1"/>
  <c r="BA82" i="3"/>
  <c r="AC82" i="2"/>
  <c r="AD82" i="2" s="1"/>
  <c r="Y82" i="3"/>
  <c r="T82" i="3"/>
  <c r="BQ81" i="3"/>
  <c r="X82" i="3"/>
  <c r="BK82" i="3" l="1"/>
  <c r="V82" i="3"/>
  <c r="AF82" i="2"/>
  <c r="AE82" i="2"/>
  <c r="U82" i="3"/>
  <c r="BP82" i="3" l="1"/>
  <c r="BF82" i="3"/>
  <c r="B83" i="2"/>
  <c r="AH82" i="2"/>
  <c r="AI82" i="2" s="1"/>
  <c r="Z82" i="3"/>
  <c r="AA82" i="3" s="1"/>
  <c r="AJ82" i="2" l="1"/>
  <c r="AK82" i="2"/>
  <c r="D83" i="2"/>
  <c r="AC82" i="3"/>
  <c r="AD82" i="3" s="1"/>
  <c r="C83" i="2"/>
  <c r="AB83" i="2" l="1"/>
  <c r="AF82" i="3"/>
  <c r="AE82" i="3"/>
  <c r="AM82" i="2"/>
  <c r="AN82" i="2" s="1"/>
  <c r="E83" i="2"/>
  <c r="AP82" i="2" l="1"/>
  <c r="AO82" i="2"/>
  <c r="B83" i="3"/>
  <c r="G83" i="2"/>
  <c r="AH82" i="3"/>
  <c r="AI82" i="3" s="1"/>
  <c r="F83" i="2"/>
  <c r="AG83" i="2" l="1"/>
  <c r="AJ82" i="3"/>
  <c r="AK82" i="3"/>
  <c r="D83" i="3"/>
  <c r="H83" i="2"/>
  <c r="AR82" i="2"/>
  <c r="AS82" i="2" s="1"/>
  <c r="C83" i="3"/>
  <c r="AB83" i="3" l="1"/>
  <c r="AM82" i="3"/>
  <c r="AN82" i="3" s="1"/>
  <c r="AT82" i="2"/>
  <c r="E83" i="3"/>
  <c r="AU82" i="2"/>
  <c r="J83" i="2"/>
  <c r="I83" i="2"/>
  <c r="AP82" i="3" l="1"/>
  <c r="AL83" i="2"/>
  <c r="G83" i="3"/>
  <c r="AW82" i="2"/>
  <c r="AX82" i="2" s="1"/>
  <c r="AR82" i="3"/>
  <c r="AS82" i="3" s="1"/>
  <c r="AT82" i="3" s="1"/>
  <c r="K83" i="3" s="1"/>
  <c r="K83" i="2"/>
  <c r="AO82" i="3"/>
  <c r="F83" i="3"/>
  <c r="AU82" i="3" l="1"/>
  <c r="AG83" i="3"/>
  <c r="AY82" i="2"/>
  <c r="AW82" i="3"/>
  <c r="AX82" i="3" s="1"/>
  <c r="AZ82" i="2"/>
  <c r="H83" i="3"/>
  <c r="M83" i="2"/>
  <c r="M83" i="3"/>
  <c r="L83" i="2"/>
  <c r="L83" i="3"/>
  <c r="AZ82" i="3" l="1"/>
  <c r="AQ83" i="3"/>
  <c r="AQ83" i="2"/>
  <c r="BB82" i="2"/>
  <c r="BC82" i="2" s="1"/>
  <c r="BB82" i="3"/>
  <c r="BC82" i="3" s="1"/>
  <c r="BD82" i="3" s="1"/>
  <c r="Q83" i="3" s="1"/>
  <c r="J83" i="3"/>
  <c r="AY82" i="3"/>
  <c r="N83" i="2"/>
  <c r="I83" i="3"/>
  <c r="AL83" i="3" l="1"/>
  <c r="S83" i="3"/>
  <c r="BE82" i="3"/>
  <c r="BD82" i="2"/>
  <c r="N83" i="3"/>
  <c r="P83" i="2"/>
  <c r="BE82" i="2"/>
  <c r="O83" i="2"/>
  <c r="R83" i="3"/>
  <c r="BA83" i="3" l="1"/>
  <c r="AV83" i="2"/>
  <c r="P83" i="3"/>
  <c r="Q83" i="2"/>
  <c r="BG82" i="3"/>
  <c r="BH82" i="3" s="1"/>
  <c r="BG82" i="2"/>
  <c r="BH82" i="2" s="1"/>
  <c r="O83" i="3"/>
  <c r="AV83" i="3" l="1"/>
  <c r="S83" i="2"/>
  <c r="BJ82" i="2"/>
  <c r="BL82" i="2" s="1"/>
  <c r="BM82" i="2" s="1"/>
  <c r="BN82" i="2" s="1"/>
  <c r="W83" i="2" s="1"/>
  <c r="BJ82" i="3"/>
  <c r="BL82" i="3" s="1"/>
  <c r="BM82" i="3" s="1"/>
  <c r="BN82" i="3" s="1"/>
  <c r="W83" i="3" s="1"/>
  <c r="BI82" i="2"/>
  <c r="BI82" i="3"/>
  <c r="R83" i="2"/>
  <c r="BA83" i="2" l="1"/>
  <c r="Y83" i="3"/>
  <c r="Y83" i="2"/>
  <c r="BO82" i="3"/>
  <c r="T83" i="2"/>
  <c r="BQ82" i="2"/>
  <c r="T83" i="3"/>
  <c r="BQ82" i="3"/>
  <c r="BO82" i="2"/>
  <c r="X83" i="2"/>
  <c r="X83" i="3"/>
  <c r="BK83" i="3" l="1"/>
  <c r="BK83" i="2"/>
  <c r="V83" i="3"/>
  <c r="V83" i="2"/>
  <c r="U83" i="2"/>
  <c r="U83" i="3"/>
  <c r="BP83" i="3" l="1"/>
  <c r="BF83" i="3"/>
  <c r="BP83" i="2"/>
  <c r="BF83" i="2"/>
  <c r="Z83" i="3"/>
  <c r="AA83" i="3" s="1"/>
  <c r="Z83" i="2"/>
  <c r="AA83" i="2" s="1"/>
  <c r="AC83" i="2" l="1"/>
  <c r="AD83" i="2" s="1"/>
  <c r="AC83" i="3"/>
  <c r="AD83" i="3" s="1"/>
  <c r="AF83" i="2" l="1"/>
  <c r="AF83" i="3"/>
  <c r="AE83" i="3"/>
  <c r="AH83" i="2"/>
  <c r="AI83" i="2" s="1"/>
  <c r="AJ83" i="2" s="1"/>
  <c r="E84" i="2" s="1"/>
  <c r="AE83" i="2"/>
  <c r="G84" i="2" l="1"/>
  <c r="B84" i="2"/>
  <c r="AK83" i="2"/>
  <c r="B84" i="3"/>
  <c r="AH83" i="3"/>
  <c r="AI83" i="3" s="1"/>
  <c r="F84" i="2"/>
  <c r="AG84" i="2" l="1"/>
  <c r="AM83" i="2"/>
  <c r="AN83" i="2" s="1"/>
  <c r="AJ83" i="3"/>
  <c r="AK83" i="3"/>
  <c r="D84" i="3"/>
  <c r="D84" i="2"/>
  <c r="C84" i="2"/>
  <c r="C84" i="3"/>
  <c r="AB84" i="3" l="1"/>
  <c r="AB84" i="2"/>
  <c r="AP83" i="2"/>
  <c r="E84" i="3"/>
  <c r="AO83" i="2"/>
  <c r="AM83" i="3"/>
  <c r="AN83" i="3" s="1"/>
  <c r="G84" i="3" l="1"/>
  <c r="AR83" i="2"/>
  <c r="AS83" i="2" s="1"/>
  <c r="H84" i="2"/>
  <c r="AO83" i="3"/>
  <c r="AP83" i="3"/>
  <c r="F84" i="3"/>
  <c r="AG84" i="3" l="1"/>
  <c r="J84" i="2"/>
  <c r="AR83" i="3"/>
  <c r="AS83" i="3" s="1"/>
  <c r="H84" i="3"/>
  <c r="AT83" i="2"/>
  <c r="AU83" i="2"/>
  <c r="I84" i="2"/>
  <c r="AL84" i="2" l="1"/>
  <c r="J84" i="3"/>
  <c r="AU83" i="3"/>
  <c r="AT83" i="3"/>
  <c r="AW83" i="2"/>
  <c r="AX83" i="2" s="1"/>
  <c r="K84" i="2"/>
  <c r="I84" i="3"/>
  <c r="AL84" i="3" l="1"/>
  <c r="K84" i="3"/>
  <c r="AW83" i="3"/>
  <c r="AX83" i="3" s="1"/>
  <c r="AY83" i="2"/>
  <c r="M84" i="2"/>
  <c r="AZ83" i="2"/>
  <c r="L84" i="2"/>
  <c r="AZ83" i="3" l="1"/>
  <c r="AQ84" i="2"/>
  <c r="N84" i="2"/>
  <c r="BB83" i="3"/>
  <c r="BC83" i="3" s="1"/>
  <c r="BD83" i="3" s="1"/>
  <c r="Q84" i="3" s="1"/>
  <c r="BB83" i="2"/>
  <c r="BC83" i="2" s="1"/>
  <c r="AY83" i="3"/>
  <c r="M84" i="3"/>
  <c r="L84" i="3"/>
  <c r="AQ84" i="3" l="1"/>
  <c r="S84" i="3"/>
  <c r="N84" i="3"/>
  <c r="BE83" i="2"/>
  <c r="BD83" i="2"/>
  <c r="BE83" i="3"/>
  <c r="P84" i="2"/>
  <c r="O84" i="2"/>
  <c r="R84" i="3"/>
  <c r="BA84" i="3" l="1"/>
  <c r="AV84" i="2"/>
  <c r="BG83" i="2"/>
  <c r="BH83" i="2" s="1"/>
  <c r="P84" i="3"/>
  <c r="BG83" i="3"/>
  <c r="BH83" i="3" s="1"/>
  <c r="Q84" i="2"/>
  <c r="O84" i="3"/>
  <c r="BJ83" i="3" l="1"/>
  <c r="BL83" i="3" s="1"/>
  <c r="BM83" i="3" s="1"/>
  <c r="BN83" i="3" s="1"/>
  <c r="W84" i="3" s="1"/>
  <c r="Y84" i="3" s="1"/>
  <c r="AV84" i="3"/>
  <c r="BJ83" i="2"/>
  <c r="BL83" i="2" s="1"/>
  <c r="BM83" i="2" s="1"/>
  <c r="BN83" i="2" s="1"/>
  <c r="W84" i="2" s="1"/>
  <c r="BI83" i="2"/>
  <c r="S84" i="2"/>
  <c r="BI83" i="3"/>
  <c r="BO83" i="3"/>
  <c r="X84" i="3"/>
  <c r="R84" i="2"/>
  <c r="BA84" i="2" l="1"/>
  <c r="BK84" i="3"/>
  <c r="T84" i="2"/>
  <c r="BQ83" i="2"/>
  <c r="Y84" i="2"/>
  <c r="BO83" i="2"/>
  <c r="T84" i="3"/>
  <c r="BQ83" i="3"/>
  <c r="X84" i="2"/>
  <c r="BK84" i="2" l="1"/>
  <c r="V84" i="2"/>
  <c r="V84" i="3"/>
  <c r="U84" i="3"/>
  <c r="U84" i="2"/>
  <c r="BP84" i="2" l="1"/>
  <c r="BF84" i="2"/>
  <c r="BP84" i="3"/>
  <c r="BF84" i="3"/>
  <c r="Z84" i="3"/>
  <c r="AA84" i="3" s="1"/>
  <c r="Z84" i="2"/>
  <c r="AA84" i="2" s="1"/>
  <c r="AC84" i="2" l="1"/>
  <c r="AD84" i="2" s="1"/>
  <c r="AC84" i="3"/>
  <c r="AD84" i="3" s="1"/>
  <c r="AF84" i="3" l="1"/>
  <c r="AH84" i="3"/>
  <c r="AI84" i="3" s="1"/>
  <c r="AJ84" i="3" s="1"/>
  <c r="E85" i="3" s="1"/>
  <c r="AE84" i="3"/>
  <c r="AE84" i="2"/>
  <c r="AF84" i="2"/>
  <c r="AH84" i="2" l="1"/>
  <c r="AI84" i="2" s="1"/>
  <c r="B85" i="3"/>
  <c r="B85" i="2"/>
  <c r="G85" i="3"/>
  <c r="AK84" i="3"/>
  <c r="F85" i="3"/>
  <c r="AK84" i="2" l="1"/>
  <c r="AG85" i="3"/>
  <c r="AM84" i="3"/>
  <c r="AN84" i="3" s="1"/>
  <c r="D85" i="2"/>
  <c r="D85" i="3"/>
  <c r="AM84" i="2"/>
  <c r="AN84" i="2" s="1"/>
  <c r="AO84" i="2" s="1"/>
  <c r="H85" i="2" s="1"/>
  <c r="AJ84" i="2"/>
  <c r="C85" i="3"/>
  <c r="C85" i="2"/>
  <c r="AB85" i="2" l="1"/>
  <c r="AB85" i="3"/>
  <c r="J85" i="2"/>
  <c r="E85" i="2"/>
  <c r="AO84" i="3"/>
  <c r="AP84" i="3"/>
  <c r="AP84" i="2"/>
  <c r="I85" i="2"/>
  <c r="AL85" i="2" l="1"/>
  <c r="AR84" i="2"/>
  <c r="AS84" i="2" s="1"/>
  <c r="AR84" i="3"/>
  <c r="AS84" i="3" s="1"/>
  <c r="H85" i="3"/>
  <c r="G85" i="2"/>
  <c r="F85" i="2"/>
  <c r="AU84" i="2" l="1"/>
  <c r="AG85" i="2"/>
  <c r="J85" i="3"/>
  <c r="AU84" i="3"/>
  <c r="AT84" i="3"/>
  <c r="AW84" i="2"/>
  <c r="AX84" i="2" s="1"/>
  <c r="AY84" i="2" s="1"/>
  <c r="N85" i="2" s="1"/>
  <c r="AT84" i="2"/>
  <c r="I85" i="3"/>
  <c r="AL85" i="3" l="1"/>
  <c r="AZ84" i="2"/>
  <c r="K85" i="3"/>
  <c r="P85" i="2"/>
  <c r="AW84" i="3"/>
  <c r="AX84" i="3" s="1"/>
  <c r="K85" i="2"/>
  <c r="O85" i="2"/>
  <c r="AV85" i="2" l="1"/>
  <c r="M85" i="3"/>
  <c r="BB84" i="2"/>
  <c r="BC84" i="2" s="1"/>
  <c r="AY84" i="3"/>
  <c r="M85" i="2"/>
  <c r="AZ84" i="3"/>
  <c r="L85" i="2"/>
  <c r="L85" i="3"/>
  <c r="AQ85" i="3" l="1"/>
  <c r="AQ85" i="2"/>
  <c r="N85" i="3"/>
  <c r="BD84" i="2"/>
  <c r="BB84" i="3"/>
  <c r="BC84" i="3" s="1"/>
  <c r="BE84" i="2"/>
  <c r="BD84" i="3" l="1"/>
  <c r="BE84" i="3"/>
  <c r="P85" i="3"/>
  <c r="Q85" i="2"/>
  <c r="BG84" i="2"/>
  <c r="BH84" i="2" s="1"/>
  <c r="O85" i="3"/>
  <c r="AV85" i="3" l="1"/>
  <c r="S85" i="2"/>
  <c r="BG84" i="3"/>
  <c r="BH84" i="3" s="1"/>
  <c r="BI84" i="2"/>
  <c r="BJ84" i="2"/>
  <c r="BL84" i="2" s="1"/>
  <c r="BM84" i="2" s="1"/>
  <c r="BN84" i="2" s="1"/>
  <c r="W85" i="2" s="1"/>
  <c r="Q85" i="3"/>
  <c r="R85" i="2"/>
  <c r="BA85" i="2" l="1"/>
  <c r="T85" i="2"/>
  <c r="BQ84" i="2"/>
  <c r="BJ84" i="3"/>
  <c r="BL84" i="3" s="1"/>
  <c r="BM84" i="3" s="1"/>
  <c r="BN84" i="3" s="1"/>
  <c r="W85" i="3" s="1"/>
  <c r="BI84" i="3"/>
  <c r="S85" i="3"/>
  <c r="Y85" i="2"/>
  <c r="BO84" i="2"/>
  <c r="X85" i="2"/>
  <c r="R85" i="3"/>
  <c r="BO84" i="3" l="1"/>
  <c r="BA85" i="3"/>
  <c r="BK85" i="2"/>
  <c r="Y85" i="3"/>
  <c r="T85" i="3"/>
  <c r="BQ84" i="3"/>
  <c r="V85" i="2"/>
  <c r="U85" i="2"/>
  <c r="X85" i="3"/>
  <c r="BK85" i="3" l="1"/>
  <c r="BP85" i="2"/>
  <c r="BF85" i="2"/>
  <c r="Z85" i="2"/>
  <c r="AA85" i="2" s="1"/>
  <c r="V85" i="3"/>
  <c r="U85" i="3"/>
  <c r="BP85" i="3" l="1"/>
  <c r="BF85" i="3"/>
  <c r="AC85" i="2"/>
  <c r="AD85" i="2" s="1"/>
  <c r="Z85" i="3"/>
  <c r="AA85" i="3" s="1"/>
  <c r="AE85" i="2" l="1"/>
  <c r="AC85" i="3"/>
  <c r="AD85" i="3" s="1"/>
  <c r="AF85" i="2"/>
  <c r="AF85" i="3" l="1"/>
  <c r="AH85" i="3" s="1"/>
  <c r="AH85" i="2"/>
  <c r="AI85" i="2" s="1"/>
  <c r="AE85" i="3"/>
  <c r="B86" i="2"/>
  <c r="AI85" i="3" l="1"/>
  <c r="AJ85" i="3" s="1"/>
  <c r="E86" i="3" s="1"/>
  <c r="AK85" i="3"/>
  <c r="B86" i="3"/>
  <c r="D86" i="2"/>
  <c r="AJ85" i="2"/>
  <c r="AM85" i="3"/>
  <c r="AN85" i="3" s="1"/>
  <c r="AK85" i="2"/>
  <c r="G86" i="3"/>
  <c r="C86" i="2"/>
  <c r="F86" i="3"/>
  <c r="AG86" i="3" l="1"/>
  <c r="AB86" i="2"/>
  <c r="AO85" i="3"/>
  <c r="AP85" i="3"/>
  <c r="E86" i="2"/>
  <c r="AM85" i="2"/>
  <c r="AN85" i="2" s="1"/>
  <c r="D86" i="3"/>
  <c r="C86" i="3"/>
  <c r="AB86" i="3" l="1"/>
  <c r="G86" i="2"/>
  <c r="AR85" i="3"/>
  <c r="AS85" i="3" s="1"/>
  <c r="H86" i="3"/>
  <c r="AO85" i="2"/>
  <c r="AP85" i="2"/>
  <c r="F86" i="2"/>
  <c r="AU85" i="3" l="1"/>
  <c r="AG86" i="2"/>
  <c r="AW85" i="3"/>
  <c r="AX85" i="3" s="1"/>
  <c r="AY85" i="3" s="1"/>
  <c r="N86" i="3" s="1"/>
  <c r="AT85" i="3"/>
  <c r="J86" i="3"/>
  <c r="AR85" i="2"/>
  <c r="AS85" i="2" s="1"/>
  <c r="H86" i="2"/>
  <c r="I86" i="3"/>
  <c r="AU85" i="2" l="1"/>
  <c r="AL86" i="3"/>
  <c r="AW85" i="2"/>
  <c r="AX85" i="2" s="1"/>
  <c r="AY85" i="2" s="1"/>
  <c r="N86" i="2" s="1"/>
  <c r="P86" i="3"/>
  <c r="K86" i="3"/>
  <c r="AZ85" i="3"/>
  <c r="J86" i="2"/>
  <c r="AT85" i="2"/>
  <c r="I86" i="2"/>
  <c r="O86" i="3"/>
  <c r="AV86" i="3" l="1"/>
  <c r="AL86" i="2"/>
  <c r="BB85" i="3"/>
  <c r="BC85" i="3" s="1"/>
  <c r="P86" i="2"/>
  <c r="AZ85" i="2"/>
  <c r="M86" i="3"/>
  <c r="K86" i="2"/>
  <c r="O86" i="2"/>
  <c r="L86" i="3"/>
  <c r="AQ86" i="3" l="1"/>
  <c r="AV86" i="2"/>
  <c r="M86" i="2"/>
  <c r="BD85" i="3"/>
  <c r="BE85" i="3"/>
  <c r="BB85" i="2"/>
  <c r="BC85" i="2" s="1"/>
  <c r="L86" i="2"/>
  <c r="BE85" i="2" l="1"/>
  <c r="AQ86" i="2"/>
  <c r="BG85" i="2"/>
  <c r="BH85" i="2" s="1"/>
  <c r="BI85" i="2" s="1"/>
  <c r="T86" i="2" s="1"/>
  <c r="BD85" i="2"/>
  <c r="BG85" i="3"/>
  <c r="BH85" i="3" s="1"/>
  <c r="Q86" i="3"/>
  <c r="Q86" i="2" l="1"/>
  <c r="S86" i="3"/>
  <c r="BJ85" i="3"/>
  <c r="BL85" i="3" s="1"/>
  <c r="BM85" i="3" s="1"/>
  <c r="BN85" i="3" s="1"/>
  <c r="W86" i="3" s="1"/>
  <c r="BJ85" i="2"/>
  <c r="BL85" i="2" s="1"/>
  <c r="BM85" i="2" s="1"/>
  <c r="BI85" i="3"/>
  <c r="V86" i="2"/>
  <c r="U86" i="2"/>
  <c r="R86" i="3"/>
  <c r="BA86" i="3" l="1"/>
  <c r="BF86" i="2"/>
  <c r="T86" i="3"/>
  <c r="BQ85" i="3"/>
  <c r="BO85" i="3"/>
  <c r="Y86" i="3"/>
  <c r="BN85" i="2"/>
  <c r="BO85" i="2"/>
  <c r="S86" i="2"/>
  <c r="R86" i="2"/>
  <c r="X86" i="3"/>
  <c r="BK86" i="3" l="1"/>
  <c r="BA86" i="2"/>
  <c r="V86" i="3"/>
  <c r="W86" i="2"/>
  <c r="BQ85" i="2"/>
  <c r="U86" i="3"/>
  <c r="BP86" i="3" l="1"/>
  <c r="BF86" i="3"/>
  <c r="Z86" i="3"/>
  <c r="AA86" i="3" s="1"/>
  <c r="Y86" i="2"/>
  <c r="X86" i="2"/>
  <c r="BP86" i="2" l="1"/>
  <c r="BK86" i="2"/>
  <c r="AC86" i="3"/>
  <c r="AD86" i="3" s="1"/>
  <c r="Z86" i="2"/>
  <c r="AA86" i="2" s="1"/>
  <c r="AE86" i="3" l="1"/>
  <c r="AC86" i="2"/>
  <c r="AD86" i="2" s="1"/>
  <c r="AF86" i="3"/>
  <c r="AE86" i="2" l="1"/>
  <c r="AH86" i="3"/>
  <c r="AI86" i="3" s="1"/>
  <c r="AF86" i="2"/>
  <c r="B87" i="3"/>
  <c r="AJ86" i="3" l="1"/>
  <c r="D87" i="3"/>
  <c r="AH86" i="2"/>
  <c r="AI86" i="2" s="1"/>
  <c r="AK86" i="3"/>
  <c r="B87" i="2"/>
  <c r="C87" i="3"/>
  <c r="AK86" i="2" l="1"/>
  <c r="AB87" i="3"/>
  <c r="AM86" i="2"/>
  <c r="AN86" i="2" s="1"/>
  <c r="AO86" i="2" s="1"/>
  <c r="H87" i="2" s="1"/>
  <c r="D87" i="2"/>
  <c r="AM86" i="3"/>
  <c r="AN86" i="3" s="1"/>
  <c r="AJ86" i="2"/>
  <c r="E87" i="3"/>
  <c r="C87" i="2"/>
  <c r="AB87" i="2" l="1"/>
  <c r="AO86" i="3"/>
  <c r="AP86" i="3"/>
  <c r="J87" i="2"/>
  <c r="AP86" i="2"/>
  <c r="E87" i="2"/>
  <c r="G87" i="3"/>
  <c r="I87" i="2"/>
  <c r="F87" i="3"/>
  <c r="AG87" i="3" l="1"/>
  <c r="AL87" i="2"/>
  <c r="G87" i="2"/>
  <c r="AR86" i="2"/>
  <c r="AS86" i="2" s="1"/>
  <c r="AR86" i="3"/>
  <c r="AS86" i="3" s="1"/>
  <c r="H87" i="3"/>
  <c r="F87" i="2"/>
  <c r="AG87" i="2" l="1"/>
  <c r="AT86" i="2"/>
  <c r="AU86" i="2"/>
  <c r="J87" i="3"/>
  <c r="AT86" i="3"/>
  <c r="AU86" i="3"/>
  <c r="I87" i="3"/>
  <c r="AL87" i="3" l="1"/>
  <c r="AW86" i="2"/>
  <c r="AX86" i="2" s="1"/>
  <c r="K87" i="2"/>
  <c r="AW86" i="3"/>
  <c r="AX86" i="3" s="1"/>
  <c r="K87" i="3"/>
  <c r="AZ86" i="3" l="1"/>
  <c r="M87" i="2"/>
  <c r="BB86" i="3"/>
  <c r="BC86" i="3" s="1"/>
  <c r="BD86" i="3" s="1"/>
  <c r="Q87" i="3" s="1"/>
  <c r="AY86" i="2"/>
  <c r="M87" i="3"/>
  <c r="AY86" i="3"/>
  <c r="AZ86" i="2"/>
  <c r="L87" i="2"/>
  <c r="L87" i="3"/>
  <c r="AQ87" i="3" l="1"/>
  <c r="AQ87" i="2"/>
  <c r="N87" i="2"/>
  <c r="BE86" i="3"/>
  <c r="BB86" i="2"/>
  <c r="BC86" i="2" s="1"/>
  <c r="S87" i="3"/>
  <c r="N87" i="3"/>
  <c r="R87" i="3"/>
  <c r="BA87" i="3" l="1"/>
  <c r="P87" i="3"/>
  <c r="P87" i="2"/>
  <c r="BD86" i="2"/>
  <c r="BE86" i="2"/>
  <c r="BG86" i="3"/>
  <c r="BH86" i="3" s="1"/>
  <c r="O87" i="3"/>
  <c r="O87" i="2"/>
  <c r="BJ86" i="3" l="1"/>
  <c r="BL86" i="3" s="1"/>
  <c r="BM86" i="3" s="1"/>
  <c r="BN86" i="3" s="1"/>
  <c r="W87" i="3" s="1"/>
  <c r="AV87" i="2"/>
  <c r="AV87" i="3"/>
  <c r="Y87" i="3"/>
  <c r="Q87" i="2"/>
  <c r="BI86" i="3"/>
  <c r="BO86" i="3"/>
  <c r="BG86" i="2"/>
  <c r="BH86" i="2" s="1"/>
  <c r="X87" i="3"/>
  <c r="BJ86" i="2" l="1"/>
  <c r="BL86" i="2" s="1"/>
  <c r="BM86" i="2" s="1"/>
  <c r="BN86" i="2" s="1"/>
  <c r="W87" i="2" s="1"/>
  <c r="BK87" i="3"/>
  <c r="Y87" i="2"/>
  <c r="BI86" i="2"/>
  <c r="BO86" i="2"/>
  <c r="T87" i="3"/>
  <c r="BQ86" i="3"/>
  <c r="S87" i="2"/>
  <c r="R87" i="2"/>
  <c r="X87" i="2"/>
  <c r="BK87" i="2" l="1"/>
  <c r="BA87" i="2"/>
  <c r="V87" i="3"/>
  <c r="T87" i="2"/>
  <c r="BQ86" i="2"/>
  <c r="U87" i="3"/>
  <c r="BP87" i="3" l="1"/>
  <c r="BF87" i="3"/>
  <c r="V87" i="2"/>
  <c r="Z87" i="3"/>
  <c r="AA87" i="3" s="1"/>
  <c r="U87" i="2"/>
  <c r="BP87" i="2" l="1"/>
  <c r="BF87" i="2"/>
  <c r="AC87" i="3"/>
  <c r="AD87" i="3" s="1"/>
  <c r="Z87" i="2"/>
  <c r="AA87" i="2" s="1"/>
  <c r="AC87" i="2" l="1"/>
  <c r="AD87" i="2" s="1"/>
  <c r="AE87" i="3"/>
  <c r="AF87" i="3"/>
  <c r="B88" i="3" l="1"/>
  <c r="AH87" i="3"/>
  <c r="AI87" i="3" s="1"/>
  <c r="AE87" i="2"/>
  <c r="AF87" i="2"/>
  <c r="AH87" i="2" l="1"/>
  <c r="AI87" i="2" s="1"/>
  <c r="B88" i="2"/>
  <c r="AJ87" i="3"/>
  <c r="AK87" i="3"/>
  <c r="D88" i="3"/>
  <c r="C88" i="3"/>
  <c r="AB88" i="3" l="1"/>
  <c r="AM87" i="3"/>
  <c r="AN87" i="3" s="1"/>
  <c r="E88" i="3"/>
  <c r="D88" i="2"/>
  <c r="AJ87" i="2"/>
  <c r="AK87" i="2"/>
  <c r="C88" i="2"/>
  <c r="AB88" i="2" l="1"/>
  <c r="G88" i="3"/>
  <c r="AO87" i="3"/>
  <c r="AM87" i="2"/>
  <c r="AN87" i="2" s="1"/>
  <c r="AP87" i="3"/>
  <c r="E88" i="2"/>
  <c r="F88" i="3"/>
  <c r="AP87" i="2" l="1"/>
  <c r="AR87" i="2" s="1"/>
  <c r="AS87" i="2" s="1"/>
  <c r="AT87" i="2" s="1"/>
  <c r="K88" i="2" s="1"/>
  <c r="AG88" i="3"/>
  <c r="AR87" i="3"/>
  <c r="AS87" i="3" s="1"/>
  <c r="AO87" i="2"/>
  <c r="H88" i="3"/>
  <c r="G88" i="2"/>
  <c r="F88" i="2"/>
  <c r="AG88" i="2" l="1"/>
  <c r="J88" i="3"/>
  <c r="H88" i="2"/>
  <c r="AU87" i="3"/>
  <c r="AU87" i="2"/>
  <c r="M88" i="2"/>
  <c r="AT87" i="3"/>
  <c r="L88" i="2"/>
  <c r="I88" i="3"/>
  <c r="AL88" i="3" l="1"/>
  <c r="AQ88" i="2"/>
  <c r="J88" i="2"/>
  <c r="AW87" i="3"/>
  <c r="AX87" i="3" s="1"/>
  <c r="K88" i="3"/>
  <c r="AW87" i="2"/>
  <c r="AX87" i="2" s="1"/>
  <c r="I88" i="2"/>
  <c r="AZ87" i="3" l="1"/>
  <c r="AZ87" i="2"/>
  <c r="BB87" i="2" s="1"/>
  <c r="BC87" i="2" s="1"/>
  <c r="BD87" i="2" s="1"/>
  <c r="Q88" i="2" s="1"/>
  <c r="AL88" i="2"/>
  <c r="M88" i="3"/>
  <c r="BB87" i="3"/>
  <c r="BC87" i="3" s="1"/>
  <c r="BD87" i="3" s="1"/>
  <c r="Q88" i="3" s="1"/>
  <c r="AY87" i="2"/>
  <c r="AY87" i="3"/>
  <c r="L88" i="3"/>
  <c r="AQ88" i="3" l="1"/>
  <c r="S88" i="2"/>
  <c r="S88" i="3"/>
  <c r="BE87" i="2"/>
  <c r="N88" i="3"/>
  <c r="N88" i="2"/>
  <c r="BE87" i="3"/>
  <c r="R88" i="3"/>
  <c r="R88" i="2"/>
  <c r="BA88" i="2" l="1"/>
  <c r="BA88" i="3"/>
  <c r="BG87" i="3"/>
  <c r="BH87" i="3" s="1"/>
  <c r="P88" i="2"/>
  <c r="P88" i="3"/>
  <c r="BG87" i="2"/>
  <c r="BH87" i="2" s="1"/>
  <c r="O88" i="3"/>
  <c r="O88" i="2"/>
  <c r="AV88" i="2" l="1"/>
  <c r="AV88" i="3"/>
  <c r="BI87" i="3"/>
  <c r="BI87" i="2"/>
  <c r="BJ87" i="3"/>
  <c r="BL87" i="3" s="1"/>
  <c r="BM87" i="3" s="1"/>
  <c r="BN87" i="3" s="1"/>
  <c r="W88" i="3" s="1"/>
  <c r="BJ87" i="2"/>
  <c r="BL87" i="2" s="1"/>
  <c r="BM87" i="2" s="1"/>
  <c r="BN87" i="2" s="1"/>
  <c r="W88" i="2" s="1"/>
  <c r="BO87" i="2" l="1"/>
  <c r="BO87" i="3"/>
  <c r="T88" i="2"/>
  <c r="BQ87" i="2"/>
  <c r="Y88" i="2"/>
  <c r="T88" i="3"/>
  <c r="BQ87" i="3"/>
  <c r="Y88" i="3"/>
  <c r="X88" i="3"/>
  <c r="X88" i="2"/>
  <c r="BK88" i="2" l="1"/>
  <c r="BK88" i="3"/>
  <c r="V88" i="3"/>
  <c r="V88" i="2"/>
  <c r="U88" i="2"/>
  <c r="U88" i="3"/>
  <c r="BP88" i="3" l="1"/>
  <c r="BF88" i="3"/>
  <c r="BP88" i="2"/>
  <c r="BF88" i="2"/>
  <c r="Z88" i="3"/>
  <c r="AA88" i="3" s="1"/>
  <c r="Z88" i="2"/>
  <c r="AA88" i="2" s="1"/>
  <c r="AC88" i="3" l="1"/>
  <c r="AD88" i="3" s="1"/>
  <c r="AC88" i="2"/>
  <c r="AD88" i="2" s="1"/>
  <c r="AF88" i="2" l="1"/>
  <c r="AH88" i="2"/>
  <c r="AI88" i="2" s="1"/>
  <c r="AJ88" i="2" s="1"/>
  <c r="E89" i="2" s="1"/>
  <c r="AE88" i="2"/>
  <c r="AE88" i="3"/>
  <c r="AF88" i="3"/>
  <c r="B89" i="3" l="1"/>
  <c r="B89" i="2"/>
  <c r="AH88" i="3"/>
  <c r="AI88" i="3" s="1"/>
  <c r="G89" i="2"/>
  <c r="AK88" i="2"/>
  <c r="F89" i="2"/>
  <c r="AK88" i="3" l="1"/>
  <c r="AG89" i="2"/>
  <c r="AM88" i="2"/>
  <c r="AN88" i="2" s="1"/>
  <c r="AM88" i="3"/>
  <c r="AN88" i="3" s="1"/>
  <c r="AO88" i="3" s="1"/>
  <c r="H89" i="3" s="1"/>
  <c r="AJ88" i="3"/>
  <c r="D89" i="2"/>
  <c r="D89" i="3"/>
  <c r="C89" i="2"/>
  <c r="C89" i="3"/>
  <c r="AB89" i="3" l="1"/>
  <c r="AB89" i="2"/>
  <c r="AP88" i="3"/>
  <c r="J89" i="3"/>
  <c r="E89" i="3"/>
  <c r="AO88" i="2"/>
  <c r="AP88" i="2"/>
  <c r="I89" i="3"/>
  <c r="AL89" i="3" l="1"/>
  <c r="AR88" i="3"/>
  <c r="AS88" i="3" s="1"/>
  <c r="AR88" i="2"/>
  <c r="AS88" i="2" s="1"/>
  <c r="H89" i="2"/>
  <c r="G89" i="3"/>
  <c r="F89" i="3"/>
  <c r="AU88" i="2" l="1"/>
  <c r="AG89" i="3"/>
  <c r="J89" i="2"/>
  <c r="AW88" i="2"/>
  <c r="AX88" i="2" s="1"/>
  <c r="AY88" i="2" s="1"/>
  <c r="N89" i="2" s="1"/>
  <c r="AT88" i="3"/>
  <c r="AT88" i="2"/>
  <c r="AU88" i="3"/>
  <c r="I89" i="2"/>
  <c r="AL89" i="2" l="1"/>
  <c r="K89" i="3"/>
  <c r="P89" i="2"/>
  <c r="AZ88" i="2"/>
  <c r="AW88" i="3"/>
  <c r="AX88" i="3" s="1"/>
  <c r="K89" i="2"/>
  <c r="O89" i="2"/>
  <c r="AV89" i="2" l="1"/>
  <c r="M89" i="2"/>
  <c r="BB88" i="2"/>
  <c r="BC88" i="2" s="1"/>
  <c r="M89" i="3"/>
  <c r="AY88" i="3"/>
  <c r="AZ88" i="3"/>
  <c r="L89" i="2"/>
  <c r="L89" i="3"/>
  <c r="BE88" i="2" l="1"/>
  <c r="AQ89" i="3"/>
  <c r="AQ89" i="2"/>
  <c r="BD88" i="2"/>
  <c r="N89" i="3"/>
  <c r="BG88" i="2"/>
  <c r="BH88" i="2" s="1"/>
  <c r="BI88" i="2" s="1"/>
  <c r="T89" i="2" s="1"/>
  <c r="BB88" i="3"/>
  <c r="BC88" i="3" s="1"/>
  <c r="Q89" i="2" l="1"/>
  <c r="P89" i="3"/>
  <c r="BE88" i="3"/>
  <c r="BD88" i="3"/>
  <c r="V89" i="2"/>
  <c r="BJ88" i="2"/>
  <c r="BL88" i="2" s="1"/>
  <c r="BM88" i="2" s="1"/>
  <c r="O89" i="3"/>
  <c r="U89" i="2"/>
  <c r="BF89" i="2" l="1"/>
  <c r="AV89" i="3"/>
  <c r="BG88" i="3"/>
  <c r="BH88" i="3" s="1"/>
  <c r="Q89" i="3"/>
  <c r="BN88" i="2"/>
  <c r="BO88" i="2"/>
  <c r="S89" i="2"/>
  <c r="R89" i="2"/>
  <c r="BA89" i="2" l="1"/>
  <c r="S89" i="3"/>
  <c r="W89" i="2"/>
  <c r="BQ88" i="2"/>
  <c r="BJ88" i="3"/>
  <c r="BL88" i="3" s="1"/>
  <c r="BM88" i="3" s="1"/>
  <c r="BN88" i="3" s="1"/>
  <c r="W89" i="3" s="1"/>
  <c r="BI88" i="3"/>
  <c r="R89" i="3"/>
  <c r="BA89" i="3" l="1"/>
  <c r="Y89" i="3"/>
  <c r="BO88" i="3"/>
  <c r="T89" i="3"/>
  <c r="BQ88" i="3"/>
  <c r="Y89" i="2"/>
  <c r="X89" i="3"/>
  <c r="X89" i="2"/>
  <c r="BP89" i="2" l="1"/>
  <c r="BK89" i="2"/>
  <c r="BK89" i="3"/>
  <c r="V89" i="3"/>
  <c r="Z89" i="2"/>
  <c r="AA89" i="2" s="1"/>
  <c r="U89" i="3"/>
  <c r="BP89" i="3" l="1"/>
  <c r="BF89" i="3"/>
  <c r="Z89" i="3"/>
  <c r="AA89" i="3" s="1"/>
  <c r="AC89" i="2"/>
  <c r="AD89" i="2" s="1"/>
  <c r="AE89" i="2" l="1"/>
  <c r="AF89" i="2"/>
  <c r="AC89" i="3"/>
  <c r="AD89" i="3" s="1"/>
  <c r="AF89" i="3" l="1"/>
  <c r="AE89" i="3"/>
  <c r="AH89" i="2"/>
  <c r="AI89" i="2" s="1"/>
  <c r="B90" i="2"/>
  <c r="D90" i="2" l="1"/>
  <c r="AJ89" i="2"/>
  <c r="AK89" i="2"/>
  <c r="B90" i="3"/>
  <c r="AH89" i="3"/>
  <c r="AI89" i="3" s="1"/>
  <c r="C90" i="2"/>
  <c r="AB90" i="2" l="1"/>
  <c r="D90" i="3"/>
  <c r="AJ89" i="3"/>
  <c r="E90" i="2"/>
  <c r="AK89" i="3"/>
  <c r="AM89" i="2"/>
  <c r="AN89" i="2" s="1"/>
  <c r="C90" i="3"/>
  <c r="AB90" i="3" l="1"/>
  <c r="G90" i="2"/>
  <c r="E90" i="3"/>
  <c r="AM89" i="3"/>
  <c r="AN89" i="3" s="1"/>
  <c r="AO89" i="2"/>
  <c r="AP89" i="2"/>
  <c r="F90" i="2"/>
  <c r="AG90" i="2" l="1"/>
  <c r="AO89" i="3"/>
  <c r="AP89" i="3"/>
  <c r="AR89" i="2"/>
  <c r="AS89" i="2" s="1"/>
  <c r="H90" i="2"/>
  <c r="G90" i="3"/>
  <c r="F90" i="3"/>
  <c r="AG90" i="3" l="1"/>
  <c r="J90" i="2"/>
  <c r="AU89" i="2"/>
  <c r="AT89" i="2"/>
  <c r="AR89" i="3"/>
  <c r="AS89" i="3" s="1"/>
  <c r="H90" i="3"/>
  <c r="I90" i="2"/>
  <c r="AL90" i="2" l="1"/>
  <c r="AW89" i="2"/>
  <c r="AX89" i="2" s="1"/>
  <c r="K90" i="2"/>
  <c r="J90" i="3"/>
  <c r="AT89" i="3"/>
  <c r="AU89" i="3"/>
  <c r="I90" i="3"/>
  <c r="AL90" i="3" l="1"/>
  <c r="AY89" i="2"/>
  <c r="AZ89" i="2"/>
  <c r="M90" i="2"/>
  <c r="AW89" i="3"/>
  <c r="AX89" i="3" s="1"/>
  <c r="K90" i="3"/>
  <c r="L90" i="2"/>
  <c r="AQ90" i="2" l="1"/>
  <c r="AY89" i="3"/>
  <c r="AZ89" i="3"/>
  <c r="BB89" i="2"/>
  <c r="BC89" i="2" s="1"/>
  <c r="N90" i="2"/>
  <c r="M90" i="3"/>
  <c r="L90" i="3"/>
  <c r="AQ90" i="3" l="1"/>
  <c r="BD89" i="2"/>
  <c r="P90" i="2"/>
  <c r="BE89" i="2"/>
  <c r="N90" i="3"/>
  <c r="BB89" i="3"/>
  <c r="BC89" i="3" s="1"/>
  <c r="O90" i="2"/>
  <c r="AV90" i="2" l="1"/>
  <c r="P90" i="3"/>
  <c r="BG89" i="2"/>
  <c r="BH89" i="2" s="1"/>
  <c r="Q90" i="2"/>
  <c r="BD89" i="3"/>
  <c r="BE89" i="3"/>
  <c r="O90" i="3"/>
  <c r="BJ89" i="2" l="1"/>
  <c r="BL89" i="2" s="1"/>
  <c r="BM89" i="2" s="1"/>
  <c r="BN89" i="2" s="1"/>
  <c r="W90" i="2" s="1"/>
  <c r="Y90" i="2" s="1"/>
  <c r="AV90" i="3"/>
  <c r="S90" i="2"/>
  <c r="Q90" i="3"/>
  <c r="BI89" i="2"/>
  <c r="BO89" i="2"/>
  <c r="BG89" i="3"/>
  <c r="BH89" i="3" s="1"/>
  <c r="R90" i="2"/>
  <c r="X90" i="2"/>
  <c r="BK90" i="2" l="1"/>
  <c r="BA90" i="2"/>
  <c r="BJ89" i="3"/>
  <c r="BL89" i="3" s="1"/>
  <c r="BM89" i="3" s="1"/>
  <c r="BN89" i="3" s="1"/>
  <c r="W90" i="3" s="1"/>
  <c r="T90" i="2"/>
  <c r="BQ89" i="2"/>
  <c r="BI89" i="3"/>
  <c r="S90" i="3"/>
  <c r="R90" i="3"/>
  <c r="BA90" i="3" l="1"/>
  <c r="T90" i="3"/>
  <c r="BQ89" i="3"/>
  <c r="V90" i="2"/>
  <c r="Y90" i="3"/>
  <c r="BO89" i="3"/>
  <c r="X90" i="3"/>
  <c r="U90" i="2"/>
  <c r="BP90" i="2" l="1"/>
  <c r="BF90" i="2"/>
  <c r="BK90" i="3"/>
  <c r="Z90" i="2"/>
  <c r="AA90" i="2" s="1"/>
  <c r="V90" i="3"/>
  <c r="U90" i="3"/>
  <c r="BP90" i="3" l="1"/>
  <c r="BF90" i="3"/>
  <c r="Z90" i="3"/>
  <c r="AA90" i="3" s="1"/>
  <c r="AC90" i="2"/>
  <c r="AD90" i="2" s="1"/>
  <c r="AF90" i="2" l="1"/>
  <c r="AE90" i="2"/>
  <c r="AC90" i="3"/>
  <c r="AD90" i="3" s="1"/>
  <c r="AF90" i="3" l="1"/>
  <c r="AH90" i="3" s="1"/>
  <c r="AI90" i="3" s="1"/>
  <c r="AJ90" i="3" s="1"/>
  <c r="E91" i="3" s="1"/>
  <c r="AE90" i="3"/>
  <c r="B91" i="2"/>
  <c r="AH90" i="2"/>
  <c r="AI90" i="2" s="1"/>
  <c r="AK90" i="2" l="1"/>
  <c r="AJ90" i="2"/>
  <c r="D91" i="2"/>
  <c r="B91" i="3"/>
  <c r="G91" i="3"/>
  <c r="AK90" i="3"/>
  <c r="C91" i="2"/>
  <c r="F91" i="3"/>
  <c r="AG91" i="3" l="1"/>
  <c r="AB91" i="2"/>
  <c r="D91" i="3"/>
  <c r="E91" i="2"/>
  <c r="AM90" i="3"/>
  <c r="AN90" i="3" s="1"/>
  <c r="AM90" i="2"/>
  <c r="AN90" i="2" s="1"/>
  <c r="C91" i="3"/>
  <c r="AP90" i="2" l="1"/>
  <c r="AB91" i="3"/>
  <c r="G91" i="2"/>
  <c r="AR90" i="2"/>
  <c r="AS90" i="2" s="1"/>
  <c r="AT90" i="2" s="1"/>
  <c r="K91" i="2" s="1"/>
  <c r="AO90" i="3"/>
  <c r="AO90" i="2"/>
  <c r="AP90" i="3"/>
  <c r="F91" i="2"/>
  <c r="AG91" i="2" l="1"/>
  <c r="M91" i="2"/>
  <c r="AU90" i="2"/>
  <c r="H91" i="2"/>
  <c r="H91" i="3"/>
  <c r="AR90" i="3"/>
  <c r="AS90" i="3" s="1"/>
  <c r="L91" i="2"/>
  <c r="AQ91" i="2" l="1"/>
  <c r="J91" i="2"/>
  <c r="J91" i="3"/>
  <c r="AW90" i="2"/>
  <c r="AX90" i="2" s="1"/>
  <c r="AU90" i="3"/>
  <c r="AT90" i="3"/>
  <c r="I91" i="2"/>
  <c r="I91" i="3"/>
  <c r="AL91" i="3" l="1"/>
  <c r="AL91" i="2"/>
  <c r="AY90" i="2"/>
  <c r="K91" i="3"/>
  <c r="AZ90" i="2"/>
  <c r="AW90" i="3"/>
  <c r="AX90" i="3" s="1"/>
  <c r="M91" i="3" l="1"/>
  <c r="N91" i="2"/>
  <c r="AZ90" i="3"/>
  <c r="BB90" i="2"/>
  <c r="BC90" i="2" s="1"/>
  <c r="AY90" i="3"/>
  <c r="L91" i="3"/>
  <c r="AQ91" i="3" l="1"/>
  <c r="BE90" i="2"/>
  <c r="BD90" i="2"/>
  <c r="N91" i="3"/>
  <c r="BB90" i="3"/>
  <c r="BC90" i="3" s="1"/>
  <c r="P91" i="2"/>
  <c r="O91" i="2"/>
  <c r="AV91" i="2" l="1"/>
  <c r="P91" i="3"/>
  <c r="BD90" i="3"/>
  <c r="BE90" i="3"/>
  <c r="Q91" i="2"/>
  <c r="BG90" i="2"/>
  <c r="BH90" i="2" s="1"/>
  <c r="O91" i="3"/>
  <c r="BJ90" i="2" l="1"/>
  <c r="BL90" i="2" s="1"/>
  <c r="BM90" i="2" s="1"/>
  <c r="BN90" i="2" s="1"/>
  <c r="W91" i="2" s="1"/>
  <c r="AV91" i="3"/>
  <c r="BG90" i="3"/>
  <c r="BH90" i="3" s="1"/>
  <c r="Q91" i="3"/>
  <c r="Y91" i="2"/>
  <c r="BI90" i="2"/>
  <c r="BO90" i="2"/>
  <c r="S91" i="2"/>
  <c r="R91" i="2"/>
  <c r="X91" i="2"/>
  <c r="BK91" i="2" l="1"/>
  <c r="BA91" i="2"/>
  <c r="BI90" i="3"/>
  <c r="BJ90" i="3"/>
  <c r="BL90" i="3" s="1"/>
  <c r="BM90" i="3" s="1"/>
  <c r="BN90" i="3" s="1"/>
  <c r="W91" i="3" s="1"/>
  <c r="S91" i="3"/>
  <c r="T91" i="2"/>
  <c r="BQ90" i="2"/>
  <c r="R91" i="3"/>
  <c r="BA91" i="3" l="1"/>
  <c r="Y91" i="3"/>
  <c r="T91" i="3"/>
  <c r="BQ90" i="3"/>
  <c r="V91" i="2"/>
  <c r="BO90" i="3"/>
  <c r="X91" i="3"/>
  <c r="U91" i="2"/>
  <c r="BP91" i="2" l="1"/>
  <c r="BF91" i="2"/>
  <c r="BK91" i="3"/>
  <c r="V91" i="3"/>
  <c r="Z91" i="2"/>
  <c r="AA91" i="2" s="1"/>
  <c r="U91" i="3"/>
  <c r="BP91" i="3" l="1"/>
  <c r="BF91" i="3"/>
  <c r="Z91" i="3"/>
  <c r="AA91" i="3" s="1"/>
  <c r="AC91" i="2"/>
  <c r="AD91" i="2" s="1"/>
  <c r="AC91" i="3" l="1"/>
  <c r="AD91" i="3" s="1"/>
  <c r="AE91" i="2"/>
  <c r="AF91" i="2"/>
  <c r="AH91" i="2" l="1"/>
  <c r="AI91" i="2" s="1"/>
  <c r="B92" i="2"/>
  <c r="AE91" i="3"/>
  <c r="AF91" i="3"/>
  <c r="AH91" i="3" l="1"/>
  <c r="AI91" i="3" s="1"/>
  <c r="B92" i="3"/>
  <c r="D92" i="2"/>
  <c r="AJ91" i="2"/>
  <c r="AK91" i="2"/>
  <c r="C92" i="2"/>
  <c r="AK91" i="3" l="1"/>
  <c r="AM91" i="3" s="1"/>
  <c r="AN91" i="3" s="1"/>
  <c r="AO91" i="3" s="1"/>
  <c r="H92" i="3" s="1"/>
  <c r="AB92" i="2"/>
  <c r="E92" i="2"/>
  <c r="AM91" i="2"/>
  <c r="AN91" i="2" s="1"/>
  <c r="D92" i="3"/>
  <c r="AJ91" i="3"/>
  <c r="C92" i="3"/>
  <c r="AB92" i="3" l="1"/>
  <c r="J92" i="3"/>
  <c r="AO91" i="2"/>
  <c r="G92" i="2"/>
  <c r="AP91" i="2"/>
  <c r="E92" i="3"/>
  <c r="AP91" i="3"/>
  <c r="F92" i="2"/>
  <c r="I92" i="3"/>
  <c r="AL92" i="3" l="1"/>
  <c r="AG92" i="2"/>
  <c r="AR91" i="3"/>
  <c r="AS91" i="3" s="1"/>
  <c r="H92" i="2"/>
  <c r="G92" i="3"/>
  <c r="AR91" i="2"/>
  <c r="AS91" i="2" s="1"/>
  <c r="F92" i="3"/>
  <c r="AU91" i="3" l="1"/>
  <c r="AU91" i="2"/>
  <c r="AG92" i="3"/>
  <c r="J92" i="2"/>
  <c r="AW91" i="3"/>
  <c r="AX91" i="3" s="1"/>
  <c r="AY91" i="3" s="1"/>
  <c r="N92" i="3" s="1"/>
  <c r="AW91" i="2"/>
  <c r="AX91" i="2" s="1"/>
  <c r="AY91" i="2" s="1"/>
  <c r="N92" i="2" s="1"/>
  <c r="AT91" i="3"/>
  <c r="AT91" i="2"/>
  <c r="I92" i="2"/>
  <c r="AL92" i="2" l="1"/>
  <c r="P92" i="3"/>
  <c r="AZ91" i="2"/>
  <c r="P92" i="2"/>
  <c r="AZ91" i="3"/>
  <c r="K92" i="2"/>
  <c r="K92" i="3"/>
  <c r="O92" i="3"/>
  <c r="O92" i="2"/>
  <c r="AV92" i="2" l="1"/>
  <c r="AV92" i="3"/>
  <c r="BB91" i="2"/>
  <c r="BC91" i="2" s="1"/>
  <c r="M92" i="2"/>
  <c r="M92" i="3"/>
  <c r="BB91" i="3"/>
  <c r="BC91" i="3" s="1"/>
  <c r="L92" i="3"/>
  <c r="L92" i="2"/>
  <c r="BE91" i="2" l="1"/>
  <c r="AQ92" i="2"/>
  <c r="AQ92" i="3"/>
  <c r="BG91" i="2"/>
  <c r="BH91" i="2" s="1"/>
  <c r="BI91" i="2" s="1"/>
  <c r="T92" i="2" s="1"/>
  <c r="BD91" i="2"/>
  <c r="BE91" i="3"/>
  <c r="BD91" i="3"/>
  <c r="V92" i="2" l="1"/>
  <c r="BJ91" i="2"/>
  <c r="BL91" i="2" s="1"/>
  <c r="BM91" i="2" s="1"/>
  <c r="BN91" i="2" s="1"/>
  <c r="W92" i="2" s="1"/>
  <c r="BG91" i="3"/>
  <c r="BH91" i="3" s="1"/>
  <c r="Q92" i="3"/>
  <c r="Q92" i="2"/>
  <c r="BQ91" i="2"/>
  <c r="U92" i="2"/>
  <c r="BO91" i="2" l="1"/>
  <c r="BF92" i="2"/>
  <c r="S92" i="3"/>
  <c r="Y92" i="2"/>
  <c r="S92" i="2"/>
  <c r="BI91" i="3"/>
  <c r="BJ91" i="3"/>
  <c r="BL91" i="3" s="1"/>
  <c r="BM91" i="3" s="1"/>
  <c r="BN91" i="3" s="1"/>
  <c r="W92" i="3" s="1"/>
  <c r="X92" i="2"/>
  <c r="R92" i="2"/>
  <c r="R92" i="3"/>
  <c r="BA92" i="3" l="1"/>
  <c r="BP92" i="2"/>
  <c r="BA92" i="2"/>
  <c r="BK92" i="2"/>
  <c r="Y92" i="3"/>
  <c r="T92" i="3"/>
  <c r="BQ91" i="3"/>
  <c r="BO91" i="3"/>
  <c r="Z92" i="2"/>
  <c r="AA92" i="2" s="1"/>
  <c r="X92" i="3"/>
  <c r="BK92" i="3" l="1"/>
  <c r="V92" i="3"/>
  <c r="AC92" i="2"/>
  <c r="AD92" i="2" s="1"/>
  <c r="U92" i="3"/>
  <c r="BP92" i="3" l="1"/>
  <c r="BF92" i="3"/>
  <c r="Z92" i="3"/>
  <c r="AA92" i="3" s="1"/>
  <c r="AE92" i="2"/>
  <c r="AF92" i="2"/>
  <c r="B93" i="2" l="1"/>
  <c r="AH92" i="2"/>
  <c r="AI92" i="2" s="1"/>
  <c r="AC92" i="3"/>
  <c r="AD92" i="3" s="1"/>
  <c r="AK92" i="2" l="1"/>
  <c r="AM92" i="2" s="1"/>
  <c r="AN92" i="2" s="1"/>
  <c r="AO92" i="2" s="1"/>
  <c r="H93" i="2" s="1"/>
  <c r="AE92" i="3"/>
  <c r="AF92" i="3"/>
  <c r="AJ92" i="2"/>
  <c r="D93" i="2"/>
  <c r="C93" i="2"/>
  <c r="AB93" i="2" l="1"/>
  <c r="J93" i="2"/>
  <c r="AH92" i="3"/>
  <c r="AI92" i="3" s="1"/>
  <c r="E93" i="2"/>
  <c r="AP92" i="2"/>
  <c r="B93" i="3"/>
  <c r="I93" i="2"/>
  <c r="AL93" i="2" l="1"/>
  <c r="AJ92" i="3"/>
  <c r="G93" i="2"/>
  <c r="AK92" i="3"/>
  <c r="D93" i="3"/>
  <c r="AR92" i="2"/>
  <c r="AS92" i="2" s="1"/>
  <c r="C93" i="3"/>
  <c r="F93" i="2"/>
  <c r="AG93" i="2" l="1"/>
  <c r="AB93" i="3"/>
  <c r="AM92" i="3"/>
  <c r="AN92" i="3" s="1"/>
  <c r="AT92" i="2"/>
  <c r="AU92" i="2"/>
  <c r="E93" i="3"/>
  <c r="K93" i="2" l="1"/>
  <c r="G93" i="3"/>
  <c r="AO92" i="3"/>
  <c r="AP92" i="3"/>
  <c r="AW92" i="2"/>
  <c r="AX92" i="2" s="1"/>
  <c r="F93" i="3"/>
  <c r="AG93" i="3" l="1"/>
  <c r="H93" i="3"/>
  <c r="AZ92" i="2"/>
  <c r="AR92" i="3"/>
  <c r="AS92" i="3" s="1"/>
  <c r="AY92" i="2"/>
  <c r="M93" i="2"/>
  <c r="L93" i="2"/>
  <c r="AQ93" i="2" l="1"/>
  <c r="N93" i="2"/>
  <c r="AU92" i="3"/>
  <c r="BB92" i="2"/>
  <c r="BC92" i="2" s="1"/>
  <c r="J93" i="3"/>
  <c r="AT92" i="3"/>
  <c r="I93" i="3"/>
  <c r="AL93" i="3" l="1"/>
  <c r="BE92" i="2"/>
  <c r="K93" i="3"/>
  <c r="P93" i="2"/>
  <c r="BD92" i="2"/>
  <c r="AW92" i="3"/>
  <c r="AX92" i="3" s="1"/>
  <c r="O93" i="2"/>
  <c r="AZ92" i="3" l="1"/>
  <c r="AV93" i="2"/>
  <c r="BG92" i="2"/>
  <c r="BH92" i="2" s="1"/>
  <c r="BB92" i="3"/>
  <c r="BC92" i="3" s="1"/>
  <c r="BD92" i="3" s="1"/>
  <c r="Q93" i="3" s="1"/>
  <c r="AY92" i="3"/>
  <c r="M93" i="3"/>
  <c r="Q93" i="2"/>
  <c r="L93" i="3"/>
  <c r="AQ93" i="3" l="1"/>
  <c r="S93" i="3"/>
  <c r="BJ92" i="2"/>
  <c r="BL92" i="2" s="1"/>
  <c r="BM92" i="2" s="1"/>
  <c r="BN92" i="2" s="1"/>
  <c r="W93" i="2" s="1"/>
  <c r="S93" i="2"/>
  <c r="BE92" i="3"/>
  <c r="BI92" i="2"/>
  <c r="N93" i="3"/>
  <c r="R93" i="3"/>
  <c r="R93" i="2"/>
  <c r="BA93" i="2" l="1"/>
  <c r="BA93" i="3"/>
  <c r="Y93" i="2"/>
  <c r="P93" i="3"/>
  <c r="BO92" i="2"/>
  <c r="T93" i="2"/>
  <c r="BQ92" i="2"/>
  <c r="BG92" i="3"/>
  <c r="BH92" i="3" s="1"/>
  <c r="X93" i="2"/>
  <c r="O93" i="3"/>
  <c r="BJ92" i="3" l="1"/>
  <c r="BL92" i="3" s="1"/>
  <c r="BM92" i="3" s="1"/>
  <c r="BN92" i="3" s="1"/>
  <c r="W93" i="3" s="1"/>
  <c r="Y93" i="3" s="1"/>
  <c r="AV93" i="3"/>
  <c r="BK93" i="2"/>
  <c r="BI92" i="3"/>
  <c r="BO92" i="3"/>
  <c r="V93" i="2"/>
  <c r="X93" i="3"/>
  <c r="U93" i="2"/>
  <c r="BP93" i="2" l="1"/>
  <c r="BF93" i="2"/>
  <c r="BK93" i="3"/>
  <c r="T93" i="3"/>
  <c r="BQ92" i="3"/>
  <c r="Z93" i="2"/>
  <c r="AA93" i="2" s="1"/>
  <c r="V93" i="3" l="1"/>
  <c r="AC93" i="2"/>
  <c r="AD93" i="2" s="1"/>
  <c r="U93" i="3"/>
  <c r="BP93" i="3" l="1"/>
  <c r="BF93" i="3"/>
  <c r="AE93" i="2"/>
  <c r="AF93" i="2"/>
  <c r="Z93" i="3"/>
  <c r="AA93" i="3" s="1"/>
  <c r="AC93" i="3" l="1"/>
  <c r="AD93" i="3" s="1"/>
  <c r="B94" i="2"/>
  <c r="AH93" i="2"/>
  <c r="AI93" i="2" s="1"/>
  <c r="AF93" i="3" l="1"/>
  <c r="AK93" i="2"/>
  <c r="AM93" i="2" s="1"/>
  <c r="AN93" i="2" s="1"/>
  <c r="AO93" i="2" s="1"/>
  <c r="H94" i="2" s="1"/>
  <c r="AH93" i="3"/>
  <c r="AI93" i="3" s="1"/>
  <c r="AJ93" i="3" s="1"/>
  <c r="E94" i="3" s="1"/>
  <c r="AJ93" i="2"/>
  <c r="D94" i="2"/>
  <c r="AE93" i="3"/>
  <c r="C94" i="2"/>
  <c r="AP93" i="2" l="1"/>
  <c r="AB94" i="2"/>
  <c r="B94" i="3"/>
  <c r="E94" i="2"/>
  <c r="G94" i="3"/>
  <c r="AR93" i="2"/>
  <c r="AS93" i="2" s="1"/>
  <c r="AK93" i="3"/>
  <c r="J94" i="2"/>
  <c r="I94" i="2"/>
  <c r="F94" i="3"/>
  <c r="AG94" i="3" l="1"/>
  <c r="AL94" i="2"/>
  <c r="AM93" i="3"/>
  <c r="AN93" i="3" s="1"/>
  <c r="AT93" i="2"/>
  <c r="D94" i="3"/>
  <c r="AU93" i="2"/>
  <c r="G94" i="2"/>
  <c r="F94" i="2"/>
  <c r="C94" i="3"/>
  <c r="AB94" i="3" l="1"/>
  <c r="AG94" i="2"/>
  <c r="AO93" i="3"/>
  <c r="AP93" i="3"/>
  <c r="AW93" i="2"/>
  <c r="AX93" i="2" s="1"/>
  <c r="K94" i="2"/>
  <c r="AZ93" i="2" l="1"/>
  <c r="AR93" i="3"/>
  <c r="AS93" i="3" s="1"/>
  <c r="M94" i="2"/>
  <c r="BB93" i="2"/>
  <c r="BC93" i="2" s="1"/>
  <c r="BD93" i="2" s="1"/>
  <c r="Q94" i="2" s="1"/>
  <c r="H94" i="3"/>
  <c r="AY93" i="2"/>
  <c r="L94" i="2"/>
  <c r="BE93" i="2" l="1"/>
  <c r="BG93" i="2" s="1"/>
  <c r="BH93" i="2" s="1"/>
  <c r="AQ94" i="2"/>
  <c r="J94" i="3"/>
  <c r="S94" i="2"/>
  <c r="N94" i="2"/>
  <c r="AT93" i="3"/>
  <c r="AU93" i="3"/>
  <c r="I94" i="3"/>
  <c r="R94" i="2"/>
  <c r="BA94" i="2" l="1"/>
  <c r="AL94" i="3"/>
  <c r="AW93" i="3"/>
  <c r="AX93" i="3" s="1"/>
  <c r="BJ93" i="2"/>
  <c r="BL93" i="2" s="1"/>
  <c r="BM93" i="2" s="1"/>
  <c r="BN93" i="2" s="1"/>
  <c r="W94" i="2" s="1"/>
  <c r="K94" i="3"/>
  <c r="P94" i="2"/>
  <c r="BI93" i="2"/>
  <c r="O94" i="2"/>
  <c r="AV94" i="2" l="1"/>
  <c r="BO93" i="2"/>
  <c r="Y94" i="2"/>
  <c r="AY93" i="3"/>
  <c r="T94" i="2"/>
  <c r="BQ93" i="2"/>
  <c r="M94" i="3"/>
  <c r="AZ93" i="3"/>
  <c r="L94" i="3"/>
  <c r="X94" i="2"/>
  <c r="BK94" i="2" l="1"/>
  <c r="AQ94" i="3"/>
  <c r="V94" i="2"/>
  <c r="BB93" i="3"/>
  <c r="BC93" i="3" s="1"/>
  <c r="N94" i="3"/>
  <c r="U94" i="2"/>
  <c r="BE93" i="3" l="1"/>
  <c r="BP94" i="2"/>
  <c r="BF94" i="2"/>
  <c r="Z94" i="2"/>
  <c r="AA94" i="2" s="1"/>
  <c r="P94" i="3"/>
  <c r="BG93" i="3"/>
  <c r="BH93" i="3" s="1"/>
  <c r="BI93" i="3" s="1"/>
  <c r="T94" i="3" s="1"/>
  <c r="BD93" i="3"/>
  <c r="O94" i="3"/>
  <c r="AV94" i="3" l="1"/>
  <c r="Q94" i="3"/>
  <c r="V94" i="3"/>
  <c r="BJ93" i="3"/>
  <c r="BL93" i="3" s="1"/>
  <c r="BM93" i="3" s="1"/>
  <c r="BN93" i="3" s="1"/>
  <c r="W94" i="3" s="1"/>
  <c r="AC94" i="2"/>
  <c r="AD94" i="2" s="1"/>
  <c r="U94" i="3"/>
  <c r="BF94" i="3" l="1"/>
  <c r="Y94" i="3"/>
  <c r="BQ93" i="3"/>
  <c r="BO93" i="3"/>
  <c r="AE94" i="2"/>
  <c r="S94" i="3"/>
  <c r="AF94" i="2"/>
  <c r="R94" i="3"/>
  <c r="X94" i="3"/>
  <c r="BK94" i="3" l="1"/>
  <c r="BP94" i="3"/>
  <c r="BA94" i="3"/>
  <c r="B95" i="2"/>
  <c r="Z94" i="3"/>
  <c r="AA94" i="3" s="1"/>
  <c r="AH94" i="2"/>
  <c r="AI94" i="2" s="1"/>
  <c r="AJ94" i="2" l="1"/>
  <c r="AC94" i="3"/>
  <c r="AD94" i="3" s="1"/>
  <c r="AK94" i="2"/>
  <c r="D95" i="2"/>
  <c r="C95" i="2"/>
  <c r="AB95" i="2" l="1"/>
  <c r="AE94" i="3"/>
  <c r="AM94" i="2"/>
  <c r="AN94" i="2" s="1"/>
  <c r="AF94" i="3"/>
  <c r="E95" i="2"/>
  <c r="AO94" i="2" l="1"/>
  <c r="AH94" i="3"/>
  <c r="AI94" i="3" s="1"/>
  <c r="AP94" i="2"/>
  <c r="G95" i="2"/>
  <c r="B95" i="3"/>
  <c r="F95" i="2"/>
  <c r="AG95" i="2" l="1"/>
  <c r="D95" i="3"/>
  <c r="AR94" i="2"/>
  <c r="AS94" i="2" s="1"/>
  <c r="AK94" i="3"/>
  <c r="AJ94" i="3"/>
  <c r="H95" i="2"/>
  <c r="C95" i="3"/>
  <c r="AB95" i="3" l="1"/>
  <c r="AT94" i="2"/>
  <c r="AU94" i="2"/>
  <c r="J95" i="2"/>
  <c r="AM94" i="3"/>
  <c r="AN94" i="3" s="1"/>
  <c r="E95" i="3"/>
  <c r="I95" i="2"/>
  <c r="AL95" i="2" l="1"/>
  <c r="AO94" i="3"/>
  <c r="AP94" i="3"/>
  <c r="G95" i="3"/>
  <c r="AW94" i="2"/>
  <c r="AX94" i="2" s="1"/>
  <c r="K95" i="2"/>
  <c r="F95" i="3"/>
  <c r="AG95" i="3" l="1"/>
  <c r="H95" i="3"/>
  <c r="AR94" i="3"/>
  <c r="AS94" i="3" s="1"/>
  <c r="M95" i="2"/>
  <c r="AY94" i="2"/>
  <c r="AZ94" i="2"/>
  <c r="L95" i="2"/>
  <c r="AQ95" i="2" l="1"/>
  <c r="J95" i="3"/>
  <c r="AT94" i="3"/>
  <c r="BB94" i="2"/>
  <c r="BC94" i="2" s="1"/>
  <c r="N95" i="2"/>
  <c r="AU94" i="3"/>
  <c r="I95" i="3"/>
  <c r="BE94" i="2" l="1"/>
  <c r="AL95" i="3"/>
  <c r="P95" i="2"/>
  <c r="BD94" i="2"/>
  <c r="AW94" i="3"/>
  <c r="AX94" i="3" s="1"/>
  <c r="BG94" i="2"/>
  <c r="BH94" i="2" s="1"/>
  <c r="BI94" i="2" s="1"/>
  <c r="T95" i="2" s="1"/>
  <c r="K95" i="3"/>
  <c r="O95" i="2"/>
  <c r="AZ94" i="3" l="1"/>
  <c r="BB94" i="3" s="1"/>
  <c r="BC94" i="3" s="1"/>
  <c r="BD94" i="3" s="1"/>
  <c r="Q95" i="3" s="1"/>
  <c r="AV95" i="2"/>
  <c r="V95" i="2"/>
  <c r="Q95" i="2"/>
  <c r="M95" i="3"/>
  <c r="BJ94" i="2"/>
  <c r="BL94" i="2" s="1"/>
  <c r="BM94" i="2" s="1"/>
  <c r="AY94" i="3"/>
  <c r="U95" i="2"/>
  <c r="L95" i="3"/>
  <c r="BE94" i="3" l="1"/>
  <c r="AQ95" i="3"/>
  <c r="BF95" i="2"/>
  <c r="BG94" i="3"/>
  <c r="BH94" i="3" s="1"/>
  <c r="BN94" i="2"/>
  <c r="BO94" i="2"/>
  <c r="S95" i="2"/>
  <c r="N95" i="3"/>
  <c r="S95" i="3"/>
  <c r="R95" i="2"/>
  <c r="R95" i="3"/>
  <c r="BA95" i="3" l="1"/>
  <c r="BA95" i="2"/>
  <c r="W95" i="2"/>
  <c r="BQ94" i="2"/>
  <c r="BJ94" i="3"/>
  <c r="BL94" i="3" s="1"/>
  <c r="BM94" i="3" s="1"/>
  <c r="BN94" i="3" s="1"/>
  <c r="W95" i="3" s="1"/>
  <c r="P95" i="3"/>
  <c r="BI94" i="3"/>
  <c r="O95" i="3"/>
  <c r="AV95" i="3" l="1"/>
  <c r="Y95" i="3"/>
  <c r="BO94" i="3"/>
  <c r="Y95" i="2"/>
  <c r="T95" i="3"/>
  <c r="BQ94" i="3"/>
  <c r="X95" i="3"/>
  <c r="X95" i="2"/>
  <c r="BP95" i="2" l="1"/>
  <c r="BK95" i="2"/>
  <c r="BK95" i="3"/>
  <c r="Z95" i="2"/>
  <c r="AA95" i="2" s="1"/>
  <c r="V95" i="3"/>
  <c r="U95" i="3"/>
  <c r="BP95" i="3" l="1"/>
  <c r="BF95" i="3"/>
  <c r="AC95" i="2"/>
  <c r="AD95" i="2" s="1"/>
  <c r="Z95" i="3"/>
  <c r="AA95" i="3" s="1"/>
  <c r="AC95" i="3" l="1"/>
  <c r="AD95" i="3" s="1"/>
  <c r="AF95" i="2"/>
  <c r="AE95" i="2"/>
  <c r="AH95" i="2" l="1"/>
  <c r="AI95" i="2" s="1"/>
  <c r="B96" i="2"/>
  <c r="AE95" i="3"/>
  <c r="AF95" i="3"/>
  <c r="AK95" i="2" l="1"/>
  <c r="B96" i="3"/>
  <c r="AH95" i="3"/>
  <c r="AI95" i="3" s="1"/>
  <c r="AM95" i="2"/>
  <c r="AN95" i="2" s="1"/>
  <c r="AO95" i="2" s="1"/>
  <c r="H96" i="2" s="1"/>
  <c r="D96" i="2"/>
  <c r="AJ95" i="2"/>
  <c r="C96" i="2"/>
  <c r="AB96" i="2" l="1"/>
  <c r="J96" i="2"/>
  <c r="AJ95" i="3"/>
  <c r="AK95" i="3"/>
  <c r="E96" i="2"/>
  <c r="AP95" i="2"/>
  <c r="D96" i="3"/>
  <c r="C96" i="3"/>
  <c r="I96" i="2"/>
  <c r="AL96" i="2" l="1"/>
  <c r="AB96" i="3"/>
  <c r="E96" i="3"/>
  <c r="AM95" i="3"/>
  <c r="AN95" i="3" s="1"/>
  <c r="AR95" i="2"/>
  <c r="AS95" i="2" s="1"/>
  <c r="G96" i="2"/>
  <c r="F96" i="2"/>
  <c r="AG96" i="2" l="1"/>
  <c r="G96" i="3"/>
  <c r="AT95" i="2"/>
  <c r="AU95" i="2"/>
  <c r="AO95" i="3"/>
  <c r="AP95" i="3"/>
  <c r="F96" i="3"/>
  <c r="AG96" i="3" l="1"/>
  <c r="K96" i="2"/>
  <c r="AW95" i="2"/>
  <c r="AX95" i="2" s="1"/>
  <c r="AR95" i="3"/>
  <c r="AS95" i="3" s="1"/>
  <c r="H96" i="3"/>
  <c r="AY95" i="2" l="1"/>
  <c r="J96" i="3"/>
  <c r="M96" i="2"/>
  <c r="AT95" i="3"/>
  <c r="AU95" i="3"/>
  <c r="AZ95" i="2"/>
  <c r="I96" i="3"/>
  <c r="L96" i="2"/>
  <c r="AQ96" i="2" l="1"/>
  <c r="AL96" i="3"/>
  <c r="K96" i="3"/>
  <c r="BB95" i="2"/>
  <c r="BC95" i="2" s="1"/>
  <c r="AW95" i="3"/>
  <c r="AX95" i="3" s="1"/>
  <c r="N96" i="2"/>
  <c r="AZ95" i="3" l="1"/>
  <c r="M96" i="3"/>
  <c r="P96" i="2"/>
  <c r="BB95" i="3"/>
  <c r="BC95" i="3" s="1"/>
  <c r="BD95" i="3" s="1"/>
  <c r="Q96" i="3" s="1"/>
  <c r="AY95" i="3"/>
  <c r="BD95" i="2"/>
  <c r="BE95" i="2"/>
  <c r="L96" i="3"/>
  <c r="O96" i="2"/>
  <c r="AV96" i="2" l="1"/>
  <c r="AQ96" i="3"/>
  <c r="BG95" i="2"/>
  <c r="BH95" i="2" s="1"/>
  <c r="S96" i="3"/>
  <c r="BE95" i="3"/>
  <c r="N96" i="3"/>
  <c r="Q96" i="2"/>
  <c r="R96" i="3"/>
  <c r="BA96" i="3" l="1"/>
  <c r="BJ95" i="2"/>
  <c r="BL95" i="2" s="1"/>
  <c r="BM95" i="2" s="1"/>
  <c r="BN95" i="2" s="1"/>
  <c r="W96" i="2" s="1"/>
  <c r="P96" i="3"/>
  <c r="S96" i="2"/>
  <c r="BG95" i="3"/>
  <c r="BH95" i="3" s="1"/>
  <c r="BI95" i="2"/>
  <c r="R96" i="2"/>
  <c r="O96" i="3"/>
  <c r="BJ95" i="3" l="1"/>
  <c r="BL95" i="3" s="1"/>
  <c r="BM95" i="3" s="1"/>
  <c r="BN95" i="3" s="1"/>
  <c r="W96" i="3" s="1"/>
  <c r="Y96" i="3" s="1"/>
  <c r="AV96" i="3"/>
  <c r="BA96" i="2"/>
  <c r="BO95" i="2"/>
  <c r="Y96" i="2"/>
  <c r="T96" i="2"/>
  <c r="BQ95" i="2"/>
  <c r="BI95" i="3"/>
  <c r="BO95" i="3"/>
  <c r="X96" i="2"/>
  <c r="X96" i="3"/>
  <c r="BK96" i="3" l="1"/>
  <c r="BK96" i="2"/>
  <c r="V96" i="2"/>
  <c r="T96" i="3"/>
  <c r="BQ95" i="3"/>
  <c r="U96" i="2"/>
  <c r="BP96" i="2" l="1"/>
  <c r="BF96" i="2"/>
  <c r="V96" i="3"/>
  <c r="Z96" i="2"/>
  <c r="AA96" i="2" s="1"/>
  <c r="U96" i="3"/>
  <c r="BP96" i="3" l="1"/>
  <c r="BF96" i="3"/>
  <c r="AC96" i="2"/>
  <c r="AD96" i="2" s="1"/>
  <c r="Z96" i="3"/>
  <c r="AA96" i="3" s="1"/>
  <c r="AF96" i="2" l="1"/>
  <c r="AC96" i="3"/>
  <c r="AD96" i="3" s="1"/>
  <c r="AE96" i="2"/>
  <c r="AF96" i="3" l="1"/>
  <c r="AH96" i="3" s="1"/>
  <c r="AI96" i="3" s="1"/>
  <c r="AJ96" i="3" s="1"/>
  <c r="E97" i="3" s="1"/>
  <c r="B97" i="2"/>
  <c r="AE96" i="3"/>
  <c r="AH96" i="2"/>
  <c r="AI96" i="2" s="1"/>
  <c r="AJ96" i="2" l="1"/>
  <c r="B97" i="3"/>
  <c r="D97" i="2"/>
  <c r="AK96" i="2"/>
  <c r="G97" i="3"/>
  <c r="AK96" i="3"/>
  <c r="C97" i="2"/>
  <c r="F97" i="3"/>
  <c r="AG97" i="3" l="1"/>
  <c r="AB97" i="2"/>
  <c r="AM96" i="2"/>
  <c r="AN96" i="2" s="1"/>
  <c r="D97" i="3"/>
  <c r="AM96" i="3"/>
  <c r="AN96" i="3" s="1"/>
  <c r="E97" i="2"/>
  <c r="C97" i="3"/>
  <c r="AB97" i="3" l="1"/>
  <c r="AP96" i="2"/>
  <c r="AO96" i="3"/>
  <c r="AO96" i="2"/>
  <c r="G97" i="2"/>
  <c r="AP96" i="3"/>
  <c r="F97" i="2"/>
  <c r="AG97" i="2" l="1"/>
  <c r="AR96" i="2"/>
  <c r="AS96" i="2" s="1"/>
  <c r="H97" i="2"/>
  <c r="H97" i="3"/>
  <c r="AR96" i="3"/>
  <c r="AS96" i="3" s="1"/>
  <c r="AT96" i="3" l="1"/>
  <c r="J97" i="3"/>
  <c r="AU96" i="3"/>
  <c r="J97" i="2"/>
  <c r="AT96" i="2"/>
  <c r="AU96" i="2"/>
  <c r="I97" i="3"/>
  <c r="I97" i="2"/>
  <c r="AL97" i="2" l="1"/>
  <c r="AL97" i="3"/>
  <c r="K97" i="2"/>
  <c r="AW96" i="3"/>
  <c r="AX96" i="3" s="1"/>
  <c r="AW96" i="2"/>
  <c r="AX96" i="2" s="1"/>
  <c r="K97" i="3"/>
  <c r="AY96" i="3" l="1"/>
  <c r="AZ96" i="3"/>
  <c r="M97" i="3"/>
  <c r="AY96" i="2"/>
  <c r="M97" i="2"/>
  <c r="AZ96" i="2"/>
  <c r="L97" i="2"/>
  <c r="L97" i="3"/>
  <c r="AQ97" i="3" l="1"/>
  <c r="AQ97" i="2"/>
  <c r="N97" i="2"/>
  <c r="BB96" i="2"/>
  <c r="BC96" i="2" s="1"/>
  <c r="BB96" i="3"/>
  <c r="BC96" i="3" s="1"/>
  <c r="N97" i="3"/>
  <c r="BE96" i="3" l="1"/>
  <c r="BE96" i="2"/>
  <c r="BD96" i="2"/>
  <c r="P97" i="2"/>
  <c r="BG96" i="3"/>
  <c r="BH96" i="3" s="1"/>
  <c r="BI96" i="3" s="1"/>
  <c r="T97" i="3" s="1"/>
  <c r="P97" i="3"/>
  <c r="BD96" i="3"/>
  <c r="O97" i="2"/>
  <c r="O97" i="3"/>
  <c r="AV97" i="3" l="1"/>
  <c r="AV97" i="2"/>
  <c r="BJ96" i="3"/>
  <c r="BL96" i="3" s="1"/>
  <c r="BM96" i="3" s="1"/>
  <c r="BN96" i="3" s="1"/>
  <c r="W97" i="3" s="1"/>
  <c r="Q97" i="2"/>
  <c r="V97" i="3"/>
  <c r="Q97" i="3"/>
  <c r="BG96" i="2"/>
  <c r="BH96" i="2" s="1"/>
  <c r="U97" i="3"/>
  <c r="BF97" i="3" l="1"/>
  <c r="S97" i="2"/>
  <c r="BI96" i="2"/>
  <c r="BJ96" i="2"/>
  <c r="BL96" i="2" s="1"/>
  <c r="BM96" i="2" s="1"/>
  <c r="BN96" i="2" s="1"/>
  <c r="W97" i="2" s="1"/>
  <c r="BO96" i="3"/>
  <c r="BQ96" i="3"/>
  <c r="Y97" i="3"/>
  <c r="S97" i="3"/>
  <c r="X97" i="3"/>
  <c r="R97" i="2"/>
  <c r="R97" i="3"/>
  <c r="BP97" i="3" l="1"/>
  <c r="BA97" i="3"/>
  <c r="BA97" i="2"/>
  <c r="BK97" i="3"/>
  <c r="Z97" i="3"/>
  <c r="AA97" i="3" s="1"/>
  <c r="BO96" i="2"/>
  <c r="Y97" i="2"/>
  <c r="T97" i="2"/>
  <c r="BQ96" i="2"/>
  <c r="X97" i="2"/>
  <c r="BK97" i="2" l="1"/>
  <c r="AC97" i="3"/>
  <c r="AD97" i="3" s="1"/>
  <c r="V97" i="2"/>
  <c r="U97" i="2"/>
  <c r="BP97" i="2" l="1"/>
  <c r="BF97" i="2"/>
  <c r="Z97" i="2"/>
  <c r="AA97" i="2" s="1"/>
  <c r="AF97" i="3"/>
  <c r="AE97" i="3"/>
  <c r="AH97" i="3" l="1"/>
  <c r="AI97" i="3" s="1"/>
  <c r="B98" i="3"/>
  <c r="AC97" i="2"/>
  <c r="AD97" i="2" s="1"/>
  <c r="AK97" i="3" l="1"/>
  <c r="AE97" i="2"/>
  <c r="AF97" i="2"/>
  <c r="D98" i="3"/>
  <c r="AM97" i="3"/>
  <c r="AN97" i="3" s="1"/>
  <c r="AO97" i="3" s="1"/>
  <c r="H98" i="3" s="1"/>
  <c r="AJ97" i="3"/>
  <c r="C98" i="3"/>
  <c r="AB98" i="3" l="1"/>
  <c r="E98" i="3"/>
  <c r="AP97" i="3"/>
  <c r="J98" i="3"/>
  <c r="AH97" i="2"/>
  <c r="AI97" i="2" s="1"/>
  <c r="B98" i="2"/>
  <c r="I98" i="3"/>
  <c r="AL98" i="3" l="1"/>
  <c r="AR97" i="3"/>
  <c r="AS97" i="3" s="1"/>
  <c r="AU97" i="3"/>
  <c r="G98" i="3"/>
  <c r="D98" i="2"/>
  <c r="AJ97" i="2"/>
  <c r="AK97" i="2"/>
  <c r="C98" i="2"/>
  <c r="F98" i="3"/>
  <c r="AG98" i="3" l="1"/>
  <c r="AB98" i="2"/>
  <c r="AW97" i="3"/>
  <c r="AX97" i="3" s="1"/>
  <c r="AY97" i="3" s="1"/>
  <c r="N98" i="3" s="1"/>
  <c r="E98" i="2"/>
  <c r="AM97" i="2"/>
  <c r="AN97" i="2" s="1"/>
  <c r="AT97" i="3"/>
  <c r="G98" i="2" l="1"/>
  <c r="P98" i="3"/>
  <c r="K98" i="3"/>
  <c r="AZ97" i="3"/>
  <c r="AO97" i="2"/>
  <c r="AP97" i="2"/>
  <c r="F98" i="2"/>
  <c r="O98" i="3"/>
  <c r="AV98" i="3" l="1"/>
  <c r="AG98" i="2"/>
  <c r="BB97" i="3"/>
  <c r="BC97" i="3" s="1"/>
  <c r="H98" i="2"/>
  <c r="M98" i="3"/>
  <c r="AR97" i="2"/>
  <c r="AS97" i="2" s="1"/>
  <c r="L98" i="3"/>
  <c r="AQ98" i="3" l="1"/>
  <c r="J98" i="2"/>
  <c r="AT97" i="2"/>
  <c r="BD97" i="3"/>
  <c r="AU97" i="2"/>
  <c r="BE97" i="3"/>
  <c r="I98" i="2"/>
  <c r="AL98" i="2" l="1"/>
  <c r="AW97" i="2"/>
  <c r="AX97" i="2" s="1"/>
  <c r="Q98" i="3"/>
  <c r="K98" i="2"/>
  <c r="BG97" i="3"/>
  <c r="BH97" i="3" s="1"/>
  <c r="BJ97" i="3" l="1"/>
  <c r="BL97" i="3" s="1"/>
  <c r="BM97" i="3" s="1"/>
  <c r="BN97" i="3" s="1"/>
  <c r="W98" i="3" s="1"/>
  <c r="Y98" i="3" s="1"/>
  <c r="M98" i="2"/>
  <c r="S98" i="3"/>
  <c r="AY97" i="2"/>
  <c r="AZ97" i="2"/>
  <c r="BI97" i="3"/>
  <c r="BO97" i="3"/>
  <c r="L98" i="2"/>
  <c r="X98" i="3"/>
  <c r="R98" i="3"/>
  <c r="BA98" i="3" l="1"/>
  <c r="BK98" i="3"/>
  <c r="AQ98" i="2"/>
  <c r="BB97" i="2"/>
  <c r="BC97" i="2" s="1"/>
  <c r="T98" i="3"/>
  <c r="BQ97" i="3"/>
  <c r="N98" i="2"/>
  <c r="BE97" i="2" l="1"/>
  <c r="BG97" i="2" s="1"/>
  <c r="BH97" i="2" s="1"/>
  <c r="BI97" i="2" s="1"/>
  <c r="T98" i="2" s="1"/>
  <c r="P98" i="2"/>
  <c r="V98" i="3"/>
  <c r="BD97" i="2"/>
  <c r="O98" i="2"/>
  <c r="U98" i="3"/>
  <c r="BP98" i="3" l="1"/>
  <c r="BF98" i="3"/>
  <c r="AV98" i="2"/>
  <c r="Z98" i="3"/>
  <c r="AA98" i="3" s="1"/>
  <c r="V98" i="2"/>
  <c r="Q98" i="2"/>
  <c r="BJ97" i="2"/>
  <c r="BL97" i="2" s="1"/>
  <c r="BM97" i="2" s="1"/>
  <c r="U98" i="2"/>
  <c r="BF98" i="2" l="1"/>
  <c r="AC98" i="3"/>
  <c r="AD98" i="3" s="1"/>
  <c r="S98" i="2"/>
  <c r="BN97" i="2"/>
  <c r="BO97" i="2"/>
  <c r="R98" i="2"/>
  <c r="BA98" i="2" l="1"/>
  <c r="AE98" i="3"/>
  <c r="W98" i="2"/>
  <c r="BQ97" i="2"/>
  <c r="AF98" i="3"/>
  <c r="Y98" i="2" l="1"/>
  <c r="AH98" i="3"/>
  <c r="AI98" i="3" s="1"/>
  <c r="B99" i="3"/>
  <c r="X98" i="2"/>
  <c r="BP98" i="2" l="1"/>
  <c r="BK98" i="2"/>
  <c r="D99" i="3"/>
  <c r="AK98" i="3"/>
  <c r="Z98" i="2"/>
  <c r="AA98" i="2" s="1"/>
  <c r="AJ98" i="3"/>
  <c r="C99" i="3"/>
  <c r="AB99" i="3" l="1"/>
  <c r="AC98" i="2"/>
  <c r="AD98" i="2" s="1"/>
  <c r="AM98" i="3"/>
  <c r="AN98" i="3" s="1"/>
  <c r="E99" i="3"/>
  <c r="AP98" i="3" l="1"/>
  <c r="AR98" i="3" s="1"/>
  <c r="AS98" i="3" s="1"/>
  <c r="AT98" i="3" s="1"/>
  <c r="K99" i="3" s="1"/>
  <c r="G99" i="3"/>
  <c r="AO98" i="3"/>
  <c r="AF98" i="2"/>
  <c r="AE98" i="2"/>
  <c r="F99" i="3"/>
  <c r="AG99" i="3" l="1"/>
  <c r="AH98" i="2"/>
  <c r="AI98" i="2" s="1"/>
  <c r="B99" i="2"/>
  <c r="H99" i="3"/>
  <c r="M99" i="3"/>
  <c r="AU98" i="3"/>
  <c r="L99" i="3"/>
  <c r="AK98" i="2" l="1"/>
  <c r="AQ99" i="3"/>
  <c r="D99" i="2"/>
  <c r="J99" i="3"/>
  <c r="AW98" i="3"/>
  <c r="AX98" i="3" s="1"/>
  <c r="AM98" i="2"/>
  <c r="AN98" i="2" s="1"/>
  <c r="AO98" i="2" s="1"/>
  <c r="H99" i="2" s="1"/>
  <c r="AJ98" i="2"/>
  <c r="C99" i="2"/>
  <c r="I99" i="3"/>
  <c r="AL99" i="3" l="1"/>
  <c r="AB99" i="2"/>
  <c r="E99" i="2"/>
  <c r="AY98" i="3"/>
  <c r="J99" i="2"/>
  <c r="AP98" i="2"/>
  <c r="AZ98" i="3"/>
  <c r="I99" i="2"/>
  <c r="AL99" i="2" l="1"/>
  <c r="G99" i="2"/>
  <c r="N99" i="3"/>
  <c r="BB98" i="3"/>
  <c r="BC98" i="3" s="1"/>
  <c r="AR98" i="2"/>
  <c r="AS98" i="2" s="1"/>
  <c r="F99" i="2"/>
  <c r="AU98" i="2" l="1"/>
  <c r="BE98" i="3"/>
  <c r="AG99" i="2"/>
  <c r="AW98" i="2"/>
  <c r="AX98" i="2" s="1"/>
  <c r="AY98" i="2" s="1"/>
  <c r="N99" i="2" s="1"/>
  <c r="BD98" i="3"/>
  <c r="P99" i="3"/>
  <c r="BG98" i="3"/>
  <c r="BH98" i="3" s="1"/>
  <c r="BI98" i="3" s="1"/>
  <c r="T99" i="3" s="1"/>
  <c r="AT98" i="2"/>
  <c r="O99" i="3"/>
  <c r="BJ98" i="3" l="1"/>
  <c r="BL98" i="3" s="1"/>
  <c r="BM98" i="3" s="1"/>
  <c r="BN98" i="3" s="1"/>
  <c r="W99" i="3" s="1"/>
  <c r="Y99" i="3" s="1"/>
  <c r="AV99" i="3"/>
  <c r="Q99" i="3"/>
  <c r="K99" i="2"/>
  <c r="P99" i="2"/>
  <c r="AZ98" i="2"/>
  <c r="V99" i="3"/>
  <c r="X99" i="3"/>
  <c r="O99" i="2"/>
  <c r="U99" i="3"/>
  <c r="BO98" i="3" l="1"/>
  <c r="BQ98" i="3"/>
  <c r="BF99" i="3"/>
  <c r="AV99" i="2"/>
  <c r="BK99" i="3"/>
  <c r="S99" i="3"/>
  <c r="BB98" i="2"/>
  <c r="BC98" i="2" s="1"/>
  <c r="M99" i="2"/>
  <c r="L99" i="2"/>
  <c r="R99" i="3"/>
  <c r="BP99" i="3" l="1"/>
  <c r="BA99" i="3"/>
  <c r="AQ99" i="2"/>
  <c r="BD98" i="2"/>
  <c r="Z99" i="3"/>
  <c r="AA99" i="3" s="1"/>
  <c r="BE98" i="2"/>
  <c r="AC99" i="3" l="1"/>
  <c r="AD99" i="3" s="1"/>
  <c r="Q99" i="2"/>
  <c r="BG98" i="2"/>
  <c r="BH98" i="2" s="1"/>
  <c r="BJ98" i="2" l="1"/>
  <c r="BL98" i="2" s="1"/>
  <c r="BM98" i="2" s="1"/>
  <c r="BN98" i="2" s="1"/>
  <c r="W99" i="2" s="1"/>
  <c r="AF99" i="3"/>
  <c r="Y99" i="2"/>
  <c r="BI98" i="2"/>
  <c r="BO98" i="2"/>
  <c r="AH99" i="3"/>
  <c r="AI99" i="3" s="1"/>
  <c r="AJ99" i="3" s="1"/>
  <c r="E100" i="3" s="1"/>
  <c r="S99" i="2"/>
  <c r="AE99" i="3"/>
  <c r="X99" i="2"/>
  <c r="R99" i="2"/>
  <c r="BA99" i="2" l="1"/>
  <c r="BK99" i="2"/>
  <c r="G100" i="3"/>
  <c r="AK99" i="3"/>
  <c r="T99" i="2"/>
  <c r="BQ98" i="2"/>
  <c r="B100" i="3"/>
  <c r="F100" i="3"/>
  <c r="AG100" i="3" l="1"/>
  <c r="AM99" i="3"/>
  <c r="AN99" i="3" s="1"/>
  <c r="D100" i="3"/>
  <c r="V99" i="2"/>
  <c r="C100" i="3"/>
  <c r="U99" i="2"/>
  <c r="BP99" i="2" l="1"/>
  <c r="BF99" i="2"/>
  <c r="AB100" i="3"/>
  <c r="AO99" i="3"/>
  <c r="AP99" i="3"/>
  <c r="Z99" i="2"/>
  <c r="AA99" i="2" s="1"/>
  <c r="H100" i="3" l="1"/>
  <c r="AR99" i="3"/>
  <c r="AS99" i="3" s="1"/>
  <c r="AC99" i="2"/>
  <c r="AD99" i="2" s="1"/>
  <c r="AF99" i="2" l="1"/>
  <c r="AE99" i="2"/>
  <c r="AT99" i="3"/>
  <c r="AU99" i="3"/>
  <c r="J100" i="3"/>
  <c r="I100" i="3"/>
  <c r="AL100" i="3" l="1"/>
  <c r="AW99" i="3"/>
  <c r="AX99" i="3" s="1"/>
  <c r="K100" i="3"/>
  <c r="B100" i="2"/>
  <c r="AH99" i="2"/>
  <c r="AI99" i="2" s="1"/>
  <c r="AK99" i="2" l="1"/>
  <c r="AM99" i="2"/>
  <c r="AN99" i="2" s="1"/>
  <c r="AO99" i="2" s="1"/>
  <c r="H100" i="2" s="1"/>
  <c r="D100" i="2"/>
  <c r="M100" i="3"/>
  <c r="AY99" i="3"/>
  <c r="AZ99" i="3"/>
  <c r="AJ99" i="2"/>
  <c r="C100" i="2"/>
  <c r="L100" i="3"/>
  <c r="AP99" i="2" l="1"/>
  <c r="AQ100" i="3"/>
  <c r="AB100" i="2"/>
  <c r="N100" i="3"/>
  <c r="E100" i="2"/>
  <c r="AR99" i="2"/>
  <c r="AS99" i="2" s="1"/>
  <c r="BB99" i="3"/>
  <c r="BC99" i="3" s="1"/>
  <c r="J100" i="2"/>
  <c r="I100" i="2"/>
  <c r="BE99" i="3" l="1"/>
  <c r="AL100" i="2"/>
  <c r="BG99" i="3"/>
  <c r="BH99" i="3" s="1"/>
  <c r="BI99" i="3" s="1"/>
  <c r="T100" i="3" s="1"/>
  <c r="AT99" i="2"/>
  <c r="AU99" i="2"/>
  <c r="P100" i="3"/>
  <c r="BD99" i="3"/>
  <c r="G100" i="2"/>
  <c r="O100" i="3"/>
  <c r="F100" i="2"/>
  <c r="AG100" i="2" l="1"/>
  <c r="AV100" i="3"/>
  <c r="K100" i="2"/>
  <c r="V100" i="3"/>
  <c r="AW99" i="2"/>
  <c r="AX99" i="2" s="1"/>
  <c r="BJ99" i="3"/>
  <c r="BL99" i="3" s="1"/>
  <c r="BM99" i="3" s="1"/>
  <c r="BN99" i="3" s="1"/>
  <c r="W100" i="3" s="1"/>
  <c r="Q100" i="3"/>
  <c r="U100" i="3"/>
  <c r="BF100" i="3" l="1"/>
  <c r="S100" i="3"/>
  <c r="Y100" i="3"/>
  <c r="M100" i="2"/>
  <c r="AY99" i="2"/>
  <c r="AZ99" i="2"/>
  <c r="BQ99" i="3"/>
  <c r="BO99" i="3"/>
  <c r="L100" i="2"/>
  <c r="R100" i="3"/>
  <c r="X100" i="3"/>
  <c r="BK100" i="3" l="1"/>
  <c r="BP100" i="3"/>
  <c r="BA100" i="3"/>
  <c r="AQ100" i="2"/>
  <c r="N100" i="2"/>
  <c r="Z100" i="3"/>
  <c r="AA100" i="3" s="1"/>
  <c r="BB99" i="2"/>
  <c r="BC99" i="2" s="1"/>
  <c r="P100" i="2" l="1"/>
  <c r="BD99" i="2"/>
  <c r="BE99" i="2"/>
  <c r="AC100" i="3"/>
  <c r="AD100" i="3" s="1"/>
  <c r="O100" i="2"/>
  <c r="AV100" i="2" l="1"/>
  <c r="BG99" i="2"/>
  <c r="BH99" i="2" s="1"/>
  <c r="AE100" i="3"/>
  <c r="AF100" i="3"/>
  <c r="Q100" i="2"/>
  <c r="AH100" i="3" l="1"/>
  <c r="AI100" i="3" s="1"/>
  <c r="B101" i="3"/>
  <c r="BJ99" i="2"/>
  <c r="BL99" i="2" s="1"/>
  <c r="BM99" i="2" s="1"/>
  <c r="BN99" i="2" s="1"/>
  <c r="W100" i="2" s="1"/>
  <c r="S100" i="2"/>
  <c r="BI99" i="2"/>
  <c r="R100" i="2"/>
  <c r="AK100" i="3" l="1"/>
  <c r="BO99" i="2"/>
  <c r="BA100" i="2"/>
  <c r="T100" i="2"/>
  <c r="BQ99" i="2"/>
  <c r="D101" i="3"/>
  <c r="Y100" i="2"/>
  <c r="AM100" i="3"/>
  <c r="AN100" i="3" s="1"/>
  <c r="AO100" i="3" s="1"/>
  <c r="H101" i="3" s="1"/>
  <c r="AJ100" i="3"/>
  <c r="X100" i="2"/>
  <c r="C101" i="3"/>
  <c r="AB101" i="3" l="1"/>
  <c r="BK100" i="2"/>
  <c r="E101" i="3"/>
  <c r="AP100" i="3"/>
  <c r="J101" i="3"/>
  <c r="V100" i="2"/>
  <c r="I101" i="3"/>
  <c r="U100" i="2"/>
  <c r="BP100" i="2" l="1"/>
  <c r="BF100" i="2"/>
  <c r="AL101" i="3"/>
  <c r="AR100" i="3"/>
  <c r="AS100" i="3" s="1"/>
  <c r="G101" i="3"/>
  <c r="Z100" i="2"/>
  <c r="AA100" i="2" s="1"/>
  <c r="F101" i="3"/>
  <c r="AG101" i="3" l="1"/>
  <c r="AT100" i="3"/>
  <c r="AU100" i="3"/>
  <c r="AC100" i="2"/>
  <c r="AD100" i="2" s="1"/>
  <c r="AF100" i="2" l="1"/>
  <c r="AE100" i="2"/>
  <c r="AW100" i="3"/>
  <c r="AX100" i="3" s="1"/>
  <c r="K101" i="3"/>
  <c r="AY100" i="3" l="1"/>
  <c r="M101" i="3"/>
  <c r="AZ100" i="3"/>
  <c r="B101" i="2"/>
  <c r="AH100" i="2"/>
  <c r="AI100" i="2" s="1"/>
  <c r="L101" i="3"/>
  <c r="AQ101" i="3" l="1"/>
  <c r="AJ100" i="2"/>
  <c r="D101" i="2"/>
  <c r="AK100" i="2"/>
  <c r="BB100" i="3"/>
  <c r="BC100" i="3" s="1"/>
  <c r="N101" i="3"/>
  <c r="C101" i="2"/>
  <c r="AB101" i="2" l="1"/>
  <c r="AM100" i="2"/>
  <c r="AN100" i="2" s="1"/>
  <c r="BD100" i="3"/>
  <c r="E101" i="2"/>
  <c r="P101" i="3"/>
  <c r="BE100" i="3"/>
  <c r="O101" i="3"/>
  <c r="AV101" i="3" l="1"/>
  <c r="G101" i="2"/>
  <c r="AO100" i="2"/>
  <c r="AP100" i="2"/>
  <c r="BG100" i="3"/>
  <c r="BH100" i="3" s="1"/>
  <c r="Q101" i="3"/>
  <c r="F101" i="2"/>
  <c r="AG101" i="2" l="1"/>
  <c r="BI100" i="3"/>
  <c r="AR100" i="2"/>
  <c r="AS100" i="2" s="1"/>
  <c r="BJ100" i="3"/>
  <c r="BL100" i="3" s="1"/>
  <c r="BM100" i="3" s="1"/>
  <c r="BN100" i="3" s="1"/>
  <c r="W101" i="3" s="1"/>
  <c r="H101" i="2"/>
  <c r="S101" i="3"/>
  <c r="R101" i="3"/>
  <c r="AU100" i="2" l="1"/>
  <c r="BA101" i="3"/>
  <c r="J101" i="2"/>
  <c r="AW100" i="2"/>
  <c r="AX100" i="2" s="1"/>
  <c r="AY100" i="2" s="1"/>
  <c r="N101" i="2" s="1"/>
  <c r="BO100" i="3"/>
  <c r="Y101" i="3"/>
  <c r="AT100" i="2"/>
  <c r="T101" i="3"/>
  <c r="BQ100" i="3"/>
  <c r="X101" i="3"/>
  <c r="I101" i="2"/>
  <c r="AL101" i="2" l="1"/>
  <c r="BK101" i="3"/>
  <c r="P101" i="2"/>
  <c r="AZ100" i="2"/>
  <c r="K101" i="2"/>
  <c r="V101" i="3"/>
  <c r="O101" i="2"/>
  <c r="U101" i="3"/>
  <c r="BP101" i="3" l="1"/>
  <c r="BF101" i="3"/>
  <c r="AV101" i="2"/>
  <c r="BB100" i="2"/>
  <c r="BC100" i="2" s="1"/>
  <c r="Z101" i="3"/>
  <c r="AA101" i="3" s="1"/>
  <c r="M101" i="2"/>
  <c r="L101" i="2"/>
  <c r="AQ101" i="2" l="1"/>
  <c r="BD100" i="2"/>
  <c r="AC101" i="3"/>
  <c r="AD101" i="3" s="1"/>
  <c r="BE100" i="2"/>
  <c r="AE101" i="3" l="1"/>
  <c r="Q101" i="2"/>
  <c r="BG100" i="2"/>
  <c r="BH100" i="2" s="1"/>
  <c r="AF101" i="3"/>
  <c r="BI100" i="2" l="1"/>
  <c r="AH101" i="3"/>
  <c r="AI101" i="3" s="1"/>
  <c r="BJ100" i="2"/>
  <c r="BL100" i="2" s="1"/>
  <c r="BM100" i="2" s="1"/>
  <c r="BN100" i="2" s="1"/>
  <c r="W101" i="2" s="1"/>
  <c r="S101" i="2"/>
  <c r="B102" i="3"/>
  <c r="R101" i="2"/>
  <c r="BA101" i="2" l="1"/>
  <c r="AJ101" i="3"/>
  <c r="D102" i="3"/>
  <c r="Y101" i="2"/>
  <c r="AK101" i="3"/>
  <c r="BO100" i="2"/>
  <c r="T101" i="2"/>
  <c r="BQ100" i="2"/>
  <c r="X101" i="2"/>
  <c r="C102" i="3"/>
  <c r="AB102" i="3" l="1"/>
  <c r="BK101" i="2"/>
  <c r="AM101" i="3"/>
  <c r="AN101" i="3" s="1"/>
  <c r="V101" i="2"/>
  <c r="E102" i="3"/>
  <c r="U101" i="2"/>
  <c r="BP101" i="2" l="1"/>
  <c r="BF101" i="2"/>
  <c r="Z101" i="2"/>
  <c r="AA101" i="2" s="1"/>
  <c r="AP101" i="3"/>
  <c r="G102" i="3"/>
  <c r="AO101" i="3"/>
  <c r="F102" i="3"/>
  <c r="AG102" i="3" l="1"/>
  <c r="H102" i="3"/>
  <c r="AR101" i="3"/>
  <c r="AS101" i="3" s="1"/>
  <c r="AC101" i="2"/>
  <c r="AD101" i="2" s="1"/>
  <c r="AE101" i="2" l="1"/>
  <c r="AF101" i="2"/>
  <c r="AT101" i="3"/>
  <c r="AU101" i="3"/>
  <c r="J102" i="3"/>
  <c r="I102" i="3"/>
  <c r="AL102" i="3" l="1"/>
  <c r="AW101" i="3"/>
  <c r="AX101" i="3" s="1"/>
  <c r="K102" i="3"/>
  <c r="AH101" i="2"/>
  <c r="AI101" i="2" s="1"/>
  <c r="B102" i="2"/>
  <c r="AK101" i="2" l="1"/>
  <c r="D102" i="2"/>
  <c r="M102" i="3"/>
  <c r="AM101" i="2"/>
  <c r="AN101" i="2" s="1"/>
  <c r="AO101" i="2" s="1"/>
  <c r="H102" i="2" s="1"/>
  <c r="AY101" i="3"/>
  <c r="AJ101" i="2"/>
  <c r="AZ101" i="3"/>
  <c r="C102" i="2"/>
  <c r="L102" i="3"/>
  <c r="AQ102" i="3" l="1"/>
  <c r="AB102" i="2"/>
  <c r="N102" i="3"/>
  <c r="AP101" i="2"/>
  <c r="J102" i="2"/>
  <c r="BB101" i="3"/>
  <c r="BC101" i="3" s="1"/>
  <c r="E102" i="2"/>
  <c r="I102" i="2"/>
  <c r="AL102" i="2" l="1"/>
  <c r="AR101" i="2"/>
  <c r="AS101" i="2" s="1"/>
  <c r="BD101" i="3"/>
  <c r="G102" i="2"/>
  <c r="P102" i="3"/>
  <c r="BE101" i="3"/>
  <c r="O102" i="3"/>
  <c r="F102" i="2"/>
  <c r="AG102" i="2" l="1"/>
  <c r="AV102" i="3"/>
  <c r="BG101" i="3"/>
  <c r="BH101" i="3" s="1"/>
  <c r="Q102" i="3"/>
  <c r="AT101" i="2"/>
  <c r="AU101" i="2"/>
  <c r="BI101" i="3" l="1"/>
  <c r="K102" i="2"/>
  <c r="AW101" i="2"/>
  <c r="AX101" i="2" s="1"/>
  <c r="BJ101" i="3"/>
  <c r="BL101" i="3" s="1"/>
  <c r="BM101" i="3" s="1"/>
  <c r="BN101" i="3" s="1"/>
  <c r="W102" i="3" s="1"/>
  <c r="S102" i="3"/>
  <c r="R102" i="3"/>
  <c r="BA102" i="3" l="1"/>
  <c r="Y102" i="3"/>
  <c r="AY101" i="2"/>
  <c r="AZ101" i="2"/>
  <c r="M102" i="2"/>
  <c r="BO101" i="3"/>
  <c r="T102" i="3"/>
  <c r="BQ101" i="3"/>
  <c r="L102" i="2"/>
  <c r="X102" i="3"/>
  <c r="BK102" i="3" l="1"/>
  <c r="AQ102" i="2"/>
  <c r="N102" i="2"/>
  <c r="V102" i="3"/>
  <c r="BB101" i="2"/>
  <c r="BC101" i="2" s="1"/>
  <c r="U102" i="3"/>
  <c r="BP102" i="3" l="1"/>
  <c r="BF102" i="3"/>
  <c r="BE101" i="2"/>
  <c r="P102" i="2"/>
  <c r="BD101" i="2"/>
  <c r="Z102" i="3"/>
  <c r="AA102" i="3" s="1"/>
  <c r="O102" i="2"/>
  <c r="AV102" i="2" l="1"/>
  <c r="Q102" i="2"/>
  <c r="BG101" i="2"/>
  <c r="BH101" i="2" s="1"/>
  <c r="AC102" i="3"/>
  <c r="AD102" i="3" s="1"/>
  <c r="AF102" i="3" l="1"/>
  <c r="BJ101" i="2"/>
  <c r="BL101" i="2" s="1"/>
  <c r="BM101" i="2" s="1"/>
  <c r="BN101" i="2" s="1"/>
  <c r="W102" i="2" s="1"/>
  <c r="Y102" i="2" s="1"/>
  <c r="AE102" i="3"/>
  <c r="S102" i="2"/>
  <c r="AH102" i="3"/>
  <c r="AI102" i="3" s="1"/>
  <c r="AJ102" i="3" s="1"/>
  <c r="E103" i="3" s="1"/>
  <c r="BI101" i="2"/>
  <c r="BO101" i="2"/>
  <c r="X102" i="2"/>
  <c r="R102" i="2"/>
  <c r="BA102" i="2" l="1"/>
  <c r="BK102" i="2"/>
  <c r="AK102" i="3"/>
  <c r="G103" i="3"/>
  <c r="B103" i="3"/>
  <c r="T102" i="2"/>
  <c r="BQ101" i="2"/>
  <c r="F103" i="3"/>
  <c r="AG103" i="3" l="1"/>
  <c r="V102" i="2"/>
  <c r="AM102" i="3"/>
  <c r="AN102" i="3" s="1"/>
  <c r="D103" i="3"/>
  <c r="C103" i="3"/>
  <c r="U102" i="2"/>
  <c r="BP102" i="2" l="1"/>
  <c r="BF102" i="2"/>
  <c r="AB103" i="3"/>
  <c r="Z102" i="2"/>
  <c r="AA102" i="2" s="1"/>
  <c r="AP102" i="3"/>
  <c r="AO102" i="3"/>
  <c r="H103" i="3" l="1"/>
  <c r="AC102" i="2"/>
  <c r="AD102" i="2" s="1"/>
  <c r="AR102" i="3"/>
  <c r="AS102" i="3" s="1"/>
  <c r="AE102" i="2" l="1"/>
  <c r="AT102" i="3"/>
  <c r="AU102" i="3"/>
  <c r="AF102" i="2"/>
  <c r="J103" i="3"/>
  <c r="I103" i="3"/>
  <c r="AL103" i="3" l="1"/>
  <c r="AH102" i="2"/>
  <c r="AI102" i="2" s="1"/>
  <c r="AW102" i="3"/>
  <c r="AX102" i="3" s="1"/>
  <c r="K103" i="3"/>
  <c r="B103" i="2"/>
  <c r="D103" i="2" l="1"/>
  <c r="AY102" i="3"/>
  <c r="AZ102" i="3"/>
  <c r="M103" i="3"/>
  <c r="AK102" i="2"/>
  <c r="AJ102" i="2"/>
  <c r="C103" i="2"/>
  <c r="L103" i="3"/>
  <c r="AQ103" i="3" l="1"/>
  <c r="AB103" i="2"/>
  <c r="AM102" i="2"/>
  <c r="AN102" i="2" s="1"/>
  <c r="BB102" i="3"/>
  <c r="BC102" i="3" s="1"/>
  <c r="N103" i="3"/>
  <c r="E103" i="2"/>
  <c r="BE102" i="3" l="1"/>
  <c r="AO102" i="2"/>
  <c r="BD102" i="3"/>
  <c r="AP102" i="2"/>
  <c r="G103" i="2"/>
  <c r="P103" i="3"/>
  <c r="O103" i="3"/>
  <c r="F103" i="2"/>
  <c r="AG103" i="2" l="1"/>
  <c r="AV103" i="3"/>
  <c r="Q103" i="3"/>
  <c r="H103" i="2"/>
  <c r="AR102" i="2"/>
  <c r="AS102" i="2" s="1"/>
  <c r="BG102" i="3"/>
  <c r="BH102" i="3" s="1"/>
  <c r="J103" i="2" l="1"/>
  <c r="BJ102" i="3"/>
  <c r="BL102" i="3" s="1"/>
  <c r="BM102" i="3" s="1"/>
  <c r="BN102" i="3" s="1"/>
  <c r="W103" i="3" s="1"/>
  <c r="AT102" i="2"/>
  <c r="S103" i="3"/>
  <c r="BI102" i="3"/>
  <c r="AU102" i="2"/>
  <c r="I103" i="2"/>
  <c r="R103" i="3"/>
  <c r="BA103" i="3" l="1"/>
  <c r="AL103" i="2"/>
  <c r="T103" i="3"/>
  <c r="BQ102" i="3"/>
  <c r="K103" i="2"/>
  <c r="Y103" i="3"/>
  <c r="AW102" i="2"/>
  <c r="AX102" i="2" s="1"/>
  <c r="BO102" i="3"/>
  <c r="X103" i="3"/>
  <c r="BK103" i="3" l="1"/>
  <c r="M103" i="2"/>
  <c r="AZ102" i="2"/>
  <c r="AY102" i="2"/>
  <c r="V103" i="3"/>
  <c r="U103" i="3"/>
  <c r="L103" i="2"/>
  <c r="AQ103" i="2" l="1"/>
  <c r="BP103" i="3"/>
  <c r="BF103" i="3"/>
  <c r="BB102" i="2"/>
  <c r="BC102" i="2" s="1"/>
  <c r="N103" i="2"/>
  <c r="Z103" i="3"/>
  <c r="AA103" i="3" s="1"/>
  <c r="P103" i="2" l="1"/>
  <c r="BE102" i="2"/>
  <c r="BD102" i="2"/>
  <c r="AC103" i="3"/>
  <c r="AD103" i="3" s="1"/>
  <c r="O103" i="2"/>
  <c r="AV103" i="2" l="1"/>
  <c r="AF103" i="3"/>
  <c r="BG102" i="2"/>
  <c r="BH102" i="2" s="1"/>
  <c r="AE103" i="3"/>
  <c r="Q103" i="2"/>
  <c r="BI102" i="2" l="1"/>
  <c r="S103" i="2"/>
  <c r="B104" i="3"/>
  <c r="BJ102" i="2"/>
  <c r="BL102" i="2" s="1"/>
  <c r="BM102" i="2" s="1"/>
  <c r="BN102" i="2" s="1"/>
  <c r="W103" i="2" s="1"/>
  <c r="AH103" i="3"/>
  <c r="AI103" i="3" s="1"/>
  <c r="R103" i="2"/>
  <c r="BA103" i="2" l="1"/>
  <c r="AK103" i="3"/>
  <c r="D104" i="3"/>
  <c r="AJ103" i="3"/>
  <c r="BO102" i="2"/>
  <c r="Y103" i="2"/>
  <c r="T103" i="2"/>
  <c r="BQ102" i="2"/>
  <c r="X103" i="2"/>
  <c r="C104" i="3"/>
  <c r="AB104" i="3" l="1"/>
  <c r="BK103" i="2"/>
  <c r="V103" i="2"/>
  <c r="AM103" i="3"/>
  <c r="AN103" i="3" s="1"/>
  <c r="E104" i="3"/>
  <c r="U103" i="2"/>
  <c r="BP103" i="2" l="1"/>
  <c r="BF103" i="2"/>
  <c r="AO103" i="3"/>
  <c r="Z103" i="2"/>
  <c r="AA103" i="2" s="1"/>
  <c r="G104" i="3"/>
  <c r="AP103" i="3"/>
  <c r="F104" i="3"/>
  <c r="AG104" i="3" l="1"/>
  <c r="AC103" i="2"/>
  <c r="AD103" i="2" s="1"/>
  <c r="H104" i="3"/>
  <c r="AR103" i="3"/>
  <c r="AS103" i="3" s="1"/>
  <c r="J104" i="3" l="1"/>
  <c r="AT103" i="3"/>
  <c r="AU103" i="3"/>
  <c r="AE103" i="2"/>
  <c r="AF103" i="2"/>
  <c r="I104" i="3"/>
  <c r="AL104" i="3" l="1"/>
  <c r="B104" i="2"/>
  <c r="AH103" i="2"/>
  <c r="AI103" i="2" s="1"/>
  <c r="AW103" i="3"/>
  <c r="AX103" i="3" s="1"/>
  <c r="K104" i="3"/>
  <c r="AY103" i="3" l="1"/>
  <c r="AK103" i="2"/>
  <c r="M104" i="3"/>
  <c r="AZ103" i="3"/>
  <c r="AJ103" i="2"/>
  <c r="D104" i="2"/>
  <c r="C104" i="2"/>
  <c r="L104" i="3"/>
  <c r="AQ104" i="3" l="1"/>
  <c r="AB104" i="2"/>
  <c r="E104" i="2"/>
  <c r="BB103" i="3"/>
  <c r="BC103" i="3" s="1"/>
  <c r="AM103" i="2"/>
  <c r="AN103" i="2" s="1"/>
  <c r="N104" i="3"/>
  <c r="BD103" i="3" l="1"/>
  <c r="BE103" i="3"/>
  <c r="G104" i="2"/>
  <c r="P104" i="3"/>
  <c r="AO103" i="2"/>
  <c r="AP103" i="2"/>
  <c r="O104" i="3"/>
  <c r="F104" i="2"/>
  <c r="AG104" i="2" l="1"/>
  <c r="AV104" i="3"/>
  <c r="H104" i="2"/>
  <c r="BG103" i="3"/>
  <c r="BH103" i="3" s="1"/>
  <c r="AR103" i="2"/>
  <c r="AS103" i="2" s="1"/>
  <c r="Q104" i="3"/>
  <c r="J104" i="2" l="1"/>
  <c r="AT103" i="2"/>
  <c r="S104" i="3"/>
  <c r="AU103" i="2"/>
  <c r="BI103" i="3"/>
  <c r="BJ103" i="3"/>
  <c r="BL103" i="3" s="1"/>
  <c r="BM103" i="3" s="1"/>
  <c r="BN103" i="3" s="1"/>
  <c r="W104" i="3" s="1"/>
  <c r="I104" i="2"/>
  <c r="R104" i="3"/>
  <c r="BA104" i="3" l="1"/>
  <c r="AL104" i="2"/>
  <c r="K104" i="2"/>
  <c r="T104" i="3"/>
  <c r="BQ103" i="3"/>
  <c r="Y104" i="3"/>
  <c r="AW103" i="2"/>
  <c r="AX103" i="2" s="1"/>
  <c r="BO103" i="3"/>
  <c r="X104" i="3"/>
  <c r="BK104" i="3" l="1"/>
  <c r="M104" i="2"/>
  <c r="AZ103" i="2"/>
  <c r="AY103" i="2"/>
  <c r="V104" i="3"/>
  <c r="U104" i="3"/>
  <c r="L104" i="2"/>
  <c r="AQ104" i="2" l="1"/>
  <c r="BP104" i="3"/>
  <c r="BF104" i="3"/>
  <c r="BB103" i="2"/>
  <c r="BC103" i="2" s="1"/>
  <c r="N104" i="2"/>
  <c r="Z104" i="3"/>
  <c r="AA104" i="3" s="1"/>
  <c r="BE103" i="2" l="1"/>
  <c r="BG103" i="2"/>
  <c r="BH103" i="2" s="1"/>
  <c r="BI103" i="2" s="1"/>
  <c r="T104" i="2" s="1"/>
  <c r="P104" i="2"/>
  <c r="AC104" i="3"/>
  <c r="AD104" i="3" s="1"/>
  <c r="BD103" i="2"/>
  <c r="O104" i="2"/>
  <c r="AV104" i="2" l="1"/>
  <c r="AF104" i="3"/>
  <c r="Q104" i="2"/>
  <c r="AE104" i="3"/>
  <c r="V104" i="2"/>
  <c r="BJ103" i="2"/>
  <c r="BL103" i="2" s="1"/>
  <c r="BM103" i="2" s="1"/>
  <c r="U104" i="2"/>
  <c r="BF104" i="2" l="1"/>
  <c r="B105" i="3"/>
  <c r="BN103" i="2"/>
  <c r="BO103" i="2"/>
  <c r="S104" i="2"/>
  <c r="AH104" i="3"/>
  <c r="AI104" i="3" s="1"/>
  <c r="R104" i="2"/>
  <c r="BA104" i="2" l="1"/>
  <c r="AJ104" i="3"/>
  <c r="AK104" i="3"/>
  <c r="W104" i="2"/>
  <c r="BQ103" i="2"/>
  <c r="D105" i="3"/>
  <c r="C105" i="3"/>
  <c r="AB105" i="3" l="1"/>
  <c r="AM104" i="3"/>
  <c r="AN104" i="3" s="1"/>
  <c r="Y104" i="2"/>
  <c r="E105" i="3"/>
  <c r="X104" i="2"/>
  <c r="AP104" i="3" l="1"/>
  <c r="BP104" i="2"/>
  <c r="BK104" i="2"/>
  <c r="G105" i="3"/>
  <c r="AO104" i="3"/>
  <c r="Z104" i="2"/>
  <c r="AA104" i="2" s="1"/>
  <c r="AR104" i="3"/>
  <c r="AS104" i="3" s="1"/>
  <c r="AT104" i="3" s="1"/>
  <c r="K105" i="3" s="1"/>
  <c r="F105" i="3"/>
  <c r="AU104" i="3" l="1"/>
  <c r="AG105" i="3"/>
  <c r="AW104" i="3"/>
  <c r="AX104" i="3" s="1"/>
  <c r="AC104" i="2"/>
  <c r="AD104" i="2" s="1"/>
  <c r="H105" i="3"/>
  <c r="M105" i="3"/>
  <c r="L105" i="3"/>
  <c r="AQ105" i="3" l="1"/>
  <c r="AE104" i="2"/>
  <c r="AZ104" i="3"/>
  <c r="J105" i="3"/>
  <c r="AF104" i="2"/>
  <c r="AY104" i="3"/>
  <c r="I105" i="3"/>
  <c r="AL105" i="3" l="1"/>
  <c r="AH104" i="2"/>
  <c r="AI104" i="2" s="1"/>
  <c r="B105" i="2"/>
  <c r="N105" i="3"/>
  <c r="BB104" i="3"/>
  <c r="BC104" i="3" s="1"/>
  <c r="BE104" i="3" l="1"/>
  <c r="AK104" i="2"/>
  <c r="BG104" i="3"/>
  <c r="BH104" i="3" s="1"/>
  <c r="BI104" i="3" s="1"/>
  <c r="T105" i="3" s="1"/>
  <c r="D105" i="2"/>
  <c r="P105" i="3"/>
  <c r="AM104" i="2"/>
  <c r="AN104" i="2" s="1"/>
  <c r="AO104" i="2" s="1"/>
  <c r="H105" i="2" s="1"/>
  <c r="AJ104" i="2"/>
  <c r="BD104" i="3"/>
  <c r="C105" i="2"/>
  <c r="O105" i="3"/>
  <c r="AV105" i="3" l="1"/>
  <c r="AB105" i="2"/>
  <c r="J105" i="2"/>
  <c r="V105" i="3"/>
  <c r="AP104" i="2"/>
  <c r="Q105" i="3"/>
  <c r="E105" i="2"/>
  <c r="BJ104" i="3"/>
  <c r="BL104" i="3" s="1"/>
  <c r="BM104" i="3" s="1"/>
  <c r="U105" i="3"/>
  <c r="I105" i="2"/>
  <c r="AL105" i="2" l="1"/>
  <c r="BF105" i="3"/>
  <c r="S105" i="3"/>
  <c r="AR104" i="2"/>
  <c r="AS104" i="2" s="1"/>
  <c r="G105" i="2"/>
  <c r="BN104" i="3"/>
  <c r="BO104" i="3"/>
  <c r="F105" i="2"/>
  <c r="R105" i="3"/>
  <c r="BA105" i="3" l="1"/>
  <c r="AG105" i="2"/>
  <c r="AT104" i="2"/>
  <c r="AU104" i="2"/>
  <c r="W105" i="3"/>
  <c r="BQ104" i="3"/>
  <c r="K105" i="2" l="1"/>
  <c r="Y105" i="3"/>
  <c r="AW104" i="2"/>
  <c r="AX104" i="2" s="1"/>
  <c r="X105" i="3"/>
  <c r="BP105" i="3" l="1"/>
  <c r="BK105" i="3"/>
  <c r="AY104" i="2"/>
  <c r="Z105" i="3"/>
  <c r="AA105" i="3" s="1"/>
  <c r="AZ104" i="2"/>
  <c r="M105" i="2"/>
  <c r="L105" i="2"/>
  <c r="AQ105" i="2" l="1"/>
  <c r="BB104" i="2"/>
  <c r="BC104" i="2" s="1"/>
  <c r="AC105" i="3"/>
  <c r="AD105" i="3" s="1"/>
  <c r="N105" i="2"/>
  <c r="AE105" i="3" l="1"/>
  <c r="P105" i="2"/>
  <c r="BD104" i="2"/>
  <c r="AF105" i="3"/>
  <c r="BE104" i="2"/>
  <c r="O105" i="2"/>
  <c r="AV105" i="2" l="1"/>
  <c r="Q105" i="2"/>
  <c r="AH105" i="3"/>
  <c r="AI105" i="3" s="1"/>
  <c r="BG104" i="2"/>
  <c r="BH104" i="2" s="1"/>
  <c r="B106" i="3"/>
  <c r="AJ105" i="3" l="1"/>
  <c r="D106" i="3"/>
  <c r="BI104" i="2"/>
  <c r="BJ104" i="2"/>
  <c r="BL104" i="2" s="1"/>
  <c r="BM104" i="2" s="1"/>
  <c r="BN104" i="2" s="1"/>
  <c r="W105" i="2" s="1"/>
  <c r="AK105" i="3"/>
  <c r="S105" i="2"/>
  <c r="R105" i="2"/>
  <c r="C106" i="3"/>
  <c r="AB106" i="3" l="1"/>
  <c r="BA105" i="2"/>
  <c r="AM105" i="3"/>
  <c r="AN105" i="3" s="1"/>
  <c r="Y105" i="2"/>
  <c r="T105" i="2"/>
  <c r="BQ104" i="2"/>
  <c r="BO104" i="2"/>
  <c r="E106" i="3"/>
  <c r="X105" i="2"/>
  <c r="BK105" i="2" l="1"/>
  <c r="AO105" i="3"/>
  <c r="G106" i="3"/>
  <c r="AP105" i="3"/>
  <c r="V105" i="2"/>
  <c r="U105" i="2"/>
  <c r="F106" i="3"/>
  <c r="AG106" i="3" l="1"/>
  <c r="BP105" i="2"/>
  <c r="BF105" i="2"/>
  <c r="AR105" i="3"/>
  <c r="AS105" i="3" s="1"/>
  <c r="H106" i="3"/>
  <c r="Z105" i="2"/>
  <c r="AA105" i="2" s="1"/>
  <c r="AT105" i="3" l="1"/>
  <c r="J106" i="3"/>
  <c r="AU105" i="3"/>
  <c r="AC105" i="2"/>
  <c r="AD105" i="2" s="1"/>
  <c r="I106" i="3"/>
  <c r="AL106" i="3" l="1"/>
  <c r="AF105" i="2"/>
  <c r="AW105" i="3"/>
  <c r="AX105" i="3" s="1"/>
  <c r="AE105" i="2"/>
  <c r="K106" i="3"/>
  <c r="AZ105" i="3" l="1"/>
  <c r="M106" i="3"/>
  <c r="B106" i="2"/>
  <c r="AH105" i="2"/>
  <c r="AI105" i="2" s="1"/>
  <c r="BB105" i="3"/>
  <c r="BC105" i="3" s="1"/>
  <c r="BD105" i="3" s="1"/>
  <c r="Q106" i="3" s="1"/>
  <c r="AY105" i="3"/>
  <c r="L106" i="3"/>
  <c r="BE105" i="3" l="1"/>
  <c r="AQ106" i="3"/>
  <c r="N106" i="3"/>
  <c r="BG105" i="3"/>
  <c r="BH105" i="3" s="1"/>
  <c r="AJ105" i="2"/>
  <c r="S106" i="3"/>
  <c r="AK105" i="2"/>
  <c r="D106" i="2"/>
  <c r="C106" i="2"/>
  <c r="R106" i="3"/>
  <c r="BA106" i="3" l="1"/>
  <c r="AB106" i="2"/>
  <c r="BI105" i="3"/>
  <c r="BJ105" i="3"/>
  <c r="BL105" i="3" s="1"/>
  <c r="BM105" i="3" s="1"/>
  <c r="BN105" i="3" s="1"/>
  <c r="W106" i="3" s="1"/>
  <c r="E106" i="2"/>
  <c r="AM105" i="2"/>
  <c r="AN105" i="2" s="1"/>
  <c r="P106" i="3"/>
  <c r="O106" i="3"/>
  <c r="AP105" i="2" l="1"/>
  <c r="AV106" i="3"/>
  <c r="BO105" i="3"/>
  <c r="G106" i="2"/>
  <c r="Y106" i="3"/>
  <c r="AR105" i="2"/>
  <c r="AS105" i="2" s="1"/>
  <c r="AT105" i="2" s="1"/>
  <c r="K106" i="2" s="1"/>
  <c r="T106" i="3"/>
  <c r="BQ105" i="3"/>
  <c r="AO105" i="2"/>
  <c r="X106" i="3"/>
  <c r="F106" i="2"/>
  <c r="AG106" i="2" l="1"/>
  <c r="BK106" i="3"/>
  <c r="H106" i="2"/>
  <c r="M106" i="2"/>
  <c r="AU105" i="2"/>
  <c r="V106" i="3"/>
  <c r="U106" i="3"/>
  <c r="L106" i="2"/>
  <c r="AQ106" i="2" l="1"/>
  <c r="BP106" i="3"/>
  <c r="BF106" i="3"/>
  <c r="J106" i="2"/>
  <c r="Z106" i="3"/>
  <c r="AA106" i="3" s="1"/>
  <c r="AW105" i="2"/>
  <c r="AX105" i="2" s="1"/>
  <c r="I106" i="2"/>
  <c r="AZ105" i="2" l="1"/>
  <c r="BB105" i="2" s="1"/>
  <c r="BC105" i="2" s="1"/>
  <c r="BD105" i="2" s="1"/>
  <c r="Q106" i="2" s="1"/>
  <c r="AL106" i="2"/>
  <c r="AC106" i="3"/>
  <c r="AD106" i="3" s="1"/>
  <c r="AY105" i="2"/>
  <c r="N106" i="2" l="1"/>
  <c r="AE106" i="3"/>
  <c r="S106" i="2"/>
  <c r="BE105" i="2"/>
  <c r="AF106" i="3"/>
  <c r="R106" i="2"/>
  <c r="BA106" i="2" l="1"/>
  <c r="BG105" i="2"/>
  <c r="BH105" i="2" s="1"/>
  <c r="B107" i="3"/>
  <c r="AH106" i="3"/>
  <c r="AI106" i="3" s="1"/>
  <c r="P106" i="2"/>
  <c r="O106" i="2"/>
  <c r="AK106" i="3" l="1"/>
  <c r="AV106" i="2"/>
  <c r="AM106" i="3"/>
  <c r="AN106" i="3" s="1"/>
  <c r="AO106" i="3" s="1"/>
  <c r="H107" i="3" s="1"/>
  <c r="D107" i="3"/>
  <c r="AJ106" i="3"/>
  <c r="BI105" i="2"/>
  <c r="BJ105" i="2"/>
  <c r="BL105" i="2" s="1"/>
  <c r="BM105" i="2" s="1"/>
  <c r="BN105" i="2" s="1"/>
  <c r="W106" i="2" s="1"/>
  <c r="C107" i="3"/>
  <c r="AB107" i="3" l="1"/>
  <c r="AP106" i="3"/>
  <c r="J107" i="3"/>
  <c r="T106" i="2"/>
  <c r="BQ105" i="2"/>
  <c r="E107" i="3"/>
  <c r="Y106" i="2"/>
  <c r="BO105" i="2"/>
  <c r="X106" i="2"/>
  <c r="I107" i="3"/>
  <c r="AL107" i="3" l="1"/>
  <c r="BK106" i="2"/>
  <c r="V106" i="2"/>
  <c r="AR106" i="3"/>
  <c r="AS106" i="3" s="1"/>
  <c r="G107" i="3"/>
  <c r="F107" i="3"/>
  <c r="U106" i="2"/>
  <c r="BP106" i="2" l="1"/>
  <c r="BF106" i="2"/>
  <c r="AG107" i="3"/>
  <c r="AT106" i="3"/>
  <c r="AU106" i="3"/>
  <c r="Z106" i="2"/>
  <c r="AA106" i="2" s="1"/>
  <c r="AW106" i="3" l="1"/>
  <c r="AX106" i="3" s="1"/>
  <c r="K107" i="3"/>
  <c r="AC106" i="2"/>
  <c r="AD106" i="2" s="1"/>
  <c r="AE106" i="2" l="1"/>
  <c r="AF106" i="2"/>
  <c r="M107" i="3"/>
  <c r="AY106" i="3"/>
  <c r="AZ106" i="3"/>
  <c r="L107" i="3"/>
  <c r="AQ107" i="3" l="1"/>
  <c r="N107" i="3"/>
  <c r="BB106" i="3"/>
  <c r="BC106" i="3" s="1"/>
  <c r="AH106" i="2"/>
  <c r="AI106" i="2" s="1"/>
  <c r="B107" i="2"/>
  <c r="AK106" i="2" l="1"/>
  <c r="D107" i="2"/>
  <c r="BD106" i="3"/>
  <c r="AJ106" i="2"/>
  <c r="BE106" i="3"/>
  <c r="P107" i="3"/>
  <c r="O107" i="3"/>
  <c r="C107" i="2"/>
  <c r="AB107" i="2" l="1"/>
  <c r="AV107" i="3"/>
  <c r="E107" i="2"/>
  <c r="BG106" i="3"/>
  <c r="BH106" i="3" s="1"/>
  <c r="Q107" i="3"/>
  <c r="AM106" i="2"/>
  <c r="AN106" i="2" s="1"/>
  <c r="BJ106" i="3" l="1"/>
  <c r="BL106" i="3" s="1"/>
  <c r="BM106" i="3" s="1"/>
  <c r="BN106" i="3" s="1"/>
  <c r="W107" i="3" s="1"/>
  <c r="AO106" i="2"/>
  <c r="AP106" i="2"/>
  <c r="S107" i="3"/>
  <c r="G107" i="2"/>
  <c r="Y107" i="3"/>
  <c r="BI106" i="3"/>
  <c r="BO106" i="3"/>
  <c r="X107" i="3"/>
  <c r="F107" i="2"/>
  <c r="R107" i="3"/>
  <c r="BA107" i="3" l="1"/>
  <c r="AG107" i="2"/>
  <c r="BK107" i="3"/>
  <c r="T107" i="3"/>
  <c r="BQ106" i="3"/>
  <c r="AR106" i="2"/>
  <c r="AS106" i="2" s="1"/>
  <c r="H107" i="2"/>
  <c r="AU106" i="2" l="1"/>
  <c r="AW106" i="2" s="1"/>
  <c r="AX106" i="2" s="1"/>
  <c r="AY106" i="2" s="1"/>
  <c r="N107" i="2" s="1"/>
  <c r="V107" i="3"/>
  <c r="J107" i="2"/>
  <c r="AT106" i="2"/>
  <c r="I107" i="2"/>
  <c r="U107" i="3"/>
  <c r="BP107" i="3" l="1"/>
  <c r="BF107" i="3"/>
  <c r="AL107" i="2"/>
  <c r="K107" i="2"/>
  <c r="AZ106" i="2"/>
  <c r="P107" i="2"/>
  <c r="Z107" i="3"/>
  <c r="AA107" i="3" s="1"/>
  <c r="O107" i="2"/>
  <c r="AV107" i="2" l="1"/>
  <c r="M107" i="2"/>
  <c r="BB106" i="2"/>
  <c r="BC106" i="2" s="1"/>
  <c r="AC107" i="3"/>
  <c r="AD107" i="3" s="1"/>
  <c r="L107" i="2"/>
  <c r="BE106" i="2" l="1"/>
  <c r="BG106" i="2" s="1"/>
  <c r="BH106" i="2" s="1"/>
  <c r="BI106" i="2" s="1"/>
  <c r="T107" i="2" s="1"/>
  <c r="AQ107" i="2"/>
  <c r="AE107" i="3"/>
  <c r="AF107" i="3"/>
  <c r="BD106" i="2"/>
  <c r="B108" i="3" l="1"/>
  <c r="AH107" i="3"/>
  <c r="AI107" i="3" s="1"/>
  <c r="BJ106" i="2"/>
  <c r="BL106" i="2" s="1"/>
  <c r="BM106" i="2" s="1"/>
  <c r="Q107" i="2"/>
  <c r="V107" i="2"/>
  <c r="U107" i="2"/>
  <c r="BF107" i="2" l="1"/>
  <c r="BN106" i="2"/>
  <c r="BO106" i="2"/>
  <c r="S107" i="2"/>
  <c r="AJ107" i="3"/>
  <c r="AK107" i="3"/>
  <c r="D108" i="3"/>
  <c r="R107" i="2"/>
  <c r="C108" i="3"/>
  <c r="AB108" i="3" l="1"/>
  <c r="BA107" i="2"/>
  <c r="E108" i="3"/>
  <c r="AM107" i="3"/>
  <c r="AN107" i="3" s="1"/>
  <c r="W107" i="2"/>
  <c r="BQ106" i="2"/>
  <c r="AO107" i="3" l="1"/>
  <c r="AP107" i="3"/>
  <c r="G108" i="3"/>
  <c r="Y107" i="2"/>
  <c r="X107" i="2"/>
  <c r="F108" i="3"/>
  <c r="AG108" i="3" l="1"/>
  <c r="BP107" i="2"/>
  <c r="BK107" i="2"/>
  <c r="Z107" i="2"/>
  <c r="AA107" i="2" s="1"/>
  <c r="AR107" i="3"/>
  <c r="AS107" i="3" s="1"/>
  <c r="H108" i="3"/>
  <c r="AT107" i="3" l="1"/>
  <c r="AU107" i="3"/>
  <c r="AC107" i="2"/>
  <c r="AD107" i="2" s="1"/>
  <c r="J108" i="3"/>
  <c r="I108" i="3"/>
  <c r="AL108" i="3" l="1"/>
  <c r="AW107" i="3"/>
  <c r="AX107" i="3" s="1"/>
  <c r="AE107" i="2"/>
  <c r="AF107" i="2"/>
  <c r="K108" i="3"/>
  <c r="M108" i="3" l="1"/>
  <c r="AY107" i="3"/>
  <c r="AH107" i="2"/>
  <c r="AI107" i="2" s="1"/>
  <c r="AZ107" i="3"/>
  <c r="B108" i="2"/>
  <c r="L108" i="3"/>
  <c r="AQ108" i="3" l="1"/>
  <c r="BB107" i="3"/>
  <c r="BC107" i="3" s="1"/>
  <c r="AJ107" i="2"/>
  <c r="N108" i="3"/>
  <c r="D108" i="2"/>
  <c r="AK107" i="2"/>
  <c r="C108" i="2"/>
  <c r="AB108" i="2" l="1"/>
  <c r="E108" i="2"/>
  <c r="BD107" i="3"/>
  <c r="BE107" i="3"/>
  <c r="P108" i="3"/>
  <c r="AM107" i="2"/>
  <c r="AN107" i="2" s="1"/>
  <c r="O108" i="3"/>
  <c r="AV108" i="3" l="1"/>
  <c r="BG107" i="3"/>
  <c r="BH107" i="3" s="1"/>
  <c r="AP107" i="2"/>
  <c r="AO107" i="2"/>
  <c r="Q108" i="3"/>
  <c r="G108" i="2"/>
  <c r="F108" i="2"/>
  <c r="AG108" i="2" l="1"/>
  <c r="H108" i="2"/>
  <c r="S108" i="3"/>
  <c r="AR107" i="2"/>
  <c r="AS107" i="2" s="1"/>
  <c r="BJ107" i="3"/>
  <c r="BL107" i="3" s="1"/>
  <c r="BM107" i="3" s="1"/>
  <c r="BN107" i="3" s="1"/>
  <c r="W108" i="3" s="1"/>
  <c r="BI107" i="3"/>
  <c r="R108" i="3"/>
  <c r="BA108" i="3" l="1"/>
  <c r="Y108" i="3"/>
  <c r="AT107" i="2"/>
  <c r="AU107" i="2"/>
  <c r="BO107" i="3"/>
  <c r="T108" i="3"/>
  <c r="BQ107" i="3"/>
  <c r="J108" i="2"/>
  <c r="X108" i="3"/>
  <c r="I108" i="2"/>
  <c r="AL108" i="2" l="1"/>
  <c r="BK108" i="3"/>
  <c r="K108" i="2"/>
  <c r="AW107" i="2"/>
  <c r="AX107" i="2" s="1"/>
  <c r="V108" i="3"/>
  <c r="U108" i="3"/>
  <c r="BP108" i="3" l="1"/>
  <c r="BF108" i="3"/>
  <c r="M108" i="2"/>
  <c r="AZ107" i="2"/>
  <c r="Z108" i="3"/>
  <c r="AA108" i="3" s="1"/>
  <c r="AY107" i="2"/>
  <c r="L108" i="2"/>
  <c r="AQ108" i="2" l="1"/>
  <c r="AC108" i="3"/>
  <c r="AD108" i="3" s="1"/>
  <c r="N108" i="2"/>
  <c r="BB107" i="2"/>
  <c r="BC107" i="2" s="1"/>
  <c r="BD107" i="2" l="1"/>
  <c r="P108" i="2"/>
  <c r="AF108" i="3"/>
  <c r="BE107" i="2"/>
  <c r="AE108" i="3"/>
  <c r="O108" i="2"/>
  <c r="AV108" i="2" l="1"/>
  <c r="AH108" i="3"/>
  <c r="AI108" i="3" s="1"/>
  <c r="B109" i="3"/>
  <c r="BG107" i="2"/>
  <c r="BH107" i="2" s="1"/>
  <c r="Q108" i="2"/>
  <c r="BJ107" i="2" l="1"/>
  <c r="BL107" i="2" s="1"/>
  <c r="BM107" i="2" s="1"/>
  <c r="BN107" i="2" s="1"/>
  <c r="W108" i="2" s="1"/>
  <c r="Y108" i="2"/>
  <c r="S108" i="2"/>
  <c r="D109" i="3"/>
  <c r="BI107" i="2"/>
  <c r="BO107" i="2"/>
  <c r="AJ108" i="3"/>
  <c r="AK108" i="3"/>
  <c r="C109" i="3"/>
  <c r="X108" i="2"/>
  <c r="R108" i="2"/>
  <c r="BA108" i="2" l="1"/>
  <c r="BK108" i="2"/>
  <c r="AB109" i="3"/>
  <c r="AM108" i="3"/>
  <c r="AN108" i="3" s="1"/>
  <c r="E109" i="3"/>
  <c r="T108" i="2"/>
  <c r="BQ107" i="2"/>
  <c r="V108" i="2" l="1"/>
  <c r="AO108" i="3"/>
  <c r="AP108" i="3"/>
  <c r="G109" i="3"/>
  <c r="U108" i="2"/>
  <c r="F109" i="3"/>
  <c r="AG109" i="3" l="1"/>
  <c r="BP108" i="2"/>
  <c r="BF108" i="2"/>
  <c r="H109" i="3"/>
  <c r="Z108" i="2"/>
  <c r="AA108" i="2" s="1"/>
  <c r="AR108" i="3"/>
  <c r="AS108" i="3" s="1"/>
  <c r="AU108" i="3" l="1"/>
  <c r="AC108" i="2"/>
  <c r="AD108" i="2" s="1"/>
  <c r="J109" i="3"/>
  <c r="AW108" i="3"/>
  <c r="AX108" i="3" s="1"/>
  <c r="AY108" i="3" s="1"/>
  <c r="N109" i="3" s="1"/>
  <c r="AT108" i="3"/>
  <c r="I109" i="3"/>
  <c r="AL109" i="3" l="1"/>
  <c r="K109" i="3"/>
  <c r="P109" i="3"/>
  <c r="AZ108" i="3"/>
  <c r="AE108" i="2"/>
  <c r="AF108" i="2"/>
  <c r="O109" i="3"/>
  <c r="AV109" i="3" l="1"/>
  <c r="BB108" i="3"/>
  <c r="BC108" i="3" s="1"/>
  <c r="M109" i="3"/>
  <c r="B109" i="2"/>
  <c r="AH108" i="2"/>
  <c r="AI108" i="2" s="1"/>
  <c r="L109" i="3"/>
  <c r="BE108" i="3" l="1"/>
  <c r="AK108" i="2"/>
  <c r="AM108" i="2" s="1"/>
  <c r="AN108" i="2" s="1"/>
  <c r="AO108" i="2" s="1"/>
  <c r="H109" i="2" s="1"/>
  <c r="AQ109" i="3"/>
  <c r="D109" i="2"/>
  <c r="BG108" i="3"/>
  <c r="BH108" i="3" s="1"/>
  <c r="BI108" i="3" s="1"/>
  <c r="T109" i="3" s="1"/>
  <c r="BD108" i="3"/>
  <c r="AJ108" i="2"/>
  <c r="C109" i="2"/>
  <c r="AB109" i="2" l="1"/>
  <c r="E109" i="2"/>
  <c r="V109" i="3"/>
  <c r="J109" i="2"/>
  <c r="Q109" i="3"/>
  <c r="AP108" i="2"/>
  <c r="BJ108" i="3"/>
  <c r="BL108" i="3" s="1"/>
  <c r="BM108" i="3" s="1"/>
  <c r="BN108" i="3" s="1"/>
  <c r="W109" i="3" s="1"/>
  <c r="I109" i="2"/>
  <c r="U109" i="3"/>
  <c r="BF109" i="3" l="1"/>
  <c r="AL109" i="2"/>
  <c r="G109" i="2"/>
  <c r="BO108" i="3"/>
  <c r="AR108" i="2"/>
  <c r="AS108" i="2" s="1"/>
  <c r="BQ108" i="3"/>
  <c r="Y109" i="3"/>
  <c r="S109" i="3"/>
  <c r="X109" i="3"/>
  <c r="R109" i="3"/>
  <c r="F109" i="2"/>
  <c r="AG109" i="2" l="1"/>
  <c r="BP109" i="3"/>
  <c r="BA109" i="3"/>
  <c r="BK109" i="3"/>
  <c r="AU108" i="2"/>
  <c r="Z109" i="3"/>
  <c r="AA109" i="3" s="1"/>
  <c r="AT108" i="2"/>
  <c r="AC109" i="3" l="1"/>
  <c r="AD109" i="3" s="1"/>
  <c r="AW108" i="2"/>
  <c r="AX108" i="2" s="1"/>
  <c r="K109" i="2"/>
  <c r="M109" i="2" l="1"/>
  <c r="AZ108" i="2"/>
  <c r="AY108" i="2"/>
  <c r="AE109" i="3"/>
  <c r="AF109" i="3"/>
  <c r="L109" i="2"/>
  <c r="AQ109" i="2" l="1"/>
  <c r="AH109" i="3"/>
  <c r="AI109" i="3" s="1"/>
  <c r="N109" i="2"/>
  <c r="B110" i="3"/>
  <c r="BB108" i="2"/>
  <c r="BC108" i="2" s="1"/>
  <c r="AK109" i="3" l="1"/>
  <c r="BE108" i="2"/>
  <c r="AM109" i="3"/>
  <c r="AN109" i="3" s="1"/>
  <c r="AO109" i="3" s="1"/>
  <c r="H110" i="3" s="1"/>
  <c r="BD108" i="2"/>
  <c r="D110" i="3"/>
  <c r="P109" i="2"/>
  <c r="AJ109" i="3"/>
  <c r="O109" i="2"/>
  <c r="C110" i="3"/>
  <c r="AB110" i="3" l="1"/>
  <c r="AV109" i="2"/>
  <c r="Q109" i="2"/>
  <c r="J110" i="3"/>
  <c r="E110" i="3"/>
  <c r="AP109" i="3"/>
  <c r="BG108" i="2"/>
  <c r="BH108" i="2" s="1"/>
  <c r="I110" i="3"/>
  <c r="BJ108" i="2" l="1"/>
  <c r="BL108" i="2" s="1"/>
  <c r="BM108" i="2" s="1"/>
  <c r="BN108" i="2" s="1"/>
  <c r="W109" i="2" s="1"/>
  <c r="AL110" i="3"/>
  <c r="S109" i="2"/>
  <c r="G110" i="3"/>
  <c r="Y109" i="2"/>
  <c r="AR109" i="3"/>
  <c r="AS109" i="3" s="1"/>
  <c r="BI108" i="2"/>
  <c r="BO108" i="2"/>
  <c r="F110" i="3"/>
  <c r="X109" i="2"/>
  <c r="R109" i="2"/>
  <c r="AU109" i="3" l="1"/>
  <c r="AW109" i="3" s="1"/>
  <c r="AX109" i="3" s="1"/>
  <c r="AY109" i="3" s="1"/>
  <c r="N110" i="3" s="1"/>
  <c r="BA109" i="2"/>
  <c r="BK109" i="2"/>
  <c r="AG110" i="3"/>
  <c r="T109" i="2"/>
  <c r="BQ108" i="2"/>
  <c r="AT109" i="3"/>
  <c r="P110" i="3" l="1"/>
  <c r="AZ109" i="3"/>
  <c r="K110" i="3"/>
  <c r="V109" i="2"/>
  <c r="O110" i="3"/>
  <c r="U109" i="2"/>
  <c r="BP109" i="2" l="1"/>
  <c r="BF109" i="2"/>
  <c r="AV110" i="3"/>
  <c r="Z109" i="2"/>
  <c r="AA109" i="2" s="1"/>
  <c r="M110" i="3"/>
  <c r="BB109" i="3"/>
  <c r="BC109" i="3" s="1"/>
  <c r="L110" i="3"/>
  <c r="BE109" i="3" l="1"/>
  <c r="AQ110" i="3"/>
  <c r="AC109" i="2"/>
  <c r="AD109" i="2" s="1"/>
  <c r="BG109" i="3"/>
  <c r="BH109" i="3" s="1"/>
  <c r="BI109" i="3" s="1"/>
  <c r="T110" i="3" s="1"/>
  <c r="BD109" i="3"/>
  <c r="AE109" i="2" l="1"/>
  <c r="V110" i="3"/>
  <c r="BJ109" i="3"/>
  <c r="BL109" i="3" s="1"/>
  <c r="BM109" i="3" s="1"/>
  <c r="AF109" i="2"/>
  <c r="Q110" i="3"/>
  <c r="U110" i="3"/>
  <c r="BF110" i="3" l="1"/>
  <c r="AH109" i="2"/>
  <c r="AI109" i="2" s="1"/>
  <c r="AK109" i="2"/>
  <c r="S110" i="3"/>
  <c r="B110" i="2"/>
  <c r="BN109" i="3"/>
  <c r="BO109" i="3"/>
  <c r="R110" i="3"/>
  <c r="BA110" i="3" l="1"/>
  <c r="W110" i="3"/>
  <c r="BQ109" i="3"/>
  <c r="AM109" i="2"/>
  <c r="AN109" i="2" s="1"/>
  <c r="AO109" i="2" s="1"/>
  <c r="H110" i="2" s="1"/>
  <c r="AJ109" i="2"/>
  <c r="D110" i="2"/>
  <c r="C110" i="2"/>
  <c r="AB110" i="2" l="1"/>
  <c r="E110" i="2"/>
  <c r="Y110" i="3"/>
  <c r="J110" i="2"/>
  <c r="AP109" i="2"/>
  <c r="X110" i="3"/>
  <c r="I110" i="2"/>
  <c r="AL110" i="2" l="1"/>
  <c r="BP110" i="3"/>
  <c r="BK110" i="3"/>
  <c r="Z110" i="3"/>
  <c r="AA110" i="3" s="1"/>
  <c r="AR109" i="2"/>
  <c r="AS109" i="2" s="1"/>
  <c r="G110" i="2"/>
  <c r="F110" i="2"/>
  <c r="AG110" i="2" l="1"/>
  <c r="AT109" i="2"/>
  <c r="AC110" i="3"/>
  <c r="AD110" i="3" s="1"/>
  <c r="AU109" i="2"/>
  <c r="AE110" i="3" l="1"/>
  <c r="AW109" i="2"/>
  <c r="AX109" i="2" s="1"/>
  <c r="AF110" i="3"/>
  <c r="K110" i="2"/>
  <c r="M110" i="2" l="1"/>
  <c r="AH110" i="3"/>
  <c r="AI110" i="3" s="1"/>
  <c r="AZ109" i="2"/>
  <c r="AY109" i="2"/>
  <c r="B111" i="3"/>
  <c r="L110" i="2"/>
  <c r="AK110" i="3" l="1"/>
  <c r="AQ110" i="2"/>
  <c r="D111" i="3"/>
  <c r="AM110" i="3"/>
  <c r="AN110" i="3" s="1"/>
  <c r="AO110" i="3" s="1"/>
  <c r="H111" i="3" s="1"/>
  <c r="N110" i="2"/>
  <c r="BB109" i="2"/>
  <c r="BC109" i="2" s="1"/>
  <c r="AJ110" i="3"/>
  <c r="C111" i="3"/>
  <c r="BE109" i="2" l="1"/>
  <c r="AB111" i="3"/>
  <c r="J111" i="3"/>
  <c r="AP110" i="3"/>
  <c r="BG109" i="2"/>
  <c r="BH109" i="2" s="1"/>
  <c r="BI109" i="2" s="1"/>
  <c r="T110" i="2" s="1"/>
  <c r="P110" i="2"/>
  <c r="E111" i="3"/>
  <c r="BD109" i="2"/>
  <c r="O110" i="2"/>
  <c r="I111" i="3"/>
  <c r="AL111" i="3" l="1"/>
  <c r="AV110" i="2"/>
  <c r="BJ109" i="2"/>
  <c r="BL109" i="2" s="1"/>
  <c r="BM109" i="2" s="1"/>
  <c r="BN109" i="2" s="1"/>
  <c r="W110" i="2" s="1"/>
  <c r="Q110" i="2"/>
  <c r="V110" i="2"/>
  <c r="AR110" i="3"/>
  <c r="AS110" i="3" s="1"/>
  <c r="G111" i="3"/>
  <c r="U110" i="2"/>
  <c r="F111" i="3"/>
  <c r="AU110" i="3" l="1"/>
  <c r="BQ109" i="2"/>
  <c r="AG111" i="3"/>
  <c r="BF110" i="2"/>
  <c r="Y110" i="2"/>
  <c r="AW110" i="3"/>
  <c r="AX110" i="3" s="1"/>
  <c r="AY110" i="3" s="1"/>
  <c r="N111" i="3" s="1"/>
  <c r="S110" i="2"/>
  <c r="BO109" i="2"/>
  <c r="AT110" i="3"/>
  <c r="R110" i="2"/>
  <c r="X110" i="2"/>
  <c r="BK110" i="2" l="1"/>
  <c r="BP110" i="2"/>
  <c r="BA110" i="2"/>
  <c r="K111" i="3"/>
  <c r="Z110" i="2"/>
  <c r="AA110" i="2" s="1"/>
  <c r="P111" i="3"/>
  <c r="AZ110" i="3"/>
  <c r="O111" i="3"/>
  <c r="AV111" i="3" l="1"/>
  <c r="AC110" i="2"/>
  <c r="AD110" i="2" s="1"/>
  <c r="BB110" i="3"/>
  <c r="BC110" i="3" s="1"/>
  <c r="M111" i="3"/>
  <c r="L111" i="3"/>
  <c r="AQ111" i="3" l="1"/>
  <c r="AE110" i="2"/>
  <c r="BD110" i="3"/>
  <c r="BE110" i="3"/>
  <c r="AF110" i="2"/>
  <c r="BG110" i="3" l="1"/>
  <c r="BH110" i="3" s="1"/>
  <c r="AH110" i="2"/>
  <c r="AI110" i="2" s="1"/>
  <c r="B111" i="2"/>
  <c r="Q111" i="3"/>
  <c r="D111" i="2" l="1"/>
  <c r="AK110" i="2"/>
  <c r="S111" i="3"/>
  <c r="AJ110" i="2"/>
  <c r="BI110" i="3"/>
  <c r="BJ110" i="3"/>
  <c r="BL110" i="3" s="1"/>
  <c r="BM110" i="3" s="1"/>
  <c r="BN110" i="3" s="1"/>
  <c r="W111" i="3" s="1"/>
  <c r="R111" i="3"/>
  <c r="C111" i="2"/>
  <c r="AB111" i="2" l="1"/>
  <c r="BA111" i="3"/>
  <c r="T111" i="3"/>
  <c r="BQ110" i="3"/>
  <c r="E111" i="2"/>
  <c r="AM110" i="2"/>
  <c r="AN110" i="2" s="1"/>
  <c r="Y111" i="3"/>
  <c r="BO110" i="3"/>
  <c r="X111" i="3"/>
  <c r="BK111" i="3" l="1"/>
  <c r="G111" i="2"/>
  <c r="V111" i="3"/>
  <c r="AO110" i="2"/>
  <c r="AP110" i="2"/>
  <c r="F111" i="2"/>
  <c r="U111" i="3"/>
  <c r="BP111" i="3" l="1"/>
  <c r="BF111" i="3"/>
  <c r="AG111" i="2"/>
  <c r="H111" i="2"/>
  <c r="Z111" i="3"/>
  <c r="AA111" i="3" s="1"/>
  <c r="AR110" i="2"/>
  <c r="AS110" i="2" s="1"/>
  <c r="AU110" i="2" l="1"/>
  <c r="AC111" i="3"/>
  <c r="AD111" i="3" s="1"/>
  <c r="J111" i="2"/>
  <c r="AW110" i="2"/>
  <c r="AX110" i="2" s="1"/>
  <c r="AY110" i="2" s="1"/>
  <c r="N111" i="2" s="1"/>
  <c r="AT110" i="2"/>
  <c r="I111" i="2"/>
  <c r="AL111" i="2" l="1"/>
  <c r="P111" i="2"/>
  <c r="K111" i="2"/>
  <c r="AZ110" i="2"/>
  <c r="AE111" i="3"/>
  <c r="AF111" i="3"/>
  <c r="O111" i="2"/>
  <c r="AV111" i="2" l="1"/>
  <c r="M111" i="2"/>
  <c r="AH111" i="3"/>
  <c r="AI111" i="3" s="1"/>
  <c r="B112" i="3"/>
  <c r="BB110" i="2"/>
  <c r="BC110" i="2" s="1"/>
  <c r="L111" i="2"/>
  <c r="AQ111" i="2" l="1"/>
  <c r="BD110" i="2"/>
  <c r="AK111" i="3"/>
  <c r="D112" i="3"/>
  <c r="AJ111" i="3"/>
  <c r="BE110" i="2"/>
  <c r="C112" i="3"/>
  <c r="AB112" i="3" l="1"/>
  <c r="E112" i="3"/>
  <c r="BG110" i="2"/>
  <c r="BH110" i="2" s="1"/>
  <c r="AM111" i="3"/>
  <c r="AN111" i="3" s="1"/>
  <c r="Q111" i="2"/>
  <c r="BI110" i="2" l="1"/>
  <c r="AO111" i="3"/>
  <c r="AP111" i="3"/>
  <c r="G112" i="3"/>
  <c r="S111" i="2"/>
  <c r="BJ110" i="2"/>
  <c r="BL110" i="2" s="1"/>
  <c r="BM110" i="2" s="1"/>
  <c r="BN110" i="2" s="1"/>
  <c r="W111" i="2" s="1"/>
  <c r="R111" i="2"/>
  <c r="F112" i="3"/>
  <c r="AG112" i="3" l="1"/>
  <c r="BA111" i="2"/>
  <c r="H112" i="3"/>
  <c r="AR111" i="3"/>
  <c r="AS111" i="3" s="1"/>
  <c r="BO110" i="2"/>
  <c r="Y111" i="2"/>
  <c r="T111" i="2"/>
  <c r="BQ110" i="2"/>
  <c r="X111" i="2"/>
  <c r="AU111" i="3" l="1"/>
  <c r="BK111" i="2"/>
  <c r="V111" i="2"/>
  <c r="J112" i="3"/>
  <c r="AW111" i="3"/>
  <c r="AX111" i="3" s="1"/>
  <c r="AY111" i="3" s="1"/>
  <c r="N112" i="3" s="1"/>
  <c r="AT111" i="3"/>
  <c r="U111" i="2"/>
  <c r="I112" i="3"/>
  <c r="AZ111" i="3" l="1"/>
  <c r="AL112" i="3"/>
  <c r="BP111" i="2"/>
  <c r="BF111" i="2"/>
  <c r="BB111" i="3"/>
  <c r="BC111" i="3" s="1"/>
  <c r="Z111" i="2"/>
  <c r="AA111" i="2" s="1"/>
  <c r="K112" i="3"/>
  <c r="P112" i="3"/>
  <c r="O112" i="3"/>
  <c r="BE111" i="3" l="1"/>
  <c r="AV112" i="3"/>
  <c r="AC111" i="2"/>
  <c r="AD111" i="2" s="1"/>
  <c r="BG111" i="3"/>
  <c r="BH111" i="3" s="1"/>
  <c r="BI111" i="3" s="1"/>
  <c r="T112" i="3" s="1"/>
  <c r="BD111" i="3"/>
  <c r="M112" i="3"/>
  <c r="L112" i="3"/>
  <c r="AQ112" i="3" l="1"/>
  <c r="V112" i="3"/>
  <c r="AE111" i="2"/>
  <c r="Q112" i="3"/>
  <c r="BJ111" i="3"/>
  <c r="BL111" i="3" s="1"/>
  <c r="BM111" i="3" s="1"/>
  <c r="BN111" i="3" s="1"/>
  <c r="W112" i="3" s="1"/>
  <c r="AF111" i="2"/>
  <c r="U112" i="3"/>
  <c r="BO111" i="3" l="1"/>
  <c r="BF112" i="3"/>
  <c r="B112" i="2"/>
  <c r="Y112" i="3"/>
  <c r="AH111" i="2"/>
  <c r="AI111" i="2" s="1"/>
  <c r="BQ111" i="3"/>
  <c r="S112" i="3"/>
  <c r="R112" i="3"/>
  <c r="X112" i="3"/>
  <c r="BK112" i="3" l="1"/>
  <c r="BP112" i="3"/>
  <c r="BA112" i="3"/>
  <c r="AJ111" i="2"/>
  <c r="AK111" i="2"/>
  <c r="Z112" i="3"/>
  <c r="AA112" i="3" s="1"/>
  <c r="D112" i="2"/>
  <c r="C112" i="2"/>
  <c r="AB112" i="2" l="1"/>
  <c r="AM111" i="2"/>
  <c r="AN111" i="2" s="1"/>
  <c r="AC112" i="3"/>
  <c r="AD112" i="3" s="1"/>
  <c r="E112" i="2"/>
  <c r="G112" i="2" l="1"/>
  <c r="AF112" i="3"/>
  <c r="AE112" i="3"/>
  <c r="AO111" i="2"/>
  <c r="AP111" i="2"/>
  <c r="F112" i="2"/>
  <c r="AG112" i="2" l="1"/>
  <c r="H112" i="2"/>
  <c r="AR111" i="2"/>
  <c r="AS111" i="2" s="1"/>
  <c r="AH112" i="3"/>
  <c r="AI112" i="3" s="1"/>
  <c r="B113" i="3"/>
  <c r="AK112" i="3" l="1"/>
  <c r="D113" i="3"/>
  <c r="AT111" i="2"/>
  <c r="J112" i="2"/>
  <c r="AJ112" i="3"/>
  <c r="AU111" i="2"/>
  <c r="C113" i="3"/>
  <c r="I112" i="2"/>
  <c r="AL112" i="2" l="1"/>
  <c r="AB113" i="3"/>
  <c r="E113" i="3"/>
  <c r="AW111" i="2"/>
  <c r="AX111" i="2" s="1"/>
  <c r="K112" i="2"/>
  <c r="AM112" i="3"/>
  <c r="AN112" i="3" s="1"/>
  <c r="G113" i="3" l="1"/>
  <c r="AO112" i="3"/>
  <c r="AP112" i="3"/>
  <c r="M112" i="2"/>
  <c r="AY111" i="2"/>
  <c r="AZ111" i="2"/>
  <c r="F113" i="3"/>
  <c r="L112" i="2"/>
  <c r="AQ112" i="2" l="1"/>
  <c r="AG113" i="3"/>
  <c r="H113" i="3"/>
  <c r="AR112" i="3"/>
  <c r="AS112" i="3" s="1"/>
  <c r="N112" i="2"/>
  <c r="BB111" i="2"/>
  <c r="BC111" i="2" s="1"/>
  <c r="AT112" i="3" l="1"/>
  <c r="AU112" i="3"/>
  <c r="BD111" i="2"/>
  <c r="J113" i="3"/>
  <c r="BE111" i="2"/>
  <c r="P112" i="2"/>
  <c r="O112" i="2"/>
  <c r="I113" i="3"/>
  <c r="AL113" i="3" l="1"/>
  <c r="AV112" i="2"/>
  <c r="BG111" i="2"/>
  <c r="BH111" i="2" s="1"/>
  <c r="AW112" i="3"/>
  <c r="AX112" i="3" s="1"/>
  <c r="Q112" i="2"/>
  <c r="K113" i="3"/>
  <c r="BI111" i="2" l="1"/>
  <c r="AY112" i="3"/>
  <c r="BJ111" i="2"/>
  <c r="BL111" i="2" s="1"/>
  <c r="BM111" i="2" s="1"/>
  <c r="BN111" i="2" s="1"/>
  <c r="W112" i="2" s="1"/>
  <c r="M113" i="3"/>
  <c r="AZ112" i="3"/>
  <c r="S112" i="2"/>
  <c r="R112" i="2"/>
  <c r="L113" i="3"/>
  <c r="AQ113" i="3" l="1"/>
  <c r="BA112" i="2"/>
  <c r="BB112" i="3"/>
  <c r="BC112" i="3" s="1"/>
  <c r="Y112" i="2"/>
  <c r="N113" i="3"/>
  <c r="BO111" i="2"/>
  <c r="T112" i="2"/>
  <c r="BQ111" i="2"/>
  <c r="X112" i="2"/>
  <c r="BK112" i="2" l="1"/>
  <c r="BE112" i="3"/>
  <c r="BD112" i="3"/>
  <c r="V112" i="2"/>
  <c r="P113" i="3"/>
  <c r="O113" i="3"/>
  <c r="U112" i="2"/>
  <c r="BP112" i="2" l="1"/>
  <c r="BF112" i="2"/>
  <c r="AV113" i="3"/>
  <c r="Z112" i="2"/>
  <c r="AA112" i="2" s="1"/>
  <c r="Q113" i="3"/>
  <c r="BG112" i="3"/>
  <c r="BH112" i="3" s="1"/>
  <c r="BJ112" i="3" l="1"/>
  <c r="BL112" i="3" s="1"/>
  <c r="BM112" i="3" s="1"/>
  <c r="BN112" i="3" s="1"/>
  <c r="W113" i="3" s="1"/>
  <c r="AC112" i="2"/>
  <c r="AD112" i="2" s="1"/>
  <c r="BI112" i="3"/>
  <c r="BO112" i="3"/>
  <c r="S113" i="3"/>
  <c r="R113" i="3"/>
  <c r="BA113" i="3" l="1"/>
  <c r="T113" i="3"/>
  <c r="BQ112" i="3"/>
  <c r="AF112" i="2"/>
  <c r="AE112" i="2"/>
  <c r="Y113" i="3"/>
  <c r="X113" i="3"/>
  <c r="BK113" i="3" l="1"/>
  <c r="V113" i="3"/>
  <c r="B113" i="2"/>
  <c r="AH112" i="2"/>
  <c r="AI112" i="2" s="1"/>
  <c r="U113" i="3"/>
  <c r="BP113" i="3" l="1"/>
  <c r="BF113" i="3"/>
  <c r="AK112" i="2"/>
  <c r="AJ112" i="2"/>
  <c r="D113" i="2"/>
  <c r="Z113" i="3"/>
  <c r="AA113" i="3" s="1"/>
  <c r="C113" i="2"/>
  <c r="AB113" i="2" l="1"/>
  <c r="AC113" i="3"/>
  <c r="AD113" i="3" s="1"/>
  <c r="AM112" i="2"/>
  <c r="AN112" i="2" s="1"/>
  <c r="E113" i="2"/>
  <c r="AF113" i="3" l="1"/>
  <c r="AP112" i="2"/>
  <c r="G113" i="2"/>
  <c r="AH113" i="3"/>
  <c r="AI113" i="3" s="1"/>
  <c r="AJ113" i="3" s="1"/>
  <c r="E114" i="3" s="1"/>
  <c r="AO112" i="2"/>
  <c r="AE113" i="3"/>
  <c r="F113" i="2"/>
  <c r="AG113" i="2" l="1"/>
  <c r="B114" i="3"/>
  <c r="H113" i="2"/>
  <c r="G114" i="3"/>
  <c r="AK113" i="3"/>
  <c r="AR112" i="2"/>
  <c r="AS112" i="2" s="1"/>
  <c r="F114" i="3"/>
  <c r="AG114" i="3" l="1"/>
  <c r="J113" i="2"/>
  <c r="AT112" i="2"/>
  <c r="AU112" i="2"/>
  <c r="AM113" i="3"/>
  <c r="AN113" i="3" s="1"/>
  <c r="D114" i="3"/>
  <c r="C114" i="3"/>
  <c r="I113" i="2"/>
  <c r="AL113" i="2" l="1"/>
  <c r="AB114" i="3"/>
  <c r="AO113" i="3"/>
  <c r="AP113" i="3"/>
  <c r="AW112" i="2"/>
  <c r="AX112" i="2" s="1"/>
  <c r="K113" i="2"/>
  <c r="AZ112" i="2" l="1"/>
  <c r="BB112" i="2" s="1"/>
  <c r="BC112" i="2" s="1"/>
  <c r="BD112" i="2" s="1"/>
  <c r="Q113" i="2" s="1"/>
  <c r="AR113" i="3"/>
  <c r="AS113" i="3" s="1"/>
  <c r="M113" i="2"/>
  <c r="H114" i="3"/>
  <c r="AY112" i="2"/>
  <c r="L113" i="2"/>
  <c r="AQ113" i="2" l="1"/>
  <c r="N113" i="2"/>
  <c r="AT113" i="3"/>
  <c r="J114" i="3"/>
  <c r="AU113" i="3"/>
  <c r="BE112" i="2"/>
  <c r="S113" i="2"/>
  <c r="I114" i="3"/>
  <c r="R113" i="2"/>
  <c r="BA113" i="2" l="1"/>
  <c r="AL114" i="3"/>
  <c r="K114" i="3"/>
  <c r="BG112" i="2"/>
  <c r="BH112" i="2" s="1"/>
  <c r="AW113" i="3"/>
  <c r="AX113" i="3" s="1"/>
  <c r="P113" i="2"/>
  <c r="O113" i="2"/>
  <c r="AV113" i="2" l="1"/>
  <c r="BJ112" i="2"/>
  <c r="BL112" i="2" s="1"/>
  <c r="BM112" i="2" s="1"/>
  <c r="BN112" i="2" s="1"/>
  <c r="W113" i="2" s="1"/>
  <c r="AY113" i="3"/>
  <c r="BI112" i="2"/>
  <c r="BO112" i="2"/>
  <c r="M114" i="3"/>
  <c r="AZ113" i="3"/>
  <c r="L114" i="3"/>
  <c r="AQ114" i="3" l="1"/>
  <c r="T113" i="2"/>
  <c r="BQ112" i="2"/>
  <c r="N114" i="3"/>
  <c r="Y113" i="2"/>
  <c r="BB113" i="3"/>
  <c r="BC113" i="3" s="1"/>
  <c r="X113" i="2"/>
  <c r="BE113" i="3" l="1"/>
  <c r="BK113" i="2"/>
  <c r="P114" i="3"/>
  <c r="BG113" i="3"/>
  <c r="BH113" i="3" s="1"/>
  <c r="BI113" i="3" s="1"/>
  <c r="T114" i="3" s="1"/>
  <c r="V113" i="2"/>
  <c r="BD113" i="3"/>
  <c r="O114" i="3"/>
  <c r="U113" i="2"/>
  <c r="BP113" i="2" l="1"/>
  <c r="BF113" i="2"/>
  <c r="AV114" i="3"/>
  <c r="BJ113" i="3"/>
  <c r="BL113" i="3" s="1"/>
  <c r="BM113" i="3" s="1"/>
  <c r="BN113" i="3" s="1"/>
  <c r="W114" i="3" s="1"/>
  <c r="Q114" i="3"/>
  <c r="V114" i="3"/>
  <c r="Z113" i="2"/>
  <c r="AA113" i="2" s="1"/>
  <c r="U114" i="3"/>
  <c r="BF114" i="3" l="1"/>
  <c r="S114" i="3"/>
  <c r="Y114" i="3"/>
  <c r="BQ113" i="3"/>
  <c r="BO113" i="3"/>
  <c r="AC113" i="2"/>
  <c r="AD113" i="2" s="1"/>
  <c r="R114" i="3"/>
  <c r="X114" i="3"/>
  <c r="BK114" i="3" l="1"/>
  <c r="BP114" i="3"/>
  <c r="BA114" i="3"/>
  <c r="Z114" i="3"/>
  <c r="AA114" i="3" s="1"/>
  <c r="AE113" i="2"/>
  <c r="AF113" i="2"/>
  <c r="B114" i="2" l="1"/>
  <c r="AC114" i="3"/>
  <c r="AD114" i="3" s="1"/>
  <c r="AH113" i="2"/>
  <c r="AI113" i="2" s="1"/>
  <c r="AJ113" i="2" l="1"/>
  <c r="AK113" i="2"/>
  <c r="AE114" i="3"/>
  <c r="AF114" i="3"/>
  <c r="D114" i="2"/>
  <c r="C114" i="2"/>
  <c r="AB114" i="2" l="1"/>
  <c r="AH114" i="3"/>
  <c r="AI114" i="3" s="1"/>
  <c r="AK114" i="3"/>
  <c r="B115" i="3"/>
  <c r="AM113" i="2"/>
  <c r="AN113" i="2" s="1"/>
  <c r="E114" i="2"/>
  <c r="AO113" i="2" l="1"/>
  <c r="D115" i="3"/>
  <c r="AJ114" i="3"/>
  <c r="G114" i="2"/>
  <c r="AP113" i="2"/>
  <c r="AM114" i="3"/>
  <c r="AN114" i="3" s="1"/>
  <c r="AO114" i="3" s="1"/>
  <c r="H115" i="3" s="1"/>
  <c r="C115" i="3"/>
  <c r="F114" i="2"/>
  <c r="AG114" i="2" l="1"/>
  <c r="AB115" i="3"/>
  <c r="E115" i="3"/>
  <c r="J115" i="3"/>
  <c r="AP114" i="3"/>
  <c r="AR113" i="2"/>
  <c r="AS113" i="2" s="1"/>
  <c r="H114" i="2"/>
  <c r="I115" i="3"/>
  <c r="AU113" i="2" l="1"/>
  <c r="AL115" i="3"/>
  <c r="G115" i="3"/>
  <c r="AT113" i="2"/>
  <c r="J114" i="2"/>
  <c r="AW113" i="2"/>
  <c r="AX113" i="2" s="1"/>
  <c r="AY113" i="2" s="1"/>
  <c r="N114" i="2" s="1"/>
  <c r="AR114" i="3"/>
  <c r="AS114" i="3" s="1"/>
  <c r="F115" i="3"/>
  <c r="I114" i="2"/>
  <c r="AU114" i="3" l="1"/>
  <c r="AL114" i="2"/>
  <c r="AG115" i="3"/>
  <c r="K114" i="2"/>
  <c r="AW114" i="3"/>
  <c r="AX114" i="3" s="1"/>
  <c r="AY114" i="3" s="1"/>
  <c r="N115" i="3" s="1"/>
  <c r="AT114" i="3"/>
  <c r="P114" i="2"/>
  <c r="AZ113" i="2"/>
  <c r="O114" i="2"/>
  <c r="AV114" i="2" l="1"/>
  <c r="P115" i="3"/>
  <c r="BB113" i="2"/>
  <c r="BC113" i="2" s="1"/>
  <c r="AZ114" i="3"/>
  <c r="M114" i="2"/>
  <c r="K115" i="3"/>
  <c r="L114" i="2"/>
  <c r="O115" i="3"/>
  <c r="BE113" i="2" l="1"/>
  <c r="AV115" i="3"/>
  <c r="AQ114" i="2"/>
  <c r="BG113" i="2"/>
  <c r="BH113" i="2" s="1"/>
  <c r="BI113" i="2" s="1"/>
  <c r="T114" i="2" s="1"/>
  <c r="M115" i="3"/>
  <c r="BB114" i="3"/>
  <c r="BC114" i="3" s="1"/>
  <c r="BD113" i="2"/>
  <c r="L115" i="3"/>
  <c r="BE114" i="3" l="1"/>
  <c r="AQ115" i="3"/>
  <c r="BJ113" i="2"/>
  <c r="BL113" i="2" s="1"/>
  <c r="BM113" i="2" s="1"/>
  <c r="BN113" i="2" s="1"/>
  <c r="W114" i="2" s="1"/>
  <c r="V114" i="2"/>
  <c r="BO113" i="2"/>
  <c r="BG114" i="3"/>
  <c r="BH114" i="3" s="1"/>
  <c r="BI114" i="3" s="1"/>
  <c r="T115" i="3" s="1"/>
  <c r="Q114" i="2"/>
  <c r="BD114" i="3"/>
  <c r="U114" i="2"/>
  <c r="BF114" i="2" l="1"/>
  <c r="BJ114" i="3"/>
  <c r="BL114" i="3" s="1"/>
  <c r="BM114" i="3" s="1"/>
  <c r="BN114" i="3" s="1"/>
  <c r="W115" i="3" s="1"/>
  <c r="V115" i="3"/>
  <c r="Q115" i="3"/>
  <c r="BQ114" i="3"/>
  <c r="BO114" i="3"/>
  <c r="BQ113" i="2"/>
  <c r="Y114" i="2"/>
  <c r="S114" i="2"/>
  <c r="X114" i="2"/>
  <c r="U115" i="3"/>
  <c r="R114" i="2"/>
  <c r="BP114" i="2" l="1"/>
  <c r="BA114" i="2"/>
  <c r="BF115" i="3"/>
  <c r="BK114" i="2"/>
  <c r="Z114" i="2"/>
  <c r="AA114" i="2" s="1"/>
  <c r="S115" i="3"/>
  <c r="Y115" i="3"/>
  <c r="X115" i="3"/>
  <c r="R115" i="3"/>
  <c r="BP115" i="3" l="1"/>
  <c r="BA115" i="3"/>
  <c r="BK115" i="3"/>
  <c r="AC114" i="2"/>
  <c r="AD114" i="2" s="1"/>
  <c r="Z115" i="3"/>
  <c r="AA115" i="3" s="1"/>
  <c r="AF114" i="2" l="1"/>
  <c r="AE114" i="2"/>
  <c r="AC115" i="3"/>
  <c r="AD115" i="3" s="1"/>
  <c r="AF115" i="3" l="1"/>
  <c r="AE115" i="3"/>
  <c r="B115" i="2"/>
  <c r="AH114" i="2"/>
  <c r="AI114" i="2" s="1"/>
  <c r="AJ114" i="2" l="1"/>
  <c r="AK114" i="2"/>
  <c r="B116" i="3"/>
  <c r="D115" i="2"/>
  <c r="AH115" i="3"/>
  <c r="AI115" i="3" s="1"/>
  <c r="C115" i="2"/>
  <c r="AB115" i="2" l="1"/>
  <c r="AK115" i="3"/>
  <c r="AJ115" i="3"/>
  <c r="D116" i="3"/>
  <c r="AM114" i="2"/>
  <c r="AN114" i="2" s="1"/>
  <c r="E115" i="2"/>
  <c r="C116" i="3"/>
  <c r="AB116" i="3" l="1"/>
  <c r="E116" i="3"/>
  <c r="AM115" i="3"/>
  <c r="AN115" i="3" s="1"/>
  <c r="G115" i="2"/>
  <c r="AO114" i="2"/>
  <c r="AP114" i="2"/>
  <c r="F115" i="2"/>
  <c r="AG115" i="2" l="1"/>
  <c r="AP115" i="3"/>
  <c r="G116" i="3"/>
  <c r="H115" i="2"/>
  <c r="AO115" i="3"/>
  <c r="AR114" i="2"/>
  <c r="AS114" i="2" s="1"/>
  <c r="F116" i="3"/>
  <c r="AG116" i="3" l="1"/>
  <c r="J115" i="2"/>
  <c r="AR115" i="3"/>
  <c r="AS115" i="3" s="1"/>
  <c r="AT114" i="2"/>
  <c r="AU114" i="2"/>
  <c r="H116" i="3"/>
  <c r="I115" i="2"/>
  <c r="AL115" i="2" l="1"/>
  <c r="AT115" i="3"/>
  <c r="K115" i="2"/>
  <c r="AU115" i="3"/>
  <c r="J116" i="3"/>
  <c r="AW114" i="2"/>
  <c r="AX114" i="2" s="1"/>
  <c r="I116" i="3"/>
  <c r="AL116" i="3" l="1"/>
  <c r="AY114" i="2"/>
  <c r="AW115" i="3"/>
  <c r="AX115" i="3" s="1"/>
  <c r="M115" i="2"/>
  <c r="K116" i="3"/>
  <c r="AZ114" i="2"/>
  <c r="L115" i="2"/>
  <c r="AQ115" i="2" l="1"/>
  <c r="AY115" i="3"/>
  <c r="AZ115" i="3"/>
  <c r="N115" i="2"/>
  <c r="M116" i="3"/>
  <c r="BB114" i="2"/>
  <c r="BC114" i="2" s="1"/>
  <c r="L116" i="3"/>
  <c r="AQ116" i="3" l="1"/>
  <c r="N116" i="3"/>
  <c r="BB115" i="3"/>
  <c r="BC115" i="3" s="1"/>
  <c r="BD114" i="2"/>
  <c r="BE114" i="2"/>
  <c r="P115" i="2"/>
  <c r="O115" i="2"/>
  <c r="AV115" i="2" l="1"/>
  <c r="P116" i="3"/>
  <c r="BG114" i="2"/>
  <c r="BH114" i="2" s="1"/>
  <c r="Q115" i="2"/>
  <c r="BD115" i="3"/>
  <c r="BE115" i="3"/>
  <c r="O116" i="3"/>
  <c r="AV116" i="3" l="1"/>
  <c r="S115" i="2"/>
  <c r="BJ114" i="2"/>
  <c r="BL114" i="2" s="1"/>
  <c r="BM114" i="2" s="1"/>
  <c r="BN114" i="2" s="1"/>
  <c r="W115" i="2" s="1"/>
  <c r="BI114" i="2"/>
  <c r="BG115" i="3"/>
  <c r="BH115" i="3" s="1"/>
  <c r="Q116" i="3"/>
  <c r="R115" i="2"/>
  <c r="BA115" i="2" l="1"/>
  <c r="BI115" i="3"/>
  <c r="Y115" i="2"/>
  <c r="T115" i="2"/>
  <c r="BQ114" i="2"/>
  <c r="BJ115" i="3"/>
  <c r="BL115" i="3" s="1"/>
  <c r="BM115" i="3" s="1"/>
  <c r="BN115" i="3" s="1"/>
  <c r="W116" i="3" s="1"/>
  <c r="BO114" i="2"/>
  <c r="S116" i="3"/>
  <c r="R116" i="3"/>
  <c r="X115" i="2"/>
  <c r="BO115" i="3" l="1"/>
  <c r="BK115" i="2"/>
  <c r="BA116" i="3"/>
  <c r="V115" i="2"/>
  <c r="Y116" i="3"/>
  <c r="T116" i="3"/>
  <c r="BQ115" i="3"/>
  <c r="U115" i="2"/>
  <c r="X116" i="3"/>
  <c r="BK116" i="3" l="1"/>
  <c r="BP115" i="2"/>
  <c r="BF115" i="2"/>
  <c r="Z115" i="2"/>
  <c r="AA115" i="2" s="1"/>
  <c r="V116" i="3"/>
  <c r="U116" i="3"/>
  <c r="BP116" i="3" l="1"/>
  <c r="BF116" i="3"/>
  <c r="Z116" i="3"/>
  <c r="AA116" i="3" s="1"/>
  <c r="AC115" i="2"/>
  <c r="AD115" i="2" s="1"/>
  <c r="AC116" i="3" l="1"/>
  <c r="AD116" i="3" s="1"/>
  <c r="AE115" i="2"/>
  <c r="AF115" i="2"/>
  <c r="AH115" i="2" l="1"/>
  <c r="AI115" i="2" s="1"/>
  <c r="B116" i="2"/>
  <c r="AE116" i="3"/>
  <c r="AF116" i="3"/>
  <c r="AH116" i="3" l="1"/>
  <c r="AI116" i="3" s="1"/>
  <c r="B117" i="3"/>
  <c r="D116" i="2"/>
  <c r="AJ115" i="2"/>
  <c r="AK115" i="2"/>
  <c r="C116" i="2"/>
  <c r="AB116" i="2" l="1"/>
  <c r="AM115" i="2"/>
  <c r="AN115" i="2" s="1"/>
  <c r="AP115" i="2"/>
  <c r="E116" i="2"/>
  <c r="D117" i="3"/>
  <c r="AJ116" i="3"/>
  <c r="AK116" i="3"/>
  <c r="C117" i="3"/>
  <c r="AB117" i="3" l="1"/>
  <c r="AM116" i="3"/>
  <c r="AN116" i="3" s="1"/>
  <c r="G116" i="2"/>
  <c r="E117" i="3"/>
  <c r="AR115" i="2"/>
  <c r="AS115" i="2" s="1"/>
  <c r="AT115" i="2" s="1"/>
  <c r="K116" i="2" s="1"/>
  <c r="AO115" i="2"/>
  <c r="F116" i="2"/>
  <c r="AU115" i="2" l="1"/>
  <c r="AG116" i="2"/>
  <c r="AW115" i="2"/>
  <c r="AX115" i="2" s="1"/>
  <c r="G117" i="3"/>
  <c r="AP116" i="3"/>
  <c r="H116" i="2"/>
  <c r="AO116" i="3"/>
  <c r="M116" i="2"/>
  <c r="F117" i="3"/>
  <c r="L116" i="2"/>
  <c r="AQ116" i="2" l="1"/>
  <c r="AG117" i="3"/>
  <c r="AR116" i="3"/>
  <c r="AS116" i="3" s="1"/>
  <c r="AY115" i="2"/>
  <c r="H117" i="3"/>
  <c r="AZ115" i="2"/>
  <c r="J116" i="2"/>
  <c r="I116" i="2"/>
  <c r="AU116" i="3" l="1"/>
  <c r="AL116" i="2"/>
  <c r="AW116" i="3"/>
  <c r="AX116" i="3" s="1"/>
  <c r="AY116" i="3" s="1"/>
  <c r="N117" i="3" s="1"/>
  <c r="N116" i="2"/>
  <c r="AT116" i="3"/>
  <c r="J117" i="3"/>
  <c r="BB115" i="2"/>
  <c r="BC115" i="2" s="1"/>
  <c r="I117" i="3"/>
  <c r="BE115" i="2" l="1"/>
  <c r="AL117" i="3"/>
  <c r="P116" i="2"/>
  <c r="P117" i="3"/>
  <c r="AZ116" i="3"/>
  <c r="K117" i="3"/>
  <c r="BG115" i="2"/>
  <c r="BH115" i="2" s="1"/>
  <c r="BI115" i="2" s="1"/>
  <c r="T116" i="2" s="1"/>
  <c r="BD115" i="2"/>
  <c r="O116" i="2"/>
  <c r="O117" i="3"/>
  <c r="AV117" i="3" l="1"/>
  <c r="AV116" i="2"/>
  <c r="Q116" i="2"/>
  <c r="BB116" i="3"/>
  <c r="BC116" i="3" s="1"/>
  <c r="V116" i="2"/>
  <c r="BJ115" i="2"/>
  <c r="BL115" i="2" s="1"/>
  <c r="BM115" i="2" s="1"/>
  <c r="M117" i="3"/>
  <c r="U116" i="2"/>
  <c r="L117" i="3"/>
  <c r="AQ117" i="3" l="1"/>
  <c r="BF116" i="2"/>
  <c r="BD116" i="3"/>
  <c r="S116" i="2"/>
  <c r="BE116" i="3"/>
  <c r="BN115" i="2"/>
  <c r="BO115" i="2"/>
  <c r="R116" i="2"/>
  <c r="BA116" i="2" l="1"/>
  <c r="W116" i="2"/>
  <c r="BQ115" i="2"/>
  <c r="Q117" i="3"/>
  <c r="BG116" i="3"/>
  <c r="BH116" i="3" s="1"/>
  <c r="BJ116" i="3" l="1"/>
  <c r="BL116" i="3" s="1"/>
  <c r="BM116" i="3" s="1"/>
  <c r="BN116" i="3" s="1"/>
  <c r="W117" i="3" s="1"/>
  <c r="BI116" i="3"/>
  <c r="S117" i="3"/>
  <c r="Y116" i="2"/>
  <c r="R117" i="3"/>
  <c r="X116" i="2"/>
  <c r="BO116" i="3" l="1"/>
  <c r="BP116" i="2"/>
  <c r="BK116" i="2"/>
  <c r="BA117" i="3"/>
  <c r="T117" i="3"/>
  <c r="BQ116" i="3"/>
  <c r="Z116" i="2"/>
  <c r="AA116" i="2" s="1"/>
  <c r="Y117" i="3"/>
  <c r="X117" i="3"/>
  <c r="BK117" i="3" l="1"/>
  <c r="V117" i="3"/>
  <c r="AC116" i="2"/>
  <c r="AD116" i="2" s="1"/>
  <c r="U117" i="3"/>
  <c r="BP117" i="3" l="1"/>
  <c r="BF117" i="3"/>
  <c r="AF116" i="2"/>
  <c r="AE116" i="2"/>
  <c r="Z117" i="3"/>
  <c r="AA117" i="3" s="1"/>
  <c r="AC117" i="3" l="1"/>
  <c r="AD117" i="3" s="1"/>
  <c r="AH116" i="2"/>
  <c r="AI116" i="2" s="1"/>
  <c r="B117" i="2"/>
  <c r="AK116" i="2" l="1"/>
  <c r="D117" i="2"/>
  <c r="AM116" i="2"/>
  <c r="AN116" i="2" s="1"/>
  <c r="AO116" i="2" s="1"/>
  <c r="H117" i="2" s="1"/>
  <c r="AE117" i="3"/>
  <c r="AJ116" i="2"/>
  <c r="AF117" i="3"/>
  <c r="C117" i="2"/>
  <c r="AB117" i="2" l="1"/>
  <c r="E117" i="2"/>
  <c r="AH117" i="3"/>
  <c r="AI117" i="3" s="1"/>
  <c r="J117" i="2"/>
  <c r="B118" i="3"/>
  <c r="AP116" i="2"/>
  <c r="I117" i="2"/>
  <c r="AK117" i="3" l="1"/>
  <c r="AL117" i="2"/>
  <c r="AM117" i="3"/>
  <c r="AN117" i="3" s="1"/>
  <c r="AO117" i="3" s="1"/>
  <c r="H118" i="3" s="1"/>
  <c r="G117" i="2"/>
  <c r="AJ117" i="3"/>
  <c r="AR116" i="2"/>
  <c r="AS116" i="2" s="1"/>
  <c r="D118" i="3"/>
  <c r="C118" i="3"/>
  <c r="F117" i="2"/>
  <c r="AG117" i="2" l="1"/>
  <c r="AB118" i="3"/>
  <c r="AT116" i="2"/>
  <c r="E118" i="3"/>
  <c r="J118" i="3"/>
  <c r="AP117" i="3"/>
  <c r="AU116" i="2"/>
  <c r="I118" i="3"/>
  <c r="AL118" i="3" l="1"/>
  <c r="AR117" i="3"/>
  <c r="AS117" i="3" s="1"/>
  <c r="K117" i="2"/>
  <c r="AW116" i="2"/>
  <c r="AX116" i="2" s="1"/>
  <c r="G118" i="3"/>
  <c r="F118" i="3"/>
  <c r="AG118" i="3" l="1"/>
  <c r="AY116" i="2"/>
  <c r="AZ116" i="2"/>
  <c r="AT117" i="3"/>
  <c r="M117" i="2"/>
  <c r="AU117" i="3"/>
  <c r="L117" i="2"/>
  <c r="AQ117" i="2" l="1"/>
  <c r="K118" i="3"/>
  <c r="N117" i="2"/>
  <c r="BB116" i="2"/>
  <c r="BC116" i="2" s="1"/>
  <c r="AW117" i="3"/>
  <c r="AX117" i="3" s="1"/>
  <c r="AZ117" i="3" l="1"/>
  <c r="P117" i="2"/>
  <c r="BE116" i="2"/>
  <c r="M118" i="3"/>
  <c r="BB117" i="3"/>
  <c r="BC117" i="3" s="1"/>
  <c r="BD117" i="3" s="1"/>
  <c r="Q118" i="3" s="1"/>
  <c r="BD116" i="2"/>
  <c r="AY117" i="3"/>
  <c r="O117" i="2"/>
  <c r="L118" i="3"/>
  <c r="AQ118" i="3" l="1"/>
  <c r="AV117" i="2"/>
  <c r="Q117" i="2"/>
  <c r="BE117" i="3"/>
  <c r="BG116" i="2"/>
  <c r="BH116" i="2" s="1"/>
  <c r="N118" i="3"/>
  <c r="S118" i="3"/>
  <c r="R118" i="3"/>
  <c r="BJ116" i="2" l="1"/>
  <c r="BL116" i="2" s="1"/>
  <c r="BM116" i="2" s="1"/>
  <c r="BN116" i="2" s="1"/>
  <c r="W117" i="2" s="1"/>
  <c r="BA118" i="3"/>
  <c r="BG117" i="3"/>
  <c r="BH117" i="3" s="1"/>
  <c r="Y117" i="2"/>
  <c r="S117" i="2"/>
  <c r="P118" i="3"/>
  <c r="BI116" i="2"/>
  <c r="BO116" i="2"/>
  <c r="R117" i="2"/>
  <c r="O118" i="3"/>
  <c r="X117" i="2"/>
  <c r="BK117" i="2" l="1"/>
  <c r="AV118" i="3"/>
  <c r="BA117" i="2"/>
  <c r="T117" i="2"/>
  <c r="BQ116" i="2"/>
  <c r="BJ117" i="3"/>
  <c r="BL117" i="3" s="1"/>
  <c r="BM117" i="3" s="1"/>
  <c r="BN117" i="3" s="1"/>
  <c r="W118" i="3" s="1"/>
  <c r="BI117" i="3"/>
  <c r="BO117" i="3" l="1"/>
  <c r="V117" i="2"/>
  <c r="T118" i="3"/>
  <c r="BQ117" i="3"/>
  <c r="Y118" i="3"/>
  <c r="U117" i="2"/>
  <c r="X118" i="3"/>
  <c r="BK118" i="3" l="1"/>
  <c r="BP117" i="2"/>
  <c r="BF117" i="2"/>
  <c r="V118" i="3"/>
  <c r="Z117" i="2"/>
  <c r="AA117" i="2" s="1"/>
  <c r="U118" i="3"/>
  <c r="BP118" i="3" l="1"/>
  <c r="BF118" i="3"/>
  <c r="AC117" i="2"/>
  <c r="AD117" i="2" s="1"/>
  <c r="Z118" i="3"/>
  <c r="AA118" i="3" s="1"/>
  <c r="AC118" i="3" l="1"/>
  <c r="AD118" i="3" s="1"/>
  <c r="AE117" i="2"/>
  <c r="AF117" i="2"/>
  <c r="AH117" i="2" l="1"/>
  <c r="AI117" i="2" s="1"/>
  <c r="AK117" i="2"/>
  <c r="B118" i="2"/>
  <c r="AE118" i="3"/>
  <c r="AF118" i="3"/>
  <c r="B119" i="3" l="1"/>
  <c r="D118" i="2"/>
  <c r="AH118" i="3"/>
  <c r="AI118" i="3" s="1"/>
  <c r="AM117" i="2"/>
  <c r="AN117" i="2" s="1"/>
  <c r="AO117" i="2" s="1"/>
  <c r="H118" i="2" s="1"/>
  <c r="AJ117" i="2"/>
  <c r="C118" i="2"/>
  <c r="AK118" i="3" l="1"/>
  <c r="AB118" i="2"/>
  <c r="J118" i="2"/>
  <c r="AJ118" i="3"/>
  <c r="E118" i="2"/>
  <c r="AP117" i="2"/>
  <c r="AM118" i="3"/>
  <c r="AN118" i="3" s="1"/>
  <c r="AO118" i="3" s="1"/>
  <c r="H119" i="3" s="1"/>
  <c r="D119" i="3"/>
  <c r="I118" i="2"/>
  <c r="C119" i="3"/>
  <c r="AB119" i="3" l="1"/>
  <c r="AL118" i="2"/>
  <c r="G118" i="2"/>
  <c r="E119" i="3"/>
  <c r="J119" i="3"/>
  <c r="AP118" i="3"/>
  <c r="AR117" i="2"/>
  <c r="AS117" i="2" s="1"/>
  <c r="I119" i="3"/>
  <c r="F118" i="2"/>
  <c r="AG118" i="2" l="1"/>
  <c r="AL119" i="3"/>
  <c r="AR118" i="3"/>
  <c r="AS118" i="3" s="1"/>
  <c r="G119" i="3"/>
  <c r="AT117" i="2"/>
  <c r="AU117" i="2"/>
  <c r="F119" i="3"/>
  <c r="AG119" i="3" l="1"/>
  <c r="AU118" i="3"/>
  <c r="K118" i="2"/>
  <c r="AT118" i="3"/>
  <c r="AW117" i="2"/>
  <c r="AX117" i="2" s="1"/>
  <c r="AY117" i="2" l="1"/>
  <c r="AZ117" i="2"/>
  <c r="K119" i="3"/>
  <c r="AW118" i="3"/>
  <c r="AX118" i="3" s="1"/>
  <c r="M118" i="2"/>
  <c r="L118" i="2"/>
  <c r="AQ118" i="2" l="1"/>
  <c r="AY118" i="3"/>
  <c r="AZ118" i="3"/>
  <c r="M119" i="3"/>
  <c r="BB117" i="2"/>
  <c r="BC117" i="2" s="1"/>
  <c r="N118" i="2"/>
  <c r="L119" i="3"/>
  <c r="AQ119" i="3" l="1"/>
  <c r="BB118" i="3"/>
  <c r="BC118" i="3" s="1"/>
  <c r="P118" i="2"/>
  <c r="N119" i="3"/>
  <c r="BD117" i="2"/>
  <c r="BE117" i="2"/>
  <c r="O118" i="2"/>
  <c r="AV118" i="2" l="1"/>
  <c r="P119" i="3"/>
  <c r="BD118" i="3"/>
  <c r="BE118" i="3"/>
  <c r="BG117" i="2"/>
  <c r="BH117" i="2" s="1"/>
  <c r="Q118" i="2"/>
  <c r="O119" i="3"/>
  <c r="AV119" i="3" l="1"/>
  <c r="BG118" i="3"/>
  <c r="BH118" i="3" s="1"/>
  <c r="BI117" i="2"/>
  <c r="BJ117" i="2"/>
  <c r="BL117" i="2" s="1"/>
  <c r="BM117" i="2" s="1"/>
  <c r="BN117" i="2" s="1"/>
  <c r="W118" i="2" s="1"/>
  <c r="Q119" i="3"/>
  <c r="S118" i="2"/>
  <c r="R118" i="2"/>
  <c r="BA118" i="2" l="1"/>
  <c r="Y118" i="2"/>
  <c r="T118" i="2"/>
  <c r="BQ117" i="2"/>
  <c r="S119" i="3"/>
  <c r="BO117" i="2"/>
  <c r="BJ118" i="3"/>
  <c r="BL118" i="3" s="1"/>
  <c r="BM118" i="3" s="1"/>
  <c r="BN118" i="3" s="1"/>
  <c r="W119" i="3" s="1"/>
  <c r="BI118" i="3"/>
  <c r="R119" i="3"/>
  <c r="X118" i="2"/>
  <c r="BO118" i="3" l="1"/>
  <c r="BK118" i="2"/>
  <c r="BA119" i="3"/>
  <c r="V118" i="2"/>
  <c r="T119" i="3"/>
  <c r="BQ118" i="3"/>
  <c r="Y119" i="3"/>
  <c r="X119" i="3"/>
  <c r="U118" i="2"/>
  <c r="BP118" i="2" l="1"/>
  <c r="BF118" i="2"/>
  <c r="BK119" i="3"/>
  <c r="V119" i="3"/>
  <c r="Z118" i="2"/>
  <c r="AA118" i="2" s="1"/>
  <c r="U119" i="3"/>
  <c r="BP119" i="3" l="1"/>
  <c r="BF119" i="3"/>
  <c r="AC118" i="2"/>
  <c r="AD118" i="2" s="1"/>
  <c r="Z119" i="3"/>
  <c r="AA119" i="3" s="1"/>
  <c r="AC119" i="3" l="1"/>
  <c r="AD119" i="3" s="1"/>
  <c r="AE118" i="2"/>
  <c r="AF118" i="2"/>
  <c r="B119" i="2" l="1"/>
  <c r="AH118" i="2"/>
  <c r="AI118" i="2" s="1"/>
  <c r="AE119" i="3"/>
  <c r="AF119" i="3"/>
  <c r="AH119" i="3" l="1"/>
  <c r="AI119" i="3" s="1"/>
  <c r="AJ118" i="2"/>
  <c r="B120" i="3"/>
  <c r="AK118" i="2"/>
  <c r="D119" i="2"/>
  <c r="C119" i="2"/>
  <c r="AB119" i="2" l="1"/>
  <c r="D120" i="3"/>
  <c r="AM118" i="2"/>
  <c r="AN118" i="2" s="1"/>
  <c r="E119" i="2"/>
  <c r="AJ119" i="3"/>
  <c r="AK119" i="3"/>
  <c r="C120" i="3"/>
  <c r="AP118" i="2" l="1"/>
  <c r="AB120" i="3"/>
  <c r="G119" i="2"/>
  <c r="AO118" i="2"/>
  <c r="AM119" i="3"/>
  <c r="AN119" i="3" s="1"/>
  <c r="E120" i="3"/>
  <c r="AR118" i="2"/>
  <c r="AS118" i="2" s="1"/>
  <c r="AT118" i="2" s="1"/>
  <c r="K119" i="2" s="1"/>
  <c r="F119" i="2"/>
  <c r="AP119" i="3" l="1"/>
  <c r="AG119" i="2"/>
  <c r="H119" i="2"/>
  <c r="AR119" i="3"/>
  <c r="AS119" i="3" s="1"/>
  <c r="AT119" i="3" s="1"/>
  <c r="K120" i="3" s="1"/>
  <c r="AU118" i="2"/>
  <c r="G120" i="3"/>
  <c r="M119" i="2"/>
  <c r="AO119" i="3"/>
  <c r="F120" i="3"/>
  <c r="L119" i="2"/>
  <c r="AQ119" i="2" l="1"/>
  <c r="AG120" i="3"/>
  <c r="M120" i="3"/>
  <c r="AW118" i="2"/>
  <c r="AX118" i="2" s="1"/>
  <c r="AU119" i="3"/>
  <c r="J119" i="2"/>
  <c r="H120" i="3"/>
  <c r="L120" i="3"/>
  <c r="I119" i="2"/>
  <c r="AL119" i="2" l="1"/>
  <c r="AQ120" i="3"/>
  <c r="AZ118" i="2"/>
  <c r="AY118" i="2"/>
  <c r="J120" i="3"/>
  <c r="AW119" i="3"/>
  <c r="AX119" i="3" s="1"/>
  <c r="I120" i="3"/>
  <c r="AL120" i="3" l="1"/>
  <c r="N119" i="2"/>
  <c r="AY119" i="3"/>
  <c r="BB118" i="2"/>
  <c r="BC118" i="2" s="1"/>
  <c r="AZ119" i="3"/>
  <c r="BE118" i="2" l="1"/>
  <c r="BD118" i="2"/>
  <c r="BB119" i="3"/>
  <c r="BC119" i="3" s="1"/>
  <c r="BG118" i="2"/>
  <c r="BH118" i="2" s="1"/>
  <c r="BI118" i="2" s="1"/>
  <c r="T119" i="2" s="1"/>
  <c r="N120" i="3"/>
  <c r="P119" i="2"/>
  <c r="O119" i="2"/>
  <c r="AV119" i="2" l="1"/>
  <c r="P120" i="3"/>
  <c r="BJ118" i="2"/>
  <c r="BL118" i="2" s="1"/>
  <c r="BM118" i="2" s="1"/>
  <c r="BN118" i="2" s="1"/>
  <c r="W119" i="2" s="1"/>
  <c r="BE119" i="3"/>
  <c r="V119" i="2"/>
  <c r="BD119" i="3"/>
  <c r="Q119" i="2"/>
  <c r="U119" i="2"/>
  <c r="O120" i="3"/>
  <c r="AV120" i="3" l="1"/>
  <c r="BF119" i="2"/>
  <c r="BG119" i="3"/>
  <c r="BH119" i="3" s="1"/>
  <c r="Y119" i="2"/>
  <c r="BQ118" i="2"/>
  <c r="BO118" i="2"/>
  <c r="S119" i="2"/>
  <c r="Q120" i="3"/>
  <c r="R119" i="2"/>
  <c r="X119" i="2"/>
  <c r="BK119" i="2" l="1"/>
  <c r="BP119" i="2"/>
  <c r="BA119" i="2"/>
  <c r="BI119" i="3"/>
  <c r="S120" i="3"/>
  <c r="BJ119" i="3"/>
  <c r="BL119" i="3" s="1"/>
  <c r="BM119" i="3" s="1"/>
  <c r="BN119" i="3" s="1"/>
  <c r="W120" i="3" s="1"/>
  <c r="Z119" i="2"/>
  <c r="AA119" i="2" s="1"/>
  <c r="R120" i="3"/>
  <c r="BA120" i="3" l="1"/>
  <c r="Y120" i="3"/>
  <c r="T120" i="3"/>
  <c r="BQ119" i="3"/>
  <c r="BO119" i="3"/>
  <c r="AC119" i="2"/>
  <c r="AD119" i="2" s="1"/>
  <c r="X120" i="3"/>
  <c r="BK120" i="3" l="1"/>
  <c r="V120" i="3"/>
  <c r="AE119" i="2"/>
  <c r="AF119" i="2"/>
  <c r="U120" i="3"/>
  <c r="BP120" i="3" l="1"/>
  <c r="BF120" i="3"/>
  <c r="B120" i="2"/>
  <c r="Z120" i="3"/>
  <c r="AA120" i="3" s="1"/>
  <c r="AH119" i="2"/>
  <c r="AI119" i="2" s="1"/>
  <c r="AK119" i="2" l="1"/>
  <c r="AC120" i="3"/>
  <c r="AD120" i="3" s="1"/>
  <c r="AM119" i="2"/>
  <c r="AN119" i="2" s="1"/>
  <c r="AO119" i="2" s="1"/>
  <c r="H120" i="2" s="1"/>
  <c r="AJ119" i="2"/>
  <c r="D120" i="2"/>
  <c r="C120" i="2"/>
  <c r="AB120" i="2" l="1"/>
  <c r="E120" i="2"/>
  <c r="AP119" i="2"/>
  <c r="J120" i="2"/>
  <c r="AE120" i="3"/>
  <c r="AF120" i="3"/>
  <c r="I120" i="2"/>
  <c r="AL120" i="2" l="1"/>
  <c r="G120" i="2"/>
  <c r="B121" i="3"/>
  <c r="AR119" i="2"/>
  <c r="AS119" i="2" s="1"/>
  <c r="AH120" i="3"/>
  <c r="AI120" i="3" s="1"/>
  <c r="F120" i="2"/>
  <c r="AU119" i="2" l="1"/>
  <c r="AG120" i="2"/>
  <c r="D121" i="3"/>
  <c r="AJ120" i="3"/>
  <c r="AT119" i="2"/>
  <c r="AW119" i="2"/>
  <c r="AX119" i="2" s="1"/>
  <c r="AY119" i="2" s="1"/>
  <c r="N120" i="2" s="1"/>
  <c r="AK120" i="3"/>
  <c r="C121" i="3"/>
  <c r="AZ119" i="2" l="1"/>
  <c r="AB121" i="3"/>
  <c r="BB119" i="2"/>
  <c r="BC119" i="2" s="1"/>
  <c r="K120" i="2"/>
  <c r="E121" i="3"/>
  <c r="AM120" i="3"/>
  <c r="AN120" i="3" s="1"/>
  <c r="P120" i="2"/>
  <c r="O120" i="2"/>
  <c r="BE119" i="2" l="1"/>
  <c r="AP120" i="3"/>
  <c r="AV120" i="2"/>
  <c r="G121" i="3"/>
  <c r="AR120" i="3"/>
  <c r="AS120" i="3" s="1"/>
  <c r="AT120" i="3" s="1"/>
  <c r="K121" i="3" s="1"/>
  <c r="M120" i="2"/>
  <c r="BG119" i="2"/>
  <c r="BH119" i="2" s="1"/>
  <c r="BI119" i="2" s="1"/>
  <c r="T120" i="2" s="1"/>
  <c r="BD119" i="2"/>
  <c r="AO120" i="3"/>
  <c r="L120" i="2"/>
  <c r="F121" i="3"/>
  <c r="AG121" i="3" l="1"/>
  <c r="AQ120" i="2"/>
  <c r="M121" i="3"/>
  <c r="AU120" i="3"/>
  <c r="Q120" i="2"/>
  <c r="BJ119" i="2"/>
  <c r="BL119" i="2" s="1"/>
  <c r="BM119" i="2" s="1"/>
  <c r="H121" i="3"/>
  <c r="V120" i="2"/>
  <c r="U120" i="2"/>
  <c r="L121" i="3"/>
  <c r="AQ121" i="3" l="1"/>
  <c r="BF120" i="2"/>
  <c r="AW120" i="3"/>
  <c r="AX120" i="3" s="1"/>
  <c r="S120" i="2"/>
  <c r="J121" i="3"/>
  <c r="BN119" i="2"/>
  <c r="BO119" i="2"/>
  <c r="R120" i="2"/>
  <c r="I121" i="3"/>
  <c r="AL121" i="3" l="1"/>
  <c r="BA120" i="2"/>
  <c r="W120" i="2"/>
  <c r="BQ119" i="2"/>
  <c r="AY120" i="3"/>
  <c r="AZ120" i="3"/>
  <c r="N121" i="3" l="1"/>
  <c r="Y120" i="2"/>
  <c r="BB120" i="3"/>
  <c r="BC120" i="3" s="1"/>
  <c r="X120" i="2"/>
  <c r="BP120" i="2" l="1"/>
  <c r="BK120" i="2"/>
  <c r="BD120" i="3"/>
  <c r="BE120" i="3"/>
  <c r="Z120" i="2"/>
  <c r="AA120" i="2" s="1"/>
  <c r="P121" i="3"/>
  <c r="O121" i="3"/>
  <c r="AV121" i="3" l="1"/>
  <c r="AC120" i="2"/>
  <c r="AD120" i="2" s="1"/>
  <c r="BG120" i="3"/>
  <c r="BH120" i="3" s="1"/>
  <c r="Q121" i="3"/>
  <c r="BI120" i="3" l="1"/>
  <c r="BJ120" i="3"/>
  <c r="BL120" i="3" s="1"/>
  <c r="BM120" i="3" s="1"/>
  <c r="BN120" i="3" s="1"/>
  <c r="W121" i="3" s="1"/>
  <c r="S121" i="3"/>
  <c r="AE120" i="2"/>
  <c r="AF120" i="2"/>
  <c r="R121" i="3"/>
  <c r="BA121" i="3" l="1"/>
  <c r="B121" i="2"/>
  <c r="AH120" i="2"/>
  <c r="AI120" i="2" s="1"/>
  <c r="Y121" i="3"/>
  <c r="BO120" i="3"/>
  <c r="T121" i="3"/>
  <c r="BQ120" i="3"/>
  <c r="X121" i="3"/>
  <c r="BK121" i="3" l="1"/>
  <c r="AJ120" i="2"/>
  <c r="D121" i="2"/>
  <c r="V121" i="3"/>
  <c r="AK120" i="2"/>
  <c r="U121" i="3"/>
  <c r="C121" i="2"/>
  <c r="AB121" i="2" l="1"/>
  <c r="BP121" i="3"/>
  <c r="B124" i="3" s="1"/>
  <c r="BF121" i="3"/>
  <c r="Z121" i="3"/>
  <c r="AA121" i="3" s="1"/>
  <c r="E121" i="2"/>
  <c r="AM120" i="2"/>
  <c r="AN120" i="2" s="1"/>
  <c r="G121" i="2" l="1"/>
  <c r="AC121" i="3"/>
  <c r="AD121" i="3" s="1"/>
  <c r="AO120" i="2"/>
  <c r="C3" i="4"/>
  <c r="C7" i="4"/>
  <c r="AP120" i="2"/>
  <c r="F121" i="2"/>
  <c r="AG121" i="2" l="1"/>
  <c r="AR120" i="2"/>
  <c r="AS120" i="2" s="1"/>
  <c r="H121" i="2"/>
  <c r="AE121" i="3"/>
  <c r="AF121" i="3"/>
  <c r="AH121" i="3" l="1"/>
  <c r="AI121" i="3" s="1"/>
  <c r="AK121" i="3"/>
  <c r="J121" i="2"/>
  <c r="AU120" i="2"/>
  <c r="AT120" i="2"/>
  <c r="I121" i="2"/>
  <c r="AL121" i="2" l="1"/>
  <c r="AW120" i="2"/>
  <c r="AX120" i="2" s="1"/>
  <c r="K121" i="2"/>
  <c r="AM121" i="3"/>
  <c r="AN121" i="3" s="1"/>
  <c r="AO121" i="3" s="1"/>
  <c r="AJ121" i="3"/>
  <c r="AP121" i="3" l="1"/>
  <c r="AY120" i="2"/>
  <c r="M121" i="2"/>
  <c r="AZ120" i="2"/>
  <c r="L121" i="2"/>
  <c r="AQ121" i="2" l="1"/>
  <c r="BB120" i="2"/>
  <c r="BC120" i="2" s="1"/>
  <c r="N121" i="2"/>
  <c r="AR121" i="3"/>
  <c r="AS121" i="3" s="1"/>
  <c r="AT121" i="3" l="1"/>
  <c r="BD120" i="2"/>
  <c r="BE120" i="2"/>
  <c r="AU121" i="3"/>
  <c r="P121" i="2"/>
  <c r="O121" i="2"/>
  <c r="AV121" i="2" l="1"/>
  <c r="AW121" i="3"/>
  <c r="AX121" i="3" s="1"/>
  <c r="BG120" i="2"/>
  <c r="BH120" i="2" s="1"/>
  <c r="Q121" i="2"/>
  <c r="BJ120" i="2" l="1"/>
  <c r="BL120" i="2" s="1"/>
  <c r="BM120" i="2" s="1"/>
  <c r="BN120" i="2" s="1"/>
  <c r="W121" i="2" s="1"/>
  <c r="BI120" i="2"/>
  <c r="S121" i="2"/>
  <c r="AY121" i="3"/>
  <c r="AZ121" i="3"/>
  <c r="R121" i="2"/>
  <c r="BO120" i="2" l="1"/>
  <c r="BA121" i="2"/>
  <c r="T121" i="2"/>
  <c r="BQ120" i="2"/>
  <c r="BB121" i="3"/>
  <c r="BC121" i="3" s="1"/>
  <c r="Y121" i="2"/>
  <c r="X121" i="2"/>
  <c r="BK121" i="2" l="1"/>
  <c r="BD121" i="3"/>
  <c r="BE121" i="3"/>
  <c r="V121" i="2"/>
  <c r="U121" i="2"/>
  <c r="BP121" i="2" l="1"/>
  <c r="B124" i="2" s="1"/>
  <c r="BF121" i="2"/>
  <c r="BG121" i="3"/>
  <c r="BH121" i="3" s="1"/>
  <c r="Z121" i="2"/>
  <c r="AA121" i="2" s="1"/>
  <c r="BJ121" i="3" l="1"/>
  <c r="BL121" i="3" s="1"/>
  <c r="BM121" i="3" s="1"/>
  <c r="BN121" i="3" s="1"/>
  <c r="AC121" i="2"/>
  <c r="AD121" i="2" s="1"/>
  <c r="BI121" i="3"/>
  <c r="B3" i="4"/>
  <c r="D3" i="4" s="1"/>
  <c r="B7" i="4"/>
  <c r="BO121" i="3" l="1"/>
  <c r="B125" i="3" s="1"/>
  <c r="C4" i="4" s="1"/>
  <c r="BQ121" i="3"/>
  <c r="AE121" i="2"/>
  <c r="AF121" i="2"/>
  <c r="AH121" i="2" l="1"/>
  <c r="AI121" i="2" s="1"/>
  <c r="AJ121" i="2" l="1"/>
  <c r="AK121" i="2"/>
  <c r="AM121" i="2" l="1"/>
  <c r="AN121" i="2" s="1"/>
  <c r="AP121" i="2"/>
  <c r="AR121" i="2" l="1"/>
  <c r="AS121" i="2" s="1"/>
  <c r="AT121" i="2" s="1"/>
  <c r="AO121" i="2"/>
  <c r="AU121" i="2" l="1"/>
  <c r="AW121" i="2" l="1"/>
  <c r="AX121" i="2" s="1"/>
  <c r="AY121" i="2" l="1"/>
  <c r="AZ121" i="2"/>
  <c r="BB121" i="2" l="1"/>
  <c r="BC121" i="2" s="1"/>
  <c r="BE121" i="2" l="1"/>
  <c r="BG121" i="2"/>
  <c r="BH121" i="2" s="1"/>
  <c r="BI121" i="2" s="1"/>
  <c r="BD121" i="2"/>
  <c r="BJ121" i="2" l="1"/>
  <c r="BL121" i="2" s="1"/>
  <c r="BM121" i="2" s="1"/>
  <c r="BN121" i="2" l="1"/>
  <c r="BQ121" i="2" s="1"/>
  <c r="BO121" i="2"/>
  <c r="B125" i="2" s="1"/>
  <c r="B4" i="4" s="1"/>
  <c r="D4" i="4" s="1"/>
</calcChain>
</file>

<file path=xl/sharedStrings.xml><?xml version="1.0" encoding="utf-8"?>
<sst xmlns="http://schemas.openxmlformats.org/spreadsheetml/2006/main" count="284" uniqueCount="104">
  <si>
    <t>As-of date (for payoff estimates)</t>
  </si>
  <si>
    <t>Loan name</t>
  </si>
  <si>
    <t>Lender</t>
  </si>
  <si>
    <t>Original balance</t>
  </si>
  <si>
    <t>Current balance</t>
  </si>
  <si>
    <t>Interest rate (annual)</t>
  </si>
  <si>
    <t>Minimum payment</t>
  </si>
  <si>
    <t>Months remaining</t>
  </si>
  <si>
    <t>Monthly interest</t>
  </si>
  <si>
    <t>Payoff date (min only)</t>
  </si>
  <si>
    <t>Sort key (avalanche)</t>
  </si>
  <si>
    <t>Sort key (snowball)</t>
  </si>
  <si>
    <t>Stafford Sub #1</t>
  </si>
  <si>
    <t>FedLoan</t>
  </si>
  <si>
    <t>Stafford Unsub #1</t>
  </si>
  <si>
    <t>Private SoFi</t>
  </si>
  <si>
    <t>SoFi</t>
  </si>
  <si>
    <t>Parent PLUS</t>
  </si>
  <si>
    <t>EdFinancial</t>
  </si>
  <si>
    <t>Stafford Sub #2</t>
  </si>
  <si>
    <t>Total monthly loan budget</t>
  </si>
  <si>
    <t>Sum of minimums</t>
  </si>
  <si>
    <t>Extra payment available</t>
  </si>
  <si>
    <t>Target payoff date (optional)</t>
  </si>
  <si>
    <t>Total current balance</t>
  </si>
  <si>
    <t>Weighted avg rate</t>
  </si>
  <si>
    <t>Longest term (months)</t>
  </si>
  <si>
    <t>Total interest (min pay, from Amortization)</t>
  </si>
  <si>
    <t>Highest rate loan</t>
  </si>
  <si>
    <t>Strategy slot map (auto; do not edit)</t>
  </si>
  <si>
    <t>Avalanche: My Loans row #</t>
  </si>
  <si>
    <t>Snowball: My Loans row #</t>
  </si>
  <si>
    <t>Month</t>
  </si>
  <si>
    <t>L1 beg</t>
  </si>
  <si>
    <t>L1 int</t>
  </si>
  <si>
    <t>L1 min</t>
  </si>
  <si>
    <t>L2 beg</t>
  </si>
  <si>
    <t>L2 int</t>
  </si>
  <si>
    <t>L2 min</t>
  </si>
  <si>
    <t>L3 beg</t>
  </si>
  <si>
    <t>L3 int</t>
  </si>
  <si>
    <t>L3 min</t>
  </si>
  <si>
    <t>L4 beg</t>
  </si>
  <si>
    <t>L4 int</t>
  </si>
  <si>
    <t>L4 min</t>
  </si>
  <si>
    <t>L5 beg</t>
  </si>
  <si>
    <t>L5 int</t>
  </si>
  <si>
    <t>L5 min</t>
  </si>
  <si>
    <t>L6 beg</t>
  </si>
  <si>
    <t>L6 int</t>
  </si>
  <si>
    <t>L6 min</t>
  </si>
  <si>
    <t>L7 beg</t>
  </si>
  <si>
    <t>L7 int</t>
  </si>
  <si>
    <t>L7 min</t>
  </si>
  <si>
    <t>L8 beg</t>
  </si>
  <si>
    <t>L8 int</t>
  </si>
  <si>
    <t>L8 min</t>
  </si>
  <si>
    <t>Surplus</t>
  </si>
  <si>
    <t>Rem0</t>
  </si>
  <si>
    <t>cascade</t>
  </si>
  <si>
    <t>Total pay</t>
  </si>
  <si>
    <t>Total int</t>
  </si>
  <si>
    <t>Sum balance</t>
  </si>
  <si>
    <t>Totals / metrics</t>
  </si>
  <si>
    <t>Total interest paid</t>
  </si>
  <si>
    <t>Total payments</t>
  </si>
  <si>
    <t>Months to payoff</t>
  </si>
  <si>
    <t>Payoff date</t>
  </si>
  <si>
    <t>Payoff month by loan (for Comparison)</t>
  </si>
  <si>
    <t>Loan slot 1</t>
  </si>
  <si>
    <t>Loan slot 2</t>
  </si>
  <si>
    <t>Loan slot 3</t>
  </si>
  <si>
    <t>Loan slot 4</t>
  </si>
  <si>
    <t>Loan slot 5</t>
  </si>
  <si>
    <t>Loan slot 6</t>
  </si>
  <si>
    <t>Loan slot 7</t>
  </si>
  <si>
    <t>Loan slot 8</t>
  </si>
  <si>
    <t>Strategy comparison</t>
  </si>
  <si>
    <t>Total amount paid</t>
  </si>
  <si>
    <t>-</t>
  </si>
  <si>
    <t>Interest saved vs minimum-pay baseline</t>
  </si>
  <si>
    <t>Payoff order (Avalanche, by rate)</t>
  </si>
  <si>
    <t>Slot</t>
  </si>
  <si>
    <t>Loan</t>
  </si>
  <si>
    <t>My Loans row</t>
  </si>
  <si>
    <t>Payoff month #</t>
  </si>
  <si>
    <t>Payoff order (Snowball, by balance)</t>
  </si>
  <si>
    <t>What-if: change Total monthly loan budget on My Loans (B13) to model extra payment toward loans.</t>
  </si>
  <si>
    <t>Baseline: minimum payment only (no extra). Total baseline interest:</t>
  </si>
  <si>
    <t>Grand total interest (all loans)</t>
  </si>
  <si>
    <t>Stafford Sub #1 (row 3)</t>
  </si>
  <si>
    <t>Beg bal</t>
  </si>
  <si>
    <t>Payment</t>
  </si>
  <si>
    <t>Interest</t>
  </si>
  <si>
    <t>Principal</t>
  </si>
  <si>
    <t>End bal</t>
  </si>
  <si>
    <t>Loan total interest</t>
  </si>
  <si>
    <t>Stafford Unsub #1 (row 4)</t>
  </si>
  <si>
    <t>Private SoFi (row 5)</t>
  </si>
  <si>
    <t>Parent PLUS (row 6)</t>
  </si>
  <si>
    <t>Stafford Sub #2 (row 7)</t>
  </si>
  <si>
    <t>Row 8 (row 8)</t>
  </si>
  <si>
    <t>Row 9 (row 9)</t>
  </si>
  <si>
    <t>Row 10 (row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</si>
</sst>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&quot;$&quot;#,##0.00"/>
    <numFmt numFmtId="166" formatCode="mmm\ yyyy"/>
    <numFmt numFmtId="167" formatCode="0.0000000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263238"/>
      <name val="Arial"/>
      <family val="2"/>
    </font>
    <font>
      <b/>
      <sz val="11"/>
      <name val="Arial"/>
      <family val="2"/>
    </font>
    <font>
      <i/>
      <sz val="9"/>
      <color rgb="FF555555"/>
      <name val="Arial"/>
      <family val="2"/>
    </font>
    <font>
      <sz val="11"/>
      <color rgb="FF4472C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FD8DC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/>
    <xf numFmtId="166" fontId="1" fillId="0" borderId="0" xfId="0" applyNumberFormat="1" applyFont="1"/>
    <xf numFmtId="0" fontId="4" fillId="0" borderId="0" xfId="0" applyFont="1"/>
    <xf numFmtId="164" fontId="1" fillId="3" borderId="0" xfId="0" applyNumberFormat="1" applyFont="1" applyFill="1"/>
    <xf numFmtId="0" fontId="1" fillId="3" borderId="0" xfId="0" applyFont="1" applyFill="1"/>
    <xf numFmtId="165" fontId="1" fillId="3" borderId="0" xfId="0" applyNumberFormat="1" applyFont="1" applyFill="1"/>
    <xf numFmtId="10" fontId="1" fillId="3" borderId="0" xfId="0" applyNumberFormat="1" applyFont="1" applyFill="1"/>
    <xf numFmtId="1" fontId="1" fillId="3" borderId="0" xfId="0" applyNumberFormat="1" applyFont="1" applyFill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5" fillId="0" borderId="0" xfId="0" applyFont="1"/>
    <xf numFmtId="165" fontId="0" fillId="3" borderId="0" xfId="0" applyNumberFormat="1" applyFill="1"/>
    <xf numFmtId="0" fontId="0" fillId="3" borderId="0" xfId="0" applyFill="1"/>
    <xf numFmtId="1" fontId="5" fillId="0" borderId="0" xfId="0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right"/>
    </xf>
    <xf numFmtId="165" fontId="5" fillId="0" borderId="0" xfId="0" applyNumberFormat="1" applyFont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rgb="FFFFCDD2"/>
          <bgColor rgb="FFFFCDD2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C8E6C9"/>
          <b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'Amortization (Full)'!$C$5</c:f>
              <c:strCache>
                <c:ptCount val="1"/>
                <c:pt idx="0">
                  <c:v>Payment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'Amortization (Full)'!$A$5:$A$125</c:f>
              <c:strCache>
                <c:ptCount val="121"/>
                <c:pt idx="0">
                  <c:v>Month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strCache>
            </c:strRef>
          </c:cat>
          <c:val>
            <c:numRef>
              <c:f>'Amortization (Full)'!$C$6:$C$125</c:f>
              <c:numCache>
                <c:formatCode>"$"#,##0.00</c:formatCode>
                <c:ptCount val="120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95</c:v>
                </c:pt>
                <c:pt idx="5">
                  <c:v>95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  <c:pt idx="11">
                  <c:v>95</c:v>
                </c:pt>
                <c:pt idx="12">
                  <c:v>95</c:v>
                </c:pt>
                <c:pt idx="13">
                  <c:v>95</c:v>
                </c:pt>
                <c:pt idx="14">
                  <c:v>95</c:v>
                </c:pt>
                <c:pt idx="15">
                  <c:v>95</c:v>
                </c:pt>
                <c:pt idx="16">
                  <c:v>95</c:v>
                </c:pt>
                <c:pt idx="17">
                  <c:v>95</c:v>
                </c:pt>
                <c:pt idx="18">
                  <c:v>95</c:v>
                </c:pt>
                <c:pt idx="19">
                  <c:v>95</c:v>
                </c:pt>
                <c:pt idx="20">
                  <c:v>95</c:v>
                </c:pt>
                <c:pt idx="21">
                  <c:v>95</c:v>
                </c:pt>
                <c:pt idx="22">
                  <c:v>95</c:v>
                </c:pt>
                <c:pt idx="23">
                  <c:v>95</c:v>
                </c:pt>
                <c:pt idx="24">
                  <c:v>95</c:v>
                </c:pt>
                <c:pt idx="25">
                  <c:v>95</c:v>
                </c:pt>
                <c:pt idx="26">
                  <c:v>95</c:v>
                </c:pt>
                <c:pt idx="27">
                  <c:v>95</c:v>
                </c:pt>
                <c:pt idx="28">
                  <c:v>95</c:v>
                </c:pt>
                <c:pt idx="29">
                  <c:v>95</c:v>
                </c:pt>
                <c:pt idx="30">
                  <c:v>95</c:v>
                </c:pt>
                <c:pt idx="31">
                  <c:v>95</c:v>
                </c:pt>
                <c:pt idx="32">
                  <c:v>95</c:v>
                </c:pt>
                <c:pt idx="33">
                  <c:v>95</c:v>
                </c:pt>
                <c:pt idx="34">
                  <c:v>95</c:v>
                </c:pt>
                <c:pt idx="35">
                  <c:v>95</c:v>
                </c:pt>
                <c:pt idx="36">
                  <c:v>95</c:v>
                </c:pt>
                <c:pt idx="37">
                  <c:v>95</c:v>
                </c:pt>
                <c:pt idx="38">
                  <c:v>95</c:v>
                </c:pt>
                <c:pt idx="39">
                  <c:v>95</c:v>
                </c:pt>
                <c:pt idx="40">
                  <c:v>95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95</c:v>
                </c:pt>
                <c:pt idx="48">
                  <c:v>95</c:v>
                </c:pt>
                <c:pt idx="49">
                  <c:v>95</c:v>
                </c:pt>
                <c:pt idx="50">
                  <c:v>95</c:v>
                </c:pt>
                <c:pt idx="51">
                  <c:v>95</c:v>
                </c:pt>
                <c:pt idx="52">
                  <c:v>95</c:v>
                </c:pt>
                <c:pt idx="53">
                  <c:v>95</c:v>
                </c:pt>
                <c:pt idx="54">
                  <c:v>95</c:v>
                </c:pt>
                <c:pt idx="55">
                  <c:v>95</c:v>
                </c:pt>
                <c:pt idx="56">
                  <c:v>95</c:v>
                </c:pt>
                <c:pt idx="57">
                  <c:v>95</c:v>
                </c:pt>
                <c:pt idx="58">
                  <c:v>95</c:v>
                </c:pt>
                <c:pt idx="59">
                  <c:v>95</c:v>
                </c:pt>
                <c:pt idx="60">
                  <c:v>95</c:v>
                </c:pt>
                <c:pt idx="61">
                  <c:v>95</c:v>
                </c:pt>
                <c:pt idx="62">
                  <c:v>95</c:v>
                </c:pt>
                <c:pt idx="63">
                  <c:v>95</c:v>
                </c:pt>
                <c:pt idx="64">
                  <c:v>95</c:v>
                </c:pt>
                <c:pt idx="65">
                  <c:v>95</c:v>
                </c:pt>
                <c:pt idx="66">
                  <c:v>95</c:v>
                </c:pt>
                <c:pt idx="67">
                  <c:v>95</c:v>
                </c:pt>
                <c:pt idx="68">
                  <c:v>95</c:v>
                </c:pt>
                <c:pt idx="69">
                  <c:v>95</c:v>
                </c:pt>
                <c:pt idx="70">
                  <c:v>95</c:v>
                </c:pt>
                <c:pt idx="71">
                  <c:v>95</c:v>
                </c:pt>
                <c:pt idx="72">
                  <c:v>95</c:v>
                </c:pt>
                <c:pt idx="73">
                  <c:v>95</c:v>
                </c:pt>
                <c:pt idx="74">
                  <c:v>95</c:v>
                </c:pt>
                <c:pt idx="75">
                  <c:v>95</c:v>
                </c:pt>
                <c:pt idx="76">
                  <c:v>95</c:v>
                </c:pt>
                <c:pt idx="77">
                  <c:v>95</c:v>
                </c:pt>
                <c:pt idx="78">
                  <c:v>95</c:v>
                </c:pt>
                <c:pt idx="79">
                  <c:v>95</c:v>
                </c:pt>
                <c:pt idx="80">
                  <c:v>95</c:v>
                </c:pt>
                <c:pt idx="81">
                  <c:v>95</c:v>
                </c:pt>
                <c:pt idx="82">
                  <c:v>95</c:v>
                </c:pt>
                <c:pt idx="83">
                  <c:v>95</c:v>
                </c:pt>
                <c:pt idx="84">
                  <c:v>95</c:v>
                </c:pt>
                <c:pt idx="85">
                  <c:v>95</c:v>
                </c:pt>
                <c:pt idx="86">
                  <c:v>95</c:v>
                </c:pt>
                <c:pt idx="87">
                  <c:v>95</c:v>
                </c:pt>
                <c:pt idx="88">
                  <c:v>95</c:v>
                </c:pt>
                <c:pt idx="89">
                  <c:v>95</c:v>
                </c:pt>
                <c:pt idx="90">
                  <c:v>95</c:v>
                </c:pt>
                <c:pt idx="91">
                  <c:v>95</c:v>
                </c:pt>
                <c:pt idx="92">
                  <c:v>95</c:v>
                </c:pt>
                <c:pt idx="93">
                  <c:v>95</c:v>
                </c:pt>
                <c:pt idx="94">
                  <c:v>95</c:v>
                </c:pt>
                <c:pt idx="95">
                  <c:v>95</c:v>
                </c:pt>
                <c:pt idx="96">
                  <c:v>95</c:v>
                </c:pt>
                <c:pt idx="97">
                  <c:v>95</c:v>
                </c:pt>
                <c:pt idx="98">
                  <c:v>95</c:v>
                </c:pt>
                <c:pt idx="99">
                  <c:v>95</c:v>
                </c:pt>
                <c:pt idx="100">
                  <c:v>95</c:v>
                </c:pt>
                <c:pt idx="101">
                  <c:v>95</c:v>
                </c:pt>
                <c:pt idx="102">
                  <c:v>95</c:v>
                </c:pt>
                <c:pt idx="103">
                  <c:v>95</c:v>
                </c:pt>
                <c:pt idx="104">
                  <c:v>46.354103855900661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B-4D52-BCAC-9CCD92F6E7B2}"/>
            </c:ext>
          </c:extLst>
        </c:ser>
        <c:ser>
          <c:idx val="1"/>
          <c:order val="1"/>
          <c:tx>
            <c:strRef>
              <c:f>'Amortization (Full)'!$D$5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'Amortization (Full)'!$A$5:$A$125</c:f>
              <c:strCache>
                <c:ptCount val="121"/>
                <c:pt idx="0">
                  <c:v>Month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strCache>
            </c:strRef>
          </c:cat>
          <c:val>
            <c:numRef>
              <c:f>'Amortization (Full)'!$D$6:$D$125</c:f>
              <c:numCache>
                <c:formatCode>"$"#,##0.00</c:formatCode>
                <c:ptCount val="120"/>
                <c:pt idx="0">
                  <c:v>30.75</c:v>
                </c:pt>
                <c:pt idx="1">
                  <c:v>30.509062499999999</c:v>
                </c:pt>
                <c:pt idx="2">
                  <c:v>30.267221484375</c:v>
                </c:pt>
                <c:pt idx="3">
                  <c:v>30.024473564941406</c:v>
                </c:pt>
                <c:pt idx="4">
                  <c:v>29.780815340809937</c:v>
                </c:pt>
                <c:pt idx="5">
                  <c:v>29.536243398337973</c:v>
                </c:pt>
                <c:pt idx="6">
                  <c:v>29.290754311081741</c:v>
                </c:pt>
                <c:pt idx="7">
                  <c:v>29.044344639748292</c:v>
                </c:pt>
                <c:pt idx="8">
                  <c:v>28.797010932147355</c:v>
                </c:pt>
                <c:pt idx="9">
                  <c:v>28.548749723142905</c:v>
                </c:pt>
                <c:pt idx="10">
                  <c:v>28.299557534604691</c:v>
                </c:pt>
                <c:pt idx="11">
                  <c:v>28.049430875359459</c:v>
                </c:pt>
                <c:pt idx="12">
                  <c:v>27.798366241142059</c:v>
                </c:pt>
                <c:pt idx="13">
                  <c:v>27.546360114546342</c:v>
                </c:pt>
                <c:pt idx="14">
                  <c:v>27.293408964975892</c:v>
                </c:pt>
                <c:pt idx="15">
                  <c:v>27.039509248594552</c:v>
                </c:pt>
                <c:pt idx="16">
                  <c:v>26.784657408276782</c:v>
                </c:pt>
                <c:pt idx="17">
                  <c:v>26.528849873557817</c:v>
                </c:pt>
                <c:pt idx="18">
                  <c:v>26.272083060583665</c:v>
                </c:pt>
                <c:pt idx="19">
                  <c:v>26.014353372060853</c:v>
                </c:pt>
                <c:pt idx="20">
                  <c:v>25.75565719720608</c:v>
                </c:pt>
                <c:pt idx="21">
                  <c:v>25.495990911695603</c:v>
                </c:pt>
                <c:pt idx="22">
                  <c:v>25.235350877614465</c:v>
                </c:pt>
                <c:pt idx="23">
                  <c:v>24.973733443405518</c:v>
                </c:pt>
                <c:pt idx="24">
                  <c:v>24.711134943818291</c:v>
                </c:pt>
                <c:pt idx="25">
                  <c:v>24.447551699857609</c:v>
                </c:pt>
                <c:pt idx="26">
                  <c:v>24.182980018732071</c:v>
                </c:pt>
                <c:pt idx="27">
                  <c:v>23.917416193802321</c:v>
                </c:pt>
                <c:pt idx="28">
                  <c:v>23.650856504529077</c:v>
                </c:pt>
                <c:pt idx="29">
                  <c:v>23.38329721642106</c:v>
                </c:pt>
                <c:pt idx="30">
                  <c:v>23.114734580982642</c:v>
                </c:pt>
                <c:pt idx="31">
                  <c:v>22.845164835661322</c:v>
                </c:pt>
                <c:pt idx="32">
                  <c:v>22.574584203795055</c:v>
                </c:pt>
                <c:pt idx="33">
                  <c:v>22.302988894559288</c:v>
                </c:pt>
                <c:pt idx="34">
                  <c:v>22.030375102913883</c:v>
                </c:pt>
                <c:pt idx="35">
                  <c:v>21.756739009549808</c:v>
                </c:pt>
                <c:pt idx="36">
                  <c:v>21.482076780835623</c:v>
                </c:pt>
                <c:pt idx="37">
                  <c:v>21.20638456876376</c:v>
                </c:pt>
                <c:pt idx="38">
                  <c:v>20.929658510896623</c:v>
                </c:pt>
                <c:pt idx="39">
                  <c:v>20.651894730312485</c:v>
                </c:pt>
                <c:pt idx="40">
                  <c:v>20.373089335551153</c:v>
                </c:pt>
                <c:pt idx="41">
                  <c:v>20.093238420559473</c:v>
                </c:pt>
                <c:pt idx="42">
                  <c:v>19.812338064636574</c:v>
                </c:pt>
                <c:pt idx="43">
                  <c:v>19.530384332378961</c:v>
                </c:pt>
                <c:pt idx="44">
                  <c:v>19.247373273625382</c:v>
                </c:pt>
                <c:pt idx="45">
                  <c:v>18.963300923401476</c:v>
                </c:pt>
                <c:pt idx="46">
                  <c:v>18.678163301864231</c:v>
                </c:pt>
                <c:pt idx="47">
                  <c:v>18.39195641424622</c:v>
                </c:pt>
                <c:pt idx="48">
                  <c:v>18.104676250799645</c:v>
                </c:pt>
                <c:pt idx="49">
                  <c:v>17.816318786740144</c:v>
                </c:pt>
                <c:pt idx="50">
                  <c:v>17.526879982190419</c:v>
                </c:pt>
                <c:pt idx="51">
                  <c:v>17.236355782123635</c:v>
                </c:pt>
                <c:pt idx="52">
                  <c:v>16.944742116306596</c:v>
                </c:pt>
                <c:pt idx="53">
                  <c:v>16.652034899242746</c:v>
                </c:pt>
                <c:pt idx="54">
                  <c:v>16.358230030114907</c:v>
                </c:pt>
                <c:pt idx="55">
                  <c:v>16.063323392727838</c:v>
                </c:pt>
                <c:pt idx="56">
                  <c:v>15.767310855450567</c:v>
                </c:pt>
                <c:pt idx="57">
                  <c:v>15.470188271158507</c:v>
                </c:pt>
                <c:pt idx="58">
                  <c:v>15.171951477175353</c:v>
                </c:pt>
                <c:pt idx="59">
                  <c:v>14.872596295214761</c:v>
                </c:pt>
                <c:pt idx="60">
                  <c:v>14.572118531321815</c:v>
                </c:pt>
                <c:pt idx="61">
                  <c:v>14.270513975814273</c:v>
                </c:pt>
                <c:pt idx="62">
                  <c:v>13.967778403223575</c:v>
                </c:pt>
                <c:pt idx="63">
                  <c:v>13.663907572235663</c:v>
                </c:pt>
                <c:pt idx="64">
                  <c:v>13.358897225631546</c:v>
                </c:pt>
                <c:pt idx="65">
                  <c:v>13.052743090227665</c:v>
                </c:pt>
                <c:pt idx="66">
                  <c:v>12.745440876816019</c:v>
                </c:pt>
                <c:pt idx="67">
                  <c:v>12.43698628010408</c:v>
                </c:pt>
                <c:pt idx="68">
                  <c:v>12.127374978654471</c:v>
                </c:pt>
                <c:pt idx="69">
                  <c:v>11.816602634824426</c:v>
                </c:pt>
                <c:pt idx="70">
                  <c:v>11.504664894705016</c:v>
                </c:pt>
                <c:pt idx="71">
                  <c:v>11.191557388060161</c:v>
                </c:pt>
                <c:pt idx="72">
                  <c:v>10.877275728265387</c:v>
                </c:pt>
                <c:pt idx="73">
                  <c:v>10.561815512246381</c:v>
                </c:pt>
                <c:pt idx="74">
                  <c:v>10.245172320417305</c:v>
                </c:pt>
                <c:pt idx="75">
                  <c:v>9.9273417166188711</c:v>
                </c:pt>
                <c:pt idx="76">
                  <c:v>9.6083192480561905</c:v>
                </c:pt>
                <c:pt idx="77">
                  <c:v>9.2881004452364007</c:v>
                </c:pt>
                <c:pt idx="78">
                  <c:v>8.9666808219060368</c:v>
                </c:pt>
                <c:pt idx="79">
                  <c:v>8.6440558749881848</c:v>
                </c:pt>
                <c:pt idx="80">
                  <c:v>8.3202210845193907</c:v>
                </c:pt>
                <c:pt idx="81">
                  <c:v>7.9951719135863391</c:v>
                </c:pt>
                <c:pt idx="82">
                  <c:v>7.6689038082622867</c:v>
                </c:pt>
                <c:pt idx="83">
                  <c:v>7.3414121975432707</c:v>
                </c:pt>
                <c:pt idx="84">
                  <c:v>7.0126924932840575</c:v>
                </c:pt>
                <c:pt idx="85">
                  <c:v>6.6827400901338727</c:v>
                </c:pt>
                <c:pt idx="86">
                  <c:v>6.3515503654718755</c:v>
                </c:pt>
                <c:pt idx="87">
                  <c:v>6.0191186793423945</c:v>
                </c:pt>
                <c:pt idx="88">
                  <c:v>5.6854403743899296</c:v>
                </c:pt>
                <c:pt idx="89">
                  <c:v>5.3505107757938903</c:v>
                </c:pt>
                <c:pt idx="90">
                  <c:v>5.0143251912031177</c:v>
                </c:pt>
                <c:pt idx="91">
                  <c:v>4.6768789106701298</c:v>
                </c:pt>
                <c:pt idx="92">
                  <c:v>4.3381672065851431</c:v>
                </c:pt>
                <c:pt idx="93">
                  <c:v>3.9981853336098379</c:v>
                </c:pt>
                <c:pt idx="94">
                  <c:v>3.6569285286108748</c:v>
                </c:pt>
                <c:pt idx="95">
                  <c:v>3.3143920105931657</c:v>
                </c:pt>
                <c:pt idx="96">
                  <c:v>2.9705709806328895</c:v>
                </c:pt>
                <c:pt idx="97">
                  <c:v>2.6254606218102632</c:v>
                </c:pt>
                <c:pt idx="98">
                  <c:v>2.2790560991420512</c:v>
                </c:pt>
                <c:pt idx="99">
                  <c:v>1.9313525595138341</c:v>
                </c:pt>
                <c:pt idx="100">
                  <c:v>1.582345131612011</c:v>
                </c:pt>
                <c:pt idx="101">
                  <c:v>1.2320289258555561</c:v>
                </c:pt>
                <c:pt idx="102">
                  <c:v>0.88039903432751432</c:v>
                </c:pt>
                <c:pt idx="103">
                  <c:v>0.52745053070624259</c:v>
                </c:pt>
                <c:pt idx="104">
                  <c:v>0.17317847019639102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7B-4D52-BCAC-9CCD92F6E7B2}"/>
            </c:ext>
          </c:extLst>
        </c:ser>
        <c:ser>
          <c:idx val="2"/>
          <c:order val="2"/>
          <c:tx>
            <c:strRef>
              <c:f>'Amortization (Full)'!$E$5</c:f>
              <c:strCache>
                <c:ptCount val="1"/>
                <c:pt idx="0">
                  <c:v>Principal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'Amortization (Full)'!$A$5:$A$125</c:f>
              <c:strCache>
                <c:ptCount val="121"/>
                <c:pt idx="0">
                  <c:v>Month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strCache>
            </c:strRef>
          </c:cat>
          <c:val>
            <c:numRef>
              <c:f>'Amortization (Full)'!$E$6:$E$125</c:f>
              <c:numCache>
                <c:formatCode>"$"#,##0.00</c:formatCode>
                <c:ptCount val="120"/>
                <c:pt idx="0">
                  <c:v>64.25</c:v>
                </c:pt>
                <c:pt idx="1">
                  <c:v>64.490937500000001</c:v>
                </c:pt>
                <c:pt idx="2">
                  <c:v>64.732778515625</c:v>
                </c:pt>
                <c:pt idx="3">
                  <c:v>64.975526435058597</c:v>
                </c:pt>
                <c:pt idx="4">
                  <c:v>65.219184659190063</c:v>
                </c:pt>
                <c:pt idx="5">
                  <c:v>65.463756601662027</c:v>
                </c:pt>
                <c:pt idx="6">
                  <c:v>65.709245688918259</c:v>
                </c:pt>
                <c:pt idx="7">
                  <c:v>65.955655360251711</c:v>
                </c:pt>
                <c:pt idx="8">
                  <c:v>66.202989067852641</c:v>
                </c:pt>
                <c:pt idx="9">
                  <c:v>66.451250276857095</c:v>
                </c:pt>
                <c:pt idx="10">
                  <c:v>66.700442465395312</c:v>
                </c:pt>
                <c:pt idx="11">
                  <c:v>66.950569124640538</c:v>
                </c:pt>
                <c:pt idx="12">
                  <c:v>67.201633758857938</c:v>
                </c:pt>
                <c:pt idx="13">
                  <c:v>67.453639885453654</c:v>
                </c:pt>
                <c:pt idx="14">
                  <c:v>67.706591035024104</c:v>
                </c:pt>
                <c:pt idx="15">
                  <c:v>67.960490751405445</c:v>
                </c:pt>
                <c:pt idx="16">
                  <c:v>68.215342591723214</c:v>
                </c:pt>
                <c:pt idx="17">
                  <c:v>68.471150126442183</c:v>
                </c:pt>
                <c:pt idx="18">
                  <c:v>68.727916939416332</c:v>
                </c:pt>
                <c:pt idx="19">
                  <c:v>68.985646627939147</c:v>
                </c:pt>
                <c:pt idx="20">
                  <c:v>69.244342802793923</c:v>
                </c:pt>
                <c:pt idx="21">
                  <c:v>69.5040090883044</c:v>
                </c:pt>
                <c:pt idx="22">
                  <c:v>69.764649122385535</c:v>
                </c:pt>
                <c:pt idx="23">
                  <c:v>70.026266556594479</c:v>
                </c:pt>
                <c:pt idx="24">
                  <c:v>70.288865056181706</c:v>
                </c:pt>
                <c:pt idx="25">
                  <c:v>70.552448300142387</c:v>
                </c:pt>
                <c:pt idx="26">
                  <c:v>70.817019981267933</c:v>
                </c:pt>
                <c:pt idx="27">
                  <c:v>71.082583806197675</c:v>
                </c:pt>
                <c:pt idx="28">
                  <c:v>71.349143495470926</c:v>
                </c:pt>
                <c:pt idx="29">
                  <c:v>71.616702783578944</c:v>
                </c:pt>
                <c:pt idx="30">
                  <c:v>71.885265419017358</c:v>
                </c:pt>
                <c:pt idx="31">
                  <c:v>72.154835164338678</c:v>
                </c:pt>
                <c:pt idx="32">
                  <c:v>72.425415796204945</c:v>
                </c:pt>
                <c:pt idx="33">
                  <c:v>72.697011105440708</c:v>
                </c:pt>
                <c:pt idx="34">
                  <c:v>72.969624897086121</c:v>
                </c:pt>
                <c:pt idx="35">
                  <c:v>73.243260990450196</c:v>
                </c:pt>
                <c:pt idx="36">
                  <c:v>73.517923219164373</c:v>
                </c:pt>
                <c:pt idx="37">
                  <c:v>73.793615431236248</c:v>
                </c:pt>
                <c:pt idx="38">
                  <c:v>74.070341489103384</c:v>
                </c:pt>
                <c:pt idx="39">
                  <c:v>74.348105269687522</c:v>
                </c:pt>
                <c:pt idx="40">
                  <c:v>74.626910664448843</c:v>
                </c:pt>
                <c:pt idx="41">
                  <c:v>74.906761579440527</c:v>
                </c:pt>
                <c:pt idx="42">
                  <c:v>75.187661935363423</c:v>
                </c:pt>
                <c:pt idx="43">
                  <c:v>75.469615667621042</c:v>
                </c:pt>
                <c:pt idx="44">
                  <c:v>75.752626726374615</c:v>
                </c:pt>
                <c:pt idx="45">
                  <c:v>76.036699076598524</c:v>
                </c:pt>
                <c:pt idx="46">
                  <c:v>76.321836698135769</c:v>
                </c:pt>
                <c:pt idx="47">
                  <c:v>76.608043585753776</c:v>
                </c:pt>
                <c:pt idx="48">
                  <c:v>76.895323749200358</c:v>
                </c:pt>
                <c:pt idx="49">
                  <c:v>77.18368121325986</c:v>
                </c:pt>
                <c:pt idx="50">
                  <c:v>77.473120017809578</c:v>
                </c:pt>
                <c:pt idx="51">
                  <c:v>77.763644217876362</c:v>
                </c:pt>
                <c:pt idx="52">
                  <c:v>78.0552578836934</c:v>
                </c:pt>
                <c:pt idx="53">
                  <c:v>78.34796510075725</c:v>
                </c:pt>
                <c:pt idx="54">
                  <c:v>78.64176996988509</c:v>
                </c:pt>
                <c:pt idx="55">
                  <c:v>78.936676607272162</c:v>
                </c:pt>
                <c:pt idx="56">
                  <c:v>79.232689144549425</c:v>
                </c:pt>
                <c:pt idx="57">
                  <c:v>79.529811728841494</c:v>
                </c:pt>
                <c:pt idx="58">
                  <c:v>79.828048522824645</c:v>
                </c:pt>
                <c:pt idx="59">
                  <c:v>80.127403704785237</c:v>
                </c:pt>
                <c:pt idx="60">
                  <c:v>80.42788146867818</c:v>
                </c:pt>
                <c:pt idx="61">
                  <c:v>80.729486024185732</c:v>
                </c:pt>
                <c:pt idx="62">
                  <c:v>81.032221596776424</c:v>
                </c:pt>
                <c:pt idx="63">
                  <c:v>81.336092427764342</c:v>
                </c:pt>
                <c:pt idx="64">
                  <c:v>81.641102774368449</c:v>
                </c:pt>
                <c:pt idx="65">
                  <c:v>81.947256909772335</c:v>
                </c:pt>
                <c:pt idx="66">
                  <c:v>82.254559123183981</c:v>
                </c:pt>
                <c:pt idx="67">
                  <c:v>82.56301371989592</c:v>
                </c:pt>
                <c:pt idx="68">
                  <c:v>82.872625021345527</c:v>
                </c:pt>
                <c:pt idx="69">
                  <c:v>83.18339736517558</c:v>
                </c:pt>
                <c:pt idx="70">
                  <c:v>83.495335105294984</c:v>
                </c:pt>
                <c:pt idx="71">
                  <c:v>83.808442611939839</c:v>
                </c:pt>
                <c:pt idx="72">
                  <c:v>84.122724271734612</c:v>
                </c:pt>
                <c:pt idx="73">
                  <c:v>84.438184487753617</c:v>
                </c:pt>
                <c:pt idx="74">
                  <c:v>84.754827679582689</c:v>
                </c:pt>
                <c:pt idx="75">
                  <c:v>85.072658283381131</c:v>
                </c:pt>
                <c:pt idx="76">
                  <c:v>85.391680751943809</c:v>
                </c:pt>
                <c:pt idx="77">
                  <c:v>85.711899554763605</c:v>
                </c:pt>
                <c:pt idx="78">
                  <c:v>86.033319178093961</c:v>
                </c:pt>
                <c:pt idx="79">
                  <c:v>86.355944125011817</c:v>
                </c:pt>
                <c:pt idx="80">
                  <c:v>86.679778915480611</c:v>
                </c:pt>
                <c:pt idx="81">
                  <c:v>87.004828086413667</c:v>
                </c:pt>
                <c:pt idx="82">
                  <c:v>87.331096191737714</c:v>
                </c:pt>
                <c:pt idx="83">
                  <c:v>87.658587802456736</c:v>
                </c:pt>
                <c:pt idx="84">
                  <c:v>87.987307506715936</c:v>
                </c:pt>
                <c:pt idx="85">
                  <c:v>88.317259909866124</c:v>
                </c:pt>
                <c:pt idx="86">
                  <c:v>88.64844963452812</c:v>
                </c:pt>
                <c:pt idx="87">
                  <c:v>88.980881320657602</c:v>
                </c:pt>
                <c:pt idx="88">
                  <c:v>89.314559625610073</c:v>
                </c:pt>
                <c:pt idx="89">
                  <c:v>89.649489224206107</c:v>
                </c:pt>
                <c:pt idx="90">
                  <c:v>89.985674808796887</c:v>
                </c:pt>
                <c:pt idx="91">
                  <c:v>90.323121089329874</c:v>
                </c:pt>
                <c:pt idx="92">
                  <c:v>90.66183279341486</c:v>
                </c:pt>
                <c:pt idx="93">
                  <c:v>91.00181466639016</c:v>
                </c:pt>
                <c:pt idx="94">
                  <c:v>91.343071471389123</c:v>
                </c:pt>
                <c:pt idx="95">
                  <c:v>91.685607989406833</c:v>
                </c:pt>
                <c:pt idx="96">
                  <c:v>92.029429019367115</c:v>
                </c:pt>
                <c:pt idx="97">
                  <c:v>92.374539378189738</c:v>
                </c:pt>
                <c:pt idx="98">
                  <c:v>92.720943900857947</c:v>
                </c:pt>
                <c:pt idx="99">
                  <c:v>93.06864744048616</c:v>
                </c:pt>
                <c:pt idx="100">
                  <c:v>93.417654868387984</c:v>
                </c:pt>
                <c:pt idx="101">
                  <c:v>93.767971074144441</c:v>
                </c:pt>
                <c:pt idx="102">
                  <c:v>94.11960096567249</c:v>
                </c:pt>
                <c:pt idx="103">
                  <c:v>94.472549469293753</c:v>
                </c:pt>
                <c:pt idx="104">
                  <c:v>46.180925385704271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7B-4D52-BCAC-9CCD92F6E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07692447"/>
        <c:axId val="1607692927"/>
      </c:barChart>
      <c:catAx>
        <c:axId val="160769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92927"/>
        <c:crosses val="autoZero"/>
        <c:auto val="1"/>
        <c:lblAlgn val="ctr"/>
        <c:lblOffset val="100"/>
        <c:noMultiLvlLbl val="0"/>
      </c:catAx>
      <c:valAx>
        <c:axId val="160769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9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3</xdr:row>
      <xdr:rowOff>180974</xdr:rowOff>
    </xdr:from>
    <xdr:to>
      <xdr:col>18</xdr:col>
      <xdr:colOff>600075</xdr:colOff>
      <xdr:row>24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95D3A4-6433-4AB2-AB41-D91CF206E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/>
  </sheetViews>
  <sheetFormatPr defaultRowHeight="15" x14ac:dyDescent="0.25"/>
  <cols>
    <col min="1" max="1" width="37.7109375" bestFit="1" customWidth="1"/>
    <col min="2" max="2" width="12" bestFit="1" customWidth="1"/>
    <col min="3" max="3" width="16.28515625" bestFit="1" customWidth="1"/>
    <col min="4" max="4" width="15.7109375" bestFit="1" customWidth="1"/>
    <col min="5" max="5" width="20.140625" bestFit="1" customWidth="1"/>
    <col min="6" max="6" width="18.140625" bestFit="1" customWidth="1"/>
    <col min="7" max="7" width="17.5703125" bestFit="1" customWidth="1"/>
    <col min="8" max="8" width="15.5703125" bestFit="1" customWidth="1"/>
    <col min="9" max="9" width="21.140625" bestFit="1" customWidth="1"/>
    <col min="10" max="10" width="19.85546875" bestFit="1" customWidth="1"/>
    <col min="11" max="11" width="25" bestFit="1" customWidth="1"/>
    <col min="12" max="13" width="14" customWidth="1"/>
    <col min="14" max="14" width="24.140625" bestFit="1" customWidth="1"/>
    <col min="15" max="16" width="23.140625" bestFit="1" customWidth="1"/>
  </cols>
  <sheetData>
    <row r="1" spans="1:15" x14ac:dyDescent="0.25">
      <c r="A1" s="1" t="s">
        <v>0</v>
      </c>
      <c r="B1" s="8">
        <v>45658</v>
      </c>
    </row>
    <row r="2" spans="1:1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5" x14ac:dyDescent="0.25">
      <c r="A3" s="9" t="s">
        <v>12</v>
      </c>
      <c r="B3" s="9" t="s">
        <v>13</v>
      </c>
      <c r="C3" s="10">
        <v>10000</v>
      </c>
      <c r="D3" s="10">
        <v>8200</v>
      </c>
      <c r="E3" s="11">
        <v>4.4999999999999998E-2</v>
      </c>
      <c r="F3" s="10">
        <v>95</v>
      </c>
      <c r="G3" s="12">
        <v>120</v>
      </c>
      <c r="H3" s="13">
        <f>D3*E3/12</f>
        <v>30.75</v>
      </c>
      <c r="I3" s="14">
        <f>EDATE($B$1,G3)</f>
        <v>49310</v>
      </c>
      <c r="J3" s="15">
        <f t="shared" ref="J3:J10" si="0">IF($D3&lt;=0,-(10^6+ROW()/10^8),$E3+ROW()/10^10)</f>
        <v>4.5000000299999995E-2</v>
      </c>
      <c r="K3" s="15">
        <f t="shared" ref="K3:K10" si="1">IF($D3&lt;=0,10^12+ROW()/10^8,$D3+ROW()/10^10)</f>
        <v>8200.0000000003001</v>
      </c>
    </row>
    <row r="4" spans="1:15" x14ac:dyDescent="0.25">
      <c r="A4" s="9" t="s">
        <v>14</v>
      </c>
      <c r="B4" s="9" t="s">
        <v>13</v>
      </c>
      <c r="C4" s="10">
        <v>15000</v>
      </c>
      <c r="D4" s="10">
        <v>12800</v>
      </c>
      <c r="E4" s="11">
        <v>5.5E-2</v>
      </c>
      <c r="F4" s="10">
        <v>142</v>
      </c>
      <c r="G4" s="12">
        <v>118</v>
      </c>
      <c r="H4" s="13">
        <f>D4*E4/12</f>
        <v>58.666666666666664</v>
      </c>
      <c r="I4" s="14">
        <f>EDATE($B$1,G4)</f>
        <v>49249</v>
      </c>
      <c r="J4" s="15">
        <f t="shared" si="0"/>
        <v>5.5000000399999999E-2</v>
      </c>
      <c r="K4" s="15">
        <f t="shared" si="1"/>
        <v>12800.0000000004</v>
      </c>
    </row>
    <row r="5" spans="1:15" x14ac:dyDescent="0.25">
      <c r="A5" s="9" t="s">
        <v>15</v>
      </c>
      <c r="B5" s="9" t="s">
        <v>16</v>
      </c>
      <c r="C5" s="10">
        <v>32000</v>
      </c>
      <c r="D5" s="10">
        <v>28000</v>
      </c>
      <c r="E5" s="11">
        <v>7.9000000000000001E-2</v>
      </c>
      <c r="F5" s="10">
        <v>410</v>
      </c>
      <c r="G5" s="12">
        <v>108</v>
      </c>
      <c r="H5" s="13">
        <f>D5*E5/12</f>
        <v>184.33333333333334</v>
      </c>
      <c r="I5" s="14">
        <f>EDATE($B$1,G5)</f>
        <v>48945</v>
      </c>
      <c r="J5" s="15">
        <f t="shared" si="0"/>
        <v>7.9000000500000001E-2</v>
      </c>
      <c r="K5" s="15">
        <f t="shared" si="1"/>
        <v>28000.000000000498</v>
      </c>
    </row>
    <row r="6" spans="1:15" x14ac:dyDescent="0.25">
      <c r="A6" s="9" t="s">
        <v>17</v>
      </c>
      <c r="B6" s="9" t="s">
        <v>18</v>
      </c>
      <c r="C6" s="10">
        <v>18000</v>
      </c>
      <c r="D6" s="10">
        <v>15200</v>
      </c>
      <c r="E6" s="11">
        <v>6.2E-2</v>
      </c>
      <c r="F6" s="10">
        <v>178</v>
      </c>
      <c r="G6" s="12">
        <v>100</v>
      </c>
      <c r="H6" s="13">
        <f>D6*E6/12</f>
        <v>78.533333333333331</v>
      </c>
      <c r="I6" s="14">
        <f>EDATE($B$1,G6)</f>
        <v>48700</v>
      </c>
      <c r="J6" s="15">
        <f t="shared" si="0"/>
        <v>6.2000000600000001E-2</v>
      </c>
      <c r="K6" s="15">
        <f t="shared" si="1"/>
        <v>15200.0000000006</v>
      </c>
    </row>
    <row r="7" spans="1:15" x14ac:dyDescent="0.25">
      <c r="A7" s="9" t="s">
        <v>19</v>
      </c>
      <c r="B7" s="9" t="s">
        <v>13</v>
      </c>
      <c r="C7" s="10">
        <v>12000</v>
      </c>
      <c r="D7" s="10">
        <v>9800</v>
      </c>
      <c r="E7" s="11">
        <v>4.9000000000000002E-2</v>
      </c>
      <c r="F7" s="10">
        <v>112</v>
      </c>
      <c r="G7" s="12">
        <v>115</v>
      </c>
      <c r="H7" s="13">
        <f>D7*E7/12</f>
        <v>40.016666666666673</v>
      </c>
      <c r="I7" s="14">
        <f>EDATE($B$1,G7)</f>
        <v>49157</v>
      </c>
      <c r="J7" s="15">
        <f t="shared" si="0"/>
        <v>4.9000000700000004E-2</v>
      </c>
      <c r="K7" s="15">
        <f t="shared" si="1"/>
        <v>9800.0000000007003</v>
      </c>
    </row>
    <row r="8" spans="1:15" x14ac:dyDescent="0.25">
      <c r="A8" s="9"/>
      <c r="B8" s="9"/>
      <c r="C8" s="9">
        <v>0</v>
      </c>
      <c r="D8" s="9">
        <v>0</v>
      </c>
      <c r="E8" s="9">
        <v>0</v>
      </c>
      <c r="F8" s="9">
        <v>0</v>
      </c>
      <c r="G8" s="9">
        <v>0</v>
      </c>
      <c r="H8" s="16" t="str">
        <f>IF(D8=0,"",D8*E8/12)</f>
        <v/>
      </c>
      <c r="I8" s="16" t="str">
        <f>IF(D8=0,"",EDATE($B$1,G8))</f>
        <v/>
      </c>
      <c r="J8" s="15">
        <f t="shared" si="0"/>
        <v>-1000000.00000008</v>
      </c>
      <c r="K8" s="15">
        <f t="shared" si="1"/>
        <v>1000000000000</v>
      </c>
    </row>
    <row r="9" spans="1:15" x14ac:dyDescent="0.25">
      <c r="A9" s="9"/>
      <c r="B9" s="9"/>
      <c r="C9" s="9">
        <v>0</v>
      </c>
      <c r="D9" s="9">
        <v>0</v>
      </c>
      <c r="E9" s="9">
        <v>0</v>
      </c>
      <c r="F9" s="9">
        <v>0</v>
      </c>
      <c r="G9" s="9">
        <v>0</v>
      </c>
      <c r="H9" s="16" t="str">
        <f>IF(D9=0,"",D9*E9/12)</f>
        <v/>
      </c>
      <c r="I9" s="16" t="str">
        <f>IF(D9=0,"",EDATE($B$1,G9))</f>
        <v/>
      </c>
      <c r="J9" s="15">
        <f t="shared" si="0"/>
        <v>-1000000.00000009</v>
      </c>
      <c r="K9" s="15">
        <f t="shared" si="1"/>
        <v>1000000000000</v>
      </c>
    </row>
    <row r="10" spans="1:15" x14ac:dyDescent="0.25">
      <c r="A10" s="9"/>
      <c r="B10" s="9"/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16" t="str">
        <f>IF(D10=0,"",D10*E10/12)</f>
        <v/>
      </c>
      <c r="I10" s="16" t="str">
        <f>IF(D10=0,"",EDATE($B$1,G10))</f>
        <v/>
      </c>
      <c r="J10" s="15">
        <f t="shared" si="0"/>
        <v>-1000000.0000001</v>
      </c>
      <c r="K10" s="15">
        <f t="shared" si="1"/>
        <v>1000000000000</v>
      </c>
    </row>
    <row r="13" spans="1:15" x14ac:dyDescent="0.25">
      <c r="A13" s="1" t="s">
        <v>20</v>
      </c>
      <c r="B13" s="17">
        <v>1400</v>
      </c>
      <c r="N13" s="1" t="s">
        <v>30</v>
      </c>
      <c r="O13" s="1" t="s">
        <v>31</v>
      </c>
    </row>
    <row r="14" spans="1:15" x14ac:dyDescent="0.25">
      <c r="A14" s="1" t="s">
        <v>21</v>
      </c>
      <c r="B14" s="16">
        <f>SUM(F3:F10)</f>
        <v>937</v>
      </c>
      <c r="N14" s="16">
        <f>IFERROR(MATCH(LARGE($J$3:$J$10,1),$J$3:$J$10,0)+2,"")</f>
        <v>5</v>
      </c>
      <c r="O14" s="16">
        <f>IFERROR(MATCH(SMALL($K$3:$K$10,1),$K$3:$K$10,0)+2,"")</f>
        <v>3</v>
      </c>
    </row>
    <row r="15" spans="1:15" x14ac:dyDescent="0.25">
      <c r="A15" s="1" t="s">
        <v>22</v>
      </c>
      <c r="B15" s="16">
        <f>B13-B14</f>
        <v>463</v>
      </c>
      <c r="N15" s="16">
        <f>IFERROR(MATCH(LARGE($J$3:$J$10,2),$J$3:$J$10,0)+2,"")</f>
        <v>6</v>
      </c>
      <c r="O15" s="16">
        <f>IFERROR(MATCH(SMALL($K$3:$K$10,2),$K$3:$K$10,0)+2,"")</f>
        <v>7</v>
      </c>
    </row>
    <row r="16" spans="1:15" x14ac:dyDescent="0.25">
      <c r="A16" s="1" t="s">
        <v>23</v>
      </c>
      <c r="B16" s="18"/>
      <c r="N16" s="16">
        <f>IFERROR(MATCH(LARGE($J$3:$J$10,3),$J$3:$J$10,0)+2,"")</f>
        <v>4</v>
      </c>
      <c r="O16" s="16">
        <f>IFERROR(MATCH(SMALL($K$3:$K$10,3),$K$3:$K$10,0)+2,"")</f>
        <v>4</v>
      </c>
    </row>
    <row r="17" spans="1:15" x14ac:dyDescent="0.25">
      <c r="N17" s="16">
        <f>IFERROR(MATCH(LARGE($J$3:$J$10,4),$J$3:$J$10,0)+2,"")</f>
        <v>7</v>
      </c>
      <c r="O17" s="16">
        <f>IFERROR(MATCH(SMALL($K$3:$K$10,4),$K$3:$K$10,0)+2,"")</f>
        <v>6</v>
      </c>
    </row>
    <row r="18" spans="1:15" x14ac:dyDescent="0.25">
      <c r="A18" s="1" t="s">
        <v>24</v>
      </c>
      <c r="B18" s="16">
        <f>SUM(D3:D10)</f>
        <v>74000</v>
      </c>
      <c r="N18" s="16">
        <f>IFERROR(MATCH(LARGE($J$3:$J$10,5),$J$3:$J$10,0)+2,"")</f>
        <v>3</v>
      </c>
      <c r="O18" s="16">
        <f>IFERROR(MATCH(SMALL($K$3:$K$10,5),$K$3:$K$10,0)+2,"")</f>
        <v>5</v>
      </c>
    </row>
    <row r="19" spans="1:15" x14ac:dyDescent="0.25">
      <c r="A19" s="1" t="s">
        <v>25</v>
      </c>
      <c r="B19" s="16">
        <f>IF(SUM(D3:D10)=0,0,SUMPRODUCT(D3:D10,E3:E10)/SUM(D3:D10))</f>
        <v>6.3616216216216215E-2</v>
      </c>
      <c r="N19" s="16">
        <f>IFERROR(MATCH(LARGE($J$3:$J$10,6),$J$3:$J$10,0)+2,"")</f>
        <v>8</v>
      </c>
      <c r="O19" s="16">
        <f>IFERROR(MATCH(SMALL($K$3:$K$10,6),$K$3:$K$10,0)+2,"")</f>
        <v>8</v>
      </c>
    </row>
    <row r="20" spans="1:15" x14ac:dyDescent="0.25">
      <c r="A20" s="1" t="s">
        <v>26</v>
      </c>
      <c r="B20" s="16">
        <f>MAX(G3:G10)</f>
        <v>120</v>
      </c>
      <c r="N20" s="16">
        <f>IFERROR(MATCH(LARGE($J$3:$J$10,7),$J$3:$J$10,0)+2,"")</f>
        <v>9</v>
      </c>
      <c r="O20" s="16">
        <f>IFERROR(MATCH(SMALL($K$3:$K$10,7),$K$3:$K$10,0)+2,"")</f>
        <v>8</v>
      </c>
    </row>
    <row r="21" spans="1:15" x14ac:dyDescent="0.25">
      <c r="A21" s="1" t="s">
        <v>27</v>
      </c>
      <c r="B21" s="16">
        <f>'Amortization (Full)'!$F$2</f>
        <v>22036.792373925335</v>
      </c>
      <c r="N21" s="16">
        <f>IFERROR(MATCH(LARGE($J$3:$J$10,8),$J$3:$J$10,0)+2,"")</f>
        <v>10</v>
      </c>
      <c r="O21" s="16">
        <f>IFERROR(MATCH(SMALL($K$3:$K$10,8),$K$3:$K$10,0)+2,"")</f>
        <v>8</v>
      </c>
    </row>
    <row r="22" spans="1:15" x14ac:dyDescent="0.25">
      <c r="A22" s="1" t="s">
        <v>28</v>
      </c>
      <c r="B22" s="16" t="str">
        <f>INDEX(A3:A10,MATCH(MAX(E3:E10),E3:E10,0))</f>
        <v>Private SoFi</v>
      </c>
    </row>
    <row r="24" spans="1:15" x14ac:dyDescent="0.25">
      <c r="A24" s="3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136"/>
  <sheetViews>
    <sheetView workbookViewId="0">
      <pane ySplit="1" topLeftCell="A2" activePane="bottomLeft" state="frozen"/>
      <selection pane="bottomLeft" activeCell="K14" sqref="K14"/>
    </sheetView>
  </sheetViews>
  <sheetFormatPr defaultRowHeight="15" x14ac:dyDescent="0.25"/>
  <cols>
    <col min="1" max="1" width="7.5703125" customWidth="1"/>
    <col min="2" max="2" width="10.140625" bestFit="1" customWidth="1"/>
    <col min="3" max="4" width="7.5703125" bestFit="1" customWidth="1"/>
    <col min="5" max="5" width="10.140625" bestFit="1" customWidth="1"/>
    <col min="6" max="6" width="6.5703125" bestFit="1" customWidth="1"/>
    <col min="7" max="7" width="7.5703125" bestFit="1" customWidth="1"/>
    <col min="8" max="8" width="10.140625" bestFit="1" customWidth="1"/>
    <col min="9" max="9" width="6.5703125" bestFit="1" customWidth="1"/>
    <col min="10" max="10" width="7.5703125" bestFit="1" customWidth="1"/>
    <col min="11" max="11" width="9.140625" bestFit="1" customWidth="1"/>
    <col min="12" max="12" width="6.5703125" bestFit="1" customWidth="1"/>
    <col min="13" max="13" width="7.5703125" bestFit="1" customWidth="1"/>
    <col min="14" max="14" width="9.140625" bestFit="1" customWidth="1"/>
    <col min="15" max="15" width="6.5703125" bestFit="1" customWidth="1"/>
    <col min="16" max="17" width="7.140625" bestFit="1" customWidth="1"/>
    <col min="18" max="18" width="6" bestFit="1" customWidth="1"/>
    <col min="19" max="20" width="7.140625" bestFit="1" customWidth="1"/>
    <col min="21" max="21" width="6" bestFit="1" customWidth="1"/>
    <col min="22" max="23" width="7.140625" bestFit="1" customWidth="1"/>
    <col min="24" max="24" width="6" bestFit="1" customWidth="1"/>
    <col min="25" max="25" width="7.140625" bestFit="1" customWidth="1"/>
    <col min="26" max="27" width="9.140625" bestFit="1" customWidth="1"/>
    <col min="28" max="28" width="10.140625" bestFit="1" customWidth="1"/>
    <col min="29" max="30" width="8.42578125" bestFit="1" customWidth="1"/>
    <col min="31" max="31" width="10.140625" bestFit="1" customWidth="1"/>
    <col min="32" max="32" width="9.140625" bestFit="1" customWidth="1"/>
    <col min="33" max="33" width="10.140625" bestFit="1" customWidth="1"/>
    <col min="34" max="34" width="8.42578125" bestFit="1" customWidth="1"/>
    <col min="35" max="35" width="9.140625" bestFit="1" customWidth="1"/>
    <col min="36" max="36" width="10.140625" bestFit="1" customWidth="1"/>
    <col min="37" max="37" width="9.140625" bestFit="1" customWidth="1"/>
    <col min="38" max="38" width="10.140625" bestFit="1" customWidth="1"/>
    <col min="39" max="40" width="9.140625" bestFit="1" customWidth="1"/>
    <col min="41" max="41" width="10.140625" bestFit="1" customWidth="1"/>
    <col min="42" max="52" width="9.140625" bestFit="1" customWidth="1"/>
    <col min="53" max="56" width="8.42578125" bestFit="1" customWidth="1"/>
    <col min="57" max="57" width="9.140625" bestFit="1" customWidth="1"/>
    <col min="58" max="61" width="8.42578125" bestFit="1" customWidth="1"/>
    <col min="62" max="62" width="9.140625" bestFit="1" customWidth="1"/>
    <col min="63" max="66" width="8.42578125" bestFit="1" customWidth="1"/>
    <col min="67" max="67" width="9.42578125" bestFit="1" customWidth="1"/>
    <col min="68" max="68" width="8.42578125" bestFit="1" customWidth="1"/>
    <col min="69" max="69" width="13.140625" bestFit="1" customWidth="1"/>
  </cols>
  <sheetData>
    <row r="1" spans="1:69" x14ac:dyDescent="0.25">
      <c r="A1" s="2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  <c r="Q1" s="4" t="s">
        <v>48</v>
      </c>
      <c r="R1" s="4" t="s">
        <v>49</v>
      </c>
      <c r="S1" s="4" t="s">
        <v>50</v>
      </c>
      <c r="T1" s="4" t="s">
        <v>51</v>
      </c>
      <c r="U1" s="4" t="s">
        <v>52</v>
      </c>
      <c r="V1" s="4" t="s">
        <v>53</v>
      </c>
      <c r="W1" s="4" t="s">
        <v>54</v>
      </c>
      <c r="X1" s="4" t="s">
        <v>55</v>
      </c>
      <c r="Y1" s="4" t="s">
        <v>56</v>
      </c>
      <c r="Z1" s="2" t="s">
        <v>57</v>
      </c>
      <c r="AA1" s="2" t="s">
        <v>58</v>
      </c>
      <c r="AB1" s="2" t="s">
        <v>59</v>
      </c>
      <c r="AC1" s="2" t="s">
        <v>59</v>
      </c>
      <c r="AD1" s="2" t="s">
        <v>59</v>
      </c>
      <c r="AE1" s="2" t="s">
        <v>59</v>
      </c>
      <c r="AF1" s="2" t="s">
        <v>59</v>
      </c>
      <c r="AG1" s="2" t="s">
        <v>59</v>
      </c>
      <c r="AH1" s="2" t="s">
        <v>59</v>
      </c>
      <c r="AI1" s="2" t="s">
        <v>59</v>
      </c>
      <c r="AJ1" s="2" t="s">
        <v>59</v>
      </c>
      <c r="AK1" s="2" t="s">
        <v>59</v>
      </c>
      <c r="AL1" s="2" t="s">
        <v>59</v>
      </c>
      <c r="AM1" s="2" t="s">
        <v>59</v>
      </c>
      <c r="AN1" s="2" t="s">
        <v>59</v>
      </c>
      <c r="AO1" s="2" t="s">
        <v>59</v>
      </c>
      <c r="AP1" s="2" t="s">
        <v>59</v>
      </c>
      <c r="AQ1" s="2" t="s">
        <v>59</v>
      </c>
      <c r="AR1" s="2" t="s">
        <v>59</v>
      </c>
      <c r="AS1" s="2" t="s">
        <v>59</v>
      </c>
      <c r="AT1" s="2" t="s">
        <v>59</v>
      </c>
      <c r="AU1" s="2" t="s">
        <v>59</v>
      </c>
      <c r="AV1" s="2" t="s">
        <v>59</v>
      </c>
      <c r="AW1" s="2" t="s">
        <v>59</v>
      </c>
      <c r="AX1" s="2" t="s">
        <v>59</v>
      </c>
      <c r="AY1" s="2" t="s">
        <v>59</v>
      </c>
      <c r="AZ1" s="2" t="s">
        <v>59</v>
      </c>
      <c r="BA1" s="2" t="s">
        <v>59</v>
      </c>
      <c r="BB1" s="2" t="s">
        <v>59</v>
      </c>
      <c r="BC1" s="2" t="s">
        <v>59</v>
      </c>
      <c r="BD1" s="2" t="s">
        <v>59</v>
      </c>
      <c r="BE1" s="2" t="s">
        <v>59</v>
      </c>
      <c r="BF1" s="2" t="s">
        <v>59</v>
      </c>
      <c r="BG1" s="2" t="s">
        <v>59</v>
      </c>
      <c r="BH1" s="2" t="s">
        <v>59</v>
      </c>
      <c r="BI1" s="2" t="s">
        <v>59</v>
      </c>
      <c r="BJ1" s="2" t="s">
        <v>59</v>
      </c>
      <c r="BK1" s="2" t="s">
        <v>59</v>
      </c>
      <c r="BL1" s="2" t="s">
        <v>59</v>
      </c>
      <c r="BM1" s="2" t="s">
        <v>59</v>
      </c>
      <c r="BN1" s="2" t="s">
        <v>59</v>
      </c>
      <c r="BO1" s="2" t="s">
        <v>60</v>
      </c>
      <c r="BP1" s="2" t="s">
        <v>61</v>
      </c>
      <c r="BQ1" s="2" t="s">
        <v>62</v>
      </c>
    </row>
    <row r="2" spans="1:69" x14ac:dyDescent="0.25">
      <c r="A2" s="1">
        <v>1</v>
      </c>
      <c r="B2" s="13">
        <f ca="1">IF(A2=1,IF(OR('My Loans'!$N$14="",'My Loans'!$N$14=0),0,INDIRECT("'My Loans'!$D"&amp;'My Loans'!$N$14)),AE1)</f>
        <v>28000</v>
      </c>
      <c r="C2" s="13">
        <f ca="1">IF(OR('My Loans'!$N$14="",'My Loans'!$N$14=0),0,B2*INDIRECT("'My Loans'!$E"&amp;'My Loans'!$N$14)/12)</f>
        <v>184.33333333333334</v>
      </c>
      <c r="D2" s="13">
        <f ca="1">IF(OR('My Loans'!$N$14="",'My Loans'!$N$14=0),0,IF(B2&lt;0.005,0,MIN(INDIRECT("'My Loans'!$F"&amp;'My Loans'!$N$14),B2+C2)))</f>
        <v>410</v>
      </c>
      <c r="E2" s="13">
        <f ca="1">IF(A2=1,IF(OR('My Loans'!$N$15="",'My Loans'!$N$15=0),0,INDIRECT("'My Loans'!$D"&amp;'My Loans'!$N$15)),AJ1)</f>
        <v>15200</v>
      </c>
      <c r="F2" s="13">
        <f ca="1">IF(OR('My Loans'!$N$15="",'My Loans'!$N$15=0),0,E2*INDIRECT("'My Loans'!$E"&amp;'My Loans'!$N$15)/12)</f>
        <v>78.533333333333331</v>
      </c>
      <c r="G2" s="13">
        <f ca="1">IF(OR('My Loans'!$N$15="",'My Loans'!$N$15=0),0,IF(E2&lt;0.005,0,MIN(INDIRECT("'My Loans'!$F"&amp;'My Loans'!$N$15),E2+F2)))</f>
        <v>178</v>
      </c>
      <c r="H2" s="13">
        <f ca="1">IF(A2=1,IF(OR('My Loans'!$N$16="",'My Loans'!$N$16=0),0,INDIRECT("'My Loans'!$D"&amp;'My Loans'!$N$16)),AO1)</f>
        <v>12800</v>
      </c>
      <c r="I2" s="13">
        <f ca="1">IF(OR('My Loans'!$N$16="",'My Loans'!$N$16=0),0,H2*INDIRECT("'My Loans'!$E"&amp;'My Loans'!$N$16)/12)</f>
        <v>58.666666666666664</v>
      </c>
      <c r="J2" s="13">
        <f ca="1">IF(OR('My Loans'!$N$16="",'My Loans'!$N$16=0),0,IF(H2&lt;0.005,0,MIN(INDIRECT("'My Loans'!$F"&amp;'My Loans'!$N$16),H2+I2)))</f>
        <v>142</v>
      </c>
      <c r="K2" s="13">
        <f ca="1">IF(A2=1,IF(OR('My Loans'!$N$17="",'My Loans'!$N$17=0),0,INDIRECT("'My Loans'!$D"&amp;'My Loans'!$N$17)),AT1)</f>
        <v>9800</v>
      </c>
      <c r="L2" s="13">
        <f ca="1">IF(OR('My Loans'!$N$17="",'My Loans'!$N$17=0),0,K2*INDIRECT("'My Loans'!$E"&amp;'My Loans'!$N$17)/12)</f>
        <v>40.016666666666673</v>
      </c>
      <c r="M2" s="13">
        <f ca="1">IF(OR('My Loans'!$N$17="",'My Loans'!$N$17=0),0,IF(K2&lt;0.005,0,MIN(INDIRECT("'My Loans'!$F"&amp;'My Loans'!$N$17),K2+L2)))</f>
        <v>112</v>
      </c>
      <c r="N2" s="13">
        <f ca="1">IF(A2=1,IF(OR('My Loans'!$N$18="",'My Loans'!$N$18=0),0,INDIRECT("'My Loans'!$D"&amp;'My Loans'!$N$18)),AY1)</f>
        <v>8200</v>
      </c>
      <c r="O2" s="13">
        <f ca="1">IF(OR('My Loans'!$N$18="",'My Loans'!$N$18=0),0,N2*INDIRECT("'My Loans'!$E"&amp;'My Loans'!$N$18)/12)</f>
        <v>30.75</v>
      </c>
      <c r="P2" s="13">
        <f ca="1">IF(OR('My Loans'!$N$18="",'My Loans'!$N$18=0),0,IF(N2&lt;0.005,0,MIN(INDIRECT("'My Loans'!$F"&amp;'My Loans'!$N$18),N2+O2)))</f>
        <v>95</v>
      </c>
      <c r="Q2" s="13">
        <f ca="1">IF(A2=1,IF(OR('My Loans'!$N$19="",'My Loans'!$N$19=0),0,INDIRECT("'My Loans'!$D"&amp;'My Loans'!$N$19)),BD1)</f>
        <v>0</v>
      </c>
      <c r="R2" s="13">
        <f ca="1">IF(OR('My Loans'!$N$19="",'My Loans'!$N$19=0),0,Q2*INDIRECT("'My Loans'!$E"&amp;'My Loans'!$N$19)/12)</f>
        <v>0</v>
      </c>
      <c r="S2" s="13">
        <f ca="1">IF(OR('My Loans'!$N$19="",'My Loans'!$N$19=0),0,IF(Q2&lt;0.005,0,MIN(INDIRECT("'My Loans'!$F"&amp;'My Loans'!$N$19),Q2+R2)))</f>
        <v>0</v>
      </c>
      <c r="T2" s="13">
        <f ca="1">IF(A2=1,IF(OR('My Loans'!$N$20="",'My Loans'!$N$20=0),0,INDIRECT("'My Loans'!$D"&amp;'My Loans'!$N$20)),BI1)</f>
        <v>0</v>
      </c>
      <c r="U2" s="13">
        <f ca="1">IF(OR('My Loans'!$N$20="",'My Loans'!$N$20=0),0,T2*INDIRECT("'My Loans'!$E"&amp;'My Loans'!$N$20)/12)</f>
        <v>0</v>
      </c>
      <c r="V2" s="13">
        <f ca="1">IF(OR('My Loans'!$N$20="",'My Loans'!$N$20=0),0,IF(T2&lt;0.005,0,MIN(INDIRECT("'My Loans'!$F"&amp;'My Loans'!$N$20),T2+U2)))</f>
        <v>0</v>
      </c>
      <c r="W2" s="13">
        <f ca="1">IF(A2=1,IF(OR('My Loans'!$N$21="",'My Loans'!$N$21=0),0,INDIRECT("'My Loans'!$D"&amp;'My Loans'!$N$21)),BN1)</f>
        <v>0</v>
      </c>
      <c r="X2" s="13">
        <f ca="1">IF(OR('My Loans'!$N$21="",'My Loans'!$N$21=0),0,W2*INDIRECT("'My Loans'!$E"&amp;'My Loans'!$N$21)/12)</f>
        <v>0</v>
      </c>
      <c r="Y2" s="13">
        <f ca="1">IF(OR('My Loans'!$N$21="",'My Loans'!$N$21=0),0,IF(W2&lt;0.005,0,MIN(INDIRECT("'My Loans'!$F"&amp;'My Loans'!$N$21),W2+X2)))</f>
        <v>0</v>
      </c>
      <c r="Z2" s="13">
        <f ca="1">'My Loans'!$B$13-(D2+G2+J2+M2+P2+S2+V2+Y2)</f>
        <v>463</v>
      </c>
      <c r="AA2" s="13">
        <f t="shared" ref="AA2:AA33" ca="1" si="0">MAX(0,Z2)</f>
        <v>463</v>
      </c>
      <c r="AB2" s="13">
        <f t="shared" ref="AB2:AB33" ca="1" si="1">MAX(0,B2+C2-D2)</f>
        <v>27774.333333333332</v>
      </c>
      <c r="AC2" s="13">
        <f t="shared" ref="AC2:AC33" ca="1" si="2">MIN(AA2,AB2)</f>
        <v>463</v>
      </c>
      <c r="AD2" s="13">
        <f t="shared" ref="AD2:AD33" ca="1" si="3">D2+AC2</f>
        <v>873</v>
      </c>
      <c r="AE2" s="13">
        <f t="shared" ref="AE2:AE33" ca="1" si="4">MAX(0,B2+C2-AD2)</f>
        <v>27311.333333333332</v>
      </c>
      <c r="AF2" s="13">
        <f t="shared" ref="AF2:AF33" ca="1" si="5">MAX(0,AA2-AC2)</f>
        <v>0</v>
      </c>
      <c r="AG2" s="13">
        <f t="shared" ref="AG2:AG33" ca="1" si="6">MAX(0,E2+F2-G2)</f>
        <v>15100.533333333333</v>
      </c>
      <c r="AH2" s="13">
        <f t="shared" ref="AH2:AH33" ca="1" si="7">MIN(AF2,AG2)</f>
        <v>0</v>
      </c>
      <c r="AI2" s="13">
        <f t="shared" ref="AI2:AI33" ca="1" si="8">G2+AH2</f>
        <v>178</v>
      </c>
      <c r="AJ2" s="13">
        <f t="shared" ref="AJ2:AJ33" ca="1" si="9">MAX(0,E2+F2-AI2)</f>
        <v>15100.533333333333</v>
      </c>
      <c r="AK2" s="13">
        <f t="shared" ref="AK2:AK33" ca="1" si="10">MAX(0,AF2-AH2)</f>
        <v>0</v>
      </c>
      <c r="AL2" s="13">
        <f t="shared" ref="AL2:AL33" ca="1" si="11">MAX(0,H2+I2-J2)</f>
        <v>12716.666666666666</v>
      </c>
      <c r="AM2" s="13">
        <f t="shared" ref="AM2:AM33" ca="1" si="12">MIN(AK2,AL2)</f>
        <v>0</v>
      </c>
      <c r="AN2" s="13">
        <f t="shared" ref="AN2:AN33" ca="1" si="13">J2+AM2</f>
        <v>142</v>
      </c>
      <c r="AO2" s="13">
        <f t="shared" ref="AO2:AO33" ca="1" si="14">MAX(0,H2+I2-AN2)</f>
        <v>12716.666666666666</v>
      </c>
      <c r="AP2" s="13">
        <f t="shared" ref="AP2:AP33" ca="1" si="15">MAX(0,AK2-AM2)</f>
        <v>0</v>
      </c>
      <c r="AQ2" s="13">
        <f t="shared" ref="AQ2:AQ33" ca="1" si="16">MAX(0,K2+L2-M2)</f>
        <v>9728.0166666666664</v>
      </c>
      <c r="AR2" s="13">
        <f t="shared" ref="AR2:AR33" ca="1" si="17">MIN(AP2,AQ2)</f>
        <v>0</v>
      </c>
      <c r="AS2" s="13">
        <f t="shared" ref="AS2:AS33" ca="1" si="18">M2+AR2</f>
        <v>112</v>
      </c>
      <c r="AT2" s="13">
        <f t="shared" ref="AT2:AT33" ca="1" si="19">MAX(0,K2+L2-AS2)</f>
        <v>9728.0166666666664</v>
      </c>
      <c r="AU2" s="13">
        <f t="shared" ref="AU2:AU33" ca="1" si="20">MAX(0,AP2-AR2)</f>
        <v>0</v>
      </c>
      <c r="AV2" s="13">
        <f t="shared" ref="AV2:AV33" ca="1" si="21">MAX(0,N2+O2-P2)</f>
        <v>8135.75</v>
      </c>
      <c r="AW2" s="13">
        <f t="shared" ref="AW2:AW33" ca="1" si="22">MIN(AU2,AV2)</f>
        <v>0</v>
      </c>
      <c r="AX2" s="13">
        <f t="shared" ref="AX2:AX33" ca="1" si="23">P2+AW2</f>
        <v>95</v>
      </c>
      <c r="AY2" s="13">
        <f t="shared" ref="AY2:AY33" ca="1" si="24">MAX(0,N2+O2-AX2)</f>
        <v>8135.75</v>
      </c>
      <c r="AZ2" s="13">
        <f t="shared" ref="AZ2:AZ33" ca="1" si="25">MAX(0,AU2-AW2)</f>
        <v>0</v>
      </c>
      <c r="BA2" s="13">
        <f t="shared" ref="BA2:BA33" ca="1" si="26">MAX(0,Q2+R2-S2)</f>
        <v>0</v>
      </c>
      <c r="BB2" s="13">
        <f t="shared" ref="BB2:BB33" ca="1" si="27">MIN(AZ2,BA2)</f>
        <v>0</v>
      </c>
      <c r="BC2" s="13">
        <f t="shared" ref="BC2:BC33" ca="1" si="28">S2+BB2</f>
        <v>0</v>
      </c>
      <c r="BD2" s="13">
        <f t="shared" ref="BD2:BD33" ca="1" si="29">MAX(0,Q2+R2-BC2)</f>
        <v>0</v>
      </c>
      <c r="BE2" s="13">
        <f t="shared" ref="BE2:BE33" ca="1" si="30">MAX(0,AZ2-BB2)</f>
        <v>0</v>
      </c>
      <c r="BF2" s="13">
        <f t="shared" ref="BF2:BF33" ca="1" si="31">MAX(0,T2+U2-V2)</f>
        <v>0</v>
      </c>
      <c r="BG2" s="13">
        <f t="shared" ref="BG2:BG33" ca="1" si="32">MIN(BE2,BF2)</f>
        <v>0</v>
      </c>
      <c r="BH2" s="13">
        <f t="shared" ref="BH2:BH33" ca="1" si="33">V2+BG2</f>
        <v>0</v>
      </c>
      <c r="BI2" s="13">
        <f t="shared" ref="BI2:BI33" ca="1" si="34">MAX(0,T2+U2-BH2)</f>
        <v>0</v>
      </c>
      <c r="BJ2" s="13">
        <f t="shared" ref="BJ2:BJ33" ca="1" si="35">MAX(0,BE2-BG2)</f>
        <v>0</v>
      </c>
      <c r="BK2" s="13">
        <f t="shared" ref="BK2:BK33" ca="1" si="36">MAX(0,W2+X2-Y2)</f>
        <v>0</v>
      </c>
      <c r="BL2" s="13">
        <f t="shared" ref="BL2:BL33" ca="1" si="37">MIN(BJ2,BK2)</f>
        <v>0</v>
      </c>
      <c r="BM2" s="13">
        <f t="shared" ref="BM2:BM33" ca="1" si="38">Y2+BL2</f>
        <v>0</v>
      </c>
      <c r="BN2" s="13">
        <f t="shared" ref="BN2:BN33" ca="1" si="39">MAX(0,W2+X2-BM2)</f>
        <v>0</v>
      </c>
      <c r="BO2" s="13">
        <f t="shared" ref="BO2:BO33" ca="1" si="40">AD2+AI2+AN2+AS2+AX2+BC2+BH2+BM2</f>
        <v>1400</v>
      </c>
      <c r="BP2" s="13">
        <f t="shared" ref="BP2:BP33" ca="1" si="41">C2+F2+I2+L2+O2+R2+U2+X2</f>
        <v>392.3</v>
      </c>
      <c r="BQ2" s="13">
        <f t="shared" ref="BQ2:BQ33" ca="1" si="42">AE2+AJ2+AO2+AT2+AY2+BD2+BI2+BN2</f>
        <v>72992.3</v>
      </c>
    </row>
    <row r="3" spans="1:69" x14ac:dyDescent="0.25">
      <c r="A3" s="1">
        <v>2</v>
      </c>
      <c r="B3" s="13">
        <f ca="1">IF(A3=1,IF(OR('My Loans'!$N$14="",'My Loans'!$N$14=0),0,INDIRECT("'My Loans'!$D"&amp;'My Loans'!$N$14)),AE2)</f>
        <v>27311.333333333332</v>
      </c>
      <c r="C3" s="13">
        <f ca="1">IF(OR('My Loans'!$N$14="",'My Loans'!$N$14=0),0,B3*INDIRECT("'My Loans'!$E"&amp;'My Loans'!$N$14)/12)</f>
        <v>179.79961111111109</v>
      </c>
      <c r="D3" s="13">
        <f ca="1">IF(OR('My Loans'!$N$14="",'My Loans'!$N$14=0),0,IF(B3&lt;0.005,0,MIN(INDIRECT("'My Loans'!$F"&amp;'My Loans'!$N$14),B3+C3)))</f>
        <v>410</v>
      </c>
      <c r="E3" s="13">
        <f ca="1">IF(A3=1,IF(OR('My Loans'!$N$15="",'My Loans'!$N$15=0),0,INDIRECT("'My Loans'!$D"&amp;'My Loans'!$N$15)),AJ2)</f>
        <v>15100.533333333333</v>
      </c>
      <c r="F3" s="13">
        <f ca="1">IF(OR('My Loans'!$N$15="",'My Loans'!$N$15=0),0,E3*INDIRECT("'My Loans'!$E"&amp;'My Loans'!$N$15)/12)</f>
        <v>78.019422222222218</v>
      </c>
      <c r="G3" s="13">
        <f ca="1">IF(OR('My Loans'!$N$15="",'My Loans'!$N$15=0),0,IF(E3&lt;0.005,0,MIN(INDIRECT("'My Loans'!$F"&amp;'My Loans'!$N$15),E3+F3)))</f>
        <v>178</v>
      </c>
      <c r="H3" s="13">
        <f ca="1">IF(A3=1,IF(OR('My Loans'!$N$16="",'My Loans'!$N$16=0),0,INDIRECT("'My Loans'!$D"&amp;'My Loans'!$N$16)),AO2)</f>
        <v>12716.666666666666</v>
      </c>
      <c r="I3" s="13">
        <f ca="1">IF(OR('My Loans'!$N$16="",'My Loans'!$N$16=0),0,H3*INDIRECT("'My Loans'!$E"&amp;'My Loans'!$N$16)/12)</f>
        <v>58.284722222222221</v>
      </c>
      <c r="J3" s="13">
        <f ca="1">IF(OR('My Loans'!$N$16="",'My Loans'!$N$16=0),0,IF(H3&lt;0.005,0,MIN(INDIRECT("'My Loans'!$F"&amp;'My Loans'!$N$16),H3+I3)))</f>
        <v>142</v>
      </c>
      <c r="K3" s="13">
        <f ca="1">IF(A3=1,IF(OR('My Loans'!$N$17="",'My Loans'!$N$17=0),0,INDIRECT("'My Loans'!$D"&amp;'My Loans'!$N$17)),AT2)</f>
        <v>9728.0166666666664</v>
      </c>
      <c r="L3" s="13">
        <f ca="1">IF(OR('My Loans'!$N$17="",'My Loans'!$N$17=0),0,K3*INDIRECT("'My Loans'!$E"&amp;'My Loans'!$N$17)/12)</f>
        <v>39.722734722222221</v>
      </c>
      <c r="M3" s="13">
        <f ca="1">IF(OR('My Loans'!$N$17="",'My Loans'!$N$17=0),0,IF(K3&lt;0.005,0,MIN(INDIRECT("'My Loans'!$F"&amp;'My Loans'!$N$17),K3+L3)))</f>
        <v>112</v>
      </c>
      <c r="N3" s="13">
        <f ca="1">IF(A3=1,IF(OR('My Loans'!$N$18="",'My Loans'!$N$18=0),0,INDIRECT("'My Loans'!$D"&amp;'My Loans'!$N$18)),AY2)</f>
        <v>8135.75</v>
      </c>
      <c r="O3" s="13">
        <f ca="1">IF(OR('My Loans'!$N$18="",'My Loans'!$N$18=0),0,N3*INDIRECT("'My Loans'!$E"&amp;'My Loans'!$N$18)/12)</f>
        <v>30.509062499999999</v>
      </c>
      <c r="P3" s="13">
        <f ca="1">IF(OR('My Loans'!$N$18="",'My Loans'!$N$18=0),0,IF(N3&lt;0.005,0,MIN(INDIRECT("'My Loans'!$F"&amp;'My Loans'!$N$18),N3+O3)))</f>
        <v>95</v>
      </c>
      <c r="Q3" s="13">
        <f ca="1">IF(A3=1,IF(OR('My Loans'!$N$19="",'My Loans'!$N$19=0),0,INDIRECT("'My Loans'!$D"&amp;'My Loans'!$N$19)),BD2)</f>
        <v>0</v>
      </c>
      <c r="R3" s="13">
        <f ca="1">IF(OR('My Loans'!$N$19="",'My Loans'!$N$19=0),0,Q3*INDIRECT("'My Loans'!$E"&amp;'My Loans'!$N$19)/12)</f>
        <v>0</v>
      </c>
      <c r="S3" s="13">
        <f ca="1">IF(OR('My Loans'!$N$19="",'My Loans'!$N$19=0),0,IF(Q3&lt;0.005,0,MIN(INDIRECT("'My Loans'!$F"&amp;'My Loans'!$N$19),Q3+R3)))</f>
        <v>0</v>
      </c>
      <c r="T3" s="13">
        <f ca="1">IF(A3=1,IF(OR('My Loans'!$N$20="",'My Loans'!$N$20=0),0,INDIRECT("'My Loans'!$D"&amp;'My Loans'!$N$20)),BI2)</f>
        <v>0</v>
      </c>
      <c r="U3" s="13">
        <f ca="1">IF(OR('My Loans'!$N$20="",'My Loans'!$N$20=0),0,T3*INDIRECT("'My Loans'!$E"&amp;'My Loans'!$N$20)/12)</f>
        <v>0</v>
      </c>
      <c r="V3" s="13">
        <f ca="1">IF(OR('My Loans'!$N$20="",'My Loans'!$N$20=0),0,IF(T3&lt;0.005,0,MIN(INDIRECT("'My Loans'!$F"&amp;'My Loans'!$N$20),T3+U3)))</f>
        <v>0</v>
      </c>
      <c r="W3" s="13">
        <f ca="1">IF(A3=1,IF(OR('My Loans'!$N$21="",'My Loans'!$N$21=0),0,INDIRECT("'My Loans'!$D"&amp;'My Loans'!$N$21)),BN2)</f>
        <v>0</v>
      </c>
      <c r="X3" s="13">
        <f ca="1">IF(OR('My Loans'!$N$21="",'My Loans'!$N$21=0),0,W3*INDIRECT("'My Loans'!$E"&amp;'My Loans'!$N$21)/12)</f>
        <v>0</v>
      </c>
      <c r="Y3" s="13">
        <f ca="1">IF(OR('My Loans'!$N$21="",'My Loans'!$N$21=0),0,IF(W3&lt;0.005,0,MIN(INDIRECT("'My Loans'!$F"&amp;'My Loans'!$N$21),W3+X3)))</f>
        <v>0</v>
      </c>
      <c r="Z3" s="13">
        <f ca="1">'My Loans'!$B$13-(D3+G3+J3+M3+P3+S3+V3+Y3)</f>
        <v>463</v>
      </c>
      <c r="AA3" s="13">
        <f t="shared" ca="1" si="0"/>
        <v>463</v>
      </c>
      <c r="AB3" s="13">
        <f t="shared" ca="1" si="1"/>
        <v>27081.132944444442</v>
      </c>
      <c r="AC3" s="13">
        <f t="shared" ca="1" si="2"/>
        <v>463</v>
      </c>
      <c r="AD3" s="13">
        <f t="shared" ca="1" si="3"/>
        <v>873</v>
      </c>
      <c r="AE3" s="13">
        <f t="shared" ca="1" si="4"/>
        <v>26618.132944444442</v>
      </c>
      <c r="AF3" s="13">
        <f t="shared" ca="1" si="5"/>
        <v>0</v>
      </c>
      <c r="AG3" s="13">
        <f t="shared" ca="1" si="6"/>
        <v>15000.552755555555</v>
      </c>
      <c r="AH3" s="13">
        <f t="shared" ca="1" si="7"/>
        <v>0</v>
      </c>
      <c r="AI3" s="13">
        <f t="shared" ca="1" si="8"/>
        <v>178</v>
      </c>
      <c r="AJ3" s="13">
        <f t="shared" ca="1" si="9"/>
        <v>15000.552755555555</v>
      </c>
      <c r="AK3" s="13">
        <f t="shared" ca="1" si="10"/>
        <v>0</v>
      </c>
      <c r="AL3" s="13">
        <f t="shared" ca="1" si="11"/>
        <v>12632.951388888889</v>
      </c>
      <c r="AM3" s="13">
        <f t="shared" ca="1" si="12"/>
        <v>0</v>
      </c>
      <c r="AN3" s="13">
        <f t="shared" ca="1" si="13"/>
        <v>142</v>
      </c>
      <c r="AO3" s="13">
        <f t="shared" ca="1" si="14"/>
        <v>12632.951388888889</v>
      </c>
      <c r="AP3" s="13">
        <f t="shared" ca="1" si="15"/>
        <v>0</v>
      </c>
      <c r="AQ3" s="13">
        <f t="shared" ca="1" si="16"/>
        <v>9655.7394013888879</v>
      </c>
      <c r="AR3" s="13">
        <f t="shared" ca="1" si="17"/>
        <v>0</v>
      </c>
      <c r="AS3" s="13">
        <f t="shared" ca="1" si="18"/>
        <v>112</v>
      </c>
      <c r="AT3" s="13">
        <f t="shared" ca="1" si="19"/>
        <v>9655.7394013888879</v>
      </c>
      <c r="AU3" s="13">
        <f t="shared" ca="1" si="20"/>
        <v>0</v>
      </c>
      <c r="AV3" s="13">
        <f t="shared" ca="1" si="21"/>
        <v>8071.2590625000003</v>
      </c>
      <c r="AW3" s="13">
        <f t="shared" ca="1" si="22"/>
        <v>0</v>
      </c>
      <c r="AX3" s="13">
        <f t="shared" ca="1" si="23"/>
        <v>95</v>
      </c>
      <c r="AY3" s="13">
        <f t="shared" ca="1" si="24"/>
        <v>8071.2590625000003</v>
      </c>
      <c r="AZ3" s="13">
        <f t="shared" ca="1" si="25"/>
        <v>0</v>
      </c>
      <c r="BA3" s="13">
        <f t="shared" ca="1" si="26"/>
        <v>0</v>
      </c>
      <c r="BB3" s="13">
        <f t="shared" ca="1" si="27"/>
        <v>0</v>
      </c>
      <c r="BC3" s="13">
        <f t="shared" ca="1" si="28"/>
        <v>0</v>
      </c>
      <c r="BD3" s="13">
        <f t="shared" ca="1" si="29"/>
        <v>0</v>
      </c>
      <c r="BE3" s="13">
        <f t="shared" ca="1" si="30"/>
        <v>0</v>
      </c>
      <c r="BF3" s="13">
        <f t="shared" ca="1" si="31"/>
        <v>0</v>
      </c>
      <c r="BG3" s="13">
        <f t="shared" ca="1" si="32"/>
        <v>0</v>
      </c>
      <c r="BH3" s="13">
        <f t="shared" ca="1" si="33"/>
        <v>0</v>
      </c>
      <c r="BI3" s="13">
        <f t="shared" ca="1" si="34"/>
        <v>0</v>
      </c>
      <c r="BJ3" s="13">
        <f t="shared" ca="1" si="35"/>
        <v>0</v>
      </c>
      <c r="BK3" s="13">
        <f t="shared" ca="1" si="36"/>
        <v>0</v>
      </c>
      <c r="BL3" s="13">
        <f t="shared" ca="1" si="37"/>
        <v>0</v>
      </c>
      <c r="BM3" s="13">
        <f t="shared" ca="1" si="38"/>
        <v>0</v>
      </c>
      <c r="BN3" s="13">
        <f t="shared" ca="1" si="39"/>
        <v>0</v>
      </c>
      <c r="BO3" s="13">
        <f t="shared" ca="1" si="40"/>
        <v>1400</v>
      </c>
      <c r="BP3" s="13">
        <f t="shared" ca="1" si="41"/>
        <v>386.33555277777782</v>
      </c>
      <c r="BQ3" s="13">
        <f t="shared" ca="1" si="42"/>
        <v>71978.635552777778</v>
      </c>
    </row>
    <row r="4" spans="1:69" x14ac:dyDescent="0.25">
      <c r="A4" s="1">
        <v>3</v>
      </c>
      <c r="B4" s="13">
        <f ca="1">IF(A4=1,IF(OR('My Loans'!$N$14="",'My Loans'!$N$14=0),0,INDIRECT("'My Loans'!$D"&amp;'My Loans'!$N$14)),AE3)</f>
        <v>26618.132944444442</v>
      </c>
      <c r="C4" s="13">
        <f ca="1">IF(OR('My Loans'!$N$14="",'My Loans'!$N$14=0),0,B4*INDIRECT("'My Loans'!$E"&amp;'My Loans'!$N$14)/12)</f>
        <v>175.23604188425927</v>
      </c>
      <c r="D4" s="13">
        <f ca="1">IF(OR('My Loans'!$N$14="",'My Loans'!$N$14=0),0,IF(B4&lt;0.005,0,MIN(INDIRECT("'My Loans'!$F"&amp;'My Loans'!$N$14),B4+C4)))</f>
        <v>410</v>
      </c>
      <c r="E4" s="13">
        <f ca="1">IF(A4=1,IF(OR('My Loans'!$N$15="",'My Loans'!$N$15=0),0,INDIRECT("'My Loans'!$D"&amp;'My Loans'!$N$15)),AJ3)</f>
        <v>15000.552755555555</v>
      </c>
      <c r="F4" s="13">
        <f ca="1">IF(OR('My Loans'!$N$15="",'My Loans'!$N$15=0),0,E4*INDIRECT("'My Loans'!$E"&amp;'My Loans'!$N$15)/12)</f>
        <v>77.50285590370369</v>
      </c>
      <c r="G4" s="13">
        <f ca="1">IF(OR('My Loans'!$N$15="",'My Loans'!$N$15=0),0,IF(E4&lt;0.005,0,MIN(INDIRECT("'My Loans'!$F"&amp;'My Loans'!$N$15),E4+F4)))</f>
        <v>178</v>
      </c>
      <c r="H4" s="13">
        <f ca="1">IF(A4=1,IF(OR('My Loans'!$N$16="",'My Loans'!$N$16=0),0,INDIRECT("'My Loans'!$D"&amp;'My Loans'!$N$16)),AO3)</f>
        <v>12632.951388888889</v>
      </c>
      <c r="I4" s="13">
        <f ca="1">IF(OR('My Loans'!$N$16="",'My Loans'!$N$16=0),0,H4*INDIRECT("'My Loans'!$E"&amp;'My Loans'!$N$16)/12)</f>
        <v>57.901027199074072</v>
      </c>
      <c r="J4" s="13">
        <f ca="1">IF(OR('My Loans'!$N$16="",'My Loans'!$N$16=0),0,IF(H4&lt;0.005,0,MIN(INDIRECT("'My Loans'!$F"&amp;'My Loans'!$N$16),H4+I4)))</f>
        <v>142</v>
      </c>
      <c r="K4" s="13">
        <f ca="1">IF(A4=1,IF(OR('My Loans'!$N$17="",'My Loans'!$N$17=0),0,INDIRECT("'My Loans'!$D"&amp;'My Loans'!$N$17)),AT3)</f>
        <v>9655.7394013888879</v>
      </c>
      <c r="L4" s="13">
        <f ca="1">IF(OR('My Loans'!$N$17="",'My Loans'!$N$17=0),0,K4*INDIRECT("'My Loans'!$E"&amp;'My Loans'!$N$17)/12)</f>
        <v>39.427602555671292</v>
      </c>
      <c r="M4" s="13">
        <f ca="1">IF(OR('My Loans'!$N$17="",'My Loans'!$N$17=0),0,IF(K4&lt;0.005,0,MIN(INDIRECT("'My Loans'!$F"&amp;'My Loans'!$N$17),K4+L4)))</f>
        <v>112</v>
      </c>
      <c r="N4" s="13">
        <f ca="1">IF(A4=1,IF(OR('My Loans'!$N$18="",'My Loans'!$N$18=0),0,INDIRECT("'My Loans'!$D"&amp;'My Loans'!$N$18)),AY3)</f>
        <v>8071.2590625000003</v>
      </c>
      <c r="O4" s="13">
        <f ca="1">IF(OR('My Loans'!$N$18="",'My Loans'!$N$18=0),0,N4*INDIRECT("'My Loans'!$E"&amp;'My Loans'!$N$18)/12)</f>
        <v>30.267221484375</v>
      </c>
      <c r="P4" s="13">
        <f ca="1">IF(OR('My Loans'!$N$18="",'My Loans'!$N$18=0),0,IF(N4&lt;0.005,0,MIN(INDIRECT("'My Loans'!$F"&amp;'My Loans'!$N$18),N4+O4)))</f>
        <v>95</v>
      </c>
      <c r="Q4" s="13">
        <f ca="1">IF(A4=1,IF(OR('My Loans'!$N$19="",'My Loans'!$N$19=0),0,INDIRECT("'My Loans'!$D"&amp;'My Loans'!$N$19)),BD3)</f>
        <v>0</v>
      </c>
      <c r="R4" s="13">
        <f ca="1">IF(OR('My Loans'!$N$19="",'My Loans'!$N$19=0),0,Q4*INDIRECT("'My Loans'!$E"&amp;'My Loans'!$N$19)/12)</f>
        <v>0</v>
      </c>
      <c r="S4" s="13">
        <f ca="1">IF(OR('My Loans'!$N$19="",'My Loans'!$N$19=0),0,IF(Q4&lt;0.005,0,MIN(INDIRECT("'My Loans'!$F"&amp;'My Loans'!$N$19),Q4+R4)))</f>
        <v>0</v>
      </c>
      <c r="T4" s="13">
        <f ca="1">IF(A4=1,IF(OR('My Loans'!$N$20="",'My Loans'!$N$20=0),0,INDIRECT("'My Loans'!$D"&amp;'My Loans'!$N$20)),BI3)</f>
        <v>0</v>
      </c>
      <c r="U4" s="13">
        <f ca="1">IF(OR('My Loans'!$N$20="",'My Loans'!$N$20=0),0,T4*INDIRECT("'My Loans'!$E"&amp;'My Loans'!$N$20)/12)</f>
        <v>0</v>
      </c>
      <c r="V4" s="13">
        <f ca="1">IF(OR('My Loans'!$N$20="",'My Loans'!$N$20=0),0,IF(T4&lt;0.005,0,MIN(INDIRECT("'My Loans'!$F"&amp;'My Loans'!$N$20),T4+U4)))</f>
        <v>0</v>
      </c>
      <c r="W4" s="13">
        <f ca="1">IF(A4=1,IF(OR('My Loans'!$N$21="",'My Loans'!$N$21=0),0,INDIRECT("'My Loans'!$D"&amp;'My Loans'!$N$21)),BN3)</f>
        <v>0</v>
      </c>
      <c r="X4" s="13">
        <f ca="1">IF(OR('My Loans'!$N$21="",'My Loans'!$N$21=0),0,W4*INDIRECT("'My Loans'!$E"&amp;'My Loans'!$N$21)/12)</f>
        <v>0</v>
      </c>
      <c r="Y4" s="13">
        <f ca="1">IF(OR('My Loans'!$N$21="",'My Loans'!$N$21=0),0,IF(W4&lt;0.005,0,MIN(INDIRECT("'My Loans'!$F"&amp;'My Loans'!$N$21),W4+X4)))</f>
        <v>0</v>
      </c>
      <c r="Z4" s="13">
        <f ca="1">'My Loans'!$B$13-(D4+G4+J4+M4+P4+S4+V4+Y4)</f>
        <v>463</v>
      </c>
      <c r="AA4" s="13">
        <f t="shared" ca="1" si="0"/>
        <v>463</v>
      </c>
      <c r="AB4" s="13">
        <f t="shared" ca="1" si="1"/>
        <v>26383.3689863287</v>
      </c>
      <c r="AC4" s="13">
        <f t="shared" ca="1" si="2"/>
        <v>463</v>
      </c>
      <c r="AD4" s="13">
        <f t="shared" ca="1" si="3"/>
        <v>873</v>
      </c>
      <c r="AE4" s="13">
        <f t="shared" ca="1" si="4"/>
        <v>25920.3689863287</v>
      </c>
      <c r="AF4" s="13">
        <f t="shared" ca="1" si="5"/>
        <v>0</v>
      </c>
      <c r="AG4" s="13">
        <f t="shared" ca="1" si="6"/>
        <v>14900.055611459258</v>
      </c>
      <c r="AH4" s="13">
        <f t="shared" ca="1" si="7"/>
        <v>0</v>
      </c>
      <c r="AI4" s="13">
        <f t="shared" ca="1" si="8"/>
        <v>178</v>
      </c>
      <c r="AJ4" s="13">
        <f t="shared" ca="1" si="9"/>
        <v>14900.055611459258</v>
      </c>
      <c r="AK4" s="13">
        <f t="shared" ca="1" si="10"/>
        <v>0</v>
      </c>
      <c r="AL4" s="13">
        <f t="shared" ca="1" si="11"/>
        <v>12548.852416087962</v>
      </c>
      <c r="AM4" s="13">
        <f t="shared" ca="1" si="12"/>
        <v>0</v>
      </c>
      <c r="AN4" s="13">
        <f t="shared" ca="1" si="13"/>
        <v>142</v>
      </c>
      <c r="AO4" s="13">
        <f t="shared" ca="1" si="14"/>
        <v>12548.852416087962</v>
      </c>
      <c r="AP4" s="13">
        <f t="shared" ca="1" si="15"/>
        <v>0</v>
      </c>
      <c r="AQ4" s="13">
        <f t="shared" ca="1" si="16"/>
        <v>9583.1670039445598</v>
      </c>
      <c r="AR4" s="13">
        <f t="shared" ca="1" si="17"/>
        <v>0</v>
      </c>
      <c r="AS4" s="13">
        <f t="shared" ca="1" si="18"/>
        <v>112</v>
      </c>
      <c r="AT4" s="13">
        <f t="shared" ca="1" si="19"/>
        <v>9583.1670039445598</v>
      </c>
      <c r="AU4" s="13">
        <f t="shared" ca="1" si="20"/>
        <v>0</v>
      </c>
      <c r="AV4" s="13">
        <f t="shared" ca="1" si="21"/>
        <v>8006.5262839843754</v>
      </c>
      <c r="AW4" s="13">
        <f t="shared" ca="1" si="22"/>
        <v>0</v>
      </c>
      <c r="AX4" s="13">
        <f t="shared" ca="1" si="23"/>
        <v>95</v>
      </c>
      <c r="AY4" s="13">
        <f t="shared" ca="1" si="24"/>
        <v>8006.5262839843754</v>
      </c>
      <c r="AZ4" s="13">
        <f t="shared" ca="1" si="25"/>
        <v>0</v>
      </c>
      <c r="BA4" s="13">
        <f t="shared" ca="1" si="26"/>
        <v>0</v>
      </c>
      <c r="BB4" s="13">
        <f t="shared" ca="1" si="27"/>
        <v>0</v>
      </c>
      <c r="BC4" s="13">
        <f t="shared" ca="1" si="28"/>
        <v>0</v>
      </c>
      <c r="BD4" s="13">
        <f t="shared" ca="1" si="29"/>
        <v>0</v>
      </c>
      <c r="BE4" s="13">
        <f t="shared" ca="1" si="30"/>
        <v>0</v>
      </c>
      <c r="BF4" s="13">
        <f t="shared" ca="1" si="31"/>
        <v>0</v>
      </c>
      <c r="BG4" s="13">
        <f t="shared" ca="1" si="32"/>
        <v>0</v>
      </c>
      <c r="BH4" s="13">
        <f t="shared" ca="1" si="33"/>
        <v>0</v>
      </c>
      <c r="BI4" s="13">
        <f t="shared" ca="1" si="34"/>
        <v>0</v>
      </c>
      <c r="BJ4" s="13">
        <f t="shared" ca="1" si="35"/>
        <v>0</v>
      </c>
      <c r="BK4" s="13">
        <f t="shared" ca="1" si="36"/>
        <v>0</v>
      </c>
      <c r="BL4" s="13">
        <f t="shared" ca="1" si="37"/>
        <v>0</v>
      </c>
      <c r="BM4" s="13">
        <f t="shared" ca="1" si="38"/>
        <v>0</v>
      </c>
      <c r="BN4" s="13">
        <f t="shared" ca="1" si="39"/>
        <v>0</v>
      </c>
      <c r="BO4" s="13">
        <f t="shared" ca="1" si="40"/>
        <v>1400</v>
      </c>
      <c r="BP4" s="13">
        <f t="shared" ca="1" si="41"/>
        <v>380.33474902708332</v>
      </c>
      <c r="BQ4" s="13">
        <f t="shared" ca="1" si="42"/>
        <v>70958.97030180486</v>
      </c>
    </row>
    <row r="5" spans="1:69" x14ac:dyDescent="0.25">
      <c r="A5" s="1">
        <v>4</v>
      </c>
      <c r="B5" s="13">
        <f ca="1">IF(A5=1,IF(OR('My Loans'!$N$14="",'My Loans'!$N$14=0),0,INDIRECT("'My Loans'!$D"&amp;'My Loans'!$N$14)),AE4)</f>
        <v>25920.3689863287</v>
      </c>
      <c r="C5" s="13">
        <f ca="1">IF(OR('My Loans'!$N$14="",'My Loans'!$N$14=0),0,B5*INDIRECT("'My Loans'!$E"&amp;'My Loans'!$N$14)/12)</f>
        <v>170.64242915999728</v>
      </c>
      <c r="D5" s="13">
        <f ca="1">IF(OR('My Loans'!$N$14="",'My Loans'!$N$14=0),0,IF(B5&lt;0.005,0,MIN(INDIRECT("'My Loans'!$F"&amp;'My Loans'!$N$14),B5+C5)))</f>
        <v>410</v>
      </c>
      <c r="E5" s="13">
        <f ca="1">IF(A5=1,IF(OR('My Loans'!$N$15="",'My Loans'!$N$15=0),0,INDIRECT("'My Loans'!$D"&amp;'My Loans'!$N$15)),AJ4)</f>
        <v>14900.055611459258</v>
      </c>
      <c r="F5" s="13">
        <f ca="1">IF(OR('My Loans'!$N$15="",'My Loans'!$N$15=0),0,E5*INDIRECT("'My Loans'!$E"&amp;'My Loans'!$N$15)/12)</f>
        <v>76.983620659206167</v>
      </c>
      <c r="G5" s="13">
        <f ca="1">IF(OR('My Loans'!$N$15="",'My Loans'!$N$15=0),0,IF(E5&lt;0.005,0,MIN(INDIRECT("'My Loans'!$F"&amp;'My Loans'!$N$15),E5+F5)))</f>
        <v>178</v>
      </c>
      <c r="H5" s="13">
        <f ca="1">IF(A5=1,IF(OR('My Loans'!$N$16="",'My Loans'!$N$16=0),0,INDIRECT("'My Loans'!$D"&amp;'My Loans'!$N$16)),AO4)</f>
        <v>12548.852416087962</v>
      </c>
      <c r="I5" s="13">
        <f ca="1">IF(OR('My Loans'!$N$16="",'My Loans'!$N$16=0),0,H5*INDIRECT("'My Loans'!$E"&amp;'My Loans'!$N$16)/12)</f>
        <v>57.515573573736496</v>
      </c>
      <c r="J5" s="13">
        <f ca="1">IF(OR('My Loans'!$N$16="",'My Loans'!$N$16=0),0,IF(H5&lt;0.005,0,MIN(INDIRECT("'My Loans'!$F"&amp;'My Loans'!$N$16),H5+I5)))</f>
        <v>142</v>
      </c>
      <c r="K5" s="13">
        <f ca="1">IF(A5=1,IF(OR('My Loans'!$N$17="",'My Loans'!$N$17=0),0,INDIRECT("'My Loans'!$D"&amp;'My Loans'!$N$17)),AT4)</f>
        <v>9583.1670039445598</v>
      </c>
      <c r="L5" s="13">
        <f ca="1">IF(OR('My Loans'!$N$17="",'My Loans'!$N$17=0),0,K5*INDIRECT("'My Loans'!$E"&amp;'My Loans'!$N$17)/12)</f>
        <v>39.131265266106958</v>
      </c>
      <c r="M5" s="13">
        <f ca="1">IF(OR('My Loans'!$N$17="",'My Loans'!$N$17=0),0,IF(K5&lt;0.005,0,MIN(INDIRECT("'My Loans'!$F"&amp;'My Loans'!$N$17),K5+L5)))</f>
        <v>112</v>
      </c>
      <c r="N5" s="13">
        <f ca="1">IF(A5=1,IF(OR('My Loans'!$N$18="",'My Loans'!$N$18=0),0,INDIRECT("'My Loans'!$D"&amp;'My Loans'!$N$18)),AY4)</f>
        <v>8006.5262839843754</v>
      </c>
      <c r="O5" s="13">
        <f ca="1">IF(OR('My Loans'!$N$18="",'My Loans'!$N$18=0),0,N5*INDIRECT("'My Loans'!$E"&amp;'My Loans'!$N$18)/12)</f>
        <v>30.024473564941406</v>
      </c>
      <c r="P5" s="13">
        <f ca="1">IF(OR('My Loans'!$N$18="",'My Loans'!$N$18=0),0,IF(N5&lt;0.005,0,MIN(INDIRECT("'My Loans'!$F"&amp;'My Loans'!$N$18),N5+O5)))</f>
        <v>95</v>
      </c>
      <c r="Q5" s="13">
        <f ca="1">IF(A5=1,IF(OR('My Loans'!$N$19="",'My Loans'!$N$19=0),0,INDIRECT("'My Loans'!$D"&amp;'My Loans'!$N$19)),BD4)</f>
        <v>0</v>
      </c>
      <c r="R5" s="13">
        <f ca="1">IF(OR('My Loans'!$N$19="",'My Loans'!$N$19=0),0,Q5*INDIRECT("'My Loans'!$E"&amp;'My Loans'!$N$19)/12)</f>
        <v>0</v>
      </c>
      <c r="S5" s="13">
        <f ca="1">IF(OR('My Loans'!$N$19="",'My Loans'!$N$19=0),0,IF(Q5&lt;0.005,0,MIN(INDIRECT("'My Loans'!$F"&amp;'My Loans'!$N$19),Q5+R5)))</f>
        <v>0</v>
      </c>
      <c r="T5" s="13">
        <f ca="1">IF(A5=1,IF(OR('My Loans'!$N$20="",'My Loans'!$N$20=0),0,INDIRECT("'My Loans'!$D"&amp;'My Loans'!$N$20)),BI4)</f>
        <v>0</v>
      </c>
      <c r="U5" s="13">
        <f ca="1">IF(OR('My Loans'!$N$20="",'My Loans'!$N$20=0),0,T5*INDIRECT("'My Loans'!$E"&amp;'My Loans'!$N$20)/12)</f>
        <v>0</v>
      </c>
      <c r="V5" s="13">
        <f ca="1">IF(OR('My Loans'!$N$20="",'My Loans'!$N$20=0),0,IF(T5&lt;0.005,0,MIN(INDIRECT("'My Loans'!$F"&amp;'My Loans'!$N$20),T5+U5)))</f>
        <v>0</v>
      </c>
      <c r="W5" s="13">
        <f ca="1">IF(A5=1,IF(OR('My Loans'!$N$21="",'My Loans'!$N$21=0),0,INDIRECT("'My Loans'!$D"&amp;'My Loans'!$N$21)),BN4)</f>
        <v>0</v>
      </c>
      <c r="X5" s="13">
        <f ca="1">IF(OR('My Loans'!$N$21="",'My Loans'!$N$21=0),0,W5*INDIRECT("'My Loans'!$E"&amp;'My Loans'!$N$21)/12)</f>
        <v>0</v>
      </c>
      <c r="Y5" s="13">
        <f ca="1">IF(OR('My Loans'!$N$21="",'My Loans'!$N$21=0),0,IF(W5&lt;0.005,0,MIN(INDIRECT("'My Loans'!$F"&amp;'My Loans'!$N$21),W5+X5)))</f>
        <v>0</v>
      </c>
      <c r="Z5" s="13">
        <f ca="1">'My Loans'!$B$13-(D5+G5+J5+M5+P5+S5+V5+Y5)</f>
        <v>463</v>
      </c>
      <c r="AA5" s="13">
        <f t="shared" ca="1" si="0"/>
        <v>463</v>
      </c>
      <c r="AB5" s="13">
        <f t="shared" ca="1" si="1"/>
        <v>25681.011415488698</v>
      </c>
      <c r="AC5" s="13">
        <f t="shared" ca="1" si="2"/>
        <v>463</v>
      </c>
      <c r="AD5" s="13">
        <f t="shared" ca="1" si="3"/>
        <v>873</v>
      </c>
      <c r="AE5" s="13">
        <f t="shared" ca="1" si="4"/>
        <v>25218.011415488698</v>
      </c>
      <c r="AF5" s="13">
        <f t="shared" ca="1" si="5"/>
        <v>0</v>
      </c>
      <c r="AG5" s="13">
        <f t="shared" ca="1" si="6"/>
        <v>14799.039232118464</v>
      </c>
      <c r="AH5" s="13">
        <f t="shared" ca="1" si="7"/>
        <v>0</v>
      </c>
      <c r="AI5" s="13">
        <f t="shared" ca="1" si="8"/>
        <v>178</v>
      </c>
      <c r="AJ5" s="13">
        <f t="shared" ca="1" si="9"/>
        <v>14799.039232118464</v>
      </c>
      <c r="AK5" s="13">
        <f t="shared" ca="1" si="10"/>
        <v>0</v>
      </c>
      <c r="AL5" s="13">
        <f t="shared" ca="1" si="11"/>
        <v>12464.3679896617</v>
      </c>
      <c r="AM5" s="13">
        <f t="shared" ca="1" si="12"/>
        <v>0</v>
      </c>
      <c r="AN5" s="13">
        <f t="shared" ca="1" si="13"/>
        <v>142</v>
      </c>
      <c r="AO5" s="13">
        <f t="shared" ca="1" si="14"/>
        <v>12464.3679896617</v>
      </c>
      <c r="AP5" s="13">
        <f t="shared" ca="1" si="15"/>
        <v>0</v>
      </c>
      <c r="AQ5" s="13">
        <f t="shared" ca="1" si="16"/>
        <v>9510.2982692106671</v>
      </c>
      <c r="AR5" s="13">
        <f t="shared" ca="1" si="17"/>
        <v>0</v>
      </c>
      <c r="AS5" s="13">
        <f t="shared" ca="1" si="18"/>
        <v>112</v>
      </c>
      <c r="AT5" s="13">
        <f t="shared" ca="1" si="19"/>
        <v>9510.2982692106671</v>
      </c>
      <c r="AU5" s="13">
        <f t="shared" ca="1" si="20"/>
        <v>0</v>
      </c>
      <c r="AV5" s="13">
        <f t="shared" ca="1" si="21"/>
        <v>7941.5507575493166</v>
      </c>
      <c r="AW5" s="13">
        <f t="shared" ca="1" si="22"/>
        <v>0</v>
      </c>
      <c r="AX5" s="13">
        <f t="shared" ca="1" si="23"/>
        <v>95</v>
      </c>
      <c r="AY5" s="13">
        <f t="shared" ca="1" si="24"/>
        <v>7941.5507575493166</v>
      </c>
      <c r="AZ5" s="13">
        <f t="shared" ca="1" si="25"/>
        <v>0</v>
      </c>
      <c r="BA5" s="13">
        <f t="shared" ca="1" si="26"/>
        <v>0</v>
      </c>
      <c r="BB5" s="13">
        <f t="shared" ca="1" si="27"/>
        <v>0</v>
      </c>
      <c r="BC5" s="13">
        <f t="shared" ca="1" si="28"/>
        <v>0</v>
      </c>
      <c r="BD5" s="13">
        <f t="shared" ca="1" si="29"/>
        <v>0</v>
      </c>
      <c r="BE5" s="13">
        <f t="shared" ca="1" si="30"/>
        <v>0</v>
      </c>
      <c r="BF5" s="13">
        <f t="shared" ca="1" si="31"/>
        <v>0</v>
      </c>
      <c r="BG5" s="13">
        <f t="shared" ca="1" si="32"/>
        <v>0</v>
      </c>
      <c r="BH5" s="13">
        <f t="shared" ca="1" si="33"/>
        <v>0</v>
      </c>
      <c r="BI5" s="13">
        <f t="shared" ca="1" si="34"/>
        <v>0</v>
      </c>
      <c r="BJ5" s="13">
        <f t="shared" ca="1" si="35"/>
        <v>0</v>
      </c>
      <c r="BK5" s="13">
        <f t="shared" ca="1" si="36"/>
        <v>0</v>
      </c>
      <c r="BL5" s="13">
        <f t="shared" ca="1" si="37"/>
        <v>0</v>
      </c>
      <c r="BM5" s="13">
        <f t="shared" ca="1" si="38"/>
        <v>0</v>
      </c>
      <c r="BN5" s="13">
        <f t="shared" ca="1" si="39"/>
        <v>0</v>
      </c>
      <c r="BO5" s="13">
        <f t="shared" ca="1" si="40"/>
        <v>1400</v>
      </c>
      <c r="BP5" s="13">
        <f t="shared" ca="1" si="41"/>
        <v>374.29736222398827</v>
      </c>
      <c r="BQ5" s="13">
        <f t="shared" ca="1" si="42"/>
        <v>69933.267664028841</v>
      </c>
    </row>
    <row r="6" spans="1:69" x14ac:dyDescent="0.25">
      <c r="A6" s="1">
        <v>5</v>
      </c>
      <c r="B6" s="13">
        <f ca="1">IF(A6=1,IF(OR('My Loans'!$N$14="",'My Loans'!$N$14=0),0,INDIRECT("'My Loans'!$D"&amp;'My Loans'!$N$14)),AE5)</f>
        <v>25218.011415488698</v>
      </c>
      <c r="C6" s="13">
        <f ca="1">IF(OR('My Loans'!$N$14="",'My Loans'!$N$14=0),0,B6*INDIRECT("'My Loans'!$E"&amp;'My Loans'!$N$14)/12)</f>
        <v>166.01857515196727</v>
      </c>
      <c r="D6" s="13">
        <f ca="1">IF(OR('My Loans'!$N$14="",'My Loans'!$N$14=0),0,IF(B6&lt;0.005,0,MIN(INDIRECT("'My Loans'!$F"&amp;'My Loans'!$N$14),B6+C6)))</f>
        <v>410</v>
      </c>
      <c r="E6" s="13">
        <f ca="1">IF(A6=1,IF(OR('My Loans'!$N$15="",'My Loans'!$N$15=0),0,INDIRECT("'My Loans'!$D"&amp;'My Loans'!$N$15)),AJ5)</f>
        <v>14799.039232118464</v>
      </c>
      <c r="F6" s="13">
        <f ca="1">IF(OR('My Loans'!$N$15="",'My Loans'!$N$15=0),0,E6*INDIRECT("'My Loans'!$E"&amp;'My Loans'!$N$15)/12)</f>
        <v>76.461702699278732</v>
      </c>
      <c r="G6" s="13">
        <f ca="1">IF(OR('My Loans'!$N$15="",'My Loans'!$N$15=0),0,IF(E6&lt;0.005,0,MIN(INDIRECT("'My Loans'!$F"&amp;'My Loans'!$N$15),E6+F6)))</f>
        <v>178</v>
      </c>
      <c r="H6" s="13">
        <f ca="1">IF(A6=1,IF(OR('My Loans'!$N$16="",'My Loans'!$N$16=0),0,INDIRECT("'My Loans'!$D"&amp;'My Loans'!$N$16)),AO5)</f>
        <v>12464.3679896617</v>
      </c>
      <c r="I6" s="13">
        <f ca="1">IF(OR('My Loans'!$N$16="",'My Loans'!$N$16=0),0,H6*INDIRECT("'My Loans'!$E"&amp;'My Loans'!$N$16)/12)</f>
        <v>57.128353285949458</v>
      </c>
      <c r="J6" s="13">
        <f ca="1">IF(OR('My Loans'!$N$16="",'My Loans'!$N$16=0),0,IF(H6&lt;0.005,0,MIN(INDIRECT("'My Loans'!$F"&amp;'My Loans'!$N$16),H6+I6)))</f>
        <v>142</v>
      </c>
      <c r="K6" s="13">
        <f ca="1">IF(A6=1,IF(OR('My Loans'!$N$17="",'My Loans'!$N$17=0),0,INDIRECT("'My Loans'!$D"&amp;'My Loans'!$N$17)),AT5)</f>
        <v>9510.2982692106671</v>
      </c>
      <c r="L6" s="13">
        <f ca="1">IF(OR('My Loans'!$N$17="",'My Loans'!$N$17=0),0,K6*INDIRECT("'My Loans'!$E"&amp;'My Loans'!$N$17)/12)</f>
        <v>38.833717932610227</v>
      </c>
      <c r="M6" s="13">
        <f ca="1">IF(OR('My Loans'!$N$17="",'My Loans'!$N$17=0),0,IF(K6&lt;0.005,0,MIN(INDIRECT("'My Loans'!$F"&amp;'My Loans'!$N$17),K6+L6)))</f>
        <v>112</v>
      </c>
      <c r="N6" s="13">
        <f ca="1">IF(A6=1,IF(OR('My Loans'!$N$18="",'My Loans'!$N$18=0),0,INDIRECT("'My Loans'!$D"&amp;'My Loans'!$N$18)),AY5)</f>
        <v>7941.5507575493166</v>
      </c>
      <c r="O6" s="13">
        <f ca="1">IF(OR('My Loans'!$N$18="",'My Loans'!$N$18=0),0,N6*INDIRECT("'My Loans'!$E"&amp;'My Loans'!$N$18)/12)</f>
        <v>29.780815340809937</v>
      </c>
      <c r="P6" s="13">
        <f ca="1">IF(OR('My Loans'!$N$18="",'My Loans'!$N$18=0),0,IF(N6&lt;0.005,0,MIN(INDIRECT("'My Loans'!$F"&amp;'My Loans'!$N$18),N6+O6)))</f>
        <v>95</v>
      </c>
      <c r="Q6" s="13">
        <f ca="1">IF(A6=1,IF(OR('My Loans'!$N$19="",'My Loans'!$N$19=0),0,INDIRECT("'My Loans'!$D"&amp;'My Loans'!$N$19)),BD5)</f>
        <v>0</v>
      </c>
      <c r="R6" s="13">
        <f ca="1">IF(OR('My Loans'!$N$19="",'My Loans'!$N$19=0),0,Q6*INDIRECT("'My Loans'!$E"&amp;'My Loans'!$N$19)/12)</f>
        <v>0</v>
      </c>
      <c r="S6" s="13">
        <f ca="1">IF(OR('My Loans'!$N$19="",'My Loans'!$N$19=0),0,IF(Q6&lt;0.005,0,MIN(INDIRECT("'My Loans'!$F"&amp;'My Loans'!$N$19),Q6+R6)))</f>
        <v>0</v>
      </c>
      <c r="T6" s="13">
        <f ca="1">IF(A6=1,IF(OR('My Loans'!$N$20="",'My Loans'!$N$20=0),0,INDIRECT("'My Loans'!$D"&amp;'My Loans'!$N$20)),BI5)</f>
        <v>0</v>
      </c>
      <c r="U6" s="13">
        <f ca="1">IF(OR('My Loans'!$N$20="",'My Loans'!$N$20=0),0,T6*INDIRECT("'My Loans'!$E"&amp;'My Loans'!$N$20)/12)</f>
        <v>0</v>
      </c>
      <c r="V6" s="13">
        <f ca="1">IF(OR('My Loans'!$N$20="",'My Loans'!$N$20=0),0,IF(T6&lt;0.005,0,MIN(INDIRECT("'My Loans'!$F"&amp;'My Loans'!$N$20),T6+U6)))</f>
        <v>0</v>
      </c>
      <c r="W6" s="13">
        <f ca="1">IF(A6=1,IF(OR('My Loans'!$N$21="",'My Loans'!$N$21=0),0,INDIRECT("'My Loans'!$D"&amp;'My Loans'!$N$21)),BN5)</f>
        <v>0</v>
      </c>
      <c r="X6" s="13">
        <f ca="1">IF(OR('My Loans'!$N$21="",'My Loans'!$N$21=0),0,W6*INDIRECT("'My Loans'!$E"&amp;'My Loans'!$N$21)/12)</f>
        <v>0</v>
      </c>
      <c r="Y6" s="13">
        <f ca="1">IF(OR('My Loans'!$N$21="",'My Loans'!$N$21=0),0,IF(W6&lt;0.005,0,MIN(INDIRECT("'My Loans'!$F"&amp;'My Loans'!$N$21),W6+X6)))</f>
        <v>0</v>
      </c>
      <c r="Z6" s="13">
        <f ca="1">'My Loans'!$B$13-(D6+G6+J6+M6+P6+S6+V6+Y6)</f>
        <v>463</v>
      </c>
      <c r="AA6" s="13">
        <f t="shared" ca="1" si="0"/>
        <v>463</v>
      </c>
      <c r="AB6" s="13">
        <f t="shared" ca="1" si="1"/>
        <v>24974.029990640665</v>
      </c>
      <c r="AC6" s="13">
        <f t="shared" ca="1" si="2"/>
        <v>463</v>
      </c>
      <c r="AD6" s="13">
        <f t="shared" ca="1" si="3"/>
        <v>873</v>
      </c>
      <c r="AE6" s="13">
        <f t="shared" ca="1" si="4"/>
        <v>24511.029990640665</v>
      </c>
      <c r="AF6" s="13">
        <f t="shared" ca="1" si="5"/>
        <v>0</v>
      </c>
      <c r="AG6" s="13">
        <f t="shared" ca="1" si="6"/>
        <v>14697.500934817743</v>
      </c>
      <c r="AH6" s="13">
        <f t="shared" ca="1" si="7"/>
        <v>0</v>
      </c>
      <c r="AI6" s="13">
        <f t="shared" ca="1" si="8"/>
        <v>178</v>
      </c>
      <c r="AJ6" s="13">
        <f t="shared" ca="1" si="9"/>
        <v>14697.500934817743</v>
      </c>
      <c r="AK6" s="13">
        <f t="shared" ca="1" si="10"/>
        <v>0</v>
      </c>
      <c r="AL6" s="13">
        <f t="shared" ca="1" si="11"/>
        <v>12379.496342947648</v>
      </c>
      <c r="AM6" s="13">
        <f t="shared" ca="1" si="12"/>
        <v>0</v>
      </c>
      <c r="AN6" s="13">
        <f t="shared" ca="1" si="13"/>
        <v>142</v>
      </c>
      <c r="AO6" s="13">
        <f t="shared" ca="1" si="14"/>
        <v>12379.496342947648</v>
      </c>
      <c r="AP6" s="13">
        <f t="shared" ca="1" si="15"/>
        <v>0</v>
      </c>
      <c r="AQ6" s="13">
        <f t="shared" ca="1" si="16"/>
        <v>9437.131987143277</v>
      </c>
      <c r="AR6" s="13">
        <f t="shared" ca="1" si="17"/>
        <v>0</v>
      </c>
      <c r="AS6" s="13">
        <f t="shared" ca="1" si="18"/>
        <v>112</v>
      </c>
      <c r="AT6" s="13">
        <f t="shared" ca="1" si="19"/>
        <v>9437.131987143277</v>
      </c>
      <c r="AU6" s="13">
        <f t="shared" ca="1" si="20"/>
        <v>0</v>
      </c>
      <c r="AV6" s="13">
        <f t="shared" ca="1" si="21"/>
        <v>7876.3315728901262</v>
      </c>
      <c r="AW6" s="13">
        <f t="shared" ca="1" si="22"/>
        <v>0</v>
      </c>
      <c r="AX6" s="13">
        <f t="shared" ca="1" si="23"/>
        <v>95</v>
      </c>
      <c r="AY6" s="13">
        <f t="shared" ca="1" si="24"/>
        <v>7876.3315728901262</v>
      </c>
      <c r="AZ6" s="13">
        <f t="shared" ca="1" si="25"/>
        <v>0</v>
      </c>
      <c r="BA6" s="13">
        <f t="shared" ca="1" si="26"/>
        <v>0</v>
      </c>
      <c r="BB6" s="13">
        <f t="shared" ca="1" si="27"/>
        <v>0</v>
      </c>
      <c r="BC6" s="13">
        <f t="shared" ca="1" si="28"/>
        <v>0</v>
      </c>
      <c r="BD6" s="13">
        <f t="shared" ca="1" si="29"/>
        <v>0</v>
      </c>
      <c r="BE6" s="13">
        <f t="shared" ca="1" si="30"/>
        <v>0</v>
      </c>
      <c r="BF6" s="13">
        <f t="shared" ca="1" si="31"/>
        <v>0</v>
      </c>
      <c r="BG6" s="13">
        <f t="shared" ca="1" si="32"/>
        <v>0</v>
      </c>
      <c r="BH6" s="13">
        <f t="shared" ca="1" si="33"/>
        <v>0</v>
      </c>
      <c r="BI6" s="13">
        <f t="shared" ca="1" si="34"/>
        <v>0</v>
      </c>
      <c r="BJ6" s="13">
        <f t="shared" ca="1" si="35"/>
        <v>0</v>
      </c>
      <c r="BK6" s="13">
        <f t="shared" ca="1" si="36"/>
        <v>0</v>
      </c>
      <c r="BL6" s="13">
        <f t="shared" ca="1" si="37"/>
        <v>0</v>
      </c>
      <c r="BM6" s="13">
        <f t="shared" ca="1" si="38"/>
        <v>0</v>
      </c>
      <c r="BN6" s="13">
        <f t="shared" ca="1" si="39"/>
        <v>0</v>
      </c>
      <c r="BO6" s="13">
        <f t="shared" ca="1" si="40"/>
        <v>1400</v>
      </c>
      <c r="BP6" s="13">
        <f t="shared" ca="1" si="41"/>
        <v>368.2231644106156</v>
      </c>
      <c r="BQ6" s="13">
        <f t="shared" ca="1" si="42"/>
        <v>68901.490828439462</v>
      </c>
    </row>
    <row r="7" spans="1:69" x14ac:dyDescent="0.25">
      <c r="A7" s="1">
        <v>6</v>
      </c>
      <c r="B7" s="13">
        <f ca="1">IF(A7=1,IF(OR('My Loans'!$N$14="",'My Loans'!$N$14=0),0,INDIRECT("'My Loans'!$D"&amp;'My Loans'!$N$14)),AE6)</f>
        <v>24511.029990640665</v>
      </c>
      <c r="C7" s="13">
        <f ca="1">IF(OR('My Loans'!$N$14="",'My Loans'!$N$14=0),0,B7*INDIRECT("'My Loans'!$E"&amp;'My Loans'!$N$14)/12)</f>
        <v>161.36428077171772</v>
      </c>
      <c r="D7" s="13">
        <f ca="1">IF(OR('My Loans'!$N$14="",'My Loans'!$N$14=0),0,IF(B7&lt;0.005,0,MIN(INDIRECT("'My Loans'!$F"&amp;'My Loans'!$N$14),B7+C7)))</f>
        <v>410</v>
      </c>
      <c r="E7" s="13">
        <f ca="1">IF(A7=1,IF(OR('My Loans'!$N$15="",'My Loans'!$N$15=0),0,INDIRECT("'My Loans'!$D"&amp;'My Loans'!$N$15)),AJ6)</f>
        <v>14697.500934817743</v>
      </c>
      <c r="F7" s="13">
        <f ca="1">IF(OR('My Loans'!$N$15="",'My Loans'!$N$15=0),0,E7*INDIRECT("'My Loans'!$E"&amp;'My Loans'!$N$15)/12)</f>
        <v>75.937088163224999</v>
      </c>
      <c r="G7" s="13">
        <f ca="1">IF(OR('My Loans'!$N$15="",'My Loans'!$N$15=0),0,IF(E7&lt;0.005,0,MIN(INDIRECT("'My Loans'!$F"&amp;'My Loans'!$N$15),E7+F7)))</f>
        <v>178</v>
      </c>
      <c r="H7" s="13">
        <f ca="1">IF(A7=1,IF(OR('My Loans'!$N$16="",'My Loans'!$N$16=0),0,INDIRECT("'My Loans'!$D"&amp;'My Loans'!$N$16)),AO6)</f>
        <v>12379.496342947648</v>
      </c>
      <c r="I7" s="13">
        <f ca="1">IF(OR('My Loans'!$N$16="",'My Loans'!$N$16=0),0,H7*INDIRECT("'My Loans'!$E"&amp;'My Loans'!$N$16)/12)</f>
        <v>56.739358238510057</v>
      </c>
      <c r="J7" s="13">
        <f ca="1">IF(OR('My Loans'!$N$16="",'My Loans'!$N$16=0),0,IF(H7&lt;0.005,0,MIN(INDIRECT("'My Loans'!$F"&amp;'My Loans'!$N$16),H7+I7)))</f>
        <v>142</v>
      </c>
      <c r="K7" s="13">
        <f ca="1">IF(A7=1,IF(OR('My Loans'!$N$17="",'My Loans'!$N$17=0),0,INDIRECT("'My Loans'!$D"&amp;'My Loans'!$N$17)),AT6)</f>
        <v>9437.131987143277</v>
      </c>
      <c r="L7" s="13">
        <f ca="1">IF(OR('My Loans'!$N$17="",'My Loans'!$N$17=0),0,K7*INDIRECT("'My Loans'!$E"&amp;'My Loans'!$N$17)/12)</f>
        <v>38.534955614168382</v>
      </c>
      <c r="M7" s="13">
        <f ca="1">IF(OR('My Loans'!$N$17="",'My Loans'!$N$17=0),0,IF(K7&lt;0.005,0,MIN(INDIRECT("'My Loans'!$F"&amp;'My Loans'!$N$17),K7+L7)))</f>
        <v>112</v>
      </c>
      <c r="N7" s="13">
        <f ca="1">IF(A7=1,IF(OR('My Loans'!$N$18="",'My Loans'!$N$18=0),0,INDIRECT("'My Loans'!$D"&amp;'My Loans'!$N$18)),AY6)</f>
        <v>7876.3315728901262</v>
      </c>
      <c r="O7" s="13">
        <f ca="1">IF(OR('My Loans'!$N$18="",'My Loans'!$N$18=0),0,N7*INDIRECT("'My Loans'!$E"&amp;'My Loans'!$N$18)/12)</f>
        <v>29.536243398337973</v>
      </c>
      <c r="P7" s="13">
        <f ca="1">IF(OR('My Loans'!$N$18="",'My Loans'!$N$18=0),0,IF(N7&lt;0.005,0,MIN(INDIRECT("'My Loans'!$F"&amp;'My Loans'!$N$18),N7+O7)))</f>
        <v>95</v>
      </c>
      <c r="Q7" s="13">
        <f ca="1">IF(A7=1,IF(OR('My Loans'!$N$19="",'My Loans'!$N$19=0),0,INDIRECT("'My Loans'!$D"&amp;'My Loans'!$N$19)),BD6)</f>
        <v>0</v>
      </c>
      <c r="R7" s="13">
        <f ca="1">IF(OR('My Loans'!$N$19="",'My Loans'!$N$19=0),0,Q7*INDIRECT("'My Loans'!$E"&amp;'My Loans'!$N$19)/12)</f>
        <v>0</v>
      </c>
      <c r="S7" s="13">
        <f ca="1">IF(OR('My Loans'!$N$19="",'My Loans'!$N$19=0),0,IF(Q7&lt;0.005,0,MIN(INDIRECT("'My Loans'!$F"&amp;'My Loans'!$N$19),Q7+R7)))</f>
        <v>0</v>
      </c>
      <c r="T7" s="13">
        <f ca="1">IF(A7=1,IF(OR('My Loans'!$N$20="",'My Loans'!$N$20=0),0,INDIRECT("'My Loans'!$D"&amp;'My Loans'!$N$20)),BI6)</f>
        <v>0</v>
      </c>
      <c r="U7" s="13">
        <f ca="1">IF(OR('My Loans'!$N$20="",'My Loans'!$N$20=0),0,T7*INDIRECT("'My Loans'!$E"&amp;'My Loans'!$N$20)/12)</f>
        <v>0</v>
      </c>
      <c r="V7" s="13">
        <f ca="1">IF(OR('My Loans'!$N$20="",'My Loans'!$N$20=0),0,IF(T7&lt;0.005,0,MIN(INDIRECT("'My Loans'!$F"&amp;'My Loans'!$N$20),T7+U7)))</f>
        <v>0</v>
      </c>
      <c r="W7" s="13">
        <f ca="1">IF(A7=1,IF(OR('My Loans'!$N$21="",'My Loans'!$N$21=0),0,INDIRECT("'My Loans'!$D"&amp;'My Loans'!$N$21)),BN6)</f>
        <v>0</v>
      </c>
      <c r="X7" s="13">
        <f ca="1">IF(OR('My Loans'!$N$21="",'My Loans'!$N$21=0),0,W7*INDIRECT("'My Loans'!$E"&amp;'My Loans'!$N$21)/12)</f>
        <v>0</v>
      </c>
      <c r="Y7" s="13">
        <f ca="1">IF(OR('My Loans'!$N$21="",'My Loans'!$N$21=0),0,IF(W7&lt;0.005,0,MIN(INDIRECT("'My Loans'!$F"&amp;'My Loans'!$N$21),W7+X7)))</f>
        <v>0</v>
      </c>
      <c r="Z7" s="13">
        <f ca="1">'My Loans'!$B$13-(D7+G7+J7+M7+P7+S7+V7+Y7)</f>
        <v>463</v>
      </c>
      <c r="AA7" s="13">
        <f t="shared" ca="1" si="0"/>
        <v>463</v>
      </c>
      <c r="AB7" s="13">
        <f t="shared" ca="1" si="1"/>
        <v>24262.394271412384</v>
      </c>
      <c r="AC7" s="13">
        <f t="shared" ca="1" si="2"/>
        <v>463</v>
      </c>
      <c r="AD7" s="13">
        <f t="shared" ca="1" si="3"/>
        <v>873</v>
      </c>
      <c r="AE7" s="13">
        <f t="shared" ca="1" si="4"/>
        <v>23799.394271412384</v>
      </c>
      <c r="AF7" s="13">
        <f t="shared" ca="1" si="5"/>
        <v>0</v>
      </c>
      <c r="AG7" s="13">
        <f t="shared" ca="1" si="6"/>
        <v>14595.438022980969</v>
      </c>
      <c r="AH7" s="13">
        <f t="shared" ca="1" si="7"/>
        <v>0</v>
      </c>
      <c r="AI7" s="13">
        <f t="shared" ca="1" si="8"/>
        <v>178</v>
      </c>
      <c r="AJ7" s="13">
        <f t="shared" ca="1" si="9"/>
        <v>14595.438022980969</v>
      </c>
      <c r="AK7" s="13">
        <f t="shared" ca="1" si="10"/>
        <v>0</v>
      </c>
      <c r="AL7" s="13">
        <f t="shared" ca="1" si="11"/>
        <v>12294.235701186159</v>
      </c>
      <c r="AM7" s="13">
        <f t="shared" ca="1" si="12"/>
        <v>0</v>
      </c>
      <c r="AN7" s="13">
        <f t="shared" ca="1" si="13"/>
        <v>142</v>
      </c>
      <c r="AO7" s="13">
        <f t="shared" ca="1" si="14"/>
        <v>12294.235701186159</v>
      </c>
      <c r="AP7" s="13">
        <f t="shared" ca="1" si="15"/>
        <v>0</v>
      </c>
      <c r="AQ7" s="13">
        <f t="shared" ca="1" si="16"/>
        <v>9363.6669427574452</v>
      </c>
      <c r="AR7" s="13">
        <f t="shared" ca="1" si="17"/>
        <v>0</v>
      </c>
      <c r="AS7" s="13">
        <f t="shared" ca="1" si="18"/>
        <v>112</v>
      </c>
      <c r="AT7" s="13">
        <f t="shared" ca="1" si="19"/>
        <v>9363.6669427574452</v>
      </c>
      <c r="AU7" s="13">
        <f t="shared" ca="1" si="20"/>
        <v>0</v>
      </c>
      <c r="AV7" s="13">
        <f t="shared" ca="1" si="21"/>
        <v>7810.8678162884644</v>
      </c>
      <c r="AW7" s="13">
        <f t="shared" ca="1" si="22"/>
        <v>0</v>
      </c>
      <c r="AX7" s="13">
        <f t="shared" ca="1" si="23"/>
        <v>95</v>
      </c>
      <c r="AY7" s="13">
        <f t="shared" ca="1" si="24"/>
        <v>7810.8678162884644</v>
      </c>
      <c r="AZ7" s="13">
        <f t="shared" ca="1" si="25"/>
        <v>0</v>
      </c>
      <c r="BA7" s="13">
        <f t="shared" ca="1" si="26"/>
        <v>0</v>
      </c>
      <c r="BB7" s="13">
        <f t="shared" ca="1" si="27"/>
        <v>0</v>
      </c>
      <c r="BC7" s="13">
        <f t="shared" ca="1" si="28"/>
        <v>0</v>
      </c>
      <c r="BD7" s="13">
        <f t="shared" ca="1" si="29"/>
        <v>0</v>
      </c>
      <c r="BE7" s="13">
        <f t="shared" ca="1" si="30"/>
        <v>0</v>
      </c>
      <c r="BF7" s="13">
        <f t="shared" ca="1" si="31"/>
        <v>0</v>
      </c>
      <c r="BG7" s="13">
        <f t="shared" ca="1" si="32"/>
        <v>0</v>
      </c>
      <c r="BH7" s="13">
        <f t="shared" ca="1" si="33"/>
        <v>0</v>
      </c>
      <c r="BI7" s="13">
        <f t="shared" ca="1" si="34"/>
        <v>0</v>
      </c>
      <c r="BJ7" s="13">
        <f t="shared" ca="1" si="35"/>
        <v>0</v>
      </c>
      <c r="BK7" s="13">
        <f t="shared" ca="1" si="36"/>
        <v>0</v>
      </c>
      <c r="BL7" s="13">
        <f t="shared" ca="1" si="37"/>
        <v>0</v>
      </c>
      <c r="BM7" s="13">
        <f t="shared" ca="1" si="38"/>
        <v>0</v>
      </c>
      <c r="BN7" s="13">
        <f t="shared" ca="1" si="39"/>
        <v>0</v>
      </c>
      <c r="BO7" s="13">
        <f t="shared" ca="1" si="40"/>
        <v>1400</v>
      </c>
      <c r="BP7" s="13">
        <f t="shared" ca="1" si="41"/>
        <v>362.11192618595919</v>
      </c>
      <c r="BQ7" s="13">
        <f t="shared" ca="1" si="42"/>
        <v>67863.602754625419</v>
      </c>
    </row>
    <row r="8" spans="1:69" x14ac:dyDescent="0.25">
      <c r="A8" s="1">
        <v>7</v>
      </c>
      <c r="B8" s="13">
        <f ca="1">IF(A8=1,IF(OR('My Loans'!$N$14="",'My Loans'!$N$14=0),0,INDIRECT("'My Loans'!$D"&amp;'My Loans'!$N$14)),AE7)</f>
        <v>23799.394271412384</v>
      </c>
      <c r="C8" s="13">
        <f ca="1">IF(OR('My Loans'!$N$14="",'My Loans'!$N$14=0),0,B8*INDIRECT("'My Loans'!$E"&amp;'My Loans'!$N$14)/12)</f>
        <v>156.67934562013153</v>
      </c>
      <c r="D8" s="13">
        <f ca="1">IF(OR('My Loans'!$N$14="",'My Loans'!$N$14=0),0,IF(B8&lt;0.005,0,MIN(INDIRECT("'My Loans'!$F"&amp;'My Loans'!$N$14),B8+C8)))</f>
        <v>410</v>
      </c>
      <c r="E8" s="13">
        <f ca="1">IF(A8=1,IF(OR('My Loans'!$N$15="",'My Loans'!$N$15=0),0,INDIRECT("'My Loans'!$D"&amp;'My Loans'!$N$15)),AJ7)</f>
        <v>14595.438022980969</v>
      </c>
      <c r="F8" s="13">
        <f ca="1">IF(OR('My Loans'!$N$15="",'My Loans'!$N$15=0),0,E8*INDIRECT("'My Loans'!$E"&amp;'My Loans'!$N$15)/12)</f>
        <v>75.409763118735</v>
      </c>
      <c r="G8" s="13">
        <f ca="1">IF(OR('My Loans'!$N$15="",'My Loans'!$N$15=0),0,IF(E8&lt;0.005,0,MIN(INDIRECT("'My Loans'!$F"&amp;'My Loans'!$N$15),E8+F8)))</f>
        <v>178</v>
      </c>
      <c r="H8" s="13">
        <f ca="1">IF(A8=1,IF(OR('My Loans'!$N$16="",'My Loans'!$N$16=0),0,INDIRECT("'My Loans'!$D"&amp;'My Loans'!$N$16)),AO7)</f>
        <v>12294.235701186159</v>
      </c>
      <c r="I8" s="13">
        <f ca="1">IF(OR('My Loans'!$N$16="",'My Loans'!$N$16=0),0,H8*INDIRECT("'My Loans'!$E"&amp;'My Loans'!$N$16)/12)</f>
        <v>56.348580297103233</v>
      </c>
      <c r="J8" s="13">
        <f ca="1">IF(OR('My Loans'!$N$16="",'My Loans'!$N$16=0),0,IF(H8&lt;0.005,0,MIN(INDIRECT("'My Loans'!$F"&amp;'My Loans'!$N$16),H8+I8)))</f>
        <v>142</v>
      </c>
      <c r="K8" s="13">
        <f ca="1">IF(A8=1,IF(OR('My Loans'!$N$17="",'My Loans'!$N$17=0),0,INDIRECT("'My Loans'!$D"&amp;'My Loans'!$N$17)),AT7)</f>
        <v>9363.6669427574452</v>
      </c>
      <c r="L8" s="13">
        <f ca="1">IF(OR('My Loans'!$N$17="",'My Loans'!$N$17=0),0,K8*INDIRECT("'My Loans'!$E"&amp;'My Loans'!$N$17)/12)</f>
        <v>38.234973349592899</v>
      </c>
      <c r="M8" s="13">
        <f ca="1">IF(OR('My Loans'!$N$17="",'My Loans'!$N$17=0),0,IF(K8&lt;0.005,0,MIN(INDIRECT("'My Loans'!$F"&amp;'My Loans'!$N$17),K8+L8)))</f>
        <v>112</v>
      </c>
      <c r="N8" s="13">
        <f ca="1">IF(A8=1,IF(OR('My Loans'!$N$18="",'My Loans'!$N$18=0),0,INDIRECT("'My Loans'!$D"&amp;'My Loans'!$N$18)),AY7)</f>
        <v>7810.8678162884644</v>
      </c>
      <c r="O8" s="13">
        <f ca="1">IF(OR('My Loans'!$N$18="",'My Loans'!$N$18=0),0,N8*INDIRECT("'My Loans'!$E"&amp;'My Loans'!$N$18)/12)</f>
        <v>29.290754311081741</v>
      </c>
      <c r="P8" s="13">
        <f ca="1">IF(OR('My Loans'!$N$18="",'My Loans'!$N$18=0),0,IF(N8&lt;0.005,0,MIN(INDIRECT("'My Loans'!$F"&amp;'My Loans'!$N$18),N8+O8)))</f>
        <v>95</v>
      </c>
      <c r="Q8" s="13">
        <f ca="1">IF(A8=1,IF(OR('My Loans'!$N$19="",'My Loans'!$N$19=0),0,INDIRECT("'My Loans'!$D"&amp;'My Loans'!$N$19)),BD7)</f>
        <v>0</v>
      </c>
      <c r="R8" s="13">
        <f ca="1">IF(OR('My Loans'!$N$19="",'My Loans'!$N$19=0),0,Q8*INDIRECT("'My Loans'!$E"&amp;'My Loans'!$N$19)/12)</f>
        <v>0</v>
      </c>
      <c r="S8" s="13">
        <f ca="1">IF(OR('My Loans'!$N$19="",'My Loans'!$N$19=0),0,IF(Q8&lt;0.005,0,MIN(INDIRECT("'My Loans'!$F"&amp;'My Loans'!$N$19),Q8+R8)))</f>
        <v>0</v>
      </c>
      <c r="T8" s="13">
        <f ca="1">IF(A8=1,IF(OR('My Loans'!$N$20="",'My Loans'!$N$20=0),0,INDIRECT("'My Loans'!$D"&amp;'My Loans'!$N$20)),BI7)</f>
        <v>0</v>
      </c>
      <c r="U8" s="13">
        <f ca="1">IF(OR('My Loans'!$N$20="",'My Loans'!$N$20=0),0,T8*INDIRECT("'My Loans'!$E"&amp;'My Loans'!$N$20)/12)</f>
        <v>0</v>
      </c>
      <c r="V8" s="13">
        <f ca="1">IF(OR('My Loans'!$N$20="",'My Loans'!$N$20=0),0,IF(T8&lt;0.005,0,MIN(INDIRECT("'My Loans'!$F"&amp;'My Loans'!$N$20),T8+U8)))</f>
        <v>0</v>
      </c>
      <c r="W8" s="13">
        <f ca="1">IF(A8=1,IF(OR('My Loans'!$N$21="",'My Loans'!$N$21=0),0,INDIRECT("'My Loans'!$D"&amp;'My Loans'!$N$21)),BN7)</f>
        <v>0</v>
      </c>
      <c r="X8" s="13">
        <f ca="1">IF(OR('My Loans'!$N$21="",'My Loans'!$N$21=0),0,W8*INDIRECT("'My Loans'!$E"&amp;'My Loans'!$N$21)/12)</f>
        <v>0</v>
      </c>
      <c r="Y8" s="13">
        <f ca="1">IF(OR('My Loans'!$N$21="",'My Loans'!$N$21=0),0,IF(W8&lt;0.005,0,MIN(INDIRECT("'My Loans'!$F"&amp;'My Loans'!$N$21),W8+X8)))</f>
        <v>0</v>
      </c>
      <c r="Z8" s="13">
        <f ca="1">'My Loans'!$B$13-(D8+G8+J8+M8+P8+S8+V8+Y8)</f>
        <v>463</v>
      </c>
      <c r="AA8" s="13">
        <f t="shared" ca="1" si="0"/>
        <v>463</v>
      </c>
      <c r="AB8" s="13">
        <f t="shared" ca="1" si="1"/>
        <v>23546.073617032514</v>
      </c>
      <c r="AC8" s="13">
        <f t="shared" ca="1" si="2"/>
        <v>463</v>
      </c>
      <c r="AD8" s="13">
        <f t="shared" ca="1" si="3"/>
        <v>873</v>
      </c>
      <c r="AE8" s="13">
        <f t="shared" ca="1" si="4"/>
        <v>23083.073617032514</v>
      </c>
      <c r="AF8" s="13">
        <f t="shared" ca="1" si="5"/>
        <v>0</v>
      </c>
      <c r="AG8" s="13">
        <f t="shared" ca="1" si="6"/>
        <v>14492.847786099703</v>
      </c>
      <c r="AH8" s="13">
        <f t="shared" ca="1" si="7"/>
        <v>0</v>
      </c>
      <c r="AI8" s="13">
        <f t="shared" ca="1" si="8"/>
        <v>178</v>
      </c>
      <c r="AJ8" s="13">
        <f t="shared" ca="1" si="9"/>
        <v>14492.847786099703</v>
      </c>
      <c r="AK8" s="13">
        <f t="shared" ca="1" si="10"/>
        <v>0</v>
      </c>
      <c r="AL8" s="13">
        <f t="shared" ca="1" si="11"/>
        <v>12208.584281483261</v>
      </c>
      <c r="AM8" s="13">
        <f t="shared" ca="1" si="12"/>
        <v>0</v>
      </c>
      <c r="AN8" s="13">
        <f t="shared" ca="1" si="13"/>
        <v>142</v>
      </c>
      <c r="AO8" s="13">
        <f t="shared" ca="1" si="14"/>
        <v>12208.584281483261</v>
      </c>
      <c r="AP8" s="13">
        <f t="shared" ca="1" si="15"/>
        <v>0</v>
      </c>
      <c r="AQ8" s="13">
        <f t="shared" ca="1" si="16"/>
        <v>9289.9019161070373</v>
      </c>
      <c r="AR8" s="13">
        <f t="shared" ca="1" si="17"/>
        <v>0</v>
      </c>
      <c r="AS8" s="13">
        <f t="shared" ca="1" si="18"/>
        <v>112</v>
      </c>
      <c r="AT8" s="13">
        <f t="shared" ca="1" si="19"/>
        <v>9289.9019161070373</v>
      </c>
      <c r="AU8" s="13">
        <f t="shared" ca="1" si="20"/>
        <v>0</v>
      </c>
      <c r="AV8" s="13">
        <f t="shared" ca="1" si="21"/>
        <v>7745.1585705995458</v>
      </c>
      <c r="AW8" s="13">
        <f t="shared" ca="1" si="22"/>
        <v>0</v>
      </c>
      <c r="AX8" s="13">
        <f t="shared" ca="1" si="23"/>
        <v>95</v>
      </c>
      <c r="AY8" s="13">
        <f t="shared" ca="1" si="24"/>
        <v>7745.1585705995458</v>
      </c>
      <c r="AZ8" s="13">
        <f t="shared" ca="1" si="25"/>
        <v>0</v>
      </c>
      <c r="BA8" s="13">
        <f t="shared" ca="1" si="26"/>
        <v>0</v>
      </c>
      <c r="BB8" s="13">
        <f t="shared" ca="1" si="27"/>
        <v>0</v>
      </c>
      <c r="BC8" s="13">
        <f t="shared" ca="1" si="28"/>
        <v>0</v>
      </c>
      <c r="BD8" s="13">
        <f t="shared" ca="1" si="29"/>
        <v>0</v>
      </c>
      <c r="BE8" s="13">
        <f t="shared" ca="1" si="30"/>
        <v>0</v>
      </c>
      <c r="BF8" s="13">
        <f t="shared" ca="1" si="31"/>
        <v>0</v>
      </c>
      <c r="BG8" s="13">
        <f t="shared" ca="1" si="32"/>
        <v>0</v>
      </c>
      <c r="BH8" s="13">
        <f t="shared" ca="1" si="33"/>
        <v>0</v>
      </c>
      <c r="BI8" s="13">
        <f t="shared" ca="1" si="34"/>
        <v>0</v>
      </c>
      <c r="BJ8" s="13">
        <f t="shared" ca="1" si="35"/>
        <v>0</v>
      </c>
      <c r="BK8" s="13">
        <f t="shared" ca="1" si="36"/>
        <v>0</v>
      </c>
      <c r="BL8" s="13">
        <f t="shared" ca="1" si="37"/>
        <v>0</v>
      </c>
      <c r="BM8" s="13">
        <f t="shared" ca="1" si="38"/>
        <v>0</v>
      </c>
      <c r="BN8" s="13">
        <f t="shared" ca="1" si="39"/>
        <v>0</v>
      </c>
      <c r="BO8" s="13">
        <f t="shared" ca="1" si="40"/>
        <v>1400</v>
      </c>
      <c r="BP8" s="13">
        <f t="shared" ca="1" si="41"/>
        <v>355.9634166966444</v>
      </c>
      <c r="BQ8" s="13">
        <f t="shared" ca="1" si="42"/>
        <v>66819.566171322062</v>
      </c>
    </row>
    <row r="9" spans="1:69" x14ac:dyDescent="0.25">
      <c r="A9" s="1">
        <v>8</v>
      </c>
      <c r="B9" s="13">
        <f ca="1">IF(A9=1,IF(OR('My Loans'!$N$14="",'My Loans'!$N$14=0),0,INDIRECT("'My Loans'!$D"&amp;'My Loans'!$N$14)),AE8)</f>
        <v>23083.073617032514</v>
      </c>
      <c r="C9" s="13">
        <f ca="1">IF(OR('My Loans'!$N$14="",'My Loans'!$N$14=0),0,B9*INDIRECT("'My Loans'!$E"&amp;'My Loans'!$N$14)/12)</f>
        <v>151.96356797879739</v>
      </c>
      <c r="D9" s="13">
        <f ca="1">IF(OR('My Loans'!$N$14="",'My Loans'!$N$14=0),0,IF(B9&lt;0.005,0,MIN(INDIRECT("'My Loans'!$F"&amp;'My Loans'!$N$14),B9+C9)))</f>
        <v>410</v>
      </c>
      <c r="E9" s="13">
        <f ca="1">IF(A9=1,IF(OR('My Loans'!$N$15="",'My Loans'!$N$15=0),0,INDIRECT("'My Loans'!$D"&amp;'My Loans'!$N$15)),AJ8)</f>
        <v>14492.847786099703</v>
      </c>
      <c r="F9" s="13">
        <f ca="1">IF(OR('My Loans'!$N$15="",'My Loans'!$N$15=0),0,E9*INDIRECT("'My Loans'!$E"&amp;'My Loans'!$N$15)/12)</f>
        <v>74.879713561515132</v>
      </c>
      <c r="G9" s="13">
        <f ca="1">IF(OR('My Loans'!$N$15="",'My Loans'!$N$15=0),0,IF(E9&lt;0.005,0,MIN(INDIRECT("'My Loans'!$F"&amp;'My Loans'!$N$15),E9+F9)))</f>
        <v>178</v>
      </c>
      <c r="H9" s="13">
        <f ca="1">IF(A9=1,IF(OR('My Loans'!$N$16="",'My Loans'!$N$16=0),0,INDIRECT("'My Loans'!$D"&amp;'My Loans'!$N$16)),AO8)</f>
        <v>12208.584281483261</v>
      </c>
      <c r="I9" s="13">
        <f ca="1">IF(OR('My Loans'!$N$16="",'My Loans'!$N$16=0),0,H9*INDIRECT("'My Loans'!$E"&amp;'My Loans'!$N$16)/12)</f>
        <v>55.956011290131613</v>
      </c>
      <c r="J9" s="13">
        <f ca="1">IF(OR('My Loans'!$N$16="",'My Loans'!$N$16=0),0,IF(H9&lt;0.005,0,MIN(INDIRECT("'My Loans'!$F"&amp;'My Loans'!$N$16),H9+I9)))</f>
        <v>142</v>
      </c>
      <c r="K9" s="13">
        <f ca="1">IF(A9=1,IF(OR('My Loans'!$N$17="",'My Loans'!$N$17=0),0,INDIRECT("'My Loans'!$D"&amp;'My Loans'!$N$17)),AT8)</f>
        <v>9289.9019161070373</v>
      </c>
      <c r="L9" s="13">
        <f ca="1">IF(OR('My Loans'!$N$17="",'My Loans'!$N$17=0),0,K9*INDIRECT("'My Loans'!$E"&amp;'My Loans'!$N$17)/12)</f>
        <v>37.93376615743707</v>
      </c>
      <c r="M9" s="13">
        <f ca="1">IF(OR('My Loans'!$N$17="",'My Loans'!$N$17=0),0,IF(K9&lt;0.005,0,MIN(INDIRECT("'My Loans'!$F"&amp;'My Loans'!$N$17),K9+L9)))</f>
        <v>112</v>
      </c>
      <c r="N9" s="13">
        <f ca="1">IF(A9=1,IF(OR('My Loans'!$N$18="",'My Loans'!$N$18=0),0,INDIRECT("'My Loans'!$D"&amp;'My Loans'!$N$18)),AY8)</f>
        <v>7745.1585705995458</v>
      </c>
      <c r="O9" s="13">
        <f ca="1">IF(OR('My Loans'!$N$18="",'My Loans'!$N$18=0),0,N9*INDIRECT("'My Loans'!$E"&amp;'My Loans'!$N$18)/12)</f>
        <v>29.044344639748292</v>
      </c>
      <c r="P9" s="13">
        <f ca="1">IF(OR('My Loans'!$N$18="",'My Loans'!$N$18=0),0,IF(N9&lt;0.005,0,MIN(INDIRECT("'My Loans'!$F"&amp;'My Loans'!$N$18),N9+O9)))</f>
        <v>95</v>
      </c>
      <c r="Q9" s="13">
        <f ca="1">IF(A9=1,IF(OR('My Loans'!$N$19="",'My Loans'!$N$19=0),0,INDIRECT("'My Loans'!$D"&amp;'My Loans'!$N$19)),BD8)</f>
        <v>0</v>
      </c>
      <c r="R9" s="13">
        <f ca="1">IF(OR('My Loans'!$N$19="",'My Loans'!$N$19=0),0,Q9*INDIRECT("'My Loans'!$E"&amp;'My Loans'!$N$19)/12)</f>
        <v>0</v>
      </c>
      <c r="S9" s="13">
        <f ca="1">IF(OR('My Loans'!$N$19="",'My Loans'!$N$19=0),0,IF(Q9&lt;0.005,0,MIN(INDIRECT("'My Loans'!$F"&amp;'My Loans'!$N$19),Q9+R9)))</f>
        <v>0</v>
      </c>
      <c r="T9" s="13">
        <f ca="1">IF(A9=1,IF(OR('My Loans'!$N$20="",'My Loans'!$N$20=0),0,INDIRECT("'My Loans'!$D"&amp;'My Loans'!$N$20)),BI8)</f>
        <v>0</v>
      </c>
      <c r="U9" s="13">
        <f ca="1">IF(OR('My Loans'!$N$20="",'My Loans'!$N$20=0),0,T9*INDIRECT("'My Loans'!$E"&amp;'My Loans'!$N$20)/12)</f>
        <v>0</v>
      </c>
      <c r="V9" s="13">
        <f ca="1">IF(OR('My Loans'!$N$20="",'My Loans'!$N$20=0),0,IF(T9&lt;0.005,0,MIN(INDIRECT("'My Loans'!$F"&amp;'My Loans'!$N$20),T9+U9)))</f>
        <v>0</v>
      </c>
      <c r="W9" s="13">
        <f ca="1">IF(A9=1,IF(OR('My Loans'!$N$21="",'My Loans'!$N$21=0),0,INDIRECT("'My Loans'!$D"&amp;'My Loans'!$N$21)),BN8)</f>
        <v>0</v>
      </c>
      <c r="X9" s="13">
        <f ca="1">IF(OR('My Loans'!$N$21="",'My Loans'!$N$21=0),0,W9*INDIRECT("'My Loans'!$E"&amp;'My Loans'!$N$21)/12)</f>
        <v>0</v>
      </c>
      <c r="Y9" s="13">
        <f ca="1">IF(OR('My Loans'!$N$21="",'My Loans'!$N$21=0),0,IF(W9&lt;0.005,0,MIN(INDIRECT("'My Loans'!$F"&amp;'My Loans'!$N$21),W9+X9)))</f>
        <v>0</v>
      </c>
      <c r="Z9" s="13">
        <f ca="1">'My Loans'!$B$13-(D9+G9+J9+M9+P9+S9+V9+Y9)</f>
        <v>463</v>
      </c>
      <c r="AA9" s="13">
        <f t="shared" ca="1" si="0"/>
        <v>463</v>
      </c>
      <c r="AB9" s="13">
        <f t="shared" ca="1" si="1"/>
        <v>22825.037185011312</v>
      </c>
      <c r="AC9" s="13">
        <f t="shared" ca="1" si="2"/>
        <v>463</v>
      </c>
      <c r="AD9" s="13">
        <f t="shared" ca="1" si="3"/>
        <v>873</v>
      </c>
      <c r="AE9" s="13">
        <f t="shared" ca="1" si="4"/>
        <v>22362.037185011312</v>
      </c>
      <c r="AF9" s="13">
        <f t="shared" ca="1" si="5"/>
        <v>0</v>
      </c>
      <c r="AG9" s="13">
        <f t="shared" ca="1" si="6"/>
        <v>14389.727499661218</v>
      </c>
      <c r="AH9" s="13">
        <f t="shared" ca="1" si="7"/>
        <v>0</v>
      </c>
      <c r="AI9" s="13">
        <f t="shared" ca="1" si="8"/>
        <v>178</v>
      </c>
      <c r="AJ9" s="13">
        <f t="shared" ca="1" si="9"/>
        <v>14389.727499661218</v>
      </c>
      <c r="AK9" s="13">
        <f t="shared" ca="1" si="10"/>
        <v>0</v>
      </c>
      <c r="AL9" s="13">
        <f t="shared" ca="1" si="11"/>
        <v>12122.540292773392</v>
      </c>
      <c r="AM9" s="13">
        <f t="shared" ca="1" si="12"/>
        <v>0</v>
      </c>
      <c r="AN9" s="13">
        <f t="shared" ca="1" si="13"/>
        <v>142</v>
      </c>
      <c r="AO9" s="13">
        <f t="shared" ca="1" si="14"/>
        <v>12122.540292773392</v>
      </c>
      <c r="AP9" s="13">
        <f t="shared" ca="1" si="15"/>
        <v>0</v>
      </c>
      <c r="AQ9" s="13">
        <f t="shared" ca="1" si="16"/>
        <v>9215.8356822644746</v>
      </c>
      <c r="AR9" s="13">
        <f t="shared" ca="1" si="17"/>
        <v>0</v>
      </c>
      <c r="AS9" s="13">
        <f t="shared" ca="1" si="18"/>
        <v>112</v>
      </c>
      <c r="AT9" s="13">
        <f t="shared" ca="1" si="19"/>
        <v>9215.8356822644746</v>
      </c>
      <c r="AU9" s="13">
        <f t="shared" ca="1" si="20"/>
        <v>0</v>
      </c>
      <c r="AV9" s="13">
        <f t="shared" ca="1" si="21"/>
        <v>7679.2029152392943</v>
      </c>
      <c r="AW9" s="13">
        <f t="shared" ca="1" si="22"/>
        <v>0</v>
      </c>
      <c r="AX9" s="13">
        <f t="shared" ca="1" si="23"/>
        <v>95</v>
      </c>
      <c r="AY9" s="13">
        <f t="shared" ca="1" si="24"/>
        <v>7679.2029152392943</v>
      </c>
      <c r="AZ9" s="13">
        <f t="shared" ca="1" si="25"/>
        <v>0</v>
      </c>
      <c r="BA9" s="13">
        <f t="shared" ca="1" si="26"/>
        <v>0</v>
      </c>
      <c r="BB9" s="13">
        <f t="shared" ca="1" si="27"/>
        <v>0</v>
      </c>
      <c r="BC9" s="13">
        <f t="shared" ca="1" si="28"/>
        <v>0</v>
      </c>
      <c r="BD9" s="13">
        <f t="shared" ca="1" si="29"/>
        <v>0</v>
      </c>
      <c r="BE9" s="13">
        <f t="shared" ca="1" si="30"/>
        <v>0</v>
      </c>
      <c r="BF9" s="13">
        <f t="shared" ca="1" si="31"/>
        <v>0</v>
      </c>
      <c r="BG9" s="13">
        <f t="shared" ca="1" si="32"/>
        <v>0</v>
      </c>
      <c r="BH9" s="13">
        <f t="shared" ca="1" si="33"/>
        <v>0</v>
      </c>
      <c r="BI9" s="13">
        <f t="shared" ca="1" si="34"/>
        <v>0</v>
      </c>
      <c r="BJ9" s="13">
        <f t="shared" ca="1" si="35"/>
        <v>0</v>
      </c>
      <c r="BK9" s="13">
        <f t="shared" ca="1" si="36"/>
        <v>0</v>
      </c>
      <c r="BL9" s="13">
        <f t="shared" ca="1" si="37"/>
        <v>0</v>
      </c>
      <c r="BM9" s="13">
        <f t="shared" ca="1" si="38"/>
        <v>0</v>
      </c>
      <c r="BN9" s="13">
        <f t="shared" ca="1" si="39"/>
        <v>0</v>
      </c>
      <c r="BO9" s="13">
        <f t="shared" ca="1" si="40"/>
        <v>1400</v>
      </c>
      <c r="BP9" s="13">
        <f t="shared" ca="1" si="41"/>
        <v>349.7774036276295</v>
      </c>
      <c r="BQ9" s="13">
        <f t="shared" ca="1" si="42"/>
        <v>65769.343574949686</v>
      </c>
    </row>
    <row r="10" spans="1:69" x14ac:dyDescent="0.25">
      <c r="A10" s="1">
        <v>9</v>
      </c>
      <c r="B10" s="13">
        <f ca="1">IF(A10=1,IF(OR('My Loans'!$N$14="",'My Loans'!$N$14=0),0,INDIRECT("'My Loans'!$D"&amp;'My Loans'!$N$14)),AE9)</f>
        <v>22362.037185011312</v>
      </c>
      <c r="C10" s="13">
        <f ca="1">IF(OR('My Loans'!$N$14="",'My Loans'!$N$14=0),0,B10*INDIRECT("'My Loans'!$E"&amp;'My Loans'!$N$14)/12)</f>
        <v>147.21674480132447</v>
      </c>
      <c r="D10" s="13">
        <f ca="1">IF(OR('My Loans'!$N$14="",'My Loans'!$N$14=0),0,IF(B10&lt;0.005,0,MIN(INDIRECT("'My Loans'!$F"&amp;'My Loans'!$N$14),B10+C10)))</f>
        <v>410</v>
      </c>
      <c r="E10" s="13">
        <f ca="1">IF(A10=1,IF(OR('My Loans'!$N$15="",'My Loans'!$N$15=0),0,INDIRECT("'My Loans'!$D"&amp;'My Loans'!$N$15)),AJ9)</f>
        <v>14389.727499661218</v>
      </c>
      <c r="F10" s="13">
        <f ca="1">IF(OR('My Loans'!$N$15="",'My Loans'!$N$15=0),0,E10*INDIRECT("'My Loans'!$E"&amp;'My Loans'!$N$15)/12)</f>
        <v>74.346925414916299</v>
      </c>
      <c r="G10" s="13">
        <f ca="1">IF(OR('My Loans'!$N$15="",'My Loans'!$N$15=0),0,IF(E10&lt;0.005,0,MIN(INDIRECT("'My Loans'!$F"&amp;'My Loans'!$N$15),E10+F10)))</f>
        <v>178</v>
      </c>
      <c r="H10" s="13">
        <f ca="1">IF(A10=1,IF(OR('My Loans'!$N$16="",'My Loans'!$N$16=0),0,INDIRECT("'My Loans'!$D"&amp;'My Loans'!$N$16)),AO9)</f>
        <v>12122.540292773392</v>
      </c>
      <c r="I10" s="13">
        <f ca="1">IF(OR('My Loans'!$N$16="",'My Loans'!$N$16=0),0,H10*INDIRECT("'My Loans'!$E"&amp;'My Loans'!$N$16)/12)</f>
        <v>55.561643008544713</v>
      </c>
      <c r="J10" s="13">
        <f ca="1">IF(OR('My Loans'!$N$16="",'My Loans'!$N$16=0),0,IF(H10&lt;0.005,0,MIN(INDIRECT("'My Loans'!$F"&amp;'My Loans'!$N$16),H10+I10)))</f>
        <v>142</v>
      </c>
      <c r="K10" s="13">
        <f ca="1">IF(A10=1,IF(OR('My Loans'!$N$17="",'My Loans'!$N$17=0),0,INDIRECT("'My Loans'!$D"&amp;'My Loans'!$N$17)),AT9)</f>
        <v>9215.8356822644746</v>
      </c>
      <c r="L10" s="13">
        <f ca="1">IF(OR('My Loans'!$N$17="",'My Loans'!$N$17=0),0,K10*INDIRECT("'My Loans'!$E"&amp;'My Loans'!$N$17)/12)</f>
        <v>37.631329035913275</v>
      </c>
      <c r="M10" s="13">
        <f ca="1">IF(OR('My Loans'!$N$17="",'My Loans'!$N$17=0),0,IF(K10&lt;0.005,0,MIN(INDIRECT("'My Loans'!$F"&amp;'My Loans'!$N$17),K10+L10)))</f>
        <v>112</v>
      </c>
      <c r="N10" s="13">
        <f ca="1">IF(A10=1,IF(OR('My Loans'!$N$18="",'My Loans'!$N$18=0),0,INDIRECT("'My Loans'!$D"&amp;'My Loans'!$N$18)),AY9)</f>
        <v>7679.2029152392943</v>
      </c>
      <c r="O10" s="13">
        <f ca="1">IF(OR('My Loans'!$N$18="",'My Loans'!$N$18=0),0,N10*INDIRECT("'My Loans'!$E"&amp;'My Loans'!$N$18)/12)</f>
        <v>28.797010932147355</v>
      </c>
      <c r="P10" s="13">
        <f ca="1">IF(OR('My Loans'!$N$18="",'My Loans'!$N$18=0),0,IF(N10&lt;0.005,0,MIN(INDIRECT("'My Loans'!$F"&amp;'My Loans'!$N$18),N10+O10)))</f>
        <v>95</v>
      </c>
      <c r="Q10" s="13">
        <f ca="1">IF(A10=1,IF(OR('My Loans'!$N$19="",'My Loans'!$N$19=0),0,INDIRECT("'My Loans'!$D"&amp;'My Loans'!$N$19)),BD9)</f>
        <v>0</v>
      </c>
      <c r="R10" s="13">
        <f ca="1">IF(OR('My Loans'!$N$19="",'My Loans'!$N$19=0),0,Q10*INDIRECT("'My Loans'!$E"&amp;'My Loans'!$N$19)/12)</f>
        <v>0</v>
      </c>
      <c r="S10" s="13">
        <f ca="1">IF(OR('My Loans'!$N$19="",'My Loans'!$N$19=0),0,IF(Q10&lt;0.005,0,MIN(INDIRECT("'My Loans'!$F"&amp;'My Loans'!$N$19),Q10+R10)))</f>
        <v>0</v>
      </c>
      <c r="T10" s="13">
        <f ca="1">IF(A10=1,IF(OR('My Loans'!$N$20="",'My Loans'!$N$20=0),0,INDIRECT("'My Loans'!$D"&amp;'My Loans'!$N$20)),BI9)</f>
        <v>0</v>
      </c>
      <c r="U10" s="13">
        <f ca="1">IF(OR('My Loans'!$N$20="",'My Loans'!$N$20=0),0,T10*INDIRECT("'My Loans'!$E"&amp;'My Loans'!$N$20)/12)</f>
        <v>0</v>
      </c>
      <c r="V10" s="13">
        <f ca="1">IF(OR('My Loans'!$N$20="",'My Loans'!$N$20=0),0,IF(T10&lt;0.005,0,MIN(INDIRECT("'My Loans'!$F"&amp;'My Loans'!$N$20),T10+U10)))</f>
        <v>0</v>
      </c>
      <c r="W10" s="13">
        <f ca="1">IF(A10=1,IF(OR('My Loans'!$N$21="",'My Loans'!$N$21=0),0,INDIRECT("'My Loans'!$D"&amp;'My Loans'!$N$21)),BN9)</f>
        <v>0</v>
      </c>
      <c r="X10" s="13">
        <f ca="1">IF(OR('My Loans'!$N$21="",'My Loans'!$N$21=0),0,W10*INDIRECT("'My Loans'!$E"&amp;'My Loans'!$N$21)/12)</f>
        <v>0</v>
      </c>
      <c r="Y10" s="13">
        <f ca="1">IF(OR('My Loans'!$N$21="",'My Loans'!$N$21=0),0,IF(W10&lt;0.005,0,MIN(INDIRECT("'My Loans'!$F"&amp;'My Loans'!$N$21),W10+X10)))</f>
        <v>0</v>
      </c>
      <c r="Z10" s="13">
        <f ca="1">'My Loans'!$B$13-(D10+G10+J10+M10+P10+S10+V10+Y10)</f>
        <v>463</v>
      </c>
      <c r="AA10" s="13">
        <f t="shared" ca="1" si="0"/>
        <v>463</v>
      </c>
      <c r="AB10" s="13">
        <f t="shared" ca="1" si="1"/>
        <v>22099.253929812636</v>
      </c>
      <c r="AC10" s="13">
        <f t="shared" ca="1" si="2"/>
        <v>463</v>
      </c>
      <c r="AD10" s="13">
        <f t="shared" ca="1" si="3"/>
        <v>873</v>
      </c>
      <c r="AE10" s="13">
        <f t="shared" ca="1" si="4"/>
        <v>21636.253929812636</v>
      </c>
      <c r="AF10" s="13">
        <f t="shared" ca="1" si="5"/>
        <v>0</v>
      </c>
      <c r="AG10" s="13">
        <f t="shared" ca="1" si="6"/>
        <v>14286.074425076135</v>
      </c>
      <c r="AH10" s="13">
        <f t="shared" ca="1" si="7"/>
        <v>0</v>
      </c>
      <c r="AI10" s="13">
        <f t="shared" ca="1" si="8"/>
        <v>178</v>
      </c>
      <c r="AJ10" s="13">
        <f t="shared" ca="1" si="9"/>
        <v>14286.074425076135</v>
      </c>
      <c r="AK10" s="13">
        <f t="shared" ca="1" si="10"/>
        <v>0</v>
      </c>
      <c r="AL10" s="13">
        <f t="shared" ca="1" si="11"/>
        <v>12036.101935781937</v>
      </c>
      <c r="AM10" s="13">
        <f t="shared" ca="1" si="12"/>
        <v>0</v>
      </c>
      <c r="AN10" s="13">
        <f t="shared" ca="1" si="13"/>
        <v>142</v>
      </c>
      <c r="AO10" s="13">
        <f t="shared" ca="1" si="14"/>
        <v>12036.101935781937</v>
      </c>
      <c r="AP10" s="13">
        <f t="shared" ca="1" si="15"/>
        <v>0</v>
      </c>
      <c r="AQ10" s="13">
        <f t="shared" ca="1" si="16"/>
        <v>9141.4670113003885</v>
      </c>
      <c r="AR10" s="13">
        <f t="shared" ca="1" si="17"/>
        <v>0</v>
      </c>
      <c r="AS10" s="13">
        <f t="shared" ca="1" si="18"/>
        <v>112</v>
      </c>
      <c r="AT10" s="13">
        <f t="shared" ca="1" si="19"/>
        <v>9141.4670113003885</v>
      </c>
      <c r="AU10" s="13">
        <f t="shared" ca="1" si="20"/>
        <v>0</v>
      </c>
      <c r="AV10" s="13">
        <f t="shared" ca="1" si="21"/>
        <v>7612.999926171442</v>
      </c>
      <c r="AW10" s="13">
        <f t="shared" ca="1" si="22"/>
        <v>0</v>
      </c>
      <c r="AX10" s="13">
        <f t="shared" ca="1" si="23"/>
        <v>95</v>
      </c>
      <c r="AY10" s="13">
        <f t="shared" ca="1" si="24"/>
        <v>7612.999926171442</v>
      </c>
      <c r="AZ10" s="13">
        <f t="shared" ca="1" si="25"/>
        <v>0</v>
      </c>
      <c r="BA10" s="13">
        <f t="shared" ca="1" si="26"/>
        <v>0</v>
      </c>
      <c r="BB10" s="13">
        <f t="shared" ca="1" si="27"/>
        <v>0</v>
      </c>
      <c r="BC10" s="13">
        <f t="shared" ca="1" si="28"/>
        <v>0</v>
      </c>
      <c r="BD10" s="13">
        <f t="shared" ca="1" si="29"/>
        <v>0</v>
      </c>
      <c r="BE10" s="13">
        <f t="shared" ca="1" si="30"/>
        <v>0</v>
      </c>
      <c r="BF10" s="13">
        <f t="shared" ca="1" si="31"/>
        <v>0</v>
      </c>
      <c r="BG10" s="13">
        <f t="shared" ca="1" si="32"/>
        <v>0</v>
      </c>
      <c r="BH10" s="13">
        <f t="shared" ca="1" si="33"/>
        <v>0</v>
      </c>
      <c r="BI10" s="13">
        <f t="shared" ca="1" si="34"/>
        <v>0</v>
      </c>
      <c r="BJ10" s="13">
        <f t="shared" ca="1" si="35"/>
        <v>0</v>
      </c>
      <c r="BK10" s="13">
        <f t="shared" ca="1" si="36"/>
        <v>0</v>
      </c>
      <c r="BL10" s="13">
        <f t="shared" ca="1" si="37"/>
        <v>0</v>
      </c>
      <c r="BM10" s="13">
        <f t="shared" ca="1" si="38"/>
        <v>0</v>
      </c>
      <c r="BN10" s="13">
        <f t="shared" ca="1" si="39"/>
        <v>0</v>
      </c>
      <c r="BO10" s="13">
        <f t="shared" ca="1" si="40"/>
        <v>1400</v>
      </c>
      <c r="BP10" s="13">
        <f t="shared" ca="1" si="41"/>
        <v>343.55365319284613</v>
      </c>
      <c r="BQ10" s="13">
        <f t="shared" ca="1" si="42"/>
        <v>64712.897228142538</v>
      </c>
    </row>
    <row r="11" spans="1:69" x14ac:dyDescent="0.25">
      <c r="A11" s="1">
        <v>10</v>
      </c>
      <c r="B11" s="13">
        <f ca="1">IF(A11=1,IF(OR('My Loans'!$N$14="",'My Loans'!$N$14=0),0,INDIRECT("'My Loans'!$D"&amp;'My Loans'!$N$14)),AE10)</f>
        <v>21636.253929812636</v>
      </c>
      <c r="C11" s="13">
        <f ca="1">IF(OR('My Loans'!$N$14="",'My Loans'!$N$14=0),0,B11*INDIRECT("'My Loans'!$E"&amp;'My Loans'!$N$14)/12)</f>
        <v>142.43867170459984</v>
      </c>
      <c r="D11" s="13">
        <f ca="1">IF(OR('My Loans'!$N$14="",'My Loans'!$N$14=0),0,IF(B11&lt;0.005,0,MIN(INDIRECT("'My Loans'!$F"&amp;'My Loans'!$N$14),B11+C11)))</f>
        <v>410</v>
      </c>
      <c r="E11" s="13">
        <f ca="1">IF(A11=1,IF(OR('My Loans'!$N$15="",'My Loans'!$N$15=0),0,INDIRECT("'My Loans'!$D"&amp;'My Loans'!$N$15)),AJ10)</f>
        <v>14286.074425076135</v>
      </c>
      <c r="F11" s="13">
        <f ca="1">IF(OR('My Loans'!$N$15="",'My Loans'!$N$15=0),0,E11*INDIRECT("'My Loans'!$E"&amp;'My Loans'!$N$15)/12)</f>
        <v>73.81138452956003</v>
      </c>
      <c r="G11" s="13">
        <f ca="1">IF(OR('My Loans'!$N$15="",'My Loans'!$N$15=0),0,IF(E11&lt;0.005,0,MIN(INDIRECT("'My Loans'!$F"&amp;'My Loans'!$N$15),E11+F11)))</f>
        <v>178</v>
      </c>
      <c r="H11" s="13">
        <f ca="1">IF(A11=1,IF(OR('My Loans'!$N$16="",'My Loans'!$N$16=0),0,INDIRECT("'My Loans'!$D"&amp;'My Loans'!$N$16)),AO10)</f>
        <v>12036.101935781937</v>
      </c>
      <c r="I11" s="13">
        <f ca="1">IF(OR('My Loans'!$N$16="",'My Loans'!$N$16=0),0,H11*INDIRECT("'My Loans'!$E"&amp;'My Loans'!$N$16)/12)</f>
        <v>55.165467205667206</v>
      </c>
      <c r="J11" s="13">
        <f ca="1">IF(OR('My Loans'!$N$16="",'My Loans'!$N$16=0),0,IF(H11&lt;0.005,0,MIN(INDIRECT("'My Loans'!$F"&amp;'My Loans'!$N$16),H11+I11)))</f>
        <v>142</v>
      </c>
      <c r="K11" s="13">
        <f ca="1">IF(A11=1,IF(OR('My Loans'!$N$17="",'My Loans'!$N$17=0),0,INDIRECT("'My Loans'!$D"&amp;'My Loans'!$N$17)),AT10)</f>
        <v>9141.4670113003885</v>
      </c>
      <c r="L11" s="13">
        <f ca="1">IF(OR('My Loans'!$N$17="",'My Loans'!$N$17=0),0,K11*INDIRECT("'My Loans'!$E"&amp;'My Loans'!$N$17)/12)</f>
        <v>37.327656962809918</v>
      </c>
      <c r="M11" s="13">
        <f ca="1">IF(OR('My Loans'!$N$17="",'My Loans'!$N$17=0),0,IF(K11&lt;0.005,0,MIN(INDIRECT("'My Loans'!$F"&amp;'My Loans'!$N$17),K11+L11)))</f>
        <v>112</v>
      </c>
      <c r="N11" s="13">
        <f ca="1">IF(A11=1,IF(OR('My Loans'!$N$18="",'My Loans'!$N$18=0),0,INDIRECT("'My Loans'!$D"&amp;'My Loans'!$N$18)),AY10)</f>
        <v>7612.999926171442</v>
      </c>
      <c r="O11" s="13">
        <f ca="1">IF(OR('My Loans'!$N$18="",'My Loans'!$N$18=0),0,N11*INDIRECT("'My Loans'!$E"&amp;'My Loans'!$N$18)/12)</f>
        <v>28.548749723142905</v>
      </c>
      <c r="P11" s="13">
        <f ca="1">IF(OR('My Loans'!$N$18="",'My Loans'!$N$18=0),0,IF(N11&lt;0.005,0,MIN(INDIRECT("'My Loans'!$F"&amp;'My Loans'!$N$18),N11+O11)))</f>
        <v>95</v>
      </c>
      <c r="Q11" s="13">
        <f ca="1">IF(A11=1,IF(OR('My Loans'!$N$19="",'My Loans'!$N$19=0),0,INDIRECT("'My Loans'!$D"&amp;'My Loans'!$N$19)),BD10)</f>
        <v>0</v>
      </c>
      <c r="R11" s="13">
        <f ca="1">IF(OR('My Loans'!$N$19="",'My Loans'!$N$19=0),0,Q11*INDIRECT("'My Loans'!$E"&amp;'My Loans'!$N$19)/12)</f>
        <v>0</v>
      </c>
      <c r="S11" s="13">
        <f ca="1">IF(OR('My Loans'!$N$19="",'My Loans'!$N$19=0),0,IF(Q11&lt;0.005,0,MIN(INDIRECT("'My Loans'!$F"&amp;'My Loans'!$N$19),Q11+R11)))</f>
        <v>0</v>
      </c>
      <c r="T11" s="13">
        <f ca="1">IF(A11=1,IF(OR('My Loans'!$N$20="",'My Loans'!$N$20=0),0,INDIRECT("'My Loans'!$D"&amp;'My Loans'!$N$20)),BI10)</f>
        <v>0</v>
      </c>
      <c r="U11" s="13">
        <f ca="1">IF(OR('My Loans'!$N$20="",'My Loans'!$N$20=0),0,T11*INDIRECT("'My Loans'!$E"&amp;'My Loans'!$N$20)/12)</f>
        <v>0</v>
      </c>
      <c r="V11" s="13">
        <f ca="1">IF(OR('My Loans'!$N$20="",'My Loans'!$N$20=0),0,IF(T11&lt;0.005,0,MIN(INDIRECT("'My Loans'!$F"&amp;'My Loans'!$N$20),T11+U11)))</f>
        <v>0</v>
      </c>
      <c r="W11" s="13">
        <f ca="1">IF(A11=1,IF(OR('My Loans'!$N$21="",'My Loans'!$N$21=0),0,INDIRECT("'My Loans'!$D"&amp;'My Loans'!$N$21)),BN10)</f>
        <v>0</v>
      </c>
      <c r="X11" s="13">
        <f ca="1">IF(OR('My Loans'!$N$21="",'My Loans'!$N$21=0),0,W11*INDIRECT("'My Loans'!$E"&amp;'My Loans'!$N$21)/12)</f>
        <v>0</v>
      </c>
      <c r="Y11" s="13">
        <f ca="1">IF(OR('My Loans'!$N$21="",'My Loans'!$N$21=0),0,IF(W11&lt;0.005,0,MIN(INDIRECT("'My Loans'!$F"&amp;'My Loans'!$N$21),W11+X11)))</f>
        <v>0</v>
      </c>
      <c r="Z11" s="13">
        <f ca="1">'My Loans'!$B$13-(D11+G11+J11+M11+P11+S11+V11+Y11)</f>
        <v>463</v>
      </c>
      <c r="AA11" s="13">
        <f t="shared" ca="1" si="0"/>
        <v>463</v>
      </c>
      <c r="AB11" s="13">
        <f t="shared" ca="1" si="1"/>
        <v>21368.692601517236</v>
      </c>
      <c r="AC11" s="13">
        <f t="shared" ca="1" si="2"/>
        <v>463</v>
      </c>
      <c r="AD11" s="13">
        <f t="shared" ca="1" si="3"/>
        <v>873</v>
      </c>
      <c r="AE11" s="13">
        <f t="shared" ca="1" si="4"/>
        <v>20905.692601517236</v>
      </c>
      <c r="AF11" s="13">
        <f t="shared" ca="1" si="5"/>
        <v>0</v>
      </c>
      <c r="AG11" s="13">
        <f t="shared" ca="1" si="6"/>
        <v>14181.885809605694</v>
      </c>
      <c r="AH11" s="13">
        <f t="shared" ca="1" si="7"/>
        <v>0</v>
      </c>
      <c r="AI11" s="13">
        <f t="shared" ca="1" si="8"/>
        <v>178</v>
      </c>
      <c r="AJ11" s="13">
        <f t="shared" ca="1" si="9"/>
        <v>14181.885809605694</v>
      </c>
      <c r="AK11" s="13">
        <f t="shared" ca="1" si="10"/>
        <v>0</v>
      </c>
      <c r="AL11" s="13">
        <f t="shared" ca="1" si="11"/>
        <v>11949.267402987603</v>
      </c>
      <c r="AM11" s="13">
        <f t="shared" ca="1" si="12"/>
        <v>0</v>
      </c>
      <c r="AN11" s="13">
        <f t="shared" ca="1" si="13"/>
        <v>142</v>
      </c>
      <c r="AO11" s="13">
        <f t="shared" ca="1" si="14"/>
        <v>11949.267402987603</v>
      </c>
      <c r="AP11" s="13">
        <f t="shared" ca="1" si="15"/>
        <v>0</v>
      </c>
      <c r="AQ11" s="13">
        <f t="shared" ca="1" si="16"/>
        <v>9066.7946682631991</v>
      </c>
      <c r="AR11" s="13">
        <f t="shared" ca="1" si="17"/>
        <v>0</v>
      </c>
      <c r="AS11" s="13">
        <f t="shared" ca="1" si="18"/>
        <v>112</v>
      </c>
      <c r="AT11" s="13">
        <f t="shared" ca="1" si="19"/>
        <v>9066.7946682631991</v>
      </c>
      <c r="AU11" s="13">
        <f t="shared" ca="1" si="20"/>
        <v>0</v>
      </c>
      <c r="AV11" s="13">
        <f t="shared" ca="1" si="21"/>
        <v>7546.5486758945844</v>
      </c>
      <c r="AW11" s="13">
        <f t="shared" ca="1" si="22"/>
        <v>0</v>
      </c>
      <c r="AX11" s="13">
        <f t="shared" ca="1" si="23"/>
        <v>95</v>
      </c>
      <c r="AY11" s="13">
        <f t="shared" ca="1" si="24"/>
        <v>7546.5486758945844</v>
      </c>
      <c r="AZ11" s="13">
        <f t="shared" ca="1" si="25"/>
        <v>0</v>
      </c>
      <c r="BA11" s="13">
        <f t="shared" ca="1" si="26"/>
        <v>0</v>
      </c>
      <c r="BB11" s="13">
        <f t="shared" ca="1" si="27"/>
        <v>0</v>
      </c>
      <c r="BC11" s="13">
        <f t="shared" ca="1" si="28"/>
        <v>0</v>
      </c>
      <c r="BD11" s="13">
        <f t="shared" ca="1" si="29"/>
        <v>0</v>
      </c>
      <c r="BE11" s="13">
        <f t="shared" ca="1" si="30"/>
        <v>0</v>
      </c>
      <c r="BF11" s="13">
        <f t="shared" ca="1" si="31"/>
        <v>0</v>
      </c>
      <c r="BG11" s="13">
        <f t="shared" ca="1" si="32"/>
        <v>0</v>
      </c>
      <c r="BH11" s="13">
        <f t="shared" ca="1" si="33"/>
        <v>0</v>
      </c>
      <c r="BI11" s="13">
        <f t="shared" ca="1" si="34"/>
        <v>0</v>
      </c>
      <c r="BJ11" s="13">
        <f t="shared" ca="1" si="35"/>
        <v>0</v>
      </c>
      <c r="BK11" s="13">
        <f t="shared" ca="1" si="36"/>
        <v>0</v>
      </c>
      <c r="BL11" s="13">
        <f t="shared" ca="1" si="37"/>
        <v>0</v>
      </c>
      <c r="BM11" s="13">
        <f t="shared" ca="1" si="38"/>
        <v>0</v>
      </c>
      <c r="BN11" s="13">
        <f t="shared" ca="1" si="39"/>
        <v>0</v>
      </c>
      <c r="BO11" s="13">
        <f t="shared" ca="1" si="40"/>
        <v>1400</v>
      </c>
      <c r="BP11" s="13">
        <f t="shared" ca="1" si="41"/>
        <v>337.29193012577991</v>
      </c>
      <c r="BQ11" s="13">
        <f t="shared" ca="1" si="42"/>
        <v>63650.189158268324</v>
      </c>
    </row>
    <row r="12" spans="1:69" x14ac:dyDescent="0.25">
      <c r="A12" s="1">
        <v>11</v>
      </c>
      <c r="B12" s="13">
        <f ca="1">IF(A12=1,IF(OR('My Loans'!$N$14="",'My Loans'!$N$14=0),0,INDIRECT("'My Loans'!$D"&amp;'My Loans'!$N$14)),AE11)</f>
        <v>20905.692601517236</v>
      </c>
      <c r="C12" s="13">
        <f ca="1">IF(OR('My Loans'!$N$14="",'My Loans'!$N$14=0),0,B12*INDIRECT("'My Loans'!$E"&amp;'My Loans'!$N$14)/12)</f>
        <v>137.62914295998846</v>
      </c>
      <c r="D12" s="13">
        <f ca="1">IF(OR('My Loans'!$N$14="",'My Loans'!$N$14=0),0,IF(B12&lt;0.005,0,MIN(INDIRECT("'My Loans'!$F"&amp;'My Loans'!$N$14),B12+C12)))</f>
        <v>410</v>
      </c>
      <c r="E12" s="13">
        <f ca="1">IF(A12=1,IF(OR('My Loans'!$N$15="",'My Loans'!$N$15=0),0,INDIRECT("'My Loans'!$D"&amp;'My Loans'!$N$15)),AJ11)</f>
        <v>14181.885809605694</v>
      </c>
      <c r="F12" s="13">
        <f ca="1">IF(OR('My Loans'!$N$15="",'My Loans'!$N$15=0),0,E12*INDIRECT("'My Loans'!$E"&amp;'My Loans'!$N$15)/12)</f>
        <v>73.273076682962753</v>
      </c>
      <c r="G12" s="13">
        <f ca="1">IF(OR('My Loans'!$N$15="",'My Loans'!$N$15=0),0,IF(E12&lt;0.005,0,MIN(INDIRECT("'My Loans'!$F"&amp;'My Loans'!$N$15),E12+F12)))</f>
        <v>178</v>
      </c>
      <c r="H12" s="13">
        <f ca="1">IF(A12=1,IF(OR('My Loans'!$N$16="",'My Loans'!$N$16=0),0,INDIRECT("'My Loans'!$D"&amp;'My Loans'!$N$16)),AO11)</f>
        <v>11949.267402987603</v>
      </c>
      <c r="I12" s="13">
        <f ca="1">IF(OR('My Loans'!$N$16="",'My Loans'!$N$16=0),0,H12*INDIRECT("'My Loans'!$E"&amp;'My Loans'!$N$16)/12)</f>
        <v>54.767475597026511</v>
      </c>
      <c r="J12" s="13">
        <f ca="1">IF(OR('My Loans'!$N$16="",'My Loans'!$N$16=0),0,IF(H12&lt;0.005,0,MIN(INDIRECT("'My Loans'!$F"&amp;'My Loans'!$N$16),H12+I12)))</f>
        <v>142</v>
      </c>
      <c r="K12" s="13">
        <f ca="1">IF(A12=1,IF(OR('My Loans'!$N$17="",'My Loans'!$N$17=0),0,INDIRECT("'My Loans'!$D"&amp;'My Loans'!$N$17)),AT11)</f>
        <v>9066.7946682631991</v>
      </c>
      <c r="L12" s="13">
        <f ca="1">IF(OR('My Loans'!$N$17="",'My Loans'!$N$17=0),0,K12*INDIRECT("'My Loans'!$E"&amp;'My Loans'!$N$17)/12)</f>
        <v>37.02274489540806</v>
      </c>
      <c r="M12" s="13">
        <f ca="1">IF(OR('My Loans'!$N$17="",'My Loans'!$N$17=0),0,IF(K12&lt;0.005,0,MIN(INDIRECT("'My Loans'!$F"&amp;'My Loans'!$N$17),K12+L12)))</f>
        <v>112</v>
      </c>
      <c r="N12" s="13">
        <f ca="1">IF(A12=1,IF(OR('My Loans'!$N$18="",'My Loans'!$N$18=0),0,INDIRECT("'My Loans'!$D"&amp;'My Loans'!$N$18)),AY11)</f>
        <v>7546.5486758945844</v>
      </c>
      <c r="O12" s="13">
        <f ca="1">IF(OR('My Loans'!$N$18="",'My Loans'!$N$18=0),0,N12*INDIRECT("'My Loans'!$E"&amp;'My Loans'!$N$18)/12)</f>
        <v>28.299557534604691</v>
      </c>
      <c r="P12" s="13">
        <f ca="1">IF(OR('My Loans'!$N$18="",'My Loans'!$N$18=0),0,IF(N12&lt;0.005,0,MIN(INDIRECT("'My Loans'!$F"&amp;'My Loans'!$N$18),N12+O12)))</f>
        <v>95</v>
      </c>
      <c r="Q12" s="13">
        <f ca="1">IF(A12=1,IF(OR('My Loans'!$N$19="",'My Loans'!$N$19=0),0,INDIRECT("'My Loans'!$D"&amp;'My Loans'!$N$19)),BD11)</f>
        <v>0</v>
      </c>
      <c r="R12" s="13">
        <f ca="1">IF(OR('My Loans'!$N$19="",'My Loans'!$N$19=0),0,Q12*INDIRECT("'My Loans'!$E"&amp;'My Loans'!$N$19)/12)</f>
        <v>0</v>
      </c>
      <c r="S12" s="13">
        <f ca="1">IF(OR('My Loans'!$N$19="",'My Loans'!$N$19=0),0,IF(Q12&lt;0.005,0,MIN(INDIRECT("'My Loans'!$F"&amp;'My Loans'!$N$19),Q12+R12)))</f>
        <v>0</v>
      </c>
      <c r="T12" s="13">
        <f ca="1">IF(A12=1,IF(OR('My Loans'!$N$20="",'My Loans'!$N$20=0),0,INDIRECT("'My Loans'!$D"&amp;'My Loans'!$N$20)),BI11)</f>
        <v>0</v>
      </c>
      <c r="U12" s="13">
        <f ca="1">IF(OR('My Loans'!$N$20="",'My Loans'!$N$20=0),0,T12*INDIRECT("'My Loans'!$E"&amp;'My Loans'!$N$20)/12)</f>
        <v>0</v>
      </c>
      <c r="V12" s="13">
        <f ca="1">IF(OR('My Loans'!$N$20="",'My Loans'!$N$20=0),0,IF(T12&lt;0.005,0,MIN(INDIRECT("'My Loans'!$F"&amp;'My Loans'!$N$20),T12+U12)))</f>
        <v>0</v>
      </c>
      <c r="W12" s="13">
        <f ca="1">IF(A12=1,IF(OR('My Loans'!$N$21="",'My Loans'!$N$21=0),0,INDIRECT("'My Loans'!$D"&amp;'My Loans'!$N$21)),BN11)</f>
        <v>0</v>
      </c>
      <c r="X12" s="13">
        <f ca="1">IF(OR('My Loans'!$N$21="",'My Loans'!$N$21=0),0,W12*INDIRECT("'My Loans'!$E"&amp;'My Loans'!$N$21)/12)</f>
        <v>0</v>
      </c>
      <c r="Y12" s="13">
        <f ca="1">IF(OR('My Loans'!$N$21="",'My Loans'!$N$21=0),0,IF(W12&lt;0.005,0,MIN(INDIRECT("'My Loans'!$F"&amp;'My Loans'!$N$21),W12+X12)))</f>
        <v>0</v>
      </c>
      <c r="Z12" s="13">
        <f ca="1">'My Loans'!$B$13-(D12+G12+J12+M12+P12+S12+V12+Y12)</f>
        <v>463</v>
      </c>
      <c r="AA12" s="13">
        <f t="shared" ca="1" si="0"/>
        <v>463</v>
      </c>
      <c r="AB12" s="13">
        <f t="shared" ca="1" si="1"/>
        <v>20633.321744477224</v>
      </c>
      <c r="AC12" s="13">
        <f t="shared" ca="1" si="2"/>
        <v>463</v>
      </c>
      <c r="AD12" s="13">
        <f t="shared" ca="1" si="3"/>
        <v>873</v>
      </c>
      <c r="AE12" s="13">
        <f t="shared" ca="1" si="4"/>
        <v>20170.321744477224</v>
      </c>
      <c r="AF12" s="13">
        <f t="shared" ca="1" si="5"/>
        <v>0</v>
      </c>
      <c r="AG12" s="13">
        <f t="shared" ca="1" si="6"/>
        <v>14077.158886288657</v>
      </c>
      <c r="AH12" s="13">
        <f t="shared" ca="1" si="7"/>
        <v>0</v>
      </c>
      <c r="AI12" s="13">
        <f t="shared" ca="1" si="8"/>
        <v>178</v>
      </c>
      <c r="AJ12" s="13">
        <f t="shared" ca="1" si="9"/>
        <v>14077.158886288657</v>
      </c>
      <c r="AK12" s="13">
        <f t="shared" ca="1" si="10"/>
        <v>0</v>
      </c>
      <c r="AL12" s="13">
        <f t="shared" ca="1" si="11"/>
        <v>11862.034878584629</v>
      </c>
      <c r="AM12" s="13">
        <f t="shared" ca="1" si="12"/>
        <v>0</v>
      </c>
      <c r="AN12" s="13">
        <f t="shared" ca="1" si="13"/>
        <v>142</v>
      </c>
      <c r="AO12" s="13">
        <f t="shared" ca="1" si="14"/>
        <v>11862.034878584629</v>
      </c>
      <c r="AP12" s="13">
        <f t="shared" ca="1" si="15"/>
        <v>0</v>
      </c>
      <c r="AQ12" s="13">
        <f t="shared" ca="1" si="16"/>
        <v>8991.8174131586075</v>
      </c>
      <c r="AR12" s="13">
        <f t="shared" ca="1" si="17"/>
        <v>0</v>
      </c>
      <c r="AS12" s="13">
        <f t="shared" ca="1" si="18"/>
        <v>112</v>
      </c>
      <c r="AT12" s="13">
        <f t="shared" ca="1" si="19"/>
        <v>8991.8174131586075</v>
      </c>
      <c r="AU12" s="13">
        <f t="shared" ca="1" si="20"/>
        <v>0</v>
      </c>
      <c r="AV12" s="13">
        <f t="shared" ca="1" si="21"/>
        <v>7479.8482334291893</v>
      </c>
      <c r="AW12" s="13">
        <f t="shared" ca="1" si="22"/>
        <v>0</v>
      </c>
      <c r="AX12" s="13">
        <f t="shared" ca="1" si="23"/>
        <v>95</v>
      </c>
      <c r="AY12" s="13">
        <f t="shared" ca="1" si="24"/>
        <v>7479.8482334291893</v>
      </c>
      <c r="AZ12" s="13">
        <f t="shared" ca="1" si="25"/>
        <v>0</v>
      </c>
      <c r="BA12" s="13">
        <f t="shared" ca="1" si="26"/>
        <v>0</v>
      </c>
      <c r="BB12" s="13">
        <f t="shared" ca="1" si="27"/>
        <v>0</v>
      </c>
      <c r="BC12" s="13">
        <f t="shared" ca="1" si="28"/>
        <v>0</v>
      </c>
      <c r="BD12" s="13">
        <f t="shared" ca="1" si="29"/>
        <v>0</v>
      </c>
      <c r="BE12" s="13">
        <f t="shared" ca="1" si="30"/>
        <v>0</v>
      </c>
      <c r="BF12" s="13">
        <f t="shared" ca="1" si="31"/>
        <v>0</v>
      </c>
      <c r="BG12" s="13">
        <f t="shared" ca="1" si="32"/>
        <v>0</v>
      </c>
      <c r="BH12" s="13">
        <f t="shared" ca="1" si="33"/>
        <v>0</v>
      </c>
      <c r="BI12" s="13">
        <f t="shared" ca="1" si="34"/>
        <v>0</v>
      </c>
      <c r="BJ12" s="13">
        <f t="shared" ca="1" si="35"/>
        <v>0</v>
      </c>
      <c r="BK12" s="13">
        <f t="shared" ca="1" si="36"/>
        <v>0</v>
      </c>
      <c r="BL12" s="13">
        <f t="shared" ca="1" si="37"/>
        <v>0</v>
      </c>
      <c r="BM12" s="13">
        <f t="shared" ca="1" si="38"/>
        <v>0</v>
      </c>
      <c r="BN12" s="13">
        <f t="shared" ca="1" si="39"/>
        <v>0</v>
      </c>
      <c r="BO12" s="13">
        <f t="shared" ca="1" si="40"/>
        <v>1400</v>
      </c>
      <c r="BP12" s="13">
        <f t="shared" ca="1" si="41"/>
        <v>330.99199766999044</v>
      </c>
      <c r="BQ12" s="13">
        <f t="shared" ca="1" si="42"/>
        <v>62581.181155938306</v>
      </c>
    </row>
    <row r="13" spans="1:69" x14ac:dyDescent="0.25">
      <c r="A13" s="1">
        <v>12</v>
      </c>
      <c r="B13" s="13">
        <f ca="1">IF(A13=1,IF(OR('My Loans'!$N$14="",'My Loans'!$N$14=0),0,INDIRECT("'My Loans'!$D"&amp;'My Loans'!$N$14)),AE12)</f>
        <v>20170.321744477224</v>
      </c>
      <c r="C13" s="13">
        <f ca="1">IF(OR('My Loans'!$N$14="",'My Loans'!$N$14=0),0,B13*INDIRECT("'My Loans'!$E"&amp;'My Loans'!$N$14)/12)</f>
        <v>132.78795148447506</v>
      </c>
      <c r="D13" s="13">
        <f ca="1">IF(OR('My Loans'!$N$14="",'My Loans'!$N$14=0),0,IF(B13&lt;0.005,0,MIN(INDIRECT("'My Loans'!$F"&amp;'My Loans'!$N$14),B13+C13)))</f>
        <v>410</v>
      </c>
      <c r="E13" s="13">
        <f ca="1">IF(A13=1,IF(OR('My Loans'!$N$15="",'My Loans'!$N$15=0),0,INDIRECT("'My Loans'!$D"&amp;'My Loans'!$N$15)),AJ12)</f>
        <v>14077.158886288657</v>
      </c>
      <c r="F13" s="13">
        <f ca="1">IF(OR('My Loans'!$N$15="",'My Loans'!$N$15=0),0,E13*INDIRECT("'My Loans'!$E"&amp;'My Loans'!$N$15)/12)</f>
        <v>72.731987579158059</v>
      </c>
      <c r="G13" s="13">
        <f ca="1">IF(OR('My Loans'!$N$15="",'My Loans'!$N$15=0),0,IF(E13&lt;0.005,0,MIN(INDIRECT("'My Loans'!$F"&amp;'My Loans'!$N$15),E13+F13)))</f>
        <v>178</v>
      </c>
      <c r="H13" s="13">
        <f ca="1">IF(A13=1,IF(OR('My Loans'!$N$16="",'My Loans'!$N$16=0),0,INDIRECT("'My Loans'!$D"&amp;'My Loans'!$N$16)),AO12)</f>
        <v>11862.034878584629</v>
      </c>
      <c r="I13" s="13">
        <f ca="1">IF(OR('My Loans'!$N$16="",'My Loans'!$N$16=0),0,H13*INDIRECT("'My Loans'!$E"&amp;'My Loans'!$N$16)/12)</f>
        <v>54.36765986017955</v>
      </c>
      <c r="J13" s="13">
        <f ca="1">IF(OR('My Loans'!$N$16="",'My Loans'!$N$16=0),0,IF(H13&lt;0.005,0,MIN(INDIRECT("'My Loans'!$F"&amp;'My Loans'!$N$16),H13+I13)))</f>
        <v>142</v>
      </c>
      <c r="K13" s="13">
        <f ca="1">IF(A13=1,IF(OR('My Loans'!$N$17="",'My Loans'!$N$17=0),0,INDIRECT("'My Loans'!$D"&amp;'My Loans'!$N$17)),AT12)</f>
        <v>8991.8174131586075</v>
      </c>
      <c r="L13" s="13">
        <f ca="1">IF(OR('My Loans'!$N$17="",'My Loans'!$N$17=0),0,K13*INDIRECT("'My Loans'!$E"&amp;'My Loans'!$N$17)/12)</f>
        <v>36.716587770397645</v>
      </c>
      <c r="M13" s="13">
        <f ca="1">IF(OR('My Loans'!$N$17="",'My Loans'!$N$17=0),0,IF(K13&lt;0.005,0,MIN(INDIRECT("'My Loans'!$F"&amp;'My Loans'!$N$17),K13+L13)))</f>
        <v>112</v>
      </c>
      <c r="N13" s="13">
        <f ca="1">IF(A13=1,IF(OR('My Loans'!$N$18="",'My Loans'!$N$18=0),0,INDIRECT("'My Loans'!$D"&amp;'My Loans'!$N$18)),AY12)</f>
        <v>7479.8482334291893</v>
      </c>
      <c r="O13" s="13">
        <f ca="1">IF(OR('My Loans'!$N$18="",'My Loans'!$N$18=0),0,N13*INDIRECT("'My Loans'!$E"&amp;'My Loans'!$N$18)/12)</f>
        <v>28.049430875359459</v>
      </c>
      <c r="P13" s="13">
        <f ca="1">IF(OR('My Loans'!$N$18="",'My Loans'!$N$18=0),0,IF(N13&lt;0.005,0,MIN(INDIRECT("'My Loans'!$F"&amp;'My Loans'!$N$18),N13+O13)))</f>
        <v>95</v>
      </c>
      <c r="Q13" s="13">
        <f ca="1">IF(A13=1,IF(OR('My Loans'!$N$19="",'My Loans'!$N$19=0),0,INDIRECT("'My Loans'!$D"&amp;'My Loans'!$N$19)),BD12)</f>
        <v>0</v>
      </c>
      <c r="R13" s="13">
        <f ca="1">IF(OR('My Loans'!$N$19="",'My Loans'!$N$19=0),0,Q13*INDIRECT("'My Loans'!$E"&amp;'My Loans'!$N$19)/12)</f>
        <v>0</v>
      </c>
      <c r="S13" s="13">
        <f ca="1">IF(OR('My Loans'!$N$19="",'My Loans'!$N$19=0),0,IF(Q13&lt;0.005,0,MIN(INDIRECT("'My Loans'!$F"&amp;'My Loans'!$N$19),Q13+R13)))</f>
        <v>0</v>
      </c>
      <c r="T13" s="13">
        <f ca="1">IF(A13=1,IF(OR('My Loans'!$N$20="",'My Loans'!$N$20=0),0,INDIRECT("'My Loans'!$D"&amp;'My Loans'!$N$20)),BI12)</f>
        <v>0</v>
      </c>
      <c r="U13" s="13">
        <f ca="1">IF(OR('My Loans'!$N$20="",'My Loans'!$N$20=0),0,T13*INDIRECT("'My Loans'!$E"&amp;'My Loans'!$N$20)/12)</f>
        <v>0</v>
      </c>
      <c r="V13" s="13">
        <f ca="1">IF(OR('My Loans'!$N$20="",'My Loans'!$N$20=0),0,IF(T13&lt;0.005,0,MIN(INDIRECT("'My Loans'!$F"&amp;'My Loans'!$N$20),T13+U13)))</f>
        <v>0</v>
      </c>
      <c r="W13" s="13">
        <f ca="1">IF(A13=1,IF(OR('My Loans'!$N$21="",'My Loans'!$N$21=0),0,INDIRECT("'My Loans'!$D"&amp;'My Loans'!$N$21)),BN12)</f>
        <v>0</v>
      </c>
      <c r="X13" s="13">
        <f ca="1">IF(OR('My Loans'!$N$21="",'My Loans'!$N$21=0),0,W13*INDIRECT("'My Loans'!$E"&amp;'My Loans'!$N$21)/12)</f>
        <v>0</v>
      </c>
      <c r="Y13" s="13">
        <f ca="1">IF(OR('My Loans'!$N$21="",'My Loans'!$N$21=0),0,IF(W13&lt;0.005,0,MIN(INDIRECT("'My Loans'!$F"&amp;'My Loans'!$N$21),W13+X13)))</f>
        <v>0</v>
      </c>
      <c r="Z13" s="13">
        <f ca="1">'My Loans'!$B$13-(D13+G13+J13+M13+P13+S13+V13+Y13)</f>
        <v>463</v>
      </c>
      <c r="AA13" s="13">
        <f t="shared" ca="1" si="0"/>
        <v>463</v>
      </c>
      <c r="AB13" s="13">
        <f t="shared" ca="1" si="1"/>
        <v>19893.109695961699</v>
      </c>
      <c r="AC13" s="13">
        <f t="shared" ca="1" si="2"/>
        <v>463</v>
      </c>
      <c r="AD13" s="13">
        <f t="shared" ca="1" si="3"/>
        <v>873</v>
      </c>
      <c r="AE13" s="13">
        <f t="shared" ca="1" si="4"/>
        <v>19430.109695961699</v>
      </c>
      <c r="AF13" s="13">
        <f t="shared" ca="1" si="5"/>
        <v>0</v>
      </c>
      <c r="AG13" s="13">
        <f t="shared" ca="1" si="6"/>
        <v>13971.890873867815</v>
      </c>
      <c r="AH13" s="13">
        <f t="shared" ca="1" si="7"/>
        <v>0</v>
      </c>
      <c r="AI13" s="13">
        <f t="shared" ca="1" si="8"/>
        <v>178</v>
      </c>
      <c r="AJ13" s="13">
        <f t="shared" ca="1" si="9"/>
        <v>13971.890873867815</v>
      </c>
      <c r="AK13" s="13">
        <f t="shared" ca="1" si="10"/>
        <v>0</v>
      </c>
      <c r="AL13" s="13">
        <f t="shared" ca="1" si="11"/>
        <v>11774.402538444809</v>
      </c>
      <c r="AM13" s="13">
        <f t="shared" ca="1" si="12"/>
        <v>0</v>
      </c>
      <c r="AN13" s="13">
        <f t="shared" ca="1" si="13"/>
        <v>142</v>
      </c>
      <c r="AO13" s="13">
        <f t="shared" ca="1" si="14"/>
        <v>11774.402538444809</v>
      </c>
      <c r="AP13" s="13">
        <f t="shared" ca="1" si="15"/>
        <v>0</v>
      </c>
      <c r="AQ13" s="13">
        <f t="shared" ca="1" si="16"/>
        <v>8916.5340009290048</v>
      </c>
      <c r="AR13" s="13">
        <f t="shared" ca="1" si="17"/>
        <v>0</v>
      </c>
      <c r="AS13" s="13">
        <f t="shared" ca="1" si="18"/>
        <v>112</v>
      </c>
      <c r="AT13" s="13">
        <f t="shared" ca="1" si="19"/>
        <v>8916.5340009290048</v>
      </c>
      <c r="AU13" s="13">
        <f t="shared" ca="1" si="20"/>
        <v>0</v>
      </c>
      <c r="AV13" s="13">
        <f t="shared" ca="1" si="21"/>
        <v>7412.8976643045489</v>
      </c>
      <c r="AW13" s="13">
        <f t="shared" ca="1" si="22"/>
        <v>0</v>
      </c>
      <c r="AX13" s="13">
        <f t="shared" ca="1" si="23"/>
        <v>95</v>
      </c>
      <c r="AY13" s="13">
        <f t="shared" ca="1" si="24"/>
        <v>7412.8976643045489</v>
      </c>
      <c r="AZ13" s="13">
        <f t="shared" ca="1" si="25"/>
        <v>0</v>
      </c>
      <c r="BA13" s="13">
        <f t="shared" ca="1" si="26"/>
        <v>0</v>
      </c>
      <c r="BB13" s="13">
        <f t="shared" ca="1" si="27"/>
        <v>0</v>
      </c>
      <c r="BC13" s="13">
        <f t="shared" ca="1" si="28"/>
        <v>0</v>
      </c>
      <c r="BD13" s="13">
        <f t="shared" ca="1" si="29"/>
        <v>0</v>
      </c>
      <c r="BE13" s="13">
        <f t="shared" ca="1" si="30"/>
        <v>0</v>
      </c>
      <c r="BF13" s="13">
        <f t="shared" ca="1" si="31"/>
        <v>0</v>
      </c>
      <c r="BG13" s="13">
        <f t="shared" ca="1" si="32"/>
        <v>0</v>
      </c>
      <c r="BH13" s="13">
        <f t="shared" ca="1" si="33"/>
        <v>0</v>
      </c>
      <c r="BI13" s="13">
        <f t="shared" ca="1" si="34"/>
        <v>0</v>
      </c>
      <c r="BJ13" s="13">
        <f t="shared" ca="1" si="35"/>
        <v>0</v>
      </c>
      <c r="BK13" s="13">
        <f t="shared" ca="1" si="36"/>
        <v>0</v>
      </c>
      <c r="BL13" s="13">
        <f t="shared" ca="1" si="37"/>
        <v>0</v>
      </c>
      <c r="BM13" s="13">
        <f t="shared" ca="1" si="38"/>
        <v>0</v>
      </c>
      <c r="BN13" s="13">
        <f t="shared" ca="1" si="39"/>
        <v>0</v>
      </c>
      <c r="BO13" s="13">
        <f t="shared" ca="1" si="40"/>
        <v>1400</v>
      </c>
      <c r="BP13" s="13">
        <f t="shared" ca="1" si="41"/>
        <v>324.6536175695698</v>
      </c>
      <c r="BQ13" s="13">
        <f t="shared" ca="1" si="42"/>
        <v>61505.834773507871</v>
      </c>
    </row>
    <row r="14" spans="1:69" x14ac:dyDescent="0.25">
      <c r="A14" s="1">
        <v>13</v>
      </c>
      <c r="B14" s="13">
        <f ca="1">IF(A14=1,IF(OR('My Loans'!$N$14="",'My Loans'!$N$14=0),0,INDIRECT("'My Loans'!$D"&amp;'My Loans'!$N$14)),AE13)</f>
        <v>19430.109695961699</v>
      </c>
      <c r="C14" s="13">
        <f ca="1">IF(OR('My Loans'!$N$14="",'My Loans'!$N$14=0),0,B14*INDIRECT("'My Loans'!$E"&amp;'My Loans'!$N$14)/12)</f>
        <v>127.91488883174786</v>
      </c>
      <c r="D14" s="13">
        <f ca="1">IF(OR('My Loans'!$N$14="",'My Loans'!$N$14=0),0,IF(B14&lt;0.005,0,MIN(INDIRECT("'My Loans'!$F"&amp;'My Loans'!$N$14),B14+C14)))</f>
        <v>410</v>
      </c>
      <c r="E14" s="13">
        <f ca="1">IF(A14=1,IF(OR('My Loans'!$N$15="",'My Loans'!$N$15=0),0,INDIRECT("'My Loans'!$D"&amp;'My Loans'!$N$15)),AJ13)</f>
        <v>13971.890873867815</v>
      </c>
      <c r="F14" s="13">
        <f ca="1">IF(OR('My Loans'!$N$15="",'My Loans'!$N$15=0),0,E14*INDIRECT("'My Loans'!$E"&amp;'My Loans'!$N$15)/12)</f>
        <v>72.188102848317044</v>
      </c>
      <c r="G14" s="13">
        <f ca="1">IF(OR('My Loans'!$N$15="",'My Loans'!$N$15=0),0,IF(E14&lt;0.005,0,MIN(INDIRECT("'My Loans'!$F"&amp;'My Loans'!$N$15),E14+F14)))</f>
        <v>178</v>
      </c>
      <c r="H14" s="13">
        <f ca="1">IF(A14=1,IF(OR('My Loans'!$N$16="",'My Loans'!$N$16=0),0,INDIRECT("'My Loans'!$D"&amp;'My Loans'!$N$16)),AO13)</f>
        <v>11774.402538444809</v>
      </c>
      <c r="I14" s="13">
        <f ca="1">IF(OR('My Loans'!$N$16="",'My Loans'!$N$16=0),0,H14*INDIRECT("'My Loans'!$E"&amp;'My Loans'!$N$16)/12)</f>
        <v>53.96601163453871</v>
      </c>
      <c r="J14" s="13">
        <f ca="1">IF(OR('My Loans'!$N$16="",'My Loans'!$N$16=0),0,IF(H14&lt;0.005,0,MIN(INDIRECT("'My Loans'!$F"&amp;'My Loans'!$N$16),H14+I14)))</f>
        <v>142</v>
      </c>
      <c r="K14" s="13">
        <f ca="1">IF(A14=1,IF(OR('My Loans'!$N$17="",'My Loans'!$N$17=0),0,INDIRECT("'My Loans'!$D"&amp;'My Loans'!$N$17)),AT13)</f>
        <v>8916.5340009290048</v>
      </c>
      <c r="L14" s="13">
        <f ca="1">IF(OR('My Loans'!$N$17="",'My Loans'!$N$17=0),0,K14*INDIRECT("'My Loans'!$E"&amp;'My Loans'!$N$17)/12)</f>
        <v>36.409180503793436</v>
      </c>
      <c r="M14" s="13">
        <f ca="1">IF(OR('My Loans'!$N$17="",'My Loans'!$N$17=0),0,IF(K14&lt;0.005,0,MIN(INDIRECT("'My Loans'!$F"&amp;'My Loans'!$N$17),K14+L14)))</f>
        <v>112</v>
      </c>
      <c r="N14" s="13">
        <f ca="1">IF(A14=1,IF(OR('My Loans'!$N$18="",'My Loans'!$N$18=0),0,INDIRECT("'My Loans'!$D"&amp;'My Loans'!$N$18)),AY13)</f>
        <v>7412.8976643045489</v>
      </c>
      <c r="O14" s="13">
        <f ca="1">IF(OR('My Loans'!$N$18="",'My Loans'!$N$18=0),0,N14*INDIRECT("'My Loans'!$E"&amp;'My Loans'!$N$18)/12)</f>
        <v>27.798366241142059</v>
      </c>
      <c r="P14" s="13">
        <f ca="1">IF(OR('My Loans'!$N$18="",'My Loans'!$N$18=0),0,IF(N14&lt;0.005,0,MIN(INDIRECT("'My Loans'!$F"&amp;'My Loans'!$N$18),N14+O14)))</f>
        <v>95</v>
      </c>
      <c r="Q14" s="13">
        <f ca="1">IF(A14=1,IF(OR('My Loans'!$N$19="",'My Loans'!$N$19=0),0,INDIRECT("'My Loans'!$D"&amp;'My Loans'!$N$19)),BD13)</f>
        <v>0</v>
      </c>
      <c r="R14" s="13">
        <f ca="1">IF(OR('My Loans'!$N$19="",'My Loans'!$N$19=0),0,Q14*INDIRECT("'My Loans'!$E"&amp;'My Loans'!$N$19)/12)</f>
        <v>0</v>
      </c>
      <c r="S14" s="13">
        <f ca="1">IF(OR('My Loans'!$N$19="",'My Loans'!$N$19=0),0,IF(Q14&lt;0.005,0,MIN(INDIRECT("'My Loans'!$F"&amp;'My Loans'!$N$19),Q14+R14)))</f>
        <v>0</v>
      </c>
      <c r="T14" s="13">
        <f ca="1">IF(A14=1,IF(OR('My Loans'!$N$20="",'My Loans'!$N$20=0),0,INDIRECT("'My Loans'!$D"&amp;'My Loans'!$N$20)),BI13)</f>
        <v>0</v>
      </c>
      <c r="U14" s="13">
        <f ca="1">IF(OR('My Loans'!$N$20="",'My Loans'!$N$20=0),0,T14*INDIRECT("'My Loans'!$E"&amp;'My Loans'!$N$20)/12)</f>
        <v>0</v>
      </c>
      <c r="V14" s="13">
        <f ca="1">IF(OR('My Loans'!$N$20="",'My Loans'!$N$20=0),0,IF(T14&lt;0.005,0,MIN(INDIRECT("'My Loans'!$F"&amp;'My Loans'!$N$20),T14+U14)))</f>
        <v>0</v>
      </c>
      <c r="W14" s="13">
        <f ca="1">IF(A14=1,IF(OR('My Loans'!$N$21="",'My Loans'!$N$21=0),0,INDIRECT("'My Loans'!$D"&amp;'My Loans'!$N$21)),BN13)</f>
        <v>0</v>
      </c>
      <c r="X14" s="13">
        <f ca="1">IF(OR('My Loans'!$N$21="",'My Loans'!$N$21=0),0,W14*INDIRECT("'My Loans'!$E"&amp;'My Loans'!$N$21)/12)</f>
        <v>0</v>
      </c>
      <c r="Y14" s="13">
        <f ca="1">IF(OR('My Loans'!$N$21="",'My Loans'!$N$21=0),0,IF(W14&lt;0.005,0,MIN(INDIRECT("'My Loans'!$F"&amp;'My Loans'!$N$21),W14+X14)))</f>
        <v>0</v>
      </c>
      <c r="Z14" s="13">
        <f ca="1">'My Loans'!$B$13-(D14+G14+J14+M14+P14+S14+V14+Y14)</f>
        <v>463</v>
      </c>
      <c r="AA14" s="13">
        <f t="shared" ca="1" si="0"/>
        <v>463</v>
      </c>
      <c r="AB14" s="13">
        <f t="shared" ca="1" si="1"/>
        <v>19148.024584793446</v>
      </c>
      <c r="AC14" s="13">
        <f t="shared" ca="1" si="2"/>
        <v>463</v>
      </c>
      <c r="AD14" s="13">
        <f t="shared" ca="1" si="3"/>
        <v>873</v>
      </c>
      <c r="AE14" s="13">
        <f t="shared" ca="1" si="4"/>
        <v>18685.024584793446</v>
      </c>
      <c r="AF14" s="13">
        <f t="shared" ca="1" si="5"/>
        <v>0</v>
      </c>
      <c r="AG14" s="13">
        <f t="shared" ca="1" si="6"/>
        <v>13866.078976716131</v>
      </c>
      <c r="AH14" s="13">
        <f t="shared" ca="1" si="7"/>
        <v>0</v>
      </c>
      <c r="AI14" s="13">
        <f t="shared" ca="1" si="8"/>
        <v>178</v>
      </c>
      <c r="AJ14" s="13">
        <f t="shared" ca="1" si="9"/>
        <v>13866.078976716131</v>
      </c>
      <c r="AK14" s="13">
        <f t="shared" ca="1" si="10"/>
        <v>0</v>
      </c>
      <c r="AL14" s="13">
        <f t="shared" ca="1" si="11"/>
        <v>11686.368550079347</v>
      </c>
      <c r="AM14" s="13">
        <f t="shared" ca="1" si="12"/>
        <v>0</v>
      </c>
      <c r="AN14" s="13">
        <f t="shared" ca="1" si="13"/>
        <v>142</v>
      </c>
      <c r="AO14" s="13">
        <f t="shared" ca="1" si="14"/>
        <v>11686.368550079347</v>
      </c>
      <c r="AP14" s="13">
        <f t="shared" ca="1" si="15"/>
        <v>0</v>
      </c>
      <c r="AQ14" s="13">
        <f t="shared" ca="1" si="16"/>
        <v>8840.9431814327982</v>
      </c>
      <c r="AR14" s="13">
        <f t="shared" ca="1" si="17"/>
        <v>0</v>
      </c>
      <c r="AS14" s="13">
        <f t="shared" ca="1" si="18"/>
        <v>112</v>
      </c>
      <c r="AT14" s="13">
        <f t="shared" ca="1" si="19"/>
        <v>8840.9431814327982</v>
      </c>
      <c r="AU14" s="13">
        <f t="shared" ca="1" si="20"/>
        <v>0</v>
      </c>
      <c r="AV14" s="13">
        <f t="shared" ca="1" si="21"/>
        <v>7345.6960305456914</v>
      </c>
      <c r="AW14" s="13">
        <f t="shared" ca="1" si="22"/>
        <v>0</v>
      </c>
      <c r="AX14" s="13">
        <f t="shared" ca="1" si="23"/>
        <v>95</v>
      </c>
      <c r="AY14" s="13">
        <f t="shared" ca="1" si="24"/>
        <v>7345.6960305456914</v>
      </c>
      <c r="AZ14" s="13">
        <f t="shared" ca="1" si="25"/>
        <v>0</v>
      </c>
      <c r="BA14" s="13">
        <f t="shared" ca="1" si="26"/>
        <v>0</v>
      </c>
      <c r="BB14" s="13">
        <f t="shared" ca="1" si="27"/>
        <v>0</v>
      </c>
      <c r="BC14" s="13">
        <f t="shared" ca="1" si="28"/>
        <v>0</v>
      </c>
      <c r="BD14" s="13">
        <f t="shared" ca="1" si="29"/>
        <v>0</v>
      </c>
      <c r="BE14" s="13">
        <f t="shared" ca="1" si="30"/>
        <v>0</v>
      </c>
      <c r="BF14" s="13">
        <f t="shared" ca="1" si="31"/>
        <v>0</v>
      </c>
      <c r="BG14" s="13">
        <f t="shared" ca="1" si="32"/>
        <v>0</v>
      </c>
      <c r="BH14" s="13">
        <f t="shared" ca="1" si="33"/>
        <v>0</v>
      </c>
      <c r="BI14" s="13">
        <f t="shared" ca="1" si="34"/>
        <v>0</v>
      </c>
      <c r="BJ14" s="13">
        <f t="shared" ca="1" si="35"/>
        <v>0</v>
      </c>
      <c r="BK14" s="13">
        <f t="shared" ca="1" si="36"/>
        <v>0</v>
      </c>
      <c r="BL14" s="13">
        <f t="shared" ca="1" si="37"/>
        <v>0</v>
      </c>
      <c r="BM14" s="13">
        <f t="shared" ca="1" si="38"/>
        <v>0</v>
      </c>
      <c r="BN14" s="13">
        <f t="shared" ca="1" si="39"/>
        <v>0</v>
      </c>
      <c r="BO14" s="13">
        <f t="shared" ca="1" si="40"/>
        <v>1400</v>
      </c>
      <c r="BP14" s="13">
        <f t="shared" ca="1" si="41"/>
        <v>318.27655005953909</v>
      </c>
      <c r="BQ14" s="13">
        <f t="shared" ca="1" si="42"/>
        <v>60424.111323567413</v>
      </c>
    </row>
    <row r="15" spans="1:69" x14ac:dyDescent="0.25">
      <c r="A15" s="1">
        <v>14</v>
      </c>
      <c r="B15" s="13">
        <f ca="1">IF(A15=1,IF(OR('My Loans'!$N$14="",'My Loans'!$N$14=0),0,INDIRECT("'My Loans'!$D"&amp;'My Loans'!$N$14)),AE14)</f>
        <v>18685.024584793446</v>
      </c>
      <c r="C15" s="13">
        <f ca="1">IF(OR('My Loans'!$N$14="",'My Loans'!$N$14=0),0,B15*INDIRECT("'My Loans'!$E"&amp;'My Loans'!$N$14)/12)</f>
        <v>123.00974518322352</v>
      </c>
      <c r="D15" s="13">
        <f ca="1">IF(OR('My Loans'!$N$14="",'My Loans'!$N$14=0),0,IF(B15&lt;0.005,0,MIN(INDIRECT("'My Loans'!$F"&amp;'My Loans'!$N$14),B15+C15)))</f>
        <v>410</v>
      </c>
      <c r="E15" s="13">
        <f ca="1">IF(A15=1,IF(OR('My Loans'!$N$15="",'My Loans'!$N$15=0),0,INDIRECT("'My Loans'!$D"&amp;'My Loans'!$N$15)),AJ14)</f>
        <v>13866.078976716131</v>
      </c>
      <c r="F15" s="13">
        <f ca="1">IF(OR('My Loans'!$N$15="",'My Loans'!$N$15=0),0,E15*INDIRECT("'My Loans'!$E"&amp;'My Loans'!$N$15)/12)</f>
        <v>71.641408046366678</v>
      </c>
      <c r="G15" s="13">
        <f ca="1">IF(OR('My Loans'!$N$15="",'My Loans'!$N$15=0),0,IF(E15&lt;0.005,0,MIN(INDIRECT("'My Loans'!$F"&amp;'My Loans'!$N$15),E15+F15)))</f>
        <v>178</v>
      </c>
      <c r="H15" s="13">
        <f ca="1">IF(A15=1,IF(OR('My Loans'!$N$16="",'My Loans'!$N$16=0),0,INDIRECT("'My Loans'!$D"&amp;'My Loans'!$N$16)),AO14)</f>
        <v>11686.368550079347</v>
      </c>
      <c r="I15" s="13">
        <f ca="1">IF(OR('My Loans'!$N$16="",'My Loans'!$N$16=0),0,H15*INDIRECT("'My Loans'!$E"&amp;'My Loans'!$N$16)/12)</f>
        <v>53.562522521197003</v>
      </c>
      <c r="J15" s="13">
        <f ca="1">IF(OR('My Loans'!$N$16="",'My Loans'!$N$16=0),0,IF(H15&lt;0.005,0,MIN(INDIRECT("'My Loans'!$F"&amp;'My Loans'!$N$16),H15+I15)))</f>
        <v>142</v>
      </c>
      <c r="K15" s="13">
        <f ca="1">IF(A15=1,IF(OR('My Loans'!$N$17="",'My Loans'!$N$17=0),0,INDIRECT("'My Loans'!$D"&amp;'My Loans'!$N$17)),AT14)</f>
        <v>8840.9431814327982</v>
      </c>
      <c r="L15" s="13">
        <f ca="1">IF(OR('My Loans'!$N$17="",'My Loans'!$N$17=0),0,K15*INDIRECT("'My Loans'!$E"&amp;'My Loans'!$N$17)/12)</f>
        <v>36.100517990850598</v>
      </c>
      <c r="M15" s="13">
        <f ca="1">IF(OR('My Loans'!$N$17="",'My Loans'!$N$17=0),0,IF(K15&lt;0.005,0,MIN(INDIRECT("'My Loans'!$F"&amp;'My Loans'!$N$17),K15+L15)))</f>
        <v>112</v>
      </c>
      <c r="N15" s="13">
        <f ca="1">IF(A15=1,IF(OR('My Loans'!$N$18="",'My Loans'!$N$18=0),0,INDIRECT("'My Loans'!$D"&amp;'My Loans'!$N$18)),AY14)</f>
        <v>7345.6960305456914</v>
      </c>
      <c r="O15" s="13">
        <f ca="1">IF(OR('My Loans'!$N$18="",'My Loans'!$N$18=0),0,N15*INDIRECT("'My Loans'!$E"&amp;'My Loans'!$N$18)/12)</f>
        <v>27.546360114546342</v>
      </c>
      <c r="P15" s="13">
        <f ca="1">IF(OR('My Loans'!$N$18="",'My Loans'!$N$18=0),0,IF(N15&lt;0.005,0,MIN(INDIRECT("'My Loans'!$F"&amp;'My Loans'!$N$18),N15+O15)))</f>
        <v>95</v>
      </c>
      <c r="Q15" s="13">
        <f ca="1">IF(A15=1,IF(OR('My Loans'!$N$19="",'My Loans'!$N$19=0),0,INDIRECT("'My Loans'!$D"&amp;'My Loans'!$N$19)),BD14)</f>
        <v>0</v>
      </c>
      <c r="R15" s="13">
        <f ca="1">IF(OR('My Loans'!$N$19="",'My Loans'!$N$19=0),0,Q15*INDIRECT("'My Loans'!$E"&amp;'My Loans'!$N$19)/12)</f>
        <v>0</v>
      </c>
      <c r="S15" s="13">
        <f ca="1">IF(OR('My Loans'!$N$19="",'My Loans'!$N$19=0),0,IF(Q15&lt;0.005,0,MIN(INDIRECT("'My Loans'!$F"&amp;'My Loans'!$N$19),Q15+R15)))</f>
        <v>0</v>
      </c>
      <c r="T15" s="13">
        <f ca="1">IF(A15=1,IF(OR('My Loans'!$N$20="",'My Loans'!$N$20=0),0,INDIRECT("'My Loans'!$D"&amp;'My Loans'!$N$20)),BI14)</f>
        <v>0</v>
      </c>
      <c r="U15" s="13">
        <f ca="1">IF(OR('My Loans'!$N$20="",'My Loans'!$N$20=0),0,T15*INDIRECT("'My Loans'!$E"&amp;'My Loans'!$N$20)/12)</f>
        <v>0</v>
      </c>
      <c r="V15" s="13">
        <f ca="1">IF(OR('My Loans'!$N$20="",'My Loans'!$N$20=0),0,IF(T15&lt;0.005,0,MIN(INDIRECT("'My Loans'!$F"&amp;'My Loans'!$N$20),T15+U15)))</f>
        <v>0</v>
      </c>
      <c r="W15" s="13">
        <f ca="1">IF(A15=1,IF(OR('My Loans'!$N$21="",'My Loans'!$N$21=0),0,INDIRECT("'My Loans'!$D"&amp;'My Loans'!$N$21)),BN14)</f>
        <v>0</v>
      </c>
      <c r="X15" s="13">
        <f ca="1">IF(OR('My Loans'!$N$21="",'My Loans'!$N$21=0),0,W15*INDIRECT("'My Loans'!$E"&amp;'My Loans'!$N$21)/12)</f>
        <v>0</v>
      </c>
      <c r="Y15" s="13">
        <f ca="1">IF(OR('My Loans'!$N$21="",'My Loans'!$N$21=0),0,IF(W15&lt;0.005,0,MIN(INDIRECT("'My Loans'!$F"&amp;'My Loans'!$N$21),W15+X15)))</f>
        <v>0</v>
      </c>
      <c r="Z15" s="13">
        <f ca="1">'My Loans'!$B$13-(D15+G15+J15+M15+P15+S15+V15+Y15)</f>
        <v>463</v>
      </c>
      <c r="AA15" s="13">
        <f t="shared" ca="1" si="0"/>
        <v>463</v>
      </c>
      <c r="AB15" s="13">
        <f t="shared" ca="1" si="1"/>
        <v>18398.034329976668</v>
      </c>
      <c r="AC15" s="13">
        <f t="shared" ca="1" si="2"/>
        <v>463</v>
      </c>
      <c r="AD15" s="13">
        <f t="shared" ca="1" si="3"/>
        <v>873</v>
      </c>
      <c r="AE15" s="13">
        <f t="shared" ca="1" si="4"/>
        <v>17935.034329976668</v>
      </c>
      <c r="AF15" s="13">
        <f t="shared" ca="1" si="5"/>
        <v>0</v>
      </c>
      <c r="AG15" s="13">
        <f t="shared" ca="1" si="6"/>
        <v>13759.720384762499</v>
      </c>
      <c r="AH15" s="13">
        <f t="shared" ca="1" si="7"/>
        <v>0</v>
      </c>
      <c r="AI15" s="13">
        <f t="shared" ca="1" si="8"/>
        <v>178</v>
      </c>
      <c r="AJ15" s="13">
        <f t="shared" ca="1" si="9"/>
        <v>13759.720384762499</v>
      </c>
      <c r="AK15" s="13">
        <f t="shared" ca="1" si="10"/>
        <v>0</v>
      </c>
      <c r="AL15" s="13">
        <f t="shared" ca="1" si="11"/>
        <v>11597.931072600544</v>
      </c>
      <c r="AM15" s="13">
        <f t="shared" ca="1" si="12"/>
        <v>0</v>
      </c>
      <c r="AN15" s="13">
        <f t="shared" ca="1" si="13"/>
        <v>142</v>
      </c>
      <c r="AO15" s="13">
        <f t="shared" ca="1" si="14"/>
        <v>11597.931072600544</v>
      </c>
      <c r="AP15" s="13">
        <f t="shared" ca="1" si="15"/>
        <v>0</v>
      </c>
      <c r="AQ15" s="13">
        <f t="shared" ca="1" si="16"/>
        <v>8765.0436994236479</v>
      </c>
      <c r="AR15" s="13">
        <f t="shared" ca="1" si="17"/>
        <v>0</v>
      </c>
      <c r="AS15" s="13">
        <f t="shared" ca="1" si="18"/>
        <v>112</v>
      </c>
      <c r="AT15" s="13">
        <f t="shared" ca="1" si="19"/>
        <v>8765.0436994236479</v>
      </c>
      <c r="AU15" s="13">
        <f t="shared" ca="1" si="20"/>
        <v>0</v>
      </c>
      <c r="AV15" s="13">
        <f t="shared" ca="1" si="21"/>
        <v>7278.242390660238</v>
      </c>
      <c r="AW15" s="13">
        <f t="shared" ca="1" si="22"/>
        <v>0</v>
      </c>
      <c r="AX15" s="13">
        <f t="shared" ca="1" si="23"/>
        <v>95</v>
      </c>
      <c r="AY15" s="13">
        <f t="shared" ca="1" si="24"/>
        <v>7278.242390660238</v>
      </c>
      <c r="AZ15" s="13">
        <f t="shared" ca="1" si="25"/>
        <v>0</v>
      </c>
      <c r="BA15" s="13">
        <f t="shared" ca="1" si="26"/>
        <v>0</v>
      </c>
      <c r="BB15" s="13">
        <f t="shared" ca="1" si="27"/>
        <v>0</v>
      </c>
      <c r="BC15" s="13">
        <f t="shared" ca="1" si="28"/>
        <v>0</v>
      </c>
      <c r="BD15" s="13">
        <f t="shared" ca="1" si="29"/>
        <v>0</v>
      </c>
      <c r="BE15" s="13">
        <f t="shared" ca="1" si="30"/>
        <v>0</v>
      </c>
      <c r="BF15" s="13">
        <f t="shared" ca="1" si="31"/>
        <v>0</v>
      </c>
      <c r="BG15" s="13">
        <f t="shared" ca="1" si="32"/>
        <v>0</v>
      </c>
      <c r="BH15" s="13">
        <f t="shared" ca="1" si="33"/>
        <v>0</v>
      </c>
      <c r="BI15" s="13">
        <f t="shared" ca="1" si="34"/>
        <v>0</v>
      </c>
      <c r="BJ15" s="13">
        <f t="shared" ca="1" si="35"/>
        <v>0</v>
      </c>
      <c r="BK15" s="13">
        <f t="shared" ca="1" si="36"/>
        <v>0</v>
      </c>
      <c r="BL15" s="13">
        <f t="shared" ca="1" si="37"/>
        <v>0</v>
      </c>
      <c r="BM15" s="13">
        <f t="shared" ca="1" si="38"/>
        <v>0</v>
      </c>
      <c r="BN15" s="13">
        <f t="shared" ca="1" si="39"/>
        <v>0</v>
      </c>
      <c r="BO15" s="13">
        <f t="shared" ca="1" si="40"/>
        <v>1400</v>
      </c>
      <c r="BP15" s="13">
        <f t="shared" ca="1" si="41"/>
        <v>311.86055385618414</v>
      </c>
      <c r="BQ15" s="13">
        <f t="shared" ca="1" si="42"/>
        <v>59335.971877423595</v>
      </c>
    </row>
    <row r="16" spans="1:69" x14ac:dyDescent="0.25">
      <c r="A16" s="1">
        <v>15</v>
      </c>
      <c r="B16" s="13">
        <f ca="1">IF(A16=1,IF(OR('My Loans'!$N$14="",'My Loans'!$N$14=0),0,INDIRECT("'My Loans'!$D"&amp;'My Loans'!$N$14)),AE15)</f>
        <v>17935.034329976668</v>
      </c>
      <c r="C16" s="13">
        <f ca="1">IF(OR('My Loans'!$N$14="",'My Loans'!$N$14=0),0,B16*INDIRECT("'My Loans'!$E"&amp;'My Loans'!$N$14)/12)</f>
        <v>118.07230933901307</v>
      </c>
      <c r="D16" s="13">
        <f ca="1">IF(OR('My Loans'!$N$14="",'My Loans'!$N$14=0),0,IF(B16&lt;0.005,0,MIN(INDIRECT("'My Loans'!$F"&amp;'My Loans'!$N$14),B16+C16)))</f>
        <v>410</v>
      </c>
      <c r="E16" s="13">
        <f ca="1">IF(A16=1,IF(OR('My Loans'!$N$15="",'My Loans'!$N$15=0),0,INDIRECT("'My Loans'!$D"&amp;'My Loans'!$N$15)),AJ15)</f>
        <v>13759.720384762499</v>
      </c>
      <c r="F16" s="13">
        <f ca="1">IF(OR('My Loans'!$N$15="",'My Loans'!$N$15=0),0,E16*INDIRECT("'My Loans'!$E"&amp;'My Loans'!$N$15)/12)</f>
        <v>71.091888654606251</v>
      </c>
      <c r="G16" s="13">
        <f ca="1">IF(OR('My Loans'!$N$15="",'My Loans'!$N$15=0),0,IF(E16&lt;0.005,0,MIN(INDIRECT("'My Loans'!$F"&amp;'My Loans'!$N$15),E16+F16)))</f>
        <v>178</v>
      </c>
      <c r="H16" s="13">
        <f ca="1">IF(A16=1,IF(OR('My Loans'!$N$16="",'My Loans'!$N$16=0),0,INDIRECT("'My Loans'!$D"&amp;'My Loans'!$N$16)),AO15)</f>
        <v>11597.931072600544</v>
      </c>
      <c r="I16" s="13">
        <f ca="1">IF(OR('My Loans'!$N$16="",'My Loans'!$N$16=0),0,H16*INDIRECT("'My Loans'!$E"&amp;'My Loans'!$N$16)/12)</f>
        <v>53.157184082752501</v>
      </c>
      <c r="J16" s="13">
        <f ca="1">IF(OR('My Loans'!$N$16="",'My Loans'!$N$16=0),0,IF(H16&lt;0.005,0,MIN(INDIRECT("'My Loans'!$F"&amp;'My Loans'!$N$16),H16+I16)))</f>
        <v>142</v>
      </c>
      <c r="K16" s="13">
        <f ca="1">IF(A16=1,IF(OR('My Loans'!$N$17="",'My Loans'!$N$17=0),0,INDIRECT("'My Loans'!$D"&amp;'My Loans'!$N$17)),AT15)</f>
        <v>8765.0436994236479</v>
      </c>
      <c r="L16" s="13">
        <f ca="1">IF(OR('My Loans'!$N$17="",'My Loans'!$N$17=0),0,K16*INDIRECT("'My Loans'!$E"&amp;'My Loans'!$N$17)/12)</f>
        <v>35.790595105979897</v>
      </c>
      <c r="M16" s="13">
        <f ca="1">IF(OR('My Loans'!$N$17="",'My Loans'!$N$17=0),0,IF(K16&lt;0.005,0,MIN(INDIRECT("'My Loans'!$F"&amp;'My Loans'!$N$17),K16+L16)))</f>
        <v>112</v>
      </c>
      <c r="N16" s="13">
        <f ca="1">IF(A16=1,IF(OR('My Loans'!$N$18="",'My Loans'!$N$18=0),0,INDIRECT("'My Loans'!$D"&amp;'My Loans'!$N$18)),AY15)</f>
        <v>7278.242390660238</v>
      </c>
      <c r="O16" s="13">
        <f ca="1">IF(OR('My Loans'!$N$18="",'My Loans'!$N$18=0),0,N16*INDIRECT("'My Loans'!$E"&amp;'My Loans'!$N$18)/12)</f>
        <v>27.293408964975892</v>
      </c>
      <c r="P16" s="13">
        <f ca="1">IF(OR('My Loans'!$N$18="",'My Loans'!$N$18=0),0,IF(N16&lt;0.005,0,MIN(INDIRECT("'My Loans'!$F"&amp;'My Loans'!$N$18),N16+O16)))</f>
        <v>95</v>
      </c>
      <c r="Q16" s="13">
        <f ca="1">IF(A16=1,IF(OR('My Loans'!$N$19="",'My Loans'!$N$19=0),0,INDIRECT("'My Loans'!$D"&amp;'My Loans'!$N$19)),BD15)</f>
        <v>0</v>
      </c>
      <c r="R16" s="13">
        <f ca="1">IF(OR('My Loans'!$N$19="",'My Loans'!$N$19=0),0,Q16*INDIRECT("'My Loans'!$E"&amp;'My Loans'!$N$19)/12)</f>
        <v>0</v>
      </c>
      <c r="S16" s="13">
        <f ca="1">IF(OR('My Loans'!$N$19="",'My Loans'!$N$19=0),0,IF(Q16&lt;0.005,0,MIN(INDIRECT("'My Loans'!$F"&amp;'My Loans'!$N$19),Q16+R16)))</f>
        <v>0</v>
      </c>
      <c r="T16" s="13">
        <f ca="1">IF(A16=1,IF(OR('My Loans'!$N$20="",'My Loans'!$N$20=0),0,INDIRECT("'My Loans'!$D"&amp;'My Loans'!$N$20)),BI15)</f>
        <v>0</v>
      </c>
      <c r="U16" s="13">
        <f ca="1">IF(OR('My Loans'!$N$20="",'My Loans'!$N$20=0),0,T16*INDIRECT("'My Loans'!$E"&amp;'My Loans'!$N$20)/12)</f>
        <v>0</v>
      </c>
      <c r="V16" s="13">
        <f ca="1">IF(OR('My Loans'!$N$20="",'My Loans'!$N$20=0),0,IF(T16&lt;0.005,0,MIN(INDIRECT("'My Loans'!$F"&amp;'My Loans'!$N$20),T16+U16)))</f>
        <v>0</v>
      </c>
      <c r="W16" s="13">
        <f ca="1">IF(A16=1,IF(OR('My Loans'!$N$21="",'My Loans'!$N$21=0),0,INDIRECT("'My Loans'!$D"&amp;'My Loans'!$N$21)),BN15)</f>
        <v>0</v>
      </c>
      <c r="X16" s="13">
        <f ca="1">IF(OR('My Loans'!$N$21="",'My Loans'!$N$21=0),0,W16*INDIRECT("'My Loans'!$E"&amp;'My Loans'!$N$21)/12)</f>
        <v>0</v>
      </c>
      <c r="Y16" s="13">
        <f ca="1">IF(OR('My Loans'!$N$21="",'My Loans'!$N$21=0),0,IF(W16&lt;0.005,0,MIN(INDIRECT("'My Loans'!$F"&amp;'My Loans'!$N$21),W16+X16)))</f>
        <v>0</v>
      </c>
      <c r="Z16" s="13">
        <f ca="1">'My Loans'!$B$13-(D16+G16+J16+M16+P16+S16+V16+Y16)</f>
        <v>463</v>
      </c>
      <c r="AA16" s="13">
        <f t="shared" ca="1" si="0"/>
        <v>463</v>
      </c>
      <c r="AB16" s="13">
        <f t="shared" ca="1" si="1"/>
        <v>17643.10663931568</v>
      </c>
      <c r="AC16" s="13">
        <f t="shared" ca="1" si="2"/>
        <v>463</v>
      </c>
      <c r="AD16" s="13">
        <f t="shared" ca="1" si="3"/>
        <v>873</v>
      </c>
      <c r="AE16" s="13">
        <f t="shared" ca="1" si="4"/>
        <v>17180.10663931568</v>
      </c>
      <c r="AF16" s="13">
        <f t="shared" ca="1" si="5"/>
        <v>0</v>
      </c>
      <c r="AG16" s="13">
        <f t="shared" ca="1" si="6"/>
        <v>13652.812273417105</v>
      </c>
      <c r="AH16" s="13">
        <f t="shared" ca="1" si="7"/>
        <v>0</v>
      </c>
      <c r="AI16" s="13">
        <f t="shared" ca="1" si="8"/>
        <v>178</v>
      </c>
      <c r="AJ16" s="13">
        <f t="shared" ca="1" si="9"/>
        <v>13652.812273417105</v>
      </c>
      <c r="AK16" s="13">
        <f t="shared" ca="1" si="10"/>
        <v>0</v>
      </c>
      <c r="AL16" s="13">
        <f t="shared" ca="1" si="11"/>
        <v>11509.088256683297</v>
      </c>
      <c r="AM16" s="13">
        <f t="shared" ca="1" si="12"/>
        <v>0</v>
      </c>
      <c r="AN16" s="13">
        <f t="shared" ca="1" si="13"/>
        <v>142</v>
      </c>
      <c r="AO16" s="13">
        <f t="shared" ca="1" si="14"/>
        <v>11509.088256683297</v>
      </c>
      <c r="AP16" s="13">
        <f t="shared" ca="1" si="15"/>
        <v>0</v>
      </c>
      <c r="AQ16" s="13">
        <f t="shared" ca="1" si="16"/>
        <v>8688.8342945296281</v>
      </c>
      <c r="AR16" s="13">
        <f t="shared" ca="1" si="17"/>
        <v>0</v>
      </c>
      <c r="AS16" s="13">
        <f t="shared" ca="1" si="18"/>
        <v>112</v>
      </c>
      <c r="AT16" s="13">
        <f t="shared" ca="1" si="19"/>
        <v>8688.8342945296281</v>
      </c>
      <c r="AU16" s="13">
        <f t="shared" ca="1" si="20"/>
        <v>0</v>
      </c>
      <c r="AV16" s="13">
        <f t="shared" ca="1" si="21"/>
        <v>7210.5357996252142</v>
      </c>
      <c r="AW16" s="13">
        <f t="shared" ca="1" si="22"/>
        <v>0</v>
      </c>
      <c r="AX16" s="13">
        <f t="shared" ca="1" si="23"/>
        <v>95</v>
      </c>
      <c r="AY16" s="13">
        <f t="shared" ca="1" si="24"/>
        <v>7210.5357996252142</v>
      </c>
      <c r="AZ16" s="13">
        <f t="shared" ca="1" si="25"/>
        <v>0</v>
      </c>
      <c r="BA16" s="13">
        <f t="shared" ca="1" si="26"/>
        <v>0</v>
      </c>
      <c r="BB16" s="13">
        <f t="shared" ca="1" si="27"/>
        <v>0</v>
      </c>
      <c r="BC16" s="13">
        <f t="shared" ca="1" si="28"/>
        <v>0</v>
      </c>
      <c r="BD16" s="13">
        <f t="shared" ca="1" si="29"/>
        <v>0</v>
      </c>
      <c r="BE16" s="13">
        <f t="shared" ca="1" si="30"/>
        <v>0</v>
      </c>
      <c r="BF16" s="13">
        <f t="shared" ca="1" si="31"/>
        <v>0</v>
      </c>
      <c r="BG16" s="13">
        <f t="shared" ca="1" si="32"/>
        <v>0</v>
      </c>
      <c r="BH16" s="13">
        <f t="shared" ca="1" si="33"/>
        <v>0</v>
      </c>
      <c r="BI16" s="13">
        <f t="shared" ca="1" si="34"/>
        <v>0</v>
      </c>
      <c r="BJ16" s="13">
        <f t="shared" ca="1" si="35"/>
        <v>0</v>
      </c>
      <c r="BK16" s="13">
        <f t="shared" ca="1" si="36"/>
        <v>0</v>
      </c>
      <c r="BL16" s="13">
        <f t="shared" ca="1" si="37"/>
        <v>0</v>
      </c>
      <c r="BM16" s="13">
        <f t="shared" ca="1" si="38"/>
        <v>0</v>
      </c>
      <c r="BN16" s="13">
        <f t="shared" ca="1" si="39"/>
        <v>0</v>
      </c>
      <c r="BO16" s="13">
        <f t="shared" ca="1" si="40"/>
        <v>1400</v>
      </c>
      <c r="BP16" s="13">
        <f t="shared" ca="1" si="41"/>
        <v>305.40538614732759</v>
      </c>
      <c r="BQ16" s="13">
        <f t="shared" ca="1" si="42"/>
        <v>58241.377263570917</v>
      </c>
    </row>
    <row r="17" spans="1:69" x14ac:dyDescent="0.25">
      <c r="A17" s="1">
        <v>16</v>
      </c>
      <c r="B17" s="13">
        <f ca="1">IF(A17=1,IF(OR('My Loans'!$N$14="",'My Loans'!$N$14=0),0,INDIRECT("'My Loans'!$D"&amp;'My Loans'!$N$14)),AE16)</f>
        <v>17180.10663931568</v>
      </c>
      <c r="C17" s="13">
        <f ca="1">IF(OR('My Loans'!$N$14="",'My Loans'!$N$14=0),0,B17*INDIRECT("'My Loans'!$E"&amp;'My Loans'!$N$14)/12)</f>
        <v>113.10236870882822</v>
      </c>
      <c r="D17" s="13">
        <f ca="1">IF(OR('My Loans'!$N$14="",'My Loans'!$N$14=0),0,IF(B17&lt;0.005,0,MIN(INDIRECT("'My Loans'!$F"&amp;'My Loans'!$N$14),B17+C17)))</f>
        <v>410</v>
      </c>
      <c r="E17" s="13">
        <f ca="1">IF(A17=1,IF(OR('My Loans'!$N$15="",'My Loans'!$N$15=0),0,INDIRECT("'My Loans'!$D"&amp;'My Loans'!$N$15)),AJ16)</f>
        <v>13652.812273417105</v>
      </c>
      <c r="F17" s="13">
        <f ca="1">IF(OR('My Loans'!$N$15="",'My Loans'!$N$15=0),0,E17*INDIRECT("'My Loans'!$E"&amp;'My Loans'!$N$15)/12)</f>
        <v>70.539530079321707</v>
      </c>
      <c r="G17" s="13">
        <f ca="1">IF(OR('My Loans'!$N$15="",'My Loans'!$N$15=0),0,IF(E17&lt;0.005,0,MIN(INDIRECT("'My Loans'!$F"&amp;'My Loans'!$N$15),E17+F17)))</f>
        <v>178</v>
      </c>
      <c r="H17" s="13">
        <f ca="1">IF(A17=1,IF(OR('My Loans'!$N$16="",'My Loans'!$N$16=0),0,INDIRECT("'My Loans'!$D"&amp;'My Loans'!$N$16)),AO16)</f>
        <v>11509.088256683297</v>
      </c>
      <c r="I17" s="13">
        <f ca="1">IF(OR('My Loans'!$N$16="",'My Loans'!$N$16=0),0,H17*INDIRECT("'My Loans'!$E"&amp;'My Loans'!$N$16)/12)</f>
        <v>52.749987843131777</v>
      </c>
      <c r="J17" s="13">
        <f ca="1">IF(OR('My Loans'!$N$16="",'My Loans'!$N$16=0),0,IF(H17&lt;0.005,0,MIN(INDIRECT("'My Loans'!$F"&amp;'My Loans'!$N$16),H17+I17)))</f>
        <v>142</v>
      </c>
      <c r="K17" s="13">
        <f ca="1">IF(A17=1,IF(OR('My Loans'!$N$17="",'My Loans'!$N$17=0),0,INDIRECT("'My Loans'!$D"&amp;'My Loans'!$N$17)),AT16)</f>
        <v>8688.8342945296281</v>
      </c>
      <c r="L17" s="13">
        <f ca="1">IF(OR('My Loans'!$N$17="",'My Loans'!$N$17=0),0,K17*INDIRECT("'My Loans'!$E"&amp;'My Loans'!$N$17)/12)</f>
        <v>35.479406702662651</v>
      </c>
      <c r="M17" s="13">
        <f ca="1">IF(OR('My Loans'!$N$17="",'My Loans'!$N$17=0),0,IF(K17&lt;0.005,0,MIN(INDIRECT("'My Loans'!$F"&amp;'My Loans'!$N$17),K17+L17)))</f>
        <v>112</v>
      </c>
      <c r="N17" s="13">
        <f ca="1">IF(A17=1,IF(OR('My Loans'!$N$18="",'My Loans'!$N$18=0),0,INDIRECT("'My Loans'!$D"&amp;'My Loans'!$N$18)),AY16)</f>
        <v>7210.5357996252142</v>
      </c>
      <c r="O17" s="13">
        <f ca="1">IF(OR('My Loans'!$N$18="",'My Loans'!$N$18=0),0,N17*INDIRECT("'My Loans'!$E"&amp;'My Loans'!$N$18)/12)</f>
        <v>27.039509248594552</v>
      </c>
      <c r="P17" s="13">
        <f ca="1">IF(OR('My Loans'!$N$18="",'My Loans'!$N$18=0),0,IF(N17&lt;0.005,0,MIN(INDIRECT("'My Loans'!$F"&amp;'My Loans'!$N$18),N17+O17)))</f>
        <v>95</v>
      </c>
      <c r="Q17" s="13">
        <f ca="1">IF(A17=1,IF(OR('My Loans'!$N$19="",'My Loans'!$N$19=0),0,INDIRECT("'My Loans'!$D"&amp;'My Loans'!$N$19)),BD16)</f>
        <v>0</v>
      </c>
      <c r="R17" s="13">
        <f ca="1">IF(OR('My Loans'!$N$19="",'My Loans'!$N$19=0),0,Q17*INDIRECT("'My Loans'!$E"&amp;'My Loans'!$N$19)/12)</f>
        <v>0</v>
      </c>
      <c r="S17" s="13">
        <f ca="1">IF(OR('My Loans'!$N$19="",'My Loans'!$N$19=0),0,IF(Q17&lt;0.005,0,MIN(INDIRECT("'My Loans'!$F"&amp;'My Loans'!$N$19),Q17+R17)))</f>
        <v>0</v>
      </c>
      <c r="T17" s="13">
        <f ca="1">IF(A17=1,IF(OR('My Loans'!$N$20="",'My Loans'!$N$20=0),0,INDIRECT("'My Loans'!$D"&amp;'My Loans'!$N$20)),BI16)</f>
        <v>0</v>
      </c>
      <c r="U17" s="13">
        <f ca="1">IF(OR('My Loans'!$N$20="",'My Loans'!$N$20=0),0,T17*INDIRECT("'My Loans'!$E"&amp;'My Loans'!$N$20)/12)</f>
        <v>0</v>
      </c>
      <c r="V17" s="13">
        <f ca="1">IF(OR('My Loans'!$N$20="",'My Loans'!$N$20=0),0,IF(T17&lt;0.005,0,MIN(INDIRECT("'My Loans'!$F"&amp;'My Loans'!$N$20),T17+U17)))</f>
        <v>0</v>
      </c>
      <c r="W17" s="13">
        <f ca="1">IF(A17=1,IF(OR('My Loans'!$N$21="",'My Loans'!$N$21=0),0,INDIRECT("'My Loans'!$D"&amp;'My Loans'!$N$21)),BN16)</f>
        <v>0</v>
      </c>
      <c r="X17" s="13">
        <f ca="1">IF(OR('My Loans'!$N$21="",'My Loans'!$N$21=0),0,W17*INDIRECT("'My Loans'!$E"&amp;'My Loans'!$N$21)/12)</f>
        <v>0</v>
      </c>
      <c r="Y17" s="13">
        <f ca="1">IF(OR('My Loans'!$N$21="",'My Loans'!$N$21=0),0,IF(W17&lt;0.005,0,MIN(INDIRECT("'My Loans'!$F"&amp;'My Loans'!$N$21),W17+X17)))</f>
        <v>0</v>
      </c>
      <c r="Z17" s="13">
        <f ca="1">'My Loans'!$B$13-(D17+G17+J17+M17+P17+S17+V17+Y17)</f>
        <v>463</v>
      </c>
      <c r="AA17" s="13">
        <f t="shared" ca="1" si="0"/>
        <v>463</v>
      </c>
      <c r="AB17" s="13">
        <f t="shared" ca="1" si="1"/>
        <v>16883.209008024507</v>
      </c>
      <c r="AC17" s="13">
        <f t="shared" ca="1" si="2"/>
        <v>463</v>
      </c>
      <c r="AD17" s="13">
        <f t="shared" ca="1" si="3"/>
        <v>873</v>
      </c>
      <c r="AE17" s="13">
        <f t="shared" ca="1" si="4"/>
        <v>16420.209008024507</v>
      </c>
      <c r="AF17" s="13">
        <f t="shared" ca="1" si="5"/>
        <v>0</v>
      </c>
      <c r="AG17" s="13">
        <f t="shared" ca="1" si="6"/>
        <v>13545.351803496427</v>
      </c>
      <c r="AH17" s="13">
        <f t="shared" ca="1" si="7"/>
        <v>0</v>
      </c>
      <c r="AI17" s="13">
        <f t="shared" ca="1" si="8"/>
        <v>178</v>
      </c>
      <c r="AJ17" s="13">
        <f t="shared" ca="1" si="9"/>
        <v>13545.351803496427</v>
      </c>
      <c r="AK17" s="13">
        <f t="shared" ca="1" si="10"/>
        <v>0</v>
      </c>
      <c r="AL17" s="13">
        <f t="shared" ca="1" si="11"/>
        <v>11419.838244526429</v>
      </c>
      <c r="AM17" s="13">
        <f t="shared" ca="1" si="12"/>
        <v>0</v>
      </c>
      <c r="AN17" s="13">
        <f t="shared" ca="1" si="13"/>
        <v>142</v>
      </c>
      <c r="AO17" s="13">
        <f t="shared" ca="1" si="14"/>
        <v>11419.838244526429</v>
      </c>
      <c r="AP17" s="13">
        <f t="shared" ca="1" si="15"/>
        <v>0</v>
      </c>
      <c r="AQ17" s="13">
        <f t="shared" ca="1" si="16"/>
        <v>8612.3137012322914</v>
      </c>
      <c r="AR17" s="13">
        <f t="shared" ca="1" si="17"/>
        <v>0</v>
      </c>
      <c r="AS17" s="13">
        <f t="shared" ca="1" si="18"/>
        <v>112</v>
      </c>
      <c r="AT17" s="13">
        <f t="shared" ca="1" si="19"/>
        <v>8612.3137012322914</v>
      </c>
      <c r="AU17" s="13">
        <f t="shared" ca="1" si="20"/>
        <v>0</v>
      </c>
      <c r="AV17" s="13">
        <f t="shared" ca="1" si="21"/>
        <v>7142.5753088738084</v>
      </c>
      <c r="AW17" s="13">
        <f t="shared" ca="1" si="22"/>
        <v>0</v>
      </c>
      <c r="AX17" s="13">
        <f t="shared" ca="1" si="23"/>
        <v>95</v>
      </c>
      <c r="AY17" s="13">
        <f t="shared" ca="1" si="24"/>
        <v>7142.5753088738084</v>
      </c>
      <c r="AZ17" s="13">
        <f t="shared" ca="1" si="25"/>
        <v>0</v>
      </c>
      <c r="BA17" s="13">
        <f t="shared" ca="1" si="26"/>
        <v>0</v>
      </c>
      <c r="BB17" s="13">
        <f t="shared" ca="1" si="27"/>
        <v>0</v>
      </c>
      <c r="BC17" s="13">
        <f t="shared" ca="1" si="28"/>
        <v>0</v>
      </c>
      <c r="BD17" s="13">
        <f t="shared" ca="1" si="29"/>
        <v>0</v>
      </c>
      <c r="BE17" s="13">
        <f t="shared" ca="1" si="30"/>
        <v>0</v>
      </c>
      <c r="BF17" s="13">
        <f t="shared" ca="1" si="31"/>
        <v>0</v>
      </c>
      <c r="BG17" s="13">
        <f t="shared" ca="1" si="32"/>
        <v>0</v>
      </c>
      <c r="BH17" s="13">
        <f t="shared" ca="1" si="33"/>
        <v>0</v>
      </c>
      <c r="BI17" s="13">
        <f t="shared" ca="1" si="34"/>
        <v>0</v>
      </c>
      <c r="BJ17" s="13">
        <f t="shared" ca="1" si="35"/>
        <v>0</v>
      </c>
      <c r="BK17" s="13">
        <f t="shared" ca="1" si="36"/>
        <v>0</v>
      </c>
      <c r="BL17" s="13">
        <f t="shared" ca="1" si="37"/>
        <v>0</v>
      </c>
      <c r="BM17" s="13">
        <f t="shared" ca="1" si="38"/>
        <v>0</v>
      </c>
      <c r="BN17" s="13">
        <f t="shared" ca="1" si="39"/>
        <v>0</v>
      </c>
      <c r="BO17" s="13">
        <f t="shared" ca="1" si="40"/>
        <v>1400</v>
      </c>
      <c r="BP17" s="13">
        <f t="shared" ca="1" si="41"/>
        <v>298.91080258253891</v>
      </c>
      <c r="BQ17" s="13">
        <f t="shared" ca="1" si="42"/>
        <v>57140.288066153458</v>
      </c>
    </row>
    <row r="18" spans="1:69" x14ac:dyDescent="0.25">
      <c r="A18" s="1">
        <v>17</v>
      </c>
      <c r="B18" s="13">
        <f ca="1">IF(A18=1,IF(OR('My Loans'!$N$14="",'My Loans'!$N$14=0),0,INDIRECT("'My Loans'!$D"&amp;'My Loans'!$N$14)),AE17)</f>
        <v>16420.209008024507</v>
      </c>
      <c r="C18" s="13">
        <f ca="1">IF(OR('My Loans'!$N$14="",'My Loans'!$N$14=0),0,B18*INDIRECT("'My Loans'!$E"&amp;'My Loans'!$N$14)/12)</f>
        <v>108.099709302828</v>
      </c>
      <c r="D18" s="13">
        <f ca="1">IF(OR('My Loans'!$N$14="",'My Loans'!$N$14=0),0,IF(B18&lt;0.005,0,MIN(INDIRECT("'My Loans'!$F"&amp;'My Loans'!$N$14),B18+C18)))</f>
        <v>410</v>
      </c>
      <c r="E18" s="13">
        <f ca="1">IF(A18=1,IF(OR('My Loans'!$N$15="",'My Loans'!$N$15=0),0,INDIRECT("'My Loans'!$D"&amp;'My Loans'!$N$15)),AJ17)</f>
        <v>13545.351803496427</v>
      </c>
      <c r="F18" s="13">
        <f ca="1">IF(OR('My Loans'!$N$15="",'My Loans'!$N$15=0),0,E18*INDIRECT("'My Loans'!$E"&amp;'My Loans'!$N$15)/12)</f>
        <v>69.9843176513982</v>
      </c>
      <c r="G18" s="13">
        <f ca="1">IF(OR('My Loans'!$N$15="",'My Loans'!$N$15=0),0,IF(E18&lt;0.005,0,MIN(INDIRECT("'My Loans'!$F"&amp;'My Loans'!$N$15),E18+F18)))</f>
        <v>178</v>
      </c>
      <c r="H18" s="13">
        <f ca="1">IF(A18=1,IF(OR('My Loans'!$N$16="",'My Loans'!$N$16=0),0,INDIRECT("'My Loans'!$D"&amp;'My Loans'!$N$16)),AO17)</f>
        <v>11419.838244526429</v>
      </c>
      <c r="I18" s="13">
        <f ca="1">IF(OR('My Loans'!$N$16="",'My Loans'!$N$16=0),0,H18*INDIRECT("'My Loans'!$E"&amp;'My Loans'!$N$16)/12)</f>
        <v>52.340925287412801</v>
      </c>
      <c r="J18" s="13">
        <f ca="1">IF(OR('My Loans'!$N$16="",'My Loans'!$N$16=0),0,IF(H18&lt;0.005,0,MIN(INDIRECT("'My Loans'!$F"&amp;'My Loans'!$N$16),H18+I18)))</f>
        <v>142</v>
      </c>
      <c r="K18" s="13">
        <f ca="1">IF(A18=1,IF(OR('My Loans'!$N$17="",'My Loans'!$N$17=0),0,INDIRECT("'My Loans'!$D"&amp;'My Loans'!$N$17)),AT17)</f>
        <v>8612.3137012322914</v>
      </c>
      <c r="L18" s="13">
        <f ca="1">IF(OR('My Loans'!$N$17="",'My Loans'!$N$17=0),0,K18*INDIRECT("'My Loans'!$E"&amp;'My Loans'!$N$17)/12)</f>
        <v>35.166947613365188</v>
      </c>
      <c r="M18" s="13">
        <f ca="1">IF(OR('My Loans'!$N$17="",'My Loans'!$N$17=0),0,IF(K18&lt;0.005,0,MIN(INDIRECT("'My Loans'!$F"&amp;'My Loans'!$N$17),K18+L18)))</f>
        <v>112</v>
      </c>
      <c r="N18" s="13">
        <f ca="1">IF(A18=1,IF(OR('My Loans'!$N$18="",'My Loans'!$N$18=0),0,INDIRECT("'My Loans'!$D"&amp;'My Loans'!$N$18)),AY17)</f>
        <v>7142.5753088738084</v>
      </c>
      <c r="O18" s="13">
        <f ca="1">IF(OR('My Loans'!$N$18="",'My Loans'!$N$18=0),0,N18*INDIRECT("'My Loans'!$E"&amp;'My Loans'!$N$18)/12)</f>
        <v>26.784657408276782</v>
      </c>
      <c r="P18" s="13">
        <f ca="1">IF(OR('My Loans'!$N$18="",'My Loans'!$N$18=0),0,IF(N18&lt;0.005,0,MIN(INDIRECT("'My Loans'!$F"&amp;'My Loans'!$N$18),N18+O18)))</f>
        <v>95</v>
      </c>
      <c r="Q18" s="13">
        <f ca="1">IF(A18=1,IF(OR('My Loans'!$N$19="",'My Loans'!$N$19=0),0,INDIRECT("'My Loans'!$D"&amp;'My Loans'!$N$19)),BD17)</f>
        <v>0</v>
      </c>
      <c r="R18" s="13">
        <f ca="1">IF(OR('My Loans'!$N$19="",'My Loans'!$N$19=0),0,Q18*INDIRECT("'My Loans'!$E"&amp;'My Loans'!$N$19)/12)</f>
        <v>0</v>
      </c>
      <c r="S18" s="13">
        <f ca="1">IF(OR('My Loans'!$N$19="",'My Loans'!$N$19=0),0,IF(Q18&lt;0.005,0,MIN(INDIRECT("'My Loans'!$F"&amp;'My Loans'!$N$19),Q18+R18)))</f>
        <v>0</v>
      </c>
      <c r="T18" s="13">
        <f ca="1">IF(A18=1,IF(OR('My Loans'!$N$20="",'My Loans'!$N$20=0),0,INDIRECT("'My Loans'!$D"&amp;'My Loans'!$N$20)),BI17)</f>
        <v>0</v>
      </c>
      <c r="U18" s="13">
        <f ca="1">IF(OR('My Loans'!$N$20="",'My Loans'!$N$20=0),0,T18*INDIRECT("'My Loans'!$E"&amp;'My Loans'!$N$20)/12)</f>
        <v>0</v>
      </c>
      <c r="V18" s="13">
        <f ca="1">IF(OR('My Loans'!$N$20="",'My Loans'!$N$20=0),0,IF(T18&lt;0.005,0,MIN(INDIRECT("'My Loans'!$F"&amp;'My Loans'!$N$20),T18+U18)))</f>
        <v>0</v>
      </c>
      <c r="W18" s="13">
        <f ca="1">IF(A18=1,IF(OR('My Loans'!$N$21="",'My Loans'!$N$21=0),0,INDIRECT("'My Loans'!$D"&amp;'My Loans'!$N$21)),BN17)</f>
        <v>0</v>
      </c>
      <c r="X18" s="13">
        <f ca="1">IF(OR('My Loans'!$N$21="",'My Loans'!$N$21=0),0,W18*INDIRECT("'My Loans'!$E"&amp;'My Loans'!$N$21)/12)</f>
        <v>0</v>
      </c>
      <c r="Y18" s="13">
        <f ca="1">IF(OR('My Loans'!$N$21="",'My Loans'!$N$21=0),0,IF(W18&lt;0.005,0,MIN(INDIRECT("'My Loans'!$F"&amp;'My Loans'!$N$21),W18+X18)))</f>
        <v>0</v>
      </c>
      <c r="Z18" s="13">
        <f ca="1">'My Loans'!$B$13-(D18+G18+J18+M18+P18+S18+V18+Y18)</f>
        <v>463</v>
      </c>
      <c r="AA18" s="13">
        <f t="shared" ca="1" si="0"/>
        <v>463</v>
      </c>
      <c r="AB18" s="13">
        <f t="shared" ca="1" si="1"/>
        <v>16118.308717327334</v>
      </c>
      <c r="AC18" s="13">
        <f t="shared" ca="1" si="2"/>
        <v>463</v>
      </c>
      <c r="AD18" s="13">
        <f t="shared" ca="1" si="3"/>
        <v>873</v>
      </c>
      <c r="AE18" s="13">
        <f t="shared" ca="1" si="4"/>
        <v>15655.308717327334</v>
      </c>
      <c r="AF18" s="13">
        <f t="shared" ca="1" si="5"/>
        <v>0</v>
      </c>
      <c r="AG18" s="13">
        <f t="shared" ca="1" si="6"/>
        <v>13437.336121147826</v>
      </c>
      <c r="AH18" s="13">
        <f t="shared" ca="1" si="7"/>
        <v>0</v>
      </c>
      <c r="AI18" s="13">
        <f t="shared" ca="1" si="8"/>
        <v>178</v>
      </c>
      <c r="AJ18" s="13">
        <f t="shared" ca="1" si="9"/>
        <v>13437.336121147826</v>
      </c>
      <c r="AK18" s="13">
        <f t="shared" ca="1" si="10"/>
        <v>0</v>
      </c>
      <c r="AL18" s="13">
        <f t="shared" ca="1" si="11"/>
        <v>11330.179169813842</v>
      </c>
      <c r="AM18" s="13">
        <f t="shared" ca="1" si="12"/>
        <v>0</v>
      </c>
      <c r="AN18" s="13">
        <f t="shared" ca="1" si="13"/>
        <v>142</v>
      </c>
      <c r="AO18" s="13">
        <f t="shared" ca="1" si="14"/>
        <v>11330.179169813842</v>
      </c>
      <c r="AP18" s="13">
        <f t="shared" ca="1" si="15"/>
        <v>0</v>
      </c>
      <c r="AQ18" s="13">
        <f t="shared" ca="1" si="16"/>
        <v>8535.4806488456561</v>
      </c>
      <c r="AR18" s="13">
        <f t="shared" ca="1" si="17"/>
        <v>0</v>
      </c>
      <c r="AS18" s="13">
        <f t="shared" ca="1" si="18"/>
        <v>112</v>
      </c>
      <c r="AT18" s="13">
        <f t="shared" ca="1" si="19"/>
        <v>8535.4806488456561</v>
      </c>
      <c r="AU18" s="13">
        <f t="shared" ca="1" si="20"/>
        <v>0</v>
      </c>
      <c r="AV18" s="13">
        <f t="shared" ca="1" si="21"/>
        <v>7074.3599662820852</v>
      </c>
      <c r="AW18" s="13">
        <f t="shared" ca="1" si="22"/>
        <v>0</v>
      </c>
      <c r="AX18" s="13">
        <f t="shared" ca="1" si="23"/>
        <v>95</v>
      </c>
      <c r="AY18" s="13">
        <f t="shared" ca="1" si="24"/>
        <v>7074.3599662820852</v>
      </c>
      <c r="AZ18" s="13">
        <f t="shared" ca="1" si="25"/>
        <v>0</v>
      </c>
      <c r="BA18" s="13">
        <f t="shared" ca="1" si="26"/>
        <v>0</v>
      </c>
      <c r="BB18" s="13">
        <f t="shared" ca="1" si="27"/>
        <v>0</v>
      </c>
      <c r="BC18" s="13">
        <f t="shared" ca="1" si="28"/>
        <v>0</v>
      </c>
      <c r="BD18" s="13">
        <f t="shared" ca="1" si="29"/>
        <v>0</v>
      </c>
      <c r="BE18" s="13">
        <f t="shared" ca="1" si="30"/>
        <v>0</v>
      </c>
      <c r="BF18" s="13">
        <f t="shared" ca="1" si="31"/>
        <v>0</v>
      </c>
      <c r="BG18" s="13">
        <f t="shared" ca="1" si="32"/>
        <v>0</v>
      </c>
      <c r="BH18" s="13">
        <f t="shared" ca="1" si="33"/>
        <v>0</v>
      </c>
      <c r="BI18" s="13">
        <f t="shared" ca="1" si="34"/>
        <v>0</v>
      </c>
      <c r="BJ18" s="13">
        <f t="shared" ca="1" si="35"/>
        <v>0</v>
      </c>
      <c r="BK18" s="13">
        <f t="shared" ca="1" si="36"/>
        <v>0</v>
      </c>
      <c r="BL18" s="13">
        <f t="shared" ca="1" si="37"/>
        <v>0</v>
      </c>
      <c r="BM18" s="13">
        <f t="shared" ca="1" si="38"/>
        <v>0</v>
      </c>
      <c r="BN18" s="13">
        <f t="shared" ca="1" si="39"/>
        <v>0</v>
      </c>
      <c r="BO18" s="13">
        <f t="shared" ca="1" si="40"/>
        <v>1400</v>
      </c>
      <c r="BP18" s="13">
        <f t="shared" ca="1" si="41"/>
        <v>292.37655726328097</v>
      </c>
      <c r="BQ18" s="13">
        <f t="shared" ca="1" si="42"/>
        <v>56032.664623416749</v>
      </c>
    </row>
    <row r="19" spans="1:69" x14ac:dyDescent="0.25">
      <c r="A19" s="1">
        <v>18</v>
      </c>
      <c r="B19" s="13">
        <f ca="1">IF(A19=1,IF(OR('My Loans'!$N$14="",'My Loans'!$N$14=0),0,INDIRECT("'My Loans'!$D"&amp;'My Loans'!$N$14)),AE18)</f>
        <v>15655.308717327334</v>
      </c>
      <c r="C19" s="13">
        <f ca="1">IF(OR('My Loans'!$N$14="",'My Loans'!$N$14=0),0,B19*INDIRECT("'My Loans'!$E"&amp;'My Loans'!$N$14)/12)</f>
        <v>103.06411572240495</v>
      </c>
      <c r="D19" s="13">
        <f ca="1">IF(OR('My Loans'!$N$14="",'My Loans'!$N$14=0),0,IF(B19&lt;0.005,0,MIN(INDIRECT("'My Loans'!$F"&amp;'My Loans'!$N$14),B19+C19)))</f>
        <v>410</v>
      </c>
      <c r="E19" s="13">
        <f ca="1">IF(A19=1,IF(OR('My Loans'!$N$15="",'My Loans'!$N$15=0),0,INDIRECT("'My Loans'!$D"&amp;'My Loans'!$N$15)),AJ18)</f>
        <v>13437.336121147826</v>
      </c>
      <c r="F19" s="13">
        <f ca="1">IF(OR('My Loans'!$N$15="",'My Loans'!$N$15=0),0,E19*INDIRECT("'My Loans'!$E"&amp;'My Loans'!$N$15)/12)</f>
        <v>69.426236625930429</v>
      </c>
      <c r="G19" s="13">
        <f ca="1">IF(OR('My Loans'!$N$15="",'My Loans'!$N$15=0),0,IF(E19&lt;0.005,0,MIN(INDIRECT("'My Loans'!$F"&amp;'My Loans'!$N$15),E19+F19)))</f>
        <v>178</v>
      </c>
      <c r="H19" s="13">
        <f ca="1">IF(A19=1,IF(OR('My Loans'!$N$16="",'My Loans'!$N$16=0),0,INDIRECT("'My Loans'!$D"&amp;'My Loans'!$N$16)),AO18)</f>
        <v>11330.179169813842</v>
      </c>
      <c r="I19" s="13">
        <f ca="1">IF(OR('My Loans'!$N$16="",'My Loans'!$N$16=0),0,H19*INDIRECT("'My Loans'!$E"&amp;'My Loans'!$N$16)/12)</f>
        <v>51.929987861646772</v>
      </c>
      <c r="J19" s="13">
        <f ca="1">IF(OR('My Loans'!$N$16="",'My Loans'!$N$16=0),0,IF(H19&lt;0.005,0,MIN(INDIRECT("'My Loans'!$F"&amp;'My Loans'!$N$16),H19+I19)))</f>
        <v>142</v>
      </c>
      <c r="K19" s="13">
        <f ca="1">IF(A19=1,IF(OR('My Loans'!$N$17="",'My Loans'!$N$17=0),0,INDIRECT("'My Loans'!$D"&amp;'My Loans'!$N$17)),AT18)</f>
        <v>8535.4806488456561</v>
      </c>
      <c r="L19" s="13">
        <f ca="1">IF(OR('My Loans'!$N$17="",'My Loans'!$N$17=0),0,K19*INDIRECT("'My Loans'!$E"&amp;'My Loans'!$N$17)/12)</f>
        <v>34.853212649453098</v>
      </c>
      <c r="M19" s="13">
        <f ca="1">IF(OR('My Loans'!$N$17="",'My Loans'!$N$17=0),0,IF(K19&lt;0.005,0,MIN(INDIRECT("'My Loans'!$F"&amp;'My Loans'!$N$17),K19+L19)))</f>
        <v>112</v>
      </c>
      <c r="N19" s="13">
        <f ca="1">IF(A19=1,IF(OR('My Loans'!$N$18="",'My Loans'!$N$18=0),0,INDIRECT("'My Loans'!$D"&amp;'My Loans'!$N$18)),AY18)</f>
        <v>7074.3599662820852</v>
      </c>
      <c r="O19" s="13">
        <f ca="1">IF(OR('My Loans'!$N$18="",'My Loans'!$N$18=0),0,N19*INDIRECT("'My Loans'!$E"&amp;'My Loans'!$N$18)/12)</f>
        <v>26.528849873557817</v>
      </c>
      <c r="P19" s="13">
        <f ca="1">IF(OR('My Loans'!$N$18="",'My Loans'!$N$18=0),0,IF(N19&lt;0.005,0,MIN(INDIRECT("'My Loans'!$F"&amp;'My Loans'!$N$18),N19+O19)))</f>
        <v>95</v>
      </c>
      <c r="Q19" s="13">
        <f ca="1">IF(A19=1,IF(OR('My Loans'!$N$19="",'My Loans'!$N$19=0),0,INDIRECT("'My Loans'!$D"&amp;'My Loans'!$N$19)),BD18)</f>
        <v>0</v>
      </c>
      <c r="R19" s="13">
        <f ca="1">IF(OR('My Loans'!$N$19="",'My Loans'!$N$19=0),0,Q19*INDIRECT("'My Loans'!$E"&amp;'My Loans'!$N$19)/12)</f>
        <v>0</v>
      </c>
      <c r="S19" s="13">
        <f ca="1">IF(OR('My Loans'!$N$19="",'My Loans'!$N$19=0),0,IF(Q19&lt;0.005,0,MIN(INDIRECT("'My Loans'!$F"&amp;'My Loans'!$N$19),Q19+R19)))</f>
        <v>0</v>
      </c>
      <c r="T19" s="13">
        <f ca="1">IF(A19=1,IF(OR('My Loans'!$N$20="",'My Loans'!$N$20=0),0,INDIRECT("'My Loans'!$D"&amp;'My Loans'!$N$20)),BI18)</f>
        <v>0</v>
      </c>
      <c r="U19" s="13">
        <f ca="1">IF(OR('My Loans'!$N$20="",'My Loans'!$N$20=0),0,T19*INDIRECT("'My Loans'!$E"&amp;'My Loans'!$N$20)/12)</f>
        <v>0</v>
      </c>
      <c r="V19" s="13">
        <f ca="1">IF(OR('My Loans'!$N$20="",'My Loans'!$N$20=0),0,IF(T19&lt;0.005,0,MIN(INDIRECT("'My Loans'!$F"&amp;'My Loans'!$N$20),T19+U19)))</f>
        <v>0</v>
      </c>
      <c r="W19" s="13">
        <f ca="1">IF(A19=1,IF(OR('My Loans'!$N$21="",'My Loans'!$N$21=0),0,INDIRECT("'My Loans'!$D"&amp;'My Loans'!$N$21)),BN18)</f>
        <v>0</v>
      </c>
      <c r="X19" s="13">
        <f ca="1">IF(OR('My Loans'!$N$21="",'My Loans'!$N$21=0),0,W19*INDIRECT("'My Loans'!$E"&amp;'My Loans'!$N$21)/12)</f>
        <v>0</v>
      </c>
      <c r="Y19" s="13">
        <f ca="1">IF(OR('My Loans'!$N$21="",'My Loans'!$N$21=0),0,IF(W19&lt;0.005,0,MIN(INDIRECT("'My Loans'!$F"&amp;'My Loans'!$N$21),W19+X19)))</f>
        <v>0</v>
      </c>
      <c r="Z19" s="13">
        <f ca="1">'My Loans'!$B$13-(D19+G19+J19+M19+P19+S19+V19+Y19)</f>
        <v>463</v>
      </c>
      <c r="AA19" s="13">
        <f t="shared" ca="1" si="0"/>
        <v>463</v>
      </c>
      <c r="AB19" s="13">
        <f t="shared" ca="1" si="1"/>
        <v>15348.37283304974</v>
      </c>
      <c r="AC19" s="13">
        <f t="shared" ca="1" si="2"/>
        <v>463</v>
      </c>
      <c r="AD19" s="13">
        <f t="shared" ca="1" si="3"/>
        <v>873</v>
      </c>
      <c r="AE19" s="13">
        <f t="shared" ca="1" si="4"/>
        <v>14885.37283304974</v>
      </c>
      <c r="AF19" s="13">
        <f t="shared" ca="1" si="5"/>
        <v>0</v>
      </c>
      <c r="AG19" s="13">
        <f t="shared" ca="1" si="6"/>
        <v>13328.762357773756</v>
      </c>
      <c r="AH19" s="13">
        <f t="shared" ca="1" si="7"/>
        <v>0</v>
      </c>
      <c r="AI19" s="13">
        <f t="shared" ca="1" si="8"/>
        <v>178</v>
      </c>
      <c r="AJ19" s="13">
        <f t="shared" ca="1" si="9"/>
        <v>13328.762357773756</v>
      </c>
      <c r="AK19" s="13">
        <f t="shared" ca="1" si="10"/>
        <v>0</v>
      </c>
      <c r="AL19" s="13">
        <f t="shared" ca="1" si="11"/>
        <v>11240.10915767549</v>
      </c>
      <c r="AM19" s="13">
        <f t="shared" ca="1" si="12"/>
        <v>0</v>
      </c>
      <c r="AN19" s="13">
        <f t="shared" ca="1" si="13"/>
        <v>142</v>
      </c>
      <c r="AO19" s="13">
        <f t="shared" ca="1" si="14"/>
        <v>11240.10915767549</v>
      </c>
      <c r="AP19" s="13">
        <f t="shared" ca="1" si="15"/>
        <v>0</v>
      </c>
      <c r="AQ19" s="13">
        <f t="shared" ca="1" si="16"/>
        <v>8458.3338614951099</v>
      </c>
      <c r="AR19" s="13">
        <f t="shared" ca="1" si="17"/>
        <v>0</v>
      </c>
      <c r="AS19" s="13">
        <f t="shared" ca="1" si="18"/>
        <v>112</v>
      </c>
      <c r="AT19" s="13">
        <f t="shared" ca="1" si="19"/>
        <v>8458.3338614951099</v>
      </c>
      <c r="AU19" s="13">
        <f t="shared" ca="1" si="20"/>
        <v>0</v>
      </c>
      <c r="AV19" s="13">
        <f t="shared" ca="1" si="21"/>
        <v>7005.8888161556433</v>
      </c>
      <c r="AW19" s="13">
        <f t="shared" ca="1" si="22"/>
        <v>0</v>
      </c>
      <c r="AX19" s="13">
        <f t="shared" ca="1" si="23"/>
        <v>95</v>
      </c>
      <c r="AY19" s="13">
        <f t="shared" ca="1" si="24"/>
        <v>7005.8888161556433</v>
      </c>
      <c r="AZ19" s="13">
        <f t="shared" ca="1" si="25"/>
        <v>0</v>
      </c>
      <c r="BA19" s="13">
        <f t="shared" ca="1" si="26"/>
        <v>0</v>
      </c>
      <c r="BB19" s="13">
        <f t="shared" ca="1" si="27"/>
        <v>0</v>
      </c>
      <c r="BC19" s="13">
        <f t="shared" ca="1" si="28"/>
        <v>0</v>
      </c>
      <c r="BD19" s="13">
        <f t="shared" ca="1" si="29"/>
        <v>0</v>
      </c>
      <c r="BE19" s="13">
        <f t="shared" ca="1" si="30"/>
        <v>0</v>
      </c>
      <c r="BF19" s="13">
        <f t="shared" ca="1" si="31"/>
        <v>0</v>
      </c>
      <c r="BG19" s="13">
        <f t="shared" ca="1" si="32"/>
        <v>0</v>
      </c>
      <c r="BH19" s="13">
        <f t="shared" ca="1" si="33"/>
        <v>0</v>
      </c>
      <c r="BI19" s="13">
        <f t="shared" ca="1" si="34"/>
        <v>0</v>
      </c>
      <c r="BJ19" s="13">
        <f t="shared" ca="1" si="35"/>
        <v>0</v>
      </c>
      <c r="BK19" s="13">
        <f t="shared" ca="1" si="36"/>
        <v>0</v>
      </c>
      <c r="BL19" s="13">
        <f t="shared" ca="1" si="37"/>
        <v>0</v>
      </c>
      <c r="BM19" s="13">
        <f t="shared" ca="1" si="38"/>
        <v>0</v>
      </c>
      <c r="BN19" s="13">
        <f t="shared" ca="1" si="39"/>
        <v>0</v>
      </c>
      <c r="BO19" s="13">
        <f t="shared" ca="1" si="40"/>
        <v>1400</v>
      </c>
      <c r="BP19" s="13">
        <f t="shared" ca="1" si="41"/>
        <v>285.80240273299302</v>
      </c>
      <c r="BQ19" s="13">
        <f t="shared" ca="1" si="42"/>
        <v>54918.467026149745</v>
      </c>
    </row>
    <row r="20" spans="1:69" x14ac:dyDescent="0.25">
      <c r="A20" s="1">
        <v>19</v>
      </c>
      <c r="B20" s="13">
        <f ca="1">IF(A20=1,IF(OR('My Loans'!$N$14="",'My Loans'!$N$14=0),0,INDIRECT("'My Loans'!$D"&amp;'My Loans'!$N$14)),AE19)</f>
        <v>14885.37283304974</v>
      </c>
      <c r="C20" s="13">
        <f ca="1">IF(OR('My Loans'!$N$14="",'My Loans'!$N$14=0),0,B20*INDIRECT("'My Loans'!$E"&amp;'My Loans'!$N$14)/12)</f>
        <v>97.995371150910785</v>
      </c>
      <c r="D20" s="13">
        <f ca="1">IF(OR('My Loans'!$N$14="",'My Loans'!$N$14=0),0,IF(B20&lt;0.005,0,MIN(INDIRECT("'My Loans'!$F"&amp;'My Loans'!$N$14),B20+C20)))</f>
        <v>410</v>
      </c>
      <c r="E20" s="13">
        <f ca="1">IF(A20=1,IF(OR('My Loans'!$N$15="",'My Loans'!$N$15=0),0,INDIRECT("'My Loans'!$D"&amp;'My Loans'!$N$15)),AJ19)</f>
        <v>13328.762357773756</v>
      </c>
      <c r="F20" s="13">
        <f ca="1">IF(OR('My Loans'!$N$15="",'My Loans'!$N$15=0),0,E20*INDIRECT("'My Loans'!$E"&amp;'My Loans'!$N$15)/12)</f>
        <v>68.865272181831074</v>
      </c>
      <c r="G20" s="13">
        <f ca="1">IF(OR('My Loans'!$N$15="",'My Loans'!$N$15=0),0,IF(E20&lt;0.005,0,MIN(INDIRECT("'My Loans'!$F"&amp;'My Loans'!$N$15),E20+F20)))</f>
        <v>178</v>
      </c>
      <c r="H20" s="13">
        <f ca="1">IF(A20=1,IF(OR('My Loans'!$N$16="",'My Loans'!$N$16=0),0,INDIRECT("'My Loans'!$D"&amp;'My Loans'!$N$16)),AO19)</f>
        <v>11240.10915767549</v>
      </c>
      <c r="I20" s="13">
        <f ca="1">IF(OR('My Loans'!$N$16="",'My Loans'!$N$16=0),0,H20*INDIRECT("'My Loans'!$E"&amp;'My Loans'!$N$16)/12)</f>
        <v>51.517166972679327</v>
      </c>
      <c r="J20" s="13">
        <f ca="1">IF(OR('My Loans'!$N$16="",'My Loans'!$N$16=0),0,IF(H20&lt;0.005,0,MIN(INDIRECT("'My Loans'!$F"&amp;'My Loans'!$N$16),H20+I20)))</f>
        <v>142</v>
      </c>
      <c r="K20" s="13">
        <f ca="1">IF(A20=1,IF(OR('My Loans'!$N$17="",'My Loans'!$N$17=0),0,INDIRECT("'My Loans'!$D"&amp;'My Loans'!$N$17)),AT19)</f>
        <v>8458.3338614951099</v>
      </c>
      <c r="L20" s="13">
        <f ca="1">IF(OR('My Loans'!$N$17="",'My Loans'!$N$17=0),0,K20*INDIRECT("'My Loans'!$E"&amp;'My Loans'!$N$17)/12)</f>
        <v>34.538196601105035</v>
      </c>
      <c r="M20" s="13">
        <f ca="1">IF(OR('My Loans'!$N$17="",'My Loans'!$N$17=0),0,IF(K20&lt;0.005,0,MIN(INDIRECT("'My Loans'!$F"&amp;'My Loans'!$N$17),K20+L20)))</f>
        <v>112</v>
      </c>
      <c r="N20" s="13">
        <f ca="1">IF(A20=1,IF(OR('My Loans'!$N$18="",'My Loans'!$N$18=0),0,INDIRECT("'My Loans'!$D"&amp;'My Loans'!$N$18)),AY19)</f>
        <v>7005.8888161556433</v>
      </c>
      <c r="O20" s="13">
        <f ca="1">IF(OR('My Loans'!$N$18="",'My Loans'!$N$18=0),0,N20*INDIRECT("'My Loans'!$E"&amp;'My Loans'!$N$18)/12)</f>
        <v>26.272083060583665</v>
      </c>
      <c r="P20" s="13">
        <f ca="1">IF(OR('My Loans'!$N$18="",'My Loans'!$N$18=0),0,IF(N20&lt;0.005,0,MIN(INDIRECT("'My Loans'!$F"&amp;'My Loans'!$N$18),N20+O20)))</f>
        <v>95</v>
      </c>
      <c r="Q20" s="13">
        <f ca="1">IF(A20=1,IF(OR('My Loans'!$N$19="",'My Loans'!$N$19=0),0,INDIRECT("'My Loans'!$D"&amp;'My Loans'!$N$19)),BD19)</f>
        <v>0</v>
      </c>
      <c r="R20" s="13">
        <f ca="1">IF(OR('My Loans'!$N$19="",'My Loans'!$N$19=0),0,Q20*INDIRECT("'My Loans'!$E"&amp;'My Loans'!$N$19)/12)</f>
        <v>0</v>
      </c>
      <c r="S20" s="13">
        <f ca="1">IF(OR('My Loans'!$N$19="",'My Loans'!$N$19=0),0,IF(Q20&lt;0.005,0,MIN(INDIRECT("'My Loans'!$F"&amp;'My Loans'!$N$19),Q20+R20)))</f>
        <v>0</v>
      </c>
      <c r="T20" s="13">
        <f ca="1">IF(A20=1,IF(OR('My Loans'!$N$20="",'My Loans'!$N$20=0),0,INDIRECT("'My Loans'!$D"&amp;'My Loans'!$N$20)),BI19)</f>
        <v>0</v>
      </c>
      <c r="U20" s="13">
        <f ca="1">IF(OR('My Loans'!$N$20="",'My Loans'!$N$20=0),0,T20*INDIRECT("'My Loans'!$E"&amp;'My Loans'!$N$20)/12)</f>
        <v>0</v>
      </c>
      <c r="V20" s="13">
        <f ca="1">IF(OR('My Loans'!$N$20="",'My Loans'!$N$20=0),0,IF(T20&lt;0.005,0,MIN(INDIRECT("'My Loans'!$F"&amp;'My Loans'!$N$20),T20+U20)))</f>
        <v>0</v>
      </c>
      <c r="W20" s="13">
        <f ca="1">IF(A20=1,IF(OR('My Loans'!$N$21="",'My Loans'!$N$21=0),0,INDIRECT("'My Loans'!$D"&amp;'My Loans'!$N$21)),BN19)</f>
        <v>0</v>
      </c>
      <c r="X20" s="13">
        <f ca="1">IF(OR('My Loans'!$N$21="",'My Loans'!$N$21=0),0,W20*INDIRECT("'My Loans'!$E"&amp;'My Loans'!$N$21)/12)</f>
        <v>0</v>
      </c>
      <c r="Y20" s="13">
        <f ca="1">IF(OR('My Loans'!$N$21="",'My Loans'!$N$21=0),0,IF(W20&lt;0.005,0,MIN(INDIRECT("'My Loans'!$F"&amp;'My Loans'!$N$21),W20+X20)))</f>
        <v>0</v>
      </c>
      <c r="Z20" s="13">
        <f ca="1">'My Loans'!$B$13-(D20+G20+J20+M20+P20+S20+V20+Y20)</f>
        <v>463</v>
      </c>
      <c r="AA20" s="13">
        <f t="shared" ca="1" si="0"/>
        <v>463</v>
      </c>
      <c r="AB20" s="13">
        <f t="shared" ca="1" si="1"/>
        <v>14573.368204200651</v>
      </c>
      <c r="AC20" s="13">
        <f t="shared" ca="1" si="2"/>
        <v>463</v>
      </c>
      <c r="AD20" s="13">
        <f t="shared" ca="1" si="3"/>
        <v>873</v>
      </c>
      <c r="AE20" s="13">
        <f t="shared" ca="1" si="4"/>
        <v>14110.368204200651</v>
      </c>
      <c r="AF20" s="13">
        <f t="shared" ca="1" si="5"/>
        <v>0</v>
      </c>
      <c r="AG20" s="13">
        <f t="shared" ca="1" si="6"/>
        <v>13219.627629955587</v>
      </c>
      <c r="AH20" s="13">
        <f t="shared" ca="1" si="7"/>
        <v>0</v>
      </c>
      <c r="AI20" s="13">
        <f t="shared" ca="1" si="8"/>
        <v>178</v>
      </c>
      <c r="AJ20" s="13">
        <f t="shared" ca="1" si="9"/>
        <v>13219.627629955587</v>
      </c>
      <c r="AK20" s="13">
        <f t="shared" ca="1" si="10"/>
        <v>0</v>
      </c>
      <c r="AL20" s="13">
        <f t="shared" ca="1" si="11"/>
        <v>11149.626324648169</v>
      </c>
      <c r="AM20" s="13">
        <f t="shared" ca="1" si="12"/>
        <v>0</v>
      </c>
      <c r="AN20" s="13">
        <f t="shared" ca="1" si="13"/>
        <v>142</v>
      </c>
      <c r="AO20" s="13">
        <f t="shared" ca="1" si="14"/>
        <v>11149.626324648169</v>
      </c>
      <c r="AP20" s="13">
        <f t="shared" ca="1" si="15"/>
        <v>0</v>
      </c>
      <c r="AQ20" s="13">
        <f t="shared" ca="1" si="16"/>
        <v>8380.8720580962145</v>
      </c>
      <c r="AR20" s="13">
        <f t="shared" ca="1" si="17"/>
        <v>0</v>
      </c>
      <c r="AS20" s="13">
        <f t="shared" ca="1" si="18"/>
        <v>112</v>
      </c>
      <c r="AT20" s="13">
        <f t="shared" ca="1" si="19"/>
        <v>8380.8720580962145</v>
      </c>
      <c r="AU20" s="13">
        <f t="shared" ca="1" si="20"/>
        <v>0</v>
      </c>
      <c r="AV20" s="13">
        <f t="shared" ca="1" si="21"/>
        <v>6937.1608992162273</v>
      </c>
      <c r="AW20" s="13">
        <f t="shared" ca="1" si="22"/>
        <v>0</v>
      </c>
      <c r="AX20" s="13">
        <f t="shared" ca="1" si="23"/>
        <v>95</v>
      </c>
      <c r="AY20" s="13">
        <f t="shared" ca="1" si="24"/>
        <v>6937.1608992162273</v>
      </c>
      <c r="AZ20" s="13">
        <f t="shared" ca="1" si="25"/>
        <v>0</v>
      </c>
      <c r="BA20" s="13">
        <f t="shared" ca="1" si="26"/>
        <v>0</v>
      </c>
      <c r="BB20" s="13">
        <f t="shared" ca="1" si="27"/>
        <v>0</v>
      </c>
      <c r="BC20" s="13">
        <f t="shared" ca="1" si="28"/>
        <v>0</v>
      </c>
      <c r="BD20" s="13">
        <f t="shared" ca="1" si="29"/>
        <v>0</v>
      </c>
      <c r="BE20" s="13">
        <f t="shared" ca="1" si="30"/>
        <v>0</v>
      </c>
      <c r="BF20" s="13">
        <f t="shared" ca="1" si="31"/>
        <v>0</v>
      </c>
      <c r="BG20" s="13">
        <f t="shared" ca="1" si="32"/>
        <v>0</v>
      </c>
      <c r="BH20" s="13">
        <f t="shared" ca="1" si="33"/>
        <v>0</v>
      </c>
      <c r="BI20" s="13">
        <f t="shared" ca="1" si="34"/>
        <v>0</v>
      </c>
      <c r="BJ20" s="13">
        <f t="shared" ca="1" si="35"/>
        <v>0</v>
      </c>
      <c r="BK20" s="13">
        <f t="shared" ca="1" si="36"/>
        <v>0</v>
      </c>
      <c r="BL20" s="13">
        <f t="shared" ca="1" si="37"/>
        <v>0</v>
      </c>
      <c r="BM20" s="13">
        <f t="shared" ca="1" si="38"/>
        <v>0</v>
      </c>
      <c r="BN20" s="13">
        <f t="shared" ca="1" si="39"/>
        <v>0</v>
      </c>
      <c r="BO20" s="13">
        <f t="shared" ca="1" si="40"/>
        <v>1400</v>
      </c>
      <c r="BP20" s="13">
        <f t="shared" ca="1" si="41"/>
        <v>279.18808996710987</v>
      </c>
      <c r="BQ20" s="13">
        <f t="shared" ca="1" si="42"/>
        <v>53797.655116116854</v>
      </c>
    </row>
    <row r="21" spans="1:69" x14ac:dyDescent="0.25">
      <c r="A21" s="1">
        <v>20</v>
      </c>
      <c r="B21" s="13">
        <f ca="1">IF(A21=1,IF(OR('My Loans'!$N$14="",'My Loans'!$N$14=0),0,INDIRECT("'My Loans'!$D"&amp;'My Loans'!$N$14)),AE20)</f>
        <v>14110.368204200651</v>
      </c>
      <c r="C21" s="13">
        <f ca="1">IF(OR('My Loans'!$N$14="",'My Loans'!$N$14=0),0,B21*INDIRECT("'My Loans'!$E"&amp;'My Loans'!$N$14)/12)</f>
        <v>92.893257344320958</v>
      </c>
      <c r="D21" s="13">
        <f ca="1">IF(OR('My Loans'!$N$14="",'My Loans'!$N$14=0),0,IF(B21&lt;0.005,0,MIN(INDIRECT("'My Loans'!$F"&amp;'My Loans'!$N$14),B21+C21)))</f>
        <v>410</v>
      </c>
      <c r="E21" s="13">
        <f ca="1">IF(A21=1,IF(OR('My Loans'!$N$15="",'My Loans'!$N$15=0),0,INDIRECT("'My Loans'!$D"&amp;'My Loans'!$N$15)),AJ20)</f>
        <v>13219.627629955587</v>
      </c>
      <c r="F21" s="13">
        <f ca="1">IF(OR('My Loans'!$N$15="",'My Loans'!$N$15=0),0,E21*INDIRECT("'My Loans'!$E"&amp;'My Loans'!$N$15)/12)</f>
        <v>68.301409421437199</v>
      </c>
      <c r="G21" s="13">
        <f ca="1">IF(OR('My Loans'!$N$15="",'My Loans'!$N$15=0),0,IF(E21&lt;0.005,0,MIN(INDIRECT("'My Loans'!$F"&amp;'My Loans'!$N$15),E21+F21)))</f>
        <v>178</v>
      </c>
      <c r="H21" s="13">
        <f ca="1">IF(A21=1,IF(OR('My Loans'!$N$16="",'My Loans'!$N$16=0),0,INDIRECT("'My Loans'!$D"&amp;'My Loans'!$N$16)),AO20)</f>
        <v>11149.626324648169</v>
      </c>
      <c r="I21" s="13">
        <f ca="1">IF(OR('My Loans'!$N$16="",'My Loans'!$N$16=0),0,H21*INDIRECT("'My Loans'!$E"&amp;'My Loans'!$N$16)/12)</f>
        <v>51.102453987970769</v>
      </c>
      <c r="J21" s="13">
        <f ca="1">IF(OR('My Loans'!$N$16="",'My Loans'!$N$16=0),0,IF(H21&lt;0.005,0,MIN(INDIRECT("'My Loans'!$F"&amp;'My Loans'!$N$16),H21+I21)))</f>
        <v>142</v>
      </c>
      <c r="K21" s="13">
        <f ca="1">IF(A21=1,IF(OR('My Loans'!$N$17="",'My Loans'!$N$17=0),0,INDIRECT("'My Loans'!$D"&amp;'My Loans'!$N$17)),AT20)</f>
        <v>8380.8720580962145</v>
      </c>
      <c r="L21" s="13">
        <f ca="1">IF(OR('My Loans'!$N$17="",'My Loans'!$N$17=0),0,K21*INDIRECT("'My Loans'!$E"&amp;'My Loans'!$N$17)/12)</f>
        <v>34.221894237226209</v>
      </c>
      <c r="M21" s="13">
        <f ca="1">IF(OR('My Loans'!$N$17="",'My Loans'!$N$17=0),0,IF(K21&lt;0.005,0,MIN(INDIRECT("'My Loans'!$F"&amp;'My Loans'!$N$17),K21+L21)))</f>
        <v>112</v>
      </c>
      <c r="N21" s="13">
        <f ca="1">IF(A21=1,IF(OR('My Loans'!$N$18="",'My Loans'!$N$18=0),0,INDIRECT("'My Loans'!$D"&amp;'My Loans'!$N$18)),AY20)</f>
        <v>6937.1608992162273</v>
      </c>
      <c r="O21" s="13">
        <f ca="1">IF(OR('My Loans'!$N$18="",'My Loans'!$N$18=0),0,N21*INDIRECT("'My Loans'!$E"&amp;'My Loans'!$N$18)/12)</f>
        <v>26.014353372060853</v>
      </c>
      <c r="P21" s="13">
        <f ca="1">IF(OR('My Loans'!$N$18="",'My Loans'!$N$18=0),0,IF(N21&lt;0.005,0,MIN(INDIRECT("'My Loans'!$F"&amp;'My Loans'!$N$18),N21+O21)))</f>
        <v>95</v>
      </c>
      <c r="Q21" s="13">
        <f ca="1">IF(A21=1,IF(OR('My Loans'!$N$19="",'My Loans'!$N$19=0),0,INDIRECT("'My Loans'!$D"&amp;'My Loans'!$N$19)),BD20)</f>
        <v>0</v>
      </c>
      <c r="R21" s="13">
        <f ca="1">IF(OR('My Loans'!$N$19="",'My Loans'!$N$19=0),0,Q21*INDIRECT("'My Loans'!$E"&amp;'My Loans'!$N$19)/12)</f>
        <v>0</v>
      </c>
      <c r="S21" s="13">
        <f ca="1">IF(OR('My Loans'!$N$19="",'My Loans'!$N$19=0),0,IF(Q21&lt;0.005,0,MIN(INDIRECT("'My Loans'!$F"&amp;'My Loans'!$N$19),Q21+R21)))</f>
        <v>0</v>
      </c>
      <c r="T21" s="13">
        <f ca="1">IF(A21=1,IF(OR('My Loans'!$N$20="",'My Loans'!$N$20=0),0,INDIRECT("'My Loans'!$D"&amp;'My Loans'!$N$20)),BI20)</f>
        <v>0</v>
      </c>
      <c r="U21" s="13">
        <f ca="1">IF(OR('My Loans'!$N$20="",'My Loans'!$N$20=0),0,T21*INDIRECT("'My Loans'!$E"&amp;'My Loans'!$N$20)/12)</f>
        <v>0</v>
      </c>
      <c r="V21" s="13">
        <f ca="1">IF(OR('My Loans'!$N$20="",'My Loans'!$N$20=0),0,IF(T21&lt;0.005,0,MIN(INDIRECT("'My Loans'!$F"&amp;'My Loans'!$N$20),T21+U21)))</f>
        <v>0</v>
      </c>
      <c r="W21" s="13">
        <f ca="1">IF(A21=1,IF(OR('My Loans'!$N$21="",'My Loans'!$N$21=0),0,INDIRECT("'My Loans'!$D"&amp;'My Loans'!$N$21)),BN20)</f>
        <v>0</v>
      </c>
      <c r="X21" s="13">
        <f ca="1">IF(OR('My Loans'!$N$21="",'My Loans'!$N$21=0),0,W21*INDIRECT("'My Loans'!$E"&amp;'My Loans'!$N$21)/12)</f>
        <v>0</v>
      </c>
      <c r="Y21" s="13">
        <f ca="1">IF(OR('My Loans'!$N$21="",'My Loans'!$N$21=0),0,IF(W21&lt;0.005,0,MIN(INDIRECT("'My Loans'!$F"&amp;'My Loans'!$N$21),W21+X21)))</f>
        <v>0</v>
      </c>
      <c r="Z21" s="13">
        <f ca="1">'My Loans'!$B$13-(D21+G21+J21+M21+P21+S21+V21+Y21)</f>
        <v>463</v>
      </c>
      <c r="AA21" s="13">
        <f t="shared" ca="1" si="0"/>
        <v>463</v>
      </c>
      <c r="AB21" s="13">
        <f t="shared" ca="1" si="1"/>
        <v>13793.261461544973</v>
      </c>
      <c r="AC21" s="13">
        <f t="shared" ca="1" si="2"/>
        <v>463</v>
      </c>
      <c r="AD21" s="13">
        <f t="shared" ca="1" si="3"/>
        <v>873</v>
      </c>
      <c r="AE21" s="13">
        <f t="shared" ca="1" si="4"/>
        <v>13330.261461544973</v>
      </c>
      <c r="AF21" s="13">
        <f t="shared" ca="1" si="5"/>
        <v>0</v>
      </c>
      <c r="AG21" s="13">
        <f t="shared" ca="1" si="6"/>
        <v>13109.929039377024</v>
      </c>
      <c r="AH21" s="13">
        <f t="shared" ca="1" si="7"/>
        <v>0</v>
      </c>
      <c r="AI21" s="13">
        <f t="shared" ca="1" si="8"/>
        <v>178</v>
      </c>
      <c r="AJ21" s="13">
        <f t="shared" ca="1" si="9"/>
        <v>13109.929039377024</v>
      </c>
      <c r="AK21" s="13">
        <f t="shared" ca="1" si="10"/>
        <v>0</v>
      </c>
      <c r="AL21" s="13">
        <f t="shared" ca="1" si="11"/>
        <v>11058.728778636139</v>
      </c>
      <c r="AM21" s="13">
        <f t="shared" ca="1" si="12"/>
        <v>0</v>
      </c>
      <c r="AN21" s="13">
        <f t="shared" ca="1" si="13"/>
        <v>142</v>
      </c>
      <c r="AO21" s="13">
        <f t="shared" ca="1" si="14"/>
        <v>11058.728778636139</v>
      </c>
      <c r="AP21" s="13">
        <f t="shared" ca="1" si="15"/>
        <v>0</v>
      </c>
      <c r="AQ21" s="13">
        <f t="shared" ca="1" si="16"/>
        <v>8303.09395233344</v>
      </c>
      <c r="AR21" s="13">
        <f t="shared" ca="1" si="17"/>
        <v>0</v>
      </c>
      <c r="AS21" s="13">
        <f t="shared" ca="1" si="18"/>
        <v>112</v>
      </c>
      <c r="AT21" s="13">
        <f t="shared" ca="1" si="19"/>
        <v>8303.09395233344</v>
      </c>
      <c r="AU21" s="13">
        <f t="shared" ca="1" si="20"/>
        <v>0</v>
      </c>
      <c r="AV21" s="13">
        <f t="shared" ca="1" si="21"/>
        <v>6868.1752525882885</v>
      </c>
      <c r="AW21" s="13">
        <f t="shared" ca="1" si="22"/>
        <v>0</v>
      </c>
      <c r="AX21" s="13">
        <f t="shared" ca="1" si="23"/>
        <v>95</v>
      </c>
      <c r="AY21" s="13">
        <f t="shared" ca="1" si="24"/>
        <v>6868.1752525882885</v>
      </c>
      <c r="AZ21" s="13">
        <f t="shared" ca="1" si="25"/>
        <v>0</v>
      </c>
      <c r="BA21" s="13">
        <f t="shared" ca="1" si="26"/>
        <v>0</v>
      </c>
      <c r="BB21" s="13">
        <f t="shared" ca="1" si="27"/>
        <v>0</v>
      </c>
      <c r="BC21" s="13">
        <f t="shared" ca="1" si="28"/>
        <v>0</v>
      </c>
      <c r="BD21" s="13">
        <f t="shared" ca="1" si="29"/>
        <v>0</v>
      </c>
      <c r="BE21" s="13">
        <f t="shared" ca="1" si="30"/>
        <v>0</v>
      </c>
      <c r="BF21" s="13">
        <f t="shared" ca="1" si="31"/>
        <v>0</v>
      </c>
      <c r="BG21" s="13">
        <f t="shared" ca="1" si="32"/>
        <v>0</v>
      </c>
      <c r="BH21" s="13">
        <f t="shared" ca="1" si="33"/>
        <v>0</v>
      </c>
      <c r="BI21" s="13">
        <f t="shared" ca="1" si="34"/>
        <v>0</v>
      </c>
      <c r="BJ21" s="13">
        <f t="shared" ca="1" si="35"/>
        <v>0</v>
      </c>
      <c r="BK21" s="13">
        <f t="shared" ca="1" si="36"/>
        <v>0</v>
      </c>
      <c r="BL21" s="13">
        <f t="shared" ca="1" si="37"/>
        <v>0</v>
      </c>
      <c r="BM21" s="13">
        <f t="shared" ca="1" si="38"/>
        <v>0</v>
      </c>
      <c r="BN21" s="13">
        <f t="shared" ca="1" si="39"/>
        <v>0</v>
      </c>
      <c r="BO21" s="13">
        <f t="shared" ca="1" si="40"/>
        <v>1400</v>
      </c>
      <c r="BP21" s="13">
        <f t="shared" ca="1" si="41"/>
        <v>272.53336836301594</v>
      </c>
      <c r="BQ21" s="13">
        <f t="shared" ca="1" si="42"/>
        <v>52670.18848447987</v>
      </c>
    </row>
    <row r="22" spans="1:69" x14ac:dyDescent="0.25">
      <c r="A22" s="1">
        <v>21</v>
      </c>
      <c r="B22" s="13">
        <f ca="1">IF(A22=1,IF(OR('My Loans'!$N$14="",'My Loans'!$N$14=0),0,INDIRECT("'My Loans'!$D"&amp;'My Loans'!$N$14)),AE21)</f>
        <v>13330.261461544973</v>
      </c>
      <c r="C22" s="13">
        <f ca="1">IF(OR('My Loans'!$N$14="",'My Loans'!$N$14=0),0,B22*INDIRECT("'My Loans'!$E"&amp;'My Loans'!$N$14)/12)</f>
        <v>87.757554621837741</v>
      </c>
      <c r="D22" s="13">
        <f ca="1">IF(OR('My Loans'!$N$14="",'My Loans'!$N$14=0),0,IF(B22&lt;0.005,0,MIN(INDIRECT("'My Loans'!$F"&amp;'My Loans'!$N$14),B22+C22)))</f>
        <v>410</v>
      </c>
      <c r="E22" s="13">
        <f ca="1">IF(A22=1,IF(OR('My Loans'!$N$15="",'My Loans'!$N$15=0),0,INDIRECT("'My Loans'!$D"&amp;'My Loans'!$N$15)),AJ21)</f>
        <v>13109.929039377024</v>
      </c>
      <c r="F22" s="13">
        <f ca="1">IF(OR('My Loans'!$N$15="",'My Loans'!$N$15=0),0,E22*INDIRECT("'My Loans'!$E"&amp;'My Loans'!$N$15)/12)</f>
        <v>67.734633370114622</v>
      </c>
      <c r="G22" s="13">
        <f ca="1">IF(OR('My Loans'!$N$15="",'My Loans'!$N$15=0),0,IF(E22&lt;0.005,0,MIN(INDIRECT("'My Loans'!$F"&amp;'My Loans'!$N$15),E22+F22)))</f>
        <v>178</v>
      </c>
      <c r="H22" s="13">
        <f ca="1">IF(A22=1,IF(OR('My Loans'!$N$16="",'My Loans'!$N$16=0),0,INDIRECT("'My Loans'!$D"&amp;'My Loans'!$N$16)),AO21)</f>
        <v>11058.728778636139</v>
      </c>
      <c r="I22" s="13">
        <f ca="1">IF(OR('My Loans'!$N$16="",'My Loans'!$N$16=0),0,H22*INDIRECT("'My Loans'!$E"&amp;'My Loans'!$N$16)/12)</f>
        <v>50.68584023541564</v>
      </c>
      <c r="J22" s="13">
        <f ca="1">IF(OR('My Loans'!$N$16="",'My Loans'!$N$16=0),0,IF(H22&lt;0.005,0,MIN(INDIRECT("'My Loans'!$F"&amp;'My Loans'!$N$16),H22+I22)))</f>
        <v>142</v>
      </c>
      <c r="K22" s="13">
        <f ca="1">IF(A22=1,IF(OR('My Loans'!$N$17="",'My Loans'!$N$17=0),0,INDIRECT("'My Loans'!$D"&amp;'My Loans'!$N$17)),AT21)</f>
        <v>8303.09395233344</v>
      </c>
      <c r="L22" s="13">
        <f ca="1">IF(OR('My Loans'!$N$17="",'My Loans'!$N$17=0),0,K22*INDIRECT("'My Loans'!$E"&amp;'My Loans'!$N$17)/12)</f>
        <v>33.904300305361552</v>
      </c>
      <c r="M22" s="13">
        <f ca="1">IF(OR('My Loans'!$N$17="",'My Loans'!$N$17=0),0,IF(K22&lt;0.005,0,MIN(INDIRECT("'My Loans'!$F"&amp;'My Loans'!$N$17),K22+L22)))</f>
        <v>112</v>
      </c>
      <c r="N22" s="13">
        <f ca="1">IF(A22=1,IF(OR('My Loans'!$N$18="",'My Loans'!$N$18=0),0,INDIRECT("'My Loans'!$D"&amp;'My Loans'!$N$18)),AY21)</f>
        <v>6868.1752525882885</v>
      </c>
      <c r="O22" s="13">
        <f ca="1">IF(OR('My Loans'!$N$18="",'My Loans'!$N$18=0),0,N22*INDIRECT("'My Loans'!$E"&amp;'My Loans'!$N$18)/12)</f>
        <v>25.75565719720608</v>
      </c>
      <c r="P22" s="13">
        <f ca="1">IF(OR('My Loans'!$N$18="",'My Loans'!$N$18=0),0,IF(N22&lt;0.005,0,MIN(INDIRECT("'My Loans'!$F"&amp;'My Loans'!$N$18),N22+O22)))</f>
        <v>95</v>
      </c>
      <c r="Q22" s="13">
        <f ca="1">IF(A22=1,IF(OR('My Loans'!$N$19="",'My Loans'!$N$19=0),0,INDIRECT("'My Loans'!$D"&amp;'My Loans'!$N$19)),BD21)</f>
        <v>0</v>
      </c>
      <c r="R22" s="13">
        <f ca="1">IF(OR('My Loans'!$N$19="",'My Loans'!$N$19=0),0,Q22*INDIRECT("'My Loans'!$E"&amp;'My Loans'!$N$19)/12)</f>
        <v>0</v>
      </c>
      <c r="S22" s="13">
        <f ca="1">IF(OR('My Loans'!$N$19="",'My Loans'!$N$19=0),0,IF(Q22&lt;0.005,0,MIN(INDIRECT("'My Loans'!$F"&amp;'My Loans'!$N$19),Q22+R22)))</f>
        <v>0</v>
      </c>
      <c r="T22" s="13">
        <f ca="1">IF(A22=1,IF(OR('My Loans'!$N$20="",'My Loans'!$N$20=0),0,INDIRECT("'My Loans'!$D"&amp;'My Loans'!$N$20)),BI21)</f>
        <v>0</v>
      </c>
      <c r="U22" s="13">
        <f ca="1">IF(OR('My Loans'!$N$20="",'My Loans'!$N$20=0),0,T22*INDIRECT("'My Loans'!$E"&amp;'My Loans'!$N$20)/12)</f>
        <v>0</v>
      </c>
      <c r="V22" s="13">
        <f ca="1">IF(OR('My Loans'!$N$20="",'My Loans'!$N$20=0),0,IF(T22&lt;0.005,0,MIN(INDIRECT("'My Loans'!$F"&amp;'My Loans'!$N$20),T22+U22)))</f>
        <v>0</v>
      </c>
      <c r="W22" s="13">
        <f ca="1">IF(A22=1,IF(OR('My Loans'!$N$21="",'My Loans'!$N$21=0),0,INDIRECT("'My Loans'!$D"&amp;'My Loans'!$N$21)),BN21)</f>
        <v>0</v>
      </c>
      <c r="X22" s="13">
        <f ca="1">IF(OR('My Loans'!$N$21="",'My Loans'!$N$21=0),0,W22*INDIRECT("'My Loans'!$E"&amp;'My Loans'!$N$21)/12)</f>
        <v>0</v>
      </c>
      <c r="Y22" s="13">
        <f ca="1">IF(OR('My Loans'!$N$21="",'My Loans'!$N$21=0),0,IF(W22&lt;0.005,0,MIN(INDIRECT("'My Loans'!$F"&amp;'My Loans'!$N$21),W22+X22)))</f>
        <v>0</v>
      </c>
      <c r="Z22" s="13">
        <f ca="1">'My Loans'!$B$13-(D22+G22+J22+M22+P22+S22+V22+Y22)</f>
        <v>463</v>
      </c>
      <c r="AA22" s="13">
        <f t="shared" ca="1" si="0"/>
        <v>463</v>
      </c>
      <c r="AB22" s="13">
        <f t="shared" ca="1" si="1"/>
        <v>13008.019016166811</v>
      </c>
      <c r="AC22" s="13">
        <f t="shared" ca="1" si="2"/>
        <v>463</v>
      </c>
      <c r="AD22" s="13">
        <f t="shared" ca="1" si="3"/>
        <v>873</v>
      </c>
      <c r="AE22" s="13">
        <f t="shared" ca="1" si="4"/>
        <v>12545.019016166811</v>
      </c>
      <c r="AF22" s="13">
        <f t="shared" ca="1" si="5"/>
        <v>0</v>
      </c>
      <c r="AG22" s="13">
        <f t="shared" ca="1" si="6"/>
        <v>12999.66367274714</v>
      </c>
      <c r="AH22" s="13">
        <f t="shared" ca="1" si="7"/>
        <v>0</v>
      </c>
      <c r="AI22" s="13">
        <f t="shared" ca="1" si="8"/>
        <v>178</v>
      </c>
      <c r="AJ22" s="13">
        <f t="shared" ca="1" si="9"/>
        <v>12999.66367274714</v>
      </c>
      <c r="AK22" s="13">
        <f t="shared" ca="1" si="10"/>
        <v>0</v>
      </c>
      <c r="AL22" s="13">
        <f t="shared" ca="1" si="11"/>
        <v>10967.414618871555</v>
      </c>
      <c r="AM22" s="13">
        <f t="shared" ca="1" si="12"/>
        <v>0</v>
      </c>
      <c r="AN22" s="13">
        <f t="shared" ca="1" si="13"/>
        <v>142</v>
      </c>
      <c r="AO22" s="13">
        <f t="shared" ca="1" si="14"/>
        <v>10967.414618871555</v>
      </c>
      <c r="AP22" s="13">
        <f t="shared" ca="1" si="15"/>
        <v>0</v>
      </c>
      <c r="AQ22" s="13">
        <f t="shared" ca="1" si="16"/>
        <v>8224.9982526388012</v>
      </c>
      <c r="AR22" s="13">
        <f t="shared" ca="1" si="17"/>
        <v>0</v>
      </c>
      <c r="AS22" s="13">
        <f t="shared" ca="1" si="18"/>
        <v>112</v>
      </c>
      <c r="AT22" s="13">
        <f t="shared" ca="1" si="19"/>
        <v>8224.9982526388012</v>
      </c>
      <c r="AU22" s="13">
        <f t="shared" ca="1" si="20"/>
        <v>0</v>
      </c>
      <c r="AV22" s="13">
        <f t="shared" ca="1" si="21"/>
        <v>6798.9309097854948</v>
      </c>
      <c r="AW22" s="13">
        <f t="shared" ca="1" si="22"/>
        <v>0</v>
      </c>
      <c r="AX22" s="13">
        <f t="shared" ca="1" si="23"/>
        <v>95</v>
      </c>
      <c r="AY22" s="13">
        <f t="shared" ca="1" si="24"/>
        <v>6798.9309097854948</v>
      </c>
      <c r="AZ22" s="13">
        <f t="shared" ca="1" si="25"/>
        <v>0</v>
      </c>
      <c r="BA22" s="13">
        <f t="shared" ca="1" si="26"/>
        <v>0</v>
      </c>
      <c r="BB22" s="13">
        <f t="shared" ca="1" si="27"/>
        <v>0</v>
      </c>
      <c r="BC22" s="13">
        <f t="shared" ca="1" si="28"/>
        <v>0</v>
      </c>
      <c r="BD22" s="13">
        <f t="shared" ca="1" si="29"/>
        <v>0</v>
      </c>
      <c r="BE22" s="13">
        <f t="shared" ca="1" si="30"/>
        <v>0</v>
      </c>
      <c r="BF22" s="13">
        <f t="shared" ca="1" si="31"/>
        <v>0</v>
      </c>
      <c r="BG22" s="13">
        <f t="shared" ca="1" si="32"/>
        <v>0</v>
      </c>
      <c r="BH22" s="13">
        <f t="shared" ca="1" si="33"/>
        <v>0</v>
      </c>
      <c r="BI22" s="13">
        <f t="shared" ca="1" si="34"/>
        <v>0</v>
      </c>
      <c r="BJ22" s="13">
        <f t="shared" ca="1" si="35"/>
        <v>0</v>
      </c>
      <c r="BK22" s="13">
        <f t="shared" ca="1" si="36"/>
        <v>0</v>
      </c>
      <c r="BL22" s="13">
        <f t="shared" ca="1" si="37"/>
        <v>0</v>
      </c>
      <c r="BM22" s="13">
        <f t="shared" ca="1" si="38"/>
        <v>0</v>
      </c>
      <c r="BN22" s="13">
        <f t="shared" ca="1" si="39"/>
        <v>0</v>
      </c>
      <c r="BO22" s="13">
        <f t="shared" ca="1" si="40"/>
        <v>1400</v>
      </c>
      <c r="BP22" s="13">
        <f t="shared" ca="1" si="41"/>
        <v>265.83798572993561</v>
      </c>
      <c r="BQ22" s="13">
        <f t="shared" ca="1" si="42"/>
        <v>51536.026470209799</v>
      </c>
    </row>
    <row r="23" spans="1:69" x14ac:dyDescent="0.25">
      <c r="A23" s="1">
        <v>22</v>
      </c>
      <c r="B23" s="13">
        <f ca="1">IF(A23=1,IF(OR('My Loans'!$N$14="",'My Loans'!$N$14=0),0,INDIRECT("'My Loans'!$D"&amp;'My Loans'!$N$14)),AE22)</f>
        <v>12545.019016166811</v>
      </c>
      <c r="C23" s="13">
        <f ca="1">IF(OR('My Loans'!$N$14="",'My Loans'!$N$14=0),0,B23*INDIRECT("'My Loans'!$E"&amp;'My Loans'!$N$14)/12)</f>
        <v>82.588041856431502</v>
      </c>
      <c r="D23" s="13">
        <f ca="1">IF(OR('My Loans'!$N$14="",'My Loans'!$N$14=0),0,IF(B23&lt;0.005,0,MIN(INDIRECT("'My Loans'!$F"&amp;'My Loans'!$N$14),B23+C23)))</f>
        <v>410</v>
      </c>
      <c r="E23" s="13">
        <f ca="1">IF(A23=1,IF(OR('My Loans'!$N$15="",'My Loans'!$N$15=0),0,INDIRECT("'My Loans'!$D"&amp;'My Loans'!$N$15)),AJ22)</f>
        <v>12999.66367274714</v>
      </c>
      <c r="F23" s="13">
        <f ca="1">IF(OR('My Loans'!$N$15="",'My Loans'!$N$15=0),0,E23*INDIRECT("'My Loans'!$E"&amp;'My Loans'!$N$15)/12)</f>
        <v>67.164928975860221</v>
      </c>
      <c r="G23" s="13">
        <f ca="1">IF(OR('My Loans'!$N$15="",'My Loans'!$N$15=0),0,IF(E23&lt;0.005,0,MIN(INDIRECT("'My Loans'!$F"&amp;'My Loans'!$N$15),E23+F23)))</f>
        <v>178</v>
      </c>
      <c r="H23" s="13">
        <f ca="1">IF(A23=1,IF(OR('My Loans'!$N$16="",'My Loans'!$N$16=0),0,INDIRECT("'My Loans'!$D"&amp;'My Loans'!$N$16)),AO22)</f>
        <v>10967.414618871555</v>
      </c>
      <c r="I23" s="13">
        <f ca="1">IF(OR('My Loans'!$N$16="",'My Loans'!$N$16=0),0,H23*INDIRECT("'My Loans'!$E"&amp;'My Loans'!$N$16)/12)</f>
        <v>50.267317003161288</v>
      </c>
      <c r="J23" s="13">
        <f ca="1">IF(OR('My Loans'!$N$16="",'My Loans'!$N$16=0),0,IF(H23&lt;0.005,0,MIN(INDIRECT("'My Loans'!$F"&amp;'My Loans'!$N$16),H23+I23)))</f>
        <v>142</v>
      </c>
      <c r="K23" s="13">
        <f ca="1">IF(A23=1,IF(OR('My Loans'!$N$17="",'My Loans'!$N$17=0),0,INDIRECT("'My Loans'!$D"&amp;'My Loans'!$N$17)),AT22)</f>
        <v>8224.9982526388012</v>
      </c>
      <c r="L23" s="13">
        <f ca="1">IF(OR('My Loans'!$N$17="",'My Loans'!$N$17=0),0,K23*INDIRECT("'My Loans'!$E"&amp;'My Loans'!$N$17)/12)</f>
        <v>33.585409531608441</v>
      </c>
      <c r="M23" s="13">
        <f ca="1">IF(OR('My Loans'!$N$17="",'My Loans'!$N$17=0),0,IF(K23&lt;0.005,0,MIN(INDIRECT("'My Loans'!$F"&amp;'My Loans'!$N$17),K23+L23)))</f>
        <v>112</v>
      </c>
      <c r="N23" s="13">
        <f ca="1">IF(A23=1,IF(OR('My Loans'!$N$18="",'My Loans'!$N$18=0),0,INDIRECT("'My Loans'!$D"&amp;'My Loans'!$N$18)),AY22)</f>
        <v>6798.9309097854948</v>
      </c>
      <c r="O23" s="13">
        <f ca="1">IF(OR('My Loans'!$N$18="",'My Loans'!$N$18=0),0,N23*INDIRECT("'My Loans'!$E"&amp;'My Loans'!$N$18)/12)</f>
        <v>25.495990911695603</v>
      </c>
      <c r="P23" s="13">
        <f ca="1">IF(OR('My Loans'!$N$18="",'My Loans'!$N$18=0),0,IF(N23&lt;0.005,0,MIN(INDIRECT("'My Loans'!$F"&amp;'My Loans'!$N$18),N23+O23)))</f>
        <v>95</v>
      </c>
      <c r="Q23" s="13">
        <f ca="1">IF(A23=1,IF(OR('My Loans'!$N$19="",'My Loans'!$N$19=0),0,INDIRECT("'My Loans'!$D"&amp;'My Loans'!$N$19)),BD22)</f>
        <v>0</v>
      </c>
      <c r="R23" s="13">
        <f ca="1">IF(OR('My Loans'!$N$19="",'My Loans'!$N$19=0),0,Q23*INDIRECT("'My Loans'!$E"&amp;'My Loans'!$N$19)/12)</f>
        <v>0</v>
      </c>
      <c r="S23" s="13">
        <f ca="1">IF(OR('My Loans'!$N$19="",'My Loans'!$N$19=0),0,IF(Q23&lt;0.005,0,MIN(INDIRECT("'My Loans'!$F"&amp;'My Loans'!$N$19),Q23+R23)))</f>
        <v>0</v>
      </c>
      <c r="T23" s="13">
        <f ca="1">IF(A23=1,IF(OR('My Loans'!$N$20="",'My Loans'!$N$20=0),0,INDIRECT("'My Loans'!$D"&amp;'My Loans'!$N$20)),BI22)</f>
        <v>0</v>
      </c>
      <c r="U23" s="13">
        <f ca="1">IF(OR('My Loans'!$N$20="",'My Loans'!$N$20=0),0,T23*INDIRECT("'My Loans'!$E"&amp;'My Loans'!$N$20)/12)</f>
        <v>0</v>
      </c>
      <c r="V23" s="13">
        <f ca="1">IF(OR('My Loans'!$N$20="",'My Loans'!$N$20=0),0,IF(T23&lt;0.005,0,MIN(INDIRECT("'My Loans'!$F"&amp;'My Loans'!$N$20),T23+U23)))</f>
        <v>0</v>
      </c>
      <c r="W23" s="13">
        <f ca="1">IF(A23=1,IF(OR('My Loans'!$N$21="",'My Loans'!$N$21=0),0,INDIRECT("'My Loans'!$D"&amp;'My Loans'!$N$21)),BN22)</f>
        <v>0</v>
      </c>
      <c r="X23" s="13">
        <f ca="1">IF(OR('My Loans'!$N$21="",'My Loans'!$N$21=0),0,W23*INDIRECT("'My Loans'!$E"&amp;'My Loans'!$N$21)/12)</f>
        <v>0</v>
      </c>
      <c r="Y23" s="13">
        <f ca="1">IF(OR('My Loans'!$N$21="",'My Loans'!$N$21=0),0,IF(W23&lt;0.005,0,MIN(INDIRECT("'My Loans'!$F"&amp;'My Loans'!$N$21),W23+X23)))</f>
        <v>0</v>
      </c>
      <c r="Z23" s="13">
        <f ca="1">'My Loans'!$B$13-(D23+G23+J23+M23+P23+S23+V23+Y23)</f>
        <v>463</v>
      </c>
      <c r="AA23" s="13">
        <f t="shared" ca="1" si="0"/>
        <v>463</v>
      </c>
      <c r="AB23" s="13">
        <f t="shared" ca="1" si="1"/>
        <v>12217.607058023243</v>
      </c>
      <c r="AC23" s="13">
        <f t="shared" ca="1" si="2"/>
        <v>463</v>
      </c>
      <c r="AD23" s="13">
        <f t="shared" ca="1" si="3"/>
        <v>873</v>
      </c>
      <c r="AE23" s="13">
        <f t="shared" ca="1" si="4"/>
        <v>11754.607058023243</v>
      </c>
      <c r="AF23" s="13">
        <f t="shared" ca="1" si="5"/>
        <v>0</v>
      </c>
      <c r="AG23" s="13">
        <f t="shared" ca="1" si="6"/>
        <v>12888.828601723</v>
      </c>
      <c r="AH23" s="13">
        <f t="shared" ca="1" si="7"/>
        <v>0</v>
      </c>
      <c r="AI23" s="13">
        <f t="shared" ca="1" si="8"/>
        <v>178</v>
      </c>
      <c r="AJ23" s="13">
        <f t="shared" ca="1" si="9"/>
        <v>12888.828601723</v>
      </c>
      <c r="AK23" s="13">
        <f t="shared" ca="1" si="10"/>
        <v>0</v>
      </c>
      <c r="AL23" s="13">
        <f t="shared" ca="1" si="11"/>
        <v>10875.681935874716</v>
      </c>
      <c r="AM23" s="13">
        <f t="shared" ca="1" si="12"/>
        <v>0</v>
      </c>
      <c r="AN23" s="13">
        <f t="shared" ca="1" si="13"/>
        <v>142</v>
      </c>
      <c r="AO23" s="13">
        <f t="shared" ca="1" si="14"/>
        <v>10875.681935874716</v>
      </c>
      <c r="AP23" s="13">
        <f t="shared" ca="1" si="15"/>
        <v>0</v>
      </c>
      <c r="AQ23" s="13">
        <f t="shared" ca="1" si="16"/>
        <v>8146.5836621704093</v>
      </c>
      <c r="AR23" s="13">
        <f t="shared" ca="1" si="17"/>
        <v>0</v>
      </c>
      <c r="AS23" s="13">
        <f t="shared" ca="1" si="18"/>
        <v>112</v>
      </c>
      <c r="AT23" s="13">
        <f t="shared" ca="1" si="19"/>
        <v>8146.5836621704093</v>
      </c>
      <c r="AU23" s="13">
        <f t="shared" ca="1" si="20"/>
        <v>0</v>
      </c>
      <c r="AV23" s="13">
        <f t="shared" ca="1" si="21"/>
        <v>6729.4269006971908</v>
      </c>
      <c r="AW23" s="13">
        <f t="shared" ca="1" si="22"/>
        <v>0</v>
      </c>
      <c r="AX23" s="13">
        <f t="shared" ca="1" si="23"/>
        <v>95</v>
      </c>
      <c r="AY23" s="13">
        <f t="shared" ca="1" si="24"/>
        <v>6729.4269006971908</v>
      </c>
      <c r="AZ23" s="13">
        <f t="shared" ca="1" si="25"/>
        <v>0</v>
      </c>
      <c r="BA23" s="13">
        <f t="shared" ca="1" si="26"/>
        <v>0</v>
      </c>
      <c r="BB23" s="13">
        <f t="shared" ca="1" si="27"/>
        <v>0</v>
      </c>
      <c r="BC23" s="13">
        <f t="shared" ca="1" si="28"/>
        <v>0</v>
      </c>
      <c r="BD23" s="13">
        <f t="shared" ca="1" si="29"/>
        <v>0</v>
      </c>
      <c r="BE23" s="13">
        <f t="shared" ca="1" si="30"/>
        <v>0</v>
      </c>
      <c r="BF23" s="13">
        <f t="shared" ca="1" si="31"/>
        <v>0</v>
      </c>
      <c r="BG23" s="13">
        <f t="shared" ca="1" si="32"/>
        <v>0</v>
      </c>
      <c r="BH23" s="13">
        <f t="shared" ca="1" si="33"/>
        <v>0</v>
      </c>
      <c r="BI23" s="13">
        <f t="shared" ca="1" si="34"/>
        <v>0</v>
      </c>
      <c r="BJ23" s="13">
        <f t="shared" ca="1" si="35"/>
        <v>0</v>
      </c>
      <c r="BK23" s="13">
        <f t="shared" ca="1" si="36"/>
        <v>0</v>
      </c>
      <c r="BL23" s="13">
        <f t="shared" ca="1" si="37"/>
        <v>0</v>
      </c>
      <c r="BM23" s="13">
        <f t="shared" ca="1" si="38"/>
        <v>0</v>
      </c>
      <c r="BN23" s="13">
        <f t="shared" ca="1" si="39"/>
        <v>0</v>
      </c>
      <c r="BO23" s="13">
        <f t="shared" ca="1" si="40"/>
        <v>1400</v>
      </c>
      <c r="BP23" s="13">
        <f t="shared" ca="1" si="41"/>
        <v>259.10168827875708</v>
      </c>
      <c r="BQ23" s="13">
        <f t="shared" ca="1" si="42"/>
        <v>50395.128158488558</v>
      </c>
    </row>
    <row r="24" spans="1:69" x14ac:dyDescent="0.25">
      <c r="A24" s="1">
        <v>23</v>
      </c>
      <c r="B24" s="13">
        <f ca="1">IF(A24=1,IF(OR('My Loans'!$N$14="",'My Loans'!$N$14=0),0,INDIRECT("'My Loans'!$D"&amp;'My Loans'!$N$14)),AE23)</f>
        <v>11754.607058023243</v>
      </c>
      <c r="C24" s="13">
        <f ca="1">IF(OR('My Loans'!$N$14="",'My Loans'!$N$14=0),0,B24*INDIRECT("'My Loans'!$E"&amp;'My Loans'!$N$14)/12)</f>
        <v>77.384496465319685</v>
      </c>
      <c r="D24" s="13">
        <f ca="1">IF(OR('My Loans'!$N$14="",'My Loans'!$N$14=0),0,IF(B24&lt;0.005,0,MIN(INDIRECT("'My Loans'!$F"&amp;'My Loans'!$N$14),B24+C24)))</f>
        <v>410</v>
      </c>
      <c r="E24" s="13">
        <f ca="1">IF(A24=1,IF(OR('My Loans'!$N$15="",'My Loans'!$N$15=0),0,INDIRECT("'My Loans'!$D"&amp;'My Loans'!$N$15)),AJ23)</f>
        <v>12888.828601723</v>
      </c>
      <c r="F24" s="13">
        <f ca="1">IF(OR('My Loans'!$N$15="",'My Loans'!$N$15=0),0,E24*INDIRECT("'My Loans'!$E"&amp;'My Loans'!$N$15)/12)</f>
        <v>66.592281108902171</v>
      </c>
      <c r="G24" s="13">
        <f ca="1">IF(OR('My Loans'!$N$15="",'My Loans'!$N$15=0),0,IF(E24&lt;0.005,0,MIN(INDIRECT("'My Loans'!$F"&amp;'My Loans'!$N$15),E24+F24)))</f>
        <v>178</v>
      </c>
      <c r="H24" s="13">
        <f ca="1">IF(A24=1,IF(OR('My Loans'!$N$16="",'My Loans'!$N$16=0),0,INDIRECT("'My Loans'!$D"&amp;'My Loans'!$N$16)),AO23)</f>
        <v>10875.681935874716</v>
      </c>
      <c r="I24" s="13">
        <f ca="1">IF(OR('My Loans'!$N$16="",'My Loans'!$N$16=0),0,H24*INDIRECT("'My Loans'!$E"&amp;'My Loans'!$N$16)/12)</f>
        <v>49.846875539425781</v>
      </c>
      <c r="J24" s="13">
        <f ca="1">IF(OR('My Loans'!$N$16="",'My Loans'!$N$16=0),0,IF(H24&lt;0.005,0,MIN(INDIRECT("'My Loans'!$F"&amp;'My Loans'!$N$16),H24+I24)))</f>
        <v>142</v>
      </c>
      <c r="K24" s="13">
        <f ca="1">IF(A24=1,IF(OR('My Loans'!$N$17="",'My Loans'!$N$17=0),0,INDIRECT("'My Loans'!$D"&amp;'My Loans'!$N$17)),AT23)</f>
        <v>8146.5836621704093</v>
      </c>
      <c r="L24" s="13">
        <f ca="1">IF(OR('My Loans'!$N$17="",'My Loans'!$N$17=0),0,K24*INDIRECT("'My Loans'!$E"&amp;'My Loans'!$N$17)/12)</f>
        <v>33.265216620529173</v>
      </c>
      <c r="M24" s="13">
        <f ca="1">IF(OR('My Loans'!$N$17="",'My Loans'!$N$17=0),0,IF(K24&lt;0.005,0,MIN(INDIRECT("'My Loans'!$F"&amp;'My Loans'!$N$17),K24+L24)))</f>
        <v>112</v>
      </c>
      <c r="N24" s="13">
        <f ca="1">IF(A24=1,IF(OR('My Loans'!$N$18="",'My Loans'!$N$18=0),0,INDIRECT("'My Loans'!$D"&amp;'My Loans'!$N$18)),AY23)</f>
        <v>6729.4269006971908</v>
      </c>
      <c r="O24" s="13">
        <f ca="1">IF(OR('My Loans'!$N$18="",'My Loans'!$N$18=0),0,N24*INDIRECT("'My Loans'!$E"&amp;'My Loans'!$N$18)/12)</f>
        <v>25.235350877614465</v>
      </c>
      <c r="P24" s="13">
        <f ca="1">IF(OR('My Loans'!$N$18="",'My Loans'!$N$18=0),0,IF(N24&lt;0.005,0,MIN(INDIRECT("'My Loans'!$F"&amp;'My Loans'!$N$18),N24+O24)))</f>
        <v>95</v>
      </c>
      <c r="Q24" s="13">
        <f ca="1">IF(A24=1,IF(OR('My Loans'!$N$19="",'My Loans'!$N$19=0),0,INDIRECT("'My Loans'!$D"&amp;'My Loans'!$N$19)),BD23)</f>
        <v>0</v>
      </c>
      <c r="R24" s="13">
        <f ca="1">IF(OR('My Loans'!$N$19="",'My Loans'!$N$19=0),0,Q24*INDIRECT("'My Loans'!$E"&amp;'My Loans'!$N$19)/12)</f>
        <v>0</v>
      </c>
      <c r="S24" s="13">
        <f ca="1">IF(OR('My Loans'!$N$19="",'My Loans'!$N$19=0),0,IF(Q24&lt;0.005,0,MIN(INDIRECT("'My Loans'!$F"&amp;'My Loans'!$N$19),Q24+R24)))</f>
        <v>0</v>
      </c>
      <c r="T24" s="13">
        <f ca="1">IF(A24=1,IF(OR('My Loans'!$N$20="",'My Loans'!$N$20=0),0,INDIRECT("'My Loans'!$D"&amp;'My Loans'!$N$20)),BI23)</f>
        <v>0</v>
      </c>
      <c r="U24" s="13">
        <f ca="1">IF(OR('My Loans'!$N$20="",'My Loans'!$N$20=0),0,T24*INDIRECT("'My Loans'!$E"&amp;'My Loans'!$N$20)/12)</f>
        <v>0</v>
      </c>
      <c r="V24" s="13">
        <f ca="1">IF(OR('My Loans'!$N$20="",'My Loans'!$N$20=0),0,IF(T24&lt;0.005,0,MIN(INDIRECT("'My Loans'!$F"&amp;'My Loans'!$N$20),T24+U24)))</f>
        <v>0</v>
      </c>
      <c r="W24" s="13">
        <f ca="1">IF(A24=1,IF(OR('My Loans'!$N$21="",'My Loans'!$N$21=0),0,INDIRECT("'My Loans'!$D"&amp;'My Loans'!$N$21)),BN23)</f>
        <v>0</v>
      </c>
      <c r="X24" s="13">
        <f ca="1">IF(OR('My Loans'!$N$21="",'My Loans'!$N$21=0),0,W24*INDIRECT("'My Loans'!$E"&amp;'My Loans'!$N$21)/12)</f>
        <v>0</v>
      </c>
      <c r="Y24" s="13">
        <f ca="1">IF(OR('My Loans'!$N$21="",'My Loans'!$N$21=0),0,IF(W24&lt;0.005,0,MIN(INDIRECT("'My Loans'!$F"&amp;'My Loans'!$N$21),W24+X24)))</f>
        <v>0</v>
      </c>
      <c r="Z24" s="13">
        <f ca="1">'My Loans'!$B$13-(D24+G24+J24+M24+P24+S24+V24+Y24)</f>
        <v>463</v>
      </c>
      <c r="AA24" s="13">
        <f t="shared" ca="1" si="0"/>
        <v>463</v>
      </c>
      <c r="AB24" s="13">
        <f t="shared" ca="1" si="1"/>
        <v>11421.991554488563</v>
      </c>
      <c r="AC24" s="13">
        <f t="shared" ca="1" si="2"/>
        <v>463</v>
      </c>
      <c r="AD24" s="13">
        <f t="shared" ca="1" si="3"/>
        <v>873</v>
      </c>
      <c r="AE24" s="13">
        <f t="shared" ca="1" si="4"/>
        <v>10958.991554488563</v>
      </c>
      <c r="AF24" s="13">
        <f t="shared" ca="1" si="5"/>
        <v>0</v>
      </c>
      <c r="AG24" s="13">
        <f t="shared" ca="1" si="6"/>
        <v>12777.420882831902</v>
      </c>
      <c r="AH24" s="13">
        <f t="shared" ca="1" si="7"/>
        <v>0</v>
      </c>
      <c r="AI24" s="13">
        <f t="shared" ca="1" si="8"/>
        <v>178</v>
      </c>
      <c r="AJ24" s="13">
        <f t="shared" ca="1" si="9"/>
        <v>12777.420882831902</v>
      </c>
      <c r="AK24" s="13">
        <f t="shared" ca="1" si="10"/>
        <v>0</v>
      </c>
      <c r="AL24" s="13">
        <f t="shared" ca="1" si="11"/>
        <v>10783.528811414142</v>
      </c>
      <c r="AM24" s="13">
        <f t="shared" ca="1" si="12"/>
        <v>0</v>
      </c>
      <c r="AN24" s="13">
        <f t="shared" ca="1" si="13"/>
        <v>142</v>
      </c>
      <c r="AO24" s="13">
        <f t="shared" ca="1" si="14"/>
        <v>10783.528811414142</v>
      </c>
      <c r="AP24" s="13">
        <f t="shared" ca="1" si="15"/>
        <v>0</v>
      </c>
      <c r="AQ24" s="13">
        <f t="shared" ca="1" si="16"/>
        <v>8067.8488787909382</v>
      </c>
      <c r="AR24" s="13">
        <f t="shared" ca="1" si="17"/>
        <v>0</v>
      </c>
      <c r="AS24" s="13">
        <f t="shared" ca="1" si="18"/>
        <v>112</v>
      </c>
      <c r="AT24" s="13">
        <f t="shared" ca="1" si="19"/>
        <v>8067.8488787909382</v>
      </c>
      <c r="AU24" s="13">
        <f t="shared" ca="1" si="20"/>
        <v>0</v>
      </c>
      <c r="AV24" s="13">
        <f t="shared" ca="1" si="21"/>
        <v>6659.6622515748049</v>
      </c>
      <c r="AW24" s="13">
        <f t="shared" ca="1" si="22"/>
        <v>0</v>
      </c>
      <c r="AX24" s="13">
        <f t="shared" ca="1" si="23"/>
        <v>95</v>
      </c>
      <c r="AY24" s="13">
        <f t="shared" ca="1" si="24"/>
        <v>6659.6622515748049</v>
      </c>
      <c r="AZ24" s="13">
        <f t="shared" ca="1" si="25"/>
        <v>0</v>
      </c>
      <c r="BA24" s="13">
        <f t="shared" ca="1" si="26"/>
        <v>0</v>
      </c>
      <c r="BB24" s="13">
        <f t="shared" ca="1" si="27"/>
        <v>0</v>
      </c>
      <c r="BC24" s="13">
        <f t="shared" ca="1" si="28"/>
        <v>0</v>
      </c>
      <c r="BD24" s="13">
        <f t="shared" ca="1" si="29"/>
        <v>0</v>
      </c>
      <c r="BE24" s="13">
        <f t="shared" ca="1" si="30"/>
        <v>0</v>
      </c>
      <c r="BF24" s="13">
        <f t="shared" ca="1" si="31"/>
        <v>0</v>
      </c>
      <c r="BG24" s="13">
        <f t="shared" ca="1" si="32"/>
        <v>0</v>
      </c>
      <c r="BH24" s="13">
        <f t="shared" ca="1" si="33"/>
        <v>0</v>
      </c>
      <c r="BI24" s="13">
        <f t="shared" ca="1" si="34"/>
        <v>0</v>
      </c>
      <c r="BJ24" s="13">
        <f t="shared" ca="1" si="35"/>
        <v>0</v>
      </c>
      <c r="BK24" s="13">
        <f t="shared" ca="1" si="36"/>
        <v>0</v>
      </c>
      <c r="BL24" s="13">
        <f t="shared" ca="1" si="37"/>
        <v>0</v>
      </c>
      <c r="BM24" s="13">
        <f t="shared" ca="1" si="38"/>
        <v>0</v>
      </c>
      <c r="BN24" s="13">
        <f t="shared" ca="1" si="39"/>
        <v>0</v>
      </c>
      <c r="BO24" s="13">
        <f t="shared" ca="1" si="40"/>
        <v>1400</v>
      </c>
      <c r="BP24" s="13">
        <f t="shared" ca="1" si="41"/>
        <v>252.32422061179125</v>
      </c>
      <c r="BQ24" s="13">
        <f t="shared" ca="1" si="42"/>
        <v>49247.452379100345</v>
      </c>
    </row>
    <row r="25" spans="1:69" x14ac:dyDescent="0.25">
      <c r="A25" s="1">
        <v>24</v>
      </c>
      <c r="B25" s="13">
        <f ca="1">IF(A25=1,IF(OR('My Loans'!$N$14="",'My Loans'!$N$14=0),0,INDIRECT("'My Loans'!$D"&amp;'My Loans'!$N$14)),AE24)</f>
        <v>10958.991554488563</v>
      </c>
      <c r="C25" s="13">
        <f ca="1">IF(OR('My Loans'!$N$14="",'My Loans'!$N$14=0),0,B25*INDIRECT("'My Loans'!$E"&amp;'My Loans'!$N$14)/12)</f>
        <v>72.146694400383041</v>
      </c>
      <c r="D25" s="13">
        <f ca="1">IF(OR('My Loans'!$N$14="",'My Loans'!$N$14=0),0,IF(B25&lt;0.005,0,MIN(INDIRECT("'My Loans'!$F"&amp;'My Loans'!$N$14),B25+C25)))</f>
        <v>410</v>
      </c>
      <c r="E25" s="13">
        <f ca="1">IF(A25=1,IF(OR('My Loans'!$N$15="",'My Loans'!$N$15=0),0,INDIRECT("'My Loans'!$D"&amp;'My Loans'!$N$15)),AJ24)</f>
        <v>12777.420882831902</v>
      </c>
      <c r="F25" s="13">
        <f ca="1">IF(OR('My Loans'!$N$15="",'My Loans'!$N$15=0),0,E25*INDIRECT("'My Loans'!$E"&amp;'My Loans'!$N$15)/12)</f>
        <v>66.01667456129816</v>
      </c>
      <c r="G25" s="13">
        <f ca="1">IF(OR('My Loans'!$N$15="",'My Loans'!$N$15=0),0,IF(E25&lt;0.005,0,MIN(INDIRECT("'My Loans'!$F"&amp;'My Loans'!$N$15),E25+F25)))</f>
        <v>178</v>
      </c>
      <c r="H25" s="13">
        <f ca="1">IF(A25=1,IF(OR('My Loans'!$N$16="",'My Loans'!$N$16=0),0,INDIRECT("'My Loans'!$D"&amp;'My Loans'!$N$16)),AO24)</f>
        <v>10783.528811414142</v>
      </c>
      <c r="I25" s="13">
        <f ca="1">IF(OR('My Loans'!$N$16="",'My Loans'!$N$16=0),0,H25*INDIRECT("'My Loans'!$E"&amp;'My Loans'!$N$16)/12)</f>
        <v>49.424507052314823</v>
      </c>
      <c r="J25" s="13">
        <f ca="1">IF(OR('My Loans'!$N$16="",'My Loans'!$N$16=0),0,IF(H25&lt;0.005,0,MIN(INDIRECT("'My Loans'!$F"&amp;'My Loans'!$N$16),H25+I25)))</f>
        <v>142</v>
      </c>
      <c r="K25" s="13">
        <f ca="1">IF(A25=1,IF(OR('My Loans'!$N$17="",'My Loans'!$N$17=0),0,INDIRECT("'My Loans'!$D"&amp;'My Loans'!$N$17)),AT24)</f>
        <v>8067.8488787909382</v>
      </c>
      <c r="L25" s="13">
        <f ca="1">IF(OR('My Loans'!$N$17="",'My Loans'!$N$17=0),0,K25*INDIRECT("'My Loans'!$E"&amp;'My Loans'!$N$17)/12)</f>
        <v>32.943716255063002</v>
      </c>
      <c r="M25" s="13">
        <f ca="1">IF(OR('My Loans'!$N$17="",'My Loans'!$N$17=0),0,IF(K25&lt;0.005,0,MIN(INDIRECT("'My Loans'!$F"&amp;'My Loans'!$N$17),K25+L25)))</f>
        <v>112</v>
      </c>
      <c r="N25" s="13">
        <f ca="1">IF(A25=1,IF(OR('My Loans'!$N$18="",'My Loans'!$N$18=0),0,INDIRECT("'My Loans'!$D"&amp;'My Loans'!$N$18)),AY24)</f>
        <v>6659.6622515748049</v>
      </c>
      <c r="O25" s="13">
        <f ca="1">IF(OR('My Loans'!$N$18="",'My Loans'!$N$18=0),0,N25*INDIRECT("'My Loans'!$E"&amp;'My Loans'!$N$18)/12)</f>
        <v>24.973733443405518</v>
      </c>
      <c r="P25" s="13">
        <f ca="1">IF(OR('My Loans'!$N$18="",'My Loans'!$N$18=0),0,IF(N25&lt;0.005,0,MIN(INDIRECT("'My Loans'!$F"&amp;'My Loans'!$N$18),N25+O25)))</f>
        <v>95</v>
      </c>
      <c r="Q25" s="13">
        <f ca="1">IF(A25=1,IF(OR('My Loans'!$N$19="",'My Loans'!$N$19=0),0,INDIRECT("'My Loans'!$D"&amp;'My Loans'!$N$19)),BD24)</f>
        <v>0</v>
      </c>
      <c r="R25" s="13">
        <f ca="1">IF(OR('My Loans'!$N$19="",'My Loans'!$N$19=0),0,Q25*INDIRECT("'My Loans'!$E"&amp;'My Loans'!$N$19)/12)</f>
        <v>0</v>
      </c>
      <c r="S25" s="13">
        <f ca="1">IF(OR('My Loans'!$N$19="",'My Loans'!$N$19=0),0,IF(Q25&lt;0.005,0,MIN(INDIRECT("'My Loans'!$F"&amp;'My Loans'!$N$19),Q25+R25)))</f>
        <v>0</v>
      </c>
      <c r="T25" s="13">
        <f ca="1">IF(A25=1,IF(OR('My Loans'!$N$20="",'My Loans'!$N$20=0),0,INDIRECT("'My Loans'!$D"&amp;'My Loans'!$N$20)),BI24)</f>
        <v>0</v>
      </c>
      <c r="U25" s="13">
        <f ca="1">IF(OR('My Loans'!$N$20="",'My Loans'!$N$20=0),0,T25*INDIRECT("'My Loans'!$E"&amp;'My Loans'!$N$20)/12)</f>
        <v>0</v>
      </c>
      <c r="V25" s="13">
        <f ca="1">IF(OR('My Loans'!$N$20="",'My Loans'!$N$20=0),0,IF(T25&lt;0.005,0,MIN(INDIRECT("'My Loans'!$F"&amp;'My Loans'!$N$20),T25+U25)))</f>
        <v>0</v>
      </c>
      <c r="W25" s="13">
        <f ca="1">IF(A25=1,IF(OR('My Loans'!$N$21="",'My Loans'!$N$21=0),0,INDIRECT("'My Loans'!$D"&amp;'My Loans'!$N$21)),BN24)</f>
        <v>0</v>
      </c>
      <c r="X25" s="13">
        <f ca="1">IF(OR('My Loans'!$N$21="",'My Loans'!$N$21=0),0,W25*INDIRECT("'My Loans'!$E"&amp;'My Loans'!$N$21)/12)</f>
        <v>0</v>
      </c>
      <c r="Y25" s="13">
        <f ca="1">IF(OR('My Loans'!$N$21="",'My Loans'!$N$21=0),0,IF(W25&lt;0.005,0,MIN(INDIRECT("'My Loans'!$F"&amp;'My Loans'!$N$21),W25+X25)))</f>
        <v>0</v>
      </c>
      <c r="Z25" s="13">
        <f ca="1">'My Loans'!$B$13-(D25+G25+J25+M25+P25+S25+V25+Y25)</f>
        <v>463</v>
      </c>
      <c r="AA25" s="13">
        <f t="shared" ca="1" si="0"/>
        <v>463</v>
      </c>
      <c r="AB25" s="13">
        <f t="shared" ca="1" si="1"/>
        <v>10621.138248888945</v>
      </c>
      <c r="AC25" s="13">
        <f t="shared" ca="1" si="2"/>
        <v>463</v>
      </c>
      <c r="AD25" s="13">
        <f t="shared" ca="1" si="3"/>
        <v>873</v>
      </c>
      <c r="AE25" s="13">
        <f t="shared" ca="1" si="4"/>
        <v>10158.138248888945</v>
      </c>
      <c r="AF25" s="13">
        <f t="shared" ca="1" si="5"/>
        <v>0</v>
      </c>
      <c r="AG25" s="13">
        <f t="shared" ca="1" si="6"/>
        <v>12665.437557393201</v>
      </c>
      <c r="AH25" s="13">
        <f t="shared" ca="1" si="7"/>
        <v>0</v>
      </c>
      <c r="AI25" s="13">
        <f t="shared" ca="1" si="8"/>
        <v>178</v>
      </c>
      <c r="AJ25" s="13">
        <f t="shared" ca="1" si="9"/>
        <v>12665.437557393201</v>
      </c>
      <c r="AK25" s="13">
        <f t="shared" ca="1" si="10"/>
        <v>0</v>
      </c>
      <c r="AL25" s="13">
        <f t="shared" ca="1" si="11"/>
        <v>10690.953318466458</v>
      </c>
      <c r="AM25" s="13">
        <f t="shared" ca="1" si="12"/>
        <v>0</v>
      </c>
      <c r="AN25" s="13">
        <f t="shared" ca="1" si="13"/>
        <v>142</v>
      </c>
      <c r="AO25" s="13">
        <f t="shared" ca="1" si="14"/>
        <v>10690.953318466458</v>
      </c>
      <c r="AP25" s="13">
        <f t="shared" ca="1" si="15"/>
        <v>0</v>
      </c>
      <c r="AQ25" s="13">
        <f t="shared" ca="1" si="16"/>
        <v>7988.7925950460012</v>
      </c>
      <c r="AR25" s="13">
        <f t="shared" ca="1" si="17"/>
        <v>0</v>
      </c>
      <c r="AS25" s="13">
        <f t="shared" ca="1" si="18"/>
        <v>112</v>
      </c>
      <c r="AT25" s="13">
        <f t="shared" ca="1" si="19"/>
        <v>7988.7925950460012</v>
      </c>
      <c r="AU25" s="13">
        <f t="shared" ca="1" si="20"/>
        <v>0</v>
      </c>
      <c r="AV25" s="13">
        <f t="shared" ca="1" si="21"/>
        <v>6589.6359850182107</v>
      </c>
      <c r="AW25" s="13">
        <f t="shared" ca="1" si="22"/>
        <v>0</v>
      </c>
      <c r="AX25" s="13">
        <f t="shared" ca="1" si="23"/>
        <v>95</v>
      </c>
      <c r="AY25" s="13">
        <f t="shared" ca="1" si="24"/>
        <v>6589.6359850182107</v>
      </c>
      <c r="AZ25" s="13">
        <f t="shared" ca="1" si="25"/>
        <v>0</v>
      </c>
      <c r="BA25" s="13">
        <f t="shared" ca="1" si="26"/>
        <v>0</v>
      </c>
      <c r="BB25" s="13">
        <f t="shared" ca="1" si="27"/>
        <v>0</v>
      </c>
      <c r="BC25" s="13">
        <f t="shared" ca="1" si="28"/>
        <v>0</v>
      </c>
      <c r="BD25" s="13">
        <f t="shared" ca="1" si="29"/>
        <v>0</v>
      </c>
      <c r="BE25" s="13">
        <f t="shared" ca="1" si="30"/>
        <v>0</v>
      </c>
      <c r="BF25" s="13">
        <f t="shared" ca="1" si="31"/>
        <v>0</v>
      </c>
      <c r="BG25" s="13">
        <f t="shared" ca="1" si="32"/>
        <v>0</v>
      </c>
      <c r="BH25" s="13">
        <f t="shared" ca="1" si="33"/>
        <v>0</v>
      </c>
      <c r="BI25" s="13">
        <f t="shared" ca="1" si="34"/>
        <v>0</v>
      </c>
      <c r="BJ25" s="13">
        <f t="shared" ca="1" si="35"/>
        <v>0</v>
      </c>
      <c r="BK25" s="13">
        <f t="shared" ca="1" si="36"/>
        <v>0</v>
      </c>
      <c r="BL25" s="13">
        <f t="shared" ca="1" si="37"/>
        <v>0</v>
      </c>
      <c r="BM25" s="13">
        <f t="shared" ca="1" si="38"/>
        <v>0</v>
      </c>
      <c r="BN25" s="13">
        <f t="shared" ca="1" si="39"/>
        <v>0</v>
      </c>
      <c r="BO25" s="13">
        <f t="shared" ca="1" si="40"/>
        <v>1400</v>
      </c>
      <c r="BP25" s="13">
        <f t="shared" ca="1" si="41"/>
        <v>245.50532571246455</v>
      </c>
      <c r="BQ25" s="13">
        <f t="shared" ca="1" si="42"/>
        <v>48092.957704812819</v>
      </c>
    </row>
    <row r="26" spans="1:69" x14ac:dyDescent="0.25">
      <c r="A26" s="1">
        <v>25</v>
      </c>
      <c r="B26" s="13">
        <f ca="1">IF(A26=1,IF(OR('My Loans'!$N$14="",'My Loans'!$N$14=0),0,INDIRECT("'My Loans'!$D"&amp;'My Loans'!$N$14)),AE25)</f>
        <v>10158.138248888945</v>
      </c>
      <c r="C26" s="13">
        <f ca="1">IF(OR('My Loans'!$N$14="",'My Loans'!$N$14=0),0,B26*INDIRECT("'My Loans'!$E"&amp;'My Loans'!$N$14)/12)</f>
        <v>66.874410138518883</v>
      </c>
      <c r="D26" s="13">
        <f ca="1">IF(OR('My Loans'!$N$14="",'My Loans'!$N$14=0),0,IF(B26&lt;0.005,0,MIN(INDIRECT("'My Loans'!$F"&amp;'My Loans'!$N$14),B26+C26)))</f>
        <v>410</v>
      </c>
      <c r="E26" s="13">
        <f ca="1">IF(A26=1,IF(OR('My Loans'!$N$15="",'My Loans'!$N$15=0),0,INDIRECT("'My Loans'!$D"&amp;'My Loans'!$N$15)),AJ25)</f>
        <v>12665.437557393201</v>
      </c>
      <c r="F26" s="13">
        <f ca="1">IF(OR('My Loans'!$N$15="",'My Loans'!$N$15=0),0,E26*INDIRECT("'My Loans'!$E"&amp;'My Loans'!$N$15)/12)</f>
        <v>65.438094046531532</v>
      </c>
      <c r="G26" s="13">
        <f ca="1">IF(OR('My Loans'!$N$15="",'My Loans'!$N$15=0),0,IF(E26&lt;0.005,0,MIN(INDIRECT("'My Loans'!$F"&amp;'My Loans'!$N$15),E26+F26)))</f>
        <v>178</v>
      </c>
      <c r="H26" s="13">
        <f ca="1">IF(A26=1,IF(OR('My Loans'!$N$16="",'My Loans'!$N$16=0),0,INDIRECT("'My Loans'!$D"&amp;'My Loans'!$N$16)),AO25)</f>
        <v>10690.953318466458</v>
      </c>
      <c r="I26" s="13">
        <f ca="1">IF(OR('My Loans'!$N$16="",'My Loans'!$N$16=0),0,H26*INDIRECT("'My Loans'!$E"&amp;'My Loans'!$N$16)/12)</f>
        <v>49.000202709637932</v>
      </c>
      <c r="J26" s="13">
        <f ca="1">IF(OR('My Loans'!$N$16="",'My Loans'!$N$16=0),0,IF(H26&lt;0.005,0,MIN(INDIRECT("'My Loans'!$F"&amp;'My Loans'!$N$16),H26+I26)))</f>
        <v>142</v>
      </c>
      <c r="K26" s="13">
        <f ca="1">IF(A26=1,IF(OR('My Loans'!$N$17="",'My Loans'!$N$17=0),0,INDIRECT("'My Loans'!$D"&amp;'My Loans'!$N$17)),AT25)</f>
        <v>7988.7925950460012</v>
      </c>
      <c r="L26" s="13">
        <f ca="1">IF(OR('My Loans'!$N$17="",'My Loans'!$N$17=0),0,K26*INDIRECT("'My Loans'!$E"&amp;'My Loans'!$N$17)/12)</f>
        <v>32.620903096437836</v>
      </c>
      <c r="M26" s="13">
        <f ca="1">IF(OR('My Loans'!$N$17="",'My Loans'!$N$17=0),0,IF(K26&lt;0.005,0,MIN(INDIRECT("'My Loans'!$F"&amp;'My Loans'!$N$17),K26+L26)))</f>
        <v>112</v>
      </c>
      <c r="N26" s="13">
        <f ca="1">IF(A26=1,IF(OR('My Loans'!$N$18="",'My Loans'!$N$18=0),0,INDIRECT("'My Loans'!$D"&amp;'My Loans'!$N$18)),AY25)</f>
        <v>6589.6359850182107</v>
      </c>
      <c r="O26" s="13">
        <f ca="1">IF(OR('My Loans'!$N$18="",'My Loans'!$N$18=0),0,N26*INDIRECT("'My Loans'!$E"&amp;'My Loans'!$N$18)/12)</f>
        <v>24.711134943818291</v>
      </c>
      <c r="P26" s="13">
        <f ca="1">IF(OR('My Loans'!$N$18="",'My Loans'!$N$18=0),0,IF(N26&lt;0.005,0,MIN(INDIRECT("'My Loans'!$F"&amp;'My Loans'!$N$18),N26+O26)))</f>
        <v>95</v>
      </c>
      <c r="Q26" s="13">
        <f ca="1">IF(A26=1,IF(OR('My Loans'!$N$19="",'My Loans'!$N$19=0),0,INDIRECT("'My Loans'!$D"&amp;'My Loans'!$N$19)),BD25)</f>
        <v>0</v>
      </c>
      <c r="R26" s="13">
        <f ca="1">IF(OR('My Loans'!$N$19="",'My Loans'!$N$19=0),0,Q26*INDIRECT("'My Loans'!$E"&amp;'My Loans'!$N$19)/12)</f>
        <v>0</v>
      </c>
      <c r="S26" s="13">
        <f ca="1">IF(OR('My Loans'!$N$19="",'My Loans'!$N$19=0),0,IF(Q26&lt;0.005,0,MIN(INDIRECT("'My Loans'!$F"&amp;'My Loans'!$N$19),Q26+R26)))</f>
        <v>0</v>
      </c>
      <c r="T26" s="13">
        <f ca="1">IF(A26=1,IF(OR('My Loans'!$N$20="",'My Loans'!$N$20=0),0,INDIRECT("'My Loans'!$D"&amp;'My Loans'!$N$20)),BI25)</f>
        <v>0</v>
      </c>
      <c r="U26" s="13">
        <f ca="1">IF(OR('My Loans'!$N$20="",'My Loans'!$N$20=0),0,T26*INDIRECT("'My Loans'!$E"&amp;'My Loans'!$N$20)/12)</f>
        <v>0</v>
      </c>
      <c r="V26" s="13">
        <f ca="1">IF(OR('My Loans'!$N$20="",'My Loans'!$N$20=0),0,IF(T26&lt;0.005,0,MIN(INDIRECT("'My Loans'!$F"&amp;'My Loans'!$N$20),T26+U26)))</f>
        <v>0</v>
      </c>
      <c r="W26" s="13">
        <f ca="1">IF(A26=1,IF(OR('My Loans'!$N$21="",'My Loans'!$N$21=0),0,INDIRECT("'My Loans'!$D"&amp;'My Loans'!$N$21)),BN25)</f>
        <v>0</v>
      </c>
      <c r="X26" s="13">
        <f ca="1">IF(OR('My Loans'!$N$21="",'My Loans'!$N$21=0),0,W26*INDIRECT("'My Loans'!$E"&amp;'My Loans'!$N$21)/12)</f>
        <v>0</v>
      </c>
      <c r="Y26" s="13">
        <f ca="1">IF(OR('My Loans'!$N$21="",'My Loans'!$N$21=0),0,IF(W26&lt;0.005,0,MIN(INDIRECT("'My Loans'!$F"&amp;'My Loans'!$N$21),W26+X26)))</f>
        <v>0</v>
      </c>
      <c r="Z26" s="13">
        <f ca="1">'My Loans'!$B$13-(D26+G26+J26+M26+P26+S26+V26+Y26)</f>
        <v>463</v>
      </c>
      <c r="AA26" s="13">
        <f t="shared" ca="1" si="0"/>
        <v>463</v>
      </c>
      <c r="AB26" s="13">
        <f t="shared" ca="1" si="1"/>
        <v>9815.0126590274631</v>
      </c>
      <c r="AC26" s="13">
        <f t="shared" ca="1" si="2"/>
        <v>463</v>
      </c>
      <c r="AD26" s="13">
        <f t="shared" ca="1" si="3"/>
        <v>873</v>
      </c>
      <c r="AE26" s="13">
        <f t="shared" ca="1" si="4"/>
        <v>9352.0126590274631</v>
      </c>
      <c r="AF26" s="13">
        <f t="shared" ca="1" si="5"/>
        <v>0</v>
      </c>
      <c r="AG26" s="13">
        <f t="shared" ca="1" si="6"/>
        <v>12552.875651439732</v>
      </c>
      <c r="AH26" s="13">
        <f t="shared" ca="1" si="7"/>
        <v>0</v>
      </c>
      <c r="AI26" s="13">
        <f t="shared" ca="1" si="8"/>
        <v>178</v>
      </c>
      <c r="AJ26" s="13">
        <f t="shared" ca="1" si="9"/>
        <v>12552.875651439732</v>
      </c>
      <c r="AK26" s="13">
        <f t="shared" ca="1" si="10"/>
        <v>0</v>
      </c>
      <c r="AL26" s="13">
        <f t="shared" ca="1" si="11"/>
        <v>10597.953521176096</v>
      </c>
      <c r="AM26" s="13">
        <f t="shared" ca="1" si="12"/>
        <v>0</v>
      </c>
      <c r="AN26" s="13">
        <f t="shared" ca="1" si="13"/>
        <v>142</v>
      </c>
      <c r="AO26" s="13">
        <f t="shared" ca="1" si="14"/>
        <v>10597.953521176096</v>
      </c>
      <c r="AP26" s="13">
        <f t="shared" ca="1" si="15"/>
        <v>0</v>
      </c>
      <c r="AQ26" s="13">
        <f t="shared" ca="1" si="16"/>
        <v>7909.4134981424395</v>
      </c>
      <c r="AR26" s="13">
        <f t="shared" ca="1" si="17"/>
        <v>0</v>
      </c>
      <c r="AS26" s="13">
        <f t="shared" ca="1" si="18"/>
        <v>112</v>
      </c>
      <c r="AT26" s="13">
        <f t="shared" ca="1" si="19"/>
        <v>7909.4134981424395</v>
      </c>
      <c r="AU26" s="13">
        <f t="shared" ca="1" si="20"/>
        <v>0</v>
      </c>
      <c r="AV26" s="13">
        <f t="shared" ca="1" si="21"/>
        <v>6519.347119962029</v>
      </c>
      <c r="AW26" s="13">
        <f t="shared" ca="1" si="22"/>
        <v>0</v>
      </c>
      <c r="AX26" s="13">
        <f t="shared" ca="1" si="23"/>
        <v>95</v>
      </c>
      <c r="AY26" s="13">
        <f t="shared" ca="1" si="24"/>
        <v>6519.347119962029</v>
      </c>
      <c r="AZ26" s="13">
        <f t="shared" ca="1" si="25"/>
        <v>0</v>
      </c>
      <c r="BA26" s="13">
        <f t="shared" ca="1" si="26"/>
        <v>0</v>
      </c>
      <c r="BB26" s="13">
        <f t="shared" ca="1" si="27"/>
        <v>0</v>
      </c>
      <c r="BC26" s="13">
        <f t="shared" ca="1" si="28"/>
        <v>0</v>
      </c>
      <c r="BD26" s="13">
        <f t="shared" ca="1" si="29"/>
        <v>0</v>
      </c>
      <c r="BE26" s="13">
        <f t="shared" ca="1" si="30"/>
        <v>0</v>
      </c>
      <c r="BF26" s="13">
        <f t="shared" ca="1" si="31"/>
        <v>0</v>
      </c>
      <c r="BG26" s="13">
        <f t="shared" ca="1" si="32"/>
        <v>0</v>
      </c>
      <c r="BH26" s="13">
        <f t="shared" ca="1" si="33"/>
        <v>0</v>
      </c>
      <c r="BI26" s="13">
        <f t="shared" ca="1" si="34"/>
        <v>0</v>
      </c>
      <c r="BJ26" s="13">
        <f t="shared" ca="1" si="35"/>
        <v>0</v>
      </c>
      <c r="BK26" s="13">
        <f t="shared" ca="1" si="36"/>
        <v>0</v>
      </c>
      <c r="BL26" s="13">
        <f t="shared" ca="1" si="37"/>
        <v>0</v>
      </c>
      <c r="BM26" s="13">
        <f t="shared" ca="1" si="38"/>
        <v>0</v>
      </c>
      <c r="BN26" s="13">
        <f t="shared" ca="1" si="39"/>
        <v>0</v>
      </c>
      <c r="BO26" s="13">
        <f t="shared" ca="1" si="40"/>
        <v>1400</v>
      </c>
      <c r="BP26" s="13">
        <f t="shared" ca="1" si="41"/>
        <v>238.64474493494447</v>
      </c>
      <c r="BQ26" s="13">
        <f t="shared" ca="1" si="42"/>
        <v>46931.602449747763</v>
      </c>
    </row>
    <row r="27" spans="1:69" x14ac:dyDescent="0.25">
      <c r="A27" s="1">
        <v>26</v>
      </c>
      <c r="B27" s="13">
        <f ca="1">IF(A27=1,IF(OR('My Loans'!$N$14="",'My Loans'!$N$14=0),0,INDIRECT("'My Loans'!$D"&amp;'My Loans'!$N$14)),AE26)</f>
        <v>9352.0126590274631</v>
      </c>
      <c r="C27" s="13">
        <f ca="1">IF(OR('My Loans'!$N$14="",'My Loans'!$N$14=0),0,B27*INDIRECT("'My Loans'!$E"&amp;'My Loans'!$N$14)/12)</f>
        <v>61.5674166719308</v>
      </c>
      <c r="D27" s="13">
        <f ca="1">IF(OR('My Loans'!$N$14="",'My Loans'!$N$14=0),0,IF(B27&lt;0.005,0,MIN(INDIRECT("'My Loans'!$F"&amp;'My Loans'!$N$14),B27+C27)))</f>
        <v>410</v>
      </c>
      <c r="E27" s="13">
        <f ca="1">IF(A27=1,IF(OR('My Loans'!$N$15="",'My Loans'!$N$15=0),0,INDIRECT("'My Loans'!$D"&amp;'My Loans'!$N$15)),AJ26)</f>
        <v>12552.875651439732</v>
      </c>
      <c r="F27" s="13">
        <f ca="1">IF(OR('My Loans'!$N$15="",'My Loans'!$N$15=0),0,E27*INDIRECT("'My Loans'!$E"&amp;'My Loans'!$N$15)/12)</f>
        <v>64.85652419910528</v>
      </c>
      <c r="G27" s="13">
        <f ca="1">IF(OR('My Loans'!$N$15="",'My Loans'!$N$15=0),0,IF(E27&lt;0.005,0,MIN(INDIRECT("'My Loans'!$F"&amp;'My Loans'!$N$15),E27+F27)))</f>
        <v>178</v>
      </c>
      <c r="H27" s="13">
        <f ca="1">IF(A27=1,IF(OR('My Loans'!$N$16="",'My Loans'!$N$16=0),0,INDIRECT("'My Loans'!$D"&amp;'My Loans'!$N$16)),AO26)</f>
        <v>10597.953521176096</v>
      </c>
      <c r="I27" s="13">
        <f ca="1">IF(OR('My Loans'!$N$16="",'My Loans'!$N$16=0),0,H27*INDIRECT("'My Loans'!$E"&amp;'My Loans'!$N$16)/12)</f>
        <v>48.573953638723772</v>
      </c>
      <c r="J27" s="13">
        <f ca="1">IF(OR('My Loans'!$N$16="",'My Loans'!$N$16=0),0,IF(H27&lt;0.005,0,MIN(INDIRECT("'My Loans'!$F"&amp;'My Loans'!$N$16),H27+I27)))</f>
        <v>142</v>
      </c>
      <c r="K27" s="13">
        <f ca="1">IF(A27=1,IF(OR('My Loans'!$N$17="",'My Loans'!$N$17=0),0,INDIRECT("'My Loans'!$D"&amp;'My Loans'!$N$17)),AT26)</f>
        <v>7909.4134981424395</v>
      </c>
      <c r="L27" s="13">
        <f ca="1">IF(OR('My Loans'!$N$17="",'My Loans'!$N$17=0),0,K27*INDIRECT("'My Loans'!$E"&amp;'My Loans'!$N$17)/12)</f>
        <v>32.296771784081628</v>
      </c>
      <c r="M27" s="13">
        <f ca="1">IF(OR('My Loans'!$N$17="",'My Loans'!$N$17=0),0,IF(K27&lt;0.005,0,MIN(INDIRECT("'My Loans'!$F"&amp;'My Loans'!$N$17),K27+L27)))</f>
        <v>112</v>
      </c>
      <c r="N27" s="13">
        <f ca="1">IF(A27=1,IF(OR('My Loans'!$N$18="",'My Loans'!$N$18=0),0,INDIRECT("'My Loans'!$D"&amp;'My Loans'!$N$18)),AY26)</f>
        <v>6519.347119962029</v>
      </c>
      <c r="O27" s="13">
        <f ca="1">IF(OR('My Loans'!$N$18="",'My Loans'!$N$18=0),0,N27*INDIRECT("'My Loans'!$E"&amp;'My Loans'!$N$18)/12)</f>
        <v>24.447551699857609</v>
      </c>
      <c r="P27" s="13">
        <f ca="1">IF(OR('My Loans'!$N$18="",'My Loans'!$N$18=0),0,IF(N27&lt;0.005,0,MIN(INDIRECT("'My Loans'!$F"&amp;'My Loans'!$N$18),N27+O27)))</f>
        <v>95</v>
      </c>
      <c r="Q27" s="13">
        <f ca="1">IF(A27=1,IF(OR('My Loans'!$N$19="",'My Loans'!$N$19=0),0,INDIRECT("'My Loans'!$D"&amp;'My Loans'!$N$19)),BD26)</f>
        <v>0</v>
      </c>
      <c r="R27" s="13">
        <f ca="1">IF(OR('My Loans'!$N$19="",'My Loans'!$N$19=0),0,Q27*INDIRECT("'My Loans'!$E"&amp;'My Loans'!$N$19)/12)</f>
        <v>0</v>
      </c>
      <c r="S27" s="13">
        <f ca="1">IF(OR('My Loans'!$N$19="",'My Loans'!$N$19=0),0,IF(Q27&lt;0.005,0,MIN(INDIRECT("'My Loans'!$F"&amp;'My Loans'!$N$19),Q27+R27)))</f>
        <v>0</v>
      </c>
      <c r="T27" s="13">
        <f ca="1">IF(A27=1,IF(OR('My Loans'!$N$20="",'My Loans'!$N$20=0),0,INDIRECT("'My Loans'!$D"&amp;'My Loans'!$N$20)),BI26)</f>
        <v>0</v>
      </c>
      <c r="U27" s="13">
        <f ca="1">IF(OR('My Loans'!$N$20="",'My Loans'!$N$20=0),0,T27*INDIRECT("'My Loans'!$E"&amp;'My Loans'!$N$20)/12)</f>
        <v>0</v>
      </c>
      <c r="V27" s="13">
        <f ca="1">IF(OR('My Loans'!$N$20="",'My Loans'!$N$20=0),0,IF(T27&lt;0.005,0,MIN(INDIRECT("'My Loans'!$F"&amp;'My Loans'!$N$20),T27+U27)))</f>
        <v>0</v>
      </c>
      <c r="W27" s="13">
        <f ca="1">IF(A27=1,IF(OR('My Loans'!$N$21="",'My Loans'!$N$21=0),0,INDIRECT("'My Loans'!$D"&amp;'My Loans'!$N$21)),BN26)</f>
        <v>0</v>
      </c>
      <c r="X27" s="13">
        <f ca="1">IF(OR('My Loans'!$N$21="",'My Loans'!$N$21=0),0,W27*INDIRECT("'My Loans'!$E"&amp;'My Loans'!$N$21)/12)</f>
        <v>0</v>
      </c>
      <c r="Y27" s="13">
        <f ca="1">IF(OR('My Loans'!$N$21="",'My Loans'!$N$21=0),0,IF(W27&lt;0.005,0,MIN(INDIRECT("'My Loans'!$F"&amp;'My Loans'!$N$21),W27+X27)))</f>
        <v>0</v>
      </c>
      <c r="Z27" s="13">
        <f ca="1">'My Loans'!$B$13-(D27+G27+J27+M27+P27+S27+V27+Y27)</f>
        <v>463</v>
      </c>
      <c r="AA27" s="13">
        <f t="shared" ca="1" si="0"/>
        <v>463</v>
      </c>
      <c r="AB27" s="13">
        <f t="shared" ca="1" si="1"/>
        <v>9003.580075699394</v>
      </c>
      <c r="AC27" s="13">
        <f t="shared" ca="1" si="2"/>
        <v>463</v>
      </c>
      <c r="AD27" s="13">
        <f t="shared" ca="1" si="3"/>
        <v>873</v>
      </c>
      <c r="AE27" s="13">
        <f t="shared" ca="1" si="4"/>
        <v>8540.580075699394</v>
      </c>
      <c r="AF27" s="13">
        <f t="shared" ca="1" si="5"/>
        <v>0</v>
      </c>
      <c r="AG27" s="13">
        <f t="shared" ca="1" si="6"/>
        <v>12439.732175638837</v>
      </c>
      <c r="AH27" s="13">
        <f t="shared" ca="1" si="7"/>
        <v>0</v>
      </c>
      <c r="AI27" s="13">
        <f t="shared" ca="1" si="8"/>
        <v>178</v>
      </c>
      <c r="AJ27" s="13">
        <f t="shared" ca="1" si="9"/>
        <v>12439.732175638837</v>
      </c>
      <c r="AK27" s="13">
        <f t="shared" ca="1" si="10"/>
        <v>0</v>
      </c>
      <c r="AL27" s="13">
        <f t="shared" ca="1" si="11"/>
        <v>10504.52747481482</v>
      </c>
      <c r="AM27" s="13">
        <f t="shared" ca="1" si="12"/>
        <v>0</v>
      </c>
      <c r="AN27" s="13">
        <f t="shared" ca="1" si="13"/>
        <v>142</v>
      </c>
      <c r="AO27" s="13">
        <f t="shared" ca="1" si="14"/>
        <v>10504.52747481482</v>
      </c>
      <c r="AP27" s="13">
        <f t="shared" ca="1" si="15"/>
        <v>0</v>
      </c>
      <c r="AQ27" s="13">
        <f t="shared" ca="1" si="16"/>
        <v>7829.7102699265215</v>
      </c>
      <c r="AR27" s="13">
        <f t="shared" ca="1" si="17"/>
        <v>0</v>
      </c>
      <c r="AS27" s="13">
        <f t="shared" ca="1" si="18"/>
        <v>112</v>
      </c>
      <c r="AT27" s="13">
        <f t="shared" ca="1" si="19"/>
        <v>7829.7102699265215</v>
      </c>
      <c r="AU27" s="13">
        <f t="shared" ca="1" si="20"/>
        <v>0</v>
      </c>
      <c r="AV27" s="13">
        <f t="shared" ca="1" si="21"/>
        <v>6448.7946716618862</v>
      </c>
      <c r="AW27" s="13">
        <f t="shared" ca="1" si="22"/>
        <v>0</v>
      </c>
      <c r="AX27" s="13">
        <f t="shared" ca="1" si="23"/>
        <v>95</v>
      </c>
      <c r="AY27" s="13">
        <f t="shared" ca="1" si="24"/>
        <v>6448.7946716618862</v>
      </c>
      <c r="AZ27" s="13">
        <f t="shared" ca="1" si="25"/>
        <v>0</v>
      </c>
      <c r="BA27" s="13">
        <f t="shared" ca="1" si="26"/>
        <v>0</v>
      </c>
      <c r="BB27" s="13">
        <f t="shared" ca="1" si="27"/>
        <v>0</v>
      </c>
      <c r="BC27" s="13">
        <f t="shared" ca="1" si="28"/>
        <v>0</v>
      </c>
      <c r="BD27" s="13">
        <f t="shared" ca="1" si="29"/>
        <v>0</v>
      </c>
      <c r="BE27" s="13">
        <f t="shared" ca="1" si="30"/>
        <v>0</v>
      </c>
      <c r="BF27" s="13">
        <f t="shared" ca="1" si="31"/>
        <v>0</v>
      </c>
      <c r="BG27" s="13">
        <f t="shared" ca="1" si="32"/>
        <v>0</v>
      </c>
      <c r="BH27" s="13">
        <f t="shared" ca="1" si="33"/>
        <v>0</v>
      </c>
      <c r="BI27" s="13">
        <f t="shared" ca="1" si="34"/>
        <v>0</v>
      </c>
      <c r="BJ27" s="13">
        <f t="shared" ca="1" si="35"/>
        <v>0</v>
      </c>
      <c r="BK27" s="13">
        <f t="shared" ca="1" si="36"/>
        <v>0</v>
      </c>
      <c r="BL27" s="13">
        <f t="shared" ca="1" si="37"/>
        <v>0</v>
      </c>
      <c r="BM27" s="13">
        <f t="shared" ca="1" si="38"/>
        <v>0</v>
      </c>
      <c r="BN27" s="13">
        <f t="shared" ca="1" si="39"/>
        <v>0</v>
      </c>
      <c r="BO27" s="13">
        <f t="shared" ca="1" si="40"/>
        <v>1400</v>
      </c>
      <c r="BP27" s="13">
        <f t="shared" ca="1" si="41"/>
        <v>231.74221799369909</v>
      </c>
      <c r="BQ27" s="13">
        <f t="shared" ca="1" si="42"/>
        <v>45763.344667741461</v>
      </c>
    </row>
    <row r="28" spans="1:69" x14ac:dyDescent="0.25">
      <c r="A28" s="1">
        <v>27</v>
      </c>
      <c r="B28" s="13">
        <f ca="1">IF(A28=1,IF(OR('My Loans'!$N$14="",'My Loans'!$N$14=0),0,INDIRECT("'My Loans'!$D"&amp;'My Loans'!$N$14)),AE27)</f>
        <v>8540.580075699394</v>
      </c>
      <c r="C28" s="13">
        <f ca="1">IF(OR('My Loans'!$N$14="",'My Loans'!$N$14=0),0,B28*INDIRECT("'My Loans'!$E"&amp;'My Loans'!$N$14)/12)</f>
        <v>56.225485498354345</v>
      </c>
      <c r="D28" s="13">
        <f ca="1">IF(OR('My Loans'!$N$14="",'My Loans'!$N$14=0),0,IF(B28&lt;0.005,0,MIN(INDIRECT("'My Loans'!$F"&amp;'My Loans'!$N$14),B28+C28)))</f>
        <v>410</v>
      </c>
      <c r="E28" s="13">
        <f ca="1">IF(A28=1,IF(OR('My Loans'!$N$15="",'My Loans'!$N$15=0),0,INDIRECT("'My Loans'!$D"&amp;'My Loans'!$N$15)),AJ27)</f>
        <v>12439.732175638837</v>
      </c>
      <c r="F28" s="13">
        <f ca="1">IF(OR('My Loans'!$N$15="",'My Loans'!$N$15=0),0,E28*INDIRECT("'My Loans'!$E"&amp;'My Loans'!$N$15)/12)</f>
        <v>64.271949574133984</v>
      </c>
      <c r="G28" s="13">
        <f ca="1">IF(OR('My Loans'!$N$15="",'My Loans'!$N$15=0),0,IF(E28&lt;0.005,0,MIN(INDIRECT("'My Loans'!$F"&amp;'My Loans'!$N$15),E28+F28)))</f>
        <v>178</v>
      </c>
      <c r="H28" s="13">
        <f ca="1">IF(A28=1,IF(OR('My Loans'!$N$16="",'My Loans'!$N$16=0),0,INDIRECT("'My Loans'!$D"&amp;'My Loans'!$N$16)),AO27)</f>
        <v>10504.52747481482</v>
      </c>
      <c r="I28" s="13">
        <f ca="1">IF(OR('My Loans'!$N$16="",'My Loans'!$N$16=0),0,H28*INDIRECT("'My Loans'!$E"&amp;'My Loans'!$N$16)/12)</f>
        <v>48.145750926234598</v>
      </c>
      <c r="J28" s="13">
        <f ca="1">IF(OR('My Loans'!$N$16="",'My Loans'!$N$16=0),0,IF(H28&lt;0.005,0,MIN(INDIRECT("'My Loans'!$F"&amp;'My Loans'!$N$16),H28+I28)))</f>
        <v>142</v>
      </c>
      <c r="K28" s="13">
        <f ca="1">IF(A28=1,IF(OR('My Loans'!$N$17="",'My Loans'!$N$17=0),0,INDIRECT("'My Loans'!$D"&amp;'My Loans'!$N$17)),AT27)</f>
        <v>7829.7102699265215</v>
      </c>
      <c r="L28" s="13">
        <f ca="1">IF(OR('My Loans'!$N$17="",'My Loans'!$N$17=0),0,K28*INDIRECT("'My Loans'!$E"&amp;'My Loans'!$N$17)/12)</f>
        <v>31.971316935533295</v>
      </c>
      <c r="M28" s="13">
        <f ca="1">IF(OR('My Loans'!$N$17="",'My Loans'!$N$17=0),0,IF(K28&lt;0.005,0,MIN(INDIRECT("'My Loans'!$F"&amp;'My Loans'!$N$17),K28+L28)))</f>
        <v>112</v>
      </c>
      <c r="N28" s="13">
        <f ca="1">IF(A28=1,IF(OR('My Loans'!$N$18="",'My Loans'!$N$18=0),0,INDIRECT("'My Loans'!$D"&amp;'My Loans'!$N$18)),AY27)</f>
        <v>6448.7946716618862</v>
      </c>
      <c r="O28" s="13">
        <f ca="1">IF(OR('My Loans'!$N$18="",'My Loans'!$N$18=0),0,N28*INDIRECT("'My Loans'!$E"&amp;'My Loans'!$N$18)/12)</f>
        <v>24.182980018732071</v>
      </c>
      <c r="P28" s="13">
        <f ca="1">IF(OR('My Loans'!$N$18="",'My Loans'!$N$18=0),0,IF(N28&lt;0.005,0,MIN(INDIRECT("'My Loans'!$F"&amp;'My Loans'!$N$18),N28+O28)))</f>
        <v>95</v>
      </c>
      <c r="Q28" s="13">
        <f ca="1">IF(A28=1,IF(OR('My Loans'!$N$19="",'My Loans'!$N$19=0),0,INDIRECT("'My Loans'!$D"&amp;'My Loans'!$N$19)),BD27)</f>
        <v>0</v>
      </c>
      <c r="R28" s="13">
        <f ca="1">IF(OR('My Loans'!$N$19="",'My Loans'!$N$19=0),0,Q28*INDIRECT("'My Loans'!$E"&amp;'My Loans'!$N$19)/12)</f>
        <v>0</v>
      </c>
      <c r="S28" s="13">
        <f ca="1">IF(OR('My Loans'!$N$19="",'My Loans'!$N$19=0),0,IF(Q28&lt;0.005,0,MIN(INDIRECT("'My Loans'!$F"&amp;'My Loans'!$N$19),Q28+R28)))</f>
        <v>0</v>
      </c>
      <c r="T28" s="13">
        <f ca="1">IF(A28=1,IF(OR('My Loans'!$N$20="",'My Loans'!$N$20=0),0,INDIRECT("'My Loans'!$D"&amp;'My Loans'!$N$20)),BI27)</f>
        <v>0</v>
      </c>
      <c r="U28" s="13">
        <f ca="1">IF(OR('My Loans'!$N$20="",'My Loans'!$N$20=0),0,T28*INDIRECT("'My Loans'!$E"&amp;'My Loans'!$N$20)/12)</f>
        <v>0</v>
      </c>
      <c r="V28" s="13">
        <f ca="1">IF(OR('My Loans'!$N$20="",'My Loans'!$N$20=0),0,IF(T28&lt;0.005,0,MIN(INDIRECT("'My Loans'!$F"&amp;'My Loans'!$N$20),T28+U28)))</f>
        <v>0</v>
      </c>
      <c r="W28" s="13">
        <f ca="1">IF(A28=1,IF(OR('My Loans'!$N$21="",'My Loans'!$N$21=0),0,INDIRECT("'My Loans'!$D"&amp;'My Loans'!$N$21)),BN27)</f>
        <v>0</v>
      </c>
      <c r="X28" s="13">
        <f ca="1">IF(OR('My Loans'!$N$21="",'My Loans'!$N$21=0),0,W28*INDIRECT("'My Loans'!$E"&amp;'My Loans'!$N$21)/12)</f>
        <v>0</v>
      </c>
      <c r="Y28" s="13">
        <f ca="1">IF(OR('My Loans'!$N$21="",'My Loans'!$N$21=0),0,IF(W28&lt;0.005,0,MIN(INDIRECT("'My Loans'!$F"&amp;'My Loans'!$N$21),W28+X28)))</f>
        <v>0</v>
      </c>
      <c r="Z28" s="13">
        <f ca="1">'My Loans'!$B$13-(D28+G28+J28+M28+P28+S28+V28+Y28)</f>
        <v>463</v>
      </c>
      <c r="AA28" s="13">
        <f t="shared" ca="1" si="0"/>
        <v>463</v>
      </c>
      <c r="AB28" s="13">
        <f t="shared" ca="1" si="1"/>
        <v>8186.8055611977488</v>
      </c>
      <c r="AC28" s="13">
        <f t="shared" ca="1" si="2"/>
        <v>463</v>
      </c>
      <c r="AD28" s="13">
        <f t="shared" ca="1" si="3"/>
        <v>873</v>
      </c>
      <c r="AE28" s="13">
        <f t="shared" ca="1" si="4"/>
        <v>7723.8055611977488</v>
      </c>
      <c r="AF28" s="13">
        <f t="shared" ca="1" si="5"/>
        <v>0</v>
      </c>
      <c r="AG28" s="13">
        <f t="shared" ca="1" si="6"/>
        <v>12326.004125212972</v>
      </c>
      <c r="AH28" s="13">
        <f t="shared" ca="1" si="7"/>
        <v>0</v>
      </c>
      <c r="AI28" s="13">
        <f t="shared" ca="1" si="8"/>
        <v>178</v>
      </c>
      <c r="AJ28" s="13">
        <f t="shared" ca="1" si="9"/>
        <v>12326.004125212972</v>
      </c>
      <c r="AK28" s="13">
        <f t="shared" ca="1" si="10"/>
        <v>0</v>
      </c>
      <c r="AL28" s="13">
        <f t="shared" ca="1" si="11"/>
        <v>10410.673225741055</v>
      </c>
      <c r="AM28" s="13">
        <f t="shared" ca="1" si="12"/>
        <v>0</v>
      </c>
      <c r="AN28" s="13">
        <f t="shared" ca="1" si="13"/>
        <v>142</v>
      </c>
      <c r="AO28" s="13">
        <f t="shared" ca="1" si="14"/>
        <v>10410.673225741055</v>
      </c>
      <c r="AP28" s="13">
        <f t="shared" ca="1" si="15"/>
        <v>0</v>
      </c>
      <c r="AQ28" s="13">
        <f t="shared" ca="1" si="16"/>
        <v>7749.6815868620552</v>
      </c>
      <c r="AR28" s="13">
        <f t="shared" ca="1" si="17"/>
        <v>0</v>
      </c>
      <c r="AS28" s="13">
        <f t="shared" ca="1" si="18"/>
        <v>112</v>
      </c>
      <c r="AT28" s="13">
        <f t="shared" ca="1" si="19"/>
        <v>7749.6815868620552</v>
      </c>
      <c r="AU28" s="13">
        <f t="shared" ca="1" si="20"/>
        <v>0</v>
      </c>
      <c r="AV28" s="13">
        <f t="shared" ca="1" si="21"/>
        <v>6377.9776516806187</v>
      </c>
      <c r="AW28" s="13">
        <f t="shared" ca="1" si="22"/>
        <v>0</v>
      </c>
      <c r="AX28" s="13">
        <f t="shared" ca="1" si="23"/>
        <v>95</v>
      </c>
      <c r="AY28" s="13">
        <f t="shared" ca="1" si="24"/>
        <v>6377.9776516806187</v>
      </c>
      <c r="AZ28" s="13">
        <f t="shared" ca="1" si="25"/>
        <v>0</v>
      </c>
      <c r="BA28" s="13">
        <f t="shared" ca="1" si="26"/>
        <v>0</v>
      </c>
      <c r="BB28" s="13">
        <f t="shared" ca="1" si="27"/>
        <v>0</v>
      </c>
      <c r="BC28" s="13">
        <f t="shared" ca="1" si="28"/>
        <v>0</v>
      </c>
      <c r="BD28" s="13">
        <f t="shared" ca="1" si="29"/>
        <v>0</v>
      </c>
      <c r="BE28" s="13">
        <f t="shared" ca="1" si="30"/>
        <v>0</v>
      </c>
      <c r="BF28" s="13">
        <f t="shared" ca="1" si="31"/>
        <v>0</v>
      </c>
      <c r="BG28" s="13">
        <f t="shared" ca="1" si="32"/>
        <v>0</v>
      </c>
      <c r="BH28" s="13">
        <f t="shared" ca="1" si="33"/>
        <v>0</v>
      </c>
      <c r="BI28" s="13">
        <f t="shared" ca="1" si="34"/>
        <v>0</v>
      </c>
      <c r="BJ28" s="13">
        <f t="shared" ca="1" si="35"/>
        <v>0</v>
      </c>
      <c r="BK28" s="13">
        <f t="shared" ca="1" si="36"/>
        <v>0</v>
      </c>
      <c r="BL28" s="13">
        <f t="shared" ca="1" si="37"/>
        <v>0</v>
      </c>
      <c r="BM28" s="13">
        <f t="shared" ca="1" si="38"/>
        <v>0</v>
      </c>
      <c r="BN28" s="13">
        <f t="shared" ca="1" si="39"/>
        <v>0</v>
      </c>
      <c r="BO28" s="13">
        <f t="shared" ca="1" si="40"/>
        <v>1400</v>
      </c>
      <c r="BP28" s="13">
        <f t="shared" ca="1" si="41"/>
        <v>224.7974829529883</v>
      </c>
      <c r="BQ28" s="13">
        <f t="shared" ca="1" si="42"/>
        <v>44588.142150694446</v>
      </c>
    </row>
    <row r="29" spans="1:69" x14ac:dyDescent="0.25">
      <c r="A29" s="1">
        <v>28</v>
      </c>
      <c r="B29" s="13">
        <f ca="1">IF(A29=1,IF(OR('My Loans'!$N$14="",'My Loans'!$N$14=0),0,INDIRECT("'My Loans'!$D"&amp;'My Loans'!$N$14)),AE28)</f>
        <v>7723.8055611977488</v>
      </c>
      <c r="C29" s="13">
        <f ca="1">IF(OR('My Loans'!$N$14="",'My Loans'!$N$14=0),0,B29*INDIRECT("'My Loans'!$E"&amp;'My Loans'!$N$14)/12)</f>
        <v>50.848386611218508</v>
      </c>
      <c r="D29" s="13">
        <f ca="1">IF(OR('My Loans'!$N$14="",'My Loans'!$N$14=0),0,IF(B29&lt;0.005,0,MIN(INDIRECT("'My Loans'!$F"&amp;'My Loans'!$N$14),B29+C29)))</f>
        <v>410</v>
      </c>
      <c r="E29" s="13">
        <f ca="1">IF(A29=1,IF(OR('My Loans'!$N$15="",'My Loans'!$N$15=0),0,INDIRECT("'My Loans'!$D"&amp;'My Loans'!$N$15)),AJ28)</f>
        <v>12326.004125212972</v>
      </c>
      <c r="F29" s="13">
        <f ca="1">IF(OR('My Loans'!$N$15="",'My Loans'!$N$15=0),0,E29*INDIRECT("'My Loans'!$E"&amp;'My Loans'!$N$15)/12)</f>
        <v>63.684354646933691</v>
      </c>
      <c r="G29" s="13">
        <f ca="1">IF(OR('My Loans'!$N$15="",'My Loans'!$N$15=0),0,IF(E29&lt;0.005,0,MIN(INDIRECT("'My Loans'!$F"&amp;'My Loans'!$N$15),E29+F29)))</f>
        <v>178</v>
      </c>
      <c r="H29" s="13">
        <f ca="1">IF(A29=1,IF(OR('My Loans'!$N$16="",'My Loans'!$N$16=0),0,INDIRECT("'My Loans'!$D"&amp;'My Loans'!$N$16)),AO28)</f>
        <v>10410.673225741055</v>
      </c>
      <c r="I29" s="13">
        <f ca="1">IF(OR('My Loans'!$N$16="",'My Loans'!$N$16=0),0,H29*INDIRECT("'My Loans'!$E"&amp;'My Loans'!$N$16)/12)</f>
        <v>47.715585617979833</v>
      </c>
      <c r="J29" s="13">
        <f ca="1">IF(OR('My Loans'!$N$16="",'My Loans'!$N$16=0),0,IF(H29&lt;0.005,0,MIN(INDIRECT("'My Loans'!$F"&amp;'My Loans'!$N$16),H29+I29)))</f>
        <v>142</v>
      </c>
      <c r="K29" s="13">
        <f ca="1">IF(A29=1,IF(OR('My Loans'!$N$17="",'My Loans'!$N$17=0),0,INDIRECT("'My Loans'!$D"&amp;'My Loans'!$N$17)),AT28)</f>
        <v>7749.6815868620552</v>
      </c>
      <c r="L29" s="13">
        <f ca="1">IF(OR('My Loans'!$N$17="",'My Loans'!$N$17=0),0,K29*INDIRECT("'My Loans'!$E"&amp;'My Loans'!$N$17)/12)</f>
        <v>31.644533146353393</v>
      </c>
      <c r="M29" s="13">
        <f ca="1">IF(OR('My Loans'!$N$17="",'My Loans'!$N$17=0),0,IF(K29&lt;0.005,0,MIN(INDIRECT("'My Loans'!$F"&amp;'My Loans'!$N$17),K29+L29)))</f>
        <v>112</v>
      </c>
      <c r="N29" s="13">
        <f ca="1">IF(A29=1,IF(OR('My Loans'!$N$18="",'My Loans'!$N$18=0),0,INDIRECT("'My Loans'!$D"&amp;'My Loans'!$N$18)),AY28)</f>
        <v>6377.9776516806187</v>
      </c>
      <c r="O29" s="13">
        <f ca="1">IF(OR('My Loans'!$N$18="",'My Loans'!$N$18=0),0,N29*INDIRECT("'My Loans'!$E"&amp;'My Loans'!$N$18)/12)</f>
        <v>23.917416193802321</v>
      </c>
      <c r="P29" s="13">
        <f ca="1">IF(OR('My Loans'!$N$18="",'My Loans'!$N$18=0),0,IF(N29&lt;0.005,0,MIN(INDIRECT("'My Loans'!$F"&amp;'My Loans'!$N$18),N29+O29)))</f>
        <v>95</v>
      </c>
      <c r="Q29" s="13">
        <f ca="1">IF(A29=1,IF(OR('My Loans'!$N$19="",'My Loans'!$N$19=0),0,INDIRECT("'My Loans'!$D"&amp;'My Loans'!$N$19)),BD28)</f>
        <v>0</v>
      </c>
      <c r="R29" s="13">
        <f ca="1">IF(OR('My Loans'!$N$19="",'My Loans'!$N$19=0),0,Q29*INDIRECT("'My Loans'!$E"&amp;'My Loans'!$N$19)/12)</f>
        <v>0</v>
      </c>
      <c r="S29" s="13">
        <f ca="1">IF(OR('My Loans'!$N$19="",'My Loans'!$N$19=0),0,IF(Q29&lt;0.005,0,MIN(INDIRECT("'My Loans'!$F"&amp;'My Loans'!$N$19),Q29+R29)))</f>
        <v>0</v>
      </c>
      <c r="T29" s="13">
        <f ca="1">IF(A29=1,IF(OR('My Loans'!$N$20="",'My Loans'!$N$20=0),0,INDIRECT("'My Loans'!$D"&amp;'My Loans'!$N$20)),BI28)</f>
        <v>0</v>
      </c>
      <c r="U29" s="13">
        <f ca="1">IF(OR('My Loans'!$N$20="",'My Loans'!$N$20=0),0,T29*INDIRECT("'My Loans'!$E"&amp;'My Loans'!$N$20)/12)</f>
        <v>0</v>
      </c>
      <c r="V29" s="13">
        <f ca="1">IF(OR('My Loans'!$N$20="",'My Loans'!$N$20=0),0,IF(T29&lt;0.005,0,MIN(INDIRECT("'My Loans'!$F"&amp;'My Loans'!$N$20),T29+U29)))</f>
        <v>0</v>
      </c>
      <c r="W29" s="13">
        <f ca="1">IF(A29=1,IF(OR('My Loans'!$N$21="",'My Loans'!$N$21=0),0,INDIRECT("'My Loans'!$D"&amp;'My Loans'!$N$21)),BN28)</f>
        <v>0</v>
      </c>
      <c r="X29" s="13">
        <f ca="1">IF(OR('My Loans'!$N$21="",'My Loans'!$N$21=0),0,W29*INDIRECT("'My Loans'!$E"&amp;'My Loans'!$N$21)/12)</f>
        <v>0</v>
      </c>
      <c r="Y29" s="13">
        <f ca="1">IF(OR('My Loans'!$N$21="",'My Loans'!$N$21=0),0,IF(W29&lt;0.005,0,MIN(INDIRECT("'My Loans'!$F"&amp;'My Loans'!$N$21),W29+X29)))</f>
        <v>0</v>
      </c>
      <c r="Z29" s="13">
        <f ca="1">'My Loans'!$B$13-(D29+G29+J29+M29+P29+S29+V29+Y29)</f>
        <v>463</v>
      </c>
      <c r="AA29" s="13">
        <f t="shared" ca="1" si="0"/>
        <v>463</v>
      </c>
      <c r="AB29" s="13">
        <f t="shared" ca="1" si="1"/>
        <v>7364.6539478089671</v>
      </c>
      <c r="AC29" s="13">
        <f t="shared" ca="1" si="2"/>
        <v>463</v>
      </c>
      <c r="AD29" s="13">
        <f t="shared" ca="1" si="3"/>
        <v>873</v>
      </c>
      <c r="AE29" s="13">
        <f t="shared" ca="1" si="4"/>
        <v>6901.6539478089671</v>
      </c>
      <c r="AF29" s="13">
        <f t="shared" ca="1" si="5"/>
        <v>0</v>
      </c>
      <c r="AG29" s="13">
        <f t="shared" ca="1" si="6"/>
        <v>12211.688479859906</v>
      </c>
      <c r="AH29" s="13">
        <f t="shared" ca="1" si="7"/>
        <v>0</v>
      </c>
      <c r="AI29" s="13">
        <f t="shared" ca="1" si="8"/>
        <v>178</v>
      </c>
      <c r="AJ29" s="13">
        <f t="shared" ca="1" si="9"/>
        <v>12211.688479859906</v>
      </c>
      <c r="AK29" s="13">
        <f t="shared" ca="1" si="10"/>
        <v>0</v>
      </c>
      <c r="AL29" s="13">
        <f t="shared" ca="1" si="11"/>
        <v>10316.388811359035</v>
      </c>
      <c r="AM29" s="13">
        <f t="shared" ca="1" si="12"/>
        <v>0</v>
      </c>
      <c r="AN29" s="13">
        <f t="shared" ca="1" si="13"/>
        <v>142</v>
      </c>
      <c r="AO29" s="13">
        <f t="shared" ca="1" si="14"/>
        <v>10316.388811359035</v>
      </c>
      <c r="AP29" s="13">
        <f t="shared" ca="1" si="15"/>
        <v>0</v>
      </c>
      <c r="AQ29" s="13">
        <f t="shared" ca="1" si="16"/>
        <v>7669.3261200084089</v>
      </c>
      <c r="AR29" s="13">
        <f t="shared" ca="1" si="17"/>
        <v>0</v>
      </c>
      <c r="AS29" s="13">
        <f t="shared" ca="1" si="18"/>
        <v>112</v>
      </c>
      <c r="AT29" s="13">
        <f t="shared" ca="1" si="19"/>
        <v>7669.3261200084089</v>
      </c>
      <c r="AU29" s="13">
        <f t="shared" ca="1" si="20"/>
        <v>0</v>
      </c>
      <c r="AV29" s="13">
        <f t="shared" ca="1" si="21"/>
        <v>6306.8950678744213</v>
      </c>
      <c r="AW29" s="13">
        <f t="shared" ca="1" si="22"/>
        <v>0</v>
      </c>
      <c r="AX29" s="13">
        <f t="shared" ca="1" si="23"/>
        <v>95</v>
      </c>
      <c r="AY29" s="13">
        <f t="shared" ca="1" si="24"/>
        <v>6306.8950678744213</v>
      </c>
      <c r="AZ29" s="13">
        <f t="shared" ca="1" si="25"/>
        <v>0</v>
      </c>
      <c r="BA29" s="13">
        <f t="shared" ca="1" si="26"/>
        <v>0</v>
      </c>
      <c r="BB29" s="13">
        <f t="shared" ca="1" si="27"/>
        <v>0</v>
      </c>
      <c r="BC29" s="13">
        <f t="shared" ca="1" si="28"/>
        <v>0</v>
      </c>
      <c r="BD29" s="13">
        <f t="shared" ca="1" si="29"/>
        <v>0</v>
      </c>
      <c r="BE29" s="13">
        <f t="shared" ca="1" si="30"/>
        <v>0</v>
      </c>
      <c r="BF29" s="13">
        <f t="shared" ca="1" si="31"/>
        <v>0</v>
      </c>
      <c r="BG29" s="13">
        <f t="shared" ca="1" si="32"/>
        <v>0</v>
      </c>
      <c r="BH29" s="13">
        <f t="shared" ca="1" si="33"/>
        <v>0</v>
      </c>
      <c r="BI29" s="13">
        <f t="shared" ca="1" si="34"/>
        <v>0</v>
      </c>
      <c r="BJ29" s="13">
        <f t="shared" ca="1" si="35"/>
        <v>0</v>
      </c>
      <c r="BK29" s="13">
        <f t="shared" ca="1" si="36"/>
        <v>0</v>
      </c>
      <c r="BL29" s="13">
        <f t="shared" ca="1" si="37"/>
        <v>0</v>
      </c>
      <c r="BM29" s="13">
        <f t="shared" ca="1" si="38"/>
        <v>0</v>
      </c>
      <c r="BN29" s="13">
        <f t="shared" ca="1" si="39"/>
        <v>0</v>
      </c>
      <c r="BO29" s="13">
        <f t="shared" ca="1" si="40"/>
        <v>1400</v>
      </c>
      <c r="BP29" s="13">
        <f t="shared" ca="1" si="41"/>
        <v>217.81027621628775</v>
      </c>
      <c r="BQ29" s="13">
        <f t="shared" ca="1" si="42"/>
        <v>43405.952426910742</v>
      </c>
    </row>
    <row r="30" spans="1:69" x14ac:dyDescent="0.25">
      <c r="A30" s="1">
        <v>29</v>
      </c>
      <c r="B30" s="13">
        <f ca="1">IF(A30=1,IF(OR('My Loans'!$N$14="",'My Loans'!$N$14=0),0,INDIRECT("'My Loans'!$D"&amp;'My Loans'!$N$14)),AE29)</f>
        <v>6901.6539478089671</v>
      </c>
      <c r="C30" s="13">
        <f ca="1">IF(OR('My Loans'!$N$14="",'My Loans'!$N$14=0),0,B30*INDIRECT("'My Loans'!$E"&amp;'My Loans'!$N$14)/12)</f>
        <v>45.435888489742361</v>
      </c>
      <c r="D30" s="13">
        <f ca="1">IF(OR('My Loans'!$N$14="",'My Loans'!$N$14=0),0,IF(B30&lt;0.005,0,MIN(INDIRECT("'My Loans'!$F"&amp;'My Loans'!$N$14),B30+C30)))</f>
        <v>410</v>
      </c>
      <c r="E30" s="13">
        <f ca="1">IF(A30=1,IF(OR('My Loans'!$N$15="",'My Loans'!$N$15=0),0,INDIRECT("'My Loans'!$D"&amp;'My Loans'!$N$15)),AJ29)</f>
        <v>12211.688479859906</v>
      </c>
      <c r="F30" s="13">
        <f ca="1">IF(OR('My Loans'!$N$15="",'My Loans'!$N$15=0),0,E30*INDIRECT("'My Loans'!$E"&amp;'My Loans'!$N$15)/12)</f>
        <v>63.093723812609511</v>
      </c>
      <c r="G30" s="13">
        <f ca="1">IF(OR('My Loans'!$N$15="",'My Loans'!$N$15=0),0,IF(E30&lt;0.005,0,MIN(INDIRECT("'My Loans'!$F"&amp;'My Loans'!$N$15),E30+F30)))</f>
        <v>178</v>
      </c>
      <c r="H30" s="13">
        <f ca="1">IF(A30=1,IF(OR('My Loans'!$N$16="",'My Loans'!$N$16=0),0,INDIRECT("'My Loans'!$D"&amp;'My Loans'!$N$16)),AO29)</f>
        <v>10316.388811359035</v>
      </c>
      <c r="I30" s="13">
        <f ca="1">IF(OR('My Loans'!$N$16="",'My Loans'!$N$16=0),0,H30*INDIRECT("'My Loans'!$E"&amp;'My Loans'!$N$16)/12)</f>
        <v>47.283448718728913</v>
      </c>
      <c r="J30" s="13">
        <f ca="1">IF(OR('My Loans'!$N$16="",'My Loans'!$N$16=0),0,IF(H30&lt;0.005,0,MIN(INDIRECT("'My Loans'!$F"&amp;'My Loans'!$N$16),H30+I30)))</f>
        <v>142</v>
      </c>
      <c r="K30" s="13">
        <f ca="1">IF(A30=1,IF(OR('My Loans'!$N$17="",'My Loans'!$N$17=0),0,INDIRECT("'My Loans'!$D"&amp;'My Loans'!$N$17)),AT29)</f>
        <v>7669.3261200084089</v>
      </c>
      <c r="L30" s="13">
        <f ca="1">IF(OR('My Loans'!$N$17="",'My Loans'!$N$17=0),0,K30*INDIRECT("'My Loans'!$E"&amp;'My Loans'!$N$17)/12)</f>
        <v>31.316414990034335</v>
      </c>
      <c r="M30" s="13">
        <f ca="1">IF(OR('My Loans'!$N$17="",'My Loans'!$N$17=0),0,IF(K30&lt;0.005,0,MIN(INDIRECT("'My Loans'!$F"&amp;'My Loans'!$N$17),K30+L30)))</f>
        <v>112</v>
      </c>
      <c r="N30" s="13">
        <f ca="1">IF(A30=1,IF(OR('My Loans'!$N$18="",'My Loans'!$N$18=0),0,INDIRECT("'My Loans'!$D"&amp;'My Loans'!$N$18)),AY29)</f>
        <v>6306.8950678744213</v>
      </c>
      <c r="O30" s="13">
        <f ca="1">IF(OR('My Loans'!$N$18="",'My Loans'!$N$18=0),0,N30*INDIRECT("'My Loans'!$E"&amp;'My Loans'!$N$18)/12)</f>
        <v>23.650856504529077</v>
      </c>
      <c r="P30" s="13">
        <f ca="1">IF(OR('My Loans'!$N$18="",'My Loans'!$N$18=0),0,IF(N30&lt;0.005,0,MIN(INDIRECT("'My Loans'!$F"&amp;'My Loans'!$N$18),N30+O30)))</f>
        <v>95</v>
      </c>
      <c r="Q30" s="13">
        <f ca="1">IF(A30=1,IF(OR('My Loans'!$N$19="",'My Loans'!$N$19=0),0,INDIRECT("'My Loans'!$D"&amp;'My Loans'!$N$19)),BD29)</f>
        <v>0</v>
      </c>
      <c r="R30" s="13">
        <f ca="1">IF(OR('My Loans'!$N$19="",'My Loans'!$N$19=0),0,Q30*INDIRECT("'My Loans'!$E"&amp;'My Loans'!$N$19)/12)</f>
        <v>0</v>
      </c>
      <c r="S30" s="13">
        <f ca="1">IF(OR('My Loans'!$N$19="",'My Loans'!$N$19=0),0,IF(Q30&lt;0.005,0,MIN(INDIRECT("'My Loans'!$F"&amp;'My Loans'!$N$19),Q30+R30)))</f>
        <v>0</v>
      </c>
      <c r="T30" s="13">
        <f ca="1">IF(A30=1,IF(OR('My Loans'!$N$20="",'My Loans'!$N$20=0),0,INDIRECT("'My Loans'!$D"&amp;'My Loans'!$N$20)),BI29)</f>
        <v>0</v>
      </c>
      <c r="U30" s="13">
        <f ca="1">IF(OR('My Loans'!$N$20="",'My Loans'!$N$20=0),0,T30*INDIRECT("'My Loans'!$E"&amp;'My Loans'!$N$20)/12)</f>
        <v>0</v>
      </c>
      <c r="V30" s="13">
        <f ca="1">IF(OR('My Loans'!$N$20="",'My Loans'!$N$20=0),0,IF(T30&lt;0.005,0,MIN(INDIRECT("'My Loans'!$F"&amp;'My Loans'!$N$20),T30+U30)))</f>
        <v>0</v>
      </c>
      <c r="W30" s="13">
        <f ca="1">IF(A30=1,IF(OR('My Loans'!$N$21="",'My Loans'!$N$21=0),0,INDIRECT("'My Loans'!$D"&amp;'My Loans'!$N$21)),BN29)</f>
        <v>0</v>
      </c>
      <c r="X30" s="13">
        <f ca="1">IF(OR('My Loans'!$N$21="",'My Loans'!$N$21=0),0,W30*INDIRECT("'My Loans'!$E"&amp;'My Loans'!$N$21)/12)</f>
        <v>0</v>
      </c>
      <c r="Y30" s="13">
        <f ca="1">IF(OR('My Loans'!$N$21="",'My Loans'!$N$21=0),0,IF(W30&lt;0.005,0,MIN(INDIRECT("'My Loans'!$F"&amp;'My Loans'!$N$21),W30+X30)))</f>
        <v>0</v>
      </c>
      <c r="Z30" s="13">
        <f ca="1">'My Loans'!$B$13-(D30+G30+J30+M30+P30+S30+V30+Y30)</f>
        <v>463</v>
      </c>
      <c r="AA30" s="13">
        <f t="shared" ca="1" si="0"/>
        <v>463</v>
      </c>
      <c r="AB30" s="13">
        <f t="shared" ca="1" si="1"/>
        <v>6537.0898362987091</v>
      </c>
      <c r="AC30" s="13">
        <f t="shared" ca="1" si="2"/>
        <v>463</v>
      </c>
      <c r="AD30" s="13">
        <f t="shared" ca="1" si="3"/>
        <v>873</v>
      </c>
      <c r="AE30" s="13">
        <f t="shared" ca="1" si="4"/>
        <v>6074.0898362987091</v>
      </c>
      <c r="AF30" s="13">
        <f t="shared" ca="1" si="5"/>
        <v>0</v>
      </c>
      <c r="AG30" s="13">
        <f t="shared" ca="1" si="6"/>
        <v>12096.782203672516</v>
      </c>
      <c r="AH30" s="13">
        <f t="shared" ca="1" si="7"/>
        <v>0</v>
      </c>
      <c r="AI30" s="13">
        <f t="shared" ca="1" si="8"/>
        <v>178</v>
      </c>
      <c r="AJ30" s="13">
        <f t="shared" ca="1" si="9"/>
        <v>12096.782203672516</v>
      </c>
      <c r="AK30" s="13">
        <f t="shared" ca="1" si="10"/>
        <v>0</v>
      </c>
      <c r="AL30" s="13">
        <f t="shared" ca="1" si="11"/>
        <v>10221.672260077763</v>
      </c>
      <c r="AM30" s="13">
        <f t="shared" ca="1" si="12"/>
        <v>0</v>
      </c>
      <c r="AN30" s="13">
        <f t="shared" ca="1" si="13"/>
        <v>142</v>
      </c>
      <c r="AO30" s="13">
        <f t="shared" ca="1" si="14"/>
        <v>10221.672260077763</v>
      </c>
      <c r="AP30" s="13">
        <f t="shared" ca="1" si="15"/>
        <v>0</v>
      </c>
      <c r="AQ30" s="13">
        <f t="shared" ca="1" si="16"/>
        <v>7588.6425349984429</v>
      </c>
      <c r="AR30" s="13">
        <f t="shared" ca="1" si="17"/>
        <v>0</v>
      </c>
      <c r="AS30" s="13">
        <f t="shared" ca="1" si="18"/>
        <v>112</v>
      </c>
      <c r="AT30" s="13">
        <f t="shared" ca="1" si="19"/>
        <v>7588.6425349984429</v>
      </c>
      <c r="AU30" s="13">
        <f t="shared" ca="1" si="20"/>
        <v>0</v>
      </c>
      <c r="AV30" s="13">
        <f t="shared" ca="1" si="21"/>
        <v>6235.5459243789501</v>
      </c>
      <c r="AW30" s="13">
        <f t="shared" ca="1" si="22"/>
        <v>0</v>
      </c>
      <c r="AX30" s="13">
        <f t="shared" ca="1" si="23"/>
        <v>95</v>
      </c>
      <c r="AY30" s="13">
        <f t="shared" ca="1" si="24"/>
        <v>6235.5459243789501</v>
      </c>
      <c r="AZ30" s="13">
        <f t="shared" ca="1" si="25"/>
        <v>0</v>
      </c>
      <c r="BA30" s="13">
        <f t="shared" ca="1" si="26"/>
        <v>0</v>
      </c>
      <c r="BB30" s="13">
        <f t="shared" ca="1" si="27"/>
        <v>0</v>
      </c>
      <c r="BC30" s="13">
        <f t="shared" ca="1" si="28"/>
        <v>0</v>
      </c>
      <c r="BD30" s="13">
        <f t="shared" ca="1" si="29"/>
        <v>0</v>
      </c>
      <c r="BE30" s="13">
        <f t="shared" ca="1" si="30"/>
        <v>0</v>
      </c>
      <c r="BF30" s="13">
        <f t="shared" ca="1" si="31"/>
        <v>0</v>
      </c>
      <c r="BG30" s="13">
        <f t="shared" ca="1" si="32"/>
        <v>0</v>
      </c>
      <c r="BH30" s="13">
        <f t="shared" ca="1" si="33"/>
        <v>0</v>
      </c>
      <c r="BI30" s="13">
        <f t="shared" ca="1" si="34"/>
        <v>0</v>
      </c>
      <c r="BJ30" s="13">
        <f t="shared" ca="1" si="35"/>
        <v>0</v>
      </c>
      <c r="BK30" s="13">
        <f t="shared" ca="1" si="36"/>
        <v>0</v>
      </c>
      <c r="BL30" s="13">
        <f t="shared" ca="1" si="37"/>
        <v>0</v>
      </c>
      <c r="BM30" s="13">
        <f t="shared" ca="1" si="38"/>
        <v>0</v>
      </c>
      <c r="BN30" s="13">
        <f t="shared" ca="1" si="39"/>
        <v>0</v>
      </c>
      <c r="BO30" s="13">
        <f t="shared" ca="1" si="40"/>
        <v>1400</v>
      </c>
      <c r="BP30" s="13">
        <f t="shared" ca="1" si="41"/>
        <v>210.7803325156442</v>
      </c>
      <c r="BQ30" s="13">
        <f t="shared" ca="1" si="42"/>
        <v>42216.732759426384</v>
      </c>
    </row>
    <row r="31" spans="1:69" x14ac:dyDescent="0.25">
      <c r="A31" s="1">
        <v>30</v>
      </c>
      <c r="B31" s="13">
        <f ca="1">IF(A31=1,IF(OR('My Loans'!$N$14="",'My Loans'!$N$14=0),0,INDIRECT("'My Loans'!$D"&amp;'My Loans'!$N$14)),AE30)</f>
        <v>6074.0898362987091</v>
      </c>
      <c r="C31" s="13">
        <f ca="1">IF(OR('My Loans'!$N$14="",'My Loans'!$N$14=0),0,B31*INDIRECT("'My Loans'!$E"&amp;'My Loans'!$N$14)/12)</f>
        <v>39.987758088966501</v>
      </c>
      <c r="D31" s="13">
        <f ca="1">IF(OR('My Loans'!$N$14="",'My Loans'!$N$14=0),0,IF(B31&lt;0.005,0,MIN(INDIRECT("'My Loans'!$F"&amp;'My Loans'!$N$14),B31+C31)))</f>
        <v>410</v>
      </c>
      <c r="E31" s="13">
        <f ca="1">IF(A31=1,IF(OR('My Loans'!$N$15="",'My Loans'!$N$15=0),0,INDIRECT("'My Loans'!$D"&amp;'My Loans'!$N$15)),AJ30)</f>
        <v>12096.782203672516</v>
      </c>
      <c r="F31" s="13">
        <f ca="1">IF(OR('My Loans'!$N$15="",'My Loans'!$N$15=0),0,E31*INDIRECT("'My Loans'!$E"&amp;'My Loans'!$N$15)/12)</f>
        <v>62.500041385641332</v>
      </c>
      <c r="G31" s="13">
        <f ca="1">IF(OR('My Loans'!$N$15="",'My Loans'!$N$15=0),0,IF(E31&lt;0.005,0,MIN(INDIRECT("'My Loans'!$F"&amp;'My Loans'!$N$15),E31+F31)))</f>
        <v>178</v>
      </c>
      <c r="H31" s="13">
        <f ca="1">IF(A31=1,IF(OR('My Loans'!$N$16="",'My Loans'!$N$16=0),0,INDIRECT("'My Loans'!$D"&amp;'My Loans'!$N$16)),AO30)</f>
        <v>10221.672260077763</v>
      </c>
      <c r="I31" s="13">
        <f ca="1">IF(OR('My Loans'!$N$16="",'My Loans'!$N$16=0),0,H31*INDIRECT("'My Loans'!$E"&amp;'My Loans'!$N$16)/12)</f>
        <v>46.849331192023079</v>
      </c>
      <c r="J31" s="13">
        <f ca="1">IF(OR('My Loans'!$N$16="",'My Loans'!$N$16=0),0,IF(H31&lt;0.005,0,MIN(INDIRECT("'My Loans'!$F"&amp;'My Loans'!$N$16),H31+I31)))</f>
        <v>142</v>
      </c>
      <c r="K31" s="13">
        <f ca="1">IF(A31=1,IF(OR('My Loans'!$N$17="",'My Loans'!$N$17=0),0,INDIRECT("'My Loans'!$D"&amp;'My Loans'!$N$17)),AT30)</f>
        <v>7588.6425349984429</v>
      </c>
      <c r="L31" s="13">
        <f ca="1">IF(OR('My Loans'!$N$17="",'My Loans'!$N$17=0),0,K31*INDIRECT("'My Loans'!$E"&amp;'My Loans'!$N$17)/12)</f>
        <v>30.98695701791031</v>
      </c>
      <c r="M31" s="13">
        <f ca="1">IF(OR('My Loans'!$N$17="",'My Loans'!$N$17=0),0,IF(K31&lt;0.005,0,MIN(INDIRECT("'My Loans'!$F"&amp;'My Loans'!$N$17),K31+L31)))</f>
        <v>112</v>
      </c>
      <c r="N31" s="13">
        <f ca="1">IF(A31=1,IF(OR('My Loans'!$N$18="",'My Loans'!$N$18=0),0,INDIRECT("'My Loans'!$D"&amp;'My Loans'!$N$18)),AY30)</f>
        <v>6235.5459243789501</v>
      </c>
      <c r="O31" s="13">
        <f ca="1">IF(OR('My Loans'!$N$18="",'My Loans'!$N$18=0),0,N31*INDIRECT("'My Loans'!$E"&amp;'My Loans'!$N$18)/12)</f>
        <v>23.38329721642106</v>
      </c>
      <c r="P31" s="13">
        <f ca="1">IF(OR('My Loans'!$N$18="",'My Loans'!$N$18=0),0,IF(N31&lt;0.005,0,MIN(INDIRECT("'My Loans'!$F"&amp;'My Loans'!$N$18),N31+O31)))</f>
        <v>95</v>
      </c>
      <c r="Q31" s="13">
        <f ca="1">IF(A31=1,IF(OR('My Loans'!$N$19="",'My Loans'!$N$19=0),0,INDIRECT("'My Loans'!$D"&amp;'My Loans'!$N$19)),BD30)</f>
        <v>0</v>
      </c>
      <c r="R31" s="13">
        <f ca="1">IF(OR('My Loans'!$N$19="",'My Loans'!$N$19=0),0,Q31*INDIRECT("'My Loans'!$E"&amp;'My Loans'!$N$19)/12)</f>
        <v>0</v>
      </c>
      <c r="S31" s="13">
        <f ca="1">IF(OR('My Loans'!$N$19="",'My Loans'!$N$19=0),0,IF(Q31&lt;0.005,0,MIN(INDIRECT("'My Loans'!$F"&amp;'My Loans'!$N$19),Q31+R31)))</f>
        <v>0</v>
      </c>
      <c r="T31" s="13">
        <f ca="1">IF(A31=1,IF(OR('My Loans'!$N$20="",'My Loans'!$N$20=0),0,INDIRECT("'My Loans'!$D"&amp;'My Loans'!$N$20)),BI30)</f>
        <v>0</v>
      </c>
      <c r="U31" s="13">
        <f ca="1">IF(OR('My Loans'!$N$20="",'My Loans'!$N$20=0),0,T31*INDIRECT("'My Loans'!$E"&amp;'My Loans'!$N$20)/12)</f>
        <v>0</v>
      </c>
      <c r="V31" s="13">
        <f ca="1">IF(OR('My Loans'!$N$20="",'My Loans'!$N$20=0),0,IF(T31&lt;0.005,0,MIN(INDIRECT("'My Loans'!$F"&amp;'My Loans'!$N$20),T31+U31)))</f>
        <v>0</v>
      </c>
      <c r="W31" s="13">
        <f ca="1">IF(A31=1,IF(OR('My Loans'!$N$21="",'My Loans'!$N$21=0),0,INDIRECT("'My Loans'!$D"&amp;'My Loans'!$N$21)),BN30)</f>
        <v>0</v>
      </c>
      <c r="X31" s="13">
        <f ca="1">IF(OR('My Loans'!$N$21="",'My Loans'!$N$21=0),0,W31*INDIRECT("'My Loans'!$E"&amp;'My Loans'!$N$21)/12)</f>
        <v>0</v>
      </c>
      <c r="Y31" s="13">
        <f ca="1">IF(OR('My Loans'!$N$21="",'My Loans'!$N$21=0),0,IF(W31&lt;0.005,0,MIN(INDIRECT("'My Loans'!$F"&amp;'My Loans'!$N$21),W31+X31)))</f>
        <v>0</v>
      </c>
      <c r="Z31" s="13">
        <f ca="1">'My Loans'!$B$13-(D31+G31+J31+M31+P31+S31+V31+Y31)</f>
        <v>463</v>
      </c>
      <c r="AA31" s="13">
        <f t="shared" ca="1" si="0"/>
        <v>463</v>
      </c>
      <c r="AB31" s="13">
        <f t="shared" ca="1" si="1"/>
        <v>5704.0775943876752</v>
      </c>
      <c r="AC31" s="13">
        <f t="shared" ca="1" si="2"/>
        <v>463</v>
      </c>
      <c r="AD31" s="13">
        <f t="shared" ca="1" si="3"/>
        <v>873</v>
      </c>
      <c r="AE31" s="13">
        <f t="shared" ca="1" si="4"/>
        <v>5241.0775943876752</v>
      </c>
      <c r="AF31" s="13">
        <f t="shared" ca="1" si="5"/>
        <v>0</v>
      </c>
      <c r="AG31" s="13">
        <f t="shared" ca="1" si="6"/>
        <v>11981.282245058157</v>
      </c>
      <c r="AH31" s="13">
        <f t="shared" ca="1" si="7"/>
        <v>0</v>
      </c>
      <c r="AI31" s="13">
        <f t="shared" ca="1" si="8"/>
        <v>178</v>
      </c>
      <c r="AJ31" s="13">
        <f t="shared" ca="1" si="9"/>
        <v>11981.282245058157</v>
      </c>
      <c r="AK31" s="13">
        <f t="shared" ca="1" si="10"/>
        <v>0</v>
      </c>
      <c r="AL31" s="13">
        <f t="shared" ca="1" si="11"/>
        <v>10126.521591269786</v>
      </c>
      <c r="AM31" s="13">
        <f t="shared" ca="1" si="12"/>
        <v>0</v>
      </c>
      <c r="AN31" s="13">
        <f t="shared" ca="1" si="13"/>
        <v>142</v>
      </c>
      <c r="AO31" s="13">
        <f t="shared" ca="1" si="14"/>
        <v>10126.521591269786</v>
      </c>
      <c r="AP31" s="13">
        <f t="shared" ca="1" si="15"/>
        <v>0</v>
      </c>
      <c r="AQ31" s="13">
        <f t="shared" ca="1" si="16"/>
        <v>7507.6294920163537</v>
      </c>
      <c r="AR31" s="13">
        <f t="shared" ca="1" si="17"/>
        <v>0</v>
      </c>
      <c r="AS31" s="13">
        <f t="shared" ca="1" si="18"/>
        <v>112</v>
      </c>
      <c r="AT31" s="13">
        <f t="shared" ca="1" si="19"/>
        <v>7507.6294920163537</v>
      </c>
      <c r="AU31" s="13">
        <f t="shared" ca="1" si="20"/>
        <v>0</v>
      </c>
      <c r="AV31" s="13">
        <f t="shared" ca="1" si="21"/>
        <v>6163.929221595371</v>
      </c>
      <c r="AW31" s="13">
        <f t="shared" ca="1" si="22"/>
        <v>0</v>
      </c>
      <c r="AX31" s="13">
        <f t="shared" ca="1" si="23"/>
        <v>95</v>
      </c>
      <c r="AY31" s="13">
        <f t="shared" ca="1" si="24"/>
        <v>6163.929221595371</v>
      </c>
      <c r="AZ31" s="13">
        <f t="shared" ca="1" si="25"/>
        <v>0</v>
      </c>
      <c r="BA31" s="13">
        <f t="shared" ca="1" si="26"/>
        <v>0</v>
      </c>
      <c r="BB31" s="13">
        <f t="shared" ca="1" si="27"/>
        <v>0</v>
      </c>
      <c r="BC31" s="13">
        <f t="shared" ca="1" si="28"/>
        <v>0</v>
      </c>
      <c r="BD31" s="13">
        <f t="shared" ca="1" si="29"/>
        <v>0</v>
      </c>
      <c r="BE31" s="13">
        <f t="shared" ca="1" si="30"/>
        <v>0</v>
      </c>
      <c r="BF31" s="13">
        <f t="shared" ca="1" si="31"/>
        <v>0</v>
      </c>
      <c r="BG31" s="13">
        <f t="shared" ca="1" si="32"/>
        <v>0</v>
      </c>
      <c r="BH31" s="13">
        <f t="shared" ca="1" si="33"/>
        <v>0</v>
      </c>
      <c r="BI31" s="13">
        <f t="shared" ca="1" si="34"/>
        <v>0</v>
      </c>
      <c r="BJ31" s="13">
        <f t="shared" ca="1" si="35"/>
        <v>0</v>
      </c>
      <c r="BK31" s="13">
        <f t="shared" ca="1" si="36"/>
        <v>0</v>
      </c>
      <c r="BL31" s="13">
        <f t="shared" ca="1" si="37"/>
        <v>0</v>
      </c>
      <c r="BM31" s="13">
        <f t="shared" ca="1" si="38"/>
        <v>0</v>
      </c>
      <c r="BN31" s="13">
        <f t="shared" ca="1" si="39"/>
        <v>0</v>
      </c>
      <c r="BO31" s="13">
        <f t="shared" ca="1" si="40"/>
        <v>1400</v>
      </c>
      <c r="BP31" s="13">
        <f t="shared" ca="1" si="41"/>
        <v>203.70738490096227</v>
      </c>
      <c r="BQ31" s="13">
        <f t="shared" ca="1" si="42"/>
        <v>41020.440144327338</v>
      </c>
    </row>
    <row r="32" spans="1:69" x14ac:dyDescent="0.25">
      <c r="A32" s="1">
        <v>31</v>
      </c>
      <c r="B32" s="13">
        <f ca="1">IF(A32=1,IF(OR('My Loans'!$N$14="",'My Loans'!$N$14=0),0,INDIRECT("'My Loans'!$D"&amp;'My Loans'!$N$14)),AE31)</f>
        <v>5241.0775943876752</v>
      </c>
      <c r="C32" s="13">
        <f ca="1">IF(OR('My Loans'!$N$14="",'My Loans'!$N$14=0),0,B32*INDIRECT("'My Loans'!$E"&amp;'My Loans'!$N$14)/12)</f>
        <v>34.503760829718864</v>
      </c>
      <c r="D32" s="13">
        <f ca="1">IF(OR('My Loans'!$N$14="",'My Loans'!$N$14=0),0,IF(B32&lt;0.005,0,MIN(INDIRECT("'My Loans'!$F"&amp;'My Loans'!$N$14),B32+C32)))</f>
        <v>410</v>
      </c>
      <c r="E32" s="13">
        <f ca="1">IF(A32=1,IF(OR('My Loans'!$N$15="",'My Loans'!$N$15=0),0,INDIRECT("'My Loans'!$D"&amp;'My Loans'!$N$15)),AJ31)</f>
        <v>11981.282245058157</v>
      </c>
      <c r="F32" s="13">
        <f ca="1">IF(OR('My Loans'!$N$15="",'My Loans'!$N$15=0),0,E32*INDIRECT("'My Loans'!$E"&amp;'My Loans'!$N$15)/12)</f>
        <v>61.903291599467146</v>
      </c>
      <c r="G32" s="13">
        <f ca="1">IF(OR('My Loans'!$N$15="",'My Loans'!$N$15=0),0,IF(E32&lt;0.005,0,MIN(INDIRECT("'My Loans'!$F"&amp;'My Loans'!$N$15),E32+F32)))</f>
        <v>178</v>
      </c>
      <c r="H32" s="13">
        <f ca="1">IF(A32=1,IF(OR('My Loans'!$N$16="",'My Loans'!$N$16=0),0,INDIRECT("'My Loans'!$D"&amp;'My Loans'!$N$16)),AO31)</f>
        <v>10126.521591269786</v>
      </c>
      <c r="I32" s="13">
        <f ca="1">IF(OR('My Loans'!$N$16="",'My Loans'!$N$16=0),0,H32*INDIRECT("'My Loans'!$E"&amp;'My Loans'!$N$16)/12)</f>
        <v>46.413223959986517</v>
      </c>
      <c r="J32" s="13">
        <f ca="1">IF(OR('My Loans'!$N$16="",'My Loans'!$N$16=0),0,IF(H32&lt;0.005,0,MIN(INDIRECT("'My Loans'!$F"&amp;'My Loans'!$N$16),H32+I32)))</f>
        <v>142</v>
      </c>
      <c r="K32" s="13">
        <f ca="1">IF(A32=1,IF(OR('My Loans'!$N$17="",'My Loans'!$N$17=0),0,INDIRECT("'My Loans'!$D"&amp;'My Loans'!$N$17)),AT31)</f>
        <v>7507.6294920163537</v>
      </c>
      <c r="L32" s="13">
        <f ca="1">IF(OR('My Loans'!$N$17="",'My Loans'!$N$17=0),0,K32*INDIRECT("'My Loans'!$E"&amp;'My Loans'!$N$17)/12)</f>
        <v>30.656153759066779</v>
      </c>
      <c r="M32" s="13">
        <f ca="1">IF(OR('My Loans'!$N$17="",'My Loans'!$N$17=0),0,IF(K32&lt;0.005,0,MIN(INDIRECT("'My Loans'!$F"&amp;'My Loans'!$N$17),K32+L32)))</f>
        <v>112</v>
      </c>
      <c r="N32" s="13">
        <f ca="1">IF(A32=1,IF(OR('My Loans'!$N$18="",'My Loans'!$N$18=0),0,INDIRECT("'My Loans'!$D"&amp;'My Loans'!$N$18)),AY31)</f>
        <v>6163.929221595371</v>
      </c>
      <c r="O32" s="13">
        <f ca="1">IF(OR('My Loans'!$N$18="",'My Loans'!$N$18=0),0,N32*INDIRECT("'My Loans'!$E"&amp;'My Loans'!$N$18)/12)</f>
        <v>23.114734580982642</v>
      </c>
      <c r="P32" s="13">
        <f ca="1">IF(OR('My Loans'!$N$18="",'My Loans'!$N$18=0),0,IF(N32&lt;0.005,0,MIN(INDIRECT("'My Loans'!$F"&amp;'My Loans'!$N$18),N32+O32)))</f>
        <v>95</v>
      </c>
      <c r="Q32" s="13">
        <f ca="1">IF(A32=1,IF(OR('My Loans'!$N$19="",'My Loans'!$N$19=0),0,INDIRECT("'My Loans'!$D"&amp;'My Loans'!$N$19)),BD31)</f>
        <v>0</v>
      </c>
      <c r="R32" s="13">
        <f ca="1">IF(OR('My Loans'!$N$19="",'My Loans'!$N$19=0),0,Q32*INDIRECT("'My Loans'!$E"&amp;'My Loans'!$N$19)/12)</f>
        <v>0</v>
      </c>
      <c r="S32" s="13">
        <f ca="1">IF(OR('My Loans'!$N$19="",'My Loans'!$N$19=0),0,IF(Q32&lt;0.005,0,MIN(INDIRECT("'My Loans'!$F"&amp;'My Loans'!$N$19),Q32+R32)))</f>
        <v>0</v>
      </c>
      <c r="T32" s="13">
        <f ca="1">IF(A32=1,IF(OR('My Loans'!$N$20="",'My Loans'!$N$20=0),0,INDIRECT("'My Loans'!$D"&amp;'My Loans'!$N$20)),BI31)</f>
        <v>0</v>
      </c>
      <c r="U32" s="13">
        <f ca="1">IF(OR('My Loans'!$N$20="",'My Loans'!$N$20=0),0,T32*INDIRECT("'My Loans'!$E"&amp;'My Loans'!$N$20)/12)</f>
        <v>0</v>
      </c>
      <c r="V32" s="13">
        <f ca="1">IF(OR('My Loans'!$N$20="",'My Loans'!$N$20=0),0,IF(T32&lt;0.005,0,MIN(INDIRECT("'My Loans'!$F"&amp;'My Loans'!$N$20),T32+U32)))</f>
        <v>0</v>
      </c>
      <c r="W32" s="13">
        <f ca="1">IF(A32=1,IF(OR('My Loans'!$N$21="",'My Loans'!$N$21=0),0,INDIRECT("'My Loans'!$D"&amp;'My Loans'!$N$21)),BN31)</f>
        <v>0</v>
      </c>
      <c r="X32" s="13">
        <f ca="1">IF(OR('My Loans'!$N$21="",'My Loans'!$N$21=0),0,W32*INDIRECT("'My Loans'!$E"&amp;'My Loans'!$N$21)/12)</f>
        <v>0</v>
      </c>
      <c r="Y32" s="13">
        <f ca="1">IF(OR('My Loans'!$N$21="",'My Loans'!$N$21=0),0,IF(W32&lt;0.005,0,MIN(INDIRECT("'My Loans'!$F"&amp;'My Loans'!$N$21),W32+X32)))</f>
        <v>0</v>
      </c>
      <c r="Z32" s="13">
        <f ca="1">'My Loans'!$B$13-(D32+G32+J32+M32+P32+S32+V32+Y32)</f>
        <v>463</v>
      </c>
      <c r="AA32" s="13">
        <f t="shared" ca="1" si="0"/>
        <v>463</v>
      </c>
      <c r="AB32" s="13">
        <f t="shared" ca="1" si="1"/>
        <v>4865.581355217394</v>
      </c>
      <c r="AC32" s="13">
        <f t="shared" ca="1" si="2"/>
        <v>463</v>
      </c>
      <c r="AD32" s="13">
        <f t="shared" ca="1" si="3"/>
        <v>873</v>
      </c>
      <c r="AE32" s="13">
        <f t="shared" ca="1" si="4"/>
        <v>4402.581355217394</v>
      </c>
      <c r="AF32" s="13">
        <f t="shared" ca="1" si="5"/>
        <v>0</v>
      </c>
      <c r="AG32" s="13">
        <f t="shared" ca="1" si="6"/>
        <v>11865.185536657624</v>
      </c>
      <c r="AH32" s="13">
        <f t="shared" ca="1" si="7"/>
        <v>0</v>
      </c>
      <c r="AI32" s="13">
        <f t="shared" ca="1" si="8"/>
        <v>178</v>
      </c>
      <c r="AJ32" s="13">
        <f t="shared" ca="1" si="9"/>
        <v>11865.185536657624</v>
      </c>
      <c r="AK32" s="13">
        <f t="shared" ca="1" si="10"/>
        <v>0</v>
      </c>
      <c r="AL32" s="13">
        <f t="shared" ca="1" si="11"/>
        <v>10030.934815229772</v>
      </c>
      <c r="AM32" s="13">
        <f t="shared" ca="1" si="12"/>
        <v>0</v>
      </c>
      <c r="AN32" s="13">
        <f t="shared" ca="1" si="13"/>
        <v>142</v>
      </c>
      <c r="AO32" s="13">
        <f t="shared" ca="1" si="14"/>
        <v>10030.934815229772</v>
      </c>
      <c r="AP32" s="13">
        <f t="shared" ca="1" si="15"/>
        <v>0</v>
      </c>
      <c r="AQ32" s="13">
        <f t="shared" ca="1" si="16"/>
        <v>7426.2856457754206</v>
      </c>
      <c r="AR32" s="13">
        <f t="shared" ca="1" si="17"/>
        <v>0</v>
      </c>
      <c r="AS32" s="13">
        <f t="shared" ca="1" si="18"/>
        <v>112</v>
      </c>
      <c r="AT32" s="13">
        <f t="shared" ca="1" si="19"/>
        <v>7426.2856457754206</v>
      </c>
      <c r="AU32" s="13">
        <f t="shared" ca="1" si="20"/>
        <v>0</v>
      </c>
      <c r="AV32" s="13">
        <f t="shared" ca="1" si="21"/>
        <v>6092.0439561763533</v>
      </c>
      <c r="AW32" s="13">
        <f t="shared" ca="1" si="22"/>
        <v>0</v>
      </c>
      <c r="AX32" s="13">
        <f t="shared" ca="1" si="23"/>
        <v>95</v>
      </c>
      <c r="AY32" s="13">
        <f t="shared" ca="1" si="24"/>
        <v>6092.0439561763533</v>
      </c>
      <c r="AZ32" s="13">
        <f t="shared" ca="1" si="25"/>
        <v>0</v>
      </c>
      <c r="BA32" s="13">
        <f t="shared" ca="1" si="26"/>
        <v>0</v>
      </c>
      <c r="BB32" s="13">
        <f t="shared" ca="1" si="27"/>
        <v>0</v>
      </c>
      <c r="BC32" s="13">
        <f t="shared" ca="1" si="28"/>
        <v>0</v>
      </c>
      <c r="BD32" s="13">
        <f t="shared" ca="1" si="29"/>
        <v>0</v>
      </c>
      <c r="BE32" s="13">
        <f t="shared" ca="1" si="30"/>
        <v>0</v>
      </c>
      <c r="BF32" s="13">
        <f t="shared" ca="1" si="31"/>
        <v>0</v>
      </c>
      <c r="BG32" s="13">
        <f t="shared" ca="1" si="32"/>
        <v>0</v>
      </c>
      <c r="BH32" s="13">
        <f t="shared" ca="1" si="33"/>
        <v>0</v>
      </c>
      <c r="BI32" s="13">
        <f t="shared" ca="1" si="34"/>
        <v>0</v>
      </c>
      <c r="BJ32" s="13">
        <f t="shared" ca="1" si="35"/>
        <v>0</v>
      </c>
      <c r="BK32" s="13">
        <f t="shared" ca="1" si="36"/>
        <v>0</v>
      </c>
      <c r="BL32" s="13">
        <f t="shared" ca="1" si="37"/>
        <v>0</v>
      </c>
      <c r="BM32" s="13">
        <f t="shared" ca="1" si="38"/>
        <v>0</v>
      </c>
      <c r="BN32" s="13">
        <f t="shared" ca="1" si="39"/>
        <v>0</v>
      </c>
      <c r="BO32" s="13">
        <f t="shared" ca="1" si="40"/>
        <v>1400</v>
      </c>
      <c r="BP32" s="13">
        <f t="shared" ca="1" si="41"/>
        <v>196.59116472922193</v>
      </c>
      <c r="BQ32" s="13">
        <f t="shared" ca="1" si="42"/>
        <v>39817.031309056569</v>
      </c>
    </row>
    <row r="33" spans="1:69" x14ac:dyDescent="0.25">
      <c r="A33" s="1">
        <v>32</v>
      </c>
      <c r="B33" s="13">
        <f ca="1">IF(A33=1,IF(OR('My Loans'!$N$14="",'My Loans'!$N$14=0),0,INDIRECT("'My Loans'!$D"&amp;'My Loans'!$N$14)),AE32)</f>
        <v>4402.581355217394</v>
      </c>
      <c r="C33" s="13">
        <f ca="1">IF(OR('My Loans'!$N$14="",'My Loans'!$N$14=0),0,B33*INDIRECT("'My Loans'!$E"&amp;'My Loans'!$N$14)/12)</f>
        <v>28.98366058851451</v>
      </c>
      <c r="D33" s="13">
        <f ca="1">IF(OR('My Loans'!$N$14="",'My Loans'!$N$14=0),0,IF(B33&lt;0.005,0,MIN(INDIRECT("'My Loans'!$F"&amp;'My Loans'!$N$14),B33+C33)))</f>
        <v>410</v>
      </c>
      <c r="E33" s="13">
        <f ca="1">IF(A33=1,IF(OR('My Loans'!$N$15="",'My Loans'!$N$15=0),0,INDIRECT("'My Loans'!$D"&amp;'My Loans'!$N$15)),AJ32)</f>
        <v>11865.185536657624</v>
      </c>
      <c r="F33" s="13">
        <f ca="1">IF(OR('My Loans'!$N$15="",'My Loans'!$N$15=0),0,E33*INDIRECT("'My Loans'!$E"&amp;'My Loans'!$N$15)/12)</f>
        <v>61.303458606064389</v>
      </c>
      <c r="G33" s="13">
        <f ca="1">IF(OR('My Loans'!$N$15="",'My Loans'!$N$15=0),0,IF(E33&lt;0.005,0,MIN(INDIRECT("'My Loans'!$F"&amp;'My Loans'!$N$15),E33+F33)))</f>
        <v>178</v>
      </c>
      <c r="H33" s="13">
        <f ca="1">IF(A33=1,IF(OR('My Loans'!$N$16="",'My Loans'!$N$16=0),0,INDIRECT("'My Loans'!$D"&amp;'My Loans'!$N$16)),AO32)</f>
        <v>10030.934815229772</v>
      </c>
      <c r="I33" s="13">
        <f ca="1">IF(OR('My Loans'!$N$16="",'My Loans'!$N$16=0),0,H33*INDIRECT("'My Loans'!$E"&amp;'My Loans'!$N$16)/12)</f>
        <v>45.975117903136457</v>
      </c>
      <c r="J33" s="13">
        <f ca="1">IF(OR('My Loans'!$N$16="",'My Loans'!$N$16=0),0,IF(H33&lt;0.005,0,MIN(INDIRECT("'My Loans'!$F"&amp;'My Loans'!$N$16),H33+I33)))</f>
        <v>142</v>
      </c>
      <c r="K33" s="13">
        <f ca="1">IF(A33=1,IF(OR('My Loans'!$N$17="",'My Loans'!$N$17=0),0,INDIRECT("'My Loans'!$D"&amp;'My Loans'!$N$17)),AT32)</f>
        <v>7426.2856457754206</v>
      </c>
      <c r="L33" s="13">
        <f ca="1">IF(OR('My Loans'!$N$17="",'My Loans'!$N$17=0),0,K33*INDIRECT("'My Loans'!$E"&amp;'My Loans'!$N$17)/12)</f>
        <v>30.323999720249635</v>
      </c>
      <c r="M33" s="13">
        <f ca="1">IF(OR('My Loans'!$N$17="",'My Loans'!$N$17=0),0,IF(K33&lt;0.005,0,MIN(INDIRECT("'My Loans'!$F"&amp;'My Loans'!$N$17),K33+L33)))</f>
        <v>112</v>
      </c>
      <c r="N33" s="13">
        <f ca="1">IF(A33=1,IF(OR('My Loans'!$N$18="",'My Loans'!$N$18=0),0,INDIRECT("'My Loans'!$D"&amp;'My Loans'!$N$18)),AY32)</f>
        <v>6092.0439561763533</v>
      </c>
      <c r="O33" s="13">
        <f ca="1">IF(OR('My Loans'!$N$18="",'My Loans'!$N$18=0),0,N33*INDIRECT("'My Loans'!$E"&amp;'My Loans'!$N$18)/12)</f>
        <v>22.845164835661322</v>
      </c>
      <c r="P33" s="13">
        <f ca="1">IF(OR('My Loans'!$N$18="",'My Loans'!$N$18=0),0,IF(N33&lt;0.005,0,MIN(INDIRECT("'My Loans'!$F"&amp;'My Loans'!$N$18),N33+O33)))</f>
        <v>95</v>
      </c>
      <c r="Q33" s="13">
        <f ca="1">IF(A33=1,IF(OR('My Loans'!$N$19="",'My Loans'!$N$19=0),0,INDIRECT("'My Loans'!$D"&amp;'My Loans'!$N$19)),BD32)</f>
        <v>0</v>
      </c>
      <c r="R33" s="13">
        <f ca="1">IF(OR('My Loans'!$N$19="",'My Loans'!$N$19=0),0,Q33*INDIRECT("'My Loans'!$E"&amp;'My Loans'!$N$19)/12)</f>
        <v>0</v>
      </c>
      <c r="S33" s="13">
        <f ca="1">IF(OR('My Loans'!$N$19="",'My Loans'!$N$19=0),0,IF(Q33&lt;0.005,0,MIN(INDIRECT("'My Loans'!$F"&amp;'My Loans'!$N$19),Q33+R33)))</f>
        <v>0</v>
      </c>
      <c r="T33" s="13">
        <f ca="1">IF(A33=1,IF(OR('My Loans'!$N$20="",'My Loans'!$N$20=0),0,INDIRECT("'My Loans'!$D"&amp;'My Loans'!$N$20)),BI32)</f>
        <v>0</v>
      </c>
      <c r="U33" s="13">
        <f ca="1">IF(OR('My Loans'!$N$20="",'My Loans'!$N$20=0),0,T33*INDIRECT("'My Loans'!$E"&amp;'My Loans'!$N$20)/12)</f>
        <v>0</v>
      </c>
      <c r="V33" s="13">
        <f ca="1">IF(OR('My Loans'!$N$20="",'My Loans'!$N$20=0),0,IF(T33&lt;0.005,0,MIN(INDIRECT("'My Loans'!$F"&amp;'My Loans'!$N$20),T33+U33)))</f>
        <v>0</v>
      </c>
      <c r="W33" s="13">
        <f ca="1">IF(A33=1,IF(OR('My Loans'!$N$21="",'My Loans'!$N$21=0),0,INDIRECT("'My Loans'!$D"&amp;'My Loans'!$N$21)),BN32)</f>
        <v>0</v>
      </c>
      <c r="X33" s="13">
        <f ca="1">IF(OR('My Loans'!$N$21="",'My Loans'!$N$21=0),0,W33*INDIRECT("'My Loans'!$E"&amp;'My Loans'!$N$21)/12)</f>
        <v>0</v>
      </c>
      <c r="Y33" s="13">
        <f ca="1">IF(OR('My Loans'!$N$21="",'My Loans'!$N$21=0),0,IF(W33&lt;0.005,0,MIN(INDIRECT("'My Loans'!$F"&amp;'My Loans'!$N$21),W33+X33)))</f>
        <v>0</v>
      </c>
      <c r="Z33" s="13">
        <f ca="1">'My Loans'!$B$13-(D33+G33+J33+M33+P33+S33+V33+Y33)</f>
        <v>463</v>
      </c>
      <c r="AA33" s="13">
        <f t="shared" ca="1" si="0"/>
        <v>463</v>
      </c>
      <c r="AB33" s="13">
        <f t="shared" ca="1" si="1"/>
        <v>4021.5650158059088</v>
      </c>
      <c r="AC33" s="13">
        <f t="shared" ca="1" si="2"/>
        <v>463</v>
      </c>
      <c r="AD33" s="13">
        <f t="shared" ca="1" si="3"/>
        <v>873</v>
      </c>
      <c r="AE33" s="13">
        <f t="shared" ca="1" si="4"/>
        <v>3558.5650158059088</v>
      </c>
      <c r="AF33" s="13">
        <f t="shared" ca="1" si="5"/>
        <v>0</v>
      </c>
      <c r="AG33" s="13">
        <f t="shared" ca="1" si="6"/>
        <v>11748.488995263688</v>
      </c>
      <c r="AH33" s="13">
        <f t="shared" ca="1" si="7"/>
        <v>0</v>
      </c>
      <c r="AI33" s="13">
        <f t="shared" ca="1" si="8"/>
        <v>178</v>
      </c>
      <c r="AJ33" s="13">
        <f t="shared" ca="1" si="9"/>
        <v>11748.488995263688</v>
      </c>
      <c r="AK33" s="13">
        <f t="shared" ca="1" si="10"/>
        <v>0</v>
      </c>
      <c r="AL33" s="13">
        <f t="shared" ca="1" si="11"/>
        <v>9934.9099331329089</v>
      </c>
      <c r="AM33" s="13">
        <f t="shared" ca="1" si="12"/>
        <v>0</v>
      </c>
      <c r="AN33" s="13">
        <f t="shared" ca="1" si="13"/>
        <v>142</v>
      </c>
      <c r="AO33" s="13">
        <f t="shared" ca="1" si="14"/>
        <v>9934.9099331329089</v>
      </c>
      <c r="AP33" s="13">
        <f t="shared" ca="1" si="15"/>
        <v>0</v>
      </c>
      <c r="AQ33" s="13">
        <f t="shared" ca="1" si="16"/>
        <v>7344.6096454956705</v>
      </c>
      <c r="AR33" s="13">
        <f t="shared" ca="1" si="17"/>
        <v>0</v>
      </c>
      <c r="AS33" s="13">
        <f t="shared" ca="1" si="18"/>
        <v>112</v>
      </c>
      <c r="AT33" s="13">
        <f t="shared" ca="1" si="19"/>
        <v>7344.6096454956705</v>
      </c>
      <c r="AU33" s="13">
        <f t="shared" ca="1" si="20"/>
        <v>0</v>
      </c>
      <c r="AV33" s="13">
        <f t="shared" ca="1" si="21"/>
        <v>6019.8891210120146</v>
      </c>
      <c r="AW33" s="13">
        <f t="shared" ca="1" si="22"/>
        <v>0</v>
      </c>
      <c r="AX33" s="13">
        <f t="shared" ca="1" si="23"/>
        <v>95</v>
      </c>
      <c r="AY33" s="13">
        <f t="shared" ca="1" si="24"/>
        <v>6019.8891210120146</v>
      </c>
      <c r="AZ33" s="13">
        <f t="shared" ca="1" si="25"/>
        <v>0</v>
      </c>
      <c r="BA33" s="13">
        <f t="shared" ca="1" si="26"/>
        <v>0</v>
      </c>
      <c r="BB33" s="13">
        <f t="shared" ca="1" si="27"/>
        <v>0</v>
      </c>
      <c r="BC33" s="13">
        <f t="shared" ca="1" si="28"/>
        <v>0</v>
      </c>
      <c r="BD33" s="13">
        <f t="shared" ca="1" si="29"/>
        <v>0</v>
      </c>
      <c r="BE33" s="13">
        <f t="shared" ca="1" si="30"/>
        <v>0</v>
      </c>
      <c r="BF33" s="13">
        <f t="shared" ca="1" si="31"/>
        <v>0</v>
      </c>
      <c r="BG33" s="13">
        <f t="shared" ca="1" si="32"/>
        <v>0</v>
      </c>
      <c r="BH33" s="13">
        <f t="shared" ca="1" si="33"/>
        <v>0</v>
      </c>
      <c r="BI33" s="13">
        <f t="shared" ca="1" si="34"/>
        <v>0</v>
      </c>
      <c r="BJ33" s="13">
        <f t="shared" ca="1" si="35"/>
        <v>0</v>
      </c>
      <c r="BK33" s="13">
        <f t="shared" ca="1" si="36"/>
        <v>0</v>
      </c>
      <c r="BL33" s="13">
        <f t="shared" ca="1" si="37"/>
        <v>0</v>
      </c>
      <c r="BM33" s="13">
        <f t="shared" ca="1" si="38"/>
        <v>0</v>
      </c>
      <c r="BN33" s="13">
        <f t="shared" ca="1" si="39"/>
        <v>0</v>
      </c>
      <c r="BO33" s="13">
        <f t="shared" ca="1" si="40"/>
        <v>1400</v>
      </c>
      <c r="BP33" s="13">
        <f t="shared" ca="1" si="41"/>
        <v>189.43140165362632</v>
      </c>
      <c r="BQ33" s="13">
        <f t="shared" ca="1" si="42"/>
        <v>38606.462710710191</v>
      </c>
    </row>
    <row r="34" spans="1:69" x14ac:dyDescent="0.25">
      <c r="A34" s="1">
        <v>33</v>
      </c>
      <c r="B34" s="13">
        <f ca="1">IF(A34=1,IF(OR('My Loans'!$N$14="",'My Loans'!$N$14=0),0,INDIRECT("'My Loans'!$D"&amp;'My Loans'!$N$14)),AE33)</f>
        <v>3558.5650158059088</v>
      </c>
      <c r="C34" s="13">
        <f ca="1">IF(OR('My Loans'!$N$14="",'My Loans'!$N$14=0),0,B34*INDIRECT("'My Loans'!$E"&amp;'My Loans'!$N$14)/12)</f>
        <v>23.427219687388899</v>
      </c>
      <c r="D34" s="13">
        <f ca="1">IF(OR('My Loans'!$N$14="",'My Loans'!$N$14=0),0,IF(B34&lt;0.005,0,MIN(INDIRECT("'My Loans'!$F"&amp;'My Loans'!$N$14),B34+C34)))</f>
        <v>410</v>
      </c>
      <c r="E34" s="13">
        <f ca="1">IF(A34=1,IF(OR('My Loans'!$N$15="",'My Loans'!$N$15=0),0,INDIRECT("'My Loans'!$D"&amp;'My Loans'!$N$15)),AJ33)</f>
        <v>11748.488995263688</v>
      </c>
      <c r="F34" s="13">
        <f ca="1">IF(OR('My Loans'!$N$15="",'My Loans'!$N$15=0),0,E34*INDIRECT("'My Loans'!$E"&amp;'My Loans'!$N$15)/12)</f>
        <v>60.700526475529053</v>
      </c>
      <c r="G34" s="13">
        <f ca="1">IF(OR('My Loans'!$N$15="",'My Loans'!$N$15=0),0,IF(E34&lt;0.005,0,MIN(INDIRECT("'My Loans'!$F"&amp;'My Loans'!$N$15),E34+F34)))</f>
        <v>178</v>
      </c>
      <c r="H34" s="13">
        <f ca="1">IF(A34=1,IF(OR('My Loans'!$N$16="",'My Loans'!$N$16=0),0,INDIRECT("'My Loans'!$D"&amp;'My Loans'!$N$16)),AO33)</f>
        <v>9934.9099331329089</v>
      </c>
      <c r="I34" s="13">
        <f ca="1">IF(OR('My Loans'!$N$16="",'My Loans'!$N$16=0),0,H34*INDIRECT("'My Loans'!$E"&amp;'My Loans'!$N$16)/12)</f>
        <v>45.535003860192496</v>
      </c>
      <c r="J34" s="13">
        <f ca="1">IF(OR('My Loans'!$N$16="",'My Loans'!$N$16=0),0,IF(H34&lt;0.005,0,MIN(INDIRECT("'My Loans'!$F"&amp;'My Loans'!$N$16),H34+I34)))</f>
        <v>142</v>
      </c>
      <c r="K34" s="13">
        <f ca="1">IF(A34=1,IF(OR('My Loans'!$N$17="",'My Loans'!$N$17=0),0,INDIRECT("'My Loans'!$D"&amp;'My Loans'!$N$17)),AT33)</f>
        <v>7344.6096454956705</v>
      </c>
      <c r="L34" s="13">
        <f ca="1">IF(OR('My Loans'!$N$17="",'My Loans'!$N$17=0),0,K34*INDIRECT("'My Loans'!$E"&amp;'My Loans'!$N$17)/12)</f>
        <v>29.990489385773987</v>
      </c>
      <c r="M34" s="13">
        <f ca="1">IF(OR('My Loans'!$N$17="",'My Loans'!$N$17=0),0,IF(K34&lt;0.005,0,MIN(INDIRECT("'My Loans'!$F"&amp;'My Loans'!$N$17),K34+L34)))</f>
        <v>112</v>
      </c>
      <c r="N34" s="13">
        <f ca="1">IF(A34=1,IF(OR('My Loans'!$N$18="",'My Loans'!$N$18=0),0,INDIRECT("'My Loans'!$D"&amp;'My Loans'!$N$18)),AY33)</f>
        <v>6019.8891210120146</v>
      </c>
      <c r="O34" s="13">
        <f ca="1">IF(OR('My Loans'!$N$18="",'My Loans'!$N$18=0),0,N34*INDIRECT("'My Loans'!$E"&amp;'My Loans'!$N$18)/12)</f>
        <v>22.574584203795055</v>
      </c>
      <c r="P34" s="13">
        <f ca="1">IF(OR('My Loans'!$N$18="",'My Loans'!$N$18=0),0,IF(N34&lt;0.005,0,MIN(INDIRECT("'My Loans'!$F"&amp;'My Loans'!$N$18),N34+O34)))</f>
        <v>95</v>
      </c>
      <c r="Q34" s="13">
        <f ca="1">IF(A34=1,IF(OR('My Loans'!$N$19="",'My Loans'!$N$19=0),0,INDIRECT("'My Loans'!$D"&amp;'My Loans'!$N$19)),BD33)</f>
        <v>0</v>
      </c>
      <c r="R34" s="13">
        <f ca="1">IF(OR('My Loans'!$N$19="",'My Loans'!$N$19=0),0,Q34*INDIRECT("'My Loans'!$E"&amp;'My Loans'!$N$19)/12)</f>
        <v>0</v>
      </c>
      <c r="S34" s="13">
        <f ca="1">IF(OR('My Loans'!$N$19="",'My Loans'!$N$19=0),0,IF(Q34&lt;0.005,0,MIN(INDIRECT("'My Loans'!$F"&amp;'My Loans'!$N$19),Q34+R34)))</f>
        <v>0</v>
      </c>
      <c r="T34" s="13">
        <f ca="1">IF(A34=1,IF(OR('My Loans'!$N$20="",'My Loans'!$N$20=0),0,INDIRECT("'My Loans'!$D"&amp;'My Loans'!$N$20)),BI33)</f>
        <v>0</v>
      </c>
      <c r="U34" s="13">
        <f ca="1">IF(OR('My Loans'!$N$20="",'My Loans'!$N$20=0),0,T34*INDIRECT("'My Loans'!$E"&amp;'My Loans'!$N$20)/12)</f>
        <v>0</v>
      </c>
      <c r="V34" s="13">
        <f ca="1">IF(OR('My Loans'!$N$20="",'My Loans'!$N$20=0),0,IF(T34&lt;0.005,0,MIN(INDIRECT("'My Loans'!$F"&amp;'My Loans'!$N$20),T34+U34)))</f>
        <v>0</v>
      </c>
      <c r="W34" s="13">
        <f ca="1">IF(A34=1,IF(OR('My Loans'!$N$21="",'My Loans'!$N$21=0),0,INDIRECT("'My Loans'!$D"&amp;'My Loans'!$N$21)),BN33)</f>
        <v>0</v>
      </c>
      <c r="X34" s="13">
        <f ca="1">IF(OR('My Loans'!$N$21="",'My Loans'!$N$21=0),0,W34*INDIRECT("'My Loans'!$E"&amp;'My Loans'!$N$21)/12)</f>
        <v>0</v>
      </c>
      <c r="Y34" s="13">
        <f ca="1">IF(OR('My Loans'!$N$21="",'My Loans'!$N$21=0),0,IF(W34&lt;0.005,0,MIN(INDIRECT("'My Loans'!$F"&amp;'My Loans'!$N$21),W34+X34)))</f>
        <v>0</v>
      </c>
      <c r="Z34" s="13">
        <f ca="1">'My Loans'!$B$13-(D34+G34+J34+M34+P34+S34+V34+Y34)</f>
        <v>463</v>
      </c>
      <c r="AA34" s="13">
        <f t="shared" ref="AA34:AA65" ca="1" si="43">MAX(0,Z34)</f>
        <v>463</v>
      </c>
      <c r="AB34" s="13">
        <f t="shared" ref="AB34:AB65" ca="1" si="44">MAX(0,B34+C34-D34)</f>
        <v>3171.9922354932978</v>
      </c>
      <c r="AC34" s="13">
        <f t="shared" ref="AC34:AC65" ca="1" si="45">MIN(AA34,AB34)</f>
        <v>463</v>
      </c>
      <c r="AD34" s="13">
        <f t="shared" ref="AD34:AD65" ca="1" si="46">D34+AC34</f>
        <v>873</v>
      </c>
      <c r="AE34" s="13">
        <f t="shared" ref="AE34:AE65" ca="1" si="47">MAX(0,B34+C34-AD34)</f>
        <v>2708.9922354932978</v>
      </c>
      <c r="AF34" s="13">
        <f t="shared" ref="AF34:AF65" ca="1" si="48">MAX(0,AA34-AC34)</f>
        <v>0</v>
      </c>
      <c r="AG34" s="13">
        <f t="shared" ref="AG34:AG65" ca="1" si="49">MAX(0,E34+F34-G34)</f>
        <v>11631.189521739218</v>
      </c>
      <c r="AH34" s="13">
        <f t="shared" ref="AH34:AH65" ca="1" si="50">MIN(AF34,AG34)</f>
        <v>0</v>
      </c>
      <c r="AI34" s="13">
        <f t="shared" ref="AI34:AI65" ca="1" si="51">G34+AH34</f>
        <v>178</v>
      </c>
      <c r="AJ34" s="13">
        <f t="shared" ref="AJ34:AJ65" ca="1" si="52">MAX(0,E34+F34-AI34)</f>
        <v>11631.189521739218</v>
      </c>
      <c r="AK34" s="13">
        <f t="shared" ref="AK34:AK65" ca="1" si="53">MAX(0,AF34-AH34)</f>
        <v>0</v>
      </c>
      <c r="AL34" s="13">
        <f t="shared" ref="AL34:AL65" ca="1" si="54">MAX(0,H34+I34-J34)</f>
        <v>9838.4449369931008</v>
      </c>
      <c r="AM34" s="13">
        <f t="shared" ref="AM34:AM65" ca="1" si="55">MIN(AK34,AL34)</f>
        <v>0</v>
      </c>
      <c r="AN34" s="13">
        <f t="shared" ref="AN34:AN65" ca="1" si="56">J34+AM34</f>
        <v>142</v>
      </c>
      <c r="AO34" s="13">
        <f t="shared" ref="AO34:AO65" ca="1" si="57">MAX(0,H34+I34-AN34)</f>
        <v>9838.4449369931008</v>
      </c>
      <c r="AP34" s="13">
        <f t="shared" ref="AP34:AP65" ca="1" si="58">MAX(0,AK34-AM34)</f>
        <v>0</v>
      </c>
      <c r="AQ34" s="13">
        <f t="shared" ref="AQ34:AQ65" ca="1" si="59">MAX(0,K34+L34-M34)</f>
        <v>7262.6001348814443</v>
      </c>
      <c r="AR34" s="13">
        <f t="shared" ref="AR34:AR65" ca="1" si="60">MIN(AP34,AQ34)</f>
        <v>0</v>
      </c>
      <c r="AS34" s="13">
        <f t="shared" ref="AS34:AS65" ca="1" si="61">M34+AR34</f>
        <v>112</v>
      </c>
      <c r="AT34" s="13">
        <f t="shared" ref="AT34:AT65" ca="1" si="62">MAX(0,K34+L34-AS34)</f>
        <v>7262.6001348814443</v>
      </c>
      <c r="AU34" s="13">
        <f t="shared" ref="AU34:AU65" ca="1" si="63">MAX(0,AP34-AR34)</f>
        <v>0</v>
      </c>
      <c r="AV34" s="13">
        <f t="shared" ref="AV34:AV65" ca="1" si="64">MAX(0,N34+O34-P34)</f>
        <v>5947.4637052158096</v>
      </c>
      <c r="AW34" s="13">
        <f t="shared" ref="AW34:AW65" ca="1" si="65">MIN(AU34,AV34)</f>
        <v>0</v>
      </c>
      <c r="AX34" s="13">
        <f t="shared" ref="AX34:AX65" ca="1" si="66">P34+AW34</f>
        <v>95</v>
      </c>
      <c r="AY34" s="13">
        <f t="shared" ref="AY34:AY65" ca="1" si="67">MAX(0,N34+O34-AX34)</f>
        <v>5947.4637052158096</v>
      </c>
      <c r="AZ34" s="13">
        <f t="shared" ref="AZ34:AZ65" ca="1" si="68">MAX(0,AU34-AW34)</f>
        <v>0</v>
      </c>
      <c r="BA34" s="13">
        <f t="shared" ref="BA34:BA65" ca="1" si="69">MAX(0,Q34+R34-S34)</f>
        <v>0</v>
      </c>
      <c r="BB34" s="13">
        <f t="shared" ref="BB34:BB65" ca="1" si="70">MIN(AZ34,BA34)</f>
        <v>0</v>
      </c>
      <c r="BC34" s="13">
        <f t="shared" ref="BC34:BC65" ca="1" si="71">S34+BB34</f>
        <v>0</v>
      </c>
      <c r="BD34" s="13">
        <f t="shared" ref="BD34:BD65" ca="1" si="72">MAX(0,Q34+R34-BC34)</f>
        <v>0</v>
      </c>
      <c r="BE34" s="13">
        <f t="shared" ref="BE34:BE65" ca="1" si="73">MAX(0,AZ34-BB34)</f>
        <v>0</v>
      </c>
      <c r="BF34" s="13">
        <f t="shared" ref="BF34:BF65" ca="1" si="74">MAX(0,T34+U34-V34)</f>
        <v>0</v>
      </c>
      <c r="BG34" s="13">
        <f t="shared" ref="BG34:BG65" ca="1" si="75">MIN(BE34,BF34)</f>
        <v>0</v>
      </c>
      <c r="BH34" s="13">
        <f t="shared" ref="BH34:BH65" ca="1" si="76">V34+BG34</f>
        <v>0</v>
      </c>
      <c r="BI34" s="13">
        <f t="shared" ref="BI34:BI65" ca="1" si="77">MAX(0,T34+U34-BH34)</f>
        <v>0</v>
      </c>
      <c r="BJ34" s="13">
        <f t="shared" ref="BJ34:BJ65" ca="1" si="78">MAX(0,BE34-BG34)</f>
        <v>0</v>
      </c>
      <c r="BK34" s="13">
        <f t="shared" ref="BK34:BK65" ca="1" si="79">MAX(0,W34+X34-Y34)</f>
        <v>0</v>
      </c>
      <c r="BL34" s="13">
        <f t="shared" ref="BL34:BL65" ca="1" si="80">MIN(BJ34,BK34)</f>
        <v>0</v>
      </c>
      <c r="BM34" s="13">
        <f t="shared" ref="BM34:BM65" ca="1" si="81">Y34+BL34</f>
        <v>0</v>
      </c>
      <c r="BN34" s="13">
        <f t="shared" ref="BN34:BN65" ca="1" si="82">MAX(0,W34+X34-BM34)</f>
        <v>0</v>
      </c>
      <c r="BO34" s="13">
        <f t="shared" ref="BO34:BO65" ca="1" si="83">AD34+AI34+AN34+AS34+AX34+BC34+BH34+BM34</f>
        <v>1400</v>
      </c>
      <c r="BP34" s="13">
        <f t="shared" ref="BP34:BP65" ca="1" si="84">C34+F34+I34+L34+O34+R34+U34+X34</f>
        <v>182.22782361267952</v>
      </c>
      <c r="BQ34" s="13">
        <f t="shared" ref="BQ34:BQ65" ca="1" si="85">AE34+AJ34+AO34+AT34+AY34+BD34+BI34+BN34</f>
        <v>37388.690534322872</v>
      </c>
    </row>
    <row r="35" spans="1:69" x14ac:dyDescent="0.25">
      <c r="A35" s="1">
        <v>34</v>
      </c>
      <c r="B35" s="13">
        <f ca="1">IF(A35=1,IF(OR('My Loans'!$N$14="",'My Loans'!$N$14=0),0,INDIRECT("'My Loans'!$D"&amp;'My Loans'!$N$14)),AE34)</f>
        <v>2708.9922354932978</v>
      </c>
      <c r="C35" s="13">
        <f ca="1">IF(OR('My Loans'!$N$14="",'My Loans'!$N$14=0),0,B35*INDIRECT("'My Loans'!$E"&amp;'My Loans'!$N$14)/12)</f>
        <v>17.834198883664211</v>
      </c>
      <c r="D35" s="13">
        <f ca="1">IF(OR('My Loans'!$N$14="",'My Loans'!$N$14=0),0,IF(B35&lt;0.005,0,MIN(INDIRECT("'My Loans'!$F"&amp;'My Loans'!$N$14),B35+C35)))</f>
        <v>410</v>
      </c>
      <c r="E35" s="13">
        <f ca="1">IF(A35=1,IF(OR('My Loans'!$N$15="",'My Loans'!$N$15=0),0,INDIRECT("'My Loans'!$D"&amp;'My Loans'!$N$15)),AJ34)</f>
        <v>11631.189521739218</v>
      </c>
      <c r="F35" s="13">
        <f ca="1">IF(OR('My Loans'!$N$15="",'My Loans'!$N$15=0),0,E35*INDIRECT("'My Loans'!$E"&amp;'My Loans'!$N$15)/12)</f>
        <v>60.094479195652617</v>
      </c>
      <c r="G35" s="13">
        <f ca="1">IF(OR('My Loans'!$N$15="",'My Loans'!$N$15=0),0,IF(E35&lt;0.005,0,MIN(INDIRECT("'My Loans'!$F"&amp;'My Loans'!$N$15),E35+F35)))</f>
        <v>178</v>
      </c>
      <c r="H35" s="13">
        <f ca="1">IF(A35=1,IF(OR('My Loans'!$N$16="",'My Loans'!$N$16=0),0,INDIRECT("'My Loans'!$D"&amp;'My Loans'!$N$16)),AO34)</f>
        <v>9838.4449369931008</v>
      </c>
      <c r="I35" s="13">
        <f ca="1">IF(OR('My Loans'!$N$16="",'My Loans'!$N$16=0),0,H35*INDIRECT("'My Loans'!$E"&amp;'My Loans'!$N$16)/12)</f>
        <v>45.092872627885043</v>
      </c>
      <c r="J35" s="13">
        <f ca="1">IF(OR('My Loans'!$N$16="",'My Loans'!$N$16=0),0,IF(H35&lt;0.005,0,MIN(INDIRECT("'My Loans'!$F"&amp;'My Loans'!$N$16),H35+I35)))</f>
        <v>142</v>
      </c>
      <c r="K35" s="13">
        <f ca="1">IF(A35=1,IF(OR('My Loans'!$N$17="",'My Loans'!$N$17=0),0,INDIRECT("'My Loans'!$D"&amp;'My Loans'!$N$17)),AT34)</f>
        <v>7262.6001348814443</v>
      </c>
      <c r="L35" s="13">
        <f ca="1">IF(OR('My Loans'!$N$17="",'My Loans'!$N$17=0),0,K35*INDIRECT("'My Loans'!$E"&amp;'My Loans'!$N$17)/12)</f>
        <v>29.655617217432564</v>
      </c>
      <c r="M35" s="13">
        <f ca="1">IF(OR('My Loans'!$N$17="",'My Loans'!$N$17=0),0,IF(K35&lt;0.005,0,MIN(INDIRECT("'My Loans'!$F"&amp;'My Loans'!$N$17),K35+L35)))</f>
        <v>112</v>
      </c>
      <c r="N35" s="13">
        <f ca="1">IF(A35=1,IF(OR('My Loans'!$N$18="",'My Loans'!$N$18=0),0,INDIRECT("'My Loans'!$D"&amp;'My Loans'!$N$18)),AY34)</f>
        <v>5947.4637052158096</v>
      </c>
      <c r="O35" s="13">
        <f ca="1">IF(OR('My Loans'!$N$18="",'My Loans'!$N$18=0),0,N35*INDIRECT("'My Loans'!$E"&amp;'My Loans'!$N$18)/12)</f>
        <v>22.302988894559288</v>
      </c>
      <c r="P35" s="13">
        <f ca="1">IF(OR('My Loans'!$N$18="",'My Loans'!$N$18=0),0,IF(N35&lt;0.005,0,MIN(INDIRECT("'My Loans'!$F"&amp;'My Loans'!$N$18),N35+O35)))</f>
        <v>95</v>
      </c>
      <c r="Q35" s="13">
        <f ca="1">IF(A35=1,IF(OR('My Loans'!$N$19="",'My Loans'!$N$19=0),0,INDIRECT("'My Loans'!$D"&amp;'My Loans'!$N$19)),BD34)</f>
        <v>0</v>
      </c>
      <c r="R35" s="13">
        <f ca="1">IF(OR('My Loans'!$N$19="",'My Loans'!$N$19=0),0,Q35*INDIRECT("'My Loans'!$E"&amp;'My Loans'!$N$19)/12)</f>
        <v>0</v>
      </c>
      <c r="S35" s="13">
        <f ca="1">IF(OR('My Loans'!$N$19="",'My Loans'!$N$19=0),0,IF(Q35&lt;0.005,0,MIN(INDIRECT("'My Loans'!$F"&amp;'My Loans'!$N$19),Q35+R35)))</f>
        <v>0</v>
      </c>
      <c r="T35" s="13">
        <f ca="1">IF(A35=1,IF(OR('My Loans'!$N$20="",'My Loans'!$N$20=0),0,INDIRECT("'My Loans'!$D"&amp;'My Loans'!$N$20)),BI34)</f>
        <v>0</v>
      </c>
      <c r="U35" s="13">
        <f ca="1">IF(OR('My Loans'!$N$20="",'My Loans'!$N$20=0),0,T35*INDIRECT("'My Loans'!$E"&amp;'My Loans'!$N$20)/12)</f>
        <v>0</v>
      </c>
      <c r="V35" s="13">
        <f ca="1">IF(OR('My Loans'!$N$20="",'My Loans'!$N$20=0),0,IF(T35&lt;0.005,0,MIN(INDIRECT("'My Loans'!$F"&amp;'My Loans'!$N$20),T35+U35)))</f>
        <v>0</v>
      </c>
      <c r="W35" s="13">
        <f ca="1">IF(A35=1,IF(OR('My Loans'!$N$21="",'My Loans'!$N$21=0),0,INDIRECT("'My Loans'!$D"&amp;'My Loans'!$N$21)),BN34)</f>
        <v>0</v>
      </c>
      <c r="X35" s="13">
        <f ca="1">IF(OR('My Loans'!$N$21="",'My Loans'!$N$21=0),0,W35*INDIRECT("'My Loans'!$E"&amp;'My Loans'!$N$21)/12)</f>
        <v>0</v>
      </c>
      <c r="Y35" s="13">
        <f ca="1">IF(OR('My Loans'!$N$21="",'My Loans'!$N$21=0),0,IF(W35&lt;0.005,0,MIN(INDIRECT("'My Loans'!$F"&amp;'My Loans'!$N$21),W35+X35)))</f>
        <v>0</v>
      </c>
      <c r="Z35" s="13">
        <f ca="1">'My Loans'!$B$13-(D35+G35+J35+M35+P35+S35+V35+Y35)</f>
        <v>463</v>
      </c>
      <c r="AA35" s="13">
        <f t="shared" ca="1" si="43"/>
        <v>463</v>
      </c>
      <c r="AB35" s="13">
        <f t="shared" ca="1" si="44"/>
        <v>2316.826434376962</v>
      </c>
      <c r="AC35" s="13">
        <f t="shared" ca="1" si="45"/>
        <v>463</v>
      </c>
      <c r="AD35" s="13">
        <f t="shared" ca="1" si="46"/>
        <v>873</v>
      </c>
      <c r="AE35" s="13">
        <f t="shared" ca="1" si="47"/>
        <v>1853.826434376962</v>
      </c>
      <c r="AF35" s="13">
        <f t="shared" ca="1" si="48"/>
        <v>0</v>
      </c>
      <c r="AG35" s="13">
        <f t="shared" ca="1" si="49"/>
        <v>11513.284000934869</v>
      </c>
      <c r="AH35" s="13">
        <f t="shared" ca="1" si="50"/>
        <v>0</v>
      </c>
      <c r="AI35" s="13">
        <f t="shared" ca="1" si="51"/>
        <v>178</v>
      </c>
      <c r="AJ35" s="13">
        <f t="shared" ca="1" si="52"/>
        <v>11513.284000934869</v>
      </c>
      <c r="AK35" s="13">
        <f t="shared" ca="1" si="53"/>
        <v>0</v>
      </c>
      <c r="AL35" s="13">
        <f t="shared" ca="1" si="54"/>
        <v>9741.5378096209861</v>
      </c>
      <c r="AM35" s="13">
        <f t="shared" ca="1" si="55"/>
        <v>0</v>
      </c>
      <c r="AN35" s="13">
        <f t="shared" ca="1" si="56"/>
        <v>142</v>
      </c>
      <c r="AO35" s="13">
        <f t="shared" ca="1" si="57"/>
        <v>9741.5378096209861</v>
      </c>
      <c r="AP35" s="13">
        <f t="shared" ca="1" si="58"/>
        <v>0</v>
      </c>
      <c r="AQ35" s="13">
        <f t="shared" ca="1" si="59"/>
        <v>7180.2557520988767</v>
      </c>
      <c r="AR35" s="13">
        <f t="shared" ca="1" si="60"/>
        <v>0</v>
      </c>
      <c r="AS35" s="13">
        <f t="shared" ca="1" si="61"/>
        <v>112</v>
      </c>
      <c r="AT35" s="13">
        <f t="shared" ca="1" si="62"/>
        <v>7180.2557520988767</v>
      </c>
      <c r="AU35" s="13">
        <f t="shared" ca="1" si="63"/>
        <v>0</v>
      </c>
      <c r="AV35" s="13">
        <f t="shared" ca="1" si="64"/>
        <v>5874.7666941103689</v>
      </c>
      <c r="AW35" s="13">
        <f t="shared" ca="1" si="65"/>
        <v>0</v>
      </c>
      <c r="AX35" s="13">
        <f t="shared" ca="1" si="66"/>
        <v>95</v>
      </c>
      <c r="AY35" s="13">
        <f t="shared" ca="1" si="67"/>
        <v>5874.7666941103689</v>
      </c>
      <c r="AZ35" s="13">
        <f t="shared" ca="1" si="68"/>
        <v>0</v>
      </c>
      <c r="BA35" s="13">
        <f t="shared" ca="1" si="69"/>
        <v>0</v>
      </c>
      <c r="BB35" s="13">
        <f t="shared" ca="1" si="70"/>
        <v>0</v>
      </c>
      <c r="BC35" s="13">
        <f t="shared" ca="1" si="71"/>
        <v>0</v>
      </c>
      <c r="BD35" s="13">
        <f t="shared" ca="1" si="72"/>
        <v>0</v>
      </c>
      <c r="BE35" s="13">
        <f t="shared" ca="1" si="73"/>
        <v>0</v>
      </c>
      <c r="BF35" s="13">
        <f t="shared" ca="1" si="74"/>
        <v>0</v>
      </c>
      <c r="BG35" s="13">
        <f t="shared" ca="1" si="75"/>
        <v>0</v>
      </c>
      <c r="BH35" s="13">
        <f t="shared" ca="1" si="76"/>
        <v>0</v>
      </c>
      <c r="BI35" s="13">
        <f t="shared" ca="1" si="77"/>
        <v>0</v>
      </c>
      <c r="BJ35" s="13">
        <f t="shared" ca="1" si="78"/>
        <v>0</v>
      </c>
      <c r="BK35" s="13">
        <f t="shared" ca="1" si="79"/>
        <v>0</v>
      </c>
      <c r="BL35" s="13">
        <f t="shared" ca="1" si="80"/>
        <v>0</v>
      </c>
      <c r="BM35" s="13">
        <f t="shared" ca="1" si="81"/>
        <v>0</v>
      </c>
      <c r="BN35" s="13">
        <f t="shared" ca="1" si="82"/>
        <v>0</v>
      </c>
      <c r="BO35" s="13">
        <f t="shared" ca="1" si="83"/>
        <v>1400</v>
      </c>
      <c r="BP35" s="13">
        <f t="shared" ca="1" si="84"/>
        <v>174.98015681919372</v>
      </c>
      <c r="BQ35" s="13">
        <f t="shared" ca="1" si="85"/>
        <v>36163.670691142062</v>
      </c>
    </row>
    <row r="36" spans="1:69" x14ac:dyDescent="0.25">
      <c r="A36" s="1">
        <v>35</v>
      </c>
      <c r="B36" s="13">
        <f ca="1">IF(A36=1,IF(OR('My Loans'!$N$14="",'My Loans'!$N$14=0),0,INDIRECT("'My Loans'!$D"&amp;'My Loans'!$N$14)),AE35)</f>
        <v>1853.826434376962</v>
      </c>
      <c r="C36" s="13">
        <f ca="1">IF(OR('My Loans'!$N$14="",'My Loans'!$N$14=0),0,B36*INDIRECT("'My Loans'!$E"&amp;'My Loans'!$N$14)/12)</f>
        <v>12.204357359648334</v>
      </c>
      <c r="D36" s="13">
        <f ca="1">IF(OR('My Loans'!$N$14="",'My Loans'!$N$14=0),0,IF(B36&lt;0.005,0,MIN(INDIRECT("'My Loans'!$F"&amp;'My Loans'!$N$14),B36+C36)))</f>
        <v>410</v>
      </c>
      <c r="E36" s="13">
        <f ca="1">IF(A36=1,IF(OR('My Loans'!$N$15="",'My Loans'!$N$15=0),0,INDIRECT("'My Loans'!$D"&amp;'My Loans'!$N$15)),AJ35)</f>
        <v>11513.284000934869</v>
      </c>
      <c r="F36" s="13">
        <f ca="1">IF(OR('My Loans'!$N$15="",'My Loans'!$N$15=0),0,E36*INDIRECT("'My Loans'!$E"&amp;'My Loans'!$N$15)/12)</f>
        <v>59.485300671496823</v>
      </c>
      <c r="G36" s="13">
        <f ca="1">IF(OR('My Loans'!$N$15="",'My Loans'!$N$15=0),0,IF(E36&lt;0.005,0,MIN(INDIRECT("'My Loans'!$F"&amp;'My Loans'!$N$15),E36+F36)))</f>
        <v>178</v>
      </c>
      <c r="H36" s="13">
        <f ca="1">IF(A36=1,IF(OR('My Loans'!$N$16="",'My Loans'!$N$16=0),0,INDIRECT("'My Loans'!$D"&amp;'My Loans'!$N$16)),AO35)</f>
        <v>9741.5378096209861</v>
      </c>
      <c r="I36" s="13">
        <f ca="1">IF(OR('My Loans'!$N$16="",'My Loans'!$N$16=0),0,H36*INDIRECT("'My Loans'!$E"&amp;'My Loans'!$N$16)/12)</f>
        <v>44.648714960762852</v>
      </c>
      <c r="J36" s="13">
        <f ca="1">IF(OR('My Loans'!$N$16="",'My Loans'!$N$16=0),0,IF(H36&lt;0.005,0,MIN(INDIRECT("'My Loans'!$F"&amp;'My Loans'!$N$16),H36+I36)))</f>
        <v>142</v>
      </c>
      <c r="K36" s="13">
        <f ca="1">IF(A36=1,IF(OR('My Loans'!$N$17="",'My Loans'!$N$17=0),0,INDIRECT("'My Loans'!$D"&amp;'My Loans'!$N$17)),AT35)</f>
        <v>7180.2557520988767</v>
      </c>
      <c r="L36" s="13">
        <f ca="1">IF(OR('My Loans'!$N$17="",'My Loans'!$N$17=0),0,K36*INDIRECT("'My Loans'!$E"&amp;'My Loans'!$N$17)/12)</f>
        <v>29.319377654403748</v>
      </c>
      <c r="M36" s="13">
        <f ca="1">IF(OR('My Loans'!$N$17="",'My Loans'!$N$17=0),0,IF(K36&lt;0.005,0,MIN(INDIRECT("'My Loans'!$F"&amp;'My Loans'!$N$17),K36+L36)))</f>
        <v>112</v>
      </c>
      <c r="N36" s="13">
        <f ca="1">IF(A36=1,IF(OR('My Loans'!$N$18="",'My Loans'!$N$18=0),0,INDIRECT("'My Loans'!$D"&amp;'My Loans'!$N$18)),AY35)</f>
        <v>5874.7666941103689</v>
      </c>
      <c r="O36" s="13">
        <f ca="1">IF(OR('My Loans'!$N$18="",'My Loans'!$N$18=0),0,N36*INDIRECT("'My Loans'!$E"&amp;'My Loans'!$N$18)/12)</f>
        <v>22.030375102913883</v>
      </c>
      <c r="P36" s="13">
        <f ca="1">IF(OR('My Loans'!$N$18="",'My Loans'!$N$18=0),0,IF(N36&lt;0.005,0,MIN(INDIRECT("'My Loans'!$F"&amp;'My Loans'!$N$18),N36+O36)))</f>
        <v>95</v>
      </c>
      <c r="Q36" s="13">
        <f ca="1">IF(A36=1,IF(OR('My Loans'!$N$19="",'My Loans'!$N$19=0),0,INDIRECT("'My Loans'!$D"&amp;'My Loans'!$N$19)),BD35)</f>
        <v>0</v>
      </c>
      <c r="R36" s="13">
        <f ca="1">IF(OR('My Loans'!$N$19="",'My Loans'!$N$19=0),0,Q36*INDIRECT("'My Loans'!$E"&amp;'My Loans'!$N$19)/12)</f>
        <v>0</v>
      </c>
      <c r="S36" s="13">
        <f ca="1">IF(OR('My Loans'!$N$19="",'My Loans'!$N$19=0),0,IF(Q36&lt;0.005,0,MIN(INDIRECT("'My Loans'!$F"&amp;'My Loans'!$N$19),Q36+R36)))</f>
        <v>0</v>
      </c>
      <c r="T36" s="13">
        <f ca="1">IF(A36=1,IF(OR('My Loans'!$N$20="",'My Loans'!$N$20=0),0,INDIRECT("'My Loans'!$D"&amp;'My Loans'!$N$20)),BI35)</f>
        <v>0</v>
      </c>
      <c r="U36" s="13">
        <f ca="1">IF(OR('My Loans'!$N$20="",'My Loans'!$N$20=0),0,T36*INDIRECT("'My Loans'!$E"&amp;'My Loans'!$N$20)/12)</f>
        <v>0</v>
      </c>
      <c r="V36" s="13">
        <f ca="1">IF(OR('My Loans'!$N$20="",'My Loans'!$N$20=0),0,IF(T36&lt;0.005,0,MIN(INDIRECT("'My Loans'!$F"&amp;'My Loans'!$N$20),T36+U36)))</f>
        <v>0</v>
      </c>
      <c r="W36" s="13">
        <f ca="1">IF(A36=1,IF(OR('My Loans'!$N$21="",'My Loans'!$N$21=0),0,INDIRECT("'My Loans'!$D"&amp;'My Loans'!$N$21)),BN35)</f>
        <v>0</v>
      </c>
      <c r="X36" s="13">
        <f ca="1">IF(OR('My Loans'!$N$21="",'My Loans'!$N$21=0),0,W36*INDIRECT("'My Loans'!$E"&amp;'My Loans'!$N$21)/12)</f>
        <v>0</v>
      </c>
      <c r="Y36" s="13">
        <f ca="1">IF(OR('My Loans'!$N$21="",'My Loans'!$N$21=0),0,IF(W36&lt;0.005,0,MIN(INDIRECT("'My Loans'!$F"&amp;'My Loans'!$N$21),W36+X36)))</f>
        <v>0</v>
      </c>
      <c r="Z36" s="13">
        <f ca="1">'My Loans'!$B$13-(D36+G36+J36+M36+P36+S36+V36+Y36)</f>
        <v>463</v>
      </c>
      <c r="AA36" s="13">
        <f t="shared" ca="1" si="43"/>
        <v>463</v>
      </c>
      <c r="AB36" s="13">
        <f t="shared" ca="1" si="44"/>
        <v>1456.0307917366104</v>
      </c>
      <c r="AC36" s="13">
        <f t="shared" ca="1" si="45"/>
        <v>463</v>
      </c>
      <c r="AD36" s="13">
        <f t="shared" ca="1" si="46"/>
        <v>873</v>
      </c>
      <c r="AE36" s="13">
        <f t="shared" ca="1" si="47"/>
        <v>993.03079173661035</v>
      </c>
      <c r="AF36" s="13">
        <f t="shared" ca="1" si="48"/>
        <v>0</v>
      </c>
      <c r="AG36" s="13">
        <f t="shared" ca="1" si="49"/>
        <v>11394.769301606366</v>
      </c>
      <c r="AH36" s="13">
        <f t="shared" ca="1" si="50"/>
        <v>0</v>
      </c>
      <c r="AI36" s="13">
        <f t="shared" ca="1" si="51"/>
        <v>178</v>
      </c>
      <c r="AJ36" s="13">
        <f t="shared" ca="1" si="52"/>
        <v>11394.769301606366</v>
      </c>
      <c r="AK36" s="13">
        <f t="shared" ca="1" si="53"/>
        <v>0</v>
      </c>
      <c r="AL36" s="13">
        <f t="shared" ca="1" si="54"/>
        <v>9644.1865245817498</v>
      </c>
      <c r="AM36" s="13">
        <f t="shared" ca="1" si="55"/>
        <v>0</v>
      </c>
      <c r="AN36" s="13">
        <f t="shared" ca="1" si="56"/>
        <v>142</v>
      </c>
      <c r="AO36" s="13">
        <f t="shared" ca="1" si="57"/>
        <v>9644.1865245817498</v>
      </c>
      <c r="AP36" s="13">
        <f t="shared" ca="1" si="58"/>
        <v>0</v>
      </c>
      <c r="AQ36" s="13">
        <f t="shared" ca="1" si="59"/>
        <v>7097.5751297532806</v>
      </c>
      <c r="AR36" s="13">
        <f t="shared" ca="1" si="60"/>
        <v>0</v>
      </c>
      <c r="AS36" s="13">
        <f t="shared" ca="1" si="61"/>
        <v>112</v>
      </c>
      <c r="AT36" s="13">
        <f t="shared" ca="1" si="62"/>
        <v>7097.5751297532806</v>
      </c>
      <c r="AU36" s="13">
        <f t="shared" ca="1" si="63"/>
        <v>0</v>
      </c>
      <c r="AV36" s="13">
        <f t="shared" ca="1" si="64"/>
        <v>5801.7970692132831</v>
      </c>
      <c r="AW36" s="13">
        <f t="shared" ca="1" si="65"/>
        <v>0</v>
      </c>
      <c r="AX36" s="13">
        <f t="shared" ca="1" si="66"/>
        <v>95</v>
      </c>
      <c r="AY36" s="13">
        <f t="shared" ca="1" si="67"/>
        <v>5801.7970692132831</v>
      </c>
      <c r="AZ36" s="13">
        <f t="shared" ca="1" si="68"/>
        <v>0</v>
      </c>
      <c r="BA36" s="13">
        <f t="shared" ca="1" si="69"/>
        <v>0</v>
      </c>
      <c r="BB36" s="13">
        <f t="shared" ca="1" si="70"/>
        <v>0</v>
      </c>
      <c r="BC36" s="13">
        <f t="shared" ca="1" si="71"/>
        <v>0</v>
      </c>
      <c r="BD36" s="13">
        <f t="shared" ca="1" si="72"/>
        <v>0</v>
      </c>
      <c r="BE36" s="13">
        <f t="shared" ca="1" si="73"/>
        <v>0</v>
      </c>
      <c r="BF36" s="13">
        <f t="shared" ca="1" si="74"/>
        <v>0</v>
      </c>
      <c r="BG36" s="13">
        <f t="shared" ca="1" si="75"/>
        <v>0</v>
      </c>
      <c r="BH36" s="13">
        <f t="shared" ca="1" si="76"/>
        <v>0</v>
      </c>
      <c r="BI36" s="13">
        <f t="shared" ca="1" si="77"/>
        <v>0</v>
      </c>
      <c r="BJ36" s="13">
        <f t="shared" ca="1" si="78"/>
        <v>0</v>
      </c>
      <c r="BK36" s="13">
        <f t="shared" ca="1" si="79"/>
        <v>0</v>
      </c>
      <c r="BL36" s="13">
        <f t="shared" ca="1" si="80"/>
        <v>0</v>
      </c>
      <c r="BM36" s="13">
        <f t="shared" ca="1" si="81"/>
        <v>0</v>
      </c>
      <c r="BN36" s="13">
        <f t="shared" ca="1" si="82"/>
        <v>0</v>
      </c>
      <c r="BO36" s="13">
        <f t="shared" ca="1" si="83"/>
        <v>1400</v>
      </c>
      <c r="BP36" s="13">
        <f t="shared" ca="1" si="84"/>
        <v>167.68812574922566</v>
      </c>
      <c r="BQ36" s="13">
        <f t="shared" ca="1" si="85"/>
        <v>34931.35881689129</v>
      </c>
    </row>
    <row r="37" spans="1:69" x14ac:dyDescent="0.25">
      <c r="A37" s="1">
        <v>36</v>
      </c>
      <c r="B37" s="13">
        <f ca="1">IF(A37=1,IF(OR('My Loans'!$N$14="",'My Loans'!$N$14=0),0,INDIRECT("'My Loans'!$D"&amp;'My Loans'!$N$14)),AE36)</f>
        <v>993.03079173661035</v>
      </c>
      <c r="C37" s="13">
        <f ca="1">IF(OR('My Loans'!$N$14="",'My Loans'!$N$14=0),0,B37*INDIRECT("'My Loans'!$E"&amp;'My Loans'!$N$14)/12)</f>
        <v>6.5374527122660178</v>
      </c>
      <c r="D37" s="13">
        <f ca="1">IF(OR('My Loans'!$N$14="",'My Loans'!$N$14=0),0,IF(B37&lt;0.005,0,MIN(INDIRECT("'My Loans'!$F"&amp;'My Loans'!$N$14),B37+C37)))</f>
        <v>410</v>
      </c>
      <c r="E37" s="13">
        <f ca="1">IF(A37=1,IF(OR('My Loans'!$N$15="",'My Loans'!$N$15=0),0,INDIRECT("'My Loans'!$D"&amp;'My Loans'!$N$15)),AJ36)</f>
        <v>11394.769301606366</v>
      </c>
      <c r="F37" s="13">
        <f ca="1">IF(OR('My Loans'!$N$15="",'My Loans'!$N$15=0),0,E37*INDIRECT("'My Loans'!$E"&amp;'My Loans'!$N$15)/12)</f>
        <v>58.87297472496622</v>
      </c>
      <c r="G37" s="13">
        <f ca="1">IF(OR('My Loans'!$N$15="",'My Loans'!$N$15=0),0,IF(E37&lt;0.005,0,MIN(INDIRECT("'My Loans'!$F"&amp;'My Loans'!$N$15),E37+F37)))</f>
        <v>178</v>
      </c>
      <c r="H37" s="13">
        <f ca="1">IF(A37=1,IF(OR('My Loans'!$N$16="",'My Loans'!$N$16=0),0,INDIRECT("'My Loans'!$D"&amp;'My Loans'!$N$16)),AO36)</f>
        <v>9644.1865245817498</v>
      </c>
      <c r="I37" s="13">
        <f ca="1">IF(OR('My Loans'!$N$16="",'My Loans'!$N$16=0),0,H37*INDIRECT("'My Loans'!$E"&amp;'My Loans'!$N$16)/12)</f>
        <v>44.202521570999686</v>
      </c>
      <c r="J37" s="13">
        <f ca="1">IF(OR('My Loans'!$N$16="",'My Loans'!$N$16=0),0,IF(H37&lt;0.005,0,MIN(INDIRECT("'My Loans'!$F"&amp;'My Loans'!$N$16),H37+I37)))</f>
        <v>142</v>
      </c>
      <c r="K37" s="13">
        <f ca="1">IF(A37=1,IF(OR('My Loans'!$N$17="",'My Loans'!$N$17=0),0,INDIRECT("'My Loans'!$D"&amp;'My Loans'!$N$17)),AT36)</f>
        <v>7097.5751297532806</v>
      </c>
      <c r="L37" s="13">
        <f ca="1">IF(OR('My Loans'!$N$17="",'My Loans'!$N$17=0),0,K37*INDIRECT("'My Loans'!$E"&amp;'My Loans'!$N$17)/12)</f>
        <v>28.981765113159231</v>
      </c>
      <c r="M37" s="13">
        <f ca="1">IF(OR('My Loans'!$N$17="",'My Loans'!$N$17=0),0,IF(K37&lt;0.005,0,MIN(INDIRECT("'My Loans'!$F"&amp;'My Loans'!$N$17),K37+L37)))</f>
        <v>112</v>
      </c>
      <c r="N37" s="13">
        <f ca="1">IF(A37=1,IF(OR('My Loans'!$N$18="",'My Loans'!$N$18=0),0,INDIRECT("'My Loans'!$D"&amp;'My Loans'!$N$18)),AY36)</f>
        <v>5801.7970692132831</v>
      </c>
      <c r="O37" s="13">
        <f ca="1">IF(OR('My Loans'!$N$18="",'My Loans'!$N$18=0),0,N37*INDIRECT("'My Loans'!$E"&amp;'My Loans'!$N$18)/12)</f>
        <v>21.756739009549808</v>
      </c>
      <c r="P37" s="13">
        <f ca="1">IF(OR('My Loans'!$N$18="",'My Loans'!$N$18=0),0,IF(N37&lt;0.005,0,MIN(INDIRECT("'My Loans'!$F"&amp;'My Loans'!$N$18),N37+O37)))</f>
        <v>95</v>
      </c>
      <c r="Q37" s="13">
        <f ca="1">IF(A37=1,IF(OR('My Loans'!$N$19="",'My Loans'!$N$19=0),0,INDIRECT("'My Loans'!$D"&amp;'My Loans'!$N$19)),BD36)</f>
        <v>0</v>
      </c>
      <c r="R37" s="13">
        <f ca="1">IF(OR('My Loans'!$N$19="",'My Loans'!$N$19=0),0,Q37*INDIRECT("'My Loans'!$E"&amp;'My Loans'!$N$19)/12)</f>
        <v>0</v>
      </c>
      <c r="S37" s="13">
        <f ca="1">IF(OR('My Loans'!$N$19="",'My Loans'!$N$19=0),0,IF(Q37&lt;0.005,0,MIN(INDIRECT("'My Loans'!$F"&amp;'My Loans'!$N$19),Q37+R37)))</f>
        <v>0</v>
      </c>
      <c r="T37" s="13">
        <f ca="1">IF(A37=1,IF(OR('My Loans'!$N$20="",'My Loans'!$N$20=0),0,INDIRECT("'My Loans'!$D"&amp;'My Loans'!$N$20)),BI36)</f>
        <v>0</v>
      </c>
      <c r="U37" s="13">
        <f ca="1">IF(OR('My Loans'!$N$20="",'My Loans'!$N$20=0),0,T37*INDIRECT("'My Loans'!$E"&amp;'My Loans'!$N$20)/12)</f>
        <v>0</v>
      </c>
      <c r="V37" s="13">
        <f ca="1">IF(OR('My Loans'!$N$20="",'My Loans'!$N$20=0),0,IF(T37&lt;0.005,0,MIN(INDIRECT("'My Loans'!$F"&amp;'My Loans'!$N$20),T37+U37)))</f>
        <v>0</v>
      </c>
      <c r="W37" s="13">
        <f ca="1">IF(A37=1,IF(OR('My Loans'!$N$21="",'My Loans'!$N$21=0),0,INDIRECT("'My Loans'!$D"&amp;'My Loans'!$N$21)),BN36)</f>
        <v>0</v>
      </c>
      <c r="X37" s="13">
        <f ca="1">IF(OR('My Loans'!$N$21="",'My Loans'!$N$21=0),0,W37*INDIRECT("'My Loans'!$E"&amp;'My Loans'!$N$21)/12)</f>
        <v>0</v>
      </c>
      <c r="Y37" s="13">
        <f ca="1">IF(OR('My Loans'!$N$21="",'My Loans'!$N$21=0),0,IF(W37&lt;0.005,0,MIN(INDIRECT("'My Loans'!$F"&amp;'My Loans'!$N$21),W37+X37)))</f>
        <v>0</v>
      </c>
      <c r="Z37" s="13">
        <f ca="1">'My Loans'!$B$13-(D37+G37+J37+M37+P37+S37+V37+Y37)</f>
        <v>463</v>
      </c>
      <c r="AA37" s="13">
        <f t="shared" ca="1" si="43"/>
        <v>463</v>
      </c>
      <c r="AB37" s="13">
        <f t="shared" ca="1" si="44"/>
        <v>589.56824444887638</v>
      </c>
      <c r="AC37" s="13">
        <f t="shared" ca="1" si="45"/>
        <v>463</v>
      </c>
      <c r="AD37" s="13">
        <f t="shared" ca="1" si="46"/>
        <v>873</v>
      </c>
      <c r="AE37" s="13">
        <f t="shared" ca="1" si="47"/>
        <v>126.56824444887638</v>
      </c>
      <c r="AF37" s="13">
        <f t="shared" ca="1" si="48"/>
        <v>0</v>
      </c>
      <c r="AG37" s="13">
        <f t="shared" ca="1" si="49"/>
        <v>11275.642276331331</v>
      </c>
      <c r="AH37" s="13">
        <f t="shared" ca="1" si="50"/>
        <v>0</v>
      </c>
      <c r="AI37" s="13">
        <f t="shared" ca="1" si="51"/>
        <v>178</v>
      </c>
      <c r="AJ37" s="13">
        <f t="shared" ca="1" si="52"/>
        <v>11275.642276331331</v>
      </c>
      <c r="AK37" s="13">
        <f t="shared" ca="1" si="53"/>
        <v>0</v>
      </c>
      <c r="AL37" s="13">
        <f t="shared" ca="1" si="54"/>
        <v>9546.3890461527499</v>
      </c>
      <c r="AM37" s="13">
        <f t="shared" ca="1" si="55"/>
        <v>0</v>
      </c>
      <c r="AN37" s="13">
        <f t="shared" ca="1" si="56"/>
        <v>142</v>
      </c>
      <c r="AO37" s="13">
        <f t="shared" ca="1" si="57"/>
        <v>9546.3890461527499</v>
      </c>
      <c r="AP37" s="13">
        <f t="shared" ca="1" si="58"/>
        <v>0</v>
      </c>
      <c r="AQ37" s="13">
        <f t="shared" ca="1" si="59"/>
        <v>7014.5568948664395</v>
      </c>
      <c r="AR37" s="13">
        <f t="shared" ca="1" si="60"/>
        <v>0</v>
      </c>
      <c r="AS37" s="13">
        <f t="shared" ca="1" si="61"/>
        <v>112</v>
      </c>
      <c r="AT37" s="13">
        <f t="shared" ca="1" si="62"/>
        <v>7014.5568948664395</v>
      </c>
      <c r="AU37" s="13">
        <f t="shared" ca="1" si="63"/>
        <v>0</v>
      </c>
      <c r="AV37" s="13">
        <f t="shared" ca="1" si="64"/>
        <v>5728.5538082228331</v>
      </c>
      <c r="AW37" s="13">
        <f t="shared" ca="1" si="65"/>
        <v>0</v>
      </c>
      <c r="AX37" s="13">
        <f t="shared" ca="1" si="66"/>
        <v>95</v>
      </c>
      <c r="AY37" s="13">
        <f t="shared" ca="1" si="67"/>
        <v>5728.5538082228331</v>
      </c>
      <c r="AZ37" s="13">
        <f t="shared" ca="1" si="68"/>
        <v>0</v>
      </c>
      <c r="BA37" s="13">
        <f t="shared" ca="1" si="69"/>
        <v>0</v>
      </c>
      <c r="BB37" s="13">
        <f t="shared" ca="1" si="70"/>
        <v>0</v>
      </c>
      <c r="BC37" s="13">
        <f t="shared" ca="1" si="71"/>
        <v>0</v>
      </c>
      <c r="BD37" s="13">
        <f t="shared" ca="1" si="72"/>
        <v>0</v>
      </c>
      <c r="BE37" s="13">
        <f t="shared" ca="1" si="73"/>
        <v>0</v>
      </c>
      <c r="BF37" s="13">
        <f t="shared" ca="1" si="74"/>
        <v>0</v>
      </c>
      <c r="BG37" s="13">
        <f t="shared" ca="1" si="75"/>
        <v>0</v>
      </c>
      <c r="BH37" s="13">
        <f t="shared" ca="1" si="76"/>
        <v>0</v>
      </c>
      <c r="BI37" s="13">
        <f t="shared" ca="1" si="77"/>
        <v>0</v>
      </c>
      <c r="BJ37" s="13">
        <f t="shared" ca="1" si="78"/>
        <v>0</v>
      </c>
      <c r="BK37" s="13">
        <f t="shared" ca="1" si="79"/>
        <v>0</v>
      </c>
      <c r="BL37" s="13">
        <f t="shared" ca="1" si="80"/>
        <v>0</v>
      </c>
      <c r="BM37" s="13">
        <f t="shared" ca="1" si="81"/>
        <v>0</v>
      </c>
      <c r="BN37" s="13">
        <f t="shared" ca="1" si="82"/>
        <v>0</v>
      </c>
      <c r="BO37" s="13">
        <f t="shared" ca="1" si="83"/>
        <v>1400</v>
      </c>
      <c r="BP37" s="13">
        <f t="shared" ca="1" si="84"/>
        <v>160.351453130941</v>
      </c>
      <c r="BQ37" s="13">
        <f t="shared" ca="1" si="85"/>
        <v>33691.710270022231</v>
      </c>
    </row>
    <row r="38" spans="1:69" x14ac:dyDescent="0.25">
      <c r="A38" s="1">
        <v>37</v>
      </c>
      <c r="B38" s="13">
        <f ca="1">IF(A38=1,IF(OR('My Loans'!$N$14="",'My Loans'!$N$14=0),0,INDIRECT("'My Loans'!$D"&amp;'My Loans'!$N$14)),AE37)</f>
        <v>126.56824444887638</v>
      </c>
      <c r="C38" s="13">
        <f ca="1">IF(OR('My Loans'!$N$14="",'My Loans'!$N$14=0),0,B38*INDIRECT("'My Loans'!$E"&amp;'My Loans'!$N$14)/12)</f>
        <v>0.83324094262176951</v>
      </c>
      <c r="D38" s="13">
        <f ca="1">IF(OR('My Loans'!$N$14="",'My Loans'!$N$14=0),0,IF(B38&lt;0.005,0,MIN(INDIRECT("'My Loans'!$F"&amp;'My Loans'!$N$14),B38+C38)))</f>
        <v>127.40148539149816</v>
      </c>
      <c r="E38" s="13">
        <f ca="1">IF(A38=1,IF(OR('My Loans'!$N$15="",'My Loans'!$N$15=0),0,INDIRECT("'My Loans'!$D"&amp;'My Loans'!$N$15)),AJ37)</f>
        <v>11275.642276331331</v>
      </c>
      <c r="F38" s="13">
        <f ca="1">IF(OR('My Loans'!$N$15="",'My Loans'!$N$15=0),0,E38*INDIRECT("'My Loans'!$E"&amp;'My Loans'!$N$15)/12)</f>
        <v>58.257485094378545</v>
      </c>
      <c r="G38" s="13">
        <f ca="1">IF(OR('My Loans'!$N$15="",'My Loans'!$N$15=0),0,IF(E38&lt;0.005,0,MIN(INDIRECT("'My Loans'!$F"&amp;'My Loans'!$N$15),E38+F38)))</f>
        <v>178</v>
      </c>
      <c r="H38" s="13">
        <f ca="1">IF(A38=1,IF(OR('My Loans'!$N$16="",'My Loans'!$N$16=0),0,INDIRECT("'My Loans'!$D"&amp;'My Loans'!$N$16)),AO37)</f>
        <v>9546.3890461527499</v>
      </c>
      <c r="I38" s="13">
        <f ca="1">IF(OR('My Loans'!$N$16="",'My Loans'!$N$16=0),0,H38*INDIRECT("'My Loans'!$E"&amp;'My Loans'!$N$16)/12)</f>
        <v>43.754283128200107</v>
      </c>
      <c r="J38" s="13">
        <f ca="1">IF(OR('My Loans'!$N$16="",'My Loans'!$N$16=0),0,IF(H38&lt;0.005,0,MIN(INDIRECT("'My Loans'!$F"&amp;'My Loans'!$N$16),H38+I38)))</f>
        <v>142</v>
      </c>
      <c r="K38" s="13">
        <f ca="1">IF(A38=1,IF(OR('My Loans'!$N$17="",'My Loans'!$N$17=0),0,INDIRECT("'My Loans'!$D"&amp;'My Loans'!$N$17)),AT37)</f>
        <v>7014.5568948664395</v>
      </c>
      <c r="L38" s="13">
        <f ca="1">IF(OR('My Loans'!$N$17="",'My Loans'!$N$17=0),0,K38*INDIRECT("'My Loans'!$E"&amp;'My Loans'!$N$17)/12)</f>
        <v>28.642773987371296</v>
      </c>
      <c r="M38" s="13">
        <f ca="1">IF(OR('My Loans'!$N$17="",'My Loans'!$N$17=0),0,IF(K38&lt;0.005,0,MIN(INDIRECT("'My Loans'!$F"&amp;'My Loans'!$N$17),K38+L38)))</f>
        <v>112</v>
      </c>
      <c r="N38" s="13">
        <f ca="1">IF(A38=1,IF(OR('My Loans'!$N$18="",'My Loans'!$N$18=0),0,INDIRECT("'My Loans'!$D"&amp;'My Loans'!$N$18)),AY37)</f>
        <v>5728.5538082228331</v>
      </c>
      <c r="O38" s="13">
        <f ca="1">IF(OR('My Loans'!$N$18="",'My Loans'!$N$18=0),0,N38*INDIRECT("'My Loans'!$E"&amp;'My Loans'!$N$18)/12)</f>
        <v>21.482076780835623</v>
      </c>
      <c r="P38" s="13">
        <f ca="1">IF(OR('My Loans'!$N$18="",'My Loans'!$N$18=0),0,IF(N38&lt;0.005,0,MIN(INDIRECT("'My Loans'!$F"&amp;'My Loans'!$N$18),N38+O38)))</f>
        <v>95</v>
      </c>
      <c r="Q38" s="13">
        <f ca="1">IF(A38=1,IF(OR('My Loans'!$N$19="",'My Loans'!$N$19=0),0,INDIRECT("'My Loans'!$D"&amp;'My Loans'!$N$19)),BD37)</f>
        <v>0</v>
      </c>
      <c r="R38" s="13">
        <f ca="1">IF(OR('My Loans'!$N$19="",'My Loans'!$N$19=0),0,Q38*INDIRECT("'My Loans'!$E"&amp;'My Loans'!$N$19)/12)</f>
        <v>0</v>
      </c>
      <c r="S38" s="13">
        <f ca="1">IF(OR('My Loans'!$N$19="",'My Loans'!$N$19=0),0,IF(Q38&lt;0.005,0,MIN(INDIRECT("'My Loans'!$F"&amp;'My Loans'!$N$19),Q38+R38)))</f>
        <v>0</v>
      </c>
      <c r="T38" s="13">
        <f ca="1">IF(A38=1,IF(OR('My Loans'!$N$20="",'My Loans'!$N$20=0),0,INDIRECT("'My Loans'!$D"&amp;'My Loans'!$N$20)),BI37)</f>
        <v>0</v>
      </c>
      <c r="U38" s="13">
        <f ca="1">IF(OR('My Loans'!$N$20="",'My Loans'!$N$20=0),0,T38*INDIRECT("'My Loans'!$E"&amp;'My Loans'!$N$20)/12)</f>
        <v>0</v>
      </c>
      <c r="V38" s="13">
        <f ca="1">IF(OR('My Loans'!$N$20="",'My Loans'!$N$20=0),0,IF(T38&lt;0.005,0,MIN(INDIRECT("'My Loans'!$F"&amp;'My Loans'!$N$20),T38+U38)))</f>
        <v>0</v>
      </c>
      <c r="W38" s="13">
        <f ca="1">IF(A38=1,IF(OR('My Loans'!$N$21="",'My Loans'!$N$21=0),0,INDIRECT("'My Loans'!$D"&amp;'My Loans'!$N$21)),BN37)</f>
        <v>0</v>
      </c>
      <c r="X38" s="13">
        <f ca="1">IF(OR('My Loans'!$N$21="",'My Loans'!$N$21=0),0,W38*INDIRECT("'My Loans'!$E"&amp;'My Loans'!$N$21)/12)</f>
        <v>0</v>
      </c>
      <c r="Y38" s="13">
        <f ca="1">IF(OR('My Loans'!$N$21="",'My Loans'!$N$21=0),0,IF(W38&lt;0.005,0,MIN(INDIRECT("'My Loans'!$F"&amp;'My Loans'!$N$21),W38+X38)))</f>
        <v>0</v>
      </c>
      <c r="Z38" s="13">
        <f ca="1">'My Loans'!$B$13-(D38+G38+J38+M38+P38+S38+V38+Y38)</f>
        <v>745.59851460850177</v>
      </c>
      <c r="AA38" s="13">
        <f t="shared" ca="1" si="43"/>
        <v>745.59851460850177</v>
      </c>
      <c r="AB38" s="13">
        <f t="shared" ca="1" si="44"/>
        <v>0</v>
      </c>
      <c r="AC38" s="13">
        <f t="shared" ca="1" si="45"/>
        <v>0</v>
      </c>
      <c r="AD38" s="13">
        <f t="shared" ca="1" si="46"/>
        <v>127.40148539149816</v>
      </c>
      <c r="AE38" s="13">
        <f t="shared" ca="1" si="47"/>
        <v>0</v>
      </c>
      <c r="AF38" s="13">
        <f t="shared" ca="1" si="48"/>
        <v>745.59851460850177</v>
      </c>
      <c r="AG38" s="13">
        <f t="shared" ca="1" si="49"/>
        <v>11155.89976142571</v>
      </c>
      <c r="AH38" s="13">
        <f t="shared" ca="1" si="50"/>
        <v>745.59851460850177</v>
      </c>
      <c r="AI38" s="13">
        <f t="shared" ca="1" si="51"/>
        <v>923.59851460850177</v>
      </c>
      <c r="AJ38" s="13">
        <f t="shared" ca="1" si="52"/>
        <v>10410.301246817207</v>
      </c>
      <c r="AK38" s="13">
        <f t="shared" ca="1" si="53"/>
        <v>0</v>
      </c>
      <c r="AL38" s="13">
        <f t="shared" ca="1" si="54"/>
        <v>9448.1433292809506</v>
      </c>
      <c r="AM38" s="13">
        <f t="shared" ca="1" si="55"/>
        <v>0</v>
      </c>
      <c r="AN38" s="13">
        <f t="shared" ca="1" si="56"/>
        <v>142</v>
      </c>
      <c r="AO38" s="13">
        <f t="shared" ca="1" si="57"/>
        <v>9448.1433292809506</v>
      </c>
      <c r="AP38" s="13">
        <f t="shared" ca="1" si="58"/>
        <v>0</v>
      </c>
      <c r="AQ38" s="13">
        <f t="shared" ca="1" si="59"/>
        <v>6931.1996688538111</v>
      </c>
      <c r="AR38" s="13">
        <f t="shared" ca="1" si="60"/>
        <v>0</v>
      </c>
      <c r="AS38" s="13">
        <f t="shared" ca="1" si="61"/>
        <v>112</v>
      </c>
      <c r="AT38" s="13">
        <f t="shared" ca="1" si="62"/>
        <v>6931.1996688538111</v>
      </c>
      <c r="AU38" s="13">
        <f t="shared" ca="1" si="63"/>
        <v>0</v>
      </c>
      <c r="AV38" s="13">
        <f t="shared" ca="1" si="64"/>
        <v>5655.0358850036691</v>
      </c>
      <c r="AW38" s="13">
        <f t="shared" ca="1" si="65"/>
        <v>0</v>
      </c>
      <c r="AX38" s="13">
        <f t="shared" ca="1" si="66"/>
        <v>95</v>
      </c>
      <c r="AY38" s="13">
        <f t="shared" ca="1" si="67"/>
        <v>5655.0358850036691</v>
      </c>
      <c r="AZ38" s="13">
        <f t="shared" ca="1" si="68"/>
        <v>0</v>
      </c>
      <c r="BA38" s="13">
        <f t="shared" ca="1" si="69"/>
        <v>0</v>
      </c>
      <c r="BB38" s="13">
        <f t="shared" ca="1" si="70"/>
        <v>0</v>
      </c>
      <c r="BC38" s="13">
        <f t="shared" ca="1" si="71"/>
        <v>0</v>
      </c>
      <c r="BD38" s="13">
        <f t="shared" ca="1" si="72"/>
        <v>0</v>
      </c>
      <c r="BE38" s="13">
        <f t="shared" ca="1" si="73"/>
        <v>0</v>
      </c>
      <c r="BF38" s="13">
        <f t="shared" ca="1" si="74"/>
        <v>0</v>
      </c>
      <c r="BG38" s="13">
        <f t="shared" ca="1" si="75"/>
        <v>0</v>
      </c>
      <c r="BH38" s="13">
        <f t="shared" ca="1" si="76"/>
        <v>0</v>
      </c>
      <c r="BI38" s="13">
        <f t="shared" ca="1" si="77"/>
        <v>0</v>
      </c>
      <c r="BJ38" s="13">
        <f t="shared" ca="1" si="78"/>
        <v>0</v>
      </c>
      <c r="BK38" s="13">
        <f t="shared" ca="1" si="79"/>
        <v>0</v>
      </c>
      <c r="BL38" s="13">
        <f t="shared" ca="1" si="80"/>
        <v>0</v>
      </c>
      <c r="BM38" s="13">
        <f t="shared" ca="1" si="81"/>
        <v>0</v>
      </c>
      <c r="BN38" s="13">
        <f t="shared" ca="1" si="82"/>
        <v>0</v>
      </c>
      <c r="BO38" s="13">
        <f t="shared" ca="1" si="83"/>
        <v>1400</v>
      </c>
      <c r="BP38" s="13">
        <f t="shared" ca="1" si="84"/>
        <v>152.96985993340735</v>
      </c>
      <c r="BQ38" s="13">
        <f t="shared" ca="1" si="85"/>
        <v>32444.680129955635</v>
      </c>
    </row>
    <row r="39" spans="1:69" x14ac:dyDescent="0.25">
      <c r="A39" s="1">
        <v>38</v>
      </c>
      <c r="B39" s="13">
        <f ca="1">IF(A39=1,IF(OR('My Loans'!$N$14="",'My Loans'!$N$14=0),0,INDIRECT("'My Loans'!$D"&amp;'My Loans'!$N$14)),AE38)</f>
        <v>0</v>
      </c>
      <c r="C39" s="13">
        <f ca="1">IF(OR('My Loans'!$N$14="",'My Loans'!$N$14=0),0,B39*INDIRECT("'My Loans'!$E"&amp;'My Loans'!$N$14)/12)</f>
        <v>0</v>
      </c>
      <c r="D39" s="13">
        <f ca="1">IF(OR('My Loans'!$N$14="",'My Loans'!$N$14=0),0,IF(B39&lt;0.005,0,MIN(INDIRECT("'My Loans'!$F"&amp;'My Loans'!$N$14),B39+C39)))</f>
        <v>0</v>
      </c>
      <c r="E39" s="13">
        <f ca="1">IF(A39=1,IF(OR('My Loans'!$N$15="",'My Loans'!$N$15=0),0,INDIRECT("'My Loans'!$D"&amp;'My Loans'!$N$15)),AJ38)</f>
        <v>10410.301246817207</v>
      </c>
      <c r="F39" s="13">
        <f ca="1">IF(OR('My Loans'!$N$15="",'My Loans'!$N$15=0),0,E39*INDIRECT("'My Loans'!$E"&amp;'My Loans'!$N$15)/12)</f>
        <v>53.786556441888905</v>
      </c>
      <c r="G39" s="13">
        <f ca="1">IF(OR('My Loans'!$N$15="",'My Loans'!$N$15=0),0,IF(E39&lt;0.005,0,MIN(INDIRECT("'My Loans'!$F"&amp;'My Loans'!$N$15),E39+F39)))</f>
        <v>178</v>
      </c>
      <c r="H39" s="13">
        <f ca="1">IF(A39=1,IF(OR('My Loans'!$N$16="",'My Loans'!$N$16=0),0,INDIRECT("'My Loans'!$D"&amp;'My Loans'!$N$16)),AO38)</f>
        <v>9448.1433292809506</v>
      </c>
      <c r="I39" s="13">
        <f ca="1">IF(OR('My Loans'!$N$16="",'My Loans'!$N$16=0),0,H39*INDIRECT("'My Loans'!$E"&amp;'My Loans'!$N$16)/12)</f>
        <v>43.303990259204362</v>
      </c>
      <c r="J39" s="13">
        <f ca="1">IF(OR('My Loans'!$N$16="",'My Loans'!$N$16=0),0,IF(H39&lt;0.005,0,MIN(INDIRECT("'My Loans'!$F"&amp;'My Loans'!$N$16),H39+I39)))</f>
        <v>142</v>
      </c>
      <c r="K39" s="13">
        <f ca="1">IF(A39=1,IF(OR('My Loans'!$N$17="",'My Loans'!$N$17=0),0,INDIRECT("'My Loans'!$D"&amp;'My Loans'!$N$17)),AT38)</f>
        <v>6931.1996688538111</v>
      </c>
      <c r="L39" s="13">
        <f ca="1">IF(OR('My Loans'!$N$17="",'My Loans'!$N$17=0),0,K39*INDIRECT("'My Loans'!$E"&amp;'My Loans'!$N$17)/12)</f>
        <v>28.302398647819729</v>
      </c>
      <c r="M39" s="13">
        <f ca="1">IF(OR('My Loans'!$N$17="",'My Loans'!$N$17=0),0,IF(K39&lt;0.005,0,MIN(INDIRECT("'My Loans'!$F"&amp;'My Loans'!$N$17),K39+L39)))</f>
        <v>112</v>
      </c>
      <c r="N39" s="13">
        <f ca="1">IF(A39=1,IF(OR('My Loans'!$N$18="",'My Loans'!$N$18=0),0,INDIRECT("'My Loans'!$D"&amp;'My Loans'!$N$18)),AY38)</f>
        <v>5655.0358850036691</v>
      </c>
      <c r="O39" s="13">
        <f ca="1">IF(OR('My Loans'!$N$18="",'My Loans'!$N$18=0),0,N39*INDIRECT("'My Loans'!$E"&amp;'My Loans'!$N$18)/12)</f>
        <v>21.20638456876376</v>
      </c>
      <c r="P39" s="13">
        <f ca="1">IF(OR('My Loans'!$N$18="",'My Loans'!$N$18=0),0,IF(N39&lt;0.005,0,MIN(INDIRECT("'My Loans'!$F"&amp;'My Loans'!$N$18),N39+O39)))</f>
        <v>95</v>
      </c>
      <c r="Q39" s="13">
        <f ca="1">IF(A39=1,IF(OR('My Loans'!$N$19="",'My Loans'!$N$19=0),0,INDIRECT("'My Loans'!$D"&amp;'My Loans'!$N$19)),BD38)</f>
        <v>0</v>
      </c>
      <c r="R39" s="13">
        <f ca="1">IF(OR('My Loans'!$N$19="",'My Loans'!$N$19=0),0,Q39*INDIRECT("'My Loans'!$E"&amp;'My Loans'!$N$19)/12)</f>
        <v>0</v>
      </c>
      <c r="S39" s="13">
        <f ca="1">IF(OR('My Loans'!$N$19="",'My Loans'!$N$19=0),0,IF(Q39&lt;0.005,0,MIN(INDIRECT("'My Loans'!$F"&amp;'My Loans'!$N$19),Q39+R39)))</f>
        <v>0</v>
      </c>
      <c r="T39" s="13">
        <f ca="1">IF(A39=1,IF(OR('My Loans'!$N$20="",'My Loans'!$N$20=0),0,INDIRECT("'My Loans'!$D"&amp;'My Loans'!$N$20)),BI38)</f>
        <v>0</v>
      </c>
      <c r="U39" s="13">
        <f ca="1">IF(OR('My Loans'!$N$20="",'My Loans'!$N$20=0),0,T39*INDIRECT("'My Loans'!$E"&amp;'My Loans'!$N$20)/12)</f>
        <v>0</v>
      </c>
      <c r="V39" s="13">
        <f ca="1">IF(OR('My Loans'!$N$20="",'My Loans'!$N$20=0),0,IF(T39&lt;0.005,0,MIN(INDIRECT("'My Loans'!$F"&amp;'My Loans'!$N$20),T39+U39)))</f>
        <v>0</v>
      </c>
      <c r="W39" s="13">
        <f ca="1">IF(A39=1,IF(OR('My Loans'!$N$21="",'My Loans'!$N$21=0),0,INDIRECT("'My Loans'!$D"&amp;'My Loans'!$N$21)),BN38)</f>
        <v>0</v>
      </c>
      <c r="X39" s="13">
        <f ca="1">IF(OR('My Loans'!$N$21="",'My Loans'!$N$21=0),0,W39*INDIRECT("'My Loans'!$E"&amp;'My Loans'!$N$21)/12)</f>
        <v>0</v>
      </c>
      <c r="Y39" s="13">
        <f ca="1">IF(OR('My Loans'!$N$21="",'My Loans'!$N$21=0),0,IF(W39&lt;0.005,0,MIN(INDIRECT("'My Loans'!$F"&amp;'My Loans'!$N$21),W39+X39)))</f>
        <v>0</v>
      </c>
      <c r="Z39" s="13">
        <f ca="1">'My Loans'!$B$13-(D39+G39+J39+M39+P39+S39+V39+Y39)</f>
        <v>873</v>
      </c>
      <c r="AA39" s="13">
        <f t="shared" ca="1" si="43"/>
        <v>873</v>
      </c>
      <c r="AB39" s="13">
        <f t="shared" ca="1" si="44"/>
        <v>0</v>
      </c>
      <c r="AC39" s="13">
        <f t="shared" ca="1" si="45"/>
        <v>0</v>
      </c>
      <c r="AD39" s="13">
        <f t="shared" ca="1" si="46"/>
        <v>0</v>
      </c>
      <c r="AE39" s="13">
        <f t="shared" ca="1" si="47"/>
        <v>0</v>
      </c>
      <c r="AF39" s="13">
        <f t="shared" ca="1" si="48"/>
        <v>873</v>
      </c>
      <c r="AG39" s="13">
        <f t="shared" ca="1" si="49"/>
        <v>10286.087803259095</v>
      </c>
      <c r="AH39" s="13">
        <f t="shared" ca="1" si="50"/>
        <v>873</v>
      </c>
      <c r="AI39" s="13">
        <f t="shared" ca="1" si="51"/>
        <v>1051</v>
      </c>
      <c r="AJ39" s="13">
        <f t="shared" ca="1" si="52"/>
        <v>9413.0878032590954</v>
      </c>
      <c r="AK39" s="13">
        <f t="shared" ca="1" si="53"/>
        <v>0</v>
      </c>
      <c r="AL39" s="13">
        <f t="shared" ca="1" si="54"/>
        <v>9349.4473195401551</v>
      </c>
      <c r="AM39" s="13">
        <f t="shared" ca="1" si="55"/>
        <v>0</v>
      </c>
      <c r="AN39" s="13">
        <f t="shared" ca="1" si="56"/>
        <v>142</v>
      </c>
      <c r="AO39" s="13">
        <f t="shared" ca="1" si="57"/>
        <v>9349.4473195401551</v>
      </c>
      <c r="AP39" s="13">
        <f t="shared" ca="1" si="58"/>
        <v>0</v>
      </c>
      <c r="AQ39" s="13">
        <f t="shared" ca="1" si="59"/>
        <v>6847.5020675016312</v>
      </c>
      <c r="AR39" s="13">
        <f t="shared" ca="1" si="60"/>
        <v>0</v>
      </c>
      <c r="AS39" s="13">
        <f t="shared" ca="1" si="61"/>
        <v>112</v>
      </c>
      <c r="AT39" s="13">
        <f t="shared" ca="1" si="62"/>
        <v>6847.5020675016312</v>
      </c>
      <c r="AU39" s="13">
        <f t="shared" ca="1" si="63"/>
        <v>0</v>
      </c>
      <c r="AV39" s="13">
        <f t="shared" ca="1" si="64"/>
        <v>5581.2422695724326</v>
      </c>
      <c r="AW39" s="13">
        <f t="shared" ca="1" si="65"/>
        <v>0</v>
      </c>
      <c r="AX39" s="13">
        <f t="shared" ca="1" si="66"/>
        <v>95</v>
      </c>
      <c r="AY39" s="13">
        <f t="shared" ca="1" si="67"/>
        <v>5581.2422695724326</v>
      </c>
      <c r="AZ39" s="13">
        <f t="shared" ca="1" si="68"/>
        <v>0</v>
      </c>
      <c r="BA39" s="13">
        <f t="shared" ca="1" si="69"/>
        <v>0</v>
      </c>
      <c r="BB39" s="13">
        <f t="shared" ca="1" si="70"/>
        <v>0</v>
      </c>
      <c r="BC39" s="13">
        <f t="shared" ca="1" si="71"/>
        <v>0</v>
      </c>
      <c r="BD39" s="13">
        <f t="shared" ca="1" si="72"/>
        <v>0</v>
      </c>
      <c r="BE39" s="13">
        <f t="shared" ca="1" si="73"/>
        <v>0</v>
      </c>
      <c r="BF39" s="13">
        <f t="shared" ca="1" si="74"/>
        <v>0</v>
      </c>
      <c r="BG39" s="13">
        <f t="shared" ca="1" si="75"/>
        <v>0</v>
      </c>
      <c r="BH39" s="13">
        <f t="shared" ca="1" si="76"/>
        <v>0</v>
      </c>
      <c r="BI39" s="13">
        <f t="shared" ca="1" si="77"/>
        <v>0</v>
      </c>
      <c r="BJ39" s="13">
        <f t="shared" ca="1" si="78"/>
        <v>0</v>
      </c>
      <c r="BK39" s="13">
        <f t="shared" ca="1" si="79"/>
        <v>0</v>
      </c>
      <c r="BL39" s="13">
        <f t="shared" ca="1" si="80"/>
        <v>0</v>
      </c>
      <c r="BM39" s="13">
        <f t="shared" ca="1" si="81"/>
        <v>0</v>
      </c>
      <c r="BN39" s="13">
        <f t="shared" ca="1" si="82"/>
        <v>0</v>
      </c>
      <c r="BO39" s="13">
        <f t="shared" ca="1" si="83"/>
        <v>1400</v>
      </c>
      <c r="BP39" s="13">
        <f t="shared" ca="1" si="84"/>
        <v>146.59932991767676</v>
      </c>
      <c r="BQ39" s="13">
        <f t="shared" ca="1" si="85"/>
        <v>31191.279459873316</v>
      </c>
    </row>
    <row r="40" spans="1:69" x14ac:dyDescent="0.25">
      <c r="A40" s="1">
        <v>39</v>
      </c>
      <c r="B40" s="13">
        <f ca="1">IF(A40=1,IF(OR('My Loans'!$N$14="",'My Loans'!$N$14=0),0,INDIRECT("'My Loans'!$D"&amp;'My Loans'!$N$14)),AE39)</f>
        <v>0</v>
      </c>
      <c r="C40" s="13">
        <f ca="1">IF(OR('My Loans'!$N$14="",'My Loans'!$N$14=0),0,B40*INDIRECT("'My Loans'!$E"&amp;'My Loans'!$N$14)/12)</f>
        <v>0</v>
      </c>
      <c r="D40" s="13">
        <f ca="1">IF(OR('My Loans'!$N$14="",'My Loans'!$N$14=0),0,IF(B40&lt;0.005,0,MIN(INDIRECT("'My Loans'!$F"&amp;'My Loans'!$N$14),B40+C40)))</f>
        <v>0</v>
      </c>
      <c r="E40" s="13">
        <f ca="1">IF(A40=1,IF(OR('My Loans'!$N$15="",'My Loans'!$N$15=0),0,INDIRECT("'My Loans'!$D"&amp;'My Loans'!$N$15)),AJ39)</f>
        <v>9413.0878032590954</v>
      </c>
      <c r="F40" s="13">
        <f ca="1">IF(OR('My Loans'!$N$15="",'My Loans'!$N$15=0),0,E40*INDIRECT("'My Loans'!$E"&amp;'My Loans'!$N$15)/12)</f>
        <v>48.634286983505326</v>
      </c>
      <c r="G40" s="13">
        <f ca="1">IF(OR('My Loans'!$N$15="",'My Loans'!$N$15=0),0,IF(E40&lt;0.005,0,MIN(INDIRECT("'My Loans'!$F"&amp;'My Loans'!$N$15),E40+F40)))</f>
        <v>178</v>
      </c>
      <c r="H40" s="13">
        <f ca="1">IF(A40=1,IF(OR('My Loans'!$N$16="",'My Loans'!$N$16=0),0,INDIRECT("'My Loans'!$D"&amp;'My Loans'!$N$16)),AO39)</f>
        <v>9349.4473195401551</v>
      </c>
      <c r="I40" s="13">
        <f ca="1">IF(OR('My Loans'!$N$16="",'My Loans'!$N$16=0),0,H40*INDIRECT("'My Loans'!$E"&amp;'My Loans'!$N$16)/12)</f>
        <v>42.851633547892384</v>
      </c>
      <c r="J40" s="13">
        <f ca="1">IF(OR('My Loans'!$N$16="",'My Loans'!$N$16=0),0,IF(H40&lt;0.005,0,MIN(INDIRECT("'My Loans'!$F"&amp;'My Loans'!$N$16),H40+I40)))</f>
        <v>142</v>
      </c>
      <c r="K40" s="13">
        <f ca="1">IF(A40=1,IF(OR('My Loans'!$N$17="",'My Loans'!$N$17=0),0,INDIRECT("'My Loans'!$D"&amp;'My Loans'!$N$17)),AT39)</f>
        <v>6847.5020675016312</v>
      </c>
      <c r="L40" s="13">
        <f ca="1">IF(OR('My Loans'!$N$17="",'My Loans'!$N$17=0),0,K40*INDIRECT("'My Loans'!$E"&amp;'My Loans'!$N$17)/12)</f>
        <v>27.960633442298331</v>
      </c>
      <c r="M40" s="13">
        <f ca="1">IF(OR('My Loans'!$N$17="",'My Loans'!$N$17=0),0,IF(K40&lt;0.005,0,MIN(INDIRECT("'My Loans'!$F"&amp;'My Loans'!$N$17),K40+L40)))</f>
        <v>112</v>
      </c>
      <c r="N40" s="13">
        <f ca="1">IF(A40=1,IF(OR('My Loans'!$N$18="",'My Loans'!$N$18=0),0,INDIRECT("'My Loans'!$D"&amp;'My Loans'!$N$18)),AY39)</f>
        <v>5581.2422695724326</v>
      </c>
      <c r="O40" s="13">
        <f ca="1">IF(OR('My Loans'!$N$18="",'My Loans'!$N$18=0),0,N40*INDIRECT("'My Loans'!$E"&amp;'My Loans'!$N$18)/12)</f>
        <v>20.929658510896623</v>
      </c>
      <c r="P40" s="13">
        <f ca="1">IF(OR('My Loans'!$N$18="",'My Loans'!$N$18=0),0,IF(N40&lt;0.005,0,MIN(INDIRECT("'My Loans'!$F"&amp;'My Loans'!$N$18),N40+O40)))</f>
        <v>95</v>
      </c>
      <c r="Q40" s="13">
        <f ca="1">IF(A40=1,IF(OR('My Loans'!$N$19="",'My Loans'!$N$19=0),0,INDIRECT("'My Loans'!$D"&amp;'My Loans'!$N$19)),BD39)</f>
        <v>0</v>
      </c>
      <c r="R40" s="13">
        <f ca="1">IF(OR('My Loans'!$N$19="",'My Loans'!$N$19=0),0,Q40*INDIRECT("'My Loans'!$E"&amp;'My Loans'!$N$19)/12)</f>
        <v>0</v>
      </c>
      <c r="S40" s="13">
        <f ca="1">IF(OR('My Loans'!$N$19="",'My Loans'!$N$19=0),0,IF(Q40&lt;0.005,0,MIN(INDIRECT("'My Loans'!$F"&amp;'My Loans'!$N$19),Q40+R40)))</f>
        <v>0</v>
      </c>
      <c r="T40" s="13">
        <f ca="1">IF(A40=1,IF(OR('My Loans'!$N$20="",'My Loans'!$N$20=0),0,INDIRECT("'My Loans'!$D"&amp;'My Loans'!$N$20)),BI39)</f>
        <v>0</v>
      </c>
      <c r="U40" s="13">
        <f ca="1">IF(OR('My Loans'!$N$20="",'My Loans'!$N$20=0),0,T40*INDIRECT("'My Loans'!$E"&amp;'My Loans'!$N$20)/12)</f>
        <v>0</v>
      </c>
      <c r="V40" s="13">
        <f ca="1">IF(OR('My Loans'!$N$20="",'My Loans'!$N$20=0),0,IF(T40&lt;0.005,0,MIN(INDIRECT("'My Loans'!$F"&amp;'My Loans'!$N$20),T40+U40)))</f>
        <v>0</v>
      </c>
      <c r="W40" s="13">
        <f ca="1">IF(A40=1,IF(OR('My Loans'!$N$21="",'My Loans'!$N$21=0),0,INDIRECT("'My Loans'!$D"&amp;'My Loans'!$N$21)),BN39)</f>
        <v>0</v>
      </c>
      <c r="X40" s="13">
        <f ca="1">IF(OR('My Loans'!$N$21="",'My Loans'!$N$21=0),0,W40*INDIRECT("'My Loans'!$E"&amp;'My Loans'!$N$21)/12)</f>
        <v>0</v>
      </c>
      <c r="Y40" s="13">
        <f ca="1">IF(OR('My Loans'!$N$21="",'My Loans'!$N$21=0),0,IF(W40&lt;0.005,0,MIN(INDIRECT("'My Loans'!$F"&amp;'My Loans'!$N$21),W40+X40)))</f>
        <v>0</v>
      </c>
      <c r="Z40" s="13">
        <f ca="1">'My Loans'!$B$13-(D40+G40+J40+M40+P40+S40+V40+Y40)</f>
        <v>873</v>
      </c>
      <c r="AA40" s="13">
        <f t="shared" ca="1" si="43"/>
        <v>873</v>
      </c>
      <c r="AB40" s="13">
        <f t="shared" ca="1" si="44"/>
        <v>0</v>
      </c>
      <c r="AC40" s="13">
        <f t="shared" ca="1" si="45"/>
        <v>0</v>
      </c>
      <c r="AD40" s="13">
        <f t="shared" ca="1" si="46"/>
        <v>0</v>
      </c>
      <c r="AE40" s="13">
        <f t="shared" ca="1" si="47"/>
        <v>0</v>
      </c>
      <c r="AF40" s="13">
        <f t="shared" ca="1" si="48"/>
        <v>873</v>
      </c>
      <c r="AG40" s="13">
        <f t="shared" ca="1" si="49"/>
        <v>9283.7220902426016</v>
      </c>
      <c r="AH40" s="13">
        <f t="shared" ca="1" si="50"/>
        <v>873</v>
      </c>
      <c r="AI40" s="13">
        <f t="shared" ca="1" si="51"/>
        <v>1051</v>
      </c>
      <c r="AJ40" s="13">
        <f t="shared" ca="1" si="52"/>
        <v>8410.7220902426016</v>
      </c>
      <c r="AK40" s="13">
        <f t="shared" ca="1" si="53"/>
        <v>0</v>
      </c>
      <c r="AL40" s="13">
        <f t="shared" ca="1" si="54"/>
        <v>9250.2989530880477</v>
      </c>
      <c r="AM40" s="13">
        <f t="shared" ca="1" si="55"/>
        <v>0</v>
      </c>
      <c r="AN40" s="13">
        <f t="shared" ca="1" si="56"/>
        <v>142</v>
      </c>
      <c r="AO40" s="13">
        <f t="shared" ca="1" si="57"/>
        <v>9250.2989530880477</v>
      </c>
      <c r="AP40" s="13">
        <f t="shared" ca="1" si="58"/>
        <v>0</v>
      </c>
      <c r="AQ40" s="13">
        <f t="shared" ca="1" si="59"/>
        <v>6763.46270094393</v>
      </c>
      <c r="AR40" s="13">
        <f t="shared" ca="1" si="60"/>
        <v>0</v>
      </c>
      <c r="AS40" s="13">
        <f t="shared" ca="1" si="61"/>
        <v>112</v>
      </c>
      <c r="AT40" s="13">
        <f t="shared" ca="1" si="62"/>
        <v>6763.46270094393</v>
      </c>
      <c r="AU40" s="13">
        <f t="shared" ca="1" si="63"/>
        <v>0</v>
      </c>
      <c r="AV40" s="13">
        <f t="shared" ca="1" si="64"/>
        <v>5507.1719280833295</v>
      </c>
      <c r="AW40" s="13">
        <f t="shared" ca="1" si="65"/>
        <v>0</v>
      </c>
      <c r="AX40" s="13">
        <f t="shared" ca="1" si="66"/>
        <v>95</v>
      </c>
      <c r="AY40" s="13">
        <f t="shared" ca="1" si="67"/>
        <v>5507.1719280833295</v>
      </c>
      <c r="AZ40" s="13">
        <f t="shared" ca="1" si="68"/>
        <v>0</v>
      </c>
      <c r="BA40" s="13">
        <f t="shared" ca="1" si="69"/>
        <v>0</v>
      </c>
      <c r="BB40" s="13">
        <f t="shared" ca="1" si="70"/>
        <v>0</v>
      </c>
      <c r="BC40" s="13">
        <f t="shared" ca="1" si="71"/>
        <v>0</v>
      </c>
      <c r="BD40" s="13">
        <f t="shared" ca="1" si="72"/>
        <v>0</v>
      </c>
      <c r="BE40" s="13">
        <f t="shared" ca="1" si="73"/>
        <v>0</v>
      </c>
      <c r="BF40" s="13">
        <f t="shared" ca="1" si="74"/>
        <v>0</v>
      </c>
      <c r="BG40" s="13">
        <f t="shared" ca="1" si="75"/>
        <v>0</v>
      </c>
      <c r="BH40" s="13">
        <f t="shared" ca="1" si="76"/>
        <v>0</v>
      </c>
      <c r="BI40" s="13">
        <f t="shared" ca="1" si="77"/>
        <v>0</v>
      </c>
      <c r="BJ40" s="13">
        <f t="shared" ca="1" si="78"/>
        <v>0</v>
      </c>
      <c r="BK40" s="13">
        <f t="shared" ca="1" si="79"/>
        <v>0</v>
      </c>
      <c r="BL40" s="13">
        <f t="shared" ca="1" si="80"/>
        <v>0</v>
      </c>
      <c r="BM40" s="13">
        <f t="shared" ca="1" si="81"/>
        <v>0</v>
      </c>
      <c r="BN40" s="13">
        <f t="shared" ca="1" si="82"/>
        <v>0</v>
      </c>
      <c r="BO40" s="13">
        <f t="shared" ca="1" si="83"/>
        <v>1400</v>
      </c>
      <c r="BP40" s="13">
        <f t="shared" ca="1" si="84"/>
        <v>140.37621248459266</v>
      </c>
      <c r="BQ40" s="13">
        <f t="shared" ca="1" si="85"/>
        <v>29931.655672357905</v>
      </c>
    </row>
    <row r="41" spans="1:69" x14ac:dyDescent="0.25">
      <c r="A41" s="1">
        <v>40</v>
      </c>
      <c r="B41" s="13">
        <f ca="1">IF(A41=1,IF(OR('My Loans'!$N$14="",'My Loans'!$N$14=0),0,INDIRECT("'My Loans'!$D"&amp;'My Loans'!$N$14)),AE40)</f>
        <v>0</v>
      </c>
      <c r="C41" s="13">
        <f ca="1">IF(OR('My Loans'!$N$14="",'My Loans'!$N$14=0),0,B41*INDIRECT("'My Loans'!$E"&amp;'My Loans'!$N$14)/12)</f>
        <v>0</v>
      </c>
      <c r="D41" s="13">
        <f ca="1">IF(OR('My Loans'!$N$14="",'My Loans'!$N$14=0),0,IF(B41&lt;0.005,0,MIN(INDIRECT("'My Loans'!$F"&amp;'My Loans'!$N$14),B41+C41)))</f>
        <v>0</v>
      </c>
      <c r="E41" s="13">
        <f ca="1">IF(A41=1,IF(OR('My Loans'!$N$15="",'My Loans'!$N$15=0),0,INDIRECT("'My Loans'!$D"&amp;'My Loans'!$N$15)),AJ40)</f>
        <v>8410.7220902426016</v>
      </c>
      <c r="F41" s="13">
        <f ca="1">IF(OR('My Loans'!$N$15="",'My Loans'!$N$15=0),0,E41*INDIRECT("'My Loans'!$E"&amp;'My Loans'!$N$15)/12)</f>
        <v>43.455397466253437</v>
      </c>
      <c r="G41" s="13">
        <f ca="1">IF(OR('My Loans'!$N$15="",'My Loans'!$N$15=0),0,IF(E41&lt;0.005,0,MIN(INDIRECT("'My Loans'!$F"&amp;'My Loans'!$N$15),E41+F41)))</f>
        <v>178</v>
      </c>
      <c r="H41" s="13">
        <f ca="1">IF(A41=1,IF(OR('My Loans'!$N$16="",'My Loans'!$N$16=0),0,INDIRECT("'My Loans'!$D"&amp;'My Loans'!$N$16)),AO40)</f>
        <v>9250.2989530880477</v>
      </c>
      <c r="I41" s="13">
        <f ca="1">IF(OR('My Loans'!$N$16="",'My Loans'!$N$16=0),0,H41*INDIRECT("'My Loans'!$E"&amp;'My Loans'!$N$16)/12)</f>
        <v>42.397203534986886</v>
      </c>
      <c r="J41" s="13">
        <f ca="1">IF(OR('My Loans'!$N$16="",'My Loans'!$N$16=0),0,IF(H41&lt;0.005,0,MIN(INDIRECT("'My Loans'!$F"&amp;'My Loans'!$N$16),H41+I41)))</f>
        <v>142</v>
      </c>
      <c r="K41" s="13">
        <f ca="1">IF(A41=1,IF(OR('My Loans'!$N$17="",'My Loans'!$N$17=0),0,INDIRECT("'My Loans'!$D"&amp;'My Loans'!$N$17)),AT40)</f>
        <v>6763.46270094393</v>
      </c>
      <c r="L41" s="13">
        <f ca="1">IF(OR('My Loans'!$N$17="",'My Loans'!$N$17=0),0,K41*INDIRECT("'My Loans'!$E"&amp;'My Loans'!$N$17)/12)</f>
        <v>27.617472695521048</v>
      </c>
      <c r="M41" s="13">
        <f ca="1">IF(OR('My Loans'!$N$17="",'My Loans'!$N$17=0),0,IF(K41&lt;0.005,0,MIN(INDIRECT("'My Loans'!$F"&amp;'My Loans'!$N$17),K41+L41)))</f>
        <v>112</v>
      </c>
      <c r="N41" s="13">
        <f ca="1">IF(A41=1,IF(OR('My Loans'!$N$18="",'My Loans'!$N$18=0),0,INDIRECT("'My Loans'!$D"&amp;'My Loans'!$N$18)),AY40)</f>
        <v>5507.1719280833295</v>
      </c>
      <c r="O41" s="13">
        <f ca="1">IF(OR('My Loans'!$N$18="",'My Loans'!$N$18=0),0,N41*INDIRECT("'My Loans'!$E"&amp;'My Loans'!$N$18)/12)</f>
        <v>20.651894730312485</v>
      </c>
      <c r="P41" s="13">
        <f ca="1">IF(OR('My Loans'!$N$18="",'My Loans'!$N$18=0),0,IF(N41&lt;0.005,0,MIN(INDIRECT("'My Loans'!$F"&amp;'My Loans'!$N$18),N41+O41)))</f>
        <v>95</v>
      </c>
      <c r="Q41" s="13">
        <f ca="1">IF(A41=1,IF(OR('My Loans'!$N$19="",'My Loans'!$N$19=0),0,INDIRECT("'My Loans'!$D"&amp;'My Loans'!$N$19)),BD40)</f>
        <v>0</v>
      </c>
      <c r="R41" s="13">
        <f ca="1">IF(OR('My Loans'!$N$19="",'My Loans'!$N$19=0),0,Q41*INDIRECT("'My Loans'!$E"&amp;'My Loans'!$N$19)/12)</f>
        <v>0</v>
      </c>
      <c r="S41" s="13">
        <f ca="1">IF(OR('My Loans'!$N$19="",'My Loans'!$N$19=0),0,IF(Q41&lt;0.005,0,MIN(INDIRECT("'My Loans'!$F"&amp;'My Loans'!$N$19),Q41+R41)))</f>
        <v>0</v>
      </c>
      <c r="T41" s="13">
        <f ca="1">IF(A41=1,IF(OR('My Loans'!$N$20="",'My Loans'!$N$20=0),0,INDIRECT("'My Loans'!$D"&amp;'My Loans'!$N$20)),BI40)</f>
        <v>0</v>
      </c>
      <c r="U41" s="13">
        <f ca="1">IF(OR('My Loans'!$N$20="",'My Loans'!$N$20=0),0,T41*INDIRECT("'My Loans'!$E"&amp;'My Loans'!$N$20)/12)</f>
        <v>0</v>
      </c>
      <c r="V41" s="13">
        <f ca="1">IF(OR('My Loans'!$N$20="",'My Loans'!$N$20=0),0,IF(T41&lt;0.005,0,MIN(INDIRECT("'My Loans'!$F"&amp;'My Loans'!$N$20),T41+U41)))</f>
        <v>0</v>
      </c>
      <c r="W41" s="13">
        <f ca="1">IF(A41=1,IF(OR('My Loans'!$N$21="",'My Loans'!$N$21=0),0,INDIRECT("'My Loans'!$D"&amp;'My Loans'!$N$21)),BN40)</f>
        <v>0</v>
      </c>
      <c r="X41" s="13">
        <f ca="1">IF(OR('My Loans'!$N$21="",'My Loans'!$N$21=0),0,W41*INDIRECT("'My Loans'!$E"&amp;'My Loans'!$N$21)/12)</f>
        <v>0</v>
      </c>
      <c r="Y41" s="13">
        <f ca="1">IF(OR('My Loans'!$N$21="",'My Loans'!$N$21=0),0,IF(W41&lt;0.005,0,MIN(INDIRECT("'My Loans'!$F"&amp;'My Loans'!$N$21),W41+X41)))</f>
        <v>0</v>
      </c>
      <c r="Z41" s="13">
        <f ca="1">'My Loans'!$B$13-(D41+G41+J41+M41+P41+S41+V41+Y41)</f>
        <v>873</v>
      </c>
      <c r="AA41" s="13">
        <f t="shared" ca="1" si="43"/>
        <v>873</v>
      </c>
      <c r="AB41" s="13">
        <f t="shared" ca="1" si="44"/>
        <v>0</v>
      </c>
      <c r="AC41" s="13">
        <f t="shared" ca="1" si="45"/>
        <v>0</v>
      </c>
      <c r="AD41" s="13">
        <f t="shared" ca="1" si="46"/>
        <v>0</v>
      </c>
      <c r="AE41" s="13">
        <f t="shared" ca="1" si="47"/>
        <v>0</v>
      </c>
      <c r="AF41" s="13">
        <f t="shared" ca="1" si="48"/>
        <v>873</v>
      </c>
      <c r="AG41" s="13">
        <f t="shared" ca="1" si="49"/>
        <v>8276.1774877088556</v>
      </c>
      <c r="AH41" s="13">
        <f t="shared" ca="1" si="50"/>
        <v>873</v>
      </c>
      <c r="AI41" s="13">
        <f t="shared" ca="1" si="51"/>
        <v>1051</v>
      </c>
      <c r="AJ41" s="13">
        <f t="shared" ca="1" si="52"/>
        <v>7403.1774877088556</v>
      </c>
      <c r="AK41" s="13">
        <f t="shared" ca="1" si="53"/>
        <v>0</v>
      </c>
      <c r="AL41" s="13">
        <f t="shared" ca="1" si="54"/>
        <v>9150.6961566230348</v>
      </c>
      <c r="AM41" s="13">
        <f t="shared" ca="1" si="55"/>
        <v>0</v>
      </c>
      <c r="AN41" s="13">
        <f t="shared" ca="1" si="56"/>
        <v>142</v>
      </c>
      <c r="AO41" s="13">
        <f t="shared" ca="1" si="57"/>
        <v>9150.6961566230348</v>
      </c>
      <c r="AP41" s="13">
        <f t="shared" ca="1" si="58"/>
        <v>0</v>
      </c>
      <c r="AQ41" s="13">
        <f t="shared" ca="1" si="59"/>
        <v>6679.0801736394515</v>
      </c>
      <c r="AR41" s="13">
        <f t="shared" ca="1" si="60"/>
        <v>0</v>
      </c>
      <c r="AS41" s="13">
        <f t="shared" ca="1" si="61"/>
        <v>112</v>
      </c>
      <c r="AT41" s="13">
        <f t="shared" ca="1" si="62"/>
        <v>6679.0801736394515</v>
      </c>
      <c r="AU41" s="13">
        <f t="shared" ca="1" si="63"/>
        <v>0</v>
      </c>
      <c r="AV41" s="13">
        <f t="shared" ca="1" si="64"/>
        <v>5432.8238228136415</v>
      </c>
      <c r="AW41" s="13">
        <f t="shared" ca="1" si="65"/>
        <v>0</v>
      </c>
      <c r="AX41" s="13">
        <f t="shared" ca="1" si="66"/>
        <v>95</v>
      </c>
      <c r="AY41" s="13">
        <f t="shared" ca="1" si="67"/>
        <v>5432.8238228136415</v>
      </c>
      <c r="AZ41" s="13">
        <f t="shared" ca="1" si="68"/>
        <v>0</v>
      </c>
      <c r="BA41" s="13">
        <f t="shared" ca="1" si="69"/>
        <v>0</v>
      </c>
      <c r="BB41" s="13">
        <f t="shared" ca="1" si="70"/>
        <v>0</v>
      </c>
      <c r="BC41" s="13">
        <f t="shared" ca="1" si="71"/>
        <v>0</v>
      </c>
      <c r="BD41" s="13">
        <f t="shared" ca="1" si="72"/>
        <v>0</v>
      </c>
      <c r="BE41" s="13">
        <f t="shared" ca="1" si="73"/>
        <v>0</v>
      </c>
      <c r="BF41" s="13">
        <f t="shared" ca="1" si="74"/>
        <v>0</v>
      </c>
      <c r="BG41" s="13">
        <f t="shared" ca="1" si="75"/>
        <v>0</v>
      </c>
      <c r="BH41" s="13">
        <f t="shared" ca="1" si="76"/>
        <v>0</v>
      </c>
      <c r="BI41" s="13">
        <f t="shared" ca="1" si="77"/>
        <v>0</v>
      </c>
      <c r="BJ41" s="13">
        <f t="shared" ca="1" si="78"/>
        <v>0</v>
      </c>
      <c r="BK41" s="13">
        <f t="shared" ca="1" si="79"/>
        <v>0</v>
      </c>
      <c r="BL41" s="13">
        <f t="shared" ca="1" si="80"/>
        <v>0</v>
      </c>
      <c r="BM41" s="13">
        <f t="shared" ca="1" si="81"/>
        <v>0</v>
      </c>
      <c r="BN41" s="13">
        <f t="shared" ca="1" si="82"/>
        <v>0</v>
      </c>
      <c r="BO41" s="13">
        <f t="shared" ca="1" si="83"/>
        <v>1400</v>
      </c>
      <c r="BP41" s="13">
        <f t="shared" ca="1" si="84"/>
        <v>134.12196842707385</v>
      </c>
      <c r="BQ41" s="13">
        <f t="shared" ca="1" si="85"/>
        <v>28665.777640784981</v>
      </c>
    </row>
    <row r="42" spans="1:69" x14ac:dyDescent="0.25">
      <c r="A42" s="1">
        <v>41</v>
      </c>
      <c r="B42" s="13">
        <f ca="1">IF(A42=1,IF(OR('My Loans'!$N$14="",'My Loans'!$N$14=0),0,INDIRECT("'My Loans'!$D"&amp;'My Loans'!$N$14)),AE41)</f>
        <v>0</v>
      </c>
      <c r="C42" s="13">
        <f ca="1">IF(OR('My Loans'!$N$14="",'My Loans'!$N$14=0),0,B42*INDIRECT("'My Loans'!$E"&amp;'My Loans'!$N$14)/12)</f>
        <v>0</v>
      </c>
      <c r="D42" s="13">
        <f ca="1">IF(OR('My Loans'!$N$14="",'My Loans'!$N$14=0),0,IF(B42&lt;0.005,0,MIN(INDIRECT("'My Loans'!$F"&amp;'My Loans'!$N$14),B42+C42)))</f>
        <v>0</v>
      </c>
      <c r="E42" s="13">
        <f ca="1">IF(A42=1,IF(OR('My Loans'!$N$15="",'My Loans'!$N$15=0),0,INDIRECT("'My Loans'!$D"&amp;'My Loans'!$N$15)),AJ41)</f>
        <v>7403.1774877088556</v>
      </c>
      <c r="F42" s="13">
        <f ca="1">IF(OR('My Loans'!$N$15="",'My Loans'!$N$15=0),0,E42*INDIRECT("'My Loans'!$E"&amp;'My Loans'!$N$15)/12)</f>
        <v>38.249750353162419</v>
      </c>
      <c r="G42" s="13">
        <f ca="1">IF(OR('My Loans'!$N$15="",'My Loans'!$N$15=0),0,IF(E42&lt;0.005,0,MIN(INDIRECT("'My Loans'!$F"&amp;'My Loans'!$N$15),E42+F42)))</f>
        <v>178</v>
      </c>
      <c r="H42" s="13">
        <f ca="1">IF(A42=1,IF(OR('My Loans'!$N$16="",'My Loans'!$N$16=0),0,INDIRECT("'My Loans'!$D"&amp;'My Loans'!$N$16)),AO41)</f>
        <v>9150.6961566230348</v>
      </c>
      <c r="I42" s="13">
        <f ca="1">IF(OR('My Loans'!$N$16="",'My Loans'!$N$16=0),0,H42*INDIRECT("'My Loans'!$E"&amp;'My Loans'!$N$16)/12)</f>
        <v>41.940690717855574</v>
      </c>
      <c r="J42" s="13">
        <f ca="1">IF(OR('My Loans'!$N$16="",'My Loans'!$N$16=0),0,IF(H42&lt;0.005,0,MIN(INDIRECT("'My Loans'!$F"&amp;'My Loans'!$N$16),H42+I42)))</f>
        <v>142</v>
      </c>
      <c r="K42" s="13">
        <f ca="1">IF(A42=1,IF(OR('My Loans'!$N$17="",'My Loans'!$N$17=0),0,INDIRECT("'My Loans'!$D"&amp;'My Loans'!$N$17)),AT41)</f>
        <v>6679.0801736394515</v>
      </c>
      <c r="L42" s="13">
        <f ca="1">IF(OR('My Loans'!$N$17="",'My Loans'!$N$17=0),0,K42*INDIRECT("'My Loans'!$E"&amp;'My Loans'!$N$17)/12)</f>
        <v>27.272910709027759</v>
      </c>
      <c r="M42" s="13">
        <f ca="1">IF(OR('My Loans'!$N$17="",'My Loans'!$N$17=0),0,IF(K42&lt;0.005,0,MIN(INDIRECT("'My Loans'!$F"&amp;'My Loans'!$N$17),K42+L42)))</f>
        <v>112</v>
      </c>
      <c r="N42" s="13">
        <f ca="1">IF(A42=1,IF(OR('My Loans'!$N$18="",'My Loans'!$N$18=0),0,INDIRECT("'My Loans'!$D"&amp;'My Loans'!$N$18)),AY41)</f>
        <v>5432.8238228136415</v>
      </c>
      <c r="O42" s="13">
        <f ca="1">IF(OR('My Loans'!$N$18="",'My Loans'!$N$18=0),0,N42*INDIRECT("'My Loans'!$E"&amp;'My Loans'!$N$18)/12)</f>
        <v>20.373089335551153</v>
      </c>
      <c r="P42" s="13">
        <f ca="1">IF(OR('My Loans'!$N$18="",'My Loans'!$N$18=0),0,IF(N42&lt;0.005,0,MIN(INDIRECT("'My Loans'!$F"&amp;'My Loans'!$N$18),N42+O42)))</f>
        <v>95</v>
      </c>
      <c r="Q42" s="13">
        <f ca="1">IF(A42=1,IF(OR('My Loans'!$N$19="",'My Loans'!$N$19=0),0,INDIRECT("'My Loans'!$D"&amp;'My Loans'!$N$19)),BD41)</f>
        <v>0</v>
      </c>
      <c r="R42" s="13">
        <f ca="1">IF(OR('My Loans'!$N$19="",'My Loans'!$N$19=0),0,Q42*INDIRECT("'My Loans'!$E"&amp;'My Loans'!$N$19)/12)</f>
        <v>0</v>
      </c>
      <c r="S42" s="13">
        <f ca="1">IF(OR('My Loans'!$N$19="",'My Loans'!$N$19=0),0,IF(Q42&lt;0.005,0,MIN(INDIRECT("'My Loans'!$F"&amp;'My Loans'!$N$19),Q42+R42)))</f>
        <v>0</v>
      </c>
      <c r="T42" s="13">
        <f ca="1">IF(A42=1,IF(OR('My Loans'!$N$20="",'My Loans'!$N$20=0),0,INDIRECT("'My Loans'!$D"&amp;'My Loans'!$N$20)),BI41)</f>
        <v>0</v>
      </c>
      <c r="U42" s="13">
        <f ca="1">IF(OR('My Loans'!$N$20="",'My Loans'!$N$20=0),0,T42*INDIRECT("'My Loans'!$E"&amp;'My Loans'!$N$20)/12)</f>
        <v>0</v>
      </c>
      <c r="V42" s="13">
        <f ca="1">IF(OR('My Loans'!$N$20="",'My Loans'!$N$20=0),0,IF(T42&lt;0.005,0,MIN(INDIRECT("'My Loans'!$F"&amp;'My Loans'!$N$20),T42+U42)))</f>
        <v>0</v>
      </c>
      <c r="W42" s="13">
        <f ca="1">IF(A42=1,IF(OR('My Loans'!$N$21="",'My Loans'!$N$21=0),0,INDIRECT("'My Loans'!$D"&amp;'My Loans'!$N$21)),BN41)</f>
        <v>0</v>
      </c>
      <c r="X42" s="13">
        <f ca="1">IF(OR('My Loans'!$N$21="",'My Loans'!$N$21=0),0,W42*INDIRECT("'My Loans'!$E"&amp;'My Loans'!$N$21)/12)</f>
        <v>0</v>
      </c>
      <c r="Y42" s="13">
        <f ca="1">IF(OR('My Loans'!$N$21="",'My Loans'!$N$21=0),0,IF(W42&lt;0.005,0,MIN(INDIRECT("'My Loans'!$F"&amp;'My Loans'!$N$21),W42+X42)))</f>
        <v>0</v>
      </c>
      <c r="Z42" s="13">
        <f ca="1">'My Loans'!$B$13-(D42+G42+J42+M42+P42+S42+V42+Y42)</f>
        <v>873</v>
      </c>
      <c r="AA42" s="13">
        <f t="shared" ca="1" si="43"/>
        <v>873</v>
      </c>
      <c r="AB42" s="13">
        <f t="shared" ca="1" si="44"/>
        <v>0</v>
      </c>
      <c r="AC42" s="13">
        <f t="shared" ca="1" si="45"/>
        <v>0</v>
      </c>
      <c r="AD42" s="13">
        <f t="shared" ca="1" si="46"/>
        <v>0</v>
      </c>
      <c r="AE42" s="13">
        <f t="shared" ca="1" si="47"/>
        <v>0</v>
      </c>
      <c r="AF42" s="13">
        <f t="shared" ca="1" si="48"/>
        <v>873</v>
      </c>
      <c r="AG42" s="13">
        <f t="shared" ca="1" si="49"/>
        <v>7263.4272380620178</v>
      </c>
      <c r="AH42" s="13">
        <f t="shared" ca="1" si="50"/>
        <v>873</v>
      </c>
      <c r="AI42" s="13">
        <f t="shared" ca="1" si="51"/>
        <v>1051</v>
      </c>
      <c r="AJ42" s="13">
        <f t="shared" ca="1" si="52"/>
        <v>6390.4272380620178</v>
      </c>
      <c r="AK42" s="13">
        <f t="shared" ca="1" si="53"/>
        <v>0</v>
      </c>
      <c r="AL42" s="13">
        <f t="shared" ca="1" si="54"/>
        <v>9050.6368473408911</v>
      </c>
      <c r="AM42" s="13">
        <f t="shared" ca="1" si="55"/>
        <v>0</v>
      </c>
      <c r="AN42" s="13">
        <f t="shared" ca="1" si="56"/>
        <v>142</v>
      </c>
      <c r="AO42" s="13">
        <f t="shared" ca="1" si="57"/>
        <v>9050.6368473408911</v>
      </c>
      <c r="AP42" s="13">
        <f t="shared" ca="1" si="58"/>
        <v>0</v>
      </c>
      <c r="AQ42" s="13">
        <f t="shared" ca="1" si="59"/>
        <v>6594.3530843484796</v>
      </c>
      <c r="AR42" s="13">
        <f t="shared" ca="1" si="60"/>
        <v>0</v>
      </c>
      <c r="AS42" s="13">
        <f t="shared" ca="1" si="61"/>
        <v>112</v>
      </c>
      <c r="AT42" s="13">
        <f t="shared" ca="1" si="62"/>
        <v>6594.3530843484796</v>
      </c>
      <c r="AU42" s="13">
        <f t="shared" ca="1" si="63"/>
        <v>0</v>
      </c>
      <c r="AV42" s="13">
        <f t="shared" ca="1" si="64"/>
        <v>5358.1969121491929</v>
      </c>
      <c r="AW42" s="13">
        <f t="shared" ca="1" si="65"/>
        <v>0</v>
      </c>
      <c r="AX42" s="13">
        <f t="shared" ca="1" si="66"/>
        <v>95</v>
      </c>
      <c r="AY42" s="13">
        <f t="shared" ca="1" si="67"/>
        <v>5358.1969121491929</v>
      </c>
      <c r="AZ42" s="13">
        <f t="shared" ca="1" si="68"/>
        <v>0</v>
      </c>
      <c r="BA42" s="13">
        <f t="shared" ca="1" si="69"/>
        <v>0</v>
      </c>
      <c r="BB42" s="13">
        <f t="shared" ca="1" si="70"/>
        <v>0</v>
      </c>
      <c r="BC42" s="13">
        <f t="shared" ca="1" si="71"/>
        <v>0</v>
      </c>
      <c r="BD42" s="13">
        <f t="shared" ca="1" si="72"/>
        <v>0</v>
      </c>
      <c r="BE42" s="13">
        <f t="shared" ca="1" si="73"/>
        <v>0</v>
      </c>
      <c r="BF42" s="13">
        <f t="shared" ca="1" si="74"/>
        <v>0</v>
      </c>
      <c r="BG42" s="13">
        <f t="shared" ca="1" si="75"/>
        <v>0</v>
      </c>
      <c r="BH42" s="13">
        <f t="shared" ca="1" si="76"/>
        <v>0</v>
      </c>
      <c r="BI42" s="13">
        <f t="shared" ca="1" si="77"/>
        <v>0</v>
      </c>
      <c r="BJ42" s="13">
        <f t="shared" ca="1" si="78"/>
        <v>0</v>
      </c>
      <c r="BK42" s="13">
        <f t="shared" ca="1" si="79"/>
        <v>0</v>
      </c>
      <c r="BL42" s="13">
        <f t="shared" ca="1" si="80"/>
        <v>0</v>
      </c>
      <c r="BM42" s="13">
        <f t="shared" ca="1" si="81"/>
        <v>0</v>
      </c>
      <c r="BN42" s="13">
        <f t="shared" ca="1" si="82"/>
        <v>0</v>
      </c>
      <c r="BO42" s="13">
        <f t="shared" ca="1" si="83"/>
        <v>1400</v>
      </c>
      <c r="BP42" s="13">
        <f t="shared" ca="1" si="84"/>
        <v>127.83644111559691</v>
      </c>
      <c r="BQ42" s="13">
        <f t="shared" ca="1" si="85"/>
        <v>27393.614081900581</v>
      </c>
    </row>
    <row r="43" spans="1:69" x14ac:dyDescent="0.25">
      <c r="A43" s="1">
        <v>42</v>
      </c>
      <c r="B43" s="13">
        <f ca="1">IF(A43=1,IF(OR('My Loans'!$N$14="",'My Loans'!$N$14=0),0,INDIRECT("'My Loans'!$D"&amp;'My Loans'!$N$14)),AE42)</f>
        <v>0</v>
      </c>
      <c r="C43" s="13">
        <f ca="1">IF(OR('My Loans'!$N$14="",'My Loans'!$N$14=0),0,B43*INDIRECT("'My Loans'!$E"&amp;'My Loans'!$N$14)/12)</f>
        <v>0</v>
      </c>
      <c r="D43" s="13">
        <f ca="1">IF(OR('My Loans'!$N$14="",'My Loans'!$N$14=0),0,IF(B43&lt;0.005,0,MIN(INDIRECT("'My Loans'!$F"&amp;'My Loans'!$N$14),B43+C43)))</f>
        <v>0</v>
      </c>
      <c r="E43" s="13">
        <f ca="1">IF(A43=1,IF(OR('My Loans'!$N$15="",'My Loans'!$N$15=0),0,INDIRECT("'My Loans'!$D"&amp;'My Loans'!$N$15)),AJ42)</f>
        <v>6390.4272380620178</v>
      </c>
      <c r="F43" s="13">
        <f ca="1">IF(OR('My Loans'!$N$15="",'My Loans'!$N$15=0),0,E43*INDIRECT("'My Loans'!$E"&amp;'My Loans'!$N$15)/12)</f>
        <v>33.01720739665376</v>
      </c>
      <c r="G43" s="13">
        <f ca="1">IF(OR('My Loans'!$N$15="",'My Loans'!$N$15=0),0,IF(E43&lt;0.005,0,MIN(INDIRECT("'My Loans'!$F"&amp;'My Loans'!$N$15),E43+F43)))</f>
        <v>178</v>
      </c>
      <c r="H43" s="13">
        <f ca="1">IF(A43=1,IF(OR('My Loans'!$N$16="",'My Loans'!$N$16=0),0,INDIRECT("'My Loans'!$D"&amp;'My Loans'!$N$16)),AO42)</f>
        <v>9050.6368473408911</v>
      </c>
      <c r="I43" s="13">
        <f ca="1">IF(OR('My Loans'!$N$16="",'My Loans'!$N$16=0),0,H43*INDIRECT("'My Loans'!$E"&amp;'My Loans'!$N$16)/12)</f>
        <v>41.482085550312419</v>
      </c>
      <c r="J43" s="13">
        <f ca="1">IF(OR('My Loans'!$N$16="",'My Loans'!$N$16=0),0,IF(H43&lt;0.005,0,MIN(INDIRECT("'My Loans'!$F"&amp;'My Loans'!$N$16),H43+I43)))</f>
        <v>142</v>
      </c>
      <c r="K43" s="13">
        <f ca="1">IF(A43=1,IF(OR('My Loans'!$N$17="",'My Loans'!$N$17=0),0,INDIRECT("'My Loans'!$D"&amp;'My Loans'!$N$17)),AT42)</f>
        <v>6594.3530843484796</v>
      </c>
      <c r="L43" s="13">
        <f ca="1">IF(OR('My Loans'!$N$17="",'My Loans'!$N$17=0),0,K43*INDIRECT("'My Loans'!$E"&amp;'My Loans'!$N$17)/12)</f>
        <v>26.926941761089626</v>
      </c>
      <c r="M43" s="13">
        <f ca="1">IF(OR('My Loans'!$N$17="",'My Loans'!$N$17=0),0,IF(K43&lt;0.005,0,MIN(INDIRECT("'My Loans'!$F"&amp;'My Loans'!$N$17),K43+L43)))</f>
        <v>112</v>
      </c>
      <c r="N43" s="13">
        <f ca="1">IF(A43=1,IF(OR('My Loans'!$N$18="",'My Loans'!$N$18=0),0,INDIRECT("'My Loans'!$D"&amp;'My Loans'!$N$18)),AY42)</f>
        <v>5358.1969121491929</v>
      </c>
      <c r="O43" s="13">
        <f ca="1">IF(OR('My Loans'!$N$18="",'My Loans'!$N$18=0),0,N43*INDIRECT("'My Loans'!$E"&amp;'My Loans'!$N$18)/12)</f>
        <v>20.093238420559473</v>
      </c>
      <c r="P43" s="13">
        <f ca="1">IF(OR('My Loans'!$N$18="",'My Loans'!$N$18=0),0,IF(N43&lt;0.005,0,MIN(INDIRECT("'My Loans'!$F"&amp;'My Loans'!$N$18),N43+O43)))</f>
        <v>95</v>
      </c>
      <c r="Q43" s="13">
        <f ca="1">IF(A43=1,IF(OR('My Loans'!$N$19="",'My Loans'!$N$19=0),0,INDIRECT("'My Loans'!$D"&amp;'My Loans'!$N$19)),BD42)</f>
        <v>0</v>
      </c>
      <c r="R43" s="13">
        <f ca="1">IF(OR('My Loans'!$N$19="",'My Loans'!$N$19=0),0,Q43*INDIRECT("'My Loans'!$E"&amp;'My Loans'!$N$19)/12)</f>
        <v>0</v>
      </c>
      <c r="S43" s="13">
        <f ca="1">IF(OR('My Loans'!$N$19="",'My Loans'!$N$19=0),0,IF(Q43&lt;0.005,0,MIN(INDIRECT("'My Loans'!$F"&amp;'My Loans'!$N$19),Q43+R43)))</f>
        <v>0</v>
      </c>
      <c r="T43" s="13">
        <f ca="1">IF(A43=1,IF(OR('My Loans'!$N$20="",'My Loans'!$N$20=0),0,INDIRECT("'My Loans'!$D"&amp;'My Loans'!$N$20)),BI42)</f>
        <v>0</v>
      </c>
      <c r="U43" s="13">
        <f ca="1">IF(OR('My Loans'!$N$20="",'My Loans'!$N$20=0),0,T43*INDIRECT("'My Loans'!$E"&amp;'My Loans'!$N$20)/12)</f>
        <v>0</v>
      </c>
      <c r="V43" s="13">
        <f ca="1">IF(OR('My Loans'!$N$20="",'My Loans'!$N$20=0),0,IF(T43&lt;0.005,0,MIN(INDIRECT("'My Loans'!$F"&amp;'My Loans'!$N$20),T43+U43)))</f>
        <v>0</v>
      </c>
      <c r="W43" s="13">
        <f ca="1">IF(A43=1,IF(OR('My Loans'!$N$21="",'My Loans'!$N$21=0),0,INDIRECT("'My Loans'!$D"&amp;'My Loans'!$N$21)),BN42)</f>
        <v>0</v>
      </c>
      <c r="X43" s="13">
        <f ca="1">IF(OR('My Loans'!$N$21="",'My Loans'!$N$21=0),0,W43*INDIRECT("'My Loans'!$E"&amp;'My Loans'!$N$21)/12)</f>
        <v>0</v>
      </c>
      <c r="Y43" s="13">
        <f ca="1">IF(OR('My Loans'!$N$21="",'My Loans'!$N$21=0),0,IF(W43&lt;0.005,0,MIN(INDIRECT("'My Loans'!$F"&amp;'My Loans'!$N$21),W43+X43)))</f>
        <v>0</v>
      </c>
      <c r="Z43" s="13">
        <f ca="1">'My Loans'!$B$13-(D43+G43+J43+M43+P43+S43+V43+Y43)</f>
        <v>873</v>
      </c>
      <c r="AA43" s="13">
        <f t="shared" ca="1" si="43"/>
        <v>873</v>
      </c>
      <c r="AB43" s="13">
        <f t="shared" ca="1" si="44"/>
        <v>0</v>
      </c>
      <c r="AC43" s="13">
        <f t="shared" ca="1" si="45"/>
        <v>0</v>
      </c>
      <c r="AD43" s="13">
        <f t="shared" ca="1" si="46"/>
        <v>0</v>
      </c>
      <c r="AE43" s="13">
        <f t="shared" ca="1" si="47"/>
        <v>0</v>
      </c>
      <c r="AF43" s="13">
        <f t="shared" ca="1" si="48"/>
        <v>873</v>
      </c>
      <c r="AG43" s="13">
        <f t="shared" ca="1" si="49"/>
        <v>6245.4444454586719</v>
      </c>
      <c r="AH43" s="13">
        <f t="shared" ca="1" si="50"/>
        <v>873</v>
      </c>
      <c r="AI43" s="13">
        <f t="shared" ca="1" si="51"/>
        <v>1051</v>
      </c>
      <c r="AJ43" s="13">
        <f t="shared" ca="1" si="52"/>
        <v>5372.4444454586719</v>
      </c>
      <c r="AK43" s="13">
        <f t="shared" ca="1" si="53"/>
        <v>0</v>
      </c>
      <c r="AL43" s="13">
        <f t="shared" ca="1" si="54"/>
        <v>8950.1189328912042</v>
      </c>
      <c r="AM43" s="13">
        <f t="shared" ca="1" si="55"/>
        <v>0</v>
      </c>
      <c r="AN43" s="13">
        <f t="shared" ca="1" si="56"/>
        <v>142</v>
      </c>
      <c r="AO43" s="13">
        <f t="shared" ca="1" si="57"/>
        <v>8950.1189328912042</v>
      </c>
      <c r="AP43" s="13">
        <f t="shared" ca="1" si="58"/>
        <v>0</v>
      </c>
      <c r="AQ43" s="13">
        <f t="shared" ca="1" si="59"/>
        <v>6509.280026109569</v>
      </c>
      <c r="AR43" s="13">
        <f t="shared" ca="1" si="60"/>
        <v>0</v>
      </c>
      <c r="AS43" s="13">
        <f t="shared" ca="1" si="61"/>
        <v>112</v>
      </c>
      <c r="AT43" s="13">
        <f t="shared" ca="1" si="62"/>
        <v>6509.280026109569</v>
      </c>
      <c r="AU43" s="13">
        <f t="shared" ca="1" si="63"/>
        <v>0</v>
      </c>
      <c r="AV43" s="13">
        <f t="shared" ca="1" si="64"/>
        <v>5283.2901505697528</v>
      </c>
      <c r="AW43" s="13">
        <f t="shared" ca="1" si="65"/>
        <v>0</v>
      </c>
      <c r="AX43" s="13">
        <f t="shared" ca="1" si="66"/>
        <v>95</v>
      </c>
      <c r="AY43" s="13">
        <f t="shared" ca="1" si="67"/>
        <v>5283.2901505697528</v>
      </c>
      <c r="AZ43" s="13">
        <f t="shared" ca="1" si="68"/>
        <v>0</v>
      </c>
      <c r="BA43" s="13">
        <f t="shared" ca="1" si="69"/>
        <v>0</v>
      </c>
      <c r="BB43" s="13">
        <f t="shared" ca="1" si="70"/>
        <v>0</v>
      </c>
      <c r="BC43" s="13">
        <f t="shared" ca="1" si="71"/>
        <v>0</v>
      </c>
      <c r="BD43" s="13">
        <f t="shared" ca="1" si="72"/>
        <v>0</v>
      </c>
      <c r="BE43" s="13">
        <f t="shared" ca="1" si="73"/>
        <v>0</v>
      </c>
      <c r="BF43" s="13">
        <f t="shared" ca="1" si="74"/>
        <v>0</v>
      </c>
      <c r="BG43" s="13">
        <f t="shared" ca="1" si="75"/>
        <v>0</v>
      </c>
      <c r="BH43" s="13">
        <f t="shared" ca="1" si="76"/>
        <v>0</v>
      </c>
      <c r="BI43" s="13">
        <f t="shared" ca="1" si="77"/>
        <v>0</v>
      </c>
      <c r="BJ43" s="13">
        <f t="shared" ca="1" si="78"/>
        <v>0</v>
      </c>
      <c r="BK43" s="13">
        <f t="shared" ca="1" si="79"/>
        <v>0</v>
      </c>
      <c r="BL43" s="13">
        <f t="shared" ca="1" si="80"/>
        <v>0</v>
      </c>
      <c r="BM43" s="13">
        <f t="shared" ca="1" si="81"/>
        <v>0</v>
      </c>
      <c r="BN43" s="13">
        <f t="shared" ca="1" si="82"/>
        <v>0</v>
      </c>
      <c r="BO43" s="13">
        <f t="shared" ca="1" si="83"/>
        <v>1400</v>
      </c>
      <c r="BP43" s="13">
        <f t="shared" ca="1" si="84"/>
        <v>121.51947312861527</v>
      </c>
      <c r="BQ43" s="13">
        <f t="shared" ca="1" si="85"/>
        <v>26115.133555029199</v>
      </c>
    </row>
    <row r="44" spans="1:69" x14ac:dyDescent="0.25">
      <c r="A44" s="1">
        <v>43</v>
      </c>
      <c r="B44" s="13">
        <f ca="1">IF(A44=1,IF(OR('My Loans'!$N$14="",'My Loans'!$N$14=0),0,INDIRECT("'My Loans'!$D"&amp;'My Loans'!$N$14)),AE43)</f>
        <v>0</v>
      </c>
      <c r="C44" s="13">
        <f ca="1">IF(OR('My Loans'!$N$14="",'My Loans'!$N$14=0),0,B44*INDIRECT("'My Loans'!$E"&amp;'My Loans'!$N$14)/12)</f>
        <v>0</v>
      </c>
      <c r="D44" s="13">
        <f ca="1">IF(OR('My Loans'!$N$14="",'My Loans'!$N$14=0),0,IF(B44&lt;0.005,0,MIN(INDIRECT("'My Loans'!$F"&amp;'My Loans'!$N$14),B44+C44)))</f>
        <v>0</v>
      </c>
      <c r="E44" s="13">
        <f ca="1">IF(A44=1,IF(OR('My Loans'!$N$15="",'My Loans'!$N$15=0),0,INDIRECT("'My Loans'!$D"&amp;'My Loans'!$N$15)),AJ43)</f>
        <v>5372.4444454586719</v>
      </c>
      <c r="F44" s="13">
        <f ca="1">IF(OR('My Loans'!$N$15="",'My Loans'!$N$15=0),0,E44*INDIRECT("'My Loans'!$E"&amp;'My Loans'!$N$15)/12)</f>
        <v>27.757629634869804</v>
      </c>
      <c r="G44" s="13">
        <f ca="1">IF(OR('My Loans'!$N$15="",'My Loans'!$N$15=0),0,IF(E44&lt;0.005,0,MIN(INDIRECT("'My Loans'!$F"&amp;'My Loans'!$N$15),E44+F44)))</f>
        <v>178</v>
      </c>
      <c r="H44" s="13">
        <f ca="1">IF(A44=1,IF(OR('My Loans'!$N$16="",'My Loans'!$N$16=0),0,INDIRECT("'My Loans'!$D"&amp;'My Loans'!$N$16)),AO43)</f>
        <v>8950.1189328912042</v>
      </c>
      <c r="I44" s="13">
        <f ca="1">IF(OR('My Loans'!$N$16="",'My Loans'!$N$16=0),0,H44*INDIRECT("'My Loans'!$E"&amp;'My Loans'!$N$16)/12)</f>
        <v>41.021378442418019</v>
      </c>
      <c r="J44" s="13">
        <f ca="1">IF(OR('My Loans'!$N$16="",'My Loans'!$N$16=0),0,IF(H44&lt;0.005,0,MIN(INDIRECT("'My Loans'!$F"&amp;'My Loans'!$N$16),H44+I44)))</f>
        <v>142</v>
      </c>
      <c r="K44" s="13">
        <f ca="1">IF(A44=1,IF(OR('My Loans'!$N$17="",'My Loans'!$N$17=0),0,INDIRECT("'My Loans'!$D"&amp;'My Loans'!$N$17)),AT43)</f>
        <v>6509.280026109569</v>
      </c>
      <c r="L44" s="13">
        <f ca="1">IF(OR('My Loans'!$N$17="",'My Loans'!$N$17=0),0,K44*INDIRECT("'My Loans'!$E"&amp;'My Loans'!$N$17)/12)</f>
        <v>26.579560106614071</v>
      </c>
      <c r="M44" s="13">
        <f ca="1">IF(OR('My Loans'!$N$17="",'My Loans'!$N$17=0),0,IF(K44&lt;0.005,0,MIN(INDIRECT("'My Loans'!$F"&amp;'My Loans'!$N$17),K44+L44)))</f>
        <v>112</v>
      </c>
      <c r="N44" s="13">
        <f ca="1">IF(A44=1,IF(OR('My Loans'!$N$18="",'My Loans'!$N$18=0),0,INDIRECT("'My Loans'!$D"&amp;'My Loans'!$N$18)),AY43)</f>
        <v>5283.2901505697528</v>
      </c>
      <c r="O44" s="13">
        <f ca="1">IF(OR('My Loans'!$N$18="",'My Loans'!$N$18=0),0,N44*INDIRECT("'My Loans'!$E"&amp;'My Loans'!$N$18)/12)</f>
        <v>19.812338064636574</v>
      </c>
      <c r="P44" s="13">
        <f ca="1">IF(OR('My Loans'!$N$18="",'My Loans'!$N$18=0),0,IF(N44&lt;0.005,0,MIN(INDIRECT("'My Loans'!$F"&amp;'My Loans'!$N$18),N44+O44)))</f>
        <v>95</v>
      </c>
      <c r="Q44" s="13">
        <f ca="1">IF(A44=1,IF(OR('My Loans'!$N$19="",'My Loans'!$N$19=0),0,INDIRECT("'My Loans'!$D"&amp;'My Loans'!$N$19)),BD43)</f>
        <v>0</v>
      </c>
      <c r="R44" s="13">
        <f ca="1">IF(OR('My Loans'!$N$19="",'My Loans'!$N$19=0),0,Q44*INDIRECT("'My Loans'!$E"&amp;'My Loans'!$N$19)/12)</f>
        <v>0</v>
      </c>
      <c r="S44" s="13">
        <f ca="1">IF(OR('My Loans'!$N$19="",'My Loans'!$N$19=0),0,IF(Q44&lt;0.005,0,MIN(INDIRECT("'My Loans'!$F"&amp;'My Loans'!$N$19),Q44+R44)))</f>
        <v>0</v>
      </c>
      <c r="T44" s="13">
        <f ca="1">IF(A44=1,IF(OR('My Loans'!$N$20="",'My Loans'!$N$20=0),0,INDIRECT("'My Loans'!$D"&amp;'My Loans'!$N$20)),BI43)</f>
        <v>0</v>
      </c>
      <c r="U44" s="13">
        <f ca="1">IF(OR('My Loans'!$N$20="",'My Loans'!$N$20=0),0,T44*INDIRECT("'My Loans'!$E"&amp;'My Loans'!$N$20)/12)</f>
        <v>0</v>
      </c>
      <c r="V44" s="13">
        <f ca="1">IF(OR('My Loans'!$N$20="",'My Loans'!$N$20=0),0,IF(T44&lt;0.005,0,MIN(INDIRECT("'My Loans'!$F"&amp;'My Loans'!$N$20),T44+U44)))</f>
        <v>0</v>
      </c>
      <c r="W44" s="13">
        <f ca="1">IF(A44=1,IF(OR('My Loans'!$N$21="",'My Loans'!$N$21=0),0,INDIRECT("'My Loans'!$D"&amp;'My Loans'!$N$21)),BN43)</f>
        <v>0</v>
      </c>
      <c r="X44" s="13">
        <f ca="1">IF(OR('My Loans'!$N$21="",'My Loans'!$N$21=0),0,W44*INDIRECT("'My Loans'!$E"&amp;'My Loans'!$N$21)/12)</f>
        <v>0</v>
      </c>
      <c r="Y44" s="13">
        <f ca="1">IF(OR('My Loans'!$N$21="",'My Loans'!$N$21=0),0,IF(W44&lt;0.005,0,MIN(INDIRECT("'My Loans'!$F"&amp;'My Loans'!$N$21),W44+X44)))</f>
        <v>0</v>
      </c>
      <c r="Z44" s="13">
        <f ca="1">'My Loans'!$B$13-(D44+G44+J44+M44+P44+S44+V44+Y44)</f>
        <v>873</v>
      </c>
      <c r="AA44" s="13">
        <f t="shared" ca="1" si="43"/>
        <v>873</v>
      </c>
      <c r="AB44" s="13">
        <f t="shared" ca="1" si="44"/>
        <v>0</v>
      </c>
      <c r="AC44" s="13">
        <f t="shared" ca="1" si="45"/>
        <v>0</v>
      </c>
      <c r="AD44" s="13">
        <f t="shared" ca="1" si="46"/>
        <v>0</v>
      </c>
      <c r="AE44" s="13">
        <f t="shared" ca="1" si="47"/>
        <v>0</v>
      </c>
      <c r="AF44" s="13">
        <f t="shared" ca="1" si="48"/>
        <v>873</v>
      </c>
      <c r="AG44" s="13">
        <f t="shared" ca="1" si="49"/>
        <v>5222.2020750935417</v>
      </c>
      <c r="AH44" s="13">
        <f t="shared" ca="1" si="50"/>
        <v>873</v>
      </c>
      <c r="AI44" s="13">
        <f t="shared" ca="1" si="51"/>
        <v>1051</v>
      </c>
      <c r="AJ44" s="13">
        <f t="shared" ca="1" si="52"/>
        <v>4349.2020750935417</v>
      </c>
      <c r="AK44" s="13">
        <f t="shared" ca="1" si="53"/>
        <v>0</v>
      </c>
      <c r="AL44" s="13">
        <f t="shared" ca="1" si="54"/>
        <v>8849.1403113336219</v>
      </c>
      <c r="AM44" s="13">
        <f t="shared" ca="1" si="55"/>
        <v>0</v>
      </c>
      <c r="AN44" s="13">
        <f t="shared" ca="1" si="56"/>
        <v>142</v>
      </c>
      <c r="AO44" s="13">
        <f t="shared" ca="1" si="57"/>
        <v>8849.1403113336219</v>
      </c>
      <c r="AP44" s="13">
        <f t="shared" ca="1" si="58"/>
        <v>0</v>
      </c>
      <c r="AQ44" s="13">
        <f t="shared" ca="1" si="59"/>
        <v>6423.8595862161828</v>
      </c>
      <c r="AR44" s="13">
        <f t="shared" ca="1" si="60"/>
        <v>0</v>
      </c>
      <c r="AS44" s="13">
        <f t="shared" ca="1" si="61"/>
        <v>112</v>
      </c>
      <c r="AT44" s="13">
        <f t="shared" ca="1" si="62"/>
        <v>6423.8595862161828</v>
      </c>
      <c r="AU44" s="13">
        <f t="shared" ca="1" si="63"/>
        <v>0</v>
      </c>
      <c r="AV44" s="13">
        <f t="shared" ca="1" si="64"/>
        <v>5208.1024886343894</v>
      </c>
      <c r="AW44" s="13">
        <f t="shared" ca="1" si="65"/>
        <v>0</v>
      </c>
      <c r="AX44" s="13">
        <f t="shared" ca="1" si="66"/>
        <v>95</v>
      </c>
      <c r="AY44" s="13">
        <f t="shared" ca="1" si="67"/>
        <v>5208.1024886343894</v>
      </c>
      <c r="AZ44" s="13">
        <f t="shared" ca="1" si="68"/>
        <v>0</v>
      </c>
      <c r="BA44" s="13">
        <f t="shared" ca="1" si="69"/>
        <v>0</v>
      </c>
      <c r="BB44" s="13">
        <f t="shared" ca="1" si="70"/>
        <v>0</v>
      </c>
      <c r="BC44" s="13">
        <f t="shared" ca="1" si="71"/>
        <v>0</v>
      </c>
      <c r="BD44" s="13">
        <f t="shared" ca="1" si="72"/>
        <v>0</v>
      </c>
      <c r="BE44" s="13">
        <f t="shared" ca="1" si="73"/>
        <v>0</v>
      </c>
      <c r="BF44" s="13">
        <f t="shared" ca="1" si="74"/>
        <v>0</v>
      </c>
      <c r="BG44" s="13">
        <f t="shared" ca="1" si="75"/>
        <v>0</v>
      </c>
      <c r="BH44" s="13">
        <f t="shared" ca="1" si="76"/>
        <v>0</v>
      </c>
      <c r="BI44" s="13">
        <f t="shared" ca="1" si="77"/>
        <v>0</v>
      </c>
      <c r="BJ44" s="13">
        <f t="shared" ca="1" si="78"/>
        <v>0</v>
      </c>
      <c r="BK44" s="13">
        <f t="shared" ca="1" si="79"/>
        <v>0</v>
      </c>
      <c r="BL44" s="13">
        <f t="shared" ca="1" si="80"/>
        <v>0</v>
      </c>
      <c r="BM44" s="13">
        <f t="shared" ca="1" si="81"/>
        <v>0</v>
      </c>
      <c r="BN44" s="13">
        <f t="shared" ca="1" si="82"/>
        <v>0</v>
      </c>
      <c r="BO44" s="13">
        <f t="shared" ca="1" si="83"/>
        <v>1400</v>
      </c>
      <c r="BP44" s="13">
        <f t="shared" ca="1" si="84"/>
        <v>115.17090624853847</v>
      </c>
      <c r="BQ44" s="13">
        <f t="shared" ca="1" si="85"/>
        <v>24830.304461277738</v>
      </c>
    </row>
    <row r="45" spans="1:69" x14ac:dyDescent="0.25">
      <c r="A45" s="1">
        <v>44</v>
      </c>
      <c r="B45" s="13">
        <f ca="1">IF(A45=1,IF(OR('My Loans'!$N$14="",'My Loans'!$N$14=0),0,INDIRECT("'My Loans'!$D"&amp;'My Loans'!$N$14)),AE44)</f>
        <v>0</v>
      </c>
      <c r="C45" s="13">
        <f ca="1">IF(OR('My Loans'!$N$14="",'My Loans'!$N$14=0),0,B45*INDIRECT("'My Loans'!$E"&amp;'My Loans'!$N$14)/12)</f>
        <v>0</v>
      </c>
      <c r="D45" s="13">
        <f ca="1">IF(OR('My Loans'!$N$14="",'My Loans'!$N$14=0),0,IF(B45&lt;0.005,0,MIN(INDIRECT("'My Loans'!$F"&amp;'My Loans'!$N$14),B45+C45)))</f>
        <v>0</v>
      </c>
      <c r="E45" s="13">
        <f ca="1">IF(A45=1,IF(OR('My Loans'!$N$15="",'My Loans'!$N$15=0),0,INDIRECT("'My Loans'!$D"&amp;'My Loans'!$N$15)),AJ44)</f>
        <v>4349.2020750935417</v>
      </c>
      <c r="F45" s="13">
        <f ca="1">IF(OR('My Loans'!$N$15="",'My Loans'!$N$15=0),0,E45*INDIRECT("'My Loans'!$E"&amp;'My Loans'!$N$15)/12)</f>
        <v>22.470877387983297</v>
      </c>
      <c r="G45" s="13">
        <f ca="1">IF(OR('My Loans'!$N$15="",'My Loans'!$N$15=0),0,IF(E45&lt;0.005,0,MIN(INDIRECT("'My Loans'!$F"&amp;'My Loans'!$N$15),E45+F45)))</f>
        <v>178</v>
      </c>
      <c r="H45" s="13">
        <f ca="1">IF(A45=1,IF(OR('My Loans'!$N$16="",'My Loans'!$N$16=0),0,INDIRECT("'My Loans'!$D"&amp;'My Loans'!$N$16)),AO44)</f>
        <v>8849.1403113336219</v>
      </c>
      <c r="I45" s="13">
        <f ca="1">IF(OR('My Loans'!$N$16="",'My Loans'!$N$16=0),0,H45*INDIRECT("'My Loans'!$E"&amp;'My Loans'!$N$16)/12)</f>
        <v>40.558559760279103</v>
      </c>
      <c r="J45" s="13">
        <f ca="1">IF(OR('My Loans'!$N$16="",'My Loans'!$N$16=0),0,IF(H45&lt;0.005,0,MIN(INDIRECT("'My Loans'!$F"&amp;'My Loans'!$N$16),H45+I45)))</f>
        <v>142</v>
      </c>
      <c r="K45" s="13">
        <f ca="1">IF(A45=1,IF(OR('My Loans'!$N$17="",'My Loans'!$N$17=0),0,INDIRECT("'My Loans'!$D"&amp;'My Loans'!$N$17)),AT44)</f>
        <v>6423.8595862161828</v>
      </c>
      <c r="L45" s="13">
        <f ca="1">IF(OR('My Loans'!$N$17="",'My Loans'!$N$17=0),0,K45*INDIRECT("'My Loans'!$E"&amp;'My Loans'!$N$17)/12)</f>
        <v>26.230759977049416</v>
      </c>
      <c r="M45" s="13">
        <f ca="1">IF(OR('My Loans'!$N$17="",'My Loans'!$N$17=0),0,IF(K45&lt;0.005,0,MIN(INDIRECT("'My Loans'!$F"&amp;'My Loans'!$N$17),K45+L45)))</f>
        <v>112</v>
      </c>
      <c r="N45" s="13">
        <f ca="1">IF(A45=1,IF(OR('My Loans'!$N$18="",'My Loans'!$N$18=0),0,INDIRECT("'My Loans'!$D"&amp;'My Loans'!$N$18)),AY44)</f>
        <v>5208.1024886343894</v>
      </c>
      <c r="O45" s="13">
        <f ca="1">IF(OR('My Loans'!$N$18="",'My Loans'!$N$18=0),0,N45*INDIRECT("'My Loans'!$E"&amp;'My Loans'!$N$18)/12)</f>
        <v>19.530384332378961</v>
      </c>
      <c r="P45" s="13">
        <f ca="1">IF(OR('My Loans'!$N$18="",'My Loans'!$N$18=0),0,IF(N45&lt;0.005,0,MIN(INDIRECT("'My Loans'!$F"&amp;'My Loans'!$N$18),N45+O45)))</f>
        <v>95</v>
      </c>
      <c r="Q45" s="13">
        <f ca="1">IF(A45=1,IF(OR('My Loans'!$N$19="",'My Loans'!$N$19=0),0,INDIRECT("'My Loans'!$D"&amp;'My Loans'!$N$19)),BD44)</f>
        <v>0</v>
      </c>
      <c r="R45" s="13">
        <f ca="1">IF(OR('My Loans'!$N$19="",'My Loans'!$N$19=0),0,Q45*INDIRECT("'My Loans'!$E"&amp;'My Loans'!$N$19)/12)</f>
        <v>0</v>
      </c>
      <c r="S45" s="13">
        <f ca="1">IF(OR('My Loans'!$N$19="",'My Loans'!$N$19=0),0,IF(Q45&lt;0.005,0,MIN(INDIRECT("'My Loans'!$F"&amp;'My Loans'!$N$19),Q45+R45)))</f>
        <v>0</v>
      </c>
      <c r="T45" s="13">
        <f ca="1">IF(A45=1,IF(OR('My Loans'!$N$20="",'My Loans'!$N$20=0),0,INDIRECT("'My Loans'!$D"&amp;'My Loans'!$N$20)),BI44)</f>
        <v>0</v>
      </c>
      <c r="U45" s="13">
        <f ca="1">IF(OR('My Loans'!$N$20="",'My Loans'!$N$20=0),0,T45*INDIRECT("'My Loans'!$E"&amp;'My Loans'!$N$20)/12)</f>
        <v>0</v>
      </c>
      <c r="V45" s="13">
        <f ca="1">IF(OR('My Loans'!$N$20="",'My Loans'!$N$20=0),0,IF(T45&lt;0.005,0,MIN(INDIRECT("'My Loans'!$F"&amp;'My Loans'!$N$20),T45+U45)))</f>
        <v>0</v>
      </c>
      <c r="W45" s="13">
        <f ca="1">IF(A45=1,IF(OR('My Loans'!$N$21="",'My Loans'!$N$21=0),0,INDIRECT("'My Loans'!$D"&amp;'My Loans'!$N$21)),BN44)</f>
        <v>0</v>
      </c>
      <c r="X45" s="13">
        <f ca="1">IF(OR('My Loans'!$N$21="",'My Loans'!$N$21=0),0,W45*INDIRECT("'My Loans'!$E"&amp;'My Loans'!$N$21)/12)</f>
        <v>0</v>
      </c>
      <c r="Y45" s="13">
        <f ca="1">IF(OR('My Loans'!$N$21="",'My Loans'!$N$21=0),0,IF(W45&lt;0.005,0,MIN(INDIRECT("'My Loans'!$F"&amp;'My Loans'!$N$21),W45+X45)))</f>
        <v>0</v>
      </c>
      <c r="Z45" s="13">
        <f ca="1">'My Loans'!$B$13-(D45+G45+J45+M45+P45+S45+V45+Y45)</f>
        <v>873</v>
      </c>
      <c r="AA45" s="13">
        <f t="shared" ca="1" si="43"/>
        <v>873</v>
      </c>
      <c r="AB45" s="13">
        <f t="shared" ca="1" si="44"/>
        <v>0</v>
      </c>
      <c r="AC45" s="13">
        <f t="shared" ca="1" si="45"/>
        <v>0</v>
      </c>
      <c r="AD45" s="13">
        <f t="shared" ca="1" si="46"/>
        <v>0</v>
      </c>
      <c r="AE45" s="13">
        <f t="shared" ca="1" si="47"/>
        <v>0</v>
      </c>
      <c r="AF45" s="13">
        <f t="shared" ca="1" si="48"/>
        <v>873</v>
      </c>
      <c r="AG45" s="13">
        <f t="shared" ca="1" si="49"/>
        <v>4193.6729524815246</v>
      </c>
      <c r="AH45" s="13">
        <f t="shared" ca="1" si="50"/>
        <v>873</v>
      </c>
      <c r="AI45" s="13">
        <f t="shared" ca="1" si="51"/>
        <v>1051</v>
      </c>
      <c r="AJ45" s="13">
        <f t="shared" ca="1" si="52"/>
        <v>3320.6729524815246</v>
      </c>
      <c r="AK45" s="13">
        <f t="shared" ca="1" si="53"/>
        <v>0</v>
      </c>
      <c r="AL45" s="13">
        <f t="shared" ca="1" si="54"/>
        <v>8747.6988710939004</v>
      </c>
      <c r="AM45" s="13">
        <f t="shared" ca="1" si="55"/>
        <v>0</v>
      </c>
      <c r="AN45" s="13">
        <f t="shared" ca="1" si="56"/>
        <v>142</v>
      </c>
      <c r="AO45" s="13">
        <f t="shared" ca="1" si="57"/>
        <v>8747.6988710939004</v>
      </c>
      <c r="AP45" s="13">
        <f t="shared" ca="1" si="58"/>
        <v>0</v>
      </c>
      <c r="AQ45" s="13">
        <f t="shared" ca="1" si="59"/>
        <v>6338.0903461932321</v>
      </c>
      <c r="AR45" s="13">
        <f t="shared" ca="1" si="60"/>
        <v>0</v>
      </c>
      <c r="AS45" s="13">
        <f t="shared" ca="1" si="61"/>
        <v>112</v>
      </c>
      <c r="AT45" s="13">
        <f t="shared" ca="1" si="62"/>
        <v>6338.0903461932321</v>
      </c>
      <c r="AU45" s="13">
        <f t="shared" ca="1" si="63"/>
        <v>0</v>
      </c>
      <c r="AV45" s="13">
        <f t="shared" ca="1" si="64"/>
        <v>5132.6328729667684</v>
      </c>
      <c r="AW45" s="13">
        <f t="shared" ca="1" si="65"/>
        <v>0</v>
      </c>
      <c r="AX45" s="13">
        <f t="shared" ca="1" si="66"/>
        <v>95</v>
      </c>
      <c r="AY45" s="13">
        <f t="shared" ca="1" si="67"/>
        <v>5132.6328729667684</v>
      </c>
      <c r="AZ45" s="13">
        <f t="shared" ca="1" si="68"/>
        <v>0</v>
      </c>
      <c r="BA45" s="13">
        <f t="shared" ca="1" si="69"/>
        <v>0</v>
      </c>
      <c r="BB45" s="13">
        <f t="shared" ca="1" si="70"/>
        <v>0</v>
      </c>
      <c r="BC45" s="13">
        <f t="shared" ca="1" si="71"/>
        <v>0</v>
      </c>
      <c r="BD45" s="13">
        <f t="shared" ca="1" si="72"/>
        <v>0</v>
      </c>
      <c r="BE45" s="13">
        <f t="shared" ca="1" si="73"/>
        <v>0</v>
      </c>
      <c r="BF45" s="13">
        <f t="shared" ca="1" si="74"/>
        <v>0</v>
      </c>
      <c r="BG45" s="13">
        <f t="shared" ca="1" si="75"/>
        <v>0</v>
      </c>
      <c r="BH45" s="13">
        <f t="shared" ca="1" si="76"/>
        <v>0</v>
      </c>
      <c r="BI45" s="13">
        <f t="shared" ca="1" si="77"/>
        <v>0</v>
      </c>
      <c r="BJ45" s="13">
        <f t="shared" ca="1" si="78"/>
        <v>0</v>
      </c>
      <c r="BK45" s="13">
        <f t="shared" ca="1" si="79"/>
        <v>0</v>
      </c>
      <c r="BL45" s="13">
        <f t="shared" ca="1" si="80"/>
        <v>0</v>
      </c>
      <c r="BM45" s="13">
        <f t="shared" ca="1" si="81"/>
        <v>0</v>
      </c>
      <c r="BN45" s="13">
        <f t="shared" ca="1" si="82"/>
        <v>0</v>
      </c>
      <c r="BO45" s="13">
        <f t="shared" ca="1" si="83"/>
        <v>1400</v>
      </c>
      <c r="BP45" s="13">
        <f t="shared" ca="1" si="84"/>
        <v>108.79058145769078</v>
      </c>
      <c r="BQ45" s="13">
        <f t="shared" ca="1" si="85"/>
        <v>23539.095042735426</v>
      </c>
    </row>
    <row r="46" spans="1:69" x14ac:dyDescent="0.25">
      <c r="A46" s="1">
        <v>45</v>
      </c>
      <c r="B46" s="13">
        <f ca="1">IF(A46=1,IF(OR('My Loans'!$N$14="",'My Loans'!$N$14=0),0,INDIRECT("'My Loans'!$D"&amp;'My Loans'!$N$14)),AE45)</f>
        <v>0</v>
      </c>
      <c r="C46" s="13">
        <f ca="1">IF(OR('My Loans'!$N$14="",'My Loans'!$N$14=0),0,B46*INDIRECT("'My Loans'!$E"&amp;'My Loans'!$N$14)/12)</f>
        <v>0</v>
      </c>
      <c r="D46" s="13">
        <f ca="1">IF(OR('My Loans'!$N$14="",'My Loans'!$N$14=0),0,IF(B46&lt;0.005,0,MIN(INDIRECT("'My Loans'!$F"&amp;'My Loans'!$N$14),B46+C46)))</f>
        <v>0</v>
      </c>
      <c r="E46" s="13">
        <f ca="1">IF(A46=1,IF(OR('My Loans'!$N$15="",'My Loans'!$N$15=0),0,INDIRECT("'My Loans'!$D"&amp;'My Loans'!$N$15)),AJ45)</f>
        <v>3320.6729524815246</v>
      </c>
      <c r="F46" s="13">
        <f ca="1">IF(OR('My Loans'!$N$15="",'My Loans'!$N$15=0),0,E46*INDIRECT("'My Loans'!$E"&amp;'My Loans'!$N$15)/12)</f>
        <v>17.156810254487876</v>
      </c>
      <c r="G46" s="13">
        <f ca="1">IF(OR('My Loans'!$N$15="",'My Loans'!$N$15=0),0,IF(E46&lt;0.005,0,MIN(INDIRECT("'My Loans'!$F"&amp;'My Loans'!$N$15),E46+F46)))</f>
        <v>178</v>
      </c>
      <c r="H46" s="13">
        <f ca="1">IF(A46=1,IF(OR('My Loans'!$N$16="",'My Loans'!$N$16=0),0,INDIRECT("'My Loans'!$D"&amp;'My Loans'!$N$16)),AO45)</f>
        <v>8747.6988710939004</v>
      </c>
      <c r="I46" s="13">
        <f ca="1">IF(OR('My Loans'!$N$16="",'My Loans'!$N$16=0),0,H46*INDIRECT("'My Loans'!$E"&amp;'My Loans'!$N$16)/12)</f>
        <v>40.093619825847043</v>
      </c>
      <c r="J46" s="13">
        <f ca="1">IF(OR('My Loans'!$N$16="",'My Loans'!$N$16=0),0,IF(H46&lt;0.005,0,MIN(INDIRECT("'My Loans'!$F"&amp;'My Loans'!$N$16),H46+I46)))</f>
        <v>142</v>
      </c>
      <c r="K46" s="13">
        <f ca="1">IF(A46=1,IF(OR('My Loans'!$N$17="",'My Loans'!$N$17=0),0,INDIRECT("'My Loans'!$D"&amp;'My Loans'!$N$17)),AT45)</f>
        <v>6338.0903461932321</v>
      </c>
      <c r="L46" s="13">
        <f ca="1">IF(OR('My Loans'!$N$17="",'My Loans'!$N$17=0),0,K46*INDIRECT("'My Loans'!$E"&amp;'My Loans'!$N$17)/12)</f>
        <v>25.880535580289031</v>
      </c>
      <c r="M46" s="13">
        <f ca="1">IF(OR('My Loans'!$N$17="",'My Loans'!$N$17=0),0,IF(K46&lt;0.005,0,MIN(INDIRECT("'My Loans'!$F"&amp;'My Loans'!$N$17),K46+L46)))</f>
        <v>112</v>
      </c>
      <c r="N46" s="13">
        <f ca="1">IF(A46=1,IF(OR('My Loans'!$N$18="",'My Loans'!$N$18=0),0,INDIRECT("'My Loans'!$D"&amp;'My Loans'!$N$18)),AY45)</f>
        <v>5132.6328729667684</v>
      </c>
      <c r="O46" s="13">
        <f ca="1">IF(OR('My Loans'!$N$18="",'My Loans'!$N$18=0),0,N46*INDIRECT("'My Loans'!$E"&amp;'My Loans'!$N$18)/12)</f>
        <v>19.247373273625382</v>
      </c>
      <c r="P46" s="13">
        <f ca="1">IF(OR('My Loans'!$N$18="",'My Loans'!$N$18=0),0,IF(N46&lt;0.005,0,MIN(INDIRECT("'My Loans'!$F"&amp;'My Loans'!$N$18),N46+O46)))</f>
        <v>95</v>
      </c>
      <c r="Q46" s="13">
        <f ca="1">IF(A46=1,IF(OR('My Loans'!$N$19="",'My Loans'!$N$19=0),0,INDIRECT("'My Loans'!$D"&amp;'My Loans'!$N$19)),BD45)</f>
        <v>0</v>
      </c>
      <c r="R46" s="13">
        <f ca="1">IF(OR('My Loans'!$N$19="",'My Loans'!$N$19=0),0,Q46*INDIRECT("'My Loans'!$E"&amp;'My Loans'!$N$19)/12)</f>
        <v>0</v>
      </c>
      <c r="S46" s="13">
        <f ca="1">IF(OR('My Loans'!$N$19="",'My Loans'!$N$19=0),0,IF(Q46&lt;0.005,0,MIN(INDIRECT("'My Loans'!$F"&amp;'My Loans'!$N$19),Q46+R46)))</f>
        <v>0</v>
      </c>
      <c r="T46" s="13">
        <f ca="1">IF(A46=1,IF(OR('My Loans'!$N$20="",'My Loans'!$N$20=0),0,INDIRECT("'My Loans'!$D"&amp;'My Loans'!$N$20)),BI45)</f>
        <v>0</v>
      </c>
      <c r="U46" s="13">
        <f ca="1">IF(OR('My Loans'!$N$20="",'My Loans'!$N$20=0),0,T46*INDIRECT("'My Loans'!$E"&amp;'My Loans'!$N$20)/12)</f>
        <v>0</v>
      </c>
      <c r="V46" s="13">
        <f ca="1">IF(OR('My Loans'!$N$20="",'My Loans'!$N$20=0),0,IF(T46&lt;0.005,0,MIN(INDIRECT("'My Loans'!$F"&amp;'My Loans'!$N$20),T46+U46)))</f>
        <v>0</v>
      </c>
      <c r="W46" s="13">
        <f ca="1">IF(A46=1,IF(OR('My Loans'!$N$21="",'My Loans'!$N$21=0),0,INDIRECT("'My Loans'!$D"&amp;'My Loans'!$N$21)),BN45)</f>
        <v>0</v>
      </c>
      <c r="X46" s="13">
        <f ca="1">IF(OR('My Loans'!$N$21="",'My Loans'!$N$21=0),0,W46*INDIRECT("'My Loans'!$E"&amp;'My Loans'!$N$21)/12)</f>
        <v>0</v>
      </c>
      <c r="Y46" s="13">
        <f ca="1">IF(OR('My Loans'!$N$21="",'My Loans'!$N$21=0),0,IF(W46&lt;0.005,0,MIN(INDIRECT("'My Loans'!$F"&amp;'My Loans'!$N$21),W46+X46)))</f>
        <v>0</v>
      </c>
      <c r="Z46" s="13">
        <f ca="1">'My Loans'!$B$13-(D46+G46+J46+M46+P46+S46+V46+Y46)</f>
        <v>873</v>
      </c>
      <c r="AA46" s="13">
        <f t="shared" ca="1" si="43"/>
        <v>873</v>
      </c>
      <c r="AB46" s="13">
        <f t="shared" ca="1" si="44"/>
        <v>0</v>
      </c>
      <c r="AC46" s="13">
        <f t="shared" ca="1" si="45"/>
        <v>0</v>
      </c>
      <c r="AD46" s="13">
        <f t="shared" ca="1" si="46"/>
        <v>0</v>
      </c>
      <c r="AE46" s="13">
        <f t="shared" ca="1" si="47"/>
        <v>0</v>
      </c>
      <c r="AF46" s="13">
        <f t="shared" ca="1" si="48"/>
        <v>873</v>
      </c>
      <c r="AG46" s="13">
        <f t="shared" ca="1" si="49"/>
        <v>3159.8297627360125</v>
      </c>
      <c r="AH46" s="13">
        <f t="shared" ca="1" si="50"/>
        <v>873</v>
      </c>
      <c r="AI46" s="13">
        <f t="shared" ca="1" si="51"/>
        <v>1051</v>
      </c>
      <c r="AJ46" s="13">
        <f t="shared" ca="1" si="52"/>
        <v>2286.8297627360125</v>
      </c>
      <c r="AK46" s="13">
        <f t="shared" ca="1" si="53"/>
        <v>0</v>
      </c>
      <c r="AL46" s="13">
        <f t="shared" ca="1" si="54"/>
        <v>8645.7924909197482</v>
      </c>
      <c r="AM46" s="13">
        <f t="shared" ca="1" si="55"/>
        <v>0</v>
      </c>
      <c r="AN46" s="13">
        <f t="shared" ca="1" si="56"/>
        <v>142</v>
      </c>
      <c r="AO46" s="13">
        <f t="shared" ca="1" si="57"/>
        <v>8645.7924909197482</v>
      </c>
      <c r="AP46" s="13">
        <f t="shared" ca="1" si="58"/>
        <v>0</v>
      </c>
      <c r="AQ46" s="13">
        <f t="shared" ca="1" si="59"/>
        <v>6251.9708817735209</v>
      </c>
      <c r="AR46" s="13">
        <f t="shared" ca="1" si="60"/>
        <v>0</v>
      </c>
      <c r="AS46" s="13">
        <f t="shared" ca="1" si="61"/>
        <v>112</v>
      </c>
      <c r="AT46" s="13">
        <f t="shared" ca="1" si="62"/>
        <v>6251.9708817735209</v>
      </c>
      <c r="AU46" s="13">
        <f t="shared" ca="1" si="63"/>
        <v>0</v>
      </c>
      <c r="AV46" s="13">
        <f t="shared" ca="1" si="64"/>
        <v>5056.8802462403937</v>
      </c>
      <c r="AW46" s="13">
        <f t="shared" ca="1" si="65"/>
        <v>0</v>
      </c>
      <c r="AX46" s="13">
        <f t="shared" ca="1" si="66"/>
        <v>95</v>
      </c>
      <c r="AY46" s="13">
        <f t="shared" ca="1" si="67"/>
        <v>5056.8802462403937</v>
      </c>
      <c r="AZ46" s="13">
        <f t="shared" ca="1" si="68"/>
        <v>0</v>
      </c>
      <c r="BA46" s="13">
        <f t="shared" ca="1" si="69"/>
        <v>0</v>
      </c>
      <c r="BB46" s="13">
        <f t="shared" ca="1" si="70"/>
        <v>0</v>
      </c>
      <c r="BC46" s="13">
        <f t="shared" ca="1" si="71"/>
        <v>0</v>
      </c>
      <c r="BD46" s="13">
        <f t="shared" ca="1" si="72"/>
        <v>0</v>
      </c>
      <c r="BE46" s="13">
        <f t="shared" ca="1" si="73"/>
        <v>0</v>
      </c>
      <c r="BF46" s="13">
        <f t="shared" ca="1" si="74"/>
        <v>0</v>
      </c>
      <c r="BG46" s="13">
        <f t="shared" ca="1" si="75"/>
        <v>0</v>
      </c>
      <c r="BH46" s="13">
        <f t="shared" ca="1" si="76"/>
        <v>0</v>
      </c>
      <c r="BI46" s="13">
        <f t="shared" ca="1" si="77"/>
        <v>0</v>
      </c>
      <c r="BJ46" s="13">
        <f t="shared" ca="1" si="78"/>
        <v>0</v>
      </c>
      <c r="BK46" s="13">
        <f t="shared" ca="1" si="79"/>
        <v>0</v>
      </c>
      <c r="BL46" s="13">
        <f t="shared" ca="1" si="80"/>
        <v>0</v>
      </c>
      <c r="BM46" s="13">
        <f t="shared" ca="1" si="81"/>
        <v>0</v>
      </c>
      <c r="BN46" s="13">
        <f t="shared" ca="1" si="82"/>
        <v>0</v>
      </c>
      <c r="BO46" s="13">
        <f t="shared" ca="1" si="83"/>
        <v>1400</v>
      </c>
      <c r="BP46" s="13">
        <f t="shared" ca="1" si="84"/>
        <v>102.37833893424934</v>
      </c>
      <c r="BQ46" s="13">
        <f t="shared" ca="1" si="85"/>
        <v>22241.473381669679</v>
      </c>
    </row>
    <row r="47" spans="1:69" x14ac:dyDescent="0.25">
      <c r="A47" s="1">
        <v>46</v>
      </c>
      <c r="B47" s="13">
        <f ca="1">IF(A47=1,IF(OR('My Loans'!$N$14="",'My Loans'!$N$14=0),0,INDIRECT("'My Loans'!$D"&amp;'My Loans'!$N$14)),AE46)</f>
        <v>0</v>
      </c>
      <c r="C47" s="13">
        <f ca="1">IF(OR('My Loans'!$N$14="",'My Loans'!$N$14=0),0,B47*INDIRECT("'My Loans'!$E"&amp;'My Loans'!$N$14)/12)</f>
        <v>0</v>
      </c>
      <c r="D47" s="13">
        <f ca="1">IF(OR('My Loans'!$N$14="",'My Loans'!$N$14=0),0,IF(B47&lt;0.005,0,MIN(INDIRECT("'My Loans'!$F"&amp;'My Loans'!$N$14),B47+C47)))</f>
        <v>0</v>
      </c>
      <c r="E47" s="13">
        <f ca="1">IF(A47=1,IF(OR('My Loans'!$N$15="",'My Loans'!$N$15=0),0,INDIRECT("'My Loans'!$D"&amp;'My Loans'!$N$15)),AJ46)</f>
        <v>2286.8297627360125</v>
      </c>
      <c r="F47" s="13">
        <f ca="1">IF(OR('My Loans'!$N$15="",'My Loans'!$N$15=0),0,E47*INDIRECT("'My Loans'!$E"&amp;'My Loans'!$N$15)/12)</f>
        <v>11.815287107469397</v>
      </c>
      <c r="G47" s="13">
        <f ca="1">IF(OR('My Loans'!$N$15="",'My Loans'!$N$15=0),0,IF(E47&lt;0.005,0,MIN(INDIRECT("'My Loans'!$F"&amp;'My Loans'!$N$15),E47+F47)))</f>
        <v>178</v>
      </c>
      <c r="H47" s="13">
        <f ca="1">IF(A47=1,IF(OR('My Loans'!$N$16="",'My Loans'!$N$16=0),0,INDIRECT("'My Loans'!$D"&amp;'My Loans'!$N$16)),AO46)</f>
        <v>8645.7924909197482</v>
      </c>
      <c r="I47" s="13">
        <f ca="1">IF(OR('My Loans'!$N$16="",'My Loans'!$N$16=0),0,H47*INDIRECT("'My Loans'!$E"&amp;'My Loans'!$N$16)/12)</f>
        <v>39.626548916715514</v>
      </c>
      <c r="J47" s="13">
        <f ca="1">IF(OR('My Loans'!$N$16="",'My Loans'!$N$16=0),0,IF(H47&lt;0.005,0,MIN(INDIRECT("'My Loans'!$F"&amp;'My Loans'!$N$16),H47+I47)))</f>
        <v>142</v>
      </c>
      <c r="K47" s="13">
        <f ca="1">IF(A47=1,IF(OR('My Loans'!$N$17="",'My Loans'!$N$17=0),0,INDIRECT("'My Loans'!$D"&amp;'My Loans'!$N$17)),AT46)</f>
        <v>6251.9708817735209</v>
      </c>
      <c r="L47" s="13">
        <f ca="1">IF(OR('My Loans'!$N$17="",'My Loans'!$N$17=0),0,K47*INDIRECT("'My Loans'!$E"&amp;'My Loans'!$N$17)/12)</f>
        <v>25.528881100575209</v>
      </c>
      <c r="M47" s="13">
        <f ca="1">IF(OR('My Loans'!$N$17="",'My Loans'!$N$17=0),0,IF(K47&lt;0.005,0,MIN(INDIRECT("'My Loans'!$F"&amp;'My Loans'!$N$17),K47+L47)))</f>
        <v>112</v>
      </c>
      <c r="N47" s="13">
        <f ca="1">IF(A47=1,IF(OR('My Loans'!$N$18="",'My Loans'!$N$18=0),0,INDIRECT("'My Loans'!$D"&amp;'My Loans'!$N$18)),AY46)</f>
        <v>5056.8802462403937</v>
      </c>
      <c r="O47" s="13">
        <f ca="1">IF(OR('My Loans'!$N$18="",'My Loans'!$N$18=0),0,N47*INDIRECT("'My Loans'!$E"&amp;'My Loans'!$N$18)/12)</f>
        <v>18.963300923401476</v>
      </c>
      <c r="P47" s="13">
        <f ca="1">IF(OR('My Loans'!$N$18="",'My Loans'!$N$18=0),0,IF(N47&lt;0.005,0,MIN(INDIRECT("'My Loans'!$F"&amp;'My Loans'!$N$18),N47+O47)))</f>
        <v>95</v>
      </c>
      <c r="Q47" s="13">
        <f ca="1">IF(A47=1,IF(OR('My Loans'!$N$19="",'My Loans'!$N$19=0),0,INDIRECT("'My Loans'!$D"&amp;'My Loans'!$N$19)),BD46)</f>
        <v>0</v>
      </c>
      <c r="R47" s="13">
        <f ca="1">IF(OR('My Loans'!$N$19="",'My Loans'!$N$19=0),0,Q47*INDIRECT("'My Loans'!$E"&amp;'My Loans'!$N$19)/12)</f>
        <v>0</v>
      </c>
      <c r="S47" s="13">
        <f ca="1">IF(OR('My Loans'!$N$19="",'My Loans'!$N$19=0),0,IF(Q47&lt;0.005,0,MIN(INDIRECT("'My Loans'!$F"&amp;'My Loans'!$N$19),Q47+R47)))</f>
        <v>0</v>
      </c>
      <c r="T47" s="13">
        <f ca="1">IF(A47=1,IF(OR('My Loans'!$N$20="",'My Loans'!$N$20=0),0,INDIRECT("'My Loans'!$D"&amp;'My Loans'!$N$20)),BI46)</f>
        <v>0</v>
      </c>
      <c r="U47" s="13">
        <f ca="1">IF(OR('My Loans'!$N$20="",'My Loans'!$N$20=0),0,T47*INDIRECT("'My Loans'!$E"&amp;'My Loans'!$N$20)/12)</f>
        <v>0</v>
      </c>
      <c r="V47" s="13">
        <f ca="1">IF(OR('My Loans'!$N$20="",'My Loans'!$N$20=0),0,IF(T47&lt;0.005,0,MIN(INDIRECT("'My Loans'!$F"&amp;'My Loans'!$N$20),T47+U47)))</f>
        <v>0</v>
      </c>
      <c r="W47" s="13">
        <f ca="1">IF(A47=1,IF(OR('My Loans'!$N$21="",'My Loans'!$N$21=0),0,INDIRECT("'My Loans'!$D"&amp;'My Loans'!$N$21)),BN46)</f>
        <v>0</v>
      </c>
      <c r="X47" s="13">
        <f ca="1">IF(OR('My Loans'!$N$21="",'My Loans'!$N$21=0),0,W47*INDIRECT("'My Loans'!$E"&amp;'My Loans'!$N$21)/12)</f>
        <v>0</v>
      </c>
      <c r="Y47" s="13">
        <f ca="1">IF(OR('My Loans'!$N$21="",'My Loans'!$N$21=0),0,IF(W47&lt;0.005,0,MIN(INDIRECT("'My Loans'!$F"&amp;'My Loans'!$N$21),W47+X47)))</f>
        <v>0</v>
      </c>
      <c r="Z47" s="13">
        <f ca="1">'My Loans'!$B$13-(D47+G47+J47+M47+P47+S47+V47+Y47)</f>
        <v>873</v>
      </c>
      <c r="AA47" s="13">
        <f t="shared" ca="1" si="43"/>
        <v>873</v>
      </c>
      <c r="AB47" s="13">
        <f t="shared" ca="1" si="44"/>
        <v>0</v>
      </c>
      <c r="AC47" s="13">
        <f t="shared" ca="1" si="45"/>
        <v>0</v>
      </c>
      <c r="AD47" s="13">
        <f t="shared" ca="1" si="46"/>
        <v>0</v>
      </c>
      <c r="AE47" s="13">
        <f t="shared" ca="1" si="47"/>
        <v>0</v>
      </c>
      <c r="AF47" s="13">
        <f t="shared" ca="1" si="48"/>
        <v>873</v>
      </c>
      <c r="AG47" s="13">
        <f t="shared" ca="1" si="49"/>
        <v>2120.645049843482</v>
      </c>
      <c r="AH47" s="13">
        <f t="shared" ca="1" si="50"/>
        <v>873</v>
      </c>
      <c r="AI47" s="13">
        <f t="shared" ca="1" si="51"/>
        <v>1051</v>
      </c>
      <c r="AJ47" s="13">
        <f t="shared" ca="1" si="52"/>
        <v>1247.645049843482</v>
      </c>
      <c r="AK47" s="13">
        <f t="shared" ca="1" si="53"/>
        <v>0</v>
      </c>
      <c r="AL47" s="13">
        <f t="shared" ca="1" si="54"/>
        <v>8543.4190398364644</v>
      </c>
      <c r="AM47" s="13">
        <f t="shared" ca="1" si="55"/>
        <v>0</v>
      </c>
      <c r="AN47" s="13">
        <f t="shared" ca="1" si="56"/>
        <v>142</v>
      </c>
      <c r="AO47" s="13">
        <f t="shared" ca="1" si="57"/>
        <v>8543.4190398364644</v>
      </c>
      <c r="AP47" s="13">
        <f t="shared" ca="1" si="58"/>
        <v>0</v>
      </c>
      <c r="AQ47" s="13">
        <f t="shared" ca="1" si="59"/>
        <v>6165.4997628740957</v>
      </c>
      <c r="AR47" s="13">
        <f t="shared" ca="1" si="60"/>
        <v>0</v>
      </c>
      <c r="AS47" s="13">
        <f t="shared" ca="1" si="61"/>
        <v>112</v>
      </c>
      <c r="AT47" s="13">
        <f t="shared" ca="1" si="62"/>
        <v>6165.4997628740957</v>
      </c>
      <c r="AU47" s="13">
        <f t="shared" ca="1" si="63"/>
        <v>0</v>
      </c>
      <c r="AV47" s="13">
        <f t="shared" ca="1" si="64"/>
        <v>4980.8435471637949</v>
      </c>
      <c r="AW47" s="13">
        <f t="shared" ca="1" si="65"/>
        <v>0</v>
      </c>
      <c r="AX47" s="13">
        <f t="shared" ca="1" si="66"/>
        <v>95</v>
      </c>
      <c r="AY47" s="13">
        <f t="shared" ca="1" si="67"/>
        <v>4980.8435471637949</v>
      </c>
      <c r="AZ47" s="13">
        <f t="shared" ca="1" si="68"/>
        <v>0</v>
      </c>
      <c r="BA47" s="13">
        <f t="shared" ca="1" si="69"/>
        <v>0</v>
      </c>
      <c r="BB47" s="13">
        <f t="shared" ca="1" si="70"/>
        <v>0</v>
      </c>
      <c r="BC47" s="13">
        <f t="shared" ca="1" si="71"/>
        <v>0</v>
      </c>
      <c r="BD47" s="13">
        <f t="shared" ca="1" si="72"/>
        <v>0</v>
      </c>
      <c r="BE47" s="13">
        <f t="shared" ca="1" si="73"/>
        <v>0</v>
      </c>
      <c r="BF47" s="13">
        <f t="shared" ca="1" si="74"/>
        <v>0</v>
      </c>
      <c r="BG47" s="13">
        <f t="shared" ca="1" si="75"/>
        <v>0</v>
      </c>
      <c r="BH47" s="13">
        <f t="shared" ca="1" si="76"/>
        <v>0</v>
      </c>
      <c r="BI47" s="13">
        <f t="shared" ca="1" si="77"/>
        <v>0</v>
      </c>
      <c r="BJ47" s="13">
        <f t="shared" ca="1" si="78"/>
        <v>0</v>
      </c>
      <c r="BK47" s="13">
        <f t="shared" ca="1" si="79"/>
        <v>0</v>
      </c>
      <c r="BL47" s="13">
        <f t="shared" ca="1" si="80"/>
        <v>0</v>
      </c>
      <c r="BM47" s="13">
        <f t="shared" ca="1" si="81"/>
        <v>0</v>
      </c>
      <c r="BN47" s="13">
        <f t="shared" ca="1" si="82"/>
        <v>0</v>
      </c>
      <c r="BO47" s="13">
        <f t="shared" ca="1" si="83"/>
        <v>1400</v>
      </c>
      <c r="BP47" s="13">
        <f t="shared" ca="1" si="84"/>
        <v>95.93401804816159</v>
      </c>
      <c r="BQ47" s="13">
        <f t="shared" ca="1" si="85"/>
        <v>20937.407399717835</v>
      </c>
    </row>
    <row r="48" spans="1:69" x14ac:dyDescent="0.25">
      <c r="A48" s="1">
        <v>47</v>
      </c>
      <c r="B48" s="13">
        <f ca="1">IF(A48=1,IF(OR('My Loans'!$N$14="",'My Loans'!$N$14=0),0,INDIRECT("'My Loans'!$D"&amp;'My Loans'!$N$14)),AE47)</f>
        <v>0</v>
      </c>
      <c r="C48" s="13">
        <f ca="1">IF(OR('My Loans'!$N$14="",'My Loans'!$N$14=0),0,B48*INDIRECT("'My Loans'!$E"&amp;'My Loans'!$N$14)/12)</f>
        <v>0</v>
      </c>
      <c r="D48" s="13">
        <f ca="1">IF(OR('My Loans'!$N$14="",'My Loans'!$N$14=0),0,IF(B48&lt;0.005,0,MIN(INDIRECT("'My Loans'!$F"&amp;'My Loans'!$N$14),B48+C48)))</f>
        <v>0</v>
      </c>
      <c r="E48" s="13">
        <f ca="1">IF(A48=1,IF(OR('My Loans'!$N$15="",'My Loans'!$N$15=0),0,INDIRECT("'My Loans'!$D"&amp;'My Loans'!$N$15)),AJ47)</f>
        <v>1247.645049843482</v>
      </c>
      <c r="F48" s="13">
        <f ca="1">IF(OR('My Loans'!$N$15="",'My Loans'!$N$15=0),0,E48*INDIRECT("'My Loans'!$E"&amp;'My Loans'!$N$15)/12)</f>
        <v>6.4461660908579903</v>
      </c>
      <c r="G48" s="13">
        <f ca="1">IF(OR('My Loans'!$N$15="",'My Loans'!$N$15=0),0,IF(E48&lt;0.005,0,MIN(INDIRECT("'My Loans'!$F"&amp;'My Loans'!$N$15),E48+F48)))</f>
        <v>178</v>
      </c>
      <c r="H48" s="13">
        <f ca="1">IF(A48=1,IF(OR('My Loans'!$N$16="",'My Loans'!$N$16=0),0,INDIRECT("'My Loans'!$D"&amp;'My Loans'!$N$16)),AO47)</f>
        <v>8543.4190398364644</v>
      </c>
      <c r="I48" s="13">
        <f ca="1">IF(OR('My Loans'!$N$16="",'My Loans'!$N$16=0),0,H48*INDIRECT("'My Loans'!$E"&amp;'My Loans'!$N$16)/12)</f>
        <v>39.157337265917128</v>
      </c>
      <c r="J48" s="13">
        <f ca="1">IF(OR('My Loans'!$N$16="",'My Loans'!$N$16=0),0,IF(H48&lt;0.005,0,MIN(INDIRECT("'My Loans'!$F"&amp;'My Loans'!$N$16),H48+I48)))</f>
        <v>142</v>
      </c>
      <c r="K48" s="13">
        <f ca="1">IF(A48=1,IF(OR('My Loans'!$N$17="",'My Loans'!$N$17=0),0,INDIRECT("'My Loans'!$D"&amp;'My Loans'!$N$17)),AT47)</f>
        <v>6165.4997628740957</v>
      </c>
      <c r="L48" s="13">
        <f ca="1">IF(OR('My Loans'!$N$17="",'My Loans'!$N$17=0),0,K48*INDIRECT("'My Loans'!$E"&amp;'My Loans'!$N$17)/12)</f>
        <v>25.175790698402562</v>
      </c>
      <c r="M48" s="13">
        <f ca="1">IF(OR('My Loans'!$N$17="",'My Loans'!$N$17=0),0,IF(K48&lt;0.005,0,MIN(INDIRECT("'My Loans'!$F"&amp;'My Loans'!$N$17),K48+L48)))</f>
        <v>112</v>
      </c>
      <c r="N48" s="13">
        <f ca="1">IF(A48=1,IF(OR('My Loans'!$N$18="",'My Loans'!$N$18=0),0,INDIRECT("'My Loans'!$D"&amp;'My Loans'!$N$18)),AY47)</f>
        <v>4980.8435471637949</v>
      </c>
      <c r="O48" s="13">
        <f ca="1">IF(OR('My Loans'!$N$18="",'My Loans'!$N$18=0),0,N48*INDIRECT("'My Loans'!$E"&amp;'My Loans'!$N$18)/12)</f>
        <v>18.678163301864231</v>
      </c>
      <c r="P48" s="13">
        <f ca="1">IF(OR('My Loans'!$N$18="",'My Loans'!$N$18=0),0,IF(N48&lt;0.005,0,MIN(INDIRECT("'My Loans'!$F"&amp;'My Loans'!$N$18),N48+O48)))</f>
        <v>95</v>
      </c>
      <c r="Q48" s="13">
        <f ca="1">IF(A48=1,IF(OR('My Loans'!$N$19="",'My Loans'!$N$19=0),0,INDIRECT("'My Loans'!$D"&amp;'My Loans'!$N$19)),BD47)</f>
        <v>0</v>
      </c>
      <c r="R48" s="13">
        <f ca="1">IF(OR('My Loans'!$N$19="",'My Loans'!$N$19=0),0,Q48*INDIRECT("'My Loans'!$E"&amp;'My Loans'!$N$19)/12)</f>
        <v>0</v>
      </c>
      <c r="S48" s="13">
        <f ca="1">IF(OR('My Loans'!$N$19="",'My Loans'!$N$19=0),0,IF(Q48&lt;0.005,0,MIN(INDIRECT("'My Loans'!$F"&amp;'My Loans'!$N$19),Q48+R48)))</f>
        <v>0</v>
      </c>
      <c r="T48" s="13">
        <f ca="1">IF(A48=1,IF(OR('My Loans'!$N$20="",'My Loans'!$N$20=0),0,INDIRECT("'My Loans'!$D"&amp;'My Loans'!$N$20)),BI47)</f>
        <v>0</v>
      </c>
      <c r="U48" s="13">
        <f ca="1">IF(OR('My Loans'!$N$20="",'My Loans'!$N$20=0),0,T48*INDIRECT("'My Loans'!$E"&amp;'My Loans'!$N$20)/12)</f>
        <v>0</v>
      </c>
      <c r="V48" s="13">
        <f ca="1">IF(OR('My Loans'!$N$20="",'My Loans'!$N$20=0),0,IF(T48&lt;0.005,0,MIN(INDIRECT("'My Loans'!$F"&amp;'My Loans'!$N$20),T48+U48)))</f>
        <v>0</v>
      </c>
      <c r="W48" s="13">
        <f ca="1">IF(A48=1,IF(OR('My Loans'!$N$21="",'My Loans'!$N$21=0),0,INDIRECT("'My Loans'!$D"&amp;'My Loans'!$N$21)),BN47)</f>
        <v>0</v>
      </c>
      <c r="X48" s="13">
        <f ca="1">IF(OR('My Loans'!$N$21="",'My Loans'!$N$21=0),0,W48*INDIRECT("'My Loans'!$E"&amp;'My Loans'!$N$21)/12)</f>
        <v>0</v>
      </c>
      <c r="Y48" s="13">
        <f ca="1">IF(OR('My Loans'!$N$21="",'My Loans'!$N$21=0),0,IF(W48&lt;0.005,0,MIN(INDIRECT("'My Loans'!$F"&amp;'My Loans'!$N$21),W48+X48)))</f>
        <v>0</v>
      </c>
      <c r="Z48" s="13">
        <f ca="1">'My Loans'!$B$13-(D48+G48+J48+M48+P48+S48+V48+Y48)</f>
        <v>873</v>
      </c>
      <c r="AA48" s="13">
        <f t="shared" ca="1" si="43"/>
        <v>873</v>
      </c>
      <c r="AB48" s="13">
        <f t="shared" ca="1" si="44"/>
        <v>0</v>
      </c>
      <c r="AC48" s="13">
        <f t="shared" ca="1" si="45"/>
        <v>0</v>
      </c>
      <c r="AD48" s="13">
        <f t="shared" ca="1" si="46"/>
        <v>0</v>
      </c>
      <c r="AE48" s="13">
        <f t="shared" ca="1" si="47"/>
        <v>0</v>
      </c>
      <c r="AF48" s="13">
        <f t="shared" ca="1" si="48"/>
        <v>873</v>
      </c>
      <c r="AG48" s="13">
        <f t="shared" ca="1" si="49"/>
        <v>1076.09121593434</v>
      </c>
      <c r="AH48" s="13">
        <f t="shared" ca="1" si="50"/>
        <v>873</v>
      </c>
      <c r="AI48" s="13">
        <f t="shared" ca="1" si="51"/>
        <v>1051</v>
      </c>
      <c r="AJ48" s="13">
        <f t="shared" ca="1" si="52"/>
        <v>203.09121593433997</v>
      </c>
      <c r="AK48" s="13">
        <f t="shared" ca="1" si="53"/>
        <v>0</v>
      </c>
      <c r="AL48" s="13">
        <f t="shared" ca="1" si="54"/>
        <v>8440.5763771023812</v>
      </c>
      <c r="AM48" s="13">
        <f t="shared" ca="1" si="55"/>
        <v>0</v>
      </c>
      <c r="AN48" s="13">
        <f t="shared" ca="1" si="56"/>
        <v>142</v>
      </c>
      <c r="AO48" s="13">
        <f t="shared" ca="1" si="57"/>
        <v>8440.5763771023812</v>
      </c>
      <c r="AP48" s="13">
        <f t="shared" ca="1" si="58"/>
        <v>0</v>
      </c>
      <c r="AQ48" s="13">
        <f t="shared" ca="1" si="59"/>
        <v>6078.6755535724978</v>
      </c>
      <c r="AR48" s="13">
        <f t="shared" ca="1" si="60"/>
        <v>0</v>
      </c>
      <c r="AS48" s="13">
        <f t="shared" ca="1" si="61"/>
        <v>112</v>
      </c>
      <c r="AT48" s="13">
        <f t="shared" ca="1" si="62"/>
        <v>6078.6755535724978</v>
      </c>
      <c r="AU48" s="13">
        <f t="shared" ca="1" si="63"/>
        <v>0</v>
      </c>
      <c r="AV48" s="13">
        <f t="shared" ca="1" si="64"/>
        <v>4904.5217104656595</v>
      </c>
      <c r="AW48" s="13">
        <f t="shared" ca="1" si="65"/>
        <v>0</v>
      </c>
      <c r="AX48" s="13">
        <f t="shared" ca="1" si="66"/>
        <v>95</v>
      </c>
      <c r="AY48" s="13">
        <f t="shared" ca="1" si="67"/>
        <v>4904.5217104656595</v>
      </c>
      <c r="AZ48" s="13">
        <f t="shared" ca="1" si="68"/>
        <v>0</v>
      </c>
      <c r="BA48" s="13">
        <f t="shared" ca="1" si="69"/>
        <v>0</v>
      </c>
      <c r="BB48" s="13">
        <f t="shared" ca="1" si="70"/>
        <v>0</v>
      </c>
      <c r="BC48" s="13">
        <f t="shared" ca="1" si="71"/>
        <v>0</v>
      </c>
      <c r="BD48" s="13">
        <f t="shared" ca="1" si="72"/>
        <v>0</v>
      </c>
      <c r="BE48" s="13">
        <f t="shared" ca="1" si="73"/>
        <v>0</v>
      </c>
      <c r="BF48" s="13">
        <f t="shared" ca="1" si="74"/>
        <v>0</v>
      </c>
      <c r="BG48" s="13">
        <f t="shared" ca="1" si="75"/>
        <v>0</v>
      </c>
      <c r="BH48" s="13">
        <f t="shared" ca="1" si="76"/>
        <v>0</v>
      </c>
      <c r="BI48" s="13">
        <f t="shared" ca="1" si="77"/>
        <v>0</v>
      </c>
      <c r="BJ48" s="13">
        <f t="shared" ca="1" si="78"/>
        <v>0</v>
      </c>
      <c r="BK48" s="13">
        <f t="shared" ca="1" si="79"/>
        <v>0</v>
      </c>
      <c r="BL48" s="13">
        <f t="shared" ca="1" si="80"/>
        <v>0</v>
      </c>
      <c r="BM48" s="13">
        <f t="shared" ca="1" si="81"/>
        <v>0</v>
      </c>
      <c r="BN48" s="13">
        <f t="shared" ca="1" si="82"/>
        <v>0</v>
      </c>
      <c r="BO48" s="13">
        <f t="shared" ca="1" si="83"/>
        <v>1400</v>
      </c>
      <c r="BP48" s="13">
        <f t="shared" ca="1" si="84"/>
        <v>89.457457357041918</v>
      </c>
      <c r="BQ48" s="13">
        <f t="shared" ca="1" si="85"/>
        <v>19626.864857074877</v>
      </c>
    </row>
    <row r="49" spans="1:69" x14ac:dyDescent="0.25">
      <c r="A49" s="1">
        <v>48</v>
      </c>
      <c r="B49" s="13">
        <f ca="1">IF(A49=1,IF(OR('My Loans'!$N$14="",'My Loans'!$N$14=0),0,INDIRECT("'My Loans'!$D"&amp;'My Loans'!$N$14)),AE48)</f>
        <v>0</v>
      </c>
      <c r="C49" s="13">
        <f ca="1">IF(OR('My Loans'!$N$14="",'My Loans'!$N$14=0),0,B49*INDIRECT("'My Loans'!$E"&amp;'My Loans'!$N$14)/12)</f>
        <v>0</v>
      </c>
      <c r="D49" s="13">
        <f ca="1">IF(OR('My Loans'!$N$14="",'My Loans'!$N$14=0),0,IF(B49&lt;0.005,0,MIN(INDIRECT("'My Loans'!$F"&amp;'My Loans'!$N$14),B49+C49)))</f>
        <v>0</v>
      </c>
      <c r="E49" s="13">
        <f ca="1">IF(A49=1,IF(OR('My Loans'!$N$15="",'My Loans'!$N$15=0),0,INDIRECT("'My Loans'!$D"&amp;'My Loans'!$N$15)),AJ48)</f>
        <v>203.09121593433997</v>
      </c>
      <c r="F49" s="13">
        <f ca="1">IF(OR('My Loans'!$N$15="",'My Loans'!$N$15=0),0,E49*INDIRECT("'My Loans'!$E"&amp;'My Loans'!$N$15)/12)</f>
        <v>1.0493046156607566</v>
      </c>
      <c r="G49" s="13">
        <f ca="1">IF(OR('My Loans'!$N$15="",'My Loans'!$N$15=0),0,IF(E49&lt;0.005,0,MIN(INDIRECT("'My Loans'!$F"&amp;'My Loans'!$N$15),E49+F49)))</f>
        <v>178</v>
      </c>
      <c r="H49" s="13">
        <f ca="1">IF(A49=1,IF(OR('My Loans'!$N$16="",'My Loans'!$N$16=0),0,INDIRECT("'My Loans'!$D"&amp;'My Loans'!$N$16)),AO48)</f>
        <v>8440.5763771023812</v>
      </c>
      <c r="I49" s="13">
        <f ca="1">IF(OR('My Loans'!$N$16="",'My Loans'!$N$16=0),0,H49*INDIRECT("'My Loans'!$E"&amp;'My Loans'!$N$16)/12)</f>
        <v>38.685975061719247</v>
      </c>
      <c r="J49" s="13">
        <f ca="1">IF(OR('My Loans'!$N$16="",'My Loans'!$N$16=0),0,IF(H49&lt;0.005,0,MIN(INDIRECT("'My Loans'!$F"&amp;'My Loans'!$N$16),H49+I49)))</f>
        <v>142</v>
      </c>
      <c r="K49" s="13">
        <f ca="1">IF(A49=1,IF(OR('My Loans'!$N$17="",'My Loans'!$N$17=0),0,INDIRECT("'My Loans'!$D"&amp;'My Loans'!$N$17)),AT48)</f>
        <v>6078.6755535724978</v>
      </c>
      <c r="L49" s="13">
        <f ca="1">IF(OR('My Loans'!$N$17="",'My Loans'!$N$17=0),0,K49*INDIRECT("'My Loans'!$E"&amp;'My Loans'!$N$17)/12)</f>
        <v>24.821258510421032</v>
      </c>
      <c r="M49" s="13">
        <f ca="1">IF(OR('My Loans'!$N$17="",'My Loans'!$N$17=0),0,IF(K49&lt;0.005,0,MIN(INDIRECT("'My Loans'!$F"&amp;'My Loans'!$N$17),K49+L49)))</f>
        <v>112</v>
      </c>
      <c r="N49" s="13">
        <f ca="1">IF(A49=1,IF(OR('My Loans'!$N$18="",'My Loans'!$N$18=0),0,INDIRECT("'My Loans'!$D"&amp;'My Loans'!$N$18)),AY48)</f>
        <v>4904.5217104656595</v>
      </c>
      <c r="O49" s="13">
        <f ca="1">IF(OR('My Loans'!$N$18="",'My Loans'!$N$18=0),0,N49*INDIRECT("'My Loans'!$E"&amp;'My Loans'!$N$18)/12)</f>
        <v>18.39195641424622</v>
      </c>
      <c r="P49" s="13">
        <f ca="1">IF(OR('My Loans'!$N$18="",'My Loans'!$N$18=0),0,IF(N49&lt;0.005,0,MIN(INDIRECT("'My Loans'!$F"&amp;'My Loans'!$N$18),N49+O49)))</f>
        <v>95</v>
      </c>
      <c r="Q49" s="13">
        <f ca="1">IF(A49=1,IF(OR('My Loans'!$N$19="",'My Loans'!$N$19=0),0,INDIRECT("'My Loans'!$D"&amp;'My Loans'!$N$19)),BD48)</f>
        <v>0</v>
      </c>
      <c r="R49" s="13">
        <f ca="1">IF(OR('My Loans'!$N$19="",'My Loans'!$N$19=0),0,Q49*INDIRECT("'My Loans'!$E"&amp;'My Loans'!$N$19)/12)</f>
        <v>0</v>
      </c>
      <c r="S49" s="13">
        <f ca="1">IF(OR('My Loans'!$N$19="",'My Loans'!$N$19=0),0,IF(Q49&lt;0.005,0,MIN(INDIRECT("'My Loans'!$F"&amp;'My Loans'!$N$19),Q49+R49)))</f>
        <v>0</v>
      </c>
      <c r="T49" s="13">
        <f ca="1">IF(A49=1,IF(OR('My Loans'!$N$20="",'My Loans'!$N$20=0),0,INDIRECT("'My Loans'!$D"&amp;'My Loans'!$N$20)),BI48)</f>
        <v>0</v>
      </c>
      <c r="U49" s="13">
        <f ca="1">IF(OR('My Loans'!$N$20="",'My Loans'!$N$20=0),0,T49*INDIRECT("'My Loans'!$E"&amp;'My Loans'!$N$20)/12)</f>
        <v>0</v>
      </c>
      <c r="V49" s="13">
        <f ca="1">IF(OR('My Loans'!$N$20="",'My Loans'!$N$20=0),0,IF(T49&lt;0.005,0,MIN(INDIRECT("'My Loans'!$F"&amp;'My Loans'!$N$20),T49+U49)))</f>
        <v>0</v>
      </c>
      <c r="W49" s="13">
        <f ca="1">IF(A49=1,IF(OR('My Loans'!$N$21="",'My Loans'!$N$21=0),0,INDIRECT("'My Loans'!$D"&amp;'My Loans'!$N$21)),BN48)</f>
        <v>0</v>
      </c>
      <c r="X49" s="13">
        <f ca="1">IF(OR('My Loans'!$N$21="",'My Loans'!$N$21=0),0,W49*INDIRECT("'My Loans'!$E"&amp;'My Loans'!$N$21)/12)</f>
        <v>0</v>
      </c>
      <c r="Y49" s="13">
        <f ca="1">IF(OR('My Loans'!$N$21="",'My Loans'!$N$21=0),0,IF(W49&lt;0.005,0,MIN(INDIRECT("'My Loans'!$F"&amp;'My Loans'!$N$21),W49+X49)))</f>
        <v>0</v>
      </c>
      <c r="Z49" s="13">
        <f ca="1">'My Loans'!$B$13-(D49+G49+J49+M49+P49+S49+V49+Y49)</f>
        <v>873</v>
      </c>
      <c r="AA49" s="13">
        <f t="shared" ca="1" si="43"/>
        <v>873</v>
      </c>
      <c r="AB49" s="13">
        <f t="shared" ca="1" si="44"/>
        <v>0</v>
      </c>
      <c r="AC49" s="13">
        <f t="shared" ca="1" si="45"/>
        <v>0</v>
      </c>
      <c r="AD49" s="13">
        <f t="shared" ca="1" si="46"/>
        <v>0</v>
      </c>
      <c r="AE49" s="13">
        <f t="shared" ca="1" si="47"/>
        <v>0</v>
      </c>
      <c r="AF49" s="13">
        <f t="shared" ca="1" si="48"/>
        <v>873</v>
      </c>
      <c r="AG49" s="13">
        <f t="shared" ca="1" si="49"/>
        <v>26.14052055000073</v>
      </c>
      <c r="AH49" s="13">
        <f t="shared" ca="1" si="50"/>
        <v>26.14052055000073</v>
      </c>
      <c r="AI49" s="13">
        <f t="shared" ca="1" si="51"/>
        <v>204.14052055000073</v>
      </c>
      <c r="AJ49" s="13">
        <f t="shared" ca="1" si="52"/>
        <v>0</v>
      </c>
      <c r="AK49" s="13">
        <f t="shared" ca="1" si="53"/>
        <v>846.8594794499993</v>
      </c>
      <c r="AL49" s="13">
        <f t="shared" ca="1" si="54"/>
        <v>8337.2623521640999</v>
      </c>
      <c r="AM49" s="13">
        <f t="shared" ca="1" si="55"/>
        <v>846.8594794499993</v>
      </c>
      <c r="AN49" s="13">
        <f t="shared" ca="1" si="56"/>
        <v>988.8594794499993</v>
      </c>
      <c r="AO49" s="13">
        <f t="shared" ca="1" si="57"/>
        <v>7490.4028727141003</v>
      </c>
      <c r="AP49" s="13">
        <f t="shared" ca="1" si="58"/>
        <v>0</v>
      </c>
      <c r="AQ49" s="13">
        <f t="shared" ca="1" si="59"/>
        <v>5991.496812082919</v>
      </c>
      <c r="AR49" s="13">
        <f t="shared" ca="1" si="60"/>
        <v>0</v>
      </c>
      <c r="AS49" s="13">
        <f t="shared" ca="1" si="61"/>
        <v>112</v>
      </c>
      <c r="AT49" s="13">
        <f t="shared" ca="1" si="62"/>
        <v>5991.496812082919</v>
      </c>
      <c r="AU49" s="13">
        <f t="shared" ca="1" si="63"/>
        <v>0</v>
      </c>
      <c r="AV49" s="13">
        <f t="shared" ca="1" si="64"/>
        <v>4827.9136668799056</v>
      </c>
      <c r="AW49" s="13">
        <f t="shared" ca="1" si="65"/>
        <v>0</v>
      </c>
      <c r="AX49" s="13">
        <f t="shared" ca="1" si="66"/>
        <v>95</v>
      </c>
      <c r="AY49" s="13">
        <f t="shared" ca="1" si="67"/>
        <v>4827.9136668799056</v>
      </c>
      <c r="AZ49" s="13">
        <f t="shared" ca="1" si="68"/>
        <v>0</v>
      </c>
      <c r="BA49" s="13">
        <f t="shared" ca="1" si="69"/>
        <v>0</v>
      </c>
      <c r="BB49" s="13">
        <f t="shared" ca="1" si="70"/>
        <v>0</v>
      </c>
      <c r="BC49" s="13">
        <f t="shared" ca="1" si="71"/>
        <v>0</v>
      </c>
      <c r="BD49" s="13">
        <f t="shared" ca="1" si="72"/>
        <v>0</v>
      </c>
      <c r="BE49" s="13">
        <f t="shared" ca="1" si="73"/>
        <v>0</v>
      </c>
      <c r="BF49" s="13">
        <f t="shared" ca="1" si="74"/>
        <v>0</v>
      </c>
      <c r="BG49" s="13">
        <f t="shared" ca="1" si="75"/>
        <v>0</v>
      </c>
      <c r="BH49" s="13">
        <f t="shared" ca="1" si="76"/>
        <v>0</v>
      </c>
      <c r="BI49" s="13">
        <f t="shared" ca="1" si="77"/>
        <v>0</v>
      </c>
      <c r="BJ49" s="13">
        <f t="shared" ca="1" si="78"/>
        <v>0</v>
      </c>
      <c r="BK49" s="13">
        <f t="shared" ca="1" si="79"/>
        <v>0</v>
      </c>
      <c r="BL49" s="13">
        <f t="shared" ca="1" si="80"/>
        <v>0</v>
      </c>
      <c r="BM49" s="13">
        <f t="shared" ca="1" si="81"/>
        <v>0</v>
      </c>
      <c r="BN49" s="13">
        <f t="shared" ca="1" si="82"/>
        <v>0</v>
      </c>
      <c r="BO49" s="13">
        <f t="shared" ca="1" si="83"/>
        <v>1400</v>
      </c>
      <c r="BP49" s="13">
        <f t="shared" ca="1" si="84"/>
        <v>82.948494602047262</v>
      </c>
      <c r="BQ49" s="13">
        <f t="shared" ca="1" si="85"/>
        <v>18309.813351676923</v>
      </c>
    </row>
    <row r="50" spans="1:69" x14ac:dyDescent="0.25">
      <c r="A50" s="1">
        <v>49</v>
      </c>
      <c r="B50" s="13">
        <f ca="1">IF(A50=1,IF(OR('My Loans'!$N$14="",'My Loans'!$N$14=0),0,INDIRECT("'My Loans'!$D"&amp;'My Loans'!$N$14)),AE49)</f>
        <v>0</v>
      </c>
      <c r="C50" s="13">
        <f ca="1">IF(OR('My Loans'!$N$14="",'My Loans'!$N$14=0),0,B50*INDIRECT("'My Loans'!$E"&amp;'My Loans'!$N$14)/12)</f>
        <v>0</v>
      </c>
      <c r="D50" s="13">
        <f ca="1">IF(OR('My Loans'!$N$14="",'My Loans'!$N$14=0),0,IF(B50&lt;0.005,0,MIN(INDIRECT("'My Loans'!$F"&amp;'My Loans'!$N$14),B50+C50)))</f>
        <v>0</v>
      </c>
      <c r="E50" s="13">
        <f ca="1">IF(A50=1,IF(OR('My Loans'!$N$15="",'My Loans'!$N$15=0),0,INDIRECT("'My Loans'!$D"&amp;'My Loans'!$N$15)),AJ49)</f>
        <v>0</v>
      </c>
      <c r="F50" s="13">
        <f ca="1">IF(OR('My Loans'!$N$15="",'My Loans'!$N$15=0),0,E50*INDIRECT("'My Loans'!$E"&amp;'My Loans'!$N$15)/12)</f>
        <v>0</v>
      </c>
      <c r="G50" s="13">
        <f ca="1">IF(OR('My Loans'!$N$15="",'My Loans'!$N$15=0),0,IF(E50&lt;0.005,0,MIN(INDIRECT("'My Loans'!$F"&amp;'My Loans'!$N$15),E50+F50)))</f>
        <v>0</v>
      </c>
      <c r="H50" s="13">
        <f ca="1">IF(A50=1,IF(OR('My Loans'!$N$16="",'My Loans'!$N$16=0),0,INDIRECT("'My Loans'!$D"&amp;'My Loans'!$N$16)),AO49)</f>
        <v>7490.4028727141003</v>
      </c>
      <c r="I50" s="13">
        <f ca="1">IF(OR('My Loans'!$N$16="",'My Loans'!$N$16=0),0,H50*INDIRECT("'My Loans'!$E"&amp;'My Loans'!$N$16)/12)</f>
        <v>34.33101316660629</v>
      </c>
      <c r="J50" s="13">
        <f ca="1">IF(OR('My Loans'!$N$16="",'My Loans'!$N$16=0),0,IF(H50&lt;0.005,0,MIN(INDIRECT("'My Loans'!$F"&amp;'My Loans'!$N$16),H50+I50)))</f>
        <v>142</v>
      </c>
      <c r="K50" s="13">
        <f ca="1">IF(A50=1,IF(OR('My Loans'!$N$17="",'My Loans'!$N$17=0),0,INDIRECT("'My Loans'!$D"&amp;'My Loans'!$N$17)),AT49)</f>
        <v>5991.496812082919</v>
      </c>
      <c r="L50" s="13">
        <f ca="1">IF(OR('My Loans'!$N$17="",'My Loans'!$N$17=0),0,K50*INDIRECT("'My Loans'!$E"&amp;'My Loans'!$N$17)/12)</f>
        <v>24.465278649338586</v>
      </c>
      <c r="M50" s="13">
        <f ca="1">IF(OR('My Loans'!$N$17="",'My Loans'!$N$17=0),0,IF(K50&lt;0.005,0,MIN(INDIRECT("'My Loans'!$F"&amp;'My Loans'!$N$17),K50+L50)))</f>
        <v>112</v>
      </c>
      <c r="N50" s="13">
        <f ca="1">IF(A50=1,IF(OR('My Loans'!$N$18="",'My Loans'!$N$18=0),0,INDIRECT("'My Loans'!$D"&amp;'My Loans'!$N$18)),AY49)</f>
        <v>4827.9136668799056</v>
      </c>
      <c r="O50" s="13">
        <f ca="1">IF(OR('My Loans'!$N$18="",'My Loans'!$N$18=0),0,N50*INDIRECT("'My Loans'!$E"&amp;'My Loans'!$N$18)/12)</f>
        <v>18.104676250799645</v>
      </c>
      <c r="P50" s="13">
        <f ca="1">IF(OR('My Loans'!$N$18="",'My Loans'!$N$18=0),0,IF(N50&lt;0.005,0,MIN(INDIRECT("'My Loans'!$F"&amp;'My Loans'!$N$18),N50+O50)))</f>
        <v>95</v>
      </c>
      <c r="Q50" s="13">
        <f ca="1">IF(A50=1,IF(OR('My Loans'!$N$19="",'My Loans'!$N$19=0),0,INDIRECT("'My Loans'!$D"&amp;'My Loans'!$N$19)),BD49)</f>
        <v>0</v>
      </c>
      <c r="R50" s="13">
        <f ca="1">IF(OR('My Loans'!$N$19="",'My Loans'!$N$19=0),0,Q50*INDIRECT("'My Loans'!$E"&amp;'My Loans'!$N$19)/12)</f>
        <v>0</v>
      </c>
      <c r="S50" s="13">
        <f ca="1">IF(OR('My Loans'!$N$19="",'My Loans'!$N$19=0),0,IF(Q50&lt;0.005,0,MIN(INDIRECT("'My Loans'!$F"&amp;'My Loans'!$N$19),Q50+R50)))</f>
        <v>0</v>
      </c>
      <c r="T50" s="13">
        <f ca="1">IF(A50=1,IF(OR('My Loans'!$N$20="",'My Loans'!$N$20=0),0,INDIRECT("'My Loans'!$D"&amp;'My Loans'!$N$20)),BI49)</f>
        <v>0</v>
      </c>
      <c r="U50" s="13">
        <f ca="1">IF(OR('My Loans'!$N$20="",'My Loans'!$N$20=0),0,T50*INDIRECT("'My Loans'!$E"&amp;'My Loans'!$N$20)/12)</f>
        <v>0</v>
      </c>
      <c r="V50" s="13">
        <f ca="1">IF(OR('My Loans'!$N$20="",'My Loans'!$N$20=0),0,IF(T50&lt;0.005,0,MIN(INDIRECT("'My Loans'!$F"&amp;'My Loans'!$N$20),T50+U50)))</f>
        <v>0</v>
      </c>
      <c r="W50" s="13">
        <f ca="1">IF(A50=1,IF(OR('My Loans'!$N$21="",'My Loans'!$N$21=0),0,INDIRECT("'My Loans'!$D"&amp;'My Loans'!$N$21)),BN49)</f>
        <v>0</v>
      </c>
      <c r="X50" s="13">
        <f ca="1">IF(OR('My Loans'!$N$21="",'My Loans'!$N$21=0),0,W50*INDIRECT("'My Loans'!$E"&amp;'My Loans'!$N$21)/12)</f>
        <v>0</v>
      </c>
      <c r="Y50" s="13">
        <f ca="1">IF(OR('My Loans'!$N$21="",'My Loans'!$N$21=0),0,IF(W50&lt;0.005,0,MIN(INDIRECT("'My Loans'!$F"&amp;'My Loans'!$N$21),W50+X50)))</f>
        <v>0</v>
      </c>
      <c r="Z50" s="13">
        <f ca="1">'My Loans'!$B$13-(D50+G50+J50+M50+P50+S50+V50+Y50)</f>
        <v>1051</v>
      </c>
      <c r="AA50" s="13">
        <f t="shared" ca="1" si="43"/>
        <v>1051</v>
      </c>
      <c r="AB50" s="13">
        <f t="shared" ca="1" si="44"/>
        <v>0</v>
      </c>
      <c r="AC50" s="13">
        <f t="shared" ca="1" si="45"/>
        <v>0</v>
      </c>
      <c r="AD50" s="13">
        <f t="shared" ca="1" si="46"/>
        <v>0</v>
      </c>
      <c r="AE50" s="13">
        <f t="shared" ca="1" si="47"/>
        <v>0</v>
      </c>
      <c r="AF50" s="13">
        <f t="shared" ca="1" si="48"/>
        <v>1051</v>
      </c>
      <c r="AG50" s="13">
        <f t="shared" ca="1" si="49"/>
        <v>0</v>
      </c>
      <c r="AH50" s="13">
        <f t="shared" ca="1" si="50"/>
        <v>0</v>
      </c>
      <c r="AI50" s="13">
        <f t="shared" ca="1" si="51"/>
        <v>0</v>
      </c>
      <c r="AJ50" s="13">
        <f t="shared" ca="1" si="52"/>
        <v>0</v>
      </c>
      <c r="AK50" s="13">
        <f t="shared" ca="1" si="53"/>
        <v>1051</v>
      </c>
      <c r="AL50" s="13">
        <f t="shared" ca="1" si="54"/>
        <v>7382.733885880707</v>
      </c>
      <c r="AM50" s="13">
        <f t="shared" ca="1" si="55"/>
        <v>1051</v>
      </c>
      <c r="AN50" s="13">
        <f t="shared" ca="1" si="56"/>
        <v>1193</v>
      </c>
      <c r="AO50" s="13">
        <f t="shared" ca="1" si="57"/>
        <v>6331.733885880707</v>
      </c>
      <c r="AP50" s="13">
        <f t="shared" ca="1" si="58"/>
        <v>0</v>
      </c>
      <c r="AQ50" s="13">
        <f t="shared" ca="1" si="59"/>
        <v>5903.9620907322578</v>
      </c>
      <c r="AR50" s="13">
        <f t="shared" ca="1" si="60"/>
        <v>0</v>
      </c>
      <c r="AS50" s="13">
        <f t="shared" ca="1" si="61"/>
        <v>112</v>
      </c>
      <c r="AT50" s="13">
        <f t="shared" ca="1" si="62"/>
        <v>5903.9620907322578</v>
      </c>
      <c r="AU50" s="13">
        <f t="shared" ca="1" si="63"/>
        <v>0</v>
      </c>
      <c r="AV50" s="13">
        <f t="shared" ca="1" si="64"/>
        <v>4751.018343130705</v>
      </c>
      <c r="AW50" s="13">
        <f t="shared" ca="1" si="65"/>
        <v>0</v>
      </c>
      <c r="AX50" s="13">
        <f t="shared" ca="1" si="66"/>
        <v>95</v>
      </c>
      <c r="AY50" s="13">
        <f t="shared" ca="1" si="67"/>
        <v>4751.018343130705</v>
      </c>
      <c r="AZ50" s="13">
        <f t="shared" ca="1" si="68"/>
        <v>0</v>
      </c>
      <c r="BA50" s="13">
        <f t="shared" ca="1" si="69"/>
        <v>0</v>
      </c>
      <c r="BB50" s="13">
        <f t="shared" ca="1" si="70"/>
        <v>0</v>
      </c>
      <c r="BC50" s="13">
        <f t="shared" ca="1" si="71"/>
        <v>0</v>
      </c>
      <c r="BD50" s="13">
        <f t="shared" ca="1" si="72"/>
        <v>0</v>
      </c>
      <c r="BE50" s="13">
        <f t="shared" ca="1" si="73"/>
        <v>0</v>
      </c>
      <c r="BF50" s="13">
        <f t="shared" ca="1" si="74"/>
        <v>0</v>
      </c>
      <c r="BG50" s="13">
        <f t="shared" ca="1" si="75"/>
        <v>0</v>
      </c>
      <c r="BH50" s="13">
        <f t="shared" ca="1" si="76"/>
        <v>0</v>
      </c>
      <c r="BI50" s="13">
        <f t="shared" ca="1" si="77"/>
        <v>0</v>
      </c>
      <c r="BJ50" s="13">
        <f t="shared" ca="1" si="78"/>
        <v>0</v>
      </c>
      <c r="BK50" s="13">
        <f t="shared" ca="1" si="79"/>
        <v>0</v>
      </c>
      <c r="BL50" s="13">
        <f t="shared" ca="1" si="80"/>
        <v>0</v>
      </c>
      <c r="BM50" s="13">
        <f t="shared" ca="1" si="81"/>
        <v>0</v>
      </c>
      <c r="BN50" s="13">
        <f t="shared" ca="1" si="82"/>
        <v>0</v>
      </c>
      <c r="BO50" s="13">
        <f t="shared" ca="1" si="83"/>
        <v>1400</v>
      </c>
      <c r="BP50" s="13">
        <f t="shared" ca="1" si="84"/>
        <v>76.900968066744525</v>
      </c>
      <c r="BQ50" s="13">
        <f t="shared" ca="1" si="85"/>
        <v>16986.714319743671</v>
      </c>
    </row>
    <row r="51" spans="1:69" x14ac:dyDescent="0.25">
      <c r="A51" s="1">
        <v>50</v>
      </c>
      <c r="B51" s="13">
        <f ca="1">IF(A51=1,IF(OR('My Loans'!$N$14="",'My Loans'!$N$14=0),0,INDIRECT("'My Loans'!$D"&amp;'My Loans'!$N$14)),AE50)</f>
        <v>0</v>
      </c>
      <c r="C51" s="13">
        <f ca="1">IF(OR('My Loans'!$N$14="",'My Loans'!$N$14=0),0,B51*INDIRECT("'My Loans'!$E"&amp;'My Loans'!$N$14)/12)</f>
        <v>0</v>
      </c>
      <c r="D51" s="13">
        <f ca="1">IF(OR('My Loans'!$N$14="",'My Loans'!$N$14=0),0,IF(B51&lt;0.005,0,MIN(INDIRECT("'My Loans'!$F"&amp;'My Loans'!$N$14),B51+C51)))</f>
        <v>0</v>
      </c>
      <c r="E51" s="13">
        <f ca="1">IF(A51=1,IF(OR('My Loans'!$N$15="",'My Loans'!$N$15=0),0,INDIRECT("'My Loans'!$D"&amp;'My Loans'!$N$15)),AJ50)</f>
        <v>0</v>
      </c>
      <c r="F51" s="13">
        <f ca="1">IF(OR('My Loans'!$N$15="",'My Loans'!$N$15=0),0,E51*INDIRECT("'My Loans'!$E"&amp;'My Loans'!$N$15)/12)</f>
        <v>0</v>
      </c>
      <c r="G51" s="13">
        <f ca="1">IF(OR('My Loans'!$N$15="",'My Loans'!$N$15=0),0,IF(E51&lt;0.005,0,MIN(INDIRECT("'My Loans'!$F"&amp;'My Loans'!$N$15),E51+F51)))</f>
        <v>0</v>
      </c>
      <c r="H51" s="13">
        <f ca="1">IF(A51=1,IF(OR('My Loans'!$N$16="",'My Loans'!$N$16=0),0,INDIRECT("'My Loans'!$D"&amp;'My Loans'!$N$16)),AO50)</f>
        <v>6331.733885880707</v>
      </c>
      <c r="I51" s="13">
        <f ca="1">IF(OR('My Loans'!$N$16="",'My Loans'!$N$16=0),0,H51*INDIRECT("'My Loans'!$E"&amp;'My Loans'!$N$16)/12)</f>
        <v>29.020446976953242</v>
      </c>
      <c r="J51" s="13">
        <f ca="1">IF(OR('My Loans'!$N$16="",'My Loans'!$N$16=0),0,IF(H51&lt;0.005,0,MIN(INDIRECT("'My Loans'!$F"&amp;'My Loans'!$N$16),H51+I51)))</f>
        <v>142</v>
      </c>
      <c r="K51" s="13">
        <f ca="1">IF(A51=1,IF(OR('My Loans'!$N$17="",'My Loans'!$N$17=0),0,INDIRECT("'My Loans'!$D"&amp;'My Loans'!$N$17)),AT50)</f>
        <v>5903.9620907322578</v>
      </c>
      <c r="L51" s="13">
        <f ca="1">IF(OR('My Loans'!$N$17="",'My Loans'!$N$17=0),0,K51*INDIRECT("'My Loans'!$E"&amp;'My Loans'!$N$17)/12)</f>
        <v>24.107845203823388</v>
      </c>
      <c r="M51" s="13">
        <f ca="1">IF(OR('My Loans'!$N$17="",'My Loans'!$N$17=0),0,IF(K51&lt;0.005,0,MIN(INDIRECT("'My Loans'!$F"&amp;'My Loans'!$N$17),K51+L51)))</f>
        <v>112</v>
      </c>
      <c r="N51" s="13">
        <f ca="1">IF(A51=1,IF(OR('My Loans'!$N$18="",'My Loans'!$N$18=0),0,INDIRECT("'My Loans'!$D"&amp;'My Loans'!$N$18)),AY50)</f>
        <v>4751.018343130705</v>
      </c>
      <c r="O51" s="13">
        <f ca="1">IF(OR('My Loans'!$N$18="",'My Loans'!$N$18=0),0,N51*INDIRECT("'My Loans'!$E"&amp;'My Loans'!$N$18)/12)</f>
        <v>17.816318786740144</v>
      </c>
      <c r="P51" s="13">
        <f ca="1">IF(OR('My Loans'!$N$18="",'My Loans'!$N$18=0),0,IF(N51&lt;0.005,0,MIN(INDIRECT("'My Loans'!$F"&amp;'My Loans'!$N$18),N51+O51)))</f>
        <v>95</v>
      </c>
      <c r="Q51" s="13">
        <f ca="1">IF(A51=1,IF(OR('My Loans'!$N$19="",'My Loans'!$N$19=0),0,INDIRECT("'My Loans'!$D"&amp;'My Loans'!$N$19)),BD50)</f>
        <v>0</v>
      </c>
      <c r="R51" s="13">
        <f ca="1">IF(OR('My Loans'!$N$19="",'My Loans'!$N$19=0),0,Q51*INDIRECT("'My Loans'!$E"&amp;'My Loans'!$N$19)/12)</f>
        <v>0</v>
      </c>
      <c r="S51" s="13">
        <f ca="1">IF(OR('My Loans'!$N$19="",'My Loans'!$N$19=0),0,IF(Q51&lt;0.005,0,MIN(INDIRECT("'My Loans'!$F"&amp;'My Loans'!$N$19),Q51+R51)))</f>
        <v>0</v>
      </c>
      <c r="T51" s="13">
        <f ca="1">IF(A51=1,IF(OR('My Loans'!$N$20="",'My Loans'!$N$20=0),0,INDIRECT("'My Loans'!$D"&amp;'My Loans'!$N$20)),BI50)</f>
        <v>0</v>
      </c>
      <c r="U51" s="13">
        <f ca="1">IF(OR('My Loans'!$N$20="",'My Loans'!$N$20=0),0,T51*INDIRECT("'My Loans'!$E"&amp;'My Loans'!$N$20)/12)</f>
        <v>0</v>
      </c>
      <c r="V51" s="13">
        <f ca="1">IF(OR('My Loans'!$N$20="",'My Loans'!$N$20=0),0,IF(T51&lt;0.005,0,MIN(INDIRECT("'My Loans'!$F"&amp;'My Loans'!$N$20),T51+U51)))</f>
        <v>0</v>
      </c>
      <c r="W51" s="13">
        <f ca="1">IF(A51=1,IF(OR('My Loans'!$N$21="",'My Loans'!$N$21=0),0,INDIRECT("'My Loans'!$D"&amp;'My Loans'!$N$21)),BN50)</f>
        <v>0</v>
      </c>
      <c r="X51" s="13">
        <f ca="1">IF(OR('My Loans'!$N$21="",'My Loans'!$N$21=0),0,W51*INDIRECT("'My Loans'!$E"&amp;'My Loans'!$N$21)/12)</f>
        <v>0</v>
      </c>
      <c r="Y51" s="13">
        <f ca="1">IF(OR('My Loans'!$N$21="",'My Loans'!$N$21=0),0,IF(W51&lt;0.005,0,MIN(INDIRECT("'My Loans'!$F"&amp;'My Loans'!$N$21),W51+X51)))</f>
        <v>0</v>
      </c>
      <c r="Z51" s="13">
        <f ca="1">'My Loans'!$B$13-(D51+G51+J51+M51+P51+S51+V51+Y51)</f>
        <v>1051</v>
      </c>
      <c r="AA51" s="13">
        <f t="shared" ca="1" si="43"/>
        <v>1051</v>
      </c>
      <c r="AB51" s="13">
        <f t="shared" ca="1" si="44"/>
        <v>0</v>
      </c>
      <c r="AC51" s="13">
        <f t="shared" ca="1" si="45"/>
        <v>0</v>
      </c>
      <c r="AD51" s="13">
        <f t="shared" ca="1" si="46"/>
        <v>0</v>
      </c>
      <c r="AE51" s="13">
        <f t="shared" ca="1" si="47"/>
        <v>0</v>
      </c>
      <c r="AF51" s="13">
        <f t="shared" ca="1" si="48"/>
        <v>1051</v>
      </c>
      <c r="AG51" s="13">
        <f t="shared" ca="1" si="49"/>
        <v>0</v>
      </c>
      <c r="AH51" s="13">
        <f t="shared" ca="1" si="50"/>
        <v>0</v>
      </c>
      <c r="AI51" s="13">
        <f t="shared" ca="1" si="51"/>
        <v>0</v>
      </c>
      <c r="AJ51" s="13">
        <f t="shared" ca="1" si="52"/>
        <v>0</v>
      </c>
      <c r="AK51" s="13">
        <f t="shared" ca="1" si="53"/>
        <v>1051</v>
      </c>
      <c r="AL51" s="13">
        <f t="shared" ca="1" si="54"/>
        <v>6218.7543328576603</v>
      </c>
      <c r="AM51" s="13">
        <f t="shared" ca="1" si="55"/>
        <v>1051</v>
      </c>
      <c r="AN51" s="13">
        <f t="shared" ca="1" si="56"/>
        <v>1193</v>
      </c>
      <c r="AO51" s="13">
        <f t="shared" ca="1" si="57"/>
        <v>5167.7543328576603</v>
      </c>
      <c r="AP51" s="13">
        <f t="shared" ca="1" si="58"/>
        <v>0</v>
      </c>
      <c r="AQ51" s="13">
        <f t="shared" ca="1" si="59"/>
        <v>5816.0699359360815</v>
      </c>
      <c r="AR51" s="13">
        <f t="shared" ca="1" si="60"/>
        <v>0</v>
      </c>
      <c r="AS51" s="13">
        <f t="shared" ca="1" si="61"/>
        <v>112</v>
      </c>
      <c r="AT51" s="13">
        <f t="shared" ca="1" si="62"/>
        <v>5816.0699359360815</v>
      </c>
      <c r="AU51" s="13">
        <f t="shared" ca="1" si="63"/>
        <v>0</v>
      </c>
      <c r="AV51" s="13">
        <f t="shared" ca="1" si="64"/>
        <v>4673.8346619174454</v>
      </c>
      <c r="AW51" s="13">
        <f t="shared" ca="1" si="65"/>
        <v>0</v>
      </c>
      <c r="AX51" s="13">
        <f t="shared" ca="1" si="66"/>
        <v>95</v>
      </c>
      <c r="AY51" s="13">
        <f t="shared" ca="1" si="67"/>
        <v>4673.8346619174454</v>
      </c>
      <c r="AZ51" s="13">
        <f t="shared" ca="1" si="68"/>
        <v>0</v>
      </c>
      <c r="BA51" s="13">
        <f t="shared" ca="1" si="69"/>
        <v>0</v>
      </c>
      <c r="BB51" s="13">
        <f t="shared" ca="1" si="70"/>
        <v>0</v>
      </c>
      <c r="BC51" s="13">
        <f t="shared" ca="1" si="71"/>
        <v>0</v>
      </c>
      <c r="BD51" s="13">
        <f t="shared" ca="1" si="72"/>
        <v>0</v>
      </c>
      <c r="BE51" s="13">
        <f t="shared" ca="1" si="73"/>
        <v>0</v>
      </c>
      <c r="BF51" s="13">
        <f t="shared" ca="1" si="74"/>
        <v>0</v>
      </c>
      <c r="BG51" s="13">
        <f t="shared" ca="1" si="75"/>
        <v>0</v>
      </c>
      <c r="BH51" s="13">
        <f t="shared" ca="1" si="76"/>
        <v>0</v>
      </c>
      <c r="BI51" s="13">
        <f t="shared" ca="1" si="77"/>
        <v>0</v>
      </c>
      <c r="BJ51" s="13">
        <f t="shared" ca="1" si="78"/>
        <v>0</v>
      </c>
      <c r="BK51" s="13">
        <f t="shared" ca="1" si="79"/>
        <v>0</v>
      </c>
      <c r="BL51" s="13">
        <f t="shared" ca="1" si="80"/>
        <v>0</v>
      </c>
      <c r="BM51" s="13">
        <f t="shared" ca="1" si="81"/>
        <v>0</v>
      </c>
      <c r="BN51" s="13">
        <f t="shared" ca="1" si="82"/>
        <v>0</v>
      </c>
      <c r="BO51" s="13">
        <f t="shared" ca="1" si="83"/>
        <v>1400</v>
      </c>
      <c r="BP51" s="13">
        <f t="shared" ca="1" si="84"/>
        <v>70.944610967516766</v>
      </c>
      <c r="BQ51" s="13">
        <f t="shared" ca="1" si="85"/>
        <v>15657.658930711186</v>
      </c>
    </row>
    <row r="52" spans="1:69" x14ac:dyDescent="0.25">
      <c r="A52" s="1">
        <v>51</v>
      </c>
      <c r="B52" s="13">
        <f ca="1">IF(A52=1,IF(OR('My Loans'!$N$14="",'My Loans'!$N$14=0),0,INDIRECT("'My Loans'!$D"&amp;'My Loans'!$N$14)),AE51)</f>
        <v>0</v>
      </c>
      <c r="C52" s="13">
        <f ca="1">IF(OR('My Loans'!$N$14="",'My Loans'!$N$14=0),0,B52*INDIRECT("'My Loans'!$E"&amp;'My Loans'!$N$14)/12)</f>
        <v>0</v>
      </c>
      <c r="D52" s="13">
        <f ca="1">IF(OR('My Loans'!$N$14="",'My Loans'!$N$14=0),0,IF(B52&lt;0.005,0,MIN(INDIRECT("'My Loans'!$F"&amp;'My Loans'!$N$14),B52+C52)))</f>
        <v>0</v>
      </c>
      <c r="E52" s="13">
        <f ca="1">IF(A52=1,IF(OR('My Loans'!$N$15="",'My Loans'!$N$15=0),0,INDIRECT("'My Loans'!$D"&amp;'My Loans'!$N$15)),AJ51)</f>
        <v>0</v>
      </c>
      <c r="F52" s="13">
        <f ca="1">IF(OR('My Loans'!$N$15="",'My Loans'!$N$15=0),0,E52*INDIRECT("'My Loans'!$E"&amp;'My Loans'!$N$15)/12)</f>
        <v>0</v>
      </c>
      <c r="G52" s="13">
        <f ca="1">IF(OR('My Loans'!$N$15="",'My Loans'!$N$15=0),0,IF(E52&lt;0.005,0,MIN(INDIRECT("'My Loans'!$F"&amp;'My Loans'!$N$15),E52+F52)))</f>
        <v>0</v>
      </c>
      <c r="H52" s="13">
        <f ca="1">IF(A52=1,IF(OR('My Loans'!$N$16="",'My Loans'!$N$16=0),0,INDIRECT("'My Loans'!$D"&amp;'My Loans'!$N$16)),AO51)</f>
        <v>5167.7543328576603</v>
      </c>
      <c r="I52" s="13">
        <f ca="1">IF(OR('My Loans'!$N$16="",'My Loans'!$N$16=0),0,H52*INDIRECT("'My Loans'!$E"&amp;'My Loans'!$N$16)/12)</f>
        <v>23.685540692264279</v>
      </c>
      <c r="J52" s="13">
        <f ca="1">IF(OR('My Loans'!$N$16="",'My Loans'!$N$16=0),0,IF(H52&lt;0.005,0,MIN(INDIRECT("'My Loans'!$F"&amp;'My Loans'!$N$16),H52+I52)))</f>
        <v>142</v>
      </c>
      <c r="K52" s="13">
        <f ca="1">IF(A52=1,IF(OR('My Loans'!$N$17="",'My Loans'!$N$17=0),0,INDIRECT("'My Loans'!$D"&amp;'My Loans'!$N$17)),AT51)</f>
        <v>5816.0699359360815</v>
      </c>
      <c r="L52" s="13">
        <f ca="1">IF(OR('My Loans'!$N$17="",'My Loans'!$N$17=0),0,K52*INDIRECT("'My Loans'!$E"&amp;'My Loans'!$N$17)/12)</f>
        <v>23.748952238405668</v>
      </c>
      <c r="M52" s="13">
        <f ca="1">IF(OR('My Loans'!$N$17="",'My Loans'!$N$17=0),0,IF(K52&lt;0.005,0,MIN(INDIRECT("'My Loans'!$F"&amp;'My Loans'!$N$17),K52+L52)))</f>
        <v>112</v>
      </c>
      <c r="N52" s="13">
        <f ca="1">IF(A52=1,IF(OR('My Loans'!$N$18="",'My Loans'!$N$18=0),0,INDIRECT("'My Loans'!$D"&amp;'My Loans'!$N$18)),AY51)</f>
        <v>4673.8346619174454</v>
      </c>
      <c r="O52" s="13">
        <f ca="1">IF(OR('My Loans'!$N$18="",'My Loans'!$N$18=0),0,N52*INDIRECT("'My Loans'!$E"&amp;'My Loans'!$N$18)/12)</f>
        <v>17.526879982190419</v>
      </c>
      <c r="P52" s="13">
        <f ca="1">IF(OR('My Loans'!$N$18="",'My Loans'!$N$18=0),0,IF(N52&lt;0.005,0,MIN(INDIRECT("'My Loans'!$F"&amp;'My Loans'!$N$18),N52+O52)))</f>
        <v>95</v>
      </c>
      <c r="Q52" s="13">
        <f ca="1">IF(A52=1,IF(OR('My Loans'!$N$19="",'My Loans'!$N$19=0),0,INDIRECT("'My Loans'!$D"&amp;'My Loans'!$N$19)),BD51)</f>
        <v>0</v>
      </c>
      <c r="R52" s="13">
        <f ca="1">IF(OR('My Loans'!$N$19="",'My Loans'!$N$19=0),0,Q52*INDIRECT("'My Loans'!$E"&amp;'My Loans'!$N$19)/12)</f>
        <v>0</v>
      </c>
      <c r="S52" s="13">
        <f ca="1">IF(OR('My Loans'!$N$19="",'My Loans'!$N$19=0),0,IF(Q52&lt;0.005,0,MIN(INDIRECT("'My Loans'!$F"&amp;'My Loans'!$N$19),Q52+R52)))</f>
        <v>0</v>
      </c>
      <c r="T52" s="13">
        <f ca="1">IF(A52=1,IF(OR('My Loans'!$N$20="",'My Loans'!$N$20=0),0,INDIRECT("'My Loans'!$D"&amp;'My Loans'!$N$20)),BI51)</f>
        <v>0</v>
      </c>
      <c r="U52" s="13">
        <f ca="1">IF(OR('My Loans'!$N$20="",'My Loans'!$N$20=0),0,T52*INDIRECT("'My Loans'!$E"&amp;'My Loans'!$N$20)/12)</f>
        <v>0</v>
      </c>
      <c r="V52" s="13">
        <f ca="1">IF(OR('My Loans'!$N$20="",'My Loans'!$N$20=0),0,IF(T52&lt;0.005,0,MIN(INDIRECT("'My Loans'!$F"&amp;'My Loans'!$N$20),T52+U52)))</f>
        <v>0</v>
      </c>
      <c r="W52" s="13">
        <f ca="1">IF(A52=1,IF(OR('My Loans'!$N$21="",'My Loans'!$N$21=0),0,INDIRECT("'My Loans'!$D"&amp;'My Loans'!$N$21)),BN51)</f>
        <v>0</v>
      </c>
      <c r="X52" s="13">
        <f ca="1">IF(OR('My Loans'!$N$21="",'My Loans'!$N$21=0),0,W52*INDIRECT("'My Loans'!$E"&amp;'My Loans'!$N$21)/12)</f>
        <v>0</v>
      </c>
      <c r="Y52" s="13">
        <f ca="1">IF(OR('My Loans'!$N$21="",'My Loans'!$N$21=0),0,IF(W52&lt;0.005,0,MIN(INDIRECT("'My Loans'!$F"&amp;'My Loans'!$N$21),W52+X52)))</f>
        <v>0</v>
      </c>
      <c r="Z52" s="13">
        <f ca="1">'My Loans'!$B$13-(D52+G52+J52+M52+P52+S52+V52+Y52)</f>
        <v>1051</v>
      </c>
      <c r="AA52" s="13">
        <f t="shared" ca="1" si="43"/>
        <v>1051</v>
      </c>
      <c r="AB52" s="13">
        <f t="shared" ca="1" si="44"/>
        <v>0</v>
      </c>
      <c r="AC52" s="13">
        <f t="shared" ca="1" si="45"/>
        <v>0</v>
      </c>
      <c r="AD52" s="13">
        <f t="shared" ca="1" si="46"/>
        <v>0</v>
      </c>
      <c r="AE52" s="13">
        <f t="shared" ca="1" si="47"/>
        <v>0</v>
      </c>
      <c r="AF52" s="13">
        <f t="shared" ca="1" si="48"/>
        <v>1051</v>
      </c>
      <c r="AG52" s="13">
        <f t="shared" ca="1" si="49"/>
        <v>0</v>
      </c>
      <c r="AH52" s="13">
        <f t="shared" ca="1" si="50"/>
        <v>0</v>
      </c>
      <c r="AI52" s="13">
        <f t="shared" ca="1" si="51"/>
        <v>0</v>
      </c>
      <c r="AJ52" s="13">
        <f t="shared" ca="1" si="52"/>
        <v>0</v>
      </c>
      <c r="AK52" s="13">
        <f t="shared" ca="1" si="53"/>
        <v>1051</v>
      </c>
      <c r="AL52" s="13">
        <f t="shared" ca="1" si="54"/>
        <v>5049.4398735499244</v>
      </c>
      <c r="AM52" s="13">
        <f t="shared" ca="1" si="55"/>
        <v>1051</v>
      </c>
      <c r="AN52" s="13">
        <f t="shared" ca="1" si="56"/>
        <v>1193</v>
      </c>
      <c r="AO52" s="13">
        <f t="shared" ca="1" si="57"/>
        <v>3998.4398735499244</v>
      </c>
      <c r="AP52" s="13">
        <f t="shared" ca="1" si="58"/>
        <v>0</v>
      </c>
      <c r="AQ52" s="13">
        <f t="shared" ca="1" si="59"/>
        <v>5727.8188881744873</v>
      </c>
      <c r="AR52" s="13">
        <f t="shared" ca="1" si="60"/>
        <v>0</v>
      </c>
      <c r="AS52" s="13">
        <f t="shared" ca="1" si="61"/>
        <v>112</v>
      </c>
      <c r="AT52" s="13">
        <f t="shared" ca="1" si="62"/>
        <v>5727.8188881744873</v>
      </c>
      <c r="AU52" s="13">
        <f t="shared" ca="1" si="63"/>
        <v>0</v>
      </c>
      <c r="AV52" s="13">
        <f t="shared" ca="1" si="64"/>
        <v>4596.361541899636</v>
      </c>
      <c r="AW52" s="13">
        <f t="shared" ca="1" si="65"/>
        <v>0</v>
      </c>
      <c r="AX52" s="13">
        <f t="shared" ca="1" si="66"/>
        <v>95</v>
      </c>
      <c r="AY52" s="13">
        <f t="shared" ca="1" si="67"/>
        <v>4596.361541899636</v>
      </c>
      <c r="AZ52" s="13">
        <f t="shared" ca="1" si="68"/>
        <v>0</v>
      </c>
      <c r="BA52" s="13">
        <f t="shared" ca="1" si="69"/>
        <v>0</v>
      </c>
      <c r="BB52" s="13">
        <f t="shared" ca="1" si="70"/>
        <v>0</v>
      </c>
      <c r="BC52" s="13">
        <f t="shared" ca="1" si="71"/>
        <v>0</v>
      </c>
      <c r="BD52" s="13">
        <f t="shared" ca="1" si="72"/>
        <v>0</v>
      </c>
      <c r="BE52" s="13">
        <f t="shared" ca="1" si="73"/>
        <v>0</v>
      </c>
      <c r="BF52" s="13">
        <f t="shared" ca="1" si="74"/>
        <v>0</v>
      </c>
      <c r="BG52" s="13">
        <f t="shared" ca="1" si="75"/>
        <v>0</v>
      </c>
      <c r="BH52" s="13">
        <f t="shared" ca="1" si="76"/>
        <v>0</v>
      </c>
      <c r="BI52" s="13">
        <f t="shared" ca="1" si="77"/>
        <v>0</v>
      </c>
      <c r="BJ52" s="13">
        <f t="shared" ca="1" si="78"/>
        <v>0</v>
      </c>
      <c r="BK52" s="13">
        <f t="shared" ca="1" si="79"/>
        <v>0</v>
      </c>
      <c r="BL52" s="13">
        <f t="shared" ca="1" si="80"/>
        <v>0</v>
      </c>
      <c r="BM52" s="13">
        <f t="shared" ca="1" si="81"/>
        <v>0</v>
      </c>
      <c r="BN52" s="13">
        <f t="shared" ca="1" si="82"/>
        <v>0</v>
      </c>
      <c r="BO52" s="13">
        <f t="shared" ca="1" si="83"/>
        <v>1400</v>
      </c>
      <c r="BP52" s="13">
        <f t="shared" ca="1" si="84"/>
        <v>64.961372912860369</v>
      </c>
      <c r="BQ52" s="13">
        <f t="shared" ca="1" si="85"/>
        <v>14322.620303624048</v>
      </c>
    </row>
    <row r="53" spans="1:69" x14ac:dyDescent="0.25">
      <c r="A53" s="1">
        <v>52</v>
      </c>
      <c r="B53" s="13">
        <f ca="1">IF(A53=1,IF(OR('My Loans'!$N$14="",'My Loans'!$N$14=0),0,INDIRECT("'My Loans'!$D"&amp;'My Loans'!$N$14)),AE52)</f>
        <v>0</v>
      </c>
      <c r="C53" s="13">
        <f ca="1">IF(OR('My Loans'!$N$14="",'My Loans'!$N$14=0),0,B53*INDIRECT("'My Loans'!$E"&amp;'My Loans'!$N$14)/12)</f>
        <v>0</v>
      </c>
      <c r="D53" s="13">
        <f ca="1">IF(OR('My Loans'!$N$14="",'My Loans'!$N$14=0),0,IF(B53&lt;0.005,0,MIN(INDIRECT("'My Loans'!$F"&amp;'My Loans'!$N$14),B53+C53)))</f>
        <v>0</v>
      </c>
      <c r="E53" s="13">
        <f ca="1">IF(A53=1,IF(OR('My Loans'!$N$15="",'My Loans'!$N$15=0),0,INDIRECT("'My Loans'!$D"&amp;'My Loans'!$N$15)),AJ52)</f>
        <v>0</v>
      </c>
      <c r="F53" s="13">
        <f ca="1">IF(OR('My Loans'!$N$15="",'My Loans'!$N$15=0),0,E53*INDIRECT("'My Loans'!$E"&amp;'My Loans'!$N$15)/12)</f>
        <v>0</v>
      </c>
      <c r="G53" s="13">
        <f ca="1">IF(OR('My Loans'!$N$15="",'My Loans'!$N$15=0),0,IF(E53&lt;0.005,0,MIN(INDIRECT("'My Loans'!$F"&amp;'My Loans'!$N$15),E53+F53)))</f>
        <v>0</v>
      </c>
      <c r="H53" s="13">
        <f ca="1">IF(A53=1,IF(OR('My Loans'!$N$16="",'My Loans'!$N$16=0),0,INDIRECT("'My Loans'!$D"&amp;'My Loans'!$N$16)),AO52)</f>
        <v>3998.4398735499244</v>
      </c>
      <c r="I53" s="13">
        <f ca="1">IF(OR('My Loans'!$N$16="",'My Loans'!$N$16=0),0,H53*INDIRECT("'My Loans'!$E"&amp;'My Loans'!$N$16)/12)</f>
        <v>18.326182753770485</v>
      </c>
      <c r="J53" s="13">
        <f ca="1">IF(OR('My Loans'!$N$16="",'My Loans'!$N$16=0),0,IF(H53&lt;0.005,0,MIN(INDIRECT("'My Loans'!$F"&amp;'My Loans'!$N$16),H53+I53)))</f>
        <v>142</v>
      </c>
      <c r="K53" s="13">
        <f ca="1">IF(A53=1,IF(OR('My Loans'!$N$17="",'My Loans'!$N$17=0),0,INDIRECT("'My Loans'!$D"&amp;'My Loans'!$N$17)),AT52)</f>
        <v>5727.8188881744873</v>
      </c>
      <c r="L53" s="13">
        <f ca="1">IF(OR('My Loans'!$N$17="",'My Loans'!$N$17=0),0,K53*INDIRECT("'My Loans'!$E"&amp;'My Loans'!$N$17)/12)</f>
        <v>23.388593793379158</v>
      </c>
      <c r="M53" s="13">
        <f ca="1">IF(OR('My Loans'!$N$17="",'My Loans'!$N$17=0),0,IF(K53&lt;0.005,0,MIN(INDIRECT("'My Loans'!$F"&amp;'My Loans'!$N$17),K53+L53)))</f>
        <v>112</v>
      </c>
      <c r="N53" s="13">
        <f ca="1">IF(A53=1,IF(OR('My Loans'!$N$18="",'My Loans'!$N$18=0),0,INDIRECT("'My Loans'!$D"&amp;'My Loans'!$N$18)),AY52)</f>
        <v>4596.361541899636</v>
      </c>
      <c r="O53" s="13">
        <f ca="1">IF(OR('My Loans'!$N$18="",'My Loans'!$N$18=0),0,N53*INDIRECT("'My Loans'!$E"&amp;'My Loans'!$N$18)/12)</f>
        <v>17.236355782123635</v>
      </c>
      <c r="P53" s="13">
        <f ca="1">IF(OR('My Loans'!$N$18="",'My Loans'!$N$18=0),0,IF(N53&lt;0.005,0,MIN(INDIRECT("'My Loans'!$F"&amp;'My Loans'!$N$18),N53+O53)))</f>
        <v>95</v>
      </c>
      <c r="Q53" s="13">
        <f ca="1">IF(A53=1,IF(OR('My Loans'!$N$19="",'My Loans'!$N$19=0),0,INDIRECT("'My Loans'!$D"&amp;'My Loans'!$N$19)),BD52)</f>
        <v>0</v>
      </c>
      <c r="R53" s="13">
        <f ca="1">IF(OR('My Loans'!$N$19="",'My Loans'!$N$19=0),0,Q53*INDIRECT("'My Loans'!$E"&amp;'My Loans'!$N$19)/12)</f>
        <v>0</v>
      </c>
      <c r="S53" s="13">
        <f ca="1">IF(OR('My Loans'!$N$19="",'My Loans'!$N$19=0),0,IF(Q53&lt;0.005,0,MIN(INDIRECT("'My Loans'!$F"&amp;'My Loans'!$N$19),Q53+R53)))</f>
        <v>0</v>
      </c>
      <c r="T53" s="13">
        <f ca="1">IF(A53=1,IF(OR('My Loans'!$N$20="",'My Loans'!$N$20=0),0,INDIRECT("'My Loans'!$D"&amp;'My Loans'!$N$20)),BI52)</f>
        <v>0</v>
      </c>
      <c r="U53" s="13">
        <f ca="1">IF(OR('My Loans'!$N$20="",'My Loans'!$N$20=0),0,T53*INDIRECT("'My Loans'!$E"&amp;'My Loans'!$N$20)/12)</f>
        <v>0</v>
      </c>
      <c r="V53" s="13">
        <f ca="1">IF(OR('My Loans'!$N$20="",'My Loans'!$N$20=0),0,IF(T53&lt;0.005,0,MIN(INDIRECT("'My Loans'!$F"&amp;'My Loans'!$N$20),T53+U53)))</f>
        <v>0</v>
      </c>
      <c r="W53" s="13">
        <f ca="1">IF(A53=1,IF(OR('My Loans'!$N$21="",'My Loans'!$N$21=0),0,INDIRECT("'My Loans'!$D"&amp;'My Loans'!$N$21)),BN52)</f>
        <v>0</v>
      </c>
      <c r="X53" s="13">
        <f ca="1">IF(OR('My Loans'!$N$21="",'My Loans'!$N$21=0),0,W53*INDIRECT("'My Loans'!$E"&amp;'My Loans'!$N$21)/12)</f>
        <v>0</v>
      </c>
      <c r="Y53" s="13">
        <f ca="1">IF(OR('My Loans'!$N$21="",'My Loans'!$N$21=0),0,IF(W53&lt;0.005,0,MIN(INDIRECT("'My Loans'!$F"&amp;'My Loans'!$N$21),W53+X53)))</f>
        <v>0</v>
      </c>
      <c r="Z53" s="13">
        <f ca="1">'My Loans'!$B$13-(D53+G53+J53+M53+P53+S53+V53+Y53)</f>
        <v>1051</v>
      </c>
      <c r="AA53" s="13">
        <f t="shared" ca="1" si="43"/>
        <v>1051</v>
      </c>
      <c r="AB53" s="13">
        <f t="shared" ca="1" si="44"/>
        <v>0</v>
      </c>
      <c r="AC53" s="13">
        <f t="shared" ca="1" si="45"/>
        <v>0</v>
      </c>
      <c r="AD53" s="13">
        <f t="shared" ca="1" si="46"/>
        <v>0</v>
      </c>
      <c r="AE53" s="13">
        <f t="shared" ca="1" si="47"/>
        <v>0</v>
      </c>
      <c r="AF53" s="13">
        <f t="shared" ca="1" si="48"/>
        <v>1051</v>
      </c>
      <c r="AG53" s="13">
        <f t="shared" ca="1" si="49"/>
        <v>0</v>
      </c>
      <c r="AH53" s="13">
        <f t="shared" ca="1" si="50"/>
        <v>0</v>
      </c>
      <c r="AI53" s="13">
        <f t="shared" ca="1" si="51"/>
        <v>0</v>
      </c>
      <c r="AJ53" s="13">
        <f t="shared" ca="1" si="52"/>
        <v>0</v>
      </c>
      <c r="AK53" s="13">
        <f t="shared" ca="1" si="53"/>
        <v>1051</v>
      </c>
      <c r="AL53" s="13">
        <f t="shared" ca="1" si="54"/>
        <v>3874.7660563036948</v>
      </c>
      <c r="AM53" s="13">
        <f t="shared" ca="1" si="55"/>
        <v>1051</v>
      </c>
      <c r="AN53" s="13">
        <f t="shared" ca="1" si="56"/>
        <v>1193</v>
      </c>
      <c r="AO53" s="13">
        <f t="shared" ca="1" si="57"/>
        <v>2823.7660563036948</v>
      </c>
      <c r="AP53" s="13">
        <f t="shared" ca="1" si="58"/>
        <v>0</v>
      </c>
      <c r="AQ53" s="13">
        <f t="shared" ca="1" si="59"/>
        <v>5639.2074819678664</v>
      </c>
      <c r="AR53" s="13">
        <f t="shared" ca="1" si="60"/>
        <v>0</v>
      </c>
      <c r="AS53" s="13">
        <f t="shared" ca="1" si="61"/>
        <v>112</v>
      </c>
      <c r="AT53" s="13">
        <f t="shared" ca="1" si="62"/>
        <v>5639.2074819678664</v>
      </c>
      <c r="AU53" s="13">
        <f t="shared" ca="1" si="63"/>
        <v>0</v>
      </c>
      <c r="AV53" s="13">
        <f t="shared" ca="1" si="64"/>
        <v>4518.5978976817596</v>
      </c>
      <c r="AW53" s="13">
        <f t="shared" ca="1" si="65"/>
        <v>0</v>
      </c>
      <c r="AX53" s="13">
        <f t="shared" ca="1" si="66"/>
        <v>95</v>
      </c>
      <c r="AY53" s="13">
        <f t="shared" ca="1" si="67"/>
        <v>4518.5978976817596</v>
      </c>
      <c r="AZ53" s="13">
        <f t="shared" ca="1" si="68"/>
        <v>0</v>
      </c>
      <c r="BA53" s="13">
        <f t="shared" ca="1" si="69"/>
        <v>0</v>
      </c>
      <c r="BB53" s="13">
        <f t="shared" ca="1" si="70"/>
        <v>0</v>
      </c>
      <c r="BC53" s="13">
        <f t="shared" ca="1" si="71"/>
        <v>0</v>
      </c>
      <c r="BD53" s="13">
        <f t="shared" ca="1" si="72"/>
        <v>0</v>
      </c>
      <c r="BE53" s="13">
        <f t="shared" ca="1" si="73"/>
        <v>0</v>
      </c>
      <c r="BF53" s="13">
        <f t="shared" ca="1" si="74"/>
        <v>0</v>
      </c>
      <c r="BG53" s="13">
        <f t="shared" ca="1" si="75"/>
        <v>0</v>
      </c>
      <c r="BH53" s="13">
        <f t="shared" ca="1" si="76"/>
        <v>0</v>
      </c>
      <c r="BI53" s="13">
        <f t="shared" ca="1" si="77"/>
        <v>0</v>
      </c>
      <c r="BJ53" s="13">
        <f t="shared" ca="1" si="78"/>
        <v>0</v>
      </c>
      <c r="BK53" s="13">
        <f t="shared" ca="1" si="79"/>
        <v>0</v>
      </c>
      <c r="BL53" s="13">
        <f t="shared" ca="1" si="80"/>
        <v>0</v>
      </c>
      <c r="BM53" s="13">
        <f t="shared" ca="1" si="81"/>
        <v>0</v>
      </c>
      <c r="BN53" s="13">
        <f t="shared" ca="1" si="82"/>
        <v>0</v>
      </c>
      <c r="BO53" s="13">
        <f t="shared" ca="1" si="83"/>
        <v>1400</v>
      </c>
      <c r="BP53" s="13">
        <f t="shared" ca="1" si="84"/>
        <v>58.951132329273278</v>
      </c>
      <c r="BQ53" s="13">
        <f t="shared" ca="1" si="85"/>
        <v>12981.571435953319</v>
      </c>
    </row>
    <row r="54" spans="1:69" x14ac:dyDescent="0.25">
      <c r="A54" s="1">
        <v>53</v>
      </c>
      <c r="B54" s="13">
        <f ca="1">IF(A54=1,IF(OR('My Loans'!$N$14="",'My Loans'!$N$14=0),0,INDIRECT("'My Loans'!$D"&amp;'My Loans'!$N$14)),AE53)</f>
        <v>0</v>
      </c>
      <c r="C54" s="13">
        <f ca="1">IF(OR('My Loans'!$N$14="",'My Loans'!$N$14=0),0,B54*INDIRECT("'My Loans'!$E"&amp;'My Loans'!$N$14)/12)</f>
        <v>0</v>
      </c>
      <c r="D54" s="13">
        <f ca="1">IF(OR('My Loans'!$N$14="",'My Loans'!$N$14=0),0,IF(B54&lt;0.005,0,MIN(INDIRECT("'My Loans'!$F"&amp;'My Loans'!$N$14),B54+C54)))</f>
        <v>0</v>
      </c>
      <c r="E54" s="13">
        <f ca="1">IF(A54=1,IF(OR('My Loans'!$N$15="",'My Loans'!$N$15=0),0,INDIRECT("'My Loans'!$D"&amp;'My Loans'!$N$15)),AJ53)</f>
        <v>0</v>
      </c>
      <c r="F54" s="13">
        <f ca="1">IF(OR('My Loans'!$N$15="",'My Loans'!$N$15=0),0,E54*INDIRECT("'My Loans'!$E"&amp;'My Loans'!$N$15)/12)</f>
        <v>0</v>
      </c>
      <c r="G54" s="13">
        <f ca="1">IF(OR('My Loans'!$N$15="",'My Loans'!$N$15=0),0,IF(E54&lt;0.005,0,MIN(INDIRECT("'My Loans'!$F"&amp;'My Loans'!$N$15),E54+F54)))</f>
        <v>0</v>
      </c>
      <c r="H54" s="13">
        <f ca="1">IF(A54=1,IF(OR('My Loans'!$N$16="",'My Loans'!$N$16=0),0,INDIRECT("'My Loans'!$D"&amp;'My Loans'!$N$16)),AO53)</f>
        <v>2823.7660563036948</v>
      </c>
      <c r="I54" s="13">
        <f ca="1">IF(OR('My Loans'!$N$16="",'My Loans'!$N$16=0),0,H54*INDIRECT("'My Loans'!$E"&amp;'My Loans'!$N$16)/12)</f>
        <v>12.942261091391934</v>
      </c>
      <c r="J54" s="13">
        <f ca="1">IF(OR('My Loans'!$N$16="",'My Loans'!$N$16=0),0,IF(H54&lt;0.005,0,MIN(INDIRECT("'My Loans'!$F"&amp;'My Loans'!$N$16),H54+I54)))</f>
        <v>142</v>
      </c>
      <c r="K54" s="13">
        <f ca="1">IF(A54=1,IF(OR('My Loans'!$N$17="",'My Loans'!$N$17=0),0,INDIRECT("'My Loans'!$D"&amp;'My Loans'!$N$17)),AT53)</f>
        <v>5639.2074819678664</v>
      </c>
      <c r="L54" s="13">
        <f ca="1">IF(OR('My Loans'!$N$17="",'My Loans'!$N$17=0),0,K54*INDIRECT("'My Loans'!$E"&amp;'My Loans'!$N$17)/12)</f>
        <v>23.02676388470212</v>
      </c>
      <c r="M54" s="13">
        <f ca="1">IF(OR('My Loans'!$N$17="",'My Loans'!$N$17=0),0,IF(K54&lt;0.005,0,MIN(INDIRECT("'My Loans'!$F"&amp;'My Loans'!$N$17),K54+L54)))</f>
        <v>112</v>
      </c>
      <c r="N54" s="13">
        <f ca="1">IF(A54=1,IF(OR('My Loans'!$N$18="",'My Loans'!$N$18=0),0,INDIRECT("'My Loans'!$D"&amp;'My Loans'!$N$18)),AY53)</f>
        <v>4518.5978976817596</v>
      </c>
      <c r="O54" s="13">
        <f ca="1">IF(OR('My Loans'!$N$18="",'My Loans'!$N$18=0),0,N54*INDIRECT("'My Loans'!$E"&amp;'My Loans'!$N$18)/12)</f>
        <v>16.944742116306596</v>
      </c>
      <c r="P54" s="13">
        <f ca="1">IF(OR('My Loans'!$N$18="",'My Loans'!$N$18=0),0,IF(N54&lt;0.005,0,MIN(INDIRECT("'My Loans'!$F"&amp;'My Loans'!$N$18),N54+O54)))</f>
        <v>95</v>
      </c>
      <c r="Q54" s="13">
        <f ca="1">IF(A54=1,IF(OR('My Loans'!$N$19="",'My Loans'!$N$19=0),0,INDIRECT("'My Loans'!$D"&amp;'My Loans'!$N$19)),BD53)</f>
        <v>0</v>
      </c>
      <c r="R54" s="13">
        <f ca="1">IF(OR('My Loans'!$N$19="",'My Loans'!$N$19=0),0,Q54*INDIRECT("'My Loans'!$E"&amp;'My Loans'!$N$19)/12)</f>
        <v>0</v>
      </c>
      <c r="S54" s="13">
        <f ca="1">IF(OR('My Loans'!$N$19="",'My Loans'!$N$19=0),0,IF(Q54&lt;0.005,0,MIN(INDIRECT("'My Loans'!$F"&amp;'My Loans'!$N$19),Q54+R54)))</f>
        <v>0</v>
      </c>
      <c r="T54" s="13">
        <f ca="1">IF(A54=1,IF(OR('My Loans'!$N$20="",'My Loans'!$N$20=0),0,INDIRECT("'My Loans'!$D"&amp;'My Loans'!$N$20)),BI53)</f>
        <v>0</v>
      </c>
      <c r="U54" s="13">
        <f ca="1">IF(OR('My Loans'!$N$20="",'My Loans'!$N$20=0),0,T54*INDIRECT("'My Loans'!$E"&amp;'My Loans'!$N$20)/12)</f>
        <v>0</v>
      </c>
      <c r="V54" s="13">
        <f ca="1">IF(OR('My Loans'!$N$20="",'My Loans'!$N$20=0),0,IF(T54&lt;0.005,0,MIN(INDIRECT("'My Loans'!$F"&amp;'My Loans'!$N$20),T54+U54)))</f>
        <v>0</v>
      </c>
      <c r="W54" s="13">
        <f ca="1">IF(A54=1,IF(OR('My Loans'!$N$21="",'My Loans'!$N$21=0),0,INDIRECT("'My Loans'!$D"&amp;'My Loans'!$N$21)),BN53)</f>
        <v>0</v>
      </c>
      <c r="X54" s="13">
        <f ca="1">IF(OR('My Loans'!$N$21="",'My Loans'!$N$21=0),0,W54*INDIRECT("'My Loans'!$E"&amp;'My Loans'!$N$21)/12)</f>
        <v>0</v>
      </c>
      <c r="Y54" s="13">
        <f ca="1">IF(OR('My Loans'!$N$21="",'My Loans'!$N$21=0),0,IF(W54&lt;0.005,0,MIN(INDIRECT("'My Loans'!$F"&amp;'My Loans'!$N$21),W54+X54)))</f>
        <v>0</v>
      </c>
      <c r="Z54" s="13">
        <f ca="1">'My Loans'!$B$13-(D54+G54+J54+M54+P54+S54+V54+Y54)</f>
        <v>1051</v>
      </c>
      <c r="AA54" s="13">
        <f t="shared" ca="1" si="43"/>
        <v>1051</v>
      </c>
      <c r="AB54" s="13">
        <f t="shared" ca="1" si="44"/>
        <v>0</v>
      </c>
      <c r="AC54" s="13">
        <f t="shared" ca="1" si="45"/>
        <v>0</v>
      </c>
      <c r="AD54" s="13">
        <f t="shared" ca="1" si="46"/>
        <v>0</v>
      </c>
      <c r="AE54" s="13">
        <f t="shared" ca="1" si="47"/>
        <v>0</v>
      </c>
      <c r="AF54" s="13">
        <f t="shared" ca="1" si="48"/>
        <v>1051</v>
      </c>
      <c r="AG54" s="13">
        <f t="shared" ca="1" si="49"/>
        <v>0</v>
      </c>
      <c r="AH54" s="13">
        <f t="shared" ca="1" si="50"/>
        <v>0</v>
      </c>
      <c r="AI54" s="13">
        <f t="shared" ca="1" si="51"/>
        <v>0</v>
      </c>
      <c r="AJ54" s="13">
        <f t="shared" ca="1" si="52"/>
        <v>0</v>
      </c>
      <c r="AK54" s="13">
        <f t="shared" ca="1" si="53"/>
        <v>1051</v>
      </c>
      <c r="AL54" s="13">
        <f t="shared" ca="1" si="54"/>
        <v>2694.7083173950869</v>
      </c>
      <c r="AM54" s="13">
        <f t="shared" ca="1" si="55"/>
        <v>1051</v>
      </c>
      <c r="AN54" s="13">
        <f t="shared" ca="1" si="56"/>
        <v>1193</v>
      </c>
      <c r="AO54" s="13">
        <f t="shared" ca="1" si="57"/>
        <v>1643.7083173950869</v>
      </c>
      <c r="AP54" s="13">
        <f t="shared" ca="1" si="58"/>
        <v>0</v>
      </c>
      <c r="AQ54" s="13">
        <f t="shared" ca="1" si="59"/>
        <v>5550.2342458525682</v>
      </c>
      <c r="AR54" s="13">
        <f t="shared" ca="1" si="60"/>
        <v>0</v>
      </c>
      <c r="AS54" s="13">
        <f t="shared" ca="1" si="61"/>
        <v>112</v>
      </c>
      <c r="AT54" s="13">
        <f t="shared" ca="1" si="62"/>
        <v>5550.2342458525682</v>
      </c>
      <c r="AU54" s="13">
        <f t="shared" ca="1" si="63"/>
        <v>0</v>
      </c>
      <c r="AV54" s="13">
        <f t="shared" ca="1" si="64"/>
        <v>4440.5426397980664</v>
      </c>
      <c r="AW54" s="13">
        <f t="shared" ca="1" si="65"/>
        <v>0</v>
      </c>
      <c r="AX54" s="13">
        <f t="shared" ca="1" si="66"/>
        <v>95</v>
      </c>
      <c r="AY54" s="13">
        <f t="shared" ca="1" si="67"/>
        <v>4440.5426397980664</v>
      </c>
      <c r="AZ54" s="13">
        <f t="shared" ca="1" si="68"/>
        <v>0</v>
      </c>
      <c r="BA54" s="13">
        <f t="shared" ca="1" si="69"/>
        <v>0</v>
      </c>
      <c r="BB54" s="13">
        <f t="shared" ca="1" si="70"/>
        <v>0</v>
      </c>
      <c r="BC54" s="13">
        <f t="shared" ca="1" si="71"/>
        <v>0</v>
      </c>
      <c r="BD54" s="13">
        <f t="shared" ca="1" si="72"/>
        <v>0</v>
      </c>
      <c r="BE54" s="13">
        <f t="shared" ca="1" si="73"/>
        <v>0</v>
      </c>
      <c r="BF54" s="13">
        <f t="shared" ca="1" si="74"/>
        <v>0</v>
      </c>
      <c r="BG54" s="13">
        <f t="shared" ca="1" si="75"/>
        <v>0</v>
      </c>
      <c r="BH54" s="13">
        <f t="shared" ca="1" si="76"/>
        <v>0</v>
      </c>
      <c r="BI54" s="13">
        <f t="shared" ca="1" si="77"/>
        <v>0</v>
      </c>
      <c r="BJ54" s="13">
        <f t="shared" ca="1" si="78"/>
        <v>0</v>
      </c>
      <c r="BK54" s="13">
        <f t="shared" ca="1" si="79"/>
        <v>0</v>
      </c>
      <c r="BL54" s="13">
        <f t="shared" ca="1" si="80"/>
        <v>0</v>
      </c>
      <c r="BM54" s="13">
        <f t="shared" ca="1" si="81"/>
        <v>0</v>
      </c>
      <c r="BN54" s="13">
        <f t="shared" ca="1" si="82"/>
        <v>0</v>
      </c>
      <c r="BO54" s="13">
        <f t="shared" ca="1" si="83"/>
        <v>1400</v>
      </c>
      <c r="BP54" s="13">
        <f t="shared" ca="1" si="84"/>
        <v>52.913767092400647</v>
      </c>
      <c r="BQ54" s="13">
        <f t="shared" ca="1" si="85"/>
        <v>11634.485203045722</v>
      </c>
    </row>
    <row r="55" spans="1:69" x14ac:dyDescent="0.25">
      <c r="A55" s="1">
        <v>54</v>
      </c>
      <c r="B55" s="13">
        <f ca="1">IF(A55=1,IF(OR('My Loans'!$N$14="",'My Loans'!$N$14=0),0,INDIRECT("'My Loans'!$D"&amp;'My Loans'!$N$14)),AE54)</f>
        <v>0</v>
      </c>
      <c r="C55" s="13">
        <f ca="1">IF(OR('My Loans'!$N$14="",'My Loans'!$N$14=0),0,B55*INDIRECT("'My Loans'!$E"&amp;'My Loans'!$N$14)/12)</f>
        <v>0</v>
      </c>
      <c r="D55" s="13">
        <f ca="1">IF(OR('My Loans'!$N$14="",'My Loans'!$N$14=0),0,IF(B55&lt;0.005,0,MIN(INDIRECT("'My Loans'!$F"&amp;'My Loans'!$N$14),B55+C55)))</f>
        <v>0</v>
      </c>
      <c r="E55" s="13">
        <f ca="1">IF(A55=1,IF(OR('My Loans'!$N$15="",'My Loans'!$N$15=0),0,INDIRECT("'My Loans'!$D"&amp;'My Loans'!$N$15)),AJ54)</f>
        <v>0</v>
      </c>
      <c r="F55" s="13">
        <f ca="1">IF(OR('My Loans'!$N$15="",'My Loans'!$N$15=0),0,E55*INDIRECT("'My Loans'!$E"&amp;'My Loans'!$N$15)/12)</f>
        <v>0</v>
      </c>
      <c r="G55" s="13">
        <f ca="1">IF(OR('My Loans'!$N$15="",'My Loans'!$N$15=0),0,IF(E55&lt;0.005,0,MIN(INDIRECT("'My Loans'!$F"&amp;'My Loans'!$N$15),E55+F55)))</f>
        <v>0</v>
      </c>
      <c r="H55" s="13">
        <f ca="1">IF(A55=1,IF(OR('My Loans'!$N$16="",'My Loans'!$N$16=0),0,INDIRECT("'My Loans'!$D"&amp;'My Loans'!$N$16)),AO54)</f>
        <v>1643.7083173950869</v>
      </c>
      <c r="I55" s="13">
        <f ca="1">IF(OR('My Loans'!$N$16="",'My Loans'!$N$16=0),0,H55*INDIRECT("'My Loans'!$E"&amp;'My Loans'!$N$16)/12)</f>
        <v>7.5336631213941478</v>
      </c>
      <c r="J55" s="13">
        <f ca="1">IF(OR('My Loans'!$N$16="",'My Loans'!$N$16=0),0,IF(H55&lt;0.005,0,MIN(INDIRECT("'My Loans'!$F"&amp;'My Loans'!$N$16),H55+I55)))</f>
        <v>142</v>
      </c>
      <c r="K55" s="13">
        <f ca="1">IF(A55=1,IF(OR('My Loans'!$N$17="",'My Loans'!$N$17=0),0,INDIRECT("'My Loans'!$D"&amp;'My Loans'!$N$17)),AT54)</f>
        <v>5550.2342458525682</v>
      </c>
      <c r="L55" s="13">
        <f ca="1">IF(OR('My Loans'!$N$17="",'My Loans'!$N$17=0),0,K55*INDIRECT("'My Loans'!$E"&amp;'My Loans'!$N$17)/12)</f>
        <v>22.663456503897986</v>
      </c>
      <c r="M55" s="13">
        <f ca="1">IF(OR('My Loans'!$N$17="",'My Loans'!$N$17=0),0,IF(K55&lt;0.005,0,MIN(INDIRECT("'My Loans'!$F"&amp;'My Loans'!$N$17),K55+L55)))</f>
        <v>112</v>
      </c>
      <c r="N55" s="13">
        <f ca="1">IF(A55=1,IF(OR('My Loans'!$N$18="",'My Loans'!$N$18=0),0,INDIRECT("'My Loans'!$D"&amp;'My Loans'!$N$18)),AY54)</f>
        <v>4440.5426397980664</v>
      </c>
      <c r="O55" s="13">
        <f ca="1">IF(OR('My Loans'!$N$18="",'My Loans'!$N$18=0),0,N55*INDIRECT("'My Loans'!$E"&amp;'My Loans'!$N$18)/12)</f>
        <v>16.652034899242746</v>
      </c>
      <c r="P55" s="13">
        <f ca="1">IF(OR('My Loans'!$N$18="",'My Loans'!$N$18=0),0,IF(N55&lt;0.005,0,MIN(INDIRECT("'My Loans'!$F"&amp;'My Loans'!$N$18),N55+O55)))</f>
        <v>95</v>
      </c>
      <c r="Q55" s="13">
        <f ca="1">IF(A55=1,IF(OR('My Loans'!$N$19="",'My Loans'!$N$19=0),0,INDIRECT("'My Loans'!$D"&amp;'My Loans'!$N$19)),BD54)</f>
        <v>0</v>
      </c>
      <c r="R55" s="13">
        <f ca="1">IF(OR('My Loans'!$N$19="",'My Loans'!$N$19=0),0,Q55*INDIRECT("'My Loans'!$E"&amp;'My Loans'!$N$19)/12)</f>
        <v>0</v>
      </c>
      <c r="S55" s="13">
        <f ca="1">IF(OR('My Loans'!$N$19="",'My Loans'!$N$19=0),0,IF(Q55&lt;0.005,0,MIN(INDIRECT("'My Loans'!$F"&amp;'My Loans'!$N$19),Q55+R55)))</f>
        <v>0</v>
      </c>
      <c r="T55" s="13">
        <f ca="1">IF(A55=1,IF(OR('My Loans'!$N$20="",'My Loans'!$N$20=0),0,INDIRECT("'My Loans'!$D"&amp;'My Loans'!$N$20)),BI54)</f>
        <v>0</v>
      </c>
      <c r="U55" s="13">
        <f ca="1">IF(OR('My Loans'!$N$20="",'My Loans'!$N$20=0),0,T55*INDIRECT("'My Loans'!$E"&amp;'My Loans'!$N$20)/12)</f>
        <v>0</v>
      </c>
      <c r="V55" s="13">
        <f ca="1">IF(OR('My Loans'!$N$20="",'My Loans'!$N$20=0),0,IF(T55&lt;0.005,0,MIN(INDIRECT("'My Loans'!$F"&amp;'My Loans'!$N$20),T55+U55)))</f>
        <v>0</v>
      </c>
      <c r="W55" s="13">
        <f ca="1">IF(A55=1,IF(OR('My Loans'!$N$21="",'My Loans'!$N$21=0),0,INDIRECT("'My Loans'!$D"&amp;'My Loans'!$N$21)),BN54)</f>
        <v>0</v>
      </c>
      <c r="X55" s="13">
        <f ca="1">IF(OR('My Loans'!$N$21="",'My Loans'!$N$21=0),0,W55*INDIRECT("'My Loans'!$E"&amp;'My Loans'!$N$21)/12)</f>
        <v>0</v>
      </c>
      <c r="Y55" s="13">
        <f ca="1">IF(OR('My Loans'!$N$21="",'My Loans'!$N$21=0),0,IF(W55&lt;0.005,0,MIN(INDIRECT("'My Loans'!$F"&amp;'My Loans'!$N$21),W55+X55)))</f>
        <v>0</v>
      </c>
      <c r="Z55" s="13">
        <f ca="1">'My Loans'!$B$13-(D55+G55+J55+M55+P55+S55+V55+Y55)</f>
        <v>1051</v>
      </c>
      <c r="AA55" s="13">
        <f t="shared" ca="1" si="43"/>
        <v>1051</v>
      </c>
      <c r="AB55" s="13">
        <f t="shared" ca="1" si="44"/>
        <v>0</v>
      </c>
      <c r="AC55" s="13">
        <f t="shared" ca="1" si="45"/>
        <v>0</v>
      </c>
      <c r="AD55" s="13">
        <f t="shared" ca="1" si="46"/>
        <v>0</v>
      </c>
      <c r="AE55" s="13">
        <f t="shared" ca="1" si="47"/>
        <v>0</v>
      </c>
      <c r="AF55" s="13">
        <f t="shared" ca="1" si="48"/>
        <v>1051</v>
      </c>
      <c r="AG55" s="13">
        <f t="shared" ca="1" si="49"/>
        <v>0</v>
      </c>
      <c r="AH55" s="13">
        <f t="shared" ca="1" si="50"/>
        <v>0</v>
      </c>
      <c r="AI55" s="13">
        <f t="shared" ca="1" si="51"/>
        <v>0</v>
      </c>
      <c r="AJ55" s="13">
        <f t="shared" ca="1" si="52"/>
        <v>0</v>
      </c>
      <c r="AK55" s="13">
        <f t="shared" ca="1" si="53"/>
        <v>1051</v>
      </c>
      <c r="AL55" s="13">
        <f t="shared" ca="1" si="54"/>
        <v>1509.2419805164809</v>
      </c>
      <c r="AM55" s="13">
        <f t="shared" ca="1" si="55"/>
        <v>1051</v>
      </c>
      <c r="AN55" s="13">
        <f t="shared" ca="1" si="56"/>
        <v>1193</v>
      </c>
      <c r="AO55" s="13">
        <f t="shared" ca="1" si="57"/>
        <v>458.24198051648091</v>
      </c>
      <c r="AP55" s="13">
        <f t="shared" ca="1" si="58"/>
        <v>0</v>
      </c>
      <c r="AQ55" s="13">
        <f t="shared" ca="1" si="59"/>
        <v>5460.8977023564657</v>
      </c>
      <c r="AR55" s="13">
        <f t="shared" ca="1" si="60"/>
        <v>0</v>
      </c>
      <c r="AS55" s="13">
        <f t="shared" ca="1" si="61"/>
        <v>112</v>
      </c>
      <c r="AT55" s="13">
        <f t="shared" ca="1" si="62"/>
        <v>5460.8977023564657</v>
      </c>
      <c r="AU55" s="13">
        <f t="shared" ca="1" si="63"/>
        <v>0</v>
      </c>
      <c r="AV55" s="13">
        <f t="shared" ca="1" si="64"/>
        <v>4362.194674697309</v>
      </c>
      <c r="AW55" s="13">
        <f t="shared" ca="1" si="65"/>
        <v>0</v>
      </c>
      <c r="AX55" s="13">
        <f t="shared" ca="1" si="66"/>
        <v>95</v>
      </c>
      <c r="AY55" s="13">
        <f t="shared" ca="1" si="67"/>
        <v>4362.194674697309</v>
      </c>
      <c r="AZ55" s="13">
        <f t="shared" ca="1" si="68"/>
        <v>0</v>
      </c>
      <c r="BA55" s="13">
        <f t="shared" ca="1" si="69"/>
        <v>0</v>
      </c>
      <c r="BB55" s="13">
        <f t="shared" ca="1" si="70"/>
        <v>0</v>
      </c>
      <c r="BC55" s="13">
        <f t="shared" ca="1" si="71"/>
        <v>0</v>
      </c>
      <c r="BD55" s="13">
        <f t="shared" ca="1" si="72"/>
        <v>0</v>
      </c>
      <c r="BE55" s="13">
        <f t="shared" ca="1" si="73"/>
        <v>0</v>
      </c>
      <c r="BF55" s="13">
        <f t="shared" ca="1" si="74"/>
        <v>0</v>
      </c>
      <c r="BG55" s="13">
        <f t="shared" ca="1" si="75"/>
        <v>0</v>
      </c>
      <c r="BH55" s="13">
        <f t="shared" ca="1" si="76"/>
        <v>0</v>
      </c>
      <c r="BI55" s="13">
        <f t="shared" ca="1" si="77"/>
        <v>0</v>
      </c>
      <c r="BJ55" s="13">
        <f t="shared" ca="1" si="78"/>
        <v>0</v>
      </c>
      <c r="BK55" s="13">
        <f t="shared" ca="1" si="79"/>
        <v>0</v>
      </c>
      <c r="BL55" s="13">
        <f t="shared" ca="1" si="80"/>
        <v>0</v>
      </c>
      <c r="BM55" s="13">
        <f t="shared" ca="1" si="81"/>
        <v>0</v>
      </c>
      <c r="BN55" s="13">
        <f t="shared" ca="1" si="82"/>
        <v>0</v>
      </c>
      <c r="BO55" s="13">
        <f t="shared" ca="1" si="83"/>
        <v>1400</v>
      </c>
      <c r="BP55" s="13">
        <f t="shared" ca="1" si="84"/>
        <v>46.849154524534882</v>
      </c>
      <c r="BQ55" s="13">
        <f t="shared" ca="1" si="85"/>
        <v>10281.334357570257</v>
      </c>
    </row>
    <row r="56" spans="1:69" x14ac:dyDescent="0.25">
      <c r="A56" s="1">
        <v>55</v>
      </c>
      <c r="B56" s="13">
        <f ca="1">IF(A56=1,IF(OR('My Loans'!$N$14="",'My Loans'!$N$14=0),0,INDIRECT("'My Loans'!$D"&amp;'My Loans'!$N$14)),AE55)</f>
        <v>0</v>
      </c>
      <c r="C56" s="13">
        <f ca="1">IF(OR('My Loans'!$N$14="",'My Loans'!$N$14=0),0,B56*INDIRECT("'My Loans'!$E"&amp;'My Loans'!$N$14)/12)</f>
        <v>0</v>
      </c>
      <c r="D56" s="13">
        <f ca="1">IF(OR('My Loans'!$N$14="",'My Loans'!$N$14=0),0,IF(B56&lt;0.005,0,MIN(INDIRECT("'My Loans'!$F"&amp;'My Loans'!$N$14),B56+C56)))</f>
        <v>0</v>
      </c>
      <c r="E56" s="13">
        <f ca="1">IF(A56=1,IF(OR('My Loans'!$N$15="",'My Loans'!$N$15=0),0,INDIRECT("'My Loans'!$D"&amp;'My Loans'!$N$15)),AJ55)</f>
        <v>0</v>
      </c>
      <c r="F56" s="13">
        <f ca="1">IF(OR('My Loans'!$N$15="",'My Loans'!$N$15=0),0,E56*INDIRECT("'My Loans'!$E"&amp;'My Loans'!$N$15)/12)</f>
        <v>0</v>
      </c>
      <c r="G56" s="13">
        <f ca="1">IF(OR('My Loans'!$N$15="",'My Loans'!$N$15=0),0,IF(E56&lt;0.005,0,MIN(INDIRECT("'My Loans'!$F"&amp;'My Loans'!$N$15),E56+F56)))</f>
        <v>0</v>
      </c>
      <c r="H56" s="13">
        <f ca="1">IF(A56=1,IF(OR('My Loans'!$N$16="",'My Loans'!$N$16=0),0,INDIRECT("'My Loans'!$D"&amp;'My Loans'!$N$16)),AO55)</f>
        <v>458.24198051648091</v>
      </c>
      <c r="I56" s="13">
        <f ca="1">IF(OR('My Loans'!$N$16="",'My Loans'!$N$16=0),0,H56*INDIRECT("'My Loans'!$E"&amp;'My Loans'!$N$16)/12)</f>
        <v>2.1002757440338709</v>
      </c>
      <c r="J56" s="13">
        <f ca="1">IF(OR('My Loans'!$N$16="",'My Loans'!$N$16=0),0,IF(H56&lt;0.005,0,MIN(INDIRECT("'My Loans'!$F"&amp;'My Loans'!$N$16),H56+I56)))</f>
        <v>142</v>
      </c>
      <c r="K56" s="13">
        <f ca="1">IF(A56=1,IF(OR('My Loans'!$N$17="",'My Loans'!$N$17=0),0,INDIRECT("'My Loans'!$D"&amp;'My Loans'!$N$17)),AT55)</f>
        <v>5460.8977023564657</v>
      </c>
      <c r="L56" s="13">
        <f ca="1">IF(OR('My Loans'!$N$17="",'My Loans'!$N$17=0),0,K56*INDIRECT("'My Loans'!$E"&amp;'My Loans'!$N$17)/12)</f>
        <v>22.298665617955567</v>
      </c>
      <c r="M56" s="13">
        <f ca="1">IF(OR('My Loans'!$N$17="",'My Loans'!$N$17=0),0,IF(K56&lt;0.005,0,MIN(INDIRECT("'My Loans'!$F"&amp;'My Loans'!$N$17),K56+L56)))</f>
        <v>112</v>
      </c>
      <c r="N56" s="13">
        <f ca="1">IF(A56=1,IF(OR('My Loans'!$N$18="",'My Loans'!$N$18=0),0,INDIRECT("'My Loans'!$D"&amp;'My Loans'!$N$18)),AY55)</f>
        <v>4362.194674697309</v>
      </c>
      <c r="O56" s="13">
        <f ca="1">IF(OR('My Loans'!$N$18="",'My Loans'!$N$18=0),0,N56*INDIRECT("'My Loans'!$E"&amp;'My Loans'!$N$18)/12)</f>
        <v>16.358230030114907</v>
      </c>
      <c r="P56" s="13">
        <f ca="1">IF(OR('My Loans'!$N$18="",'My Loans'!$N$18=0),0,IF(N56&lt;0.005,0,MIN(INDIRECT("'My Loans'!$F"&amp;'My Loans'!$N$18),N56+O56)))</f>
        <v>95</v>
      </c>
      <c r="Q56" s="13">
        <f ca="1">IF(A56=1,IF(OR('My Loans'!$N$19="",'My Loans'!$N$19=0),0,INDIRECT("'My Loans'!$D"&amp;'My Loans'!$N$19)),BD55)</f>
        <v>0</v>
      </c>
      <c r="R56" s="13">
        <f ca="1">IF(OR('My Loans'!$N$19="",'My Loans'!$N$19=0),0,Q56*INDIRECT("'My Loans'!$E"&amp;'My Loans'!$N$19)/12)</f>
        <v>0</v>
      </c>
      <c r="S56" s="13">
        <f ca="1">IF(OR('My Loans'!$N$19="",'My Loans'!$N$19=0),0,IF(Q56&lt;0.005,0,MIN(INDIRECT("'My Loans'!$F"&amp;'My Loans'!$N$19),Q56+R56)))</f>
        <v>0</v>
      </c>
      <c r="T56" s="13">
        <f ca="1">IF(A56=1,IF(OR('My Loans'!$N$20="",'My Loans'!$N$20=0),0,INDIRECT("'My Loans'!$D"&amp;'My Loans'!$N$20)),BI55)</f>
        <v>0</v>
      </c>
      <c r="U56" s="13">
        <f ca="1">IF(OR('My Loans'!$N$20="",'My Loans'!$N$20=0),0,T56*INDIRECT("'My Loans'!$E"&amp;'My Loans'!$N$20)/12)</f>
        <v>0</v>
      </c>
      <c r="V56" s="13">
        <f ca="1">IF(OR('My Loans'!$N$20="",'My Loans'!$N$20=0),0,IF(T56&lt;0.005,0,MIN(INDIRECT("'My Loans'!$F"&amp;'My Loans'!$N$20),T56+U56)))</f>
        <v>0</v>
      </c>
      <c r="W56" s="13">
        <f ca="1">IF(A56=1,IF(OR('My Loans'!$N$21="",'My Loans'!$N$21=0),0,INDIRECT("'My Loans'!$D"&amp;'My Loans'!$N$21)),BN55)</f>
        <v>0</v>
      </c>
      <c r="X56" s="13">
        <f ca="1">IF(OR('My Loans'!$N$21="",'My Loans'!$N$21=0),0,W56*INDIRECT("'My Loans'!$E"&amp;'My Loans'!$N$21)/12)</f>
        <v>0</v>
      </c>
      <c r="Y56" s="13">
        <f ca="1">IF(OR('My Loans'!$N$21="",'My Loans'!$N$21=0),0,IF(W56&lt;0.005,0,MIN(INDIRECT("'My Loans'!$F"&amp;'My Loans'!$N$21),W56+X56)))</f>
        <v>0</v>
      </c>
      <c r="Z56" s="13">
        <f ca="1">'My Loans'!$B$13-(D56+G56+J56+M56+P56+S56+V56+Y56)</f>
        <v>1051</v>
      </c>
      <c r="AA56" s="13">
        <f t="shared" ca="1" si="43"/>
        <v>1051</v>
      </c>
      <c r="AB56" s="13">
        <f t="shared" ca="1" si="44"/>
        <v>0</v>
      </c>
      <c r="AC56" s="13">
        <f t="shared" ca="1" si="45"/>
        <v>0</v>
      </c>
      <c r="AD56" s="13">
        <f t="shared" ca="1" si="46"/>
        <v>0</v>
      </c>
      <c r="AE56" s="13">
        <f t="shared" ca="1" si="47"/>
        <v>0</v>
      </c>
      <c r="AF56" s="13">
        <f t="shared" ca="1" si="48"/>
        <v>1051</v>
      </c>
      <c r="AG56" s="13">
        <f t="shared" ca="1" si="49"/>
        <v>0</v>
      </c>
      <c r="AH56" s="13">
        <f t="shared" ca="1" si="50"/>
        <v>0</v>
      </c>
      <c r="AI56" s="13">
        <f t="shared" ca="1" si="51"/>
        <v>0</v>
      </c>
      <c r="AJ56" s="13">
        <f t="shared" ca="1" si="52"/>
        <v>0</v>
      </c>
      <c r="AK56" s="13">
        <f t="shared" ca="1" si="53"/>
        <v>1051</v>
      </c>
      <c r="AL56" s="13">
        <f t="shared" ca="1" si="54"/>
        <v>318.34225626051477</v>
      </c>
      <c r="AM56" s="13">
        <f t="shared" ca="1" si="55"/>
        <v>318.34225626051477</v>
      </c>
      <c r="AN56" s="13">
        <f t="shared" ca="1" si="56"/>
        <v>460.34225626051477</v>
      </c>
      <c r="AO56" s="13">
        <f t="shared" ca="1" si="57"/>
        <v>0</v>
      </c>
      <c r="AP56" s="13">
        <f t="shared" ca="1" si="58"/>
        <v>732.65774373948523</v>
      </c>
      <c r="AQ56" s="13">
        <f t="shared" ca="1" si="59"/>
        <v>5371.1963679744213</v>
      </c>
      <c r="AR56" s="13">
        <f t="shared" ca="1" si="60"/>
        <v>732.65774373948523</v>
      </c>
      <c r="AS56" s="13">
        <f t="shared" ca="1" si="61"/>
        <v>844.65774373948523</v>
      </c>
      <c r="AT56" s="13">
        <f t="shared" ca="1" si="62"/>
        <v>4638.5386242349359</v>
      </c>
      <c r="AU56" s="13">
        <f t="shared" ca="1" si="63"/>
        <v>0</v>
      </c>
      <c r="AV56" s="13">
        <f t="shared" ca="1" si="64"/>
        <v>4283.552904727424</v>
      </c>
      <c r="AW56" s="13">
        <f t="shared" ca="1" si="65"/>
        <v>0</v>
      </c>
      <c r="AX56" s="13">
        <f t="shared" ca="1" si="66"/>
        <v>95</v>
      </c>
      <c r="AY56" s="13">
        <f t="shared" ca="1" si="67"/>
        <v>4283.552904727424</v>
      </c>
      <c r="AZ56" s="13">
        <f t="shared" ca="1" si="68"/>
        <v>0</v>
      </c>
      <c r="BA56" s="13">
        <f t="shared" ca="1" si="69"/>
        <v>0</v>
      </c>
      <c r="BB56" s="13">
        <f t="shared" ca="1" si="70"/>
        <v>0</v>
      </c>
      <c r="BC56" s="13">
        <f t="shared" ca="1" si="71"/>
        <v>0</v>
      </c>
      <c r="BD56" s="13">
        <f t="shared" ca="1" si="72"/>
        <v>0</v>
      </c>
      <c r="BE56" s="13">
        <f t="shared" ca="1" si="73"/>
        <v>0</v>
      </c>
      <c r="BF56" s="13">
        <f t="shared" ca="1" si="74"/>
        <v>0</v>
      </c>
      <c r="BG56" s="13">
        <f t="shared" ca="1" si="75"/>
        <v>0</v>
      </c>
      <c r="BH56" s="13">
        <f t="shared" ca="1" si="76"/>
        <v>0</v>
      </c>
      <c r="BI56" s="13">
        <f t="shared" ca="1" si="77"/>
        <v>0</v>
      </c>
      <c r="BJ56" s="13">
        <f t="shared" ca="1" si="78"/>
        <v>0</v>
      </c>
      <c r="BK56" s="13">
        <f t="shared" ca="1" si="79"/>
        <v>0</v>
      </c>
      <c r="BL56" s="13">
        <f t="shared" ca="1" si="80"/>
        <v>0</v>
      </c>
      <c r="BM56" s="13">
        <f t="shared" ca="1" si="81"/>
        <v>0</v>
      </c>
      <c r="BN56" s="13">
        <f t="shared" ca="1" si="82"/>
        <v>0</v>
      </c>
      <c r="BO56" s="13">
        <f t="shared" ca="1" si="83"/>
        <v>1400</v>
      </c>
      <c r="BP56" s="13">
        <f t="shared" ca="1" si="84"/>
        <v>40.75717139210434</v>
      </c>
      <c r="BQ56" s="13">
        <f t="shared" ca="1" si="85"/>
        <v>8922.091528962359</v>
      </c>
    </row>
    <row r="57" spans="1:69" x14ac:dyDescent="0.25">
      <c r="A57" s="1">
        <v>56</v>
      </c>
      <c r="B57" s="13">
        <f ca="1">IF(A57=1,IF(OR('My Loans'!$N$14="",'My Loans'!$N$14=0),0,INDIRECT("'My Loans'!$D"&amp;'My Loans'!$N$14)),AE56)</f>
        <v>0</v>
      </c>
      <c r="C57" s="13">
        <f ca="1">IF(OR('My Loans'!$N$14="",'My Loans'!$N$14=0),0,B57*INDIRECT("'My Loans'!$E"&amp;'My Loans'!$N$14)/12)</f>
        <v>0</v>
      </c>
      <c r="D57" s="13">
        <f ca="1">IF(OR('My Loans'!$N$14="",'My Loans'!$N$14=0),0,IF(B57&lt;0.005,0,MIN(INDIRECT("'My Loans'!$F"&amp;'My Loans'!$N$14),B57+C57)))</f>
        <v>0</v>
      </c>
      <c r="E57" s="13">
        <f ca="1">IF(A57=1,IF(OR('My Loans'!$N$15="",'My Loans'!$N$15=0),0,INDIRECT("'My Loans'!$D"&amp;'My Loans'!$N$15)),AJ56)</f>
        <v>0</v>
      </c>
      <c r="F57" s="13">
        <f ca="1">IF(OR('My Loans'!$N$15="",'My Loans'!$N$15=0),0,E57*INDIRECT("'My Loans'!$E"&amp;'My Loans'!$N$15)/12)</f>
        <v>0</v>
      </c>
      <c r="G57" s="13">
        <f ca="1">IF(OR('My Loans'!$N$15="",'My Loans'!$N$15=0),0,IF(E57&lt;0.005,0,MIN(INDIRECT("'My Loans'!$F"&amp;'My Loans'!$N$15),E57+F57)))</f>
        <v>0</v>
      </c>
      <c r="H57" s="13">
        <f ca="1">IF(A57=1,IF(OR('My Loans'!$N$16="",'My Loans'!$N$16=0),0,INDIRECT("'My Loans'!$D"&amp;'My Loans'!$N$16)),AO56)</f>
        <v>0</v>
      </c>
      <c r="I57" s="13">
        <f ca="1">IF(OR('My Loans'!$N$16="",'My Loans'!$N$16=0),0,H57*INDIRECT("'My Loans'!$E"&amp;'My Loans'!$N$16)/12)</f>
        <v>0</v>
      </c>
      <c r="J57" s="13">
        <f ca="1">IF(OR('My Loans'!$N$16="",'My Loans'!$N$16=0),0,IF(H57&lt;0.005,0,MIN(INDIRECT("'My Loans'!$F"&amp;'My Loans'!$N$16),H57+I57)))</f>
        <v>0</v>
      </c>
      <c r="K57" s="13">
        <f ca="1">IF(A57=1,IF(OR('My Loans'!$N$17="",'My Loans'!$N$17=0),0,INDIRECT("'My Loans'!$D"&amp;'My Loans'!$N$17)),AT56)</f>
        <v>4638.5386242349359</v>
      </c>
      <c r="L57" s="13">
        <f ca="1">IF(OR('My Loans'!$N$17="",'My Loans'!$N$17=0),0,K57*INDIRECT("'My Loans'!$E"&amp;'My Loans'!$N$17)/12)</f>
        <v>18.940699382292657</v>
      </c>
      <c r="M57" s="13">
        <f ca="1">IF(OR('My Loans'!$N$17="",'My Loans'!$N$17=0),0,IF(K57&lt;0.005,0,MIN(INDIRECT("'My Loans'!$F"&amp;'My Loans'!$N$17),K57+L57)))</f>
        <v>112</v>
      </c>
      <c r="N57" s="13">
        <f ca="1">IF(A57=1,IF(OR('My Loans'!$N$18="",'My Loans'!$N$18=0),0,INDIRECT("'My Loans'!$D"&amp;'My Loans'!$N$18)),AY56)</f>
        <v>4283.552904727424</v>
      </c>
      <c r="O57" s="13">
        <f ca="1">IF(OR('My Loans'!$N$18="",'My Loans'!$N$18=0),0,N57*INDIRECT("'My Loans'!$E"&amp;'My Loans'!$N$18)/12)</f>
        <v>16.063323392727838</v>
      </c>
      <c r="P57" s="13">
        <f ca="1">IF(OR('My Loans'!$N$18="",'My Loans'!$N$18=0),0,IF(N57&lt;0.005,0,MIN(INDIRECT("'My Loans'!$F"&amp;'My Loans'!$N$18),N57+O57)))</f>
        <v>95</v>
      </c>
      <c r="Q57" s="13">
        <f ca="1">IF(A57=1,IF(OR('My Loans'!$N$19="",'My Loans'!$N$19=0),0,INDIRECT("'My Loans'!$D"&amp;'My Loans'!$N$19)),BD56)</f>
        <v>0</v>
      </c>
      <c r="R57" s="13">
        <f ca="1">IF(OR('My Loans'!$N$19="",'My Loans'!$N$19=0),0,Q57*INDIRECT("'My Loans'!$E"&amp;'My Loans'!$N$19)/12)</f>
        <v>0</v>
      </c>
      <c r="S57" s="13">
        <f ca="1">IF(OR('My Loans'!$N$19="",'My Loans'!$N$19=0),0,IF(Q57&lt;0.005,0,MIN(INDIRECT("'My Loans'!$F"&amp;'My Loans'!$N$19),Q57+R57)))</f>
        <v>0</v>
      </c>
      <c r="T57" s="13">
        <f ca="1">IF(A57=1,IF(OR('My Loans'!$N$20="",'My Loans'!$N$20=0),0,INDIRECT("'My Loans'!$D"&amp;'My Loans'!$N$20)),BI56)</f>
        <v>0</v>
      </c>
      <c r="U57" s="13">
        <f ca="1">IF(OR('My Loans'!$N$20="",'My Loans'!$N$20=0),0,T57*INDIRECT("'My Loans'!$E"&amp;'My Loans'!$N$20)/12)</f>
        <v>0</v>
      </c>
      <c r="V57" s="13">
        <f ca="1">IF(OR('My Loans'!$N$20="",'My Loans'!$N$20=0),0,IF(T57&lt;0.005,0,MIN(INDIRECT("'My Loans'!$F"&amp;'My Loans'!$N$20),T57+U57)))</f>
        <v>0</v>
      </c>
      <c r="W57" s="13">
        <f ca="1">IF(A57=1,IF(OR('My Loans'!$N$21="",'My Loans'!$N$21=0),0,INDIRECT("'My Loans'!$D"&amp;'My Loans'!$N$21)),BN56)</f>
        <v>0</v>
      </c>
      <c r="X57" s="13">
        <f ca="1">IF(OR('My Loans'!$N$21="",'My Loans'!$N$21=0),0,W57*INDIRECT("'My Loans'!$E"&amp;'My Loans'!$N$21)/12)</f>
        <v>0</v>
      </c>
      <c r="Y57" s="13">
        <f ca="1">IF(OR('My Loans'!$N$21="",'My Loans'!$N$21=0),0,IF(W57&lt;0.005,0,MIN(INDIRECT("'My Loans'!$F"&amp;'My Loans'!$N$21),W57+X57)))</f>
        <v>0</v>
      </c>
      <c r="Z57" s="13">
        <f ca="1">'My Loans'!$B$13-(D57+G57+J57+M57+P57+S57+V57+Y57)</f>
        <v>1193</v>
      </c>
      <c r="AA57" s="13">
        <f t="shared" ca="1" si="43"/>
        <v>1193</v>
      </c>
      <c r="AB57" s="13">
        <f t="shared" ca="1" si="44"/>
        <v>0</v>
      </c>
      <c r="AC57" s="13">
        <f t="shared" ca="1" si="45"/>
        <v>0</v>
      </c>
      <c r="AD57" s="13">
        <f t="shared" ca="1" si="46"/>
        <v>0</v>
      </c>
      <c r="AE57" s="13">
        <f t="shared" ca="1" si="47"/>
        <v>0</v>
      </c>
      <c r="AF57" s="13">
        <f t="shared" ca="1" si="48"/>
        <v>1193</v>
      </c>
      <c r="AG57" s="13">
        <f t="shared" ca="1" si="49"/>
        <v>0</v>
      </c>
      <c r="AH57" s="13">
        <f t="shared" ca="1" si="50"/>
        <v>0</v>
      </c>
      <c r="AI57" s="13">
        <f t="shared" ca="1" si="51"/>
        <v>0</v>
      </c>
      <c r="AJ57" s="13">
        <f t="shared" ca="1" si="52"/>
        <v>0</v>
      </c>
      <c r="AK57" s="13">
        <f t="shared" ca="1" si="53"/>
        <v>1193</v>
      </c>
      <c r="AL57" s="13">
        <f t="shared" ca="1" si="54"/>
        <v>0</v>
      </c>
      <c r="AM57" s="13">
        <f t="shared" ca="1" si="55"/>
        <v>0</v>
      </c>
      <c r="AN57" s="13">
        <f t="shared" ca="1" si="56"/>
        <v>0</v>
      </c>
      <c r="AO57" s="13">
        <f t="shared" ca="1" si="57"/>
        <v>0</v>
      </c>
      <c r="AP57" s="13">
        <f t="shared" ca="1" si="58"/>
        <v>1193</v>
      </c>
      <c r="AQ57" s="13">
        <f t="shared" ca="1" si="59"/>
        <v>4545.4793236172281</v>
      </c>
      <c r="AR57" s="13">
        <f t="shared" ca="1" si="60"/>
        <v>1193</v>
      </c>
      <c r="AS57" s="13">
        <f t="shared" ca="1" si="61"/>
        <v>1305</v>
      </c>
      <c r="AT57" s="13">
        <f t="shared" ca="1" si="62"/>
        <v>3352.4793236172281</v>
      </c>
      <c r="AU57" s="13">
        <f t="shared" ca="1" si="63"/>
        <v>0</v>
      </c>
      <c r="AV57" s="13">
        <f t="shared" ca="1" si="64"/>
        <v>4204.6162281201514</v>
      </c>
      <c r="AW57" s="13">
        <f t="shared" ca="1" si="65"/>
        <v>0</v>
      </c>
      <c r="AX57" s="13">
        <f t="shared" ca="1" si="66"/>
        <v>95</v>
      </c>
      <c r="AY57" s="13">
        <f t="shared" ca="1" si="67"/>
        <v>4204.6162281201514</v>
      </c>
      <c r="AZ57" s="13">
        <f t="shared" ca="1" si="68"/>
        <v>0</v>
      </c>
      <c r="BA57" s="13">
        <f t="shared" ca="1" si="69"/>
        <v>0</v>
      </c>
      <c r="BB57" s="13">
        <f t="shared" ca="1" si="70"/>
        <v>0</v>
      </c>
      <c r="BC57" s="13">
        <f t="shared" ca="1" si="71"/>
        <v>0</v>
      </c>
      <c r="BD57" s="13">
        <f t="shared" ca="1" si="72"/>
        <v>0</v>
      </c>
      <c r="BE57" s="13">
        <f t="shared" ca="1" si="73"/>
        <v>0</v>
      </c>
      <c r="BF57" s="13">
        <f t="shared" ca="1" si="74"/>
        <v>0</v>
      </c>
      <c r="BG57" s="13">
        <f t="shared" ca="1" si="75"/>
        <v>0</v>
      </c>
      <c r="BH57" s="13">
        <f t="shared" ca="1" si="76"/>
        <v>0</v>
      </c>
      <c r="BI57" s="13">
        <f t="shared" ca="1" si="77"/>
        <v>0</v>
      </c>
      <c r="BJ57" s="13">
        <f t="shared" ca="1" si="78"/>
        <v>0</v>
      </c>
      <c r="BK57" s="13">
        <f t="shared" ca="1" si="79"/>
        <v>0</v>
      </c>
      <c r="BL57" s="13">
        <f t="shared" ca="1" si="80"/>
        <v>0</v>
      </c>
      <c r="BM57" s="13">
        <f t="shared" ca="1" si="81"/>
        <v>0</v>
      </c>
      <c r="BN57" s="13">
        <f t="shared" ca="1" si="82"/>
        <v>0</v>
      </c>
      <c r="BO57" s="13">
        <f t="shared" ca="1" si="83"/>
        <v>1400</v>
      </c>
      <c r="BP57" s="13">
        <f t="shared" ca="1" si="84"/>
        <v>35.004022775020495</v>
      </c>
      <c r="BQ57" s="13">
        <f t="shared" ca="1" si="85"/>
        <v>7557.0955517373795</v>
      </c>
    </row>
    <row r="58" spans="1:69" x14ac:dyDescent="0.25">
      <c r="A58" s="1">
        <v>57</v>
      </c>
      <c r="B58" s="13">
        <f ca="1">IF(A58=1,IF(OR('My Loans'!$N$14="",'My Loans'!$N$14=0),0,INDIRECT("'My Loans'!$D"&amp;'My Loans'!$N$14)),AE57)</f>
        <v>0</v>
      </c>
      <c r="C58" s="13">
        <f ca="1">IF(OR('My Loans'!$N$14="",'My Loans'!$N$14=0),0,B58*INDIRECT("'My Loans'!$E"&amp;'My Loans'!$N$14)/12)</f>
        <v>0</v>
      </c>
      <c r="D58" s="13">
        <f ca="1">IF(OR('My Loans'!$N$14="",'My Loans'!$N$14=0),0,IF(B58&lt;0.005,0,MIN(INDIRECT("'My Loans'!$F"&amp;'My Loans'!$N$14),B58+C58)))</f>
        <v>0</v>
      </c>
      <c r="E58" s="13">
        <f ca="1">IF(A58=1,IF(OR('My Loans'!$N$15="",'My Loans'!$N$15=0),0,INDIRECT("'My Loans'!$D"&amp;'My Loans'!$N$15)),AJ57)</f>
        <v>0</v>
      </c>
      <c r="F58" s="13">
        <f ca="1">IF(OR('My Loans'!$N$15="",'My Loans'!$N$15=0),0,E58*INDIRECT("'My Loans'!$E"&amp;'My Loans'!$N$15)/12)</f>
        <v>0</v>
      </c>
      <c r="G58" s="13">
        <f ca="1">IF(OR('My Loans'!$N$15="",'My Loans'!$N$15=0),0,IF(E58&lt;0.005,0,MIN(INDIRECT("'My Loans'!$F"&amp;'My Loans'!$N$15),E58+F58)))</f>
        <v>0</v>
      </c>
      <c r="H58" s="13">
        <f ca="1">IF(A58=1,IF(OR('My Loans'!$N$16="",'My Loans'!$N$16=0),0,INDIRECT("'My Loans'!$D"&amp;'My Loans'!$N$16)),AO57)</f>
        <v>0</v>
      </c>
      <c r="I58" s="13">
        <f ca="1">IF(OR('My Loans'!$N$16="",'My Loans'!$N$16=0),0,H58*INDIRECT("'My Loans'!$E"&amp;'My Loans'!$N$16)/12)</f>
        <v>0</v>
      </c>
      <c r="J58" s="13">
        <f ca="1">IF(OR('My Loans'!$N$16="",'My Loans'!$N$16=0),0,IF(H58&lt;0.005,0,MIN(INDIRECT("'My Loans'!$F"&amp;'My Loans'!$N$16),H58+I58)))</f>
        <v>0</v>
      </c>
      <c r="K58" s="13">
        <f ca="1">IF(A58=1,IF(OR('My Loans'!$N$17="",'My Loans'!$N$17=0),0,INDIRECT("'My Loans'!$D"&amp;'My Loans'!$N$17)),AT57)</f>
        <v>3352.4793236172281</v>
      </c>
      <c r="L58" s="13">
        <f ca="1">IF(OR('My Loans'!$N$17="",'My Loans'!$N$17=0),0,K58*INDIRECT("'My Loans'!$E"&amp;'My Loans'!$N$17)/12)</f>
        <v>13.689290571437015</v>
      </c>
      <c r="M58" s="13">
        <f ca="1">IF(OR('My Loans'!$N$17="",'My Loans'!$N$17=0),0,IF(K58&lt;0.005,0,MIN(INDIRECT("'My Loans'!$F"&amp;'My Loans'!$N$17),K58+L58)))</f>
        <v>112</v>
      </c>
      <c r="N58" s="13">
        <f ca="1">IF(A58=1,IF(OR('My Loans'!$N$18="",'My Loans'!$N$18=0),0,INDIRECT("'My Loans'!$D"&amp;'My Loans'!$N$18)),AY57)</f>
        <v>4204.6162281201514</v>
      </c>
      <c r="O58" s="13">
        <f ca="1">IF(OR('My Loans'!$N$18="",'My Loans'!$N$18=0),0,N58*INDIRECT("'My Loans'!$E"&amp;'My Loans'!$N$18)/12)</f>
        <v>15.767310855450567</v>
      </c>
      <c r="P58" s="13">
        <f ca="1">IF(OR('My Loans'!$N$18="",'My Loans'!$N$18=0),0,IF(N58&lt;0.005,0,MIN(INDIRECT("'My Loans'!$F"&amp;'My Loans'!$N$18),N58+O58)))</f>
        <v>95</v>
      </c>
      <c r="Q58" s="13">
        <f ca="1">IF(A58=1,IF(OR('My Loans'!$N$19="",'My Loans'!$N$19=0),0,INDIRECT("'My Loans'!$D"&amp;'My Loans'!$N$19)),BD57)</f>
        <v>0</v>
      </c>
      <c r="R58" s="13">
        <f ca="1">IF(OR('My Loans'!$N$19="",'My Loans'!$N$19=0),0,Q58*INDIRECT("'My Loans'!$E"&amp;'My Loans'!$N$19)/12)</f>
        <v>0</v>
      </c>
      <c r="S58" s="13">
        <f ca="1">IF(OR('My Loans'!$N$19="",'My Loans'!$N$19=0),0,IF(Q58&lt;0.005,0,MIN(INDIRECT("'My Loans'!$F"&amp;'My Loans'!$N$19),Q58+R58)))</f>
        <v>0</v>
      </c>
      <c r="T58" s="13">
        <f ca="1">IF(A58=1,IF(OR('My Loans'!$N$20="",'My Loans'!$N$20=0),0,INDIRECT("'My Loans'!$D"&amp;'My Loans'!$N$20)),BI57)</f>
        <v>0</v>
      </c>
      <c r="U58" s="13">
        <f ca="1">IF(OR('My Loans'!$N$20="",'My Loans'!$N$20=0),0,T58*INDIRECT("'My Loans'!$E"&amp;'My Loans'!$N$20)/12)</f>
        <v>0</v>
      </c>
      <c r="V58" s="13">
        <f ca="1">IF(OR('My Loans'!$N$20="",'My Loans'!$N$20=0),0,IF(T58&lt;0.005,0,MIN(INDIRECT("'My Loans'!$F"&amp;'My Loans'!$N$20),T58+U58)))</f>
        <v>0</v>
      </c>
      <c r="W58" s="13">
        <f ca="1">IF(A58=1,IF(OR('My Loans'!$N$21="",'My Loans'!$N$21=0),0,INDIRECT("'My Loans'!$D"&amp;'My Loans'!$N$21)),BN57)</f>
        <v>0</v>
      </c>
      <c r="X58" s="13">
        <f ca="1">IF(OR('My Loans'!$N$21="",'My Loans'!$N$21=0),0,W58*INDIRECT("'My Loans'!$E"&amp;'My Loans'!$N$21)/12)</f>
        <v>0</v>
      </c>
      <c r="Y58" s="13">
        <f ca="1">IF(OR('My Loans'!$N$21="",'My Loans'!$N$21=0),0,IF(W58&lt;0.005,0,MIN(INDIRECT("'My Loans'!$F"&amp;'My Loans'!$N$21),W58+X58)))</f>
        <v>0</v>
      </c>
      <c r="Z58" s="13">
        <f ca="1">'My Loans'!$B$13-(D58+G58+J58+M58+P58+S58+V58+Y58)</f>
        <v>1193</v>
      </c>
      <c r="AA58" s="13">
        <f t="shared" ca="1" si="43"/>
        <v>1193</v>
      </c>
      <c r="AB58" s="13">
        <f t="shared" ca="1" si="44"/>
        <v>0</v>
      </c>
      <c r="AC58" s="13">
        <f t="shared" ca="1" si="45"/>
        <v>0</v>
      </c>
      <c r="AD58" s="13">
        <f t="shared" ca="1" si="46"/>
        <v>0</v>
      </c>
      <c r="AE58" s="13">
        <f t="shared" ca="1" si="47"/>
        <v>0</v>
      </c>
      <c r="AF58" s="13">
        <f t="shared" ca="1" si="48"/>
        <v>1193</v>
      </c>
      <c r="AG58" s="13">
        <f t="shared" ca="1" si="49"/>
        <v>0</v>
      </c>
      <c r="AH58" s="13">
        <f t="shared" ca="1" si="50"/>
        <v>0</v>
      </c>
      <c r="AI58" s="13">
        <f t="shared" ca="1" si="51"/>
        <v>0</v>
      </c>
      <c r="AJ58" s="13">
        <f t="shared" ca="1" si="52"/>
        <v>0</v>
      </c>
      <c r="AK58" s="13">
        <f t="shared" ca="1" si="53"/>
        <v>1193</v>
      </c>
      <c r="AL58" s="13">
        <f t="shared" ca="1" si="54"/>
        <v>0</v>
      </c>
      <c r="AM58" s="13">
        <f t="shared" ca="1" si="55"/>
        <v>0</v>
      </c>
      <c r="AN58" s="13">
        <f t="shared" ca="1" si="56"/>
        <v>0</v>
      </c>
      <c r="AO58" s="13">
        <f t="shared" ca="1" si="57"/>
        <v>0</v>
      </c>
      <c r="AP58" s="13">
        <f t="shared" ca="1" si="58"/>
        <v>1193</v>
      </c>
      <c r="AQ58" s="13">
        <f t="shared" ca="1" si="59"/>
        <v>3254.1686141886653</v>
      </c>
      <c r="AR58" s="13">
        <f t="shared" ca="1" si="60"/>
        <v>1193</v>
      </c>
      <c r="AS58" s="13">
        <f t="shared" ca="1" si="61"/>
        <v>1305</v>
      </c>
      <c r="AT58" s="13">
        <f t="shared" ca="1" si="62"/>
        <v>2061.1686141886653</v>
      </c>
      <c r="AU58" s="13">
        <f t="shared" ca="1" si="63"/>
        <v>0</v>
      </c>
      <c r="AV58" s="13">
        <f t="shared" ca="1" si="64"/>
        <v>4125.3835389756023</v>
      </c>
      <c r="AW58" s="13">
        <f t="shared" ca="1" si="65"/>
        <v>0</v>
      </c>
      <c r="AX58" s="13">
        <f t="shared" ca="1" si="66"/>
        <v>95</v>
      </c>
      <c r="AY58" s="13">
        <f t="shared" ca="1" si="67"/>
        <v>4125.3835389756023</v>
      </c>
      <c r="AZ58" s="13">
        <f t="shared" ca="1" si="68"/>
        <v>0</v>
      </c>
      <c r="BA58" s="13">
        <f t="shared" ca="1" si="69"/>
        <v>0</v>
      </c>
      <c r="BB58" s="13">
        <f t="shared" ca="1" si="70"/>
        <v>0</v>
      </c>
      <c r="BC58" s="13">
        <f t="shared" ca="1" si="71"/>
        <v>0</v>
      </c>
      <c r="BD58" s="13">
        <f t="shared" ca="1" si="72"/>
        <v>0</v>
      </c>
      <c r="BE58" s="13">
        <f t="shared" ca="1" si="73"/>
        <v>0</v>
      </c>
      <c r="BF58" s="13">
        <f t="shared" ca="1" si="74"/>
        <v>0</v>
      </c>
      <c r="BG58" s="13">
        <f t="shared" ca="1" si="75"/>
        <v>0</v>
      </c>
      <c r="BH58" s="13">
        <f t="shared" ca="1" si="76"/>
        <v>0</v>
      </c>
      <c r="BI58" s="13">
        <f t="shared" ca="1" si="77"/>
        <v>0</v>
      </c>
      <c r="BJ58" s="13">
        <f t="shared" ca="1" si="78"/>
        <v>0</v>
      </c>
      <c r="BK58" s="13">
        <f t="shared" ca="1" si="79"/>
        <v>0</v>
      </c>
      <c r="BL58" s="13">
        <f t="shared" ca="1" si="80"/>
        <v>0</v>
      </c>
      <c r="BM58" s="13">
        <f t="shared" ca="1" si="81"/>
        <v>0</v>
      </c>
      <c r="BN58" s="13">
        <f t="shared" ca="1" si="82"/>
        <v>0</v>
      </c>
      <c r="BO58" s="13">
        <f t="shared" ca="1" si="83"/>
        <v>1400</v>
      </c>
      <c r="BP58" s="13">
        <f t="shared" ca="1" si="84"/>
        <v>29.45660142688758</v>
      </c>
      <c r="BQ58" s="13">
        <f t="shared" ca="1" si="85"/>
        <v>6186.552153164268</v>
      </c>
    </row>
    <row r="59" spans="1:69" x14ac:dyDescent="0.25">
      <c r="A59" s="1">
        <v>58</v>
      </c>
      <c r="B59" s="13">
        <f ca="1">IF(A59=1,IF(OR('My Loans'!$N$14="",'My Loans'!$N$14=0),0,INDIRECT("'My Loans'!$D"&amp;'My Loans'!$N$14)),AE58)</f>
        <v>0</v>
      </c>
      <c r="C59" s="13">
        <f ca="1">IF(OR('My Loans'!$N$14="",'My Loans'!$N$14=0),0,B59*INDIRECT("'My Loans'!$E"&amp;'My Loans'!$N$14)/12)</f>
        <v>0</v>
      </c>
      <c r="D59" s="13">
        <f ca="1">IF(OR('My Loans'!$N$14="",'My Loans'!$N$14=0),0,IF(B59&lt;0.005,0,MIN(INDIRECT("'My Loans'!$F"&amp;'My Loans'!$N$14),B59+C59)))</f>
        <v>0</v>
      </c>
      <c r="E59" s="13">
        <f ca="1">IF(A59=1,IF(OR('My Loans'!$N$15="",'My Loans'!$N$15=0),0,INDIRECT("'My Loans'!$D"&amp;'My Loans'!$N$15)),AJ58)</f>
        <v>0</v>
      </c>
      <c r="F59" s="13">
        <f ca="1">IF(OR('My Loans'!$N$15="",'My Loans'!$N$15=0),0,E59*INDIRECT("'My Loans'!$E"&amp;'My Loans'!$N$15)/12)</f>
        <v>0</v>
      </c>
      <c r="G59" s="13">
        <f ca="1">IF(OR('My Loans'!$N$15="",'My Loans'!$N$15=0),0,IF(E59&lt;0.005,0,MIN(INDIRECT("'My Loans'!$F"&amp;'My Loans'!$N$15),E59+F59)))</f>
        <v>0</v>
      </c>
      <c r="H59" s="13">
        <f ca="1">IF(A59=1,IF(OR('My Loans'!$N$16="",'My Loans'!$N$16=0),0,INDIRECT("'My Loans'!$D"&amp;'My Loans'!$N$16)),AO58)</f>
        <v>0</v>
      </c>
      <c r="I59" s="13">
        <f ca="1">IF(OR('My Loans'!$N$16="",'My Loans'!$N$16=0),0,H59*INDIRECT("'My Loans'!$E"&amp;'My Loans'!$N$16)/12)</f>
        <v>0</v>
      </c>
      <c r="J59" s="13">
        <f ca="1">IF(OR('My Loans'!$N$16="",'My Loans'!$N$16=0),0,IF(H59&lt;0.005,0,MIN(INDIRECT("'My Loans'!$F"&amp;'My Loans'!$N$16),H59+I59)))</f>
        <v>0</v>
      </c>
      <c r="K59" s="13">
        <f ca="1">IF(A59=1,IF(OR('My Loans'!$N$17="",'My Loans'!$N$17=0),0,INDIRECT("'My Loans'!$D"&amp;'My Loans'!$N$17)),AT58)</f>
        <v>2061.1686141886653</v>
      </c>
      <c r="L59" s="13">
        <f ca="1">IF(OR('My Loans'!$N$17="",'My Loans'!$N$17=0),0,K59*INDIRECT("'My Loans'!$E"&amp;'My Loans'!$N$17)/12)</f>
        <v>8.4164385079370501</v>
      </c>
      <c r="M59" s="13">
        <f ca="1">IF(OR('My Loans'!$N$17="",'My Loans'!$N$17=0),0,IF(K59&lt;0.005,0,MIN(INDIRECT("'My Loans'!$F"&amp;'My Loans'!$N$17),K59+L59)))</f>
        <v>112</v>
      </c>
      <c r="N59" s="13">
        <f ca="1">IF(A59=1,IF(OR('My Loans'!$N$18="",'My Loans'!$N$18=0),0,INDIRECT("'My Loans'!$D"&amp;'My Loans'!$N$18)),AY58)</f>
        <v>4125.3835389756023</v>
      </c>
      <c r="O59" s="13">
        <f ca="1">IF(OR('My Loans'!$N$18="",'My Loans'!$N$18=0),0,N59*INDIRECT("'My Loans'!$E"&amp;'My Loans'!$N$18)/12)</f>
        <v>15.470188271158507</v>
      </c>
      <c r="P59" s="13">
        <f ca="1">IF(OR('My Loans'!$N$18="",'My Loans'!$N$18=0),0,IF(N59&lt;0.005,0,MIN(INDIRECT("'My Loans'!$F"&amp;'My Loans'!$N$18),N59+O59)))</f>
        <v>95</v>
      </c>
      <c r="Q59" s="13">
        <f ca="1">IF(A59=1,IF(OR('My Loans'!$N$19="",'My Loans'!$N$19=0),0,INDIRECT("'My Loans'!$D"&amp;'My Loans'!$N$19)),BD58)</f>
        <v>0</v>
      </c>
      <c r="R59" s="13">
        <f ca="1">IF(OR('My Loans'!$N$19="",'My Loans'!$N$19=0),0,Q59*INDIRECT("'My Loans'!$E"&amp;'My Loans'!$N$19)/12)</f>
        <v>0</v>
      </c>
      <c r="S59" s="13">
        <f ca="1">IF(OR('My Loans'!$N$19="",'My Loans'!$N$19=0),0,IF(Q59&lt;0.005,0,MIN(INDIRECT("'My Loans'!$F"&amp;'My Loans'!$N$19),Q59+R59)))</f>
        <v>0</v>
      </c>
      <c r="T59" s="13">
        <f ca="1">IF(A59=1,IF(OR('My Loans'!$N$20="",'My Loans'!$N$20=0),0,INDIRECT("'My Loans'!$D"&amp;'My Loans'!$N$20)),BI58)</f>
        <v>0</v>
      </c>
      <c r="U59" s="13">
        <f ca="1">IF(OR('My Loans'!$N$20="",'My Loans'!$N$20=0),0,T59*INDIRECT("'My Loans'!$E"&amp;'My Loans'!$N$20)/12)</f>
        <v>0</v>
      </c>
      <c r="V59" s="13">
        <f ca="1">IF(OR('My Loans'!$N$20="",'My Loans'!$N$20=0),0,IF(T59&lt;0.005,0,MIN(INDIRECT("'My Loans'!$F"&amp;'My Loans'!$N$20),T59+U59)))</f>
        <v>0</v>
      </c>
      <c r="W59" s="13">
        <f ca="1">IF(A59=1,IF(OR('My Loans'!$N$21="",'My Loans'!$N$21=0),0,INDIRECT("'My Loans'!$D"&amp;'My Loans'!$N$21)),BN58)</f>
        <v>0</v>
      </c>
      <c r="X59" s="13">
        <f ca="1">IF(OR('My Loans'!$N$21="",'My Loans'!$N$21=0),0,W59*INDIRECT("'My Loans'!$E"&amp;'My Loans'!$N$21)/12)</f>
        <v>0</v>
      </c>
      <c r="Y59" s="13">
        <f ca="1">IF(OR('My Loans'!$N$21="",'My Loans'!$N$21=0),0,IF(W59&lt;0.005,0,MIN(INDIRECT("'My Loans'!$F"&amp;'My Loans'!$N$21),W59+X59)))</f>
        <v>0</v>
      </c>
      <c r="Z59" s="13">
        <f ca="1">'My Loans'!$B$13-(D59+G59+J59+M59+P59+S59+V59+Y59)</f>
        <v>1193</v>
      </c>
      <c r="AA59" s="13">
        <f t="shared" ca="1" si="43"/>
        <v>1193</v>
      </c>
      <c r="AB59" s="13">
        <f t="shared" ca="1" si="44"/>
        <v>0</v>
      </c>
      <c r="AC59" s="13">
        <f t="shared" ca="1" si="45"/>
        <v>0</v>
      </c>
      <c r="AD59" s="13">
        <f t="shared" ca="1" si="46"/>
        <v>0</v>
      </c>
      <c r="AE59" s="13">
        <f t="shared" ca="1" si="47"/>
        <v>0</v>
      </c>
      <c r="AF59" s="13">
        <f t="shared" ca="1" si="48"/>
        <v>1193</v>
      </c>
      <c r="AG59" s="13">
        <f t="shared" ca="1" si="49"/>
        <v>0</v>
      </c>
      <c r="AH59" s="13">
        <f t="shared" ca="1" si="50"/>
        <v>0</v>
      </c>
      <c r="AI59" s="13">
        <f t="shared" ca="1" si="51"/>
        <v>0</v>
      </c>
      <c r="AJ59" s="13">
        <f t="shared" ca="1" si="52"/>
        <v>0</v>
      </c>
      <c r="AK59" s="13">
        <f t="shared" ca="1" si="53"/>
        <v>1193</v>
      </c>
      <c r="AL59" s="13">
        <f t="shared" ca="1" si="54"/>
        <v>0</v>
      </c>
      <c r="AM59" s="13">
        <f t="shared" ca="1" si="55"/>
        <v>0</v>
      </c>
      <c r="AN59" s="13">
        <f t="shared" ca="1" si="56"/>
        <v>0</v>
      </c>
      <c r="AO59" s="13">
        <f t="shared" ca="1" si="57"/>
        <v>0</v>
      </c>
      <c r="AP59" s="13">
        <f t="shared" ca="1" si="58"/>
        <v>1193</v>
      </c>
      <c r="AQ59" s="13">
        <f t="shared" ca="1" si="59"/>
        <v>1957.5850526966024</v>
      </c>
      <c r="AR59" s="13">
        <f t="shared" ca="1" si="60"/>
        <v>1193</v>
      </c>
      <c r="AS59" s="13">
        <f t="shared" ca="1" si="61"/>
        <v>1305</v>
      </c>
      <c r="AT59" s="13">
        <f t="shared" ca="1" si="62"/>
        <v>764.58505269660236</v>
      </c>
      <c r="AU59" s="13">
        <f t="shared" ca="1" si="63"/>
        <v>0</v>
      </c>
      <c r="AV59" s="13">
        <f t="shared" ca="1" si="64"/>
        <v>4045.8537272467611</v>
      </c>
      <c r="AW59" s="13">
        <f t="shared" ca="1" si="65"/>
        <v>0</v>
      </c>
      <c r="AX59" s="13">
        <f t="shared" ca="1" si="66"/>
        <v>95</v>
      </c>
      <c r="AY59" s="13">
        <f t="shared" ca="1" si="67"/>
        <v>4045.8537272467611</v>
      </c>
      <c r="AZ59" s="13">
        <f t="shared" ca="1" si="68"/>
        <v>0</v>
      </c>
      <c r="BA59" s="13">
        <f t="shared" ca="1" si="69"/>
        <v>0</v>
      </c>
      <c r="BB59" s="13">
        <f t="shared" ca="1" si="70"/>
        <v>0</v>
      </c>
      <c r="BC59" s="13">
        <f t="shared" ca="1" si="71"/>
        <v>0</v>
      </c>
      <c r="BD59" s="13">
        <f t="shared" ca="1" si="72"/>
        <v>0</v>
      </c>
      <c r="BE59" s="13">
        <f t="shared" ca="1" si="73"/>
        <v>0</v>
      </c>
      <c r="BF59" s="13">
        <f t="shared" ca="1" si="74"/>
        <v>0</v>
      </c>
      <c r="BG59" s="13">
        <f t="shared" ca="1" si="75"/>
        <v>0</v>
      </c>
      <c r="BH59" s="13">
        <f t="shared" ca="1" si="76"/>
        <v>0</v>
      </c>
      <c r="BI59" s="13">
        <f t="shared" ca="1" si="77"/>
        <v>0</v>
      </c>
      <c r="BJ59" s="13">
        <f t="shared" ca="1" si="78"/>
        <v>0</v>
      </c>
      <c r="BK59" s="13">
        <f t="shared" ca="1" si="79"/>
        <v>0</v>
      </c>
      <c r="BL59" s="13">
        <f t="shared" ca="1" si="80"/>
        <v>0</v>
      </c>
      <c r="BM59" s="13">
        <f t="shared" ca="1" si="81"/>
        <v>0</v>
      </c>
      <c r="BN59" s="13">
        <f t="shared" ca="1" si="82"/>
        <v>0</v>
      </c>
      <c r="BO59" s="13">
        <f t="shared" ca="1" si="83"/>
        <v>1400</v>
      </c>
      <c r="BP59" s="13">
        <f t="shared" ca="1" si="84"/>
        <v>23.886626779095558</v>
      </c>
      <c r="BQ59" s="13">
        <f t="shared" ca="1" si="85"/>
        <v>4810.4387799433634</v>
      </c>
    </row>
    <row r="60" spans="1:69" x14ac:dyDescent="0.25">
      <c r="A60" s="1">
        <v>59</v>
      </c>
      <c r="B60" s="13">
        <f ca="1">IF(A60=1,IF(OR('My Loans'!$N$14="",'My Loans'!$N$14=0),0,INDIRECT("'My Loans'!$D"&amp;'My Loans'!$N$14)),AE59)</f>
        <v>0</v>
      </c>
      <c r="C60" s="13">
        <f ca="1">IF(OR('My Loans'!$N$14="",'My Loans'!$N$14=0),0,B60*INDIRECT("'My Loans'!$E"&amp;'My Loans'!$N$14)/12)</f>
        <v>0</v>
      </c>
      <c r="D60" s="13">
        <f ca="1">IF(OR('My Loans'!$N$14="",'My Loans'!$N$14=0),0,IF(B60&lt;0.005,0,MIN(INDIRECT("'My Loans'!$F"&amp;'My Loans'!$N$14),B60+C60)))</f>
        <v>0</v>
      </c>
      <c r="E60" s="13">
        <f ca="1">IF(A60=1,IF(OR('My Loans'!$N$15="",'My Loans'!$N$15=0),0,INDIRECT("'My Loans'!$D"&amp;'My Loans'!$N$15)),AJ59)</f>
        <v>0</v>
      </c>
      <c r="F60" s="13">
        <f ca="1">IF(OR('My Loans'!$N$15="",'My Loans'!$N$15=0),0,E60*INDIRECT("'My Loans'!$E"&amp;'My Loans'!$N$15)/12)</f>
        <v>0</v>
      </c>
      <c r="G60" s="13">
        <f ca="1">IF(OR('My Loans'!$N$15="",'My Loans'!$N$15=0),0,IF(E60&lt;0.005,0,MIN(INDIRECT("'My Loans'!$F"&amp;'My Loans'!$N$15),E60+F60)))</f>
        <v>0</v>
      </c>
      <c r="H60" s="13">
        <f ca="1">IF(A60=1,IF(OR('My Loans'!$N$16="",'My Loans'!$N$16=0),0,INDIRECT("'My Loans'!$D"&amp;'My Loans'!$N$16)),AO59)</f>
        <v>0</v>
      </c>
      <c r="I60" s="13">
        <f ca="1">IF(OR('My Loans'!$N$16="",'My Loans'!$N$16=0),0,H60*INDIRECT("'My Loans'!$E"&amp;'My Loans'!$N$16)/12)</f>
        <v>0</v>
      </c>
      <c r="J60" s="13">
        <f ca="1">IF(OR('My Loans'!$N$16="",'My Loans'!$N$16=0),0,IF(H60&lt;0.005,0,MIN(INDIRECT("'My Loans'!$F"&amp;'My Loans'!$N$16),H60+I60)))</f>
        <v>0</v>
      </c>
      <c r="K60" s="13">
        <f ca="1">IF(A60=1,IF(OR('My Loans'!$N$17="",'My Loans'!$N$17=0),0,INDIRECT("'My Loans'!$D"&amp;'My Loans'!$N$17)),AT59)</f>
        <v>764.58505269660236</v>
      </c>
      <c r="L60" s="13">
        <f ca="1">IF(OR('My Loans'!$N$17="",'My Loans'!$N$17=0),0,K60*INDIRECT("'My Loans'!$E"&amp;'My Loans'!$N$17)/12)</f>
        <v>3.1220556318444594</v>
      </c>
      <c r="M60" s="13">
        <f ca="1">IF(OR('My Loans'!$N$17="",'My Loans'!$N$17=0),0,IF(K60&lt;0.005,0,MIN(INDIRECT("'My Loans'!$F"&amp;'My Loans'!$N$17),K60+L60)))</f>
        <v>112</v>
      </c>
      <c r="N60" s="13">
        <f ca="1">IF(A60=1,IF(OR('My Loans'!$N$18="",'My Loans'!$N$18=0),0,INDIRECT("'My Loans'!$D"&amp;'My Loans'!$N$18)),AY59)</f>
        <v>4045.8537272467611</v>
      </c>
      <c r="O60" s="13">
        <f ca="1">IF(OR('My Loans'!$N$18="",'My Loans'!$N$18=0),0,N60*INDIRECT("'My Loans'!$E"&amp;'My Loans'!$N$18)/12)</f>
        <v>15.171951477175353</v>
      </c>
      <c r="P60" s="13">
        <f ca="1">IF(OR('My Loans'!$N$18="",'My Loans'!$N$18=0),0,IF(N60&lt;0.005,0,MIN(INDIRECT("'My Loans'!$F"&amp;'My Loans'!$N$18),N60+O60)))</f>
        <v>95</v>
      </c>
      <c r="Q60" s="13">
        <f ca="1">IF(A60=1,IF(OR('My Loans'!$N$19="",'My Loans'!$N$19=0),0,INDIRECT("'My Loans'!$D"&amp;'My Loans'!$N$19)),BD59)</f>
        <v>0</v>
      </c>
      <c r="R60" s="13">
        <f ca="1">IF(OR('My Loans'!$N$19="",'My Loans'!$N$19=0),0,Q60*INDIRECT("'My Loans'!$E"&amp;'My Loans'!$N$19)/12)</f>
        <v>0</v>
      </c>
      <c r="S60" s="13">
        <f ca="1">IF(OR('My Loans'!$N$19="",'My Loans'!$N$19=0),0,IF(Q60&lt;0.005,0,MIN(INDIRECT("'My Loans'!$F"&amp;'My Loans'!$N$19),Q60+R60)))</f>
        <v>0</v>
      </c>
      <c r="T60" s="13">
        <f ca="1">IF(A60=1,IF(OR('My Loans'!$N$20="",'My Loans'!$N$20=0),0,INDIRECT("'My Loans'!$D"&amp;'My Loans'!$N$20)),BI59)</f>
        <v>0</v>
      </c>
      <c r="U60" s="13">
        <f ca="1">IF(OR('My Loans'!$N$20="",'My Loans'!$N$20=0),0,T60*INDIRECT("'My Loans'!$E"&amp;'My Loans'!$N$20)/12)</f>
        <v>0</v>
      </c>
      <c r="V60" s="13">
        <f ca="1">IF(OR('My Loans'!$N$20="",'My Loans'!$N$20=0),0,IF(T60&lt;0.005,0,MIN(INDIRECT("'My Loans'!$F"&amp;'My Loans'!$N$20),T60+U60)))</f>
        <v>0</v>
      </c>
      <c r="W60" s="13">
        <f ca="1">IF(A60=1,IF(OR('My Loans'!$N$21="",'My Loans'!$N$21=0),0,INDIRECT("'My Loans'!$D"&amp;'My Loans'!$N$21)),BN59)</f>
        <v>0</v>
      </c>
      <c r="X60" s="13">
        <f ca="1">IF(OR('My Loans'!$N$21="",'My Loans'!$N$21=0),0,W60*INDIRECT("'My Loans'!$E"&amp;'My Loans'!$N$21)/12)</f>
        <v>0</v>
      </c>
      <c r="Y60" s="13">
        <f ca="1">IF(OR('My Loans'!$N$21="",'My Loans'!$N$21=0),0,IF(W60&lt;0.005,0,MIN(INDIRECT("'My Loans'!$F"&amp;'My Loans'!$N$21),W60+X60)))</f>
        <v>0</v>
      </c>
      <c r="Z60" s="13">
        <f ca="1">'My Loans'!$B$13-(D60+G60+J60+M60+P60+S60+V60+Y60)</f>
        <v>1193</v>
      </c>
      <c r="AA60" s="13">
        <f t="shared" ca="1" si="43"/>
        <v>1193</v>
      </c>
      <c r="AB60" s="13">
        <f t="shared" ca="1" si="44"/>
        <v>0</v>
      </c>
      <c r="AC60" s="13">
        <f t="shared" ca="1" si="45"/>
        <v>0</v>
      </c>
      <c r="AD60" s="13">
        <f t="shared" ca="1" si="46"/>
        <v>0</v>
      </c>
      <c r="AE60" s="13">
        <f t="shared" ca="1" si="47"/>
        <v>0</v>
      </c>
      <c r="AF60" s="13">
        <f t="shared" ca="1" si="48"/>
        <v>1193</v>
      </c>
      <c r="AG60" s="13">
        <f t="shared" ca="1" si="49"/>
        <v>0</v>
      </c>
      <c r="AH60" s="13">
        <f t="shared" ca="1" si="50"/>
        <v>0</v>
      </c>
      <c r="AI60" s="13">
        <f t="shared" ca="1" si="51"/>
        <v>0</v>
      </c>
      <c r="AJ60" s="13">
        <f t="shared" ca="1" si="52"/>
        <v>0</v>
      </c>
      <c r="AK60" s="13">
        <f t="shared" ca="1" si="53"/>
        <v>1193</v>
      </c>
      <c r="AL60" s="13">
        <f t="shared" ca="1" si="54"/>
        <v>0</v>
      </c>
      <c r="AM60" s="13">
        <f t="shared" ca="1" si="55"/>
        <v>0</v>
      </c>
      <c r="AN60" s="13">
        <f t="shared" ca="1" si="56"/>
        <v>0</v>
      </c>
      <c r="AO60" s="13">
        <f t="shared" ca="1" si="57"/>
        <v>0</v>
      </c>
      <c r="AP60" s="13">
        <f t="shared" ca="1" si="58"/>
        <v>1193</v>
      </c>
      <c r="AQ60" s="13">
        <f t="shared" ca="1" si="59"/>
        <v>655.70710832844679</v>
      </c>
      <c r="AR60" s="13">
        <f t="shared" ca="1" si="60"/>
        <v>655.70710832844679</v>
      </c>
      <c r="AS60" s="13">
        <f t="shared" ca="1" si="61"/>
        <v>767.70710832844679</v>
      </c>
      <c r="AT60" s="13">
        <f t="shared" ca="1" si="62"/>
        <v>0</v>
      </c>
      <c r="AU60" s="13">
        <f t="shared" ca="1" si="63"/>
        <v>537.29289167155321</v>
      </c>
      <c r="AV60" s="13">
        <f t="shared" ca="1" si="64"/>
        <v>3966.0256787239364</v>
      </c>
      <c r="AW60" s="13">
        <f t="shared" ca="1" si="65"/>
        <v>537.29289167155321</v>
      </c>
      <c r="AX60" s="13">
        <f t="shared" ca="1" si="66"/>
        <v>632.29289167155321</v>
      </c>
      <c r="AY60" s="13">
        <f t="shared" ca="1" si="67"/>
        <v>3428.7327870523832</v>
      </c>
      <c r="AZ60" s="13">
        <f t="shared" ca="1" si="68"/>
        <v>0</v>
      </c>
      <c r="BA60" s="13">
        <f t="shared" ca="1" si="69"/>
        <v>0</v>
      </c>
      <c r="BB60" s="13">
        <f t="shared" ca="1" si="70"/>
        <v>0</v>
      </c>
      <c r="BC60" s="13">
        <f t="shared" ca="1" si="71"/>
        <v>0</v>
      </c>
      <c r="BD60" s="13">
        <f t="shared" ca="1" si="72"/>
        <v>0</v>
      </c>
      <c r="BE60" s="13">
        <f t="shared" ca="1" si="73"/>
        <v>0</v>
      </c>
      <c r="BF60" s="13">
        <f t="shared" ca="1" si="74"/>
        <v>0</v>
      </c>
      <c r="BG60" s="13">
        <f t="shared" ca="1" si="75"/>
        <v>0</v>
      </c>
      <c r="BH60" s="13">
        <f t="shared" ca="1" si="76"/>
        <v>0</v>
      </c>
      <c r="BI60" s="13">
        <f t="shared" ca="1" si="77"/>
        <v>0</v>
      </c>
      <c r="BJ60" s="13">
        <f t="shared" ca="1" si="78"/>
        <v>0</v>
      </c>
      <c r="BK60" s="13">
        <f t="shared" ca="1" si="79"/>
        <v>0</v>
      </c>
      <c r="BL60" s="13">
        <f t="shared" ca="1" si="80"/>
        <v>0</v>
      </c>
      <c r="BM60" s="13">
        <f t="shared" ca="1" si="81"/>
        <v>0</v>
      </c>
      <c r="BN60" s="13">
        <f t="shared" ca="1" si="82"/>
        <v>0</v>
      </c>
      <c r="BO60" s="13">
        <f t="shared" ca="1" si="83"/>
        <v>1400</v>
      </c>
      <c r="BP60" s="13">
        <f t="shared" ca="1" si="84"/>
        <v>18.294007109019812</v>
      </c>
      <c r="BQ60" s="13">
        <f t="shared" ca="1" si="85"/>
        <v>3428.7327870523832</v>
      </c>
    </row>
    <row r="61" spans="1:69" x14ac:dyDescent="0.25">
      <c r="A61" s="1">
        <v>60</v>
      </c>
      <c r="B61" s="13">
        <f ca="1">IF(A61=1,IF(OR('My Loans'!$N$14="",'My Loans'!$N$14=0),0,INDIRECT("'My Loans'!$D"&amp;'My Loans'!$N$14)),AE60)</f>
        <v>0</v>
      </c>
      <c r="C61" s="13">
        <f ca="1">IF(OR('My Loans'!$N$14="",'My Loans'!$N$14=0),0,B61*INDIRECT("'My Loans'!$E"&amp;'My Loans'!$N$14)/12)</f>
        <v>0</v>
      </c>
      <c r="D61" s="13">
        <f ca="1">IF(OR('My Loans'!$N$14="",'My Loans'!$N$14=0),0,IF(B61&lt;0.005,0,MIN(INDIRECT("'My Loans'!$F"&amp;'My Loans'!$N$14),B61+C61)))</f>
        <v>0</v>
      </c>
      <c r="E61" s="13">
        <f ca="1">IF(A61=1,IF(OR('My Loans'!$N$15="",'My Loans'!$N$15=0),0,INDIRECT("'My Loans'!$D"&amp;'My Loans'!$N$15)),AJ60)</f>
        <v>0</v>
      </c>
      <c r="F61" s="13">
        <f ca="1">IF(OR('My Loans'!$N$15="",'My Loans'!$N$15=0),0,E61*INDIRECT("'My Loans'!$E"&amp;'My Loans'!$N$15)/12)</f>
        <v>0</v>
      </c>
      <c r="G61" s="13">
        <f ca="1">IF(OR('My Loans'!$N$15="",'My Loans'!$N$15=0),0,IF(E61&lt;0.005,0,MIN(INDIRECT("'My Loans'!$F"&amp;'My Loans'!$N$15),E61+F61)))</f>
        <v>0</v>
      </c>
      <c r="H61" s="13">
        <f ca="1">IF(A61=1,IF(OR('My Loans'!$N$16="",'My Loans'!$N$16=0),0,INDIRECT("'My Loans'!$D"&amp;'My Loans'!$N$16)),AO60)</f>
        <v>0</v>
      </c>
      <c r="I61" s="13">
        <f ca="1">IF(OR('My Loans'!$N$16="",'My Loans'!$N$16=0),0,H61*INDIRECT("'My Loans'!$E"&amp;'My Loans'!$N$16)/12)</f>
        <v>0</v>
      </c>
      <c r="J61" s="13">
        <f ca="1">IF(OR('My Loans'!$N$16="",'My Loans'!$N$16=0),0,IF(H61&lt;0.005,0,MIN(INDIRECT("'My Loans'!$F"&amp;'My Loans'!$N$16),H61+I61)))</f>
        <v>0</v>
      </c>
      <c r="K61" s="13">
        <f ca="1">IF(A61=1,IF(OR('My Loans'!$N$17="",'My Loans'!$N$17=0),0,INDIRECT("'My Loans'!$D"&amp;'My Loans'!$N$17)),AT60)</f>
        <v>0</v>
      </c>
      <c r="L61" s="13">
        <f ca="1">IF(OR('My Loans'!$N$17="",'My Loans'!$N$17=0),0,K61*INDIRECT("'My Loans'!$E"&amp;'My Loans'!$N$17)/12)</f>
        <v>0</v>
      </c>
      <c r="M61" s="13">
        <f ca="1">IF(OR('My Loans'!$N$17="",'My Loans'!$N$17=0),0,IF(K61&lt;0.005,0,MIN(INDIRECT("'My Loans'!$F"&amp;'My Loans'!$N$17),K61+L61)))</f>
        <v>0</v>
      </c>
      <c r="N61" s="13">
        <f ca="1">IF(A61=1,IF(OR('My Loans'!$N$18="",'My Loans'!$N$18=0),0,INDIRECT("'My Loans'!$D"&amp;'My Loans'!$N$18)),AY60)</f>
        <v>3428.7327870523832</v>
      </c>
      <c r="O61" s="13">
        <f ca="1">IF(OR('My Loans'!$N$18="",'My Loans'!$N$18=0),0,N61*INDIRECT("'My Loans'!$E"&amp;'My Loans'!$N$18)/12)</f>
        <v>12.857747951446436</v>
      </c>
      <c r="P61" s="13">
        <f ca="1">IF(OR('My Loans'!$N$18="",'My Loans'!$N$18=0),0,IF(N61&lt;0.005,0,MIN(INDIRECT("'My Loans'!$F"&amp;'My Loans'!$N$18),N61+O61)))</f>
        <v>95</v>
      </c>
      <c r="Q61" s="13">
        <f ca="1">IF(A61=1,IF(OR('My Loans'!$N$19="",'My Loans'!$N$19=0),0,INDIRECT("'My Loans'!$D"&amp;'My Loans'!$N$19)),BD60)</f>
        <v>0</v>
      </c>
      <c r="R61" s="13">
        <f ca="1">IF(OR('My Loans'!$N$19="",'My Loans'!$N$19=0),0,Q61*INDIRECT("'My Loans'!$E"&amp;'My Loans'!$N$19)/12)</f>
        <v>0</v>
      </c>
      <c r="S61" s="13">
        <f ca="1">IF(OR('My Loans'!$N$19="",'My Loans'!$N$19=0),0,IF(Q61&lt;0.005,0,MIN(INDIRECT("'My Loans'!$F"&amp;'My Loans'!$N$19),Q61+R61)))</f>
        <v>0</v>
      </c>
      <c r="T61" s="13">
        <f ca="1">IF(A61=1,IF(OR('My Loans'!$N$20="",'My Loans'!$N$20=0),0,INDIRECT("'My Loans'!$D"&amp;'My Loans'!$N$20)),BI60)</f>
        <v>0</v>
      </c>
      <c r="U61" s="13">
        <f ca="1">IF(OR('My Loans'!$N$20="",'My Loans'!$N$20=0),0,T61*INDIRECT("'My Loans'!$E"&amp;'My Loans'!$N$20)/12)</f>
        <v>0</v>
      </c>
      <c r="V61" s="13">
        <f ca="1">IF(OR('My Loans'!$N$20="",'My Loans'!$N$20=0),0,IF(T61&lt;0.005,0,MIN(INDIRECT("'My Loans'!$F"&amp;'My Loans'!$N$20),T61+U61)))</f>
        <v>0</v>
      </c>
      <c r="W61" s="13">
        <f ca="1">IF(A61=1,IF(OR('My Loans'!$N$21="",'My Loans'!$N$21=0),0,INDIRECT("'My Loans'!$D"&amp;'My Loans'!$N$21)),BN60)</f>
        <v>0</v>
      </c>
      <c r="X61" s="13">
        <f ca="1">IF(OR('My Loans'!$N$21="",'My Loans'!$N$21=0),0,W61*INDIRECT("'My Loans'!$E"&amp;'My Loans'!$N$21)/12)</f>
        <v>0</v>
      </c>
      <c r="Y61" s="13">
        <f ca="1">IF(OR('My Loans'!$N$21="",'My Loans'!$N$21=0),0,IF(W61&lt;0.005,0,MIN(INDIRECT("'My Loans'!$F"&amp;'My Loans'!$N$21),W61+X61)))</f>
        <v>0</v>
      </c>
      <c r="Z61" s="13">
        <f ca="1">'My Loans'!$B$13-(D61+G61+J61+M61+P61+S61+V61+Y61)</f>
        <v>1305</v>
      </c>
      <c r="AA61" s="13">
        <f t="shared" ca="1" si="43"/>
        <v>1305</v>
      </c>
      <c r="AB61" s="13">
        <f t="shared" ca="1" si="44"/>
        <v>0</v>
      </c>
      <c r="AC61" s="13">
        <f t="shared" ca="1" si="45"/>
        <v>0</v>
      </c>
      <c r="AD61" s="13">
        <f t="shared" ca="1" si="46"/>
        <v>0</v>
      </c>
      <c r="AE61" s="13">
        <f t="shared" ca="1" si="47"/>
        <v>0</v>
      </c>
      <c r="AF61" s="13">
        <f t="shared" ca="1" si="48"/>
        <v>1305</v>
      </c>
      <c r="AG61" s="13">
        <f t="shared" ca="1" si="49"/>
        <v>0</v>
      </c>
      <c r="AH61" s="13">
        <f t="shared" ca="1" si="50"/>
        <v>0</v>
      </c>
      <c r="AI61" s="13">
        <f t="shared" ca="1" si="51"/>
        <v>0</v>
      </c>
      <c r="AJ61" s="13">
        <f t="shared" ca="1" si="52"/>
        <v>0</v>
      </c>
      <c r="AK61" s="13">
        <f t="shared" ca="1" si="53"/>
        <v>1305</v>
      </c>
      <c r="AL61" s="13">
        <f t="shared" ca="1" si="54"/>
        <v>0</v>
      </c>
      <c r="AM61" s="13">
        <f t="shared" ca="1" si="55"/>
        <v>0</v>
      </c>
      <c r="AN61" s="13">
        <f t="shared" ca="1" si="56"/>
        <v>0</v>
      </c>
      <c r="AO61" s="13">
        <f t="shared" ca="1" si="57"/>
        <v>0</v>
      </c>
      <c r="AP61" s="13">
        <f t="shared" ca="1" si="58"/>
        <v>1305</v>
      </c>
      <c r="AQ61" s="13">
        <f t="shared" ca="1" si="59"/>
        <v>0</v>
      </c>
      <c r="AR61" s="13">
        <f t="shared" ca="1" si="60"/>
        <v>0</v>
      </c>
      <c r="AS61" s="13">
        <f t="shared" ca="1" si="61"/>
        <v>0</v>
      </c>
      <c r="AT61" s="13">
        <f t="shared" ca="1" si="62"/>
        <v>0</v>
      </c>
      <c r="AU61" s="13">
        <f t="shared" ca="1" si="63"/>
        <v>1305</v>
      </c>
      <c r="AV61" s="13">
        <f t="shared" ca="1" si="64"/>
        <v>3346.5905350038297</v>
      </c>
      <c r="AW61" s="13">
        <f t="shared" ca="1" si="65"/>
        <v>1305</v>
      </c>
      <c r="AX61" s="13">
        <f t="shared" ca="1" si="66"/>
        <v>1400</v>
      </c>
      <c r="AY61" s="13">
        <f t="shared" ca="1" si="67"/>
        <v>2041.5905350038297</v>
      </c>
      <c r="AZ61" s="13">
        <f t="shared" ca="1" si="68"/>
        <v>0</v>
      </c>
      <c r="BA61" s="13">
        <f t="shared" ca="1" si="69"/>
        <v>0</v>
      </c>
      <c r="BB61" s="13">
        <f t="shared" ca="1" si="70"/>
        <v>0</v>
      </c>
      <c r="BC61" s="13">
        <f t="shared" ca="1" si="71"/>
        <v>0</v>
      </c>
      <c r="BD61" s="13">
        <f t="shared" ca="1" si="72"/>
        <v>0</v>
      </c>
      <c r="BE61" s="13">
        <f t="shared" ca="1" si="73"/>
        <v>0</v>
      </c>
      <c r="BF61" s="13">
        <f t="shared" ca="1" si="74"/>
        <v>0</v>
      </c>
      <c r="BG61" s="13">
        <f t="shared" ca="1" si="75"/>
        <v>0</v>
      </c>
      <c r="BH61" s="13">
        <f t="shared" ca="1" si="76"/>
        <v>0</v>
      </c>
      <c r="BI61" s="13">
        <f t="shared" ca="1" si="77"/>
        <v>0</v>
      </c>
      <c r="BJ61" s="13">
        <f t="shared" ca="1" si="78"/>
        <v>0</v>
      </c>
      <c r="BK61" s="13">
        <f t="shared" ca="1" si="79"/>
        <v>0</v>
      </c>
      <c r="BL61" s="13">
        <f t="shared" ca="1" si="80"/>
        <v>0</v>
      </c>
      <c r="BM61" s="13">
        <f t="shared" ca="1" si="81"/>
        <v>0</v>
      </c>
      <c r="BN61" s="13">
        <f t="shared" ca="1" si="82"/>
        <v>0</v>
      </c>
      <c r="BO61" s="13">
        <f t="shared" ca="1" si="83"/>
        <v>1400</v>
      </c>
      <c r="BP61" s="13">
        <f t="shared" ca="1" si="84"/>
        <v>12.857747951446436</v>
      </c>
      <c r="BQ61" s="13">
        <f t="shared" ca="1" si="85"/>
        <v>2041.5905350038297</v>
      </c>
    </row>
    <row r="62" spans="1:69" x14ac:dyDescent="0.25">
      <c r="A62" s="1">
        <v>61</v>
      </c>
      <c r="B62" s="13">
        <f ca="1">IF(A62=1,IF(OR('My Loans'!$N$14="",'My Loans'!$N$14=0),0,INDIRECT("'My Loans'!$D"&amp;'My Loans'!$N$14)),AE61)</f>
        <v>0</v>
      </c>
      <c r="C62" s="13">
        <f ca="1">IF(OR('My Loans'!$N$14="",'My Loans'!$N$14=0),0,B62*INDIRECT("'My Loans'!$E"&amp;'My Loans'!$N$14)/12)</f>
        <v>0</v>
      </c>
      <c r="D62" s="13">
        <f ca="1">IF(OR('My Loans'!$N$14="",'My Loans'!$N$14=0),0,IF(B62&lt;0.005,0,MIN(INDIRECT("'My Loans'!$F"&amp;'My Loans'!$N$14),B62+C62)))</f>
        <v>0</v>
      </c>
      <c r="E62" s="13">
        <f ca="1">IF(A62=1,IF(OR('My Loans'!$N$15="",'My Loans'!$N$15=0),0,INDIRECT("'My Loans'!$D"&amp;'My Loans'!$N$15)),AJ61)</f>
        <v>0</v>
      </c>
      <c r="F62" s="13">
        <f ca="1">IF(OR('My Loans'!$N$15="",'My Loans'!$N$15=0),0,E62*INDIRECT("'My Loans'!$E"&amp;'My Loans'!$N$15)/12)</f>
        <v>0</v>
      </c>
      <c r="G62" s="13">
        <f ca="1">IF(OR('My Loans'!$N$15="",'My Loans'!$N$15=0),0,IF(E62&lt;0.005,0,MIN(INDIRECT("'My Loans'!$F"&amp;'My Loans'!$N$15),E62+F62)))</f>
        <v>0</v>
      </c>
      <c r="H62" s="13">
        <f ca="1">IF(A62=1,IF(OR('My Loans'!$N$16="",'My Loans'!$N$16=0),0,INDIRECT("'My Loans'!$D"&amp;'My Loans'!$N$16)),AO61)</f>
        <v>0</v>
      </c>
      <c r="I62" s="13">
        <f ca="1">IF(OR('My Loans'!$N$16="",'My Loans'!$N$16=0),0,H62*INDIRECT("'My Loans'!$E"&amp;'My Loans'!$N$16)/12)</f>
        <v>0</v>
      </c>
      <c r="J62" s="13">
        <f ca="1">IF(OR('My Loans'!$N$16="",'My Loans'!$N$16=0),0,IF(H62&lt;0.005,0,MIN(INDIRECT("'My Loans'!$F"&amp;'My Loans'!$N$16),H62+I62)))</f>
        <v>0</v>
      </c>
      <c r="K62" s="13">
        <f ca="1">IF(A62=1,IF(OR('My Loans'!$N$17="",'My Loans'!$N$17=0),0,INDIRECT("'My Loans'!$D"&amp;'My Loans'!$N$17)),AT61)</f>
        <v>0</v>
      </c>
      <c r="L62" s="13">
        <f ca="1">IF(OR('My Loans'!$N$17="",'My Loans'!$N$17=0),0,K62*INDIRECT("'My Loans'!$E"&amp;'My Loans'!$N$17)/12)</f>
        <v>0</v>
      </c>
      <c r="M62" s="13">
        <f ca="1">IF(OR('My Loans'!$N$17="",'My Loans'!$N$17=0),0,IF(K62&lt;0.005,0,MIN(INDIRECT("'My Loans'!$F"&amp;'My Loans'!$N$17),K62+L62)))</f>
        <v>0</v>
      </c>
      <c r="N62" s="13">
        <f ca="1">IF(A62=1,IF(OR('My Loans'!$N$18="",'My Loans'!$N$18=0),0,INDIRECT("'My Loans'!$D"&amp;'My Loans'!$N$18)),AY61)</f>
        <v>2041.5905350038297</v>
      </c>
      <c r="O62" s="13">
        <f ca="1">IF(OR('My Loans'!$N$18="",'My Loans'!$N$18=0),0,N62*INDIRECT("'My Loans'!$E"&amp;'My Loans'!$N$18)/12)</f>
        <v>7.6559645062643611</v>
      </c>
      <c r="P62" s="13">
        <f ca="1">IF(OR('My Loans'!$N$18="",'My Loans'!$N$18=0),0,IF(N62&lt;0.005,0,MIN(INDIRECT("'My Loans'!$F"&amp;'My Loans'!$N$18),N62+O62)))</f>
        <v>95</v>
      </c>
      <c r="Q62" s="13">
        <f ca="1">IF(A62=1,IF(OR('My Loans'!$N$19="",'My Loans'!$N$19=0),0,INDIRECT("'My Loans'!$D"&amp;'My Loans'!$N$19)),BD61)</f>
        <v>0</v>
      </c>
      <c r="R62" s="13">
        <f ca="1">IF(OR('My Loans'!$N$19="",'My Loans'!$N$19=0),0,Q62*INDIRECT("'My Loans'!$E"&amp;'My Loans'!$N$19)/12)</f>
        <v>0</v>
      </c>
      <c r="S62" s="13">
        <f ca="1">IF(OR('My Loans'!$N$19="",'My Loans'!$N$19=0),0,IF(Q62&lt;0.005,0,MIN(INDIRECT("'My Loans'!$F"&amp;'My Loans'!$N$19),Q62+R62)))</f>
        <v>0</v>
      </c>
      <c r="T62" s="13">
        <f ca="1">IF(A62=1,IF(OR('My Loans'!$N$20="",'My Loans'!$N$20=0),0,INDIRECT("'My Loans'!$D"&amp;'My Loans'!$N$20)),BI61)</f>
        <v>0</v>
      </c>
      <c r="U62" s="13">
        <f ca="1">IF(OR('My Loans'!$N$20="",'My Loans'!$N$20=0),0,T62*INDIRECT("'My Loans'!$E"&amp;'My Loans'!$N$20)/12)</f>
        <v>0</v>
      </c>
      <c r="V62" s="13">
        <f ca="1">IF(OR('My Loans'!$N$20="",'My Loans'!$N$20=0),0,IF(T62&lt;0.005,0,MIN(INDIRECT("'My Loans'!$F"&amp;'My Loans'!$N$20),T62+U62)))</f>
        <v>0</v>
      </c>
      <c r="W62" s="13">
        <f ca="1">IF(A62=1,IF(OR('My Loans'!$N$21="",'My Loans'!$N$21=0),0,INDIRECT("'My Loans'!$D"&amp;'My Loans'!$N$21)),BN61)</f>
        <v>0</v>
      </c>
      <c r="X62" s="13">
        <f ca="1">IF(OR('My Loans'!$N$21="",'My Loans'!$N$21=0),0,W62*INDIRECT("'My Loans'!$E"&amp;'My Loans'!$N$21)/12)</f>
        <v>0</v>
      </c>
      <c r="Y62" s="13">
        <f ca="1">IF(OR('My Loans'!$N$21="",'My Loans'!$N$21=0),0,IF(W62&lt;0.005,0,MIN(INDIRECT("'My Loans'!$F"&amp;'My Loans'!$N$21),W62+X62)))</f>
        <v>0</v>
      </c>
      <c r="Z62" s="13">
        <f ca="1">'My Loans'!$B$13-(D62+G62+J62+M62+P62+S62+V62+Y62)</f>
        <v>1305</v>
      </c>
      <c r="AA62" s="13">
        <f t="shared" ca="1" si="43"/>
        <v>1305</v>
      </c>
      <c r="AB62" s="13">
        <f t="shared" ca="1" si="44"/>
        <v>0</v>
      </c>
      <c r="AC62" s="13">
        <f t="shared" ca="1" si="45"/>
        <v>0</v>
      </c>
      <c r="AD62" s="13">
        <f t="shared" ca="1" si="46"/>
        <v>0</v>
      </c>
      <c r="AE62" s="13">
        <f t="shared" ca="1" si="47"/>
        <v>0</v>
      </c>
      <c r="AF62" s="13">
        <f t="shared" ca="1" si="48"/>
        <v>1305</v>
      </c>
      <c r="AG62" s="13">
        <f t="shared" ca="1" si="49"/>
        <v>0</v>
      </c>
      <c r="AH62" s="13">
        <f t="shared" ca="1" si="50"/>
        <v>0</v>
      </c>
      <c r="AI62" s="13">
        <f t="shared" ca="1" si="51"/>
        <v>0</v>
      </c>
      <c r="AJ62" s="13">
        <f t="shared" ca="1" si="52"/>
        <v>0</v>
      </c>
      <c r="AK62" s="13">
        <f t="shared" ca="1" si="53"/>
        <v>1305</v>
      </c>
      <c r="AL62" s="13">
        <f t="shared" ca="1" si="54"/>
        <v>0</v>
      </c>
      <c r="AM62" s="13">
        <f t="shared" ca="1" si="55"/>
        <v>0</v>
      </c>
      <c r="AN62" s="13">
        <f t="shared" ca="1" si="56"/>
        <v>0</v>
      </c>
      <c r="AO62" s="13">
        <f t="shared" ca="1" si="57"/>
        <v>0</v>
      </c>
      <c r="AP62" s="13">
        <f t="shared" ca="1" si="58"/>
        <v>1305</v>
      </c>
      <c r="AQ62" s="13">
        <f t="shared" ca="1" si="59"/>
        <v>0</v>
      </c>
      <c r="AR62" s="13">
        <f t="shared" ca="1" si="60"/>
        <v>0</v>
      </c>
      <c r="AS62" s="13">
        <f t="shared" ca="1" si="61"/>
        <v>0</v>
      </c>
      <c r="AT62" s="13">
        <f t="shared" ca="1" si="62"/>
        <v>0</v>
      </c>
      <c r="AU62" s="13">
        <f t="shared" ca="1" si="63"/>
        <v>1305</v>
      </c>
      <c r="AV62" s="13">
        <f t="shared" ca="1" si="64"/>
        <v>1954.2464995100941</v>
      </c>
      <c r="AW62" s="13">
        <f t="shared" ca="1" si="65"/>
        <v>1305</v>
      </c>
      <c r="AX62" s="13">
        <f t="shared" ca="1" si="66"/>
        <v>1400</v>
      </c>
      <c r="AY62" s="13">
        <f t="shared" ca="1" si="67"/>
        <v>649.24649951009405</v>
      </c>
      <c r="AZ62" s="13">
        <f t="shared" ca="1" si="68"/>
        <v>0</v>
      </c>
      <c r="BA62" s="13">
        <f t="shared" ca="1" si="69"/>
        <v>0</v>
      </c>
      <c r="BB62" s="13">
        <f t="shared" ca="1" si="70"/>
        <v>0</v>
      </c>
      <c r="BC62" s="13">
        <f t="shared" ca="1" si="71"/>
        <v>0</v>
      </c>
      <c r="BD62" s="13">
        <f t="shared" ca="1" si="72"/>
        <v>0</v>
      </c>
      <c r="BE62" s="13">
        <f t="shared" ca="1" si="73"/>
        <v>0</v>
      </c>
      <c r="BF62" s="13">
        <f t="shared" ca="1" si="74"/>
        <v>0</v>
      </c>
      <c r="BG62" s="13">
        <f t="shared" ca="1" si="75"/>
        <v>0</v>
      </c>
      <c r="BH62" s="13">
        <f t="shared" ca="1" si="76"/>
        <v>0</v>
      </c>
      <c r="BI62" s="13">
        <f t="shared" ca="1" si="77"/>
        <v>0</v>
      </c>
      <c r="BJ62" s="13">
        <f t="shared" ca="1" si="78"/>
        <v>0</v>
      </c>
      <c r="BK62" s="13">
        <f t="shared" ca="1" si="79"/>
        <v>0</v>
      </c>
      <c r="BL62" s="13">
        <f t="shared" ca="1" si="80"/>
        <v>0</v>
      </c>
      <c r="BM62" s="13">
        <f t="shared" ca="1" si="81"/>
        <v>0</v>
      </c>
      <c r="BN62" s="13">
        <f t="shared" ca="1" si="82"/>
        <v>0</v>
      </c>
      <c r="BO62" s="13">
        <f t="shared" ca="1" si="83"/>
        <v>1400</v>
      </c>
      <c r="BP62" s="13">
        <f t="shared" ca="1" si="84"/>
        <v>7.6559645062643611</v>
      </c>
      <c r="BQ62" s="13">
        <f t="shared" ca="1" si="85"/>
        <v>649.24649951009405</v>
      </c>
    </row>
    <row r="63" spans="1:69" x14ac:dyDescent="0.25">
      <c r="A63" s="1">
        <v>62</v>
      </c>
      <c r="B63" s="13">
        <f ca="1">IF(A63=1,IF(OR('My Loans'!$N$14="",'My Loans'!$N$14=0),0,INDIRECT("'My Loans'!$D"&amp;'My Loans'!$N$14)),AE62)</f>
        <v>0</v>
      </c>
      <c r="C63" s="13">
        <f ca="1">IF(OR('My Loans'!$N$14="",'My Loans'!$N$14=0),0,B63*INDIRECT("'My Loans'!$E"&amp;'My Loans'!$N$14)/12)</f>
        <v>0</v>
      </c>
      <c r="D63" s="13">
        <f ca="1">IF(OR('My Loans'!$N$14="",'My Loans'!$N$14=0),0,IF(B63&lt;0.005,0,MIN(INDIRECT("'My Loans'!$F"&amp;'My Loans'!$N$14),B63+C63)))</f>
        <v>0</v>
      </c>
      <c r="E63" s="13">
        <f ca="1">IF(A63=1,IF(OR('My Loans'!$N$15="",'My Loans'!$N$15=0),0,INDIRECT("'My Loans'!$D"&amp;'My Loans'!$N$15)),AJ62)</f>
        <v>0</v>
      </c>
      <c r="F63" s="13">
        <f ca="1">IF(OR('My Loans'!$N$15="",'My Loans'!$N$15=0),0,E63*INDIRECT("'My Loans'!$E"&amp;'My Loans'!$N$15)/12)</f>
        <v>0</v>
      </c>
      <c r="G63" s="13">
        <f ca="1">IF(OR('My Loans'!$N$15="",'My Loans'!$N$15=0),0,IF(E63&lt;0.005,0,MIN(INDIRECT("'My Loans'!$F"&amp;'My Loans'!$N$15),E63+F63)))</f>
        <v>0</v>
      </c>
      <c r="H63" s="13">
        <f ca="1">IF(A63=1,IF(OR('My Loans'!$N$16="",'My Loans'!$N$16=0),0,INDIRECT("'My Loans'!$D"&amp;'My Loans'!$N$16)),AO62)</f>
        <v>0</v>
      </c>
      <c r="I63" s="13">
        <f ca="1">IF(OR('My Loans'!$N$16="",'My Loans'!$N$16=0),0,H63*INDIRECT("'My Loans'!$E"&amp;'My Loans'!$N$16)/12)</f>
        <v>0</v>
      </c>
      <c r="J63" s="13">
        <f ca="1">IF(OR('My Loans'!$N$16="",'My Loans'!$N$16=0),0,IF(H63&lt;0.005,0,MIN(INDIRECT("'My Loans'!$F"&amp;'My Loans'!$N$16),H63+I63)))</f>
        <v>0</v>
      </c>
      <c r="K63" s="13">
        <f ca="1">IF(A63=1,IF(OR('My Loans'!$N$17="",'My Loans'!$N$17=0),0,INDIRECT("'My Loans'!$D"&amp;'My Loans'!$N$17)),AT62)</f>
        <v>0</v>
      </c>
      <c r="L63" s="13">
        <f ca="1">IF(OR('My Loans'!$N$17="",'My Loans'!$N$17=0),0,K63*INDIRECT("'My Loans'!$E"&amp;'My Loans'!$N$17)/12)</f>
        <v>0</v>
      </c>
      <c r="M63" s="13">
        <f ca="1">IF(OR('My Loans'!$N$17="",'My Loans'!$N$17=0),0,IF(K63&lt;0.005,0,MIN(INDIRECT("'My Loans'!$F"&amp;'My Loans'!$N$17),K63+L63)))</f>
        <v>0</v>
      </c>
      <c r="N63" s="13">
        <f ca="1">IF(A63=1,IF(OR('My Loans'!$N$18="",'My Loans'!$N$18=0),0,INDIRECT("'My Loans'!$D"&amp;'My Loans'!$N$18)),AY62)</f>
        <v>649.24649951009405</v>
      </c>
      <c r="O63" s="13">
        <f ca="1">IF(OR('My Loans'!$N$18="",'My Loans'!$N$18=0),0,N63*INDIRECT("'My Loans'!$E"&amp;'My Loans'!$N$18)/12)</f>
        <v>2.4346743731628524</v>
      </c>
      <c r="P63" s="13">
        <f ca="1">IF(OR('My Loans'!$N$18="",'My Loans'!$N$18=0),0,IF(N63&lt;0.005,0,MIN(INDIRECT("'My Loans'!$F"&amp;'My Loans'!$N$18),N63+O63)))</f>
        <v>95</v>
      </c>
      <c r="Q63" s="13">
        <f ca="1">IF(A63=1,IF(OR('My Loans'!$N$19="",'My Loans'!$N$19=0),0,INDIRECT("'My Loans'!$D"&amp;'My Loans'!$N$19)),BD62)</f>
        <v>0</v>
      </c>
      <c r="R63" s="13">
        <f ca="1">IF(OR('My Loans'!$N$19="",'My Loans'!$N$19=0),0,Q63*INDIRECT("'My Loans'!$E"&amp;'My Loans'!$N$19)/12)</f>
        <v>0</v>
      </c>
      <c r="S63" s="13">
        <f ca="1">IF(OR('My Loans'!$N$19="",'My Loans'!$N$19=0),0,IF(Q63&lt;0.005,0,MIN(INDIRECT("'My Loans'!$F"&amp;'My Loans'!$N$19),Q63+R63)))</f>
        <v>0</v>
      </c>
      <c r="T63" s="13">
        <f ca="1">IF(A63=1,IF(OR('My Loans'!$N$20="",'My Loans'!$N$20=0),0,INDIRECT("'My Loans'!$D"&amp;'My Loans'!$N$20)),BI62)</f>
        <v>0</v>
      </c>
      <c r="U63" s="13">
        <f ca="1">IF(OR('My Loans'!$N$20="",'My Loans'!$N$20=0),0,T63*INDIRECT("'My Loans'!$E"&amp;'My Loans'!$N$20)/12)</f>
        <v>0</v>
      </c>
      <c r="V63" s="13">
        <f ca="1">IF(OR('My Loans'!$N$20="",'My Loans'!$N$20=0),0,IF(T63&lt;0.005,0,MIN(INDIRECT("'My Loans'!$F"&amp;'My Loans'!$N$20),T63+U63)))</f>
        <v>0</v>
      </c>
      <c r="W63" s="13">
        <f ca="1">IF(A63=1,IF(OR('My Loans'!$N$21="",'My Loans'!$N$21=0),0,INDIRECT("'My Loans'!$D"&amp;'My Loans'!$N$21)),BN62)</f>
        <v>0</v>
      </c>
      <c r="X63" s="13">
        <f ca="1">IF(OR('My Loans'!$N$21="",'My Loans'!$N$21=0),0,W63*INDIRECT("'My Loans'!$E"&amp;'My Loans'!$N$21)/12)</f>
        <v>0</v>
      </c>
      <c r="Y63" s="13">
        <f ca="1">IF(OR('My Loans'!$N$21="",'My Loans'!$N$21=0),0,IF(W63&lt;0.005,0,MIN(INDIRECT("'My Loans'!$F"&amp;'My Loans'!$N$21),W63+X63)))</f>
        <v>0</v>
      </c>
      <c r="Z63" s="13">
        <f ca="1">'My Loans'!$B$13-(D63+G63+J63+M63+P63+S63+V63+Y63)</f>
        <v>1305</v>
      </c>
      <c r="AA63" s="13">
        <f t="shared" ca="1" si="43"/>
        <v>1305</v>
      </c>
      <c r="AB63" s="13">
        <f t="shared" ca="1" si="44"/>
        <v>0</v>
      </c>
      <c r="AC63" s="13">
        <f t="shared" ca="1" si="45"/>
        <v>0</v>
      </c>
      <c r="AD63" s="13">
        <f t="shared" ca="1" si="46"/>
        <v>0</v>
      </c>
      <c r="AE63" s="13">
        <f t="shared" ca="1" si="47"/>
        <v>0</v>
      </c>
      <c r="AF63" s="13">
        <f t="shared" ca="1" si="48"/>
        <v>1305</v>
      </c>
      <c r="AG63" s="13">
        <f t="shared" ca="1" si="49"/>
        <v>0</v>
      </c>
      <c r="AH63" s="13">
        <f t="shared" ca="1" si="50"/>
        <v>0</v>
      </c>
      <c r="AI63" s="13">
        <f t="shared" ca="1" si="51"/>
        <v>0</v>
      </c>
      <c r="AJ63" s="13">
        <f t="shared" ca="1" si="52"/>
        <v>0</v>
      </c>
      <c r="AK63" s="13">
        <f t="shared" ca="1" si="53"/>
        <v>1305</v>
      </c>
      <c r="AL63" s="13">
        <f t="shared" ca="1" si="54"/>
        <v>0</v>
      </c>
      <c r="AM63" s="13">
        <f t="shared" ca="1" si="55"/>
        <v>0</v>
      </c>
      <c r="AN63" s="13">
        <f t="shared" ca="1" si="56"/>
        <v>0</v>
      </c>
      <c r="AO63" s="13">
        <f t="shared" ca="1" si="57"/>
        <v>0</v>
      </c>
      <c r="AP63" s="13">
        <f t="shared" ca="1" si="58"/>
        <v>1305</v>
      </c>
      <c r="AQ63" s="13">
        <f t="shared" ca="1" si="59"/>
        <v>0</v>
      </c>
      <c r="AR63" s="13">
        <f t="shared" ca="1" si="60"/>
        <v>0</v>
      </c>
      <c r="AS63" s="13">
        <f t="shared" ca="1" si="61"/>
        <v>0</v>
      </c>
      <c r="AT63" s="13">
        <f t="shared" ca="1" si="62"/>
        <v>0</v>
      </c>
      <c r="AU63" s="13">
        <f t="shared" ca="1" si="63"/>
        <v>1305</v>
      </c>
      <c r="AV63" s="13">
        <f t="shared" ca="1" si="64"/>
        <v>556.68117388325686</v>
      </c>
      <c r="AW63" s="13">
        <f t="shared" ca="1" si="65"/>
        <v>556.68117388325686</v>
      </c>
      <c r="AX63" s="13">
        <f t="shared" ca="1" si="66"/>
        <v>651.68117388325686</v>
      </c>
      <c r="AY63" s="13">
        <f t="shared" ca="1" si="67"/>
        <v>0</v>
      </c>
      <c r="AZ63" s="13">
        <f t="shared" ca="1" si="68"/>
        <v>748.31882611674314</v>
      </c>
      <c r="BA63" s="13">
        <f t="shared" ca="1" si="69"/>
        <v>0</v>
      </c>
      <c r="BB63" s="13">
        <f t="shared" ca="1" si="70"/>
        <v>0</v>
      </c>
      <c r="BC63" s="13">
        <f t="shared" ca="1" si="71"/>
        <v>0</v>
      </c>
      <c r="BD63" s="13">
        <f t="shared" ca="1" si="72"/>
        <v>0</v>
      </c>
      <c r="BE63" s="13">
        <f t="shared" ca="1" si="73"/>
        <v>748.31882611674314</v>
      </c>
      <c r="BF63" s="13">
        <f t="shared" ca="1" si="74"/>
        <v>0</v>
      </c>
      <c r="BG63" s="13">
        <f t="shared" ca="1" si="75"/>
        <v>0</v>
      </c>
      <c r="BH63" s="13">
        <f t="shared" ca="1" si="76"/>
        <v>0</v>
      </c>
      <c r="BI63" s="13">
        <f t="shared" ca="1" si="77"/>
        <v>0</v>
      </c>
      <c r="BJ63" s="13">
        <f t="shared" ca="1" si="78"/>
        <v>748.31882611674314</v>
      </c>
      <c r="BK63" s="13">
        <f t="shared" ca="1" si="79"/>
        <v>0</v>
      </c>
      <c r="BL63" s="13">
        <f t="shared" ca="1" si="80"/>
        <v>0</v>
      </c>
      <c r="BM63" s="13">
        <f t="shared" ca="1" si="81"/>
        <v>0</v>
      </c>
      <c r="BN63" s="13">
        <f t="shared" ca="1" si="82"/>
        <v>0</v>
      </c>
      <c r="BO63" s="13">
        <f t="shared" ca="1" si="83"/>
        <v>651.68117388325686</v>
      </c>
      <c r="BP63" s="13">
        <f t="shared" ca="1" si="84"/>
        <v>2.4346743731628524</v>
      </c>
      <c r="BQ63" s="13">
        <f t="shared" ca="1" si="85"/>
        <v>0</v>
      </c>
    </row>
    <row r="64" spans="1:69" x14ac:dyDescent="0.25">
      <c r="A64" s="1">
        <v>63</v>
      </c>
      <c r="B64" s="13">
        <f ca="1">IF(A64=1,IF(OR('My Loans'!$N$14="",'My Loans'!$N$14=0),0,INDIRECT("'My Loans'!$D"&amp;'My Loans'!$N$14)),AE63)</f>
        <v>0</v>
      </c>
      <c r="C64" s="13">
        <f ca="1">IF(OR('My Loans'!$N$14="",'My Loans'!$N$14=0),0,B64*INDIRECT("'My Loans'!$E"&amp;'My Loans'!$N$14)/12)</f>
        <v>0</v>
      </c>
      <c r="D64" s="13">
        <f ca="1">IF(OR('My Loans'!$N$14="",'My Loans'!$N$14=0),0,IF(B64&lt;0.005,0,MIN(INDIRECT("'My Loans'!$F"&amp;'My Loans'!$N$14),B64+C64)))</f>
        <v>0</v>
      </c>
      <c r="E64" s="13">
        <f ca="1">IF(A64=1,IF(OR('My Loans'!$N$15="",'My Loans'!$N$15=0),0,INDIRECT("'My Loans'!$D"&amp;'My Loans'!$N$15)),AJ63)</f>
        <v>0</v>
      </c>
      <c r="F64" s="13">
        <f ca="1">IF(OR('My Loans'!$N$15="",'My Loans'!$N$15=0),0,E64*INDIRECT("'My Loans'!$E"&amp;'My Loans'!$N$15)/12)</f>
        <v>0</v>
      </c>
      <c r="G64" s="13">
        <f ca="1">IF(OR('My Loans'!$N$15="",'My Loans'!$N$15=0),0,IF(E64&lt;0.005,0,MIN(INDIRECT("'My Loans'!$F"&amp;'My Loans'!$N$15),E64+F64)))</f>
        <v>0</v>
      </c>
      <c r="H64" s="13">
        <f ca="1">IF(A64=1,IF(OR('My Loans'!$N$16="",'My Loans'!$N$16=0),0,INDIRECT("'My Loans'!$D"&amp;'My Loans'!$N$16)),AO63)</f>
        <v>0</v>
      </c>
      <c r="I64" s="13">
        <f ca="1">IF(OR('My Loans'!$N$16="",'My Loans'!$N$16=0),0,H64*INDIRECT("'My Loans'!$E"&amp;'My Loans'!$N$16)/12)</f>
        <v>0</v>
      </c>
      <c r="J64" s="13">
        <f ca="1">IF(OR('My Loans'!$N$16="",'My Loans'!$N$16=0),0,IF(H64&lt;0.005,0,MIN(INDIRECT("'My Loans'!$F"&amp;'My Loans'!$N$16),H64+I64)))</f>
        <v>0</v>
      </c>
      <c r="K64" s="13">
        <f ca="1">IF(A64=1,IF(OR('My Loans'!$N$17="",'My Loans'!$N$17=0),0,INDIRECT("'My Loans'!$D"&amp;'My Loans'!$N$17)),AT63)</f>
        <v>0</v>
      </c>
      <c r="L64" s="13">
        <f ca="1">IF(OR('My Loans'!$N$17="",'My Loans'!$N$17=0),0,K64*INDIRECT("'My Loans'!$E"&amp;'My Loans'!$N$17)/12)</f>
        <v>0</v>
      </c>
      <c r="M64" s="13">
        <f ca="1">IF(OR('My Loans'!$N$17="",'My Loans'!$N$17=0),0,IF(K64&lt;0.005,0,MIN(INDIRECT("'My Loans'!$F"&amp;'My Loans'!$N$17),K64+L64)))</f>
        <v>0</v>
      </c>
      <c r="N64" s="13">
        <f ca="1">IF(A64=1,IF(OR('My Loans'!$N$18="",'My Loans'!$N$18=0),0,INDIRECT("'My Loans'!$D"&amp;'My Loans'!$N$18)),AY63)</f>
        <v>0</v>
      </c>
      <c r="O64" s="13">
        <f ca="1">IF(OR('My Loans'!$N$18="",'My Loans'!$N$18=0),0,N64*INDIRECT("'My Loans'!$E"&amp;'My Loans'!$N$18)/12)</f>
        <v>0</v>
      </c>
      <c r="P64" s="13">
        <f ca="1">IF(OR('My Loans'!$N$18="",'My Loans'!$N$18=0),0,IF(N64&lt;0.005,0,MIN(INDIRECT("'My Loans'!$F"&amp;'My Loans'!$N$18),N64+O64)))</f>
        <v>0</v>
      </c>
      <c r="Q64" s="13">
        <f ca="1">IF(A64=1,IF(OR('My Loans'!$N$19="",'My Loans'!$N$19=0),0,INDIRECT("'My Loans'!$D"&amp;'My Loans'!$N$19)),BD63)</f>
        <v>0</v>
      </c>
      <c r="R64" s="13">
        <f ca="1">IF(OR('My Loans'!$N$19="",'My Loans'!$N$19=0),0,Q64*INDIRECT("'My Loans'!$E"&amp;'My Loans'!$N$19)/12)</f>
        <v>0</v>
      </c>
      <c r="S64" s="13">
        <f ca="1">IF(OR('My Loans'!$N$19="",'My Loans'!$N$19=0),0,IF(Q64&lt;0.005,0,MIN(INDIRECT("'My Loans'!$F"&amp;'My Loans'!$N$19),Q64+R64)))</f>
        <v>0</v>
      </c>
      <c r="T64" s="13">
        <f ca="1">IF(A64=1,IF(OR('My Loans'!$N$20="",'My Loans'!$N$20=0),0,INDIRECT("'My Loans'!$D"&amp;'My Loans'!$N$20)),BI63)</f>
        <v>0</v>
      </c>
      <c r="U64" s="13">
        <f ca="1">IF(OR('My Loans'!$N$20="",'My Loans'!$N$20=0),0,T64*INDIRECT("'My Loans'!$E"&amp;'My Loans'!$N$20)/12)</f>
        <v>0</v>
      </c>
      <c r="V64" s="13">
        <f ca="1">IF(OR('My Loans'!$N$20="",'My Loans'!$N$20=0),0,IF(T64&lt;0.005,0,MIN(INDIRECT("'My Loans'!$F"&amp;'My Loans'!$N$20),T64+U64)))</f>
        <v>0</v>
      </c>
      <c r="W64" s="13">
        <f ca="1">IF(A64=1,IF(OR('My Loans'!$N$21="",'My Loans'!$N$21=0),0,INDIRECT("'My Loans'!$D"&amp;'My Loans'!$N$21)),BN63)</f>
        <v>0</v>
      </c>
      <c r="X64" s="13">
        <f ca="1">IF(OR('My Loans'!$N$21="",'My Loans'!$N$21=0),0,W64*INDIRECT("'My Loans'!$E"&amp;'My Loans'!$N$21)/12)</f>
        <v>0</v>
      </c>
      <c r="Y64" s="13">
        <f ca="1">IF(OR('My Loans'!$N$21="",'My Loans'!$N$21=0),0,IF(W64&lt;0.005,0,MIN(INDIRECT("'My Loans'!$F"&amp;'My Loans'!$N$21),W64+X64)))</f>
        <v>0</v>
      </c>
      <c r="Z64" s="13">
        <f ca="1">'My Loans'!$B$13-(D64+G64+J64+M64+P64+S64+V64+Y64)</f>
        <v>1400</v>
      </c>
      <c r="AA64" s="13">
        <f t="shared" ca="1" si="43"/>
        <v>1400</v>
      </c>
      <c r="AB64" s="13">
        <f t="shared" ca="1" si="44"/>
        <v>0</v>
      </c>
      <c r="AC64" s="13">
        <f t="shared" ca="1" si="45"/>
        <v>0</v>
      </c>
      <c r="AD64" s="13">
        <f t="shared" ca="1" si="46"/>
        <v>0</v>
      </c>
      <c r="AE64" s="13">
        <f t="shared" ca="1" si="47"/>
        <v>0</v>
      </c>
      <c r="AF64" s="13">
        <f t="shared" ca="1" si="48"/>
        <v>1400</v>
      </c>
      <c r="AG64" s="13">
        <f t="shared" ca="1" si="49"/>
        <v>0</v>
      </c>
      <c r="AH64" s="13">
        <f t="shared" ca="1" si="50"/>
        <v>0</v>
      </c>
      <c r="AI64" s="13">
        <f t="shared" ca="1" si="51"/>
        <v>0</v>
      </c>
      <c r="AJ64" s="13">
        <f t="shared" ca="1" si="52"/>
        <v>0</v>
      </c>
      <c r="AK64" s="13">
        <f t="shared" ca="1" si="53"/>
        <v>1400</v>
      </c>
      <c r="AL64" s="13">
        <f t="shared" ca="1" si="54"/>
        <v>0</v>
      </c>
      <c r="AM64" s="13">
        <f t="shared" ca="1" si="55"/>
        <v>0</v>
      </c>
      <c r="AN64" s="13">
        <f t="shared" ca="1" si="56"/>
        <v>0</v>
      </c>
      <c r="AO64" s="13">
        <f t="shared" ca="1" si="57"/>
        <v>0</v>
      </c>
      <c r="AP64" s="13">
        <f t="shared" ca="1" si="58"/>
        <v>1400</v>
      </c>
      <c r="AQ64" s="13">
        <f t="shared" ca="1" si="59"/>
        <v>0</v>
      </c>
      <c r="AR64" s="13">
        <f t="shared" ca="1" si="60"/>
        <v>0</v>
      </c>
      <c r="AS64" s="13">
        <f t="shared" ca="1" si="61"/>
        <v>0</v>
      </c>
      <c r="AT64" s="13">
        <f t="shared" ca="1" si="62"/>
        <v>0</v>
      </c>
      <c r="AU64" s="13">
        <f t="shared" ca="1" si="63"/>
        <v>1400</v>
      </c>
      <c r="AV64" s="13">
        <f t="shared" ca="1" si="64"/>
        <v>0</v>
      </c>
      <c r="AW64" s="13">
        <f t="shared" ca="1" si="65"/>
        <v>0</v>
      </c>
      <c r="AX64" s="13">
        <f t="shared" ca="1" si="66"/>
        <v>0</v>
      </c>
      <c r="AY64" s="13">
        <f t="shared" ca="1" si="67"/>
        <v>0</v>
      </c>
      <c r="AZ64" s="13">
        <f t="shared" ca="1" si="68"/>
        <v>1400</v>
      </c>
      <c r="BA64" s="13">
        <f t="shared" ca="1" si="69"/>
        <v>0</v>
      </c>
      <c r="BB64" s="13">
        <f t="shared" ca="1" si="70"/>
        <v>0</v>
      </c>
      <c r="BC64" s="13">
        <f t="shared" ca="1" si="71"/>
        <v>0</v>
      </c>
      <c r="BD64" s="13">
        <f t="shared" ca="1" si="72"/>
        <v>0</v>
      </c>
      <c r="BE64" s="13">
        <f t="shared" ca="1" si="73"/>
        <v>1400</v>
      </c>
      <c r="BF64" s="13">
        <f t="shared" ca="1" si="74"/>
        <v>0</v>
      </c>
      <c r="BG64" s="13">
        <f t="shared" ca="1" si="75"/>
        <v>0</v>
      </c>
      <c r="BH64" s="13">
        <f t="shared" ca="1" si="76"/>
        <v>0</v>
      </c>
      <c r="BI64" s="13">
        <f t="shared" ca="1" si="77"/>
        <v>0</v>
      </c>
      <c r="BJ64" s="13">
        <f t="shared" ca="1" si="78"/>
        <v>1400</v>
      </c>
      <c r="BK64" s="13">
        <f t="shared" ca="1" si="79"/>
        <v>0</v>
      </c>
      <c r="BL64" s="13">
        <f t="shared" ca="1" si="80"/>
        <v>0</v>
      </c>
      <c r="BM64" s="13">
        <f t="shared" ca="1" si="81"/>
        <v>0</v>
      </c>
      <c r="BN64" s="13">
        <f t="shared" ca="1" si="82"/>
        <v>0</v>
      </c>
      <c r="BO64" s="13">
        <f t="shared" ca="1" si="83"/>
        <v>0</v>
      </c>
      <c r="BP64" s="13">
        <f t="shared" ca="1" si="84"/>
        <v>0</v>
      </c>
      <c r="BQ64" s="13">
        <f t="shared" ca="1" si="85"/>
        <v>0</v>
      </c>
    </row>
    <row r="65" spans="1:69" x14ac:dyDescent="0.25">
      <c r="A65" s="1">
        <v>64</v>
      </c>
      <c r="B65" s="13">
        <f ca="1">IF(A65=1,IF(OR('My Loans'!$N$14="",'My Loans'!$N$14=0),0,INDIRECT("'My Loans'!$D"&amp;'My Loans'!$N$14)),AE64)</f>
        <v>0</v>
      </c>
      <c r="C65" s="13">
        <f ca="1">IF(OR('My Loans'!$N$14="",'My Loans'!$N$14=0),0,B65*INDIRECT("'My Loans'!$E"&amp;'My Loans'!$N$14)/12)</f>
        <v>0</v>
      </c>
      <c r="D65" s="13">
        <f ca="1">IF(OR('My Loans'!$N$14="",'My Loans'!$N$14=0),0,IF(B65&lt;0.005,0,MIN(INDIRECT("'My Loans'!$F"&amp;'My Loans'!$N$14),B65+C65)))</f>
        <v>0</v>
      </c>
      <c r="E65" s="13">
        <f ca="1">IF(A65=1,IF(OR('My Loans'!$N$15="",'My Loans'!$N$15=0),0,INDIRECT("'My Loans'!$D"&amp;'My Loans'!$N$15)),AJ64)</f>
        <v>0</v>
      </c>
      <c r="F65" s="13">
        <f ca="1">IF(OR('My Loans'!$N$15="",'My Loans'!$N$15=0),0,E65*INDIRECT("'My Loans'!$E"&amp;'My Loans'!$N$15)/12)</f>
        <v>0</v>
      </c>
      <c r="G65" s="13">
        <f ca="1">IF(OR('My Loans'!$N$15="",'My Loans'!$N$15=0),0,IF(E65&lt;0.005,0,MIN(INDIRECT("'My Loans'!$F"&amp;'My Loans'!$N$15),E65+F65)))</f>
        <v>0</v>
      </c>
      <c r="H65" s="13">
        <f ca="1">IF(A65=1,IF(OR('My Loans'!$N$16="",'My Loans'!$N$16=0),0,INDIRECT("'My Loans'!$D"&amp;'My Loans'!$N$16)),AO64)</f>
        <v>0</v>
      </c>
      <c r="I65" s="13">
        <f ca="1">IF(OR('My Loans'!$N$16="",'My Loans'!$N$16=0),0,H65*INDIRECT("'My Loans'!$E"&amp;'My Loans'!$N$16)/12)</f>
        <v>0</v>
      </c>
      <c r="J65" s="13">
        <f ca="1">IF(OR('My Loans'!$N$16="",'My Loans'!$N$16=0),0,IF(H65&lt;0.005,0,MIN(INDIRECT("'My Loans'!$F"&amp;'My Loans'!$N$16),H65+I65)))</f>
        <v>0</v>
      </c>
      <c r="K65" s="13">
        <f ca="1">IF(A65=1,IF(OR('My Loans'!$N$17="",'My Loans'!$N$17=0),0,INDIRECT("'My Loans'!$D"&amp;'My Loans'!$N$17)),AT64)</f>
        <v>0</v>
      </c>
      <c r="L65" s="13">
        <f ca="1">IF(OR('My Loans'!$N$17="",'My Loans'!$N$17=0),0,K65*INDIRECT("'My Loans'!$E"&amp;'My Loans'!$N$17)/12)</f>
        <v>0</v>
      </c>
      <c r="M65" s="13">
        <f ca="1">IF(OR('My Loans'!$N$17="",'My Loans'!$N$17=0),0,IF(K65&lt;0.005,0,MIN(INDIRECT("'My Loans'!$F"&amp;'My Loans'!$N$17),K65+L65)))</f>
        <v>0</v>
      </c>
      <c r="N65" s="13">
        <f ca="1">IF(A65=1,IF(OR('My Loans'!$N$18="",'My Loans'!$N$18=0),0,INDIRECT("'My Loans'!$D"&amp;'My Loans'!$N$18)),AY64)</f>
        <v>0</v>
      </c>
      <c r="O65" s="13">
        <f ca="1">IF(OR('My Loans'!$N$18="",'My Loans'!$N$18=0),0,N65*INDIRECT("'My Loans'!$E"&amp;'My Loans'!$N$18)/12)</f>
        <v>0</v>
      </c>
      <c r="P65" s="13">
        <f ca="1">IF(OR('My Loans'!$N$18="",'My Loans'!$N$18=0),0,IF(N65&lt;0.005,0,MIN(INDIRECT("'My Loans'!$F"&amp;'My Loans'!$N$18),N65+O65)))</f>
        <v>0</v>
      </c>
      <c r="Q65" s="13">
        <f ca="1">IF(A65=1,IF(OR('My Loans'!$N$19="",'My Loans'!$N$19=0),0,INDIRECT("'My Loans'!$D"&amp;'My Loans'!$N$19)),BD64)</f>
        <v>0</v>
      </c>
      <c r="R65" s="13">
        <f ca="1">IF(OR('My Loans'!$N$19="",'My Loans'!$N$19=0),0,Q65*INDIRECT("'My Loans'!$E"&amp;'My Loans'!$N$19)/12)</f>
        <v>0</v>
      </c>
      <c r="S65" s="13">
        <f ca="1">IF(OR('My Loans'!$N$19="",'My Loans'!$N$19=0),0,IF(Q65&lt;0.005,0,MIN(INDIRECT("'My Loans'!$F"&amp;'My Loans'!$N$19),Q65+R65)))</f>
        <v>0</v>
      </c>
      <c r="T65" s="13">
        <f ca="1">IF(A65=1,IF(OR('My Loans'!$N$20="",'My Loans'!$N$20=0),0,INDIRECT("'My Loans'!$D"&amp;'My Loans'!$N$20)),BI64)</f>
        <v>0</v>
      </c>
      <c r="U65" s="13">
        <f ca="1">IF(OR('My Loans'!$N$20="",'My Loans'!$N$20=0),0,T65*INDIRECT("'My Loans'!$E"&amp;'My Loans'!$N$20)/12)</f>
        <v>0</v>
      </c>
      <c r="V65" s="13">
        <f ca="1">IF(OR('My Loans'!$N$20="",'My Loans'!$N$20=0),0,IF(T65&lt;0.005,0,MIN(INDIRECT("'My Loans'!$F"&amp;'My Loans'!$N$20),T65+U65)))</f>
        <v>0</v>
      </c>
      <c r="W65" s="13">
        <f ca="1">IF(A65=1,IF(OR('My Loans'!$N$21="",'My Loans'!$N$21=0),0,INDIRECT("'My Loans'!$D"&amp;'My Loans'!$N$21)),BN64)</f>
        <v>0</v>
      </c>
      <c r="X65" s="13">
        <f ca="1">IF(OR('My Loans'!$N$21="",'My Loans'!$N$21=0),0,W65*INDIRECT("'My Loans'!$E"&amp;'My Loans'!$N$21)/12)</f>
        <v>0</v>
      </c>
      <c r="Y65" s="13">
        <f ca="1">IF(OR('My Loans'!$N$21="",'My Loans'!$N$21=0),0,IF(W65&lt;0.005,0,MIN(INDIRECT("'My Loans'!$F"&amp;'My Loans'!$N$21),W65+X65)))</f>
        <v>0</v>
      </c>
      <c r="Z65" s="13">
        <f ca="1">'My Loans'!$B$13-(D65+G65+J65+M65+P65+S65+V65+Y65)</f>
        <v>1400</v>
      </c>
      <c r="AA65" s="13">
        <f t="shared" ca="1" si="43"/>
        <v>1400</v>
      </c>
      <c r="AB65" s="13">
        <f t="shared" ca="1" si="44"/>
        <v>0</v>
      </c>
      <c r="AC65" s="13">
        <f t="shared" ca="1" si="45"/>
        <v>0</v>
      </c>
      <c r="AD65" s="13">
        <f t="shared" ca="1" si="46"/>
        <v>0</v>
      </c>
      <c r="AE65" s="13">
        <f t="shared" ca="1" si="47"/>
        <v>0</v>
      </c>
      <c r="AF65" s="13">
        <f t="shared" ca="1" si="48"/>
        <v>1400</v>
      </c>
      <c r="AG65" s="13">
        <f t="shared" ca="1" si="49"/>
        <v>0</v>
      </c>
      <c r="AH65" s="13">
        <f t="shared" ca="1" si="50"/>
        <v>0</v>
      </c>
      <c r="AI65" s="13">
        <f t="shared" ca="1" si="51"/>
        <v>0</v>
      </c>
      <c r="AJ65" s="13">
        <f t="shared" ca="1" si="52"/>
        <v>0</v>
      </c>
      <c r="AK65" s="13">
        <f t="shared" ca="1" si="53"/>
        <v>1400</v>
      </c>
      <c r="AL65" s="13">
        <f t="shared" ca="1" si="54"/>
        <v>0</v>
      </c>
      <c r="AM65" s="13">
        <f t="shared" ca="1" si="55"/>
        <v>0</v>
      </c>
      <c r="AN65" s="13">
        <f t="shared" ca="1" si="56"/>
        <v>0</v>
      </c>
      <c r="AO65" s="13">
        <f t="shared" ca="1" si="57"/>
        <v>0</v>
      </c>
      <c r="AP65" s="13">
        <f t="shared" ca="1" si="58"/>
        <v>1400</v>
      </c>
      <c r="AQ65" s="13">
        <f t="shared" ca="1" si="59"/>
        <v>0</v>
      </c>
      <c r="AR65" s="13">
        <f t="shared" ca="1" si="60"/>
        <v>0</v>
      </c>
      <c r="AS65" s="13">
        <f t="shared" ca="1" si="61"/>
        <v>0</v>
      </c>
      <c r="AT65" s="13">
        <f t="shared" ca="1" si="62"/>
        <v>0</v>
      </c>
      <c r="AU65" s="13">
        <f t="shared" ca="1" si="63"/>
        <v>1400</v>
      </c>
      <c r="AV65" s="13">
        <f t="shared" ca="1" si="64"/>
        <v>0</v>
      </c>
      <c r="AW65" s="13">
        <f t="shared" ca="1" si="65"/>
        <v>0</v>
      </c>
      <c r="AX65" s="13">
        <f t="shared" ca="1" si="66"/>
        <v>0</v>
      </c>
      <c r="AY65" s="13">
        <f t="shared" ca="1" si="67"/>
        <v>0</v>
      </c>
      <c r="AZ65" s="13">
        <f t="shared" ca="1" si="68"/>
        <v>1400</v>
      </c>
      <c r="BA65" s="13">
        <f t="shared" ca="1" si="69"/>
        <v>0</v>
      </c>
      <c r="BB65" s="13">
        <f t="shared" ca="1" si="70"/>
        <v>0</v>
      </c>
      <c r="BC65" s="13">
        <f t="shared" ca="1" si="71"/>
        <v>0</v>
      </c>
      <c r="BD65" s="13">
        <f t="shared" ca="1" si="72"/>
        <v>0</v>
      </c>
      <c r="BE65" s="13">
        <f t="shared" ca="1" si="73"/>
        <v>1400</v>
      </c>
      <c r="BF65" s="13">
        <f t="shared" ca="1" si="74"/>
        <v>0</v>
      </c>
      <c r="BG65" s="13">
        <f t="shared" ca="1" si="75"/>
        <v>0</v>
      </c>
      <c r="BH65" s="13">
        <f t="shared" ca="1" si="76"/>
        <v>0</v>
      </c>
      <c r="BI65" s="13">
        <f t="shared" ca="1" si="77"/>
        <v>0</v>
      </c>
      <c r="BJ65" s="13">
        <f t="shared" ca="1" si="78"/>
        <v>1400</v>
      </c>
      <c r="BK65" s="13">
        <f t="shared" ca="1" si="79"/>
        <v>0</v>
      </c>
      <c r="BL65" s="13">
        <f t="shared" ca="1" si="80"/>
        <v>0</v>
      </c>
      <c r="BM65" s="13">
        <f t="shared" ca="1" si="81"/>
        <v>0</v>
      </c>
      <c r="BN65" s="13">
        <f t="shared" ca="1" si="82"/>
        <v>0</v>
      </c>
      <c r="BO65" s="13">
        <f t="shared" ca="1" si="83"/>
        <v>0</v>
      </c>
      <c r="BP65" s="13">
        <f t="shared" ca="1" si="84"/>
        <v>0</v>
      </c>
      <c r="BQ65" s="13">
        <f t="shared" ca="1" si="85"/>
        <v>0</v>
      </c>
    </row>
    <row r="66" spans="1:69" x14ac:dyDescent="0.25">
      <c r="A66" s="1">
        <v>65</v>
      </c>
      <c r="B66" s="13">
        <f ca="1">IF(A66=1,IF(OR('My Loans'!$N$14="",'My Loans'!$N$14=0),0,INDIRECT("'My Loans'!$D"&amp;'My Loans'!$N$14)),AE65)</f>
        <v>0</v>
      </c>
      <c r="C66" s="13">
        <f ca="1">IF(OR('My Loans'!$N$14="",'My Loans'!$N$14=0),0,B66*INDIRECT("'My Loans'!$E"&amp;'My Loans'!$N$14)/12)</f>
        <v>0</v>
      </c>
      <c r="D66" s="13">
        <f ca="1">IF(OR('My Loans'!$N$14="",'My Loans'!$N$14=0),0,IF(B66&lt;0.005,0,MIN(INDIRECT("'My Loans'!$F"&amp;'My Loans'!$N$14),B66+C66)))</f>
        <v>0</v>
      </c>
      <c r="E66" s="13">
        <f ca="1">IF(A66=1,IF(OR('My Loans'!$N$15="",'My Loans'!$N$15=0),0,INDIRECT("'My Loans'!$D"&amp;'My Loans'!$N$15)),AJ65)</f>
        <v>0</v>
      </c>
      <c r="F66" s="13">
        <f ca="1">IF(OR('My Loans'!$N$15="",'My Loans'!$N$15=0),0,E66*INDIRECT("'My Loans'!$E"&amp;'My Loans'!$N$15)/12)</f>
        <v>0</v>
      </c>
      <c r="G66" s="13">
        <f ca="1">IF(OR('My Loans'!$N$15="",'My Loans'!$N$15=0),0,IF(E66&lt;0.005,0,MIN(INDIRECT("'My Loans'!$F"&amp;'My Loans'!$N$15),E66+F66)))</f>
        <v>0</v>
      </c>
      <c r="H66" s="13">
        <f ca="1">IF(A66=1,IF(OR('My Loans'!$N$16="",'My Loans'!$N$16=0),0,INDIRECT("'My Loans'!$D"&amp;'My Loans'!$N$16)),AO65)</f>
        <v>0</v>
      </c>
      <c r="I66" s="13">
        <f ca="1">IF(OR('My Loans'!$N$16="",'My Loans'!$N$16=0),0,H66*INDIRECT("'My Loans'!$E"&amp;'My Loans'!$N$16)/12)</f>
        <v>0</v>
      </c>
      <c r="J66" s="13">
        <f ca="1">IF(OR('My Loans'!$N$16="",'My Loans'!$N$16=0),0,IF(H66&lt;0.005,0,MIN(INDIRECT("'My Loans'!$F"&amp;'My Loans'!$N$16),H66+I66)))</f>
        <v>0</v>
      </c>
      <c r="K66" s="13">
        <f ca="1">IF(A66=1,IF(OR('My Loans'!$N$17="",'My Loans'!$N$17=0),0,INDIRECT("'My Loans'!$D"&amp;'My Loans'!$N$17)),AT65)</f>
        <v>0</v>
      </c>
      <c r="L66" s="13">
        <f ca="1">IF(OR('My Loans'!$N$17="",'My Loans'!$N$17=0),0,K66*INDIRECT("'My Loans'!$E"&amp;'My Loans'!$N$17)/12)</f>
        <v>0</v>
      </c>
      <c r="M66" s="13">
        <f ca="1">IF(OR('My Loans'!$N$17="",'My Loans'!$N$17=0),0,IF(K66&lt;0.005,0,MIN(INDIRECT("'My Loans'!$F"&amp;'My Loans'!$N$17),K66+L66)))</f>
        <v>0</v>
      </c>
      <c r="N66" s="13">
        <f ca="1">IF(A66=1,IF(OR('My Loans'!$N$18="",'My Loans'!$N$18=0),0,INDIRECT("'My Loans'!$D"&amp;'My Loans'!$N$18)),AY65)</f>
        <v>0</v>
      </c>
      <c r="O66" s="13">
        <f ca="1">IF(OR('My Loans'!$N$18="",'My Loans'!$N$18=0),0,N66*INDIRECT("'My Loans'!$E"&amp;'My Loans'!$N$18)/12)</f>
        <v>0</v>
      </c>
      <c r="P66" s="13">
        <f ca="1">IF(OR('My Loans'!$N$18="",'My Loans'!$N$18=0),0,IF(N66&lt;0.005,0,MIN(INDIRECT("'My Loans'!$F"&amp;'My Loans'!$N$18),N66+O66)))</f>
        <v>0</v>
      </c>
      <c r="Q66" s="13">
        <f ca="1">IF(A66=1,IF(OR('My Loans'!$N$19="",'My Loans'!$N$19=0),0,INDIRECT("'My Loans'!$D"&amp;'My Loans'!$N$19)),BD65)</f>
        <v>0</v>
      </c>
      <c r="R66" s="13">
        <f ca="1">IF(OR('My Loans'!$N$19="",'My Loans'!$N$19=0),0,Q66*INDIRECT("'My Loans'!$E"&amp;'My Loans'!$N$19)/12)</f>
        <v>0</v>
      </c>
      <c r="S66" s="13">
        <f ca="1">IF(OR('My Loans'!$N$19="",'My Loans'!$N$19=0),0,IF(Q66&lt;0.005,0,MIN(INDIRECT("'My Loans'!$F"&amp;'My Loans'!$N$19),Q66+R66)))</f>
        <v>0</v>
      </c>
      <c r="T66" s="13">
        <f ca="1">IF(A66=1,IF(OR('My Loans'!$N$20="",'My Loans'!$N$20=0),0,INDIRECT("'My Loans'!$D"&amp;'My Loans'!$N$20)),BI65)</f>
        <v>0</v>
      </c>
      <c r="U66" s="13">
        <f ca="1">IF(OR('My Loans'!$N$20="",'My Loans'!$N$20=0),0,T66*INDIRECT("'My Loans'!$E"&amp;'My Loans'!$N$20)/12)</f>
        <v>0</v>
      </c>
      <c r="V66" s="13">
        <f ca="1">IF(OR('My Loans'!$N$20="",'My Loans'!$N$20=0),0,IF(T66&lt;0.005,0,MIN(INDIRECT("'My Loans'!$F"&amp;'My Loans'!$N$20),T66+U66)))</f>
        <v>0</v>
      </c>
      <c r="W66" s="13">
        <f ca="1">IF(A66=1,IF(OR('My Loans'!$N$21="",'My Loans'!$N$21=0),0,INDIRECT("'My Loans'!$D"&amp;'My Loans'!$N$21)),BN65)</f>
        <v>0</v>
      </c>
      <c r="X66" s="13">
        <f ca="1">IF(OR('My Loans'!$N$21="",'My Loans'!$N$21=0),0,W66*INDIRECT("'My Loans'!$E"&amp;'My Loans'!$N$21)/12)</f>
        <v>0</v>
      </c>
      <c r="Y66" s="13">
        <f ca="1">IF(OR('My Loans'!$N$21="",'My Loans'!$N$21=0),0,IF(W66&lt;0.005,0,MIN(INDIRECT("'My Loans'!$F"&amp;'My Loans'!$N$21),W66+X66)))</f>
        <v>0</v>
      </c>
      <c r="Z66" s="13">
        <f ca="1">'My Loans'!$B$13-(D66+G66+J66+M66+P66+S66+V66+Y66)</f>
        <v>1400</v>
      </c>
      <c r="AA66" s="13">
        <f t="shared" ref="AA66:AA97" ca="1" si="86">MAX(0,Z66)</f>
        <v>1400</v>
      </c>
      <c r="AB66" s="13">
        <f t="shared" ref="AB66:AB97" ca="1" si="87">MAX(0,B66+C66-D66)</f>
        <v>0</v>
      </c>
      <c r="AC66" s="13">
        <f t="shared" ref="AC66:AC97" ca="1" si="88">MIN(AA66,AB66)</f>
        <v>0</v>
      </c>
      <c r="AD66" s="13">
        <f t="shared" ref="AD66:AD97" ca="1" si="89">D66+AC66</f>
        <v>0</v>
      </c>
      <c r="AE66" s="13">
        <f t="shared" ref="AE66:AE97" ca="1" si="90">MAX(0,B66+C66-AD66)</f>
        <v>0</v>
      </c>
      <c r="AF66" s="13">
        <f t="shared" ref="AF66:AF97" ca="1" si="91">MAX(0,AA66-AC66)</f>
        <v>1400</v>
      </c>
      <c r="AG66" s="13">
        <f t="shared" ref="AG66:AG97" ca="1" si="92">MAX(0,E66+F66-G66)</f>
        <v>0</v>
      </c>
      <c r="AH66" s="13">
        <f t="shared" ref="AH66:AH97" ca="1" si="93">MIN(AF66,AG66)</f>
        <v>0</v>
      </c>
      <c r="AI66" s="13">
        <f t="shared" ref="AI66:AI97" ca="1" si="94">G66+AH66</f>
        <v>0</v>
      </c>
      <c r="AJ66" s="13">
        <f t="shared" ref="AJ66:AJ97" ca="1" si="95">MAX(0,E66+F66-AI66)</f>
        <v>0</v>
      </c>
      <c r="AK66" s="13">
        <f t="shared" ref="AK66:AK97" ca="1" si="96">MAX(0,AF66-AH66)</f>
        <v>1400</v>
      </c>
      <c r="AL66" s="13">
        <f t="shared" ref="AL66:AL97" ca="1" si="97">MAX(0,H66+I66-J66)</f>
        <v>0</v>
      </c>
      <c r="AM66" s="13">
        <f t="shared" ref="AM66:AM97" ca="1" si="98">MIN(AK66,AL66)</f>
        <v>0</v>
      </c>
      <c r="AN66" s="13">
        <f t="shared" ref="AN66:AN97" ca="1" si="99">J66+AM66</f>
        <v>0</v>
      </c>
      <c r="AO66" s="13">
        <f t="shared" ref="AO66:AO97" ca="1" si="100">MAX(0,H66+I66-AN66)</f>
        <v>0</v>
      </c>
      <c r="AP66" s="13">
        <f t="shared" ref="AP66:AP97" ca="1" si="101">MAX(0,AK66-AM66)</f>
        <v>1400</v>
      </c>
      <c r="AQ66" s="13">
        <f t="shared" ref="AQ66:AQ97" ca="1" si="102">MAX(0,K66+L66-M66)</f>
        <v>0</v>
      </c>
      <c r="AR66" s="13">
        <f t="shared" ref="AR66:AR97" ca="1" si="103">MIN(AP66,AQ66)</f>
        <v>0</v>
      </c>
      <c r="AS66" s="13">
        <f t="shared" ref="AS66:AS97" ca="1" si="104">M66+AR66</f>
        <v>0</v>
      </c>
      <c r="AT66" s="13">
        <f t="shared" ref="AT66:AT97" ca="1" si="105">MAX(0,K66+L66-AS66)</f>
        <v>0</v>
      </c>
      <c r="AU66" s="13">
        <f t="shared" ref="AU66:AU97" ca="1" si="106">MAX(0,AP66-AR66)</f>
        <v>1400</v>
      </c>
      <c r="AV66" s="13">
        <f t="shared" ref="AV66:AV97" ca="1" si="107">MAX(0,N66+O66-P66)</f>
        <v>0</v>
      </c>
      <c r="AW66" s="13">
        <f t="shared" ref="AW66:AW97" ca="1" si="108">MIN(AU66,AV66)</f>
        <v>0</v>
      </c>
      <c r="AX66" s="13">
        <f t="shared" ref="AX66:AX97" ca="1" si="109">P66+AW66</f>
        <v>0</v>
      </c>
      <c r="AY66" s="13">
        <f t="shared" ref="AY66:AY97" ca="1" si="110">MAX(0,N66+O66-AX66)</f>
        <v>0</v>
      </c>
      <c r="AZ66" s="13">
        <f t="shared" ref="AZ66:AZ97" ca="1" si="111">MAX(0,AU66-AW66)</f>
        <v>1400</v>
      </c>
      <c r="BA66" s="13">
        <f t="shared" ref="BA66:BA97" ca="1" si="112">MAX(0,Q66+R66-S66)</f>
        <v>0</v>
      </c>
      <c r="BB66" s="13">
        <f t="shared" ref="BB66:BB97" ca="1" si="113">MIN(AZ66,BA66)</f>
        <v>0</v>
      </c>
      <c r="BC66" s="13">
        <f t="shared" ref="BC66:BC97" ca="1" si="114">S66+BB66</f>
        <v>0</v>
      </c>
      <c r="BD66" s="13">
        <f t="shared" ref="BD66:BD97" ca="1" si="115">MAX(0,Q66+R66-BC66)</f>
        <v>0</v>
      </c>
      <c r="BE66" s="13">
        <f t="shared" ref="BE66:BE97" ca="1" si="116">MAX(0,AZ66-BB66)</f>
        <v>1400</v>
      </c>
      <c r="BF66" s="13">
        <f t="shared" ref="BF66:BF97" ca="1" si="117">MAX(0,T66+U66-V66)</f>
        <v>0</v>
      </c>
      <c r="BG66" s="13">
        <f t="shared" ref="BG66:BG97" ca="1" si="118">MIN(BE66,BF66)</f>
        <v>0</v>
      </c>
      <c r="BH66" s="13">
        <f t="shared" ref="BH66:BH97" ca="1" si="119">V66+BG66</f>
        <v>0</v>
      </c>
      <c r="BI66" s="13">
        <f t="shared" ref="BI66:BI97" ca="1" si="120">MAX(0,T66+U66-BH66)</f>
        <v>0</v>
      </c>
      <c r="BJ66" s="13">
        <f t="shared" ref="BJ66:BJ97" ca="1" si="121">MAX(0,BE66-BG66)</f>
        <v>1400</v>
      </c>
      <c r="BK66" s="13">
        <f t="shared" ref="BK66:BK97" ca="1" si="122">MAX(0,W66+X66-Y66)</f>
        <v>0</v>
      </c>
      <c r="BL66" s="13">
        <f t="shared" ref="BL66:BL97" ca="1" si="123">MIN(BJ66,BK66)</f>
        <v>0</v>
      </c>
      <c r="BM66" s="13">
        <f t="shared" ref="BM66:BM97" ca="1" si="124">Y66+BL66</f>
        <v>0</v>
      </c>
      <c r="BN66" s="13">
        <f t="shared" ref="BN66:BN97" ca="1" si="125">MAX(0,W66+X66-BM66)</f>
        <v>0</v>
      </c>
      <c r="BO66" s="13">
        <f t="shared" ref="BO66:BO97" ca="1" si="126">AD66+AI66+AN66+AS66+AX66+BC66+BH66+BM66</f>
        <v>0</v>
      </c>
      <c r="BP66" s="13">
        <f t="shared" ref="BP66:BP97" ca="1" si="127">C66+F66+I66+L66+O66+R66+U66+X66</f>
        <v>0</v>
      </c>
      <c r="BQ66" s="13">
        <f t="shared" ref="BQ66:BQ97" ca="1" si="128">AE66+AJ66+AO66+AT66+AY66+BD66+BI66+BN66</f>
        <v>0</v>
      </c>
    </row>
    <row r="67" spans="1:69" x14ac:dyDescent="0.25">
      <c r="A67" s="1">
        <v>66</v>
      </c>
      <c r="B67" s="13">
        <f ca="1">IF(A67=1,IF(OR('My Loans'!$N$14="",'My Loans'!$N$14=0),0,INDIRECT("'My Loans'!$D"&amp;'My Loans'!$N$14)),AE66)</f>
        <v>0</v>
      </c>
      <c r="C67" s="13">
        <f ca="1">IF(OR('My Loans'!$N$14="",'My Loans'!$N$14=0),0,B67*INDIRECT("'My Loans'!$E"&amp;'My Loans'!$N$14)/12)</f>
        <v>0</v>
      </c>
      <c r="D67" s="13">
        <f ca="1">IF(OR('My Loans'!$N$14="",'My Loans'!$N$14=0),0,IF(B67&lt;0.005,0,MIN(INDIRECT("'My Loans'!$F"&amp;'My Loans'!$N$14),B67+C67)))</f>
        <v>0</v>
      </c>
      <c r="E67" s="13">
        <f ca="1">IF(A67=1,IF(OR('My Loans'!$N$15="",'My Loans'!$N$15=0),0,INDIRECT("'My Loans'!$D"&amp;'My Loans'!$N$15)),AJ66)</f>
        <v>0</v>
      </c>
      <c r="F67" s="13">
        <f ca="1">IF(OR('My Loans'!$N$15="",'My Loans'!$N$15=0),0,E67*INDIRECT("'My Loans'!$E"&amp;'My Loans'!$N$15)/12)</f>
        <v>0</v>
      </c>
      <c r="G67" s="13">
        <f ca="1">IF(OR('My Loans'!$N$15="",'My Loans'!$N$15=0),0,IF(E67&lt;0.005,0,MIN(INDIRECT("'My Loans'!$F"&amp;'My Loans'!$N$15),E67+F67)))</f>
        <v>0</v>
      </c>
      <c r="H67" s="13">
        <f ca="1">IF(A67=1,IF(OR('My Loans'!$N$16="",'My Loans'!$N$16=0),0,INDIRECT("'My Loans'!$D"&amp;'My Loans'!$N$16)),AO66)</f>
        <v>0</v>
      </c>
      <c r="I67" s="13">
        <f ca="1">IF(OR('My Loans'!$N$16="",'My Loans'!$N$16=0),0,H67*INDIRECT("'My Loans'!$E"&amp;'My Loans'!$N$16)/12)</f>
        <v>0</v>
      </c>
      <c r="J67" s="13">
        <f ca="1">IF(OR('My Loans'!$N$16="",'My Loans'!$N$16=0),0,IF(H67&lt;0.005,0,MIN(INDIRECT("'My Loans'!$F"&amp;'My Loans'!$N$16),H67+I67)))</f>
        <v>0</v>
      </c>
      <c r="K67" s="13">
        <f ca="1">IF(A67=1,IF(OR('My Loans'!$N$17="",'My Loans'!$N$17=0),0,INDIRECT("'My Loans'!$D"&amp;'My Loans'!$N$17)),AT66)</f>
        <v>0</v>
      </c>
      <c r="L67" s="13">
        <f ca="1">IF(OR('My Loans'!$N$17="",'My Loans'!$N$17=0),0,K67*INDIRECT("'My Loans'!$E"&amp;'My Loans'!$N$17)/12)</f>
        <v>0</v>
      </c>
      <c r="M67" s="13">
        <f ca="1">IF(OR('My Loans'!$N$17="",'My Loans'!$N$17=0),0,IF(K67&lt;0.005,0,MIN(INDIRECT("'My Loans'!$F"&amp;'My Loans'!$N$17),K67+L67)))</f>
        <v>0</v>
      </c>
      <c r="N67" s="13">
        <f ca="1">IF(A67=1,IF(OR('My Loans'!$N$18="",'My Loans'!$N$18=0),0,INDIRECT("'My Loans'!$D"&amp;'My Loans'!$N$18)),AY66)</f>
        <v>0</v>
      </c>
      <c r="O67" s="13">
        <f ca="1">IF(OR('My Loans'!$N$18="",'My Loans'!$N$18=0),0,N67*INDIRECT("'My Loans'!$E"&amp;'My Loans'!$N$18)/12)</f>
        <v>0</v>
      </c>
      <c r="P67" s="13">
        <f ca="1">IF(OR('My Loans'!$N$18="",'My Loans'!$N$18=0),0,IF(N67&lt;0.005,0,MIN(INDIRECT("'My Loans'!$F"&amp;'My Loans'!$N$18),N67+O67)))</f>
        <v>0</v>
      </c>
      <c r="Q67" s="13">
        <f ca="1">IF(A67=1,IF(OR('My Loans'!$N$19="",'My Loans'!$N$19=0),0,INDIRECT("'My Loans'!$D"&amp;'My Loans'!$N$19)),BD66)</f>
        <v>0</v>
      </c>
      <c r="R67" s="13">
        <f ca="1">IF(OR('My Loans'!$N$19="",'My Loans'!$N$19=0),0,Q67*INDIRECT("'My Loans'!$E"&amp;'My Loans'!$N$19)/12)</f>
        <v>0</v>
      </c>
      <c r="S67" s="13">
        <f ca="1">IF(OR('My Loans'!$N$19="",'My Loans'!$N$19=0),0,IF(Q67&lt;0.005,0,MIN(INDIRECT("'My Loans'!$F"&amp;'My Loans'!$N$19),Q67+R67)))</f>
        <v>0</v>
      </c>
      <c r="T67" s="13">
        <f ca="1">IF(A67=1,IF(OR('My Loans'!$N$20="",'My Loans'!$N$20=0),0,INDIRECT("'My Loans'!$D"&amp;'My Loans'!$N$20)),BI66)</f>
        <v>0</v>
      </c>
      <c r="U67" s="13">
        <f ca="1">IF(OR('My Loans'!$N$20="",'My Loans'!$N$20=0),0,T67*INDIRECT("'My Loans'!$E"&amp;'My Loans'!$N$20)/12)</f>
        <v>0</v>
      </c>
      <c r="V67" s="13">
        <f ca="1">IF(OR('My Loans'!$N$20="",'My Loans'!$N$20=0),0,IF(T67&lt;0.005,0,MIN(INDIRECT("'My Loans'!$F"&amp;'My Loans'!$N$20),T67+U67)))</f>
        <v>0</v>
      </c>
      <c r="W67" s="13">
        <f ca="1">IF(A67=1,IF(OR('My Loans'!$N$21="",'My Loans'!$N$21=0),0,INDIRECT("'My Loans'!$D"&amp;'My Loans'!$N$21)),BN66)</f>
        <v>0</v>
      </c>
      <c r="X67" s="13">
        <f ca="1">IF(OR('My Loans'!$N$21="",'My Loans'!$N$21=0),0,W67*INDIRECT("'My Loans'!$E"&amp;'My Loans'!$N$21)/12)</f>
        <v>0</v>
      </c>
      <c r="Y67" s="13">
        <f ca="1">IF(OR('My Loans'!$N$21="",'My Loans'!$N$21=0),0,IF(W67&lt;0.005,0,MIN(INDIRECT("'My Loans'!$F"&amp;'My Loans'!$N$21),W67+X67)))</f>
        <v>0</v>
      </c>
      <c r="Z67" s="13">
        <f ca="1">'My Loans'!$B$13-(D67+G67+J67+M67+P67+S67+V67+Y67)</f>
        <v>1400</v>
      </c>
      <c r="AA67" s="13">
        <f t="shared" ca="1" si="86"/>
        <v>1400</v>
      </c>
      <c r="AB67" s="13">
        <f t="shared" ca="1" si="87"/>
        <v>0</v>
      </c>
      <c r="AC67" s="13">
        <f t="shared" ca="1" si="88"/>
        <v>0</v>
      </c>
      <c r="AD67" s="13">
        <f t="shared" ca="1" si="89"/>
        <v>0</v>
      </c>
      <c r="AE67" s="13">
        <f t="shared" ca="1" si="90"/>
        <v>0</v>
      </c>
      <c r="AF67" s="13">
        <f t="shared" ca="1" si="91"/>
        <v>1400</v>
      </c>
      <c r="AG67" s="13">
        <f t="shared" ca="1" si="92"/>
        <v>0</v>
      </c>
      <c r="AH67" s="13">
        <f t="shared" ca="1" si="93"/>
        <v>0</v>
      </c>
      <c r="AI67" s="13">
        <f t="shared" ca="1" si="94"/>
        <v>0</v>
      </c>
      <c r="AJ67" s="13">
        <f t="shared" ca="1" si="95"/>
        <v>0</v>
      </c>
      <c r="AK67" s="13">
        <f t="shared" ca="1" si="96"/>
        <v>1400</v>
      </c>
      <c r="AL67" s="13">
        <f t="shared" ca="1" si="97"/>
        <v>0</v>
      </c>
      <c r="AM67" s="13">
        <f t="shared" ca="1" si="98"/>
        <v>0</v>
      </c>
      <c r="AN67" s="13">
        <f t="shared" ca="1" si="99"/>
        <v>0</v>
      </c>
      <c r="AO67" s="13">
        <f t="shared" ca="1" si="100"/>
        <v>0</v>
      </c>
      <c r="AP67" s="13">
        <f t="shared" ca="1" si="101"/>
        <v>1400</v>
      </c>
      <c r="AQ67" s="13">
        <f t="shared" ca="1" si="102"/>
        <v>0</v>
      </c>
      <c r="AR67" s="13">
        <f t="shared" ca="1" si="103"/>
        <v>0</v>
      </c>
      <c r="AS67" s="13">
        <f t="shared" ca="1" si="104"/>
        <v>0</v>
      </c>
      <c r="AT67" s="13">
        <f t="shared" ca="1" si="105"/>
        <v>0</v>
      </c>
      <c r="AU67" s="13">
        <f t="shared" ca="1" si="106"/>
        <v>1400</v>
      </c>
      <c r="AV67" s="13">
        <f t="shared" ca="1" si="107"/>
        <v>0</v>
      </c>
      <c r="AW67" s="13">
        <f t="shared" ca="1" si="108"/>
        <v>0</v>
      </c>
      <c r="AX67" s="13">
        <f t="shared" ca="1" si="109"/>
        <v>0</v>
      </c>
      <c r="AY67" s="13">
        <f t="shared" ca="1" si="110"/>
        <v>0</v>
      </c>
      <c r="AZ67" s="13">
        <f t="shared" ca="1" si="111"/>
        <v>1400</v>
      </c>
      <c r="BA67" s="13">
        <f t="shared" ca="1" si="112"/>
        <v>0</v>
      </c>
      <c r="BB67" s="13">
        <f t="shared" ca="1" si="113"/>
        <v>0</v>
      </c>
      <c r="BC67" s="13">
        <f t="shared" ca="1" si="114"/>
        <v>0</v>
      </c>
      <c r="BD67" s="13">
        <f t="shared" ca="1" si="115"/>
        <v>0</v>
      </c>
      <c r="BE67" s="13">
        <f t="shared" ca="1" si="116"/>
        <v>1400</v>
      </c>
      <c r="BF67" s="13">
        <f t="shared" ca="1" si="117"/>
        <v>0</v>
      </c>
      <c r="BG67" s="13">
        <f t="shared" ca="1" si="118"/>
        <v>0</v>
      </c>
      <c r="BH67" s="13">
        <f t="shared" ca="1" si="119"/>
        <v>0</v>
      </c>
      <c r="BI67" s="13">
        <f t="shared" ca="1" si="120"/>
        <v>0</v>
      </c>
      <c r="BJ67" s="13">
        <f t="shared" ca="1" si="121"/>
        <v>1400</v>
      </c>
      <c r="BK67" s="13">
        <f t="shared" ca="1" si="122"/>
        <v>0</v>
      </c>
      <c r="BL67" s="13">
        <f t="shared" ca="1" si="123"/>
        <v>0</v>
      </c>
      <c r="BM67" s="13">
        <f t="shared" ca="1" si="124"/>
        <v>0</v>
      </c>
      <c r="BN67" s="13">
        <f t="shared" ca="1" si="125"/>
        <v>0</v>
      </c>
      <c r="BO67" s="13">
        <f t="shared" ca="1" si="126"/>
        <v>0</v>
      </c>
      <c r="BP67" s="13">
        <f t="shared" ca="1" si="127"/>
        <v>0</v>
      </c>
      <c r="BQ67" s="13">
        <f t="shared" ca="1" si="128"/>
        <v>0</v>
      </c>
    </row>
    <row r="68" spans="1:69" x14ac:dyDescent="0.25">
      <c r="A68" s="1">
        <v>67</v>
      </c>
      <c r="B68" s="13">
        <f ca="1">IF(A68=1,IF(OR('My Loans'!$N$14="",'My Loans'!$N$14=0),0,INDIRECT("'My Loans'!$D"&amp;'My Loans'!$N$14)),AE67)</f>
        <v>0</v>
      </c>
      <c r="C68" s="13">
        <f ca="1">IF(OR('My Loans'!$N$14="",'My Loans'!$N$14=0),0,B68*INDIRECT("'My Loans'!$E"&amp;'My Loans'!$N$14)/12)</f>
        <v>0</v>
      </c>
      <c r="D68" s="13">
        <f ca="1">IF(OR('My Loans'!$N$14="",'My Loans'!$N$14=0),0,IF(B68&lt;0.005,0,MIN(INDIRECT("'My Loans'!$F"&amp;'My Loans'!$N$14),B68+C68)))</f>
        <v>0</v>
      </c>
      <c r="E68" s="13">
        <f ca="1">IF(A68=1,IF(OR('My Loans'!$N$15="",'My Loans'!$N$15=0),0,INDIRECT("'My Loans'!$D"&amp;'My Loans'!$N$15)),AJ67)</f>
        <v>0</v>
      </c>
      <c r="F68" s="13">
        <f ca="1">IF(OR('My Loans'!$N$15="",'My Loans'!$N$15=0),0,E68*INDIRECT("'My Loans'!$E"&amp;'My Loans'!$N$15)/12)</f>
        <v>0</v>
      </c>
      <c r="G68" s="13">
        <f ca="1">IF(OR('My Loans'!$N$15="",'My Loans'!$N$15=0),0,IF(E68&lt;0.005,0,MIN(INDIRECT("'My Loans'!$F"&amp;'My Loans'!$N$15),E68+F68)))</f>
        <v>0</v>
      </c>
      <c r="H68" s="13">
        <f ca="1">IF(A68=1,IF(OR('My Loans'!$N$16="",'My Loans'!$N$16=0),0,INDIRECT("'My Loans'!$D"&amp;'My Loans'!$N$16)),AO67)</f>
        <v>0</v>
      </c>
      <c r="I68" s="13">
        <f ca="1">IF(OR('My Loans'!$N$16="",'My Loans'!$N$16=0),0,H68*INDIRECT("'My Loans'!$E"&amp;'My Loans'!$N$16)/12)</f>
        <v>0</v>
      </c>
      <c r="J68" s="13">
        <f ca="1">IF(OR('My Loans'!$N$16="",'My Loans'!$N$16=0),0,IF(H68&lt;0.005,0,MIN(INDIRECT("'My Loans'!$F"&amp;'My Loans'!$N$16),H68+I68)))</f>
        <v>0</v>
      </c>
      <c r="K68" s="13">
        <f ca="1">IF(A68=1,IF(OR('My Loans'!$N$17="",'My Loans'!$N$17=0),0,INDIRECT("'My Loans'!$D"&amp;'My Loans'!$N$17)),AT67)</f>
        <v>0</v>
      </c>
      <c r="L68" s="13">
        <f ca="1">IF(OR('My Loans'!$N$17="",'My Loans'!$N$17=0),0,K68*INDIRECT("'My Loans'!$E"&amp;'My Loans'!$N$17)/12)</f>
        <v>0</v>
      </c>
      <c r="M68" s="13">
        <f ca="1">IF(OR('My Loans'!$N$17="",'My Loans'!$N$17=0),0,IF(K68&lt;0.005,0,MIN(INDIRECT("'My Loans'!$F"&amp;'My Loans'!$N$17),K68+L68)))</f>
        <v>0</v>
      </c>
      <c r="N68" s="13">
        <f ca="1">IF(A68=1,IF(OR('My Loans'!$N$18="",'My Loans'!$N$18=0),0,INDIRECT("'My Loans'!$D"&amp;'My Loans'!$N$18)),AY67)</f>
        <v>0</v>
      </c>
      <c r="O68" s="13">
        <f ca="1">IF(OR('My Loans'!$N$18="",'My Loans'!$N$18=0),0,N68*INDIRECT("'My Loans'!$E"&amp;'My Loans'!$N$18)/12)</f>
        <v>0</v>
      </c>
      <c r="P68" s="13">
        <f ca="1">IF(OR('My Loans'!$N$18="",'My Loans'!$N$18=0),0,IF(N68&lt;0.005,0,MIN(INDIRECT("'My Loans'!$F"&amp;'My Loans'!$N$18),N68+O68)))</f>
        <v>0</v>
      </c>
      <c r="Q68" s="13">
        <f ca="1">IF(A68=1,IF(OR('My Loans'!$N$19="",'My Loans'!$N$19=0),0,INDIRECT("'My Loans'!$D"&amp;'My Loans'!$N$19)),BD67)</f>
        <v>0</v>
      </c>
      <c r="R68" s="13">
        <f ca="1">IF(OR('My Loans'!$N$19="",'My Loans'!$N$19=0),0,Q68*INDIRECT("'My Loans'!$E"&amp;'My Loans'!$N$19)/12)</f>
        <v>0</v>
      </c>
      <c r="S68" s="13">
        <f ca="1">IF(OR('My Loans'!$N$19="",'My Loans'!$N$19=0),0,IF(Q68&lt;0.005,0,MIN(INDIRECT("'My Loans'!$F"&amp;'My Loans'!$N$19),Q68+R68)))</f>
        <v>0</v>
      </c>
      <c r="T68" s="13">
        <f ca="1">IF(A68=1,IF(OR('My Loans'!$N$20="",'My Loans'!$N$20=0),0,INDIRECT("'My Loans'!$D"&amp;'My Loans'!$N$20)),BI67)</f>
        <v>0</v>
      </c>
      <c r="U68" s="13">
        <f ca="1">IF(OR('My Loans'!$N$20="",'My Loans'!$N$20=0),0,T68*INDIRECT("'My Loans'!$E"&amp;'My Loans'!$N$20)/12)</f>
        <v>0</v>
      </c>
      <c r="V68" s="13">
        <f ca="1">IF(OR('My Loans'!$N$20="",'My Loans'!$N$20=0),0,IF(T68&lt;0.005,0,MIN(INDIRECT("'My Loans'!$F"&amp;'My Loans'!$N$20),T68+U68)))</f>
        <v>0</v>
      </c>
      <c r="W68" s="13">
        <f ca="1">IF(A68=1,IF(OR('My Loans'!$N$21="",'My Loans'!$N$21=0),0,INDIRECT("'My Loans'!$D"&amp;'My Loans'!$N$21)),BN67)</f>
        <v>0</v>
      </c>
      <c r="X68" s="13">
        <f ca="1">IF(OR('My Loans'!$N$21="",'My Loans'!$N$21=0),0,W68*INDIRECT("'My Loans'!$E"&amp;'My Loans'!$N$21)/12)</f>
        <v>0</v>
      </c>
      <c r="Y68" s="13">
        <f ca="1">IF(OR('My Loans'!$N$21="",'My Loans'!$N$21=0),0,IF(W68&lt;0.005,0,MIN(INDIRECT("'My Loans'!$F"&amp;'My Loans'!$N$21),W68+X68)))</f>
        <v>0</v>
      </c>
      <c r="Z68" s="13">
        <f ca="1">'My Loans'!$B$13-(D68+G68+J68+M68+P68+S68+V68+Y68)</f>
        <v>1400</v>
      </c>
      <c r="AA68" s="13">
        <f t="shared" ca="1" si="86"/>
        <v>1400</v>
      </c>
      <c r="AB68" s="13">
        <f t="shared" ca="1" si="87"/>
        <v>0</v>
      </c>
      <c r="AC68" s="13">
        <f t="shared" ca="1" si="88"/>
        <v>0</v>
      </c>
      <c r="AD68" s="13">
        <f t="shared" ca="1" si="89"/>
        <v>0</v>
      </c>
      <c r="AE68" s="13">
        <f t="shared" ca="1" si="90"/>
        <v>0</v>
      </c>
      <c r="AF68" s="13">
        <f t="shared" ca="1" si="91"/>
        <v>1400</v>
      </c>
      <c r="AG68" s="13">
        <f t="shared" ca="1" si="92"/>
        <v>0</v>
      </c>
      <c r="AH68" s="13">
        <f t="shared" ca="1" si="93"/>
        <v>0</v>
      </c>
      <c r="AI68" s="13">
        <f t="shared" ca="1" si="94"/>
        <v>0</v>
      </c>
      <c r="AJ68" s="13">
        <f t="shared" ca="1" si="95"/>
        <v>0</v>
      </c>
      <c r="AK68" s="13">
        <f t="shared" ca="1" si="96"/>
        <v>1400</v>
      </c>
      <c r="AL68" s="13">
        <f t="shared" ca="1" si="97"/>
        <v>0</v>
      </c>
      <c r="AM68" s="13">
        <f t="shared" ca="1" si="98"/>
        <v>0</v>
      </c>
      <c r="AN68" s="13">
        <f t="shared" ca="1" si="99"/>
        <v>0</v>
      </c>
      <c r="AO68" s="13">
        <f t="shared" ca="1" si="100"/>
        <v>0</v>
      </c>
      <c r="AP68" s="13">
        <f t="shared" ca="1" si="101"/>
        <v>1400</v>
      </c>
      <c r="AQ68" s="13">
        <f t="shared" ca="1" si="102"/>
        <v>0</v>
      </c>
      <c r="AR68" s="13">
        <f t="shared" ca="1" si="103"/>
        <v>0</v>
      </c>
      <c r="AS68" s="13">
        <f t="shared" ca="1" si="104"/>
        <v>0</v>
      </c>
      <c r="AT68" s="13">
        <f t="shared" ca="1" si="105"/>
        <v>0</v>
      </c>
      <c r="AU68" s="13">
        <f t="shared" ca="1" si="106"/>
        <v>1400</v>
      </c>
      <c r="AV68" s="13">
        <f t="shared" ca="1" si="107"/>
        <v>0</v>
      </c>
      <c r="AW68" s="13">
        <f t="shared" ca="1" si="108"/>
        <v>0</v>
      </c>
      <c r="AX68" s="13">
        <f t="shared" ca="1" si="109"/>
        <v>0</v>
      </c>
      <c r="AY68" s="13">
        <f t="shared" ca="1" si="110"/>
        <v>0</v>
      </c>
      <c r="AZ68" s="13">
        <f t="shared" ca="1" si="111"/>
        <v>1400</v>
      </c>
      <c r="BA68" s="13">
        <f t="shared" ca="1" si="112"/>
        <v>0</v>
      </c>
      <c r="BB68" s="13">
        <f t="shared" ca="1" si="113"/>
        <v>0</v>
      </c>
      <c r="BC68" s="13">
        <f t="shared" ca="1" si="114"/>
        <v>0</v>
      </c>
      <c r="BD68" s="13">
        <f t="shared" ca="1" si="115"/>
        <v>0</v>
      </c>
      <c r="BE68" s="13">
        <f t="shared" ca="1" si="116"/>
        <v>1400</v>
      </c>
      <c r="BF68" s="13">
        <f t="shared" ca="1" si="117"/>
        <v>0</v>
      </c>
      <c r="BG68" s="13">
        <f t="shared" ca="1" si="118"/>
        <v>0</v>
      </c>
      <c r="BH68" s="13">
        <f t="shared" ca="1" si="119"/>
        <v>0</v>
      </c>
      <c r="BI68" s="13">
        <f t="shared" ca="1" si="120"/>
        <v>0</v>
      </c>
      <c r="BJ68" s="13">
        <f t="shared" ca="1" si="121"/>
        <v>1400</v>
      </c>
      <c r="BK68" s="13">
        <f t="shared" ca="1" si="122"/>
        <v>0</v>
      </c>
      <c r="BL68" s="13">
        <f t="shared" ca="1" si="123"/>
        <v>0</v>
      </c>
      <c r="BM68" s="13">
        <f t="shared" ca="1" si="124"/>
        <v>0</v>
      </c>
      <c r="BN68" s="13">
        <f t="shared" ca="1" si="125"/>
        <v>0</v>
      </c>
      <c r="BO68" s="13">
        <f t="shared" ca="1" si="126"/>
        <v>0</v>
      </c>
      <c r="BP68" s="13">
        <f t="shared" ca="1" si="127"/>
        <v>0</v>
      </c>
      <c r="BQ68" s="13">
        <f t="shared" ca="1" si="128"/>
        <v>0</v>
      </c>
    </row>
    <row r="69" spans="1:69" x14ac:dyDescent="0.25">
      <c r="A69" s="1">
        <v>68</v>
      </c>
      <c r="B69" s="13">
        <f ca="1">IF(A69=1,IF(OR('My Loans'!$N$14="",'My Loans'!$N$14=0),0,INDIRECT("'My Loans'!$D"&amp;'My Loans'!$N$14)),AE68)</f>
        <v>0</v>
      </c>
      <c r="C69" s="13">
        <f ca="1">IF(OR('My Loans'!$N$14="",'My Loans'!$N$14=0),0,B69*INDIRECT("'My Loans'!$E"&amp;'My Loans'!$N$14)/12)</f>
        <v>0</v>
      </c>
      <c r="D69" s="13">
        <f ca="1">IF(OR('My Loans'!$N$14="",'My Loans'!$N$14=0),0,IF(B69&lt;0.005,0,MIN(INDIRECT("'My Loans'!$F"&amp;'My Loans'!$N$14),B69+C69)))</f>
        <v>0</v>
      </c>
      <c r="E69" s="13">
        <f ca="1">IF(A69=1,IF(OR('My Loans'!$N$15="",'My Loans'!$N$15=0),0,INDIRECT("'My Loans'!$D"&amp;'My Loans'!$N$15)),AJ68)</f>
        <v>0</v>
      </c>
      <c r="F69" s="13">
        <f ca="1">IF(OR('My Loans'!$N$15="",'My Loans'!$N$15=0),0,E69*INDIRECT("'My Loans'!$E"&amp;'My Loans'!$N$15)/12)</f>
        <v>0</v>
      </c>
      <c r="G69" s="13">
        <f ca="1">IF(OR('My Loans'!$N$15="",'My Loans'!$N$15=0),0,IF(E69&lt;0.005,0,MIN(INDIRECT("'My Loans'!$F"&amp;'My Loans'!$N$15),E69+F69)))</f>
        <v>0</v>
      </c>
      <c r="H69" s="13">
        <f ca="1">IF(A69=1,IF(OR('My Loans'!$N$16="",'My Loans'!$N$16=0),0,INDIRECT("'My Loans'!$D"&amp;'My Loans'!$N$16)),AO68)</f>
        <v>0</v>
      </c>
      <c r="I69" s="13">
        <f ca="1">IF(OR('My Loans'!$N$16="",'My Loans'!$N$16=0),0,H69*INDIRECT("'My Loans'!$E"&amp;'My Loans'!$N$16)/12)</f>
        <v>0</v>
      </c>
      <c r="J69" s="13">
        <f ca="1">IF(OR('My Loans'!$N$16="",'My Loans'!$N$16=0),0,IF(H69&lt;0.005,0,MIN(INDIRECT("'My Loans'!$F"&amp;'My Loans'!$N$16),H69+I69)))</f>
        <v>0</v>
      </c>
      <c r="K69" s="13">
        <f ca="1">IF(A69=1,IF(OR('My Loans'!$N$17="",'My Loans'!$N$17=0),0,INDIRECT("'My Loans'!$D"&amp;'My Loans'!$N$17)),AT68)</f>
        <v>0</v>
      </c>
      <c r="L69" s="13">
        <f ca="1">IF(OR('My Loans'!$N$17="",'My Loans'!$N$17=0),0,K69*INDIRECT("'My Loans'!$E"&amp;'My Loans'!$N$17)/12)</f>
        <v>0</v>
      </c>
      <c r="M69" s="13">
        <f ca="1">IF(OR('My Loans'!$N$17="",'My Loans'!$N$17=0),0,IF(K69&lt;0.005,0,MIN(INDIRECT("'My Loans'!$F"&amp;'My Loans'!$N$17),K69+L69)))</f>
        <v>0</v>
      </c>
      <c r="N69" s="13">
        <f ca="1">IF(A69=1,IF(OR('My Loans'!$N$18="",'My Loans'!$N$18=0),0,INDIRECT("'My Loans'!$D"&amp;'My Loans'!$N$18)),AY68)</f>
        <v>0</v>
      </c>
      <c r="O69" s="13">
        <f ca="1">IF(OR('My Loans'!$N$18="",'My Loans'!$N$18=0),0,N69*INDIRECT("'My Loans'!$E"&amp;'My Loans'!$N$18)/12)</f>
        <v>0</v>
      </c>
      <c r="P69" s="13">
        <f ca="1">IF(OR('My Loans'!$N$18="",'My Loans'!$N$18=0),0,IF(N69&lt;0.005,0,MIN(INDIRECT("'My Loans'!$F"&amp;'My Loans'!$N$18),N69+O69)))</f>
        <v>0</v>
      </c>
      <c r="Q69" s="13">
        <f ca="1">IF(A69=1,IF(OR('My Loans'!$N$19="",'My Loans'!$N$19=0),0,INDIRECT("'My Loans'!$D"&amp;'My Loans'!$N$19)),BD68)</f>
        <v>0</v>
      </c>
      <c r="R69" s="13">
        <f ca="1">IF(OR('My Loans'!$N$19="",'My Loans'!$N$19=0),0,Q69*INDIRECT("'My Loans'!$E"&amp;'My Loans'!$N$19)/12)</f>
        <v>0</v>
      </c>
      <c r="S69" s="13">
        <f ca="1">IF(OR('My Loans'!$N$19="",'My Loans'!$N$19=0),0,IF(Q69&lt;0.005,0,MIN(INDIRECT("'My Loans'!$F"&amp;'My Loans'!$N$19),Q69+R69)))</f>
        <v>0</v>
      </c>
      <c r="T69" s="13">
        <f ca="1">IF(A69=1,IF(OR('My Loans'!$N$20="",'My Loans'!$N$20=0),0,INDIRECT("'My Loans'!$D"&amp;'My Loans'!$N$20)),BI68)</f>
        <v>0</v>
      </c>
      <c r="U69" s="13">
        <f ca="1">IF(OR('My Loans'!$N$20="",'My Loans'!$N$20=0),0,T69*INDIRECT("'My Loans'!$E"&amp;'My Loans'!$N$20)/12)</f>
        <v>0</v>
      </c>
      <c r="V69" s="13">
        <f ca="1">IF(OR('My Loans'!$N$20="",'My Loans'!$N$20=0),0,IF(T69&lt;0.005,0,MIN(INDIRECT("'My Loans'!$F"&amp;'My Loans'!$N$20),T69+U69)))</f>
        <v>0</v>
      </c>
      <c r="W69" s="13">
        <f ca="1">IF(A69=1,IF(OR('My Loans'!$N$21="",'My Loans'!$N$21=0),0,INDIRECT("'My Loans'!$D"&amp;'My Loans'!$N$21)),BN68)</f>
        <v>0</v>
      </c>
      <c r="X69" s="13">
        <f ca="1">IF(OR('My Loans'!$N$21="",'My Loans'!$N$21=0),0,W69*INDIRECT("'My Loans'!$E"&amp;'My Loans'!$N$21)/12)</f>
        <v>0</v>
      </c>
      <c r="Y69" s="13">
        <f ca="1">IF(OR('My Loans'!$N$21="",'My Loans'!$N$21=0),0,IF(W69&lt;0.005,0,MIN(INDIRECT("'My Loans'!$F"&amp;'My Loans'!$N$21),W69+X69)))</f>
        <v>0</v>
      </c>
      <c r="Z69" s="13">
        <f ca="1">'My Loans'!$B$13-(D69+G69+J69+M69+P69+S69+V69+Y69)</f>
        <v>1400</v>
      </c>
      <c r="AA69" s="13">
        <f t="shared" ca="1" si="86"/>
        <v>1400</v>
      </c>
      <c r="AB69" s="13">
        <f t="shared" ca="1" si="87"/>
        <v>0</v>
      </c>
      <c r="AC69" s="13">
        <f t="shared" ca="1" si="88"/>
        <v>0</v>
      </c>
      <c r="AD69" s="13">
        <f t="shared" ca="1" si="89"/>
        <v>0</v>
      </c>
      <c r="AE69" s="13">
        <f t="shared" ca="1" si="90"/>
        <v>0</v>
      </c>
      <c r="AF69" s="13">
        <f t="shared" ca="1" si="91"/>
        <v>1400</v>
      </c>
      <c r="AG69" s="13">
        <f t="shared" ca="1" si="92"/>
        <v>0</v>
      </c>
      <c r="AH69" s="13">
        <f t="shared" ca="1" si="93"/>
        <v>0</v>
      </c>
      <c r="AI69" s="13">
        <f t="shared" ca="1" si="94"/>
        <v>0</v>
      </c>
      <c r="AJ69" s="13">
        <f t="shared" ca="1" si="95"/>
        <v>0</v>
      </c>
      <c r="AK69" s="13">
        <f t="shared" ca="1" si="96"/>
        <v>1400</v>
      </c>
      <c r="AL69" s="13">
        <f t="shared" ca="1" si="97"/>
        <v>0</v>
      </c>
      <c r="AM69" s="13">
        <f t="shared" ca="1" si="98"/>
        <v>0</v>
      </c>
      <c r="AN69" s="13">
        <f t="shared" ca="1" si="99"/>
        <v>0</v>
      </c>
      <c r="AO69" s="13">
        <f t="shared" ca="1" si="100"/>
        <v>0</v>
      </c>
      <c r="AP69" s="13">
        <f t="shared" ca="1" si="101"/>
        <v>1400</v>
      </c>
      <c r="AQ69" s="13">
        <f t="shared" ca="1" si="102"/>
        <v>0</v>
      </c>
      <c r="AR69" s="13">
        <f t="shared" ca="1" si="103"/>
        <v>0</v>
      </c>
      <c r="AS69" s="13">
        <f t="shared" ca="1" si="104"/>
        <v>0</v>
      </c>
      <c r="AT69" s="13">
        <f t="shared" ca="1" si="105"/>
        <v>0</v>
      </c>
      <c r="AU69" s="13">
        <f t="shared" ca="1" si="106"/>
        <v>1400</v>
      </c>
      <c r="AV69" s="13">
        <f t="shared" ca="1" si="107"/>
        <v>0</v>
      </c>
      <c r="AW69" s="13">
        <f t="shared" ca="1" si="108"/>
        <v>0</v>
      </c>
      <c r="AX69" s="13">
        <f t="shared" ca="1" si="109"/>
        <v>0</v>
      </c>
      <c r="AY69" s="13">
        <f t="shared" ca="1" si="110"/>
        <v>0</v>
      </c>
      <c r="AZ69" s="13">
        <f t="shared" ca="1" si="111"/>
        <v>1400</v>
      </c>
      <c r="BA69" s="13">
        <f t="shared" ca="1" si="112"/>
        <v>0</v>
      </c>
      <c r="BB69" s="13">
        <f t="shared" ca="1" si="113"/>
        <v>0</v>
      </c>
      <c r="BC69" s="13">
        <f t="shared" ca="1" si="114"/>
        <v>0</v>
      </c>
      <c r="BD69" s="13">
        <f t="shared" ca="1" si="115"/>
        <v>0</v>
      </c>
      <c r="BE69" s="13">
        <f t="shared" ca="1" si="116"/>
        <v>1400</v>
      </c>
      <c r="BF69" s="13">
        <f t="shared" ca="1" si="117"/>
        <v>0</v>
      </c>
      <c r="BG69" s="13">
        <f t="shared" ca="1" si="118"/>
        <v>0</v>
      </c>
      <c r="BH69" s="13">
        <f t="shared" ca="1" si="119"/>
        <v>0</v>
      </c>
      <c r="BI69" s="13">
        <f t="shared" ca="1" si="120"/>
        <v>0</v>
      </c>
      <c r="BJ69" s="13">
        <f t="shared" ca="1" si="121"/>
        <v>1400</v>
      </c>
      <c r="BK69" s="13">
        <f t="shared" ca="1" si="122"/>
        <v>0</v>
      </c>
      <c r="BL69" s="13">
        <f t="shared" ca="1" si="123"/>
        <v>0</v>
      </c>
      <c r="BM69" s="13">
        <f t="shared" ca="1" si="124"/>
        <v>0</v>
      </c>
      <c r="BN69" s="13">
        <f t="shared" ca="1" si="125"/>
        <v>0</v>
      </c>
      <c r="BO69" s="13">
        <f t="shared" ca="1" si="126"/>
        <v>0</v>
      </c>
      <c r="BP69" s="13">
        <f t="shared" ca="1" si="127"/>
        <v>0</v>
      </c>
      <c r="BQ69" s="13">
        <f t="shared" ca="1" si="128"/>
        <v>0</v>
      </c>
    </row>
    <row r="70" spans="1:69" x14ac:dyDescent="0.25">
      <c r="A70" s="1">
        <v>69</v>
      </c>
      <c r="B70" s="13">
        <f ca="1">IF(A70=1,IF(OR('My Loans'!$N$14="",'My Loans'!$N$14=0),0,INDIRECT("'My Loans'!$D"&amp;'My Loans'!$N$14)),AE69)</f>
        <v>0</v>
      </c>
      <c r="C70" s="13">
        <f ca="1">IF(OR('My Loans'!$N$14="",'My Loans'!$N$14=0),0,B70*INDIRECT("'My Loans'!$E"&amp;'My Loans'!$N$14)/12)</f>
        <v>0</v>
      </c>
      <c r="D70" s="13">
        <f ca="1">IF(OR('My Loans'!$N$14="",'My Loans'!$N$14=0),0,IF(B70&lt;0.005,0,MIN(INDIRECT("'My Loans'!$F"&amp;'My Loans'!$N$14),B70+C70)))</f>
        <v>0</v>
      </c>
      <c r="E70" s="13">
        <f ca="1">IF(A70=1,IF(OR('My Loans'!$N$15="",'My Loans'!$N$15=0),0,INDIRECT("'My Loans'!$D"&amp;'My Loans'!$N$15)),AJ69)</f>
        <v>0</v>
      </c>
      <c r="F70" s="13">
        <f ca="1">IF(OR('My Loans'!$N$15="",'My Loans'!$N$15=0),0,E70*INDIRECT("'My Loans'!$E"&amp;'My Loans'!$N$15)/12)</f>
        <v>0</v>
      </c>
      <c r="G70" s="13">
        <f ca="1">IF(OR('My Loans'!$N$15="",'My Loans'!$N$15=0),0,IF(E70&lt;0.005,0,MIN(INDIRECT("'My Loans'!$F"&amp;'My Loans'!$N$15),E70+F70)))</f>
        <v>0</v>
      </c>
      <c r="H70" s="13">
        <f ca="1">IF(A70=1,IF(OR('My Loans'!$N$16="",'My Loans'!$N$16=0),0,INDIRECT("'My Loans'!$D"&amp;'My Loans'!$N$16)),AO69)</f>
        <v>0</v>
      </c>
      <c r="I70" s="13">
        <f ca="1">IF(OR('My Loans'!$N$16="",'My Loans'!$N$16=0),0,H70*INDIRECT("'My Loans'!$E"&amp;'My Loans'!$N$16)/12)</f>
        <v>0</v>
      </c>
      <c r="J70" s="13">
        <f ca="1">IF(OR('My Loans'!$N$16="",'My Loans'!$N$16=0),0,IF(H70&lt;0.005,0,MIN(INDIRECT("'My Loans'!$F"&amp;'My Loans'!$N$16),H70+I70)))</f>
        <v>0</v>
      </c>
      <c r="K70" s="13">
        <f ca="1">IF(A70=1,IF(OR('My Loans'!$N$17="",'My Loans'!$N$17=0),0,INDIRECT("'My Loans'!$D"&amp;'My Loans'!$N$17)),AT69)</f>
        <v>0</v>
      </c>
      <c r="L70" s="13">
        <f ca="1">IF(OR('My Loans'!$N$17="",'My Loans'!$N$17=0),0,K70*INDIRECT("'My Loans'!$E"&amp;'My Loans'!$N$17)/12)</f>
        <v>0</v>
      </c>
      <c r="M70" s="13">
        <f ca="1">IF(OR('My Loans'!$N$17="",'My Loans'!$N$17=0),0,IF(K70&lt;0.005,0,MIN(INDIRECT("'My Loans'!$F"&amp;'My Loans'!$N$17),K70+L70)))</f>
        <v>0</v>
      </c>
      <c r="N70" s="13">
        <f ca="1">IF(A70=1,IF(OR('My Loans'!$N$18="",'My Loans'!$N$18=0),0,INDIRECT("'My Loans'!$D"&amp;'My Loans'!$N$18)),AY69)</f>
        <v>0</v>
      </c>
      <c r="O70" s="13">
        <f ca="1">IF(OR('My Loans'!$N$18="",'My Loans'!$N$18=0),0,N70*INDIRECT("'My Loans'!$E"&amp;'My Loans'!$N$18)/12)</f>
        <v>0</v>
      </c>
      <c r="P70" s="13">
        <f ca="1">IF(OR('My Loans'!$N$18="",'My Loans'!$N$18=0),0,IF(N70&lt;0.005,0,MIN(INDIRECT("'My Loans'!$F"&amp;'My Loans'!$N$18),N70+O70)))</f>
        <v>0</v>
      </c>
      <c r="Q70" s="13">
        <f ca="1">IF(A70=1,IF(OR('My Loans'!$N$19="",'My Loans'!$N$19=0),0,INDIRECT("'My Loans'!$D"&amp;'My Loans'!$N$19)),BD69)</f>
        <v>0</v>
      </c>
      <c r="R70" s="13">
        <f ca="1">IF(OR('My Loans'!$N$19="",'My Loans'!$N$19=0),0,Q70*INDIRECT("'My Loans'!$E"&amp;'My Loans'!$N$19)/12)</f>
        <v>0</v>
      </c>
      <c r="S70" s="13">
        <f ca="1">IF(OR('My Loans'!$N$19="",'My Loans'!$N$19=0),0,IF(Q70&lt;0.005,0,MIN(INDIRECT("'My Loans'!$F"&amp;'My Loans'!$N$19),Q70+R70)))</f>
        <v>0</v>
      </c>
      <c r="T70" s="13">
        <f ca="1">IF(A70=1,IF(OR('My Loans'!$N$20="",'My Loans'!$N$20=0),0,INDIRECT("'My Loans'!$D"&amp;'My Loans'!$N$20)),BI69)</f>
        <v>0</v>
      </c>
      <c r="U70" s="13">
        <f ca="1">IF(OR('My Loans'!$N$20="",'My Loans'!$N$20=0),0,T70*INDIRECT("'My Loans'!$E"&amp;'My Loans'!$N$20)/12)</f>
        <v>0</v>
      </c>
      <c r="V70" s="13">
        <f ca="1">IF(OR('My Loans'!$N$20="",'My Loans'!$N$20=0),0,IF(T70&lt;0.005,0,MIN(INDIRECT("'My Loans'!$F"&amp;'My Loans'!$N$20),T70+U70)))</f>
        <v>0</v>
      </c>
      <c r="W70" s="13">
        <f ca="1">IF(A70=1,IF(OR('My Loans'!$N$21="",'My Loans'!$N$21=0),0,INDIRECT("'My Loans'!$D"&amp;'My Loans'!$N$21)),BN69)</f>
        <v>0</v>
      </c>
      <c r="X70" s="13">
        <f ca="1">IF(OR('My Loans'!$N$21="",'My Loans'!$N$21=0),0,W70*INDIRECT("'My Loans'!$E"&amp;'My Loans'!$N$21)/12)</f>
        <v>0</v>
      </c>
      <c r="Y70" s="13">
        <f ca="1">IF(OR('My Loans'!$N$21="",'My Loans'!$N$21=0),0,IF(W70&lt;0.005,0,MIN(INDIRECT("'My Loans'!$F"&amp;'My Loans'!$N$21),W70+X70)))</f>
        <v>0</v>
      </c>
      <c r="Z70" s="13">
        <f ca="1">'My Loans'!$B$13-(D70+G70+J70+M70+P70+S70+V70+Y70)</f>
        <v>1400</v>
      </c>
      <c r="AA70" s="13">
        <f t="shared" ca="1" si="86"/>
        <v>1400</v>
      </c>
      <c r="AB70" s="13">
        <f t="shared" ca="1" si="87"/>
        <v>0</v>
      </c>
      <c r="AC70" s="13">
        <f t="shared" ca="1" si="88"/>
        <v>0</v>
      </c>
      <c r="AD70" s="13">
        <f t="shared" ca="1" si="89"/>
        <v>0</v>
      </c>
      <c r="AE70" s="13">
        <f t="shared" ca="1" si="90"/>
        <v>0</v>
      </c>
      <c r="AF70" s="13">
        <f t="shared" ca="1" si="91"/>
        <v>1400</v>
      </c>
      <c r="AG70" s="13">
        <f t="shared" ca="1" si="92"/>
        <v>0</v>
      </c>
      <c r="AH70" s="13">
        <f t="shared" ca="1" si="93"/>
        <v>0</v>
      </c>
      <c r="AI70" s="13">
        <f t="shared" ca="1" si="94"/>
        <v>0</v>
      </c>
      <c r="AJ70" s="13">
        <f t="shared" ca="1" si="95"/>
        <v>0</v>
      </c>
      <c r="AK70" s="13">
        <f t="shared" ca="1" si="96"/>
        <v>1400</v>
      </c>
      <c r="AL70" s="13">
        <f t="shared" ca="1" si="97"/>
        <v>0</v>
      </c>
      <c r="AM70" s="13">
        <f t="shared" ca="1" si="98"/>
        <v>0</v>
      </c>
      <c r="AN70" s="13">
        <f t="shared" ca="1" si="99"/>
        <v>0</v>
      </c>
      <c r="AO70" s="13">
        <f t="shared" ca="1" si="100"/>
        <v>0</v>
      </c>
      <c r="AP70" s="13">
        <f t="shared" ca="1" si="101"/>
        <v>1400</v>
      </c>
      <c r="AQ70" s="13">
        <f t="shared" ca="1" si="102"/>
        <v>0</v>
      </c>
      <c r="AR70" s="13">
        <f t="shared" ca="1" si="103"/>
        <v>0</v>
      </c>
      <c r="AS70" s="13">
        <f t="shared" ca="1" si="104"/>
        <v>0</v>
      </c>
      <c r="AT70" s="13">
        <f t="shared" ca="1" si="105"/>
        <v>0</v>
      </c>
      <c r="AU70" s="13">
        <f t="shared" ca="1" si="106"/>
        <v>1400</v>
      </c>
      <c r="AV70" s="13">
        <f t="shared" ca="1" si="107"/>
        <v>0</v>
      </c>
      <c r="AW70" s="13">
        <f t="shared" ca="1" si="108"/>
        <v>0</v>
      </c>
      <c r="AX70" s="13">
        <f t="shared" ca="1" si="109"/>
        <v>0</v>
      </c>
      <c r="AY70" s="13">
        <f t="shared" ca="1" si="110"/>
        <v>0</v>
      </c>
      <c r="AZ70" s="13">
        <f t="shared" ca="1" si="111"/>
        <v>1400</v>
      </c>
      <c r="BA70" s="13">
        <f t="shared" ca="1" si="112"/>
        <v>0</v>
      </c>
      <c r="BB70" s="13">
        <f t="shared" ca="1" si="113"/>
        <v>0</v>
      </c>
      <c r="BC70" s="13">
        <f t="shared" ca="1" si="114"/>
        <v>0</v>
      </c>
      <c r="BD70" s="13">
        <f t="shared" ca="1" si="115"/>
        <v>0</v>
      </c>
      <c r="BE70" s="13">
        <f t="shared" ca="1" si="116"/>
        <v>1400</v>
      </c>
      <c r="BF70" s="13">
        <f t="shared" ca="1" si="117"/>
        <v>0</v>
      </c>
      <c r="BG70" s="13">
        <f t="shared" ca="1" si="118"/>
        <v>0</v>
      </c>
      <c r="BH70" s="13">
        <f t="shared" ca="1" si="119"/>
        <v>0</v>
      </c>
      <c r="BI70" s="13">
        <f t="shared" ca="1" si="120"/>
        <v>0</v>
      </c>
      <c r="BJ70" s="13">
        <f t="shared" ca="1" si="121"/>
        <v>1400</v>
      </c>
      <c r="BK70" s="13">
        <f t="shared" ca="1" si="122"/>
        <v>0</v>
      </c>
      <c r="BL70" s="13">
        <f t="shared" ca="1" si="123"/>
        <v>0</v>
      </c>
      <c r="BM70" s="13">
        <f t="shared" ca="1" si="124"/>
        <v>0</v>
      </c>
      <c r="BN70" s="13">
        <f t="shared" ca="1" si="125"/>
        <v>0</v>
      </c>
      <c r="BO70" s="13">
        <f t="shared" ca="1" si="126"/>
        <v>0</v>
      </c>
      <c r="BP70" s="13">
        <f t="shared" ca="1" si="127"/>
        <v>0</v>
      </c>
      <c r="BQ70" s="13">
        <f t="shared" ca="1" si="128"/>
        <v>0</v>
      </c>
    </row>
    <row r="71" spans="1:69" x14ac:dyDescent="0.25">
      <c r="A71" s="1">
        <v>70</v>
      </c>
      <c r="B71" s="13">
        <f ca="1">IF(A71=1,IF(OR('My Loans'!$N$14="",'My Loans'!$N$14=0),0,INDIRECT("'My Loans'!$D"&amp;'My Loans'!$N$14)),AE70)</f>
        <v>0</v>
      </c>
      <c r="C71" s="13">
        <f ca="1">IF(OR('My Loans'!$N$14="",'My Loans'!$N$14=0),0,B71*INDIRECT("'My Loans'!$E"&amp;'My Loans'!$N$14)/12)</f>
        <v>0</v>
      </c>
      <c r="D71" s="13">
        <f ca="1">IF(OR('My Loans'!$N$14="",'My Loans'!$N$14=0),0,IF(B71&lt;0.005,0,MIN(INDIRECT("'My Loans'!$F"&amp;'My Loans'!$N$14),B71+C71)))</f>
        <v>0</v>
      </c>
      <c r="E71" s="13">
        <f ca="1">IF(A71=1,IF(OR('My Loans'!$N$15="",'My Loans'!$N$15=0),0,INDIRECT("'My Loans'!$D"&amp;'My Loans'!$N$15)),AJ70)</f>
        <v>0</v>
      </c>
      <c r="F71" s="13">
        <f ca="1">IF(OR('My Loans'!$N$15="",'My Loans'!$N$15=0),0,E71*INDIRECT("'My Loans'!$E"&amp;'My Loans'!$N$15)/12)</f>
        <v>0</v>
      </c>
      <c r="G71" s="13">
        <f ca="1">IF(OR('My Loans'!$N$15="",'My Loans'!$N$15=0),0,IF(E71&lt;0.005,0,MIN(INDIRECT("'My Loans'!$F"&amp;'My Loans'!$N$15),E71+F71)))</f>
        <v>0</v>
      </c>
      <c r="H71" s="13">
        <f ca="1">IF(A71=1,IF(OR('My Loans'!$N$16="",'My Loans'!$N$16=0),0,INDIRECT("'My Loans'!$D"&amp;'My Loans'!$N$16)),AO70)</f>
        <v>0</v>
      </c>
      <c r="I71" s="13">
        <f ca="1">IF(OR('My Loans'!$N$16="",'My Loans'!$N$16=0),0,H71*INDIRECT("'My Loans'!$E"&amp;'My Loans'!$N$16)/12)</f>
        <v>0</v>
      </c>
      <c r="J71" s="13">
        <f ca="1">IF(OR('My Loans'!$N$16="",'My Loans'!$N$16=0),0,IF(H71&lt;0.005,0,MIN(INDIRECT("'My Loans'!$F"&amp;'My Loans'!$N$16),H71+I71)))</f>
        <v>0</v>
      </c>
      <c r="K71" s="13">
        <f ca="1">IF(A71=1,IF(OR('My Loans'!$N$17="",'My Loans'!$N$17=0),0,INDIRECT("'My Loans'!$D"&amp;'My Loans'!$N$17)),AT70)</f>
        <v>0</v>
      </c>
      <c r="L71" s="13">
        <f ca="1">IF(OR('My Loans'!$N$17="",'My Loans'!$N$17=0),0,K71*INDIRECT("'My Loans'!$E"&amp;'My Loans'!$N$17)/12)</f>
        <v>0</v>
      </c>
      <c r="M71" s="13">
        <f ca="1">IF(OR('My Loans'!$N$17="",'My Loans'!$N$17=0),0,IF(K71&lt;0.005,0,MIN(INDIRECT("'My Loans'!$F"&amp;'My Loans'!$N$17),K71+L71)))</f>
        <v>0</v>
      </c>
      <c r="N71" s="13">
        <f ca="1">IF(A71=1,IF(OR('My Loans'!$N$18="",'My Loans'!$N$18=0),0,INDIRECT("'My Loans'!$D"&amp;'My Loans'!$N$18)),AY70)</f>
        <v>0</v>
      </c>
      <c r="O71" s="13">
        <f ca="1">IF(OR('My Loans'!$N$18="",'My Loans'!$N$18=0),0,N71*INDIRECT("'My Loans'!$E"&amp;'My Loans'!$N$18)/12)</f>
        <v>0</v>
      </c>
      <c r="P71" s="13">
        <f ca="1">IF(OR('My Loans'!$N$18="",'My Loans'!$N$18=0),0,IF(N71&lt;0.005,0,MIN(INDIRECT("'My Loans'!$F"&amp;'My Loans'!$N$18),N71+O71)))</f>
        <v>0</v>
      </c>
      <c r="Q71" s="13">
        <f ca="1">IF(A71=1,IF(OR('My Loans'!$N$19="",'My Loans'!$N$19=0),0,INDIRECT("'My Loans'!$D"&amp;'My Loans'!$N$19)),BD70)</f>
        <v>0</v>
      </c>
      <c r="R71" s="13">
        <f ca="1">IF(OR('My Loans'!$N$19="",'My Loans'!$N$19=0),0,Q71*INDIRECT("'My Loans'!$E"&amp;'My Loans'!$N$19)/12)</f>
        <v>0</v>
      </c>
      <c r="S71" s="13">
        <f ca="1">IF(OR('My Loans'!$N$19="",'My Loans'!$N$19=0),0,IF(Q71&lt;0.005,0,MIN(INDIRECT("'My Loans'!$F"&amp;'My Loans'!$N$19),Q71+R71)))</f>
        <v>0</v>
      </c>
      <c r="T71" s="13">
        <f ca="1">IF(A71=1,IF(OR('My Loans'!$N$20="",'My Loans'!$N$20=0),0,INDIRECT("'My Loans'!$D"&amp;'My Loans'!$N$20)),BI70)</f>
        <v>0</v>
      </c>
      <c r="U71" s="13">
        <f ca="1">IF(OR('My Loans'!$N$20="",'My Loans'!$N$20=0),0,T71*INDIRECT("'My Loans'!$E"&amp;'My Loans'!$N$20)/12)</f>
        <v>0</v>
      </c>
      <c r="V71" s="13">
        <f ca="1">IF(OR('My Loans'!$N$20="",'My Loans'!$N$20=0),0,IF(T71&lt;0.005,0,MIN(INDIRECT("'My Loans'!$F"&amp;'My Loans'!$N$20),T71+U71)))</f>
        <v>0</v>
      </c>
      <c r="W71" s="13">
        <f ca="1">IF(A71=1,IF(OR('My Loans'!$N$21="",'My Loans'!$N$21=0),0,INDIRECT("'My Loans'!$D"&amp;'My Loans'!$N$21)),BN70)</f>
        <v>0</v>
      </c>
      <c r="X71" s="13">
        <f ca="1">IF(OR('My Loans'!$N$21="",'My Loans'!$N$21=0),0,W71*INDIRECT("'My Loans'!$E"&amp;'My Loans'!$N$21)/12)</f>
        <v>0</v>
      </c>
      <c r="Y71" s="13">
        <f ca="1">IF(OR('My Loans'!$N$21="",'My Loans'!$N$21=0),0,IF(W71&lt;0.005,0,MIN(INDIRECT("'My Loans'!$F"&amp;'My Loans'!$N$21),W71+X71)))</f>
        <v>0</v>
      </c>
      <c r="Z71" s="13">
        <f ca="1">'My Loans'!$B$13-(D71+G71+J71+M71+P71+S71+V71+Y71)</f>
        <v>1400</v>
      </c>
      <c r="AA71" s="13">
        <f t="shared" ca="1" si="86"/>
        <v>1400</v>
      </c>
      <c r="AB71" s="13">
        <f t="shared" ca="1" si="87"/>
        <v>0</v>
      </c>
      <c r="AC71" s="13">
        <f t="shared" ca="1" si="88"/>
        <v>0</v>
      </c>
      <c r="AD71" s="13">
        <f t="shared" ca="1" si="89"/>
        <v>0</v>
      </c>
      <c r="AE71" s="13">
        <f t="shared" ca="1" si="90"/>
        <v>0</v>
      </c>
      <c r="AF71" s="13">
        <f t="shared" ca="1" si="91"/>
        <v>1400</v>
      </c>
      <c r="AG71" s="13">
        <f t="shared" ca="1" si="92"/>
        <v>0</v>
      </c>
      <c r="AH71" s="13">
        <f t="shared" ca="1" si="93"/>
        <v>0</v>
      </c>
      <c r="AI71" s="13">
        <f t="shared" ca="1" si="94"/>
        <v>0</v>
      </c>
      <c r="AJ71" s="13">
        <f t="shared" ca="1" si="95"/>
        <v>0</v>
      </c>
      <c r="AK71" s="13">
        <f t="shared" ca="1" si="96"/>
        <v>1400</v>
      </c>
      <c r="AL71" s="13">
        <f t="shared" ca="1" si="97"/>
        <v>0</v>
      </c>
      <c r="AM71" s="13">
        <f t="shared" ca="1" si="98"/>
        <v>0</v>
      </c>
      <c r="AN71" s="13">
        <f t="shared" ca="1" si="99"/>
        <v>0</v>
      </c>
      <c r="AO71" s="13">
        <f t="shared" ca="1" si="100"/>
        <v>0</v>
      </c>
      <c r="AP71" s="13">
        <f t="shared" ca="1" si="101"/>
        <v>1400</v>
      </c>
      <c r="AQ71" s="13">
        <f t="shared" ca="1" si="102"/>
        <v>0</v>
      </c>
      <c r="AR71" s="13">
        <f t="shared" ca="1" si="103"/>
        <v>0</v>
      </c>
      <c r="AS71" s="13">
        <f t="shared" ca="1" si="104"/>
        <v>0</v>
      </c>
      <c r="AT71" s="13">
        <f t="shared" ca="1" si="105"/>
        <v>0</v>
      </c>
      <c r="AU71" s="13">
        <f t="shared" ca="1" si="106"/>
        <v>1400</v>
      </c>
      <c r="AV71" s="13">
        <f t="shared" ca="1" si="107"/>
        <v>0</v>
      </c>
      <c r="AW71" s="13">
        <f t="shared" ca="1" si="108"/>
        <v>0</v>
      </c>
      <c r="AX71" s="13">
        <f t="shared" ca="1" si="109"/>
        <v>0</v>
      </c>
      <c r="AY71" s="13">
        <f t="shared" ca="1" si="110"/>
        <v>0</v>
      </c>
      <c r="AZ71" s="13">
        <f t="shared" ca="1" si="111"/>
        <v>1400</v>
      </c>
      <c r="BA71" s="13">
        <f t="shared" ca="1" si="112"/>
        <v>0</v>
      </c>
      <c r="BB71" s="13">
        <f t="shared" ca="1" si="113"/>
        <v>0</v>
      </c>
      <c r="BC71" s="13">
        <f t="shared" ca="1" si="114"/>
        <v>0</v>
      </c>
      <c r="BD71" s="13">
        <f t="shared" ca="1" si="115"/>
        <v>0</v>
      </c>
      <c r="BE71" s="13">
        <f t="shared" ca="1" si="116"/>
        <v>1400</v>
      </c>
      <c r="BF71" s="13">
        <f t="shared" ca="1" si="117"/>
        <v>0</v>
      </c>
      <c r="BG71" s="13">
        <f t="shared" ca="1" si="118"/>
        <v>0</v>
      </c>
      <c r="BH71" s="13">
        <f t="shared" ca="1" si="119"/>
        <v>0</v>
      </c>
      <c r="BI71" s="13">
        <f t="shared" ca="1" si="120"/>
        <v>0</v>
      </c>
      <c r="BJ71" s="13">
        <f t="shared" ca="1" si="121"/>
        <v>1400</v>
      </c>
      <c r="BK71" s="13">
        <f t="shared" ca="1" si="122"/>
        <v>0</v>
      </c>
      <c r="BL71" s="13">
        <f t="shared" ca="1" si="123"/>
        <v>0</v>
      </c>
      <c r="BM71" s="13">
        <f t="shared" ca="1" si="124"/>
        <v>0</v>
      </c>
      <c r="BN71" s="13">
        <f t="shared" ca="1" si="125"/>
        <v>0</v>
      </c>
      <c r="BO71" s="13">
        <f t="shared" ca="1" si="126"/>
        <v>0</v>
      </c>
      <c r="BP71" s="13">
        <f t="shared" ca="1" si="127"/>
        <v>0</v>
      </c>
      <c r="BQ71" s="13">
        <f t="shared" ca="1" si="128"/>
        <v>0</v>
      </c>
    </row>
    <row r="72" spans="1:69" x14ac:dyDescent="0.25">
      <c r="A72" s="1">
        <v>71</v>
      </c>
      <c r="B72" s="13">
        <f ca="1">IF(A72=1,IF(OR('My Loans'!$N$14="",'My Loans'!$N$14=0),0,INDIRECT("'My Loans'!$D"&amp;'My Loans'!$N$14)),AE71)</f>
        <v>0</v>
      </c>
      <c r="C72" s="13">
        <f ca="1">IF(OR('My Loans'!$N$14="",'My Loans'!$N$14=0),0,B72*INDIRECT("'My Loans'!$E"&amp;'My Loans'!$N$14)/12)</f>
        <v>0</v>
      </c>
      <c r="D72" s="13">
        <f ca="1">IF(OR('My Loans'!$N$14="",'My Loans'!$N$14=0),0,IF(B72&lt;0.005,0,MIN(INDIRECT("'My Loans'!$F"&amp;'My Loans'!$N$14),B72+C72)))</f>
        <v>0</v>
      </c>
      <c r="E72" s="13">
        <f ca="1">IF(A72=1,IF(OR('My Loans'!$N$15="",'My Loans'!$N$15=0),0,INDIRECT("'My Loans'!$D"&amp;'My Loans'!$N$15)),AJ71)</f>
        <v>0</v>
      </c>
      <c r="F72" s="13">
        <f ca="1">IF(OR('My Loans'!$N$15="",'My Loans'!$N$15=0),0,E72*INDIRECT("'My Loans'!$E"&amp;'My Loans'!$N$15)/12)</f>
        <v>0</v>
      </c>
      <c r="G72" s="13">
        <f ca="1">IF(OR('My Loans'!$N$15="",'My Loans'!$N$15=0),0,IF(E72&lt;0.005,0,MIN(INDIRECT("'My Loans'!$F"&amp;'My Loans'!$N$15),E72+F72)))</f>
        <v>0</v>
      </c>
      <c r="H72" s="13">
        <f ca="1">IF(A72=1,IF(OR('My Loans'!$N$16="",'My Loans'!$N$16=0),0,INDIRECT("'My Loans'!$D"&amp;'My Loans'!$N$16)),AO71)</f>
        <v>0</v>
      </c>
      <c r="I72" s="13">
        <f ca="1">IF(OR('My Loans'!$N$16="",'My Loans'!$N$16=0),0,H72*INDIRECT("'My Loans'!$E"&amp;'My Loans'!$N$16)/12)</f>
        <v>0</v>
      </c>
      <c r="J72" s="13">
        <f ca="1">IF(OR('My Loans'!$N$16="",'My Loans'!$N$16=0),0,IF(H72&lt;0.005,0,MIN(INDIRECT("'My Loans'!$F"&amp;'My Loans'!$N$16),H72+I72)))</f>
        <v>0</v>
      </c>
      <c r="K72" s="13">
        <f ca="1">IF(A72=1,IF(OR('My Loans'!$N$17="",'My Loans'!$N$17=0),0,INDIRECT("'My Loans'!$D"&amp;'My Loans'!$N$17)),AT71)</f>
        <v>0</v>
      </c>
      <c r="L72" s="13">
        <f ca="1">IF(OR('My Loans'!$N$17="",'My Loans'!$N$17=0),0,K72*INDIRECT("'My Loans'!$E"&amp;'My Loans'!$N$17)/12)</f>
        <v>0</v>
      </c>
      <c r="M72" s="13">
        <f ca="1">IF(OR('My Loans'!$N$17="",'My Loans'!$N$17=0),0,IF(K72&lt;0.005,0,MIN(INDIRECT("'My Loans'!$F"&amp;'My Loans'!$N$17),K72+L72)))</f>
        <v>0</v>
      </c>
      <c r="N72" s="13">
        <f ca="1">IF(A72=1,IF(OR('My Loans'!$N$18="",'My Loans'!$N$18=0),0,INDIRECT("'My Loans'!$D"&amp;'My Loans'!$N$18)),AY71)</f>
        <v>0</v>
      </c>
      <c r="O72" s="13">
        <f ca="1">IF(OR('My Loans'!$N$18="",'My Loans'!$N$18=0),0,N72*INDIRECT("'My Loans'!$E"&amp;'My Loans'!$N$18)/12)</f>
        <v>0</v>
      </c>
      <c r="P72" s="13">
        <f ca="1">IF(OR('My Loans'!$N$18="",'My Loans'!$N$18=0),0,IF(N72&lt;0.005,0,MIN(INDIRECT("'My Loans'!$F"&amp;'My Loans'!$N$18),N72+O72)))</f>
        <v>0</v>
      </c>
      <c r="Q72" s="13">
        <f ca="1">IF(A72=1,IF(OR('My Loans'!$N$19="",'My Loans'!$N$19=0),0,INDIRECT("'My Loans'!$D"&amp;'My Loans'!$N$19)),BD71)</f>
        <v>0</v>
      </c>
      <c r="R72" s="13">
        <f ca="1">IF(OR('My Loans'!$N$19="",'My Loans'!$N$19=0),0,Q72*INDIRECT("'My Loans'!$E"&amp;'My Loans'!$N$19)/12)</f>
        <v>0</v>
      </c>
      <c r="S72" s="13">
        <f ca="1">IF(OR('My Loans'!$N$19="",'My Loans'!$N$19=0),0,IF(Q72&lt;0.005,0,MIN(INDIRECT("'My Loans'!$F"&amp;'My Loans'!$N$19),Q72+R72)))</f>
        <v>0</v>
      </c>
      <c r="T72" s="13">
        <f ca="1">IF(A72=1,IF(OR('My Loans'!$N$20="",'My Loans'!$N$20=0),0,INDIRECT("'My Loans'!$D"&amp;'My Loans'!$N$20)),BI71)</f>
        <v>0</v>
      </c>
      <c r="U72" s="13">
        <f ca="1">IF(OR('My Loans'!$N$20="",'My Loans'!$N$20=0),0,T72*INDIRECT("'My Loans'!$E"&amp;'My Loans'!$N$20)/12)</f>
        <v>0</v>
      </c>
      <c r="V72" s="13">
        <f ca="1">IF(OR('My Loans'!$N$20="",'My Loans'!$N$20=0),0,IF(T72&lt;0.005,0,MIN(INDIRECT("'My Loans'!$F"&amp;'My Loans'!$N$20),T72+U72)))</f>
        <v>0</v>
      </c>
      <c r="W72" s="13">
        <f ca="1">IF(A72=1,IF(OR('My Loans'!$N$21="",'My Loans'!$N$21=0),0,INDIRECT("'My Loans'!$D"&amp;'My Loans'!$N$21)),BN71)</f>
        <v>0</v>
      </c>
      <c r="X72" s="13">
        <f ca="1">IF(OR('My Loans'!$N$21="",'My Loans'!$N$21=0),0,W72*INDIRECT("'My Loans'!$E"&amp;'My Loans'!$N$21)/12)</f>
        <v>0</v>
      </c>
      <c r="Y72" s="13">
        <f ca="1">IF(OR('My Loans'!$N$21="",'My Loans'!$N$21=0),0,IF(W72&lt;0.005,0,MIN(INDIRECT("'My Loans'!$F"&amp;'My Loans'!$N$21),W72+X72)))</f>
        <v>0</v>
      </c>
      <c r="Z72" s="13">
        <f ca="1">'My Loans'!$B$13-(D72+G72+J72+M72+P72+S72+V72+Y72)</f>
        <v>1400</v>
      </c>
      <c r="AA72" s="13">
        <f t="shared" ca="1" si="86"/>
        <v>1400</v>
      </c>
      <c r="AB72" s="13">
        <f t="shared" ca="1" si="87"/>
        <v>0</v>
      </c>
      <c r="AC72" s="13">
        <f t="shared" ca="1" si="88"/>
        <v>0</v>
      </c>
      <c r="AD72" s="13">
        <f t="shared" ca="1" si="89"/>
        <v>0</v>
      </c>
      <c r="AE72" s="13">
        <f t="shared" ca="1" si="90"/>
        <v>0</v>
      </c>
      <c r="AF72" s="13">
        <f t="shared" ca="1" si="91"/>
        <v>1400</v>
      </c>
      <c r="AG72" s="13">
        <f t="shared" ca="1" si="92"/>
        <v>0</v>
      </c>
      <c r="AH72" s="13">
        <f t="shared" ca="1" si="93"/>
        <v>0</v>
      </c>
      <c r="AI72" s="13">
        <f t="shared" ca="1" si="94"/>
        <v>0</v>
      </c>
      <c r="AJ72" s="13">
        <f t="shared" ca="1" si="95"/>
        <v>0</v>
      </c>
      <c r="AK72" s="13">
        <f t="shared" ca="1" si="96"/>
        <v>1400</v>
      </c>
      <c r="AL72" s="13">
        <f t="shared" ca="1" si="97"/>
        <v>0</v>
      </c>
      <c r="AM72" s="13">
        <f t="shared" ca="1" si="98"/>
        <v>0</v>
      </c>
      <c r="AN72" s="13">
        <f t="shared" ca="1" si="99"/>
        <v>0</v>
      </c>
      <c r="AO72" s="13">
        <f t="shared" ca="1" si="100"/>
        <v>0</v>
      </c>
      <c r="AP72" s="13">
        <f t="shared" ca="1" si="101"/>
        <v>1400</v>
      </c>
      <c r="AQ72" s="13">
        <f t="shared" ca="1" si="102"/>
        <v>0</v>
      </c>
      <c r="AR72" s="13">
        <f t="shared" ca="1" si="103"/>
        <v>0</v>
      </c>
      <c r="AS72" s="13">
        <f t="shared" ca="1" si="104"/>
        <v>0</v>
      </c>
      <c r="AT72" s="13">
        <f t="shared" ca="1" si="105"/>
        <v>0</v>
      </c>
      <c r="AU72" s="13">
        <f t="shared" ca="1" si="106"/>
        <v>1400</v>
      </c>
      <c r="AV72" s="13">
        <f t="shared" ca="1" si="107"/>
        <v>0</v>
      </c>
      <c r="AW72" s="13">
        <f t="shared" ca="1" si="108"/>
        <v>0</v>
      </c>
      <c r="AX72" s="13">
        <f t="shared" ca="1" si="109"/>
        <v>0</v>
      </c>
      <c r="AY72" s="13">
        <f t="shared" ca="1" si="110"/>
        <v>0</v>
      </c>
      <c r="AZ72" s="13">
        <f t="shared" ca="1" si="111"/>
        <v>1400</v>
      </c>
      <c r="BA72" s="13">
        <f t="shared" ca="1" si="112"/>
        <v>0</v>
      </c>
      <c r="BB72" s="13">
        <f t="shared" ca="1" si="113"/>
        <v>0</v>
      </c>
      <c r="BC72" s="13">
        <f t="shared" ca="1" si="114"/>
        <v>0</v>
      </c>
      <c r="BD72" s="13">
        <f t="shared" ca="1" si="115"/>
        <v>0</v>
      </c>
      <c r="BE72" s="13">
        <f t="shared" ca="1" si="116"/>
        <v>1400</v>
      </c>
      <c r="BF72" s="13">
        <f t="shared" ca="1" si="117"/>
        <v>0</v>
      </c>
      <c r="BG72" s="13">
        <f t="shared" ca="1" si="118"/>
        <v>0</v>
      </c>
      <c r="BH72" s="13">
        <f t="shared" ca="1" si="119"/>
        <v>0</v>
      </c>
      <c r="BI72" s="13">
        <f t="shared" ca="1" si="120"/>
        <v>0</v>
      </c>
      <c r="BJ72" s="13">
        <f t="shared" ca="1" si="121"/>
        <v>1400</v>
      </c>
      <c r="BK72" s="13">
        <f t="shared" ca="1" si="122"/>
        <v>0</v>
      </c>
      <c r="BL72" s="13">
        <f t="shared" ca="1" si="123"/>
        <v>0</v>
      </c>
      <c r="BM72" s="13">
        <f t="shared" ca="1" si="124"/>
        <v>0</v>
      </c>
      <c r="BN72" s="13">
        <f t="shared" ca="1" si="125"/>
        <v>0</v>
      </c>
      <c r="BO72" s="13">
        <f t="shared" ca="1" si="126"/>
        <v>0</v>
      </c>
      <c r="BP72" s="13">
        <f t="shared" ca="1" si="127"/>
        <v>0</v>
      </c>
      <c r="BQ72" s="13">
        <f t="shared" ca="1" si="128"/>
        <v>0</v>
      </c>
    </row>
    <row r="73" spans="1:69" x14ac:dyDescent="0.25">
      <c r="A73" s="1">
        <v>72</v>
      </c>
      <c r="B73" s="13">
        <f ca="1">IF(A73=1,IF(OR('My Loans'!$N$14="",'My Loans'!$N$14=0),0,INDIRECT("'My Loans'!$D"&amp;'My Loans'!$N$14)),AE72)</f>
        <v>0</v>
      </c>
      <c r="C73" s="13">
        <f ca="1">IF(OR('My Loans'!$N$14="",'My Loans'!$N$14=0),0,B73*INDIRECT("'My Loans'!$E"&amp;'My Loans'!$N$14)/12)</f>
        <v>0</v>
      </c>
      <c r="D73" s="13">
        <f ca="1">IF(OR('My Loans'!$N$14="",'My Loans'!$N$14=0),0,IF(B73&lt;0.005,0,MIN(INDIRECT("'My Loans'!$F"&amp;'My Loans'!$N$14),B73+C73)))</f>
        <v>0</v>
      </c>
      <c r="E73" s="13">
        <f ca="1">IF(A73=1,IF(OR('My Loans'!$N$15="",'My Loans'!$N$15=0),0,INDIRECT("'My Loans'!$D"&amp;'My Loans'!$N$15)),AJ72)</f>
        <v>0</v>
      </c>
      <c r="F73" s="13">
        <f ca="1">IF(OR('My Loans'!$N$15="",'My Loans'!$N$15=0),0,E73*INDIRECT("'My Loans'!$E"&amp;'My Loans'!$N$15)/12)</f>
        <v>0</v>
      </c>
      <c r="G73" s="13">
        <f ca="1">IF(OR('My Loans'!$N$15="",'My Loans'!$N$15=0),0,IF(E73&lt;0.005,0,MIN(INDIRECT("'My Loans'!$F"&amp;'My Loans'!$N$15),E73+F73)))</f>
        <v>0</v>
      </c>
      <c r="H73" s="13">
        <f ca="1">IF(A73=1,IF(OR('My Loans'!$N$16="",'My Loans'!$N$16=0),0,INDIRECT("'My Loans'!$D"&amp;'My Loans'!$N$16)),AO72)</f>
        <v>0</v>
      </c>
      <c r="I73" s="13">
        <f ca="1">IF(OR('My Loans'!$N$16="",'My Loans'!$N$16=0),0,H73*INDIRECT("'My Loans'!$E"&amp;'My Loans'!$N$16)/12)</f>
        <v>0</v>
      </c>
      <c r="J73" s="13">
        <f ca="1">IF(OR('My Loans'!$N$16="",'My Loans'!$N$16=0),0,IF(H73&lt;0.005,0,MIN(INDIRECT("'My Loans'!$F"&amp;'My Loans'!$N$16),H73+I73)))</f>
        <v>0</v>
      </c>
      <c r="K73" s="13">
        <f ca="1">IF(A73=1,IF(OR('My Loans'!$N$17="",'My Loans'!$N$17=0),0,INDIRECT("'My Loans'!$D"&amp;'My Loans'!$N$17)),AT72)</f>
        <v>0</v>
      </c>
      <c r="L73" s="13">
        <f ca="1">IF(OR('My Loans'!$N$17="",'My Loans'!$N$17=0),0,K73*INDIRECT("'My Loans'!$E"&amp;'My Loans'!$N$17)/12)</f>
        <v>0</v>
      </c>
      <c r="M73" s="13">
        <f ca="1">IF(OR('My Loans'!$N$17="",'My Loans'!$N$17=0),0,IF(K73&lt;0.005,0,MIN(INDIRECT("'My Loans'!$F"&amp;'My Loans'!$N$17),K73+L73)))</f>
        <v>0</v>
      </c>
      <c r="N73" s="13">
        <f ca="1">IF(A73=1,IF(OR('My Loans'!$N$18="",'My Loans'!$N$18=0),0,INDIRECT("'My Loans'!$D"&amp;'My Loans'!$N$18)),AY72)</f>
        <v>0</v>
      </c>
      <c r="O73" s="13">
        <f ca="1">IF(OR('My Loans'!$N$18="",'My Loans'!$N$18=0),0,N73*INDIRECT("'My Loans'!$E"&amp;'My Loans'!$N$18)/12)</f>
        <v>0</v>
      </c>
      <c r="P73" s="13">
        <f ca="1">IF(OR('My Loans'!$N$18="",'My Loans'!$N$18=0),0,IF(N73&lt;0.005,0,MIN(INDIRECT("'My Loans'!$F"&amp;'My Loans'!$N$18),N73+O73)))</f>
        <v>0</v>
      </c>
      <c r="Q73" s="13">
        <f ca="1">IF(A73=1,IF(OR('My Loans'!$N$19="",'My Loans'!$N$19=0),0,INDIRECT("'My Loans'!$D"&amp;'My Loans'!$N$19)),BD72)</f>
        <v>0</v>
      </c>
      <c r="R73" s="13">
        <f ca="1">IF(OR('My Loans'!$N$19="",'My Loans'!$N$19=0),0,Q73*INDIRECT("'My Loans'!$E"&amp;'My Loans'!$N$19)/12)</f>
        <v>0</v>
      </c>
      <c r="S73" s="13">
        <f ca="1">IF(OR('My Loans'!$N$19="",'My Loans'!$N$19=0),0,IF(Q73&lt;0.005,0,MIN(INDIRECT("'My Loans'!$F"&amp;'My Loans'!$N$19),Q73+R73)))</f>
        <v>0</v>
      </c>
      <c r="T73" s="13">
        <f ca="1">IF(A73=1,IF(OR('My Loans'!$N$20="",'My Loans'!$N$20=0),0,INDIRECT("'My Loans'!$D"&amp;'My Loans'!$N$20)),BI72)</f>
        <v>0</v>
      </c>
      <c r="U73" s="13">
        <f ca="1">IF(OR('My Loans'!$N$20="",'My Loans'!$N$20=0),0,T73*INDIRECT("'My Loans'!$E"&amp;'My Loans'!$N$20)/12)</f>
        <v>0</v>
      </c>
      <c r="V73" s="13">
        <f ca="1">IF(OR('My Loans'!$N$20="",'My Loans'!$N$20=0),0,IF(T73&lt;0.005,0,MIN(INDIRECT("'My Loans'!$F"&amp;'My Loans'!$N$20),T73+U73)))</f>
        <v>0</v>
      </c>
      <c r="W73" s="13">
        <f ca="1">IF(A73=1,IF(OR('My Loans'!$N$21="",'My Loans'!$N$21=0),0,INDIRECT("'My Loans'!$D"&amp;'My Loans'!$N$21)),BN72)</f>
        <v>0</v>
      </c>
      <c r="X73" s="13">
        <f ca="1">IF(OR('My Loans'!$N$21="",'My Loans'!$N$21=0),0,W73*INDIRECT("'My Loans'!$E"&amp;'My Loans'!$N$21)/12)</f>
        <v>0</v>
      </c>
      <c r="Y73" s="13">
        <f ca="1">IF(OR('My Loans'!$N$21="",'My Loans'!$N$21=0),0,IF(W73&lt;0.005,0,MIN(INDIRECT("'My Loans'!$F"&amp;'My Loans'!$N$21),W73+X73)))</f>
        <v>0</v>
      </c>
      <c r="Z73" s="13">
        <f ca="1">'My Loans'!$B$13-(D73+G73+J73+M73+P73+S73+V73+Y73)</f>
        <v>1400</v>
      </c>
      <c r="AA73" s="13">
        <f t="shared" ca="1" si="86"/>
        <v>1400</v>
      </c>
      <c r="AB73" s="13">
        <f t="shared" ca="1" si="87"/>
        <v>0</v>
      </c>
      <c r="AC73" s="13">
        <f t="shared" ca="1" si="88"/>
        <v>0</v>
      </c>
      <c r="AD73" s="13">
        <f t="shared" ca="1" si="89"/>
        <v>0</v>
      </c>
      <c r="AE73" s="13">
        <f t="shared" ca="1" si="90"/>
        <v>0</v>
      </c>
      <c r="AF73" s="13">
        <f t="shared" ca="1" si="91"/>
        <v>1400</v>
      </c>
      <c r="AG73" s="13">
        <f t="shared" ca="1" si="92"/>
        <v>0</v>
      </c>
      <c r="AH73" s="13">
        <f t="shared" ca="1" si="93"/>
        <v>0</v>
      </c>
      <c r="AI73" s="13">
        <f t="shared" ca="1" si="94"/>
        <v>0</v>
      </c>
      <c r="AJ73" s="13">
        <f t="shared" ca="1" si="95"/>
        <v>0</v>
      </c>
      <c r="AK73" s="13">
        <f t="shared" ca="1" si="96"/>
        <v>1400</v>
      </c>
      <c r="AL73" s="13">
        <f t="shared" ca="1" si="97"/>
        <v>0</v>
      </c>
      <c r="AM73" s="13">
        <f t="shared" ca="1" si="98"/>
        <v>0</v>
      </c>
      <c r="AN73" s="13">
        <f t="shared" ca="1" si="99"/>
        <v>0</v>
      </c>
      <c r="AO73" s="13">
        <f t="shared" ca="1" si="100"/>
        <v>0</v>
      </c>
      <c r="AP73" s="13">
        <f t="shared" ca="1" si="101"/>
        <v>1400</v>
      </c>
      <c r="AQ73" s="13">
        <f t="shared" ca="1" si="102"/>
        <v>0</v>
      </c>
      <c r="AR73" s="13">
        <f t="shared" ca="1" si="103"/>
        <v>0</v>
      </c>
      <c r="AS73" s="13">
        <f t="shared" ca="1" si="104"/>
        <v>0</v>
      </c>
      <c r="AT73" s="13">
        <f t="shared" ca="1" si="105"/>
        <v>0</v>
      </c>
      <c r="AU73" s="13">
        <f t="shared" ca="1" si="106"/>
        <v>1400</v>
      </c>
      <c r="AV73" s="13">
        <f t="shared" ca="1" si="107"/>
        <v>0</v>
      </c>
      <c r="AW73" s="13">
        <f t="shared" ca="1" si="108"/>
        <v>0</v>
      </c>
      <c r="AX73" s="13">
        <f t="shared" ca="1" si="109"/>
        <v>0</v>
      </c>
      <c r="AY73" s="13">
        <f t="shared" ca="1" si="110"/>
        <v>0</v>
      </c>
      <c r="AZ73" s="13">
        <f t="shared" ca="1" si="111"/>
        <v>1400</v>
      </c>
      <c r="BA73" s="13">
        <f t="shared" ca="1" si="112"/>
        <v>0</v>
      </c>
      <c r="BB73" s="13">
        <f t="shared" ca="1" si="113"/>
        <v>0</v>
      </c>
      <c r="BC73" s="13">
        <f t="shared" ca="1" si="114"/>
        <v>0</v>
      </c>
      <c r="BD73" s="13">
        <f t="shared" ca="1" si="115"/>
        <v>0</v>
      </c>
      <c r="BE73" s="13">
        <f t="shared" ca="1" si="116"/>
        <v>1400</v>
      </c>
      <c r="BF73" s="13">
        <f t="shared" ca="1" si="117"/>
        <v>0</v>
      </c>
      <c r="BG73" s="13">
        <f t="shared" ca="1" si="118"/>
        <v>0</v>
      </c>
      <c r="BH73" s="13">
        <f t="shared" ca="1" si="119"/>
        <v>0</v>
      </c>
      <c r="BI73" s="13">
        <f t="shared" ca="1" si="120"/>
        <v>0</v>
      </c>
      <c r="BJ73" s="13">
        <f t="shared" ca="1" si="121"/>
        <v>1400</v>
      </c>
      <c r="BK73" s="13">
        <f t="shared" ca="1" si="122"/>
        <v>0</v>
      </c>
      <c r="BL73" s="13">
        <f t="shared" ca="1" si="123"/>
        <v>0</v>
      </c>
      <c r="BM73" s="13">
        <f t="shared" ca="1" si="124"/>
        <v>0</v>
      </c>
      <c r="BN73" s="13">
        <f t="shared" ca="1" si="125"/>
        <v>0</v>
      </c>
      <c r="BO73" s="13">
        <f t="shared" ca="1" si="126"/>
        <v>0</v>
      </c>
      <c r="BP73" s="13">
        <f t="shared" ca="1" si="127"/>
        <v>0</v>
      </c>
      <c r="BQ73" s="13">
        <f t="shared" ca="1" si="128"/>
        <v>0</v>
      </c>
    </row>
    <row r="74" spans="1:69" x14ac:dyDescent="0.25">
      <c r="A74" s="1">
        <v>73</v>
      </c>
      <c r="B74" s="13">
        <f ca="1">IF(A74=1,IF(OR('My Loans'!$N$14="",'My Loans'!$N$14=0),0,INDIRECT("'My Loans'!$D"&amp;'My Loans'!$N$14)),AE73)</f>
        <v>0</v>
      </c>
      <c r="C74" s="13">
        <f ca="1">IF(OR('My Loans'!$N$14="",'My Loans'!$N$14=0),0,B74*INDIRECT("'My Loans'!$E"&amp;'My Loans'!$N$14)/12)</f>
        <v>0</v>
      </c>
      <c r="D74" s="13">
        <f ca="1">IF(OR('My Loans'!$N$14="",'My Loans'!$N$14=0),0,IF(B74&lt;0.005,0,MIN(INDIRECT("'My Loans'!$F"&amp;'My Loans'!$N$14),B74+C74)))</f>
        <v>0</v>
      </c>
      <c r="E74" s="13">
        <f ca="1">IF(A74=1,IF(OR('My Loans'!$N$15="",'My Loans'!$N$15=0),0,INDIRECT("'My Loans'!$D"&amp;'My Loans'!$N$15)),AJ73)</f>
        <v>0</v>
      </c>
      <c r="F74" s="13">
        <f ca="1">IF(OR('My Loans'!$N$15="",'My Loans'!$N$15=0),0,E74*INDIRECT("'My Loans'!$E"&amp;'My Loans'!$N$15)/12)</f>
        <v>0</v>
      </c>
      <c r="G74" s="13">
        <f ca="1">IF(OR('My Loans'!$N$15="",'My Loans'!$N$15=0),0,IF(E74&lt;0.005,0,MIN(INDIRECT("'My Loans'!$F"&amp;'My Loans'!$N$15),E74+F74)))</f>
        <v>0</v>
      </c>
      <c r="H74" s="13">
        <f ca="1">IF(A74=1,IF(OR('My Loans'!$N$16="",'My Loans'!$N$16=0),0,INDIRECT("'My Loans'!$D"&amp;'My Loans'!$N$16)),AO73)</f>
        <v>0</v>
      </c>
      <c r="I74" s="13">
        <f ca="1">IF(OR('My Loans'!$N$16="",'My Loans'!$N$16=0),0,H74*INDIRECT("'My Loans'!$E"&amp;'My Loans'!$N$16)/12)</f>
        <v>0</v>
      </c>
      <c r="J74" s="13">
        <f ca="1">IF(OR('My Loans'!$N$16="",'My Loans'!$N$16=0),0,IF(H74&lt;0.005,0,MIN(INDIRECT("'My Loans'!$F"&amp;'My Loans'!$N$16),H74+I74)))</f>
        <v>0</v>
      </c>
      <c r="K74" s="13">
        <f ca="1">IF(A74=1,IF(OR('My Loans'!$N$17="",'My Loans'!$N$17=0),0,INDIRECT("'My Loans'!$D"&amp;'My Loans'!$N$17)),AT73)</f>
        <v>0</v>
      </c>
      <c r="L74" s="13">
        <f ca="1">IF(OR('My Loans'!$N$17="",'My Loans'!$N$17=0),0,K74*INDIRECT("'My Loans'!$E"&amp;'My Loans'!$N$17)/12)</f>
        <v>0</v>
      </c>
      <c r="M74" s="13">
        <f ca="1">IF(OR('My Loans'!$N$17="",'My Loans'!$N$17=0),0,IF(K74&lt;0.005,0,MIN(INDIRECT("'My Loans'!$F"&amp;'My Loans'!$N$17),K74+L74)))</f>
        <v>0</v>
      </c>
      <c r="N74" s="13">
        <f ca="1">IF(A74=1,IF(OR('My Loans'!$N$18="",'My Loans'!$N$18=0),0,INDIRECT("'My Loans'!$D"&amp;'My Loans'!$N$18)),AY73)</f>
        <v>0</v>
      </c>
      <c r="O74" s="13">
        <f ca="1">IF(OR('My Loans'!$N$18="",'My Loans'!$N$18=0),0,N74*INDIRECT("'My Loans'!$E"&amp;'My Loans'!$N$18)/12)</f>
        <v>0</v>
      </c>
      <c r="P74" s="13">
        <f ca="1">IF(OR('My Loans'!$N$18="",'My Loans'!$N$18=0),0,IF(N74&lt;0.005,0,MIN(INDIRECT("'My Loans'!$F"&amp;'My Loans'!$N$18),N74+O74)))</f>
        <v>0</v>
      </c>
      <c r="Q74" s="13">
        <f ca="1">IF(A74=1,IF(OR('My Loans'!$N$19="",'My Loans'!$N$19=0),0,INDIRECT("'My Loans'!$D"&amp;'My Loans'!$N$19)),BD73)</f>
        <v>0</v>
      </c>
      <c r="R74" s="13">
        <f ca="1">IF(OR('My Loans'!$N$19="",'My Loans'!$N$19=0),0,Q74*INDIRECT("'My Loans'!$E"&amp;'My Loans'!$N$19)/12)</f>
        <v>0</v>
      </c>
      <c r="S74" s="13">
        <f ca="1">IF(OR('My Loans'!$N$19="",'My Loans'!$N$19=0),0,IF(Q74&lt;0.005,0,MIN(INDIRECT("'My Loans'!$F"&amp;'My Loans'!$N$19),Q74+R74)))</f>
        <v>0</v>
      </c>
      <c r="T74" s="13">
        <f ca="1">IF(A74=1,IF(OR('My Loans'!$N$20="",'My Loans'!$N$20=0),0,INDIRECT("'My Loans'!$D"&amp;'My Loans'!$N$20)),BI73)</f>
        <v>0</v>
      </c>
      <c r="U74" s="13">
        <f ca="1">IF(OR('My Loans'!$N$20="",'My Loans'!$N$20=0),0,T74*INDIRECT("'My Loans'!$E"&amp;'My Loans'!$N$20)/12)</f>
        <v>0</v>
      </c>
      <c r="V74" s="13">
        <f ca="1">IF(OR('My Loans'!$N$20="",'My Loans'!$N$20=0),0,IF(T74&lt;0.005,0,MIN(INDIRECT("'My Loans'!$F"&amp;'My Loans'!$N$20),T74+U74)))</f>
        <v>0</v>
      </c>
      <c r="W74" s="13">
        <f ca="1">IF(A74=1,IF(OR('My Loans'!$N$21="",'My Loans'!$N$21=0),0,INDIRECT("'My Loans'!$D"&amp;'My Loans'!$N$21)),BN73)</f>
        <v>0</v>
      </c>
      <c r="X74" s="13">
        <f ca="1">IF(OR('My Loans'!$N$21="",'My Loans'!$N$21=0),0,W74*INDIRECT("'My Loans'!$E"&amp;'My Loans'!$N$21)/12)</f>
        <v>0</v>
      </c>
      <c r="Y74" s="13">
        <f ca="1">IF(OR('My Loans'!$N$21="",'My Loans'!$N$21=0),0,IF(W74&lt;0.005,0,MIN(INDIRECT("'My Loans'!$F"&amp;'My Loans'!$N$21),W74+X74)))</f>
        <v>0</v>
      </c>
      <c r="Z74" s="13">
        <f ca="1">'My Loans'!$B$13-(D74+G74+J74+M74+P74+S74+V74+Y74)</f>
        <v>1400</v>
      </c>
      <c r="AA74" s="13">
        <f t="shared" ca="1" si="86"/>
        <v>1400</v>
      </c>
      <c r="AB74" s="13">
        <f t="shared" ca="1" si="87"/>
        <v>0</v>
      </c>
      <c r="AC74" s="13">
        <f t="shared" ca="1" si="88"/>
        <v>0</v>
      </c>
      <c r="AD74" s="13">
        <f t="shared" ca="1" si="89"/>
        <v>0</v>
      </c>
      <c r="AE74" s="13">
        <f t="shared" ca="1" si="90"/>
        <v>0</v>
      </c>
      <c r="AF74" s="13">
        <f t="shared" ca="1" si="91"/>
        <v>1400</v>
      </c>
      <c r="AG74" s="13">
        <f t="shared" ca="1" si="92"/>
        <v>0</v>
      </c>
      <c r="AH74" s="13">
        <f t="shared" ca="1" si="93"/>
        <v>0</v>
      </c>
      <c r="AI74" s="13">
        <f t="shared" ca="1" si="94"/>
        <v>0</v>
      </c>
      <c r="AJ74" s="13">
        <f t="shared" ca="1" si="95"/>
        <v>0</v>
      </c>
      <c r="AK74" s="13">
        <f t="shared" ca="1" si="96"/>
        <v>1400</v>
      </c>
      <c r="AL74" s="13">
        <f t="shared" ca="1" si="97"/>
        <v>0</v>
      </c>
      <c r="AM74" s="13">
        <f t="shared" ca="1" si="98"/>
        <v>0</v>
      </c>
      <c r="AN74" s="13">
        <f t="shared" ca="1" si="99"/>
        <v>0</v>
      </c>
      <c r="AO74" s="13">
        <f t="shared" ca="1" si="100"/>
        <v>0</v>
      </c>
      <c r="AP74" s="13">
        <f t="shared" ca="1" si="101"/>
        <v>1400</v>
      </c>
      <c r="AQ74" s="13">
        <f t="shared" ca="1" si="102"/>
        <v>0</v>
      </c>
      <c r="AR74" s="13">
        <f t="shared" ca="1" si="103"/>
        <v>0</v>
      </c>
      <c r="AS74" s="13">
        <f t="shared" ca="1" si="104"/>
        <v>0</v>
      </c>
      <c r="AT74" s="13">
        <f t="shared" ca="1" si="105"/>
        <v>0</v>
      </c>
      <c r="AU74" s="13">
        <f t="shared" ca="1" si="106"/>
        <v>1400</v>
      </c>
      <c r="AV74" s="13">
        <f t="shared" ca="1" si="107"/>
        <v>0</v>
      </c>
      <c r="AW74" s="13">
        <f t="shared" ca="1" si="108"/>
        <v>0</v>
      </c>
      <c r="AX74" s="13">
        <f t="shared" ca="1" si="109"/>
        <v>0</v>
      </c>
      <c r="AY74" s="13">
        <f t="shared" ca="1" si="110"/>
        <v>0</v>
      </c>
      <c r="AZ74" s="13">
        <f t="shared" ca="1" si="111"/>
        <v>1400</v>
      </c>
      <c r="BA74" s="13">
        <f t="shared" ca="1" si="112"/>
        <v>0</v>
      </c>
      <c r="BB74" s="13">
        <f t="shared" ca="1" si="113"/>
        <v>0</v>
      </c>
      <c r="BC74" s="13">
        <f t="shared" ca="1" si="114"/>
        <v>0</v>
      </c>
      <c r="BD74" s="13">
        <f t="shared" ca="1" si="115"/>
        <v>0</v>
      </c>
      <c r="BE74" s="13">
        <f t="shared" ca="1" si="116"/>
        <v>1400</v>
      </c>
      <c r="BF74" s="13">
        <f t="shared" ca="1" si="117"/>
        <v>0</v>
      </c>
      <c r="BG74" s="13">
        <f t="shared" ca="1" si="118"/>
        <v>0</v>
      </c>
      <c r="BH74" s="13">
        <f t="shared" ca="1" si="119"/>
        <v>0</v>
      </c>
      <c r="BI74" s="13">
        <f t="shared" ca="1" si="120"/>
        <v>0</v>
      </c>
      <c r="BJ74" s="13">
        <f t="shared" ca="1" si="121"/>
        <v>1400</v>
      </c>
      <c r="BK74" s="13">
        <f t="shared" ca="1" si="122"/>
        <v>0</v>
      </c>
      <c r="BL74" s="13">
        <f t="shared" ca="1" si="123"/>
        <v>0</v>
      </c>
      <c r="BM74" s="13">
        <f t="shared" ca="1" si="124"/>
        <v>0</v>
      </c>
      <c r="BN74" s="13">
        <f t="shared" ca="1" si="125"/>
        <v>0</v>
      </c>
      <c r="BO74" s="13">
        <f t="shared" ca="1" si="126"/>
        <v>0</v>
      </c>
      <c r="BP74" s="13">
        <f t="shared" ca="1" si="127"/>
        <v>0</v>
      </c>
      <c r="BQ74" s="13">
        <f t="shared" ca="1" si="128"/>
        <v>0</v>
      </c>
    </row>
    <row r="75" spans="1:69" x14ac:dyDescent="0.25">
      <c r="A75" s="1">
        <v>74</v>
      </c>
      <c r="B75" s="13">
        <f ca="1">IF(A75=1,IF(OR('My Loans'!$N$14="",'My Loans'!$N$14=0),0,INDIRECT("'My Loans'!$D"&amp;'My Loans'!$N$14)),AE74)</f>
        <v>0</v>
      </c>
      <c r="C75" s="13">
        <f ca="1">IF(OR('My Loans'!$N$14="",'My Loans'!$N$14=0),0,B75*INDIRECT("'My Loans'!$E"&amp;'My Loans'!$N$14)/12)</f>
        <v>0</v>
      </c>
      <c r="D75" s="13">
        <f ca="1">IF(OR('My Loans'!$N$14="",'My Loans'!$N$14=0),0,IF(B75&lt;0.005,0,MIN(INDIRECT("'My Loans'!$F"&amp;'My Loans'!$N$14),B75+C75)))</f>
        <v>0</v>
      </c>
      <c r="E75" s="13">
        <f ca="1">IF(A75=1,IF(OR('My Loans'!$N$15="",'My Loans'!$N$15=0),0,INDIRECT("'My Loans'!$D"&amp;'My Loans'!$N$15)),AJ74)</f>
        <v>0</v>
      </c>
      <c r="F75" s="13">
        <f ca="1">IF(OR('My Loans'!$N$15="",'My Loans'!$N$15=0),0,E75*INDIRECT("'My Loans'!$E"&amp;'My Loans'!$N$15)/12)</f>
        <v>0</v>
      </c>
      <c r="G75" s="13">
        <f ca="1">IF(OR('My Loans'!$N$15="",'My Loans'!$N$15=0),0,IF(E75&lt;0.005,0,MIN(INDIRECT("'My Loans'!$F"&amp;'My Loans'!$N$15),E75+F75)))</f>
        <v>0</v>
      </c>
      <c r="H75" s="13">
        <f ca="1">IF(A75=1,IF(OR('My Loans'!$N$16="",'My Loans'!$N$16=0),0,INDIRECT("'My Loans'!$D"&amp;'My Loans'!$N$16)),AO74)</f>
        <v>0</v>
      </c>
      <c r="I75" s="13">
        <f ca="1">IF(OR('My Loans'!$N$16="",'My Loans'!$N$16=0),0,H75*INDIRECT("'My Loans'!$E"&amp;'My Loans'!$N$16)/12)</f>
        <v>0</v>
      </c>
      <c r="J75" s="13">
        <f ca="1">IF(OR('My Loans'!$N$16="",'My Loans'!$N$16=0),0,IF(H75&lt;0.005,0,MIN(INDIRECT("'My Loans'!$F"&amp;'My Loans'!$N$16),H75+I75)))</f>
        <v>0</v>
      </c>
      <c r="K75" s="13">
        <f ca="1">IF(A75=1,IF(OR('My Loans'!$N$17="",'My Loans'!$N$17=0),0,INDIRECT("'My Loans'!$D"&amp;'My Loans'!$N$17)),AT74)</f>
        <v>0</v>
      </c>
      <c r="L75" s="13">
        <f ca="1">IF(OR('My Loans'!$N$17="",'My Loans'!$N$17=0),0,K75*INDIRECT("'My Loans'!$E"&amp;'My Loans'!$N$17)/12)</f>
        <v>0</v>
      </c>
      <c r="M75" s="13">
        <f ca="1">IF(OR('My Loans'!$N$17="",'My Loans'!$N$17=0),0,IF(K75&lt;0.005,0,MIN(INDIRECT("'My Loans'!$F"&amp;'My Loans'!$N$17),K75+L75)))</f>
        <v>0</v>
      </c>
      <c r="N75" s="13">
        <f ca="1">IF(A75=1,IF(OR('My Loans'!$N$18="",'My Loans'!$N$18=0),0,INDIRECT("'My Loans'!$D"&amp;'My Loans'!$N$18)),AY74)</f>
        <v>0</v>
      </c>
      <c r="O75" s="13">
        <f ca="1">IF(OR('My Loans'!$N$18="",'My Loans'!$N$18=0),0,N75*INDIRECT("'My Loans'!$E"&amp;'My Loans'!$N$18)/12)</f>
        <v>0</v>
      </c>
      <c r="P75" s="13">
        <f ca="1">IF(OR('My Loans'!$N$18="",'My Loans'!$N$18=0),0,IF(N75&lt;0.005,0,MIN(INDIRECT("'My Loans'!$F"&amp;'My Loans'!$N$18),N75+O75)))</f>
        <v>0</v>
      </c>
      <c r="Q75" s="13">
        <f ca="1">IF(A75=1,IF(OR('My Loans'!$N$19="",'My Loans'!$N$19=0),0,INDIRECT("'My Loans'!$D"&amp;'My Loans'!$N$19)),BD74)</f>
        <v>0</v>
      </c>
      <c r="R75" s="13">
        <f ca="1">IF(OR('My Loans'!$N$19="",'My Loans'!$N$19=0),0,Q75*INDIRECT("'My Loans'!$E"&amp;'My Loans'!$N$19)/12)</f>
        <v>0</v>
      </c>
      <c r="S75" s="13">
        <f ca="1">IF(OR('My Loans'!$N$19="",'My Loans'!$N$19=0),0,IF(Q75&lt;0.005,0,MIN(INDIRECT("'My Loans'!$F"&amp;'My Loans'!$N$19),Q75+R75)))</f>
        <v>0</v>
      </c>
      <c r="T75" s="13">
        <f ca="1">IF(A75=1,IF(OR('My Loans'!$N$20="",'My Loans'!$N$20=0),0,INDIRECT("'My Loans'!$D"&amp;'My Loans'!$N$20)),BI74)</f>
        <v>0</v>
      </c>
      <c r="U75" s="13">
        <f ca="1">IF(OR('My Loans'!$N$20="",'My Loans'!$N$20=0),0,T75*INDIRECT("'My Loans'!$E"&amp;'My Loans'!$N$20)/12)</f>
        <v>0</v>
      </c>
      <c r="V75" s="13">
        <f ca="1">IF(OR('My Loans'!$N$20="",'My Loans'!$N$20=0),0,IF(T75&lt;0.005,0,MIN(INDIRECT("'My Loans'!$F"&amp;'My Loans'!$N$20),T75+U75)))</f>
        <v>0</v>
      </c>
      <c r="W75" s="13">
        <f ca="1">IF(A75=1,IF(OR('My Loans'!$N$21="",'My Loans'!$N$21=0),0,INDIRECT("'My Loans'!$D"&amp;'My Loans'!$N$21)),BN74)</f>
        <v>0</v>
      </c>
      <c r="X75" s="13">
        <f ca="1">IF(OR('My Loans'!$N$21="",'My Loans'!$N$21=0),0,W75*INDIRECT("'My Loans'!$E"&amp;'My Loans'!$N$21)/12)</f>
        <v>0</v>
      </c>
      <c r="Y75" s="13">
        <f ca="1">IF(OR('My Loans'!$N$21="",'My Loans'!$N$21=0),0,IF(W75&lt;0.005,0,MIN(INDIRECT("'My Loans'!$F"&amp;'My Loans'!$N$21),W75+X75)))</f>
        <v>0</v>
      </c>
      <c r="Z75" s="13">
        <f ca="1">'My Loans'!$B$13-(D75+G75+J75+M75+P75+S75+V75+Y75)</f>
        <v>1400</v>
      </c>
      <c r="AA75" s="13">
        <f t="shared" ca="1" si="86"/>
        <v>1400</v>
      </c>
      <c r="AB75" s="13">
        <f t="shared" ca="1" si="87"/>
        <v>0</v>
      </c>
      <c r="AC75" s="13">
        <f t="shared" ca="1" si="88"/>
        <v>0</v>
      </c>
      <c r="AD75" s="13">
        <f t="shared" ca="1" si="89"/>
        <v>0</v>
      </c>
      <c r="AE75" s="13">
        <f t="shared" ca="1" si="90"/>
        <v>0</v>
      </c>
      <c r="AF75" s="13">
        <f t="shared" ca="1" si="91"/>
        <v>1400</v>
      </c>
      <c r="AG75" s="13">
        <f t="shared" ca="1" si="92"/>
        <v>0</v>
      </c>
      <c r="AH75" s="13">
        <f t="shared" ca="1" si="93"/>
        <v>0</v>
      </c>
      <c r="AI75" s="13">
        <f t="shared" ca="1" si="94"/>
        <v>0</v>
      </c>
      <c r="AJ75" s="13">
        <f t="shared" ca="1" si="95"/>
        <v>0</v>
      </c>
      <c r="AK75" s="13">
        <f t="shared" ca="1" si="96"/>
        <v>1400</v>
      </c>
      <c r="AL75" s="13">
        <f t="shared" ca="1" si="97"/>
        <v>0</v>
      </c>
      <c r="AM75" s="13">
        <f t="shared" ca="1" si="98"/>
        <v>0</v>
      </c>
      <c r="AN75" s="13">
        <f t="shared" ca="1" si="99"/>
        <v>0</v>
      </c>
      <c r="AO75" s="13">
        <f t="shared" ca="1" si="100"/>
        <v>0</v>
      </c>
      <c r="AP75" s="13">
        <f t="shared" ca="1" si="101"/>
        <v>1400</v>
      </c>
      <c r="AQ75" s="13">
        <f t="shared" ca="1" si="102"/>
        <v>0</v>
      </c>
      <c r="AR75" s="13">
        <f t="shared" ca="1" si="103"/>
        <v>0</v>
      </c>
      <c r="AS75" s="13">
        <f t="shared" ca="1" si="104"/>
        <v>0</v>
      </c>
      <c r="AT75" s="13">
        <f t="shared" ca="1" si="105"/>
        <v>0</v>
      </c>
      <c r="AU75" s="13">
        <f t="shared" ca="1" si="106"/>
        <v>1400</v>
      </c>
      <c r="AV75" s="13">
        <f t="shared" ca="1" si="107"/>
        <v>0</v>
      </c>
      <c r="AW75" s="13">
        <f t="shared" ca="1" si="108"/>
        <v>0</v>
      </c>
      <c r="AX75" s="13">
        <f t="shared" ca="1" si="109"/>
        <v>0</v>
      </c>
      <c r="AY75" s="13">
        <f t="shared" ca="1" si="110"/>
        <v>0</v>
      </c>
      <c r="AZ75" s="13">
        <f t="shared" ca="1" si="111"/>
        <v>1400</v>
      </c>
      <c r="BA75" s="13">
        <f t="shared" ca="1" si="112"/>
        <v>0</v>
      </c>
      <c r="BB75" s="13">
        <f t="shared" ca="1" si="113"/>
        <v>0</v>
      </c>
      <c r="BC75" s="13">
        <f t="shared" ca="1" si="114"/>
        <v>0</v>
      </c>
      <c r="BD75" s="13">
        <f t="shared" ca="1" si="115"/>
        <v>0</v>
      </c>
      <c r="BE75" s="13">
        <f t="shared" ca="1" si="116"/>
        <v>1400</v>
      </c>
      <c r="BF75" s="13">
        <f t="shared" ca="1" si="117"/>
        <v>0</v>
      </c>
      <c r="BG75" s="13">
        <f t="shared" ca="1" si="118"/>
        <v>0</v>
      </c>
      <c r="BH75" s="13">
        <f t="shared" ca="1" si="119"/>
        <v>0</v>
      </c>
      <c r="BI75" s="13">
        <f t="shared" ca="1" si="120"/>
        <v>0</v>
      </c>
      <c r="BJ75" s="13">
        <f t="shared" ca="1" si="121"/>
        <v>1400</v>
      </c>
      <c r="BK75" s="13">
        <f t="shared" ca="1" si="122"/>
        <v>0</v>
      </c>
      <c r="BL75" s="13">
        <f t="shared" ca="1" si="123"/>
        <v>0</v>
      </c>
      <c r="BM75" s="13">
        <f t="shared" ca="1" si="124"/>
        <v>0</v>
      </c>
      <c r="BN75" s="13">
        <f t="shared" ca="1" si="125"/>
        <v>0</v>
      </c>
      <c r="BO75" s="13">
        <f t="shared" ca="1" si="126"/>
        <v>0</v>
      </c>
      <c r="BP75" s="13">
        <f t="shared" ca="1" si="127"/>
        <v>0</v>
      </c>
      <c r="BQ75" s="13">
        <f t="shared" ca="1" si="128"/>
        <v>0</v>
      </c>
    </row>
    <row r="76" spans="1:69" x14ac:dyDescent="0.25">
      <c r="A76" s="1">
        <v>75</v>
      </c>
      <c r="B76" s="13">
        <f ca="1">IF(A76=1,IF(OR('My Loans'!$N$14="",'My Loans'!$N$14=0),0,INDIRECT("'My Loans'!$D"&amp;'My Loans'!$N$14)),AE75)</f>
        <v>0</v>
      </c>
      <c r="C76" s="13">
        <f ca="1">IF(OR('My Loans'!$N$14="",'My Loans'!$N$14=0),0,B76*INDIRECT("'My Loans'!$E"&amp;'My Loans'!$N$14)/12)</f>
        <v>0</v>
      </c>
      <c r="D76" s="13">
        <f ca="1">IF(OR('My Loans'!$N$14="",'My Loans'!$N$14=0),0,IF(B76&lt;0.005,0,MIN(INDIRECT("'My Loans'!$F"&amp;'My Loans'!$N$14),B76+C76)))</f>
        <v>0</v>
      </c>
      <c r="E76" s="13">
        <f ca="1">IF(A76=1,IF(OR('My Loans'!$N$15="",'My Loans'!$N$15=0),0,INDIRECT("'My Loans'!$D"&amp;'My Loans'!$N$15)),AJ75)</f>
        <v>0</v>
      </c>
      <c r="F76" s="13">
        <f ca="1">IF(OR('My Loans'!$N$15="",'My Loans'!$N$15=0),0,E76*INDIRECT("'My Loans'!$E"&amp;'My Loans'!$N$15)/12)</f>
        <v>0</v>
      </c>
      <c r="G76" s="13">
        <f ca="1">IF(OR('My Loans'!$N$15="",'My Loans'!$N$15=0),0,IF(E76&lt;0.005,0,MIN(INDIRECT("'My Loans'!$F"&amp;'My Loans'!$N$15),E76+F76)))</f>
        <v>0</v>
      </c>
      <c r="H76" s="13">
        <f ca="1">IF(A76=1,IF(OR('My Loans'!$N$16="",'My Loans'!$N$16=0),0,INDIRECT("'My Loans'!$D"&amp;'My Loans'!$N$16)),AO75)</f>
        <v>0</v>
      </c>
      <c r="I76" s="13">
        <f ca="1">IF(OR('My Loans'!$N$16="",'My Loans'!$N$16=0),0,H76*INDIRECT("'My Loans'!$E"&amp;'My Loans'!$N$16)/12)</f>
        <v>0</v>
      </c>
      <c r="J76" s="13">
        <f ca="1">IF(OR('My Loans'!$N$16="",'My Loans'!$N$16=0),0,IF(H76&lt;0.005,0,MIN(INDIRECT("'My Loans'!$F"&amp;'My Loans'!$N$16),H76+I76)))</f>
        <v>0</v>
      </c>
      <c r="K76" s="13">
        <f ca="1">IF(A76=1,IF(OR('My Loans'!$N$17="",'My Loans'!$N$17=0),0,INDIRECT("'My Loans'!$D"&amp;'My Loans'!$N$17)),AT75)</f>
        <v>0</v>
      </c>
      <c r="L76" s="13">
        <f ca="1">IF(OR('My Loans'!$N$17="",'My Loans'!$N$17=0),0,K76*INDIRECT("'My Loans'!$E"&amp;'My Loans'!$N$17)/12)</f>
        <v>0</v>
      </c>
      <c r="M76" s="13">
        <f ca="1">IF(OR('My Loans'!$N$17="",'My Loans'!$N$17=0),0,IF(K76&lt;0.005,0,MIN(INDIRECT("'My Loans'!$F"&amp;'My Loans'!$N$17),K76+L76)))</f>
        <v>0</v>
      </c>
      <c r="N76" s="13">
        <f ca="1">IF(A76=1,IF(OR('My Loans'!$N$18="",'My Loans'!$N$18=0),0,INDIRECT("'My Loans'!$D"&amp;'My Loans'!$N$18)),AY75)</f>
        <v>0</v>
      </c>
      <c r="O76" s="13">
        <f ca="1">IF(OR('My Loans'!$N$18="",'My Loans'!$N$18=0),0,N76*INDIRECT("'My Loans'!$E"&amp;'My Loans'!$N$18)/12)</f>
        <v>0</v>
      </c>
      <c r="P76" s="13">
        <f ca="1">IF(OR('My Loans'!$N$18="",'My Loans'!$N$18=0),0,IF(N76&lt;0.005,0,MIN(INDIRECT("'My Loans'!$F"&amp;'My Loans'!$N$18),N76+O76)))</f>
        <v>0</v>
      </c>
      <c r="Q76" s="13">
        <f ca="1">IF(A76=1,IF(OR('My Loans'!$N$19="",'My Loans'!$N$19=0),0,INDIRECT("'My Loans'!$D"&amp;'My Loans'!$N$19)),BD75)</f>
        <v>0</v>
      </c>
      <c r="R76" s="13">
        <f ca="1">IF(OR('My Loans'!$N$19="",'My Loans'!$N$19=0),0,Q76*INDIRECT("'My Loans'!$E"&amp;'My Loans'!$N$19)/12)</f>
        <v>0</v>
      </c>
      <c r="S76" s="13">
        <f ca="1">IF(OR('My Loans'!$N$19="",'My Loans'!$N$19=0),0,IF(Q76&lt;0.005,0,MIN(INDIRECT("'My Loans'!$F"&amp;'My Loans'!$N$19),Q76+R76)))</f>
        <v>0</v>
      </c>
      <c r="T76" s="13">
        <f ca="1">IF(A76=1,IF(OR('My Loans'!$N$20="",'My Loans'!$N$20=0),0,INDIRECT("'My Loans'!$D"&amp;'My Loans'!$N$20)),BI75)</f>
        <v>0</v>
      </c>
      <c r="U76" s="13">
        <f ca="1">IF(OR('My Loans'!$N$20="",'My Loans'!$N$20=0),0,T76*INDIRECT("'My Loans'!$E"&amp;'My Loans'!$N$20)/12)</f>
        <v>0</v>
      </c>
      <c r="V76" s="13">
        <f ca="1">IF(OR('My Loans'!$N$20="",'My Loans'!$N$20=0),0,IF(T76&lt;0.005,0,MIN(INDIRECT("'My Loans'!$F"&amp;'My Loans'!$N$20),T76+U76)))</f>
        <v>0</v>
      </c>
      <c r="W76" s="13">
        <f ca="1">IF(A76=1,IF(OR('My Loans'!$N$21="",'My Loans'!$N$21=0),0,INDIRECT("'My Loans'!$D"&amp;'My Loans'!$N$21)),BN75)</f>
        <v>0</v>
      </c>
      <c r="X76" s="13">
        <f ca="1">IF(OR('My Loans'!$N$21="",'My Loans'!$N$21=0),0,W76*INDIRECT("'My Loans'!$E"&amp;'My Loans'!$N$21)/12)</f>
        <v>0</v>
      </c>
      <c r="Y76" s="13">
        <f ca="1">IF(OR('My Loans'!$N$21="",'My Loans'!$N$21=0),0,IF(W76&lt;0.005,0,MIN(INDIRECT("'My Loans'!$F"&amp;'My Loans'!$N$21),W76+X76)))</f>
        <v>0</v>
      </c>
      <c r="Z76" s="13">
        <f ca="1">'My Loans'!$B$13-(D76+G76+J76+M76+P76+S76+V76+Y76)</f>
        <v>1400</v>
      </c>
      <c r="AA76" s="13">
        <f t="shared" ca="1" si="86"/>
        <v>1400</v>
      </c>
      <c r="AB76" s="13">
        <f t="shared" ca="1" si="87"/>
        <v>0</v>
      </c>
      <c r="AC76" s="13">
        <f t="shared" ca="1" si="88"/>
        <v>0</v>
      </c>
      <c r="AD76" s="13">
        <f t="shared" ca="1" si="89"/>
        <v>0</v>
      </c>
      <c r="AE76" s="13">
        <f t="shared" ca="1" si="90"/>
        <v>0</v>
      </c>
      <c r="AF76" s="13">
        <f t="shared" ca="1" si="91"/>
        <v>1400</v>
      </c>
      <c r="AG76" s="13">
        <f t="shared" ca="1" si="92"/>
        <v>0</v>
      </c>
      <c r="AH76" s="13">
        <f t="shared" ca="1" si="93"/>
        <v>0</v>
      </c>
      <c r="AI76" s="13">
        <f t="shared" ca="1" si="94"/>
        <v>0</v>
      </c>
      <c r="AJ76" s="13">
        <f t="shared" ca="1" si="95"/>
        <v>0</v>
      </c>
      <c r="AK76" s="13">
        <f t="shared" ca="1" si="96"/>
        <v>1400</v>
      </c>
      <c r="AL76" s="13">
        <f t="shared" ca="1" si="97"/>
        <v>0</v>
      </c>
      <c r="AM76" s="13">
        <f t="shared" ca="1" si="98"/>
        <v>0</v>
      </c>
      <c r="AN76" s="13">
        <f t="shared" ca="1" si="99"/>
        <v>0</v>
      </c>
      <c r="AO76" s="13">
        <f t="shared" ca="1" si="100"/>
        <v>0</v>
      </c>
      <c r="AP76" s="13">
        <f t="shared" ca="1" si="101"/>
        <v>1400</v>
      </c>
      <c r="AQ76" s="13">
        <f t="shared" ca="1" si="102"/>
        <v>0</v>
      </c>
      <c r="AR76" s="13">
        <f t="shared" ca="1" si="103"/>
        <v>0</v>
      </c>
      <c r="AS76" s="13">
        <f t="shared" ca="1" si="104"/>
        <v>0</v>
      </c>
      <c r="AT76" s="13">
        <f t="shared" ca="1" si="105"/>
        <v>0</v>
      </c>
      <c r="AU76" s="13">
        <f t="shared" ca="1" si="106"/>
        <v>1400</v>
      </c>
      <c r="AV76" s="13">
        <f t="shared" ca="1" si="107"/>
        <v>0</v>
      </c>
      <c r="AW76" s="13">
        <f t="shared" ca="1" si="108"/>
        <v>0</v>
      </c>
      <c r="AX76" s="13">
        <f t="shared" ca="1" si="109"/>
        <v>0</v>
      </c>
      <c r="AY76" s="13">
        <f t="shared" ca="1" si="110"/>
        <v>0</v>
      </c>
      <c r="AZ76" s="13">
        <f t="shared" ca="1" si="111"/>
        <v>1400</v>
      </c>
      <c r="BA76" s="13">
        <f t="shared" ca="1" si="112"/>
        <v>0</v>
      </c>
      <c r="BB76" s="13">
        <f t="shared" ca="1" si="113"/>
        <v>0</v>
      </c>
      <c r="BC76" s="13">
        <f t="shared" ca="1" si="114"/>
        <v>0</v>
      </c>
      <c r="BD76" s="13">
        <f t="shared" ca="1" si="115"/>
        <v>0</v>
      </c>
      <c r="BE76" s="13">
        <f t="shared" ca="1" si="116"/>
        <v>1400</v>
      </c>
      <c r="BF76" s="13">
        <f t="shared" ca="1" si="117"/>
        <v>0</v>
      </c>
      <c r="BG76" s="13">
        <f t="shared" ca="1" si="118"/>
        <v>0</v>
      </c>
      <c r="BH76" s="13">
        <f t="shared" ca="1" si="119"/>
        <v>0</v>
      </c>
      <c r="BI76" s="13">
        <f t="shared" ca="1" si="120"/>
        <v>0</v>
      </c>
      <c r="BJ76" s="13">
        <f t="shared" ca="1" si="121"/>
        <v>1400</v>
      </c>
      <c r="BK76" s="13">
        <f t="shared" ca="1" si="122"/>
        <v>0</v>
      </c>
      <c r="BL76" s="13">
        <f t="shared" ca="1" si="123"/>
        <v>0</v>
      </c>
      <c r="BM76" s="13">
        <f t="shared" ca="1" si="124"/>
        <v>0</v>
      </c>
      <c r="BN76" s="13">
        <f t="shared" ca="1" si="125"/>
        <v>0</v>
      </c>
      <c r="BO76" s="13">
        <f t="shared" ca="1" si="126"/>
        <v>0</v>
      </c>
      <c r="BP76" s="13">
        <f t="shared" ca="1" si="127"/>
        <v>0</v>
      </c>
      <c r="BQ76" s="13">
        <f t="shared" ca="1" si="128"/>
        <v>0</v>
      </c>
    </row>
    <row r="77" spans="1:69" x14ac:dyDescent="0.25">
      <c r="A77" s="1">
        <v>76</v>
      </c>
      <c r="B77" s="13">
        <f ca="1">IF(A77=1,IF(OR('My Loans'!$N$14="",'My Loans'!$N$14=0),0,INDIRECT("'My Loans'!$D"&amp;'My Loans'!$N$14)),AE76)</f>
        <v>0</v>
      </c>
      <c r="C77" s="13">
        <f ca="1">IF(OR('My Loans'!$N$14="",'My Loans'!$N$14=0),0,B77*INDIRECT("'My Loans'!$E"&amp;'My Loans'!$N$14)/12)</f>
        <v>0</v>
      </c>
      <c r="D77" s="13">
        <f ca="1">IF(OR('My Loans'!$N$14="",'My Loans'!$N$14=0),0,IF(B77&lt;0.005,0,MIN(INDIRECT("'My Loans'!$F"&amp;'My Loans'!$N$14),B77+C77)))</f>
        <v>0</v>
      </c>
      <c r="E77" s="13">
        <f ca="1">IF(A77=1,IF(OR('My Loans'!$N$15="",'My Loans'!$N$15=0),0,INDIRECT("'My Loans'!$D"&amp;'My Loans'!$N$15)),AJ76)</f>
        <v>0</v>
      </c>
      <c r="F77" s="13">
        <f ca="1">IF(OR('My Loans'!$N$15="",'My Loans'!$N$15=0),0,E77*INDIRECT("'My Loans'!$E"&amp;'My Loans'!$N$15)/12)</f>
        <v>0</v>
      </c>
      <c r="G77" s="13">
        <f ca="1">IF(OR('My Loans'!$N$15="",'My Loans'!$N$15=0),0,IF(E77&lt;0.005,0,MIN(INDIRECT("'My Loans'!$F"&amp;'My Loans'!$N$15),E77+F77)))</f>
        <v>0</v>
      </c>
      <c r="H77" s="13">
        <f ca="1">IF(A77=1,IF(OR('My Loans'!$N$16="",'My Loans'!$N$16=0),0,INDIRECT("'My Loans'!$D"&amp;'My Loans'!$N$16)),AO76)</f>
        <v>0</v>
      </c>
      <c r="I77" s="13">
        <f ca="1">IF(OR('My Loans'!$N$16="",'My Loans'!$N$16=0),0,H77*INDIRECT("'My Loans'!$E"&amp;'My Loans'!$N$16)/12)</f>
        <v>0</v>
      </c>
      <c r="J77" s="13">
        <f ca="1">IF(OR('My Loans'!$N$16="",'My Loans'!$N$16=0),0,IF(H77&lt;0.005,0,MIN(INDIRECT("'My Loans'!$F"&amp;'My Loans'!$N$16),H77+I77)))</f>
        <v>0</v>
      </c>
      <c r="K77" s="13">
        <f ca="1">IF(A77=1,IF(OR('My Loans'!$N$17="",'My Loans'!$N$17=0),0,INDIRECT("'My Loans'!$D"&amp;'My Loans'!$N$17)),AT76)</f>
        <v>0</v>
      </c>
      <c r="L77" s="13">
        <f ca="1">IF(OR('My Loans'!$N$17="",'My Loans'!$N$17=0),0,K77*INDIRECT("'My Loans'!$E"&amp;'My Loans'!$N$17)/12)</f>
        <v>0</v>
      </c>
      <c r="M77" s="13">
        <f ca="1">IF(OR('My Loans'!$N$17="",'My Loans'!$N$17=0),0,IF(K77&lt;0.005,0,MIN(INDIRECT("'My Loans'!$F"&amp;'My Loans'!$N$17),K77+L77)))</f>
        <v>0</v>
      </c>
      <c r="N77" s="13">
        <f ca="1">IF(A77=1,IF(OR('My Loans'!$N$18="",'My Loans'!$N$18=0),0,INDIRECT("'My Loans'!$D"&amp;'My Loans'!$N$18)),AY76)</f>
        <v>0</v>
      </c>
      <c r="O77" s="13">
        <f ca="1">IF(OR('My Loans'!$N$18="",'My Loans'!$N$18=0),0,N77*INDIRECT("'My Loans'!$E"&amp;'My Loans'!$N$18)/12)</f>
        <v>0</v>
      </c>
      <c r="P77" s="13">
        <f ca="1">IF(OR('My Loans'!$N$18="",'My Loans'!$N$18=0),0,IF(N77&lt;0.005,0,MIN(INDIRECT("'My Loans'!$F"&amp;'My Loans'!$N$18),N77+O77)))</f>
        <v>0</v>
      </c>
      <c r="Q77" s="13">
        <f ca="1">IF(A77=1,IF(OR('My Loans'!$N$19="",'My Loans'!$N$19=0),0,INDIRECT("'My Loans'!$D"&amp;'My Loans'!$N$19)),BD76)</f>
        <v>0</v>
      </c>
      <c r="R77" s="13">
        <f ca="1">IF(OR('My Loans'!$N$19="",'My Loans'!$N$19=0),0,Q77*INDIRECT("'My Loans'!$E"&amp;'My Loans'!$N$19)/12)</f>
        <v>0</v>
      </c>
      <c r="S77" s="13">
        <f ca="1">IF(OR('My Loans'!$N$19="",'My Loans'!$N$19=0),0,IF(Q77&lt;0.005,0,MIN(INDIRECT("'My Loans'!$F"&amp;'My Loans'!$N$19),Q77+R77)))</f>
        <v>0</v>
      </c>
      <c r="T77" s="13">
        <f ca="1">IF(A77=1,IF(OR('My Loans'!$N$20="",'My Loans'!$N$20=0),0,INDIRECT("'My Loans'!$D"&amp;'My Loans'!$N$20)),BI76)</f>
        <v>0</v>
      </c>
      <c r="U77" s="13">
        <f ca="1">IF(OR('My Loans'!$N$20="",'My Loans'!$N$20=0),0,T77*INDIRECT("'My Loans'!$E"&amp;'My Loans'!$N$20)/12)</f>
        <v>0</v>
      </c>
      <c r="V77" s="13">
        <f ca="1">IF(OR('My Loans'!$N$20="",'My Loans'!$N$20=0),0,IF(T77&lt;0.005,0,MIN(INDIRECT("'My Loans'!$F"&amp;'My Loans'!$N$20),T77+U77)))</f>
        <v>0</v>
      </c>
      <c r="W77" s="13">
        <f ca="1">IF(A77=1,IF(OR('My Loans'!$N$21="",'My Loans'!$N$21=0),0,INDIRECT("'My Loans'!$D"&amp;'My Loans'!$N$21)),BN76)</f>
        <v>0</v>
      </c>
      <c r="X77" s="13">
        <f ca="1">IF(OR('My Loans'!$N$21="",'My Loans'!$N$21=0),0,W77*INDIRECT("'My Loans'!$E"&amp;'My Loans'!$N$21)/12)</f>
        <v>0</v>
      </c>
      <c r="Y77" s="13">
        <f ca="1">IF(OR('My Loans'!$N$21="",'My Loans'!$N$21=0),0,IF(W77&lt;0.005,0,MIN(INDIRECT("'My Loans'!$F"&amp;'My Loans'!$N$21),W77+X77)))</f>
        <v>0</v>
      </c>
      <c r="Z77" s="13">
        <f ca="1">'My Loans'!$B$13-(D77+G77+J77+M77+P77+S77+V77+Y77)</f>
        <v>1400</v>
      </c>
      <c r="AA77" s="13">
        <f t="shared" ca="1" si="86"/>
        <v>1400</v>
      </c>
      <c r="AB77" s="13">
        <f t="shared" ca="1" si="87"/>
        <v>0</v>
      </c>
      <c r="AC77" s="13">
        <f t="shared" ca="1" si="88"/>
        <v>0</v>
      </c>
      <c r="AD77" s="13">
        <f t="shared" ca="1" si="89"/>
        <v>0</v>
      </c>
      <c r="AE77" s="13">
        <f t="shared" ca="1" si="90"/>
        <v>0</v>
      </c>
      <c r="AF77" s="13">
        <f t="shared" ca="1" si="91"/>
        <v>1400</v>
      </c>
      <c r="AG77" s="13">
        <f t="shared" ca="1" si="92"/>
        <v>0</v>
      </c>
      <c r="AH77" s="13">
        <f t="shared" ca="1" si="93"/>
        <v>0</v>
      </c>
      <c r="AI77" s="13">
        <f t="shared" ca="1" si="94"/>
        <v>0</v>
      </c>
      <c r="AJ77" s="13">
        <f t="shared" ca="1" si="95"/>
        <v>0</v>
      </c>
      <c r="AK77" s="13">
        <f t="shared" ca="1" si="96"/>
        <v>1400</v>
      </c>
      <c r="AL77" s="13">
        <f t="shared" ca="1" si="97"/>
        <v>0</v>
      </c>
      <c r="AM77" s="13">
        <f t="shared" ca="1" si="98"/>
        <v>0</v>
      </c>
      <c r="AN77" s="13">
        <f t="shared" ca="1" si="99"/>
        <v>0</v>
      </c>
      <c r="AO77" s="13">
        <f t="shared" ca="1" si="100"/>
        <v>0</v>
      </c>
      <c r="AP77" s="13">
        <f t="shared" ca="1" si="101"/>
        <v>1400</v>
      </c>
      <c r="AQ77" s="13">
        <f t="shared" ca="1" si="102"/>
        <v>0</v>
      </c>
      <c r="AR77" s="13">
        <f t="shared" ca="1" si="103"/>
        <v>0</v>
      </c>
      <c r="AS77" s="13">
        <f t="shared" ca="1" si="104"/>
        <v>0</v>
      </c>
      <c r="AT77" s="13">
        <f t="shared" ca="1" si="105"/>
        <v>0</v>
      </c>
      <c r="AU77" s="13">
        <f t="shared" ca="1" si="106"/>
        <v>1400</v>
      </c>
      <c r="AV77" s="13">
        <f t="shared" ca="1" si="107"/>
        <v>0</v>
      </c>
      <c r="AW77" s="13">
        <f t="shared" ca="1" si="108"/>
        <v>0</v>
      </c>
      <c r="AX77" s="13">
        <f t="shared" ca="1" si="109"/>
        <v>0</v>
      </c>
      <c r="AY77" s="13">
        <f t="shared" ca="1" si="110"/>
        <v>0</v>
      </c>
      <c r="AZ77" s="13">
        <f t="shared" ca="1" si="111"/>
        <v>1400</v>
      </c>
      <c r="BA77" s="13">
        <f t="shared" ca="1" si="112"/>
        <v>0</v>
      </c>
      <c r="BB77" s="13">
        <f t="shared" ca="1" si="113"/>
        <v>0</v>
      </c>
      <c r="BC77" s="13">
        <f t="shared" ca="1" si="114"/>
        <v>0</v>
      </c>
      <c r="BD77" s="13">
        <f t="shared" ca="1" si="115"/>
        <v>0</v>
      </c>
      <c r="BE77" s="13">
        <f t="shared" ca="1" si="116"/>
        <v>1400</v>
      </c>
      <c r="BF77" s="13">
        <f t="shared" ca="1" si="117"/>
        <v>0</v>
      </c>
      <c r="BG77" s="13">
        <f t="shared" ca="1" si="118"/>
        <v>0</v>
      </c>
      <c r="BH77" s="13">
        <f t="shared" ca="1" si="119"/>
        <v>0</v>
      </c>
      <c r="BI77" s="13">
        <f t="shared" ca="1" si="120"/>
        <v>0</v>
      </c>
      <c r="BJ77" s="13">
        <f t="shared" ca="1" si="121"/>
        <v>1400</v>
      </c>
      <c r="BK77" s="13">
        <f t="shared" ca="1" si="122"/>
        <v>0</v>
      </c>
      <c r="BL77" s="13">
        <f t="shared" ca="1" si="123"/>
        <v>0</v>
      </c>
      <c r="BM77" s="13">
        <f t="shared" ca="1" si="124"/>
        <v>0</v>
      </c>
      <c r="BN77" s="13">
        <f t="shared" ca="1" si="125"/>
        <v>0</v>
      </c>
      <c r="BO77" s="13">
        <f t="shared" ca="1" si="126"/>
        <v>0</v>
      </c>
      <c r="BP77" s="13">
        <f t="shared" ca="1" si="127"/>
        <v>0</v>
      </c>
      <c r="BQ77" s="13">
        <f t="shared" ca="1" si="128"/>
        <v>0</v>
      </c>
    </row>
    <row r="78" spans="1:69" x14ac:dyDescent="0.25">
      <c r="A78" s="1">
        <v>77</v>
      </c>
      <c r="B78" s="13">
        <f ca="1">IF(A78=1,IF(OR('My Loans'!$N$14="",'My Loans'!$N$14=0),0,INDIRECT("'My Loans'!$D"&amp;'My Loans'!$N$14)),AE77)</f>
        <v>0</v>
      </c>
      <c r="C78" s="13">
        <f ca="1">IF(OR('My Loans'!$N$14="",'My Loans'!$N$14=0),0,B78*INDIRECT("'My Loans'!$E"&amp;'My Loans'!$N$14)/12)</f>
        <v>0</v>
      </c>
      <c r="D78" s="13">
        <f ca="1">IF(OR('My Loans'!$N$14="",'My Loans'!$N$14=0),0,IF(B78&lt;0.005,0,MIN(INDIRECT("'My Loans'!$F"&amp;'My Loans'!$N$14),B78+C78)))</f>
        <v>0</v>
      </c>
      <c r="E78" s="13">
        <f ca="1">IF(A78=1,IF(OR('My Loans'!$N$15="",'My Loans'!$N$15=0),0,INDIRECT("'My Loans'!$D"&amp;'My Loans'!$N$15)),AJ77)</f>
        <v>0</v>
      </c>
      <c r="F78" s="13">
        <f ca="1">IF(OR('My Loans'!$N$15="",'My Loans'!$N$15=0),0,E78*INDIRECT("'My Loans'!$E"&amp;'My Loans'!$N$15)/12)</f>
        <v>0</v>
      </c>
      <c r="G78" s="13">
        <f ca="1">IF(OR('My Loans'!$N$15="",'My Loans'!$N$15=0),0,IF(E78&lt;0.005,0,MIN(INDIRECT("'My Loans'!$F"&amp;'My Loans'!$N$15),E78+F78)))</f>
        <v>0</v>
      </c>
      <c r="H78" s="13">
        <f ca="1">IF(A78=1,IF(OR('My Loans'!$N$16="",'My Loans'!$N$16=0),0,INDIRECT("'My Loans'!$D"&amp;'My Loans'!$N$16)),AO77)</f>
        <v>0</v>
      </c>
      <c r="I78" s="13">
        <f ca="1">IF(OR('My Loans'!$N$16="",'My Loans'!$N$16=0),0,H78*INDIRECT("'My Loans'!$E"&amp;'My Loans'!$N$16)/12)</f>
        <v>0</v>
      </c>
      <c r="J78" s="13">
        <f ca="1">IF(OR('My Loans'!$N$16="",'My Loans'!$N$16=0),0,IF(H78&lt;0.005,0,MIN(INDIRECT("'My Loans'!$F"&amp;'My Loans'!$N$16),H78+I78)))</f>
        <v>0</v>
      </c>
      <c r="K78" s="13">
        <f ca="1">IF(A78=1,IF(OR('My Loans'!$N$17="",'My Loans'!$N$17=0),0,INDIRECT("'My Loans'!$D"&amp;'My Loans'!$N$17)),AT77)</f>
        <v>0</v>
      </c>
      <c r="L78" s="13">
        <f ca="1">IF(OR('My Loans'!$N$17="",'My Loans'!$N$17=0),0,K78*INDIRECT("'My Loans'!$E"&amp;'My Loans'!$N$17)/12)</f>
        <v>0</v>
      </c>
      <c r="M78" s="13">
        <f ca="1">IF(OR('My Loans'!$N$17="",'My Loans'!$N$17=0),0,IF(K78&lt;0.005,0,MIN(INDIRECT("'My Loans'!$F"&amp;'My Loans'!$N$17),K78+L78)))</f>
        <v>0</v>
      </c>
      <c r="N78" s="13">
        <f ca="1">IF(A78=1,IF(OR('My Loans'!$N$18="",'My Loans'!$N$18=0),0,INDIRECT("'My Loans'!$D"&amp;'My Loans'!$N$18)),AY77)</f>
        <v>0</v>
      </c>
      <c r="O78" s="13">
        <f ca="1">IF(OR('My Loans'!$N$18="",'My Loans'!$N$18=0),0,N78*INDIRECT("'My Loans'!$E"&amp;'My Loans'!$N$18)/12)</f>
        <v>0</v>
      </c>
      <c r="P78" s="13">
        <f ca="1">IF(OR('My Loans'!$N$18="",'My Loans'!$N$18=0),0,IF(N78&lt;0.005,0,MIN(INDIRECT("'My Loans'!$F"&amp;'My Loans'!$N$18),N78+O78)))</f>
        <v>0</v>
      </c>
      <c r="Q78" s="13">
        <f ca="1">IF(A78=1,IF(OR('My Loans'!$N$19="",'My Loans'!$N$19=0),0,INDIRECT("'My Loans'!$D"&amp;'My Loans'!$N$19)),BD77)</f>
        <v>0</v>
      </c>
      <c r="R78" s="13">
        <f ca="1">IF(OR('My Loans'!$N$19="",'My Loans'!$N$19=0),0,Q78*INDIRECT("'My Loans'!$E"&amp;'My Loans'!$N$19)/12)</f>
        <v>0</v>
      </c>
      <c r="S78" s="13">
        <f ca="1">IF(OR('My Loans'!$N$19="",'My Loans'!$N$19=0),0,IF(Q78&lt;0.005,0,MIN(INDIRECT("'My Loans'!$F"&amp;'My Loans'!$N$19),Q78+R78)))</f>
        <v>0</v>
      </c>
      <c r="T78" s="13">
        <f ca="1">IF(A78=1,IF(OR('My Loans'!$N$20="",'My Loans'!$N$20=0),0,INDIRECT("'My Loans'!$D"&amp;'My Loans'!$N$20)),BI77)</f>
        <v>0</v>
      </c>
      <c r="U78" s="13">
        <f ca="1">IF(OR('My Loans'!$N$20="",'My Loans'!$N$20=0),0,T78*INDIRECT("'My Loans'!$E"&amp;'My Loans'!$N$20)/12)</f>
        <v>0</v>
      </c>
      <c r="V78" s="13">
        <f ca="1">IF(OR('My Loans'!$N$20="",'My Loans'!$N$20=0),0,IF(T78&lt;0.005,0,MIN(INDIRECT("'My Loans'!$F"&amp;'My Loans'!$N$20),T78+U78)))</f>
        <v>0</v>
      </c>
      <c r="W78" s="13">
        <f ca="1">IF(A78=1,IF(OR('My Loans'!$N$21="",'My Loans'!$N$21=0),0,INDIRECT("'My Loans'!$D"&amp;'My Loans'!$N$21)),BN77)</f>
        <v>0</v>
      </c>
      <c r="X78" s="13">
        <f ca="1">IF(OR('My Loans'!$N$21="",'My Loans'!$N$21=0),0,W78*INDIRECT("'My Loans'!$E"&amp;'My Loans'!$N$21)/12)</f>
        <v>0</v>
      </c>
      <c r="Y78" s="13">
        <f ca="1">IF(OR('My Loans'!$N$21="",'My Loans'!$N$21=0),0,IF(W78&lt;0.005,0,MIN(INDIRECT("'My Loans'!$F"&amp;'My Loans'!$N$21),W78+X78)))</f>
        <v>0</v>
      </c>
      <c r="Z78" s="13">
        <f ca="1">'My Loans'!$B$13-(D78+G78+J78+M78+P78+S78+V78+Y78)</f>
        <v>1400</v>
      </c>
      <c r="AA78" s="13">
        <f t="shared" ca="1" si="86"/>
        <v>1400</v>
      </c>
      <c r="AB78" s="13">
        <f t="shared" ca="1" si="87"/>
        <v>0</v>
      </c>
      <c r="AC78" s="13">
        <f t="shared" ca="1" si="88"/>
        <v>0</v>
      </c>
      <c r="AD78" s="13">
        <f t="shared" ca="1" si="89"/>
        <v>0</v>
      </c>
      <c r="AE78" s="13">
        <f t="shared" ca="1" si="90"/>
        <v>0</v>
      </c>
      <c r="AF78" s="13">
        <f t="shared" ca="1" si="91"/>
        <v>1400</v>
      </c>
      <c r="AG78" s="13">
        <f t="shared" ca="1" si="92"/>
        <v>0</v>
      </c>
      <c r="AH78" s="13">
        <f t="shared" ca="1" si="93"/>
        <v>0</v>
      </c>
      <c r="AI78" s="13">
        <f t="shared" ca="1" si="94"/>
        <v>0</v>
      </c>
      <c r="AJ78" s="13">
        <f t="shared" ca="1" si="95"/>
        <v>0</v>
      </c>
      <c r="AK78" s="13">
        <f t="shared" ca="1" si="96"/>
        <v>1400</v>
      </c>
      <c r="AL78" s="13">
        <f t="shared" ca="1" si="97"/>
        <v>0</v>
      </c>
      <c r="AM78" s="13">
        <f t="shared" ca="1" si="98"/>
        <v>0</v>
      </c>
      <c r="AN78" s="13">
        <f t="shared" ca="1" si="99"/>
        <v>0</v>
      </c>
      <c r="AO78" s="13">
        <f t="shared" ca="1" si="100"/>
        <v>0</v>
      </c>
      <c r="AP78" s="13">
        <f t="shared" ca="1" si="101"/>
        <v>1400</v>
      </c>
      <c r="AQ78" s="13">
        <f t="shared" ca="1" si="102"/>
        <v>0</v>
      </c>
      <c r="AR78" s="13">
        <f t="shared" ca="1" si="103"/>
        <v>0</v>
      </c>
      <c r="AS78" s="13">
        <f t="shared" ca="1" si="104"/>
        <v>0</v>
      </c>
      <c r="AT78" s="13">
        <f t="shared" ca="1" si="105"/>
        <v>0</v>
      </c>
      <c r="AU78" s="13">
        <f t="shared" ca="1" si="106"/>
        <v>1400</v>
      </c>
      <c r="AV78" s="13">
        <f t="shared" ca="1" si="107"/>
        <v>0</v>
      </c>
      <c r="AW78" s="13">
        <f t="shared" ca="1" si="108"/>
        <v>0</v>
      </c>
      <c r="AX78" s="13">
        <f t="shared" ca="1" si="109"/>
        <v>0</v>
      </c>
      <c r="AY78" s="13">
        <f t="shared" ca="1" si="110"/>
        <v>0</v>
      </c>
      <c r="AZ78" s="13">
        <f t="shared" ca="1" si="111"/>
        <v>1400</v>
      </c>
      <c r="BA78" s="13">
        <f t="shared" ca="1" si="112"/>
        <v>0</v>
      </c>
      <c r="BB78" s="13">
        <f t="shared" ca="1" si="113"/>
        <v>0</v>
      </c>
      <c r="BC78" s="13">
        <f t="shared" ca="1" si="114"/>
        <v>0</v>
      </c>
      <c r="BD78" s="13">
        <f t="shared" ca="1" si="115"/>
        <v>0</v>
      </c>
      <c r="BE78" s="13">
        <f t="shared" ca="1" si="116"/>
        <v>1400</v>
      </c>
      <c r="BF78" s="13">
        <f t="shared" ca="1" si="117"/>
        <v>0</v>
      </c>
      <c r="BG78" s="13">
        <f t="shared" ca="1" si="118"/>
        <v>0</v>
      </c>
      <c r="BH78" s="13">
        <f t="shared" ca="1" si="119"/>
        <v>0</v>
      </c>
      <c r="BI78" s="13">
        <f t="shared" ca="1" si="120"/>
        <v>0</v>
      </c>
      <c r="BJ78" s="13">
        <f t="shared" ca="1" si="121"/>
        <v>1400</v>
      </c>
      <c r="BK78" s="13">
        <f t="shared" ca="1" si="122"/>
        <v>0</v>
      </c>
      <c r="BL78" s="13">
        <f t="shared" ca="1" si="123"/>
        <v>0</v>
      </c>
      <c r="BM78" s="13">
        <f t="shared" ca="1" si="124"/>
        <v>0</v>
      </c>
      <c r="BN78" s="13">
        <f t="shared" ca="1" si="125"/>
        <v>0</v>
      </c>
      <c r="BO78" s="13">
        <f t="shared" ca="1" si="126"/>
        <v>0</v>
      </c>
      <c r="BP78" s="13">
        <f t="shared" ca="1" si="127"/>
        <v>0</v>
      </c>
      <c r="BQ78" s="13">
        <f t="shared" ca="1" si="128"/>
        <v>0</v>
      </c>
    </row>
    <row r="79" spans="1:69" x14ac:dyDescent="0.25">
      <c r="A79" s="1">
        <v>78</v>
      </c>
      <c r="B79" s="13">
        <f ca="1">IF(A79=1,IF(OR('My Loans'!$N$14="",'My Loans'!$N$14=0),0,INDIRECT("'My Loans'!$D"&amp;'My Loans'!$N$14)),AE78)</f>
        <v>0</v>
      </c>
      <c r="C79" s="13">
        <f ca="1">IF(OR('My Loans'!$N$14="",'My Loans'!$N$14=0),0,B79*INDIRECT("'My Loans'!$E"&amp;'My Loans'!$N$14)/12)</f>
        <v>0</v>
      </c>
      <c r="D79" s="13">
        <f ca="1">IF(OR('My Loans'!$N$14="",'My Loans'!$N$14=0),0,IF(B79&lt;0.005,0,MIN(INDIRECT("'My Loans'!$F"&amp;'My Loans'!$N$14),B79+C79)))</f>
        <v>0</v>
      </c>
      <c r="E79" s="13">
        <f ca="1">IF(A79=1,IF(OR('My Loans'!$N$15="",'My Loans'!$N$15=0),0,INDIRECT("'My Loans'!$D"&amp;'My Loans'!$N$15)),AJ78)</f>
        <v>0</v>
      </c>
      <c r="F79" s="13">
        <f ca="1">IF(OR('My Loans'!$N$15="",'My Loans'!$N$15=0),0,E79*INDIRECT("'My Loans'!$E"&amp;'My Loans'!$N$15)/12)</f>
        <v>0</v>
      </c>
      <c r="G79" s="13">
        <f ca="1">IF(OR('My Loans'!$N$15="",'My Loans'!$N$15=0),0,IF(E79&lt;0.005,0,MIN(INDIRECT("'My Loans'!$F"&amp;'My Loans'!$N$15),E79+F79)))</f>
        <v>0</v>
      </c>
      <c r="H79" s="13">
        <f ca="1">IF(A79=1,IF(OR('My Loans'!$N$16="",'My Loans'!$N$16=0),0,INDIRECT("'My Loans'!$D"&amp;'My Loans'!$N$16)),AO78)</f>
        <v>0</v>
      </c>
      <c r="I79" s="13">
        <f ca="1">IF(OR('My Loans'!$N$16="",'My Loans'!$N$16=0),0,H79*INDIRECT("'My Loans'!$E"&amp;'My Loans'!$N$16)/12)</f>
        <v>0</v>
      </c>
      <c r="J79" s="13">
        <f ca="1">IF(OR('My Loans'!$N$16="",'My Loans'!$N$16=0),0,IF(H79&lt;0.005,0,MIN(INDIRECT("'My Loans'!$F"&amp;'My Loans'!$N$16),H79+I79)))</f>
        <v>0</v>
      </c>
      <c r="K79" s="13">
        <f ca="1">IF(A79=1,IF(OR('My Loans'!$N$17="",'My Loans'!$N$17=0),0,INDIRECT("'My Loans'!$D"&amp;'My Loans'!$N$17)),AT78)</f>
        <v>0</v>
      </c>
      <c r="L79" s="13">
        <f ca="1">IF(OR('My Loans'!$N$17="",'My Loans'!$N$17=0),0,K79*INDIRECT("'My Loans'!$E"&amp;'My Loans'!$N$17)/12)</f>
        <v>0</v>
      </c>
      <c r="M79" s="13">
        <f ca="1">IF(OR('My Loans'!$N$17="",'My Loans'!$N$17=0),0,IF(K79&lt;0.005,0,MIN(INDIRECT("'My Loans'!$F"&amp;'My Loans'!$N$17),K79+L79)))</f>
        <v>0</v>
      </c>
      <c r="N79" s="13">
        <f ca="1">IF(A79=1,IF(OR('My Loans'!$N$18="",'My Loans'!$N$18=0),0,INDIRECT("'My Loans'!$D"&amp;'My Loans'!$N$18)),AY78)</f>
        <v>0</v>
      </c>
      <c r="O79" s="13">
        <f ca="1">IF(OR('My Loans'!$N$18="",'My Loans'!$N$18=0),0,N79*INDIRECT("'My Loans'!$E"&amp;'My Loans'!$N$18)/12)</f>
        <v>0</v>
      </c>
      <c r="P79" s="13">
        <f ca="1">IF(OR('My Loans'!$N$18="",'My Loans'!$N$18=0),0,IF(N79&lt;0.005,0,MIN(INDIRECT("'My Loans'!$F"&amp;'My Loans'!$N$18),N79+O79)))</f>
        <v>0</v>
      </c>
      <c r="Q79" s="13">
        <f ca="1">IF(A79=1,IF(OR('My Loans'!$N$19="",'My Loans'!$N$19=0),0,INDIRECT("'My Loans'!$D"&amp;'My Loans'!$N$19)),BD78)</f>
        <v>0</v>
      </c>
      <c r="R79" s="13">
        <f ca="1">IF(OR('My Loans'!$N$19="",'My Loans'!$N$19=0),0,Q79*INDIRECT("'My Loans'!$E"&amp;'My Loans'!$N$19)/12)</f>
        <v>0</v>
      </c>
      <c r="S79" s="13">
        <f ca="1">IF(OR('My Loans'!$N$19="",'My Loans'!$N$19=0),0,IF(Q79&lt;0.005,0,MIN(INDIRECT("'My Loans'!$F"&amp;'My Loans'!$N$19),Q79+R79)))</f>
        <v>0</v>
      </c>
      <c r="T79" s="13">
        <f ca="1">IF(A79=1,IF(OR('My Loans'!$N$20="",'My Loans'!$N$20=0),0,INDIRECT("'My Loans'!$D"&amp;'My Loans'!$N$20)),BI78)</f>
        <v>0</v>
      </c>
      <c r="U79" s="13">
        <f ca="1">IF(OR('My Loans'!$N$20="",'My Loans'!$N$20=0),0,T79*INDIRECT("'My Loans'!$E"&amp;'My Loans'!$N$20)/12)</f>
        <v>0</v>
      </c>
      <c r="V79" s="13">
        <f ca="1">IF(OR('My Loans'!$N$20="",'My Loans'!$N$20=0),0,IF(T79&lt;0.005,0,MIN(INDIRECT("'My Loans'!$F"&amp;'My Loans'!$N$20),T79+U79)))</f>
        <v>0</v>
      </c>
      <c r="W79" s="13">
        <f ca="1">IF(A79=1,IF(OR('My Loans'!$N$21="",'My Loans'!$N$21=0),0,INDIRECT("'My Loans'!$D"&amp;'My Loans'!$N$21)),BN78)</f>
        <v>0</v>
      </c>
      <c r="X79" s="13">
        <f ca="1">IF(OR('My Loans'!$N$21="",'My Loans'!$N$21=0),0,W79*INDIRECT("'My Loans'!$E"&amp;'My Loans'!$N$21)/12)</f>
        <v>0</v>
      </c>
      <c r="Y79" s="13">
        <f ca="1">IF(OR('My Loans'!$N$21="",'My Loans'!$N$21=0),0,IF(W79&lt;0.005,0,MIN(INDIRECT("'My Loans'!$F"&amp;'My Loans'!$N$21),W79+X79)))</f>
        <v>0</v>
      </c>
      <c r="Z79" s="13">
        <f ca="1">'My Loans'!$B$13-(D79+G79+J79+M79+P79+S79+V79+Y79)</f>
        <v>1400</v>
      </c>
      <c r="AA79" s="13">
        <f t="shared" ca="1" si="86"/>
        <v>1400</v>
      </c>
      <c r="AB79" s="13">
        <f t="shared" ca="1" si="87"/>
        <v>0</v>
      </c>
      <c r="AC79" s="13">
        <f t="shared" ca="1" si="88"/>
        <v>0</v>
      </c>
      <c r="AD79" s="13">
        <f t="shared" ca="1" si="89"/>
        <v>0</v>
      </c>
      <c r="AE79" s="13">
        <f t="shared" ca="1" si="90"/>
        <v>0</v>
      </c>
      <c r="AF79" s="13">
        <f t="shared" ca="1" si="91"/>
        <v>1400</v>
      </c>
      <c r="AG79" s="13">
        <f t="shared" ca="1" si="92"/>
        <v>0</v>
      </c>
      <c r="AH79" s="13">
        <f t="shared" ca="1" si="93"/>
        <v>0</v>
      </c>
      <c r="AI79" s="13">
        <f t="shared" ca="1" si="94"/>
        <v>0</v>
      </c>
      <c r="AJ79" s="13">
        <f t="shared" ca="1" si="95"/>
        <v>0</v>
      </c>
      <c r="AK79" s="13">
        <f t="shared" ca="1" si="96"/>
        <v>1400</v>
      </c>
      <c r="AL79" s="13">
        <f t="shared" ca="1" si="97"/>
        <v>0</v>
      </c>
      <c r="AM79" s="13">
        <f t="shared" ca="1" si="98"/>
        <v>0</v>
      </c>
      <c r="AN79" s="13">
        <f t="shared" ca="1" si="99"/>
        <v>0</v>
      </c>
      <c r="AO79" s="13">
        <f t="shared" ca="1" si="100"/>
        <v>0</v>
      </c>
      <c r="AP79" s="13">
        <f t="shared" ca="1" si="101"/>
        <v>1400</v>
      </c>
      <c r="AQ79" s="13">
        <f t="shared" ca="1" si="102"/>
        <v>0</v>
      </c>
      <c r="AR79" s="13">
        <f t="shared" ca="1" si="103"/>
        <v>0</v>
      </c>
      <c r="AS79" s="13">
        <f t="shared" ca="1" si="104"/>
        <v>0</v>
      </c>
      <c r="AT79" s="13">
        <f t="shared" ca="1" si="105"/>
        <v>0</v>
      </c>
      <c r="AU79" s="13">
        <f t="shared" ca="1" si="106"/>
        <v>1400</v>
      </c>
      <c r="AV79" s="13">
        <f t="shared" ca="1" si="107"/>
        <v>0</v>
      </c>
      <c r="AW79" s="13">
        <f t="shared" ca="1" si="108"/>
        <v>0</v>
      </c>
      <c r="AX79" s="13">
        <f t="shared" ca="1" si="109"/>
        <v>0</v>
      </c>
      <c r="AY79" s="13">
        <f t="shared" ca="1" si="110"/>
        <v>0</v>
      </c>
      <c r="AZ79" s="13">
        <f t="shared" ca="1" si="111"/>
        <v>1400</v>
      </c>
      <c r="BA79" s="13">
        <f t="shared" ca="1" si="112"/>
        <v>0</v>
      </c>
      <c r="BB79" s="13">
        <f t="shared" ca="1" si="113"/>
        <v>0</v>
      </c>
      <c r="BC79" s="13">
        <f t="shared" ca="1" si="114"/>
        <v>0</v>
      </c>
      <c r="BD79" s="13">
        <f t="shared" ca="1" si="115"/>
        <v>0</v>
      </c>
      <c r="BE79" s="13">
        <f t="shared" ca="1" si="116"/>
        <v>1400</v>
      </c>
      <c r="BF79" s="13">
        <f t="shared" ca="1" si="117"/>
        <v>0</v>
      </c>
      <c r="BG79" s="13">
        <f t="shared" ca="1" si="118"/>
        <v>0</v>
      </c>
      <c r="BH79" s="13">
        <f t="shared" ca="1" si="119"/>
        <v>0</v>
      </c>
      <c r="BI79" s="13">
        <f t="shared" ca="1" si="120"/>
        <v>0</v>
      </c>
      <c r="BJ79" s="13">
        <f t="shared" ca="1" si="121"/>
        <v>1400</v>
      </c>
      <c r="BK79" s="13">
        <f t="shared" ca="1" si="122"/>
        <v>0</v>
      </c>
      <c r="BL79" s="13">
        <f t="shared" ca="1" si="123"/>
        <v>0</v>
      </c>
      <c r="BM79" s="13">
        <f t="shared" ca="1" si="124"/>
        <v>0</v>
      </c>
      <c r="BN79" s="13">
        <f t="shared" ca="1" si="125"/>
        <v>0</v>
      </c>
      <c r="BO79" s="13">
        <f t="shared" ca="1" si="126"/>
        <v>0</v>
      </c>
      <c r="BP79" s="13">
        <f t="shared" ca="1" si="127"/>
        <v>0</v>
      </c>
      <c r="BQ79" s="13">
        <f t="shared" ca="1" si="128"/>
        <v>0</v>
      </c>
    </row>
    <row r="80" spans="1:69" x14ac:dyDescent="0.25">
      <c r="A80" s="1">
        <v>79</v>
      </c>
      <c r="B80" s="13">
        <f ca="1">IF(A80=1,IF(OR('My Loans'!$N$14="",'My Loans'!$N$14=0),0,INDIRECT("'My Loans'!$D"&amp;'My Loans'!$N$14)),AE79)</f>
        <v>0</v>
      </c>
      <c r="C80" s="13">
        <f ca="1">IF(OR('My Loans'!$N$14="",'My Loans'!$N$14=0),0,B80*INDIRECT("'My Loans'!$E"&amp;'My Loans'!$N$14)/12)</f>
        <v>0</v>
      </c>
      <c r="D80" s="13">
        <f ca="1">IF(OR('My Loans'!$N$14="",'My Loans'!$N$14=0),0,IF(B80&lt;0.005,0,MIN(INDIRECT("'My Loans'!$F"&amp;'My Loans'!$N$14),B80+C80)))</f>
        <v>0</v>
      </c>
      <c r="E80" s="13">
        <f ca="1">IF(A80=1,IF(OR('My Loans'!$N$15="",'My Loans'!$N$15=0),0,INDIRECT("'My Loans'!$D"&amp;'My Loans'!$N$15)),AJ79)</f>
        <v>0</v>
      </c>
      <c r="F80" s="13">
        <f ca="1">IF(OR('My Loans'!$N$15="",'My Loans'!$N$15=0),0,E80*INDIRECT("'My Loans'!$E"&amp;'My Loans'!$N$15)/12)</f>
        <v>0</v>
      </c>
      <c r="G80" s="13">
        <f ca="1">IF(OR('My Loans'!$N$15="",'My Loans'!$N$15=0),0,IF(E80&lt;0.005,0,MIN(INDIRECT("'My Loans'!$F"&amp;'My Loans'!$N$15),E80+F80)))</f>
        <v>0</v>
      </c>
      <c r="H80" s="13">
        <f ca="1">IF(A80=1,IF(OR('My Loans'!$N$16="",'My Loans'!$N$16=0),0,INDIRECT("'My Loans'!$D"&amp;'My Loans'!$N$16)),AO79)</f>
        <v>0</v>
      </c>
      <c r="I80" s="13">
        <f ca="1">IF(OR('My Loans'!$N$16="",'My Loans'!$N$16=0),0,H80*INDIRECT("'My Loans'!$E"&amp;'My Loans'!$N$16)/12)</f>
        <v>0</v>
      </c>
      <c r="J80" s="13">
        <f ca="1">IF(OR('My Loans'!$N$16="",'My Loans'!$N$16=0),0,IF(H80&lt;0.005,0,MIN(INDIRECT("'My Loans'!$F"&amp;'My Loans'!$N$16),H80+I80)))</f>
        <v>0</v>
      </c>
      <c r="K80" s="13">
        <f ca="1">IF(A80=1,IF(OR('My Loans'!$N$17="",'My Loans'!$N$17=0),0,INDIRECT("'My Loans'!$D"&amp;'My Loans'!$N$17)),AT79)</f>
        <v>0</v>
      </c>
      <c r="L80" s="13">
        <f ca="1">IF(OR('My Loans'!$N$17="",'My Loans'!$N$17=0),0,K80*INDIRECT("'My Loans'!$E"&amp;'My Loans'!$N$17)/12)</f>
        <v>0</v>
      </c>
      <c r="M80" s="13">
        <f ca="1">IF(OR('My Loans'!$N$17="",'My Loans'!$N$17=0),0,IF(K80&lt;0.005,0,MIN(INDIRECT("'My Loans'!$F"&amp;'My Loans'!$N$17),K80+L80)))</f>
        <v>0</v>
      </c>
      <c r="N80" s="13">
        <f ca="1">IF(A80=1,IF(OR('My Loans'!$N$18="",'My Loans'!$N$18=0),0,INDIRECT("'My Loans'!$D"&amp;'My Loans'!$N$18)),AY79)</f>
        <v>0</v>
      </c>
      <c r="O80" s="13">
        <f ca="1">IF(OR('My Loans'!$N$18="",'My Loans'!$N$18=0),0,N80*INDIRECT("'My Loans'!$E"&amp;'My Loans'!$N$18)/12)</f>
        <v>0</v>
      </c>
      <c r="P80" s="13">
        <f ca="1">IF(OR('My Loans'!$N$18="",'My Loans'!$N$18=0),0,IF(N80&lt;0.005,0,MIN(INDIRECT("'My Loans'!$F"&amp;'My Loans'!$N$18),N80+O80)))</f>
        <v>0</v>
      </c>
      <c r="Q80" s="13">
        <f ca="1">IF(A80=1,IF(OR('My Loans'!$N$19="",'My Loans'!$N$19=0),0,INDIRECT("'My Loans'!$D"&amp;'My Loans'!$N$19)),BD79)</f>
        <v>0</v>
      </c>
      <c r="R80" s="13">
        <f ca="1">IF(OR('My Loans'!$N$19="",'My Loans'!$N$19=0),0,Q80*INDIRECT("'My Loans'!$E"&amp;'My Loans'!$N$19)/12)</f>
        <v>0</v>
      </c>
      <c r="S80" s="13">
        <f ca="1">IF(OR('My Loans'!$N$19="",'My Loans'!$N$19=0),0,IF(Q80&lt;0.005,0,MIN(INDIRECT("'My Loans'!$F"&amp;'My Loans'!$N$19),Q80+R80)))</f>
        <v>0</v>
      </c>
      <c r="T80" s="13">
        <f ca="1">IF(A80=1,IF(OR('My Loans'!$N$20="",'My Loans'!$N$20=0),0,INDIRECT("'My Loans'!$D"&amp;'My Loans'!$N$20)),BI79)</f>
        <v>0</v>
      </c>
      <c r="U80" s="13">
        <f ca="1">IF(OR('My Loans'!$N$20="",'My Loans'!$N$20=0),0,T80*INDIRECT("'My Loans'!$E"&amp;'My Loans'!$N$20)/12)</f>
        <v>0</v>
      </c>
      <c r="V80" s="13">
        <f ca="1">IF(OR('My Loans'!$N$20="",'My Loans'!$N$20=0),0,IF(T80&lt;0.005,0,MIN(INDIRECT("'My Loans'!$F"&amp;'My Loans'!$N$20),T80+U80)))</f>
        <v>0</v>
      </c>
      <c r="W80" s="13">
        <f ca="1">IF(A80=1,IF(OR('My Loans'!$N$21="",'My Loans'!$N$21=0),0,INDIRECT("'My Loans'!$D"&amp;'My Loans'!$N$21)),BN79)</f>
        <v>0</v>
      </c>
      <c r="X80" s="13">
        <f ca="1">IF(OR('My Loans'!$N$21="",'My Loans'!$N$21=0),0,W80*INDIRECT("'My Loans'!$E"&amp;'My Loans'!$N$21)/12)</f>
        <v>0</v>
      </c>
      <c r="Y80" s="13">
        <f ca="1">IF(OR('My Loans'!$N$21="",'My Loans'!$N$21=0),0,IF(W80&lt;0.005,0,MIN(INDIRECT("'My Loans'!$F"&amp;'My Loans'!$N$21),W80+X80)))</f>
        <v>0</v>
      </c>
      <c r="Z80" s="13">
        <f ca="1">'My Loans'!$B$13-(D80+G80+J80+M80+P80+S80+V80+Y80)</f>
        <v>1400</v>
      </c>
      <c r="AA80" s="13">
        <f t="shared" ca="1" si="86"/>
        <v>1400</v>
      </c>
      <c r="AB80" s="13">
        <f t="shared" ca="1" si="87"/>
        <v>0</v>
      </c>
      <c r="AC80" s="13">
        <f t="shared" ca="1" si="88"/>
        <v>0</v>
      </c>
      <c r="AD80" s="13">
        <f t="shared" ca="1" si="89"/>
        <v>0</v>
      </c>
      <c r="AE80" s="13">
        <f t="shared" ca="1" si="90"/>
        <v>0</v>
      </c>
      <c r="AF80" s="13">
        <f t="shared" ca="1" si="91"/>
        <v>1400</v>
      </c>
      <c r="AG80" s="13">
        <f t="shared" ca="1" si="92"/>
        <v>0</v>
      </c>
      <c r="AH80" s="13">
        <f t="shared" ca="1" si="93"/>
        <v>0</v>
      </c>
      <c r="AI80" s="13">
        <f t="shared" ca="1" si="94"/>
        <v>0</v>
      </c>
      <c r="AJ80" s="13">
        <f t="shared" ca="1" si="95"/>
        <v>0</v>
      </c>
      <c r="AK80" s="13">
        <f t="shared" ca="1" si="96"/>
        <v>1400</v>
      </c>
      <c r="AL80" s="13">
        <f t="shared" ca="1" si="97"/>
        <v>0</v>
      </c>
      <c r="AM80" s="13">
        <f t="shared" ca="1" si="98"/>
        <v>0</v>
      </c>
      <c r="AN80" s="13">
        <f t="shared" ca="1" si="99"/>
        <v>0</v>
      </c>
      <c r="AO80" s="13">
        <f t="shared" ca="1" si="100"/>
        <v>0</v>
      </c>
      <c r="AP80" s="13">
        <f t="shared" ca="1" si="101"/>
        <v>1400</v>
      </c>
      <c r="AQ80" s="13">
        <f t="shared" ca="1" si="102"/>
        <v>0</v>
      </c>
      <c r="AR80" s="13">
        <f t="shared" ca="1" si="103"/>
        <v>0</v>
      </c>
      <c r="AS80" s="13">
        <f t="shared" ca="1" si="104"/>
        <v>0</v>
      </c>
      <c r="AT80" s="13">
        <f t="shared" ca="1" si="105"/>
        <v>0</v>
      </c>
      <c r="AU80" s="13">
        <f t="shared" ca="1" si="106"/>
        <v>1400</v>
      </c>
      <c r="AV80" s="13">
        <f t="shared" ca="1" si="107"/>
        <v>0</v>
      </c>
      <c r="AW80" s="13">
        <f t="shared" ca="1" si="108"/>
        <v>0</v>
      </c>
      <c r="AX80" s="13">
        <f t="shared" ca="1" si="109"/>
        <v>0</v>
      </c>
      <c r="AY80" s="13">
        <f t="shared" ca="1" si="110"/>
        <v>0</v>
      </c>
      <c r="AZ80" s="13">
        <f t="shared" ca="1" si="111"/>
        <v>1400</v>
      </c>
      <c r="BA80" s="13">
        <f t="shared" ca="1" si="112"/>
        <v>0</v>
      </c>
      <c r="BB80" s="13">
        <f t="shared" ca="1" si="113"/>
        <v>0</v>
      </c>
      <c r="BC80" s="13">
        <f t="shared" ca="1" si="114"/>
        <v>0</v>
      </c>
      <c r="BD80" s="13">
        <f t="shared" ca="1" si="115"/>
        <v>0</v>
      </c>
      <c r="BE80" s="13">
        <f t="shared" ca="1" si="116"/>
        <v>1400</v>
      </c>
      <c r="BF80" s="13">
        <f t="shared" ca="1" si="117"/>
        <v>0</v>
      </c>
      <c r="BG80" s="13">
        <f t="shared" ca="1" si="118"/>
        <v>0</v>
      </c>
      <c r="BH80" s="13">
        <f t="shared" ca="1" si="119"/>
        <v>0</v>
      </c>
      <c r="BI80" s="13">
        <f t="shared" ca="1" si="120"/>
        <v>0</v>
      </c>
      <c r="BJ80" s="13">
        <f t="shared" ca="1" si="121"/>
        <v>1400</v>
      </c>
      <c r="BK80" s="13">
        <f t="shared" ca="1" si="122"/>
        <v>0</v>
      </c>
      <c r="BL80" s="13">
        <f t="shared" ca="1" si="123"/>
        <v>0</v>
      </c>
      <c r="BM80" s="13">
        <f t="shared" ca="1" si="124"/>
        <v>0</v>
      </c>
      <c r="BN80" s="13">
        <f t="shared" ca="1" si="125"/>
        <v>0</v>
      </c>
      <c r="BO80" s="13">
        <f t="shared" ca="1" si="126"/>
        <v>0</v>
      </c>
      <c r="BP80" s="13">
        <f t="shared" ca="1" si="127"/>
        <v>0</v>
      </c>
      <c r="BQ80" s="13">
        <f t="shared" ca="1" si="128"/>
        <v>0</v>
      </c>
    </row>
    <row r="81" spans="1:69" x14ac:dyDescent="0.25">
      <c r="A81" s="1">
        <v>80</v>
      </c>
      <c r="B81" s="13">
        <f ca="1">IF(A81=1,IF(OR('My Loans'!$N$14="",'My Loans'!$N$14=0),0,INDIRECT("'My Loans'!$D"&amp;'My Loans'!$N$14)),AE80)</f>
        <v>0</v>
      </c>
      <c r="C81" s="13">
        <f ca="1">IF(OR('My Loans'!$N$14="",'My Loans'!$N$14=0),0,B81*INDIRECT("'My Loans'!$E"&amp;'My Loans'!$N$14)/12)</f>
        <v>0</v>
      </c>
      <c r="D81" s="13">
        <f ca="1">IF(OR('My Loans'!$N$14="",'My Loans'!$N$14=0),0,IF(B81&lt;0.005,0,MIN(INDIRECT("'My Loans'!$F"&amp;'My Loans'!$N$14),B81+C81)))</f>
        <v>0</v>
      </c>
      <c r="E81" s="13">
        <f ca="1">IF(A81=1,IF(OR('My Loans'!$N$15="",'My Loans'!$N$15=0),0,INDIRECT("'My Loans'!$D"&amp;'My Loans'!$N$15)),AJ80)</f>
        <v>0</v>
      </c>
      <c r="F81" s="13">
        <f ca="1">IF(OR('My Loans'!$N$15="",'My Loans'!$N$15=0),0,E81*INDIRECT("'My Loans'!$E"&amp;'My Loans'!$N$15)/12)</f>
        <v>0</v>
      </c>
      <c r="G81" s="13">
        <f ca="1">IF(OR('My Loans'!$N$15="",'My Loans'!$N$15=0),0,IF(E81&lt;0.005,0,MIN(INDIRECT("'My Loans'!$F"&amp;'My Loans'!$N$15),E81+F81)))</f>
        <v>0</v>
      </c>
      <c r="H81" s="13">
        <f ca="1">IF(A81=1,IF(OR('My Loans'!$N$16="",'My Loans'!$N$16=0),0,INDIRECT("'My Loans'!$D"&amp;'My Loans'!$N$16)),AO80)</f>
        <v>0</v>
      </c>
      <c r="I81" s="13">
        <f ca="1">IF(OR('My Loans'!$N$16="",'My Loans'!$N$16=0),0,H81*INDIRECT("'My Loans'!$E"&amp;'My Loans'!$N$16)/12)</f>
        <v>0</v>
      </c>
      <c r="J81" s="13">
        <f ca="1">IF(OR('My Loans'!$N$16="",'My Loans'!$N$16=0),0,IF(H81&lt;0.005,0,MIN(INDIRECT("'My Loans'!$F"&amp;'My Loans'!$N$16),H81+I81)))</f>
        <v>0</v>
      </c>
      <c r="K81" s="13">
        <f ca="1">IF(A81=1,IF(OR('My Loans'!$N$17="",'My Loans'!$N$17=0),0,INDIRECT("'My Loans'!$D"&amp;'My Loans'!$N$17)),AT80)</f>
        <v>0</v>
      </c>
      <c r="L81" s="13">
        <f ca="1">IF(OR('My Loans'!$N$17="",'My Loans'!$N$17=0),0,K81*INDIRECT("'My Loans'!$E"&amp;'My Loans'!$N$17)/12)</f>
        <v>0</v>
      </c>
      <c r="M81" s="13">
        <f ca="1">IF(OR('My Loans'!$N$17="",'My Loans'!$N$17=0),0,IF(K81&lt;0.005,0,MIN(INDIRECT("'My Loans'!$F"&amp;'My Loans'!$N$17),K81+L81)))</f>
        <v>0</v>
      </c>
      <c r="N81" s="13">
        <f ca="1">IF(A81=1,IF(OR('My Loans'!$N$18="",'My Loans'!$N$18=0),0,INDIRECT("'My Loans'!$D"&amp;'My Loans'!$N$18)),AY80)</f>
        <v>0</v>
      </c>
      <c r="O81" s="13">
        <f ca="1">IF(OR('My Loans'!$N$18="",'My Loans'!$N$18=0),0,N81*INDIRECT("'My Loans'!$E"&amp;'My Loans'!$N$18)/12)</f>
        <v>0</v>
      </c>
      <c r="P81" s="13">
        <f ca="1">IF(OR('My Loans'!$N$18="",'My Loans'!$N$18=0),0,IF(N81&lt;0.005,0,MIN(INDIRECT("'My Loans'!$F"&amp;'My Loans'!$N$18),N81+O81)))</f>
        <v>0</v>
      </c>
      <c r="Q81" s="13">
        <f ca="1">IF(A81=1,IF(OR('My Loans'!$N$19="",'My Loans'!$N$19=0),0,INDIRECT("'My Loans'!$D"&amp;'My Loans'!$N$19)),BD80)</f>
        <v>0</v>
      </c>
      <c r="R81" s="13">
        <f ca="1">IF(OR('My Loans'!$N$19="",'My Loans'!$N$19=0),0,Q81*INDIRECT("'My Loans'!$E"&amp;'My Loans'!$N$19)/12)</f>
        <v>0</v>
      </c>
      <c r="S81" s="13">
        <f ca="1">IF(OR('My Loans'!$N$19="",'My Loans'!$N$19=0),0,IF(Q81&lt;0.005,0,MIN(INDIRECT("'My Loans'!$F"&amp;'My Loans'!$N$19),Q81+R81)))</f>
        <v>0</v>
      </c>
      <c r="T81" s="13">
        <f ca="1">IF(A81=1,IF(OR('My Loans'!$N$20="",'My Loans'!$N$20=0),0,INDIRECT("'My Loans'!$D"&amp;'My Loans'!$N$20)),BI80)</f>
        <v>0</v>
      </c>
      <c r="U81" s="13">
        <f ca="1">IF(OR('My Loans'!$N$20="",'My Loans'!$N$20=0),0,T81*INDIRECT("'My Loans'!$E"&amp;'My Loans'!$N$20)/12)</f>
        <v>0</v>
      </c>
      <c r="V81" s="13">
        <f ca="1">IF(OR('My Loans'!$N$20="",'My Loans'!$N$20=0),0,IF(T81&lt;0.005,0,MIN(INDIRECT("'My Loans'!$F"&amp;'My Loans'!$N$20),T81+U81)))</f>
        <v>0</v>
      </c>
      <c r="W81" s="13">
        <f ca="1">IF(A81=1,IF(OR('My Loans'!$N$21="",'My Loans'!$N$21=0),0,INDIRECT("'My Loans'!$D"&amp;'My Loans'!$N$21)),BN80)</f>
        <v>0</v>
      </c>
      <c r="X81" s="13">
        <f ca="1">IF(OR('My Loans'!$N$21="",'My Loans'!$N$21=0),0,W81*INDIRECT("'My Loans'!$E"&amp;'My Loans'!$N$21)/12)</f>
        <v>0</v>
      </c>
      <c r="Y81" s="13">
        <f ca="1">IF(OR('My Loans'!$N$21="",'My Loans'!$N$21=0),0,IF(W81&lt;0.005,0,MIN(INDIRECT("'My Loans'!$F"&amp;'My Loans'!$N$21),W81+X81)))</f>
        <v>0</v>
      </c>
      <c r="Z81" s="13">
        <f ca="1">'My Loans'!$B$13-(D81+G81+J81+M81+P81+S81+V81+Y81)</f>
        <v>1400</v>
      </c>
      <c r="AA81" s="13">
        <f t="shared" ca="1" si="86"/>
        <v>1400</v>
      </c>
      <c r="AB81" s="13">
        <f t="shared" ca="1" si="87"/>
        <v>0</v>
      </c>
      <c r="AC81" s="13">
        <f t="shared" ca="1" si="88"/>
        <v>0</v>
      </c>
      <c r="AD81" s="13">
        <f t="shared" ca="1" si="89"/>
        <v>0</v>
      </c>
      <c r="AE81" s="13">
        <f t="shared" ca="1" si="90"/>
        <v>0</v>
      </c>
      <c r="AF81" s="13">
        <f t="shared" ca="1" si="91"/>
        <v>1400</v>
      </c>
      <c r="AG81" s="13">
        <f t="shared" ca="1" si="92"/>
        <v>0</v>
      </c>
      <c r="AH81" s="13">
        <f t="shared" ca="1" si="93"/>
        <v>0</v>
      </c>
      <c r="AI81" s="13">
        <f t="shared" ca="1" si="94"/>
        <v>0</v>
      </c>
      <c r="AJ81" s="13">
        <f t="shared" ca="1" si="95"/>
        <v>0</v>
      </c>
      <c r="AK81" s="13">
        <f t="shared" ca="1" si="96"/>
        <v>1400</v>
      </c>
      <c r="AL81" s="13">
        <f t="shared" ca="1" si="97"/>
        <v>0</v>
      </c>
      <c r="AM81" s="13">
        <f t="shared" ca="1" si="98"/>
        <v>0</v>
      </c>
      <c r="AN81" s="13">
        <f t="shared" ca="1" si="99"/>
        <v>0</v>
      </c>
      <c r="AO81" s="13">
        <f t="shared" ca="1" si="100"/>
        <v>0</v>
      </c>
      <c r="AP81" s="13">
        <f t="shared" ca="1" si="101"/>
        <v>1400</v>
      </c>
      <c r="AQ81" s="13">
        <f t="shared" ca="1" si="102"/>
        <v>0</v>
      </c>
      <c r="AR81" s="13">
        <f t="shared" ca="1" si="103"/>
        <v>0</v>
      </c>
      <c r="AS81" s="13">
        <f t="shared" ca="1" si="104"/>
        <v>0</v>
      </c>
      <c r="AT81" s="13">
        <f t="shared" ca="1" si="105"/>
        <v>0</v>
      </c>
      <c r="AU81" s="13">
        <f t="shared" ca="1" si="106"/>
        <v>1400</v>
      </c>
      <c r="AV81" s="13">
        <f t="shared" ca="1" si="107"/>
        <v>0</v>
      </c>
      <c r="AW81" s="13">
        <f t="shared" ca="1" si="108"/>
        <v>0</v>
      </c>
      <c r="AX81" s="13">
        <f t="shared" ca="1" si="109"/>
        <v>0</v>
      </c>
      <c r="AY81" s="13">
        <f t="shared" ca="1" si="110"/>
        <v>0</v>
      </c>
      <c r="AZ81" s="13">
        <f t="shared" ca="1" si="111"/>
        <v>1400</v>
      </c>
      <c r="BA81" s="13">
        <f t="shared" ca="1" si="112"/>
        <v>0</v>
      </c>
      <c r="BB81" s="13">
        <f t="shared" ca="1" si="113"/>
        <v>0</v>
      </c>
      <c r="BC81" s="13">
        <f t="shared" ca="1" si="114"/>
        <v>0</v>
      </c>
      <c r="BD81" s="13">
        <f t="shared" ca="1" si="115"/>
        <v>0</v>
      </c>
      <c r="BE81" s="13">
        <f t="shared" ca="1" si="116"/>
        <v>1400</v>
      </c>
      <c r="BF81" s="13">
        <f t="shared" ca="1" si="117"/>
        <v>0</v>
      </c>
      <c r="BG81" s="13">
        <f t="shared" ca="1" si="118"/>
        <v>0</v>
      </c>
      <c r="BH81" s="13">
        <f t="shared" ca="1" si="119"/>
        <v>0</v>
      </c>
      <c r="BI81" s="13">
        <f t="shared" ca="1" si="120"/>
        <v>0</v>
      </c>
      <c r="BJ81" s="13">
        <f t="shared" ca="1" si="121"/>
        <v>1400</v>
      </c>
      <c r="BK81" s="13">
        <f t="shared" ca="1" si="122"/>
        <v>0</v>
      </c>
      <c r="BL81" s="13">
        <f t="shared" ca="1" si="123"/>
        <v>0</v>
      </c>
      <c r="BM81" s="13">
        <f t="shared" ca="1" si="124"/>
        <v>0</v>
      </c>
      <c r="BN81" s="13">
        <f t="shared" ca="1" si="125"/>
        <v>0</v>
      </c>
      <c r="BO81" s="13">
        <f t="shared" ca="1" si="126"/>
        <v>0</v>
      </c>
      <c r="BP81" s="13">
        <f t="shared" ca="1" si="127"/>
        <v>0</v>
      </c>
      <c r="BQ81" s="13">
        <f t="shared" ca="1" si="128"/>
        <v>0</v>
      </c>
    </row>
    <row r="82" spans="1:69" x14ac:dyDescent="0.25">
      <c r="A82" s="1">
        <v>81</v>
      </c>
      <c r="B82" s="13">
        <f ca="1">IF(A82=1,IF(OR('My Loans'!$N$14="",'My Loans'!$N$14=0),0,INDIRECT("'My Loans'!$D"&amp;'My Loans'!$N$14)),AE81)</f>
        <v>0</v>
      </c>
      <c r="C82" s="13">
        <f ca="1">IF(OR('My Loans'!$N$14="",'My Loans'!$N$14=0),0,B82*INDIRECT("'My Loans'!$E"&amp;'My Loans'!$N$14)/12)</f>
        <v>0</v>
      </c>
      <c r="D82" s="13">
        <f ca="1">IF(OR('My Loans'!$N$14="",'My Loans'!$N$14=0),0,IF(B82&lt;0.005,0,MIN(INDIRECT("'My Loans'!$F"&amp;'My Loans'!$N$14),B82+C82)))</f>
        <v>0</v>
      </c>
      <c r="E82" s="13">
        <f ca="1">IF(A82=1,IF(OR('My Loans'!$N$15="",'My Loans'!$N$15=0),0,INDIRECT("'My Loans'!$D"&amp;'My Loans'!$N$15)),AJ81)</f>
        <v>0</v>
      </c>
      <c r="F82" s="13">
        <f ca="1">IF(OR('My Loans'!$N$15="",'My Loans'!$N$15=0),0,E82*INDIRECT("'My Loans'!$E"&amp;'My Loans'!$N$15)/12)</f>
        <v>0</v>
      </c>
      <c r="G82" s="13">
        <f ca="1">IF(OR('My Loans'!$N$15="",'My Loans'!$N$15=0),0,IF(E82&lt;0.005,0,MIN(INDIRECT("'My Loans'!$F"&amp;'My Loans'!$N$15),E82+F82)))</f>
        <v>0</v>
      </c>
      <c r="H82" s="13">
        <f ca="1">IF(A82=1,IF(OR('My Loans'!$N$16="",'My Loans'!$N$16=0),0,INDIRECT("'My Loans'!$D"&amp;'My Loans'!$N$16)),AO81)</f>
        <v>0</v>
      </c>
      <c r="I82" s="13">
        <f ca="1">IF(OR('My Loans'!$N$16="",'My Loans'!$N$16=0),0,H82*INDIRECT("'My Loans'!$E"&amp;'My Loans'!$N$16)/12)</f>
        <v>0</v>
      </c>
      <c r="J82" s="13">
        <f ca="1">IF(OR('My Loans'!$N$16="",'My Loans'!$N$16=0),0,IF(H82&lt;0.005,0,MIN(INDIRECT("'My Loans'!$F"&amp;'My Loans'!$N$16),H82+I82)))</f>
        <v>0</v>
      </c>
      <c r="K82" s="13">
        <f ca="1">IF(A82=1,IF(OR('My Loans'!$N$17="",'My Loans'!$N$17=0),0,INDIRECT("'My Loans'!$D"&amp;'My Loans'!$N$17)),AT81)</f>
        <v>0</v>
      </c>
      <c r="L82" s="13">
        <f ca="1">IF(OR('My Loans'!$N$17="",'My Loans'!$N$17=0),0,K82*INDIRECT("'My Loans'!$E"&amp;'My Loans'!$N$17)/12)</f>
        <v>0</v>
      </c>
      <c r="M82" s="13">
        <f ca="1">IF(OR('My Loans'!$N$17="",'My Loans'!$N$17=0),0,IF(K82&lt;0.005,0,MIN(INDIRECT("'My Loans'!$F"&amp;'My Loans'!$N$17),K82+L82)))</f>
        <v>0</v>
      </c>
      <c r="N82" s="13">
        <f ca="1">IF(A82=1,IF(OR('My Loans'!$N$18="",'My Loans'!$N$18=0),0,INDIRECT("'My Loans'!$D"&amp;'My Loans'!$N$18)),AY81)</f>
        <v>0</v>
      </c>
      <c r="O82" s="13">
        <f ca="1">IF(OR('My Loans'!$N$18="",'My Loans'!$N$18=0),0,N82*INDIRECT("'My Loans'!$E"&amp;'My Loans'!$N$18)/12)</f>
        <v>0</v>
      </c>
      <c r="P82" s="13">
        <f ca="1">IF(OR('My Loans'!$N$18="",'My Loans'!$N$18=0),0,IF(N82&lt;0.005,0,MIN(INDIRECT("'My Loans'!$F"&amp;'My Loans'!$N$18),N82+O82)))</f>
        <v>0</v>
      </c>
      <c r="Q82" s="13">
        <f ca="1">IF(A82=1,IF(OR('My Loans'!$N$19="",'My Loans'!$N$19=0),0,INDIRECT("'My Loans'!$D"&amp;'My Loans'!$N$19)),BD81)</f>
        <v>0</v>
      </c>
      <c r="R82" s="13">
        <f ca="1">IF(OR('My Loans'!$N$19="",'My Loans'!$N$19=0),0,Q82*INDIRECT("'My Loans'!$E"&amp;'My Loans'!$N$19)/12)</f>
        <v>0</v>
      </c>
      <c r="S82" s="13">
        <f ca="1">IF(OR('My Loans'!$N$19="",'My Loans'!$N$19=0),0,IF(Q82&lt;0.005,0,MIN(INDIRECT("'My Loans'!$F"&amp;'My Loans'!$N$19),Q82+R82)))</f>
        <v>0</v>
      </c>
      <c r="T82" s="13">
        <f ca="1">IF(A82=1,IF(OR('My Loans'!$N$20="",'My Loans'!$N$20=0),0,INDIRECT("'My Loans'!$D"&amp;'My Loans'!$N$20)),BI81)</f>
        <v>0</v>
      </c>
      <c r="U82" s="13">
        <f ca="1">IF(OR('My Loans'!$N$20="",'My Loans'!$N$20=0),0,T82*INDIRECT("'My Loans'!$E"&amp;'My Loans'!$N$20)/12)</f>
        <v>0</v>
      </c>
      <c r="V82" s="13">
        <f ca="1">IF(OR('My Loans'!$N$20="",'My Loans'!$N$20=0),0,IF(T82&lt;0.005,0,MIN(INDIRECT("'My Loans'!$F"&amp;'My Loans'!$N$20),T82+U82)))</f>
        <v>0</v>
      </c>
      <c r="W82" s="13">
        <f ca="1">IF(A82=1,IF(OR('My Loans'!$N$21="",'My Loans'!$N$21=0),0,INDIRECT("'My Loans'!$D"&amp;'My Loans'!$N$21)),BN81)</f>
        <v>0</v>
      </c>
      <c r="X82" s="13">
        <f ca="1">IF(OR('My Loans'!$N$21="",'My Loans'!$N$21=0),0,W82*INDIRECT("'My Loans'!$E"&amp;'My Loans'!$N$21)/12)</f>
        <v>0</v>
      </c>
      <c r="Y82" s="13">
        <f ca="1">IF(OR('My Loans'!$N$21="",'My Loans'!$N$21=0),0,IF(W82&lt;0.005,0,MIN(INDIRECT("'My Loans'!$F"&amp;'My Loans'!$N$21),W82+X82)))</f>
        <v>0</v>
      </c>
      <c r="Z82" s="13">
        <f ca="1">'My Loans'!$B$13-(D82+G82+J82+M82+P82+S82+V82+Y82)</f>
        <v>1400</v>
      </c>
      <c r="AA82" s="13">
        <f t="shared" ca="1" si="86"/>
        <v>1400</v>
      </c>
      <c r="AB82" s="13">
        <f t="shared" ca="1" si="87"/>
        <v>0</v>
      </c>
      <c r="AC82" s="13">
        <f t="shared" ca="1" si="88"/>
        <v>0</v>
      </c>
      <c r="AD82" s="13">
        <f t="shared" ca="1" si="89"/>
        <v>0</v>
      </c>
      <c r="AE82" s="13">
        <f t="shared" ca="1" si="90"/>
        <v>0</v>
      </c>
      <c r="AF82" s="13">
        <f t="shared" ca="1" si="91"/>
        <v>1400</v>
      </c>
      <c r="AG82" s="13">
        <f t="shared" ca="1" si="92"/>
        <v>0</v>
      </c>
      <c r="AH82" s="13">
        <f t="shared" ca="1" si="93"/>
        <v>0</v>
      </c>
      <c r="AI82" s="13">
        <f t="shared" ca="1" si="94"/>
        <v>0</v>
      </c>
      <c r="AJ82" s="13">
        <f t="shared" ca="1" si="95"/>
        <v>0</v>
      </c>
      <c r="AK82" s="13">
        <f t="shared" ca="1" si="96"/>
        <v>1400</v>
      </c>
      <c r="AL82" s="13">
        <f t="shared" ca="1" si="97"/>
        <v>0</v>
      </c>
      <c r="AM82" s="13">
        <f t="shared" ca="1" si="98"/>
        <v>0</v>
      </c>
      <c r="AN82" s="13">
        <f t="shared" ca="1" si="99"/>
        <v>0</v>
      </c>
      <c r="AO82" s="13">
        <f t="shared" ca="1" si="100"/>
        <v>0</v>
      </c>
      <c r="AP82" s="13">
        <f t="shared" ca="1" si="101"/>
        <v>1400</v>
      </c>
      <c r="AQ82" s="13">
        <f t="shared" ca="1" si="102"/>
        <v>0</v>
      </c>
      <c r="AR82" s="13">
        <f t="shared" ca="1" si="103"/>
        <v>0</v>
      </c>
      <c r="AS82" s="13">
        <f t="shared" ca="1" si="104"/>
        <v>0</v>
      </c>
      <c r="AT82" s="13">
        <f t="shared" ca="1" si="105"/>
        <v>0</v>
      </c>
      <c r="AU82" s="13">
        <f t="shared" ca="1" si="106"/>
        <v>1400</v>
      </c>
      <c r="AV82" s="13">
        <f t="shared" ca="1" si="107"/>
        <v>0</v>
      </c>
      <c r="AW82" s="13">
        <f t="shared" ca="1" si="108"/>
        <v>0</v>
      </c>
      <c r="AX82" s="13">
        <f t="shared" ca="1" si="109"/>
        <v>0</v>
      </c>
      <c r="AY82" s="13">
        <f t="shared" ca="1" si="110"/>
        <v>0</v>
      </c>
      <c r="AZ82" s="13">
        <f t="shared" ca="1" si="111"/>
        <v>1400</v>
      </c>
      <c r="BA82" s="13">
        <f t="shared" ca="1" si="112"/>
        <v>0</v>
      </c>
      <c r="BB82" s="13">
        <f t="shared" ca="1" si="113"/>
        <v>0</v>
      </c>
      <c r="BC82" s="13">
        <f t="shared" ca="1" si="114"/>
        <v>0</v>
      </c>
      <c r="BD82" s="13">
        <f t="shared" ca="1" si="115"/>
        <v>0</v>
      </c>
      <c r="BE82" s="13">
        <f t="shared" ca="1" si="116"/>
        <v>1400</v>
      </c>
      <c r="BF82" s="13">
        <f t="shared" ca="1" si="117"/>
        <v>0</v>
      </c>
      <c r="BG82" s="13">
        <f t="shared" ca="1" si="118"/>
        <v>0</v>
      </c>
      <c r="BH82" s="13">
        <f t="shared" ca="1" si="119"/>
        <v>0</v>
      </c>
      <c r="BI82" s="13">
        <f t="shared" ca="1" si="120"/>
        <v>0</v>
      </c>
      <c r="BJ82" s="13">
        <f t="shared" ca="1" si="121"/>
        <v>1400</v>
      </c>
      <c r="BK82" s="13">
        <f t="shared" ca="1" si="122"/>
        <v>0</v>
      </c>
      <c r="BL82" s="13">
        <f t="shared" ca="1" si="123"/>
        <v>0</v>
      </c>
      <c r="BM82" s="13">
        <f t="shared" ca="1" si="124"/>
        <v>0</v>
      </c>
      <c r="BN82" s="13">
        <f t="shared" ca="1" si="125"/>
        <v>0</v>
      </c>
      <c r="BO82" s="13">
        <f t="shared" ca="1" si="126"/>
        <v>0</v>
      </c>
      <c r="BP82" s="13">
        <f t="shared" ca="1" si="127"/>
        <v>0</v>
      </c>
      <c r="BQ82" s="13">
        <f t="shared" ca="1" si="128"/>
        <v>0</v>
      </c>
    </row>
    <row r="83" spans="1:69" x14ac:dyDescent="0.25">
      <c r="A83" s="1">
        <v>82</v>
      </c>
      <c r="B83" s="13">
        <f ca="1">IF(A83=1,IF(OR('My Loans'!$N$14="",'My Loans'!$N$14=0),0,INDIRECT("'My Loans'!$D"&amp;'My Loans'!$N$14)),AE82)</f>
        <v>0</v>
      </c>
      <c r="C83" s="13">
        <f ca="1">IF(OR('My Loans'!$N$14="",'My Loans'!$N$14=0),0,B83*INDIRECT("'My Loans'!$E"&amp;'My Loans'!$N$14)/12)</f>
        <v>0</v>
      </c>
      <c r="D83" s="13">
        <f ca="1">IF(OR('My Loans'!$N$14="",'My Loans'!$N$14=0),0,IF(B83&lt;0.005,0,MIN(INDIRECT("'My Loans'!$F"&amp;'My Loans'!$N$14),B83+C83)))</f>
        <v>0</v>
      </c>
      <c r="E83" s="13">
        <f ca="1">IF(A83=1,IF(OR('My Loans'!$N$15="",'My Loans'!$N$15=0),0,INDIRECT("'My Loans'!$D"&amp;'My Loans'!$N$15)),AJ82)</f>
        <v>0</v>
      </c>
      <c r="F83" s="13">
        <f ca="1">IF(OR('My Loans'!$N$15="",'My Loans'!$N$15=0),0,E83*INDIRECT("'My Loans'!$E"&amp;'My Loans'!$N$15)/12)</f>
        <v>0</v>
      </c>
      <c r="G83" s="13">
        <f ca="1">IF(OR('My Loans'!$N$15="",'My Loans'!$N$15=0),0,IF(E83&lt;0.005,0,MIN(INDIRECT("'My Loans'!$F"&amp;'My Loans'!$N$15),E83+F83)))</f>
        <v>0</v>
      </c>
      <c r="H83" s="13">
        <f ca="1">IF(A83=1,IF(OR('My Loans'!$N$16="",'My Loans'!$N$16=0),0,INDIRECT("'My Loans'!$D"&amp;'My Loans'!$N$16)),AO82)</f>
        <v>0</v>
      </c>
      <c r="I83" s="13">
        <f ca="1">IF(OR('My Loans'!$N$16="",'My Loans'!$N$16=0),0,H83*INDIRECT("'My Loans'!$E"&amp;'My Loans'!$N$16)/12)</f>
        <v>0</v>
      </c>
      <c r="J83" s="13">
        <f ca="1">IF(OR('My Loans'!$N$16="",'My Loans'!$N$16=0),0,IF(H83&lt;0.005,0,MIN(INDIRECT("'My Loans'!$F"&amp;'My Loans'!$N$16),H83+I83)))</f>
        <v>0</v>
      </c>
      <c r="K83" s="13">
        <f ca="1">IF(A83=1,IF(OR('My Loans'!$N$17="",'My Loans'!$N$17=0),0,INDIRECT("'My Loans'!$D"&amp;'My Loans'!$N$17)),AT82)</f>
        <v>0</v>
      </c>
      <c r="L83" s="13">
        <f ca="1">IF(OR('My Loans'!$N$17="",'My Loans'!$N$17=0),0,K83*INDIRECT("'My Loans'!$E"&amp;'My Loans'!$N$17)/12)</f>
        <v>0</v>
      </c>
      <c r="M83" s="13">
        <f ca="1">IF(OR('My Loans'!$N$17="",'My Loans'!$N$17=0),0,IF(K83&lt;0.005,0,MIN(INDIRECT("'My Loans'!$F"&amp;'My Loans'!$N$17),K83+L83)))</f>
        <v>0</v>
      </c>
      <c r="N83" s="13">
        <f ca="1">IF(A83=1,IF(OR('My Loans'!$N$18="",'My Loans'!$N$18=0),0,INDIRECT("'My Loans'!$D"&amp;'My Loans'!$N$18)),AY82)</f>
        <v>0</v>
      </c>
      <c r="O83" s="13">
        <f ca="1">IF(OR('My Loans'!$N$18="",'My Loans'!$N$18=0),0,N83*INDIRECT("'My Loans'!$E"&amp;'My Loans'!$N$18)/12)</f>
        <v>0</v>
      </c>
      <c r="P83" s="13">
        <f ca="1">IF(OR('My Loans'!$N$18="",'My Loans'!$N$18=0),0,IF(N83&lt;0.005,0,MIN(INDIRECT("'My Loans'!$F"&amp;'My Loans'!$N$18),N83+O83)))</f>
        <v>0</v>
      </c>
      <c r="Q83" s="13">
        <f ca="1">IF(A83=1,IF(OR('My Loans'!$N$19="",'My Loans'!$N$19=0),0,INDIRECT("'My Loans'!$D"&amp;'My Loans'!$N$19)),BD82)</f>
        <v>0</v>
      </c>
      <c r="R83" s="13">
        <f ca="1">IF(OR('My Loans'!$N$19="",'My Loans'!$N$19=0),0,Q83*INDIRECT("'My Loans'!$E"&amp;'My Loans'!$N$19)/12)</f>
        <v>0</v>
      </c>
      <c r="S83" s="13">
        <f ca="1">IF(OR('My Loans'!$N$19="",'My Loans'!$N$19=0),0,IF(Q83&lt;0.005,0,MIN(INDIRECT("'My Loans'!$F"&amp;'My Loans'!$N$19),Q83+R83)))</f>
        <v>0</v>
      </c>
      <c r="T83" s="13">
        <f ca="1">IF(A83=1,IF(OR('My Loans'!$N$20="",'My Loans'!$N$20=0),0,INDIRECT("'My Loans'!$D"&amp;'My Loans'!$N$20)),BI82)</f>
        <v>0</v>
      </c>
      <c r="U83" s="13">
        <f ca="1">IF(OR('My Loans'!$N$20="",'My Loans'!$N$20=0),0,T83*INDIRECT("'My Loans'!$E"&amp;'My Loans'!$N$20)/12)</f>
        <v>0</v>
      </c>
      <c r="V83" s="13">
        <f ca="1">IF(OR('My Loans'!$N$20="",'My Loans'!$N$20=0),0,IF(T83&lt;0.005,0,MIN(INDIRECT("'My Loans'!$F"&amp;'My Loans'!$N$20),T83+U83)))</f>
        <v>0</v>
      </c>
      <c r="W83" s="13">
        <f ca="1">IF(A83=1,IF(OR('My Loans'!$N$21="",'My Loans'!$N$21=0),0,INDIRECT("'My Loans'!$D"&amp;'My Loans'!$N$21)),BN82)</f>
        <v>0</v>
      </c>
      <c r="X83" s="13">
        <f ca="1">IF(OR('My Loans'!$N$21="",'My Loans'!$N$21=0),0,W83*INDIRECT("'My Loans'!$E"&amp;'My Loans'!$N$21)/12)</f>
        <v>0</v>
      </c>
      <c r="Y83" s="13">
        <f ca="1">IF(OR('My Loans'!$N$21="",'My Loans'!$N$21=0),0,IF(W83&lt;0.005,0,MIN(INDIRECT("'My Loans'!$F"&amp;'My Loans'!$N$21),W83+X83)))</f>
        <v>0</v>
      </c>
      <c r="Z83" s="13">
        <f ca="1">'My Loans'!$B$13-(D83+G83+J83+M83+P83+S83+V83+Y83)</f>
        <v>1400</v>
      </c>
      <c r="AA83" s="13">
        <f t="shared" ca="1" si="86"/>
        <v>1400</v>
      </c>
      <c r="AB83" s="13">
        <f t="shared" ca="1" si="87"/>
        <v>0</v>
      </c>
      <c r="AC83" s="13">
        <f t="shared" ca="1" si="88"/>
        <v>0</v>
      </c>
      <c r="AD83" s="13">
        <f t="shared" ca="1" si="89"/>
        <v>0</v>
      </c>
      <c r="AE83" s="13">
        <f t="shared" ca="1" si="90"/>
        <v>0</v>
      </c>
      <c r="AF83" s="13">
        <f t="shared" ca="1" si="91"/>
        <v>1400</v>
      </c>
      <c r="AG83" s="13">
        <f t="shared" ca="1" si="92"/>
        <v>0</v>
      </c>
      <c r="AH83" s="13">
        <f t="shared" ca="1" si="93"/>
        <v>0</v>
      </c>
      <c r="AI83" s="13">
        <f t="shared" ca="1" si="94"/>
        <v>0</v>
      </c>
      <c r="AJ83" s="13">
        <f t="shared" ca="1" si="95"/>
        <v>0</v>
      </c>
      <c r="AK83" s="13">
        <f t="shared" ca="1" si="96"/>
        <v>1400</v>
      </c>
      <c r="AL83" s="13">
        <f t="shared" ca="1" si="97"/>
        <v>0</v>
      </c>
      <c r="AM83" s="13">
        <f t="shared" ca="1" si="98"/>
        <v>0</v>
      </c>
      <c r="AN83" s="13">
        <f t="shared" ca="1" si="99"/>
        <v>0</v>
      </c>
      <c r="AO83" s="13">
        <f t="shared" ca="1" si="100"/>
        <v>0</v>
      </c>
      <c r="AP83" s="13">
        <f t="shared" ca="1" si="101"/>
        <v>1400</v>
      </c>
      <c r="AQ83" s="13">
        <f t="shared" ca="1" si="102"/>
        <v>0</v>
      </c>
      <c r="AR83" s="13">
        <f t="shared" ca="1" si="103"/>
        <v>0</v>
      </c>
      <c r="AS83" s="13">
        <f t="shared" ca="1" si="104"/>
        <v>0</v>
      </c>
      <c r="AT83" s="13">
        <f t="shared" ca="1" si="105"/>
        <v>0</v>
      </c>
      <c r="AU83" s="13">
        <f t="shared" ca="1" si="106"/>
        <v>1400</v>
      </c>
      <c r="AV83" s="13">
        <f t="shared" ca="1" si="107"/>
        <v>0</v>
      </c>
      <c r="AW83" s="13">
        <f t="shared" ca="1" si="108"/>
        <v>0</v>
      </c>
      <c r="AX83" s="13">
        <f t="shared" ca="1" si="109"/>
        <v>0</v>
      </c>
      <c r="AY83" s="13">
        <f t="shared" ca="1" si="110"/>
        <v>0</v>
      </c>
      <c r="AZ83" s="13">
        <f t="shared" ca="1" si="111"/>
        <v>1400</v>
      </c>
      <c r="BA83" s="13">
        <f t="shared" ca="1" si="112"/>
        <v>0</v>
      </c>
      <c r="BB83" s="13">
        <f t="shared" ca="1" si="113"/>
        <v>0</v>
      </c>
      <c r="BC83" s="13">
        <f t="shared" ca="1" si="114"/>
        <v>0</v>
      </c>
      <c r="BD83" s="13">
        <f t="shared" ca="1" si="115"/>
        <v>0</v>
      </c>
      <c r="BE83" s="13">
        <f t="shared" ca="1" si="116"/>
        <v>1400</v>
      </c>
      <c r="BF83" s="13">
        <f t="shared" ca="1" si="117"/>
        <v>0</v>
      </c>
      <c r="BG83" s="13">
        <f t="shared" ca="1" si="118"/>
        <v>0</v>
      </c>
      <c r="BH83" s="13">
        <f t="shared" ca="1" si="119"/>
        <v>0</v>
      </c>
      <c r="BI83" s="13">
        <f t="shared" ca="1" si="120"/>
        <v>0</v>
      </c>
      <c r="BJ83" s="13">
        <f t="shared" ca="1" si="121"/>
        <v>1400</v>
      </c>
      <c r="BK83" s="13">
        <f t="shared" ca="1" si="122"/>
        <v>0</v>
      </c>
      <c r="BL83" s="13">
        <f t="shared" ca="1" si="123"/>
        <v>0</v>
      </c>
      <c r="BM83" s="13">
        <f t="shared" ca="1" si="124"/>
        <v>0</v>
      </c>
      <c r="BN83" s="13">
        <f t="shared" ca="1" si="125"/>
        <v>0</v>
      </c>
      <c r="BO83" s="13">
        <f t="shared" ca="1" si="126"/>
        <v>0</v>
      </c>
      <c r="BP83" s="13">
        <f t="shared" ca="1" si="127"/>
        <v>0</v>
      </c>
      <c r="BQ83" s="13">
        <f t="shared" ca="1" si="128"/>
        <v>0</v>
      </c>
    </row>
    <row r="84" spans="1:69" x14ac:dyDescent="0.25">
      <c r="A84" s="1">
        <v>83</v>
      </c>
      <c r="B84" s="13">
        <f ca="1">IF(A84=1,IF(OR('My Loans'!$N$14="",'My Loans'!$N$14=0),0,INDIRECT("'My Loans'!$D"&amp;'My Loans'!$N$14)),AE83)</f>
        <v>0</v>
      </c>
      <c r="C84" s="13">
        <f ca="1">IF(OR('My Loans'!$N$14="",'My Loans'!$N$14=0),0,B84*INDIRECT("'My Loans'!$E"&amp;'My Loans'!$N$14)/12)</f>
        <v>0</v>
      </c>
      <c r="D84" s="13">
        <f ca="1">IF(OR('My Loans'!$N$14="",'My Loans'!$N$14=0),0,IF(B84&lt;0.005,0,MIN(INDIRECT("'My Loans'!$F"&amp;'My Loans'!$N$14),B84+C84)))</f>
        <v>0</v>
      </c>
      <c r="E84" s="13">
        <f ca="1">IF(A84=1,IF(OR('My Loans'!$N$15="",'My Loans'!$N$15=0),0,INDIRECT("'My Loans'!$D"&amp;'My Loans'!$N$15)),AJ83)</f>
        <v>0</v>
      </c>
      <c r="F84" s="13">
        <f ca="1">IF(OR('My Loans'!$N$15="",'My Loans'!$N$15=0),0,E84*INDIRECT("'My Loans'!$E"&amp;'My Loans'!$N$15)/12)</f>
        <v>0</v>
      </c>
      <c r="G84" s="13">
        <f ca="1">IF(OR('My Loans'!$N$15="",'My Loans'!$N$15=0),0,IF(E84&lt;0.005,0,MIN(INDIRECT("'My Loans'!$F"&amp;'My Loans'!$N$15),E84+F84)))</f>
        <v>0</v>
      </c>
      <c r="H84" s="13">
        <f ca="1">IF(A84=1,IF(OR('My Loans'!$N$16="",'My Loans'!$N$16=0),0,INDIRECT("'My Loans'!$D"&amp;'My Loans'!$N$16)),AO83)</f>
        <v>0</v>
      </c>
      <c r="I84" s="13">
        <f ca="1">IF(OR('My Loans'!$N$16="",'My Loans'!$N$16=0),0,H84*INDIRECT("'My Loans'!$E"&amp;'My Loans'!$N$16)/12)</f>
        <v>0</v>
      </c>
      <c r="J84" s="13">
        <f ca="1">IF(OR('My Loans'!$N$16="",'My Loans'!$N$16=0),0,IF(H84&lt;0.005,0,MIN(INDIRECT("'My Loans'!$F"&amp;'My Loans'!$N$16),H84+I84)))</f>
        <v>0</v>
      </c>
      <c r="K84" s="13">
        <f ca="1">IF(A84=1,IF(OR('My Loans'!$N$17="",'My Loans'!$N$17=0),0,INDIRECT("'My Loans'!$D"&amp;'My Loans'!$N$17)),AT83)</f>
        <v>0</v>
      </c>
      <c r="L84" s="13">
        <f ca="1">IF(OR('My Loans'!$N$17="",'My Loans'!$N$17=0),0,K84*INDIRECT("'My Loans'!$E"&amp;'My Loans'!$N$17)/12)</f>
        <v>0</v>
      </c>
      <c r="M84" s="13">
        <f ca="1">IF(OR('My Loans'!$N$17="",'My Loans'!$N$17=0),0,IF(K84&lt;0.005,0,MIN(INDIRECT("'My Loans'!$F"&amp;'My Loans'!$N$17),K84+L84)))</f>
        <v>0</v>
      </c>
      <c r="N84" s="13">
        <f ca="1">IF(A84=1,IF(OR('My Loans'!$N$18="",'My Loans'!$N$18=0),0,INDIRECT("'My Loans'!$D"&amp;'My Loans'!$N$18)),AY83)</f>
        <v>0</v>
      </c>
      <c r="O84" s="13">
        <f ca="1">IF(OR('My Loans'!$N$18="",'My Loans'!$N$18=0),0,N84*INDIRECT("'My Loans'!$E"&amp;'My Loans'!$N$18)/12)</f>
        <v>0</v>
      </c>
      <c r="P84" s="13">
        <f ca="1">IF(OR('My Loans'!$N$18="",'My Loans'!$N$18=0),0,IF(N84&lt;0.005,0,MIN(INDIRECT("'My Loans'!$F"&amp;'My Loans'!$N$18),N84+O84)))</f>
        <v>0</v>
      </c>
      <c r="Q84" s="13">
        <f ca="1">IF(A84=1,IF(OR('My Loans'!$N$19="",'My Loans'!$N$19=0),0,INDIRECT("'My Loans'!$D"&amp;'My Loans'!$N$19)),BD83)</f>
        <v>0</v>
      </c>
      <c r="R84" s="13">
        <f ca="1">IF(OR('My Loans'!$N$19="",'My Loans'!$N$19=0),0,Q84*INDIRECT("'My Loans'!$E"&amp;'My Loans'!$N$19)/12)</f>
        <v>0</v>
      </c>
      <c r="S84" s="13">
        <f ca="1">IF(OR('My Loans'!$N$19="",'My Loans'!$N$19=0),0,IF(Q84&lt;0.005,0,MIN(INDIRECT("'My Loans'!$F"&amp;'My Loans'!$N$19),Q84+R84)))</f>
        <v>0</v>
      </c>
      <c r="T84" s="13">
        <f ca="1">IF(A84=1,IF(OR('My Loans'!$N$20="",'My Loans'!$N$20=0),0,INDIRECT("'My Loans'!$D"&amp;'My Loans'!$N$20)),BI83)</f>
        <v>0</v>
      </c>
      <c r="U84" s="13">
        <f ca="1">IF(OR('My Loans'!$N$20="",'My Loans'!$N$20=0),0,T84*INDIRECT("'My Loans'!$E"&amp;'My Loans'!$N$20)/12)</f>
        <v>0</v>
      </c>
      <c r="V84" s="13">
        <f ca="1">IF(OR('My Loans'!$N$20="",'My Loans'!$N$20=0),0,IF(T84&lt;0.005,0,MIN(INDIRECT("'My Loans'!$F"&amp;'My Loans'!$N$20),T84+U84)))</f>
        <v>0</v>
      </c>
      <c r="W84" s="13">
        <f ca="1">IF(A84=1,IF(OR('My Loans'!$N$21="",'My Loans'!$N$21=0),0,INDIRECT("'My Loans'!$D"&amp;'My Loans'!$N$21)),BN83)</f>
        <v>0</v>
      </c>
      <c r="X84" s="13">
        <f ca="1">IF(OR('My Loans'!$N$21="",'My Loans'!$N$21=0),0,W84*INDIRECT("'My Loans'!$E"&amp;'My Loans'!$N$21)/12)</f>
        <v>0</v>
      </c>
      <c r="Y84" s="13">
        <f ca="1">IF(OR('My Loans'!$N$21="",'My Loans'!$N$21=0),0,IF(W84&lt;0.005,0,MIN(INDIRECT("'My Loans'!$F"&amp;'My Loans'!$N$21),W84+X84)))</f>
        <v>0</v>
      </c>
      <c r="Z84" s="13">
        <f ca="1">'My Loans'!$B$13-(D84+G84+J84+M84+P84+S84+V84+Y84)</f>
        <v>1400</v>
      </c>
      <c r="AA84" s="13">
        <f t="shared" ca="1" si="86"/>
        <v>1400</v>
      </c>
      <c r="AB84" s="13">
        <f t="shared" ca="1" si="87"/>
        <v>0</v>
      </c>
      <c r="AC84" s="13">
        <f t="shared" ca="1" si="88"/>
        <v>0</v>
      </c>
      <c r="AD84" s="13">
        <f t="shared" ca="1" si="89"/>
        <v>0</v>
      </c>
      <c r="AE84" s="13">
        <f t="shared" ca="1" si="90"/>
        <v>0</v>
      </c>
      <c r="AF84" s="13">
        <f t="shared" ca="1" si="91"/>
        <v>1400</v>
      </c>
      <c r="AG84" s="13">
        <f t="shared" ca="1" si="92"/>
        <v>0</v>
      </c>
      <c r="AH84" s="13">
        <f t="shared" ca="1" si="93"/>
        <v>0</v>
      </c>
      <c r="AI84" s="13">
        <f t="shared" ca="1" si="94"/>
        <v>0</v>
      </c>
      <c r="AJ84" s="13">
        <f t="shared" ca="1" si="95"/>
        <v>0</v>
      </c>
      <c r="AK84" s="13">
        <f t="shared" ca="1" si="96"/>
        <v>1400</v>
      </c>
      <c r="AL84" s="13">
        <f t="shared" ca="1" si="97"/>
        <v>0</v>
      </c>
      <c r="AM84" s="13">
        <f t="shared" ca="1" si="98"/>
        <v>0</v>
      </c>
      <c r="AN84" s="13">
        <f t="shared" ca="1" si="99"/>
        <v>0</v>
      </c>
      <c r="AO84" s="13">
        <f t="shared" ca="1" si="100"/>
        <v>0</v>
      </c>
      <c r="AP84" s="13">
        <f t="shared" ca="1" si="101"/>
        <v>1400</v>
      </c>
      <c r="AQ84" s="13">
        <f t="shared" ca="1" si="102"/>
        <v>0</v>
      </c>
      <c r="AR84" s="13">
        <f t="shared" ca="1" si="103"/>
        <v>0</v>
      </c>
      <c r="AS84" s="13">
        <f t="shared" ca="1" si="104"/>
        <v>0</v>
      </c>
      <c r="AT84" s="13">
        <f t="shared" ca="1" si="105"/>
        <v>0</v>
      </c>
      <c r="AU84" s="13">
        <f t="shared" ca="1" si="106"/>
        <v>1400</v>
      </c>
      <c r="AV84" s="13">
        <f t="shared" ca="1" si="107"/>
        <v>0</v>
      </c>
      <c r="AW84" s="13">
        <f t="shared" ca="1" si="108"/>
        <v>0</v>
      </c>
      <c r="AX84" s="13">
        <f t="shared" ca="1" si="109"/>
        <v>0</v>
      </c>
      <c r="AY84" s="13">
        <f t="shared" ca="1" si="110"/>
        <v>0</v>
      </c>
      <c r="AZ84" s="13">
        <f t="shared" ca="1" si="111"/>
        <v>1400</v>
      </c>
      <c r="BA84" s="13">
        <f t="shared" ca="1" si="112"/>
        <v>0</v>
      </c>
      <c r="BB84" s="13">
        <f t="shared" ca="1" si="113"/>
        <v>0</v>
      </c>
      <c r="BC84" s="13">
        <f t="shared" ca="1" si="114"/>
        <v>0</v>
      </c>
      <c r="BD84" s="13">
        <f t="shared" ca="1" si="115"/>
        <v>0</v>
      </c>
      <c r="BE84" s="13">
        <f t="shared" ca="1" si="116"/>
        <v>1400</v>
      </c>
      <c r="BF84" s="13">
        <f t="shared" ca="1" si="117"/>
        <v>0</v>
      </c>
      <c r="BG84" s="13">
        <f t="shared" ca="1" si="118"/>
        <v>0</v>
      </c>
      <c r="BH84" s="13">
        <f t="shared" ca="1" si="119"/>
        <v>0</v>
      </c>
      <c r="BI84" s="13">
        <f t="shared" ca="1" si="120"/>
        <v>0</v>
      </c>
      <c r="BJ84" s="13">
        <f t="shared" ca="1" si="121"/>
        <v>1400</v>
      </c>
      <c r="BK84" s="13">
        <f t="shared" ca="1" si="122"/>
        <v>0</v>
      </c>
      <c r="BL84" s="13">
        <f t="shared" ca="1" si="123"/>
        <v>0</v>
      </c>
      <c r="BM84" s="13">
        <f t="shared" ca="1" si="124"/>
        <v>0</v>
      </c>
      <c r="BN84" s="13">
        <f t="shared" ca="1" si="125"/>
        <v>0</v>
      </c>
      <c r="BO84" s="13">
        <f t="shared" ca="1" si="126"/>
        <v>0</v>
      </c>
      <c r="BP84" s="13">
        <f t="shared" ca="1" si="127"/>
        <v>0</v>
      </c>
      <c r="BQ84" s="13">
        <f t="shared" ca="1" si="128"/>
        <v>0</v>
      </c>
    </row>
    <row r="85" spans="1:69" x14ac:dyDescent="0.25">
      <c r="A85" s="1">
        <v>84</v>
      </c>
      <c r="B85" s="13">
        <f ca="1">IF(A85=1,IF(OR('My Loans'!$N$14="",'My Loans'!$N$14=0),0,INDIRECT("'My Loans'!$D"&amp;'My Loans'!$N$14)),AE84)</f>
        <v>0</v>
      </c>
      <c r="C85" s="13">
        <f ca="1">IF(OR('My Loans'!$N$14="",'My Loans'!$N$14=0),0,B85*INDIRECT("'My Loans'!$E"&amp;'My Loans'!$N$14)/12)</f>
        <v>0</v>
      </c>
      <c r="D85" s="13">
        <f ca="1">IF(OR('My Loans'!$N$14="",'My Loans'!$N$14=0),0,IF(B85&lt;0.005,0,MIN(INDIRECT("'My Loans'!$F"&amp;'My Loans'!$N$14),B85+C85)))</f>
        <v>0</v>
      </c>
      <c r="E85" s="13">
        <f ca="1">IF(A85=1,IF(OR('My Loans'!$N$15="",'My Loans'!$N$15=0),0,INDIRECT("'My Loans'!$D"&amp;'My Loans'!$N$15)),AJ84)</f>
        <v>0</v>
      </c>
      <c r="F85" s="13">
        <f ca="1">IF(OR('My Loans'!$N$15="",'My Loans'!$N$15=0),0,E85*INDIRECT("'My Loans'!$E"&amp;'My Loans'!$N$15)/12)</f>
        <v>0</v>
      </c>
      <c r="G85" s="13">
        <f ca="1">IF(OR('My Loans'!$N$15="",'My Loans'!$N$15=0),0,IF(E85&lt;0.005,0,MIN(INDIRECT("'My Loans'!$F"&amp;'My Loans'!$N$15),E85+F85)))</f>
        <v>0</v>
      </c>
      <c r="H85" s="13">
        <f ca="1">IF(A85=1,IF(OR('My Loans'!$N$16="",'My Loans'!$N$16=0),0,INDIRECT("'My Loans'!$D"&amp;'My Loans'!$N$16)),AO84)</f>
        <v>0</v>
      </c>
      <c r="I85" s="13">
        <f ca="1">IF(OR('My Loans'!$N$16="",'My Loans'!$N$16=0),0,H85*INDIRECT("'My Loans'!$E"&amp;'My Loans'!$N$16)/12)</f>
        <v>0</v>
      </c>
      <c r="J85" s="13">
        <f ca="1">IF(OR('My Loans'!$N$16="",'My Loans'!$N$16=0),0,IF(H85&lt;0.005,0,MIN(INDIRECT("'My Loans'!$F"&amp;'My Loans'!$N$16),H85+I85)))</f>
        <v>0</v>
      </c>
      <c r="K85" s="13">
        <f ca="1">IF(A85=1,IF(OR('My Loans'!$N$17="",'My Loans'!$N$17=0),0,INDIRECT("'My Loans'!$D"&amp;'My Loans'!$N$17)),AT84)</f>
        <v>0</v>
      </c>
      <c r="L85" s="13">
        <f ca="1">IF(OR('My Loans'!$N$17="",'My Loans'!$N$17=0),0,K85*INDIRECT("'My Loans'!$E"&amp;'My Loans'!$N$17)/12)</f>
        <v>0</v>
      </c>
      <c r="M85" s="13">
        <f ca="1">IF(OR('My Loans'!$N$17="",'My Loans'!$N$17=0),0,IF(K85&lt;0.005,0,MIN(INDIRECT("'My Loans'!$F"&amp;'My Loans'!$N$17),K85+L85)))</f>
        <v>0</v>
      </c>
      <c r="N85" s="13">
        <f ca="1">IF(A85=1,IF(OR('My Loans'!$N$18="",'My Loans'!$N$18=0),0,INDIRECT("'My Loans'!$D"&amp;'My Loans'!$N$18)),AY84)</f>
        <v>0</v>
      </c>
      <c r="O85" s="13">
        <f ca="1">IF(OR('My Loans'!$N$18="",'My Loans'!$N$18=0),0,N85*INDIRECT("'My Loans'!$E"&amp;'My Loans'!$N$18)/12)</f>
        <v>0</v>
      </c>
      <c r="P85" s="13">
        <f ca="1">IF(OR('My Loans'!$N$18="",'My Loans'!$N$18=0),0,IF(N85&lt;0.005,0,MIN(INDIRECT("'My Loans'!$F"&amp;'My Loans'!$N$18),N85+O85)))</f>
        <v>0</v>
      </c>
      <c r="Q85" s="13">
        <f ca="1">IF(A85=1,IF(OR('My Loans'!$N$19="",'My Loans'!$N$19=0),0,INDIRECT("'My Loans'!$D"&amp;'My Loans'!$N$19)),BD84)</f>
        <v>0</v>
      </c>
      <c r="R85" s="13">
        <f ca="1">IF(OR('My Loans'!$N$19="",'My Loans'!$N$19=0),0,Q85*INDIRECT("'My Loans'!$E"&amp;'My Loans'!$N$19)/12)</f>
        <v>0</v>
      </c>
      <c r="S85" s="13">
        <f ca="1">IF(OR('My Loans'!$N$19="",'My Loans'!$N$19=0),0,IF(Q85&lt;0.005,0,MIN(INDIRECT("'My Loans'!$F"&amp;'My Loans'!$N$19),Q85+R85)))</f>
        <v>0</v>
      </c>
      <c r="T85" s="13">
        <f ca="1">IF(A85=1,IF(OR('My Loans'!$N$20="",'My Loans'!$N$20=0),0,INDIRECT("'My Loans'!$D"&amp;'My Loans'!$N$20)),BI84)</f>
        <v>0</v>
      </c>
      <c r="U85" s="13">
        <f ca="1">IF(OR('My Loans'!$N$20="",'My Loans'!$N$20=0),0,T85*INDIRECT("'My Loans'!$E"&amp;'My Loans'!$N$20)/12)</f>
        <v>0</v>
      </c>
      <c r="V85" s="13">
        <f ca="1">IF(OR('My Loans'!$N$20="",'My Loans'!$N$20=0),0,IF(T85&lt;0.005,0,MIN(INDIRECT("'My Loans'!$F"&amp;'My Loans'!$N$20),T85+U85)))</f>
        <v>0</v>
      </c>
      <c r="W85" s="13">
        <f ca="1">IF(A85=1,IF(OR('My Loans'!$N$21="",'My Loans'!$N$21=0),0,INDIRECT("'My Loans'!$D"&amp;'My Loans'!$N$21)),BN84)</f>
        <v>0</v>
      </c>
      <c r="X85" s="13">
        <f ca="1">IF(OR('My Loans'!$N$21="",'My Loans'!$N$21=0),0,W85*INDIRECT("'My Loans'!$E"&amp;'My Loans'!$N$21)/12)</f>
        <v>0</v>
      </c>
      <c r="Y85" s="13">
        <f ca="1">IF(OR('My Loans'!$N$21="",'My Loans'!$N$21=0),0,IF(W85&lt;0.005,0,MIN(INDIRECT("'My Loans'!$F"&amp;'My Loans'!$N$21),W85+X85)))</f>
        <v>0</v>
      </c>
      <c r="Z85" s="13">
        <f ca="1">'My Loans'!$B$13-(D85+G85+J85+M85+P85+S85+V85+Y85)</f>
        <v>1400</v>
      </c>
      <c r="AA85" s="13">
        <f t="shared" ca="1" si="86"/>
        <v>1400</v>
      </c>
      <c r="AB85" s="13">
        <f t="shared" ca="1" si="87"/>
        <v>0</v>
      </c>
      <c r="AC85" s="13">
        <f t="shared" ca="1" si="88"/>
        <v>0</v>
      </c>
      <c r="AD85" s="13">
        <f t="shared" ca="1" si="89"/>
        <v>0</v>
      </c>
      <c r="AE85" s="13">
        <f t="shared" ca="1" si="90"/>
        <v>0</v>
      </c>
      <c r="AF85" s="13">
        <f t="shared" ca="1" si="91"/>
        <v>1400</v>
      </c>
      <c r="AG85" s="13">
        <f t="shared" ca="1" si="92"/>
        <v>0</v>
      </c>
      <c r="AH85" s="13">
        <f t="shared" ca="1" si="93"/>
        <v>0</v>
      </c>
      <c r="AI85" s="13">
        <f t="shared" ca="1" si="94"/>
        <v>0</v>
      </c>
      <c r="AJ85" s="13">
        <f t="shared" ca="1" si="95"/>
        <v>0</v>
      </c>
      <c r="AK85" s="13">
        <f t="shared" ca="1" si="96"/>
        <v>1400</v>
      </c>
      <c r="AL85" s="13">
        <f t="shared" ca="1" si="97"/>
        <v>0</v>
      </c>
      <c r="AM85" s="13">
        <f t="shared" ca="1" si="98"/>
        <v>0</v>
      </c>
      <c r="AN85" s="13">
        <f t="shared" ca="1" si="99"/>
        <v>0</v>
      </c>
      <c r="AO85" s="13">
        <f t="shared" ca="1" si="100"/>
        <v>0</v>
      </c>
      <c r="AP85" s="13">
        <f t="shared" ca="1" si="101"/>
        <v>1400</v>
      </c>
      <c r="AQ85" s="13">
        <f t="shared" ca="1" si="102"/>
        <v>0</v>
      </c>
      <c r="AR85" s="13">
        <f t="shared" ca="1" si="103"/>
        <v>0</v>
      </c>
      <c r="AS85" s="13">
        <f t="shared" ca="1" si="104"/>
        <v>0</v>
      </c>
      <c r="AT85" s="13">
        <f t="shared" ca="1" si="105"/>
        <v>0</v>
      </c>
      <c r="AU85" s="13">
        <f t="shared" ca="1" si="106"/>
        <v>1400</v>
      </c>
      <c r="AV85" s="13">
        <f t="shared" ca="1" si="107"/>
        <v>0</v>
      </c>
      <c r="AW85" s="13">
        <f t="shared" ca="1" si="108"/>
        <v>0</v>
      </c>
      <c r="AX85" s="13">
        <f t="shared" ca="1" si="109"/>
        <v>0</v>
      </c>
      <c r="AY85" s="13">
        <f t="shared" ca="1" si="110"/>
        <v>0</v>
      </c>
      <c r="AZ85" s="13">
        <f t="shared" ca="1" si="111"/>
        <v>1400</v>
      </c>
      <c r="BA85" s="13">
        <f t="shared" ca="1" si="112"/>
        <v>0</v>
      </c>
      <c r="BB85" s="13">
        <f t="shared" ca="1" si="113"/>
        <v>0</v>
      </c>
      <c r="BC85" s="13">
        <f t="shared" ca="1" si="114"/>
        <v>0</v>
      </c>
      <c r="BD85" s="13">
        <f t="shared" ca="1" si="115"/>
        <v>0</v>
      </c>
      <c r="BE85" s="13">
        <f t="shared" ca="1" si="116"/>
        <v>1400</v>
      </c>
      <c r="BF85" s="13">
        <f t="shared" ca="1" si="117"/>
        <v>0</v>
      </c>
      <c r="BG85" s="13">
        <f t="shared" ca="1" si="118"/>
        <v>0</v>
      </c>
      <c r="BH85" s="13">
        <f t="shared" ca="1" si="119"/>
        <v>0</v>
      </c>
      <c r="BI85" s="13">
        <f t="shared" ca="1" si="120"/>
        <v>0</v>
      </c>
      <c r="BJ85" s="13">
        <f t="shared" ca="1" si="121"/>
        <v>1400</v>
      </c>
      <c r="BK85" s="13">
        <f t="shared" ca="1" si="122"/>
        <v>0</v>
      </c>
      <c r="BL85" s="13">
        <f t="shared" ca="1" si="123"/>
        <v>0</v>
      </c>
      <c r="BM85" s="13">
        <f t="shared" ca="1" si="124"/>
        <v>0</v>
      </c>
      <c r="BN85" s="13">
        <f t="shared" ca="1" si="125"/>
        <v>0</v>
      </c>
      <c r="BO85" s="13">
        <f t="shared" ca="1" si="126"/>
        <v>0</v>
      </c>
      <c r="BP85" s="13">
        <f t="shared" ca="1" si="127"/>
        <v>0</v>
      </c>
      <c r="BQ85" s="13">
        <f t="shared" ca="1" si="128"/>
        <v>0</v>
      </c>
    </row>
    <row r="86" spans="1:69" x14ac:dyDescent="0.25">
      <c r="A86" s="1">
        <v>85</v>
      </c>
      <c r="B86" s="13">
        <f ca="1">IF(A86=1,IF(OR('My Loans'!$N$14="",'My Loans'!$N$14=0),0,INDIRECT("'My Loans'!$D"&amp;'My Loans'!$N$14)),AE85)</f>
        <v>0</v>
      </c>
      <c r="C86" s="13">
        <f ca="1">IF(OR('My Loans'!$N$14="",'My Loans'!$N$14=0),0,B86*INDIRECT("'My Loans'!$E"&amp;'My Loans'!$N$14)/12)</f>
        <v>0</v>
      </c>
      <c r="D86" s="13">
        <f ca="1">IF(OR('My Loans'!$N$14="",'My Loans'!$N$14=0),0,IF(B86&lt;0.005,0,MIN(INDIRECT("'My Loans'!$F"&amp;'My Loans'!$N$14),B86+C86)))</f>
        <v>0</v>
      </c>
      <c r="E86" s="13">
        <f ca="1">IF(A86=1,IF(OR('My Loans'!$N$15="",'My Loans'!$N$15=0),0,INDIRECT("'My Loans'!$D"&amp;'My Loans'!$N$15)),AJ85)</f>
        <v>0</v>
      </c>
      <c r="F86" s="13">
        <f ca="1">IF(OR('My Loans'!$N$15="",'My Loans'!$N$15=0),0,E86*INDIRECT("'My Loans'!$E"&amp;'My Loans'!$N$15)/12)</f>
        <v>0</v>
      </c>
      <c r="G86" s="13">
        <f ca="1">IF(OR('My Loans'!$N$15="",'My Loans'!$N$15=0),0,IF(E86&lt;0.005,0,MIN(INDIRECT("'My Loans'!$F"&amp;'My Loans'!$N$15),E86+F86)))</f>
        <v>0</v>
      </c>
      <c r="H86" s="13">
        <f ca="1">IF(A86=1,IF(OR('My Loans'!$N$16="",'My Loans'!$N$16=0),0,INDIRECT("'My Loans'!$D"&amp;'My Loans'!$N$16)),AO85)</f>
        <v>0</v>
      </c>
      <c r="I86" s="13">
        <f ca="1">IF(OR('My Loans'!$N$16="",'My Loans'!$N$16=0),0,H86*INDIRECT("'My Loans'!$E"&amp;'My Loans'!$N$16)/12)</f>
        <v>0</v>
      </c>
      <c r="J86" s="13">
        <f ca="1">IF(OR('My Loans'!$N$16="",'My Loans'!$N$16=0),0,IF(H86&lt;0.005,0,MIN(INDIRECT("'My Loans'!$F"&amp;'My Loans'!$N$16),H86+I86)))</f>
        <v>0</v>
      </c>
      <c r="K86" s="13">
        <f ca="1">IF(A86=1,IF(OR('My Loans'!$N$17="",'My Loans'!$N$17=0),0,INDIRECT("'My Loans'!$D"&amp;'My Loans'!$N$17)),AT85)</f>
        <v>0</v>
      </c>
      <c r="L86" s="13">
        <f ca="1">IF(OR('My Loans'!$N$17="",'My Loans'!$N$17=0),0,K86*INDIRECT("'My Loans'!$E"&amp;'My Loans'!$N$17)/12)</f>
        <v>0</v>
      </c>
      <c r="M86" s="13">
        <f ca="1">IF(OR('My Loans'!$N$17="",'My Loans'!$N$17=0),0,IF(K86&lt;0.005,0,MIN(INDIRECT("'My Loans'!$F"&amp;'My Loans'!$N$17),K86+L86)))</f>
        <v>0</v>
      </c>
      <c r="N86" s="13">
        <f ca="1">IF(A86=1,IF(OR('My Loans'!$N$18="",'My Loans'!$N$18=0),0,INDIRECT("'My Loans'!$D"&amp;'My Loans'!$N$18)),AY85)</f>
        <v>0</v>
      </c>
      <c r="O86" s="13">
        <f ca="1">IF(OR('My Loans'!$N$18="",'My Loans'!$N$18=0),0,N86*INDIRECT("'My Loans'!$E"&amp;'My Loans'!$N$18)/12)</f>
        <v>0</v>
      </c>
      <c r="P86" s="13">
        <f ca="1">IF(OR('My Loans'!$N$18="",'My Loans'!$N$18=0),0,IF(N86&lt;0.005,0,MIN(INDIRECT("'My Loans'!$F"&amp;'My Loans'!$N$18),N86+O86)))</f>
        <v>0</v>
      </c>
      <c r="Q86" s="13">
        <f ca="1">IF(A86=1,IF(OR('My Loans'!$N$19="",'My Loans'!$N$19=0),0,INDIRECT("'My Loans'!$D"&amp;'My Loans'!$N$19)),BD85)</f>
        <v>0</v>
      </c>
      <c r="R86" s="13">
        <f ca="1">IF(OR('My Loans'!$N$19="",'My Loans'!$N$19=0),0,Q86*INDIRECT("'My Loans'!$E"&amp;'My Loans'!$N$19)/12)</f>
        <v>0</v>
      </c>
      <c r="S86" s="13">
        <f ca="1">IF(OR('My Loans'!$N$19="",'My Loans'!$N$19=0),0,IF(Q86&lt;0.005,0,MIN(INDIRECT("'My Loans'!$F"&amp;'My Loans'!$N$19),Q86+R86)))</f>
        <v>0</v>
      </c>
      <c r="T86" s="13">
        <f ca="1">IF(A86=1,IF(OR('My Loans'!$N$20="",'My Loans'!$N$20=0),0,INDIRECT("'My Loans'!$D"&amp;'My Loans'!$N$20)),BI85)</f>
        <v>0</v>
      </c>
      <c r="U86" s="13">
        <f ca="1">IF(OR('My Loans'!$N$20="",'My Loans'!$N$20=0),0,T86*INDIRECT("'My Loans'!$E"&amp;'My Loans'!$N$20)/12)</f>
        <v>0</v>
      </c>
      <c r="V86" s="13">
        <f ca="1">IF(OR('My Loans'!$N$20="",'My Loans'!$N$20=0),0,IF(T86&lt;0.005,0,MIN(INDIRECT("'My Loans'!$F"&amp;'My Loans'!$N$20),T86+U86)))</f>
        <v>0</v>
      </c>
      <c r="W86" s="13">
        <f ca="1">IF(A86=1,IF(OR('My Loans'!$N$21="",'My Loans'!$N$21=0),0,INDIRECT("'My Loans'!$D"&amp;'My Loans'!$N$21)),BN85)</f>
        <v>0</v>
      </c>
      <c r="X86" s="13">
        <f ca="1">IF(OR('My Loans'!$N$21="",'My Loans'!$N$21=0),0,W86*INDIRECT("'My Loans'!$E"&amp;'My Loans'!$N$21)/12)</f>
        <v>0</v>
      </c>
      <c r="Y86" s="13">
        <f ca="1">IF(OR('My Loans'!$N$21="",'My Loans'!$N$21=0),0,IF(W86&lt;0.005,0,MIN(INDIRECT("'My Loans'!$F"&amp;'My Loans'!$N$21),W86+X86)))</f>
        <v>0</v>
      </c>
      <c r="Z86" s="13">
        <f ca="1">'My Loans'!$B$13-(D86+G86+J86+M86+P86+S86+V86+Y86)</f>
        <v>1400</v>
      </c>
      <c r="AA86" s="13">
        <f t="shared" ca="1" si="86"/>
        <v>1400</v>
      </c>
      <c r="AB86" s="13">
        <f t="shared" ca="1" si="87"/>
        <v>0</v>
      </c>
      <c r="AC86" s="13">
        <f t="shared" ca="1" si="88"/>
        <v>0</v>
      </c>
      <c r="AD86" s="13">
        <f t="shared" ca="1" si="89"/>
        <v>0</v>
      </c>
      <c r="AE86" s="13">
        <f t="shared" ca="1" si="90"/>
        <v>0</v>
      </c>
      <c r="AF86" s="13">
        <f t="shared" ca="1" si="91"/>
        <v>1400</v>
      </c>
      <c r="AG86" s="13">
        <f t="shared" ca="1" si="92"/>
        <v>0</v>
      </c>
      <c r="AH86" s="13">
        <f t="shared" ca="1" si="93"/>
        <v>0</v>
      </c>
      <c r="AI86" s="13">
        <f t="shared" ca="1" si="94"/>
        <v>0</v>
      </c>
      <c r="AJ86" s="13">
        <f t="shared" ca="1" si="95"/>
        <v>0</v>
      </c>
      <c r="AK86" s="13">
        <f t="shared" ca="1" si="96"/>
        <v>1400</v>
      </c>
      <c r="AL86" s="13">
        <f t="shared" ca="1" si="97"/>
        <v>0</v>
      </c>
      <c r="AM86" s="13">
        <f t="shared" ca="1" si="98"/>
        <v>0</v>
      </c>
      <c r="AN86" s="13">
        <f t="shared" ca="1" si="99"/>
        <v>0</v>
      </c>
      <c r="AO86" s="13">
        <f t="shared" ca="1" si="100"/>
        <v>0</v>
      </c>
      <c r="AP86" s="13">
        <f t="shared" ca="1" si="101"/>
        <v>1400</v>
      </c>
      <c r="AQ86" s="13">
        <f t="shared" ca="1" si="102"/>
        <v>0</v>
      </c>
      <c r="AR86" s="13">
        <f t="shared" ca="1" si="103"/>
        <v>0</v>
      </c>
      <c r="AS86" s="13">
        <f t="shared" ca="1" si="104"/>
        <v>0</v>
      </c>
      <c r="AT86" s="13">
        <f t="shared" ca="1" si="105"/>
        <v>0</v>
      </c>
      <c r="AU86" s="13">
        <f t="shared" ca="1" si="106"/>
        <v>1400</v>
      </c>
      <c r="AV86" s="13">
        <f t="shared" ca="1" si="107"/>
        <v>0</v>
      </c>
      <c r="AW86" s="13">
        <f t="shared" ca="1" si="108"/>
        <v>0</v>
      </c>
      <c r="AX86" s="13">
        <f t="shared" ca="1" si="109"/>
        <v>0</v>
      </c>
      <c r="AY86" s="13">
        <f t="shared" ca="1" si="110"/>
        <v>0</v>
      </c>
      <c r="AZ86" s="13">
        <f t="shared" ca="1" si="111"/>
        <v>1400</v>
      </c>
      <c r="BA86" s="13">
        <f t="shared" ca="1" si="112"/>
        <v>0</v>
      </c>
      <c r="BB86" s="13">
        <f t="shared" ca="1" si="113"/>
        <v>0</v>
      </c>
      <c r="BC86" s="13">
        <f t="shared" ca="1" si="114"/>
        <v>0</v>
      </c>
      <c r="BD86" s="13">
        <f t="shared" ca="1" si="115"/>
        <v>0</v>
      </c>
      <c r="BE86" s="13">
        <f t="shared" ca="1" si="116"/>
        <v>1400</v>
      </c>
      <c r="BF86" s="13">
        <f t="shared" ca="1" si="117"/>
        <v>0</v>
      </c>
      <c r="BG86" s="13">
        <f t="shared" ca="1" si="118"/>
        <v>0</v>
      </c>
      <c r="BH86" s="13">
        <f t="shared" ca="1" si="119"/>
        <v>0</v>
      </c>
      <c r="BI86" s="13">
        <f t="shared" ca="1" si="120"/>
        <v>0</v>
      </c>
      <c r="BJ86" s="13">
        <f t="shared" ca="1" si="121"/>
        <v>1400</v>
      </c>
      <c r="BK86" s="13">
        <f t="shared" ca="1" si="122"/>
        <v>0</v>
      </c>
      <c r="BL86" s="13">
        <f t="shared" ca="1" si="123"/>
        <v>0</v>
      </c>
      <c r="BM86" s="13">
        <f t="shared" ca="1" si="124"/>
        <v>0</v>
      </c>
      <c r="BN86" s="13">
        <f t="shared" ca="1" si="125"/>
        <v>0</v>
      </c>
      <c r="BO86" s="13">
        <f t="shared" ca="1" si="126"/>
        <v>0</v>
      </c>
      <c r="BP86" s="13">
        <f t="shared" ca="1" si="127"/>
        <v>0</v>
      </c>
      <c r="BQ86" s="13">
        <f t="shared" ca="1" si="128"/>
        <v>0</v>
      </c>
    </row>
    <row r="87" spans="1:69" x14ac:dyDescent="0.25">
      <c r="A87" s="1">
        <v>86</v>
      </c>
      <c r="B87" s="13">
        <f ca="1">IF(A87=1,IF(OR('My Loans'!$N$14="",'My Loans'!$N$14=0),0,INDIRECT("'My Loans'!$D"&amp;'My Loans'!$N$14)),AE86)</f>
        <v>0</v>
      </c>
      <c r="C87" s="13">
        <f ca="1">IF(OR('My Loans'!$N$14="",'My Loans'!$N$14=0),0,B87*INDIRECT("'My Loans'!$E"&amp;'My Loans'!$N$14)/12)</f>
        <v>0</v>
      </c>
      <c r="D87" s="13">
        <f ca="1">IF(OR('My Loans'!$N$14="",'My Loans'!$N$14=0),0,IF(B87&lt;0.005,0,MIN(INDIRECT("'My Loans'!$F"&amp;'My Loans'!$N$14),B87+C87)))</f>
        <v>0</v>
      </c>
      <c r="E87" s="13">
        <f ca="1">IF(A87=1,IF(OR('My Loans'!$N$15="",'My Loans'!$N$15=0),0,INDIRECT("'My Loans'!$D"&amp;'My Loans'!$N$15)),AJ86)</f>
        <v>0</v>
      </c>
      <c r="F87" s="13">
        <f ca="1">IF(OR('My Loans'!$N$15="",'My Loans'!$N$15=0),0,E87*INDIRECT("'My Loans'!$E"&amp;'My Loans'!$N$15)/12)</f>
        <v>0</v>
      </c>
      <c r="G87" s="13">
        <f ca="1">IF(OR('My Loans'!$N$15="",'My Loans'!$N$15=0),0,IF(E87&lt;0.005,0,MIN(INDIRECT("'My Loans'!$F"&amp;'My Loans'!$N$15),E87+F87)))</f>
        <v>0</v>
      </c>
      <c r="H87" s="13">
        <f ca="1">IF(A87=1,IF(OR('My Loans'!$N$16="",'My Loans'!$N$16=0),0,INDIRECT("'My Loans'!$D"&amp;'My Loans'!$N$16)),AO86)</f>
        <v>0</v>
      </c>
      <c r="I87" s="13">
        <f ca="1">IF(OR('My Loans'!$N$16="",'My Loans'!$N$16=0),0,H87*INDIRECT("'My Loans'!$E"&amp;'My Loans'!$N$16)/12)</f>
        <v>0</v>
      </c>
      <c r="J87" s="13">
        <f ca="1">IF(OR('My Loans'!$N$16="",'My Loans'!$N$16=0),0,IF(H87&lt;0.005,0,MIN(INDIRECT("'My Loans'!$F"&amp;'My Loans'!$N$16),H87+I87)))</f>
        <v>0</v>
      </c>
      <c r="K87" s="13">
        <f ca="1">IF(A87=1,IF(OR('My Loans'!$N$17="",'My Loans'!$N$17=0),0,INDIRECT("'My Loans'!$D"&amp;'My Loans'!$N$17)),AT86)</f>
        <v>0</v>
      </c>
      <c r="L87" s="13">
        <f ca="1">IF(OR('My Loans'!$N$17="",'My Loans'!$N$17=0),0,K87*INDIRECT("'My Loans'!$E"&amp;'My Loans'!$N$17)/12)</f>
        <v>0</v>
      </c>
      <c r="M87" s="13">
        <f ca="1">IF(OR('My Loans'!$N$17="",'My Loans'!$N$17=0),0,IF(K87&lt;0.005,0,MIN(INDIRECT("'My Loans'!$F"&amp;'My Loans'!$N$17),K87+L87)))</f>
        <v>0</v>
      </c>
      <c r="N87" s="13">
        <f ca="1">IF(A87=1,IF(OR('My Loans'!$N$18="",'My Loans'!$N$18=0),0,INDIRECT("'My Loans'!$D"&amp;'My Loans'!$N$18)),AY86)</f>
        <v>0</v>
      </c>
      <c r="O87" s="13">
        <f ca="1">IF(OR('My Loans'!$N$18="",'My Loans'!$N$18=0),0,N87*INDIRECT("'My Loans'!$E"&amp;'My Loans'!$N$18)/12)</f>
        <v>0</v>
      </c>
      <c r="P87" s="13">
        <f ca="1">IF(OR('My Loans'!$N$18="",'My Loans'!$N$18=0),0,IF(N87&lt;0.005,0,MIN(INDIRECT("'My Loans'!$F"&amp;'My Loans'!$N$18),N87+O87)))</f>
        <v>0</v>
      </c>
      <c r="Q87" s="13">
        <f ca="1">IF(A87=1,IF(OR('My Loans'!$N$19="",'My Loans'!$N$19=0),0,INDIRECT("'My Loans'!$D"&amp;'My Loans'!$N$19)),BD86)</f>
        <v>0</v>
      </c>
      <c r="R87" s="13">
        <f ca="1">IF(OR('My Loans'!$N$19="",'My Loans'!$N$19=0),0,Q87*INDIRECT("'My Loans'!$E"&amp;'My Loans'!$N$19)/12)</f>
        <v>0</v>
      </c>
      <c r="S87" s="13">
        <f ca="1">IF(OR('My Loans'!$N$19="",'My Loans'!$N$19=0),0,IF(Q87&lt;0.005,0,MIN(INDIRECT("'My Loans'!$F"&amp;'My Loans'!$N$19),Q87+R87)))</f>
        <v>0</v>
      </c>
      <c r="T87" s="13">
        <f ca="1">IF(A87=1,IF(OR('My Loans'!$N$20="",'My Loans'!$N$20=0),0,INDIRECT("'My Loans'!$D"&amp;'My Loans'!$N$20)),BI86)</f>
        <v>0</v>
      </c>
      <c r="U87" s="13">
        <f ca="1">IF(OR('My Loans'!$N$20="",'My Loans'!$N$20=0),0,T87*INDIRECT("'My Loans'!$E"&amp;'My Loans'!$N$20)/12)</f>
        <v>0</v>
      </c>
      <c r="V87" s="13">
        <f ca="1">IF(OR('My Loans'!$N$20="",'My Loans'!$N$20=0),0,IF(T87&lt;0.005,0,MIN(INDIRECT("'My Loans'!$F"&amp;'My Loans'!$N$20),T87+U87)))</f>
        <v>0</v>
      </c>
      <c r="W87" s="13">
        <f ca="1">IF(A87=1,IF(OR('My Loans'!$N$21="",'My Loans'!$N$21=0),0,INDIRECT("'My Loans'!$D"&amp;'My Loans'!$N$21)),BN86)</f>
        <v>0</v>
      </c>
      <c r="X87" s="13">
        <f ca="1">IF(OR('My Loans'!$N$21="",'My Loans'!$N$21=0),0,W87*INDIRECT("'My Loans'!$E"&amp;'My Loans'!$N$21)/12)</f>
        <v>0</v>
      </c>
      <c r="Y87" s="13">
        <f ca="1">IF(OR('My Loans'!$N$21="",'My Loans'!$N$21=0),0,IF(W87&lt;0.005,0,MIN(INDIRECT("'My Loans'!$F"&amp;'My Loans'!$N$21),W87+X87)))</f>
        <v>0</v>
      </c>
      <c r="Z87" s="13">
        <f ca="1">'My Loans'!$B$13-(D87+G87+J87+M87+P87+S87+V87+Y87)</f>
        <v>1400</v>
      </c>
      <c r="AA87" s="13">
        <f t="shared" ca="1" si="86"/>
        <v>1400</v>
      </c>
      <c r="AB87" s="13">
        <f t="shared" ca="1" si="87"/>
        <v>0</v>
      </c>
      <c r="AC87" s="13">
        <f t="shared" ca="1" si="88"/>
        <v>0</v>
      </c>
      <c r="AD87" s="13">
        <f t="shared" ca="1" si="89"/>
        <v>0</v>
      </c>
      <c r="AE87" s="13">
        <f t="shared" ca="1" si="90"/>
        <v>0</v>
      </c>
      <c r="AF87" s="13">
        <f t="shared" ca="1" si="91"/>
        <v>1400</v>
      </c>
      <c r="AG87" s="13">
        <f t="shared" ca="1" si="92"/>
        <v>0</v>
      </c>
      <c r="AH87" s="13">
        <f t="shared" ca="1" si="93"/>
        <v>0</v>
      </c>
      <c r="AI87" s="13">
        <f t="shared" ca="1" si="94"/>
        <v>0</v>
      </c>
      <c r="AJ87" s="13">
        <f t="shared" ca="1" si="95"/>
        <v>0</v>
      </c>
      <c r="AK87" s="13">
        <f t="shared" ca="1" si="96"/>
        <v>1400</v>
      </c>
      <c r="AL87" s="13">
        <f t="shared" ca="1" si="97"/>
        <v>0</v>
      </c>
      <c r="AM87" s="13">
        <f t="shared" ca="1" si="98"/>
        <v>0</v>
      </c>
      <c r="AN87" s="13">
        <f t="shared" ca="1" si="99"/>
        <v>0</v>
      </c>
      <c r="AO87" s="13">
        <f t="shared" ca="1" si="100"/>
        <v>0</v>
      </c>
      <c r="AP87" s="13">
        <f t="shared" ca="1" si="101"/>
        <v>1400</v>
      </c>
      <c r="AQ87" s="13">
        <f t="shared" ca="1" si="102"/>
        <v>0</v>
      </c>
      <c r="AR87" s="13">
        <f t="shared" ca="1" si="103"/>
        <v>0</v>
      </c>
      <c r="AS87" s="13">
        <f t="shared" ca="1" si="104"/>
        <v>0</v>
      </c>
      <c r="AT87" s="13">
        <f t="shared" ca="1" si="105"/>
        <v>0</v>
      </c>
      <c r="AU87" s="13">
        <f t="shared" ca="1" si="106"/>
        <v>1400</v>
      </c>
      <c r="AV87" s="13">
        <f t="shared" ca="1" si="107"/>
        <v>0</v>
      </c>
      <c r="AW87" s="13">
        <f t="shared" ca="1" si="108"/>
        <v>0</v>
      </c>
      <c r="AX87" s="13">
        <f t="shared" ca="1" si="109"/>
        <v>0</v>
      </c>
      <c r="AY87" s="13">
        <f t="shared" ca="1" si="110"/>
        <v>0</v>
      </c>
      <c r="AZ87" s="13">
        <f t="shared" ca="1" si="111"/>
        <v>1400</v>
      </c>
      <c r="BA87" s="13">
        <f t="shared" ca="1" si="112"/>
        <v>0</v>
      </c>
      <c r="BB87" s="13">
        <f t="shared" ca="1" si="113"/>
        <v>0</v>
      </c>
      <c r="BC87" s="13">
        <f t="shared" ca="1" si="114"/>
        <v>0</v>
      </c>
      <c r="BD87" s="13">
        <f t="shared" ca="1" si="115"/>
        <v>0</v>
      </c>
      <c r="BE87" s="13">
        <f t="shared" ca="1" si="116"/>
        <v>1400</v>
      </c>
      <c r="BF87" s="13">
        <f t="shared" ca="1" si="117"/>
        <v>0</v>
      </c>
      <c r="BG87" s="13">
        <f t="shared" ca="1" si="118"/>
        <v>0</v>
      </c>
      <c r="BH87" s="13">
        <f t="shared" ca="1" si="119"/>
        <v>0</v>
      </c>
      <c r="BI87" s="13">
        <f t="shared" ca="1" si="120"/>
        <v>0</v>
      </c>
      <c r="BJ87" s="13">
        <f t="shared" ca="1" si="121"/>
        <v>1400</v>
      </c>
      <c r="BK87" s="13">
        <f t="shared" ca="1" si="122"/>
        <v>0</v>
      </c>
      <c r="BL87" s="13">
        <f t="shared" ca="1" si="123"/>
        <v>0</v>
      </c>
      <c r="BM87" s="13">
        <f t="shared" ca="1" si="124"/>
        <v>0</v>
      </c>
      <c r="BN87" s="13">
        <f t="shared" ca="1" si="125"/>
        <v>0</v>
      </c>
      <c r="BO87" s="13">
        <f t="shared" ca="1" si="126"/>
        <v>0</v>
      </c>
      <c r="BP87" s="13">
        <f t="shared" ca="1" si="127"/>
        <v>0</v>
      </c>
      <c r="BQ87" s="13">
        <f t="shared" ca="1" si="128"/>
        <v>0</v>
      </c>
    </row>
    <row r="88" spans="1:69" x14ac:dyDescent="0.25">
      <c r="A88" s="1">
        <v>87</v>
      </c>
      <c r="B88" s="13">
        <f ca="1">IF(A88=1,IF(OR('My Loans'!$N$14="",'My Loans'!$N$14=0),0,INDIRECT("'My Loans'!$D"&amp;'My Loans'!$N$14)),AE87)</f>
        <v>0</v>
      </c>
      <c r="C88" s="13">
        <f ca="1">IF(OR('My Loans'!$N$14="",'My Loans'!$N$14=0),0,B88*INDIRECT("'My Loans'!$E"&amp;'My Loans'!$N$14)/12)</f>
        <v>0</v>
      </c>
      <c r="D88" s="13">
        <f ca="1">IF(OR('My Loans'!$N$14="",'My Loans'!$N$14=0),0,IF(B88&lt;0.005,0,MIN(INDIRECT("'My Loans'!$F"&amp;'My Loans'!$N$14),B88+C88)))</f>
        <v>0</v>
      </c>
      <c r="E88" s="13">
        <f ca="1">IF(A88=1,IF(OR('My Loans'!$N$15="",'My Loans'!$N$15=0),0,INDIRECT("'My Loans'!$D"&amp;'My Loans'!$N$15)),AJ87)</f>
        <v>0</v>
      </c>
      <c r="F88" s="13">
        <f ca="1">IF(OR('My Loans'!$N$15="",'My Loans'!$N$15=0),0,E88*INDIRECT("'My Loans'!$E"&amp;'My Loans'!$N$15)/12)</f>
        <v>0</v>
      </c>
      <c r="G88" s="13">
        <f ca="1">IF(OR('My Loans'!$N$15="",'My Loans'!$N$15=0),0,IF(E88&lt;0.005,0,MIN(INDIRECT("'My Loans'!$F"&amp;'My Loans'!$N$15),E88+F88)))</f>
        <v>0</v>
      </c>
      <c r="H88" s="13">
        <f ca="1">IF(A88=1,IF(OR('My Loans'!$N$16="",'My Loans'!$N$16=0),0,INDIRECT("'My Loans'!$D"&amp;'My Loans'!$N$16)),AO87)</f>
        <v>0</v>
      </c>
      <c r="I88" s="13">
        <f ca="1">IF(OR('My Loans'!$N$16="",'My Loans'!$N$16=0),0,H88*INDIRECT("'My Loans'!$E"&amp;'My Loans'!$N$16)/12)</f>
        <v>0</v>
      </c>
      <c r="J88" s="13">
        <f ca="1">IF(OR('My Loans'!$N$16="",'My Loans'!$N$16=0),0,IF(H88&lt;0.005,0,MIN(INDIRECT("'My Loans'!$F"&amp;'My Loans'!$N$16),H88+I88)))</f>
        <v>0</v>
      </c>
      <c r="K88" s="13">
        <f ca="1">IF(A88=1,IF(OR('My Loans'!$N$17="",'My Loans'!$N$17=0),0,INDIRECT("'My Loans'!$D"&amp;'My Loans'!$N$17)),AT87)</f>
        <v>0</v>
      </c>
      <c r="L88" s="13">
        <f ca="1">IF(OR('My Loans'!$N$17="",'My Loans'!$N$17=0),0,K88*INDIRECT("'My Loans'!$E"&amp;'My Loans'!$N$17)/12)</f>
        <v>0</v>
      </c>
      <c r="M88" s="13">
        <f ca="1">IF(OR('My Loans'!$N$17="",'My Loans'!$N$17=0),0,IF(K88&lt;0.005,0,MIN(INDIRECT("'My Loans'!$F"&amp;'My Loans'!$N$17),K88+L88)))</f>
        <v>0</v>
      </c>
      <c r="N88" s="13">
        <f ca="1">IF(A88=1,IF(OR('My Loans'!$N$18="",'My Loans'!$N$18=0),0,INDIRECT("'My Loans'!$D"&amp;'My Loans'!$N$18)),AY87)</f>
        <v>0</v>
      </c>
      <c r="O88" s="13">
        <f ca="1">IF(OR('My Loans'!$N$18="",'My Loans'!$N$18=0),0,N88*INDIRECT("'My Loans'!$E"&amp;'My Loans'!$N$18)/12)</f>
        <v>0</v>
      </c>
      <c r="P88" s="13">
        <f ca="1">IF(OR('My Loans'!$N$18="",'My Loans'!$N$18=0),0,IF(N88&lt;0.005,0,MIN(INDIRECT("'My Loans'!$F"&amp;'My Loans'!$N$18),N88+O88)))</f>
        <v>0</v>
      </c>
      <c r="Q88" s="13">
        <f ca="1">IF(A88=1,IF(OR('My Loans'!$N$19="",'My Loans'!$N$19=0),0,INDIRECT("'My Loans'!$D"&amp;'My Loans'!$N$19)),BD87)</f>
        <v>0</v>
      </c>
      <c r="R88" s="13">
        <f ca="1">IF(OR('My Loans'!$N$19="",'My Loans'!$N$19=0),0,Q88*INDIRECT("'My Loans'!$E"&amp;'My Loans'!$N$19)/12)</f>
        <v>0</v>
      </c>
      <c r="S88" s="13">
        <f ca="1">IF(OR('My Loans'!$N$19="",'My Loans'!$N$19=0),0,IF(Q88&lt;0.005,0,MIN(INDIRECT("'My Loans'!$F"&amp;'My Loans'!$N$19),Q88+R88)))</f>
        <v>0</v>
      </c>
      <c r="T88" s="13">
        <f ca="1">IF(A88=1,IF(OR('My Loans'!$N$20="",'My Loans'!$N$20=0),0,INDIRECT("'My Loans'!$D"&amp;'My Loans'!$N$20)),BI87)</f>
        <v>0</v>
      </c>
      <c r="U88" s="13">
        <f ca="1">IF(OR('My Loans'!$N$20="",'My Loans'!$N$20=0),0,T88*INDIRECT("'My Loans'!$E"&amp;'My Loans'!$N$20)/12)</f>
        <v>0</v>
      </c>
      <c r="V88" s="13">
        <f ca="1">IF(OR('My Loans'!$N$20="",'My Loans'!$N$20=0),0,IF(T88&lt;0.005,0,MIN(INDIRECT("'My Loans'!$F"&amp;'My Loans'!$N$20),T88+U88)))</f>
        <v>0</v>
      </c>
      <c r="W88" s="13">
        <f ca="1">IF(A88=1,IF(OR('My Loans'!$N$21="",'My Loans'!$N$21=0),0,INDIRECT("'My Loans'!$D"&amp;'My Loans'!$N$21)),BN87)</f>
        <v>0</v>
      </c>
      <c r="X88" s="13">
        <f ca="1">IF(OR('My Loans'!$N$21="",'My Loans'!$N$21=0),0,W88*INDIRECT("'My Loans'!$E"&amp;'My Loans'!$N$21)/12)</f>
        <v>0</v>
      </c>
      <c r="Y88" s="13">
        <f ca="1">IF(OR('My Loans'!$N$21="",'My Loans'!$N$21=0),0,IF(W88&lt;0.005,0,MIN(INDIRECT("'My Loans'!$F"&amp;'My Loans'!$N$21),W88+X88)))</f>
        <v>0</v>
      </c>
      <c r="Z88" s="13">
        <f ca="1">'My Loans'!$B$13-(D88+G88+J88+M88+P88+S88+V88+Y88)</f>
        <v>1400</v>
      </c>
      <c r="AA88" s="13">
        <f t="shared" ca="1" si="86"/>
        <v>1400</v>
      </c>
      <c r="AB88" s="13">
        <f t="shared" ca="1" si="87"/>
        <v>0</v>
      </c>
      <c r="AC88" s="13">
        <f t="shared" ca="1" si="88"/>
        <v>0</v>
      </c>
      <c r="AD88" s="13">
        <f t="shared" ca="1" si="89"/>
        <v>0</v>
      </c>
      <c r="AE88" s="13">
        <f t="shared" ca="1" si="90"/>
        <v>0</v>
      </c>
      <c r="AF88" s="13">
        <f t="shared" ca="1" si="91"/>
        <v>1400</v>
      </c>
      <c r="AG88" s="13">
        <f t="shared" ca="1" si="92"/>
        <v>0</v>
      </c>
      <c r="AH88" s="13">
        <f t="shared" ca="1" si="93"/>
        <v>0</v>
      </c>
      <c r="AI88" s="13">
        <f t="shared" ca="1" si="94"/>
        <v>0</v>
      </c>
      <c r="AJ88" s="13">
        <f t="shared" ca="1" si="95"/>
        <v>0</v>
      </c>
      <c r="AK88" s="13">
        <f t="shared" ca="1" si="96"/>
        <v>1400</v>
      </c>
      <c r="AL88" s="13">
        <f t="shared" ca="1" si="97"/>
        <v>0</v>
      </c>
      <c r="AM88" s="13">
        <f t="shared" ca="1" si="98"/>
        <v>0</v>
      </c>
      <c r="AN88" s="13">
        <f t="shared" ca="1" si="99"/>
        <v>0</v>
      </c>
      <c r="AO88" s="13">
        <f t="shared" ca="1" si="100"/>
        <v>0</v>
      </c>
      <c r="AP88" s="13">
        <f t="shared" ca="1" si="101"/>
        <v>1400</v>
      </c>
      <c r="AQ88" s="13">
        <f t="shared" ca="1" si="102"/>
        <v>0</v>
      </c>
      <c r="AR88" s="13">
        <f t="shared" ca="1" si="103"/>
        <v>0</v>
      </c>
      <c r="AS88" s="13">
        <f t="shared" ca="1" si="104"/>
        <v>0</v>
      </c>
      <c r="AT88" s="13">
        <f t="shared" ca="1" si="105"/>
        <v>0</v>
      </c>
      <c r="AU88" s="13">
        <f t="shared" ca="1" si="106"/>
        <v>1400</v>
      </c>
      <c r="AV88" s="13">
        <f t="shared" ca="1" si="107"/>
        <v>0</v>
      </c>
      <c r="AW88" s="13">
        <f t="shared" ca="1" si="108"/>
        <v>0</v>
      </c>
      <c r="AX88" s="13">
        <f t="shared" ca="1" si="109"/>
        <v>0</v>
      </c>
      <c r="AY88" s="13">
        <f t="shared" ca="1" si="110"/>
        <v>0</v>
      </c>
      <c r="AZ88" s="13">
        <f t="shared" ca="1" si="111"/>
        <v>1400</v>
      </c>
      <c r="BA88" s="13">
        <f t="shared" ca="1" si="112"/>
        <v>0</v>
      </c>
      <c r="BB88" s="13">
        <f t="shared" ca="1" si="113"/>
        <v>0</v>
      </c>
      <c r="BC88" s="13">
        <f t="shared" ca="1" si="114"/>
        <v>0</v>
      </c>
      <c r="BD88" s="13">
        <f t="shared" ca="1" si="115"/>
        <v>0</v>
      </c>
      <c r="BE88" s="13">
        <f t="shared" ca="1" si="116"/>
        <v>1400</v>
      </c>
      <c r="BF88" s="13">
        <f t="shared" ca="1" si="117"/>
        <v>0</v>
      </c>
      <c r="BG88" s="13">
        <f t="shared" ca="1" si="118"/>
        <v>0</v>
      </c>
      <c r="BH88" s="13">
        <f t="shared" ca="1" si="119"/>
        <v>0</v>
      </c>
      <c r="BI88" s="13">
        <f t="shared" ca="1" si="120"/>
        <v>0</v>
      </c>
      <c r="BJ88" s="13">
        <f t="shared" ca="1" si="121"/>
        <v>1400</v>
      </c>
      <c r="BK88" s="13">
        <f t="shared" ca="1" si="122"/>
        <v>0</v>
      </c>
      <c r="BL88" s="13">
        <f t="shared" ca="1" si="123"/>
        <v>0</v>
      </c>
      <c r="BM88" s="13">
        <f t="shared" ca="1" si="124"/>
        <v>0</v>
      </c>
      <c r="BN88" s="13">
        <f t="shared" ca="1" si="125"/>
        <v>0</v>
      </c>
      <c r="BO88" s="13">
        <f t="shared" ca="1" si="126"/>
        <v>0</v>
      </c>
      <c r="BP88" s="13">
        <f t="shared" ca="1" si="127"/>
        <v>0</v>
      </c>
      <c r="BQ88" s="13">
        <f t="shared" ca="1" si="128"/>
        <v>0</v>
      </c>
    </row>
    <row r="89" spans="1:69" x14ac:dyDescent="0.25">
      <c r="A89" s="1">
        <v>88</v>
      </c>
      <c r="B89" s="13">
        <f ca="1">IF(A89=1,IF(OR('My Loans'!$N$14="",'My Loans'!$N$14=0),0,INDIRECT("'My Loans'!$D"&amp;'My Loans'!$N$14)),AE88)</f>
        <v>0</v>
      </c>
      <c r="C89" s="13">
        <f ca="1">IF(OR('My Loans'!$N$14="",'My Loans'!$N$14=0),0,B89*INDIRECT("'My Loans'!$E"&amp;'My Loans'!$N$14)/12)</f>
        <v>0</v>
      </c>
      <c r="D89" s="13">
        <f ca="1">IF(OR('My Loans'!$N$14="",'My Loans'!$N$14=0),0,IF(B89&lt;0.005,0,MIN(INDIRECT("'My Loans'!$F"&amp;'My Loans'!$N$14),B89+C89)))</f>
        <v>0</v>
      </c>
      <c r="E89" s="13">
        <f ca="1">IF(A89=1,IF(OR('My Loans'!$N$15="",'My Loans'!$N$15=0),0,INDIRECT("'My Loans'!$D"&amp;'My Loans'!$N$15)),AJ88)</f>
        <v>0</v>
      </c>
      <c r="F89" s="13">
        <f ca="1">IF(OR('My Loans'!$N$15="",'My Loans'!$N$15=0),0,E89*INDIRECT("'My Loans'!$E"&amp;'My Loans'!$N$15)/12)</f>
        <v>0</v>
      </c>
      <c r="G89" s="13">
        <f ca="1">IF(OR('My Loans'!$N$15="",'My Loans'!$N$15=0),0,IF(E89&lt;0.005,0,MIN(INDIRECT("'My Loans'!$F"&amp;'My Loans'!$N$15),E89+F89)))</f>
        <v>0</v>
      </c>
      <c r="H89" s="13">
        <f ca="1">IF(A89=1,IF(OR('My Loans'!$N$16="",'My Loans'!$N$16=0),0,INDIRECT("'My Loans'!$D"&amp;'My Loans'!$N$16)),AO88)</f>
        <v>0</v>
      </c>
      <c r="I89" s="13">
        <f ca="1">IF(OR('My Loans'!$N$16="",'My Loans'!$N$16=0),0,H89*INDIRECT("'My Loans'!$E"&amp;'My Loans'!$N$16)/12)</f>
        <v>0</v>
      </c>
      <c r="J89" s="13">
        <f ca="1">IF(OR('My Loans'!$N$16="",'My Loans'!$N$16=0),0,IF(H89&lt;0.005,0,MIN(INDIRECT("'My Loans'!$F"&amp;'My Loans'!$N$16),H89+I89)))</f>
        <v>0</v>
      </c>
      <c r="K89" s="13">
        <f ca="1">IF(A89=1,IF(OR('My Loans'!$N$17="",'My Loans'!$N$17=0),0,INDIRECT("'My Loans'!$D"&amp;'My Loans'!$N$17)),AT88)</f>
        <v>0</v>
      </c>
      <c r="L89" s="13">
        <f ca="1">IF(OR('My Loans'!$N$17="",'My Loans'!$N$17=0),0,K89*INDIRECT("'My Loans'!$E"&amp;'My Loans'!$N$17)/12)</f>
        <v>0</v>
      </c>
      <c r="M89" s="13">
        <f ca="1">IF(OR('My Loans'!$N$17="",'My Loans'!$N$17=0),0,IF(K89&lt;0.005,0,MIN(INDIRECT("'My Loans'!$F"&amp;'My Loans'!$N$17),K89+L89)))</f>
        <v>0</v>
      </c>
      <c r="N89" s="13">
        <f ca="1">IF(A89=1,IF(OR('My Loans'!$N$18="",'My Loans'!$N$18=0),0,INDIRECT("'My Loans'!$D"&amp;'My Loans'!$N$18)),AY88)</f>
        <v>0</v>
      </c>
      <c r="O89" s="13">
        <f ca="1">IF(OR('My Loans'!$N$18="",'My Loans'!$N$18=0),0,N89*INDIRECT("'My Loans'!$E"&amp;'My Loans'!$N$18)/12)</f>
        <v>0</v>
      </c>
      <c r="P89" s="13">
        <f ca="1">IF(OR('My Loans'!$N$18="",'My Loans'!$N$18=0),0,IF(N89&lt;0.005,0,MIN(INDIRECT("'My Loans'!$F"&amp;'My Loans'!$N$18),N89+O89)))</f>
        <v>0</v>
      </c>
      <c r="Q89" s="13">
        <f ca="1">IF(A89=1,IF(OR('My Loans'!$N$19="",'My Loans'!$N$19=0),0,INDIRECT("'My Loans'!$D"&amp;'My Loans'!$N$19)),BD88)</f>
        <v>0</v>
      </c>
      <c r="R89" s="13">
        <f ca="1">IF(OR('My Loans'!$N$19="",'My Loans'!$N$19=0),0,Q89*INDIRECT("'My Loans'!$E"&amp;'My Loans'!$N$19)/12)</f>
        <v>0</v>
      </c>
      <c r="S89" s="13">
        <f ca="1">IF(OR('My Loans'!$N$19="",'My Loans'!$N$19=0),0,IF(Q89&lt;0.005,0,MIN(INDIRECT("'My Loans'!$F"&amp;'My Loans'!$N$19),Q89+R89)))</f>
        <v>0</v>
      </c>
      <c r="T89" s="13">
        <f ca="1">IF(A89=1,IF(OR('My Loans'!$N$20="",'My Loans'!$N$20=0),0,INDIRECT("'My Loans'!$D"&amp;'My Loans'!$N$20)),BI88)</f>
        <v>0</v>
      </c>
      <c r="U89" s="13">
        <f ca="1">IF(OR('My Loans'!$N$20="",'My Loans'!$N$20=0),0,T89*INDIRECT("'My Loans'!$E"&amp;'My Loans'!$N$20)/12)</f>
        <v>0</v>
      </c>
      <c r="V89" s="13">
        <f ca="1">IF(OR('My Loans'!$N$20="",'My Loans'!$N$20=0),0,IF(T89&lt;0.005,0,MIN(INDIRECT("'My Loans'!$F"&amp;'My Loans'!$N$20),T89+U89)))</f>
        <v>0</v>
      </c>
      <c r="W89" s="13">
        <f ca="1">IF(A89=1,IF(OR('My Loans'!$N$21="",'My Loans'!$N$21=0),0,INDIRECT("'My Loans'!$D"&amp;'My Loans'!$N$21)),BN88)</f>
        <v>0</v>
      </c>
      <c r="X89" s="13">
        <f ca="1">IF(OR('My Loans'!$N$21="",'My Loans'!$N$21=0),0,W89*INDIRECT("'My Loans'!$E"&amp;'My Loans'!$N$21)/12)</f>
        <v>0</v>
      </c>
      <c r="Y89" s="13">
        <f ca="1">IF(OR('My Loans'!$N$21="",'My Loans'!$N$21=0),0,IF(W89&lt;0.005,0,MIN(INDIRECT("'My Loans'!$F"&amp;'My Loans'!$N$21),W89+X89)))</f>
        <v>0</v>
      </c>
      <c r="Z89" s="13">
        <f ca="1">'My Loans'!$B$13-(D89+G89+J89+M89+P89+S89+V89+Y89)</f>
        <v>1400</v>
      </c>
      <c r="AA89" s="13">
        <f t="shared" ca="1" si="86"/>
        <v>1400</v>
      </c>
      <c r="AB89" s="13">
        <f t="shared" ca="1" si="87"/>
        <v>0</v>
      </c>
      <c r="AC89" s="13">
        <f t="shared" ca="1" si="88"/>
        <v>0</v>
      </c>
      <c r="AD89" s="13">
        <f t="shared" ca="1" si="89"/>
        <v>0</v>
      </c>
      <c r="AE89" s="13">
        <f t="shared" ca="1" si="90"/>
        <v>0</v>
      </c>
      <c r="AF89" s="13">
        <f t="shared" ca="1" si="91"/>
        <v>1400</v>
      </c>
      <c r="AG89" s="13">
        <f t="shared" ca="1" si="92"/>
        <v>0</v>
      </c>
      <c r="AH89" s="13">
        <f t="shared" ca="1" si="93"/>
        <v>0</v>
      </c>
      <c r="AI89" s="13">
        <f t="shared" ca="1" si="94"/>
        <v>0</v>
      </c>
      <c r="AJ89" s="13">
        <f t="shared" ca="1" si="95"/>
        <v>0</v>
      </c>
      <c r="AK89" s="13">
        <f t="shared" ca="1" si="96"/>
        <v>1400</v>
      </c>
      <c r="AL89" s="13">
        <f t="shared" ca="1" si="97"/>
        <v>0</v>
      </c>
      <c r="AM89" s="13">
        <f t="shared" ca="1" si="98"/>
        <v>0</v>
      </c>
      <c r="AN89" s="13">
        <f t="shared" ca="1" si="99"/>
        <v>0</v>
      </c>
      <c r="AO89" s="13">
        <f t="shared" ca="1" si="100"/>
        <v>0</v>
      </c>
      <c r="AP89" s="13">
        <f t="shared" ca="1" si="101"/>
        <v>1400</v>
      </c>
      <c r="AQ89" s="13">
        <f t="shared" ca="1" si="102"/>
        <v>0</v>
      </c>
      <c r="AR89" s="13">
        <f t="shared" ca="1" si="103"/>
        <v>0</v>
      </c>
      <c r="AS89" s="13">
        <f t="shared" ca="1" si="104"/>
        <v>0</v>
      </c>
      <c r="AT89" s="13">
        <f t="shared" ca="1" si="105"/>
        <v>0</v>
      </c>
      <c r="AU89" s="13">
        <f t="shared" ca="1" si="106"/>
        <v>1400</v>
      </c>
      <c r="AV89" s="13">
        <f t="shared" ca="1" si="107"/>
        <v>0</v>
      </c>
      <c r="AW89" s="13">
        <f t="shared" ca="1" si="108"/>
        <v>0</v>
      </c>
      <c r="AX89" s="13">
        <f t="shared" ca="1" si="109"/>
        <v>0</v>
      </c>
      <c r="AY89" s="13">
        <f t="shared" ca="1" si="110"/>
        <v>0</v>
      </c>
      <c r="AZ89" s="13">
        <f t="shared" ca="1" si="111"/>
        <v>1400</v>
      </c>
      <c r="BA89" s="13">
        <f t="shared" ca="1" si="112"/>
        <v>0</v>
      </c>
      <c r="BB89" s="13">
        <f t="shared" ca="1" si="113"/>
        <v>0</v>
      </c>
      <c r="BC89" s="13">
        <f t="shared" ca="1" si="114"/>
        <v>0</v>
      </c>
      <c r="BD89" s="13">
        <f t="shared" ca="1" si="115"/>
        <v>0</v>
      </c>
      <c r="BE89" s="13">
        <f t="shared" ca="1" si="116"/>
        <v>1400</v>
      </c>
      <c r="BF89" s="13">
        <f t="shared" ca="1" si="117"/>
        <v>0</v>
      </c>
      <c r="BG89" s="13">
        <f t="shared" ca="1" si="118"/>
        <v>0</v>
      </c>
      <c r="BH89" s="13">
        <f t="shared" ca="1" si="119"/>
        <v>0</v>
      </c>
      <c r="BI89" s="13">
        <f t="shared" ca="1" si="120"/>
        <v>0</v>
      </c>
      <c r="BJ89" s="13">
        <f t="shared" ca="1" si="121"/>
        <v>1400</v>
      </c>
      <c r="BK89" s="13">
        <f t="shared" ca="1" si="122"/>
        <v>0</v>
      </c>
      <c r="BL89" s="13">
        <f t="shared" ca="1" si="123"/>
        <v>0</v>
      </c>
      <c r="BM89" s="13">
        <f t="shared" ca="1" si="124"/>
        <v>0</v>
      </c>
      <c r="BN89" s="13">
        <f t="shared" ca="1" si="125"/>
        <v>0</v>
      </c>
      <c r="BO89" s="13">
        <f t="shared" ca="1" si="126"/>
        <v>0</v>
      </c>
      <c r="BP89" s="13">
        <f t="shared" ca="1" si="127"/>
        <v>0</v>
      </c>
      <c r="BQ89" s="13">
        <f t="shared" ca="1" si="128"/>
        <v>0</v>
      </c>
    </row>
    <row r="90" spans="1:69" x14ac:dyDescent="0.25">
      <c r="A90" s="1">
        <v>89</v>
      </c>
      <c r="B90" s="13">
        <f ca="1">IF(A90=1,IF(OR('My Loans'!$N$14="",'My Loans'!$N$14=0),0,INDIRECT("'My Loans'!$D"&amp;'My Loans'!$N$14)),AE89)</f>
        <v>0</v>
      </c>
      <c r="C90" s="13">
        <f ca="1">IF(OR('My Loans'!$N$14="",'My Loans'!$N$14=0),0,B90*INDIRECT("'My Loans'!$E"&amp;'My Loans'!$N$14)/12)</f>
        <v>0</v>
      </c>
      <c r="D90" s="13">
        <f ca="1">IF(OR('My Loans'!$N$14="",'My Loans'!$N$14=0),0,IF(B90&lt;0.005,0,MIN(INDIRECT("'My Loans'!$F"&amp;'My Loans'!$N$14),B90+C90)))</f>
        <v>0</v>
      </c>
      <c r="E90" s="13">
        <f ca="1">IF(A90=1,IF(OR('My Loans'!$N$15="",'My Loans'!$N$15=0),0,INDIRECT("'My Loans'!$D"&amp;'My Loans'!$N$15)),AJ89)</f>
        <v>0</v>
      </c>
      <c r="F90" s="13">
        <f ca="1">IF(OR('My Loans'!$N$15="",'My Loans'!$N$15=0),0,E90*INDIRECT("'My Loans'!$E"&amp;'My Loans'!$N$15)/12)</f>
        <v>0</v>
      </c>
      <c r="G90" s="13">
        <f ca="1">IF(OR('My Loans'!$N$15="",'My Loans'!$N$15=0),0,IF(E90&lt;0.005,0,MIN(INDIRECT("'My Loans'!$F"&amp;'My Loans'!$N$15),E90+F90)))</f>
        <v>0</v>
      </c>
      <c r="H90" s="13">
        <f ca="1">IF(A90=1,IF(OR('My Loans'!$N$16="",'My Loans'!$N$16=0),0,INDIRECT("'My Loans'!$D"&amp;'My Loans'!$N$16)),AO89)</f>
        <v>0</v>
      </c>
      <c r="I90" s="13">
        <f ca="1">IF(OR('My Loans'!$N$16="",'My Loans'!$N$16=0),0,H90*INDIRECT("'My Loans'!$E"&amp;'My Loans'!$N$16)/12)</f>
        <v>0</v>
      </c>
      <c r="J90" s="13">
        <f ca="1">IF(OR('My Loans'!$N$16="",'My Loans'!$N$16=0),0,IF(H90&lt;0.005,0,MIN(INDIRECT("'My Loans'!$F"&amp;'My Loans'!$N$16),H90+I90)))</f>
        <v>0</v>
      </c>
      <c r="K90" s="13">
        <f ca="1">IF(A90=1,IF(OR('My Loans'!$N$17="",'My Loans'!$N$17=0),0,INDIRECT("'My Loans'!$D"&amp;'My Loans'!$N$17)),AT89)</f>
        <v>0</v>
      </c>
      <c r="L90" s="13">
        <f ca="1">IF(OR('My Loans'!$N$17="",'My Loans'!$N$17=0),0,K90*INDIRECT("'My Loans'!$E"&amp;'My Loans'!$N$17)/12)</f>
        <v>0</v>
      </c>
      <c r="M90" s="13">
        <f ca="1">IF(OR('My Loans'!$N$17="",'My Loans'!$N$17=0),0,IF(K90&lt;0.005,0,MIN(INDIRECT("'My Loans'!$F"&amp;'My Loans'!$N$17),K90+L90)))</f>
        <v>0</v>
      </c>
      <c r="N90" s="13">
        <f ca="1">IF(A90=1,IF(OR('My Loans'!$N$18="",'My Loans'!$N$18=0),0,INDIRECT("'My Loans'!$D"&amp;'My Loans'!$N$18)),AY89)</f>
        <v>0</v>
      </c>
      <c r="O90" s="13">
        <f ca="1">IF(OR('My Loans'!$N$18="",'My Loans'!$N$18=0),0,N90*INDIRECT("'My Loans'!$E"&amp;'My Loans'!$N$18)/12)</f>
        <v>0</v>
      </c>
      <c r="P90" s="13">
        <f ca="1">IF(OR('My Loans'!$N$18="",'My Loans'!$N$18=0),0,IF(N90&lt;0.005,0,MIN(INDIRECT("'My Loans'!$F"&amp;'My Loans'!$N$18),N90+O90)))</f>
        <v>0</v>
      </c>
      <c r="Q90" s="13">
        <f ca="1">IF(A90=1,IF(OR('My Loans'!$N$19="",'My Loans'!$N$19=0),0,INDIRECT("'My Loans'!$D"&amp;'My Loans'!$N$19)),BD89)</f>
        <v>0</v>
      </c>
      <c r="R90" s="13">
        <f ca="1">IF(OR('My Loans'!$N$19="",'My Loans'!$N$19=0),0,Q90*INDIRECT("'My Loans'!$E"&amp;'My Loans'!$N$19)/12)</f>
        <v>0</v>
      </c>
      <c r="S90" s="13">
        <f ca="1">IF(OR('My Loans'!$N$19="",'My Loans'!$N$19=0),0,IF(Q90&lt;0.005,0,MIN(INDIRECT("'My Loans'!$F"&amp;'My Loans'!$N$19),Q90+R90)))</f>
        <v>0</v>
      </c>
      <c r="T90" s="13">
        <f ca="1">IF(A90=1,IF(OR('My Loans'!$N$20="",'My Loans'!$N$20=0),0,INDIRECT("'My Loans'!$D"&amp;'My Loans'!$N$20)),BI89)</f>
        <v>0</v>
      </c>
      <c r="U90" s="13">
        <f ca="1">IF(OR('My Loans'!$N$20="",'My Loans'!$N$20=0),0,T90*INDIRECT("'My Loans'!$E"&amp;'My Loans'!$N$20)/12)</f>
        <v>0</v>
      </c>
      <c r="V90" s="13">
        <f ca="1">IF(OR('My Loans'!$N$20="",'My Loans'!$N$20=0),0,IF(T90&lt;0.005,0,MIN(INDIRECT("'My Loans'!$F"&amp;'My Loans'!$N$20),T90+U90)))</f>
        <v>0</v>
      </c>
      <c r="W90" s="13">
        <f ca="1">IF(A90=1,IF(OR('My Loans'!$N$21="",'My Loans'!$N$21=0),0,INDIRECT("'My Loans'!$D"&amp;'My Loans'!$N$21)),BN89)</f>
        <v>0</v>
      </c>
      <c r="X90" s="13">
        <f ca="1">IF(OR('My Loans'!$N$21="",'My Loans'!$N$21=0),0,W90*INDIRECT("'My Loans'!$E"&amp;'My Loans'!$N$21)/12)</f>
        <v>0</v>
      </c>
      <c r="Y90" s="13">
        <f ca="1">IF(OR('My Loans'!$N$21="",'My Loans'!$N$21=0),0,IF(W90&lt;0.005,0,MIN(INDIRECT("'My Loans'!$F"&amp;'My Loans'!$N$21),W90+X90)))</f>
        <v>0</v>
      </c>
      <c r="Z90" s="13">
        <f ca="1">'My Loans'!$B$13-(D90+G90+J90+M90+P90+S90+V90+Y90)</f>
        <v>1400</v>
      </c>
      <c r="AA90" s="13">
        <f t="shared" ca="1" si="86"/>
        <v>1400</v>
      </c>
      <c r="AB90" s="13">
        <f t="shared" ca="1" si="87"/>
        <v>0</v>
      </c>
      <c r="AC90" s="13">
        <f t="shared" ca="1" si="88"/>
        <v>0</v>
      </c>
      <c r="AD90" s="13">
        <f t="shared" ca="1" si="89"/>
        <v>0</v>
      </c>
      <c r="AE90" s="13">
        <f t="shared" ca="1" si="90"/>
        <v>0</v>
      </c>
      <c r="AF90" s="13">
        <f t="shared" ca="1" si="91"/>
        <v>1400</v>
      </c>
      <c r="AG90" s="13">
        <f t="shared" ca="1" si="92"/>
        <v>0</v>
      </c>
      <c r="AH90" s="13">
        <f t="shared" ca="1" si="93"/>
        <v>0</v>
      </c>
      <c r="AI90" s="13">
        <f t="shared" ca="1" si="94"/>
        <v>0</v>
      </c>
      <c r="AJ90" s="13">
        <f t="shared" ca="1" si="95"/>
        <v>0</v>
      </c>
      <c r="AK90" s="13">
        <f t="shared" ca="1" si="96"/>
        <v>1400</v>
      </c>
      <c r="AL90" s="13">
        <f t="shared" ca="1" si="97"/>
        <v>0</v>
      </c>
      <c r="AM90" s="13">
        <f t="shared" ca="1" si="98"/>
        <v>0</v>
      </c>
      <c r="AN90" s="13">
        <f t="shared" ca="1" si="99"/>
        <v>0</v>
      </c>
      <c r="AO90" s="13">
        <f t="shared" ca="1" si="100"/>
        <v>0</v>
      </c>
      <c r="AP90" s="13">
        <f t="shared" ca="1" si="101"/>
        <v>1400</v>
      </c>
      <c r="AQ90" s="13">
        <f t="shared" ca="1" si="102"/>
        <v>0</v>
      </c>
      <c r="AR90" s="13">
        <f t="shared" ca="1" si="103"/>
        <v>0</v>
      </c>
      <c r="AS90" s="13">
        <f t="shared" ca="1" si="104"/>
        <v>0</v>
      </c>
      <c r="AT90" s="13">
        <f t="shared" ca="1" si="105"/>
        <v>0</v>
      </c>
      <c r="AU90" s="13">
        <f t="shared" ca="1" si="106"/>
        <v>1400</v>
      </c>
      <c r="AV90" s="13">
        <f t="shared" ca="1" si="107"/>
        <v>0</v>
      </c>
      <c r="AW90" s="13">
        <f t="shared" ca="1" si="108"/>
        <v>0</v>
      </c>
      <c r="AX90" s="13">
        <f t="shared" ca="1" si="109"/>
        <v>0</v>
      </c>
      <c r="AY90" s="13">
        <f t="shared" ca="1" si="110"/>
        <v>0</v>
      </c>
      <c r="AZ90" s="13">
        <f t="shared" ca="1" si="111"/>
        <v>1400</v>
      </c>
      <c r="BA90" s="13">
        <f t="shared" ca="1" si="112"/>
        <v>0</v>
      </c>
      <c r="BB90" s="13">
        <f t="shared" ca="1" si="113"/>
        <v>0</v>
      </c>
      <c r="BC90" s="13">
        <f t="shared" ca="1" si="114"/>
        <v>0</v>
      </c>
      <c r="BD90" s="13">
        <f t="shared" ca="1" si="115"/>
        <v>0</v>
      </c>
      <c r="BE90" s="13">
        <f t="shared" ca="1" si="116"/>
        <v>1400</v>
      </c>
      <c r="BF90" s="13">
        <f t="shared" ca="1" si="117"/>
        <v>0</v>
      </c>
      <c r="BG90" s="13">
        <f t="shared" ca="1" si="118"/>
        <v>0</v>
      </c>
      <c r="BH90" s="13">
        <f t="shared" ca="1" si="119"/>
        <v>0</v>
      </c>
      <c r="BI90" s="13">
        <f t="shared" ca="1" si="120"/>
        <v>0</v>
      </c>
      <c r="BJ90" s="13">
        <f t="shared" ca="1" si="121"/>
        <v>1400</v>
      </c>
      <c r="BK90" s="13">
        <f t="shared" ca="1" si="122"/>
        <v>0</v>
      </c>
      <c r="BL90" s="13">
        <f t="shared" ca="1" si="123"/>
        <v>0</v>
      </c>
      <c r="BM90" s="13">
        <f t="shared" ca="1" si="124"/>
        <v>0</v>
      </c>
      <c r="BN90" s="13">
        <f t="shared" ca="1" si="125"/>
        <v>0</v>
      </c>
      <c r="BO90" s="13">
        <f t="shared" ca="1" si="126"/>
        <v>0</v>
      </c>
      <c r="BP90" s="13">
        <f t="shared" ca="1" si="127"/>
        <v>0</v>
      </c>
      <c r="BQ90" s="13">
        <f t="shared" ca="1" si="128"/>
        <v>0</v>
      </c>
    </row>
    <row r="91" spans="1:69" x14ac:dyDescent="0.25">
      <c r="A91" s="1">
        <v>90</v>
      </c>
      <c r="B91" s="13">
        <f ca="1">IF(A91=1,IF(OR('My Loans'!$N$14="",'My Loans'!$N$14=0),0,INDIRECT("'My Loans'!$D"&amp;'My Loans'!$N$14)),AE90)</f>
        <v>0</v>
      </c>
      <c r="C91" s="13">
        <f ca="1">IF(OR('My Loans'!$N$14="",'My Loans'!$N$14=0),0,B91*INDIRECT("'My Loans'!$E"&amp;'My Loans'!$N$14)/12)</f>
        <v>0</v>
      </c>
      <c r="D91" s="13">
        <f ca="1">IF(OR('My Loans'!$N$14="",'My Loans'!$N$14=0),0,IF(B91&lt;0.005,0,MIN(INDIRECT("'My Loans'!$F"&amp;'My Loans'!$N$14),B91+C91)))</f>
        <v>0</v>
      </c>
      <c r="E91" s="13">
        <f ca="1">IF(A91=1,IF(OR('My Loans'!$N$15="",'My Loans'!$N$15=0),0,INDIRECT("'My Loans'!$D"&amp;'My Loans'!$N$15)),AJ90)</f>
        <v>0</v>
      </c>
      <c r="F91" s="13">
        <f ca="1">IF(OR('My Loans'!$N$15="",'My Loans'!$N$15=0),0,E91*INDIRECT("'My Loans'!$E"&amp;'My Loans'!$N$15)/12)</f>
        <v>0</v>
      </c>
      <c r="G91" s="13">
        <f ca="1">IF(OR('My Loans'!$N$15="",'My Loans'!$N$15=0),0,IF(E91&lt;0.005,0,MIN(INDIRECT("'My Loans'!$F"&amp;'My Loans'!$N$15),E91+F91)))</f>
        <v>0</v>
      </c>
      <c r="H91" s="13">
        <f ca="1">IF(A91=1,IF(OR('My Loans'!$N$16="",'My Loans'!$N$16=0),0,INDIRECT("'My Loans'!$D"&amp;'My Loans'!$N$16)),AO90)</f>
        <v>0</v>
      </c>
      <c r="I91" s="13">
        <f ca="1">IF(OR('My Loans'!$N$16="",'My Loans'!$N$16=0),0,H91*INDIRECT("'My Loans'!$E"&amp;'My Loans'!$N$16)/12)</f>
        <v>0</v>
      </c>
      <c r="J91" s="13">
        <f ca="1">IF(OR('My Loans'!$N$16="",'My Loans'!$N$16=0),0,IF(H91&lt;0.005,0,MIN(INDIRECT("'My Loans'!$F"&amp;'My Loans'!$N$16),H91+I91)))</f>
        <v>0</v>
      </c>
      <c r="K91" s="13">
        <f ca="1">IF(A91=1,IF(OR('My Loans'!$N$17="",'My Loans'!$N$17=0),0,INDIRECT("'My Loans'!$D"&amp;'My Loans'!$N$17)),AT90)</f>
        <v>0</v>
      </c>
      <c r="L91" s="13">
        <f ca="1">IF(OR('My Loans'!$N$17="",'My Loans'!$N$17=0),0,K91*INDIRECT("'My Loans'!$E"&amp;'My Loans'!$N$17)/12)</f>
        <v>0</v>
      </c>
      <c r="M91" s="13">
        <f ca="1">IF(OR('My Loans'!$N$17="",'My Loans'!$N$17=0),0,IF(K91&lt;0.005,0,MIN(INDIRECT("'My Loans'!$F"&amp;'My Loans'!$N$17),K91+L91)))</f>
        <v>0</v>
      </c>
      <c r="N91" s="13">
        <f ca="1">IF(A91=1,IF(OR('My Loans'!$N$18="",'My Loans'!$N$18=0),0,INDIRECT("'My Loans'!$D"&amp;'My Loans'!$N$18)),AY90)</f>
        <v>0</v>
      </c>
      <c r="O91" s="13">
        <f ca="1">IF(OR('My Loans'!$N$18="",'My Loans'!$N$18=0),0,N91*INDIRECT("'My Loans'!$E"&amp;'My Loans'!$N$18)/12)</f>
        <v>0</v>
      </c>
      <c r="P91" s="13">
        <f ca="1">IF(OR('My Loans'!$N$18="",'My Loans'!$N$18=0),0,IF(N91&lt;0.005,0,MIN(INDIRECT("'My Loans'!$F"&amp;'My Loans'!$N$18),N91+O91)))</f>
        <v>0</v>
      </c>
      <c r="Q91" s="13">
        <f ca="1">IF(A91=1,IF(OR('My Loans'!$N$19="",'My Loans'!$N$19=0),0,INDIRECT("'My Loans'!$D"&amp;'My Loans'!$N$19)),BD90)</f>
        <v>0</v>
      </c>
      <c r="R91" s="13">
        <f ca="1">IF(OR('My Loans'!$N$19="",'My Loans'!$N$19=0),0,Q91*INDIRECT("'My Loans'!$E"&amp;'My Loans'!$N$19)/12)</f>
        <v>0</v>
      </c>
      <c r="S91" s="13">
        <f ca="1">IF(OR('My Loans'!$N$19="",'My Loans'!$N$19=0),0,IF(Q91&lt;0.005,0,MIN(INDIRECT("'My Loans'!$F"&amp;'My Loans'!$N$19),Q91+R91)))</f>
        <v>0</v>
      </c>
      <c r="T91" s="13">
        <f ca="1">IF(A91=1,IF(OR('My Loans'!$N$20="",'My Loans'!$N$20=0),0,INDIRECT("'My Loans'!$D"&amp;'My Loans'!$N$20)),BI90)</f>
        <v>0</v>
      </c>
      <c r="U91" s="13">
        <f ca="1">IF(OR('My Loans'!$N$20="",'My Loans'!$N$20=0),0,T91*INDIRECT("'My Loans'!$E"&amp;'My Loans'!$N$20)/12)</f>
        <v>0</v>
      </c>
      <c r="V91" s="13">
        <f ca="1">IF(OR('My Loans'!$N$20="",'My Loans'!$N$20=0),0,IF(T91&lt;0.005,0,MIN(INDIRECT("'My Loans'!$F"&amp;'My Loans'!$N$20),T91+U91)))</f>
        <v>0</v>
      </c>
      <c r="W91" s="13">
        <f ca="1">IF(A91=1,IF(OR('My Loans'!$N$21="",'My Loans'!$N$21=0),0,INDIRECT("'My Loans'!$D"&amp;'My Loans'!$N$21)),BN90)</f>
        <v>0</v>
      </c>
      <c r="X91" s="13">
        <f ca="1">IF(OR('My Loans'!$N$21="",'My Loans'!$N$21=0),0,W91*INDIRECT("'My Loans'!$E"&amp;'My Loans'!$N$21)/12)</f>
        <v>0</v>
      </c>
      <c r="Y91" s="13">
        <f ca="1">IF(OR('My Loans'!$N$21="",'My Loans'!$N$21=0),0,IF(W91&lt;0.005,0,MIN(INDIRECT("'My Loans'!$F"&amp;'My Loans'!$N$21),W91+X91)))</f>
        <v>0</v>
      </c>
      <c r="Z91" s="13">
        <f ca="1">'My Loans'!$B$13-(D91+G91+J91+M91+P91+S91+V91+Y91)</f>
        <v>1400</v>
      </c>
      <c r="AA91" s="13">
        <f t="shared" ca="1" si="86"/>
        <v>1400</v>
      </c>
      <c r="AB91" s="13">
        <f t="shared" ca="1" si="87"/>
        <v>0</v>
      </c>
      <c r="AC91" s="13">
        <f t="shared" ca="1" si="88"/>
        <v>0</v>
      </c>
      <c r="AD91" s="13">
        <f t="shared" ca="1" si="89"/>
        <v>0</v>
      </c>
      <c r="AE91" s="13">
        <f t="shared" ca="1" si="90"/>
        <v>0</v>
      </c>
      <c r="AF91" s="13">
        <f t="shared" ca="1" si="91"/>
        <v>1400</v>
      </c>
      <c r="AG91" s="13">
        <f t="shared" ca="1" si="92"/>
        <v>0</v>
      </c>
      <c r="AH91" s="13">
        <f t="shared" ca="1" si="93"/>
        <v>0</v>
      </c>
      <c r="AI91" s="13">
        <f t="shared" ca="1" si="94"/>
        <v>0</v>
      </c>
      <c r="AJ91" s="13">
        <f t="shared" ca="1" si="95"/>
        <v>0</v>
      </c>
      <c r="AK91" s="13">
        <f t="shared" ca="1" si="96"/>
        <v>1400</v>
      </c>
      <c r="AL91" s="13">
        <f t="shared" ca="1" si="97"/>
        <v>0</v>
      </c>
      <c r="AM91" s="13">
        <f t="shared" ca="1" si="98"/>
        <v>0</v>
      </c>
      <c r="AN91" s="13">
        <f t="shared" ca="1" si="99"/>
        <v>0</v>
      </c>
      <c r="AO91" s="13">
        <f t="shared" ca="1" si="100"/>
        <v>0</v>
      </c>
      <c r="AP91" s="13">
        <f t="shared" ca="1" si="101"/>
        <v>1400</v>
      </c>
      <c r="AQ91" s="13">
        <f t="shared" ca="1" si="102"/>
        <v>0</v>
      </c>
      <c r="AR91" s="13">
        <f t="shared" ca="1" si="103"/>
        <v>0</v>
      </c>
      <c r="AS91" s="13">
        <f t="shared" ca="1" si="104"/>
        <v>0</v>
      </c>
      <c r="AT91" s="13">
        <f t="shared" ca="1" si="105"/>
        <v>0</v>
      </c>
      <c r="AU91" s="13">
        <f t="shared" ca="1" si="106"/>
        <v>1400</v>
      </c>
      <c r="AV91" s="13">
        <f t="shared" ca="1" si="107"/>
        <v>0</v>
      </c>
      <c r="AW91" s="13">
        <f t="shared" ca="1" si="108"/>
        <v>0</v>
      </c>
      <c r="AX91" s="13">
        <f t="shared" ca="1" si="109"/>
        <v>0</v>
      </c>
      <c r="AY91" s="13">
        <f t="shared" ca="1" si="110"/>
        <v>0</v>
      </c>
      <c r="AZ91" s="13">
        <f t="shared" ca="1" si="111"/>
        <v>1400</v>
      </c>
      <c r="BA91" s="13">
        <f t="shared" ca="1" si="112"/>
        <v>0</v>
      </c>
      <c r="BB91" s="13">
        <f t="shared" ca="1" si="113"/>
        <v>0</v>
      </c>
      <c r="BC91" s="13">
        <f t="shared" ca="1" si="114"/>
        <v>0</v>
      </c>
      <c r="BD91" s="13">
        <f t="shared" ca="1" si="115"/>
        <v>0</v>
      </c>
      <c r="BE91" s="13">
        <f t="shared" ca="1" si="116"/>
        <v>1400</v>
      </c>
      <c r="BF91" s="13">
        <f t="shared" ca="1" si="117"/>
        <v>0</v>
      </c>
      <c r="BG91" s="13">
        <f t="shared" ca="1" si="118"/>
        <v>0</v>
      </c>
      <c r="BH91" s="13">
        <f t="shared" ca="1" si="119"/>
        <v>0</v>
      </c>
      <c r="BI91" s="13">
        <f t="shared" ca="1" si="120"/>
        <v>0</v>
      </c>
      <c r="BJ91" s="13">
        <f t="shared" ca="1" si="121"/>
        <v>1400</v>
      </c>
      <c r="BK91" s="13">
        <f t="shared" ca="1" si="122"/>
        <v>0</v>
      </c>
      <c r="BL91" s="13">
        <f t="shared" ca="1" si="123"/>
        <v>0</v>
      </c>
      <c r="BM91" s="13">
        <f t="shared" ca="1" si="124"/>
        <v>0</v>
      </c>
      <c r="BN91" s="13">
        <f t="shared" ca="1" si="125"/>
        <v>0</v>
      </c>
      <c r="BO91" s="13">
        <f t="shared" ca="1" si="126"/>
        <v>0</v>
      </c>
      <c r="BP91" s="13">
        <f t="shared" ca="1" si="127"/>
        <v>0</v>
      </c>
      <c r="BQ91" s="13">
        <f t="shared" ca="1" si="128"/>
        <v>0</v>
      </c>
    </row>
    <row r="92" spans="1:69" x14ac:dyDescent="0.25">
      <c r="A92" s="1">
        <v>91</v>
      </c>
      <c r="B92" s="13">
        <f ca="1">IF(A92=1,IF(OR('My Loans'!$N$14="",'My Loans'!$N$14=0),0,INDIRECT("'My Loans'!$D"&amp;'My Loans'!$N$14)),AE91)</f>
        <v>0</v>
      </c>
      <c r="C92" s="13">
        <f ca="1">IF(OR('My Loans'!$N$14="",'My Loans'!$N$14=0),0,B92*INDIRECT("'My Loans'!$E"&amp;'My Loans'!$N$14)/12)</f>
        <v>0</v>
      </c>
      <c r="D92" s="13">
        <f ca="1">IF(OR('My Loans'!$N$14="",'My Loans'!$N$14=0),0,IF(B92&lt;0.005,0,MIN(INDIRECT("'My Loans'!$F"&amp;'My Loans'!$N$14),B92+C92)))</f>
        <v>0</v>
      </c>
      <c r="E92" s="13">
        <f ca="1">IF(A92=1,IF(OR('My Loans'!$N$15="",'My Loans'!$N$15=0),0,INDIRECT("'My Loans'!$D"&amp;'My Loans'!$N$15)),AJ91)</f>
        <v>0</v>
      </c>
      <c r="F92" s="13">
        <f ca="1">IF(OR('My Loans'!$N$15="",'My Loans'!$N$15=0),0,E92*INDIRECT("'My Loans'!$E"&amp;'My Loans'!$N$15)/12)</f>
        <v>0</v>
      </c>
      <c r="G92" s="13">
        <f ca="1">IF(OR('My Loans'!$N$15="",'My Loans'!$N$15=0),0,IF(E92&lt;0.005,0,MIN(INDIRECT("'My Loans'!$F"&amp;'My Loans'!$N$15),E92+F92)))</f>
        <v>0</v>
      </c>
      <c r="H92" s="13">
        <f ca="1">IF(A92=1,IF(OR('My Loans'!$N$16="",'My Loans'!$N$16=0),0,INDIRECT("'My Loans'!$D"&amp;'My Loans'!$N$16)),AO91)</f>
        <v>0</v>
      </c>
      <c r="I92" s="13">
        <f ca="1">IF(OR('My Loans'!$N$16="",'My Loans'!$N$16=0),0,H92*INDIRECT("'My Loans'!$E"&amp;'My Loans'!$N$16)/12)</f>
        <v>0</v>
      </c>
      <c r="J92" s="13">
        <f ca="1">IF(OR('My Loans'!$N$16="",'My Loans'!$N$16=0),0,IF(H92&lt;0.005,0,MIN(INDIRECT("'My Loans'!$F"&amp;'My Loans'!$N$16),H92+I92)))</f>
        <v>0</v>
      </c>
      <c r="K92" s="13">
        <f ca="1">IF(A92=1,IF(OR('My Loans'!$N$17="",'My Loans'!$N$17=0),0,INDIRECT("'My Loans'!$D"&amp;'My Loans'!$N$17)),AT91)</f>
        <v>0</v>
      </c>
      <c r="L92" s="13">
        <f ca="1">IF(OR('My Loans'!$N$17="",'My Loans'!$N$17=0),0,K92*INDIRECT("'My Loans'!$E"&amp;'My Loans'!$N$17)/12)</f>
        <v>0</v>
      </c>
      <c r="M92" s="13">
        <f ca="1">IF(OR('My Loans'!$N$17="",'My Loans'!$N$17=0),0,IF(K92&lt;0.005,0,MIN(INDIRECT("'My Loans'!$F"&amp;'My Loans'!$N$17),K92+L92)))</f>
        <v>0</v>
      </c>
      <c r="N92" s="13">
        <f ca="1">IF(A92=1,IF(OR('My Loans'!$N$18="",'My Loans'!$N$18=0),0,INDIRECT("'My Loans'!$D"&amp;'My Loans'!$N$18)),AY91)</f>
        <v>0</v>
      </c>
      <c r="O92" s="13">
        <f ca="1">IF(OR('My Loans'!$N$18="",'My Loans'!$N$18=0),0,N92*INDIRECT("'My Loans'!$E"&amp;'My Loans'!$N$18)/12)</f>
        <v>0</v>
      </c>
      <c r="P92" s="13">
        <f ca="1">IF(OR('My Loans'!$N$18="",'My Loans'!$N$18=0),0,IF(N92&lt;0.005,0,MIN(INDIRECT("'My Loans'!$F"&amp;'My Loans'!$N$18),N92+O92)))</f>
        <v>0</v>
      </c>
      <c r="Q92" s="13">
        <f ca="1">IF(A92=1,IF(OR('My Loans'!$N$19="",'My Loans'!$N$19=0),0,INDIRECT("'My Loans'!$D"&amp;'My Loans'!$N$19)),BD91)</f>
        <v>0</v>
      </c>
      <c r="R92" s="13">
        <f ca="1">IF(OR('My Loans'!$N$19="",'My Loans'!$N$19=0),0,Q92*INDIRECT("'My Loans'!$E"&amp;'My Loans'!$N$19)/12)</f>
        <v>0</v>
      </c>
      <c r="S92" s="13">
        <f ca="1">IF(OR('My Loans'!$N$19="",'My Loans'!$N$19=0),0,IF(Q92&lt;0.005,0,MIN(INDIRECT("'My Loans'!$F"&amp;'My Loans'!$N$19),Q92+R92)))</f>
        <v>0</v>
      </c>
      <c r="T92" s="13">
        <f ca="1">IF(A92=1,IF(OR('My Loans'!$N$20="",'My Loans'!$N$20=0),0,INDIRECT("'My Loans'!$D"&amp;'My Loans'!$N$20)),BI91)</f>
        <v>0</v>
      </c>
      <c r="U92" s="13">
        <f ca="1">IF(OR('My Loans'!$N$20="",'My Loans'!$N$20=0),0,T92*INDIRECT("'My Loans'!$E"&amp;'My Loans'!$N$20)/12)</f>
        <v>0</v>
      </c>
      <c r="V92" s="13">
        <f ca="1">IF(OR('My Loans'!$N$20="",'My Loans'!$N$20=0),0,IF(T92&lt;0.005,0,MIN(INDIRECT("'My Loans'!$F"&amp;'My Loans'!$N$20),T92+U92)))</f>
        <v>0</v>
      </c>
      <c r="W92" s="13">
        <f ca="1">IF(A92=1,IF(OR('My Loans'!$N$21="",'My Loans'!$N$21=0),0,INDIRECT("'My Loans'!$D"&amp;'My Loans'!$N$21)),BN91)</f>
        <v>0</v>
      </c>
      <c r="X92" s="13">
        <f ca="1">IF(OR('My Loans'!$N$21="",'My Loans'!$N$21=0),0,W92*INDIRECT("'My Loans'!$E"&amp;'My Loans'!$N$21)/12)</f>
        <v>0</v>
      </c>
      <c r="Y92" s="13">
        <f ca="1">IF(OR('My Loans'!$N$21="",'My Loans'!$N$21=0),0,IF(W92&lt;0.005,0,MIN(INDIRECT("'My Loans'!$F"&amp;'My Loans'!$N$21),W92+X92)))</f>
        <v>0</v>
      </c>
      <c r="Z92" s="13">
        <f ca="1">'My Loans'!$B$13-(D92+G92+J92+M92+P92+S92+V92+Y92)</f>
        <v>1400</v>
      </c>
      <c r="AA92" s="13">
        <f t="shared" ca="1" si="86"/>
        <v>1400</v>
      </c>
      <c r="AB92" s="13">
        <f t="shared" ca="1" si="87"/>
        <v>0</v>
      </c>
      <c r="AC92" s="13">
        <f t="shared" ca="1" si="88"/>
        <v>0</v>
      </c>
      <c r="AD92" s="13">
        <f t="shared" ca="1" si="89"/>
        <v>0</v>
      </c>
      <c r="AE92" s="13">
        <f t="shared" ca="1" si="90"/>
        <v>0</v>
      </c>
      <c r="AF92" s="13">
        <f t="shared" ca="1" si="91"/>
        <v>1400</v>
      </c>
      <c r="AG92" s="13">
        <f t="shared" ca="1" si="92"/>
        <v>0</v>
      </c>
      <c r="AH92" s="13">
        <f t="shared" ca="1" si="93"/>
        <v>0</v>
      </c>
      <c r="AI92" s="13">
        <f t="shared" ca="1" si="94"/>
        <v>0</v>
      </c>
      <c r="AJ92" s="13">
        <f t="shared" ca="1" si="95"/>
        <v>0</v>
      </c>
      <c r="AK92" s="13">
        <f t="shared" ca="1" si="96"/>
        <v>1400</v>
      </c>
      <c r="AL92" s="13">
        <f t="shared" ca="1" si="97"/>
        <v>0</v>
      </c>
      <c r="AM92" s="13">
        <f t="shared" ca="1" si="98"/>
        <v>0</v>
      </c>
      <c r="AN92" s="13">
        <f t="shared" ca="1" si="99"/>
        <v>0</v>
      </c>
      <c r="AO92" s="13">
        <f t="shared" ca="1" si="100"/>
        <v>0</v>
      </c>
      <c r="AP92" s="13">
        <f t="shared" ca="1" si="101"/>
        <v>1400</v>
      </c>
      <c r="AQ92" s="13">
        <f t="shared" ca="1" si="102"/>
        <v>0</v>
      </c>
      <c r="AR92" s="13">
        <f t="shared" ca="1" si="103"/>
        <v>0</v>
      </c>
      <c r="AS92" s="13">
        <f t="shared" ca="1" si="104"/>
        <v>0</v>
      </c>
      <c r="AT92" s="13">
        <f t="shared" ca="1" si="105"/>
        <v>0</v>
      </c>
      <c r="AU92" s="13">
        <f t="shared" ca="1" si="106"/>
        <v>1400</v>
      </c>
      <c r="AV92" s="13">
        <f t="shared" ca="1" si="107"/>
        <v>0</v>
      </c>
      <c r="AW92" s="13">
        <f t="shared" ca="1" si="108"/>
        <v>0</v>
      </c>
      <c r="AX92" s="13">
        <f t="shared" ca="1" si="109"/>
        <v>0</v>
      </c>
      <c r="AY92" s="13">
        <f t="shared" ca="1" si="110"/>
        <v>0</v>
      </c>
      <c r="AZ92" s="13">
        <f t="shared" ca="1" si="111"/>
        <v>1400</v>
      </c>
      <c r="BA92" s="13">
        <f t="shared" ca="1" si="112"/>
        <v>0</v>
      </c>
      <c r="BB92" s="13">
        <f t="shared" ca="1" si="113"/>
        <v>0</v>
      </c>
      <c r="BC92" s="13">
        <f t="shared" ca="1" si="114"/>
        <v>0</v>
      </c>
      <c r="BD92" s="13">
        <f t="shared" ca="1" si="115"/>
        <v>0</v>
      </c>
      <c r="BE92" s="13">
        <f t="shared" ca="1" si="116"/>
        <v>1400</v>
      </c>
      <c r="BF92" s="13">
        <f t="shared" ca="1" si="117"/>
        <v>0</v>
      </c>
      <c r="BG92" s="13">
        <f t="shared" ca="1" si="118"/>
        <v>0</v>
      </c>
      <c r="BH92" s="13">
        <f t="shared" ca="1" si="119"/>
        <v>0</v>
      </c>
      <c r="BI92" s="13">
        <f t="shared" ca="1" si="120"/>
        <v>0</v>
      </c>
      <c r="BJ92" s="13">
        <f t="shared" ca="1" si="121"/>
        <v>1400</v>
      </c>
      <c r="BK92" s="13">
        <f t="shared" ca="1" si="122"/>
        <v>0</v>
      </c>
      <c r="BL92" s="13">
        <f t="shared" ca="1" si="123"/>
        <v>0</v>
      </c>
      <c r="BM92" s="13">
        <f t="shared" ca="1" si="124"/>
        <v>0</v>
      </c>
      <c r="BN92" s="13">
        <f t="shared" ca="1" si="125"/>
        <v>0</v>
      </c>
      <c r="BO92" s="13">
        <f t="shared" ca="1" si="126"/>
        <v>0</v>
      </c>
      <c r="BP92" s="13">
        <f t="shared" ca="1" si="127"/>
        <v>0</v>
      </c>
      <c r="BQ92" s="13">
        <f t="shared" ca="1" si="128"/>
        <v>0</v>
      </c>
    </row>
    <row r="93" spans="1:69" x14ac:dyDescent="0.25">
      <c r="A93" s="1">
        <v>92</v>
      </c>
      <c r="B93" s="13">
        <f ca="1">IF(A93=1,IF(OR('My Loans'!$N$14="",'My Loans'!$N$14=0),0,INDIRECT("'My Loans'!$D"&amp;'My Loans'!$N$14)),AE92)</f>
        <v>0</v>
      </c>
      <c r="C93" s="13">
        <f ca="1">IF(OR('My Loans'!$N$14="",'My Loans'!$N$14=0),0,B93*INDIRECT("'My Loans'!$E"&amp;'My Loans'!$N$14)/12)</f>
        <v>0</v>
      </c>
      <c r="D93" s="13">
        <f ca="1">IF(OR('My Loans'!$N$14="",'My Loans'!$N$14=0),0,IF(B93&lt;0.005,0,MIN(INDIRECT("'My Loans'!$F"&amp;'My Loans'!$N$14),B93+C93)))</f>
        <v>0</v>
      </c>
      <c r="E93" s="13">
        <f ca="1">IF(A93=1,IF(OR('My Loans'!$N$15="",'My Loans'!$N$15=0),0,INDIRECT("'My Loans'!$D"&amp;'My Loans'!$N$15)),AJ92)</f>
        <v>0</v>
      </c>
      <c r="F93" s="13">
        <f ca="1">IF(OR('My Loans'!$N$15="",'My Loans'!$N$15=0),0,E93*INDIRECT("'My Loans'!$E"&amp;'My Loans'!$N$15)/12)</f>
        <v>0</v>
      </c>
      <c r="G93" s="13">
        <f ca="1">IF(OR('My Loans'!$N$15="",'My Loans'!$N$15=0),0,IF(E93&lt;0.005,0,MIN(INDIRECT("'My Loans'!$F"&amp;'My Loans'!$N$15),E93+F93)))</f>
        <v>0</v>
      </c>
      <c r="H93" s="13">
        <f ca="1">IF(A93=1,IF(OR('My Loans'!$N$16="",'My Loans'!$N$16=0),0,INDIRECT("'My Loans'!$D"&amp;'My Loans'!$N$16)),AO92)</f>
        <v>0</v>
      </c>
      <c r="I93" s="13">
        <f ca="1">IF(OR('My Loans'!$N$16="",'My Loans'!$N$16=0),0,H93*INDIRECT("'My Loans'!$E"&amp;'My Loans'!$N$16)/12)</f>
        <v>0</v>
      </c>
      <c r="J93" s="13">
        <f ca="1">IF(OR('My Loans'!$N$16="",'My Loans'!$N$16=0),0,IF(H93&lt;0.005,0,MIN(INDIRECT("'My Loans'!$F"&amp;'My Loans'!$N$16),H93+I93)))</f>
        <v>0</v>
      </c>
      <c r="K93" s="13">
        <f ca="1">IF(A93=1,IF(OR('My Loans'!$N$17="",'My Loans'!$N$17=0),0,INDIRECT("'My Loans'!$D"&amp;'My Loans'!$N$17)),AT92)</f>
        <v>0</v>
      </c>
      <c r="L93" s="13">
        <f ca="1">IF(OR('My Loans'!$N$17="",'My Loans'!$N$17=0),0,K93*INDIRECT("'My Loans'!$E"&amp;'My Loans'!$N$17)/12)</f>
        <v>0</v>
      </c>
      <c r="M93" s="13">
        <f ca="1">IF(OR('My Loans'!$N$17="",'My Loans'!$N$17=0),0,IF(K93&lt;0.005,0,MIN(INDIRECT("'My Loans'!$F"&amp;'My Loans'!$N$17),K93+L93)))</f>
        <v>0</v>
      </c>
      <c r="N93" s="13">
        <f ca="1">IF(A93=1,IF(OR('My Loans'!$N$18="",'My Loans'!$N$18=0),0,INDIRECT("'My Loans'!$D"&amp;'My Loans'!$N$18)),AY92)</f>
        <v>0</v>
      </c>
      <c r="O93" s="13">
        <f ca="1">IF(OR('My Loans'!$N$18="",'My Loans'!$N$18=0),0,N93*INDIRECT("'My Loans'!$E"&amp;'My Loans'!$N$18)/12)</f>
        <v>0</v>
      </c>
      <c r="P93" s="13">
        <f ca="1">IF(OR('My Loans'!$N$18="",'My Loans'!$N$18=0),0,IF(N93&lt;0.005,0,MIN(INDIRECT("'My Loans'!$F"&amp;'My Loans'!$N$18),N93+O93)))</f>
        <v>0</v>
      </c>
      <c r="Q93" s="13">
        <f ca="1">IF(A93=1,IF(OR('My Loans'!$N$19="",'My Loans'!$N$19=0),0,INDIRECT("'My Loans'!$D"&amp;'My Loans'!$N$19)),BD92)</f>
        <v>0</v>
      </c>
      <c r="R93" s="13">
        <f ca="1">IF(OR('My Loans'!$N$19="",'My Loans'!$N$19=0),0,Q93*INDIRECT("'My Loans'!$E"&amp;'My Loans'!$N$19)/12)</f>
        <v>0</v>
      </c>
      <c r="S93" s="13">
        <f ca="1">IF(OR('My Loans'!$N$19="",'My Loans'!$N$19=0),0,IF(Q93&lt;0.005,0,MIN(INDIRECT("'My Loans'!$F"&amp;'My Loans'!$N$19),Q93+R93)))</f>
        <v>0</v>
      </c>
      <c r="T93" s="13">
        <f ca="1">IF(A93=1,IF(OR('My Loans'!$N$20="",'My Loans'!$N$20=0),0,INDIRECT("'My Loans'!$D"&amp;'My Loans'!$N$20)),BI92)</f>
        <v>0</v>
      </c>
      <c r="U93" s="13">
        <f ca="1">IF(OR('My Loans'!$N$20="",'My Loans'!$N$20=0),0,T93*INDIRECT("'My Loans'!$E"&amp;'My Loans'!$N$20)/12)</f>
        <v>0</v>
      </c>
      <c r="V93" s="13">
        <f ca="1">IF(OR('My Loans'!$N$20="",'My Loans'!$N$20=0),0,IF(T93&lt;0.005,0,MIN(INDIRECT("'My Loans'!$F"&amp;'My Loans'!$N$20),T93+U93)))</f>
        <v>0</v>
      </c>
      <c r="W93" s="13">
        <f ca="1">IF(A93=1,IF(OR('My Loans'!$N$21="",'My Loans'!$N$21=0),0,INDIRECT("'My Loans'!$D"&amp;'My Loans'!$N$21)),BN92)</f>
        <v>0</v>
      </c>
      <c r="X93" s="13">
        <f ca="1">IF(OR('My Loans'!$N$21="",'My Loans'!$N$21=0),0,W93*INDIRECT("'My Loans'!$E"&amp;'My Loans'!$N$21)/12)</f>
        <v>0</v>
      </c>
      <c r="Y93" s="13">
        <f ca="1">IF(OR('My Loans'!$N$21="",'My Loans'!$N$21=0),0,IF(W93&lt;0.005,0,MIN(INDIRECT("'My Loans'!$F"&amp;'My Loans'!$N$21),W93+X93)))</f>
        <v>0</v>
      </c>
      <c r="Z93" s="13">
        <f ca="1">'My Loans'!$B$13-(D93+G93+J93+M93+P93+S93+V93+Y93)</f>
        <v>1400</v>
      </c>
      <c r="AA93" s="13">
        <f t="shared" ca="1" si="86"/>
        <v>1400</v>
      </c>
      <c r="AB93" s="13">
        <f t="shared" ca="1" si="87"/>
        <v>0</v>
      </c>
      <c r="AC93" s="13">
        <f t="shared" ca="1" si="88"/>
        <v>0</v>
      </c>
      <c r="AD93" s="13">
        <f t="shared" ca="1" si="89"/>
        <v>0</v>
      </c>
      <c r="AE93" s="13">
        <f t="shared" ca="1" si="90"/>
        <v>0</v>
      </c>
      <c r="AF93" s="13">
        <f t="shared" ca="1" si="91"/>
        <v>1400</v>
      </c>
      <c r="AG93" s="13">
        <f t="shared" ca="1" si="92"/>
        <v>0</v>
      </c>
      <c r="AH93" s="13">
        <f t="shared" ca="1" si="93"/>
        <v>0</v>
      </c>
      <c r="AI93" s="13">
        <f t="shared" ca="1" si="94"/>
        <v>0</v>
      </c>
      <c r="AJ93" s="13">
        <f t="shared" ca="1" si="95"/>
        <v>0</v>
      </c>
      <c r="AK93" s="13">
        <f t="shared" ca="1" si="96"/>
        <v>1400</v>
      </c>
      <c r="AL93" s="13">
        <f t="shared" ca="1" si="97"/>
        <v>0</v>
      </c>
      <c r="AM93" s="13">
        <f t="shared" ca="1" si="98"/>
        <v>0</v>
      </c>
      <c r="AN93" s="13">
        <f t="shared" ca="1" si="99"/>
        <v>0</v>
      </c>
      <c r="AO93" s="13">
        <f t="shared" ca="1" si="100"/>
        <v>0</v>
      </c>
      <c r="AP93" s="13">
        <f t="shared" ca="1" si="101"/>
        <v>1400</v>
      </c>
      <c r="AQ93" s="13">
        <f t="shared" ca="1" si="102"/>
        <v>0</v>
      </c>
      <c r="AR93" s="13">
        <f t="shared" ca="1" si="103"/>
        <v>0</v>
      </c>
      <c r="AS93" s="13">
        <f t="shared" ca="1" si="104"/>
        <v>0</v>
      </c>
      <c r="AT93" s="13">
        <f t="shared" ca="1" si="105"/>
        <v>0</v>
      </c>
      <c r="AU93" s="13">
        <f t="shared" ca="1" si="106"/>
        <v>1400</v>
      </c>
      <c r="AV93" s="13">
        <f t="shared" ca="1" si="107"/>
        <v>0</v>
      </c>
      <c r="AW93" s="13">
        <f t="shared" ca="1" si="108"/>
        <v>0</v>
      </c>
      <c r="AX93" s="13">
        <f t="shared" ca="1" si="109"/>
        <v>0</v>
      </c>
      <c r="AY93" s="13">
        <f t="shared" ca="1" si="110"/>
        <v>0</v>
      </c>
      <c r="AZ93" s="13">
        <f t="shared" ca="1" si="111"/>
        <v>1400</v>
      </c>
      <c r="BA93" s="13">
        <f t="shared" ca="1" si="112"/>
        <v>0</v>
      </c>
      <c r="BB93" s="13">
        <f t="shared" ca="1" si="113"/>
        <v>0</v>
      </c>
      <c r="BC93" s="13">
        <f t="shared" ca="1" si="114"/>
        <v>0</v>
      </c>
      <c r="BD93" s="13">
        <f t="shared" ca="1" si="115"/>
        <v>0</v>
      </c>
      <c r="BE93" s="13">
        <f t="shared" ca="1" si="116"/>
        <v>1400</v>
      </c>
      <c r="BF93" s="13">
        <f t="shared" ca="1" si="117"/>
        <v>0</v>
      </c>
      <c r="BG93" s="13">
        <f t="shared" ca="1" si="118"/>
        <v>0</v>
      </c>
      <c r="BH93" s="13">
        <f t="shared" ca="1" si="119"/>
        <v>0</v>
      </c>
      <c r="BI93" s="13">
        <f t="shared" ca="1" si="120"/>
        <v>0</v>
      </c>
      <c r="BJ93" s="13">
        <f t="shared" ca="1" si="121"/>
        <v>1400</v>
      </c>
      <c r="BK93" s="13">
        <f t="shared" ca="1" si="122"/>
        <v>0</v>
      </c>
      <c r="BL93" s="13">
        <f t="shared" ca="1" si="123"/>
        <v>0</v>
      </c>
      <c r="BM93" s="13">
        <f t="shared" ca="1" si="124"/>
        <v>0</v>
      </c>
      <c r="BN93" s="13">
        <f t="shared" ca="1" si="125"/>
        <v>0</v>
      </c>
      <c r="BO93" s="13">
        <f t="shared" ca="1" si="126"/>
        <v>0</v>
      </c>
      <c r="BP93" s="13">
        <f t="shared" ca="1" si="127"/>
        <v>0</v>
      </c>
      <c r="BQ93" s="13">
        <f t="shared" ca="1" si="128"/>
        <v>0</v>
      </c>
    </row>
    <row r="94" spans="1:69" x14ac:dyDescent="0.25">
      <c r="A94" s="1">
        <v>93</v>
      </c>
      <c r="B94" s="13">
        <f ca="1">IF(A94=1,IF(OR('My Loans'!$N$14="",'My Loans'!$N$14=0),0,INDIRECT("'My Loans'!$D"&amp;'My Loans'!$N$14)),AE93)</f>
        <v>0</v>
      </c>
      <c r="C94" s="13">
        <f ca="1">IF(OR('My Loans'!$N$14="",'My Loans'!$N$14=0),0,B94*INDIRECT("'My Loans'!$E"&amp;'My Loans'!$N$14)/12)</f>
        <v>0</v>
      </c>
      <c r="D94" s="13">
        <f ca="1">IF(OR('My Loans'!$N$14="",'My Loans'!$N$14=0),0,IF(B94&lt;0.005,0,MIN(INDIRECT("'My Loans'!$F"&amp;'My Loans'!$N$14),B94+C94)))</f>
        <v>0</v>
      </c>
      <c r="E94" s="13">
        <f ca="1">IF(A94=1,IF(OR('My Loans'!$N$15="",'My Loans'!$N$15=0),0,INDIRECT("'My Loans'!$D"&amp;'My Loans'!$N$15)),AJ93)</f>
        <v>0</v>
      </c>
      <c r="F94" s="13">
        <f ca="1">IF(OR('My Loans'!$N$15="",'My Loans'!$N$15=0),0,E94*INDIRECT("'My Loans'!$E"&amp;'My Loans'!$N$15)/12)</f>
        <v>0</v>
      </c>
      <c r="G94" s="13">
        <f ca="1">IF(OR('My Loans'!$N$15="",'My Loans'!$N$15=0),0,IF(E94&lt;0.005,0,MIN(INDIRECT("'My Loans'!$F"&amp;'My Loans'!$N$15),E94+F94)))</f>
        <v>0</v>
      </c>
      <c r="H94" s="13">
        <f ca="1">IF(A94=1,IF(OR('My Loans'!$N$16="",'My Loans'!$N$16=0),0,INDIRECT("'My Loans'!$D"&amp;'My Loans'!$N$16)),AO93)</f>
        <v>0</v>
      </c>
      <c r="I94" s="13">
        <f ca="1">IF(OR('My Loans'!$N$16="",'My Loans'!$N$16=0),0,H94*INDIRECT("'My Loans'!$E"&amp;'My Loans'!$N$16)/12)</f>
        <v>0</v>
      </c>
      <c r="J94" s="13">
        <f ca="1">IF(OR('My Loans'!$N$16="",'My Loans'!$N$16=0),0,IF(H94&lt;0.005,0,MIN(INDIRECT("'My Loans'!$F"&amp;'My Loans'!$N$16),H94+I94)))</f>
        <v>0</v>
      </c>
      <c r="K94" s="13">
        <f ca="1">IF(A94=1,IF(OR('My Loans'!$N$17="",'My Loans'!$N$17=0),0,INDIRECT("'My Loans'!$D"&amp;'My Loans'!$N$17)),AT93)</f>
        <v>0</v>
      </c>
      <c r="L94" s="13">
        <f ca="1">IF(OR('My Loans'!$N$17="",'My Loans'!$N$17=0),0,K94*INDIRECT("'My Loans'!$E"&amp;'My Loans'!$N$17)/12)</f>
        <v>0</v>
      </c>
      <c r="M94" s="13">
        <f ca="1">IF(OR('My Loans'!$N$17="",'My Loans'!$N$17=0),0,IF(K94&lt;0.005,0,MIN(INDIRECT("'My Loans'!$F"&amp;'My Loans'!$N$17),K94+L94)))</f>
        <v>0</v>
      </c>
      <c r="N94" s="13">
        <f ca="1">IF(A94=1,IF(OR('My Loans'!$N$18="",'My Loans'!$N$18=0),0,INDIRECT("'My Loans'!$D"&amp;'My Loans'!$N$18)),AY93)</f>
        <v>0</v>
      </c>
      <c r="O94" s="13">
        <f ca="1">IF(OR('My Loans'!$N$18="",'My Loans'!$N$18=0),0,N94*INDIRECT("'My Loans'!$E"&amp;'My Loans'!$N$18)/12)</f>
        <v>0</v>
      </c>
      <c r="P94" s="13">
        <f ca="1">IF(OR('My Loans'!$N$18="",'My Loans'!$N$18=0),0,IF(N94&lt;0.005,0,MIN(INDIRECT("'My Loans'!$F"&amp;'My Loans'!$N$18),N94+O94)))</f>
        <v>0</v>
      </c>
      <c r="Q94" s="13">
        <f ca="1">IF(A94=1,IF(OR('My Loans'!$N$19="",'My Loans'!$N$19=0),0,INDIRECT("'My Loans'!$D"&amp;'My Loans'!$N$19)),BD93)</f>
        <v>0</v>
      </c>
      <c r="R94" s="13">
        <f ca="1">IF(OR('My Loans'!$N$19="",'My Loans'!$N$19=0),0,Q94*INDIRECT("'My Loans'!$E"&amp;'My Loans'!$N$19)/12)</f>
        <v>0</v>
      </c>
      <c r="S94" s="13">
        <f ca="1">IF(OR('My Loans'!$N$19="",'My Loans'!$N$19=0),0,IF(Q94&lt;0.005,0,MIN(INDIRECT("'My Loans'!$F"&amp;'My Loans'!$N$19),Q94+R94)))</f>
        <v>0</v>
      </c>
      <c r="T94" s="13">
        <f ca="1">IF(A94=1,IF(OR('My Loans'!$N$20="",'My Loans'!$N$20=0),0,INDIRECT("'My Loans'!$D"&amp;'My Loans'!$N$20)),BI93)</f>
        <v>0</v>
      </c>
      <c r="U94" s="13">
        <f ca="1">IF(OR('My Loans'!$N$20="",'My Loans'!$N$20=0),0,T94*INDIRECT("'My Loans'!$E"&amp;'My Loans'!$N$20)/12)</f>
        <v>0</v>
      </c>
      <c r="V94" s="13">
        <f ca="1">IF(OR('My Loans'!$N$20="",'My Loans'!$N$20=0),0,IF(T94&lt;0.005,0,MIN(INDIRECT("'My Loans'!$F"&amp;'My Loans'!$N$20),T94+U94)))</f>
        <v>0</v>
      </c>
      <c r="W94" s="13">
        <f ca="1">IF(A94=1,IF(OR('My Loans'!$N$21="",'My Loans'!$N$21=0),0,INDIRECT("'My Loans'!$D"&amp;'My Loans'!$N$21)),BN93)</f>
        <v>0</v>
      </c>
      <c r="X94" s="13">
        <f ca="1">IF(OR('My Loans'!$N$21="",'My Loans'!$N$21=0),0,W94*INDIRECT("'My Loans'!$E"&amp;'My Loans'!$N$21)/12)</f>
        <v>0</v>
      </c>
      <c r="Y94" s="13">
        <f ca="1">IF(OR('My Loans'!$N$21="",'My Loans'!$N$21=0),0,IF(W94&lt;0.005,0,MIN(INDIRECT("'My Loans'!$F"&amp;'My Loans'!$N$21),W94+X94)))</f>
        <v>0</v>
      </c>
      <c r="Z94" s="13">
        <f ca="1">'My Loans'!$B$13-(D94+G94+J94+M94+P94+S94+V94+Y94)</f>
        <v>1400</v>
      </c>
      <c r="AA94" s="13">
        <f t="shared" ca="1" si="86"/>
        <v>1400</v>
      </c>
      <c r="AB94" s="13">
        <f t="shared" ca="1" si="87"/>
        <v>0</v>
      </c>
      <c r="AC94" s="13">
        <f t="shared" ca="1" si="88"/>
        <v>0</v>
      </c>
      <c r="AD94" s="13">
        <f t="shared" ca="1" si="89"/>
        <v>0</v>
      </c>
      <c r="AE94" s="13">
        <f t="shared" ca="1" si="90"/>
        <v>0</v>
      </c>
      <c r="AF94" s="13">
        <f t="shared" ca="1" si="91"/>
        <v>1400</v>
      </c>
      <c r="AG94" s="13">
        <f t="shared" ca="1" si="92"/>
        <v>0</v>
      </c>
      <c r="AH94" s="13">
        <f t="shared" ca="1" si="93"/>
        <v>0</v>
      </c>
      <c r="AI94" s="13">
        <f t="shared" ca="1" si="94"/>
        <v>0</v>
      </c>
      <c r="AJ94" s="13">
        <f t="shared" ca="1" si="95"/>
        <v>0</v>
      </c>
      <c r="AK94" s="13">
        <f t="shared" ca="1" si="96"/>
        <v>1400</v>
      </c>
      <c r="AL94" s="13">
        <f t="shared" ca="1" si="97"/>
        <v>0</v>
      </c>
      <c r="AM94" s="13">
        <f t="shared" ca="1" si="98"/>
        <v>0</v>
      </c>
      <c r="AN94" s="13">
        <f t="shared" ca="1" si="99"/>
        <v>0</v>
      </c>
      <c r="AO94" s="13">
        <f t="shared" ca="1" si="100"/>
        <v>0</v>
      </c>
      <c r="AP94" s="13">
        <f t="shared" ca="1" si="101"/>
        <v>1400</v>
      </c>
      <c r="AQ94" s="13">
        <f t="shared" ca="1" si="102"/>
        <v>0</v>
      </c>
      <c r="AR94" s="13">
        <f t="shared" ca="1" si="103"/>
        <v>0</v>
      </c>
      <c r="AS94" s="13">
        <f t="shared" ca="1" si="104"/>
        <v>0</v>
      </c>
      <c r="AT94" s="13">
        <f t="shared" ca="1" si="105"/>
        <v>0</v>
      </c>
      <c r="AU94" s="13">
        <f t="shared" ca="1" si="106"/>
        <v>1400</v>
      </c>
      <c r="AV94" s="13">
        <f t="shared" ca="1" si="107"/>
        <v>0</v>
      </c>
      <c r="AW94" s="13">
        <f t="shared" ca="1" si="108"/>
        <v>0</v>
      </c>
      <c r="AX94" s="13">
        <f t="shared" ca="1" si="109"/>
        <v>0</v>
      </c>
      <c r="AY94" s="13">
        <f t="shared" ca="1" si="110"/>
        <v>0</v>
      </c>
      <c r="AZ94" s="13">
        <f t="shared" ca="1" si="111"/>
        <v>1400</v>
      </c>
      <c r="BA94" s="13">
        <f t="shared" ca="1" si="112"/>
        <v>0</v>
      </c>
      <c r="BB94" s="13">
        <f t="shared" ca="1" si="113"/>
        <v>0</v>
      </c>
      <c r="BC94" s="13">
        <f t="shared" ca="1" si="114"/>
        <v>0</v>
      </c>
      <c r="BD94" s="13">
        <f t="shared" ca="1" si="115"/>
        <v>0</v>
      </c>
      <c r="BE94" s="13">
        <f t="shared" ca="1" si="116"/>
        <v>1400</v>
      </c>
      <c r="BF94" s="13">
        <f t="shared" ca="1" si="117"/>
        <v>0</v>
      </c>
      <c r="BG94" s="13">
        <f t="shared" ca="1" si="118"/>
        <v>0</v>
      </c>
      <c r="BH94" s="13">
        <f t="shared" ca="1" si="119"/>
        <v>0</v>
      </c>
      <c r="BI94" s="13">
        <f t="shared" ca="1" si="120"/>
        <v>0</v>
      </c>
      <c r="BJ94" s="13">
        <f t="shared" ca="1" si="121"/>
        <v>1400</v>
      </c>
      <c r="BK94" s="13">
        <f t="shared" ca="1" si="122"/>
        <v>0</v>
      </c>
      <c r="BL94" s="13">
        <f t="shared" ca="1" si="123"/>
        <v>0</v>
      </c>
      <c r="BM94" s="13">
        <f t="shared" ca="1" si="124"/>
        <v>0</v>
      </c>
      <c r="BN94" s="13">
        <f t="shared" ca="1" si="125"/>
        <v>0</v>
      </c>
      <c r="BO94" s="13">
        <f t="shared" ca="1" si="126"/>
        <v>0</v>
      </c>
      <c r="BP94" s="13">
        <f t="shared" ca="1" si="127"/>
        <v>0</v>
      </c>
      <c r="BQ94" s="13">
        <f t="shared" ca="1" si="128"/>
        <v>0</v>
      </c>
    </row>
    <row r="95" spans="1:69" x14ac:dyDescent="0.25">
      <c r="A95" s="1">
        <v>94</v>
      </c>
      <c r="B95" s="13">
        <f ca="1">IF(A95=1,IF(OR('My Loans'!$N$14="",'My Loans'!$N$14=0),0,INDIRECT("'My Loans'!$D"&amp;'My Loans'!$N$14)),AE94)</f>
        <v>0</v>
      </c>
      <c r="C95" s="13">
        <f ca="1">IF(OR('My Loans'!$N$14="",'My Loans'!$N$14=0),0,B95*INDIRECT("'My Loans'!$E"&amp;'My Loans'!$N$14)/12)</f>
        <v>0</v>
      </c>
      <c r="D95" s="13">
        <f ca="1">IF(OR('My Loans'!$N$14="",'My Loans'!$N$14=0),0,IF(B95&lt;0.005,0,MIN(INDIRECT("'My Loans'!$F"&amp;'My Loans'!$N$14),B95+C95)))</f>
        <v>0</v>
      </c>
      <c r="E95" s="13">
        <f ca="1">IF(A95=1,IF(OR('My Loans'!$N$15="",'My Loans'!$N$15=0),0,INDIRECT("'My Loans'!$D"&amp;'My Loans'!$N$15)),AJ94)</f>
        <v>0</v>
      </c>
      <c r="F95" s="13">
        <f ca="1">IF(OR('My Loans'!$N$15="",'My Loans'!$N$15=0),0,E95*INDIRECT("'My Loans'!$E"&amp;'My Loans'!$N$15)/12)</f>
        <v>0</v>
      </c>
      <c r="G95" s="13">
        <f ca="1">IF(OR('My Loans'!$N$15="",'My Loans'!$N$15=0),0,IF(E95&lt;0.005,0,MIN(INDIRECT("'My Loans'!$F"&amp;'My Loans'!$N$15),E95+F95)))</f>
        <v>0</v>
      </c>
      <c r="H95" s="13">
        <f ca="1">IF(A95=1,IF(OR('My Loans'!$N$16="",'My Loans'!$N$16=0),0,INDIRECT("'My Loans'!$D"&amp;'My Loans'!$N$16)),AO94)</f>
        <v>0</v>
      </c>
      <c r="I95" s="13">
        <f ca="1">IF(OR('My Loans'!$N$16="",'My Loans'!$N$16=0),0,H95*INDIRECT("'My Loans'!$E"&amp;'My Loans'!$N$16)/12)</f>
        <v>0</v>
      </c>
      <c r="J95" s="13">
        <f ca="1">IF(OR('My Loans'!$N$16="",'My Loans'!$N$16=0),0,IF(H95&lt;0.005,0,MIN(INDIRECT("'My Loans'!$F"&amp;'My Loans'!$N$16),H95+I95)))</f>
        <v>0</v>
      </c>
      <c r="K95" s="13">
        <f ca="1">IF(A95=1,IF(OR('My Loans'!$N$17="",'My Loans'!$N$17=0),0,INDIRECT("'My Loans'!$D"&amp;'My Loans'!$N$17)),AT94)</f>
        <v>0</v>
      </c>
      <c r="L95" s="13">
        <f ca="1">IF(OR('My Loans'!$N$17="",'My Loans'!$N$17=0),0,K95*INDIRECT("'My Loans'!$E"&amp;'My Loans'!$N$17)/12)</f>
        <v>0</v>
      </c>
      <c r="M95" s="13">
        <f ca="1">IF(OR('My Loans'!$N$17="",'My Loans'!$N$17=0),0,IF(K95&lt;0.005,0,MIN(INDIRECT("'My Loans'!$F"&amp;'My Loans'!$N$17),K95+L95)))</f>
        <v>0</v>
      </c>
      <c r="N95" s="13">
        <f ca="1">IF(A95=1,IF(OR('My Loans'!$N$18="",'My Loans'!$N$18=0),0,INDIRECT("'My Loans'!$D"&amp;'My Loans'!$N$18)),AY94)</f>
        <v>0</v>
      </c>
      <c r="O95" s="13">
        <f ca="1">IF(OR('My Loans'!$N$18="",'My Loans'!$N$18=0),0,N95*INDIRECT("'My Loans'!$E"&amp;'My Loans'!$N$18)/12)</f>
        <v>0</v>
      </c>
      <c r="P95" s="13">
        <f ca="1">IF(OR('My Loans'!$N$18="",'My Loans'!$N$18=0),0,IF(N95&lt;0.005,0,MIN(INDIRECT("'My Loans'!$F"&amp;'My Loans'!$N$18),N95+O95)))</f>
        <v>0</v>
      </c>
      <c r="Q95" s="13">
        <f ca="1">IF(A95=1,IF(OR('My Loans'!$N$19="",'My Loans'!$N$19=0),0,INDIRECT("'My Loans'!$D"&amp;'My Loans'!$N$19)),BD94)</f>
        <v>0</v>
      </c>
      <c r="R95" s="13">
        <f ca="1">IF(OR('My Loans'!$N$19="",'My Loans'!$N$19=0),0,Q95*INDIRECT("'My Loans'!$E"&amp;'My Loans'!$N$19)/12)</f>
        <v>0</v>
      </c>
      <c r="S95" s="13">
        <f ca="1">IF(OR('My Loans'!$N$19="",'My Loans'!$N$19=0),0,IF(Q95&lt;0.005,0,MIN(INDIRECT("'My Loans'!$F"&amp;'My Loans'!$N$19),Q95+R95)))</f>
        <v>0</v>
      </c>
      <c r="T95" s="13">
        <f ca="1">IF(A95=1,IF(OR('My Loans'!$N$20="",'My Loans'!$N$20=0),0,INDIRECT("'My Loans'!$D"&amp;'My Loans'!$N$20)),BI94)</f>
        <v>0</v>
      </c>
      <c r="U95" s="13">
        <f ca="1">IF(OR('My Loans'!$N$20="",'My Loans'!$N$20=0),0,T95*INDIRECT("'My Loans'!$E"&amp;'My Loans'!$N$20)/12)</f>
        <v>0</v>
      </c>
      <c r="V95" s="13">
        <f ca="1">IF(OR('My Loans'!$N$20="",'My Loans'!$N$20=0),0,IF(T95&lt;0.005,0,MIN(INDIRECT("'My Loans'!$F"&amp;'My Loans'!$N$20),T95+U95)))</f>
        <v>0</v>
      </c>
      <c r="W95" s="13">
        <f ca="1">IF(A95=1,IF(OR('My Loans'!$N$21="",'My Loans'!$N$21=0),0,INDIRECT("'My Loans'!$D"&amp;'My Loans'!$N$21)),BN94)</f>
        <v>0</v>
      </c>
      <c r="X95" s="13">
        <f ca="1">IF(OR('My Loans'!$N$21="",'My Loans'!$N$21=0),0,W95*INDIRECT("'My Loans'!$E"&amp;'My Loans'!$N$21)/12)</f>
        <v>0</v>
      </c>
      <c r="Y95" s="13">
        <f ca="1">IF(OR('My Loans'!$N$21="",'My Loans'!$N$21=0),0,IF(W95&lt;0.005,0,MIN(INDIRECT("'My Loans'!$F"&amp;'My Loans'!$N$21),W95+X95)))</f>
        <v>0</v>
      </c>
      <c r="Z95" s="13">
        <f ca="1">'My Loans'!$B$13-(D95+G95+J95+M95+P95+S95+V95+Y95)</f>
        <v>1400</v>
      </c>
      <c r="AA95" s="13">
        <f t="shared" ca="1" si="86"/>
        <v>1400</v>
      </c>
      <c r="AB95" s="13">
        <f t="shared" ca="1" si="87"/>
        <v>0</v>
      </c>
      <c r="AC95" s="13">
        <f t="shared" ca="1" si="88"/>
        <v>0</v>
      </c>
      <c r="AD95" s="13">
        <f t="shared" ca="1" si="89"/>
        <v>0</v>
      </c>
      <c r="AE95" s="13">
        <f t="shared" ca="1" si="90"/>
        <v>0</v>
      </c>
      <c r="AF95" s="13">
        <f t="shared" ca="1" si="91"/>
        <v>1400</v>
      </c>
      <c r="AG95" s="13">
        <f t="shared" ca="1" si="92"/>
        <v>0</v>
      </c>
      <c r="AH95" s="13">
        <f t="shared" ca="1" si="93"/>
        <v>0</v>
      </c>
      <c r="AI95" s="13">
        <f t="shared" ca="1" si="94"/>
        <v>0</v>
      </c>
      <c r="AJ95" s="13">
        <f t="shared" ca="1" si="95"/>
        <v>0</v>
      </c>
      <c r="AK95" s="13">
        <f t="shared" ca="1" si="96"/>
        <v>1400</v>
      </c>
      <c r="AL95" s="13">
        <f t="shared" ca="1" si="97"/>
        <v>0</v>
      </c>
      <c r="AM95" s="13">
        <f t="shared" ca="1" si="98"/>
        <v>0</v>
      </c>
      <c r="AN95" s="13">
        <f t="shared" ca="1" si="99"/>
        <v>0</v>
      </c>
      <c r="AO95" s="13">
        <f t="shared" ca="1" si="100"/>
        <v>0</v>
      </c>
      <c r="AP95" s="13">
        <f t="shared" ca="1" si="101"/>
        <v>1400</v>
      </c>
      <c r="AQ95" s="13">
        <f t="shared" ca="1" si="102"/>
        <v>0</v>
      </c>
      <c r="AR95" s="13">
        <f t="shared" ca="1" si="103"/>
        <v>0</v>
      </c>
      <c r="AS95" s="13">
        <f t="shared" ca="1" si="104"/>
        <v>0</v>
      </c>
      <c r="AT95" s="13">
        <f t="shared" ca="1" si="105"/>
        <v>0</v>
      </c>
      <c r="AU95" s="13">
        <f t="shared" ca="1" si="106"/>
        <v>1400</v>
      </c>
      <c r="AV95" s="13">
        <f t="shared" ca="1" si="107"/>
        <v>0</v>
      </c>
      <c r="AW95" s="13">
        <f t="shared" ca="1" si="108"/>
        <v>0</v>
      </c>
      <c r="AX95" s="13">
        <f t="shared" ca="1" si="109"/>
        <v>0</v>
      </c>
      <c r="AY95" s="13">
        <f t="shared" ca="1" si="110"/>
        <v>0</v>
      </c>
      <c r="AZ95" s="13">
        <f t="shared" ca="1" si="111"/>
        <v>1400</v>
      </c>
      <c r="BA95" s="13">
        <f t="shared" ca="1" si="112"/>
        <v>0</v>
      </c>
      <c r="BB95" s="13">
        <f t="shared" ca="1" si="113"/>
        <v>0</v>
      </c>
      <c r="BC95" s="13">
        <f t="shared" ca="1" si="114"/>
        <v>0</v>
      </c>
      <c r="BD95" s="13">
        <f t="shared" ca="1" si="115"/>
        <v>0</v>
      </c>
      <c r="BE95" s="13">
        <f t="shared" ca="1" si="116"/>
        <v>1400</v>
      </c>
      <c r="BF95" s="13">
        <f t="shared" ca="1" si="117"/>
        <v>0</v>
      </c>
      <c r="BG95" s="13">
        <f t="shared" ca="1" si="118"/>
        <v>0</v>
      </c>
      <c r="BH95" s="13">
        <f t="shared" ca="1" si="119"/>
        <v>0</v>
      </c>
      <c r="BI95" s="13">
        <f t="shared" ca="1" si="120"/>
        <v>0</v>
      </c>
      <c r="BJ95" s="13">
        <f t="shared" ca="1" si="121"/>
        <v>1400</v>
      </c>
      <c r="BK95" s="13">
        <f t="shared" ca="1" si="122"/>
        <v>0</v>
      </c>
      <c r="BL95" s="13">
        <f t="shared" ca="1" si="123"/>
        <v>0</v>
      </c>
      <c r="BM95" s="13">
        <f t="shared" ca="1" si="124"/>
        <v>0</v>
      </c>
      <c r="BN95" s="13">
        <f t="shared" ca="1" si="125"/>
        <v>0</v>
      </c>
      <c r="BO95" s="13">
        <f t="shared" ca="1" si="126"/>
        <v>0</v>
      </c>
      <c r="BP95" s="13">
        <f t="shared" ca="1" si="127"/>
        <v>0</v>
      </c>
      <c r="BQ95" s="13">
        <f t="shared" ca="1" si="128"/>
        <v>0</v>
      </c>
    </row>
    <row r="96" spans="1:69" x14ac:dyDescent="0.25">
      <c r="A96" s="1">
        <v>95</v>
      </c>
      <c r="B96" s="13">
        <f ca="1">IF(A96=1,IF(OR('My Loans'!$N$14="",'My Loans'!$N$14=0),0,INDIRECT("'My Loans'!$D"&amp;'My Loans'!$N$14)),AE95)</f>
        <v>0</v>
      </c>
      <c r="C96" s="13">
        <f ca="1">IF(OR('My Loans'!$N$14="",'My Loans'!$N$14=0),0,B96*INDIRECT("'My Loans'!$E"&amp;'My Loans'!$N$14)/12)</f>
        <v>0</v>
      </c>
      <c r="D96" s="13">
        <f ca="1">IF(OR('My Loans'!$N$14="",'My Loans'!$N$14=0),0,IF(B96&lt;0.005,0,MIN(INDIRECT("'My Loans'!$F"&amp;'My Loans'!$N$14),B96+C96)))</f>
        <v>0</v>
      </c>
      <c r="E96" s="13">
        <f ca="1">IF(A96=1,IF(OR('My Loans'!$N$15="",'My Loans'!$N$15=0),0,INDIRECT("'My Loans'!$D"&amp;'My Loans'!$N$15)),AJ95)</f>
        <v>0</v>
      </c>
      <c r="F96" s="13">
        <f ca="1">IF(OR('My Loans'!$N$15="",'My Loans'!$N$15=0),0,E96*INDIRECT("'My Loans'!$E"&amp;'My Loans'!$N$15)/12)</f>
        <v>0</v>
      </c>
      <c r="G96" s="13">
        <f ca="1">IF(OR('My Loans'!$N$15="",'My Loans'!$N$15=0),0,IF(E96&lt;0.005,0,MIN(INDIRECT("'My Loans'!$F"&amp;'My Loans'!$N$15),E96+F96)))</f>
        <v>0</v>
      </c>
      <c r="H96" s="13">
        <f ca="1">IF(A96=1,IF(OR('My Loans'!$N$16="",'My Loans'!$N$16=0),0,INDIRECT("'My Loans'!$D"&amp;'My Loans'!$N$16)),AO95)</f>
        <v>0</v>
      </c>
      <c r="I96" s="13">
        <f ca="1">IF(OR('My Loans'!$N$16="",'My Loans'!$N$16=0),0,H96*INDIRECT("'My Loans'!$E"&amp;'My Loans'!$N$16)/12)</f>
        <v>0</v>
      </c>
      <c r="J96" s="13">
        <f ca="1">IF(OR('My Loans'!$N$16="",'My Loans'!$N$16=0),0,IF(H96&lt;0.005,0,MIN(INDIRECT("'My Loans'!$F"&amp;'My Loans'!$N$16),H96+I96)))</f>
        <v>0</v>
      </c>
      <c r="K96" s="13">
        <f ca="1">IF(A96=1,IF(OR('My Loans'!$N$17="",'My Loans'!$N$17=0),0,INDIRECT("'My Loans'!$D"&amp;'My Loans'!$N$17)),AT95)</f>
        <v>0</v>
      </c>
      <c r="L96" s="13">
        <f ca="1">IF(OR('My Loans'!$N$17="",'My Loans'!$N$17=0),0,K96*INDIRECT("'My Loans'!$E"&amp;'My Loans'!$N$17)/12)</f>
        <v>0</v>
      </c>
      <c r="M96" s="13">
        <f ca="1">IF(OR('My Loans'!$N$17="",'My Loans'!$N$17=0),0,IF(K96&lt;0.005,0,MIN(INDIRECT("'My Loans'!$F"&amp;'My Loans'!$N$17),K96+L96)))</f>
        <v>0</v>
      </c>
      <c r="N96" s="13">
        <f ca="1">IF(A96=1,IF(OR('My Loans'!$N$18="",'My Loans'!$N$18=0),0,INDIRECT("'My Loans'!$D"&amp;'My Loans'!$N$18)),AY95)</f>
        <v>0</v>
      </c>
      <c r="O96" s="13">
        <f ca="1">IF(OR('My Loans'!$N$18="",'My Loans'!$N$18=0),0,N96*INDIRECT("'My Loans'!$E"&amp;'My Loans'!$N$18)/12)</f>
        <v>0</v>
      </c>
      <c r="P96" s="13">
        <f ca="1">IF(OR('My Loans'!$N$18="",'My Loans'!$N$18=0),0,IF(N96&lt;0.005,0,MIN(INDIRECT("'My Loans'!$F"&amp;'My Loans'!$N$18),N96+O96)))</f>
        <v>0</v>
      </c>
      <c r="Q96" s="13">
        <f ca="1">IF(A96=1,IF(OR('My Loans'!$N$19="",'My Loans'!$N$19=0),0,INDIRECT("'My Loans'!$D"&amp;'My Loans'!$N$19)),BD95)</f>
        <v>0</v>
      </c>
      <c r="R96" s="13">
        <f ca="1">IF(OR('My Loans'!$N$19="",'My Loans'!$N$19=0),0,Q96*INDIRECT("'My Loans'!$E"&amp;'My Loans'!$N$19)/12)</f>
        <v>0</v>
      </c>
      <c r="S96" s="13">
        <f ca="1">IF(OR('My Loans'!$N$19="",'My Loans'!$N$19=0),0,IF(Q96&lt;0.005,0,MIN(INDIRECT("'My Loans'!$F"&amp;'My Loans'!$N$19),Q96+R96)))</f>
        <v>0</v>
      </c>
      <c r="T96" s="13">
        <f ca="1">IF(A96=1,IF(OR('My Loans'!$N$20="",'My Loans'!$N$20=0),0,INDIRECT("'My Loans'!$D"&amp;'My Loans'!$N$20)),BI95)</f>
        <v>0</v>
      </c>
      <c r="U96" s="13">
        <f ca="1">IF(OR('My Loans'!$N$20="",'My Loans'!$N$20=0),0,T96*INDIRECT("'My Loans'!$E"&amp;'My Loans'!$N$20)/12)</f>
        <v>0</v>
      </c>
      <c r="V96" s="13">
        <f ca="1">IF(OR('My Loans'!$N$20="",'My Loans'!$N$20=0),0,IF(T96&lt;0.005,0,MIN(INDIRECT("'My Loans'!$F"&amp;'My Loans'!$N$20),T96+U96)))</f>
        <v>0</v>
      </c>
      <c r="W96" s="13">
        <f ca="1">IF(A96=1,IF(OR('My Loans'!$N$21="",'My Loans'!$N$21=0),0,INDIRECT("'My Loans'!$D"&amp;'My Loans'!$N$21)),BN95)</f>
        <v>0</v>
      </c>
      <c r="X96" s="13">
        <f ca="1">IF(OR('My Loans'!$N$21="",'My Loans'!$N$21=0),0,W96*INDIRECT("'My Loans'!$E"&amp;'My Loans'!$N$21)/12)</f>
        <v>0</v>
      </c>
      <c r="Y96" s="13">
        <f ca="1">IF(OR('My Loans'!$N$21="",'My Loans'!$N$21=0),0,IF(W96&lt;0.005,0,MIN(INDIRECT("'My Loans'!$F"&amp;'My Loans'!$N$21),W96+X96)))</f>
        <v>0</v>
      </c>
      <c r="Z96" s="13">
        <f ca="1">'My Loans'!$B$13-(D96+G96+J96+M96+P96+S96+V96+Y96)</f>
        <v>1400</v>
      </c>
      <c r="AA96" s="13">
        <f t="shared" ca="1" si="86"/>
        <v>1400</v>
      </c>
      <c r="AB96" s="13">
        <f t="shared" ca="1" si="87"/>
        <v>0</v>
      </c>
      <c r="AC96" s="13">
        <f t="shared" ca="1" si="88"/>
        <v>0</v>
      </c>
      <c r="AD96" s="13">
        <f t="shared" ca="1" si="89"/>
        <v>0</v>
      </c>
      <c r="AE96" s="13">
        <f t="shared" ca="1" si="90"/>
        <v>0</v>
      </c>
      <c r="AF96" s="13">
        <f t="shared" ca="1" si="91"/>
        <v>1400</v>
      </c>
      <c r="AG96" s="13">
        <f t="shared" ca="1" si="92"/>
        <v>0</v>
      </c>
      <c r="AH96" s="13">
        <f t="shared" ca="1" si="93"/>
        <v>0</v>
      </c>
      <c r="AI96" s="13">
        <f t="shared" ca="1" si="94"/>
        <v>0</v>
      </c>
      <c r="AJ96" s="13">
        <f t="shared" ca="1" si="95"/>
        <v>0</v>
      </c>
      <c r="AK96" s="13">
        <f t="shared" ca="1" si="96"/>
        <v>1400</v>
      </c>
      <c r="AL96" s="13">
        <f t="shared" ca="1" si="97"/>
        <v>0</v>
      </c>
      <c r="AM96" s="13">
        <f t="shared" ca="1" si="98"/>
        <v>0</v>
      </c>
      <c r="AN96" s="13">
        <f t="shared" ca="1" si="99"/>
        <v>0</v>
      </c>
      <c r="AO96" s="13">
        <f t="shared" ca="1" si="100"/>
        <v>0</v>
      </c>
      <c r="AP96" s="13">
        <f t="shared" ca="1" si="101"/>
        <v>1400</v>
      </c>
      <c r="AQ96" s="13">
        <f t="shared" ca="1" si="102"/>
        <v>0</v>
      </c>
      <c r="AR96" s="13">
        <f t="shared" ca="1" si="103"/>
        <v>0</v>
      </c>
      <c r="AS96" s="13">
        <f t="shared" ca="1" si="104"/>
        <v>0</v>
      </c>
      <c r="AT96" s="13">
        <f t="shared" ca="1" si="105"/>
        <v>0</v>
      </c>
      <c r="AU96" s="13">
        <f t="shared" ca="1" si="106"/>
        <v>1400</v>
      </c>
      <c r="AV96" s="13">
        <f t="shared" ca="1" si="107"/>
        <v>0</v>
      </c>
      <c r="AW96" s="13">
        <f t="shared" ca="1" si="108"/>
        <v>0</v>
      </c>
      <c r="AX96" s="13">
        <f t="shared" ca="1" si="109"/>
        <v>0</v>
      </c>
      <c r="AY96" s="13">
        <f t="shared" ca="1" si="110"/>
        <v>0</v>
      </c>
      <c r="AZ96" s="13">
        <f t="shared" ca="1" si="111"/>
        <v>1400</v>
      </c>
      <c r="BA96" s="13">
        <f t="shared" ca="1" si="112"/>
        <v>0</v>
      </c>
      <c r="BB96" s="13">
        <f t="shared" ca="1" si="113"/>
        <v>0</v>
      </c>
      <c r="BC96" s="13">
        <f t="shared" ca="1" si="114"/>
        <v>0</v>
      </c>
      <c r="BD96" s="13">
        <f t="shared" ca="1" si="115"/>
        <v>0</v>
      </c>
      <c r="BE96" s="13">
        <f t="shared" ca="1" si="116"/>
        <v>1400</v>
      </c>
      <c r="BF96" s="13">
        <f t="shared" ca="1" si="117"/>
        <v>0</v>
      </c>
      <c r="BG96" s="13">
        <f t="shared" ca="1" si="118"/>
        <v>0</v>
      </c>
      <c r="BH96" s="13">
        <f t="shared" ca="1" si="119"/>
        <v>0</v>
      </c>
      <c r="BI96" s="13">
        <f t="shared" ca="1" si="120"/>
        <v>0</v>
      </c>
      <c r="BJ96" s="13">
        <f t="shared" ca="1" si="121"/>
        <v>1400</v>
      </c>
      <c r="BK96" s="13">
        <f t="shared" ca="1" si="122"/>
        <v>0</v>
      </c>
      <c r="BL96" s="13">
        <f t="shared" ca="1" si="123"/>
        <v>0</v>
      </c>
      <c r="BM96" s="13">
        <f t="shared" ca="1" si="124"/>
        <v>0</v>
      </c>
      <c r="BN96" s="13">
        <f t="shared" ca="1" si="125"/>
        <v>0</v>
      </c>
      <c r="BO96" s="13">
        <f t="shared" ca="1" si="126"/>
        <v>0</v>
      </c>
      <c r="BP96" s="13">
        <f t="shared" ca="1" si="127"/>
        <v>0</v>
      </c>
      <c r="BQ96" s="13">
        <f t="shared" ca="1" si="128"/>
        <v>0</v>
      </c>
    </row>
    <row r="97" spans="1:69" x14ac:dyDescent="0.25">
      <c r="A97" s="1">
        <v>96</v>
      </c>
      <c r="B97" s="13">
        <f ca="1">IF(A97=1,IF(OR('My Loans'!$N$14="",'My Loans'!$N$14=0),0,INDIRECT("'My Loans'!$D"&amp;'My Loans'!$N$14)),AE96)</f>
        <v>0</v>
      </c>
      <c r="C97" s="13">
        <f ca="1">IF(OR('My Loans'!$N$14="",'My Loans'!$N$14=0),0,B97*INDIRECT("'My Loans'!$E"&amp;'My Loans'!$N$14)/12)</f>
        <v>0</v>
      </c>
      <c r="D97" s="13">
        <f ca="1">IF(OR('My Loans'!$N$14="",'My Loans'!$N$14=0),0,IF(B97&lt;0.005,0,MIN(INDIRECT("'My Loans'!$F"&amp;'My Loans'!$N$14),B97+C97)))</f>
        <v>0</v>
      </c>
      <c r="E97" s="13">
        <f ca="1">IF(A97=1,IF(OR('My Loans'!$N$15="",'My Loans'!$N$15=0),0,INDIRECT("'My Loans'!$D"&amp;'My Loans'!$N$15)),AJ96)</f>
        <v>0</v>
      </c>
      <c r="F97" s="13">
        <f ca="1">IF(OR('My Loans'!$N$15="",'My Loans'!$N$15=0),0,E97*INDIRECT("'My Loans'!$E"&amp;'My Loans'!$N$15)/12)</f>
        <v>0</v>
      </c>
      <c r="G97" s="13">
        <f ca="1">IF(OR('My Loans'!$N$15="",'My Loans'!$N$15=0),0,IF(E97&lt;0.005,0,MIN(INDIRECT("'My Loans'!$F"&amp;'My Loans'!$N$15),E97+F97)))</f>
        <v>0</v>
      </c>
      <c r="H97" s="13">
        <f ca="1">IF(A97=1,IF(OR('My Loans'!$N$16="",'My Loans'!$N$16=0),0,INDIRECT("'My Loans'!$D"&amp;'My Loans'!$N$16)),AO96)</f>
        <v>0</v>
      </c>
      <c r="I97" s="13">
        <f ca="1">IF(OR('My Loans'!$N$16="",'My Loans'!$N$16=0),0,H97*INDIRECT("'My Loans'!$E"&amp;'My Loans'!$N$16)/12)</f>
        <v>0</v>
      </c>
      <c r="J97" s="13">
        <f ca="1">IF(OR('My Loans'!$N$16="",'My Loans'!$N$16=0),0,IF(H97&lt;0.005,0,MIN(INDIRECT("'My Loans'!$F"&amp;'My Loans'!$N$16),H97+I97)))</f>
        <v>0</v>
      </c>
      <c r="K97" s="13">
        <f ca="1">IF(A97=1,IF(OR('My Loans'!$N$17="",'My Loans'!$N$17=0),0,INDIRECT("'My Loans'!$D"&amp;'My Loans'!$N$17)),AT96)</f>
        <v>0</v>
      </c>
      <c r="L97" s="13">
        <f ca="1">IF(OR('My Loans'!$N$17="",'My Loans'!$N$17=0),0,K97*INDIRECT("'My Loans'!$E"&amp;'My Loans'!$N$17)/12)</f>
        <v>0</v>
      </c>
      <c r="M97" s="13">
        <f ca="1">IF(OR('My Loans'!$N$17="",'My Loans'!$N$17=0),0,IF(K97&lt;0.005,0,MIN(INDIRECT("'My Loans'!$F"&amp;'My Loans'!$N$17),K97+L97)))</f>
        <v>0</v>
      </c>
      <c r="N97" s="13">
        <f ca="1">IF(A97=1,IF(OR('My Loans'!$N$18="",'My Loans'!$N$18=0),0,INDIRECT("'My Loans'!$D"&amp;'My Loans'!$N$18)),AY96)</f>
        <v>0</v>
      </c>
      <c r="O97" s="13">
        <f ca="1">IF(OR('My Loans'!$N$18="",'My Loans'!$N$18=0),0,N97*INDIRECT("'My Loans'!$E"&amp;'My Loans'!$N$18)/12)</f>
        <v>0</v>
      </c>
      <c r="P97" s="13">
        <f ca="1">IF(OR('My Loans'!$N$18="",'My Loans'!$N$18=0),0,IF(N97&lt;0.005,0,MIN(INDIRECT("'My Loans'!$F"&amp;'My Loans'!$N$18),N97+O97)))</f>
        <v>0</v>
      </c>
      <c r="Q97" s="13">
        <f ca="1">IF(A97=1,IF(OR('My Loans'!$N$19="",'My Loans'!$N$19=0),0,INDIRECT("'My Loans'!$D"&amp;'My Loans'!$N$19)),BD96)</f>
        <v>0</v>
      </c>
      <c r="R97" s="13">
        <f ca="1">IF(OR('My Loans'!$N$19="",'My Loans'!$N$19=0),0,Q97*INDIRECT("'My Loans'!$E"&amp;'My Loans'!$N$19)/12)</f>
        <v>0</v>
      </c>
      <c r="S97" s="13">
        <f ca="1">IF(OR('My Loans'!$N$19="",'My Loans'!$N$19=0),0,IF(Q97&lt;0.005,0,MIN(INDIRECT("'My Loans'!$F"&amp;'My Loans'!$N$19),Q97+R97)))</f>
        <v>0</v>
      </c>
      <c r="T97" s="13">
        <f ca="1">IF(A97=1,IF(OR('My Loans'!$N$20="",'My Loans'!$N$20=0),0,INDIRECT("'My Loans'!$D"&amp;'My Loans'!$N$20)),BI96)</f>
        <v>0</v>
      </c>
      <c r="U97" s="13">
        <f ca="1">IF(OR('My Loans'!$N$20="",'My Loans'!$N$20=0),0,T97*INDIRECT("'My Loans'!$E"&amp;'My Loans'!$N$20)/12)</f>
        <v>0</v>
      </c>
      <c r="V97" s="13">
        <f ca="1">IF(OR('My Loans'!$N$20="",'My Loans'!$N$20=0),0,IF(T97&lt;0.005,0,MIN(INDIRECT("'My Loans'!$F"&amp;'My Loans'!$N$20),T97+U97)))</f>
        <v>0</v>
      </c>
      <c r="W97" s="13">
        <f ca="1">IF(A97=1,IF(OR('My Loans'!$N$21="",'My Loans'!$N$21=0),0,INDIRECT("'My Loans'!$D"&amp;'My Loans'!$N$21)),BN96)</f>
        <v>0</v>
      </c>
      <c r="X97" s="13">
        <f ca="1">IF(OR('My Loans'!$N$21="",'My Loans'!$N$21=0),0,W97*INDIRECT("'My Loans'!$E"&amp;'My Loans'!$N$21)/12)</f>
        <v>0</v>
      </c>
      <c r="Y97" s="13">
        <f ca="1">IF(OR('My Loans'!$N$21="",'My Loans'!$N$21=0),0,IF(W97&lt;0.005,0,MIN(INDIRECT("'My Loans'!$F"&amp;'My Loans'!$N$21),W97+X97)))</f>
        <v>0</v>
      </c>
      <c r="Z97" s="13">
        <f ca="1">'My Loans'!$B$13-(D97+G97+J97+M97+P97+S97+V97+Y97)</f>
        <v>1400</v>
      </c>
      <c r="AA97" s="13">
        <f t="shared" ca="1" si="86"/>
        <v>1400</v>
      </c>
      <c r="AB97" s="13">
        <f t="shared" ca="1" si="87"/>
        <v>0</v>
      </c>
      <c r="AC97" s="13">
        <f t="shared" ca="1" si="88"/>
        <v>0</v>
      </c>
      <c r="AD97" s="13">
        <f t="shared" ca="1" si="89"/>
        <v>0</v>
      </c>
      <c r="AE97" s="13">
        <f t="shared" ca="1" si="90"/>
        <v>0</v>
      </c>
      <c r="AF97" s="13">
        <f t="shared" ca="1" si="91"/>
        <v>1400</v>
      </c>
      <c r="AG97" s="13">
        <f t="shared" ca="1" si="92"/>
        <v>0</v>
      </c>
      <c r="AH97" s="13">
        <f t="shared" ca="1" si="93"/>
        <v>0</v>
      </c>
      <c r="AI97" s="13">
        <f t="shared" ca="1" si="94"/>
        <v>0</v>
      </c>
      <c r="AJ97" s="13">
        <f t="shared" ca="1" si="95"/>
        <v>0</v>
      </c>
      <c r="AK97" s="13">
        <f t="shared" ca="1" si="96"/>
        <v>1400</v>
      </c>
      <c r="AL97" s="13">
        <f t="shared" ca="1" si="97"/>
        <v>0</v>
      </c>
      <c r="AM97" s="13">
        <f t="shared" ca="1" si="98"/>
        <v>0</v>
      </c>
      <c r="AN97" s="13">
        <f t="shared" ca="1" si="99"/>
        <v>0</v>
      </c>
      <c r="AO97" s="13">
        <f t="shared" ca="1" si="100"/>
        <v>0</v>
      </c>
      <c r="AP97" s="13">
        <f t="shared" ca="1" si="101"/>
        <v>1400</v>
      </c>
      <c r="AQ97" s="13">
        <f t="shared" ca="1" si="102"/>
        <v>0</v>
      </c>
      <c r="AR97" s="13">
        <f t="shared" ca="1" si="103"/>
        <v>0</v>
      </c>
      <c r="AS97" s="13">
        <f t="shared" ca="1" si="104"/>
        <v>0</v>
      </c>
      <c r="AT97" s="13">
        <f t="shared" ca="1" si="105"/>
        <v>0</v>
      </c>
      <c r="AU97" s="13">
        <f t="shared" ca="1" si="106"/>
        <v>1400</v>
      </c>
      <c r="AV97" s="13">
        <f t="shared" ca="1" si="107"/>
        <v>0</v>
      </c>
      <c r="AW97" s="13">
        <f t="shared" ca="1" si="108"/>
        <v>0</v>
      </c>
      <c r="AX97" s="13">
        <f t="shared" ca="1" si="109"/>
        <v>0</v>
      </c>
      <c r="AY97" s="13">
        <f t="shared" ca="1" si="110"/>
        <v>0</v>
      </c>
      <c r="AZ97" s="13">
        <f t="shared" ca="1" si="111"/>
        <v>1400</v>
      </c>
      <c r="BA97" s="13">
        <f t="shared" ca="1" si="112"/>
        <v>0</v>
      </c>
      <c r="BB97" s="13">
        <f t="shared" ca="1" si="113"/>
        <v>0</v>
      </c>
      <c r="BC97" s="13">
        <f t="shared" ca="1" si="114"/>
        <v>0</v>
      </c>
      <c r="BD97" s="13">
        <f t="shared" ca="1" si="115"/>
        <v>0</v>
      </c>
      <c r="BE97" s="13">
        <f t="shared" ca="1" si="116"/>
        <v>1400</v>
      </c>
      <c r="BF97" s="13">
        <f t="shared" ca="1" si="117"/>
        <v>0</v>
      </c>
      <c r="BG97" s="13">
        <f t="shared" ca="1" si="118"/>
        <v>0</v>
      </c>
      <c r="BH97" s="13">
        <f t="shared" ca="1" si="119"/>
        <v>0</v>
      </c>
      <c r="BI97" s="13">
        <f t="shared" ca="1" si="120"/>
        <v>0</v>
      </c>
      <c r="BJ97" s="13">
        <f t="shared" ca="1" si="121"/>
        <v>1400</v>
      </c>
      <c r="BK97" s="13">
        <f t="shared" ca="1" si="122"/>
        <v>0</v>
      </c>
      <c r="BL97" s="13">
        <f t="shared" ca="1" si="123"/>
        <v>0</v>
      </c>
      <c r="BM97" s="13">
        <f t="shared" ca="1" si="124"/>
        <v>0</v>
      </c>
      <c r="BN97" s="13">
        <f t="shared" ca="1" si="125"/>
        <v>0</v>
      </c>
      <c r="BO97" s="13">
        <f t="shared" ca="1" si="126"/>
        <v>0</v>
      </c>
      <c r="BP97" s="13">
        <f t="shared" ca="1" si="127"/>
        <v>0</v>
      </c>
      <c r="BQ97" s="13">
        <f t="shared" ca="1" si="128"/>
        <v>0</v>
      </c>
    </row>
    <row r="98" spans="1:69" x14ac:dyDescent="0.25">
      <c r="A98" s="1">
        <v>97</v>
      </c>
      <c r="B98" s="13">
        <f ca="1">IF(A98=1,IF(OR('My Loans'!$N$14="",'My Loans'!$N$14=0),0,INDIRECT("'My Loans'!$D"&amp;'My Loans'!$N$14)),AE97)</f>
        <v>0</v>
      </c>
      <c r="C98" s="13">
        <f ca="1">IF(OR('My Loans'!$N$14="",'My Loans'!$N$14=0),0,B98*INDIRECT("'My Loans'!$E"&amp;'My Loans'!$N$14)/12)</f>
        <v>0</v>
      </c>
      <c r="D98" s="13">
        <f ca="1">IF(OR('My Loans'!$N$14="",'My Loans'!$N$14=0),0,IF(B98&lt;0.005,0,MIN(INDIRECT("'My Loans'!$F"&amp;'My Loans'!$N$14),B98+C98)))</f>
        <v>0</v>
      </c>
      <c r="E98" s="13">
        <f ca="1">IF(A98=1,IF(OR('My Loans'!$N$15="",'My Loans'!$N$15=0),0,INDIRECT("'My Loans'!$D"&amp;'My Loans'!$N$15)),AJ97)</f>
        <v>0</v>
      </c>
      <c r="F98" s="13">
        <f ca="1">IF(OR('My Loans'!$N$15="",'My Loans'!$N$15=0),0,E98*INDIRECT("'My Loans'!$E"&amp;'My Loans'!$N$15)/12)</f>
        <v>0</v>
      </c>
      <c r="G98" s="13">
        <f ca="1">IF(OR('My Loans'!$N$15="",'My Loans'!$N$15=0),0,IF(E98&lt;0.005,0,MIN(INDIRECT("'My Loans'!$F"&amp;'My Loans'!$N$15),E98+F98)))</f>
        <v>0</v>
      </c>
      <c r="H98" s="13">
        <f ca="1">IF(A98=1,IF(OR('My Loans'!$N$16="",'My Loans'!$N$16=0),0,INDIRECT("'My Loans'!$D"&amp;'My Loans'!$N$16)),AO97)</f>
        <v>0</v>
      </c>
      <c r="I98" s="13">
        <f ca="1">IF(OR('My Loans'!$N$16="",'My Loans'!$N$16=0),0,H98*INDIRECT("'My Loans'!$E"&amp;'My Loans'!$N$16)/12)</f>
        <v>0</v>
      </c>
      <c r="J98" s="13">
        <f ca="1">IF(OR('My Loans'!$N$16="",'My Loans'!$N$16=0),0,IF(H98&lt;0.005,0,MIN(INDIRECT("'My Loans'!$F"&amp;'My Loans'!$N$16),H98+I98)))</f>
        <v>0</v>
      </c>
      <c r="K98" s="13">
        <f ca="1">IF(A98=1,IF(OR('My Loans'!$N$17="",'My Loans'!$N$17=0),0,INDIRECT("'My Loans'!$D"&amp;'My Loans'!$N$17)),AT97)</f>
        <v>0</v>
      </c>
      <c r="L98" s="13">
        <f ca="1">IF(OR('My Loans'!$N$17="",'My Loans'!$N$17=0),0,K98*INDIRECT("'My Loans'!$E"&amp;'My Loans'!$N$17)/12)</f>
        <v>0</v>
      </c>
      <c r="M98" s="13">
        <f ca="1">IF(OR('My Loans'!$N$17="",'My Loans'!$N$17=0),0,IF(K98&lt;0.005,0,MIN(INDIRECT("'My Loans'!$F"&amp;'My Loans'!$N$17),K98+L98)))</f>
        <v>0</v>
      </c>
      <c r="N98" s="13">
        <f ca="1">IF(A98=1,IF(OR('My Loans'!$N$18="",'My Loans'!$N$18=0),0,INDIRECT("'My Loans'!$D"&amp;'My Loans'!$N$18)),AY97)</f>
        <v>0</v>
      </c>
      <c r="O98" s="13">
        <f ca="1">IF(OR('My Loans'!$N$18="",'My Loans'!$N$18=0),0,N98*INDIRECT("'My Loans'!$E"&amp;'My Loans'!$N$18)/12)</f>
        <v>0</v>
      </c>
      <c r="P98" s="13">
        <f ca="1">IF(OR('My Loans'!$N$18="",'My Loans'!$N$18=0),0,IF(N98&lt;0.005,0,MIN(INDIRECT("'My Loans'!$F"&amp;'My Loans'!$N$18),N98+O98)))</f>
        <v>0</v>
      </c>
      <c r="Q98" s="13">
        <f ca="1">IF(A98=1,IF(OR('My Loans'!$N$19="",'My Loans'!$N$19=0),0,INDIRECT("'My Loans'!$D"&amp;'My Loans'!$N$19)),BD97)</f>
        <v>0</v>
      </c>
      <c r="R98" s="13">
        <f ca="1">IF(OR('My Loans'!$N$19="",'My Loans'!$N$19=0),0,Q98*INDIRECT("'My Loans'!$E"&amp;'My Loans'!$N$19)/12)</f>
        <v>0</v>
      </c>
      <c r="S98" s="13">
        <f ca="1">IF(OR('My Loans'!$N$19="",'My Loans'!$N$19=0),0,IF(Q98&lt;0.005,0,MIN(INDIRECT("'My Loans'!$F"&amp;'My Loans'!$N$19),Q98+R98)))</f>
        <v>0</v>
      </c>
      <c r="T98" s="13">
        <f ca="1">IF(A98=1,IF(OR('My Loans'!$N$20="",'My Loans'!$N$20=0),0,INDIRECT("'My Loans'!$D"&amp;'My Loans'!$N$20)),BI97)</f>
        <v>0</v>
      </c>
      <c r="U98" s="13">
        <f ca="1">IF(OR('My Loans'!$N$20="",'My Loans'!$N$20=0),0,T98*INDIRECT("'My Loans'!$E"&amp;'My Loans'!$N$20)/12)</f>
        <v>0</v>
      </c>
      <c r="V98" s="13">
        <f ca="1">IF(OR('My Loans'!$N$20="",'My Loans'!$N$20=0),0,IF(T98&lt;0.005,0,MIN(INDIRECT("'My Loans'!$F"&amp;'My Loans'!$N$20),T98+U98)))</f>
        <v>0</v>
      </c>
      <c r="W98" s="13">
        <f ca="1">IF(A98=1,IF(OR('My Loans'!$N$21="",'My Loans'!$N$21=0),0,INDIRECT("'My Loans'!$D"&amp;'My Loans'!$N$21)),BN97)</f>
        <v>0</v>
      </c>
      <c r="X98" s="13">
        <f ca="1">IF(OR('My Loans'!$N$21="",'My Loans'!$N$21=0),0,W98*INDIRECT("'My Loans'!$E"&amp;'My Loans'!$N$21)/12)</f>
        <v>0</v>
      </c>
      <c r="Y98" s="13">
        <f ca="1">IF(OR('My Loans'!$N$21="",'My Loans'!$N$21=0),0,IF(W98&lt;0.005,0,MIN(INDIRECT("'My Loans'!$F"&amp;'My Loans'!$N$21),W98+X98)))</f>
        <v>0</v>
      </c>
      <c r="Z98" s="13">
        <f ca="1">'My Loans'!$B$13-(D98+G98+J98+M98+P98+S98+V98+Y98)</f>
        <v>1400</v>
      </c>
      <c r="AA98" s="13">
        <f t="shared" ref="AA98:AA129" ca="1" si="129">MAX(0,Z98)</f>
        <v>1400</v>
      </c>
      <c r="AB98" s="13">
        <f t="shared" ref="AB98:AB121" ca="1" si="130">MAX(0,B98+C98-D98)</f>
        <v>0</v>
      </c>
      <c r="AC98" s="13">
        <f t="shared" ref="AC98:AC129" ca="1" si="131">MIN(AA98,AB98)</f>
        <v>0</v>
      </c>
      <c r="AD98" s="13">
        <f t="shared" ref="AD98:AD129" ca="1" si="132">D98+AC98</f>
        <v>0</v>
      </c>
      <c r="AE98" s="13">
        <f t="shared" ref="AE98:AE129" ca="1" si="133">MAX(0,B98+C98-AD98)</f>
        <v>0</v>
      </c>
      <c r="AF98" s="13">
        <f t="shared" ref="AF98:AF121" ca="1" si="134">MAX(0,AA98-AC98)</f>
        <v>1400</v>
      </c>
      <c r="AG98" s="13">
        <f t="shared" ref="AG98:AG121" ca="1" si="135">MAX(0,E98+F98-G98)</f>
        <v>0</v>
      </c>
      <c r="AH98" s="13">
        <f t="shared" ref="AH98:AH129" ca="1" si="136">MIN(AF98,AG98)</f>
        <v>0</v>
      </c>
      <c r="AI98" s="13">
        <f t="shared" ref="AI98:AI129" ca="1" si="137">G98+AH98</f>
        <v>0</v>
      </c>
      <c r="AJ98" s="13">
        <f t="shared" ref="AJ98:AJ129" ca="1" si="138">MAX(0,E98+F98-AI98)</f>
        <v>0</v>
      </c>
      <c r="AK98" s="13">
        <f t="shared" ref="AK98:AK121" ca="1" si="139">MAX(0,AF98-AH98)</f>
        <v>1400</v>
      </c>
      <c r="AL98" s="13">
        <f t="shared" ref="AL98:AL121" ca="1" si="140">MAX(0,H98+I98-J98)</f>
        <v>0</v>
      </c>
      <c r="AM98" s="13">
        <f t="shared" ref="AM98:AM129" ca="1" si="141">MIN(AK98,AL98)</f>
        <v>0</v>
      </c>
      <c r="AN98" s="13">
        <f t="shared" ref="AN98:AN129" ca="1" si="142">J98+AM98</f>
        <v>0</v>
      </c>
      <c r="AO98" s="13">
        <f t="shared" ref="AO98:AO129" ca="1" si="143">MAX(0,H98+I98-AN98)</f>
        <v>0</v>
      </c>
      <c r="AP98" s="13">
        <f t="shared" ref="AP98:AP121" ca="1" si="144">MAX(0,AK98-AM98)</f>
        <v>1400</v>
      </c>
      <c r="AQ98" s="13">
        <f t="shared" ref="AQ98:AQ121" ca="1" si="145">MAX(0,K98+L98-M98)</f>
        <v>0</v>
      </c>
      <c r="AR98" s="13">
        <f t="shared" ref="AR98:AR129" ca="1" si="146">MIN(AP98,AQ98)</f>
        <v>0</v>
      </c>
      <c r="AS98" s="13">
        <f t="shared" ref="AS98:AS129" ca="1" si="147">M98+AR98</f>
        <v>0</v>
      </c>
      <c r="AT98" s="13">
        <f t="shared" ref="AT98:AT129" ca="1" si="148">MAX(0,K98+L98-AS98)</f>
        <v>0</v>
      </c>
      <c r="AU98" s="13">
        <f t="shared" ref="AU98:AU121" ca="1" si="149">MAX(0,AP98-AR98)</f>
        <v>1400</v>
      </c>
      <c r="AV98" s="13">
        <f t="shared" ref="AV98:AV121" ca="1" si="150">MAX(0,N98+O98-P98)</f>
        <v>0</v>
      </c>
      <c r="AW98" s="13">
        <f t="shared" ref="AW98:AW129" ca="1" si="151">MIN(AU98,AV98)</f>
        <v>0</v>
      </c>
      <c r="AX98" s="13">
        <f t="shared" ref="AX98:AX129" ca="1" si="152">P98+AW98</f>
        <v>0</v>
      </c>
      <c r="AY98" s="13">
        <f t="shared" ref="AY98:AY129" ca="1" si="153">MAX(0,N98+O98-AX98)</f>
        <v>0</v>
      </c>
      <c r="AZ98" s="13">
        <f t="shared" ref="AZ98:AZ121" ca="1" si="154">MAX(0,AU98-AW98)</f>
        <v>1400</v>
      </c>
      <c r="BA98" s="13">
        <f t="shared" ref="BA98:BA121" ca="1" si="155">MAX(0,Q98+R98-S98)</f>
        <v>0</v>
      </c>
      <c r="BB98" s="13">
        <f t="shared" ref="BB98:BB129" ca="1" si="156">MIN(AZ98,BA98)</f>
        <v>0</v>
      </c>
      <c r="BC98" s="13">
        <f t="shared" ref="BC98:BC129" ca="1" si="157">S98+BB98</f>
        <v>0</v>
      </c>
      <c r="BD98" s="13">
        <f t="shared" ref="BD98:BD129" ca="1" si="158">MAX(0,Q98+R98-BC98)</f>
        <v>0</v>
      </c>
      <c r="BE98" s="13">
        <f t="shared" ref="BE98:BE121" ca="1" si="159">MAX(0,AZ98-BB98)</f>
        <v>1400</v>
      </c>
      <c r="BF98" s="13">
        <f t="shared" ref="BF98:BF121" ca="1" si="160">MAX(0,T98+U98-V98)</f>
        <v>0</v>
      </c>
      <c r="BG98" s="13">
        <f t="shared" ref="BG98:BG129" ca="1" si="161">MIN(BE98,BF98)</f>
        <v>0</v>
      </c>
      <c r="BH98" s="13">
        <f t="shared" ref="BH98:BH129" ca="1" si="162">V98+BG98</f>
        <v>0</v>
      </c>
      <c r="BI98" s="13">
        <f t="shared" ref="BI98:BI129" ca="1" si="163">MAX(0,T98+U98-BH98)</f>
        <v>0</v>
      </c>
      <c r="BJ98" s="13">
        <f t="shared" ref="BJ98:BJ121" ca="1" si="164">MAX(0,BE98-BG98)</f>
        <v>1400</v>
      </c>
      <c r="BK98" s="13">
        <f t="shared" ref="BK98:BK121" ca="1" si="165">MAX(0,W98+X98-Y98)</f>
        <v>0</v>
      </c>
      <c r="BL98" s="13">
        <f t="shared" ref="BL98:BL129" ca="1" si="166">MIN(BJ98,BK98)</f>
        <v>0</v>
      </c>
      <c r="BM98" s="13">
        <f t="shared" ref="BM98:BM129" ca="1" si="167">Y98+BL98</f>
        <v>0</v>
      </c>
      <c r="BN98" s="13">
        <f t="shared" ref="BN98:BN129" ca="1" si="168">MAX(0,W98+X98-BM98)</f>
        <v>0</v>
      </c>
      <c r="BO98" s="13">
        <f t="shared" ref="BO98:BO121" ca="1" si="169">AD98+AI98+AN98+AS98+AX98+BC98+BH98+BM98</f>
        <v>0</v>
      </c>
      <c r="BP98" s="13">
        <f t="shared" ref="BP98:BP121" ca="1" si="170">C98+F98+I98+L98+O98+R98+U98+X98</f>
        <v>0</v>
      </c>
      <c r="BQ98" s="13">
        <f t="shared" ref="BQ98:BQ121" ca="1" si="171">AE98+AJ98+AO98+AT98+AY98+BD98+BI98+BN98</f>
        <v>0</v>
      </c>
    </row>
    <row r="99" spans="1:69" x14ac:dyDescent="0.25">
      <c r="A99" s="1">
        <v>98</v>
      </c>
      <c r="B99" s="13">
        <f ca="1">IF(A99=1,IF(OR('My Loans'!$N$14="",'My Loans'!$N$14=0),0,INDIRECT("'My Loans'!$D"&amp;'My Loans'!$N$14)),AE98)</f>
        <v>0</v>
      </c>
      <c r="C99" s="13">
        <f ca="1">IF(OR('My Loans'!$N$14="",'My Loans'!$N$14=0),0,B99*INDIRECT("'My Loans'!$E"&amp;'My Loans'!$N$14)/12)</f>
        <v>0</v>
      </c>
      <c r="D99" s="13">
        <f ca="1">IF(OR('My Loans'!$N$14="",'My Loans'!$N$14=0),0,IF(B99&lt;0.005,0,MIN(INDIRECT("'My Loans'!$F"&amp;'My Loans'!$N$14),B99+C99)))</f>
        <v>0</v>
      </c>
      <c r="E99" s="13">
        <f ca="1">IF(A99=1,IF(OR('My Loans'!$N$15="",'My Loans'!$N$15=0),0,INDIRECT("'My Loans'!$D"&amp;'My Loans'!$N$15)),AJ98)</f>
        <v>0</v>
      </c>
      <c r="F99" s="13">
        <f ca="1">IF(OR('My Loans'!$N$15="",'My Loans'!$N$15=0),0,E99*INDIRECT("'My Loans'!$E"&amp;'My Loans'!$N$15)/12)</f>
        <v>0</v>
      </c>
      <c r="G99" s="13">
        <f ca="1">IF(OR('My Loans'!$N$15="",'My Loans'!$N$15=0),0,IF(E99&lt;0.005,0,MIN(INDIRECT("'My Loans'!$F"&amp;'My Loans'!$N$15),E99+F99)))</f>
        <v>0</v>
      </c>
      <c r="H99" s="13">
        <f ca="1">IF(A99=1,IF(OR('My Loans'!$N$16="",'My Loans'!$N$16=0),0,INDIRECT("'My Loans'!$D"&amp;'My Loans'!$N$16)),AO98)</f>
        <v>0</v>
      </c>
      <c r="I99" s="13">
        <f ca="1">IF(OR('My Loans'!$N$16="",'My Loans'!$N$16=0),0,H99*INDIRECT("'My Loans'!$E"&amp;'My Loans'!$N$16)/12)</f>
        <v>0</v>
      </c>
      <c r="J99" s="13">
        <f ca="1">IF(OR('My Loans'!$N$16="",'My Loans'!$N$16=0),0,IF(H99&lt;0.005,0,MIN(INDIRECT("'My Loans'!$F"&amp;'My Loans'!$N$16),H99+I99)))</f>
        <v>0</v>
      </c>
      <c r="K99" s="13">
        <f ca="1">IF(A99=1,IF(OR('My Loans'!$N$17="",'My Loans'!$N$17=0),0,INDIRECT("'My Loans'!$D"&amp;'My Loans'!$N$17)),AT98)</f>
        <v>0</v>
      </c>
      <c r="L99" s="13">
        <f ca="1">IF(OR('My Loans'!$N$17="",'My Loans'!$N$17=0),0,K99*INDIRECT("'My Loans'!$E"&amp;'My Loans'!$N$17)/12)</f>
        <v>0</v>
      </c>
      <c r="M99" s="13">
        <f ca="1">IF(OR('My Loans'!$N$17="",'My Loans'!$N$17=0),0,IF(K99&lt;0.005,0,MIN(INDIRECT("'My Loans'!$F"&amp;'My Loans'!$N$17),K99+L99)))</f>
        <v>0</v>
      </c>
      <c r="N99" s="13">
        <f ca="1">IF(A99=1,IF(OR('My Loans'!$N$18="",'My Loans'!$N$18=0),0,INDIRECT("'My Loans'!$D"&amp;'My Loans'!$N$18)),AY98)</f>
        <v>0</v>
      </c>
      <c r="O99" s="13">
        <f ca="1">IF(OR('My Loans'!$N$18="",'My Loans'!$N$18=0),0,N99*INDIRECT("'My Loans'!$E"&amp;'My Loans'!$N$18)/12)</f>
        <v>0</v>
      </c>
      <c r="P99" s="13">
        <f ca="1">IF(OR('My Loans'!$N$18="",'My Loans'!$N$18=0),0,IF(N99&lt;0.005,0,MIN(INDIRECT("'My Loans'!$F"&amp;'My Loans'!$N$18),N99+O99)))</f>
        <v>0</v>
      </c>
      <c r="Q99" s="13">
        <f ca="1">IF(A99=1,IF(OR('My Loans'!$N$19="",'My Loans'!$N$19=0),0,INDIRECT("'My Loans'!$D"&amp;'My Loans'!$N$19)),BD98)</f>
        <v>0</v>
      </c>
      <c r="R99" s="13">
        <f ca="1">IF(OR('My Loans'!$N$19="",'My Loans'!$N$19=0),0,Q99*INDIRECT("'My Loans'!$E"&amp;'My Loans'!$N$19)/12)</f>
        <v>0</v>
      </c>
      <c r="S99" s="13">
        <f ca="1">IF(OR('My Loans'!$N$19="",'My Loans'!$N$19=0),0,IF(Q99&lt;0.005,0,MIN(INDIRECT("'My Loans'!$F"&amp;'My Loans'!$N$19),Q99+R99)))</f>
        <v>0</v>
      </c>
      <c r="T99" s="13">
        <f ca="1">IF(A99=1,IF(OR('My Loans'!$N$20="",'My Loans'!$N$20=0),0,INDIRECT("'My Loans'!$D"&amp;'My Loans'!$N$20)),BI98)</f>
        <v>0</v>
      </c>
      <c r="U99" s="13">
        <f ca="1">IF(OR('My Loans'!$N$20="",'My Loans'!$N$20=0),0,T99*INDIRECT("'My Loans'!$E"&amp;'My Loans'!$N$20)/12)</f>
        <v>0</v>
      </c>
      <c r="V99" s="13">
        <f ca="1">IF(OR('My Loans'!$N$20="",'My Loans'!$N$20=0),0,IF(T99&lt;0.005,0,MIN(INDIRECT("'My Loans'!$F"&amp;'My Loans'!$N$20),T99+U99)))</f>
        <v>0</v>
      </c>
      <c r="W99" s="13">
        <f ca="1">IF(A99=1,IF(OR('My Loans'!$N$21="",'My Loans'!$N$21=0),0,INDIRECT("'My Loans'!$D"&amp;'My Loans'!$N$21)),BN98)</f>
        <v>0</v>
      </c>
      <c r="X99" s="13">
        <f ca="1">IF(OR('My Loans'!$N$21="",'My Loans'!$N$21=0),0,W99*INDIRECT("'My Loans'!$E"&amp;'My Loans'!$N$21)/12)</f>
        <v>0</v>
      </c>
      <c r="Y99" s="13">
        <f ca="1">IF(OR('My Loans'!$N$21="",'My Loans'!$N$21=0),0,IF(W99&lt;0.005,0,MIN(INDIRECT("'My Loans'!$F"&amp;'My Loans'!$N$21),W99+X99)))</f>
        <v>0</v>
      </c>
      <c r="Z99" s="13">
        <f ca="1">'My Loans'!$B$13-(D99+G99+J99+M99+P99+S99+V99+Y99)</f>
        <v>1400</v>
      </c>
      <c r="AA99" s="13">
        <f t="shared" ca="1" si="129"/>
        <v>1400</v>
      </c>
      <c r="AB99" s="13">
        <f t="shared" ca="1" si="130"/>
        <v>0</v>
      </c>
      <c r="AC99" s="13">
        <f t="shared" ca="1" si="131"/>
        <v>0</v>
      </c>
      <c r="AD99" s="13">
        <f t="shared" ca="1" si="132"/>
        <v>0</v>
      </c>
      <c r="AE99" s="13">
        <f t="shared" ca="1" si="133"/>
        <v>0</v>
      </c>
      <c r="AF99" s="13">
        <f t="shared" ca="1" si="134"/>
        <v>1400</v>
      </c>
      <c r="AG99" s="13">
        <f t="shared" ca="1" si="135"/>
        <v>0</v>
      </c>
      <c r="AH99" s="13">
        <f t="shared" ca="1" si="136"/>
        <v>0</v>
      </c>
      <c r="AI99" s="13">
        <f t="shared" ca="1" si="137"/>
        <v>0</v>
      </c>
      <c r="AJ99" s="13">
        <f t="shared" ca="1" si="138"/>
        <v>0</v>
      </c>
      <c r="AK99" s="13">
        <f t="shared" ca="1" si="139"/>
        <v>1400</v>
      </c>
      <c r="AL99" s="13">
        <f t="shared" ca="1" si="140"/>
        <v>0</v>
      </c>
      <c r="AM99" s="13">
        <f t="shared" ca="1" si="141"/>
        <v>0</v>
      </c>
      <c r="AN99" s="13">
        <f t="shared" ca="1" si="142"/>
        <v>0</v>
      </c>
      <c r="AO99" s="13">
        <f t="shared" ca="1" si="143"/>
        <v>0</v>
      </c>
      <c r="AP99" s="13">
        <f t="shared" ca="1" si="144"/>
        <v>1400</v>
      </c>
      <c r="AQ99" s="13">
        <f t="shared" ca="1" si="145"/>
        <v>0</v>
      </c>
      <c r="AR99" s="13">
        <f t="shared" ca="1" si="146"/>
        <v>0</v>
      </c>
      <c r="AS99" s="13">
        <f t="shared" ca="1" si="147"/>
        <v>0</v>
      </c>
      <c r="AT99" s="13">
        <f t="shared" ca="1" si="148"/>
        <v>0</v>
      </c>
      <c r="AU99" s="13">
        <f t="shared" ca="1" si="149"/>
        <v>1400</v>
      </c>
      <c r="AV99" s="13">
        <f t="shared" ca="1" si="150"/>
        <v>0</v>
      </c>
      <c r="AW99" s="13">
        <f t="shared" ca="1" si="151"/>
        <v>0</v>
      </c>
      <c r="AX99" s="13">
        <f t="shared" ca="1" si="152"/>
        <v>0</v>
      </c>
      <c r="AY99" s="13">
        <f t="shared" ca="1" si="153"/>
        <v>0</v>
      </c>
      <c r="AZ99" s="13">
        <f t="shared" ca="1" si="154"/>
        <v>1400</v>
      </c>
      <c r="BA99" s="13">
        <f t="shared" ca="1" si="155"/>
        <v>0</v>
      </c>
      <c r="BB99" s="13">
        <f t="shared" ca="1" si="156"/>
        <v>0</v>
      </c>
      <c r="BC99" s="13">
        <f t="shared" ca="1" si="157"/>
        <v>0</v>
      </c>
      <c r="BD99" s="13">
        <f t="shared" ca="1" si="158"/>
        <v>0</v>
      </c>
      <c r="BE99" s="13">
        <f t="shared" ca="1" si="159"/>
        <v>1400</v>
      </c>
      <c r="BF99" s="13">
        <f t="shared" ca="1" si="160"/>
        <v>0</v>
      </c>
      <c r="BG99" s="13">
        <f t="shared" ca="1" si="161"/>
        <v>0</v>
      </c>
      <c r="BH99" s="13">
        <f t="shared" ca="1" si="162"/>
        <v>0</v>
      </c>
      <c r="BI99" s="13">
        <f t="shared" ca="1" si="163"/>
        <v>0</v>
      </c>
      <c r="BJ99" s="13">
        <f t="shared" ca="1" si="164"/>
        <v>1400</v>
      </c>
      <c r="BK99" s="13">
        <f t="shared" ca="1" si="165"/>
        <v>0</v>
      </c>
      <c r="BL99" s="13">
        <f t="shared" ca="1" si="166"/>
        <v>0</v>
      </c>
      <c r="BM99" s="13">
        <f t="shared" ca="1" si="167"/>
        <v>0</v>
      </c>
      <c r="BN99" s="13">
        <f t="shared" ca="1" si="168"/>
        <v>0</v>
      </c>
      <c r="BO99" s="13">
        <f t="shared" ca="1" si="169"/>
        <v>0</v>
      </c>
      <c r="BP99" s="13">
        <f t="shared" ca="1" si="170"/>
        <v>0</v>
      </c>
      <c r="BQ99" s="13">
        <f t="shared" ca="1" si="171"/>
        <v>0</v>
      </c>
    </row>
    <row r="100" spans="1:69" x14ac:dyDescent="0.25">
      <c r="A100" s="1">
        <v>99</v>
      </c>
      <c r="B100" s="13">
        <f ca="1">IF(A100=1,IF(OR('My Loans'!$N$14="",'My Loans'!$N$14=0),0,INDIRECT("'My Loans'!$D"&amp;'My Loans'!$N$14)),AE99)</f>
        <v>0</v>
      </c>
      <c r="C100" s="13">
        <f ca="1">IF(OR('My Loans'!$N$14="",'My Loans'!$N$14=0),0,B100*INDIRECT("'My Loans'!$E"&amp;'My Loans'!$N$14)/12)</f>
        <v>0</v>
      </c>
      <c r="D100" s="13">
        <f ca="1">IF(OR('My Loans'!$N$14="",'My Loans'!$N$14=0),0,IF(B100&lt;0.005,0,MIN(INDIRECT("'My Loans'!$F"&amp;'My Loans'!$N$14),B100+C100)))</f>
        <v>0</v>
      </c>
      <c r="E100" s="13">
        <f ca="1">IF(A100=1,IF(OR('My Loans'!$N$15="",'My Loans'!$N$15=0),0,INDIRECT("'My Loans'!$D"&amp;'My Loans'!$N$15)),AJ99)</f>
        <v>0</v>
      </c>
      <c r="F100" s="13">
        <f ca="1">IF(OR('My Loans'!$N$15="",'My Loans'!$N$15=0),0,E100*INDIRECT("'My Loans'!$E"&amp;'My Loans'!$N$15)/12)</f>
        <v>0</v>
      </c>
      <c r="G100" s="13">
        <f ca="1">IF(OR('My Loans'!$N$15="",'My Loans'!$N$15=0),0,IF(E100&lt;0.005,0,MIN(INDIRECT("'My Loans'!$F"&amp;'My Loans'!$N$15),E100+F100)))</f>
        <v>0</v>
      </c>
      <c r="H100" s="13">
        <f ca="1">IF(A100=1,IF(OR('My Loans'!$N$16="",'My Loans'!$N$16=0),0,INDIRECT("'My Loans'!$D"&amp;'My Loans'!$N$16)),AO99)</f>
        <v>0</v>
      </c>
      <c r="I100" s="13">
        <f ca="1">IF(OR('My Loans'!$N$16="",'My Loans'!$N$16=0),0,H100*INDIRECT("'My Loans'!$E"&amp;'My Loans'!$N$16)/12)</f>
        <v>0</v>
      </c>
      <c r="J100" s="13">
        <f ca="1">IF(OR('My Loans'!$N$16="",'My Loans'!$N$16=0),0,IF(H100&lt;0.005,0,MIN(INDIRECT("'My Loans'!$F"&amp;'My Loans'!$N$16),H100+I100)))</f>
        <v>0</v>
      </c>
      <c r="K100" s="13">
        <f ca="1">IF(A100=1,IF(OR('My Loans'!$N$17="",'My Loans'!$N$17=0),0,INDIRECT("'My Loans'!$D"&amp;'My Loans'!$N$17)),AT99)</f>
        <v>0</v>
      </c>
      <c r="L100" s="13">
        <f ca="1">IF(OR('My Loans'!$N$17="",'My Loans'!$N$17=0),0,K100*INDIRECT("'My Loans'!$E"&amp;'My Loans'!$N$17)/12)</f>
        <v>0</v>
      </c>
      <c r="M100" s="13">
        <f ca="1">IF(OR('My Loans'!$N$17="",'My Loans'!$N$17=0),0,IF(K100&lt;0.005,0,MIN(INDIRECT("'My Loans'!$F"&amp;'My Loans'!$N$17),K100+L100)))</f>
        <v>0</v>
      </c>
      <c r="N100" s="13">
        <f ca="1">IF(A100=1,IF(OR('My Loans'!$N$18="",'My Loans'!$N$18=0),0,INDIRECT("'My Loans'!$D"&amp;'My Loans'!$N$18)),AY99)</f>
        <v>0</v>
      </c>
      <c r="O100" s="13">
        <f ca="1">IF(OR('My Loans'!$N$18="",'My Loans'!$N$18=0),0,N100*INDIRECT("'My Loans'!$E"&amp;'My Loans'!$N$18)/12)</f>
        <v>0</v>
      </c>
      <c r="P100" s="13">
        <f ca="1">IF(OR('My Loans'!$N$18="",'My Loans'!$N$18=0),0,IF(N100&lt;0.005,0,MIN(INDIRECT("'My Loans'!$F"&amp;'My Loans'!$N$18),N100+O100)))</f>
        <v>0</v>
      </c>
      <c r="Q100" s="13">
        <f ca="1">IF(A100=1,IF(OR('My Loans'!$N$19="",'My Loans'!$N$19=0),0,INDIRECT("'My Loans'!$D"&amp;'My Loans'!$N$19)),BD99)</f>
        <v>0</v>
      </c>
      <c r="R100" s="13">
        <f ca="1">IF(OR('My Loans'!$N$19="",'My Loans'!$N$19=0),0,Q100*INDIRECT("'My Loans'!$E"&amp;'My Loans'!$N$19)/12)</f>
        <v>0</v>
      </c>
      <c r="S100" s="13">
        <f ca="1">IF(OR('My Loans'!$N$19="",'My Loans'!$N$19=0),0,IF(Q100&lt;0.005,0,MIN(INDIRECT("'My Loans'!$F"&amp;'My Loans'!$N$19),Q100+R100)))</f>
        <v>0</v>
      </c>
      <c r="T100" s="13">
        <f ca="1">IF(A100=1,IF(OR('My Loans'!$N$20="",'My Loans'!$N$20=0),0,INDIRECT("'My Loans'!$D"&amp;'My Loans'!$N$20)),BI99)</f>
        <v>0</v>
      </c>
      <c r="U100" s="13">
        <f ca="1">IF(OR('My Loans'!$N$20="",'My Loans'!$N$20=0),0,T100*INDIRECT("'My Loans'!$E"&amp;'My Loans'!$N$20)/12)</f>
        <v>0</v>
      </c>
      <c r="V100" s="13">
        <f ca="1">IF(OR('My Loans'!$N$20="",'My Loans'!$N$20=0),0,IF(T100&lt;0.005,0,MIN(INDIRECT("'My Loans'!$F"&amp;'My Loans'!$N$20),T100+U100)))</f>
        <v>0</v>
      </c>
      <c r="W100" s="13">
        <f ca="1">IF(A100=1,IF(OR('My Loans'!$N$21="",'My Loans'!$N$21=0),0,INDIRECT("'My Loans'!$D"&amp;'My Loans'!$N$21)),BN99)</f>
        <v>0</v>
      </c>
      <c r="X100" s="13">
        <f ca="1">IF(OR('My Loans'!$N$21="",'My Loans'!$N$21=0),0,W100*INDIRECT("'My Loans'!$E"&amp;'My Loans'!$N$21)/12)</f>
        <v>0</v>
      </c>
      <c r="Y100" s="13">
        <f ca="1">IF(OR('My Loans'!$N$21="",'My Loans'!$N$21=0),0,IF(W100&lt;0.005,0,MIN(INDIRECT("'My Loans'!$F"&amp;'My Loans'!$N$21),W100+X100)))</f>
        <v>0</v>
      </c>
      <c r="Z100" s="13">
        <f ca="1">'My Loans'!$B$13-(D100+G100+J100+M100+P100+S100+V100+Y100)</f>
        <v>1400</v>
      </c>
      <c r="AA100" s="13">
        <f t="shared" ca="1" si="129"/>
        <v>1400</v>
      </c>
      <c r="AB100" s="13">
        <f t="shared" ca="1" si="130"/>
        <v>0</v>
      </c>
      <c r="AC100" s="13">
        <f t="shared" ca="1" si="131"/>
        <v>0</v>
      </c>
      <c r="AD100" s="13">
        <f t="shared" ca="1" si="132"/>
        <v>0</v>
      </c>
      <c r="AE100" s="13">
        <f t="shared" ca="1" si="133"/>
        <v>0</v>
      </c>
      <c r="AF100" s="13">
        <f t="shared" ca="1" si="134"/>
        <v>1400</v>
      </c>
      <c r="AG100" s="13">
        <f t="shared" ca="1" si="135"/>
        <v>0</v>
      </c>
      <c r="AH100" s="13">
        <f t="shared" ca="1" si="136"/>
        <v>0</v>
      </c>
      <c r="AI100" s="13">
        <f t="shared" ca="1" si="137"/>
        <v>0</v>
      </c>
      <c r="AJ100" s="13">
        <f t="shared" ca="1" si="138"/>
        <v>0</v>
      </c>
      <c r="AK100" s="13">
        <f t="shared" ca="1" si="139"/>
        <v>1400</v>
      </c>
      <c r="AL100" s="13">
        <f t="shared" ca="1" si="140"/>
        <v>0</v>
      </c>
      <c r="AM100" s="13">
        <f t="shared" ca="1" si="141"/>
        <v>0</v>
      </c>
      <c r="AN100" s="13">
        <f t="shared" ca="1" si="142"/>
        <v>0</v>
      </c>
      <c r="AO100" s="13">
        <f t="shared" ca="1" si="143"/>
        <v>0</v>
      </c>
      <c r="AP100" s="13">
        <f t="shared" ca="1" si="144"/>
        <v>1400</v>
      </c>
      <c r="AQ100" s="13">
        <f t="shared" ca="1" si="145"/>
        <v>0</v>
      </c>
      <c r="AR100" s="13">
        <f t="shared" ca="1" si="146"/>
        <v>0</v>
      </c>
      <c r="AS100" s="13">
        <f t="shared" ca="1" si="147"/>
        <v>0</v>
      </c>
      <c r="AT100" s="13">
        <f t="shared" ca="1" si="148"/>
        <v>0</v>
      </c>
      <c r="AU100" s="13">
        <f t="shared" ca="1" si="149"/>
        <v>1400</v>
      </c>
      <c r="AV100" s="13">
        <f t="shared" ca="1" si="150"/>
        <v>0</v>
      </c>
      <c r="AW100" s="13">
        <f t="shared" ca="1" si="151"/>
        <v>0</v>
      </c>
      <c r="AX100" s="13">
        <f t="shared" ca="1" si="152"/>
        <v>0</v>
      </c>
      <c r="AY100" s="13">
        <f t="shared" ca="1" si="153"/>
        <v>0</v>
      </c>
      <c r="AZ100" s="13">
        <f t="shared" ca="1" si="154"/>
        <v>1400</v>
      </c>
      <c r="BA100" s="13">
        <f t="shared" ca="1" si="155"/>
        <v>0</v>
      </c>
      <c r="BB100" s="13">
        <f t="shared" ca="1" si="156"/>
        <v>0</v>
      </c>
      <c r="BC100" s="13">
        <f t="shared" ca="1" si="157"/>
        <v>0</v>
      </c>
      <c r="BD100" s="13">
        <f t="shared" ca="1" si="158"/>
        <v>0</v>
      </c>
      <c r="BE100" s="13">
        <f t="shared" ca="1" si="159"/>
        <v>1400</v>
      </c>
      <c r="BF100" s="13">
        <f t="shared" ca="1" si="160"/>
        <v>0</v>
      </c>
      <c r="BG100" s="13">
        <f t="shared" ca="1" si="161"/>
        <v>0</v>
      </c>
      <c r="BH100" s="13">
        <f t="shared" ca="1" si="162"/>
        <v>0</v>
      </c>
      <c r="BI100" s="13">
        <f t="shared" ca="1" si="163"/>
        <v>0</v>
      </c>
      <c r="BJ100" s="13">
        <f t="shared" ca="1" si="164"/>
        <v>1400</v>
      </c>
      <c r="BK100" s="13">
        <f t="shared" ca="1" si="165"/>
        <v>0</v>
      </c>
      <c r="BL100" s="13">
        <f t="shared" ca="1" si="166"/>
        <v>0</v>
      </c>
      <c r="BM100" s="13">
        <f t="shared" ca="1" si="167"/>
        <v>0</v>
      </c>
      <c r="BN100" s="13">
        <f t="shared" ca="1" si="168"/>
        <v>0</v>
      </c>
      <c r="BO100" s="13">
        <f t="shared" ca="1" si="169"/>
        <v>0</v>
      </c>
      <c r="BP100" s="13">
        <f t="shared" ca="1" si="170"/>
        <v>0</v>
      </c>
      <c r="BQ100" s="13">
        <f t="shared" ca="1" si="171"/>
        <v>0</v>
      </c>
    </row>
    <row r="101" spans="1:69" x14ac:dyDescent="0.25">
      <c r="A101" s="1">
        <v>100</v>
      </c>
      <c r="B101" s="13">
        <f ca="1">IF(A101=1,IF(OR('My Loans'!$N$14="",'My Loans'!$N$14=0),0,INDIRECT("'My Loans'!$D"&amp;'My Loans'!$N$14)),AE100)</f>
        <v>0</v>
      </c>
      <c r="C101" s="13">
        <f ca="1">IF(OR('My Loans'!$N$14="",'My Loans'!$N$14=0),0,B101*INDIRECT("'My Loans'!$E"&amp;'My Loans'!$N$14)/12)</f>
        <v>0</v>
      </c>
      <c r="D101" s="13">
        <f ca="1">IF(OR('My Loans'!$N$14="",'My Loans'!$N$14=0),0,IF(B101&lt;0.005,0,MIN(INDIRECT("'My Loans'!$F"&amp;'My Loans'!$N$14),B101+C101)))</f>
        <v>0</v>
      </c>
      <c r="E101" s="13">
        <f ca="1">IF(A101=1,IF(OR('My Loans'!$N$15="",'My Loans'!$N$15=0),0,INDIRECT("'My Loans'!$D"&amp;'My Loans'!$N$15)),AJ100)</f>
        <v>0</v>
      </c>
      <c r="F101" s="13">
        <f ca="1">IF(OR('My Loans'!$N$15="",'My Loans'!$N$15=0),0,E101*INDIRECT("'My Loans'!$E"&amp;'My Loans'!$N$15)/12)</f>
        <v>0</v>
      </c>
      <c r="G101" s="13">
        <f ca="1">IF(OR('My Loans'!$N$15="",'My Loans'!$N$15=0),0,IF(E101&lt;0.005,0,MIN(INDIRECT("'My Loans'!$F"&amp;'My Loans'!$N$15),E101+F101)))</f>
        <v>0</v>
      </c>
      <c r="H101" s="13">
        <f ca="1">IF(A101=1,IF(OR('My Loans'!$N$16="",'My Loans'!$N$16=0),0,INDIRECT("'My Loans'!$D"&amp;'My Loans'!$N$16)),AO100)</f>
        <v>0</v>
      </c>
      <c r="I101" s="13">
        <f ca="1">IF(OR('My Loans'!$N$16="",'My Loans'!$N$16=0),0,H101*INDIRECT("'My Loans'!$E"&amp;'My Loans'!$N$16)/12)</f>
        <v>0</v>
      </c>
      <c r="J101" s="13">
        <f ca="1">IF(OR('My Loans'!$N$16="",'My Loans'!$N$16=0),0,IF(H101&lt;0.005,0,MIN(INDIRECT("'My Loans'!$F"&amp;'My Loans'!$N$16),H101+I101)))</f>
        <v>0</v>
      </c>
      <c r="K101" s="13">
        <f ca="1">IF(A101=1,IF(OR('My Loans'!$N$17="",'My Loans'!$N$17=0),0,INDIRECT("'My Loans'!$D"&amp;'My Loans'!$N$17)),AT100)</f>
        <v>0</v>
      </c>
      <c r="L101" s="13">
        <f ca="1">IF(OR('My Loans'!$N$17="",'My Loans'!$N$17=0),0,K101*INDIRECT("'My Loans'!$E"&amp;'My Loans'!$N$17)/12)</f>
        <v>0</v>
      </c>
      <c r="M101" s="13">
        <f ca="1">IF(OR('My Loans'!$N$17="",'My Loans'!$N$17=0),0,IF(K101&lt;0.005,0,MIN(INDIRECT("'My Loans'!$F"&amp;'My Loans'!$N$17),K101+L101)))</f>
        <v>0</v>
      </c>
      <c r="N101" s="13">
        <f ca="1">IF(A101=1,IF(OR('My Loans'!$N$18="",'My Loans'!$N$18=0),0,INDIRECT("'My Loans'!$D"&amp;'My Loans'!$N$18)),AY100)</f>
        <v>0</v>
      </c>
      <c r="O101" s="13">
        <f ca="1">IF(OR('My Loans'!$N$18="",'My Loans'!$N$18=0),0,N101*INDIRECT("'My Loans'!$E"&amp;'My Loans'!$N$18)/12)</f>
        <v>0</v>
      </c>
      <c r="P101" s="13">
        <f ca="1">IF(OR('My Loans'!$N$18="",'My Loans'!$N$18=0),0,IF(N101&lt;0.005,0,MIN(INDIRECT("'My Loans'!$F"&amp;'My Loans'!$N$18),N101+O101)))</f>
        <v>0</v>
      </c>
      <c r="Q101" s="13">
        <f ca="1">IF(A101=1,IF(OR('My Loans'!$N$19="",'My Loans'!$N$19=0),0,INDIRECT("'My Loans'!$D"&amp;'My Loans'!$N$19)),BD100)</f>
        <v>0</v>
      </c>
      <c r="R101" s="13">
        <f ca="1">IF(OR('My Loans'!$N$19="",'My Loans'!$N$19=0),0,Q101*INDIRECT("'My Loans'!$E"&amp;'My Loans'!$N$19)/12)</f>
        <v>0</v>
      </c>
      <c r="S101" s="13">
        <f ca="1">IF(OR('My Loans'!$N$19="",'My Loans'!$N$19=0),0,IF(Q101&lt;0.005,0,MIN(INDIRECT("'My Loans'!$F"&amp;'My Loans'!$N$19),Q101+R101)))</f>
        <v>0</v>
      </c>
      <c r="T101" s="13">
        <f ca="1">IF(A101=1,IF(OR('My Loans'!$N$20="",'My Loans'!$N$20=0),0,INDIRECT("'My Loans'!$D"&amp;'My Loans'!$N$20)),BI100)</f>
        <v>0</v>
      </c>
      <c r="U101" s="13">
        <f ca="1">IF(OR('My Loans'!$N$20="",'My Loans'!$N$20=0),0,T101*INDIRECT("'My Loans'!$E"&amp;'My Loans'!$N$20)/12)</f>
        <v>0</v>
      </c>
      <c r="V101" s="13">
        <f ca="1">IF(OR('My Loans'!$N$20="",'My Loans'!$N$20=0),0,IF(T101&lt;0.005,0,MIN(INDIRECT("'My Loans'!$F"&amp;'My Loans'!$N$20),T101+U101)))</f>
        <v>0</v>
      </c>
      <c r="W101" s="13">
        <f ca="1">IF(A101=1,IF(OR('My Loans'!$N$21="",'My Loans'!$N$21=0),0,INDIRECT("'My Loans'!$D"&amp;'My Loans'!$N$21)),BN100)</f>
        <v>0</v>
      </c>
      <c r="X101" s="13">
        <f ca="1">IF(OR('My Loans'!$N$21="",'My Loans'!$N$21=0),0,W101*INDIRECT("'My Loans'!$E"&amp;'My Loans'!$N$21)/12)</f>
        <v>0</v>
      </c>
      <c r="Y101" s="13">
        <f ca="1">IF(OR('My Loans'!$N$21="",'My Loans'!$N$21=0),0,IF(W101&lt;0.005,0,MIN(INDIRECT("'My Loans'!$F"&amp;'My Loans'!$N$21),W101+X101)))</f>
        <v>0</v>
      </c>
      <c r="Z101" s="13">
        <f ca="1">'My Loans'!$B$13-(D101+G101+J101+M101+P101+S101+V101+Y101)</f>
        <v>1400</v>
      </c>
      <c r="AA101" s="13">
        <f t="shared" ca="1" si="129"/>
        <v>1400</v>
      </c>
      <c r="AB101" s="13">
        <f t="shared" ca="1" si="130"/>
        <v>0</v>
      </c>
      <c r="AC101" s="13">
        <f t="shared" ca="1" si="131"/>
        <v>0</v>
      </c>
      <c r="AD101" s="13">
        <f t="shared" ca="1" si="132"/>
        <v>0</v>
      </c>
      <c r="AE101" s="13">
        <f t="shared" ca="1" si="133"/>
        <v>0</v>
      </c>
      <c r="AF101" s="13">
        <f t="shared" ca="1" si="134"/>
        <v>1400</v>
      </c>
      <c r="AG101" s="13">
        <f t="shared" ca="1" si="135"/>
        <v>0</v>
      </c>
      <c r="AH101" s="13">
        <f t="shared" ca="1" si="136"/>
        <v>0</v>
      </c>
      <c r="AI101" s="13">
        <f t="shared" ca="1" si="137"/>
        <v>0</v>
      </c>
      <c r="AJ101" s="13">
        <f t="shared" ca="1" si="138"/>
        <v>0</v>
      </c>
      <c r="AK101" s="13">
        <f t="shared" ca="1" si="139"/>
        <v>1400</v>
      </c>
      <c r="AL101" s="13">
        <f t="shared" ca="1" si="140"/>
        <v>0</v>
      </c>
      <c r="AM101" s="13">
        <f t="shared" ca="1" si="141"/>
        <v>0</v>
      </c>
      <c r="AN101" s="13">
        <f t="shared" ca="1" si="142"/>
        <v>0</v>
      </c>
      <c r="AO101" s="13">
        <f t="shared" ca="1" si="143"/>
        <v>0</v>
      </c>
      <c r="AP101" s="13">
        <f t="shared" ca="1" si="144"/>
        <v>1400</v>
      </c>
      <c r="AQ101" s="13">
        <f t="shared" ca="1" si="145"/>
        <v>0</v>
      </c>
      <c r="AR101" s="13">
        <f t="shared" ca="1" si="146"/>
        <v>0</v>
      </c>
      <c r="AS101" s="13">
        <f t="shared" ca="1" si="147"/>
        <v>0</v>
      </c>
      <c r="AT101" s="13">
        <f t="shared" ca="1" si="148"/>
        <v>0</v>
      </c>
      <c r="AU101" s="13">
        <f t="shared" ca="1" si="149"/>
        <v>1400</v>
      </c>
      <c r="AV101" s="13">
        <f t="shared" ca="1" si="150"/>
        <v>0</v>
      </c>
      <c r="AW101" s="13">
        <f t="shared" ca="1" si="151"/>
        <v>0</v>
      </c>
      <c r="AX101" s="13">
        <f t="shared" ca="1" si="152"/>
        <v>0</v>
      </c>
      <c r="AY101" s="13">
        <f t="shared" ca="1" si="153"/>
        <v>0</v>
      </c>
      <c r="AZ101" s="13">
        <f t="shared" ca="1" si="154"/>
        <v>1400</v>
      </c>
      <c r="BA101" s="13">
        <f t="shared" ca="1" si="155"/>
        <v>0</v>
      </c>
      <c r="BB101" s="13">
        <f t="shared" ca="1" si="156"/>
        <v>0</v>
      </c>
      <c r="BC101" s="13">
        <f t="shared" ca="1" si="157"/>
        <v>0</v>
      </c>
      <c r="BD101" s="13">
        <f t="shared" ca="1" si="158"/>
        <v>0</v>
      </c>
      <c r="BE101" s="13">
        <f t="shared" ca="1" si="159"/>
        <v>1400</v>
      </c>
      <c r="BF101" s="13">
        <f t="shared" ca="1" si="160"/>
        <v>0</v>
      </c>
      <c r="BG101" s="13">
        <f t="shared" ca="1" si="161"/>
        <v>0</v>
      </c>
      <c r="BH101" s="13">
        <f t="shared" ca="1" si="162"/>
        <v>0</v>
      </c>
      <c r="BI101" s="13">
        <f t="shared" ca="1" si="163"/>
        <v>0</v>
      </c>
      <c r="BJ101" s="13">
        <f t="shared" ca="1" si="164"/>
        <v>1400</v>
      </c>
      <c r="BK101" s="13">
        <f t="shared" ca="1" si="165"/>
        <v>0</v>
      </c>
      <c r="BL101" s="13">
        <f t="shared" ca="1" si="166"/>
        <v>0</v>
      </c>
      <c r="BM101" s="13">
        <f t="shared" ca="1" si="167"/>
        <v>0</v>
      </c>
      <c r="BN101" s="13">
        <f t="shared" ca="1" si="168"/>
        <v>0</v>
      </c>
      <c r="BO101" s="13">
        <f t="shared" ca="1" si="169"/>
        <v>0</v>
      </c>
      <c r="BP101" s="13">
        <f t="shared" ca="1" si="170"/>
        <v>0</v>
      </c>
      <c r="BQ101" s="13">
        <f t="shared" ca="1" si="171"/>
        <v>0</v>
      </c>
    </row>
    <row r="102" spans="1:69" x14ac:dyDescent="0.25">
      <c r="A102" s="1">
        <v>101</v>
      </c>
      <c r="B102" s="13">
        <f ca="1">IF(A102=1,IF(OR('My Loans'!$N$14="",'My Loans'!$N$14=0),0,INDIRECT("'My Loans'!$D"&amp;'My Loans'!$N$14)),AE101)</f>
        <v>0</v>
      </c>
      <c r="C102" s="13">
        <f ca="1">IF(OR('My Loans'!$N$14="",'My Loans'!$N$14=0),0,B102*INDIRECT("'My Loans'!$E"&amp;'My Loans'!$N$14)/12)</f>
        <v>0</v>
      </c>
      <c r="D102" s="13">
        <f ca="1">IF(OR('My Loans'!$N$14="",'My Loans'!$N$14=0),0,IF(B102&lt;0.005,0,MIN(INDIRECT("'My Loans'!$F"&amp;'My Loans'!$N$14),B102+C102)))</f>
        <v>0</v>
      </c>
      <c r="E102" s="13">
        <f ca="1">IF(A102=1,IF(OR('My Loans'!$N$15="",'My Loans'!$N$15=0),0,INDIRECT("'My Loans'!$D"&amp;'My Loans'!$N$15)),AJ101)</f>
        <v>0</v>
      </c>
      <c r="F102" s="13">
        <f ca="1">IF(OR('My Loans'!$N$15="",'My Loans'!$N$15=0),0,E102*INDIRECT("'My Loans'!$E"&amp;'My Loans'!$N$15)/12)</f>
        <v>0</v>
      </c>
      <c r="G102" s="13">
        <f ca="1">IF(OR('My Loans'!$N$15="",'My Loans'!$N$15=0),0,IF(E102&lt;0.005,0,MIN(INDIRECT("'My Loans'!$F"&amp;'My Loans'!$N$15),E102+F102)))</f>
        <v>0</v>
      </c>
      <c r="H102" s="13">
        <f ca="1">IF(A102=1,IF(OR('My Loans'!$N$16="",'My Loans'!$N$16=0),0,INDIRECT("'My Loans'!$D"&amp;'My Loans'!$N$16)),AO101)</f>
        <v>0</v>
      </c>
      <c r="I102" s="13">
        <f ca="1">IF(OR('My Loans'!$N$16="",'My Loans'!$N$16=0),0,H102*INDIRECT("'My Loans'!$E"&amp;'My Loans'!$N$16)/12)</f>
        <v>0</v>
      </c>
      <c r="J102" s="13">
        <f ca="1">IF(OR('My Loans'!$N$16="",'My Loans'!$N$16=0),0,IF(H102&lt;0.005,0,MIN(INDIRECT("'My Loans'!$F"&amp;'My Loans'!$N$16),H102+I102)))</f>
        <v>0</v>
      </c>
      <c r="K102" s="13">
        <f ca="1">IF(A102=1,IF(OR('My Loans'!$N$17="",'My Loans'!$N$17=0),0,INDIRECT("'My Loans'!$D"&amp;'My Loans'!$N$17)),AT101)</f>
        <v>0</v>
      </c>
      <c r="L102" s="13">
        <f ca="1">IF(OR('My Loans'!$N$17="",'My Loans'!$N$17=0),0,K102*INDIRECT("'My Loans'!$E"&amp;'My Loans'!$N$17)/12)</f>
        <v>0</v>
      </c>
      <c r="M102" s="13">
        <f ca="1">IF(OR('My Loans'!$N$17="",'My Loans'!$N$17=0),0,IF(K102&lt;0.005,0,MIN(INDIRECT("'My Loans'!$F"&amp;'My Loans'!$N$17),K102+L102)))</f>
        <v>0</v>
      </c>
      <c r="N102" s="13">
        <f ca="1">IF(A102=1,IF(OR('My Loans'!$N$18="",'My Loans'!$N$18=0),0,INDIRECT("'My Loans'!$D"&amp;'My Loans'!$N$18)),AY101)</f>
        <v>0</v>
      </c>
      <c r="O102" s="13">
        <f ca="1">IF(OR('My Loans'!$N$18="",'My Loans'!$N$18=0),0,N102*INDIRECT("'My Loans'!$E"&amp;'My Loans'!$N$18)/12)</f>
        <v>0</v>
      </c>
      <c r="P102" s="13">
        <f ca="1">IF(OR('My Loans'!$N$18="",'My Loans'!$N$18=0),0,IF(N102&lt;0.005,0,MIN(INDIRECT("'My Loans'!$F"&amp;'My Loans'!$N$18),N102+O102)))</f>
        <v>0</v>
      </c>
      <c r="Q102" s="13">
        <f ca="1">IF(A102=1,IF(OR('My Loans'!$N$19="",'My Loans'!$N$19=0),0,INDIRECT("'My Loans'!$D"&amp;'My Loans'!$N$19)),BD101)</f>
        <v>0</v>
      </c>
      <c r="R102" s="13">
        <f ca="1">IF(OR('My Loans'!$N$19="",'My Loans'!$N$19=0),0,Q102*INDIRECT("'My Loans'!$E"&amp;'My Loans'!$N$19)/12)</f>
        <v>0</v>
      </c>
      <c r="S102" s="13">
        <f ca="1">IF(OR('My Loans'!$N$19="",'My Loans'!$N$19=0),0,IF(Q102&lt;0.005,0,MIN(INDIRECT("'My Loans'!$F"&amp;'My Loans'!$N$19),Q102+R102)))</f>
        <v>0</v>
      </c>
      <c r="T102" s="13">
        <f ca="1">IF(A102=1,IF(OR('My Loans'!$N$20="",'My Loans'!$N$20=0),0,INDIRECT("'My Loans'!$D"&amp;'My Loans'!$N$20)),BI101)</f>
        <v>0</v>
      </c>
      <c r="U102" s="13">
        <f ca="1">IF(OR('My Loans'!$N$20="",'My Loans'!$N$20=0),0,T102*INDIRECT("'My Loans'!$E"&amp;'My Loans'!$N$20)/12)</f>
        <v>0</v>
      </c>
      <c r="V102" s="13">
        <f ca="1">IF(OR('My Loans'!$N$20="",'My Loans'!$N$20=0),0,IF(T102&lt;0.005,0,MIN(INDIRECT("'My Loans'!$F"&amp;'My Loans'!$N$20),T102+U102)))</f>
        <v>0</v>
      </c>
      <c r="W102" s="13">
        <f ca="1">IF(A102=1,IF(OR('My Loans'!$N$21="",'My Loans'!$N$21=0),0,INDIRECT("'My Loans'!$D"&amp;'My Loans'!$N$21)),BN101)</f>
        <v>0</v>
      </c>
      <c r="X102" s="13">
        <f ca="1">IF(OR('My Loans'!$N$21="",'My Loans'!$N$21=0),0,W102*INDIRECT("'My Loans'!$E"&amp;'My Loans'!$N$21)/12)</f>
        <v>0</v>
      </c>
      <c r="Y102" s="13">
        <f ca="1">IF(OR('My Loans'!$N$21="",'My Loans'!$N$21=0),0,IF(W102&lt;0.005,0,MIN(INDIRECT("'My Loans'!$F"&amp;'My Loans'!$N$21),W102+X102)))</f>
        <v>0</v>
      </c>
      <c r="Z102" s="13">
        <f ca="1">'My Loans'!$B$13-(D102+G102+J102+M102+P102+S102+V102+Y102)</f>
        <v>1400</v>
      </c>
      <c r="AA102" s="13">
        <f t="shared" ca="1" si="129"/>
        <v>1400</v>
      </c>
      <c r="AB102" s="13">
        <f t="shared" ca="1" si="130"/>
        <v>0</v>
      </c>
      <c r="AC102" s="13">
        <f t="shared" ca="1" si="131"/>
        <v>0</v>
      </c>
      <c r="AD102" s="13">
        <f t="shared" ca="1" si="132"/>
        <v>0</v>
      </c>
      <c r="AE102" s="13">
        <f t="shared" ca="1" si="133"/>
        <v>0</v>
      </c>
      <c r="AF102" s="13">
        <f t="shared" ca="1" si="134"/>
        <v>1400</v>
      </c>
      <c r="AG102" s="13">
        <f t="shared" ca="1" si="135"/>
        <v>0</v>
      </c>
      <c r="AH102" s="13">
        <f t="shared" ca="1" si="136"/>
        <v>0</v>
      </c>
      <c r="AI102" s="13">
        <f t="shared" ca="1" si="137"/>
        <v>0</v>
      </c>
      <c r="AJ102" s="13">
        <f t="shared" ca="1" si="138"/>
        <v>0</v>
      </c>
      <c r="AK102" s="13">
        <f t="shared" ca="1" si="139"/>
        <v>1400</v>
      </c>
      <c r="AL102" s="13">
        <f t="shared" ca="1" si="140"/>
        <v>0</v>
      </c>
      <c r="AM102" s="13">
        <f t="shared" ca="1" si="141"/>
        <v>0</v>
      </c>
      <c r="AN102" s="13">
        <f t="shared" ca="1" si="142"/>
        <v>0</v>
      </c>
      <c r="AO102" s="13">
        <f t="shared" ca="1" si="143"/>
        <v>0</v>
      </c>
      <c r="AP102" s="13">
        <f t="shared" ca="1" si="144"/>
        <v>1400</v>
      </c>
      <c r="AQ102" s="13">
        <f t="shared" ca="1" si="145"/>
        <v>0</v>
      </c>
      <c r="AR102" s="13">
        <f t="shared" ca="1" si="146"/>
        <v>0</v>
      </c>
      <c r="AS102" s="13">
        <f t="shared" ca="1" si="147"/>
        <v>0</v>
      </c>
      <c r="AT102" s="13">
        <f t="shared" ca="1" si="148"/>
        <v>0</v>
      </c>
      <c r="AU102" s="13">
        <f t="shared" ca="1" si="149"/>
        <v>1400</v>
      </c>
      <c r="AV102" s="13">
        <f t="shared" ca="1" si="150"/>
        <v>0</v>
      </c>
      <c r="AW102" s="13">
        <f t="shared" ca="1" si="151"/>
        <v>0</v>
      </c>
      <c r="AX102" s="13">
        <f t="shared" ca="1" si="152"/>
        <v>0</v>
      </c>
      <c r="AY102" s="13">
        <f t="shared" ca="1" si="153"/>
        <v>0</v>
      </c>
      <c r="AZ102" s="13">
        <f t="shared" ca="1" si="154"/>
        <v>1400</v>
      </c>
      <c r="BA102" s="13">
        <f t="shared" ca="1" si="155"/>
        <v>0</v>
      </c>
      <c r="BB102" s="13">
        <f t="shared" ca="1" si="156"/>
        <v>0</v>
      </c>
      <c r="BC102" s="13">
        <f t="shared" ca="1" si="157"/>
        <v>0</v>
      </c>
      <c r="BD102" s="13">
        <f t="shared" ca="1" si="158"/>
        <v>0</v>
      </c>
      <c r="BE102" s="13">
        <f t="shared" ca="1" si="159"/>
        <v>1400</v>
      </c>
      <c r="BF102" s="13">
        <f t="shared" ca="1" si="160"/>
        <v>0</v>
      </c>
      <c r="BG102" s="13">
        <f t="shared" ca="1" si="161"/>
        <v>0</v>
      </c>
      <c r="BH102" s="13">
        <f t="shared" ca="1" si="162"/>
        <v>0</v>
      </c>
      <c r="BI102" s="13">
        <f t="shared" ca="1" si="163"/>
        <v>0</v>
      </c>
      <c r="BJ102" s="13">
        <f t="shared" ca="1" si="164"/>
        <v>1400</v>
      </c>
      <c r="BK102" s="13">
        <f t="shared" ca="1" si="165"/>
        <v>0</v>
      </c>
      <c r="BL102" s="13">
        <f t="shared" ca="1" si="166"/>
        <v>0</v>
      </c>
      <c r="BM102" s="13">
        <f t="shared" ca="1" si="167"/>
        <v>0</v>
      </c>
      <c r="BN102" s="13">
        <f t="shared" ca="1" si="168"/>
        <v>0</v>
      </c>
      <c r="BO102" s="13">
        <f t="shared" ca="1" si="169"/>
        <v>0</v>
      </c>
      <c r="BP102" s="13">
        <f t="shared" ca="1" si="170"/>
        <v>0</v>
      </c>
      <c r="BQ102" s="13">
        <f t="shared" ca="1" si="171"/>
        <v>0</v>
      </c>
    </row>
    <row r="103" spans="1:69" x14ac:dyDescent="0.25">
      <c r="A103" s="1">
        <v>102</v>
      </c>
      <c r="B103" s="13">
        <f ca="1">IF(A103=1,IF(OR('My Loans'!$N$14="",'My Loans'!$N$14=0),0,INDIRECT("'My Loans'!$D"&amp;'My Loans'!$N$14)),AE102)</f>
        <v>0</v>
      </c>
      <c r="C103" s="13">
        <f ca="1">IF(OR('My Loans'!$N$14="",'My Loans'!$N$14=0),0,B103*INDIRECT("'My Loans'!$E"&amp;'My Loans'!$N$14)/12)</f>
        <v>0</v>
      </c>
      <c r="D103" s="13">
        <f ca="1">IF(OR('My Loans'!$N$14="",'My Loans'!$N$14=0),0,IF(B103&lt;0.005,0,MIN(INDIRECT("'My Loans'!$F"&amp;'My Loans'!$N$14),B103+C103)))</f>
        <v>0</v>
      </c>
      <c r="E103" s="13">
        <f ca="1">IF(A103=1,IF(OR('My Loans'!$N$15="",'My Loans'!$N$15=0),0,INDIRECT("'My Loans'!$D"&amp;'My Loans'!$N$15)),AJ102)</f>
        <v>0</v>
      </c>
      <c r="F103" s="13">
        <f ca="1">IF(OR('My Loans'!$N$15="",'My Loans'!$N$15=0),0,E103*INDIRECT("'My Loans'!$E"&amp;'My Loans'!$N$15)/12)</f>
        <v>0</v>
      </c>
      <c r="G103" s="13">
        <f ca="1">IF(OR('My Loans'!$N$15="",'My Loans'!$N$15=0),0,IF(E103&lt;0.005,0,MIN(INDIRECT("'My Loans'!$F"&amp;'My Loans'!$N$15),E103+F103)))</f>
        <v>0</v>
      </c>
      <c r="H103" s="13">
        <f ca="1">IF(A103=1,IF(OR('My Loans'!$N$16="",'My Loans'!$N$16=0),0,INDIRECT("'My Loans'!$D"&amp;'My Loans'!$N$16)),AO102)</f>
        <v>0</v>
      </c>
      <c r="I103" s="13">
        <f ca="1">IF(OR('My Loans'!$N$16="",'My Loans'!$N$16=0),0,H103*INDIRECT("'My Loans'!$E"&amp;'My Loans'!$N$16)/12)</f>
        <v>0</v>
      </c>
      <c r="J103" s="13">
        <f ca="1">IF(OR('My Loans'!$N$16="",'My Loans'!$N$16=0),0,IF(H103&lt;0.005,0,MIN(INDIRECT("'My Loans'!$F"&amp;'My Loans'!$N$16),H103+I103)))</f>
        <v>0</v>
      </c>
      <c r="K103" s="13">
        <f ca="1">IF(A103=1,IF(OR('My Loans'!$N$17="",'My Loans'!$N$17=0),0,INDIRECT("'My Loans'!$D"&amp;'My Loans'!$N$17)),AT102)</f>
        <v>0</v>
      </c>
      <c r="L103" s="13">
        <f ca="1">IF(OR('My Loans'!$N$17="",'My Loans'!$N$17=0),0,K103*INDIRECT("'My Loans'!$E"&amp;'My Loans'!$N$17)/12)</f>
        <v>0</v>
      </c>
      <c r="M103" s="13">
        <f ca="1">IF(OR('My Loans'!$N$17="",'My Loans'!$N$17=0),0,IF(K103&lt;0.005,0,MIN(INDIRECT("'My Loans'!$F"&amp;'My Loans'!$N$17),K103+L103)))</f>
        <v>0</v>
      </c>
      <c r="N103" s="13">
        <f ca="1">IF(A103=1,IF(OR('My Loans'!$N$18="",'My Loans'!$N$18=0),0,INDIRECT("'My Loans'!$D"&amp;'My Loans'!$N$18)),AY102)</f>
        <v>0</v>
      </c>
      <c r="O103" s="13">
        <f ca="1">IF(OR('My Loans'!$N$18="",'My Loans'!$N$18=0),0,N103*INDIRECT("'My Loans'!$E"&amp;'My Loans'!$N$18)/12)</f>
        <v>0</v>
      </c>
      <c r="P103" s="13">
        <f ca="1">IF(OR('My Loans'!$N$18="",'My Loans'!$N$18=0),0,IF(N103&lt;0.005,0,MIN(INDIRECT("'My Loans'!$F"&amp;'My Loans'!$N$18),N103+O103)))</f>
        <v>0</v>
      </c>
      <c r="Q103" s="13">
        <f ca="1">IF(A103=1,IF(OR('My Loans'!$N$19="",'My Loans'!$N$19=0),0,INDIRECT("'My Loans'!$D"&amp;'My Loans'!$N$19)),BD102)</f>
        <v>0</v>
      </c>
      <c r="R103" s="13">
        <f ca="1">IF(OR('My Loans'!$N$19="",'My Loans'!$N$19=0),0,Q103*INDIRECT("'My Loans'!$E"&amp;'My Loans'!$N$19)/12)</f>
        <v>0</v>
      </c>
      <c r="S103" s="13">
        <f ca="1">IF(OR('My Loans'!$N$19="",'My Loans'!$N$19=0),0,IF(Q103&lt;0.005,0,MIN(INDIRECT("'My Loans'!$F"&amp;'My Loans'!$N$19),Q103+R103)))</f>
        <v>0</v>
      </c>
      <c r="T103" s="13">
        <f ca="1">IF(A103=1,IF(OR('My Loans'!$N$20="",'My Loans'!$N$20=0),0,INDIRECT("'My Loans'!$D"&amp;'My Loans'!$N$20)),BI102)</f>
        <v>0</v>
      </c>
      <c r="U103" s="13">
        <f ca="1">IF(OR('My Loans'!$N$20="",'My Loans'!$N$20=0),0,T103*INDIRECT("'My Loans'!$E"&amp;'My Loans'!$N$20)/12)</f>
        <v>0</v>
      </c>
      <c r="V103" s="13">
        <f ca="1">IF(OR('My Loans'!$N$20="",'My Loans'!$N$20=0),0,IF(T103&lt;0.005,0,MIN(INDIRECT("'My Loans'!$F"&amp;'My Loans'!$N$20),T103+U103)))</f>
        <v>0</v>
      </c>
      <c r="W103" s="13">
        <f ca="1">IF(A103=1,IF(OR('My Loans'!$N$21="",'My Loans'!$N$21=0),0,INDIRECT("'My Loans'!$D"&amp;'My Loans'!$N$21)),BN102)</f>
        <v>0</v>
      </c>
      <c r="X103" s="13">
        <f ca="1">IF(OR('My Loans'!$N$21="",'My Loans'!$N$21=0),0,W103*INDIRECT("'My Loans'!$E"&amp;'My Loans'!$N$21)/12)</f>
        <v>0</v>
      </c>
      <c r="Y103" s="13">
        <f ca="1">IF(OR('My Loans'!$N$21="",'My Loans'!$N$21=0),0,IF(W103&lt;0.005,0,MIN(INDIRECT("'My Loans'!$F"&amp;'My Loans'!$N$21),W103+X103)))</f>
        <v>0</v>
      </c>
      <c r="Z103" s="13">
        <f ca="1">'My Loans'!$B$13-(D103+G103+J103+M103+P103+S103+V103+Y103)</f>
        <v>1400</v>
      </c>
      <c r="AA103" s="13">
        <f t="shared" ca="1" si="129"/>
        <v>1400</v>
      </c>
      <c r="AB103" s="13">
        <f t="shared" ca="1" si="130"/>
        <v>0</v>
      </c>
      <c r="AC103" s="13">
        <f t="shared" ca="1" si="131"/>
        <v>0</v>
      </c>
      <c r="AD103" s="13">
        <f t="shared" ca="1" si="132"/>
        <v>0</v>
      </c>
      <c r="AE103" s="13">
        <f t="shared" ca="1" si="133"/>
        <v>0</v>
      </c>
      <c r="AF103" s="13">
        <f t="shared" ca="1" si="134"/>
        <v>1400</v>
      </c>
      <c r="AG103" s="13">
        <f t="shared" ca="1" si="135"/>
        <v>0</v>
      </c>
      <c r="AH103" s="13">
        <f t="shared" ca="1" si="136"/>
        <v>0</v>
      </c>
      <c r="AI103" s="13">
        <f t="shared" ca="1" si="137"/>
        <v>0</v>
      </c>
      <c r="AJ103" s="13">
        <f t="shared" ca="1" si="138"/>
        <v>0</v>
      </c>
      <c r="AK103" s="13">
        <f t="shared" ca="1" si="139"/>
        <v>1400</v>
      </c>
      <c r="AL103" s="13">
        <f t="shared" ca="1" si="140"/>
        <v>0</v>
      </c>
      <c r="AM103" s="13">
        <f t="shared" ca="1" si="141"/>
        <v>0</v>
      </c>
      <c r="AN103" s="13">
        <f t="shared" ca="1" si="142"/>
        <v>0</v>
      </c>
      <c r="AO103" s="13">
        <f t="shared" ca="1" si="143"/>
        <v>0</v>
      </c>
      <c r="AP103" s="13">
        <f t="shared" ca="1" si="144"/>
        <v>1400</v>
      </c>
      <c r="AQ103" s="13">
        <f t="shared" ca="1" si="145"/>
        <v>0</v>
      </c>
      <c r="AR103" s="13">
        <f t="shared" ca="1" si="146"/>
        <v>0</v>
      </c>
      <c r="AS103" s="13">
        <f t="shared" ca="1" si="147"/>
        <v>0</v>
      </c>
      <c r="AT103" s="13">
        <f t="shared" ca="1" si="148"/>
        <v>0</v>
      </c>
      <c r="AU103" s="13">
        <f t="shared" ca="1" si="149"/>
        <v>1400</v>
      </c>
      <c r="AV103" s="13">
        <f t="shared" ca="1" si="150"/>
        <v>0</v>
      </c>
      <c r="AW103" s="13">
        <f t="shared" ca="1" si="151"/>
        <v>0</v>
      </c>
      <c r="AX103" s="13">
        <f t="shared" ca="1" si="152"/>
        <v>0</v>
      </c>
      <c r="AY103" s="13">
        <f t="shared" ca="1" si="153"/>
        <v>0</v>
      </c>
      <c r="AZ103" s="13">
        <f t="shared" ca="1" si="154"/>
        <v>1400</v>
      </c>
      <c r="BA103" s="13">
        <f t="shared" ca="1" si="155"/>
        <v>0</v>
      </c>
      <c r="BB103" s="13">
        <f t="shared" ca="1" si="156"/>
        <v>0</v>
      </c>
      <c r="BC103" s="13">
        <f t="shared" ca="1" si="157"/>
        <v>0</v>
      </c>
      <c r="BD103" s="13">
        <f t="shared" ca="1" si="158"/>
        <v>0</v>
      </c>
      <c r="BE103" s="13">
        <f t="shared" ca="1" si="159"/>
        <v>1400</v>
      </c>
      <c r="BF103" s="13">
        <f t="shared" ca="1" si="160"/>
        <v>0</v>
      </c>
      <c r="BG103" s="13">
        <f t="shared" ca="1" si="161"/>
        <v>0</v>
      </c>
      <c r="BH103" s="13">
        <f t="shared" ca="1" si="162"/>
        <v>0</v>
      </c>
      <c r="BI103" s="13">
        <f t="shared" ca="1" si="163"/>
        <v>0</v>
      </c>
      <c r="BJ103" s="13">
        <f t="shared" ca="1" si="164"/>
        <v>1400</v>
      </c>
      <c r="BK103" s="13">
        <f t="shared" ca="1" si="165"/>
        <v>0</v>
      </c>
      <c r="BL103" s="13">
        <f t="shared" ca="1" si="166"/>
        <v>0</v>
      </c>
      <c r="BM103" s="13">
        <f t="shared" ca="1" si="167"/>
        <v>0</v>
      </c>
      <c r="BN103" s="13">
        <f t="shared" ca="1" si="168"/>
        <v>0</v>
      </c>
      <c r="BO103" s="13">
        <f t="shared" ca="1" si="169"/>
        <v>0</v>
      </c>
      <c r="BP103" s="13">
        <f t="shared" ca="1" si="170"/>
        <v>0</v>
      </c>
      <c r="BQ103" s="13">
        <f t="shared" ca="1" si="171"/>
        <v>0</v>
      </c>
    </row>
    <row r="104" spans="1:69" x14ac:dyDescent="0.25">
      <c r="A104" s="1">
        <v>103</v>
      </c>
      <c r="B104" s="13">
        <f ca="1">IF(A104=1,IF(OR('My Loans'!$N$14="",'My Loans'!$N$14=0),0,INDIRECT("'My Loans'!$D"&amp;'My Loans'!$N$14)),AE103)</f>
        <v>0</v>
      </c>
      <c r="C104" s="13">
        <f ca="1">IF(OR('My Loans'!$N$14="",'My Loans'!$N$14=0),0,B104*INDIRECT("'My Loans'!$E"&amp;'My Loans'!$N$14)/12)</f>
        <v>0</v>
      </c>
      <c r="D104" s="13">
        <f ca="1">IF(OR('My Loans'!$N$14="",'My Loans'!$N$14=0),0,IF(B104&lt;0.005,0,MIN(INDIRECT("'My Loans'!$F"&amp;'My Loans'!$N$14),B104+C104)))</f>
        <v>0</v>
      </c>
      <c r="E104" s="13">
        <f ca="1">IF(A104=1,IF(OR('My Loans'!$N$15="",'My Loans'!$N$15=0),0,INDIRECT("'My Loans'!$D"&amp;'My Loans'!$N$15)),AJ103)</f>
        <v>0</v>
      </c>
      <c r="F104" s="13">
        <f ca="1">IF(OR('My Loans'!$N$15="",'My Loans'!$N$15=0),0,E104*INDIRECT("'My Loans'!$E"&amp;'My Loans'!$N$15)/12)</f>
        <v>0</v>
      </c>
      <c r="G104" s="13">
        <f ca="1">IF(OR('My Loans'!$N$15="",'My Loans'!$N$15=0),0,IF(E104&lt;0.005,0,MIN(INDIRECT("'My Loans'!$F"&amp;'My Loans'!$N$15),E104+F104)))</f>
        <v>0</v>
      </c>
      <c r="H104" s="13">
        <f ca="1">IF(A104=1,IF(OR('My Loans'!$N$16="",'My Loans'!$N$16=0),0,INDIRECT("'My Loans'!$D"&amp;'My Loans'!$N$16)),AO103)</f>
        <v>0</v>
      </c>
      <c r="I104" s="13">
        <f ca="1">IF(OR('My Loans'!$N$16="",'My Loans'!$N$16=0),0,H104*INDIRECT("'My Loans'!$E"&amp;'My Loans'!$N$16)/12)</f>
        <v>0</v>
      </c>
      <c r="J104" s="13">
        <f ca="1">IF(OR('My Loans'!$N$16="",'My Loans'!$N$16=0),0,IF(H104&lt;0.005,0,MIN(INDIRECT("'My Loans'!$F"&amp;'My Loans'!$N$16),H104+I104)))</f>
        <v>0</v>
      </c>
      <c r="K104" s="13">
        <f ca="1">IF(A104=1,IF(OR('My Loans'!$N$17="",'My Loans'!$N$17=0),0,INDIRECT("'My Loans'!$D"&amp;'My Loans'!$N$17)),AT103)</f>
        <v>0</v>
      </c>
      <c r="L104" s="13">
        <f ca="1">IF(OR('My Loans'!$N$17="",'My Loans'!$N$17=0),0,K104*INDIRECT("'My Loans'!$E"&amp;'My Loans'!$N$17)/12)</f>
        <v>0</v>
      </c>
      <c r="M104" s="13">
        <f ca="1">IF(OR('My Loans'!$N$17="",'My Loans'!$N$17=0),0,IF(K104&lt;0.005,0,MIN(INDIRECT("'My Loans'!$F"&amp;'My Loans'!$N$17),K104+L104)))</f>
        <v>0</v>
      </c>
      <c r="N104" s="13">
        <f ca="1">IF(A104=1,IF(OR('My Loans'!$N$18="",'My Loans'!$N$18=0),0,INDIRECT("'My Loans'!$D"&amp;'My Loans'!$N$18)),AY103)</f>
        <v>0</v>
      </c>
      <c r="O104" s="13">
        <f ca="1">IF(OR('My Loans'!$N$18="",'My Loans'!$N$18=0),0,N104*INDIRECT("'My Loans'!$E"&amp;'My Loans'!$N$18)/12)</f>
        <v>0</v>
      </c>
      <c r="P104" s="13">
        <f ca="1">IF(OR('My Loans'!$N$18="",'My Loans'!$N$18=0),0,IF(N104&lt;0.005,0,MIN(INDIRECT("'My Loans'!$F"&amp;'My Loans'!$N$18),N104+O104)))</f>
        <v>0</v>
      </c>
      <c r="Q104" s="13">
        <f ca="1">IF(A104=1,IF(OR('My Loans'!$N$19="",'My Loans'!$N$19=0),0,INDIRECT("'My Loans'!$D"&amp;'My Loans'!$N$19)),BD103)</f>
        <v>0</v>
      </c>
      <c r="R104" s="13">
        <f ca="1">IF(OR('My Loans'!$N$19="",'My Loans'!$N$19=0),0,Q104*INDIRECT("'My Loans'!$E"&amp;'My Loans'!$N$19)/12)</f>
        <v>0</v>
      </c>
      <c r="S104" s="13">
        <f ca="1">IF(OR('My Loans'!$N$19="",'My Loans'!$N$19=0),0,IF(Q104&lt;0.005,0,MIN(INDIRECT("'My Loans'!$F"&amp;'My Loans'!$N$19),Q104+R104)))</f>
        <v>0</v>
      </c>
      <c r="T104" s="13">
        <f ca="1">IF(A104=1,IF(OR('My Loans'!$N$20="",'My Loans'!$N$20=0),0,INDIRECT("'My Loans'!$D"&amp;'My Loans'!$N$20)),BI103)</f>
        <v>0</v>
      </c>
      <c r="U104" s="13">
        <f ca="1">IF(OR('My Loans'!$N$20="",'My Loans'!$N$20=0),0,T104*INDIRECT("'My Loans'!$E"&amp;'My Loans'!$N$20)/12)</f>
        <v>0</v>
      </c>
      <c r="V104" s="13">
        <f ca="1">IF(OR('My Loans'!$N$20="",'My Loans'!$N$20=0),0,IF(T104&lt;0.005,0,MIN(INDIRECT("'My Loans'!$F"&amp;'My Loans'!$N$20),T104+U104)))</f>
        <v>0</v>
      </c>
      <c r="W104" s="13">
        <f ca="1">IF(A104=1,IF(OR('My Loans'!$N$21="",'My Loans'!$N$21=0),0,INDIRECT("'My Loans'!$D"&amp;'My Loans'!$N$21)),BN103)</f>
        <v>0</v>
      </c>
      <c r="X104" s="13">
        <f ca="1">IF(OR('My Loans'!$N$21="",'My Loans'!$N$21=0),0,W104*INDIRECT("'My Loans'!$E"&amp;'My Loans'!$N$21)/12)</f>
        <v>0</v>
      </c>
      <c r="Y104" s="13">
        <f ca="1">IF(OR('My Loans'!$N$21="",'My Loans'!$N$21=0),0,IF(W104&lt;0.005,0,MIN(INDIRECT("'My Loans'!$F"&amp;'My Loans'!$N$21),W104+X104)))</f>
        <v>0</v>
      </c>
      <c r="Z104" s="13">
        <f ca="1">'My Loans'!$B$13-(D104+G104+J104+M104+P104+S104+V104+Y104)</f>
        <v>1400</v>
      </c>
      <c r="AA104" s="13">
        <f t="shared" ca="1" si="129"/>
        <v>1400</v>
      </c>
      <c r="AB104" s="13">
        <f t="shared" ca="1" si="130"/>
        <v>0</v>
      </c>
      <c r="AC104" s="13">
        <f t="shared" ca="1" si="131"/>
        <v>0</v>
      </c>
      <c r="AD104" s="13">
        <f t="shared" ca="1" si="132"/>
        <v>0</v>
      </c>
      <c r="AE104" s="13">
        <f t="shared" ca="1" si="133"/>
        <v>0</v>
      </c>
      <c r="AF104" s="13">
        <f t="shared" ca="1" si="134"/>
        <v>1400</v>
      </c>
      <c r="AG104" s="13">
        <f t="shared" ca="1" si="135"/>
        <v>0</v>
      </c>
      <c r="AH104" s="13">
        <f t="shared" ca="1" si="136"/>
        <v>0</v>
      </c>
      <c r="AI104" s="13">
        <f t="shared" ca="1" si="137"/>
        <v>0</v>
      </c>
      <c r="AJ104" s="13">
        <f t="shared" ca="1" si="138"/>
        <v>0</v>
      </c>
      <c r="AK104" s="13">
        <f t="shared" ca="1" si="139"/>
        <v>1400</v>
      </c>
      <c r="AL104" s="13">
        <f t="shared" ca="1" si="140"/>
        <v>0</v>
      </c>
      <c r="AM104" s="13">
        <f t="shared" ca="1" si="141"/>
        <v>0</v>
      </c>
      <c r="AN104" s="13">
        <f t="shared" ca="1" si="142"/>
        <v>0</v>
      </c>
      <c r="AO104" s="13">
        <f t="shared" ca="1" si="143"/>
        <v>0</v>
      </c>
      <c r="AP104" s="13">
        <f t="shared" ca="1" si="144"/>
        <v>1400</v>
      </c>
      <c r="AQ104" s="13">
        <f t="shared" ca="1" si="145"/>
        <v>0</v>
      </c>
      <c r="AR104" s="13">
        <f t="shared" ca="1" si="146"/>
        <v>0</v>
      </c>
      <c r="AS104" s="13">
        <f t="shared" ca="1" si="147"/>
        <v>0</v>
      </c>
      <c r="AT104" s="13">
        <f t="shared" ca="1" si="148"/>
        <v>0</v>
      </c>
      <c r="AU104" s="13">
        <f t="shared" ca="1" si="149"/>
        <v>1400</v>
      </c>
      <c r="AV104" s="13">
        <f t="shared" ca="1" si="150"/>
        <v>0</v>
      </c>
      <c r="AW104" s="13">
        <f t="shared" ca="1" si="151"/>
        <v>0</v>
      </c>
      <c r="AX104" s="13">
        <f t="shared" ca="1" si="152"/>
        <v>0</v>
      </c>
      <c r="AY104" s="13">
        <f t="shared" ca="1" si="153"/>
        <v>0</v>
      </c>
      <c r="AZ104" s="13">
        <f t="shared" ca="1" si="154"/>
        <v>1400</v>
      </c>
      <c r="BA104" s="13">
        <f t="shared" ca="1" si="155"/>
        <v>0</v>
      </c>
      <c r="BB104" s="13">
        <f t="shared" ca="1" si="156"/>
        <v>0</v>
      </c>
      <c r="BC104" s="13">
        <f t="shared" ca="1" si="157"/>
        <v>0</v>
      </c>
      <c r="BD104" s="13">
        <f t="shared" ca="1" si="158"/>
        <v>0</v>
      </c>
      <c r="BE104" s="13">
        <f t="shared" ca="1" si="159"/>
        <v>1400</v>
      </c>
      <c r="BF104" s="13">
        <f t="shared" ca="1" si="160"/>
        <v>0</v>
      </c>
      <c r="BG104" s="13">
        <f t="shared" ca="1" si="161"/>
        <v>0</v>
      </c>
      <c r="BH104" s="13">
        <f t="shared" ca="1" si="162"/>
        <v>0</v>
      </c>
      <c r="BI104" s="13">
        <f t="shared" ca="1" si="163"/>
        <v>0</v>
      </c>
      <c r="BJ104" s="13">
        <f t="shared" ca="1" si="164"/>
        <v>1400</v>
      </c>
      <c r="BK104" s="13">
        <f t="shared" ca="1" si="165"/>
        <v>0</v>
      </c>
      <c r="BL104" s="13">
        <f t="shared" ca="1" si="166"/>
        <v>0</v>
      </c>
      <c r="BM104" s="13">
        <f t="shared" ca="1" si="167"/>
        <v>0</v>
      </c>
      <c r="BN104" s="13">
        <f t="shared" ca="1" si="168"/>
        <v>0</v>
      </c>
      <c r="BO104" s="13">
        <f t="shared" ca="1" si="169"/>
        <v>0</v>
      </c>
      <c r="BP104" s="13">
        <f t="shared" ca="1" si="170"/>
        <v>0</v>
      </c>
      <c r="BQ104" s="13">
        <f t="shared" ca="1" si="171"/>
        <v>0</v>
      </c>
    </row>
    <row r="105" spans="1:69" x14ac:dyDescent="0.25">
      <c r="A105" s="1">
        <v>104</v>
      </c>
      <c r="B105" s="13">
        <f ca="1">IF(A105=1,IF(OR('My Loans'!$N$14="",'My Loans'!$N$14=0),0,INDIRECT("'My Loans'!$D"&amp;'My Loans'!$N$14)),AE104)</f>
        <v>0</v>
      </c>
      <c r="C105" s="13">
        <f ca="1">IF(OR('My Loans'!$N$14="",'My Loans'!$N$14=0),0,B105*INDIRECT("'My Loans'!$E"&amp;'My Loans'!$N$14)/12)</f>
        <v>0</v>
      </c>
      <c r="D105" s="13">
        <f ca="1">IF(OR('My Loans'!$N$14="",'My Loans'!$N$14=0),0,IF(B105&lt;0.005,0,MIN(INDIRECT("'My Loans'!$F"&amp;'My Loans'!$N$14),B105+C105)))</f>
        <v>0</v>
      </c>
      <c r="E105" s="13">
        <f ca="1">IF(A105=1,IF(OR('My Loans'!$N$15="",'My Loans'!$N$15=0),0,INDIRECT("'My Loans'!$D"&amp;'My Loans'!$N$15)),AJ104)</f>
        <v>0</v>
      </c>
      <c r="F105" s="13">
        <f ca="1">IF(OR('My Loans'!$N$15="",'My Loans'!$N$15=0),0,E105*INDIRECT("'My Loans'!$E"&amp;'My Loans'!$N$15)/12)</f>
        <v>0</v>
      </c>
      <c r="G105" s="13">
        <f ca="1">IF(OR('My Loans'!$N$15="",'My Loans'!$N$15=0),0,IF(E105&lt;0.005,0,MIN(INDIRECT("'My Loans'!$F"&amp;'My Loans'!$N$15),E105+F105)))</f>
        <v>0</v>
      </c>
      <c r="H105" s="13">
        <f ca="1">IF(A105=1,IF(OR('My Loans'!$N$16="",'My Loans'!$N$16=0),0,INDIRECT("'My Loans'!$D"&amp;'My Loans'!$N$16)),AO104)</f>
        <v>0</v>
      </c>
      <c r="I105" s="13">
        <f ca="1">IF(OR('My Loans'!$N$16="",'My Loans'!$N$16=0),0,H105*INDIRECT("'My Loans'!$E"&amp;'My Loans'!$N$16)/12)</f>
        <v>0</v>
      </c>
      <c r="J105" s="13">
        <f ca="1">IF(OR('My Loans'!$N$16="",'My Loans'!$N$16=0),0,IF(H105&lt;0.005,0,MIN(INDIRECT("'My Loans'!$F"&amp;'My Loans'!$N$16),H105+I105)))</f>
        <v>0</v>
      </c>
      <c r="K105" s="13">
        <f ca="1">IF(A105=1,IF(OR('My Loans'!$N$17="",'My Loans'!$N$17=0),0,INDIRECT("'My Loans'!$D"&amp;'My Loans'!$N$17)),AT104)</f>
        <v>0</v>
      </c>
      <c r="L105" s="13">
        <f ca="1">IF(OR('My Loans'!$N$17="",'My Loans'!$N$17=0),0,K105*INDIRECT("'My Loans'!$E"&amp;'My Loans'!$N$17)/12)</f>
        <v>0</v>
      </c>
      <c r="M105" s="13">
        <f ca="1">IF(OR('My Loans'!$N$17="",'My Loans'!$N$17=0),0,IF(K105&lt;0.005,0,MIN(INDIRECT("'My Loans'!$F"&amp;'My Loans'!$N$17),K105+L105)))</f>
        <v>0</v>
      </c>
      <c r="N105" s="13">
        <f ca="1">IF(A105=1,IF(OR('My Loans'!$N$18="",'My Loans'!$N$18=0),0,INDIRECT("'My Loans'!$D"&amp;'My Loans'!$N$18)),AY104)</f>
        <v>0</v>
      </c>
      <c r="O105" s="13">
        <f ca="1">IF(OR('My Loans'!$N$18="",'My Loans'!$N$18=0),0,N105*INDIRECT("'My Loans'!$E"&amp;'My Loans'!$N$18)/12)</f>
        <v>0</v>
      </c>
      <c r="P105" s="13">
        <f ca="1">IF(OR('My Loans'!$N$18="",'My Loans'!$N$18=0),0,IF(N105&lt;0.005,0,MIN(INDIRECT("'My Loans'!$F"&amp;'My Loans'!$N$18),N105+O105)))</f>
        <v>0</v>
      </c>
      <c r="Q105" s="13">
        <f ca="1">IF(A105=1,IF(OR('My Loans'!$N$19="",'My Loans'!$N$19=0),0,INDIRECT("'My Loans'!$D"&amp;'My Loans'!$N$19)),BD104)</f>
        <v>0</v>
      </c>
      <c r="R105" s="13">
        <f ca="1">IF(OR('My Loans'!$N$19="",'My Loans'!$N$19=0),0,Q105*INDIRECT("'My Loans'!$E"&amp;'My Loans'!$N$19)/12)</f>
        <v>0</v>
      </c>
      <c r="S105" s="13">
        <f ca="1">IF(OR('My Loans'!$N$19="",'My Loans'!$N$19=0),0,IF(Q105&lt;0.005,0,MIN(INDIRECT("'My Loans'!$F"&amp;'My Loans'!$N$19),Q105+R105)))</f>
        <v>0</v>
      </c>
      <c r="T105" s="13">
        <f ca="1">IF(A105=1,IF(OR('My Loans'!$N$20="",'My Loans'!$N$20=0),0,INDIRECT("'My Loans'!$D"&amp;'My Loans'!$N$20)),BI104)</f>
        <v>0</v>
      </c>
      <c r="U105" s="13">
        <f ca="1">IF(OR('My Loans'!$N$20="",'My Loans'!$N$20=0),0,T105*INDIRECT("'My Loans'!$E"&amp;'My Loans'!$N$20)/12)</f>
        <v>0</v>
      </c>
      <c r="V105" s="13">
        <f ca="1">IF(OR('My Loans'!$N$20="",'My Loans'!$N$20=0),0,IF(T105&lt;0.005,0,MIN(INDIRECT("'My Loans'!$F"&amp;'My Loans'!$N$20),T105+U105)))</f>
        <v>0</v>
      </c>
      <c r="W105" s="13">
        <f ca="1">IF(A105=1,IF(OR('My Loans'!$N$21="",'My Loans'!$N$21=0),0,INDIRECT("'My Loans'!$D"&amp;'My Loans'!$N$21)),BN104)</f>
        <v>0</v>
      </c>
      <c r="X105" s="13">
        <f ca="1">IF(OR('My Loans'!$N$21="",'My Loans'!$N$21=0),0,W105*INDIRECT("'My Loans'!$E"&amp;'My Loans'!$N$21)/12)</f>
        <v>0</v>
      </c>
      <c r="Y105" s="13">
        <f ca="1">IF(OR('My Loans'!$N$21="",'My Loans'!$N$21=0),0,IF(W105&lt;0.005,0,MIN(INDIRECT("'My Loans'!$F"&amp;'My Loans'!$N$21),W105+X105)))</f>
        <v>0</v>
      </c>
      <c r="Z105" s="13">
        <f ca="1">'My Loans'!$B$13-(D105+G105+J105+M105+P105+S105+V105+Y105)</f>
        <v>1400</v>
      </c>
      <c r="AA105" s="13">
        <f t="shared" ca="1" si="129"/>
        <v>1400</v>
      </c>
      <c r="AB105" s="13">
        <f t="shared" ca="1" si="130"/>
        <v>0</v>
      </c>
      <c r="AC105" s="13">
        <f t="shared" ca="1" si="131"/>
        <v>0</v>
      </c>
      <c r="AD105" s="13">
        <f t="shared" ca="1" si="132"/>
        <v>0</v>
      </c>
      <c r="AE105" s="13">
        <f t="shared" ca="1" si="133"/>
        <v>0</v>
      </c>
      <c r="AF105" s="13">
        <f t="shared" ca="1" si="134"/>
        <v>1400</v>
      </c>
      <c r="AG105" s="13">
        <f t="shared" ca="1" si="135"/>
        <v>0</v>
      </c>
      <c r="AH105" s="13">
        <f t="shared" ca="1" si="136"/>
        <v>0</v>
      </c>
      <c r="AI105" s="13">
        <f t="shared" ca="1" si="137"/>
        <v>0</v>
      </c>
      <c r="AJ105" s="13">
        <f t="shared" ca="1" si="138"/>
        <v>0</v>
      </c>
      <c r="AK105" s="13">
        <f t="shared" ca="1" si="139"/>
        <v>1400</v>
      </c>
      <c r="AL105" s="13">
        <f t="shared" ca="1" si="140"/>
        <v>0</v>
      </c>
      <c r="AM105" s="13">
        <f t="shared" ca="1" si="141"/>
        <v>0</v>
      </c>
      <c r="AN105" s="13">
        <f t="shared" ca="1" si="142"/>
        <v>0</v>
      </c>
      <c r="AO105" s="13">
        <f t="shared" ca="1" si="143"/>
        <v>0</v>
      </c>
      <c r="AP105" s="13">
        <f t="shared" ca="1" si="144"/>
        <v>1400</v>
      </c>
      <c r="AQ105" s="13">
        <f t="shared" ca="1" si="145"/>
        <v>0</v>
      </c>
      <c r="AR105" s="13">
        <f t="shared" ca="1" si="146"/>
        <v>0</v>
      </c>
      <c r="AS105" s="13">
        <f t="shared" ca="1" si="147"/>
        <v>0</v>
      </c>
      <c r="AT105" s="13">
        <f t="shared" ca="1" si="148"/>
        <v>0</v>
      </c>
      <c r="AU105" s="13">
        <f t="shared" ca="1" si="149"/>
        <v>1400</v>
      </c>
      <c r="AV105" s="13">
        <f t="shared" ca="1" si="150"/>
        <v>0</v>
      </c>
      <c r="AW105" s="13">
        <f t="shared" ca="1" si="151"/>
        <v>0</v>
      </c>
      <c r="AX105" s="13">
        <f t="shared" ca="1" si="152"/>
        <v>0</v>
      </c>
      <c r="AY105" s="13">
        <f t="shared" ca="1" si="153"/>
        <v>0</v>
      </c>
      <c r="AZ105" s="13">
        <f t="shared" ca="1" si="154"/>
        <v>1400</v>
      </c>
      <c r="BA105" s="13">
        <f t="shared" ca="1" si="155"/>
        <v>0</v>
      </c>
      <c r="BB105" s="13">
        <f t="shared" ca="1" si="156"/>
        <v>0</v>
      </c>
      <c r="BC105" s="13">
        <f t="shared" ca="1" si="157"/>
        <v>0</v>
      </c>
      <c r="BD105" s="13">
        <f t="shared" ca="1" si="158"/>
        <v>0</v>
      </c>
      <c r="BE105" s="13">
        <f t="shared" ca="1" si="159"/>
        <v>1400</v>
      </c>
      <c r="BF105" s="13">
        <f t="shared" ca="1" si="160"/>
        <v>0</v>
      </c>
      <c r="BG105" s="13">
        <f t="shared" ca="1" si="161"/>
        <v>0</v>
      </c>
      <c r="BH105" s="13">
        <f t="shared" ca="1" si="162"/>
        <v>0</v>
      </c>
      <c r="BI105" s="13">
        <f t="shared" ca="1" si="163"/>
        <v>0</v>
      </c>
      <c r="BJ105" s="13">
        <f t="shared" ca="1" si="164"/>
        <v>1400</v>
      </c>
      <c r="BK105" s="13">
        <f t="shared" ca="1" si="165"/>
        <v>0</v>
      </c>
      <c r="BL105" s="13">
        <f t="shared" ca="1" si="166"/>
        <v>0</v>
      </c>
      <c r="BM105" s="13">
        <f t="shared" ca="1" si="167"/>
        <v>0</v>
      </c>
      <c r="BN105" s="13">
        <f t="shared" ca="1" si="168"/>
        <v>0</v>
      </c>
      <c r="BO105" s="13">
        <f t="shared" ca="1" si="169"/>
        <v>0</v>
      </c>
      <c r="BP105" s="13">
        <f t="shared" ca="1" si="170"/>
        <v>0</v>
      </c>
      <c r="BQ105" s="13">
        <f t="shared" ca="1" si="171"/>
        <v>0</v>
      </c>
    </row>
    <row r="106" spans="1:69" x14ac:dyDescent="0.25">
      <c r="A106" s="1">
        <v>105</v>
      </c>
      <c r="B106" s="13">
        <f ca="1">IF(A106=1,IF(OR('My Loans'!$N$14="",'My Loans'!$N$14=0),0,INDIRECT("'My Loans'!$D"&amp;'My Loans'!$N$14)),AE105)</f>
        <v>0</v>
      </c>
      <c r="C106" s="13">
        <f ca="1">IF(OR('My Loans'!$N$14="",'My Loans'!$N$14=0),0,B106*INDIRECT("'My Loans'!$E"&amp;'My Loans'!$N$14)/12)</f>
        <v>0</v>
      </c>
      <c r="D106" s="13">
        <f ca="1">IF(OR('My Loans'!$N$14="",'My Loans'!$N$14=0),0,IF(B106&lt;0.005,0,MIN(INDIRECT("'My Loans'!$F"&amp;'My Loans'!$N$14),B106+C106)))</f>
        <v>0</v>
      </c>
      <c r="E106" s="13">
        <f ca="1">IF(A106=1,IF(OR('My Loans'!$N$15="",'My Loans'!$N$15=0),0,INDIRECT("'My Loans'!$D"&amp;'My Loans'!$N$15)),AJ105)</f>
        <v>0</v>
      </c>
      <c r="F106" s="13">
        <f ca="1">IF(OR('My Loans'!$N$15="",'My Loans'!$N$15=0),0,E106*INDIRECT("'My Loans'!$E"&amp;'My Loans'!$N$15)/12)</f>
        <v>0</v>
      </c>
      <c r="G106" s="13">
        <f ca="1">IF(OR('My Loans'!$N$15="",'My Loans'!$N$15=0),0,IF(E106&lt;0.005,0,MIN(INDIRECT("'My Loans'!$F"&amp;'My Loans'!$N$15),E106+F106)))</f>
        <v>0</v>
      </c>
      <c r="H106" s="13">
        <f ca="1">IF(A106=1,IF(OR('My Loans'!$N$16="",'My Loans'!$N$16=0),0,INDIRECT("'My Loans'!$D"&amp;'My Loans'!$N$16)),AO105)</f>
        <v>0</v>
      </c>
      <c r="I106" s="13">
        <f ca="1">IF(OR('My Loans'!$N$16="",'My Loans'!$N$16=0),0,H106*INDIRECT("'My Loans'!$E"&amp;'My Loans'!$N$16)/12)</f>
        <v>0</v>
      </c>
      <c r="J106" s="13">
        <f ca="1">IF(OR('My Loans'!$N$16="",'My Loans'!$N$16=0),0,IF(H106&lt;0.005,0,MIN(INDIRECT("'My Loans'!$F"&amp;'My Loans'!$N$16),H106+I106)))</f>
        <v>0</v>
      </c>
      <c r="K106" s="13">
        <f ca="1">IF(A106=1,IF(OR('My Loans'!$N$17="",'My Loans'!$N$17=0),0,INDIRECT("'My Loans'!$D"&amp;'My Loans'!$N$17)),AT105)</f>
        <v>0</v>
      </c>
      <c r="L106" s="13">
        <f ca="1">IF(OR('My Loans'!$N$17="",'My Loans'!$N$17=0),0,K106*INDIRECT("'My Loans'!$E"&amp;'My Loans'!$N$17)/12)</f>
        <v>0</v>
      </c>
      <c r="M106" s="13">
        <f ca="1">IF(OR('My Loans'!$N$17="",'My Loans'!$N$17=0),0,IF(K106&lt;0.005,0,MIN(INDIRECT("'My Loans'!$F"&amp;'My Loans'!$N$17),K106+L106)))</f>
        <v>0</v>
      </c>
      <c r="N106" s="13">
        <f ca="1">IF(A106=1,IF(OR('My Loans'!$N$18="",'My Loans'!$N$18=0),0,INDIRECT("'My Loans'!$D"&amp;'My Loans'!$N$18)),AY105)</f>
        <v>0</v>
      </c>
      <c r="O106" s="13">
        <f ca="1">IF(OR('My Loans'!$N$18="",'My Loans'!$N$18=0),0,N106*INDIRECT("'My Loans'!$E"&amp;'My Loans'!$N$18)/12)</f>
        <v>0</v>
      </c>
      <c r="P106" s="13">
        <f ca="1">IF(OR('My Loans'!$N$18="",'My Loans'!$N$18=0),0,IF(N106&lt;0.005,0,MIN(INDIRECT("'My Loans'!$F"&amp;'My Loans'!$N$18),N106+O106)))</f>
        <v>0</v>
      </c>
      <c r="Q106" s="13">
        <f ca="1">IF(A106=1,IF(OR('My Loans'!$N$19="",'My Loans'!$N$19=0),0,INDIRECT("'My Loans'!$D"&amp;'My Loans'!$N$19)),BD105)</f>
        <v>0</v>
      </c>
      <c r="R106" s="13">
        <f ca="1">IF(OR('My Loans'!$N$19="",'My Loans'!$N$19=0),0,Q106*INDIRECT("'My Loans'!$E"&amp;'My Loans'!$N$19)/12)</f>
        <v>0</v>
      </c>
      <c r="S106" s="13">
        <f ca="1">IF(OR('My Loans'!$N$19="",'My Loans'!$N$19=0),0,IF(Q106&lt;0.005,0,MIN(INDIRECT("'My Loans'!$F"&amp;'My Loans'!$N$19),Q106+R106)))</f>
        <v>0</v>
      </c>
      <c r="T106" s="13">
        <f ca="1">IF(A106=1,IF(OR('My Loans'!$N$20="",'My Loans'!$N$20=0),0,INDIRECT("'My Loans'!$D"&amp;'My Loans'!$N$20)),BI105)</f>
        <v>0</v>
      </c>
      <c r="U106" s="13">
        <f ca="1">IF(OR('My Loans'!$N$20="",'My Loans'!$N$20=0),0,T106*INDIRECT("'My Loans'!$E"&amp;'My Loans'!$N$20)/12)</f>
        <v>0</v>
      </c>
      <c r="V106" s="13">
        <f ca="1">IF(OR('My Loans'!$N$20="",'My Loans'!$N$20=0),0,IF(T106&lt;0.005,0,MIN(INDIRECT("'My Loans'!$F"&amp;'My Loans'!$N$20),T106+U106)))</f>
        <v>0</v>
      </c>
      <c r="W106" s="13">
        <f ca="1">IF(A106=1,IF(OR('My Loans'!$N$21="",'My Loans'!$N$21=0),0,INDIRECT("'My Loans'!$D"&amp;'My Loans'!$N$21)),BN105)</f>
        <v>0</v>
      </c>
      <c r="X106" s="13">
        <f ca="1">IF(OR('My Loans'!$N$21="",'My Loans'!$N$21=0),0,W106*INDIRECT("'My Loans'!$E"&amp;'My Loans'!$N$21)/12)</f>
        <v>0</v>
      </c>
      <c r="Y106" s="13">
        <f ca="1">IF(OR('My Loans'!$N$21="",'My Loans'!$N$21=0),0,IF(W106&lt;0.005,0,MIN(INDIRECT("'My Loans'!$F"&amp;'My Loans'!$N$21),W106+X106)))</f>
        <v>0</v>
      </c>
      <c r="Z106" s="13">
        <f ca="1">'My Loans'!$B$13-(D106+G106+J106+M106+P106+S106+V106+Y106)</f>
        <v>1400</v>
      </c>
      <c r="AA106" s="13">
        <f t="shared" ca="1" si="129"/>
        <v>1400</v>
      </c>
      <c r="AB106" s="13">
        <f t="shared" ca="1" si="130"/>
        <v>0</v>
      </c>
      <c r="AC106" s="13">
        <f t="shared" ca="1" si="131"/>
        <v>0</v>
      </c>
      <c r="AD106" s="13">
        <f t="shared" ca="1" si="132"/>
        <v>0</v>
      </c>
      <c r="AE106" s="13">
        <f t="shared" ca="1" si="133"/>
        <v>0</v>
      </c>
      <c r="AF106" s="13">
        <f t="shared" ca="1" si="134"/>
        <v>1400</v>
      </c>
      <c r="AG106" s="13">
        <f t="shared" ca="1" si="135"/>
        <v>0</v>
      </c>
      <c r="AH106" s="13">
        <f t="shared" ca="1" si="136"/>
        <v>0</v>
      </c>
      <c r="AI106" s="13">
        <f t="shared" ca="1" si="137"/>
        <v>0</v>
      </c>
      <c r="AJ106" s="13">
        <f t="shared" ca="1" si="138"/>
        <v>0</v>
      </c>
      <c r="AK106" s="13">
        <f t="shared" ca="1" si="139"/>
        <v>1400</v>
      </c>
      <c r="AL106" s="13">
        <f t="shared" ca="1" si="140"/>
        <v>0</v>
      </c>
      <c r="AM106" s="13">
        <f t="shared" ca="1" si="141"/>
        <v>0</v>
      </c>
      <c r="AN106" s="13">
        <f t="shared" ca="1" si="142"/>
        <v>0</v>
      </c>
      <c r="AO106" s="13">
        <f t="shared" ca="1" si="143"/>
        <v>0</v>
      </c>
      <c r="AP106" s="13">
        <f t="shared" ca="1" si="144"/>
        <v>1400</v>
      </c>
      <c r="AQ106" s="13">
        <f t="shared" ca="1" si="145"/>
        <v>0</v>
      </c>
      <c r="AR106" s="13">
        <f t="shared" ca="1" si="146"/>
        <v>0</v>
      </c>
      <c r="AS106" s="13">
        <f t="shared" ca="1" si="147"/>
        <v>0</v>
      </c>
      <c r="AT106" s="13">
        <f t="shared" ca="1" si="148"/>
        <v>0</v>
      </c>
      <c r="AU106" s="13">
        <f t="shared" ca="1" si="149"/>
        <v>1400</v>
      </c>
      <c r="AV106" s="13">
        <f t="shared" ca="1" si="150"/>
        <v>0</v>
      </c>
      <c r="AW106" s="13">
        <f t="shared" ca="1" si="151"/>
        <v>0</v>
      </c>
      <c r="AX106" s="13">
        <f t="shared" ca="1" si="152"/>
        <v>0</v>
      </c>
      <c r="AY106" s="13">
        <f t="shared" ca="1" si="153"/>
        <v>0</v>
      </c>
      <c r="AZ106" s="13">
        <f t="shared" ca="1" si="154"/>
        <v>1400</v>
      </c>
      <c r="BA106" s="13">
        <f t="shared" ca="1" si="155"/>
        <v>0</v>
      </c>
      <c r="BB106" s="13">
        <f t="shared" ca="1" si="156"/>
        <v>0</v>
      </c>
      <c r="BC106" s="13">
        <f t="shared" ca="1" si="157"/>
        <v>0</v>
      </c>
      <c r="BD106" s="13">
        <f t="shared" ca="1" si="158"/>
        <v>0</v>
      </c>
      <c r="BE106" s="13">
        <f t="shared" ca="1" si="159"/>
        <v>1400</v>
      </c>
      <c r="BF106" s="13">
        <f t="shared" ca="1" si="160"/>
        <v>0</v>
      </c>
      <c r="BG106" s="13">
        <f t="shared" ca="1" si="161"/>
        <v>0</v>
      </c>
      <c r="BH106" s="13">
        <f t="shared" ca="1" si="162"/>
        <v>0</v>
      </c>
      <c r="BI106" s="13">
        <f t="shared" ca="1" si="163"/>
        <v>0</v>
      </c>
      <c r="BJ106" s="13">
        <f t="shared" ca="1" si="164"/>
        <v>1400</v>
      </c>
      <c r="BK106" s="13">
        <f t="shared" ca="1" si="165"/>
        <v>0</v>
      </c>
      <c r="BL106" s="13">
        <f t="shared" ca="1" si="166"/>
        <v>0</v>
      </c>
      <c r="BM106" s="13">
        <f t="shared" ca="1" si="167"/>
        <v>0</v>
      </c>
      <c r="BN106" s="13">
        <f t="shared" ca="1" si="168"/>
        <v>0</v>
      </c>
      <c r="BO106" s="13">
        <f t="shared" ca="1" si="169"/>
        <v>0</v>
      </c>
      <c r="BP106" s="13">
        <f t="shared" ca="1" si="170"/>
        <v>0</v>
      </c>
      <c r="BQ106" s="13">
        <f t="shared" ca="1" si="171"/>
        <v>0</v>
      </c>
    </row>
    <row r="107" spans="1:69" x14ac:dyDescent="0.25">
      <c r="A107" s="1">
        <v>106</v>
      </c>
      <c r="B107" s="13">
        <f ca="1">IF(A107=1,IF(OR('My Loans'!$N$14="",'My Loans'!$N$14=0),0,INDIRECT("'My Loans'!$D"&amp;'My Loans'!$N$14)),AE106)</f>
        <v>0</v>
      </c>
      <c r="C107" s="13">
        <f ca="1">IF(OR('My Loans'!$N$14="",'My Loans'!$N$14=0),0,B107*INDIRECT("'My Loans'!$E"&amp;'My Loans'!$N$14)/12)</f>
        <v>0</v>
      </c>
      <c r="D107" s="13">
        <f ca="1">IF(OR('My Loans'!$N$14="",'My Loans'!$N$14=0),0,IF(B107&lt;0.005,0,MIN(INDIRECT("'My Loans'!$F"&amp;'My Loans'!$N$14),B107+C107)))</f>
        <v>0</v>
      </c>
      <c r="E107" s="13">
        <f ca="1">IF(A107=1,IF(OR('My Loans'!$N$15="",'My Loans'!$N$15=0),0,INDIRECT("'My Loans'!$D"&amp;'My Loans'!$N$15)),AJ106)</f>
        <v>0</v>
      </c>
      <c r="F107" s="13">
        <f ca="1">IF(OR('My Loans'!$N$15="",'My Loans'!$N$15=0),0,E107*INDIRECT("'My Loans'!$E"&amp;'My Loans'!$N$15)/12)</f>
        <v>0</v>
      </c>
      <c r="G107" s="13">
        <f ca="1">IF(OR('My Loans'!$N$15="",'My Loans'!$N$15=0),0,IF(E107&lt;0.005,0,MIN(INDIRECT("'My Loans'!$F"&amp;'My Loans'!$N$15),E107+F107)))</f>
        <v>0</v>
      </c>
      <c r="H107" s="13">
        <f ca="1">IF(A107=1,IF(OR('My Loans'!$N$16="",'My Loans'!$N$16=0),0,INDIRECT("'My Loans'!$D"&amp;'My Loans'!$N$16)),AO106)</f>
        <v>0</v>
      </c>
      <c r="I107" s="13">
        <f ca="1">IF(OR('My Loans'!$N$16="",'My Loans'!$N$16=0),0,H107*INDIRECT("'My Loans'!$E"&amp;'My Loans'!$N$16)/12)</f>
        <v>0</v>
      </c>
      <c r="J107" s="13">
        <f ca="1">IF(OR('My Loans'!$N$16="",'My Loans'!$N$16=0),0,IF(H107&lt;0.005,0,MIN(INDIRECT("'My Loans'!$F"&amp;'My Loans'!$N$16),H107+I107)))</f>
        <v>0</v>
      </c>
      <c r="K107" s="13">
        <f ca="1">IF(A107=1,IF(OR('My Loans'!$N$17="",'My Loans'!$N$17=0),0,INDIRECT("'My Loans'!$D"&amp;'My Loans'!$N$17)),AT106)</f>
        <v>0</v>
      </c>
      <c r="L107" s="13">
        <f ca="1">IF(OR('My Loans'!$N$17="",'My Loans'!$N$17=0),0,K107*INDIRECT("'My Loans'!$E"&amp;'My Loans'!$N$17)/12)</f>
        <v>0</v>
      </c>
      <c r="M107" s="13">
        <f ca="1">IF(OR('My Loans'!$N$17="",'My Loans'!$N$17=0),0,IF(K107&lt;0.005,0,MIN(INDIRECT("'My Loans'!$F"&amp;'My Loans'!$N$17),K107+L107)))</f>
        <v>0</v>
      </c>
      <c r="N107" s="13">
        <f ca="1">IF(A107=1,IF(OR('My Loans'!$N$18="",'My Loans'!$N$18=0),0,INDIRECT("'My Loans'!$D"&amp;'My Loans'!$N$18)),AY106)</f>
        <v>0</v>
      </c>
      <c r="O107" s="13">
        <f ca="1">IF(OR('My Loans'!$N$18="",'My Loans'!$N$18=0),0,N107*INDIRECT("'My Loans'!$E"&amp;'My Loans'!$N$18)/12)</f>
        <v>0</v>
      </c>
      <c r="P107" s="13">
        <f ca="1">IF(OR('My Loans'!$N$18="",'My Loans'!$N$18=0),0,IF(N107&lt;0.005,0,MIN(INDIRECT("'My Loans'!$F"&amp;'My Loans'!$N$18),N107+O107)))</f>
        <v>0</v>
      </c>
      <c r="Q107" s="13">
        <f ca="1">IF(A107=1,IF(OR('My Loans'!$N$19="",'My Loans'!$N$19=0),0,INDIRECT("'My Loans'!$D"&amp;'My Loans'!$N$19)),BD106)</f>
        <v>0</v>
      </c>
      <c r="R107" s="13">
        <f ca="1">IF(OR('My Loans'!$N$19="",'My Loans'!$N$19=0),0,Q107*INDIRECT("'My Loans'!$E"&amp;'My Loans'!$N$19)/12)</f>
        <v>0</v>
      </c>
      <c r="S107" s="13">
        <f ca="1">IF(OR('My Loans'!$N$19="",'My Loans'!$N$19=0),0,IF(Q107&lt;0.005,0,MIN(INDIRECT("'My Loans'!$F"&amp;'My Loans'!$N$19),Q107+R107)))</f>
        <v>0</v>
      </c>
      <c r="T107" s="13">
        <f ca="1">IF(A107=1,IF(OR('My Loans'!$N$20="",'My Loans'!$N$20=0),0,INDIRECT("'My Loans'!$D"&amp;'My Loans'!$N$20)),BI106)</f>
        <v>0</v>
      </c>
      <c r="U107" s="13">
        <f ca="1">IF(OR('My Loans'!$N$20="",'My Loans'!$N$20=0),0,T107*INDIRECT("'My Loans'!$E"&amp;'My Loans'!$N$20)/12)</f>
        <v>0</v>
      </c>
      <c r="V107" s="13">
        <f ca="1">IF(OR('My Loans'!$N$20="",'My Loans'!$N$20=0),0,IF(T107&lt;0.005,0,MIN(INDIRECT("'My Loans'!$F"&amp;'My Loans'!$N$20),T107+U107)))</f>
        <v>0</v>
      </c>
      <c r="W107" s="13">
        <f ca="1">IF(A107=1,IF(OR('My Loans'!$N$21="",'My Loans'!$N$21=0),0,INDIRECT("'My Loans'!$D"&amp;'My Loans'!$N$21)),BN106)</f>
        <v>0</v>
      </c>
      <c r="X107" s="13">
        <f ca="1">IF(OR('My Loans'!$N$21="",'My Loans'!$N$21=0),0,W107*INDIRECT("'My Loans'!$E"&amp;'My Loans'!$N$21)/12)</f>
        <v>0</v>
      </c>
      <c r="Y107" s="13">
        <f ca="1">IF(OR('My Loans'!$N$21="",'My Loans'!$N$21=0),0,IF(W107&lt;0.005,0,MIN(INDIRECT("'My Loans'!$F"&amp;'My Loans'!$N$21),W107+X107)))</f>
        <v>0</v>
      </c>
      <c r="Z107" s="13">
        <f ca="1">'My Loans'!$B$13-(D107+G107+J107+M107+P107+S107+V107+Y107)</f>
        <v>1400</v>
      </c>
      <c r="AA107" s="13">
        <f t="shared" ca="1" si="129"/>
        <v>1400</v>
      </c>
      <c r="AB107" s="13">
        <f t="shared" ca="1" si="130"/>
        <v>0</v>
      </c>
      <c r="AC107" s="13">
        <f t="shared" ca="1" si="131"/>
        <v>0</v>
      </c>
      <c r="AD107" s="13">
        <f t="shared" ca="1" si="132"/>
        <v>0</v>
      </c>
      <c r="AE107" s="13">
        <f t="shared" ca="1" si="133"/>
        <v>0</v>
      </c>
      <c r="AF107" s="13">
        <f t="shared" ca="1" si="134"/>
        <v>1400</v>
      </c>
      <c r="AG107" s="13">
        <f t="shared" ca="1" si="135"/>
        <v>0</v>
      </c>
      <c r="AH107" s="13">
        <f t="shared" ca="1" si="136"/>
        <v>0</v>
      </c>
      <c r="AI107" s="13">
        <f t="shared" ca="1" si="137"/>
        <v>0</v>
      </c>
      <c r="AJ107" s="13">
        <f t="shared" ca="1" si="138"/>
        <v>0</v>
      </c>
      <c r="AK107" s="13">
        <f t="shared" ca="1" si="139"/>
        <v>1400</v>
      </c>
      <c r="AL107" s="13">
        <f t="shared" ca="1" si="140"/>
        <v>0</v>
      </c>
      <c r="AM107" s="13">
        <f t="shared" ca="1" si="141"/>
        <v>0</v>
      </c>
      <c r="AN107" s="13">
        <f t="shared" ca="1" si="142"/>
        <v>0</v>
      </c>
      <c r="AO107" s="13">
        <f t="shared" ca="1" si="143"/>
        <v>0</v>
      </c>
      <c r="AP107" s="13">
        <f t="shared" ca="1" si="144"/>
        <v>1400</v>
      </c>
      <c r="AQ107" s="13">
        <f t="shared" ca="1" si="145"/>
        <v>0</v>
      </c>
      <c r="AR107" s="13">
        <f t="shared" ca="1" si="146"/>
        <v>0</v>
      </c>
      <c r="AS107" s="13">
        <f t="shared" ca="1" si="147"/>
        <v>0</v>
      </c>
      <c r="AT107" s="13">
        <f t="shared" ca="1" si="148"/>
        <v>0</v>
      </c>
      <c r="AU107" s="13">
        <f t="shared" ca="1" si="149"/>
        <v>1400</v>
      </c>
      <c r="AV107" s="13">
        <f t="shared" ca="1" si="150"/>
        <v>0</v>
      </c>
      <c r="AW107" s="13">
        <f t="shared" ca="1" si="151"/>
        <v>0</v>
      </c>
      <c r="AX107" s="13">
        <f t="shared" ca="1" si="152"/>
        <v>0</v>
      </c>
      <c r="AY107" s="13">
        <f t="shared" ca="1" si="153"/>
        <v>0</v>
      </c>
      <c r="AZ107" s="13">
        <f t="shared" ca="1" si="154"/>
        <v>1400</v>
      </c>
      <c r="BA107" s="13">
        <f t="shared" ca="1" si="155"/>
        <v>0</v>
      </c>
      <c r="BB107" s="13">
        <f t="shared" ca="1" si="156"/>
        <v>0</v>
      </c>
      <c r="BC107" s="13">
        <f t="shared" ca="1" si="157"/>
        <v>0</v>
      </c>
      <c r="BD107" s="13">
        <f t="shared" ca="1" si="158"/>
        <v>0</v>
      </c>
      <c r="BE107" s="13">
        <f t="shared" ca="1" si="159"/>
        <v>1400</v>
      </c>
      <c r="BF107" s="13">
        <f t="shared" ca="1" si="160"/>
        <v>0</v>
      </c>
      <c r="BG107" s="13">
        <f t="shared" ca="1" si="161"/>
        <v>0</v>
      </c>
      <c r="BH107" s="13">
        <f t="shared" ca="1" si="162"/>
        <v>0</v>
      </c>
      <c r="BI107" s="13">
        <f t="shared" ca="1" si="163"/>
        <v>0</v>
      </c>
      <c r="BJ107" s="13">
        <f t="shared" ca="1" si="164"/>
        <v>1400</v>
      </c>
      <c r="BK107" s="13">
        <f t="shared" ca="1" si="165"/>
        <v>0</v>
      </c>
      <c r="BL107" s="13">
        <f t="shared" ca="1" si="166"/>
        <v>0</v>
      </c>
      <c r="BM107" s="13">
        <f t="shared" ca="1" si="167"/>
        <v>0</v>
      </c>
      <c r="BN107" s="13">
        <f t="shared" ca="1" si="168"/>
        <v>0</v>
      </c>
      <c r="BO107" s="13">
        <f t="shared" ca="1" si="169"/>
        <v>0</v>
      </c>
      <c r="BP107" s="13">
        <f t="shared" ca="1" si="170"/>
        <v>0</v>
      </c>
      <c r="BQ107" s="13">
        <f t="shared" ca="1" si="171"/>
        <v>0</v>
      </c>
    </row>
    <row r="108" spans="1:69" x14ac:dyDescent="0.25">
      <c r="A108" s="1">
        <v>107</v>
      </c>
      <c r="B108" s="13">
        <f ca="1">IF(A108=1,IF(OR('My Loans'!$N$14="",'My Loans'!$N$14=0),0,INDIRECT("'My Loans'!$D"&amp;'My Loans'!$N$14)),AE107)</f>
        <v>0</v>
      </c>
      <c r="C108" s="13">
        <f ca="1">IF(OR('My Loans'!$N$14="",'My Loans'!$N$14=0),0,B108*INDIRECT("'My Loans'!$E"&amp;'My Loans'!$N$14)/12)</f>
        <v>0</v>
      </c>
      <c r="D108" s="13">
        <f ca="1">IF(OR('My Loans'!$N$14="",'My Loans'!$N$14=0),0,IF(B108&lt;0.005,0,MIN(INDIRECT("'My Loans'!$F"&amp;'My Loans'!$N$14),B108+C108)))</f>
        <v>0</v>
      </c>
      <c r="E108" s="13">
        <f ca="1">IF(A108=1,IF(OR('My Loans'!$N$15="",'My Loans'!$N$15=0),0,INDIRECT("'My Loans'!$D"&amp;'My Loans'!$N$15)),AJ107)</f>
        <v>0</v>
      </c>
      <c r="F108" s="13">
        <f ca="1">IF(OR('My Loans'!$N$15="",'My Loans'!$N$15=0),0,E108*INDIRECT("'My Loans'!$E"&amp;'My Loans'!$N$15)/12)</f>
        <v>0</v>
      </c>
      <c r="G108" s="13">
        <f ca="1">IF(OR('My Loans'!$N$15="",'My Loans'!$N$15=0),0,IF(E108&lt;0.005,0,MIN(INDIRECT("'My Loans'!$F"&amp;'My Loans'!$N$15),E108+F108)))</f>
        <v>0</v>
      </c>
      <c r="H108" s="13">
        <f ca="1">IF(A108=1,IF(OR('My Loans'!$N$16="",'My Loans'!$N$16=0),0,INDIRECT("'My Loans'!$D"&amp;'My Loans'!$N$16)),AO107)</f>
        <v>0</v>
      </c>
      <c r="I108" s="13">
        <f ca="1">IF(OR('My Loans'!$N$16="",'My Loans'!$N$16=0),0,H108*INDIRECT("'My Loans'!$E"&amp;'My Loans'!$N$16)/12)</f>
        <v>0</v>
      </c>
      <c r="J108" s="13">
        <f ca="1">IF(OR('My Loans'!$N$16="",'My Loans'!$N$16=0),0,IF(H108&lt;0.005,0,MIN(INDIRECT("'My Loans'!$F"&amp;'My Loans'!$N$16),H108+I108)))</f>
        <v>0</v>
      </c>
      <c r="K108" s="13">
        <f ca="1">IF(A108=1,IF(OR('My Loans'!$N$17="",'My Loans'!$N$17=0),0,INDIRECT("'My Loans'!$D"&amp;'My Loans'!$N$17)),AT107)</f>
        <v>0</v>
      </c>
      <c r="L108" s="13">
        <f ca="1">IF(OR('My Loans'!$N$17="",'My Loans'!$N$17=0),0,K108*INDIRECT("'My Loans'!$E"&amp;'My Loans'!$N$17)/12)</f>
        <v>0</v>
      </c>
      <c r="M108" s="13">
        <f ca="1">IF(OR('My Loans'!$N$17="",'My Loans'!$N$17=0),0,IF(K108&lt;0.005,0,MIN(INDIRECT("'My Loans'!$F"&amp;'My Loans'!$N$17),K108+L108)))</f>
        <v>0</v>
      </c>
      <c r="N108" s="13">
        <f ca="1">IF(A108=1,IF(OR('My Loans'!$N$18="",'My Loans'!$N$18=0),0,INDIRECT("'My Loans'!$D"&amp;'My Loans'!$N$18)),AY107)</f>
        <v>0</v>
      </c>
      <c r="O108" s="13">
        <f ca="1">IF(OR('My Loans'!$N$18="",'My Loans'!$N$18=0),0,N108*INDIRECT("'My Loans'!$E"&amp;'My Loans'!$N$18)/12)</f>
        <v>0</v>
      </c>
      <c r="P108" s="13">
        <f ca="1">IF(OR('My Loans'!$N$18="",'My Loans'!$N$18=0),0,IF(N108&lt;0.005,0,MIN(INDIRECT("'My Loans'!$F"&amp;'My Loans'!$N$18),N108+O108)))</f>
        <v>0</v>
      </c>
      <c r="Q108" s="13">
        <f ca="1">IF(A108=1,IF(OR('My Loans'!$N$19="",'My Loans'!$N$19=0),0,INDIRECT("'My Loans'!$D"&amp;'My Loans'!$N$19)),BD107)</f>
        <v>0</v>
      </c>
      <c r="R108" s="13">
        <f ca="1">IF(OR('My Loans'!$N$19="",'My Loans'!$N$19=0),0,Q108*INDIRECT("'My Loans'!$E"&amp;'My Loans'!$N$19)/12)</f>
        <v>0</v>
      </c>
      <c r="S108" s="13">
        <f ca="1">IF(OR('My Loans'!$N$19="",'My Loans'!$N$19=0),0,IF(Q108&lt;0.005,0,MIN(INDIRECT("'My Loans'!$F"&amp;'My Loans'!$N$19),Q108+R108)))</f>
        <v>0</v>
      </c>
      <c r="T108" s="13">
        <f ca="1">IF(A108=1,IF(OR('My Loans'!$N$20="",'My Loans'!$N$20=0),0,INDIRECT("'My Loans'!$D"&amp;'My Loans'!$N$20)),BI107)</f>
        <v>0</v>
      </c>
      <c r="U108" s="13">
        <f ca="1">IF(OR('My Loans'!$N$20="",'My Loans'!$N$20=0),0,T108*INDIRECT("'My Loans'!$E"&amp;'My Loans'!$N$20)/12)</f>
        <v>0</v>
      </c>
      <c r="V108" s="13">
        <f ca="1">IF(OR('My Loans'!$N$20="",'My Loans'!$N$20=0),0,IF(T108&lt;0.005,0,MIN(INDIRECT("'My Loans'!$F"&amp;'My Loans'!$N$20),T108+U108)))</f>
        <v>0</v>
      </c>
      <c r="W108" s="13">
        <f ca="1">IF(A108=1,IF(OR('My Loans'!$N$21="",'My Loans'!$N$21=0),0,INDIRECT("'My Loans'!$D"&amp;'My Loans'!$N$21)),BN107)</f>
        <v>0</v>
      </c>
      <c r="X108" s="13">
        <f ca="1">IF(OR('My Loans'!$N$21="",'My Loans'!$N$21=0),0,W108*INDIRECT("'My Loans'!$E"&amp;'My Loans'!$N$21)/12)</f>
        <v>0</v>
      </c>
      <c r="Y108" s="13">
        <f ca="1">IF(OR('My Loans'!$N$21="",'My Loans'!$N$21=0),0,IF(W108&lt;0.005,0,MIN(INDIRECT("'My Loans'!$F"&amp;'My Loans'!$N$21),W108+X108)))</f>
        <v>0</v>
      </c>
      <c r="Z108" s="13">
        <f ca="1">'My Loans'!$B$13-(D108+G108+J108+M108+P108+S108+V108+Y108)</f>
        <v>1400</v>
      </c>
      <c r="AA108" s="13">
        <f t="shared" ca="1" si="129"/>
        <v>1400</v>
      </c>
      <c r="AB108" s="13">
        <f t="shared" ca="1" si="130"/>
        <v>0</v>
      </c>
      <c r="AC108" s="13">
        <f t="shared" ca="1" si="131"/>
        <v>0</v>
      </c>
      <c r="AD108" s="13">
        <f t="shared" ca="1" si="132"/>
        <v>0</v>
      </c>
      <c r="AE108" s="13">
        <f t="shared" ca="1" si="133"/>
        <v>0</v>
      </c>
      <c r="AF108" s="13">
        <f t="shared" ca="1" si="134"/>
        <v>1400</v>
      </c>
      <c r="AG108" s="13">
        <f t="shared" ca="1" si="135"/>
        <v>0</v>
      </c>
      <c r="AH108" s="13">
        <f t="shared" ca="1" si="136"/>
        <v>0</v>
      </c>
      <c r="AI108" s="13">
        <f t="shared" ca="1" si="137"/>
        <v>0</v>
      </c>
      <c r="AJ108" s="13">
        <f t="shared" ca="1" si="138"/>
        <v>0</v>
      </c>
      <c r="AK108" s="13">
        <f t="shared" ca="1" si="139"/>
        <v>1400</v>
      </c>
      <c r="AL108" s="13">
        <f t="shared" ca="1" si="140"/>
        <v>0</v>
      </c>
      <c r="AM108" s="13">
        <f t="shared" ca="1" si="141"/>
        <v>0</v>
      </c>
      <c r="AN108" s="13">
        <f t="shared" ca="1" si="142"/>
        <v>0</v>
      </c>
      <c r="AO108" s="13">
        <f t="shared" ca="1" si="143"/>
        <v>0</v>
      </c>
      <c r="AP108" s="13">
        <f t="shared" ca="1" si="144"/>
        <v>1400</v>
      </c>
      <c r="AQ108" s="13">
        <f t="shared" ca="1" si="145"/>
        <v>0</v>
      </c>
      <c r="AR108" s="13">
        <f t="shared" ca="1" si="146"/>
        <v>0</v>
      </c>
      <c r="AS108" s="13">
        <f t="shared" ca="1" si="147"/>
        <v>0</v>
      </c>
      <c r="AT108" s="13">
        <f t="shared" ca="1" si="148"/>
        <v>0</v>
      </c>
      <c r="AU108" s="13">
        <f t="shared" ca="1" si="149"/>
        <v>1400</v>
      </c>
      <c r="AV108" s="13">
        <f t="shared" ca="1" si="150"/>
        <v>0</v>
      </c>
      <c r="AW108" s="13">
        <f t="shared" ca="1" si="151"/>
        <v>0</v>
      </c>
      <c r="AX108" s="13">
        <f t="shared" ca="1" si="152"/>
        <v>0</v>
      </c>
      <c r="AY108" s="13">
        <f t="shared" ca="1" si="153"/>
        <v>0</v>
      </c>
      <c r="AZ108" s="13">
        <f t="shared" ca="1" si="154"/>
        <v>1400</v>
      </c>
      <c r="BA108" s="13">
        <f t="shared" ca="1" si="155"/>
        <v>0</v>
      </c>
      <c r="BB108" s="13">
        <f t="shared" ca="1" si="156"/>
        <v>0</v>
      </c>
      <c r="BC108" s="13">
        <f t="shared" ca="1" si="157"/>
        <v>0</v>
      </c>
      <c r="BD108" s="13">
        <f t="shared" ca="1" si="158"/>
        <v>0</v>
      </c>
      <c r="BE108" s="13">
        <f t="shared" ca="1" si="159"/>
        <v>1400</v>
      </c>
      <c r="BF108" s="13">
        <f t="shared" ca="1" si="160"/>
        <v>0</v>
      </c>
      <c r="BG108" s="13">
        <f t="shared" ca="1" si="161"/>
        <v>0</v>
      </c>
      <c r="BH108" s="13">
        <f t="shared" ca="1" si="162"/>
        <v>0</v>
      </c>
      <c r="BI108" s="13">
        <f t="shared" ca="1" si="163"/>
        <v>0</v>
      </c>
      <c r="BJ108" s="13">
        <f t="shared" ca="1" si="164"/>
        <v>1400</v>
      </c>
      <c r="BK108" s="13">
        <f t="shared" ca="1" si="165"/>
        <v>0</v>
      </c>
      <c r="BL108" s="13">
        <f t="shared" ca="1" si="166"/>
        <v>0</v>
      </c>
      <c r="BM108" s="13">
        <f t="shared" ca="1" si="167"/>
        <v>0</v>
      </c>
      <c r="BN108" s="13">
        <f t="shared" ca="1" si="168"/>
        <v>0</v>
      </c>
      <c r="BO108" s="13">
        <f t="shared" ca="1" si="169"/>
        <v>0</v>
      </c>
      <c r="BP108" s="13">
        <f t="shared" ca="1" si="170"/>
        <v>0</v>
      </c>
      <c r="BQ108" s="13">
        <f t="shared" ca="1" si="171"/>
        <v>0</v>
      </c>
    </row>
    <row r="109" spans="1:69" x14ac:dyDescent="0.25">
      <c r="A109" s="1">
        <v>108</v>
      </c>
      <c r="B109" s="13">
        <f ca="1">IF(A109=1,IF(OR('My Loans'!$N$14="",'My Loans'!$N$14=0),0,INDIRECT("'My Loans'!$D"&amp;'My Loans'!$N$14)),AE108)</f>
        <v>0</v>
      </c>
      <c r="C109" s="13">
        <f ca="1">IF(OR('My Loans'!$N$14="",'My Loans'!$N$14=0),0,B109*INDIRECT("'My Loans'!$E"&amp;'My Loans'!$N$14)/12)</f>
        <v>0</v>
      </c>
      <c r="D109" s="13">
        <f ca="1">IF(OR('My Loans'!$N$14="",'My Loans'!$N$14=0),0,IF(B109&lt;0.005,0,MIN(INDIRECT("'My Loans'!$F"&amp;'My Loans'!$N$14),B109+C109)))</f>
        <v>0</v>
      </c>
      <c r="E109" s="13">
        <f ca="1">IF(A109=1,IF(OR('My Loans'!$N$15="",'My Loans'!$N$15=0),0,INDIRECT("'My Loans'!$D"&amp;'My Loans'!$N$15)),AJ108)</f>
        <v>0</v>
      </c>
      <c r="F109" s="13">
        <f ca="1">IF(OR('My Loans'!$N$15="",'My Loans'!$N$15=0),0,E109*INDIRECT("'My Loans'!$E"&amp;'My Loans'!$N$15)/12)</f>
        <v>0</v>
      </c>
      <c r="G109" s="13">
        <f ca="1">IF(OR('My Loans'!$N$15="",'My Loans'!$N$15=0),0,IF(E109&lt;0.005,0,MIN(INDIRECT("'My Loans'!$F"&amp;'My Loans'!$N$15),E109+F109)))</f>
        <v>0</v>
      </c>
      <c r="H109" s="13">
        <f ca="1">IF(A109=1,IF(OR('My Loans'!$N$16="",'My Loans'!$N$16=0),0,INDIRECT("'My Loans'!$D"&amp;'My Loans'!$N$16)),AO108)</f>
        <v>0</v>
      </c>
      <c r="I109" s="13">
        <f ca="1">IF(OR('My Loans'!$N$16="",'My Loans'!$N$16=0),0,H109*INDIRECT("'My Loans'!$E"&amp;'My Loans'!$N$16)/12)</f>
        <v>0</v>
      </c>
      <c r="J109" s="13">
        <f ca="1">IF(OR('My Loans'!$N$16="",'My Loans'!$N$16=0),0,IF(H109&lt;0.005,0,MIN(INDIRECT("'My Loans'!$F"&amp;'My Loans'!$N$16),H109+I109)))</f>
        <v>0</v>
      </c>
      <c r="K109" s="13">
        <f ca="1">IF(A109=1,IF(OR('My Loans'!$N$17="",'My Loans'!$N$17=0),0,INDIRECT("'My Loans'!$D"&amp;'My Loans'!$N$17)),AT108)</f>
        <v>0</v>
      </c>
      <c r="L109" s="13">
        <f ca="1">IF(OR('My Loans'!$N$17="",'My Loans'!$N$17=0),0,K109*INDIRECT("'My Loans'!$E"&amp;'My Loans'!$N$17)/12)</f>
        <v>0</v>
      </c>
      <c r="M109" s="13">
        <f ca="1">IF(OR('My Loans'!$N$17="",'My Loans'!$N$17=0),0,IF(K109&lt;0.005,0,MIN(INDIRECT("'My Loans'!$F"&amp;'My Loans'!$N$17),K109+L109)))</f>
        <v>0</v>
      </c>
      <c r="N109" s="13">
        <f ca="1">IF(A109=1,IF(OR('My Loans'!$N$18="",'My Loans'!$N$18=0),0,INDIRECT("'My Loans'!$D"&amp;'My Loans'!$N$18)),AY108)</f>
        <v>0</v>
      </c>
      <c r="O109" s="13">
        <f ca="1">IF(OR('My Loans'!$N$18="",'My Loans'!$N$18=0),0,N109*INDIRECT("'My Loans'!$E"&amp;'My Loans'!$N$18)/12)</f>
        <v>0</v>
      </c>
      <c r="P109" s="13">
        <f ca="1">IF(OR('My Loans'!$N$18="",'My Loans'!$N$18=0),0,IF(N109&lt;0.005,0,MIN(INDIRECT("'My Loans'!$F"&amp;'My Loans'!$N$18),N109+O109)))</f>
        <v>0</v>
      </c>
      <c r="Q109" s="13">
        <f ca="1">IF(A109=1,IF(OR('My Loans'!$N$19="",'My Loans'!$N$19=0),0,INDIRECT("'My Loans'!$D"&amp;'My Loans'!$N$19)),BD108)</f>
        <v>0</v>
      </c>
      <c r="R109" s="13">
        <f ca="1">IF(OR('My Loans'!$N$19="",'My Loans'!$N$19=0),0,Q109*INDIRECT("'My Loans'!$E"&amp;'My Loans'!$N$19)/12)</f>
        <v>0</v>
      </c>
      <c r="S109" s="13">
        <f ca="1">IF(OR('My Loans'!$N$19="",'My Loans'!$N$19=0),0,IF(Q109&lt;0.005,0,MIN(INDIRECT("'My Loans'!$F"&amp;'My Loans'!$N$19),Q109+R109)))</f>
        <v>0</v>
      </c>
      <c r="T109" s="13">
        <f ca="1">IF(A109=1,IF(OR('My Loans'!$N$20="",'My Loans'!$N$20=0),0,INDIRECT("'My Loans'!$D"&amp;'My Loans'!$N$20)),BI108)</f>
        <v>0</v>
      </c>
      <c r="U109" s="13">
        <f ca="1">IF(OR('My Loans'!$N$20="",'My Loans'!$N$20=0),0,T109*INDIRECT("'My Loans'!$E"&amp;'My Loans'!$N$20)/12)</f>
        <v>0</v>
      </c>
      <c r="V109" s="13">
        <f ca="1">IF(OR('My Loans'!$N$20="",'My Loans'!$N$20=0),0,IF(T109&lt;0.005,0,MIN(INDIRECT("'My Loans'!$F"&amp;'My Loans'!$N$20),T109+U109)))</f>
        <v>0</v>
      </c>
      <c r="W109" s="13">
        <f ca="1">IF(A109=1,IF(OR('My Loans'!$N$21="",'My Loans'!$N$21=0),0,INDIRECT("'My Loans'!$D"&amp;'My Loans'!$N$21)),BN108)</f>
        <v>0</v>
      </c>
      <c r="X109" s="13">
        <f ca="1">IF(OR('My Loans'!$N$21="",'My Loans'!$N$21=0),0,W109*INDIRECT("'My Loans'!$E"&amp;'My Loans'!$N$21)/12)</f>
        <v>0</v>
      </c>
      <c r="Y109" s="13">
        <f ca="1">IF(OR('My Loans'!$N$21="",'My Loans'!$N$21=0),0,IF(W109&lt;0.005,0,MIN(INDIRECT("'My Loans'!$F"&amp;'My Loans'!$N$21),W109+X109)))</f>
        <v>0</v>
      </c>
      <c r="Z109" s="13">
        <f ca="1">'My Loans'!$B$13-(D109+G109+J109+M109+P109+S109+V109+Y109)</f>
        <v>1400</v>
      </c>
      <c r="AA109" s="13">
        <f t="shared" ca="1" si="129"/>
        <v>1400</v>
      </c>
      <c r="AB109" s="13">
        <f t="shared" ca="1" si="130"/>
        <v>0</v>
      </c>
      <c r="AC109" s="13">
        <f t="shared" ca="1" si="131"/>
        <v>0</v>
      </c>
      <c r="AD109" s="13">
        <f t="shared" ca="1" si="132"/>
        <v>0</v>
      </c>
      <c r="AE109" s="13">
        <f t="shared" ca="1" si="133"/>
        <v>0</v>
      </c>
      <c r="AF109" s="13">
        <f t="shared" ca="1" si="134"/>
        <v>1400</v>
      </c>
      <c r="AG109" s="13">
        <f t="shared" ca="1" si="135"/>
        <v>0</v>
      </c>
      <c r="AH109" s="13">
        <f t="shared" ca="1" si="136"/>
        <v>0</v>
      </c>
      <c r="AI109" s="13">
        <f t="shared" ca="1" si="137"/>
        <v>0</v>
      </c>
      <c r="AJ109" s="13">
        <f t="shared" ca="1" si="138"/>
        <v>0</v>
      </c>
      <c r="AK109" s="13">
        <f t="shared" ca="1" si="139"/>
        <v>1400</v>
      </c>
      <c r="AL109" s="13">
        <f t="shared" ca="1" si="140"/>
        <v>0</v>
      </c>
      <c r="AM109" s="13">
        <f t="shared" ca="1" si="141"/>
        <v>0</v>
      </c>
      <c r="AN109" s="13">
        <f t="shared" ca="1" si="142"/>
        <v>0</v>
      </c>
      <c r="AO109" s="13">
        <f t="shared" ca="1" si="143"/>
        <v>0</v>
      </c>
      <c r="AP109" s="13">
        <f t="shared" ca="1" si="144"/>
        <v>1400</v>
      </c>
      <c r="AQ109" s="13">
        <f t="shared" ca="1" si="145"/>
        <v>0</v>
      </c>
      <c r="AR109" s="13">
        <f t="shared" ca="1" si="146"/>
        <v>0</v>
      </c>
      <c r="AS109" s="13">
        <f t="shared" ca="1" si="147"/>
        <v>0</v>
      </c>
      <c r="AT109" s="13">
        <f t="shared" ca="1" si="148"/>
        <v>0</v>
      </c>
      <c r="AU109" s="13">
        <f t="shared" ca="1" si="149"/>
        <v>1400</v>
      </c>
      <c r="AV109" s="13">
        <f t="shared" ca="1" si="150"/>
        <v>0</v>
      </c>
      <c r="AW109" s="13">
        <f t="shared" ca="1" si="151"/>
        <v>0</v>
      </c>
      <c r="AX109" s="13">
        <f t="shared" ca="1" si="152"/>
        <v>0</v>
      </c>
      <c r="AY109" s="13">
        <f t="shared" ca="1" si="153"/>
        <v>0</v>
      </c>
      <c r="AZ109" s="13">
        <f t="shared" ca="1" si="154"/>
        <v>1400</v>
      </c>
      <c r="BA109" s="13">
        <f t="shared" ca="1" si="155"/>
        <v>0</v>
      </c>
      <c r="BB109" s="13">
        <f t="shared" ca="1" si="156"/>
        <v>0</v>
      </c>
      <c r="BC109" s="13">
        <f t="shared" ca="1" si="157"/>
        <v>0</v>
      </c>
      <c r="BD109" s="13">
        <f t="shared" ca="1" si="158"/>
        <v>0</v>
      </c>
      <c r="BE109" s="13">
        <f t="shared" ca="1" si="159"/>
        <v>1400</v>
      </c>
      <c r="BF109" s="13">
        <f t="shared" ca="1" si="160"/>
        <v>0</v>
      </c>
      <c r="BG109" s="13">
        <f t="shared" ca="1" si="161"/>
        <v>0</v>
      </c>
      <c r="BH109" s="13">
        <f t="shared" ca="1" si="162"/>
        <v>0</v>
      </c>
      <c r="BI109" s="13">
        <f t="shared" ca="1" si="163"/>
        <v>0</v>
      </c>
      <c r="BJ109" s="13">
        <f t="shared" ca="1" si="164"/>
        <v>1400</v>
      </c>
      <c r="BK109" s="13">
        <f t="shared" ca="1" si="165"/>
        <v>0</v>
      </c>
      <c r="BL109" s="13">
        <f t="shared" ca="1" si="166"/>
        <v>0</v>
      </c>
      <c r="BM109" s="13">
        <f t="shared" ca="1" si="167"/>
        <v>0</v>
      </c>
      <c r="BN109" s="13">
        <f t="shared" ca="1" si="168"/>
        <v>0</v>
      </c>
      <c r="BO109" s="13">
        <f t="shared" ca="1" si="169"/>
        <v>0</v>
      </c>
      <c r="BP109" s="13">
        <f t="shared" ca="1" si="170"/>
        <v>0</v>
      </c>
      <c r="BQ109" s="13">
        <f t="shared" ca="1" si="171"/>
        <v>0</v>
      </c>
    </row>
    <row r="110" spans="1:69" x14ac:dyDescent="0.25">
      <c r="A110" s="1">
        <v>109</v>
      </c>
      <c r="B110" s="13">
        <f ca="1">IF(A110=1,IF(OR('My Loans'!$N$14="",'My Loans'!$N$14=0),0,INDIRECT("'My Loans'!$D"&amp;'My Loans'!$N$14)),AE109)</f>
        <v>0</v>
      </c>
      <c r="C110" s="13">
        <f ca="1">IF(OR('My Loans'!$N$14="",'My Loans'!$N$14=0),0,B110*INDIRECT("'My Loans'!$E"&amp;'My Loans'!$N$14)/12)</f>
        <v>0</v>
      </c>
      <c r="D110" s="13">
        <f ca="1">IF(OR('My Loans'!$N$14="",'My Loans'!$N$14=0),0,IF(B110&lt;0.005,0,MIN(INDIRECT("'My Loans'!$F"&amp;'My Loans'!$N$14),B110+C110)))</f>
        <v>0</v>
      </c>
      <c r="E110" s="13">
        <f ca="1">IF(A110=1,IF(OR('My Loans'!$N$15="",'My Loans'!$N$15=0),0,INDIRECT("'My Loans'!$D"&amp;'My Loans'!$N$15)),AJ109)</f>
        <v>0</v>
      </c>
      <c r="F110" s="13">
        <f ca="1">IF(OR('My Loans'!$N$15="",'My Loans'!$N$15=0),0,E110*INDIRECT("'My Loans'!$E"&amp;'My Loans'!$N$15)/12)</f>
        <v>0</v>
      </c>
      <c r="G110" s="13">
        <f ca="1">IF(OR('My Loans'!$N$15="",'My Loans'!$N$15=0),0,IF(E110&lt;0.005,0,MIN(INDIRECT("'My Loans'!$F"&amp;'My Loans'!$N$15),E110+F110)))</f>
        <v>0</v>
      </c>
      <c r="H110" s="13">
        <f ca="1">IF(A110=1,IF(OR('My Loans'!$N$16="",'My Loans'!$N$16=0),0,INDIRECT("'My Loans'!$D"&amp;'My Loans'!$N$16)),AO109)</f>
        <v>0</v>
      </c>
      <c r="I110" s="13">
        <f ca="1">IF(OR('My Loans'!$N$16="",'My Loans'!$N$16=0),0,H110*INDIRECT("'My Loans'!$E"&amp;'My Loans'!$N$16)/12)</f>
        <v>0</v>
      </c>
      <c r="J110" s="13">
        <f ca="1">IF(OR('My Loans'!$N$16="",'My Loans'!$N$16=0),0,IF(H110&lt;0.005,0,MIN(INDIRECT("'My Loans'!$F"&amp;'My Loans'!$N$16),H110+I110)))</f>
        <v>0</v>
      </c>
      <c r="K110" s="13">
        <f ca="1">IF(A110=1,IF(OR('My Loans'!$N$17="",'My Loans'!$N$17=0),0,INDIRECT("'My Loans'!$D"&amp;'My Loans'!$N$17)),AT109)</f>
        <v>0</v>
      </c>
      <c r="L110" s="13">
        <f ca="1">IF(OR('My Loans'!$N$17="",'My Loans'!$N$17=0),0,K110*INDIRECT("'My Loans'!$E"&amp;'My Loans'!$N$17)/12)</f>
        <v>0</v>
      </c>
      <c r="M110" s="13">
        <f ca="1">IF(OR('My Loans'!$N$17="",'My Loans'!$N$17=0),0,IF(K110&lt;0.005,0,MIN(INDIRECT("'My Loans'!$F"&amp;'My Loans'!$N$17),K110+L110)))</f>
        <v>0</v>
      </c>
      <c r="N110" s="13">
        <f ca="1">IF(A110=1,IF(OR('My Loans'!$N$18="",'My Loans'!$N$18=0),0,INDIRECT("'My Loans'!$D"&amp;'My Loans'!$N$18)),AY109)</f>
        <v>0</v>
      </c>
      <c r="O110" s="13">
        <f ca="1">IF(OR('My Loans'!$N$18="",'My Loans'!$N$18=0),0,N110*INDIRECT("'My Loans'!$E"&amp;'My Loans'!$N$18)/12)</f>
        <v>0</v>
      </c>
      <c r="P110" s="13">
        <f ca="1">IF(OR('My Loans'!$N$18="",'My Loans'!$N$18=0),0,IF(N110&lt;0.005,0,MIN(INDIRECT("'My Loans'!$F"&amp;'My Loans'!$N$18),N110+O110)))</f>
        <v>0</v>
      </c>
      <c r="Q110" s="13">
        <f ca="1">IF(A110=1,IF(OR('My Loans'!$N$19="",'My Loans'!$N$19=0),0,INDIRECT("'My Loans'!$D"&amp;'My Loans'!$N$19)),BD109)</f>
        <v>0</v>
      </c>
      <c r="R110" s="13">
        <f ca="1">IF(OR('My Loans'!$N$19="",'My Loans'!$N$19=0),0,Q110*INDIRECT("'My Loans'!$E"&amp;'My Loans'!$N$19)/12)</f>
        <v>0</v>
      </c>
      <c r="S110" s="13">
        <f ca="1">IF(OR('My Loans'!$N$19="",'My Loans'!$N$19=0),0,IF(Q110&lt;0.005,0,MIN(INDIRECT("'My Loans'!$F"&amp;'My Loans'!$N$19),Q110+R110)))</f>
        <v>0</v>
      </c>
      <c r="T110" s="13">
        <f ca="1">IF(A110=1,IF(OR('My Loans'!$N$20="",'My Loans'!$N$20=0),0,INDIRECT("'My Loans'!$D"&amp;'My Loans'!$N$20)),BI109)</f>
        <v>0</v>
      </c>
      <c r="U110" s="13">
        <f ca="1">IF(OR('My Loans'!$N$20="",'My Loans'!$N$20=0),0,T110*INDIRECT("'My Loans'!$E"&amp;'My Loans'!$N$20)/12)</f>
        <v>0</v>
      </c>
      <c r="V110" s="13">
        <f ca="1">IF(OR('My Loans'!$N$20="",'My Loans'!$N$20=0),0,IF(T110&lt;0.005,0,MIN(INDIRECT("'My Loans'!$F"&amp;'My Loans'!$N$20),T110+U110)))</f>
        <v>0</v>
      </c>
      <c r="W110" s="13">
        <f ca="1">IF(A110=1,IF(OR('My Loans'!$N$21="",'My Loans'!$N$21=0),0,INDIRECT("'My Loans'!$D"&amp;'My Loans'!$N$21)),BN109)</f>
        <v>0</v>
      </c>
      <c r="X110" s="13">
        <f ca="1">IF(OR('My Loans'!$N$21="",'My Loans'!$N$21=0),0,W110*INDIRECT("'My Loans'!$E"&amp;'My Loans'!$N$21)/12)</f>
        <v>0</v>
      </c>
      <c r="Y110" s="13">
        <f ca="1">IF(OR('My Loans'!$N$21="",'My Loans'!$N$21=0),0,IF(W110&lt;0.005,0,MIN(INDIRECT("'My Loans'!$F"&amp;'My Loans'!$N$21),W110+X110)))</f>
        <v>0</v>
      </c>
      <c r="Z110" s="13">
        <f ca="1">'My Loans'!$B$13-(D110+G110+J110+M110+P110+S110+V110+Y110)</f>
        <v>1400</v>
      </c>
      <c r="AA110" s="13">
        <f t="shared" ca="1" si="129"/>
        <v>1400</v>
      </c>
      <c r="AB110" s="13">
        <f t="shared" ca="1" si="130"/>
        <v>0</v>
      </c>
      <c r="AC110" s="13">
        <f t="shared" ca="1" si="131"/>
        <v>0</v>
      </c>
      <c r="AD110" s="13">
        <f t="shared" ca="1" si="132"/>
        <v>0</v>
      </c>
      <c r="AE110" s="13">
        <f t="shared" ca="1" si="133"/>
        <v>0</v>
      </c>
      <c r="AF110" s="13">
        <f t="shared" ca="1" si="134"/>
        <v>1400</v>
      </c>
      <c r="AG110" s="13">
        <f t="shared" ca="1" si="135"/>
        <v>0</v>
      </c>
      <c r="AH110" s="13">
        <f t="shared" ca="1" si="136"/>
        <v>0</v>
      </c>
      <c r="AI110" s="13">
        <f t="shared" ca="1" si="137"/>
        <v>0</v>
      </c>
      <c r="AJ110" s="13">
        <f t="shared" ca="1" si="138"/>
        <v>0</v>
      </c>
      <c r="AK110" s="13">
        <f t="shared" ca="1" si="139"/>
        <v>1400</v>
      </c>
      <c r="AL110" s="13">
        <f t="shared" ca="1" si="140"/>
        <v>0</v>
      </c>
      <c r="AM110" s="13">
        <f t="shared" ca="1" si="141"/>
        <v>0</v>
      </c>
      <c r="AN110" s="13">
        <f t="shared" ca="1" si="142"/>
        <v>0</v>
      </c>
      <c r="AO110" s="13">
        <f t="shared" ca="1" si="143"/>
        <v>0</v>
      </c>
      <c r="AP110" s="13">
        <f t="shared" ca="1" si="144"/>
        <v>1400</v>
      </c>
      <c r="AQ110" s="13">
        <f t="shared" ca="1" si="145"/>
        <v>0</v>
      </c>
      <c r="AR110" s="13">
        <f t="shared" ca="1" si="146"/>
        <v>0</v>
      </c>
      <c r="AS110" s="13">
        <f t="shared" ca="1" si="147"/>
        <v>0</v>
      </c>
      <c r="AT110" s="13">
        <f t="shared" ca="1" si="148"/>
        <v>0</v>
      </c>
      <c r="AU110" s="13">
        <f t="shared" ca="1" si="149"/>
        <v>1400</v>
      </c>
      <c r="AV110" s="13">
        <f t="shared" ca="1" si="150"/>
        <v>0</v>
      </c>
      <c r="AW110" s="13">
        <f t="shared" ca="1" si="151"/>
        <v>0</v>
      </c>
      <c r="AX110" s="13">
        <f t="shared" ca="1" si="152"/>
        <v>0</v>
      </c>
      <c r="AY110" s="13">
        <f t="shared" ca="1" si="153"/>
        <v>0</v>
      </c>
      <c r="AZ110" s="13">
        <f t="shared" ca="1" si="154"/>
        <v>1400</v>
      </c>
      <c r="BA110" s="13">
        <f t="shared" ca="1" si="155"/>
        <v>0</v>
      </c>
      <c r="BB110" s="13">
        <f t="shared" ca="1" si="156"/>
        <v>0</v>
      </c>
      <c r="BC110" s="13">
        <f t="shared" ca="1" si="157"/>
        <v>0</v>
      </c>
      <c r="BD110" s="13">
        <f t="shared" ca="1" si="158"/>
        <v>0</v>
      </c>
      <c r="BE110" s="13">
        <f t="shared" ca="1" si="159"/>
        <v>1400</v>
      </c>
      <c r="BF110" s="13">
        <f t="shared" ca="1" si="160"/>
        <v>0</v>
      </c>
      <c r="BG110" s="13">
        <f t="shared" ca="1" si="161"/>
        <v>0</v>
      </c>
      <c r="BH110" s="13">
        <f t="shared" ca="1" si="162"/>
        <v>0</v>
      </c>
      <c r="BI110" s="13">
        <f t="shared" ca="1" si="163"/>
        <v>0</v>
      </c>
      <c r="BJ110" s="13">
        <f t="shared" ca="1" si="164"/>
        <v>1400</v>
      </c>
      <c r="BK110" s="13">
        <f t="shared" ca="1" si="165"/>
        <v>0</v>
      </c>
      <c r="BL110" s="13">
        <f t="shared" ca="1" si="166"/>
        <v>0</v>
      </c>
      <c r="BM110" s="13">
        <f t="shared" ca="1" si="167"/>
        <v>0</v>
      </c>
      <c r="BN110" s="13">
        <f t="shared" ca="1" si="168"/>
        <v>0</v>
      </c>
      <c r="BO110" s="13">
        <f t="shared" ca="1" si="169"/>
        <v>0</v>
      </c>
      <c r="BP110" s="13">
        <f t="shared" ca="1" si="170"/>
        <v>0</v>
      </c>
      <c r="BQ110" s="13">
        <f t="shared" ca="1" si="171"/>
        <v>0</v>
      </c>
    </row>
    <row r="111" spans="1:69" x14ac:dyDescent="0.25">
      <c r="A111" s="1">
        <v>110</v>
      </c>
      <c r="B111" s="13">
        <f ca="1">IF(A111=1,IF(OR('My Loans'!$N$14="",'My Loans'!$N$14=0),0,INDIRECT("'My Loans'!$D"&amp;'My Loans'!$N$14)),AE110)</f>
        <v>0</v>
      </c>
      <c r="C111" s="13">
        <f ca="1">IF(OR('My Loans'!$N$14="",'My Loans'!$N$14=0),0,B111*INDIRECT("'My Loans'!$E"&amp;'My Loans'!$N$14)/12)</f>
        <v>0</v>
      </c>
      <c r="D111" s="13">
        <f ca="1">IF(OR('My Loans'!$N$14="",'My Loans'!$N$14=0),0,IF(B111&lt;0.005,0,MIN(INDIRECT("'My Loans'!$F"&amp;'My Loans'!$N$14),B111+C111)))</f>
        <v>0</v>
      </c>
      <c r="E111" s="13">
        <f ca="1">IF(A111=1,IF(OR('My Loans'!$N$15="",'My Loans'!$N$15=0),0,INDIRECT("'My Loans'!$D"&amp;'My Loans'!$N$15)),AJ110)</f>
        <v>0</v>
      </c>
      <c r="F111" s="13">
        <f ca="1">IF(OR('My Loans'!$N$15="",'My Loans'!$N$15=0),0,E111*INDIRECT("'My Loans'!$E"&amp;'My Loans'!$N$15)/12)</f>
        <v>0</v>
      </c>
      <c r="G111" s="13">
        <f ca="1">IF(OR('My Loans'!$N$15="",'My Loans'!$N$15=0),0,IF(E111&lt;0.005,0,MIN(INDIRECT("'My Loans'!$F"&amp;'My Loans'!$N$15),E111+F111)))</f>
        <v>0</v>
      </c>
      <c r="H111" s="13">
        <f ca="1">IF(A111=1,IF(OR('My Loans'!$N$16="",'My Loans'!$N$16=0),0,INDIRECT("'My Loans'!$D"&amp;'My Loans'!$N$16)),AO110)</f>
        <v>0</v>
      </c>
      <c r="I111" s="13">
        <f ca="1">IF(OR('My Loans'!$N$16="",'My Loans'!$N$16=0),0,H111*INDIRECT("'My Loans'!$E"&amp;'My Loans'!$N$16)/12)</f>
        <v>0</v>
      </c>
      <c r="J111" s="13">
        <f ca="1">IF(OR('My Loans'!$N$16="",'My Loans'!$N$16=0),0,IF(H111&lt;0.005,0,MIN(INDIRECT("'My Loans'!$F"&amp;'My Loans'!$N$16),H111+I111)))</f>
        <v>0</v>
      </c>
      <c r="K111" s="13">
        <f ca="1">IF(A111=1,IF(OR('My Loans'!$N$17="",'My Loans'!$N$17=0),0,INDIRECT("'My Loans'!$D"&amp;'My Loans'!$N$17)),AT110)</f>
        <v>0</v>
      </c>
      <c r="L111" s="13">
        <f ca="1">IF(OR('My Loans'!$N$17="",'My Loans'!$N$17=0),0,K111*INDIRECT("'My Loans'!$E"&amp;'My Loans'!$N$17)/12)</f>
        <v>0</v>
      </c>
      <c r="M111" s="13">
        <f ca="1">IF(OR('My Loans'!$N$17="",'My Loans'!$N$17=0),0,IF(K111&lt;0.005,0,MIN(INDIRECT("'My Loans'!$F"&amp;'My Loans'!$N$17),K111+L111)))</f>
        <v>0</v>
      </c>
      <c r="N111" s="13">
        <f ca="1">IF(A111=1,IF(OR('My Loans'!$N$18="",'My Loans'!$N$18=0),0,INDIRECT("'My Loans'!$D"&amp;'My Loans'!$N$18)),AY110)</f>
        <v>0</v>
      </c>
      <c r="O111" s="13">
        <f ca="1">IF(OR('My Loans'!$N$18="",'My Loans'!$N$18=0),0,N111*INDIRECT("'My Loans'!$E"&amp;'My Loans'!$N$18)/12)</f>
        <v>0</v>
      </c>
      <c r="P111" s="13">
        <f ca="1">IF(OR('My Loans'!$N$18="",'My Loans'!$N$18=0),0,IF(N111&lt;0.005,0,MIN(INDIRECT("'My Loans'!$F"&amp;'My Loans'!$N$18),N111+O111)))</f>
        <v>0</v>
      </c>
      <c r="Q111" s="13">
        <f ca="1">IF(A111=1,IF(OR('My Loans'!$N$19="",'My Loans'!$N$19=0),0,INDIRECT("'My Loans'!$D"&amp;'My Loans'!$N$19)),BD110)</f>
        <v>0</v>
      </c>
      <c r="R111" s="13">
        <f ca="1">IF(OR('My Loans'!$N$19="",'My Loans'!$N$19=0),0,Q111*INDIRECT("'My Loans'!$E"&amp;'My Loans'!$N$19)/12)</f>
        <v>0</v>
      </c>
      <c r="S111" s="13">
        <f ca="1">IF(OR('My Loans'!$N$19="",'My Loans'!$N$19=0),0,IF(Q111&lt;0.005,0,MIN(INDIRECT("'My Loans'!$F"&amp;'My Loans'!$N$19),Q111+R111)))</f>
        <v>0</v>
      </c>
      <c r="T111" s="13">
        <f ca="1">IF(A111=1,IF(OR('My Loans'!$N$20="",'My Loans'!$N$20=0),0,INDIRECT("'My Loans'!$D"&amp;'My Loans'!$N$20)),BI110)</f>
        <v>0</v>
      </c>
      <c r="U111" s="13">
        <f ca="1">IF(OR('My Loans'!$N$20="",'My Loans'!$N$20=0),0,T111*INDIRECT("'My Loans'!$E"&amp;'My Loans'!$N$20)/12)</f>
        <v>0</v>
      </c>
      <c r="V111" s="13">
        <f ca="1">IF(OR('My Loans'!$N$20="",'My Loans'!$N$20=0),0,IF(T111&lt;0.005,0,MIN(INDIRECT("'My Loans'!$F"&amp;'My Loans'!$N$20),T111+U111)))</f>
        <v>0</v>
      </c>
      <c r="W111" s="13">
        <f ca="1">IF(A111=1,IF(OR('My Loans'!$N$21="",'My Loans'!$N$21=0),0,INDIRECT("'My Loans'!$D"&amp;'My Loans'!$N$21)),BN110)</f>
        <v>0</v>
      </c>
      <c r="X111" s="13">
        <f ca="1">IF(OR('My Loans'!$N$21="",'My Loans'!$N$21=0),0,W111*INDIRECT("'My Loans'!$E"&amp;'My Loans'!$N$21)/12)</f>
        <v>0</v>
      </c>
      <c r="Y111" s="13">
        <f ca="1">IF(OR('My Loans'!$N$21="",'My Loans'!$N$21=0),0,IF(W111&lt;0.005,0,MIN(INDIRECT("'My Loans'!$F"&amp;'My Loans'!$N$21),W111+X111)))</f>
        <v>0</v>
      </c>
      <c r="Z111" s="13">
        <f ca="1">'My Loans'!$B$13-(D111+G111+J111+M111+P111+S111+V111+Y111)</f>
        <v>1400</v>
      </c>
      <c r="AA111" s="13">
        <f t="shared" ca="1" si="129"/>
        <v>1400</v>
      </c>
      <c r="AB111" s="13">
        <f t="shared" ca="1" si="130"/>
        <v>0</v>
      </c>
      <c r="AC111" s="13">
        <f t="shared" ca="1" si="131"/>
        <v>0</v>
      </c>
      <c r="AD111" s="13">
        <f t="shared" ca="1" si="132"/>
        <v>0</v>
      </c>
      <c r="AE111" s="13">
        <f t="shared" ca="1" si="133"/>
        <v>0</v>
      </c>
      <c r="AF111" s="13">
        <f t="shared" ca="1" si="134"/>
        <v>1400</v>
      </c>
      <c r="AG111" s="13">
        <f t="shared" ca="1" si="135"/>
        <v>0</v>
      </c>
      <c r="AH111" s="13">
        <f t="shared" ca="1" si="136"/>
        <v>0</v>
      </c>
      <c r="AI111" s="13">
        <f t="shared" ca="1" si="137"/>
        <v>0</v>
      </c>
      <c r="AJ111" s="13">
        <f t="shared" ca="1" si="138"/>
        <v>0</v>
      </c>
      <c r="AK111" s="13">
        <f t="shared" ca="1" si="139"/>
        <v>1400</v>
      </c>
      <c r="AL111" s="13">
        <f t="shared" ca="1" si="140"/>
        <v>0</v>
      </c>
      <c r="AM111" s="13">
        <f t="shared" ca="1" si="141"/>
        <v>0</v>
      </c>
      <c r="AN111" s="13">
        <f t="shared" ca="1" si="142"/>
        <v>0</v>
      </c>
      <c r="AO111" s="13">
        <f t="shared" ca="1" si="143"/>
        <v>0</v>
      </c>
      <c r="AP111" s="13">
        <f t="shared" ca="1" si="144"/>
        <v>1400</v>
      </c>
      <c r="AQ111" s="13">
        <f t="shared" ca="1" si="145"/>
        <v>0</v>
      </c>
      <c r="AR111" s="13">
        <f t="shared" ca="1" si="146"/>
        <v>0</v>
      </c>
      <c r="AS111" s="13">
        <f t="shared" ca="1" si="147"/>
        <v>0</v>
      </c>
      <c r="AT111" s="13">
        <f t="shared" ca="1" si="148"/>
        <v>0</v>
      </c>
      <c r="AU111" s="13">
        <f t="shared" ca="1" si="149"/>
        <v>1400</v>
      </c>
      <c r="AV111" s="13">
        <f t="shared" ca="1" si="150"/>
        <v>0</v>
      </c>
      <c r="AW111" s="13">
        <f t="shared" ca="1" si="151"/>
        <v>0</v>
      </c>
      <c r="AX111" s="13">
        <f t="shared" ca="1" si="152"/>
        <v>0</v>
      </c>
      <c r="AY111" s="13">
        <f t="shared" ca="1" si="153"/>
        <v>0</v>
      </c>
      <c r="AZ111" s="13">
        <f t="shared" ca="1" si="154"/>
        <v>1400</v>
      </c>
      <c r="BA111" s="13">
        <f t="shared" ca="1" si="155"/>
        <v>0</v>
      </c>
      <c r="BB111" s="13">
        <f t="shared" ca="1" si="156"/>
        <v>0</v>
      </c>
      <c r="BC111" s="13">
        <f t="shared" ca="1" si="157"/>
        <v>0</v>
      </c>
      <c r="BD111" s="13">
        <f t="shared" ca="1" si="158"/>
        <v>0</v>
      </c>
      <c r="BE111" s="13">
        <f t="shared" ca="1" si="159"/>
        <v>1400</v>
      </c>
      <c r="BF111" s="13">
        <f t="shared" ca="1" si="160"/>
        <v>0</v>
      </c>
      <c r="BG111" s="13">
        <f t="shared" ca="1" si="161"/>
        <v>0</v>
      </c>
      <c r="BH111" s="13">
        <f t="shared" ca="1" si="162"/>
        <v>0</v>
      </c>
      <c r="BI111" s="13">
        <f t="shared" ca="1" si="163"/>
        <v>0</v>
      </c>
      <c r="BJ111" s="13">
        <f t="shared" ca="1" si="164"/>
        <v>1400</v>
      </c>
      <c r="BK111" s="13">
        <f t="shared" ca="1" si="165"/>
        <v>0</v>
      </c>
      <c r="BL111" s="13">
        <f t="shared" ca="1" si="166"/>
        <v>0</v>
      </c>
      <c r="BM111" s="13">
        <f t="shared" ca="1" si="167"/>
        <v>0</v>
      </c>
      <c r="BN111" s="13">
        <f t="shared" ca="1" si="168"/>
        <v>0</v>
      </c>
      <c r="BO111" s="13">
        <f t="shared" ca="1" si="169"/>
        <v>0</v>
      </c>
      <c r="BP111" s="13">
        <f t="shared" ca="1" si="170"/>
        <v>0</v>
      </c>
      <c r="BQ111" s="13">
        <f t="shared" ca="1" si="171"/>
        <v>0</v>
      </c>
    </row>
    <row r="112" spans="1:69" x14ac:dyDescent="0.25">
      <c r="A112" s="1">
        <v>111</v>
      </c>
      <c r="B112" s="13">
        <f ca="1">IF(A112=1,IF(OR('My Loans'!$N$14="",'My Loans'!$N$14=0),0,INDIRECT("'My Loans'!$D"&amp;'My Loans'!$N$14)),AE111)</f>
        <v>0</v>
      </c>
      <c r="C112" s="13">
        <f ca="1">IF(OR('My Loans'!$N$14="",'My Loans'!$N$14=0),0,B112*INDIRECT("'My Loans'!$E"&amp;'My Loans'!$N$14)/12)</f>
        <v>0</v>
      </c>
      <c r="D112" s="13">
        <f ca="1">IF(OR('My Loans'!$N$14="",'My Loans'!$N$14=0),0,IF(B112&lt;0.005,0,MIN(INDIRECT("'My Loans'!$F"&amp;'My Loans'!$N$14),B112+C112)))</f>
        <v>0</v>
      </c>
      <c r="E112" s="13">
        <f ca="1">IF(A112=1,IF(OR('My Loans'!$N$15="",'My Loans'!$N$15=0),0,INDIRECT("'My Loans'!$D"&amp;'My Loans'!$N$15)),AJ111)</f>
        <v>0</v>
      </c>
      <c r="F112" s="13">
        <f ca="1">IF(OR('My Loans'!$N$15="",'My Loans'!$N$15=0),0,E112*INDIRECT("'My Loans'!$E"&amp;'My Loans'!$N$15)/12)</f>
        <v>0</v>
      </c>
      <c r="G112" s="13">
        <f ca="1">IF(OR('My Loans'!$N$15="",'My Loans'!$N$15=0),0,IF(E112&lt;0.005,0,MIN(INDIRECT("'My Loans'!$F"&amp;'My Loans'!$N$15),E112+F112)))</f>
        <v>0</v>
      </c>
      <c r="H112" s="13">
        <f ca="1">IF(A112=1,IF(OR('My Loans'!$N$16="",'My Loans'!$N$16=0),0,INDIRECT("'My Loans'!$D"&amp;'My Loans'!$N$16)),AO111)</f>
        <v>0</v>
      </c>
      <c r="I112" s="13">
        <f ca="1">IF(OR('My Loans'!$N$16="",'My Loans'!$N$16=0),0,H112*INDIRECT("'My Loans'!$E"&amp;'My Loans'!$N$16)/12)</f>
        <v>0</v>
      </c>
      <c r="J112" s="13">
        <f ca="1">IF(OR('My Loans'!$N$16="",'My Loans'!$N$16=0),0,IF(H112&lt;0.005,0,MIN(INDIRECT("'My Loans'!$F"&amp;'My Loans'!$N$16),H112+I112)))</f>
        <v>0</v>
      </c>
      <c r="K112" s="13">
        <f ca="1">IF(A112=1,IF(OR('My Loans'!$N$17="",'My Loans'!$N$17=0),0,INDIRECT("'My Loans'!$D"&amp;'My Loans'!$N$17)),AT111)</f>
        <v>0</v>
      </c>
      <c r="L112" s="13">
        <f ca="1">IF(OR('My Loans'!$N$17="",'My Loans'!$N$17=0),0,K112*INDIRECT("'My Loans'!$E"&amp;'My Loans'!$N$17)/12)</f>
        <v>0</v>
      </c>
      <c r="M112" s="13">
        <f ca="1">IF(OR('My Loans'!$N$17="",'My Loans'!$N$17=0),0,IF(K112&lt;0.005,0,MIN(INDIRECT("'My Loans'!$F"&amp;'My Loans'!$N$17),K112+L112)))</f>
        <v>0</v>
      </c>
      <c r="N112" s="13">
        <f ca="1">IF(A112=1,IF(OR('My Loans'!$N$18="",'My Loans'!$N$18=0),0,INDIRECT("'My Loans'!$D"&amp;'My Loans'!$N$18)),AY111)</f>
        <v>0</v>
      </c>
      <c r="O112" s="13">
        <f ca="1">IF(OR('My Loans'!$N$18="",'My Loans'!$N$18=0),0,N112*INDIRECT("'My Loans'!$E"&amp;'My Loans'!$N$18)/12)</f>
        <v>0</v>
      </c>
      <c r="P112" s="13">
        <f ca="1">IF(OR('My Loans'!$N$18="",'My Loans'!$N$18=0),0,IF(N112&lt;0.005,0,MIN(INDIRECT("'My Loans'!$F"&amp;'My Loans'!$N$18),N112+O112)))</f>
        <v>0</v>
      </c>
      <c r="Q112" s="13">
        <f ca="1">IF(A112=1,IF(OR('My Loans'!$N$19="",'My Loans'!$N$19=0),0,INDIRECT("'My Loans'!$D"&amp;'My Loans'!$N$19)),BD111)</f>
        <v>0</v>
      </c>
      <c r="R112" s="13">
        <f ca="1">IF(OR('My Loans'!$N$19="",'My Loans'!$N$19=0),0,Q112*INDIRECT("'My Loans'!$E"&amp;'My Loans'!$N$19)/12)</f>
        <v>0</v>
      </c>
      <c r="S112" s="13">
        <f ca="1">IF(OR('My Loans'!$N$19="",'My Loans'!$N$19=0),0,IF(Q112&lt;0.005,0,MIN(INDIRECT("'My Loans'!$F"&amp;'My Loans'!$N$19),Q112+R112)))</f>
        <v>0</v>
      </c>
      <c r="T112" s="13">
        <f ca="1">IF(A112=1,IF(OR('My Loans'!$N$20="",'My Loans'!$N$20=0),0,INDIRECT("'My Loans'!$D"&amp;'My Loans'!$N$20)),BI111)</f>
        <v>0</v>
      </c>
      <c r="U112" s="13">
        <f ca="1">IF(OR('My Loans'!$N$20="",'My Loans'!$N$20=0),0,T112*INDIRECT("'My Loans'!$E"&amp;'My Loans'!$N$20)/12)</f>
        <v>0</v>
      </c>
      <c r="V112" s="13">
        <f ca="1">IF(OR('My Loans'!$N$20="",'My Loans'!$N$20=0),0,IF(T112&lt;0.005,0,MIN(INDIRECT("'My Loans'!$F"&amp;'My Loans'!$N$20),T112+U112)))</f>
        <v>0</v>
      </c>
      <c r="W112" s="13">
        <f ca="1">IF(A112=1,IF(OR('My Loans'!$N$21="",'My Loans'!$N$21=0),0,INDIRECT("'My Loans'!$D"&amp;'My Loans'!$N$21)),BN111)</f>
        <v>0</v>
      </c>
      <c r="X112" s="13">
        <f ca="1">IF(OR('My Loans'!$N$21="",'My Loans'!$N$21=0),0,W112*INDIRECT("'My Loans'!$E"&amp;'My Loans'!$N$21)/12)</f>
        <v>0</v>
      </c>
      <c r="Y112" s="13">
        <f ca="1">IF(OR('My Loans'!$N$21="",'My Loans'!$N$21=0),0,IF(W112&lt;0.005,0,MIN(INDIRECT("'My Loans'!$F"&amp;'My Loans'!$N$21),W112+X112)))</f>
        <v>0</v>
      </c>
      <c r="Z112" s="13">
        <f ca="1">'My Loans'!$B$13-(D112+G112+J112+M112+P112+S112+V112+Y112)</f>
        <v>1400</v>
      </c>
      <c r="AA112" s="13">
        <f t="shared" ca="1" si="129"/>
        <v>1400</v>
      </c>
      <c r="AB112" s="13">
        <f t="shared" ca="1" si="130"/>
        <v>0</v>
      </c>
      <c r="AC112" s="13">
        <f t="shared" ca="1" si="131"/>
        <v>0</v>
      </c>
      <c r="AD112" s="13">
        <f t="shared" ca="1" si="132"/>
        <v>0</v>
      </c>
      <c r="AE112" s="13">
        <f t="shared" ca="1" si="133"/>
        <v>0</v>
      </c>
      <c r="AF112" s="13">
        <f t="shared" ca="1" si="134"/>
        <v>1400</v>
      </c>
      <c r="AG112" s="13">
        <f t="shared" ca="1" si="135"/>
        <v>0</v>
      </c>
      <c r="AH112" s="13">
        <f t="shared" ca="1" si="136"/>
        <v>0</v>
      </c>
      <c r="AI112" s="13">
        <f t="shared" ca="1" si="137"/>
        <v>0</v>
      </c>
      <c r="AJ112" s="13">
        <f t="shared" ca="1" si="138"/>
        <v>0</v>
      </c>
      <c r="AK112" s="13">
        <f t="shared" ca="1" si="139"/>
        <v>1400</v>
      </c>
      <c r="AL112" s="13">
        <f t="shared" ca="1" si="140"/>
        <v>0</v>
      </c>
      <c r="AM112" s="13">
        <f t="shared" ca="1" si="141"/>
        <v>0</v>
      </c>
      <c r="AN112" s="13">
        <f t="shared" ca="1" si="142"/>
        <v>0</v>
      </c>
      <c r="AO112" s="13">
        <f t="shared" ca="1" si="143"/>
        <v>0</v>
      </c>
      <c r="AP112" s="13">
        <f t="shared" ca="1" si="144"/>
        <v>1400</v>
      </c>
      <c r="AQ112" s="13">
        <f t="shared" ca="1" si="145"/>
        <v>0</v>
      </c>
      <c r="AR112" s="13">
        <f t="shared" ca="1" si="146"/>
        <v>0</v>
      </c>
      <c r="AS112" s="13">
        <f t="shared" ca="1" si="147"/>
        <v>0</v>
      </c>
      <c r="AT112" s="13">
        <f t="shared" ca="1" si="148"/>
        <v>0</v>
      </c>
      <c r="AU112" s="13">
        <f t="shared" ca="1" si="149"/>
        <v>1400</v>
      </c>
      <c r="AV112" s="13">
        <f t="shared" ca="1" si="150"/>
        <v>0</v>
      </c>
      <c r="AW112" s="13">
        <f t="shared" ca="1" si="151"/>
        <v>0</v>
      </c>
      <c r="AX112" s="13">
        <f t="shared" ca="1" si="152"/>
        <v>0</v>
      </c>
      <c r="AY112" s="13">
        <f t="shared" ca="1" si="153"/>
        <v>0</v>
      </c>
      <c r="AZ112" s="13">
        <f t="shared" ca="1" si="154"/>
        <v>1400</v>
      </c>
      <c r="BA112" s="13">
        <f t="shared" ca="1" si="155"/>
        <v>0</v>
      </c>
      <c r="BB112" s="13">
        <f t="shared" ca="1" si="156"/>
        <v>0</v>
      </c>
      <c r="BC112" s="13">
        <f t="shared" ca="1" si="157"/>
        <v>0</v>
      </c>
      <c r="BD112" s="13">
        <f t="shared" ca="1" si="158"/>
        <v>0</v>
      </c>
      <c r="BE112" s="13">
        <f t="shared" ca="1" si="159"/>
        <v>1400</v>
      </c>
      <c r="BF112" s="13">
        <f t="shared" ca="1" si="160"/>
        <v>0</v>
      </c>
      <c r="BG112" s="13">
        <f t="shared" ca="1" si="161"/>
        <v>0</v>
      </c>
      <c r="BH112" s="13">
        <f t="shared" ca="1" si="162"/>
        <v>0</v>
      </c>
      <c r="BI112" s="13">
        <f t="shared" ca="1" si="163"/>
        <v>0</v>
      </c>
      <c r="BJ112" s="13">
        <f t="shared" ca="1" si="164"/>
        <v>1400</v>
      </c>
      <c r="BK112" s="13">
        <f t="shared" ca="1" si="165"/>
        <v>0</v>
      </c>
      <c r="BL112" s="13">
        <f t="shared" ca="1" si="166"/>
        <v>0</v>
      </c>
      <c r="BM112" s="13">
        <f t="shared" ca="1" si="167"/>
        <v>0</v>
      </c>
      <c r="BN112" s="13">
        <f t="shared" ca="1" si="168"/>
        <v>0</v>
      </c>
      <c r="BO112" s="13">
        <f t="shared" ca="1" si="169"/>
        <v>0</v>
      </c>
      <c r="BP112" s="13">
        <f t="shared" ca="1" si="170"/>
        <v>0</v>
      </c>
      <c r="BQ112" s="13">
        <f t="shared" ca="1" si="171"/>
        <v>0</v>
      </c>
    </row>
    <row r="113" spans="1:69" x14ac:dyDescent="0.25">
      <c r="A113" s="1">
        <v>112</v>
      </c>
      <c r="B113" s="13">
        <f ca="1">IF(A113=1,IF(OR('My Loans'!$N$14="",'My Loans'!$N$14=0),0,INDIRECT("'My Loans'!$D"&amp;'My Loans'!$N$14)),AE112)</f>
        <v>0</v>
      </c>
      <c r="C113" s="13">
        <f ca="1">IF(OR('My Loans'!$N$14="",'My Loans'!$N$14=0),0,B113*INDIRECT("'My Loans'!$E"&amp;'My Loans'!$N$14)/12)</f>
        <v>0</v>
      </c>
      <c r="D113" s="13">
        <f ca="1">IF(OR('My Loans'!$N$14="",'My Loans'!$N$14=0),0,IF(B113&lt;0.005,0,MIN(INDIRECT("'My Loans'!$F"&amp;'My Loans'!$N$14),B113+C113)))</f>
        <v>0</v>
      </c>
      <c r="E113" s="13">
        <f ca="1">IF(A113=1,IF(OR('My Loans'!$N$15="",'My Loans'!$N$15=0),0,INDIRECT("'My Loans'!$D"&amp;'My Loans'!$N$15)),AJ112)</f>
        <v>0</v>
      </c>
      <c r="F113" s="13">
        <f ca="1">IF(OR('My Loans'!$N$15="",'My Loans'!$N$15=0),0,E113*INDIRECT("'My Loans'!$E"&amp;'My Loans'!$N$15)/12)</f>
        <v>0</v>
      </c>
      <c r="G113" s="13">
        <f ca="1">IF(OR('My Loans'!$N$15="",'My Loans'!$N$15=0),0,IF(E113&lt;0.005,0,MIN(INDIRECT("'My Loans'!$F"&amp;'My Loans'!$N$15),E113+F113)))</f>
        <v>0</v>
      </c>
      <c r="H113" s="13">
        <f ca="1">IF(A113=1,IF(OR('My Loans'!$N$16="",'My Loans'!$N$16=0),0,INDIRECT("'My Loans'!$D"&amp;'My Loans'!$N$16)),AO112)</f>
        <v>0</v>
      </c>
      <c r="I113" s="13">
        <f ca="1">IF(OR('My Loans'!$N$16="",'My Loans'!$N$16=0),0,H113*INDIRECT("'My Loans'!$E"&amp;'My Loans'!$N$16)/12)</f>
        <v>0</v>
      </c>
      <c r="J113" s="13">
        <f ca="1">IF(OR('My Loans'!$N$16="",'My Loans'!$N$16=0),0,IF(H113&lt;0.005,0,MIN(INDIRECT("'My Loans'!$F"&amp;'My Loans'!$N$16),H113+I113)))</f>
        <v>0</v>
      </c>
      <c r="K113" s="13">
        <f ca="1">IF(A113=1,IF(OR('My Loans'!$N$17="",'My Loans'!$N$17=0),0,INDIRECT("'My Loans'!$D"&amp;'My Loans'!$N$17)),AT112)</f>
        <v>0</v>
      </c>
      <c r="L113" s="13">
        <f ca="1">IF(OR('My Loans'!$N$17="",'My Loans'!$N$17=0),0,K113*INDIRECT("'My Loans'!$E"&amp;'My Loans'!$N$17)/12)</f>
        <v>0</v>
      </c>
      <c r="M113" s="13">
        <f ca="1">IF(OR('My Loans'!$N$17="",'My Loans'!$N$17=0),0,IF(K113&lt;0.005,0,MIN(INDIRECT("'My Loans'!$F"&amp;'My Loans'!$N$17),K113+L113)))</f>
        <v>0</v>
      </c>
      <c r="N113" s="13">
        <f ca="1">IF(A113=1,IF(OR('My Loans'!$N$18="",'My Loans'!$N$18=0),0,INDIRECT("'My Loans'!$D"&amp;'My Loans'!$N$18)),AY112)</f>
        <v>0</v>
      </c>
      <c r="O113" s="13">
        <f ca="1">IF(OR('My Loans'!$N$18="",'My Loans'!$N$18=0),0,N113*INDIRECT("'My Loans'!$E"&amp;'My Loans'!$N$18)/12)</f>
        <v>0</v>
      </c>
      <c r="P113" s="13">
        <f ca="1">IF(OR('My Loans'!$N$18="",'My Loans'!$N$18=0),0,IF(N113&lt;0.005,0,MIN(INDIRECT("'My Loans'!$F"&amp;'My Loans'!$N$18),N113+O113)))</f>
        <v>0</v>
      </c>
      <c r="Q113" s="13">
        <f ca="1">IF(A113=1,IF(OR('My Loans'!$N$19="",'My Loans'!$N$19=0),0,INDIRECT("'My Loans'!$D"&amp;'My Loans'!$N$19)),BD112)</f>
        <v>0</v>
      </c>
      <c r="R113" s="13">
        <f ca="1">IF(OR('My Loans'!$N$19="",'My Loans'!$N$19=0),0,Q113*INDIRECT("'My Loans'!$E"&amp;'My Loans'!$N$19)/12)</f>
        <v>0</v>
      </c>
      <c r="S113" s="13">
        <f ca="1">IF(OR('My Loans'!$N$19="",'My Loans'!$N$19=0),0,IF(Q113&lt;0.005,0,MIN(INDIRECT("'My Loans'!$F"&amp;'My Loans'!$N$19),Q113+R113)))</f>
        <v>0</v>
      </c>
      <c r="T113" s="13">
        <f ca="1">IF(A113=1,IF(OR('My Loans'!$N$20="",'My Loans'!$N$20=0),0,INDIRECT("'My Loans'!$D"&amp;'My Loans'!$N$20)),BI112)</f>
        <v>0</v>
      </c>
      <c r="U113" s="13">
        <f ca="1">IF(OR('My Loans'!$N$20="",'My Loans'!$N$20=0),0,T113*INDIRECT("'My Loans'!$E"&amp;'My Loans'!$N$20)/12)</f>
        <v>0</v>
      </c>
      <c r="V113" s="13">
        <f ca="1">IF(OR('My Loans'!$N$20="",'My Loans'!$N$20=0),0,IF(T113&lt;0.005,0,MIN(INDIRECT("'My Loans'!$F"&amp;'My Loans'!$N$20),T113+U113)))</f>
        <v>0</v>
      </c>
      <c r="W113" s="13">
        <f ca="1">IF(A113=1,IF(OR('My Loans'!$N$21="",'My Loans'!$N$21=0),0,INDIRECT("'My Loans'!$D"&amp;'My Loans'!$N$21)),BN112)</f>
        <v>0</v>
      </c>
      <c r="X113" s="13">
        <f ca="1">IF(OR('My Loans'!$N$21="",'My Loans'!$N$21=0),0,W113*INDIRECT("'My Loans'!$E"&amp;'My Loans'!$N$21)/12)</f>
        <v>0</v>
      </c>
      <c r="Y113" s="13">
        <f ca="1">IF(OR('My Loans'!$N$21="",'My Loans'!$N$21=0),0,IF(W113&lt;0.005,0,MIN(INDIRECT("'My Loans'!$F"&amp;'My Loans'!$N$21),W113+X113)))</f>
        <v>0</v>
      </c>
      <c r="Z113" s="13">
        <f ca="1">'My Loans'!$B$13-(D113+G113+J113+M113+P113+S113+V113+Y113)</f>
        <v>1400</v>
      </c>
      <c r="AA113" s="13">
        <f t="shared" ca="1" si="129"/>
        <v>1400</v>
      </c>
      <c r="AB113" s="13">
        <f t="shared" ca="1" si="130"/>
        <v>0</v>
      </c>
      <c r="AC113" s="13">
        <f t="shared" ca="1" si="131"/>
        <v>0</v>
      </c>
      <c r="AD113" s="13">
        <f t="shared" ca="1" si="132"/>
        <v>0</v>
      </c>
      <c r="AE113" s="13">
        <f t="shared" ca="1" si="133"/>
        <v>0</v>
      </c>
      <c r="AF113" s="13">
        <f t="shared" ca="1" si="134"/>
        <v>1400</v>
      </c>
      <c r="AG113" s="13">
        <f t="shared" ca="1" si="135"/>
        <v>0</v>
      </c>
      <c r="AH113" s="13">
        <f t="shared" ca="1" si="136"/>
        <v>0</v>
      </c>
      <c r="AI113" s="13">
        <f t="shared" ca="1" si="137"/>
        <v>0</v>
      </c>
      <c r="AJ113" s="13">
        <f t="shared" ca="1" si="138"/>
        <v>0</v>
      </c>
      <c r="AK113" s="13">
        <f t="shared" ca="1" si="139"/>
        <v>1400</v>
      </c>
      <c r="AL113" s="13">
        <f t="shared" ca="1" si="140"/>
        <v>0</v>
      </c>
      <c r="AM113" s="13">
        <f t="shared" ca="1" si="141"/>
        <v>0</v>
      </c>
      <c r="AN113" s="13">
        <f t="shared" ca="1" si="142"/>
        <v>0</v>
      </c>
      <c r="AO113" s="13">
        <f t="shared" ca="1" si="143"/>
        <v>0</v>
      </c>
      <c r="AP113" s="13">
        <f t="shared" ca="1" si="144"/>
        <v>1400</v>
      </c>
      <c r="AQ113" s="13">
        <f t="shared" ca="1" si="145"/>
        <v>0</v>
      </c>
      <c r="AR113" s="13">
        <f t="shared" ca="1" si="146"/>
        <v>0</v>
      </c>
      <c r="AS113" s="13">
        <f t="shared" ca="1" si="147"/>
        <v>0</v>
      </c>
      <c r="AT113" s="13">
        <f t="shared" ca="1" si="148"/>
        <v>0</v>
      </c>
      <c r="AU113" s="13">
        <f t="shared" ca="1" si="149"/>
        <v>1400</v>
      </c>
      <c r="AV113" s="13">
        <f t="shared" ca="1" si="150"/>
        <v>0</v>
      </c>
      <c r="AW113" s="13">
        <f t="shared" ca="1" si="151"/>
        <v>0</v>
      </c>
      <c r="AX113" s="13">
        <f t="shared" ca="1" si="152"/>
        <v>0</v>
      </c>
      <c r="AY113" s="13">
        <f t="shared" ca="1" si="153"/>
        <v>0</v>
      </c>
      <c r="AZ113" s="13">
        <f t="shared" ca="1" si="154"/>
        <v>1400</v>
      </c>
      <c r="BA113" s="13">
        <f t="shared" ca="1" si="155"/>
        <v>0</v>
      </c>
      <c r="BB113" s="13">
        <f t="shared" ca="1" si="156"/>
        <v>0</v>
      </c>
      <c r="BC113" s="13">
        <f t="shared" ca="1" si="157"/>
        <v>0</v>
      </c>
      <c r="BD113" s="13">
        <f t="shared" ca="1" si="158"/>
        <v>0</v>
      </c>
      <c r="BE113" s="13">
        <f t="shared" ca="1" si="159"/>
        <v>1400</v>
      </c>
      <c r="BF113" s="13">
        <f t="shared" ca="1" si="160"/>
        <v>0</v>
      </c>
      <c r="BG113" s="13">
        <f t="shared" ca="1" si="161"/>
        <v>0</v>
      </c>
      <c r="BH113" s="13">
        <f t="shared" ca="1" si="162"/>
        <v>0</v>
      </c>
      <c r="BI113" s="13">
        <f t="shared" ca="1" si="163"/>
        <v>0</v>
      </c>
      <c r="BJ113" s="13">
        <f t="shared" ca="1" si="164"/>
        <v>1400</v>
      </c>
      <c r="BK113" s="13">
        <f t="shared" ca="1" si="165"/>
        <v>0</v>
      </c>
      <c r="BL113" s="13">
        <f t="shared" ca="1" si="166"/>
        <v>0</v>
      </c>
      <c r="BM113" s="13">
        <f t="shared" ca="1" si="167"/>
        <v>0</v>
      </c>
      <c r="BN113" s="13">
        <f t="shared" ca="1" si="168"/>
        <v>0</v>
      </c>
      <c r="BO113" s="13">
        <f t="shared" ca="1" si="169"/>
        <v>0</v>
      </c>
      <c r="BP113" s="13">
        <f t="shared" ca="1" si="170"/>
        <v>0</v>
      </c>
      <c r="BQ113" s="13">
        <f t="shared" ca="1" si="171"/>
        <v>0</v>
      </c>
    </row>
    <row r="114" spans="1:69" x14ac:dyDescent="0.25">
      <c r="A114" s="1">
        <v>113</v>
      </c>
      <c r="B114" s="13">
        <f ca="1">IF(A114=1,IF(OR('My Loans'!$N$14="",'My Loans'!$N$14=0),0,INDIRECT("'My Loans'!$D"&amp;'My Loans'!$N$14)),AE113)</f>
        <v>0</v>
      </c>
      <c r="C114" s="13">
        <f ca="1">IF(OR('My Loans'!$N$14="",'My Loans'!$N$14=0),0,B114*INDIRECT("'My Loans'!$E"&amp;'My Loans'!$N$14)/12)</f>
        <v>0</v>
      </c>
      <c r="D114" s="13">
        <f ca="1">IF(OR('My Loans'!$N$14="",'My Loans'!$N$14=0),0,IF(B114&lt;0.005,0,MIN(INDIRECT("'My Loans'!$F"&amp;'My Loans'!$N$14),B114+C114)))</f>
        <v>0</v>
      </c>
      <c r="E114" s="13">
        <f ca="1">IF(A114=1,IF(OR('My Loans'!$N$15="",'My Loans'!$N$15=0),0,INDIRECT("'My Loans'!$D"&amp;'My Loans'!$N$15)),AJ113)</f>
        <v>0</v>
      </c>
      <c r="F114" s="13">
        <f ca="1">IF(OR('My Loans'!$N$15="",'My Loans'!$N$15=0),0,E114*INDIRECT("'My Loans'!$E"&amp;'My Loans'!$N$15)/12)</f>
        <v>0</v>
      </c>
      <c r="G114" s="13">
        <f ca="1">IF(OR('My Loans'!$N$15="",'My Loans'!$N$15=0),0,IF(E114&lt;0.005,0,MIN(INDIRECT("'My Loans'!$F"&amp;'My Loans'!$N$15),E114+F114)))</f>
        <v>0</v>
      </c>
      <c r="H114" s="13">
        <f ca="1">IF(A114=1,IF(OR('My Loans'!$N$16="",'My Loans'!$N$16=0),0,INDIRECT("'My Loans'!$D"&amp;'My Loans'!$N$16)),AO113)</f>
        <v>0</v>
      </c>
      <c r="I114" s="13">
        <f ca="1">IF(OR('My Loans'!$N$16="",'My Loans'!$N$16=0),0,H114*INDIRECT("'My Loans'!$E"&amp;'My Loans'!$N$16)/12)</f>
        <v>0</v>
      </c>
      <c r="J114" s="13">
        <f ca="1">IF(OR('My Loans'!$N$16="",'My Loans'!$N$16=0),0,IF(H114&lt;0.005,0,MIN(INDIRECT("'My Loans'!$F"&amp;'My Loans'!$N$16),H114+I114)))</f>
        <v>0</v>
      </c>
      <c r="K114" s="13">
        <f ca="1">IF(A114=1,IF(OR('My Loans'!$N$17="",'My Loans'!$N$17=0),0,INDIRECT("'My Loans'!$D"&amp;'My Loans'!$N$17)),AT113)</f>
        <v>0</v>
      </c>
      <c r="L114" s="13">
        <f ca="1">IF(OR('My Loans'!$N$17="",'My Loans'!$N$17=0),0,K114*INDIRECT("'My Loans'!$E"&amp;'My Loans'!$N$17)/12)</f>
        <v>0</v>
      </c>
      <c r="M114" s="13">
        <f ca="1">IF(OR('My Loans'!$N$17="",'My Loans'!$N$17=0),0,IF(K114&lt;0.005,0,MIN(INDIRECT("'My Loans'!$F"&amp;'My Loans'!$N$17),K114+L114)))</f>
        <v>0</v>
      </c>
      <c r="N114" s="13">
        <f ca="1">IF(A114=1,IF(OR('My Loans'!$N$18="",'My Loans'!$N$18=0),0,INDIRECT("'My Loans'!$D"&amp;'My Loans'!$N$18)),AY113)</f>
        <v>0</v>
      </c>
      <c r="O114" s="13">
        <f ca="1">IF(OR('My Loans'!$N$18="",'My Loans'!$N$18=0),0,N114*INDIRECT("'My Loans'!$E"&amp;'My Loans'!$N$18)/12)</f>
        <v>0</v>
      </c>
      <c r="P114" s="13">
        <f ca="1">IF(OR('My Loans'!$N$18="",'My Loans'!$N$18=0),0,IF(N114&lt;0.005,0,MIN(INDIRECT("'My Loans'!$F"&amp;'My Loans'!$N$18),N114+O114)))</f>
        <v>0</v>
      </c>
      <c r="Q114" s="13">
        <f ca="1">IF(A114=1,IF(OR('My Loans'!$N$19="",'My Loans'!$N$19=0),0,INDIRECT("'My Loans'!$D"&amp;'My Loans'!$N$19)),BD113)</f>
        <v>0</v>
      </c>
      <c r="R114" s="13">
        <f ca="1">IF(OR('My Loans'!$N$19="",'My Loans'!$N$19=0),0,Q114*INDIRECT("'My Loans'!$E"&amp;'My Loans'!$N$19)/12)</f>
        <v>0</v>
      </c>
      <c r="S114" s="13">
        <f ca="1">IF(OR('My Loans'!$N$19="",'My Loans'!$N$19=0),0,IF(Q114&lt;0.005,0,MIN(INDIRECT("'My Loans'!$F"&amp;'My Loans'!$N$19),Q114+R114)))</f>
        <v>0</v>
      </c>
      <c r="T114" s="13">
        <f ca="1">IF(A114=1,IF(OR('My Loans'!$N$20="",'My Loans'!$N$20=0),0,INDIRECT("'My Loans'!$D"&amp;'My Loans'!$N$20)),BI113)</f>
        <v>0</v>
      </c>
      <c r="U114" s="13">
        <f ca="1">IF(OR('My Loans'!$N$20="",'My Loans'!$N$20=0),0,T114*INDIRECT("'My Loans'!$E"&amp;'My Loans'!$N$20)/12)</f>
        <v>0</v>
      </c>
      <c r="V114" s="13">
        <f ca="1">IF(OR('My Loans'!$N$20="",'My Loans'!$N$20=0),0,IF(T114&lt;0.005,0,MIN(INDIRECT("'My Loans'!$F"&amp;'My Loans'!$N$20),T114+U114)))</f>
        <v>0</v>
      </c>
      <c r="W114" s="13">
        <f ca="1">IF(A114=1,IF(OR('My Loans'!$N$21="",'My Loans'!$N$21=0),0,INDIRECT("'My Loans'!$D"&amp;'My Loans'!$N$21)),BN113)</f>
        <v>0</v>
      </c>
      <c r="X114" s="13">
        <f ca="1">IF(OR('My Loans'!$N$21="",'My Loans'!$N$21=0),0,W114*INDIRECT("'My Loans'!$E"&amp;'My Loans'!$N$21)/12)</f>
        <v>0</v>
      </c>
      <c r="Y114" s="13">
        <f ca="1">IF(OR('My Loans'!$N$21="",'My Loans'!$N$21=0),0,IF(W114&lt;0.005,0,MIN(INDIRECT("'My Loans'!$F"&amp;'My Loans'!$N$21),W114+X114)))</f>
        <v>0</v>
      </c>
      <c r="Z114" s="13">
        <f ca="1">'My Loans'!$B$13-(D114+G114+J114+M114+P114+S114+V114+Y114)</f>
        <v>1400</v>
      </c>
      <c r="AA114" s="13">
        <f t="shared" ca="1" si="129"/>
        <v>1400</v>
      </c>
      <c r="AB114" s="13">
        <f t="shared" ca="1" si="130"/>
        <v>0</v>
      </c>
      <c r="AC114" s="13">
        <f t="shared" ca="1" si="131"/>
        <v>0</v>
      </c>
      <c r="AD114" s="13">
        <f t="shared" ca="1" si="132"/>
        <v>0</v>
      </c>
      <c r="AE114" s="13">
        <f t="shared" ca="1" si="133"/>
        <v>0</v>
      </c>
      <c r="AF114" s="13">
        <f t="shared" ca="1" si="134"/>
        <v>1400</v>
      </c>
      <c r="AG114" s="13">
        <f t="shared" ca="1" si="135"/>
        <v>0</v>
      </c>
      <c r="AH114" s="13">
        <f t="shared" ca="1" si="136"/>
        <v>0</v>
      </c>
      <c r="AI114" s="13">
        <f t="shared" ca="1" si="137"/>
        <v>0</v>
      </c>
      <c r="AJ114" s="13">
        <f t="shared" ca="1" si="138"/>
        <v>0</v>
      </c>
      <c r="AK114" s="13">
        <f t="shared" ca="1" si="139"/>
        <v>1400</v>
      </c>
      <c r="AL114" s="13">
        <f t="shared" ca="1" si="140"/>
        <v>0</v>
      </c>
      <c r="AM114" s="13">
        <f t="shared" ca="1" si="141"/>
        <v>0</v>
      </c>
      <c r="AN114" s="13">
        <f t="shared" ca="1" si="142"/>
        <v>0</v>
      </c>
      <c r="AO114" s="13">
        <f t="shared" ca="1" si="143"/>
        <v>0</v>
      </c>
      <c r="AP114" s="13">
        <f t="shared" ca="1" si="144"/>
        <v>1400</v>
      </c>
      <c r="AQ114" s="13">
        <f t="shared" ca="1" si="145"/>
        <v>0</v>
      </c>
      <c r="AR114" s="13">
        <f t="shared" ca="1" si="146"/>
        <v>0</v>
      </c>
      <c r="AS114" s="13">
        <f t="shared" ca="1" si="147"/>
        <v>0</v>
      </c>
      <c r="AT114" s="13">
        <f t="shared" ca="1" si="148"/>
        <v>0</v>
      </c>
      <c r="AU114" s="13">
        <f t="shared" ca="1" si="149"/>
        <v>1400</v>
      </c>
      <c r="AV114" s="13">
        <f t="shared" ca="1" si="150"/>
        <v>0</v>
      </c>
      <c r="AW114" s="13">
        <f t="shared" ca="1" si="151"/>
        <v>0</v>
      </c>
      <c r="AX114" s="13">
        <f t="shared" ca="1" si="152"/>
        <v>0</v>
      </c>
      <c r="AY114" s="13">
        <f t="shared" ca="1" si="153"/>
        <v>0</v>
      </c>
      <c r="AZ114" s="13">
        <f t="shared" ca="1" si="154"/>
        <v>1400</v>
      </c>
      <c r="BA114" s="13">
        <f t="shared" ca="1" si="155"/>
        <v>0</v>
      </c>
      <c r="BB114" s="13">
        <f t="shared" ca="1" si="156"/>
        <v>0</v>
      </c>
      <c r="BC114" s="13">
        <f t="shared" ca="1" si="157"/>
        <v>0</v>
      </c>
      <c r="BD114" s="13">
        <f t="shared" ca="1" si="158"/>
        <v>0</v>
      </c>
      <c r="BE114" s="13">
        <f t="shared" ca="1" si="159"/>
        <v>1400</v>
      </c>
      <c r="BF114" s="13">
        <f t="shared" ca="1" si="160"/>
        <v>0</v>
      </c>
      <c r="BG114" s="13">
        <f t="shared" ca="1" si="161"/>
        <v>0</v>
      </c>
      <c r="BH114" s="13">
        <f t="shared" ca="1" si="162"/>
        <v>0</v>
      </c>
      <c r="BI114" s="13">
        <f t="shared" ca="1" si="163"/>
        <v>0</v>
      </c>
      <c r="BJ114" s="13">
        <f t="shared" ca="1" si="164"/>
        <v>1400</v>
      </c>
      <c r="BK114" s="13">
        <f t="shared" ca="1" si="165"/>
        <v>0</v>
      </c>
      <c r="BL114" s="13">
        <f t="shared" ca="1" si="166"/>
        <v>0</v>
      </c>
      <c r="BM114" s="13">
        <f t="shared" ca="1" si="167"/>
        <v>0</v>
      </c>
      <c r="BN114" s="13">
        <f t="shared" ca="1" si="168"/>
        <v>0</v>
      </c>
      <c r="BO114" s="13">
        <f t="shared" ca="1" si="169"/>
        <v>0</v>
      </c>
      <c r="BP114" s="13">
        <f t="shared" ca="1" si="170"/>
        <v>0</v>
      </c>
      <c r="BQ114" s="13">
        <f t="shared" ca="1" si="171"/>
        <v>0</v>
      </c>
    </row>
    <row r="115" spans="1:69" x14ac:dyDescent="0.25">
      <c r="A115" s="1">
        <v>114</v>
      </c>
      <c r="B115" s="13">
        <f ca="1">IF(A115=1,IF(OR('My Loans'!$N$14="",'My Loans'!$N$14=0),0,INDIRECT("'My Loans'!$D"&amp;'My Loans'!$N$14)),AE114)</f>
        <v>0</v>
      </c>
      <c r="C115" s="13">
        <f ca="1">IF(OR('My Loans'!$N$14="",'My Loans'!$N$14=0),0,B115*INDIRECT("'My Loans'!$E"&amp;'My Loans'!$N$14)/12)</f>
        <v>0</v>
      </c>
      <c r="D115" s="13">
        <f ca="1">IF(OR('My Loans'!$N$14="",'My Loans'!$N$14=0),0,IF(B115&lt;0.005,0,MIN(INDIRECT("'My Loans'!$F"&amp;'My Loans'!$N$14),B115+C115)))</f>
        <v>0</v>
      </c>
      <c r="E115" s="13">
        <f ca="1">IF(A115=1,IF(OR('My Loans'!$N$15="",'My Loans'!$N$15=0),0,INDIRECT("'My Loans'!$D"&amp;'My Loans'!$N$15)),AJ114)</f>
        <v>0</v>
      </c>
      <c r="F115" s="13">
        <f ca="1">IF(OR('My Loans'!$N$15="",'My Loans'!$N$15=0),0,E115*INDIRECT("'My Loans'!$E"&amp;'My Loans'!$N$15)/12)</f>
        <v>0</v>
      </c>
      <c r="G115" s="13">
        <f ca="1">IF(OR('My Loans'!$N$15="",'My Loans'!$N$15=0),0,IF(E115&lt;0.005,0,MIN(INDIRECT("'My Loans'!$F"&amp;'My Loans'!$N$15),E115+F115)))</f>
        <v>0</v>
      </c>
      <c r="H115" s="13">
        <f ca="1">IF(A115=1,IF(OR('My Loans'!$N$16="",'My Loans'!$N$16=0),0,INDIRECT("'My Loans'!$D"&amp;'My Loans'!$N$16)),AO114)</f>
        <v>0</v>
      </c>
      <c r="I115" s="13">
        <f ca="1">IF(OR('My Loans'!$N$16="",'My Loans'!$N$16=0),0,H115*INDIRECT("'My Loans'!$E"&amp;'My Loans'!$N$16)/12)</f>
        <v>0</v>
      </c>
      <c r="J115" s="13">
        <f ca="1">IF(OR('My Loans'!$N$16="",'My Loans'!$N$16=0),0,IF(H115&lt;0.005,0,MIN(INDIRECT("'My Loans'!$F"&amp;'My Loans'!$N$16),H115+I115)))</f>
        <v>0</v>
      </c>
      <c r="K115" s="13">
        <f ca="1">IF(A115=1,IF(OR('My Loans'!$N$17="",'My Loans'!$N$17=0),0,INDIRECT("'My Loans'!$D"&amp;'My Loans'!$N$17)),AT114)</f>
        <v>0</v>
      </c>
      <c r="L115" s="13">
        <f ca="1">IF(OR('My Loans'!$N$17="",'My Loans'!$N$17=0),0,K115*INDIRECT("'My Loans'!$E"&amp;'My Loans'!$N$17)/12)</f>
        <v>0</v>
      </c>
      <c r="M115" s="13">
        <f ca="1">IF(OR('My Loans'!$N$17="",'My Loans'!$N$17=0),0,IF(K115&lt;0.005,0,MIN(INDIRECT("'My Loans'!$F"&amp;'My Loans'!$N$17),K115+L115)))</f>
        <v>0</v>
      </c>
      <c r="N115" s="13">
        <f ca="1">IF(A115=1,IF(OR('My Loans'!$N$18="",'My Loans'!$N$18=0),0,INDIRECT("'My Loans'!$D"&amp;'My Loans'!$N$18)),AY114)</f>
        <v>0</v>
      </c>
      <c r="O115" s="13">
        <f ca="1">IF(OR('My Loans'!$N$18="",'My Loans'!$N$18=0),0,N115*INDIRECT("'My Loans'!$E"&amp;'My Loans'!$N$18)/12)</f>
        <v>0</v>
      </c>
      <c r="P115" s="13">
        <f ca="1">IF(OR('My Loans'!$N$18="",'My Loans'!$N$18=0),0,IF(N115&lt;0.005,0,MIN(INDIRECT("'My Loans'!$F"&amp;'My Loans'!$N$18),N115+O115)))</f>
        <v>0</v>
      </c>
      <c r="Q115" s="13">
        <f ca="1">IF(A115=1,IF(OR('My Loans'!$N$19="",'My Loans'!$N$19=0),0,INDIRECT("'My Loans'!$D"&amp;'My Loans'!$N$19)),BD114)</f>
        <v>0</v>
      </c>
      <c r="R115" s="13">
        <f ca="1">IF(OR('My Loans'!$N$19="",'My Loans'!$N$19=0),0,Q115*INDIRECT("'My Loans'!$E"&amp;'My Loans'!$N$19)/12)</f>
        <v>0</v>
      </c>
      <c r="S115" s="13">
        <f ca="1">IF(OR('My Loans'!$N$19="",'My Loans'!$N$19=0),0,IF(Q115&lt;0.005,0,MIN(INDIRECT("'My Loans'!$F"&amp;'My Loans'!$N$19),Q115+R115)))</f>
        <v>0</v>
      </c>
      <c r="T115" s="13">
        <f ca="1">IF(A115=1,IF(OR('My Loans'!$N$20="",'My Loans'!$N$20=0),0,INDIRECT("'My Loans'!$D"&amp;'My Loans'!$N$20)),BI114)</f>
        <v>0</v>
      </c>
      <c r="U115" s="13">
        <f ca="1">IF(OR('My Loans'!$N$20="",'My Loans'!$N$20=0),0,T115*INDIRECT("'My Loans'!$E"&amp;'My Loans'!$N$20)/12)</f>
        <v>0</v>
      </c>
      <c r="V115" s="13">
        <f ca="1">IF(OR('My Loans'!$N$20="",'My Loans'!$N$20=0),0,IF(T115&lt;0.005,0,MIN(INDIRECT("'My Loans'!$F"&amp;'My Loans'!$N$20),T115+U115)))</f>
        <v>0</v>
      </c>
      <c r="W115" s="13">
        <f ca="1">IF(A115=1,IF(OR('My Loans'!$N$21="",'My Loans'!$N$21=0),0,INDIRECT("'My Loans'!$D"&amp;'My Loans'!$N$21)),BN114)</f>
        <v>0</v>
      </c>
      <c r="X115" s="13">
        <f ca="1">IF(OR('My Loans'!$N$21="",'My Loans'!$N$21=0),0,W115*INDIRECT("'My Loans'!$E"&amp;'My Loans'!$N$21)/12)</f>
        <v>0</v>
      </c>
      <c r="Y115" s="13">
        <f ca="1">IF(OR('My Loans'!$N$21="",'My Loans'!$N$21=0),0,IF(W115&lt;0.005,0,MIN(INDIRECT("'My Loans'!$F"&amp;'My Loans'!$N$21),W115+X115)))</f>
        <v>0</v>
      </c>
      <c r="Z115" s="13">
        <f ca="1">'My Loans'!$B$13-(D115+G115+J115+M115+P115+S115+V115+Y115)</f>
        <v>1400</v>
      </c>
      <c r="AA115" s="13">
        <f t="shared" ca="1" si="129"/>
        <v>1400</v>
      </c>
      <c r="AB115" s="13">
        <f t="shared" ca="1" si="130"/>
        <v>0</v>
      </c>
      <c r="AC115" s="13">
        <f t="shared" ca="1" si="131"/>
        <v>0</v>
      </c>
      <c r="AD115" s="13">
        <f t="shared" ca="1" si="132"/>
        <v>0</v>
      </c>
      <c r="AE115" s="13">
        <f t="shared" ca="1" si="133"/>
        <v>0</v>
      </c>
      <c r="AF115" s="13">
        <f t="shared" ca="1" si="134"/>
        <v>1400</v>
      </c>
      <c r="AG115" s="13">
        <f t="shared" ca="1" si="135"/>
        <v>0</v>
      </c>
      <c r="AH115" s="13">
        <f t="shared" ca="1" si="136"/>
        <v>0</v>
      </c>
      <c r="AI115" s="13">
        <f t="shared" ca="1" si="137"/>
        <v>0</v>
      </c>
      <c r="AJ115" s="13">
        <f t="shared" ca="1" si="138"/>
        <v>0</v>
      </c>
      <c r="AK115" s="13">
        <f t="shared" ca="1" si="139"/>
        <v>1400</v>
      </c>
      <c r="AL115" s="13">
        <f t="shared" ca="1" si="140"/>
        <v>0</v>
      </c>
      <c r="AM115" s="13">
        <f t="shared" ca="1" si="141"/>
        <v>0</v>
      </c>
      <c r="AN115" s="13">
        <f t="shared" ca="1" si="142"/>
        <v>0</v>
      </c>
      <c r="AO115" s="13">
        <f t="shared" ca="1" si="143"/>
        <v>0</v>
      </c>
      <c r="AP115" s="13">
        <f t="shared" ca="1" si="144"/>
        <v>1400</v>
      </c>
      <c r="AQ115" s="13">
        <f t="shared" ca="1" si="145"/>
        <v>0</v>
      </c>
      <c r="AR115" s="13">
        <f t="shared" ca="1" si="146"/>
        <v>0</v>
      </c>
      <c r="AS115" s="13">
        <f t="shared" ca="1" si="147"/>
        <v>0</v>
      </c>
      <c r="AT115" s="13">
        <f t="shared" ca="1" si="148"/>
        <v>0</v>
      </c>
      <c r="AU115" s="13">
        <f t="shared" ca="1" si="149"/>
        <v>1400</v>
      </c>
      <c r="AV115" s="13">
        <f t="shared" ca="1" si="150"/>
        <v>0</v>
      </c>
      <c r="AW115" s="13">
        <f t="shared" ca="1" si="151"/>
        <v>0</v>
      </c>
      <c r="AX115" s="13">
        <f t="shared" ca="1" si="152"/>
        <v>0</v>
      </c>
      <c r="AY115" s="13">
        <f t="shared" ca="1" si="153"/>
        <v>0</v>
      </c>
      <c r="AZ115" s="13">
        <f t="shared" ca="1" si="154"/>
        <v>1400</v>
      </c>
      <c r="BA115" s="13">
        <f t="shared" ca="1" si="155"/>
        <v>0</v>
      </c>
      <c r="BB115" s="13">
        <f t="shared" ca="1" si="156"/>
        <v>0</v>
      </c>
      <c r="BC115" s="13">
        <f t="shared" ca="1" si="157"/>
        <v>0</v>
      </c>
      <c r="BD115" s="13">
        <f t="shared" ca="1" si="158"/>
        <v>0</v>
      </c>
      <c r="BE115" s="13">
        <f t="shared" ca="1" si="159"/>
        <v>1400</v>
      </c>
      <c r="BF115" s="13">
        <f t="shared" ca="1" si="160"/>
        <v>0</v>
      </c>
      <c r="BG115" s="13">
        <f t="shared" ca="1" si="161"/>
        <v>0</v>
      </c>
      <c r="BH115" s="13">
        <f t="shared" ca="1" si="162"/>
        <v>0</v>
      </c>
      <c r="BI115" s="13">
        <f t="shared" ca="1" si="163"/>
        <v>0</v>
      </c>
      <c r="BJ115" s="13">
        <f t="shared" ca="1" si="164"/>
        <v>1400</v>
      </c>
      <c r="BK115" s="13">
        <f t="shared" ca="1" si="165"/>
        <v>0</v>
      </c>
      <c r="BL115" s="13">
        <f t="shared" ca="1" si="166"/>
        <v>0</v>
      </c>
      <c r="BM115" s="13">
        <f t="shared" ca="1" si="167"/>
        <v>0</v>
      </c>
      <c r="BN115" s="13">
        <f t="shared" ca="1" si="168"/>
        <v>0</v>
      </c>
      <c r="BO115" s="13">
        <f t="shared" ca="1" si="169"/>
        <v>0</v>
      </c>
      <c r="BP115" s="13">
        <f t="shared" ca="1" si="170"/>
        <v>0</v>
      </c>
      <c r="BQ115" s="13">
        <f t="shared" ca="1" si="171"/>
        <v>0</v>
      </c>
    </row>
    <row r="116" spans="1:69" x14ac:dyDescent="0.25">
      <c r="A116" s="1">
        <v>115</v>
      </c>
      <c r="B116" s="13">
        <f ca="1">IF(A116=1,IF(OR('My Loans'!$N$14="",'My Loans'!$N$14=0),0,INDIRECT("'My Loans'!$D"&amp;'My Loans'!$N$14)),AE115)</f>
        <v>0</v>
      </c>
      <c r="C116" s="13">
        <f ca="1">IF(OR('My Loans'!$N$14="",'My Loans'!$N$14=0),0,B116*INDIRECT("'My Loans'!$E"&amp;'My Loans'!$N$14)/12)</f>
        <v>0</v>
      </c>
      <c r="D116" s="13">
        <f ca="1">IF(OR('My Loans'!$N$14="",'My Loans'!$N$14=0),0,IF(B116&lt;0.005,0,MIN(INDIRECT("'My Loans'!$F"&amp;'My Loans'!$N$14),B116+C116)))</f>
        <v>0</v>
      </c>
      <c r="E116" s="13">
        <f ca="1">IF(A116=1,IF(OR('My Loans'!$N$15="",'My Loans'!$N$15=0),0,INDIRECT("'My Loans'!$D"&amp;'My Loans'!$N$15)),AJ115)</f>
        <v>0</v>
      </c>
      <c r="F116" s="13">
        <f ca="1">IF(OR('My Loans'!$N$15="",'My Loans'!$N$15=0),0,E116*INDIRECT("'My Loans'!$E"&amp;'My Loans'!$N$15)/12)</f>
        <v>0</v>
      </c>
      <c r="G116" s="13">
        <f ca="1">IF(OR('My Loans'!$N$15="",'My Loans'!$N$15=0),0,IF(E116&lt;0.005,0,MIN(INDIRECT("'My Loans'!$F"&amp;'My Loans'!$N$15),E116+F116)))</f>
        <v>0</v>
      </c>
      <c r="H116" s="13">
        <f ca="1">IF(A116=1,IF(OR('My Loans'!$N$16="",'My Loans'!$N$16=0),0,INDIRECT("'My Loans'!$D"&amp;'My Loans'!$N$16)),AO115)</f>
        <v>0</v>
      </c>
      <c r="I116" s="13">
        <f ca="1">IF(OR('My Loans'!$N$16="",'My Loans'!$N$16=0),0,H116*INDIRECT("'My Loans'!$E"&amp;'My Loans'!$N$16)/12)</f>
        <v>0</v>
      </c>
      <c r="J116" s="13">
        <f ca="1">IF(OR('My Loans'!$N$16="",'My Loans'!$N$16=0),0,IF(H116&lt;0.005,0,MIN(INDIRECT("'My Loans'!$F"&amp;'My Loans'!$N$16),H116+I116)))</f>
        <v>0</v>
      </c>
      <c r="K116" s="13">
        <f ca="1">IF(A116=1,IF(OR('My Loans'!$N$17="",'My Loans'!$N$17=0),0,INDIRECT("'My Loans'!$D"&amp;'My Loans'!$N$17)),AT115)</f>
        <v>0</v>
      </c>
      <c r="L116" s="13">
        <f ca="1">IF(OR('My Loans'!$N$17="",'My Loans'!$N$17=0),0,K116*INDIRECT("'My Loans'!$E"&amp;'My Loans'!$N$17)/12)</f>
        <v>0</v>
      </c>
      <c r="M116" s="13">
        <f ca="1">IF(OR('My Loans'!$N$17="",'My Loans'!$N$17=0),0,IF(K116&lt;0.005,0,MIN(INDIRECT("'My Loans'!$F"&amp;'My Loans'!$N$17),K116+L116)))</f>
        <v>0</v>
      </c>
      <c r="N116" s="13">
        <f ca="1">IF(A116=1,IF(OR('My Loans'!$N$18="",'My Loans'!$N$18=0),0,INDIRECT("'My Loans'!$D"&amp;'My Loans'!$N$18)),AY115)</f>
        <v>0</v>
      </c>
      <c r="O116" s="13">
        <f ca="1">IF(OR('My Loans'!$N$18="",'My Loans'!$N$18=0),0,N116*INDIRECT("'My Loans'!$E"&amp;'My Loans'!$N$18)/12)</f>
        <v>0</v>
      </c>
      <c r="P116" s="13">
        <f ca="1">IF(OR('My Loans'!$N$18="",'My Loans'!$N$18=0),0,IF(N116&lt;0.005,0,MIN(INDIRECT("'My Loans'!$F"&amp;'My Loans'!$N$18),N116+O116)))</f>
        <v>0</v>
      </c>
      <c r="Q116" s="13">
        <f ca="1">IF(A116=1,IF(OR('My Loans'!$N$19="",'My Loans'!$N$19=0),0,INDIRECT("'My Loans'!$D"&amp;'My Loans'!$N$19)),BD115)</f>
        <v>0</v>
      </c>
      <c r="R116" s="13">
        <f ca="1">IF(OR('My Loans'!$N$19="",'My Loans'!$N$19=0),0,Q116*INDIRECT("'My Loans'!$E"&amp;'My Loans'!$N$19)/12)</f>
        <v>0</v>
      </c>
      <c r="S116" s="13">
        <f ca="1">IF(OR('My Loans'!$N$19="",'My Loans'!$N$19=0),0,IF(Q116&lt;0.005,0,MIN(INDIRECT("'My Loans'!$F"&amp;'My Loans'!$N$19),Q116+R116)))</f>
        <v>0</v>
      </c>
      <c r="T116" s="13">
        <f ca="1">IF(A116=1,IF(OR('My Loans'!$N$20="",'My Loans'!$N$20=0),0,INDIRECT("'My Loans'!$D"&amp;'My Loans'!$N$20)),BI115)</f>
        <v>0</v>
      </c>
      <c r="U116" s="13">
        <f ca="1">IF(OR('My Loans'!$N$20="",'My Loans'!$N$20=0),0,T116*INDIRECT("'My Loans'!$E"&amp;'My Loans'!$N$20)/12)</f>
        <v>0</v>
      </c>
      <c r="V116" s="13">
        <f ca="1">IF(OR('My Loans'!$N$20="",'My Loans'!$N$20=0),0,IF(T116&lt;0.005,0,MIN(INDIRECT("'My Loans'!$F"&amp;'My Loans'!$N$20),T116+U116)))</f>
        <v>0</v>
      </c>
      <c r="W116" s="13">
        <f ca="1">IF(A116=1,IF(OR('My Loans'!$N$21="",'My Loans'!$N$21=0),0,INDIRECT("'My Loans'!$D"&amp;'My Loans'!$N$21)),BN115)</f>
        <v>0</v>
      </c>
      <c r="X116" s="13">
        <f ca="1">IF(OR('My Loans'!$N$21="",'My Loans'!$N$21=0),0,W116*INDIRECT("'My Loans'!$E"&amp;'My Loans'!$N$21)/12)</f>
        <v>0</v>
      </c>
      <c r="Y116" s="13">
        <f ca="1">IF(OR('My Loans'!$N$21="",'My Loans'!$N$21=0),0,IF(W116&lt;0.005,0,MIN(INDIRECT("'My Loans'!$F"&amp;'My Loans'!$N$21),W116+X116)))</f>
        <v>0</v>
      </c>
      <c r="Z116" s="13">
        <f ca="1">'My Loans'!$B$13-(D116+G116+J116+M116+P116+S116+V116+Y116)</f>
        <v>1400</v>
      </c>
      <c r="AA116" s="13">
        <f t="shared" ca="1" si="129"/>
        <v>1400</v>
      </c>
      <c r="AB116" s="13">
        <f t="shared" ca="1" si="130"/>
        <v>0</v>
      </c>
      <c r="AC116" s="13">
        <f t="shared" ca="1" si="131"/>
        <v>0</v>
      </c>
      <c r="AD116" s="13">
        <f t="shared" ca="1" si="132"/>
        <v>0</v>
      </c>
      <c r="AE116" s="13">
        <f t="shared" ca="1" si="133"/>
        <v>0</v>
      </c>
      <c r="AF116" s="13">
        <f t="shared" ca="1" si="134"/>
        <v>1400</v>
      </c>
      <c r="AG116" s="13">
        <f t="shared" ca="1" si="135"/>
        <v>0</v>
      </c>
      <c r="AH116" s="13">
        <f t="shared" ca="1" si="136"/>
        <v>0</v>
      </c>
      <c r="AI116" s="13">
        <f t="shared" ca="1" si="137"/>
        <v>0</v>
      </c>
      <c r="AJ116" s="13">
        <f t="shared" ca="1" si="138"/>
        <v>0</v>
      </c>
      <c r="AK116" s="13">
        <f t="shared" ca="1" si="139"/>
        <v>1400</v>
      </c>
      <c r="AL116" s="13">
        <f t="shared" ca="1" si="140"/>
        <v>0</v>
      </c>
      <c r="AM116" s="13">
        <f t="shared" ca="1" si="141"/>
        <v>0</v>
      </c>
      <c r="AN116" s="13">
        <f t="shared" ca="1" si="142"/>
        <v>0</v>
      </c>
      <c r="AO116" s="13">
        <f t="shared" ca="1" si="143"/>
        <v>0</v>
      </c>
      <c r="AP116" s="13">
        <f t="shared" ca="1" si="144"/>
        <v>1400</v>
      </c>
      <c r="AQ116" s="13">
        <f t="shared" ca="1" si="145"/>
        <v>0</v>
      </c>
      <c r="AR116" s="13">
        <f t="shared" ca="1" si="146"/>
        <v>0</v>
      </c>
      <c r="AS116" s="13">
        <f t="shared" ca="1" si="147"/>
        <v>0</v>
      </c>
      <c r="AT116" s="13">
        <f t="shared" ca="1" si="148"/>
        <v>0</v>
      </c>
      <c r="AU116" s="13">
        <f t="shared" ca="1" si="149"/>
        <v>1400</v>
      </c>
      <c r="AV116" s="13">
        <f t="shared" ca="1" si="150"/>
        <v>0</v>
      </c>
      <c r="AW116" s="13">
        <f t="shared" ca="1" si="151"/>
        <v>0</v>
      </c>
      <c r="AX116" s="13">
        <f t="shared" ca="1" si="152"/>
        <v>0</v>
      </c>
      <c r="AY116" s="13">
        <f t="shared" ca="1" si="153"/>
        <v>0</v>
      </c>
      <c r="AZ116" s="13">
        <f t="shared" ca="1" si="154"/>
        <v>1400</v>
      </c>
      <c r="BA116" s="13">
        <f t="shared" ca="1" si="155"/>
        <v>0</v>
      </c>
      <c r="BB116" s="13">
        <f t="shared" ca="1" si="156"/>
        <v>0</v>
      </c>
      <c r="BC116" s="13">
        <f t="shared" ca="1" si="157"/>
        <v>0</v>
      </c>
      <c r="BD116" s="13">
        <f t="shared" ca="1" si="158"/>
        <v>0</v>
      </c>
      <c r="BE116" s="13">
        <f t="shared" ca="1" si="159"/>
        <v>1400</v>
      </c>
      <c r="BF116" s="13">
        <f t="shared" ca="1" si="160"/>
        <v>0</v>
      </c>
      <c r="BG116" s="13">
        <f t="shared" ca="1" si="161"/>
        <v>0</v>
      </c>
      <c r="BH116" s="13">
        <f t="shared" ca="1" si="162"/>
        <v>0</v>
      </c>
      <c r="BI116" s="13">
        <f t="shared" ca="1" si="163"/>
        <v>0</v>
      </c>
      <c r="BJ116" s="13">
        <f t="shared" ca="1" si="164"/>
        <v>1400</v>
      </c>
      <c r="BK116" s="13">
        <f t="shared" ca="1" si="165"/>
        <v>0</v>
      </c>
      <c r="BL116" s="13">
        <f t="shared" ca="1" si="166"/>
        <v>0</v>
      </c>
      <c r="BM116" s="13">
        <f t="shared" ca="1" si="167"/>
        <v>0</v>
      </c>
      <c r="BN116" s="13">
        <f t="shared" ca="1" si="168"/>
        <v>0</v>
      </c>
      <c r="BO116" s="13">
        <f t="shared" ca="1" si="169"/>
        <v>0</v>
      </c>
      <c r="BP116" s="13">
        <f t="shared" ca="1" si="170"/>
        <v>0</v>
      </c>
      <c r="BQ116" s="13">
        <f t="shared" ca="1" si="171"/>
        <v>0</v>
      </c>
    </row>
    <row r="117" spans="1:69" x14ac:dyDescent="0.25">
      <c r="A117" s="1">
        <v>116</v>
      </c>
      <c r="B117" s="13">
        <f ca="1">IF(A117=1,IF(OR('My Loans'!$N$14="",'My Loans'!$N$14=0),0,INDIRECT("'My Loans'!$D"&amp;'My Loans'!$N$14)),AE116)</f>
        <v>0</v>
      </c>
      <c r="C117" s="13">
        <f ca="1">IF(OR('My Loans'!$N$14="",'My Loans'!$N$14=0),0,B117*INDIRECT("'My Loans'!$E"&amp;'My Loans'!$N$14)/12)</f>
        <v>0</v>
      </c>
      <c r="D117" s="13">
        <f ca="1">IF(OR('My Loans'!$N$14="",'My Loans'!$N$14=0),0,IF(B117&lt;0.005,0,MIN(INDIRECT("'My Loans'!$F"&amp;'My Loans'!$N$14),B117+C117)))</f>
        <v>0</v>
      </c>
      <c r="E117" s="13">
        <f ca="1">IF(A117=1,IF(OR('My Loans'!$N$15="",'My Loans'!$N$15=0),0,INDIRECT("'My Loans'!$D"&amp;'My Loans'!$N$15)),AJ116)</f>
        <v>0</v>
      </c>
      <c r="F117" s="13">
        <f ca="1">IF(OR('My Loans'!$N$15="",'My Loans'!$N$15=0),0,E117*INDIRECT("'My Loans'!$E"&amp;'My Loans'!$N$15)/12)</f>
        <v>0</v>
      </c>
      <c r="G117" s="13">
        <f ca="1">IF(OR('My Loans'!$N$15="",'My Loans'!$N$15=0),0,IF(E117&lt;0.005,0,MIN(INDIRECT("'My Loans'!$F"&amp;'My Loans'!$N$15),E117+F117)))</f>
        <v>0</v>
      </c>
      <c r="H117" s="13">
        <f ca="1">IF(A117=1,IF(OR('My Loans'!$N$16="",'My Loans'!$N$16=0),0,INDIRECT("'My Loans'!$D"&amp;'My Loans'!$N$16)),AO116)</f>
        <v>0</v>
      </c>
      <c r="I117" s="13">
        <f ca="1">IF(OR('My Loans'!$N$16="",'My Loans'!$N$16=0),0,H117*INDIRECT("'My Loans'!$E"&amp;'My Loans'!$N$16)/12)</f>
        <v>0</v>
      </c>
      <c r="J117" s="13">
        <f ca="1">IF(OR('My Loans'!$N$16="",'My Loans'!$N$16=0),0,IF(H117&lt;0.005,0,MIN(INDIRECT("'My Loans'!$F"&amp;'My Loans'!$N$16),H117+I117)))</f>
        <v>0</v>
      </c>
      <c r="K117" s="13">
        <f ca="1">IF(A117=1,IF(OR('My Loans'!$N$17="",'My Loans'!$N$17=0),0,INDIRECT("'My Loans'!$D"&amp;'My Loans'!$N$17)),AT116)</f>
        <v>0</v>
      </c>
      <c r="L117" s="13">
        <f ca="1">IF(OR('My Loans'!$N$17="",'My Loans'!$N$17=0),0,K117*INDIRECT("'My Loans'!$E"&amp;'My Loans'!$N$17)/12)</f>
        <v>0</v>
      </c>
      <c r="M117" s="13">
        <f ca="1">IF(OR('My Loans'!$N$17="",'My Loans'!$N$17=0),0,IF(K117&lt;0.005,0,MIN(INDIRECT("'My Loans'!$F"&amp;'My Loans'!$N$17),K117+L117)))</f>
        <v>0</v>
      </c>
      <c r="N117" s="13">
        <f ca="1">IF(A117=1,IF(OR('My Loans'!$N$18="",'My Loans'!$N$18=0),0,INDIRECT("'My Loans'!$D"&amp;'My Loans'!$N$18)),AY116)</f>
        <v>0</v>
      </c>
      <c r="O117" s="13">
        <f ca="1">IF(OR('My Loans'!$N$18="",'My Loans'!$N$18=0),0,N117*INDIRECT("'My Loans'!$E"&amp;'My Loans'!$N$18)/12)</f>
        <v>0</v>
      </c>
      <c r="P117" s="13">
        <f ca="1">IF(OR('My Loans'!$N$18="",'My Loans'!$N$18=0),0,IF(N117&lt;0.005,0,MIN(INDIRECT("'My Loans'!$F"&amp;'My Loans'!$N$18),N117+O117)))</f>
        <v>0</v>
      </c>
      <c r="Q117" s="13">
        <f ca="1">IF(A117=1,IF(OR('My Loans'!$N$19="",'My Loans'!$N$19=0),0,INDIRECT("'My Loans'!$D"&amp;'My Loans'!$N$19)),BD116)</f>
        <v>0</v>
      </c>
      <c r="R117" s="13">
        <f ca="1">IF(OR('My Loans'!$N$19="",'My Loans'!$N$19=0),0,Q117*INDIRECT("'My Loans'!$E"&amp;'My Loans'!$N$19)/12)</f>
        <v>0</v>
      </c>
      <c r="S117" s="13">
        <f ca="1">IF(OR('My Loans'!$N$19="",'My Loans'!$N$19=0),0,IF(Q117&lt;0.005,0,MIN(INDIRECT("'My Loans'!$F"&amp;'My Loans'!$N$19),Q117+R117)))</f>
        <v>0</v>
      </c>
      <c r="T117" s="13">
        <f ca="1">IF(A117=1,IF(OR('My Loans'!$N$20="",'My Loans'!$N$20=0),0,INDIRECT("'My Loans'!$D"&amp;'My Loans'!$N$20)),BI116)</f>
        <v>0</v>
      </c>
      <c r="U117" s="13">
        <f ca="1">IF(OR('My Loans'!$N$20="",'My Loans'!$N$20=0),0,T117*INDIRECT("'My Loans'!$E"&amp;'My Loans'!$N$20)/12)</f>
        <v>0</v>
      </c>
      <c r="V117" s="13">
        <f ca="1">IF(OR('My Loans'!$N$20="",'My Loans'!$N$20=0),0,IF(T117&lt;0.005,0,MIN(INDIRECT("'My Loans'!$F"&amp;'My Loans'!$N$20),T117+U117)))</f>
        <v>0</v>
      </c>
      <c r="W117" s="13">
        <f ca="1">IF(A117=1,IF(OR('My Loans'!$N$21="",'My Loans'!$N$21=0),0,INDIRECT("'My Loans'!$D"&amp;'My Loans'!$N$21)),BN116)</f>
        <v>0</v>
      </c>
      <c r="X117" s="13">
        <f ca="1">IF(OR('My Loans'!$N$21="",'My Loans'!$N$21=0),0,W117*INDIRECT("'My Loans'!$E"&amp;'My Loans'!$N$21)/12)</f>
        <v>0</v>
      </c>
      <c r="Y117" s="13">
        <f ca="1">IF(OR('My Loans'!$N$21="",'My Loans'!$N$21=0),0,IF(W117&lt;0.005,0,MIN(INDIRECT("'My Loans'!$F"&amp;'My Loans'!$N$21),W117+X117)))</f>
        <v>0</v>
      </c>
      <c r="Z117" s="13">
        <f ca="1">'My Loans'!$B$13-(D117+G117+J117+M117+P117+S117+V117+Y117)</f>
        <v>1400</v>
      </c>
      <c r="AA117" s="13">
        <f t="shared" ca="1" si="129"/>
        <v>1400</v>
      </c>
      <c r="AB117" s="13">
        <f t="shared" ca="1" si="130"/>
        <v>0</v>
      </c>
      <c r="AC117" s="13">
        <f t="shared" ca="1" si="131"/>
        <v>0</v>
      </c>
      <c r="AD117" s="13">
        <f t="shared" ca="1" si="132"/>
        <v>0</v>
      </c>
      <c r="AE117" s="13">
        <f t="shared" ca="1" si="133"/>
        <v>0</v>
      </c>
      <c r="AF117" s="13">
        <f t="shared" ca="1" si="134"/>
        <v>1400</v>
      </c>
      <c r="AG117" s="13">
        <f t="shared" ca="1" si="135"/>
        <v>0</v>
      </c>
      <c r="AH117" s="13">
        <f t="shared" ca="1" si="136"/>
        <v>0</v>
      </c>
      <c r="AI117" s="13">
        <f t="shared" ca="1" si="137"/>
        <v>0</v>
      </c>
      <c r="AJ117" s="13">
        <f t="shared" ca="1" si="138"/>
        <v>0</v>
      </c>
      <c r="AK117" s="13">
        <f t="shared" ca="1" si="139"/>
        <v>1400</v>
      </c>
      <c r="AL117" s="13">
        <f t="shared" ca="1" si="140"/>
        <v>0</v>
      </c>
      <c r="AM117" s="13">
        <f t="shared" ca="1" si="141"/>
        <v>0</v>
      </c>
      <c r="AN117" s="13">
        <f t="shared" ca="1" si="142"/>
        <v>0</v>
      </c>
      <c r="AO117" s="13">
        <f t="shared" ca="1" si="143"/>
        <v>0</v>
      </c>
      <c r="AP117" s="13">
        <f t="shared" ca="1" si="144"/>
        <v>1400</v>
      </c>
      <c r="AQ117" s="13">
        <f t="shared" ca="1" si="145"/>
        <v>0</v>
      </c>
      <c r="AR117" s="13">
        <f t="shared" ca="1" si="146"/>
        <v>0</v>
      </c>
      <c r="AS117" s="13">
        <f t="shared" ca="1" si="147"/>
        <v>0</v>
      </c>
      <c r="AT117" s="13">
        <f t="shared" ca="1" si="148"/>
        <v>0</v>
      </c>
      <c r="AU117" s="13">
        <f t="shared" ca="1" si="149"/>
        <v>1400</v>
      </c>
      <c r="AV117" s="13">
        <f t="shared" ca="1" si="150"/>
        <v>0</v>
      </c>
      <c r="AW117" s="13">
        <f t="shared" ca="1" si="151"/>
        <v>0</v>
      </c>
      <c r="AX117" s="13">
        <f t="shared" ca="1" si="152"/>
        <v>0</v>
      </c>
      <c r="AY117" s="13">
        <f t="shared" ca="1" si="153"/>
        <v>0</v>
      </c>
      <c r="AZ117" s="13">
        <f t="shared" ca="1" si="154"/>
        <v>1400</v>
      </c>
      <c r="BA117" s="13">
        <f t="shared" ca="1" si="155"/>
        <v>0</v>
      </c>
      <c r="BB117" s="13">
        <f t="shared" ca="1" si="156"/>
        <v>0</v>
      </c>
      <c r="BC117" s="13">
        <f t="shared" ca="1" si="157"/>
        <v>0</v>
      </c>
      <c r="BD117" s="13">
        <f t="shared" ca="1" si="158"/>
        <v>0</v>
      </c>
      <c r="BE117" s="13">
        <f t="shared" ca="1" si="159"/>
        <v>1400</v>
      </c>
      <c r="BF117" s="13">
        <f t="shared" ca="1" si="160"/>
        <v>0</v>
      </c>
      <c r="BG117" s="13">
        <f t="shared" ca="1" si="161"/>
        <v>0</v>
      </c>
      <c r="BH117" s="13">
        <f t="shared" ca="1" si="162"/>
        <v>0</v>
      </c>
      <c r="BI117" s="13">
        <f t="shared" ca="1" si="163"/>
        <v>0</v>
      </c>
      <c r="BJ117" s="13">
        <f t="shared" ca="1" si="164"/>
        <v>1400</v>
      </c>
      <c r="BK117" s="13">
        <f t="shared" ca="1" si="165"/>
        <v>0</v>
      </c>
      <c r="BL117" s="13">
        <f t="shared" ca="1" si="166"/>
        <v>0</v>
      </c>
      <c r="BM117" s="13">
        <f t="shared" ca="1" si="167"/>
        <v>0</v>
      </c>
      <c r="BN117" s="13">
        <f t="shared" ca="1" si="168"/>
        <v>0</v>
      </c>
      <c r="BO117" s="13">
        <f t="shared" ca="1" si="169"/>
        <v>0</v>
      </c>
      <c r="BP117" s="13">
        <f t="shared" ca="1" si="170"/>
        <v>0</v>
      </c>
      <c r="BQ117" s="13">
        <f t="shared" ca="1" si="171"/>
        <v>0</v>
      </c>
    </row>
    <row r="118" spans="1:69" x14ac:dyDescent="0.25">
      <c r="A118" s="1">
        <v>117</v>
      </c>
      <c r="B118" s="13">
        <f ca="1">IF(A118=1,IF(OR('My Loans'!$N$14="",'My Loans'!$N$14=0),0,INDIRECT("'My Loans'!$D"&amp;'My Loans'!$N$14)),AE117)</f>
        <v>0</v>
      </c>
      <c r="C118" s="13">
        <f ca="1">IF(OR('My Loans'!$N$14="",'My Loans'!$N$14=0),0,B118*INDIRECT("'My Loans'!$E"&amp;'My Loans'!$N$14)/12)</f>
        <v>0</v>
      </c>
      <c r="D118" s="13">
        <f ca="1">IF(OR('My Loans'!$N$14="",'My Loans'!$N$14=0),0,IF(B118&lt;0.005,0,MIN(INDIRECT("'My Loans'!$F"&amp;'My Loans'!$N$14),B118+C118)))</f>
        <v>0</v>
      </c>
      <c r="E118" s="13">
        <f ca="1">IF(A118=1,IF(OR('My Loans'!$N$15="",'My Loans'!$N$15=0),0,INDIRECT("'My Loans'!$D"&amp;'My Loans'!$N$15)),AJ117)</f>
        <v>0</v>
      </c>
      <c r="F118" s="13">
        <f ca="1">IF(OR('My Loans'!$N$15="",'My Loans'!$N$15=0),0,E118*INDIRECT("'My Loans'!$E"&amp;'My Loans'!$N$15)/12)</f>
        <v>0</v>
      </c>
      <c r="G118" s="13">
        <f ca="1">IF(OR('My Loans'!$N$15="",'My Loans'!$N$15=0),0,IF(E118&lt;0.005,0,MIN(INDIRECT("'My Loans'!$F"&amp;'My Loans'!$N$15),E118+F118)))</f>
        <v>0</v>
      </c>
      <c r="H118" s="13">
        <f ca="1">IF(A118=1,IF(OR('My Loans'!$N$16="",'My Loans'!$N$16=0),0,INDIRECT("'My Loans'!$D"&amp;'My Loans'!$N$16)),AO117)</f>
        <v>0</v>
      </c>
      <c r="I118" s="13">
        <f ca="1">IF(OR('My Loans'!$N$16="",'My Loans'!$N$16=0),0,H118*INDIRECT("'My Loans'!$E"&amp;'My Loans'!$N$16)/12)</f>
        <v>0</v>
      </c>
      <c r="J118" s="13">
        <f ca="1">IF(OR('My Loans'!$N$16="",'My Loans'!$N$16=0),0,IF(H118&lt;0.005,0,MIN(INDIRECT("'My Loans'!$F"&amp;'My Loans'!$N$16),H118+I118)))</f>
        <v>0</v>
      </c>
      <c r="K118" s="13">
        <f ca="1">IF(A118=1,IF(OR('My Loans'!$N$17="",'My Loans'!$N$17=0),0,INDIRECT("'My Loans'!$D"&amp;'My Loans'!$N$17)),AT117)</f>
        <v>0</v>
      </c>
      <c r="L118" s="13">
        <f ca="1">IF(OR('My Loans'!$N$17="",'My Loans'!$N$17=0),0,K118*INDIRECT("'My Loans'!$E"&amp;'My Loans'!$N$17)/12)</f>
        <v>0</v>
      </c>
      <c r="M118" s="13">
        <f ca="1">IF(OR('My Loans'!$N$17="",'My Loans'!$N$17=0),0,IF(K118&lt;0.005,0,MIN(INDIRECT("'My Loans'!$F"&amp;'My Loans'!$N$17),K118+L118)))</f>
        <v>0</v>
      </c>
      <c r="N118" s="13">
        <f ca="1">IF(A118=1,IF(OR('My Loans'!$N$18="",'My Loans'!$N$18=0),0,INDIRECT("'My Loans'!$D"&amp;'My Loans'!$N$18)),AY117)</f>
        <v>0</v>
      </c>
      <c r="O118" s="13">
        <f ca="1">IF(OR('My Loans'!$N$18="",'My Loans'!$N$18=0),0,N118*INDIRECT("'My Loans'!$E"&amp;'My Loans'!$N$18)/12)</f>
        <v>0</v>
      </c>
      <c r="P118" s="13">
        <f ca="1">IF(OR('My Loans'!$N$18="",'My Loans'!$N$18=0),0,IF(N118&lt;0.005,0,MIN(INDIRECT("'My Loans'!$F"&amp;'My Loans'!$N$18),N118+O118)))</f>
        <v>0</v>
      </c>
      <c r="Q118" s="13">
        <f ca="1">IF(A118=1,IF(OR('My Loans'!$N$19="",'My Loans'!$N$19=0),0,INDIRECT("'My Loans'!$D"&amp;'My Loans'!$N$19)),BD117)</f>
        <v>0</v>
      </c>
      <c r="R118" s="13">
        <f ca="1">IF(OR('My Loans'!$N$19="",'My Loans'!$N$19=0),0,Q118*INDIRECT("'My Loans'!$E"&amp;'My Loans'!$N$19)/12)</f>
        <v>0</v>
      </c>
      <c r="S118" s="13">
        <f ca="1">IF(OR('My Loans'!$N$19="",'My Loans'!$N$19=0),0,IF(Q118&lt;0.005,0,MIN(INDIRECT("'My Loans'!$F"&amp;'My Loans'!$N$19),Q118+R118)))</f>
        <v>0</v>
      </c>
      <c r="T118" s="13">
        <f ca="1">IF(A118=1,IF(OR('My Loans'!$N$20="",'My Loans'!$N$20=0),0,INDIRECT("'My Loans'!$D"&amp;'My Loans'!$N$20)),BI117)</f>
        <v>0</v>
      </c>
      <c r="U118" s="13">
        <f ca="1">IF(OR('My Loans'!$N$20="",'My Loans'!$N$20=0),0,T118*INDIRECT("'My Loans'!$E"&amp;'My Loans'!$N$20)/12)</f>
        <v>0</v>
      </c>
      <c r="V118" s="13">
        <f ca="1">IF(OR('My Loans'!$N$20="",'My Loans'!$N$20=0),0,IF(T118&lt;0.005,0,MIN(INDIRECT("'My Loans'!$F"&amp;'My Loans'!$N$20),T118+U118)))</f>
        <v>0</v>
      </c>
      <c r="W118" s="13">
        <f ca="1">IF(A118=1,IF(OR('My Loans'!$N$21="",'My Loans'!$N$21=0),0,INDIRECT("'My Loans'!$D"&amp;'My Loans'!$N$21)),BN117)</f>
        <v>0</v>
      </c>
      <c r="X118" s="13">
        <f ca="1">IF(OR('My Loans'!$N$21="",'My Loans'!$N$21=0),0,W118*INDIRECT("'My Loans'!$E"&amp;'My Loans'!$N$21)/12)</f>
        <v>0</v>
      </c>
      <c r="Y118" s="13">
        <f ca="1">IF(OR('My Loans'!$N$21="",'My Loans'!$N$21=0),0,IF(W118&lt;0.005,0,MIN(INDIRECT("'My Loans'!$F"&amp;'My Loans'!$N$21),W118+X118)))</f>
        <v>0</v>
      </c>
      <c r="Z118" s="13">
        <f ca="1">'My Loans'!$B$13-(D118+G118+J118+M118+P118+S118+V118+Y118)</f>
        <v>1400</v>
      </c>
      <c r="AA118" s="13">
        <f t="shared" ca="1" si="129"/>
        <v>1400</v>
      </c>
      <c r="AB118" s="13">
        <f t="shared" ca="1" si="130"/>
        <v>0</v>
      </c>
      <c r="AC118" s="13">
        <f t="shared" ca="1" si="131"/>
        <v>0</v>
      </c>
      <c r="AD118" s="13">
        <f t="shared" ca="1" si="132"/>
        <v>0</v>
      </c>
      <c r="AE118" s="13">
        <f t="shared" ca="1" si="133"/>
        <v>0</v>
      </c>
      <c r="AF118" s="13">
        <f t="shared" ca="1" si="134"/>
        <v>1400</v>
      </c>
      <c r="AG118" s="13">
        <f t="shared" ca="1" si="135"/>
        <v>0</v>
      </c>
      <c r="AH118" s="13">
        <f t="shared" ca="1" si="136"/>
        <v>0</v>
      </c>
      <c r="AI118" s="13">
        <f t="shared" ca="1" si="137"/>
        <v>0</v>
      </c>
      <c r="AJ118" s="13">
        <f t="shared" ca="1" si="138"/>
        <v>0</v>
      </c>
      <c r="AK118" s="13">
        <f t="shared" ca="1" si="139"/>
        <v>1400</v>
      </c>
      <c r="AL118" s="13">
        <f t="shared" ca="1" si="140"/>
        <v>0</v>
      </c>
      <c r="AM118" s="13">
        <f t="shared" ca="1" si="141"/>
        <v>0</v>
      </c>
      <c r="AN118" s="13">
        <f t="shared" ca="1" si="142"/>
        <v>0</v>
      </c>
      <c r="AO118" s="13">
        <f t="shared" ca="1" si="143"/>
        <v>0</v>
      </c>
      <c r="AP118" s="13">
        <f t="shared" ca="1" si="144"/>
        <v>1400</v>
      </c>
      <c r="AQ118" s="13">
        <f t="shared" ca="1" si="145"/>
        <v>0</v>
      </c>
      <c r="AR118" s="13">
        <f t="shared" ca="1" si="146"/>
        <v>0</v>
      </c>
      <c r="AS118" s="13">
        <f t="shared" ca="1" si="147"/>
        <v>0</v>
      </c>
      <c r="AT118" s="13">
        <f t="shared" ca="1" si="148"/>
        <v>0</v>
      </c>
      <c r="AU118" s="13">
        <f t="shared" ca="1" si="149"/>
        <v>1400</v>
      </c>
      <c r="AV118" s="13">
        <f t="shared" ca="1" si="150"/>
        <v>0</v>
      </c>
      <c r="AW118" s="13">
        <f t="shared" ca="1" si="151"/>
        <v>0</v>
      </c>
      <c r="AX118" s="13">
        <f t="shared" ca="1" si="152"/>
        <v>0</v>
      </c>
      <c r="AY118" s="13">
        <f t="shared" ca="1" si="153"/>
        <v>0</v>
      </c>
      <c r="AZ118" s="13">
        <f t="shared" ca="1" si="154"/>
        <v>1400</v>
      </c>
      <c r="BA118" s="13">
        <f t="shared" ca="1" si="155"/>
        <v>0</v>
      </c>
      <c r="BB118" s="13">
        <f t="shared" ca="1" si="156"/>
        <v>0</v>
      </c>
      <c r="BC118" s="13">
        <f t="shared" ca="1" si="157"/>
        <v>0</v>
      </c>
      <c r="BD118" s="13">
        <f t="shared" ca="1" si="158"/>
        <v>0</v>
      </c>
      <c r="BE118" s="13">
        <f t="shared" ca="1" si="159"/>
        <v>1400</v>
      </c>
      <c r="BF118" s="13">
        <f t="shared" ca="1" si="160"/>
        <v>0</v>
      </c>
      <c r="BG118" s="13">
        <f t="shared" ca="1" si="161"/>
        <v>0</v>
      </c>
      <c r="BH118" s="13">
        <f t="shared" ca="1" si="162"/>
        <v>0</v>
      </c>
      <c r="BI118" s="13">
        <f t="shared" ca="1" si="163"/>
        <v>0</v>
      </c>
      <c r="BJ118" s="13">
        <f t="shared" ca="1" si="164"/>
        <v>1400</v>
      </c>
      <c r="BK118" s="13">
        <f t="shared" ca="1" si="165"/>
        <v>0</v>
      </c>
      <c r="BL118" s="13">
        <f t="shared" ca="1" si="166"/>
        <v>0</v>
      </c>
      <c r="BM118" s="13">
        <f t="shared" ca="1" si="167"/>
        <v>0</v>
      </c>
      <c r="BN118" s="13">
        <f t="shared" ca="1" si="168"/>
        <v>0</v>
      </c>
      <c r="BO118" s="13">
        <f t="shared" ca="1" si="169"/>
        <v>0</v>
      </c>
      <c r="BP118" s="13">
        <f t="shared" ca="1" si="170"/>
        <v>0</v>
      </c>
      <c r="BQ118" s="13">
        <f t="shared" ca="1" si="171"/>
        <v>0</v>
      </c>
    </row>
    <row r="119" spans="1:69" x14ac:dyDescent="0.25">
      <c r="A119" s="1">
        <v>118</v>
      </c>
      <c r="B119" s="13">
        <f ca="1">IF(A119=1,IF(OR('My Loans'!$N$14="",'My Loans'!$N$14=0),0,INDIRECT("'My Loans'!$D"&amp;'My Loans'!$N$14)),AE118)</f>
        <v>0</v>
      </c>
      <c r="C119" s="13">
        <f ca="1">IF(OR('My Loans'!$N$14="",'My Loans'!$N$14=0),0,B119*INDIRECT("'My Loans'!$E"&amp;'My Loans'!$N$14)/12)</f>
        <v>0</v>
      </c>
      <c r="D119" s="13">
        <f ca="1">IF(OR('My Loans'!$N$14="",'My Loans'!$N$14=0),0,IF(B119&lt;0.005,0,MIN(INDIRECT("'My Loans'!$F"&amp;'My Loans'!$N$14),B119+C119)))</f>
        <v>0</v>
      </c>
      <c r="E119" s="13">
        <f ca="1">IF(A119=1,IF(OR('My Loans'!$N$15="",'My Loans'!$N$15=0),0,INDIRECT("'My Loans'!$D"&amp;'My Loans'!$N$15)),AJ118)</f>
        <v>0</v>
      </c>
      <c r="F119" s="13">
        <f ca="1">IF(OR('My Loans'!$N$15="",'My Loans'!$N$15=0),0,E119*INDIRECT("'My Loans'!$E"&amp;'My Loans'!$N$15)/12)</f>
        <v>0</v>
      </c>
      <c r="G119" s="13">
        <f ca="1">IF(OR('My Loans'!$N$15="",'My Loans'!$N$15=0),0,IF(E119&lt;0.005,0,MIN(INDIRECT("'My Loans'!$F"&amp;'My Loans'!$N$15),E119+F119)))</f>
        <v>0</v>
      </c>
      <c r="H119" s="13">
        <f ca="1">IF(A119=1,IF(OR('My Loans'!$N$16="",'My Loans'!$N$16=0),0,INDIRECT("'My Loans'!$D"&amp;'My Loans'!$N$16)),AO118)</f>
        <v>0</v>
      </c>
      <c r="I119" s="13">
        <f ca="1">IF(OR('My Loans'!$N$16="",'My Loans'!$N$16=0),0,H119*INDIRECT("'My Loans'!$E"&amp;'My Loans'!$N$16)/12)</f>
        <v>0</v>
      </c>
      <c r="J119" s="13">
        <f ca="1">IF(OR('My Loans'!$N$16="",'My Loans'!$N$16=0),0,IF(H119&lt;0.005,0,MIN(INDIRECT("'My Loans'!$F"&amp;'My Loans'!$N$16),H119+I119)))</f>
        <v>0</v>
      </c>
      <c r="K119" s="13">
        <f ca="1">IF(A119=1,IF(OR('My Loans'!$N$17="",'My Loans'!$N$17=0),0,INDIRECT("'My Loans'!$D"&amp;'My Loans'!$N$17)),AT118)</f>
        <v>0</v>
      </c>
      <c r="L119" s="13">
        <f ca="1">IF(OR('My Loans'!$N$17="",'My Loans'!$N$17=0),0,K119*INDIRECT("'My Loans'!$E"&amp;'My Loans'!$N$17)/12)</f>
        <v>0</v>
      </c>
      <c r="M119" s="13">
        <f ca="1">IF(OR('My Loans'!$N$17="",'My Loans'!$N$17=0),0,IF(K119&lt;0.005,0,MIN(INDIRECT("'My Loans'!$F"&amp;'My Loans'!$N$17),K119+L119)))</f>
        <v>0</v>
      </c>
      <c r="N119" s="13">
        <f ca="1">IF(A119=1,IF(OR('My Loans'!$N$18="",'My Loans'!$N$18=0),0,INDIRECT("'My Loans'!$D"&amp;'My Loans'!$N$18)),AY118)</f>
        <v>0</v>
      </c>
      <c r="O119" s="13">
        <f ca="1">IF(OR('My Loans'!$N$18="",'My Loans'!$N$18=0),0,N119*INDIRECT("'My Loans'!$E"&amp;'My Loans'!$N$18)/12)</f>
        <v>0</v>
      </c>
      <c r="P119" s="13">
        <f ca="1">IF(OR('My Loans'!$N$18="",'My Loans'!$N$18=0),0,IF(N119&lt;0.005,0,MIN(INDIRECT("'My Loans'!$F"&amp;'My Loans'!$N$18),N119+O119)))</f>
        <v>0</v>
      </c>
      <c r="Q119" s="13">
        <f ca="1">IF(A119=1,IF(OR('My Loans'!$N$19="",'My Loans'!$N$19=0),0,INDIRECT("'My Loans'!$D"&amp;'My Loans'!$N$19)),BD118)</f>
        <v>0</v>
      </c>
      <c r="R119" s="13">
        <f ca="1">IF(OR('My Loans'!$N$19="",'My Loans'!$N$19=0),0,Q119*INDIRECT("'My Loans'!$E"&amp;'My Loans'!$N$19)/12)</f>
        <v>0</v>
      </c>
      <c r="S119" s="13">
        <f ca="1">IF(OR('My Loans'!$N$19="",'My Loans'!$N$19=0),0,IF(Q119&lt;0.005,0,MIN(INDIRECT("'My Loans'!$F"&amp;'My Loans'!$N$19),Q119+R119)))</f>
        <v>0</v>
      </c>
      <c r="T119" s="13">
        <f ca="1">IF(A119=1,IF(OR('My Loans'!$N$20="",'My Loans'!$N$20=0),0,INDIRECT("'My Loans'!$D"&amp;'My Loans'!$N$20)),BI118)</f>
        <v>0</v>
      </c>
      <c r="U119" s="13">
        <f ca="1">IF(OR('My Loans'!$N$20="",'My Loans'!$N$20=0),0,T119*INDIRECT("'My Loans'!$E"&amp;'My Loans'!$N$20)/12)</f>
        <v>0</v>
      </c>
      <c r="V119" s="13">
        <f ca="1">IF(OR('My Loans'!$N$20="",'My Loans'!$N$20=0),0,IF(T119&lt;0.005,0,MIN(INDIRECT("'My Loans'!$F"&amp;'My Loans'!$N$20),T119+U119)))</f>
        <v>0</v>
      </c>
      <c r="W119" s="13">
        <f ca="1">IF(A119=1,IF(OR('My Loans'!$N$21="",'My Loans'!$N$21=0),0,INDIRECT("'My Loans'!$D"&amp;'My Loans'!$N$21)),BN118)</f>
        <v>0</v>
      </c>
      <c r="X119" s="13">
        <f ca="1">IF(OR('My Loans'!$N$21="",'My Loans'!$N$21=0),0,W119*INDIRECT("'My Loans'!$E"&amp;'My Loans'!$N$21)/12)</f>
        <v>0</v>
      </c>
      <c r="Y119" s="13">
        <f ca="1">IF(OR('My Loans'!$N$21="",'My Loans'!$N$21=0),0,IF(W119&lt;0.005,0,MIN(INDIRECT("'My Loans'!$F"&amp;'My Loans'!$N$21),W119+X119)))</f>
        <v>0</v>
      </c>
      <c r="Z119" s="13">
        <f ca="1">'My Loans'!$B$13-(D119+G119+J119+M119+P119+S119+V119+Y119)</f>
        <v>1400</v>
      </c>
      <c r="AA119" s="13">
        <f t="shared" ca="1" si="129"/>
        <v>1400</v>
      </c>
      <c r="AB119" s="13">
        <f t="shared" ca="1" si="130"/>
        <v>0</v>
      </c>
      <c r="AC119" s="13">
        <f t="shared" ca="1" si="131"/>
        <v>0</v>
      </c>
      <c r="AD119" s="13">
        <f t="shared" ca="1" si="132"/>
        <v>0</v>
      </c>
      <c r="AE119" s="13">
        <f t="shared" ca="1" si="133"/>
        <v>0</v>
      </c>
      <c r="AF119" s="13">
        <f t="shared" ca="1" si="134"/>
        <v>1400</v>
      </c>
      <c r="AG119" s="13">
        <f t="shared" ca="1" si="135"/>
        <v>0</v>
      </c>
      <c r="AH119" s="13">
        <f t="shared" ca="1" si="136"/>
        <v>0</v>
      </c>
      <c r="AI119" s="13">
        <f t="shared" ca="1" si="137"/>
        <v>0</v>
      </c>
      <c r="AJ119" s="13">
        <f t="shared" ca="1" si="138"/>
        <v>0</v>
      </c>
      <c r="AK119" s="13">
        <f t="shared" ca="1" si="139"/>
        <v>1400</v>
      </c>
      <c r="AL119" s="13">
        <f t="shared" ca="1" si="140"/>
        <v>0</v>
      </c>
      <c r="AM119" s="13">
        <f t="shared" ca="1" si="141"/>
        <v>0</v>
      </c>
      <c r="AN119" s="13">
        <f t="shared" ca="1" si="142"/>
        <v>0</v>
      </c>
      <c r="AO119" s="13">
        <f t="shared" ca="1" si="143"/>
        <v>0</v>
      </c>
      <c r="AP119" s="13">
        <f t="shared" ca="1" si="144"/>
        <v>1400</v>
      </c>
      <c r="AQ119" s="13">
        <f t="shared" ca="1" si="145"/>
        <v>0</v>
      </c>
      <c r="AR119" s="13">
        <f t="shared" ca="1" si="146"/>
        <v>0</v>
      </c>
      <c r="AS119" s="13">
        <f t="shared" ca="1" si="147"/>
        <v>0</v>
      </c>
      <c r="AT119" s="13">
        <f t="shared" ca="1" si="148"/>
        <v>0</v>
      </c>
      <c r="AU119" s="13">
        <f t="shared" ca="1" si="149"/>
        <v>1400</v>
      </c>
      <c r="AV119" s="13">
        <f t="shared" ca="1" si="150"/>
        <v>0</v>
      </c>
      <c r="AW119" s="13">
        <f t="shared" ca="1" si="151"/>
        <v>0</v>
      </c>
      <c r="AX119" s="13">
        <f t="shared" ca="1" si="152"/>
        <v>0</v>
      </c>
      <c r="AY119" s="13">
        <f t="shared" ca="1" si="153"/>
        <v>0</v>
      </c>
      <c r="AZ119" s="13">
        <f t="shared" ca="1" si="154"/>
        <v>1400</v>
      </c>
      <c r="BA119" s="13">
        <f t="shared" ca="1" si="155"/>
        <v>0</v>
      </c>
      <c r="BB119" s="13">
        <f t="shared" ca="1" si="156"/>
        <v>0</v>
      </c>
      <c r="BC119" s="13">
        <f t="shared" ca="1" si="157"/>
        <v>0</v>
      </c>
      <c r="BD119" s="13">
        <f t="shared" ca="1" si="158"/>
        <v>0</v>
      </c>
      <c r="BE119" s="13">
        <f t="shared" ca="1" si="159"/>
        <v>1400</v>
      </c>
      <c r="BF119" s="13">
        <f t="shared" ca="1" si="160"/>
        <v>0</v>
      </c>
      <c r="BG119" s="13">
        <f t="shared" ca="1" si="161"/>
        <v>0</v>
      </c>
      <c r="BH119" s="13">
        <f t="shared" ca="1" si="162"/>
        <v>0</v>
      </c>
      <c r="BI119" s="13">
        <f t="shared" ca="1" si="163"/>
        <v>0</v>
      </c>
      <c r="BJ119" s="13">
        <f t="shared" ca="1" si="164"/>
        <v>1400</v>
      </c>
      <c r="BK119" s="13">
        <f t="shared" ca="1" si="165"/>
        <v>0</v>
      </c>
      <c r="BL119" s="13">
        <f t="shared" ca="1" si="166"/>
        <v>0</v>
      </c>
      <c r="BM119" s="13">
        <f t="shared" ca="1" si="167"/>
        <v>0</v>
      </c>
      <c r="BN119" s="13">
        <f t="shared" ca="1" si="168"/>
        <v>0</v>
      </c>
      <c r="BO119" s="13">
        <f t="shared" ca="1" si="169"/>
        <v>0</v>
      </c>
      <c r="BP119" s="13">
        <f t="shared" ca="1" si="170"/>
        <v>0</v>
      </c>
      <c r="BQ119" s="13">
        <f t="shared" ca="1" si="171"/>
        <v>0</v>
      </c>
    </row>
    <row r="120" spans="1:69" x14ac:dyDescent="0.25">
      <c r="A120" s="1">
        <v>119</v>
      </c>
      <c r="B120" s="13">
        <f ca="1">IF(A120=1,IF(OR('My Loans'!$N$14="",'My Loans'!$N$14=0),0,INDIRECT("'My Loans'!$D"&amp;'My Loans'!$N$14)),AE119)</f>
        <v>0</v>
      </c>
      <c r="C120" s="13">
        <f ca="1">IF(OR('My Loans'!$N$14="",'My Loans'!$N$14=0),0,B120*INDIRECT("'My Loans'!$E"&amp;'My Loans'!$N$14)/12)</f>
        <v>0</v>
      </c>
      <c r="D120" s="13">
        <f ca="1">IF(OR('My Loans'!$N$14="",'My Loans'!$N$14=0),0,IF(B120&lt;0.005,0,MIN(INDIRECT("'My Loans'!$F"&amp;'My Loans'!$N$14),B120+C120)))</f>
        <v>0</v>
      </c>
      <c r="E120" s="13">
        <f ca="1">IF(A120=1,IF(OR('My Loans'!$N$15="",'My Loans'!$N$15=0),0,INDIRECT("'My Loans'!$D"&amp;'My Loans'!$N$15)),AJ119)</f>
        <v>0</v>
      </c>
      <c r="F120" s="13">
        <f ca="1">IF(OR('My Loans'!$N$15="",'My Loans'!$N$15=0),0,E120*INDIRECT("'My Loans'!$E"&amp;'My Loans'!$N$15)/12)</f>
        <v>0</v>
      </c>
      <c r="G120" s="13">
        <f ca="1">IF(OR('My Loans'!$N$15="",'My Loans'!$N$15=0),0,IF(E120&lt;0.005,0,MIN(INDIRECT("'My Loans'!$F"&amp;'My Loans'!$N$15),E120+F120)))</f>
        <v>0</v>
      </c>
      <c r="H120" s="13">
        <f ca="1">IF(A120=1,IF(OR('My Loans'!$N$16="",'My Loans'!$N$16=0),0,INDIRECT("'My Loans'!$D"&amp;'My Loans'!$N$16)),AO119)</f>
        <v>0</v>
      </c>
      <c r="I120" s="13">
        <f ca="1">IF(OR('My Loans'!$N$16="",'My Loans'!$N$16=0),0,H120*INDIRECT("'My Loans'!$E"&amp;'My Loans'!$N$16)/12)</f>
        <v>0</v>
      </c>
      <c r="J120" s="13">
        <f ca="1">IF(OR('My Loans'!$N$16="",'My Loans'!$N$16=0),0,IF(H120&lt;0.005,0,MIN(INDIRECT("'My Loans'!$F"&amp;'My Loans'!$N$16),H120+I120)))</f>
        <v>0</v>
      </c>
      <c r="K120" s="13">
        <f ca="1">IF(A120=1,IF(OR('My Loans'!$N$17="",'My Loans'!$N$17=0),0,INDIRECT("'My Loans'!$D"&amp;'My Loans'!$N$17)),AT119)</f>
        <v>0</v>
      </c>
      <c r="L120" s="13">
        <f ca="1">IF(OR('My Loans'!$N$17="",'My Loans'!$N$17=0),0,K120*INDIRECT("'My Loans'!$E"&amp;'My Loans'!$N$17)/12)</f>
        <v>0</v>
      </c>
      <c r="M120" s="13">
        <f ca="1">IF(OR('My Loans'!$N$17="",'My Loans'!$N$17=0),0,IF(K120&lt;0.005,0,MIN(INDIRECT("'My Loans'!$F"&amp;'My Loans'!$N$17),K120+L120)))</f>
        <v>0</v>
      </c>
      <c r="N120" s="13">
        <f ca="1">IF(A120=1,IF(OR('My Loans'!$N$18="",'My Loans'!$N$18=0),0,INDIRECT("'My Loans'!$D"&amp;'My Loans'!$N$18)),AY119)</f>
        <v>0</v>
      </c>
      <c r="O120" s="13">
        <f ca="1">IF(OR('My Loans'!$N$18="",'My Loans'!$N$18=0),0,N120*INDIRECT("'My Loans'!$E"&amp;'My Loans'!$N$18)/12)</f>
        <v>0</v>
      </c>
      <c r="P120" s="13">
        <f ca="1">IF(OR('My Loans'!$N$18="",'My Loans'!$N$18=0),0,IF(N120&lt;0.005,0,MIN(INDIRECT("'My Loans'!$F"&amp;'My Loans'!$N$18),N120+O120)))</f>
        <v>0</v>
      </c>
      <c r="Q120" s="13">
        <f ca="1">IF(A120=1,IF(OR('My Loans'!$N$19="",'My Loans'!$N$19=0),0,INDIRECT("'My Loans'!$D"&amp;'My Loans'!$N$19)),BD119)</f>
        <v>0</v>
      </c>
      <c r="R120" s="13">
        <f ca="1">IF(OR('My Loans'!$N$19="",'My Loans'!$N$19=0),0,Q120*INDIRECT("'My Loans'!$E"&amp;'My Loans'!$N$19)/12)</f>
        <v>0</v>
      </c>
      <c r="S120" s="13">
        <f ca="1">IF(OR('My Loans'!$N$19="",'My Loans'!$N$19=0),0,IF(Q120&lt;0.005,0,MIN(INDIRECT("'My Loans'!$F"&amp;'My Loans'!$N$19),Q120+R120)))</f>
        <v>0</v>
      </c>
      <c r="T120" s="13">
        <f ca="1">IF(A120=1,IF(OR('My Loans'!$N$20="",'My Loans'!$N$20=0),0,INDIRECT("'My Loans'!$D"&amp;'My Loans'!$N$20)),BI119)</f>
        <v>0</v>
      </c>
      <c r="U120" s="13">
        <f ca="1">IF(OR('My Loans'!$N$20="",'My Loans'!$N$20=0),0,T120*INDIRECT("'My Loans'!$E"&amp;'My Loans'!$N$20)/12)</f>
        <v>0</v>
      </c>
      <c r="V120" s="13">
        <f ca="1">IF(OR('My Loans'!$N$20="",'My Loans'!$N$20=0),0,IF(T120&lt;0.005,0,MIN(INDIRECT("'My Loans'!$F"&amp;'My Loans'!$N$20),T120+U120)))</f>
        <v>0</v>
      </c>
      <c r="W120" s="13">
        <f ca="1">IF(A120=1,IF(OR('My Loans'!$N$21="",'My Loans'!$N$21=0),0,INDIRECT("'My Loans'!$D"&amp;'My Loans'!$N$21)),BN119)</f>
        <v>0</v>
      </c>
      <c r="X120" s="13">
        <f ca="1">IF(OR('My Loans'!$N$21="",'My Loans'!$N$21=0),0,W120*INDIRECT("'My Loans'!$E"&amp;'My Loans'!$N$21)/12)</f>
        <v>0</v>
      </c>
      <c r="Y120" s="13">
        <f ca="1">IF(OR('My Loans'!$N$21="",'My Loans'!$N$21=0),0,IF(W120&lt;0.005,0,MIN(INDIRECT("'My Loans'!$F"&amp;'My Loans'!$N$21),W120+X120)))</f>
        <v>0</v>
      </c>
      <c r="Z120" s="13">
        <f ca="1">'My Loans'!$B$13-(D120+G120+J120+M120+P120+S120+V120+Y120)</f>
        <v>1400</v>
      </c>
      <c r="AA120" s="13">
        <f t="shared" ca="1" si="129"/>
        <v>1400</v>
      </c>
      <c r="AB120" s="13">
        <f t="shared" ca="1" si="130"/>
        <v>0</v>
      </c>
      <c r="AC120" s="13">
        <f t="shared" ca="1" si="131"/>
        <v>0</v>
      </c>
      <c r="AD120" s="13">
        <f t="shared" ca="1" si="132"/>
        <v>0</v>
      </c>
      <c r="AE120" s="13">
        <f t="shared" ca="1" si="133"/>
        <v>0</v>
      </c>
      <c r="AF120" s="13">
        <f t="shared" ca="1" si="134"/>
        <v>1400</v>
      </c>
      <c r="AG120" s="13">
        <f t="shared" ca="1" si="135"/>
        <v>0</v>
      </c>
      <c r="AH120" s="13">
        <f t="shared" ca="1" si="136"/>
        <v>0</v>
      </c>
      <c r="AI120" s="13">
        <f t="shared" ca="1" si="137"/>
        <v>0</v>
      </c>
      <c r="AJ120" s="13">
        <f t="shared" ca="1" si="138"/>
        <v>0</v>
      </c>
      <c r="AK120" s="13">
        <f t="shared" ca="1" si="139"/>
        <v>1400</v>
      </c>
      <c r="AL120" s="13">
        <f t="shared" ca="1" si="140"/>
        <v>0</v>
      </c>
      <c r="AM120" s="13">
        <f t="shared" ca="1" si="141"/>
        <v>0</v>
      </c>
      <c r="AN120" s="13">
        <f t="shared" ca="1" si="142"/>
        <v>0</v>
      </c>
      <c r="AO120" s="13">
        <f t="shared" ca="1" si="143"/>
        <v>0</v>
      </c>
      <c r="AP120" s="13">
        <f t="shared" ca="1" si="144"/>
        <v>1400</v>
      </c>
      <c r="AQ120" s="13">
        <f t="shared" ca="1" si="145"/>
        <v>0</v>
      </c>
      <c r="AR120" s="13">
        <f t="shared" ca="1" si="146"/>
        <v>0</v>
      </c>
      <c r="AS120" s="13">
        <f t="shared" ca="1" si="147"/>
        <v>0</v>
      </c>
      <c r="AT120" s="13">
        <f t="shared" ca="1" si="148"/>
        <v>0</v>
      </c>
      <c r="AU120" s="13">
        <f t="shared" ca="1" si="149"/>
        <v>1400</v>
      </c>
      <c r="AV120" s="13">
        <f t="shared" ca="1" si="150"/>
        <v>0</v>
      </c>
      <c r="AW120" s="13">
        <f t="shared" ca="1" si="151"/>
        <v>0</v>
      </c>
      <c r="AX120" s="13">
        <f t="shared" ca="1" si="152"/>
        <v>0</v>
      </c>
      <c r="AY120" s="13">
        <f t="shared" ca="1" si="153"/>
        <v>0</v>
      </c>
      <c r="AZ120" s="13">
        <f t="shared" ca="1" si="154"/>
        <v>1400</v>
      </c>
      <c r="BA120" s="13">
        <f t="shared" ca="1" si="155"/>
        <v>0</v>
      </c>
      <c r="BB120" s="13">
        <f t="shared" ca="1" si="156"/>
        <v>0</v>
      </c>
      <c r="BC120" s="13">
        <f t="shared" ca="1" si="157"/>
        <v>0</v>
      </c>
      <c r="BD120" s="13">
        <f t="shared" ca="1" si="158"/>
        <v>0</v>
      </c>
      <c r="BE120" s="13">
        <f t="shared" ca="1" si="159"/>
        <v>1400</v>
      </c>
      <c r="BF120" s="13">
        <f t="shared" ca="1" si="160"/>
        <v>0</v>
      </c>
      <c r="BG120" s="13">
        <f t="shared" ca="1" si="161"/>
        <v>0</v>
      </c>
      <c r="BH120" s="13">
        <f t="shared" ca="1" si="162"/>
        <v>0</v>
      </c>
      <c r="BI120" s="13">
        <f t="shared" ca="1" si="163"/>
        <v>0</v>
      </c>
      <c r="BJ120" s="13">
        <f t="shared" ca="1" si="164"/>
        <v>1400</v>
      </c>
      <c r="BK120" s="13">
        <f t="shared" ca="1" si="165"/>
        <v>0</v>
      </c>
      <c r="BL120" s="13">
        <f t="shared" ca="1" si="166"/>
        <v>0</v>
      </c>
      <c r="BM120" s="13">
        <f t="shared" ca="1" si="167"/>
        <v>0</v>
      </c>
      <c r="BN120" s="13">
        <f t="shared" ca="1" si="168"/>
        <v>0</v>
      </c>
      <c r="BO120" s="13">
        <f t="shared" ca="1" si="169"/>
        <v>0</v>
      </c>
      <c r="BP120" s="13">
        <f t="shared" ca="1" si="170"/>
        <v>0</v>
      </c>
      <c r="BQ120" s="13">
        <f t="shared" ca="1" si="171"/>
        <v>0</v>
      </c>
    </row>
    <row r="121" spans="1:69" x14ac:dyDescent="0.25">
      <c r="A121" s="1">
        <v>120</v>
      </c>
      <c r="B121" s="13">
        <f ca="1">IF(A121=1,IF(OR('My Loans'!$N$14="",'My Loans'!$N$14=0),0,INDIRECT("'My Loans'!$D"&amp;'My Loans'!$N$14)),AE120)</f>
        <v>0</v>
      </c>
      <c r="C121" s="13">
        <f ca="1">IF(OR('My Loans'!$N$14="",'My Loans'!$N$14=0),0,B121*INDIRECT("'My Loans'!$E"&amp;'My Loans'!$N$14)/12)</f>
        <v>0</v>
      </c>
      <c r="D121" s="13">
        <f ca="1">IF(OR('My Loans'!$N$14="",'My Loans'!$N$14=0),0,IF(B121&lt;0.005,0,MIN(INDIRECT("'My Loans'!$F"&amp;'My Loans'!$N$14),B121+C121)))</f>
        <v>0</v>
      </c>
      <c r="E121" s="13">
        <f ca="1">IF(A121=1,IF(OR('My Loans'!$N$15="",'My Loans'!$N$15=0),0,INDIRECT("'My Loans'!$D"&amp;'My Loans'!$N$15)),AJ120)</f>
        <v>0</v>
      </c>
      <c r="F121" s="13">
        <f ca="1">IF(OR('My Loans'!$N$15="",'My Loans'!$N$15=0),0,E121*INDIRECT("'My Loans'!$E"&amp;'My Loans'!$N$15)/12)</f>
        <v>0</v>
      </c>
      <c r="G121" s="13">
        <f ca="1">IF(OR('My Loans'!$N$15="",'My Loans'!$N$15=0),0,IF(E121&lt;0.005,0,MIN(INDIRECT("'My Loans'!$F"&amp;'My Loans'!$N$15),E121+F121)))</f>
        <v>0</v>
      </c>
      <c r="H121" s="13">
        <f ca="1">IF(A121=1,IF(OR('My Loans'!$N$16="",'My Loans'!$N$16=0),0,INDIRECT("'My Loans'!$D"&amp;'My Loans'!$N$16)),AO120)</f>
        <v>0</v>
      </c>
      <c r="I121" s="13">
        <f ca="1">IF(OR('My Loans'!$N$16="",'My Loans'!$N$16=0),0,H121*INDIRECT("'My Loans'!$E"&amp;'My Loans'!$N$16)/12)</f>
        <v>0</v>
      </c>
      <c r="J121" s="13">
        <f ca="1">IF(OR('My Loans'!$N$16="",'My Loans'!$N$16=0),0,IF(H121&lt;0.005,0,MIN(INDIRECT("'My Loans'!$F"&amp;'My Loans'!$N$16),H121+I121)))</f>
        <v>0</v>
      </c>
      <c r="K121" s="13">
        <f ca="1">IF(A121=1,IF(OR('My Loans'!$N$17="",'My Loans'!$N$17=0),0,INDIRECT("'My Loans'!$D"&amp;'My Loans'!$N$17)),AT120)</f>
        <v>0</v>
      </c>
      <c r="L121" s="13">
        <f ca="1">IF(OR('My Loans'!$N$17="",'My Loans'!$N$17=0),0,K121*INDIRECT("'My Loans'!$E"&amp;'My Loans'!$N$17)/12)</f>
        <v>0</v>
      </c>
      <c r="M121" s="13">
        <f ca="1">IF(OR('My Loans'!$N$17="",'My Loans'!$N$17=0),0,IF(K121&lt;0.005,0,MIN(INDIRECT("'My Loans'!$F"&amp;'My Loans'!$N$17),K121+L121)))</f>
        <v>0</v>
      </c>
      <c r="N121" s="13">
        <f ca="1">IF(A121=1,IF(OR('My Loans'!$N$18="",'My Loans'!$N$18=0),0,INDIRECT("'My Loans'!$D"&amp;'My Loans'!$N$18)),AY120)</f>
        <v>0</v>
      </c>
      <c r="O121" s="13">
        <f ca="1">IF(OR('My Loans'!$N$18="",'My Loans'!$N$18=0),0,N121*INDIRECT("'My Loans'!$E"&amp;'My Loans'!$N$18)/12)</f>
        <v>0</v>
      </c>
      <c r="P121" s="13">
        <f ca="1">IF(OR('My Loans'!$N$18="",'My Loans'!$N$18=0),0,IF(N121&lt;0.005,0,MIN(INDIRECT("'My Loans'!$F"&amp;'My Loans'!$N$18),N121+O121)))</f>
        <v>0</v>
      </c>
      <c r="Q121" s="13">
        <f ca="1">IF(A121=1,IF(OR('My Loans'!$N$19="",'My Loans'!$N$19=0),0,INDIRECT("'My Loans'!$D"&amp;'My Loans'!$N$19)),BD120)</f>
        <v>0</v>
      </c>
      <c r="R121" s="13">
        <f ca="1">IF(OR('My Loans'!$N$19="",'My Loans'!$N$19=0),0,Q121*INDIRECT("'My Loans'!$E"&amp;'My Loans'!$N$19)/12)</f>
        <v>0</v>
      </c>
      <c r="S121" s="13">
        <f ca="1">IF(OR('My Loans'!$N$19="",'My Loans'!$N$19=0),0,IF(Q121&lt;0.005,0,MIN(INDIRECT("'My Loans'!$F"&amp;'My Loans'!$N$19),Q121+R121)))</f>
        <v>0</v>
      </c>
      <c r="T121" s="13">
        <f ca="1">IF(A121=1,IF(OR('My Loans'!$N$20="",'My Loans'!$N$20=0),0,INDIRECT("'My Loans'!$D"&amp;'My Loans'!$N$20)),BI120)</f>
        <v>0</v>
      </c>
      <c r="U121" s="13">
        <f ca="1">IF(OR('My Loans'!$N$20="",'My Loans'!$N$20=0),0,T121*INDIRECT("'My Loans'!$E"&amp;'My Loans'!$N$20)/12)</f>
        <v>0</v>
      </c>
      <c r="V121" s="13">
        <f ca="1">IF(OR('My Loans'!$N$20="",'My Loans'!$N$20=0),0,IF(T121&lt;0.005,0,MIN(INDIRECT("'My Loans'!$F"&amp;'My Loans'!$N$20),T121+U121)))</f>
        <v>0</v>
      </c>
      <c r="W121" s="13">
        <f ca="1">IF(A121=1,IF(OR('My Loans'!$N$21="",'My Loans'!$N$21=0),0,INDIRECT("'My Loans'!$D"&amp;'My Loans'!$N$21)),BN120)</f>
        <v>0</v>
      </c>
      <c r="X121" s="13">
        <f ca="1">IF(OR('My Loans'!$N$21="",'My Loans'!$N$21=0),0,W121*INDIRECT("'My Loans'!$E"&amp;'My Loans'!$N$21)/12)</f>
        <v>0</v>
      </c>
      <c r="Y121" s="13">
        <f ca="1">IF(OR('My Loans'!$N$21="",'My Loans'!$N$21=0),0,IF(W121&lt;0.005,0,MIN(INDIRECT("'My Loans'!$F"&amp;'My Loans'!$N$21),W121+X121)))</f>
        <v>0</v>
      </c>
      <c r="Z121" s="13">
        <f ca="1">'My Loans'!$B$13-(D121+G121+J121+M121+P121+S121+V121+Y121)</f>
        <v>1400</v>
      </c>
      <c r="AA121" s="13">
        <f t="shared" ca="1" si="129"/>
        <v>1400</v>
      </c>
      <c r="AB121" s="13">
        <f t="shared" ca="1" si="130"/>
        <v>0</v>
      </c>
      <c r="AC121" s="13">
        <f t="shared" ca="1" si="131"/>
        <v>0</v>
      </c>
      <c r="AD121" s="13">
        <f t="shared" ca="1" si="132"/>
        <v>0</v>
      </c>
      <c r="AE121" s="13">
        <f t="shared" ca="1" si="133"/>
        <v>0</v>
      </c>
      <c r="AF121" s="13">
        <f t="shared" ca="1" si="134"/>
        <v>1400</v>
      </c>
      <c r="AG121" s="13">
        <f t="shared" ca="1" si="135"/>
        <v>0</v>
      </c>
      <c r="AH121" s="13">
        <f t="shared" ca="1" si="136"/>
        <v>0</v>
      </c>
      <c r="AI121" s="13">
        <f t="shared" ca="1" si="137"/>
        <v>0</v>
      </c>
      <c r="AJ121" s="13">
        <f t="shared" ca="1" si="138"/>
        <v>0</v>
      </c>
      <c r="AK121" s="13">
        <f t="shared" ca="1" si="139"/>
        <v>1400</v>
      </c>
      <c r="AL121" s="13">
        <f t="shared" ca="1" si="140"/>
        <v>0</v>
      </c>
      <c r="AM121" s="13">
        <f t="shared" ca="1" si="141"/>
        <v>0</v>
      </c>
      <c r="AN121" s="13">
        <f t="shared" ca="1" si="142"/>
        <v>0</v>
      </c>
      <c r="AO121" s="13">
        <f t="shared" ca="1" si="143"/>
        <v>0</v>
      </c>
      <c r="AP121" s="13">
        <f t="shared" ca="1" si="144"/>
        <v>1400</v>
      </c>
      <c r="AQ121" s="13">
        <f t="shared" ca="1" si="145"/>
        <v>0</v>
      </c>
      <c r="AR121" s="13">
        <f t="shared" ca="1" si="146"/>
        <v>0</v>
      </c>
      <c r="AS121" s="13">
        <f t="shared" ca="1" si="147"/>
        <v>0</v>
      </c>
      <c r="AT121" s="13">
        <f t="shared" ca="1" si="148"/>
        <v>0</v>
      </c>
      <c r="AU121" s="13">
        <f t="shared" ca="1" si="149"/>
        <v>1400</v>
      </c>
      <c r="AV121" s="13">
        <f t="shared" ca="1" si="150"/>
        <v>0</v>
      </c>
      <c r="AW121" s="13">
        <f t="shared" ca="1" si="151"/>
        <v>0</v>
      </c>
      <c r="AX121" s="13">
        <f t="shared" ca="1" si="152"/>
        <v>0</v>
      </c>
      <c r="AY121" s="13">
        <f t="shared" ca="1" si="153"/>
        <v>0</v>
      </c>
      <c r="AZ121" s="13">
        <f t="shared" ca="1" si="154"/>
        <v>1400</v>
      </c>
      <c r="BA121" s="13">
        <f t="shared" ca="1" si="155"/>
        <v>0</v>
      </c>
      <c r="BB121" s="13">
        <f t="shared" ca="1" si="156"/>
        <v>0</v>
      </c>
      <c r="BC121" s="13">
        <f t="shared" ca="1" si="157"/>
        <v>0</v>
      </c>
      <c r="BD121" s="13">
        <f t="shared" ca="1" si="158"/>
        <v>0</v>
      </c>
      <c r="BE121" s="13">
        <f t="shared" ca="1" si="159"/>
        <v>1400</v>
      </c>
      <c r="BF121" s="13">
        <f t="shared" ca="1" si="160"/>
        <v>0</v>
      </c>
      <c r="BG121" s="13">
        <f t="shared" ca="1" si="161"/>
        <v>0</v>
      </c>
      <c r="BH121" s="13">
        <f t="shared" ca="1" si="162"/>
        <v>0</v>
      </c>
      <c r="BI121" s="13">
        <f t="shared" ca="1" si="163"/>
        <v>0</v>
      </c>
      <c r="BJ121" s="13">
        <f t="shared" ca="1" si="164"/>
        <v>1400</v>
      </c>
      <c r="BK121" s="13">
        <f t="shared" ca="1" si="165"/>
        <v>0</v>
      </c>
      <c r="BL121" s="13">
        <f t="shared" ca="1" si="166"/>
        <v>0</v>
      </c>
      <c r="BM121" s="13">
        <f t="shared" ca="1" si="167"/>
        <v>0</v>
      </c>
      <c r="BN121" s="13">
        <f t="shared" ca="1" si="168"/>
        <v>0</v>
      </c>
      <c r="BO121" s="13">
        <f t="shared" ca="1" si="169"/>
        <v>0</v>
      </c>
      <c r="BP121" s="13">
        <f t="shared" ca="1" si="170"/>
        <v>0</v>
      </c>
      <c r="BQ121" s="13">
        <f t="shared" ca="1" si="171"/>
        <v>0</v>
      </c>
    </row>
    <row r="123" spans="1:69" x14ac:dyDescent="0.25">
      <c r="A123" s="3" t="s">
        <v>63</v>
      </c>
    </row>
    <row r="124" spans="1:69" x14ac:dyDescent="0.25">
      <c r="A124" s="1" t="s">
        <v>64</v>
      </c>
      <c r="B124" s="13">
        <f ca="1">SUM(BP2:BP121)</f>
        <v>12051.681173883262</v>
      </c>
    </row>
    <row r="125" spans="1:69" x14ac:dyDescent="0.25">
      <c r="A125" s="1" t="s">
        <v>65</v>
      </c>
      <c r="B125" s="13">
        <f ca="1">SUM(BO2:BO121)</f>
        <v>86051.681173883262</v>
      </c>
    </row>
    <row r="126" spans="1:69" x14ac:dyDescent="0.25">
      <c r="A126" s="1" t="s">
        <v>66</v>
      </c>
      <c r="B126" s="16">
        <f>IFERROR(MATCH(TRUE,BQ2:BQ121&lt;=0.005,0),120)</f>
        <v>120</v>
      </c>
    </row>
    <row r="127" spans="1:69" x14ac:dyDescent="0.25">
      <c r="A127" s="1" t="s">
        <v>67</v>
      </c>
      <c r="B127" s="14">
        <f>EDATE('My Loans'!$B$1,B126)</f>
        <v>49310</v>
      </c>
    </row>
    <row r="128" spans="1:69" x14ac:dyDescent="0.25">
      <c r="A128" s="3" t="s">
        <v>68</v>
      </c>
    </row>
    <row r="129" spans="1:2" x14ac:dyDescent="0.25">
      <c r="A129" s="1" t="s">
        <v>69</v>
      </c>
      <c r="B129" s="16" t="str">
        <f>IFERROR(MATCH(TRUE,AE2:AE121&lt;=0.005,0),"")</f>
        <v/>
      </c>
    </row>
    <row r="130" spans="1:2" x14ac:dyDescent="0.25">
      <c r="A130" s="1" t="s">
        <v>70</v>
      </c>
      <c r="B130" s="16" t="str">
        <f>IFERROR(MATCH(TRUE,AJ2:AJ121&lt;=0.005,0),"")</f>
        <v/>
      </c>
    </row>
    <row r="131" spans="1:2" x14ac:dyDescent="0.25">
      <c r="A131" s="1" t="s">
        <v>71</v>
      </c>
      <c r="B131" s="16" t="str">
        <f>IFERROR(MATCH(TRUE,AO2:AO121&lt;=0.005,0),"")</f>
        <v/>
      </c>
    </row>
    <row r="132" spans="1:2" x14ac:dyDescent="0.25">
      <c r="A132" s="1" t="s">
        <v>72</v>
      </c>
      <c r="B132" s="16" t="str">
        <f>IFERROR(MATCH(TRUE,AT2:AT121&lt;=0.005,0),"")</f>
        <v/>
      </c>
    </row>
    <row r="133" spans="1:2" x14ac:dyDescent="0.25">
      <c r="A133" s="1" t="s">
        <v>73</v>
      </c>
      <c r="B133" s="16" t="str">
        <f>IFERROR(MATCH(TRUE,AY2:AY121&lt;=0.005,0),"")</f>
        <v/>
      </c>
    </row>
    <row r="134" spans="1:2" x14ac:dyDescent="0.25">
      <c r="A134" s="1" t="s">
        <v>74</v>
      </c>
      <c r="B134" s="16" t="str">
        <f>IFERROR(MATCH(TRUE,BD2:BD121&lt;=0.005,0),"")</f>
        <v/>
      </c>
    </row>
    <row r="135" spans="1:2" x14ac:dyDescent="0.25">
      <c r="A135" s="1" t="s">
        <v>75</v>
      </c>
      <c r="B135" s="16" t="str">
        <f>IFERROR(MATCH(TRUE,BI2:BI121&lt;=0.005,0),"")</f>
        <v/>
      </c>
    </row>
    <row r="136" spans="1:2" x14ac:dyDescent="0.25">
      <c r="A136" s="1" t="s">
        <v>76</v>
      </c>
      <c r="B136" s="16" t="str">
        <f>IFERROR(MATCH(TRUE,BN2:BN121&lt;=0.005,0),"")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136"/>
  <sheetViews>
    <sheetView workbookViewId="0">
      <pane ySplit="1" topLeftCell="A2" activePane="bottomLeft" state="frozen"/>
      <selection pane="bottomLeft" activeCell="J13" sqref="J13"/>
    </sheetView>
  </sheetViews>
  <sheetFormatPr defaultRowHeight="15" x14ac:dyDescent="0.25"/>
  <cols>
    <col min="1" max="1" width="10.7109375" customWidth="1"/>
    <col min="2" max="2" width="10.140625" bestFit="1" customWidth="1"/>
    <col min="3" max="3" width="6.5703125" bestFit="1" customWidth="1"/>
    <col min="4" max="4" width="7.140625" bestFit="1" customWidth="1"/>
    <col min="5" max="5" width="9.140625" bestFit="1" customWidth="1"/>
    <col min="6" max="6" width="6.5703125" bestFit="1" customWidth="1"/>
    <col min="7" max="7" width="7.5703125" bestFit="1" customWidth="1"/>
    <col min="8" max="8" width="10.140625" bestFit="1" customWidth="1"/>
    <col min="9" max="9" width="6.5703125" bestFit="1" customWidth="1"/>
    <col min="10" max="10" width="7.5703125" bestFit="1" customWidth="1"/>
    <col min="11" max="11" width="10.140625" bestFit="1" customWidth="1"/>
    <col min="12" max="12" width="6.5703125" bestFit="1" customWidth="1"/>
    <col min="13" max="13" width="7.5703125" bestFit="1" customWidth="1"/>
    <col min="14" max="14" width="10.140625" bestFit="1" customWidth="1"/>
    <col min="15" max="16" width="7.5703125" bestFit="1" customWidth="1"/>
    <col min="17" max="17" width="7.140625" bestFit="1" customWidth="1"/>
    <col min="18" max="18" width="6" bestFit="1" customWidth="1"/>
    <col min="19" max="20" width="7.140625" bestFit="1" customWidth="1"/>
    <col min="21" max="21" width="6" bestFit="1" customWidth="1"/>
    <col min="22" max="23" width="7.140625" bestFit="1" customWidth="1"/>
    <col min="24" max="24" width="6" bestFit="1" customWidth="1"/>
    <col min="25" max="25" width="7.140625" bestFit="1" customWidth="1"/>
    <col min="26" max="28" width="9.140625" bestFit="1" customWidth="1"/>
    <col min="29" max="30" width="8.42578125" bestFit="1" customWidth="1"/>
    <col min="31" max="33" width="9.140625" bestFit="1" customWidth="1"/>
    <col min="34" max="35" width="8.42578125" bestFit="1" customWidth="1"/>
    <col min="36" max="37" width="9.140625" bestFit="1" customWidth="1"/>
    <col min="38" max="38" width="10.140625" bestFit="1" customWidth="1"/>
    <col min="39" max="40" width="8.42578125" bestFit="1" customWidth="1"/>
    <col min="41" max="41" width="10.140625" bestFit="1" customWidth="1"/>
    <col min="42" max="42" width="9.140625" bestFit="1" customWidth="1"/>
    <col min="43" max="43" width="10.140625" bestFit="1" customWidth="1"/>
    <col min="44" max="45" width="8.42578125" bestFit="1" customWidth="1"/>
    <col min="46" max="46" width="10.140625" bestFit="1" customWidth="1"/>
    <col min="47" max="47" width="9.140625" bestFit="1" customWidth="1"/>
    <col min="48" max="48" width="10.140625" bestFit="1" customWidth="1"/>
    <col min="49" max="49" width="8.42578125" bestFit="1" customWidth="1"/>
    <col min="50" max="50" width="9.140625" bestFit="1" customWidth="1"/>
    <col min="51" max="51" width="10.140625" bestFit="1" customWidth="1"/>
    <col min="52" max="52" width="9.140625" bestFit="1" customWidth="1"/>
    <col min="53" max="56" width="8.42578125" bestFit="1" customWidth="1"/>
    <col min="57" max="57" width="9.140625" bestFit="1" customWidth="1"/>
    <col min="58" max="61" width="8.42578125" bestFit="1" customWidth="1"/>
    <col min="62" max="62" width="9.140625" bestFit="1" customWidth="1"/>
    <col min="63" max="66" width="8.42578125" bestFit="1" customWidth="1"/>
    <col min="67" max="67" width="9.42578125" bestFit="1" customWidth="1"/>
    <col min="68" max="68" width="8.42578125" bestFit="1" customWidth="1"/>
    <col min="69" max="69" width="13.140625" bestFit="1" customWidth="1"/>
  </cols>
  <sheetData>
    <row r="1" spans="1:69" x14ac:dyDescent="0.25">
      <c r="A1" s="2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  <c r="Q1" s="4" t="s">
        <v>48</v>
      </c>
      <c r="R1" s="4" t="s">
        <v>49</v>
      </c>
      <c r="S1" s="4" t="s">
        <v>50</v>
      </c>
      <c r="T1" s="4" t="s">
        <v>51</v>
      </c>
      <c r="U1" s="4" t="s">
        <v>52</v>
      </c>
      <c r="V1" s="4" t="s">
        <v>53</v>
      </c>
      <c r="W1" s="4" t="s">
        <v>54</v>
      </c>
      <c r="X1" s="4" t="s">
        <v>55</v>
      </c>
      <c r="Y1" s="4" t="s">
        <v>56</v>
      </c>
      <c r="Z1" s="2" t="s">
        <v>57</v>
      </c>
      <c r="AA1" s="2" t="s">
        <v>58</v>
      </c>
      <c r="AB1" s="2" t="s">
        <v>59</v>
      </c>
      <c r="AC1" s="2" t="s">
        <v>59</v>
      </c>
      <c r="AD1" s="2" t="s">
        <v>59</v>
      </c>
      <c r="AE1" s="2" t="s">
        <v>59</v>
      </c>
      <c r="AF1" s="2" t="s">
        <v>59</v>
      </c>
      <c r="AG1" s="2" t="s">
        <v>59</v>
      </c>
      <c r="AH1" s="2" t="s">
        <v>59</v>
      </c>
      <c r="AI1" s="2" t="s">
        <v>59</v>
      </c>
      <c r="AJ1" s="2" t="s">
        <v>59</v>
      </c>
      <c r="AK1" s="2" t="s">
        <v>59</v>
      </c>
      <c r="AL1" s="2" t="s">
        <v>59</v>
      </c>
      <c r="AM1" s="2" t="s">
        <v>59</v>
      </c>
      <c r="AN1" s="2" t="s">
        <v>59</v>
      </c>
      <c r="AO1" s="2" t="s">
        <v>59</v>
      </c>
      <c r="AP1" s="2" t="s">
        <v>59</v>
      </c>
      <c r="AQ1" s="2" t="s">
        <v>59</v>
      </c>
      <c r="AR1" s="2" t="s">
        <v>59</v>
      </c>
      <c r="AS1" s="2" t="s">
        <v>59</v>
      </c>
      <c r="AT1" s="2" t="s">
        <v>59</v>
      </c>
      <c r="AU1" s="2" t="s">
        <v>59</v>
      </c>
      <c r="AV1" s="2" t="s">
        <v>59</v>
      </c>
      <c r="AW1" s="2" t="s">
        <v>59</v>
      </c>
      <c r="AX1" s="2" t="s">
        <v>59</v>
      </c>
      <c r="AY1" s="2" t="s">
        <v>59</v>
      </c>
      <c r="AZ1" s="2" t="s">
        <v>59</v>
      </c>
      <c r="BA1" s="2" t="s">
        <v>59</v>
      </c>
      <c r="BB1" s="2" t="s">
        <v>59</v>
      </c>
      <c r="BC1" s="2" t="s">
        <v>59</v>
      </c>
      <c r="BD1" s="2" t="s">
        <v>59</v>
      </c>
      <c r="BE1" s="2" t="s">
        <v>59</v>
      </c>
      <c r="BF1" s="2" t="s">
        <v>59</v>
      </c>
      <c r="BG1" s="2" t="s">
        <v>59</v>
      </c>
      <c r="BH1" s="2" t="s">
        <v>59</v>
      </c>
      <c r="BI1" s="2" t="s">
        <v>59</v>
      </c>
      <c r="BJ1" s="2" t="s">
        <v>59</v>
      </c>
      <c r="BK1" s="2" t="s">
        <v>59</v>
      </c>
      <c r="BL1" s="2" t="s">
        <v>59</v>
      </c>
      <c r="BM1" s="2" t="s">
        <v>59</v>
      </c>
      <c r="BN1" s="2" t="s">
        <v>59</v>
      </c>
      <c r="BO1" s="2" t="s">
        <v>60</v>
      </c>
      <c r="BP1" s="2" t="s">
        <v>61</v>
      </c>
      <c r="BQ1" s="2" t="s">
        <v>62</v>
      </c>
    </row>
    <row r="2" spans="1:69" x14ac:dyDescent="0.25">
      <c r="A2" s="1">
        <v>1</v>
      </c>
      <c r="B2" s="13">
        <f ca="1">IF(A2=1,IF(OR('My Loans'!$O$14="",'My Loans'!$O$14=0),0,INDIRECT("'My Loans'!$D"&amp;'My Loans'!$O$14)),AE1)</f>
        <v>8200</v>
      </c>
      <c r="C2" s="13">
        <f ca="1">IF(OR('My Loans'!$O$14="",'My Loans'!$O$14=0),0,B2*INDIRECT("'My Loans'!$E"&amp;'My Loans'!$O$14)/12)</f>
        <v>30.75</v>
      </c>
      <c r="D2" s="13">
        <f ca="1">IF(OR('My Loans'!$O$14="",'My Loans'!$O$14=0),0,IF(B2&lt;0.005,0,MIN(INDIRECT("'My Loans'!$F"&amp;'My Loans'!$O$14),B2+C2)))</f>
        <v>95</v>
      </c>
      <c r="E2" s="13">
        <f ca="1">IF(A2=1,IF(OR('My Loans'!$O$15="",'My Loans'!$O$15=0),0,INDIRECT("'My Loans'!$D"&amp;'My Loans'!$O$15)),AJ1)</f>
        <v>9800</v>
      </c>
      <c r="F2" s="13">
        <f ca="1">IF(OR('My Loans'!$O$15="",'My Loans'!$O$15=0),0,E2*INDIRECT("'My Loans'!$E"&amp;'My Loans'!$O$15)/12)</f>
        <v>40.016666666666673</v>
      </c>
      <c r="G2" s="13">
        <f ca="1">IF(OR('My Loans'!$O$15="",'My Loans'!$O$15=0),0,IF(E2&lt;0.005,0,MIN(INDIRECT("'My Loans'!$F"&amp;'My Loans'!$O$15),E2+F2)))</f>
        <v>112</v>
      </c>
      <c r="H2" s="13">
        <f ca="1">IF(A2=1,IF(OR('My Loans'!$O$16="",'My Loans'!$O$16=0),0,INDIRECT("'My Loans'!$D"&amp;'My Loans'!$O$16)),AO1)</f>
        <v>12800</v>
      </c>
      <c r="I2" s="13">
        <f ca="1">IF(OR('My Loans'!$O$16="",'My Loans'!$O$16=0),0,H2*INDIRECT("'My Loans'!$E"&amp;'My Loans'!$O$16)/12)</f>
        <v>58.666666666666664</v>
      </c>
      <c r="J2" s="13">
        <f ca="1">IF(OR('My Loans'!$O$16="",'My Loans'!$O$16=0),0,IF(H2&lt;0.005,0,MIN(INDIRECT("'My Loans'!$F"&amp;'My Loans'!$O$16),H2+I2)))</f>
        <v>142</v>
      </c>
      <c r="K2" s="13">
        <f ca="1">IF(A2=1,IF(OR('My Loans'!$O$17="",'My Loans'!$O$17=0),0,INDIRECT("'My Loans'!$D"&amp;'My Loans'!$O$17)),AT1)</f>
        <v>15200</v>
      </c>
      <c r="L2" s="13">
        <f ca="1">IF(OR('My Loans'!$O$17="",'My Loans'!$O$17=0),0,K2*INDIRECT("'My Loans'!$E"&amp;'My Loans'!$O$17)/12)</f>
        <v>78.533333333333331</v>
      </c>
      <c r="M2" s="13">
        <f ca="1">IF(OR('My Loans'!$O$17="",'My Loans'!$O$17=0),0,IF(K2&lt;0.005,0,MIN(INDIRECT("'My Loans'!$F"&amp;'My Loans'!$O$17),K2+L2)))</f>
        <v>178</v>
      </c>
      <c r="N2" s="13">
        <f ca="1">IF(A2=1,IF(OR('My Loans'!$O$18="",'My Loans'!$O$18=0),0,INDIRECT("'My Loans'!$D"&amp;'My Loans'!$O$18)),AY1)</f>
        <v>28000</v>
      </c>
      <c r="O2" s="13">
        <f ca="1">IF(OR('My Loans'!$O$18="",'My Loans'!$O$18=0),0,N2*INDIRECT("'My Loans'!$E"&amp;'My Loans'!$O$18)/12)</f>
        <v>184.33333333333334</v>
      </c>
      <c r="P2" s="13">
        <f ca="1">IF(OR('My Loans'!$O$18="",'My Loans'!$O$18=0),0,IF(N2&lt;0.005,0,MIN(INDIRECT("'My Loans'!$F"&amp;'My Loans'!$O$18),N2+O2)))</f>
        <v>410</v>
      </c>
      <c r="Q2" s="13">
        <f ca="1">IF(A2=1,IF(OR('My Loans'!$O$19="",'My Loans'!$O$19=0),0,INDIRECT("'My Loans'!$D"&amp;'My Loans'!$O$19)),BD1)</f>
        <v>0</v>
      </c>
      <c r="R2" s="13">
        <f ca="1">IF(OR('My Loans'!$O$19="",'My Loans'!$O$19=0),0,Q2*INDIRECT("'My Loans'!$E"&amp;'My Loans'!$O$19)/12)</f>
        <v>0</v>
      </c>
      <c r="S2" s="13">
        <f ca="1">IF(OR('My Loans'!$O$19="",'My Loans'!$O$19=0),0,IF(Q2&lt;0.005,0,MIN(INDIRECT("'My Loans'!$F"&amp;'My Loans'!$O$19),Q2+R2)))</f>
        <v>0</v>
      </c>
      <c r="T2" s="13">
        <f ca="1">IF(A2=1,IF(OR('My Loans'!$O$20="",'My Loans'!$O$20=0),0,INDIRECT("'My Loans'!$D"&amp;'My Loans'!$O$20)),BI1)</f>
        <v>0</v>
      </c>
      <c r="U2" s="13">
        <f ca="1">IF(OR('My Loans'!$O$20="",'My Loans'!$O$20=0),0,T2*INDIRECT("'My Loans'!$E"&amp;'My Loans'!$O$20)/12)</f>
        <v>0</v>
      </c>
      <c r="V2" s="13">
        <f ca="1">IF(OR('My Loans'!$O$20="",'My Loans'!$O$20=0),0,IF(T2&lt;0.005,0,MIN(INDIRECT("'My Loans'!$F"&amp;'My Loans'!$O$20),T2+U2)))</f>
        <v>0</v>
      </c>
      <c r="W2" s="13">
        <f ca="1">IF(A2=1,IF(OR('My Loans'!$O$21="",'My Loans'!$O$21=0),0,INDIRECT("'My Loans'!$D"&amp;'My Loans'!$O$21)),BN1)</f>
        <v>0</v>
      </c>
      <c r="X2" s="13">
        <f ca="1">IF(OR('My Loans'!$O$21="",'My Loans'!$O$21=0),0,W2*INDIRECT("'My Loans'!$E"&amp;'My Loans'!$O$21)/12)</f>
        <v>0</v>
      </c>
      <c r="Y2" s="13">
        <f ca="1">IF(OR('My Loans'!$O$21="",'My Loans'!$O$21=0),0,IF(W2&lt;0.005,0,MIN(INDIRECT("'My Loans'!$F"&amp;'My Loans'!$O$21),W2+X2)))</f>
        <v>0</v>
      </c>
      <c r="Z2" s="13">
        <f ca="1">'My Loans'!$B$13-(D2+G2+J2+M2+P2+S2+V2+Y2)</f>
        <v>463</v>
      </c>
      <c r="AA2" s="13">
        <f t="shared" ref="AA2:AA33" ca="1" si="0">MAX(0,Z2)</f>
        <v>463</v>
      </c>
      <c r="AB2" s="13">
        <f t="shared" ref="AB2:AB33" ca="1" si="1">MAX(0,B2+C2-D2)</f>
        <v>8135.75</v>
      </c>
      <c r="AC2" s="13">
        <f t="shared" ref="AC2:AC33" ca="1" si="2">MIN(AA2,AB2)</f>
        <v>463</v>
      </c>
      <c r="AD2" s="13">
        <f t="shared" ref="AD2:AD33" ca="1" si="3">D2+AC2</f>
        <v>558</v>
      </c>
      <c r="AE2" s="13">
        <f t="shared" ref="AE2:AE33" ca="1" si="4">MAX(0,B2+C2-AD2)</f>
        <v>7672.75</v>
      </c>
      <c r="AF2" s="13">
        <f t="shared" ref="AF2:AF33" ca="1" si="5">MAX(0,AA2-AC2)</f>
        <v>0</v>
      </c>
      <c r="AG2" s="13">
        <f t="shared" ref="AG2:AG33" ca="1" si="6">MAX(0,E2+F2-G2)</f>
        <v>9728.0166666666664</v>
      </c>
      <c r="AH2" s="13">
        <f t="shared" ref="AH2:AH33" ca="1" si="7">MIN(AF2,AG2)</f>
        <v>0</v>
      </c>
      <c r="AI2" s="13">
        <f t="shared" ref="AI2:AI33" ca="1" si="8">G2+AH2</f>
        <v>112</v>
      </c>
      <c r="AJ2" s="13">
        <f t="shared" ref="AJ2:AJ33" ca="1" si="9">MAX(0,E2+F2-AI2)</f>
        <v>9728.0166666666664</v>
      </c>
      <c r="AK2" s="13">
        <f t="shared" ref="AK2:AK33" ca="1" si="10">MAX(0,AF2-AH2)</f>
        <v>0</v>
      </c>
      <c r="AL2" s="13">
        <f t="shared" ref="AL2:AL33" ca="1" si="11">MAX(0,H2+I2-J2)</f>
        <v>12716.666666666666</v>
      </c>
      <c r="AM2" s="13">
        <f t="shared" ref="AM2:AM33" ca="1" si="12">MIN(AK2,AL2)</f>
        <v>0</v>
      </c>
      <c r="AN2" s="13">
        <f t="shared" ref="AN2:AN33" ca="1" si="13">J2+AM2</f>
        <v>142</v>
      </c>
      <c r="AO2" s="13">
        <f t="shared" ref="AO2:AO33" ca="1" si="14">MAX(0,H2+I2-AN2)</f>
        <v>12716.666666666666</v>
      </c>
      <c r="AP2" s="13">
        <f t="shared" ref="AP2:AP33" ca="1" si="15">MAX(0,AK2-AM2)</f>
        <v>0</v>
      </c>
      <c r="AQ2" s="13">
        <f t="shared" ref="AQ2:AQ33" ca="1" si="16">MAX(0,K2+L2-M2)</f>
        <v>15100.533333333333</v>
      </c>
      <c r="AR2" s="13">
        <f t="shared" ref="AR2:AR33" ca="1" si="17">MIN(AP2,AQ2)</f>
        <v>0</v>
      </c>
      <c r="AS2" s="13">
        <f t="shared" ref="AS2:AS33" ca="1" si="18">M2+AR2</f>
        <v>178</v>
      </c>
      <c r="AT2" s="13">
        <f t="shared" ref="AT2:AT33" ca="1" si="19">MAX(0,K2+L2-AS2)</f>
        <v>15100.533333333333</v>
      </c>
      <c r="AU2" s="13">
        <f t="shared" ref="AU2:AU33" ca="1" si="20">MAX(0,AP2-AR2)</f>
        <v>0</v>
      </c>
      <c r="AV2" s="13">
        <f t="shared" ref="AV2:AV33" ca="1" si="21">MAX(0,N2+O2-P2)</f>
        <v>27774.333333333332</v>
      </c>
      <c r="AW2" s="13">
        <f t="shared" ref="AW2:AW33" ca="1" si="22">MIN(AU2,AV2)</f>
        <v>0</v>
      </c>
      <c r="AX2" s="13">
        <f t="shared" ref="AX2:AX33" ca="1" si="23">P2+AW2</f>
        <v>410</v>
      </c>
      <c r="AY2" s="13">
        <f t="shared" ref="AY2:AY33" ca="1" si="24">MAX(0,N2+O2-AX2)</f>
        <v>27774.333333333332</v>
      </c>
      <c r="AZ2" s="13">
        <f t="shared" ref="AZ2:AZ33" ca="1" si="25">MAX(0,AU2-AW2)</f>
        <v>0</v>
      </c>
      <c r="BA2" s="13">
        <f t="shared" ref="BA2:BA33" ca="1" si="26">MAX(0,Q2+R2-S2)</f>
        <v>0</v>
      </c>
      <c r="BB2" s="13">
        <f t="shared" ref="BB2:BB33" ca="1" si="27">MIN(AZ2,BA2)</f>
        <v>0</v>
      </c>
      <c r="BC2" s="13">
        <f t="shared" ref="BC2:BC33" ca="1" si="28">S2+BB2</f>
        <v>0</v>
      </c>
      <c r="BD2" s="13">
        <f t="shared" ref="BD2:BD33" ca="1" si="29">MAX(0,Q2+R2-BC2)</f>
        <v>0</v>
      </c>
      <c r="BE2" s="13">
        <f t="shared" ref="BE2:BE33" ca="1" si="30">MAX(0,AZ2-BB2)</f>
        <v>0</v>
      </c>
      <c r="BF2" s="13">
        <f t="shared" ref="BF2:BF33" ca="1" si="31">MAX(0,T2+U2-V2)</f>
        <v>0</v>
      </c>
      <c r="BG2" s="13">
        <f t="shared" ref="BG2:BG33" ca="1" si="32">MIN(BE2,BF2)</f>
        <v>0</v>
      </c>
      <c r="BH2" s="13">
        <f t="shared" ref="BH2:BH33" ca="1" si="33">V2+BG2</f>
        <v>0</v>
      </c>
      <c r="BI2" s="13">
        <f t="shared" ref="BI2:BI33" ca="1" si="34">MAX(0,T2+U2-BH2)</f>
        <v>0</v>
      </c>
      <c r="BJ2" s="13">
        <f t="shared" ref="BJ2:BJ33" ca="1" si="35">MAX(0,BE2-BG2)</f>
        <v>0</v>
      </c>
      <c r="BK2" s="13">
        <f t="shared" ref="BK2:BK33" ca="1" si="36">MAX(0,W2+X2-Y2)</f>
        <v>0</v>
      </c>
      <c r="BL2" s="13">
        <f t="shared" ref="BL2:BL33" ca="1" si="37">MIN(BJ2,BK2)</f>
        <v>0</v>
      </c>
      <c r="BM2" s="13">
        <f t="shared" ref="BM2:BM33" ca="1" si="38">Y2+BL2</f>
        <v>0</v>
      </c>
      <c r="BN2" s="13">
        <f t="shared" ref="BN2:BN33" ca="1" si="39">MAX(0,W2+X2-BM2)</f>
        <v>0</v>
      </c>
      <c r="BO2" s="13">
        <f t="shared" ref="BO2:BO33" ca="1" si="40">AD2+AI2+AN2+AS2+AX2+BC2+BH2+BM2</f>
        <v>1400</v>
      </c>
      <c r="BP2" s="13">
        <f t="shared" ref="BP2:BP33" ca="1" si="41">C2+F2+I2+L2+O2+R2+U2+X2</f>
        <v>392.3</v>
      </c>
      <c r="BQ2" s="13">
        <f t="shared" ref="BQ2:BQ33" ca="1" si="42">AE2+AJ2+AO2+AT2+AY2+BD2+BI2+BN2</f>
        <v>72992.3</v>
      </c>
    </row>
    <row r="3" spans="1:69" x14ac:dyDescent="0.25">
      <c r="A3" s="1">
        <v>2</v>
      </c>
      <c r="B3" s="13">
        <f ca="1">IF(A3=1,IF(OR('My Loans'!$O$14="",'My Loans'!$O$14=0),0,INDIRECT("'My Loans'!$D"&amp;'My Loans'!$O$14)),AE2)</f>
        <v>7672.75</v>
      </c>
      <c r="C3" s="13">
        <f ca="1">IF(OR('My Loans'!$O$14="",'My Loans'!$O$14=0),0,B3*INDIRECT("'My Loans'!$E"&amp;'My Loans'!$O$14)/12)</f>
        <v>28.772812500000001</v>
      </c>
      <c r="D3" s="13">
        <f ca="1">IF(OR('My Loans'!$O$14="",'My Loans'!$O$14=0),0,IF(B3&lt;0.005,0,MIN(INDIRECT("'My Loans'!$F"&amp;'My Loans'!$O$14),B3+C3)))</f>
        <v>95</v>
      </c>
      <c r="E3" s="13">
        <f ca="1">IF(A3=1,IF(OR('My Loans'!$O$15="",'My Loans'!$O$15=0),0,INDIRECT("'My Loans'!$D"&amp;'My Loans'!$O$15)),AJ2)</f>
        <v>9728.0166666666664</v>
      </c>
      <c r="F3" s="13">
        <f ca="1">IF(OR('My Loans'!$O$15="",'My Loans'!$O$15=0),0,E3*INDIRECT("'My Loans'!$E"&amp;'My Loans'!$O$15)/12)</f>
        <v>39.722734722222221</v>
      </c>
      <c r="G3" s="13">
        <f ca="1">IF(OR('My Loans'!$O$15="",'My Loans'!$O$15=0),0,IF(E3&lt;0.005,0,MIN(INDIRECT("'My Loans'!$F"&amp;'My Loans'!$O$15),E3+F3)))</f>
        <v>112</v>
      </c>
      <c r="H3" s="13">
        <f ca="1">IF(A3=1,IF(OR('My Loans'!$O$16="",'My Loans'!$O$16=0),0,INDIRECT("'My Loans'!$D"&amp;'My Loans'!$O$16)),AO2)</f>
        <v>12716.666666666666</v>
      </c>
      <c r="I3" s="13">
        <f ca="1">IF(OR('My Loans'!$O$16="",'My Loans'!$O$16=0),0,H3*INDIRECT("'My Loans'!$E"&amp;'My Loans'!$O$16)/12)</f>
        <v>58.284722222222221</v>
      </c>
      <c r="J3" s="13">
        <f ca="1">IF(OR('My Loans'!$O$16="",'My Loans'!$O$16=0),0,IF(H3&lt;0.005,0,MIN(INDIRECT("'My Loans'!$F"&amp;'My Loans'!$O$16),H3+I3)))</f>
        <v>142</v>
      </c>
      <c r="K3" s="13">
        <f ca="1">IF(A3=1,IF(OR('My Loans'!$O$17="",'My Loans'!$O$17=0),0,INDIRECT("'My Loans'!$D"&amp;'My Loans'!$O$17)),AT2)</f>
        <v>15100.533333333333</v>
      </c>
      <c r="L3" s="13">
        <f ca="1">IF(OR('My Loans'!$O$17="",'My Loans'!$O$17=0),0,K3*INDIRECT("'My Loans'!$E"&amp;'My Loans'!$O$17)/12)</f>
        <v>78.019422222222218</v>
      </c>
      <c r="M3" s="13">
        <f ca="1">IF(OR('My Loans'!$O$17="",'My Loans'!$O$17=0),0,IF(K3&lt;0.005,0,MIN(INDIRECT("'My Loans'!$F"&amp;'My Loans'!$O$17),K3+L3)))</f>
        <v>178</v>
      </c>
      <c r="N3" s="13">
        <f ca="1">IF(A3=1,IF(OR('My Loans'!$O$18="",'My Loans'!$O$18=0),0,INDIRECT("'My Loans'!$D"&amp;'My Loans'!$O$18)),AY2)</f>
        <v>27774.333333333332</v>
      </c>
      <c r="O3" s="13">
        <f ca="1">IF(OR('My Loans'!$O$18="",'My Loans'!$O$18=0),0,N3*INDIRECT("'My Loans'!$E"&amp;'My Loans'!$O$18)/12)</f>
        <v>182.84769444444444</v>
      </c>
      <c r="P3" s="13">
        <f ca="1">IF(OR('My Loans'!$O$18="",'My Loans'!$O$18=0),0,IF(N3&lt;0.005,0,MIN(INDIRECT("'My Loans'!$F"&amp;'My Loans'!$O$18),N3+O3)))</f>
        <v>410</v>
      </c>
      <c r="Q3" s="13">
        <f ca="1">IF(A3=1,IF(OR('My Loans'!$O$19="",'My Loans'!$O$19=0),0,INDIRECT("'My Loans'!$D"&amp;'My Loans'!$O$19)),BD2)</f>
        <v>0</v>
      </c>
      <c r="R3" s="13">
        <f ca="1">IF(OR('My Loans'!$O$19="",'My Loans'!$O$19=0),0,Q3*INDIRECT("'My Loans'!$E"&amp;'My Loans'!$O$19)/12)</f>
        <v>0</v>
      </c>
      <c r="S3" s="13">
        <f ca="1">IF(OR('My Loans'!$O$19="",'My Loans'!$O$19=0),0,IF(Q3&lt;0.005,0,MIN(INDIRECT("'My Loans'!$F"&amp;'My Loans'!$O$19),Q3+R3)))</f>
        <v>0</v>
      </c>
      <c r="T3" s="13">
        <f ca="1">IF(A3=1,IF(OR('My Loans'!$O$20="",'My Loans'!$O$20=0),0,INDIRECT("'My Loans'!$D"&amp;'My Loans'!$O$20)),BI2)</f>
        <v>0</v>
      </c>
      <c r="U3" s="13">
        <f ca="1">IF(OR('My Loans'!$O$20="",'My Loans'!$O$20=0),0,T3*INDIRECT("'My Loans'!$E"&amp;'My Loans'!$O$20)/12)</f>
        <v>0</v>
      </c>
      <c r="V3" s="13">
        <f ca="1">IF(OR('My Loans'!$O$20="",'My Loans'!$O$20=0),0,IF(T3&lt;0.005,0,MIN(INDIRECT("'My Loans'!$F"&amp;'My Loans'!$O$20),T3+U3)))</f>
        <v>0</v>
      </c>
      <c r="W3" s="13">
        <f ca="1">IF(A3=1,IF(OR('My Loans'!$O$21="",'My Loans'!$O$21=0),0,INDIRECT("'My Loans'!$D"&amp;'My Loans'!$O$21)),BN2)</f>
        <v>0</v>
      </c>
      <c r="X3" s="13">
        <f ca="1">IF(OR('My Loans'!$O$21="",'My Loans'!$O$21=0),0,W3*INDIRECT("'My Loans'!$E"&amp;'My Loans'!$O$21)/12)</f>
        <v>0</v>
      </c>
      <c r="Y3" s="13">
        <f ca="1">IF(OR('My Loans'!$O$21="",'My Loans'!$O$21=0),0,IF(W3&lt;0.005,0,MIN(INDIRECT("'My Loans'!$F"&amp;'My Loans'!$O$21),W3+X3)))</f>
        <v>0</v>
      </c>
      <c r="Z3" s="13">
        <f ca="1">'My Loans'!$B$13-(D3+G3+J3+M3+P3+S3+V3+Y3)</f>
        <v>463</v>
      </c>
      <c r="AA3" s="13">
        <f t="shared" ca="1" si="0"/>
        <v>463</v>
      </c>
      <c r="AB3" s="13">
        <f t="shared" ca="1" si="1"/>
        <v>7606.5228125000003</v>
      </c>
      <c r="AC3" s="13">
        <f t="shared" ca="1" si="2"/>
        <v>463</v>
      </c>
      <c r="AD3" s="13">
        <f t="shared" ca="1" si="3"/>
        <v>558</v>
      </c>
      <c r="AE3" s="13">
        <f t="shared" ca="1" si="4"/>
        <v>7143.5228125000003</v>
      </c>
      <c r="AF3" s="13">
        <f t="shared" ca="1" si="5"/>
        <v>0</v>
      </c>
      <c r="AG3" s="13">
        <f t="shared" ca="1" si="6"/>
        <v>9655.7394013888879</v>
      </c>
      <c r="AH3" s="13">
        <f t="shared" ca="1" si="7"/>
        <v>0</v>
      </c>
      <c r="AI3" s="13">
        <f t="shared" ca="1" si="8"/>
        <v>112</v>
      </c>
      <c r="AJ3" s="13">
        <f t="shared" ca="1" si="9"/>
        <v>9655.7394013888879</v>
      </c>
      <c r="AK3" s="13">
        <f t="shared" ca="1" si="10"/>
        <v>0</v>
      </c>
      <c r="AL3" s="13">
        <f t="shared" ca="1" si="11"/>
        <v>12632.951388888889</v>
      </c>
      <c r="AM3" s="13">
        <f t="shared" ca="1" si="12"/>
        <v>0</v>
      </c>
      <c r="AN3" s="13">
        <f t="shared" ca="1" si="13"/>
        <v>142</v>
      </c>
      <c r="AO3" s="13">
        <f t="shared" ca="1" si="14"/>
        <v>12632.951388888889</v>
      </c>
      <c r="AP3" s="13">
        <f t="shared" ca="1" si="15"/>
        <v>0</v>
      </c>
      <c r="AQ3" s="13">
        <f t="shared" ca="1" si="16"/>
        <v>15000.552755555555</v>
      </c>
      <c r="AR3" s="13">
        <f t="shared" ca="1" si="17"/>
        <v>0</v>
      </c>
      <c r="AS3" s="13">
        <f t="shared" ca="1" si="18"/>
        <v>178</v>
      </c>
      <c r="AT3" s="13">
        <f t="shared" ca="1" si="19"/>
        <v>15000.552755555555</v>
      </c>
      <c r="AU3" s="13">
        <f t="shared" ca="1" si="20"/>
        <v>0</v>
      </c>
      <c r="AV3" s="13">
        <f t="shared" ca="1" si="21"/>
        <v>27547.181027777777</v>
      </c>
      <c r="AW3" s="13">
        <f t="shared" ca="1" si="22"/>
        <v>0</v>
      </c>
      <c r="AX3" s="13">
        <f t="shared" ca="1" si="23"/>
        <v>410</v>
      </c>
      <c r="AY3" s="13">
        <f t="shared" ca="1" si="24"/>
        <v>27547.181027777777</v>
      </c>
      <c r="AZ3" s="13">
        <f t="shared" ca="1" si="25"/>
        <v>0</v>
      </c>
      <c r="BA3" s="13">
        <f t="shared" ca="1" si="26"/>
        <v>0</v>
      </c>
      <c r="BB3" s="13">
        <f t="shared" ca="1" si="27"/>
        <v>0</v>
      </c>
      <c r="BC3" s="13">
        <f t="shared" ca="1" si="28"/>
        <v>0</v>
      </c>
      <c r="BD3" s="13">
        <f t="shared" ca="1" si="29"/>
        <v>0</v>
      </c>
      <c r="BE3" s="13">
        <f t="shared" ca="1" si="30"/>
        <v>0</v>
      </c>
      <c r="BF3" s="13">
        <f t="shared" ca="1" si="31"/>
        <v>0</v>
      </c>
      <c r="BG3" s="13">
        <f t="shared" ca="1" si="32"/>
        <v>0</v>
      </c>
      <c r="BH3" s="13">
        <f t="shared" ca="1" si="33"/>
        <v>0</v>
      </c>
      <c r="BI3" s="13">
        <f t="shared" ca="1" si="34"/>
        <v>0</v>
      </c>
      <c r="BJ3" s="13">
        <f t="shared" ca="1" si="35"/>
        <v>0</v>
      </c>
      <c r="BK3" s="13">
        <f t="shared" ca="1" si="36"/>
        <v>0</v>
      </c>
      <c r="BL3" s="13">
        <f t="shared" ca="1" si="37"/>
        <v>0</v>
      </c>
      <c r="BM3" s="13">
        <f t="shared" ca="1" si="38"/>
        <v>0</v>
      </c>
      <c r="BN3" s="13">
        <f t="shared" ca="1" si="39"/>
        <v>0</v>
      </c>
      <c r="BO3" s="13">
        <f t="shared" ca="1" si="40"/>
        <v>1400</v>
      </c>
      <c r="BP3" s="13">
        <f t="shared" ca="1" si="41"/>
        <v>387.64738611111113</v>
      </c>
      <c r="BQ3" s="13">
        <f t="shared" ca="1" si="42"/>
        <v>71979.947386111104</v>
      </c>
    </row>
    <row r="4" spans="1:69" x14ac:dyDescent="0.25">
      <c r="A4" s="1">
        <v>3</v>
      </c>
      <c r="B4" s="13">
        <f ca="1">IF(A4=1,IF(OR('My Loans'!$O$14="",'My Loans'!$O$14=0),0,INDIRECT("'My Loans'!$D"&amp;'My Loans'!$O$14)),AE3)</f>
        <v>7143.5228125000003</v>
      </c>
      <c r="C4" s="13">
        <f ca="1">IF(OR('My Loans'!$O$14="",'My Loans'!$O$14=0),0,B4*INDIRECT("'My Loans'!$E"&amp;'My Loans'!$O$14)/12)</f>
        <v>26.788210546875003</v>
      </c>
      <c r="D4" s="13">
        <f ca="1">IF(OR('My Loans'!$O$14="",'My Loans'!$O$14=0),0,IF(B4&lt;0.005,0,MIN(INDIRECT("'My Loans'!$F"&amp;'My Loans'!$O$14),B4+C4)))</f>
        <v>95</v>
      </c>
      <c r="E4" s="13">
        <f ca="1">IF(A4=1,IF(OR('My Loans'!$O$15="",'My Loans'!$O$15=0),0,INDIRECT("'My Loans'!$D"&amp;'My Loans'!$O$15)),AJ3)</f>
        <v>9655.7394013888879</v>
      </c>
      <c r="F4" s="13">
        <f ca="1">IF(OR('My Loans'!$O$15="",'My Loans'!$O$15=0),0,E4*INDIRECT("'My Loans'!$E"&amp;'My Loans'!$O$15)/12)</f>
        <v>39.427602555671292</v>
      </c>
      <c r="G4" s="13">
        <f ca="1">IF(OR('My Loans'!$O$15="",'My Loans'!$O$15=0),0,IF(E4&lt;0.005,0,MIN(INDIRECT("'My Loans'!$F"&amp;'My Loans'!$O$15),E4+F4)))</f>
        <v>112</v>
      </c>
      <c r="H4" s="13">
        <f ca="1">IF(A4=1,IF(OR('My Loans'!$O$16="",'My Loans'!$O$16=0),0,INDIRECT("'My Loans'!$D"&amp;'My Loans'!$O$16)),AO3)</f>
        <v>12632.951388888889</v>
      </c>
      <c r="I4" s="13">
        <f ca="1">IF(OR('My Loans'!$O$16="",'My Loans'!$O$16=0),0,H4*INDIRECT("'My Loans'!$E"&amp;'My Loans'!$O$16)/12)</f>
        <v>57.901027199074072</v>
      </c>
      <c r="J4" s="13">
        <f ca="1">IF(OR('My Loans'!$O$16="",'My Loans'!$O$16=0),0,IF(H4&lt;0.005,0,MIN(INDIRECT("'My Loans'!$F"&amp;'My Loans'!$O$16),H4+I4)))</f>
        <v>142</v>
      </c>
      <c r="K4" s="13">
        <f ca="1">IF(A4=1,IF(OR('My Loans'!$O$17="",'My Loans'!$O$17=0),0,INDIRECT("'My Loans'!$D"&amp;'My Loans'!$O$17)),AT3)</f>
        <v>15000.552755555555</v>
      </c>
      <c r="L4" s="13">
        <f ca="1">IF(OR('My Loans'!$O$17="",'My Loans'!$O$17=0),0,K4*INDIRECT("'My Loans'!$E"&amp;'My Loans'!$O$17)/12)</f>
        <v>77.50285590370369</v>
      </c>
      <c r="M4" s="13">
        <f ca="1">IF(OR('My Loans'!$O$17="",'My Loans'!$O$17=0),0,IF(K4&lt;0.005,0,MIN(INDIRECT("'My Loans'!$F"&amp;'My Loans'!$O$17),K4+L4)))</f>
        <v>178</v>
      </c>
      <c r="N4" s="13">
        <f ca="1">IF(A4=1,IF(OR('My Loans'!$O$18="",'My Loans'!$O$18=0),0,INDIRECT("'My Loans'!$D"&amp;'My Loans'!$O$18)),AY3)</f>
        <v>27547.181027777777</v>
      </c>
      <c r="O4" s="13">
        <f ca="1">IF(OR('My Loans'!$O$18="",'My Loans'!$O$18=0),0,N4*INDIRECT("'My Loans'!$E"&amp;'My Loans'!$O$18)/12)</f>
        <v>181.35227509953702</v>
      </c>
      <c r="P4" s="13">
        <f ca="1">IF(OR('My Loans'!$O$18="",'My Loans'!$O$18=0),0,IF(N4&lt;0.005,0,MIN(INDIRECT("'My Loans'!$F"&amp;'My Loans'!$O$18),N4+O4)))</f>
        <v>410</v>
      </c>
      <c r="Q4" s="13">
        <f ca="1">IF(A4=1,IF(OR('My Loans'!$O$19="",'My Loans'!$O$19=0),0,INDIRECT("'My Loans'!$D"&amp;'My Loans'!$O$19)),BD3)</f>
        <v>0</v>
      </c>
      <c r="R4" s="13">
        <f ca="1">IF(OR('My Loans'!$O$19="",'My Loans'!$O$19=0),0,Q4*INDIRECT("'My Loans'!$E"&amp;'My Loans'!$O$19)/12)</f>
        <v>0</v>
      </c>
      <c r="S4" s="13">
        <f ca="1">IF(OR('My Loans'!$O$19="",'My Loans'!$O$19=0),0,IF(Q4&lt;0.005,0,MIN(INDIRECT("'My Loans'!$F"&amp;'My Loans'!$O$19),Q4+R4)))</f>
        <v>0</v>
      </c>
      <c r="T4" s="13">
        <f ca="1">IF(A4=1,IF(OR('My Loans'!$O$20="",'My Loans'!$O$20=0),0,INDIRECT("'My Loans'!$D"&amp;'My Loans'!$O$20)),BI3)</f>
        <v>0</v>
      </c>
      <c r="U4" s="13">
        <f ca="1">IF(OR('My Loans'!$O$20="",'My Loans'!$O$20=0),0,T4*INDIRECT("'My Loans'!$E"&amp;'My Loans'!$O$20)/12)</f>
        <v>0</v>
      </c>
      <c r="V4" s="13">
        <f ca="1">IF(OR('My Loans'!$O$20="",'My Loans'!$O$20=0),0,IF(T4&lt;0.005,0,MIN(INDIRECT("'My Loans'!$F"&amp;'My Loans'!$O$20),T4+U4)))</f>
        <v>0</v>
      </c>
      <c r="W4" s="13">
        <f ca="1">IF(A4=1,IF(OR('My Loans'!$O$21="",'My Loans'!$O$21=0),0,INDIRECT("'My Loans'!$D"&amp;'My Loans'!$O$21)),BN3)</f>
        <v>0</v>
      </c>
      <c r="X4" s="13">
        <f ca="1">IF(OR('My Loans'!$O$21="",'My Loans'!$O$21=0),0,W4*INDIRECT("'My Loans'!$E"&amp;'My Loans'!$O$21)/12)</f>
        <v>0</v>
      </c>
      <c r="Y4" s="13">
        <f ca="1">IF(OR('My Loans'!$O$21="",'My Loans'!$O$21=0),0,IF(W4&lt;0.005,0,MIN(INDIRECT("'My Loans'!$F"&amp;'My Loans'!$O$21),W4+X4)))</f>
        <v>0</v>
      </c>
      <c r="Z4" s="13">
        <f ca="1">'My Loans'!$B$13-(D4+G4+J4+M4+P4+S4+V4+Y4)</f>
        <v>463</v>
      </c>
      <c r="AA4" s="13">
        <f t="shared" ca="1" si="0"/>
        <v>463</v>
      </c>
      <c r="AB4" s="13">
        <f t="shared" ca="1" si="1"/>
        <v>7075.3110230468756</v>
      </c>
      <c r="AC4" s="13">
        <f t="shared" ca="1" si="2"/>
        <v>463</v>
      </c>
      <c r="AD4" s="13">
        <f t="shared" ca="1" si="3"/>
        <v>558</v>
      </c>
      <c r="AE4" s="13">
        <f t="shared" ca="1" si="4"/>
        <v>6612.3110230468756</v>
      </c>
      <c r="AF4" s="13">
        <f t="shared" ca="1" si="5"/>
        <v>0</v>
      </c>
      <c r="AG4" s="13">
        <f t="shared" ca="1" si="6"/>
        <v>9583.1670039445598</v>
      </c>
      <c r="AH4" s="13">
        <f t="shared" ca="1" si="7"/>
        <v>0</v>
      </c>
      <c r="AI4" s="13">
        <f t="shared" ca="1" si="8"/>
        <v>112</v>
      </c>
      <c r="AJ4" s="13">
        <f t="shared" ca="1" si="9"/>
        <v>9583.1670039445598</v>
      </c>
      <c r="AK4" s="13">
        <f t="shared" ca="1" si="10"/>
        <v>0</v>
      </c>
      <c r="AL4" s="13">
        <f t="shared" ca="1" si="11"/>
        <v>12548.852416087962</v>
      </c>
      <c r="AM4" s="13">
        <f t="shared" ca="1" si="12"/>
        <v>0</v>
      </c>
      <c r="AN4" s="13">
        <f t="shared" ca="1" si="13"/>
        <v>142</v>
      </c>
      <c r="AO4" s="13">
        <f t="shared" ca="1" si="14"/>
        <v>12548.852416087962</v>
      </c>
      <c r="AP4" s="13">
        <f t="shared" ca="1" si="15"/>
        <v>0</v>
      </c>
      <c r="AQ4" s="13">
        <f t="shared" ca="1" si="16"/>
        <v>14900.055611459258</v>
      </c>
      <c r="AR4" s="13">
        <f t="shared" ca="1" si="17"/>
        <v>0</v>
      </c>
      <c r="AS4" s="13">
        <f t="shared" ca="1" si="18"/>
        <v>178</v>
      </c>
      <c r="AT4" s="13">
        <f t="shared" ca="1" si="19"/>
        <v>14900.055611459258</v>
      </c>
      <c r="AU4" s="13">
        <f t="shared" ca="1" si="20"/>
        <v>0</v>
      </c>
      <c r="AV4" s="13">
        <f t="shared" ca="1" si="21"/>
        <v>27318.533302877313</v>
      </c>
      <c r="AW4" s="13">
        <f t="shared" ca="1" si="22"/>
        <v>0</v>
      </c>
      <c r="AX4" s="13">
        <f t="shared" ca="1" si="23"/>
        <v>410</v>
      </c>
      <c r="AY4" s="13">
        <f t="shared" ca="1" si="24"/>
        <v>27318.533302877313</v>
      </c>
      <c r="AZ4" s="13">
        <f t="shared" ca="1" si="25"/>
        <v>0</v>
      </c>
      <c r="BA4" s="13">
        <f t="shared" ca="1" si="26"/>
        <v>0</v>
      </c>
      <c r="BB4" s="13">
        <f t="shared" ca="1" si="27"/>
        <v>0</v>
      </c>
      <c r="BC4" s="13">
        <f t="shared" ca="1" si="28"/>
        <v>0</v>
      </c>
      <c r="BD4" s="13">
        <f t="shared" ca="1" si="29"/>
        <v>0</v>
      </c>
      <c r="BE4" s="13">
        <f t="shared" ca="1" si="30"/>
        <v>0</v>
      </c>
      <c r="BF4" s="13">
        <f t="shared" ca="1" si="31"/>
        <v>0</v>
      </c>
      <c r="BG4" s="13">
        <f t="shared" ca="1" si="32"/>
        <v>0</v>
      </c>
      <c r="BH4" s="13">
        <f t="shared" ca="1" si="33"/>
        <v>0</v>
      </c>
      <c r="BI4" s="13">
        <f t="shared" ca="1" si="34"/>
        <v>0</v>
      </c>
      <c r="BJ4" s="13">
        <f t="shared" ca="1" si="35"/>
        <v>0</v>
      </c>
      <c r="BK4" s="13">
        <f t="shared" ca="1" si="36"/>
        <v>0</v>
      </c>
      <c r="BL4" s="13">
        <f t="shared" ca="1" si="37"/>
        <v>0</v>
      </c>
      <c r="BM4" s="13">
        <f t="shared" ca="1" si="38"/>
        <v>0</v>
      </c>
      <c r="BN4" s="13">
        <f t="shared" ca="1" si="39"/>
        <v>0</v>
      </c>
      <c r="BO4" s="13">
        <f t="shared" ca="1" si="40"/>
        <v>1400</v>
      </c>
      <c r="BP4" s="13">
        <f t="shared" ca="1" si="41"/>
        <v>382.97197130486109</v>
      </c>
      <c r="BQ4" s="13">
        <f t="shared" ca="1" si="42"/>
        <v>70962.919357415973</v>
      </c>
    </row>
    <row r="5" spans="1:69" x14ac:dyDescent="0.25">
      <c r="A5" s="1">
        <v>4</v>
      </c>
      <c r="B5" s="13">
        <f ca="1">IF(A5=1,IF(OR('My Loans'!$O$14="",'My Loans'!$O$14=0),0,INDIRECT("'My Loans'!$D"&amp;'My Loans'!$O$14)),AE4)</f>
        <v>6612.3110230468756</v>
      </c>
      <c r="C5" s="13">
        <f ca="1">IF(OR('My Loans'!$O$14="",'My Loans'!$O$14=0),0,B5*INDIRECT("'My Loans'!$E"&amp;'My Loans'!$O$14)/12)</f>
        <v>24.796166336425784</v>
      </c>
      <c r="D5" s="13">
        <f ca="1">IF(OR('My Loans'!$O$14="",'My Loans'!$O$14=0),0,IF(B5&lt;0.005,0,MIN(INDIRECT("'My Loans'!$F"&amp;'My Loans'!$O$14),B5+C5)))</f>
        <v>95</v>
      </c>
      <c r="E5" s="13">
        <f ca="1">IF(A5=1,IF(OR('My Loans'!$O$15="",'My Loans'!$O$15=0),0,INDIRECT("'My Loans'!$D"&amp;'My Loans'!$O$15)),AJ4)</f>
        <v>9583.1670039445598</v>
      </c>
      <c r="F5" s="13">
        <f ca="1">IF(OR('My Loans'!$O$15="",'My Loans'!$O$15=0),0,E5*INDIRECT("'My Loans'!$E"&amp;'My Loans'!$O$15)/12)</f>
        <v>39.131265266106958</v>
      </c>
      <c r="G5" s="13">
        <f ca="1">IF(OR('My Loans'!$O$15="",'My Loans'!$O$15=0),0,IF(E5&lt;0.005,0,MIN(INDIRECT("'My Loans'!$F"&amp;'My Loans'!$O$15),E5+F5)))</f>
        <v>112</v>
      </c>
      <c r="H5" s="13">
        <f ca="1">IF(A5=1,IF(OR('My Loans'!$O$16="",'My Loans'!$O$16=0),0,INDIRECT("'My Loans'!$D"&amp;'My Loans'!$O$16)),AO4)</f>
        <v>12548.852416087962</v>
      </c>
      <c r="I5" s="13">
        <f ca="1">IF(OR('My Loans'!$O$16="",'My Loans'!$O$16=0),0,H5*INDIRECT("'My Loans'!$E"&amp;'My Loans'!$O$16)/12)</f>
        <v>57.515573573736496</v>
      </c>
      <c r="J5" s="13">
        <f ca="1">IF(OR('My Loans'!$O$16="",'My Loans'!$O$16=0),0,IF(H5&lt;0.005,0,MIN(INDIRECT("'My Loans'!$F"&amp;'My Loans'!$O$16),H5+I5)))</f>
        <v>142</v>
      </c>
      <c r="K5" s="13">
        <f ca="1">IF(A5=1,IF(OR('My Loans'!$O$17="",'My Loans'!$O$17=0),0,INDIRECT("'My Loans'!$D"&amp;'My Loans'!$O$17)),AT4)</f>
        <v>14900.055611459258</v>
      </c>
      <c r="L5" s="13">
        <f ca="1">IF(OR('My Loans'!$O$17="",'My Loans'!$O$17=0),0,K5*INDIRECT("'My Loans'!$E"&amp;'My Loans'!$O$17)/12)</f>
        <v>76.983620659206167</v>
      </c>
      <c r="M5" s="13">
        <f ca="1">IF(OR('My Loans'!$O$17="",'My Loans'!$O$17=0),0,IF(K5&lt;0.005,0,MIN(INDIRECT("'My Loans'!$F"&amp;'My Loans'!$O$17),K5+L5)))</f>
        <v>178</v>
      </c>
      <c r="N5" s="13">
        <f ca="1">IF(A5=1,IF(OR('My Loans'!$O$18="",'My Loans'!$O$18=0),0,INDIRECT("'My Loans'!$D"&amp;'My Loans'!$O$18)),AY4)</f>
        <v>27318.533302877313</v>
      </c>
      <c r="O5" s="13">
        <f ca="1">IF(OR('My Loans'!$O$18="",'My Loans'!$O$18=0),0,N5*INDIRECT("'My Loans'!$E"&amp;'My Loans'!$O$18)/12)</f>
        <v>179.84701091060899</v>
      </c>
      <c r="P5" s="13">
        <f ca="1">IF(OR('My Loans'!$O$18="",'My Loans'!$O$18=0),0,IF(N5&lt;0.005,0,MIN(INDIRECT("'My Loans'!$F"&amp;'My Loans'!$O$18),N5+O5)))</f>
        <v>410</v>
      </c>
      <c r="Q5" s="13">
        <f ca="1">IF(A5=1,IF(OR('My Loans'!$O$19="",'My Loans'!$O$19=0),0,INDIRECT("'My Loans'!$D"&amp;'My Loans'!$O$19)),BD4)</f>
        <v>0</v>
      </c>
      <c r="R5" s="13">
        <f ca="1">IF(OR('My Loans'!$O$19="",'My Loans'!$O$19=0),0,Q5*INDIRECT("'My Loans'!$E"&amp;'My Loans'!$O$19)/12)</f>
        <v>0</v>
      </c>
      <c r="S5" s="13">
        <f ca="1">IF(OR('My Loans'!$O$19="",'My Loans'!$O$19=0),0,IF(Q5&lt;0.005,0,MIN(INDIRECT("'My Loans'!$F"&amp;'My Loans'!$O$19),Q5+R5)))</f>
        <v>0</v>
      </c>
      <c r="T5" s="13">
        <f ca="1">IF(A5=1,IF(OR('My Loans'!$O$20="",'My Loans'!$O$20=0),0,INDIRECT("'My Loans'!$D"&amp;'My Loans'!$O$20)),BI4)</f>
        <v>0</v>
      </c>
      <c r="U5" s="13">
        <f ca="1">IF(OR('My Loans'!$O$20="",'My Loans'!$O$20=0),0,T5*INDIRECT("'My Loans'!$E"&amp;'My Loans'!$O$20)/12)</f>
        <v>0</v>
      </c>
      <c r="V5" s="13">
        <f ca="1">IF(OR('My Loans'!$O$20="",'My Loans'!$O$20=0),0,IF(T5&lt;0.005,0,MIN(INDIRECT("'My Loans'!$F"&amp;'My Loans'!$O$20),T5+U5)))</f>
        <v>0</v>
      </c>
      <c r="W5" s="13">
        <f ca="1">IF(A5=1,IF(OR('My Loans'!$O$21="",'My Loans'!$O$21=0),0,INDIRECT("'My Loans'!$D"&amp;'My Loans'!$O$21)),BN4)</f>
        <v>0</v>
      </c>
      <c r="X5" s="13">
        <f ca="1">IF(OR('My Loans'!$O$21="",'My Loans'!$O$21=0),0,W5*INDIRECT("'My Loans'!$E"&amp;'My Loans'!$O$21)/12)</f>
        <v>0</v>
      </c>
      <c r="Y5" s="13">
        <f ca="1">IF(OR('My Loans'!$O$21="",'My Loans'!$O$21=0),0,IF(W5&lt;0.005,0,MIN(INDIRECT("'My Loans'!$F"&amp;'My Loans'!$O$21),W5+X5)))</f>
        <v>0</v>
      </c>
      <c r="Z5" s="13">
        <f ca="1">'My Loans'!$B$13-(D5+G5+J5+M5+P5+S5+V5+Y5)</f>
        <v>463</v>
      </c>
      <c r="AA5" s="13">
        <f t="shared" ca="1" si="0"/>
        <v>463</v>
      </c>
      <c r="AB5" s="13">
        <f t="shared" ca="1" si="1"/>
        <v>6542.1071893833014</v>
      </c>
      <c r="AC5" s="13">
        <f t="shared" ca="1" si="2"/>
        <v>463</v>
      </c>
      <c r="AD5" s="13">
        <f t="shared" ca="1" si="3"/>
        <v>558</v>
      </c>
      <c r="AE5" s="13">
        <f t="shared" ca="1" si="4"/>
        <v>6079.1071893833014</v>
      </c>
      <c r="AF5" s="13">
        <f t="shared" ca="1" si="5"/>
        <v>0</v>
      </c>
      <c r="AG5" s="13">
        <f t="shared" ca="1" si="6"/>
        <v>9510.2982692106671</v>
      </c>
      <c r="AH5" s="13">
        <f t="shared" ca="1" si="7"/>
        <v>0</v>
      </c>
      <c r="AI5" s="13">
        <f t="shared" ca="1" si="8"/>
        <v>112</v>
      </c>
      <c r="AJ5" s="13">
        <f t="shared" ca="1" si="9"/>
        <v>9510.2982692106671</v>
      </c>
      <c r="AK5" s="13">
        <f t="shared" ca="1" si="10"/>
        <v>0</v>
      </c>
      <c r="AL5" s="13">
        <f t="shared" ca="1" si="11"/>
        <v>12464.3679896617</v>
      </c>
      <c r="AM5" s="13">
        <f t="shared" ca="1" si="12"/>
        <v>0</v>
      </c>
      <c r="AN5" s="13">
        <f t="shared" ca="1" si="13"/>
        <v>142</v>
      </c>
      <c r="AO5" s="13">
        <f t="shared" ca="1" si="14"/>
        <v>12464.3679896617</v>
      </c>
      <c r="AP5" s="13">
        <f t="shared" ca="1" si="15"/>
        <v>0</v>
      </c>
      <c r="AQ5" s="13">
        <f t="shared" ca="1" si="16"/>
        <v>14799.039232118464</v>
      </c>
      <c r="AR5" s="13">
        <f t="shared" ca="1" si="17"/>
        <v>0</v>
      </c>
      <c r="AS5" s="13">
        <f t="shared" ca="1" si="18"/>
        <v>178</v>
      </c>
      <c r="AT5" s="13">
        <f t="shared" ca="1" si="19"/>
        <v>14799.039232118464</v>
      </c>
      <c r="AU5" s="13">
        <f t="shared" ca="1" si="20"/>
        <v>0</v>
      </c>
      <c r="AV5" s="13">
        <f t="shared" ca="1" si="21"/>
        <v>27088.380313787922</v>
      </c>
      <c r="AW5" s="13">
        <f t="shared" ca="1" si="22"/>
        <v>0</v>
      </c>
      <c r="AX5" s="13">
        <f t="shared" ca="1" si="23"/>
        <v>410</v>
      </c>
      <c r="AY5" s="13">
        <f t="shared" ca="1" si="24"/>
        <v>27088.380313787922</v>
      </c>
      <c r="AZ5" s="13">
        <f t="shared" ca="1" si="25"/>
        <v>0</v>
      </c>
      <c r="BA5" s="13">
        <f t="shared" ca="1" si="26"/>
        <v>0</v>
      </c>
      <c r="BB5" s="13">
        <f t="shared" ca="1" si="27"/>
        <v>0</v>
      </c>
      <c r="BC5" s="13">
        <f t="shared" ca="1" si="28"/>
        <v>0</v>
      </c>
      <c r="BD5" s="13">
        <f t="shared" ca="1" si="29"/>
        <v>0</v>
      </c>
      <c r="BE5" s="13">
        <f t="shared" ca="1" si="30"/>
        <v>0</v>
      </c>
      <c r="BF5" s="13">
        <f t="shared" ca="1" si="31"/>
        <v>0</v>
      </c>
      <c r="BG5" s="13">
        <f t="shared" ca="1" si="32"/>
        <v>0</v>
      </c>
      <c r="BH5" s="13">
        <f t="shared" ca="1" si="33"/>
        <v>0</v>
      </c>
      <c r="BI5" s="13">
        <f t="shared" ca="1" si="34"/>
        <v>0</v>
      </c>
      <c r="BJ5" s="13">
        <f t="shared" ca="1" si="35"/>
        <v>0</v>
      </c>
      <c r="BK5" s="13">
        <f t="shared" ca="1" si="36"/>
        <v>0</v>
      </c>
      <c r="BL5" s="13">
        <f t="shared" ca="1" si="37"/>
        <v>0</v>
      </c>
      <c r="BM5" s="13">
        <f t="shared" ca="1" si="38"/>
        <v>0</v>
      </c>
      <c r="BN5" s="13">
        <f t="shared" ca="1" si="39"/>
        <v>0</v>
      </c>
      <c r="BO5" s="13">
        <f t="shared" ca="1" si="40"/>
        <v>1400</v>
      </c>
      <c r="BP5" s="13">
        <f t="shared" ca="1" si="41"/>
        <v>378.27363674608443</v>
      </c>
      <c r="BQ5" s="13">
        <f t="shared" ca="1" si="42"/>
        <v>69941.192994162062</v>
      </c>
    </row>
    <row r="6" spans="1:69" x14ac:dyDescent="0.25">
      <c r="A6" s="1">
        <v>5</v>
      </c>
      <c r="B6" s="13">
        <f ca="1">IF(A6=1,IF(OR('My Loans'!$O$14="",'My Loans'!$O$14=0),0,INDIRECT("'My Loans'!$D"&amp;'My Loans'!$O$14)),AE5)</f>
        <v>6079.1071893833014</v>
      </c>
      <c r="C6" s="13">
        <f ca="1">IF(OR('My Loans'!$O$14="",'My Loans'!$O$14=0),0,B6*INDIRECT("'My Loans'!$E"&amp;'My Loans'!$O$14)/12)</f>
        <v>22.796651960187379</v>
      </c>
      <c r="D6" s="13">
        <f ca="1">IF(OR('My Loans'!$O$14="",'My Loans'!$O$14=0),0,IF(B6&lt;0.005,0,MIN(INDIRECT("'My Loans'!$F"&amp;'My Loans'!$O$14),B6+C6)))</f>
        <v>95</v>
      </c>
      <c r="E6" s="13">
        <f ca="1">IF(A6=1,IF(OR('My Loans'!$O$15="",'My Loans'!$O$15=0),0,INDIRECT("'My Loans'!$D"&amp;'My Loans'!$O$15)),AJ5)</f>
        <v>9510.2982692106671</v>
      </c>
      <c r="F6" s="13">
        <f ca="1">IF(OR('My Loans'!$O$15="",'My Loans'!$O$15=0),0,E6*INDIRECT("'My Loans'!$E"&amp;'My Loans'!$O$15)/12)</f>
        <v>38.833717932610227</v>
      </c>
      <c r="G6" s="13">
        <f ca="1">IF(OR('My Loans'!$O$15="",'My Loans'!$O$15=0),0,IF(E6&lt;0.005,0,MIN(INDIRECT("'My Loans'!$F"&amp;'My Loans'!$O$15),E6+F6)))</f>
        <v>112</v>
      </c>
      <c r="H6" s="13">
        <f ca="1">IF(A6=1,IF(OR('My Loans'!$O$16="",'My Loans'!$O$16=0),0,INDIRECT("'My Loans'!$D"&amp;'My Loans'!$O$16)),AO5)</f>
        <v>12464.3679896617</v>
      </c>
      <c r="I6" s="13">
        <f ca="1">IF(OR('My Loans'!$O$16="",'My Loans'!$O$16=0),0,H6*INDIRECT("'My Loans'!$E"&amp;'My Loans'!$O$16)/12)</f>
        <v>57.128353285949458</v>
      </c>
      <c r="J6" s="13">
        <f ca="1">IF(OR('My Loans'!$O$16="",'My Loans'!$O$16=0),0,IF(H6&lt;0.005,0,MIN(INDIRECT("'My Loans'!$F"&amp;'My Loans'!$O$16),H6+I6)))</f>
        <v>142</v>
      </c>
      <c r="K6" s="13">
        <f ca="1">IF(A6=1,IF(OR('My Loans'!$O$17="",'My Loans'!$O$17=0),0,INDIRECT("'My Loans'!$D"&amp;'My Loans'!$O$17)),AT5)</f>
        <v>14799.039232118464</v>
      </c>
      <c r="L6" s="13">
        <f ca="1">IF(OR('My Loans'!$O$17="",'My Loans'!$O$17=0),0,K6*INDIRECT("'My Loans'!$E"&amp;'My Loans'!$O$17)/12)</f>
        <v>76.461702699278732</v>
      </c>
      <c r="M6" s="13">
        <f ca="1">IF(OR('My Loans'!$O$17="",'My Loans'!$O$17=0),0,IF(K6&lt;0.005,0,MIN(INDIRECT("'My Loans'!$F"&amp;'My Loans'!$O$17),K6+L6)))</f>
        <v>178</v>
      </c>
      <c r="N6" s="13">
        <f ca="1">IF(A6=1,IF(OR('My Loans'!$O$18="",'My Loans'!$O$18=0),0,INDIRECT("'My Loans'!$D"&amp;'My Loans'!$O$18)),AY5)</f>
        <v>27088.380313787922</v>
      </c>
      <c r="O6" s="13">
        <f ca="1">IF(OR('My Loans'!$O$18="",'My Loans'!$O$18=0),0,N6*INDIRECT("'My Loans'!$E"&amp;'My Loans'!$O$18)/12)</f>
        <v>178.33183706577049</v>
      </c>
      <c r="P6" s="13">
        <f ca="1">IF(OR('My Loans'!$O$18="",'My Loans'!$O$18=0),0,IF(N6&lt;0.005,0,MIN(INDIRECT("'My Loans'!$F"&amp;'My Loans'!$O$18),N6+O6)))</f>
        <v>410</v>
      </c>
      <c r="Q6" s="13">
        <f ca="1">IF(A6=1,IF(OR('My Loans'!$O$19="",'My Loans'!$O$19=0),0,INDIRECT("'My Loans'!$D"&amp;'My Loans'!$O$19)),BD5)</f>
        <v>0</v>
      </c>
      <c r="R6" s="13">
        <f ca="1">IF(OR('My Loans'!$O$19="",'My Loans'!$O$19=0),0,Q6*INDIRECT("'My Loans'!$E"&amp;'My Loans'!$O$19)/12)</f>
        <v>0</v>
      </c>
      <c r="S6" s="13">
        <f ca="1">IF(OR('My Loans'!$O$19="",'My Loans'!$O$19=0),0,IF(Q6&lt;0.005,0,MIN(INDIRECT("'My Loans'!$F"&amp;'My Loans'!$O$19),Q6+R6)))</f>
        <v>0</v>
      </c>
      <c r="T6" s="13">
        <f ca="1">IF(A6=1,IF(OR('My Loans'!$O$20="",'My Loans'!$O$20=0),0,INDIRECT("'My Loans'!$D"&amp;'My Loans'!$O$20)),BI5)</f>
        <v>0</v>
      </c>
      <c r="U6" s="13">
        <f ca="1">IF(OR('My Loans'!$O$20="",'My Loans'!$O$20=0),0,T6*INDIRECT("'My Loans'!$E"&amp;'My Loans'!$O$20)/12)</f>
        <v>0</v>
      </c>
      <c r="V6" s="13">
        <f ca="1">IF(OR('My Loans'!$O$20="",'My Loans'!$O$20=0),0,IF(T6&lt;0.005,0,MIN(INDIRECT("'My Loans'!$F"&amp;'My Loans'!$O$20),T6+U6)))</f>
        <v>0</v>
      </c>
      <c r="W6" s="13">
        <f ca="1">IF(A6=1,IF(OR('My Loans'!$O$21="",'My Loans'!$O$21=0),0,INDIRECT("'My Loans'!$D"&amp;'My Loans'!$O$21)),BN5)</f>
        <v>0</v>
      </c>
      <c r="X6" s="13">
        <f ca="1">IF(OR('My Loans'!$O$21="",'My Loans'!$O$21=0),0,W6*INDIRECT("'My Loans'!$E"&amp;'My Loans'!$O$21)/12)</f>
        <v>0</v>
      </c>
      <c r="Y6" s="13">
        <f ca="1">IF(OR('My Loans'!$O$21="",'My Loans'!$O$21=0),0,IF(W6&lt;0.005,0,MIN(INDIRECT("'My Loans'!$F"&amp;'My Loans'!$O$21),W6+X6)))</f>
        <v>0</v>
      </c>
      <c r="Z6" s="13">
        <f ca="1">'My Loans'!$B$13-(D6+G6+J6+M6+P6+S6+V6+Y6)</f>
        <v>463</v>
      </c>
      <c r="AA6" s="13">
        <f t="shared" ca="1" si="0"/>
        <v>463</v>
      </c>
      <c r="AB6" s="13">
        <f t="shared" ca="1" si="1"/>
        <v>6006.9038413434891</v>
      </c>
      <c r="AC6" s="13">
        <f t="shared" ca="1" si="2"/>
        <v>463</v>
      </c>
      <c r="AD6" s="13">
        <f t="shared" ca="1" si="3"/>
        <v>558</v>
      </c>
      <c r="AE6" s="13">
        <f t="shared" ca="1" si="4"/>
        <v>5543.9038413434891</v>
      </c>
      <c r="AF6" s="13">
        <f t="shared" ca="1" si="5"/>
        <v>0</v>
      </c>
      <c r="AG6" s="13">
        <f t="shared" ca="1" si="6"/>
        <v>9437.131987143277</v>
      </c>
      <c r="AH6" s="13">
        <f t="shared" ca="1" si="7"/>
        <v>0</v>
      </c>
      <c r="AI6" s="13">
        <f t="shared" ca="1" si="8"/>
        <v>112</v>
      </c>
      <c r="AJ6" s="13">
        <f t="shared" ca="1" si="9"/>
        <v>9437.131987143277</v>
      </c>
      <c r="AK6" s="13">
        <f t="shared" ca="1" si="10"/>
        <v>0</v>
      </c>
      <c r="AL6" s="13">
        <f t="shared" ca="1" si="11"/>
        <v>12379.496342947648</v>
      </c>
      <c r="AM6" s="13">
        <f t="shared" ca="1" si="12"/>
        <v>0</v>
      </c>
      <c r="AN6" s="13">
        <f t="shared" ca="1" si="13"/>
        <v>142</v>
      </c>
      <c r="AO6" s="13">
        <f t="shared" ca="1" si="14"/>
        <v>12379.496342947648</v>
      </c>
      <c r="AP6" s="13">
        <f t="shared" ca="1" si="15"/>
        <v>0</v>
      </c>
      <c r="AQ6" s="13">
        <f t="shared" ca="1" si="16"/>
        <v>14697.500934817743</v>
      </c>
      <c r="AR6" s="13">
        <f t="shared" ca="1" si="17"/>
        <v>0</v>
      </c>
      <c r="AS6" s="13">
        <f t="shared" ca="1" si="18"/>
        <v>178</v>
      </c>
      <c r="AT6" s="13">
        <f t="shared" ca="1" si="19"/>
        <v>14697.500934817743</v>
      </c>
      <c r="AU6" s="13">
        <f t="shared" ca="1" si="20"/>
        <v>0</v>
      </c>
      <c r="AV6" s="13">
        <f t="shared" ca="1" si="21"/>
        <v>26856.712150853691</v>
      </c>
      <c r="AW6" s="13">
        <f t="shared" ca="1" si="22"/>
        <v>0</v>
      </c>
      <c r="AX6" s="13">
        <f t="shared" ca="1" si="23"/>
        <v>410</v>
      </c>
      <c r="AY6" s="13">
        <f t="shared" ca="1" si="24"/>
        <v>26856.712150853691</v>
      </c>
      <c r="AZ6" s="13">
        <f t="shared" ca="1" si="25"/>
        <v>0</v>
      </c>
      <c r="BA6" s="13">
        <f t="shared" ca="1" si="26"/>
        <v>0</v>
      </c>
      <c r="BB6" s="13">
        <f t="shared" ca="1" si="27"/>
        <v>0</v>
      </c>
      <c r="BC6" s="13">
        <f t="shared" ca="1" si="28"/>
        <v>0</v>
      </c>
      <c r="BD6" s="13">
        <f t="shared" ca="1" si="29"/>
        <v>0</v>
      </c>
      <c r="BE6" s="13">
        <f t="shared" ca="1" si="30"/>
        <v>0</v>
      </c>
      <c r="BF6" s="13">
        <f t="shared" ca="1" si="31"/>
        <v>0</v>
      </c>
      <c r="BG6" s="13">
        <f t="shared" ca="1" si="32"/>
        <v>0</v>
      </c>
      <c r="BH6" s="13">
        <f t="shared" ca="1" si="33"/>
        <v>0</v>
      </c>
      <c r="BI6" s="13">
        <f t="shared" ca="1" si="34"/>
        <v>0</v>
      </c>
      <c r="BJ6" s="13">
        <f t="shared" ca="1" si="35"/>
        <v>0</v>
      </c>
      <c r="BK6" s="13">
        <f t="shared" ca="1" si="36"/>
        <v>0</v>
      </c>
      <c r="BL6" s="13">
        <f t="shared" ca="1" si="37"/>
        <v>0</v>
      </c>
      <c r="BM6" s="13">
        <f t="shared" ca="1" si="38"/>
        <v>0</v>
      </c>
      <c r="BN6" s="13">
        <f t="shared" ca="1" si="39"/>
        <v>0</v>
      </c>
      <c r="BO6" s="13">
        <f t="shared" ca="1" si="40"/>
        <v>1400</v>
      </c>
      <c r="BP6" s="13">
        <f t="shared" ca="1" si="41"/>
        <v>373.55226294379628</v>
      </c>
      <c r="BQ6" s="13">
        <f t="shared" ca="1" si="42"/>
        <v>68914.745257105853</v>
      </c>
    </row>
    <row r="7" spans="1:69" x14ac:dyDescent="0.25">
      <c r="A7" s="1">
        <v>6</v>
      </c>
      <c r="B7" s="13">
        <f ca="1">IF(A7=1,IF(OR('My Loans'!$O$14="",'My Loans'!$O$14=0),0,INDIRECT("'My Loans'!$D"&amp;'My Loans'!$O$14)),AE6)</f>
        <v>5543.9038413434891</v>
      </c>
      <c r="C7" s="13">
        <f ca="1">IF(OR('My Loans'!$O$14="",'My Loans'!$O$14=0),0,B7*INDIRECT("'My Loans'!$E"&amp;'My Loans'!$O$14)/12)</f>
        <v>20.789639405038084</v>
      </c>
      <c r="D7" s="13">
        <f ca="1">IF(OR('My Loans'!$O$14="",'My Loans'!$O$14=0),0,IF(B7&lt;0.005,0,MIN(INDIRECT("'My Loans'!$F"&amp;'My Loans'!$O$14),B7+C7)))</f>
        <v>95</v>
      </c>
      <c r="E7" s="13">
        <f ca="1">IF(A7=1,IF(OR('My Loans'!$O$15="",'My Loans'!$O$15=0),0,INDIRECT("'My Loans'!$D"&amp;'My Loans'!$O$15)),AJ6)</f>
        <v>9437.131987143277</v>
      </c>
      <c r="F7" s="13">
        <f ca="1">IF(OR('My Loans'!$O$15="",'My Loans'!$O$15=0),0,E7*INDIRECT("'My Loans'!$E"&amp;'My Loans'!$O$15)/12)</f>
        <v>38.534955614168382</v>
      </c>
      <c r="G7" s="13">
        <f ca="1">IF(OR('My Loans'!$O$15="",'My Loans'!$O$15=0),0,IF(E7&lt;0.005,0,MIN(INDIRECT("'My Loans'!$F"&amp;'My Loans'!$O$15),E7+F7)))</f>
        <v>112</v>
      </c>
      <c r="H7" s="13">
        <f ca="1">IF(A7=1,IF(OR('My Loans'!$O$16="",'My Loans'!$O$16=0),0,INDIRECT("'My Loans'!$D"&amp;'My Loans'!$O$16)),AO6)</f>
        <v>12379.496342947648</v>
      </c>
      <c r="I7" s="13">
        <f ca="1">IF(OR('My Loans'!$O$16="",'My Loans'!$O$16=0),0,H7*INDIRECT("'My Loans'!$E"&amp;'My Loans'!$O$16)/12)</f>
        <v>56.739358238510057</v>
      </c>
      <c r="J7" s="13">
        <f ca="1">IF(OR('My Loans'!$O$16="",'My Loans'!$O$16=0),0,IF(H7&lt;0.005,0,MIN(INDIRECT("'My Loans'!$F"&amp;'My Loans'!$O$16),H7+I7)))</f>
        <v>142</v>
      </c>
      <c r="K7" s="13">
        <f ca="1">IF(A7=1,IF(OR('My Loans'!$O$17="",'My Loans'!$O$17=0),0,INDIRECT("'My Loans'!$D"&amp;'My Loans'!$O$17)),AT6)</f>
        <v>14697.500934817743</v>
      </c>
      <c r="L7" s="13">
        <f ca="1">IF(OR('My Loans'!$O$17="",'My Loans'!$O$17=0),0,K7*INDIRECT("'My Loans'!$E"&amp;'My Loans'!$O$17)/12)</f>
        <v>75.937088163224999</v>
      </c>
      <c r="M7" s="13">
        <f ca="1">IF(OR('My Loans'!$O$17="",'My Loans'!$O$17=0),0,IF(K7&lt;0.005,0,MIN(INDIRECT("'My Loans'!$F"&amp;'My Loans'!$O$17),K7+L7)))</f>
        <v>178</v>
      </c>
      <c r="N7" s="13">
        <f ca="1">IF(A7=1,IF(OR('My Loans'!$O$18="",'My Loans'!$O$18=0),0,INDIRECT("'My Loans'!$D"&amp;'My Loans'!$O$18)),AY6)</f>
        <v>26856.712150853691</v>
      </c>
      <c r="O7" s="13">
        <f ca="1">IF(OR('My Loans'!$O$18="",'My Loans'!$O$18=0),0,N7*INDIRECT("'My Loans'!$E"&amp;'My Loans'!$O$18)/12)</f>
        <v>176.80668832645347</v>
      </c>
      <c r="P7" s="13">
        <f ca="1">IF(OR('My Loans'!$O$18="",'My Loans'!$O$18=0),0,IF(N7&lt;0.005,0,MIN(INDIRECT("'My Loans'!$F"&amp;'My Loans'!$O$18),N7+O7)))</f>
        <v>410</v>
      </c>
      <c r="Q7" s="13">
        <f ca="1">IF(A7=1,IF(OR('My Loans'!$O$19="",'My Loans'!$O$19=0),0,INDIRECT("'My Loans'!$D"&amp;'My Loans'!$O$19)),BD6)</f>
        <v>0</v>
      </c>
      <c r="R7" s="13">
        <f ca="1">IF(OR('My Loans'!$O$19="",'My Loans'!$O$19=0),0,Q7*INDIRECT("'My Loans'!$E"&amp;'My Loans'!$O$19)/12)</f>
        <v>0</v>
      </c>
      <c r="S7" s="13">
        <f ca="1">IF(OR('My Loans'!$O$19="",'My Loans'!$O$19=0),0,IF(Q7&lt;0.005,0,MIN(INDIRECT("'My Loans'!$F"&amp;'My Loans'!$O$19),Q7+R7)))</f>
        <v>0</v>
      </c>
      <c r="T7" s="13">
        <f ca="1">IF(A7=1,IF(OR('My Loans'!$O$20="",'My Loans'!$O$20=0),0,INDIRECT("'My Loans'!$D"&amp;'My Loans'!$O$20)),BI6)</f>
        <v>0</v>
      </c>
      <c r="U7" s="13">
        <f ca="1">IF(OR('My Loans'!$O$20="",'My Loans'!$O$20=0),0,T7*INDIRECT("'My Loans'!$E"&amp;'My Loans'!$O$20)/12)</f>
        <v>0</v>
      </c>
      <c r="V7" s="13">
        <f ca="1">IF(OR('My Loans'!$O$20="",'My Loans'!$O$20=0),0,IF(T7&lt;0.005,0,MIN(INDIRECT("'My Loans'!$F"&amp;'My Loans'!$O$20),T7+U7)))</f>
        <v>0</v>
      </c>
      <c r="W7" s="13">
        <f ca="1">IF(A7=1,IF(OR('My Loans'!$O$21="",'My Loans'!$O$21=0),0,INDIRECT("'My Loans'!$D"&amp;'My Loans'!$O$21)),BN6)</f>
        <v>0</v>
      </c>
      <c r="X7" s="13">
        <f ca="1">IF(OR('My Loans'!$O$21="",'My Loans'!$O$21=0),0,W7*INDIRECT("'My Loans'!$E"&amp;'My Loans'!$O$21)/12)</f>
        <v>0</v>
      </c>
      <c r="Y7" s="13">
        <f ca="1">IF(OR('My Loans'!$O$21="",'My Loans'!$O$21=0),0,IF(W7&lt;0.005,0,MIN(INDIRECT("'My Loans'!$F"&amp;'My Loans'!$O$21),W7+X7)))</f>
        <v>0</v>
      </c>
      <c r="Z7" s="13">
        <f ca="1">'My Loans'!$B$13-(D7+G7+J7+M7+P7+S7+V7+Y7)</f>
        <v>463</v>
      </c>
      <c r="AA7" s="13">
        <f t="shared" ca="1" si="0"/>
        <v>463</v>
      </c>
      <c r="AB7" s="13">
        <f t="shared" ca="1" si="1"/>
        <v>5469.6934807485268</v>
      </c>
      <c r="AC7" s="13">
        <f t="shared" ca="1" si="2"/>
        <v>463</v>
      </c>
      <c r="AD7" s="13">
        <f t="shared" ca="1" si="3"/>
        <v>558</v>
      </c>
      <c r="AE7" s="13">
        <f t="shared" ca="1" si="4"/>
        <v>5006.6934807485268</v>
      </c>
      <c r="AF7" s="13">
        <f t="shared" ca="1" si="5"/>
        <v>0</v>
      </c>
      <c r="AG7" s="13">
        <f t="shared" ca="1" si="6"/>
        <v>9363.6669427574452</v>
      </c>
      <c r="AH7" s="13">
        <f t="shared" ca="1" si="7"/>
        <v>0</v>
      </c>
      <c r="AI7" s="13">
        <f t="shared" ca="1" si="8"/>
        <v>112</v>
      </c>
      <c r="AJ7" s="13">
        <f t="shared" ca="1" si="9"/>
        <v>9363.6669427574452</v>
      </c>
      <c r="AK7" s="13">
        <f t="shared" ca="1" si="10"/>
        <v>0</v>
      </c>
      <c r="AL7" s="13">
        <f t="shared" ca="1" si="11"/>
        <v>12294.235701186159</v>
      </c>
      <c r="AM7" s="13">
        <f t="shared" ca="1" si="12"/>
        <v>0</v>
      </c>
      <c r="AN7" s="13">
        <f t="shared" ca="1" si="13"/>
        <v>142</v>
      </c>
      <c r="AO7" s="13">
        <f t="shared" ca="1" si="14"/>
        <v>12294.235701186159</v>
      </c>
      <c r="AP7" s="13">
        <f t="shared" ca="1" si="15"/>
        <v>0</v>
      </c>
      <c r="AQ7" s="13">
        <f t="shared" ca="1" si="16"/>
        <v>14595.438022980969</v>
      </c>
      <c r="AR7" s="13">
        <f t="shared" ca="1" si="17"/>
        <v>0</v>
      </c>
      <c r="AS7" s="13">
        <f t="shared" ca="1" si="18"/>
        <v>178</v>
      </c>
      <c r="AT7" s="13">
        <f t="shared" ca="1" si="19"/>
        <v>14595.438022980969</v>
      </c>
      <c r="AU7" s="13">
        <f t="shared" ca="1" si="20"/>
        <v>0</v>
      </c>
      <c r="AV7" s="13">
        <f t="shared" ca="1" si="21"/>
        <v>26623.518839180146</v>
      </c>
      <c r="AW7" s="13">
        <f t="shared" ca="1" si="22"/>
        <v>0</v>
      </c>
      <c r="AX7" s="13">
        <f t="shared" ca="1" si="23"/>
        <v>410</v>
      </c>
      <c r="AY7" s="13">
        <f t="shared" ca="1" si="24"/>
        <v>26623.518839180146</v>
      </c>
      <c r="AZ7" s="13">
        <f t="shared" ca="1" si="25"/>
        <v>0</v>
      </c>
      <c r="BA7" s="13">
        <f t="shared" ca="1" si="26"/>
        <v>0</v>
      </c>
      <c r="BB7" s="13">
        <f t="shared" ca="1" si="27"/>
        <v>0</v>
      </c>
      <c r="BC7" s="13">
        <f t="shared" ca="1" si="28"/>
        <v>0</v>
      </c>
      <c r="BD7" s="13">
        <f t="shared" ca="1" si="29"/>
        <v>0</v>
      </c>
      <c r="BE7" s="13">
        <f t="shared" ca="1" si="30"/>
        <v>0</v>
      </c>
      <c r="BF7" s="13">
        <f t="shared" ca="1" si="31"/>
        <v>0</v>
      </c>
      <c r="BG7" s="13">
        <f t="shared" ca="1" si="32"/>
        <v>0</v>
      </c>
      <c r="BH7" s="13">
        <f t="shared" ca="1" si="33"/>
        <v>0</v>
      </c>
      <c r="BI7" s="13">
        <f t="shared" ca="1" si="34"/>
        <v>0</v>
      </c>
      <c r="BJ7" s="13">
        <f t="shared" ca="1" si="35"/>
        <v>0</v>
      </c>
      <c r="BK7" s="13">
        <f t="shared" ca="1" si="36"/>
        <v>0</v>
      </c>
      <c r="BL7" s="13">
        <f t="shared" ca="1" si="37"/>
        <v>0</v>
      </c>
      <c r="BM7" s="13">
        <f t="shared" ca="1" si="38"/>
        <v>0</v>
      </c>
      <c r="BN7" s="13">
        <f t="shared" ca="1" si="39"/>
        <v>0</v>
      </c>
      <c r="BO7" s="13">
        <f t="shared" ca="1" si="40"/>
        <v>1400</v>
      </c>
      <c r="BP7" s="13">
        <f t="shared" ca="1" si="41"/>
        <v>368.807729747395</v>
      </c>
      <c r="BQ7" s="13">
        <f t="shared" ca="1" si="42"/>
        <v>67883.552986853247</v>
      </c>
    </row>
    <row r="8" spans="1:69" x14ac:dyDescent="0.25">
      <c r="A8" s="1">
        <v>7</v>
      </c>
      <c r="B8" s="13">
        <f ca="1">IF(A8=1,IF(OR('My Loans'!$O$14="",'My Loans'!$O$14=0),0,INDIRECT("'My Loans'!$D"&amp;'My Loans'!$O$14)),AE7)</f>
        <v>5006.6934807485268</v>
      </c>
      <c r="C8" s="13">
        <f ca="1">IF(OR('My Loans'!$O$14="",'My Loans'!$O$14=0),0,B8*INDIRECT("'My Loans'!$E"&amp;'My Loans'!$O$14)/12)</f>
        <v>18.775100552806975</v>
      </c>
      <c r="D8" s="13">
        <f ca="1">IF(OR('My Loans'!$O$14="",'My Loans'!$O$14=0),0,IF(B8&lt;0.005,0,MIN(INDIRECT("'My Loans'!$F"&amp;'My Loans'!$O$14),B8+C8)))</f>
        <v>95</v>
      </c>
      <c r="E8" s="13">
        <f ca="1">IF(A8=1,IF(OR('My Loans'!$O$15="",'My Loans'!$O$15=0),0,INDIRECT("'My Loans'!$D"&amp;'My Loans'!$O$15)),AJ7)</f>
        <v>9363.6669427574452</v>
      </c>
      <c r="F8" s="13">
        <f ca="1">IF(OR('My Loans'!$O$15="",'My Loans'!$O$15=0),0,E8*INDIRECT("'My Loans'!$E"&amp;'My Loans'!$O$15)/12)</f>
        <v>38.234973349592899</v>
      </c>
      <c r="G8" s="13">
        <f ca="1">IF(OR('My Loans'!$O$15="",'My Loans'!$O$15=0),0,IF(E8&lt;0.005,0,MIN(INDIRECT("'My Loans'!$F"&amp;'My Loans'!$O$15),E8+F8)))</f>
        <v>112</v>
      </c>
      <c r="H8" s="13">
        <f ca="1">IF(A8=1,IF(OR('My Loans'!$O$16="",'My Loans'!$O$16=0),0,INDIRECT("'My Loans'!$D"&amp;'My Loans'!$O$16)),AO7)</f>
        <v>12294.235701186159</v>
      </c>
      <c r="I8" s="13">
        <f ca="1">IF(OR('My Loans'!$O$16="",'My Loans'!$O$16=0),0,H8*INDIRECT("'My Loans'!$E"&amp;'My Loans'!$O$16)/12)</f>
        <v>56.348580297103233</v>
      </c>
      <c r="J8" s="13">
        <f ca="1">IF(OR('My Loans'!$O$16="",'My Loans'!$O$16=0),0,IF(H8&lt;0.005,0,MIN(INDIRECT("'My Loans'!$F"&amp;'My Loans'!$O$16),H8+I8)))</f>
        <v>142</v>
      </c>
      <c r="K8" s="13">
        <f ca="1">IF(A8=1,IF(OR('My Loans'!$O$17="",'My Loans'!$O$17=0),0,INDIRECT("'My Loans'!$D"&amp;'My Loans'!$O$17)),AT7)</f>
        <v>14595.438022980969</v>
      </c>
      <c r="L8" s="13">
        <f ca="1">IF(OR('My Loans'!$O$17="",'My Loans'!$O$17=0),0,K8*INDIRECT("'My Loans'!$E"&amp;'My Loans'!$O$17)/12)</f>
        <v>75.409763118735</v>
      </c>
      <c r="M8" s="13">
        <f ca="1">IF(OR('My Loans'!$O$17="",'My Loans'!$O$17=0),0,IF(K8&lt;0.005,0,MIN(INDIRECT("'My Loans'!$F"&amp;'My Loans'!$O$17),K8+L8)))</f>
        <v>178</v>
      </c>
      <c r="N8" s="13">
        <f ca="1">IF(A8=1,IF(OR('My Loans'!$O$18="",'My Loans'!$O$18=0),0,INDIRECT("'My Loans'!$D"&amp;'My Loans'!$O$18)),AY7)</f>
        <v>26623.518839180146</v>
      </c>
      <c r="O8" s="13">
        <f ca="1">IF(OR('My Loans'!$O$18="",'My Loans'!$O$18=0),0,N8*INDIRECT("'My Loans'!$E"&amp;'My Loans'!$O$18)/12)</f>
        <v>175.2714990246026</v>
      </c>
      <c r="P8" s="13">
        <f ca="1">IF(OR('My Loans'!$O$18="",'My Loans'!$O$18=0),0,IF(N8&lt;0.005,0,MIN(INDIRECT("'My Loans'!$F"&amp;'My Loans'!$O$18),N8+O8)))</f>
        <v>410</v>
      </c>
      <c r="Q8" s="13">
        <f ca="1">IF(A8=1,IF(OR('My Loans'!$O$19="",'My Loans'!$O$19=0),0,INDIRECT("'My Loans'!$D"&amp;'My Loans'!$O$19)),BD7)</f>
        <v>0</v>
      </c>
      <c r="R8" s="13">
        <f ca="1">IF(OR('My Loans'!$O$19="",'My Loans'!$O$19=0),0,Q8*INDIRECT("'My Loans'!$E"&amp;'My Loans'!$O$19)/12)</f>
        <v>0</v>
      </c>
      <c r="S8" s="13">
        <f ca="1">IF(OR('My Loans'!$O$19="",'My Loans'!$O$19=0),0,IF(Q8&lt;0.005,0,MIN(INDIRECT("'My Loans'!$F"&amp;'My Loans'!$O$19),Q8+R8)))</f>
        <v>0</v>
      </c>
      <c r="T8" s="13">
        <f ca="1">IF(A8=1,IF(OR('My Loans'!$O$20="",'My Loans'!$O$20=0),0,INDIRECT("'My Loans'!$D"&amp;'My Loans'!$O$20)),BI7)</f>
        <v>0</v>
      </c>
      <c r="U8" s="13">
        <f ca="1">IF(OR('My Loans'!$O$20="",'My Loans'!$O$20=0),0,T8*INDIRECT("'My Loans'!$E"&amp;'My Loans'!$O$20)/12)</f>
        <v>0</v>
      </c>
      <c r="V8" s="13">
        <f ca="1">IF(OR('My Loans'!$O$20="",'My Loans'!$O$20=0),0,IF(T8&lt;0.005,0,MIN(INDIRECT("'My Loans'!$F"&amp;'My Loans'!$O$20),T8+U8)))</f>
        <v>0</v>
      </c>
      <c r="W8" s="13">
        <f ca="1">IF(A8=1,IF(OR('My Loans'!$O$21="",'My Loans'!$O$21=0),0,INDIRECT("'My Loans'!$D"&amp;'My Loans'!$O$21)),BN7)</f>
        <v>0</v>
      </c>
      <c r="X8" s="13">
        <f ca="1">IF(OR('My Loans'!$O$21="",'My Loans'!$O$21=0),0,W8*INDIRECT("'My Loans'!$E"&amp;'My Loans'!$O$21)/12)</f>
        <v>0</v>
      </c>
      <c r="Y8" s="13">
        <f ca="1">IF(OR('My Loans'!$O$21="",'My Loans'!$O$21=0),0,IF(W8&lt;0.005,0,MIN(INDIRECT("'My Loans'!$F"&amp;'My Loans'!$O$21),W8+X8)))</f>
        <v>0</v>
      </c>
      <c r="Z8" s="13">
        <f ca="1">'My Loans'!$B$13-(D8+G8+J8+M8+P8+S8+V8+Y8)</f>
        <v>463</v>
      </c>
      <c r="AA8" s="13">
        <f t="shared" ca="1" si="0"/>
        <v>463</v>
      </c>
      <c r="AB8" s="13">
        <f t="shared" ca="1" si="1"/>
        <v>4930.4685813013339</v>
      </c>
      <c r="AC8" s="13">
        <f t="shared" ca="1" si="2"/>
        <v>463</v>
      </c>
      <c r="AD8" s="13">
        <f t="shared" ca="1" si="3"/>
        <v>558</v>
      </c>
      <c r="AE8" s="13">
        <f t="shared" ca="1" si="4"/>
        <v>4467.4685813013339</v>
      </c>
      <c r="AF8" s="13">
        <f t="shared" ca="1" si="5"/>
        <v>0</v>
      </c>
      <c r="AG8" s="13">
        <f t="shared" ca="1" si="6"/>
        <v>9289.9019161070373</v>
      </c>
      <c r="AH8" s="13">
        <f t="shared" ca="1" si="7"/>
        <v>0</v>
      </c>
      <c r="AI8" s="13">
        <f t="shared" ca="1" si="8"/>
        <v>112</v>
      </c>
      <c r="AJ8" s="13">
        <f t="shared" ca="1" si="9"/>
        <v>9289.9019161070373</v>
      </c>
      <c r="AK8" s="13">
        <f t="shared" ca="1" si="10"/>
        <v>0</v>
      </c>
      <c r="AL8" s="13">
        <f t="shared" ca="1" si="11"/>
        <v>12208.584281483261</v>
      </c>
      <c r="AM8" s="13">
        <f t="shared" ca="1" si="12"/>
        <v>0</v>
      </c>
      <c r="AN8" s="13">
        <f t="shared" ca="1" si="13"/>
        <v>142</v>
      </c>
      <c r="AO8" s="13">
        <f t="shared" ca="1" si="14"/>
        <v>12208.584281483261</v>
      </c>
      <c r="AP8" s="13">
        <f t="shared" ca="1" si="15"/>
        <v>0</v>
      </c>
      <c r="AQ8" s="13">
        <f t="shared" ca="1" si="16"/>
        <v>14492.847786099703</v>
      </c>
      <c r="AR8" s="13">
        <f t="shared" ca="1" si="17"/>
        <v>0</v>
      </c>
      <c r="AS8" s="13">
        <f t="shared" ca="1" si="18"/>
        <v>178</v>
      </c>
      <c r="AT8" s="13">
        <f t="shared" ca="1" si="19"/>
        <v>14492.847786099703</v>
      </c>
      <c r="AU8" s="13">
        <f t="shared" ca="1" si="20"/>
        <v>0</v>
      </c>
      <c r="AV8" s="13">
        <f t="shared" ca="1" si="21"/>
        <v>26388.790338204748</v>
      </c>
      <c r="AW8" s="13">
        <f t="shared" ca="1" si="22"/>
        <v>0</v>
      </c>
      <c r="AX8" s="13">
        <f t="shared" ca="1" si="23"/>
        <v>410</v>
      </c>
      <c r="AY8" s="13">
        <f t="shared" ca="1" si="24"/>
        <v>26388.790338204748</v>
      </c>
      <c r="AZ8" s="13">
        <f t="shared" ca="1" si="25"/>
        <v>0</v>
      </c>
      <c r="BA8" s="13">
        <f t="shared" ca="1" si="26"/>
        <v>0</v>
      </c>
      <c r="BB8" s="13">
        <f t="shared" ca="1" si="27"/>
        <v>0</v>
      </c>
      <c r="BC8" s="13">
        <f t="shared" ca="1" si="28"/>
        <v>0</v>
      </c>
      <c r="BD8" s="13">
        <f t="shared" ca="1" si="29"/>
        <v>0</v>
      </c>
      <c r="BE8" s="13">
        <f t="shared" ca="1" si="30"/>
        <v>0</v>
      </c>
      <c r="BF8" s="13">
        <f t="shared" ca="1" si="31"/>
        <v>0</v>
      </c>
      <c r="BG8" s="13">
        <f t="shared" ca="1" si="32"/>
        <v>0</v>
      </c>
      <c r="BH8" s="13">
        <f t="shared" ca="1" si="33"/>
        <v>0</v>
      </c>
      <c r="BI8" s="13">
        <f t="shared" ca="1" si="34"/>
        <v>0</v>
      </c>
      <c r="BJ8" s="13">
        <f t="shared" ca="1" si="35"/>
        <v>0</v>
      </c>
      <c r="BK8" s="13">
        <f t="shared" ca="1" si="36"/>
        <v>0</v>
      </c>
      <c r="BL8" s="13">
        <f t="shared" ca="1" si="37"/>
        <v>0</v>
      </c>
      <c r="BM8" s="13">
        <f t="shared" ca="1" si="38"/>
        <v>0</v>
      </c>
      <c r="BN8" s="13">
        <f t="shared" ca="1" si="39"/>
        <v>0</v>
      </c>
      <c r="BO8" s="13">
        <f t="shared" ca="1" si="40"/>
        <v>1400</v>
      </c>
      <c r="BP8" s="13">
        <f t="shared" ca="1" si="41"/>
        <v>364.03991634284068</v>
      </c>
      <c r="BQ8" s="13">
        <f t="shared" ca="1" si="42"/>
        <v>66847.592903196084</v>
      </c>
    </row>
    <row r="9" spans="1:69" x14ac:dyDescent="0.25">
      <c r="A9" s="1">
        <v>8</v>
      </c>
      <c r="B9" s="13">
        <f ca="1">IF(A9=1,IF(OR('My Loans'!$O$14="",'My Loans'!$O$14=0),0,INDIRECT("'My Loans'!$D"&amp;'My Loans'!$O$14)),AE8)</f>
        <v>4467.4685813013339</v>
      </c>
      <c r="C9" s="13">
        <f ca="1">IF(OR('My Loans'!$O$14="",'My Loans'!$O$14=0),0,B9*INDIRECT("'My Loans'!$E"&amp;'My Loans'!$O$14)/12)</f>
        <v>16.753007179880001</v>
      </c>
      <c r="D9" s="13">
        <f ca="1">IF(OR('My Loans'!$O$14="",'My Loans'!$O$14=0),0,IF(B9&lt;0.005,0,MIN(INDIRECT("'My Loans'!$F"&amp;'My Loans'!$O$14),B9+C9)))</f>
        <v>95</v>
      </c>
      <c r="E9" s="13">
        <f ca="1">IF(A9=1,IF(OR('My Loans'!$O$15="",'My Loans'!$O$15=0),0,INDIRECT("'My Loans'!$D"&amp;'My Loans'!$O$15)),AJ8)</f>
        <v>9289.9019161070373</v>
      </c>
      <c r="F9" s="13">
        <f ca="1">IF(OR('My Loans'!$O$15="",'My Loans'!$O$15=0),0,E9*INDIRECT("'My Loans'!$E"&amp;'My Loans'!$O$15)/12)</f>
        <v>37.93376615743707</v>
      </c>
      <c r="G9" s="13">
        <f ca="1">IF(OR('My Loans'!$O$15="",'My Loans'!$O$15=0),0,IF(E9&lt;0.005,0,MIN(INDIRECT("'My Loans'!$F"&amp;'My Loans'!$O$15),E9+F9)))</f>
        <v>112</v>
      </c>
      <c r="H9" s="13">
        <f ca="1">IF(A9=1,IF(OR('My Loans'!$O$16="",'My Loans'!$O$16=0),0,INDIRECT("'My Loans'!$D"&amp;'My Loans'!$O$16)),AO8)</f>
        <v>12208.584281483261</v>
      </c>
      <c r="I9" s="13">
        <f ca="1">IF(OR('My Loans'!$O$16="",'My Loans'!$O$16=0),0,H9*INDIRECT("'My Loans'!$E"&amp;'My Loans'!$O$16)/12)</f>
        <v>55.956011290131613</v>
      </c>
      <c r="J9" s="13">
        <f ca="1">IF(OR('My Loans'!$O$16="",'My Loans'!$O$16=0),0,IF(H9&lt;0.005,0,MIN(INDIRECT("'My Loans'!$F"&amp;'My Loans'!$O$16),H9+I9)))</f>
        <v>142</v>
      </c>
      <c r="K9" s="13">
        <f ca="1">IF(A9=1,IF(OR('My Loans'!$O$17="",'My Loans'!$O$17=0),0,INDIRECT("'My Loans'!$D"&amp;'My Loans'!$O$17)),AT8)</f>
        <v>14492.847786099703</v>
      </c>
      <c r="L9" s="13">
        <f ca="1">IF(OR('My Loans'!$O$17="",'My Loans'!$O$17=0),0,K9*INDIRECT("'My Loans'!$E"&amp;'My Loans'!$O$17)/12)</f>
        <v>74.879713561515132</v>
      </c>
      <c r="M9" s="13">
        <f ca="1">IF(OR('My Loans'!$O$17="",'My Loans'!$O$17=0),0,IF(K9&lt;0.005,0,MIN(INDIRECT("'My Loans'!$F"&amp;'My Loans'!$O$17),K9+L9)))</f>
        <v>178</v>
      </c>
      <c r="N9" s="13">
        <f ca="1">IF(A9=1,IF(OR('My Loans'!$O$18="",'My Loans'!$O$18=0),0,INDIRECT("'My Loans'!$D"&amp;'My Loans'!$O$18)),AY8)</f>
        <v>26388.790338204748</v>
      </c>
      <c r="O9" s="13">
        <f ca="1">IF(OR('My Loans'!$O$18="",'My Loans'!$O$18=0),0,N9*INDIRECT("'My Loans'!$E"&amp;'My Loans'!$O$18)/12)</f>
        <v>173.7262030598479</v>
      </c>
      <c r="P9" s="13">
        <f ca="1">IF(OR('My Loans'!$O$18="",'My Loans'!$O$18=0),0,IF(N9&lt;0.005,0,MIN(INDIRECT("'My Loans'!$F"&amp;'My Loans'!$O$18),N9+O9)))</f>
        <v>410</v>
      </c>
      <c r="Q9" s="13">
        <f ca="1">IF(A9=1,IF(OR('My Loans'!$O$19="",'My Loans'!$O$19=0),0,INDIRECT("'My Loans'!$D"&amp;'My Loans'!$O$19)),BD8)</f>
        <v>0</v>
      </c>
      <c r="R9" s="13">
        <f ca="1">IF(OR('My Loans'!$O$19="",'My Loans'!$O$19=0),0,Q9*INDIRECT("'My Loans'!$E"&amp;'My Loans'!$O$19)/12)</f>
        <v>0</v>
      </c>
      <c r="S9" s="13">
        <f ca="1">IF(OR('My Loans'!$O$19="",'My Loans'!$O$19=0),0,IF(Q9&lt;0.005,0,MIN(INDIRECT("'My Loans'!$F"&amp;'My Loans'!$O$19),Q9+R9)))</f>
        <v>0</v>
      </c>
      <c r="T9" s="13">
        <f ca="1">IF(A9=1,IF(OR('My Loans'!$O$20="",'My Loans'!$O$20=0),0,INDIRECT("'My Loans'!$D"&amp;'My Loans'!$O$20)),BI8)</f>
        <v>0</v>
      </c>
      <c r="U9" s="13">
        <f ca="1">IF(OR('My Loans'!$O$20="",'My Loans'!$O$20=0),0,T9*INDIRECT("'My Loans'!$E"&amp;'My Loans'!$O$20)/12)</f>
        <v>0</v>
      </c>
      <c r="V9" s="13">
        <f ca="1">IF(OR('My Loans'!$O$20="",'My Loans'!$O$20=0),0,IF(T9&lt;0.005,0,MIN(INDIRECT("'My Loans'!$F"&amp;'My Loans'!$O$20),T9+U9)))</f>
        <v>0</v>
      </c>
      <c r="W9" s="13">
        <f ca="1">IF(A9=1,IF(OR('My Loans'!$O$21="",'My Loans'!$O$21=0),0,INDIRECT("'My Loans'!$D"&amp;'My Loans'!$O$21)),BN8)</f>
        <v>0</v>
      </c>
      <c r="X9" s="13">
        <f ca="1">IF(OR('My Loans'!$O$21="",'My Loans'!$O$21=0),0,W9*INDIRECT("'My Loans'!$E"&amp;'My Loans'!$O$21)/12)</f>
        <v>0</v>
      </c>
      <c r="Y9" s="13">
        <f ca="1">IF(OR('My Loans'!$O$21="",'My Loans'!$O$21=0),0,IF(W9&lt;0.005,0,MIN(INDIRECT("'My Loans'!$F"&amp;'My Loans'!$O$21),W9+X9)))</f>
        <v>0</v>
      </c>
      <c r="Z9" s="13">
        <f ca="1">'My Loans'!$B$13-(D9+G9+J9+M9+P9+S9+V9+Y9)</f>
        <v>463</v>
      </c>
      <c r="AA9" s="13">
        <f t="shared" ca="1" si="0"/>
        <v>463</v>
      </c>
      <c r="AB9" s="13">
        <f t="shared" ca="1" si="1"/>
        <v>4389.221588481214</v>
      </c>
      <c r="AC9" s="13">
        <f t="shared" ca="1" si="2"/>
        <v>463</v>
      </c>
      <c r="AD9" s="13">
        <f t="shared" ca="1" si="3"/>
        <v>558</v>
      </c>
      <c r="AE9" s="13">
        <f t="shared" ca="1" si="4"/>
        <v>3926.221588481214</v>
      </c>
      <c r="AF9" s="13">
        <f t="shared" ca="1" si="5"/>
        <v>0</v>
      </c>
      <c r="AG9" s="13">
        <f t="shared" ca="1" si="6"/>
        <v>9215.8356822644746</v>
      </c>
      <c r="AH9" s="13">
        <f t="shared" ca="1" si="7"/>
        <v>0</v>
      </c>
      <c r="AI9" s="13">
        <f t="shared" ca="1" si="8"/>
        <v>112</v>
      </c>
      <c r="AJ9" s="13">
        <f t="shared" ca="1" si="9"/>
        <v>9215.8356822644746</v>
      </c>
      <c r="AK9" s="13">
        <f t="shared" ca="1" si="10"/>
        <v>0</v>
      </c>
      <c r="AL9" s="13">
        <f t="shared" ca="1" si="11"/>
        <v>12122.540292773392</v>
      </c>
      <c r="AM9" s="13">
        <f t="shared" ca="1" si="12"/>
        <v>0</v>
      </c>
      <c r="AN9" s="13">
        <f t="shared" ca="1" si="13"/>
        <v>142</v>
      </c>
      <c r="AO9" s="13">
        <f t="shared" ca="1" si="14"/>
        <v>12122.540292773392</v>
      </c>
      <c r="AP9" s="13">
        <f t="shared" ca="1" si="15"/>
        <v>0</v>
      </c>
      <c r="AQ9" s="13">
        <f t="shared" ca="1" si="16"/>
        <v>14389.727499661218</v>
      </c>
      <c r="AR9" s="13">
        <f t="shared" ca="1" si="17"/>
        <v>0</v>
      </c>
      <c r="AS9" s="13">
        <f t="shared" ca="1" si="18"/>
        <v>178</v>
      </c>
      <c r="AT9" s="13">
        <f t="shared" ca="1" si="19"/>
        <v>14389.727499661218</v>
      </c>
      <c r="AU9" s="13">
        <f t="shared" ca="1" si="20"/>
        <v>0</v>
      </c>
      <c r="AV9" s="13">
        <f t="shared" ca="1" si="21"/>
        <v>26152.516541264595</v>
      </c>
      <c r="AW9" s="13">
        <f t="shared" ca="1" si="22"/>
        <v>0</v>
      </c>
      <c r="AX9" s="13">
        <f t="shared" ca="1" si="23"/>
        <v>410</v>
      </c>
      <c r="AY9" s="13">
        <f t="shared" ca="1" si="24"/>
        <v>26152.516541264595</v>
      </c>
      <c r="AZ9" s="13">
        <f t="shared" ca="1" si="25"/>
        <v>0</v>
      </c>
      <c r="BA9" s="13">
        <f t="shared" ca="1" si="26"/>
        <v>0</v>
      </c>
      <c r="BB9" s="13">
        <f t="shared" ca="1" si="27"/>
        <v>0</v>
      </c>
      <c r="BC9" s="13">
        <f t="shared" ca="1" si="28"/>
        <v>0</v>
      </c>
      <c r="BD9" s="13">
        <f t="shared" ca="1" si="29"/>
        <v>0</v>
      </c>
      <c r="BE9" s="13">
        <f t="shared" ca="1" si="30"/>
        <v>0</v>
      </c>
      <c r="BF9" s="13">
        <f t="shared" ca="1" si="31"/>
        <v>0</v>
      </c>
      <c r="BG9" s="13">
        <f t="shared" ca="1" si="32"/>
        <v>0</v>
      </c>
      <c r="BH9" s="13">
        <f t="shared" ca="1" si="33"/>
        <v>0</v>
      </c>
      <c r="BI9" s="13">
        <f t="shared" ca="1" si="34"/>
        <v>0</v>
      </c>
      <c r="BJ9" s="13">
        <f t="shared" ca="1" si="35"/>
        <v>0</v>
      </c>
      <c r="BK9" s="13">
        <f t="shared" ca="1" si="36"/>
        <v>0</v>
      </c>
      <c r="BL9" s="13">
        <f t="shared" ca="1" si="37"/>
        <v>0</v>
      </c>
      <c r="BM9" s="13">
        <f t="shared" ca="1" si="38"/>
        <v>0</v>
      </c>
      <c r="BN9" s="13">
        <f t="shared" ca="1" si="39"/>
        <v>0</v>
      </c>
      <c r="BO9" s="13">
        <f t="shared" ca="1" si="40"/>
        <v>1400</v>
      </c>
      <c r="BP9" s="13">
        <f t="shared" ca="1" si="41"/>
        <v>359.2487012488117</v>
      </c>
      <c r="BQ9" s="13">
        <f t="shared" ca="1" si="42"/>
        <v>65806.841604444897</v>
      </c>
    </row>
    <row r="10" spans="1:69" x14ac:dyDescent="0.25">
      <c r="A10" s="1">
        <v>9</v>
      </c>
      <c r="B10" s="13">
        <f ca="1">IF(A10=1,IF(OR('My Loans'!$O$14="",'My Loans'!$O$14=0),0,INDIRECT("'My Loans'!$D"&amp;'My Loans'!$O$14)),AE9)</f>
        <v>3926.221588481214</v>
      </c>
      <c r="C10" s="13">
        <f ca="1">IF(OR('My Loans'!$O$14="",'My Loans'!$O$14=0),0,B10*INDIRECT("'My Loans'!$E"&amp;'My Loans'!$O$14)/12)</f>
        <v>14.723330956804553</v>
      </c>
      <c r="D10" s="13">
        <f ca="1">IF(OR('My Loans'!$O$14="",'My Loans'!$O$14=0),0,IF(B10&lt;0.005,0,MIN(INDIRECT("'My Loans'!$F"&amp;'My Loans'!$O$14),B10+C10)))</f>
        <v>95</v>
      </c>
      <c r="E10" s="13">
        <f ca="1">IF(A10=1,IF(OR('My Loans'!$O$15="",'My Loans'!$O$15=0),0,INDIRECT("'My Loans'!$D"&amp;'My Loans'!$O$15)),AJ9)</f>
        <v>9215.8356822644746</v>
      </c>
      <c r="F10" s="13">
        <f ca="1">IF(OR('My Loans'!$O$15="",'My Loans'!$O$15=0),0,E10*INDIRECT("'My Loans'!$E"&amp;'My Loans'!$O$15)/12)</f>
        <v>37.631329035913275</v>
      </c>
      <c r="G10" s="13">
        <f ca="1">IF(OR('My Loans'!$O$15="",'My Loans'!$O$15=0),0,IF(E10&lt;0.005,0,MIN(INDIRECT("'My Loans'!$F"&amp;'My Loans'!$O$15),E10+F10)))</f>
        <v>112</v>
      </c>
      <c r="H10" s="13">
        <f ca="1">IF(A10=1,IF(OR('My Loans'!$O$16="",'My Loans'!$O$16=0),0,INDIRECT("'My Loans'!$D"&amp;'My Loans'!$O$16)),AO9)</f>
        <v>12122.540292773392</v>
      </c>
      <c r="I10" s="13">
        <f ca="1">IF(OR('My Loans'!$O$16="",'My Loans'!$O$16=0),0,H10*INDIRECT("'My Loans'!$E"&amp;'My Loans'!$O$16)/12)</f>
        <v>55.561643008544713</v>
      </c>
      <c r="J10" s="13">
        <f ca="1">IF(OR('My Loans'!$O$16="",'My Loans'!$O$16=0),0,IF(H10&lt;0.005,0,MIN(INDIRECT("'My Loans'!$F"&amp;'My Loans'!$O$16),H10+I10)))</f>
        <v>142</v>
      </c>
      <c r="K10" s="13">
        <f ca="1">IF(A10=1,IF(OR('My Loans'!$O$17="",'My Loans'!$O$17=0),0,INDIRECT("'My Loans'!$D"&amp;'My Loans'!$O$17)),AT9)</f>
        <v>14389.727499661218</v>
      </c>
      <c r="L10" s="13">
        <f ca="1">IF(OR('My Loans'!$O$17="",'My Loans'!$O$17=0),0,K10*INDIRECT("'My Loans'!$E"&amp;'My Loans'!$O$17)/12)</f>
        <v>74.346925414916299</v>
      </c>
      <c r="M10" s="13">
        <f ca="1">IF(OR('My Loans'!$O$17="",'My Loans'!$O$17=0),0,IF(K10&lt;0.005,0,MIN(INDIRECT("'My Loans'!$F"&amp;'My Loans'!$O$17),K10+L10)))</f>
        <v>178</v>
      </c>
      <c r="N10" s="13">
        <f ca="1">IF(A10=1,IF(OR('My Loans'!$O$18="",'My Loans'!$O$18=0),0,INDIRECT("'My Loans'!$D"&amp;'My Loans'!$O$18)),AY9)</f>
        <v>26152.516541264595</v>
      </c>
      <c r="O10" s="13">
        <f ca="1">IF(OR('My Loans'!$O$18="",'My Loans'!$O$18=0),0,N10*INDIRECT("'My Loans'!$E"&amp;'My Loans'!$O$18)/12)</f>
        <v>172.17073389665859</v>
      </c>
      <c r="P10" s="13">
        <f ca="1">IF(OR('My Loans'!$O$18="",'My Loans'!$O$18=0),0,IF(N10&lt;0.005,0,MIN(INDIRECT("'My Loans'!$F"&amp;'My Loans'!$O$18),N10+O10)))</f>
        <v>410</v>
      </c>
      <c r="Q10" s="13">
        <f ca="1">IF(A10=1,IF(OR('My Loans'!$O$19="",'My Loans'!$O$19=0),0,INDIRECT("'My Loans'!$D"&amp;'My Loans'!$O$19)),BD9)</f>
        <v>0</v>
      </c>
      <c r="R10" s="13">
        <f ca="1">IF(OR('My Loans'!$O$19="",'My Loans'!$O$19=0),0,Q10*INDIRECT("'My Loans'!$E"&amp;'My Loans'!$O$19)/12)</f>
        <v>0</v>
      </c>
      <c r="S10" s="13">
        <f ca="1">IF(OR('My Loans'!$O$19="",'My Loans'!$O$19=0),0,IF(Q10&lt;0.005,0,MIN(INDIRECT("'My Loans'!$F"&amp;'My Loans'!$O$19),Q10+R10)))</f>
        <v>0</v>
      </c>
      <c r="T10" s="13">
        <f ca="1">IF(A10=1,IF(OR('My Loans'!$O$20="",'My Loans'!$O$20=0),0,INDIRECT("'My Loans'!$D"&amp;'My Loans'!$O$20)),BI9)</f>
        <v>0</v>
      </c>
      <c r="U10" s="13">
        <f ca="1">IF(OR('My Loans'!$O$20="",'My Loans'!$O$20=0),0,T10*INDIRECT("'My Loans'!$E"&amp;'My Loans'!$O$20)/12)</f>
        <v>0</v>
      </c>
      <c r="V10" s="13">
        <f ca="1">IF(OR('My Loans'!$O$20="",'My Loans'!$O$20=0),0,IF(T10&lt;0.005,0,MIN(INDIRECT("'My Loans'!$F"&amp;'My Loans'!$O$20),T10+U10)))</f>
        <v>0</v>
      </c>
      <c r="W10" s="13">
        <f ca="1">IF(A10=1,IF(OR('My Loans'!$O$21="",'My Loans'!$O$21=0),0,INDIRECT("'My Loans'!$D"&amp;'My Loans'!$O$21)),BN9)</f>
        <v>0</v>
      </c>
      <c r="X10" s="13">
        <f ca="1">IF(OR('My Loans'!$O$21="",'My Loans'!$O$21=0),0,W10*INDIRECT("'My Loans'!$E"&amp;'My Loans'!$O$21)/12)</f>
        <v>0</v>
      </c>
      <c r="Y10" s="13">
        <f ca="1">IF(OR('My Loans'!$O$21="",'My Loans'!$O$21=0),0,IF(W10&lt;0.005,0,MIN(INDIRECT("'My Loans'!$F"&amp;'My Loans'!$O$21),W10+X10)))</f>
        <v>0</v>
      </c>
      <c r="Z10" s="13">
        <f ca="1">'My Loans'!$B$13-(D10+G10+J10+M10+P10+S10+V10+Y10)</f>
        <v>463</v>
      </c>
      <c r="AA10" s="13">
        <f t="shared" ca="1" si="0"/>
        <v>463</v>
      </c>
      <c r="AB10" s="13">
        <f t="shared" ca="1" si="1"/>
        <v>3845.9449194380186</v>
      </c>
      <c r="AC10" s="13">
        <f t="shared" ca="1" si="2"/>
        <v>463</v>
      </c>
      <c r="AD10" s="13">
        <f t="shared" ca="1" si="3"/>
        <v>558</v>
      </c>
      <c r="AE10" s="13">
        <f t="shared" ca="1" si="4"/>
        <v>3382.9449194380186</v>
      </c>
      <c r="AF10" s="13">
        <f t="shared" ca="1" si="5"/>
        <v>0</v>
      </c>
      <c r="AG10" s="13">
        <f t="shared" ca="1" si="6"/>
        <v>9141.4670113003885</v>
      </c>
      <c r="AH10" s="13">
        <f t="shared" ca="1" si="7"/>
        <v>0</v>
      </c>
      <c r="AI10" s="13">
        <f t="shared" ca="1" si="8"/>
        <v>112</v>
      </c>
      <c r="AJ10" s="13">
        <f t="shared" ca="1" si="9"/>
        <v>9141.4670113003885</v>
      </c>
      <c r="AK10" s="13">
        <f t="shared" ca="1" si="10"/>
        <v>0</v>
      </c>
      <c r="AL10" s="13">
        <f t="shared" ca="1" si="11"/>
        <v>12036.101935781937</v>
      </c>
      <c r="AM10" s="13">
        <f t="shared" ca="1" si="12"/>
        <v>0</v>
      </c>
      <c r="AN10" s="13">
        <f t="shared" ca="1" si="13"/>
        <v>142</v>
      </c>
      <c r="AO10" s="13">
        <f t="shared" ca="1" si="14"/>
        <v>12036.101935781937</v>
      </c>
      <c r="AP10" s="13">
        <f t="shared" ca="1" si="15"/>
        <v>0</v>
      </c>
      <c r="AQ10" s="13">
        <f t="shared" ca="1" si="16"/>
        <v>14286.074425076135</v>
      </c>
      <c r="AR10" s="13">
        <f t="shared" ca="1" si="17"/>
        <v>0</v>
      </c>
      <c r="AS10" s="13">
        <f t="shared" ca="1" si="18"/>
        <v>178</v>
      </c>
      <c r="AT10" s="13">
        <f t="shared" ca="1" si="19"/>
        <v>14286.074425076135</v>
      </c>
      <c r="AU10" s="13">
        <f t="shared" ca="1" si="20"/>
        <v>0</v>
      </c>
      <c r="AV10" s="13">
        <f t="shared" ca="1" si="21"/>
        <v>25914.687275161254</v>
      </c>
      <c r="AW10" s="13">
        <f t="shared" ca="1" si="22"/>
        <v>0</v>
      </c>
      <c r="AX10" s="13">
        <f t="shared" ca="1" si="23"/>
        <v>410</v>
      </c>
      <c r="AY10" s="13">
        <f t="shared" ca="1" si="24"/>
        <v>25914.687275161254</v>
      </c>
      <c r="AZ10" s="13">
        <f t="shared" ca="1" si="25"/>
        <v>0</v>
      </c>
      <c r="BA10" s="13">
        <f t="shared" ca="1" si="26"/>
        <v>0</v>
      </c>
      <c r="BB10" s="13">
        <f t="shared" ca="1" si="27"/>
        <v>0</v>
      </c>
      <c r="BC10" s="13">
        <f t="shared" ca="1" si="28"/>
        <v>0</v>
      </c>
      <c r="BD10" s="13">
        <f t="shared" ca="1" si="29"/>
        <v>0</v>
      </c>
      <c r="BE10" s="13">
        <f t="shared" ca="1" si="30"/>
        <v>0</v>
      </c>
      <c r="BF10" s="13">
        <f t="shared" ca="1" si="31"/>
        <v>0</v>
      </c>
      <c r="BG10" s="13">
        <f t="shared" ca="1" si="32"/>
        <v>0</v>
      </c>
      <c r="BH10" s="13">
        <f t="shared" ca="1" si="33"/>
        <v>0</v>
      </c>
      <c r="BI10" s="13">
        <f t="shared" ca="1" si="34"/>
        <v>0</v>
      </c>
      <c r="BJ10" s="13">
        <f t="shared" ca="1" si="35"/>
        <v>0</v>
      </c>
      <c r="BK10" s="13">
        <f t="shared" ca="1" si="36"/>
        <v>0</v>
      </c>
      <c r="BL10" s="13">
        <f t="shared" ca="1" si="37"/>
        <v>0</v>
      </c>
      <c r="BM10" s="13">
        <f t="shared" ca="1" si="38"/>
        <v>0</v>
      </c>
      <c r="BN10" s="13">
        <f t="shared" ca="1" si="39"/>
        <v>0</v>
      </c>
      <c r="BO10" s="13">
        <f t="shared" ca="1" si="40"/>
        <v>1400</v>
      </c>
      <c r="BP10" s="13">
        <f t="shared" ca="1" si="41"/>
        <v>354.43396231283742</v>
      </c>
      <c r="BQ10" s="13">
        <f t="shared" ca="1" si="42"/>
        <v>64761.275566757729</v>
      </c>
    </row>
    <row r="11" spans="1:69" x14ac:dyDescent="0.25">
      <c r="A11" s="1">
        <v>10</v>
      </c>
      <c r="B11" s="13">
        <f ca="1">IF(A11=1,IF(OR('My Loans'!$O$14="",'My Loans'!$O$14=0),0,INDIRECT("'My Loans'!$D"&amp;'My Loans'!$O$14)),AE10)</f>
        <v>3382.9449194380186</v>
      </c>
      <c r="C11" s="13">
        <f ca="1">IF(OR('My Loans'!$O$14="",'My Loans'!$O$14=0),0,B11*INDIRECT("'My Loans'!$E"&amp;'My Loans'!$O$14)/12)</f>
        <v>12.686043447892571</v>
      </c>
      <c r="D11" s="13">
        <f ca="1">IF(OR('My Loans'!$O$14="",'My Loans'!$O$14=0),0,IF(B11&lt;0.005,0,MIN(INDIRECT("'My Loans'!$F"&amp;'My Loans'!$O$14),B11+C11)))</f>
        <v>95</v>
      </c>
      <c r="E11" s="13">
        <f ca="1">IF(A11=1,IF(OR('My Loans'!$O$15="",'My Loans'!$O$15=0),0,INDIRECT("'My Loans'!$D"&amp;'My Loans'!$O$15)),AJ10)</f>
        <v>9141.4670113003885</v>
      </c>
      <c r="F11" s="13">
        <f ca="1">IF(OR('My Loans'!$O$15="",'My Loans'!$O$15=0),0,E11*INDIRECT("'My Loans'!$E"&amp;'My Loans'!$O$15)/12)</f>
        <v>37.327656962809918</v>
      </c>
      <c r="G11" s="13">
        <f ca="1">IF(OR('My Loans'!$O$15="",'My Loans'!$O$15=0),0,IF(E11&lt;0.005,0,MIN(INDIRECT("'My Loans'!$F"&amp;'My Loans'!$O$15),E11+F11)))</f>
        <v>112</v>
      </c>
      <c r="H11" s="13">
        <f ca="1">IF(A11=1,IF(OR('My Loans'!$O$16="",'My Loans'!$O$16=0),0,INDIRECT("'My Loans'!$D"&amp;'My Loans'!$O$16)),AO10)</f>
        <v>12036.101935781937</v>
      </c>
      <c r="I11" s="13">
        <f ca="1">IF(OR('My Loans'!$O$16="",'My Loans'!$O$16=0),0,H11*INDIRECT("'My Loans'!$E"&amp;'My Loans'!$O$16)/12)</f>
        <v>55.165467205667206</v>
      </c>
      <c r="J11" s="13">
        <f ca="1">IF(OR('My Loans'!$O$16="",'My Loans'!$O$16=0),0,IF(H11&lt;0.005,0,MIN(INDIRECT("'My Loans'!$F"&amp;'My Loans'!$O$16),H11+I11)))</f>
        <v>142</v>
      </c>
      <c r="K11" s="13">
        <f ca="1">IF(A11=1,IF(OR('My Loans'!$O$17="",'My Loans'!$O$17=0),0,INDIRECT("'My Loans'!$D"&amp;'My Loans'!$O$17)),AT10)</f>
        <v>14286.074425076135</v>
      </c>
      <c r="L11" s="13">
        <f ca="1">IF(OR('My Loans'!$O$17="",'My Loans'!$O$17=0),0,K11*INDIRECT("'My Loans'!$E"&amp;'My Loans'!$O$17)/12)</f>
        <v>73.81138452956003</v>
      </c>
      <c r="M11" s="13">
        <f ca="1">IF(OR('My Loans'!$O$17="",'My Loans'!$O$17=0),0,IF(K11&lt;0.005,0,MIN(INDIRECT("'My Loans'!$F"&amp;'My Loans'!$O$17),K11+L11)))</f>
        <v>178</v>
      </c>
      <c r="N11" s="13">
        <f ca="1">IF(A11=1,IF(OR('My Loans'!$O$18="",'My Loans'!$O$18=0),0,INDIRECT("'My Loans'!$D"&amp;'My Loans'!$O$18)),AY10)</f>
        <v>25914.687275161254</v>
      </c>
      <c r="O11" s="13">
        <f ca="1">IF(OR('My Loans'!$O$18="",'My Loans'!$O$18=0),0,N11*INDIRECT("'My Loans'!$E"&amp;'My Loans'!$O$18)/12)</f>
        <v>170.60502456147825</v>
      </c>
      <c r="P11" s="13">
        <f ca="1">IF(OR('My Loans'!$O$18="",'My Loans'!$O$18=0),0,IF(N11&lt;0.005,0,MIN(INDIRECT("'My Loans'!$F"&amp;'My Loans'!$O$18),N11+O11)))</f>
        <v>410</v>
      </c>
      <c r="Q11" s="13">
        <f ca="1">IF(A11=1,IF(OR('My Loans'!$O$19="",'My Loans'!$O$19=0),0,INDIRECT("'My Loans'!$D"&amp;'My Loans'!$O$19)),BD10)</f>
        <v>0</v>
      </c>
      <c r="R11" s="13">
        <f ca="1">IF(OR('My Loans'!$O$19="",'My Loans'!$O$19=0),0,Q11*INDIRECT("'My Loans'!$E"&amp;'My Loans'!$O$19)/12)</f>
        <v>0</v>
      </c>
      <c r="S11" s="13">
        <f ca="1">IF(OR('My Loans'!$O$19="",'My Loans'!$O$19=0),0,IF(Q11&lt;0.005,0,MIN(INDIRECT("'My Loans'!$F"&amp;'My Loans'!$O$19),Q11+R11)))</f>
        <v>0</v>
      </c>
      <c r="T11" s="13">
        <f ca="1">IF(A11=1,IF(OR('My Loans'!$O$20="",'My Loans'!$O$20=0),0,INDIRECT("'My Loans'!$D"&amp;'My Loans'!$O$20)),BI10)</f>
        <v>0</v>
      </c>
      <c r="U11" s="13">
        <f ca="1">IF(OR('My Loans'!$O$20="",'My Loans'!$O$20=0),0,T11*INDIRECT("'My Loans'!$E"&amp;'My Loans'!$O$20)/12)</f>
        <v>0</v>
      </c>
      <c r="V11" s="13">
        <f ca="1">IF(OR('My Loans'!$O$20="",'My Loans'!$O$20=0),0,IF(T11&lt;0.005,0,MIN(INDIRECT("'My Loans'!$F"&amp;'My Loans'!$O$20),T11+U11)))</f>
        <v>0</v>
      </c>
      <c r="W11" s="13">
        <f ca="1">IF(A11=1,IF(OR('My Loans'!$O$21="",'My Loans'!$O$21=0),0,INDIRECT("'My Loans'!$D"&amp;'My Loans'!$O$21)),BN10)</f>
        <v>0</v>
      </c>
      <c r="X11" s="13">
        <f ca="1">IF(OR('My Loans'!$O$21="",'My Loans'!$O$21=0),0,W11*INDIRECT("'My Loans'!$E"&amp;'My Loans'!$O$21)/12)</f>
        <v>0</v>
      </c>
      <c r="Y11" s="13">
        <f ca="1">IF(OR('My Loans'!$O$21="",'My Loans'!$O$21=0),0,IF(W11&lt;0.005,0,MIN(INDIRECT("'My Loans'!$F"&amp;'My Loans'!$O$21),W11+X11)))</f>
        <v>0</v>
      </c>
      <c r="Z11" s="13">
        <f ca="1">'My Loans'!$B$13-(D11+G11+J11+M11+P11+S11+V11+Y11)</f>
        <v>463</v>
      </c>
      <c r="AA11" s="13">
        <f t="shared" ca="1" si="0"/>
        <v>463</v>
      </c>
      <c r="AB11" s="13">
        <f t="shared" ca="1" si="1"/>
        <v>3300.6309628859112</v>
      </c>
      <c r="AC11" s="13">
        <f t="shared" ca="1" si="2"/>
        <v>463</v>
      </c>
      <c r="AD11" s="13">
        <f t="shared" ca="1" si="3"/>
        <v>558</v>
      </c>
      <c r="AE11" s="13">
        <f t="shared" ca="1" si="4"/>
        <v>2837.6309628859112</v>
      </c>
      <c r="AF11" s="13">
        <f t="shared" ca="1" si="5"/>
        <v>0</v>
      </c>
      <c r="AG11" s="13">
        <f t="shared" ca="1" si="6"/>
        <v>9066.7946682631991</v>
      </c>
      <c r="AH11" s="13">
        <f t="shared" ca="1" si="7"/>
        <v>0</v>
      </c>
      <c r="AI11" s="13">
        <f t="shared" ca="1" si="8"/>
        <v>112</v>
      </c>
      <c r="AJ11" s="13">
        <f t="shared" ca="1" si="9"/>
        <v>9066.7946682631991</v>
      </c>
      <c r="AK11" s="13">
        <f t="shared" ca="1" si="10"/>
        <v>0</v>
      </c>
      <c r="AL11" s="13">
        <f t="shared" ca="1" si="11"/>
        <v>11949.267402987603</v>
      </c>
      <c r="AM11" s="13">
        <f t="shared" ca="1" si="12"/>
        <v>0</v>
      </c>
      <c r="AN11" s="13">
        <f t="shared" ca="1" si="13"/>
        <v>142</v>
      </c>
      <c r="AO11" s="13">
        <f t="shared" ca="1" si="14"/>
        <v>11949.267402987603</v>
      </c>
      <c r="AP11" s="13">
        <f t="shared" ca="1" si="15"/>
        <v>0</v>
      </c>
      <c r="AQ11" s="13">
        <f t="shared" ca="1" si="16"/>
        <v>14181.885809605694</v>
      </c>
      <c r="AR11" s="13">
        <f t="shared" ca="1" si="17"/>
        <v>0</v>
      </c>
      <c r="AS11" s="13">
        <f t="shared" ca="1" si="18"/>
        <v>178</v>
      </c>
      <c r="AT11" s="13">
        <f t="shared" ca="1" si="19"/>
        <v>14181.885809605694</v>
      </c>
      <c r="AU11" s="13">
        <f t="shared" ca="1" si="20"/>
        <v>0</v>
      </c>
      <c r="AV11" s="13">
        <f t="shared" ca="1" si="21"/>
        <v>25675.292299722732</v>
      </c>
      <c r="AW11" s="13">
        <f t="shared" ca="1" si="22"/>
        <v>0</v>
      </c>
      <c r="AX11" s="13">
        <f t="shared" ca="1" si="23"/>
        <v>410</v>
      </c>
      <c r="AY11" s="13">
        <f t="shared" ca="1" si="24"/>
        <v>25675.292299722732</v>
      </c>
      <c r="AZ11" s="13">
        <f t="shared" ca="1" si="25"/>
        <v>0</v>
      </c>
      <c r="BA11" s="13">
        <f t="shared" ca="1" si="26"/>
        <v>0</v>
      </c>
      <c r="BB11" s="13">
        <f t="shared" ca="1" si="27"/>
        <v>0</v>
      </c>
      <c r="BC11" s="13">
        <f t="shared" ca="1" si="28"/>
        <v>0</v>
      </c>
      <c r="BD11" s="13">
        <f t="shared" ca="1" si="29"/>
        <v>0</v>
      </c>
      <c r="BE11" s="13">
        <f t="shared" ca="1" si="30"/>
        <v>0</v>
      </c>
      <c r="BF11" s="13">
        <f t="shared" ca="1" si="31"/>
        <v>0</v>
      </c>
      <c r="BG11" s="13">
        <f t="shared" ca="1" si="32"/>
        <v>0</v>
      </c>
      <c r="BH11" s="13">
        <f t="shared" ca="1" si="33"/>
        <v>0</v>
      </c>
      <c r="BI11" s="13">
        <f t="shared" ca="1" si="34"/>
        <v>0</v>
      </c>
      <c r="BJ11" s="13">
        <f t="shared" ca="1" si="35"/>
        <v>0</v>
      </c>
      <c r="BK11" s="13">
        <f t="shared" ca="1" si="36"/>
        <v>0</v>
      </c>
      <c r="BL11" s="13">
        <f t="shared" ca="1" si="37"/>
        <v>0</v>
      </c>
      <c r="BM11" s="13">
        <f t="shared" ca="1" si="38"/>
        <v>0</v>
      </c>
      <c r="BN11" s="13">
        <f t="shared" ca="1" si="39"/>
        <v>0</v>
      </c>
      <c r="BO11" s="13">
        <f t="shared" ca="1" si="40"/>
        <v>1400</v>
      </c>
      <c r="BP11" s="13">
        <f t="shared" ca="1" si="41"/>
        <v>349.59557670740799</v>
      </c>
      <c r="BQ11" s="13">
        <f t="shared" ca="1" si="42"/>
        <v>63710.871143465134</v>
      </c>
    </row>
    <row r="12" spans="1:69" x14ac:dyDescent="0.25">
      <c r="A12" s="1">
        <v>11</v>
      </c>
      <c r="B12" s="13">
        <f ca="1">IF(A12=1,IF(OR('My Loans'!$O$14="",'My Loans'!$O$14=0),0,INDIRECT("'My Loans'!$D"&amp;'My Loans'!$O$14)),AE11)</f>
        <v>2837.6309628859112</v>
      </c>
      <c r="C12" s="13">
        <f ca="1">IF(OR('My Loans'!$O$14="",'My Loans'!$O$14=0),0,B12*INDIRECT("'My Loans'!$E"&amp;'My Loans'!$O$14)/12)</f>
        <v>10.641116110822166</v>
      </c>
      <c r="D12" s="13">
        <f ca="1">IF(OR('My Loans'!$O$14="",'My Loans'!$O$14=0),0,IF(B12&lt;0.005,0,MIN(INDIRECT("'My Loans'!$F"&amp;'My Loans'!$O$14),B12+C12)))</f>
        <v>95</v>
      </c>
      <c r="E12" s="13">
        <f ca="1">IF(A12=1,IF(OR('My Loans'!$O$15="",'My Loans'!$O$15=0),0,INDIRECT("'My Loans'!$D"&amp;'My Loans'!$O$15)),AJ11)</f>
        <v>9066.7946682631991</v>
      </c>
      <c r="F12" s="13">
        <f ca="1">IF(OR('My Loans'!$O$15="",'My Loans'!$O$15=0),0,E12*INDIRECT("'My Loans'!$E"&amp;'My Loans'!$O$15)/12)</f>
        <v>37.02274489540806</v>
      </c>
      <c r="G12" s="13">
        <f ca="1">IF(OR('My Loans'!$O$15="",'My Loans'!$O$15=0),0,IF(E12&lt;0.005,0,MIN(INDIRECT("'My Loans'!$F"&amp;'My Loans'!$O$15),E12+F12)))</f>
        <v>112</v>
      </c>
      <c r="H12" s="13">
        <f ca="1">IF(A12=1,IF(OR('My Loans'!$O$16="",'My Loans'!$O$16=0),0,INDIRECT("'My Loans'!$D"&amp;'My Loans'!$O$16)),AO11)</f>
        <v>11949.267402987603</v>
      </c>
      <c r="I12" s="13">
        <f ca="1">IF(OR('My Loans'!$O$16="",'My Loans'!$O$16=0),0,H12*INDIRECT("'My Loans'!$E"&amp;'My Loans'!$O$16)/12)</f>
        <v>54.767475597026511</v>
      </c>
      <c r="J12" s="13">
        <f ca="1">IF(OR('My Loans'!$O$16="",'My Loans'!$O$16=0),0,IF(H12&lt;0.005,0,MIN(INDIRECT("'My Loans'!$F"&amp;'My Loans'!$O$16),H12+I12)))</f>
        <v>142</v>
      </c>
      <c r="K12" s="13">
        <f ca="1">IF(A12=1,IF(OR('My Loans'!$O$17="",'My Loans'!$O$17=0),0,INDIRECT("'My Loans'!$D"&amp;'My Loans'!$O$17)),AT11)</f>
        <v>14181.885809605694</v>
      </c>
      <c r="L12" s="13">
        <f ca="1">IF(OR('My Loans'!$O$17="",'My Loans'!$O$17=0),0,K12*INDIRECT("'My Loans'!$E"&amp;'My Loans'!$O$17)/12)</f>
        <v>73.273076682962753</v>
      </c>
      <c r="M12" s="13">
        <f ca="1">IF(OR('My Loans'!$O$17="",'My Loans'!$O$17=0),0,IF(K12&lt;0.005,0,MIN(INDIRECT("'My Loans'!$F"&amp;'My Loans'!$O$17),K12+L12)))</f>
        <v>178</v>
      </c>
      <c r="N12" s="13">
        <f ca="1">IF(A12=1,IF(OR('My Loans'!$O$18="",'My Loans'!$O$18=0),0,INDIRECT("'My Loans'!$D"&amp;'My Loans'!$O$18)),AY11)</f>
        <v>25675.292299722732</v>
      </c>
      <c r="O12" s="13">
        <f ca="1">IF(OR('My Loans'!$O$18="",'My Loans'!$O$18=0),0,N12*INDIRECT("'My Loans'!$E"&amp;'My Loans'!$O$18)/12)</f>
        <v>169.02900763984132</v>
      </c>
      <c r="P12" s="13">
        <f ca="1">IF(OR('My Loans'!$O$18="",'My Loans'!$O$18=0),0,IF(N12&lt;0.005,0,MIN(INDIRECT("'My Loans'!$F"&amp;'My Loans'!$O$18),N12+O12)))</f>
        <v>410</v>
      </c>
      <c r="Q12" s="13">
        <f ca="1">IF(A12=1,IF(OR('My Loans'!$O$19="",'My Loans'!$O$19=0),0,INDIRECT("'My Loans'!$D"&amp;'My Loans'!$O$19)),BD11)</f>
        <v>0</v>
      </c>
      <c r="R12" s="13">
        <f ca="1">IF(OR('My Loans'!$O$19="",'My Loans'!$O$19=0),0,Q12*INDIRECT("'My Loans'!$E"&amp;'My Loans'!$O$19)/12)</f>
        <v>0</v>
      </c>
      <c r="S12" s="13">
        <f ca="1">IF(OR('My Loans'!$O$19="",'My Loans'!$O$19=0),0,IF(Q12&lt;0.005,0,MIN(INDIRECT("'My Loans'!$F"&amp;'My Loans'!$O$19),Q12+R12)))</f>
        <v>0</v>
      </c>
      <c r="T12" s="13">
        <f ca="1">IF(A12=1,IF(OR('My Loans'!$O$20="",'My Loans'!$O$20=0),0,INDIRECT("'My Loans'!$D"&amp;'My Loans'!$O$20)),BI11)</f>
        <v>0</v>
      </c>
      <c r="U12" s="13">
        <f ca="1">IF(OR('My Loans'!$O$20="",'My Loans'!$O$20=0),0,T12*INDIRECT("'My Loans'!$E"&amp;'My Loans'!$O$20)/12)</f>
        <v>0</v>
      </c>
      <c r="V12" s="13">
        <f ca="1">IF(OR('My Loans'!$O$20="",'My Loans'!$O$20=0),0,IF(T12&lt;0.005,0,MIN(INDIRECT("'My Loans'!$F"&amp;'My Loans'!$O$20),T12+U12)))</f>
        <v>0</v>
      </c>
      <c r="W12" s="13">
        <f ca="1">IF(A12=1,IF(OR('My Loans'!$O$21="",'My Loans'!$O$21=0),0,INDIRECT("'My Loans'!$D"&amp;'My Loans'!$O$21)),BN11)</f>
        <v>0</v>
      </c>
      <c r="X12" s="13">
        <f ca="1">IF(OR('My Loans'!$O$21="",'My Loans'!$O$21=0),0,W12*INDIRECT("'My Loans'!$E"&amp;'My Loans'!$O$21)/12)</f>
        <v>0</v>
      </c>
      <c r="Y12" s="13">
        <f ca="1">IF(OR('My Loans'!$O$21="",'My Loans'!$O$21=0),0,IF(W12&lt;0.005,0,MIN(INDIRECT("'My Loans'!$F"&amp;'My Loans'!$O$21),W12+X12)))</f>
        <v>0</v>
      </c>
      <c r="Z12" s="13">
        <f ca="1">'My Loans'!$B$13-(D12+G12+J12+M12+P12+S12+V12+Y12)</f>
        <v>463</v>
      </c>
      <c r="AA12" s="13">
        <f t="shared" ca="1" si="0"/>
        <v>463</v>
      </c>
      <c r="AB12" s="13">
        <f t="shared" ca="1" si="1"/>
        <v>2753.2720789967334</v>
      </c>
      <c r="AC12" s="13">
        <f t="shared" ca="1" si="2"/>
        <v>463</v>
      </c>
      <c r="AD12" s="13">
        <f t="shared" ca="1" si="3"/>
        <v>558</v>
      </c>
      <c r="AE12" s="13">
        <f t="shared" ca="1" si="4"/>
        <v>2290.2720789967334</v>
      </c>
      <c r="AF12" s="13">
        <f t="shared" ca="1" si="5"/>
        <v>0</v>
      </c>
      <c r="AG12" s="13">
        <f t="shared" ca="1" si="6"/>
        <v>8991.8174131586075</v>
      </c>
      <c r="AH12" s="13">
        <f t="shared" ca="1" si="7"/>
        <v>0</v>
      </c>
      <c r="AI12" s="13">
        <f t="shared" ca="1" si="8"/>
        <v>112</v>
      </c>
      <c r="AJ12" s="13">
        <f t="shared" ca="1" si="9"/>
        <v>8991.8174131586075</v>
      </c>
      <c r="AK12" s="13">
        <f t="shared" ca="1" si="10"/>
        <v>0</v>
      </c>
      <c r="AL12" s="13">
        <f t="shared" ca="1" si="11"/>
        <v>11862.034878584629</v>
      </c>
      <c r="AM12" s="13">
        <f t="shared" ca="1" si="12"/>
        <v>0</v>
      </c>
      <c r="AN12" s="13">
        <f t="shared" ca="1" si="13"/>
        <v>142</v>
      </c>
      <c r="AO12" s="13">
        <f t="shared" ca="1" si="14"/>
        <v>11862.034878584629</v>
      </c>
      <c r="AP12" s="13">
        <f t="shared" ca="1" si="15"/>
        <v>0</v>
      </c>
      <c r="AQ12" s="13">
        <f t="shared" ca="1" si="16"/>
        <v>14077.158886288657</v>
      </c>
      <c r="AR12" s="13">
        <f t="shared" ca="1" si="17"/>
        <v>0</v>
      </c>
      <c r="AS12" s="13">
        <f t="shared" ca="1" si="18"/>
        <v>178</v>
      </c>
      <c r="AT12" s="13">
        <f t="shared" ca="1" si="19"/>
        <v>14077.158886288657</v>
      </c>
      <c r="AU12" s="13">
        <f t="shared" ca="1" si="20"/>
        <v>0</v>
      </c>
      <c r="AV12" s="13">
        <f t="shared" ca="1" si="21"/>
        <v>25434.321307362574</v>
      </c>
      <c r="AW12" s="13">
        <f t="shared" ca="1" si="22"/>
        <v>0</v>
      </c>
      <c r="AX12" s="13">
        <f t="shared" ca="1" si="23"/>
        <v>410</v>
      </c>
      <c r="AY12" s="13">
        <f t="shared" ca="1" si="24"/>
        <v>25434.321307362574</v>
      </c>
      <c r="AZ12" s="13">
        <f t="shared" ca="1" si="25"/>
        <v>0</v>
      </c>
      <c r="BA12" s="13">
        <f t="shared" ca="1" si="26"/>
        <v>0</v>
      </c>
      <c r="BB12" s="13">
        <f t="shared" ca="1" si="27"/>
        <v>0</v>
      </c>
      <c r="BC12" s="13">
        <f t="shared" ca="1" si="28"/>
        <v>0</v>
      </c>
      <c r="BD12" s="13">
        <f t="shared" ca="1" si="29"/>
        <v>0</v>
      </c>
      <c r="BE12" s="13">
        <f t="shared" ca="1" si="30"/>
        <v>0</v>
      </c>
      <c r="BF12" s="13">
        <f t="shared" ca="1" si="31"/>
        <v>0</v>
      </c>
      <c r="BG12" s="13">
        <f t="shared" ca="1" si="32"/>
        <v>0</v>
      </c>
      <c r="BH12" s="13">
        <f t="shared" ca="1" si="33"/>
        <v>0</v>
      </c>
      <c r="BI12" s="13">
        <f t="shared" ca="1" si="34"/>
        <v>0</v>
      </c>
      <c r="BJ12" s="13">
        <f t="shared" ca="1" si="35"/>
        <v>0</v>
      </c>
      <c r="BK12" s="13">
        <f t="shared" ca="1" si="36"/>
        <v>0</v>
      </c>
      <c r="BL12" s="13">
        <f t="shared" ca="1" si="37"/>
        <v>0</v>
      </c>
      <c r="BM12" s="13">
        <f t="shared" ca="1" si="38"/>
        <v>0</v>
      </c>
      <c r="BN12" s="13">
        <f t="shared" ca="1" si="39"/>
        <v>0</v>
      </c>
      <c r="BO12" s="13">
        <f t="shared" ca="1" si="40"/>
        <v>1400</v>
      </c>
      <c r="BP12" s="13">
        <f t="shared" ca="1" si="41"/>
        <v>344.73342092606083</v>
      </c>
      <c r="BQ12" s="13">
        <f t="shared" ca="1" si="42"/>
        <v>62655.6045643912</v>
      </c>
    </row>
    <row r="13" spans="1:69" x14ac:dyDescent="0.25">
      <c r="A13" s="1">
        <v>12</v>
      </c>
      <c r="B13" s="13">
        <f ca="1">IF(A13=1,IF(OR('My Loans'!$O$14="",'My Loans'!$O$14=0),0,INDIRECT("'My Loans'!$D"&amp;'My Loans'!$O$14)),AE12)</f>
        <v>2290.2720789967334</v>
      </c>
      <c r="C13" s="13">
        <f ca="1">IF(OR('My Loans'!$O$14="",'My Loans'!$O$14=0),0,B13*INDIRECT("'My Loans'!$E"&amp;'My Loans'!$O$14)/12)</f>
        <v>8.5885202962377498</v>
      </c>
      <c r="D13" s="13">
        <f ca="1">IF(OR('My Loans'!$O$14="",'My Loans'!$O$14=0),0,IF(B13&lt;0.005,0,MIN(INDIRECT("'My Loans'!$F"&amp;'My Loans'!$O$14),B13+C13)))</f>
        <v>95</v>
      </c>
      <c r="E13" s="13">
        <f ca="1">IF(A13=1,IF(OR('My Loans'!$O$15="",'My Loans'!$O$15=0),0,INDIRECT("'My Loans'!$D"&amp;'My Loans'!$O$15)),AJ12)</f>
        <v>8991.8174131586075</v>
      </c>
      <c r="F13" s="13">
        <f ca="1">IF(OR('My Loans'!$O$15="",'My Loans'!$O$15=0),0,E13*INDIRECT("'My Loans'!$E"&amp;'My Loans'!$O$15)/12)</f>
        <v>36.716587770397645</v>
      </c>
      <c r="G13" s="13">
        <f ca="1">IF(OR('My Loans'!$O$15="",'My Loans'!$O$15=0),0,IF(E13&lt;0.005,0,MIN(INDIRECT("'My Loans'!$F"&amp;'My Loans'!$O$15),E13+F13)))</f>
        <v>112</v>
      </c>
      <c r="H13" s="13">
        <f ca="1">IF(A13=1,IF(OR('My Loans'!$O$16="",'My Loans'!$O$16=0),0,INDIRECT("'My Loans'!$D"&amp;'My Loans'!$O$16)),AO12)</f>
        <v>11862.034878584629</v>
      </c>
      <c r="I13" s="13">
        <f ca="1">IF(OR('My Loans'!$O$16="",'My Loans'!$O$16=0),0,H13*INDIRECT("'My Loans'!$E"&amp;'My Loans'!$O$16)/12)</f>
        <v>54.36765986017955</v>
      </c>
      <c r="J13" s="13">
        <f ca="1">IF(OR('My Loans'!$O$16="",'My Loans'!$O$16=0),0,IF(H13&lt;0.005,0,MIN(INDIRECT("'My Loans'!$F"&amp;'My Loans'!$O$16),H13+I13)))</f>
        <v>142</v>
      </c>
      <c r="K13" s="13">
        <f ca="1">IF(A13=1,IF(OR('My Loans'!$O$17="",'My Loans'!$O$17=0),0,INDIRECT("'My Loans'!$D"&amp;'My Loans'!$O$17)),AT12)</f>
        <v>14077.158886288657</v>
      </c>
      <c r="L13" s="13">
        <f ca="1">IF(OR('My Loans'!$O$17="",'My Loans'!$O$17=0),0,K13*INDIRECT("'My Loans'!$E"&amp;'My Loans'!$O$17)/12)</f>
        <v>72.731987579158059</v>
      </c>
      <c r="M13" s="13">
        <f ca="1">IF(OR('My Loans'!$O$17="",'My Loans'!$O$17=0),0,IF(K13&lt;0.005,0,MIN(INDIRECT("'My Loans'!$F"&amp;'My Loans'!$O$17),K13+L13)))</f>
        <v>178</v>
      </c>
      <c r="N13" s="13">
        <f ca="1">IF(A13=1,IF(OR('My Loans'!$O$18="",'My Loans'!$O$18=0),0,INDIRECT("'My Loans'!$D"&amp;'My Loans'!$O$18)),AY12)</f>
        <v>25434.321307362574</v>
      </c>
      <c r="O13" s="13">
        <f ca="1">IF(OR('My Loans'!$O$18="",'My Loans'!$O$18=0),0,N13*INDIRECT("'My Loans'!$E"&amp;'My Loans'!$O$18)/12)</f>
        <v>167.4426152734703</v>
      </c>
      <c r="P13" s="13">
        <f ca="1">IF(OR('My Loans'!$O$18="",'My Loans'!$O$18=0),0,IF(N13&lt;0.005,0,MIN(INDIRECT("'My Loans'!$F"&amp;'My Loans'!$O$18),N13+O13)))</f>
        <v>410</v>
      </c>
      <c r="Q13" s="13">
        <f ca="1">IF(A13=1,IF(OR('My Loans'!$O$19="",'My Loans'!$O$19=0),0,INDIRECT("'My Loans'!$D"&amp;'My Loans'!$O$19)),BD12)</f>
        <v>0</v>
      </c>
      <c r="R13" s="13">
        <f ca="1">IF(OR('My Loans'!$O$19="",'My Loans'!$O$19=0),0,Q13*INDIRECT("'My Loans'!$E"&amp;'My Loans'!$O$19)/12)</f>
        <v>0</v>
      </c>
      <c r="S13" s="13">
        <f ca="1">IF(OR('My Loans'!$O$19="",'My Loans'!$O$19=0),0,IF(Q13&lt;0.005,0,MIN(INDIRECT("'My Loans'!$F"&amp;'My Loans'!$O$19),Q13+R13)))</f>
        <v>0</v>
      </c>
      <c r="T13" s="13">
        <f ca="1">IF(A13=1,IF(OR('My Loans'!$O$20="",'My Loans'!$O$20=0),0,INDIRECT("'My Loans'!$D"&amp;'My Loans'!$O$20)),BI12)</f>
        <v>0</v>
      </c>
      <c r="U13" s="13">
        <f ca="1">IF(OR('My Loans'!$O$20="",'My Loans'!$O$20=0),0,T13*INDIRECT("'My Loans'!$E"&amp;'My Loans'!$O$20)/12)</f>
        <v>0</v>
      </c>
      <c r="V13" s="13">
        <f ca="1">IF(OR('My Loans'!$O$20="",'My Loans'!$O$20=0),0,IF(T13&lt;0.005,0,MIN(INDIRECT("'My Loans'!$F"&amp;'My Loans'!$O$20),T13+U13)))</f>
        <v>0</v>
      </c>
      <c r="W13" s="13">
        <f ca="1">IF(A13=1,IF(OR('My Loans'!$O$21="",'My Loans'!$O$21=0),0,INDIRECT("'My Loans'!$D"&amp;'My Loans'!$O$21)),BN12)</f>
        <v>0</v>
      </c>
      <c r="X13" s="13">
        <f ca="1">IF(OR('My Loans'!$O$21="",'My Loans'!$O$21=0),0,W13*INDIRECT("'My Loans'!$E"&amp;'My Loans'!$O$21)/12)</f>
        <v>0</v>
      </c>
      <c r="Y13" s="13">
        <f ca="1">IF(OR('My Loans'!$O$21="",'My Loans'!$O$21=0),0,IF(W13&lt;0.005,0,MIN(INDIRECT("'My Loans'!$F"&amp;'My Loans'!$O$21),W13+X13)))</f>
        <v>0</v>
      </c>
      <c r="Z13" s="13">
        <f ca="1">'My Loans'!$B$13-(D13+G13+J13+M13+P13+S13+V13+Y13)</f>
        <v>463</v>
      </c>
      <c r="AA13" s="13">
        <f t="shared" ca="1" si="0"/>
        <v>463</v>
      </c>
      <c r="AB13" s="13">
        <f t="shared" ca="1" si="1"/>
        <v>2203.8605992929711</v>
      </c>
      <c r="AC13" s="13">
        <f t="shared" ca="1" si="2"/>
        <v>463</v>
      </c>
      <c r="AD13" s="13">
        <f t="shared" ca="1" si="3"/>
        <v>558</v>
      </c>
      <c r="AE13" s="13">
        <f t="shared" ca="1" si="4"/>
        <v>1740.8605992929711</v>
      </c>
      <c r="AF13" s="13">
        <f t="shared" ca="1" si="5"/>
        <v>0</v>
      </c>
      <c r="AG13" s="13">
        <f t="shared" ca="1" si="6"/>
        <v>8916.5340009290048</v>
      </c>
      <c r="AH13" s="13">
        <f t="shared" ca="1" si="7"/>
        <v>0</v>
      </c>
      <c r="AI13" s="13">
        <f t="shared" ca="1" si="8"/>
        <v>112</v>
      </c>
      <c r="AJ13" s="13">
        <f t="shared" ca="1" si="9"/>
        <v>8916.5340009290048</v>
      </c>
      <c r="AK13" s="13">
        <f t="shared" ca="1" si="10"/>
        <v>0</v>
      </c>
      <c r="AL13" s="13">
        <f t="shared" ca="1" si="11"/>
        <v>11774.402538444809</v>
      </c>
      <c r="AM13" s="13">
        <f t="shared" ca="1" si="12"/>
        <v>0</v>
      </c>
      <c r="AN13" s="13">
        <f t="shared" ca="1" si="13"/>
        <v>142</v>
      </c>
      <c r="AO13" s="13">
        <f t="shared" ca="1" si="14"/>
        <v>11774.402538444809</v>
      </c>
      <c r="AP13" s="13">
        <f t="shared" ca="1" si="15"/>
        <v>0</v>
      </c>
      <c r="AQ13" s="13">
        <f t="shared" ca="1" si="16"/>
        <v>13971.890873867815</v>
      </c>
      <c r="AR13" s="13">
        <f t="shared" ca="1" si="17"/>
        <v>0</v>
      </c>
      <c r="AS13" s="13">
        <f t="shared" ca="1" si="18"/>
        <v>178</v>
      </c>
      <c r="AT13" s="13">
        <f t="shared" ca="1" si="19"/>
        <v>13971.890873867815</v>
      </c>
      <c r="AU13" s="13">
        <f t="shared" ca="1" si="20"/>
        <v>0</v>
      </c>
      <c r="AV13" s="13">
        <f t="shared" ca="1" si="21"/>
        <v>25191.763922636044</v>
      </c>
      <c r="AW13" s="13">
        <f t="shared" ca="1" si="22"/>
        <v>0</v>
      </c>
      <c r="AX13" s="13">
        <f t="shared" ca="1" si="23"/>
        <v>410</v>
      </c>
      <c r="AY13" s="13">
        <f t="shared" ca="1" si="24"/>
        <v>25191.763922636044</v>
      </c>
      <c r="AZ13" s="13">
        <f t="shared" ca="1" si="25"/>
        <v>0</v>
      </c>
      <c r="BA13" s="13">
        <f t="shared" ca="1" si="26"/>
        <v>0</v>
      </c>
      <c r="BB13" s="13">
        <f t="shared" ca="1" si="27"/>
        <v>0</v>
      </c>
      <c r="BC13" s="13">
        <f t="shared" ca="1" si="28"/>
        <v>0</v>
      </c>
      <c r="BD13" s="13">
        <f t="shared" ca="1" si="29"/>
        <v>0</v>
      </c>
      <c r="BE13" s="13">
        <f t="shared" ca="1" si="30"/>
        <v>0</v>
      </c>
      <c r="BF13" s="13">
        <f t="shared" ca="1" si="31"/>
        <v>0</v>
      </c>
      <c r="BG13" s="13">
        <f t="shared" ca="1" si="32"/>
        <v>0</v>
      </c>
      <c r="BH13" s="13">
        <f t="shared" ca="1" si="33"/>
        <v>0</v>
      </c>
      <c r="BI13" s="13">
        <f t="shared" ca="1" si="34"/>
        <v>0</v>
      </c>
      <c r="BJ13" s="13">
        <f t="shared" ca="1" si="35"/>
        <v>0</v>
      </c>
      <c r="BK13" s="13">
        <f t="shared" ca="1" si="36"/>
        <v>0</v>
      </c>
      <c r="BL13" s="13">
        <f t="shared" ca="1" si="37"/>
        <v>0</v>
      </c>
      <c r="BM13" s="13">
        <f t="shared" ca="1" si="38"/>
        <v>0</v>
      </c>
      <c r="BN13" s="13">
        <f t="shared" ca="1" si="39"/>
        <v>0</v>
      </c>
      <c r="BO13" s="13">
        <f t="shared" ca="1" si="40"/>
        <v>1400</v>
      </c>
      <c r="BP13" s="13">
        <f t="shared" ca="1" si="41"/>
        <v>339.84737077944328</v>
      </c>
      <c r="BQ13" s="13">
        <f t="shared" ca="1" si="42"/>
        <v>61595.45193517064</v>
      </c>
    </row>
    <row r="14" spans="1:69" x14ac:dyDescent="0.25">
      <c r="A14" s="1">
        <v>13</v>
      </c>
      <c r="B14" s="13">
        <f ca="1">IF(A14=1,IF(OR('My Loans'!$O$14="",'My Loans'!$O$14=0),0,INDIRECT("'My Loans'!$D"&amp;'My Loans'!$O$14)),AE13)</f>
        <v>1740.8605992929711</v>
      </c>
      <c r="C14" s="13">
        <f ca="1">IF(OR('My Loans'!$O$14="",'My Loans'!$O$14=0),0,B14*INDIRECT("'My Loans'!$E"&amp;'My Loans'!$O$14)/12)</f>
        <v>6.5282272473486413</v>
      </c>
      <c r="D14" s="13">
        <f ca="1">IF(OR('My Loans'!$O$14="",'My Loans'!$O$14=0),0,IF(B14&lt;0.005,0,MIN(INDIRECT("'My Loans'!$F"&amp;'My Loans'!$O$14),B14+C14)))</f>
        <v>95</v>
      </c>
      <c r="E14" s="13">
        <f ca="1">IF(A14=1,IF(OR('My Loans'!$O$15="",'My Loans'!$O$15=0),0,INDIRECT("'My Loans'!$D"&amp;'My Loans'!$O$15)),AJ13)</f>
        <v>8916.5340009290048</v>
      </c>
      <c r="F14" s="13">
        <f ca="1">IF(OR('My Loans'!$O$15="",'My Loans'!$O$15=0),0,E14*INDIRECT("'My Loans'!$E"&amp;'My Loans'!$O$15)/12)</f>
        <v>36.409180503793436</v>
      </c>
      <c r="G14" s="13">
        <f ca="1">IF(OR('My Loans'!$O$15="",'My Loans'!$O$15=0),0,IF(E14&lt;0.005,0,MIN(INDIRECT("'My Loans'!$F"&amp;'My Loans'!$O$15),E14+F14)))</f>
        <v>112</v>
      </c>
      <c r="H14" s="13">
        <f ca="1">IF(A14=1,IF(OR('My Loans'!$O$16="",'My Loans'!$O$16=0),0,INDIRECT("'My Loans'!$D"&amp;'My Loans'!$O$16)),AO13)</f>
        <v>11774.402538444809</v>
      </c>
      <c r="I14" s="13">
        <f ca="1">IF(OR('My Loans'!$O$16="",'My Loans'!$O$16=0),0,H14*INDIRECT("'My Loans'!$E"&amp;'My Loans'!$O$16)/12)</f>
        <v>53.96601163453871</v>
      </c>
      <c r="J14" s="13">
        <f ca="1">IF(OR('My Loans'!$O$16="",'My Loans'!$O$16=0),0,IF(H14&lt;0.005,0,MIN(INDIRECT("'My Loans'!$F"&amp;'My Loans'!$O$16),H14+I14)))</f>
        <v>142</v>
      </c>
      <c r="K14" s="13">
        <f ca="1">IF(A14=1,IF(OR('My Loans'!$O$17="",'My Loans'!$O$17=0),0,INDIRECT("'My Loans'!$D"&amp;'My Loans'!$O$17)),AT13)</f>
        <v>13971.890873867815</v>
      </c>
      <c r="L14" s="13">
        <f ca="1">IF(OR('My Loans'!$O$17="",'My Loans'!$O$17=0),0,K14*INDIRECT("'My Loans'!$E"&amp;'My Loans'!$O$17)/12)</f>
        <v>72.188102848317044</v>
      </c>
      <c r="M14" s="13">
        <f ca="1">IF(OR('My Loans'!$O$17="",'My Loans'!$O$17=0),0,IF(K14&lt;0.005,0,MIN(INDIRECT("'My Loans'!$F"&amp;'My Loans'!$O$17),K14+L14)))</f>
        <v>178</v>
      </c>
      <c r="N14" s="13">
        <f ca="1">IF(A14=1,IF(OR('My Loans'!$O$18="",'My Loans'!$O$18=0),0,INDIRECT("'My Loans'!$D"&amp;'My Loans'!$O$18)),AY13)</f>
        <v>25191.763922636044</v>
      </c>
      <c r="O14" s="13">
        <f ca="1">IF(OR('My Loans'!$O$18="",'My Loans'!$O$18=0),0,N14*INDIRECT("'My Loans'!$E"&amp;'My Loans'!$O$18)/12)</f>
        <v>165.84577915735397</v>
      </c>
      <c r="P14" s="13">
        <f ca="1">IF(OR('My Loans'!$O$18="",'My Loans'!$O$18=0),0,IF(N14&lt;0.005,0,MIN(INDIRECT("'My Loans'!$F"&amp;'My Loans'!$O$18),N14+O14)))</f>
        <v>410</v>
      </c>
      <c r="Q14" s="13">
        <f ca="1">IF(A14=1,IF(OR('My Loans'!$O$19="",'My Loans'!$O$19=0),0,INDIRECT("'My Loans'!$D"&amp;'My Loans'!$O$19)),BD13)</f>
        <v>0</v>
      </c>
      <c r="R14" s="13">
        <f ca="1">IF(OR('My Loans'!$O$19="",'My Loans'!$O$19=0),0,Q14*INDIRECT("'My Loans'!$E"&amp;'My Loans'!$O$19)/12)</f>
        <v>0</v>
      </c>
      <c r="S14" s="13">
        <f ca="1">IF(OR('My Loans'!$O$19="",'My Loans'!$O$19=0),0,IF(Q14&lt;0.005,0,MIN(INDIRECT("'My Loans'!$F"&amp;'My Loans'!$O$19),Q14+R14)))</f>
        <v>0</v>
      </c>
      <c r="T14" s="13">
        <f ca="1">IF(A14=1,IF(OR('My Loans'!$O$20="",'My Loans'!$O$20=0),0,INDIRECT("'My Loans'!$D"&amp;'My Loans'!$O$20)),BI13)</f>
        <v>0</v>
      </c>
      <c r="U14" s="13">
        <f ca="1">IF(OR('My Loans'!$O$20="",'My Loans'!$O$20=0),0,T14*INDIRECT("'My Loans'!$E"&amp;'My Loans'!$O$20)/12)</f>
        <v>0</v>
      </c>
      <c r="V14" s="13">
        <f ca="1">IF(OR('My Loans'!$O$20="",'My Loans'!$O$20=0),0,IF(T14&lt;0.005,0,MIN(INDIRECT("'My Loans'!$F"&amp;'My Loans'!$O$20),T14+U14)))</f>
        <v>0</v>
      </c>
      <c r="W14" s="13">
        <f ca="1">IF(A14=1,IF(OR('My Loans'!$O$21="",'My Loans'!$O$21=0),0,INDIRECT("'My Loans'!$D"&amp;'My Loans'!$O$21)),BN13)</f>
        <v>0</v>
      </c>
      <c r="X14" s="13">
        <f ca="1">IF(OR('My Loans'!$O$21="",'My Loans'!$O$21=0),0,W14*INDIRECT("'My Loans'!$E"&amp;'My Loans'!$O$21)/12)</f>
        <v>0</v>
      </c>
      <c r="Y14" s="13">
        <f ca="1">IF(OR('My Loans'!$O$21="",'My Loans'!$O$21=0),0,IF(W14&lt;0.005,0,MIN(INDIRECT("'My Loans'!$F"&amp;'My Loans'!$O$21),W14+X14)))</f>
        <v>0</v>
      </c>
      <c r="Z14" s="13">
        <f ca="1">'My Loans'!$B$13-(D14+G14+J14+M14+P14+S14+V14+Y14)</f>
        <v>463</v>
      </c>
      <c r="AA14" s="13">
        <f t="shared" ca="1" si="0"/>
        <v>463</v>
      </c>
      <c r="AB14" s="13">
        <f t="shared" ca="1" si="1"/>
        <v>1652.3888265403198</v>
      </c>
      <c r="AC14" s="13">
        <f t="shared" ca="1" si="2"/>
        <v>463</v>
      </c>
      <c r="AD14" s="13">
        <f t="shared" ca="1" si="3"/>
        <v>558</v>
      </c>
      <c r="AE14" s="13">
        <f t="shared" ca="1" si="4"/>
        <v>1189.3888265403198</v>
      </c>
      <c r="AF14" s="13">
        <f t="shared" ca="1" si="5"/>
        <v>0</v>
      </c>
      <c r="AG14" s="13">
        <f t="shared" ca="1" si="6"/>
        <v>8840.9431814327982</v>
      </c>
      <c r="AH14" s="13">
        <f t="shared" ca="1" si="7"/>
        <v>0</v>
      </c>
      <c r="AI14" s="13">
        <f t="shared" ca="1" si="8"/>
        <v>112</v>
      </c>
      <c r="AJ14" s="13">
        <f t="shared" ca="1" si="9"/>
        <v>8840.9431814327982</v>
      </c>
      <c r="AK14" s="13">
        <f t="shared" ca="1" si="10"/>
        <v>0</v>
      </c>
      <c r="AL14" s="13">
        <f t="shared" ca="1" si="11"/>
        <v>11686.368550079347</v>
      </c>
      <c r="AM14" s="13">
        <f t="shared" ca="1" si="12"/>
        <v>0</v>
      </c>
      <c r="AN14" s="13">
        <f t="shared" ca="1" si="13"/>
        <v>142</v>
      </c>
      <c r="AO14" s="13">
        <f t="shared" ca="1" si="14"/>
        <v>11686.368550079347</v>
      </c>
      <c r="AP14" s="13">
        <f t="shared" ca="1" si="15"/>
        <v>0</v>
      </c>
      <c r="AQ14" s="13">
        <f t="shared" ca="1" si="16"/>
        <v>13866.078976716131</v>
      </c>
      <c r="AR14" s="13">
        <f t="shared" ca="1" si="17"/>
        <v>0</v>
      </c>
      <c r="AS14" s="13">
        <f t="shared" ca="1" si="18"/>
        <v>178</v>
      </c>
      <c r="AT14" s="13">
        <f t="shared" ca="1" si="19"/>
        <v>13866.078976716131</v>
      </c>
      <c r="AU14" s="13">
        <f t="shared" ca="1" si="20"/>
        <v>0</v>
      </c>
      <c r="AV14" s="13">
        <f t="shared" ca="1" si="21"/>
        <v>24947.609701793397</v>
      </c>
      <c r="AW14" s="13">
        <f t="shared" ca="1" si="22"/>
        <v>0</v>
      </c>
      <c r="AX14" s="13">
        <f t="shared" ca="1" si="23"/>
        <v>410</v>
      </c>
      <c r="AY14" s="13">
        <f t="shared" ca="1" si="24"/>
        <v>24947.609701793397</v>
      </c>
      <c r="AZ14" s="13">
        <f t="shared" ca="1" si="25"/>
        <v>0</v>
      </c>
      <c r="BA14" s="13">
        <f t="shared" ca="1" si="26"/>
        <v>0</v>
      </c>
      <c r="BB14" s="13">
        <f t="shared" ca="1" si="27"/>
        <v>0</v>
      </c>
      <c r="BC14" s="13">
        <f t="shared" ca="1" si="28"/>
        <v>0</v>
      </c>
      <c r="BD14" s="13">
        <f t="shared" ca="1" si="29"/>
        <v>0</v>
      </c>
      <c r="BE14" s="13">
        <f t="shared" ca="1" si="30"/>
        <v>0</v>
      </c>
      <c r="BF14" s="13">
        <f t="shared" ca="1" si="31"/>
        <v>0</v>
      </c>
      <c r="BG14" s="13">
        <f t="shared" ca="1" si="32"/>
        <v>0</v>
      </c>
      <c r="BH14" s="13">
        <f t="shared" ca="1" si="33"/>
        <v>0</v>
      </c>
      <c r="BI14" s="13">
        <f t="shared" ca="1" si="34"/>
        <v>0</v>
      </c>
      <c r="BJ14" s="13">
        <f t="shared" ca="1" si="35"/>
        <v>0</v>
      </c>
      <c r="BK14" s="13">
        <f t="shared" ca="1" si="36"/>
        <v>0</v>
      </c>
      <c r="BL14" s="13">
        <f t="shared" ca="1" si="37"/>
        <v>0</v>
      </c>
      <c r="BM14" s="13">
        <f t="shared" ca="1" si="38"/>
        <v>0</v>
      </c>
      <c r="BN14" s="13">
        <f t="shared" ca="1" si="39"/>
        <v>0</v>
      </c>
      <c r="BO14" s="13">
        <f t="shared" ca="1" si="40"/>
        <v>1400</v>
      </c>
      <c r="BP14" s="13">
        <f t="shared" ca="1" si="41"/>
        <v>334.93730139135181</v>
      </c>
      <c r="BQ14" s="13">
        <f t="shared" ca="1" si="42"/>
        <v>60530.389236561998</v>
      </c>
    </row>
    <row r="15" spans="1:69" x14ac:dyDescent="0.25">
      <c r="A15" s="1">
        <v>14</v>
      </c>
      <c r="B15" s="13">
        <f ca="1">IF(A15=1,IF(OR('My Loans'!$O$14="",'My Loans'!$O$14=0),0,INDIRECT("'My Loans'!$D"&amp;'My Loans'!$O$14)),AE14)</f>
        <v>1189.3888265403198</v>
      </c>
      <c r="C15" s="13">
        <f ca="1">IF(OR('My Loans'!$O$14="",'My Loans'!$O$14=0),0,B15*INDIRECT("'My Loans'!$E"&amp;'My Loans'!$O$14)/12)</f>
        <v>4.4602080995261995</v>
      </c>
      <c r="D15" s="13">
        <f ca="1">IF(OR('My Loans'!$O$14="",'My Loans'!$O$14=0),0,IF(B15&lt;0.005,0,MIN(INDIRECT("'My Loans'!$F"&amp;'My Loans'!$O$14),B15+C15)))</f>
        <v>95</v>
      </c>
      <c r="E15" s="13">
        <f ca="1">IF(A15=1,IF(OR('My Loans'!$O$15="",'My Loans'!$O$15=0),0,INDIRECT("'My Loans'!$D"&amp;'My Loans'!$O$15)),AJ14)</f>
        <v>8840.9431814327982</v>
      </c>
      <c r="F15" s="13">
        <f ca="1">IF(OR('My Loans'!$O$15="",'My Loans'!$O$15=0),0,E15*INDIRECT("'My Loans'!$E"&amp;'My Loans'!$O$15)/12)</f>
        <v>36.100517990850598</v>
      </c>
      <c r="G15" s="13">
        <f ca="1">IF(OR('My Loans'!$O$15="",'My Loans'!$O$15=0),0,IF(E15&lt;0.005,0,MIN(INDIRECT("'My Loans'!$F"&amp;'My Loans'!$O$15),E15+F15)))</f>
        <v>112</v>
      </c>
      <c r="H15" s="13">
        <f ca="1">IF(A15=1,IF(OR('My Loans'!$O$16="",'My Loans'!$O$16=0),0,INDIRECT("'My Loans'!$D"&amp;'My Loans'!$O$16)),AO14)</f>
        <v>11686.368550079347</v>
      </c>
      <c r="I15" s="13">
        <f ca="1">IF(OR('My Loans'!$O$16="",'My Loans'!$O$16=0),0,H15*INDIRECT("'My Loans'!$E"&amp;'My Loans'!$O$16)/12)</f>
        <v>53.562522521197003</v>
      </c>
      <c r="J15" s="13">
        <f ca="1">IF(OR('My Loans'!$O$16="",'My Loans'!$O$16=0),0,IF(H15&lt;0.005,0,MIN(INDIRECT("'My Loans'!$F"&amp;'My Loans'!$O$16),H15+I15)))</f>
        <v>142</v>
      </c>
      <c r="K15" s="13">
        <f ca="1">IF(A15=1,IF(OR('My Loans'!$O$17="",'My Loans'!$O$17=0),0,INDIRECT("'My Loans'!$D"&amp;'My Loans'!$O$17)),AT14)</f>
        <v>13866.078976716131</v>
      </c>
      <c r="L15" s="13">
        <f ca="1">IF(OR('My Loans'!$O$17="",'My Loans'!$O$17=0),0,K15*INDIRECT("'My Loans'!$E"&amp;'My Loans'!$O$17)/12)</f>
        <v>71.641408046366678</v>
      </c>
      <c r="M15" s="13">
        <f ca="1">IF(OR('My Loans'!$O$17="",'My Loans'!$O$17=0),0,IF(K15&lt;0.005,0,MIN(INDIRECT("'My Loans'!$F"&amp;'My Loans'!$O$17),K15+L15)))</f>
        <v>178</v>
      </c>
      <c r="N15" s="13">
        <f ca="1">IF(A15=1,IF(OR('My Loans'!$O$18="",'My Loans'!$O$18=0),0,INDIRECT("'My Loans'!$D"&amp;'My Loans'!$O$18)),AY14)</f>
        <v>24947.609701793397</v>
      </c>
      <c r="O15" s="13">
        <f ca="1">IF(OR('My Loans'!$O$18="",'My Loans'!$O$18=0),0,N15*INDIRECT("'My Loans'!$E"&amp;'My Loans'!$O$18)/12)</f>
        <v>164.23843053680653</v>
      </c>
      <c r="P15" s="13">
        <f ca="1">IF(OR('My Loans'!$O$18="",'My Loans'!$O$18=0),0,IF(N15&lt;0.005,0,MIN(INDIRECT("'My Loans'!$F"&amp;'My Loans'!$O$18),N15+O15)))</f>
        <v>410</v>
      </c>
      <c r="Q15" s="13">
        <f ca="1">IF(A15=1,IF(OR('My Loans'!$O$19="",'My Loans'!$O$19=0),0,INDIRECT("'My Loans'!$D"&amp;'My Loans'!$O$19)),BD14)</f>
        <v>0</v>
      </c>
      <c r="R15" s="13">
        <f ca="1">IF(OR('My Loans'!$O$19="",'My Loans'!$O$19=0),0,Q15*INDIRECT("'My Loans'!$E"&amp;'My Loans'!$O$19)/12)</f>
        <v>0</v>
      </c>
      <c r="S15" s="13">
        <f ca="1">IF(OR('My Loans'!$O$19="",'My Loans'!$O$19=0),0,IF(Q15&lt;0.005,0,MIN(INDIRECT("'My Loans'!$F"&amp;'My Loans'!$O$19),Q15+R15)))</f>
        <v>0</v>
      </c>
      <c r="T15" s="13">
        <f ca="1">IF(A15=1,IF(OR('My Loans'!$O$20="",'My Loans'!$O$20=0),0,INDIRECT("'My Loans'!$D"&amp;'My Loans'!$O$20)),BI14)</f>
        <v>0</v>
      </c>
      <c r="U15" s="13">
        <f ca="1">IF(OR('My Loans'!$O$20="",'My Loans'!$O$20=0),0,T15*INDIRECT("'My Loans'!$E"&amp;'My Loans'!$O$20)/12)</f>
        <v>0</v>
      </c>
      <c r="V15" s="13">
        <f ca="1">IF(OR('My Loans'!$O$20="",'My Loans'!$O$20=0),0,IF(T15&lt;0.005,0,MIN(INDIRECT("'My Loans'!$F"&amp;'My Loans'!$O$20),T15+U15)))</f>
        <v>0</v>
      </c>
      <c r="W15" s="13">
        <f ca="1">IF(A15=1,IF(OR('My Loans'!$O$21="",'My Loans'!$O$21=0),0,INDIRECT("'My Loans'!$D"&amp;'My Loans'!$O$21)),BN14)</f>
        <v>0</v>
      </c>
      <c r="X15" s="13">
        <f ca="1">IF(OR('My Loans'!$O$21="",'My Loans'!$O$21=0),0,W15*INDIRECT("'My Loans'!$E"&amp;'My Loans'!$O$21)/12)</f>
        <v>0</v>
      </c>
      <c r="Y15" s="13">
        <f ca="1">IF(OR('My Loans'!$O$21="",'My Loans'!$O$21=0),0,IF(W15&lt;0.005,0,MIN(INDIRECT("'My Loans'!$F"&amp;'My Loans'!$O$21),W15+X15)))</f>
        <v>0</v>
      </c>
      <c r="Z15" s="13">
        <f ca="1">'My Loans'!$B$13-(D15+G15+J15+M15+P15+S15+V15+Y15)</f>
        <v>463</v>
      </c>
      <c r="AA15" s="13">
        <f t="shared" ca="1" si="0"/>
        <v>463</v>
      </c>
      <c r="AB15" s="13">
        <f t="shared" ca="1" si="1"/>
        <v>1098.849034639846</v>
      </c>
      <c r="AC15" s="13">
        <f t="shared" ca="1" si="2"/>
        <v>463</v>
      </c>
      <c r="AD15" s="13">
        <f t="shared" ca="1" si="3"/>
        <v>558</v>
      </c>
      <c r="AE15" s="13">
        <f t="shared" ca="1" si="4"/>
        <v>635.84903463984597</v>
      </c>
      <c r="AF15" s="13">
        <f t="shared" ca="1" si="5"/>
        <v>0</v>
      </c>
      <c r="AG15" s="13">
        <f t="shared" ca="1" si="6"/>
        <v>8765.0436994236479</v>
      </c>
      <c r="AH15" s="13">
        <f t="shared" ca="1" si="7"/>
        <v>0</v>
      </c>
      <c r="AI15" s="13">
        <f t="shared" ca="1" si="8"/>
        <v>112</v>
      </c>
      <c r="AJ15" s="13">
        <f t="shared" ca="1" si="9"/>
        <v>8765.0436994236479</v>
      </c>
      <c r="AK15" s="13">
        <f t="shared" ca="1" si="10"/>
        <v>0</v>
      </c>
      <c r="AL15" s="13">
        <f t="shared" ca="1" si="11"/>
        <v>11597.931072600544</v>
      </c>
      <c r="AM15" s="13">
        <f t="shared" ca="1" si="12"/>
        <v>0</v>
      </c>
      <c r="AN15" s="13">
        <f t="shared" ca="1" si="13"/>
        <v>142</v>
      </c>
      <c r="AO15" s="13">
        <f t="shared" ca="1" si="14"/>
        <v>11597.931072600544</v>
      </c>
      <c r="AP15" s="13">
        <f t="shared" ca="1" si="15"/>
        <v>0</v>
      </c>
      <c r="AQ15" s="13">
        <f t="shared" ca="1" si="16"/>
        <v>13759.720384762499</v>
      </c>
      <c r="AR15" s="13">
        <f t="shared" ca="1" si="17"/>
        <v>0</v>
      </c>
      <c r="AS15" s="13">
        <f t="shared" ca="1" si="18"/>
        <v>178</v>
      </c>
      <c r="AT15" s="13">
        <f t="shared" ca="1" si="19"/>
        <v>13759.720384762499</v>
      </c>
      <c r="AU15" s="13">
        <f t="shared" ca="1" si="20"/>
        <v>0</v>
      </c>
      <c r="AV15" s="13">
        <f t="shared" ca="1" si="21"/>
        <v>24701.848132330204</v>
      </c>
      <c r="AW15" s="13">
        <f t="shared" ca="1" si="22"/>
        <v>0</v>
      </c>
      <c r="AX15" s="13">
        <f t="shared" ca="1" si="23"/>
        <v>410</v>
      </c>
      <c r="AY15" s="13">
        <f t="shared" ca="1" si="24"/>
        <v>24701.848132330204</v>
      </c>
      <c r="AZ15" s="13">
        <f t="shared" ca="1" si="25"/>
        <v>0</v>
      </c>
      <c r="BA15" s="13">
        <f t="shared" ca="1" si="26"/>
        <v>0</v>
      </c>
      <c r="BB15" s="13">
        <f t="shared" ca="1" si="27"/>
        <v>0</v>
      </c>
      <c r="BC15" s="13">
        <f t="shared" ca="1" si="28"/>
        <v>0</v>
      </c>
      <c r="BD15" s="13">
        <f t="shared" ca="1" si="29"/>
        <v>0</v>
      </c>
      <c r="BE15" s="13">
        <f t="shared" ca="1" si="30"/>
        <v>0</v>
      </c>
      <c r="BF15" s="13">
        <f t="shared" ca="1" si="31"/>
        <v>0</v>
      </c>
      <c r="BG15" s="13">
        <f t="shared" ca="1" si="32"/>
        <v>0</v>
      </c>
      <c r="BH15" s="13">
        <f t="shared" ca="1" si="33"/>
        <v>0</v>
      </c>
      <c r="BI15" s="13">
        <f t="shared" ca="1" si="34"/>
        <v>0</v>
      </c>
      <c r="BJ15" s="13">
        <f t="shared" ca="1" si="35"/>
        <v>0</v>
      </c>
      <c r="BK15" s="13">
        <f t="shared" ca="1" si="36"/>
        <v>0</v>
      </c>
      <c r="BL15" s="13">
        <f t="shared" ca="1" si="37"/>
        <v>0</v>
      </c>
      <c r="BM15" s="13">
        <f t="shared" ca="1" si="38"/>
        <v>0</v>
      </c>
      <c r="BN15" s="13">
        <f t="shared" ca="1" si="39"/>
        <v>0</v>
      </c>
      <c r="BO15" s="13">
        <f t="shared" ca="1" si="40"/>
        <v>1400</v>
      </c>
      <c r="BP15" s="13">
        <f t="shared" ca="1" si="41"/>
        <v>330.00308719474697</v>
      </c>
      <c r="BQ15" s="13">
        <f t="shared" ca="1" si="42"/>
        <v>59460.392323756743</v>
      </c>
    </row>
    <row r="16" spans="1:69" x14ac:dyDescent="0.25">
      <c r="A16" s="1">
        <v>15</v>
      </c>
      <c r="B16" s="13">
        <f ca="1">IF(A16=1,IF(OR('My Loans'!$O$14="",'My Loans'!$O$14=0),0,INDIRECT("'My Loans'!$D"&amp;'My Loans'!$O$14)),AE15)</f>
        <v>635.84903463984597</v>
      </c>
      <c r="C16" s="13">
        <f ca="1">IF(OR('My Loans'!$O$14="",'My Loans'!$O$14=0),0,B16*INDIRECT("'My Loans'!$E"&amp;'My Loans'!$O$14)/12)</f>
        <v>2.3844338798994222</v>
      </c>
      <c r="D16" s="13">
        <f ca="1">IF(OR('My Loans'!$O$14="",'My Loans'!$O$14=0),0,IF(B16&lt;0.005,0,MIN(INDIRECT("'My Loans'!$F"&amp;'My Loans'!$O$14),B16+C16)))</f>
        <v>95</v>
      </c>
      <c r="E16" s="13">
        <f ca="1">IF(A16=1,IF(OR('My Loans'!$O$15="",'My Loans'!$O$15=0),0,INDIRECT("'My Loans'!$D"&amp;'My Loans'!$O$15)),AJ15)</f>
        <v>8765.0436994236479</v>
      </c>
      <c r="F16" s="13">
        <f ca="1">IF(OR('My Loans'!$O$15="",'My Loans'!$O$15=0),0,E16*INDIRECT("'My Loans'!$E"&amp;'My Loans'!$O$15)/12)</f>
        <v>35.790595105979897</v>
      </c>
      <c r="G16" s="13">
        <f ca="1">IF(OR('My Loans'!$O$15="",'My Loans'!$O$15=0),0,IF(E16&lt;0.005,0,MIN(INDIRECT("'My Loans'!$F"&amp;'My Loans'!$O$15),E16+F16)))</f>
        <v>112</v>
      </c>
      <c r="H16" s="13">
        <f ca="1">IF(A16=1,IF(OR('My Loans'!$O$16="",'My Loans'!$O$16=0),0,INDIRECT("'My Loans'!$D"&amp;'My Loans'!$O$16)),AO15)</f>
        <v>11597.931072600544</v>
      </c>
      <c r="I16" s="13">
        <f ca="1">IF(OR('My Loans'!$O$16="",'My Loans'!$O$16=0),0,H16*INDIRECT("'My Loans'!$E"&amp;'My Loans'!$O$16)/12)</f>
        <v>53.157184082752501</v>
      </c>
      <c r="J16" s="13">
        <f ca="1">IF(OR('My Loans'!$O$16="",'My Loans'!$O$16=0),0,IF(H16&lt;0.005,0,MIN(INDIRECT("'My Loans'!$F"&amp;'My Loans'!$O$16),H16+I16)))</f>
        <v>142</v>
      </c>
      <c r="K16" s="13">
        <f ca="1">IF(A16=1,IF(OR('My Loans'!$O$17="",'My Loans'!$O$17=0),0,INDIRECT("'My Loans'!$D"&amp;'My Loans'!$O$17)),AT15)</f>
        <v>13759.720384762499</v>
      </c>
      <c r="L16" s="13">
        <f ca="1">IF(OR('My Loans'!$O$17="",'My Loans'!$O$17=0),0,K16*INDIRECT("'My Loans'!$E"&amp;'My Loans'!$O$17)/12)</f>
        <v>71.091888654606251</v>
      </c>
      <c r="M16" s="13">
        <f ca="1">IF(OR('My Loans'!$O$17="",'My Loans'!$O$17=0),0,IF(K16&lt;0.005,0,MIN(INDIRECT("'My Loans'!$F"&amp;'My Loans'!$O$17),K16+L16)))</f>
        <v>178</v>
      </c>
      <c r="N16" s="13">
        <f ca="1">IF(A16=1,IF(OR('My Loans'!$O$18="",'My Loans'!$O$18=0),0,INDIRECT("'My Loans'!$D"&amp;'My Loans'!$O$18)),AY15)</f>
        <v>24701.848132330204</v>
      </c>
      <c r="O16" s="13">
        <f ca="1">IF(OR('My Loans'!$O$18="",'My Loans'!$O$18=0),0,N16*INDIRECT("'My Loans'!$E"&amp;'My Loans'!$O$18)/12)</f>
        <v>162.62050020450718</v>
      </c>
      <c r="P16" s="13">
        <f ca="1">IF(OR('My Loans'!$O$18="",'My Loans'!$O$18=0),0,IF(N16&lt;0.005,0,MIN(INDIRECT("'My Loans'!$F"&amp;'My Loans'!$O$18),N16+O16)))</f>
        <v>410</v>
      </c>
      <c r="Q16" s="13">
        <f ca="1">IF(A16=1,IF(OR('My Loans'!$O$19="",'My Loans'!$O$19=0),0,INDIRECT("'My Loans'!$D"&amp;'My Loans'!$O$19)),BD15)</f>
        <v>0</v>
      </c>
      <c r="R16" s="13">
        <f ca="1">IF(OR('My Loans'!$O$19="",'My Loans'!$O$19=0),0,Q16*INDIRECT("'My Loans'!$E"&amp;'My Loans'!$O$19)/12)</f>
        <v>0</v>
      </c>
      <c r="S16" s="13">
        <f ca="1">IF(OR('My Loans'!$O$19="",'My Loans'!$O$19=0),0,IF(Q16&lt;0.005,0,MIN(INDIRECT("'My Loans'!$F"&amp;'My Loans'!$O$19),Q16+R16)))</f>
        <v>0</v>
      </c>
      <c r="T16" s="13">
        <f ca="1">IF(A16=1,IF(OR('My Loans'!$O$20="",'My Loans'!$O$20=0),0,INDIRECT("'My Loans'!$D"&amp;'My Loans'!$O$20)),BI15)</f>
        <v>0</v>
      </c>
      <c r="U16" s="13">
        <f ca="1">IF(OR('My Loans'!$O$20="",'My Loans'!$O$20=0),0,T16*INDIRECT("'My Loans'!$E"&amp;'My Loans'!$O$20)/12)</f>
        <v>0</v>
      </c>
      <c r="V16" s="13">
        <f ca="1">IF(OR('My Loans'!$O$20="",'My Loans'!$O$20=0),0,IF(T16&lt;0.005,0,MIN(INDIRECT("'My Loans'!$F"&amp;'My Loans'!$O$20),T16+U16)))</f>
        <v>0</v>
      </c>
      <c r="W16" s="13">
        <f ca="1">IF(A16=1,IF(OR('My Loans'!$O$21="",'My Loans'!$O$21=0),0,INDIRECT("'My Loans'!$D"&amp;'My Loans'!$O$21)),BN15)</f>
        <v>0</v>
      </c>
      <c r="X16" s="13">
        <f ca="1">IF(OR('My Loans'!$O$21="",'My Loans'!$O$21=0),0,W16*INDIRECT("'My Loans'!$E"&amp;'My Loans'!$O$21)/12)</f>
        <v>0</v>
      </c>
      <c r="Y16" s="13">
        <f ca="1">IF(OR('My Loans'!$O$21="",'My Loans'!$O$21=0),0,IF(W16&lt;0.005,0,MIN(INDIRECT("'My Loans'!$F"&amp;'My Loans'!$O$21),W16+X16)))</f>
        <v>0</v>
      </c>
      <c r="Z16" s="13">
        <f ca="1">'My Loans'!$B$13-(D16+G16+J16+M16+P16+S16+V16+Y16)</f>
        <v>463</v>
      </c>
      <c r="AA16" s="13">
        <f t="shared" ca="1" si="0"/>
        <v>463</v>
      </c>
      <c r="AB16" s="13">
        <f t="shared" ca="1" si="1"/>
        <v>543.23346851974543</v>
      </c>
      <c r="AC16" s="13">
        <f t="shared" ca="1" si="2"/>
        <v>463</v>
      </c>
      <c r="AD16" s="13">
        <f t="shared" ca="1" si="3"/>
        <v>558</v>
      </c>
      <c r="AE16" s="13">
        <f t="shared" ca="1" si="4"/>
        <v>80.233468519745429</v>
      </c>
      <c r="AF16" s="13">
        <f t="shared" ca="1" si="5"/>
        <v>0</v>
      </c>
      <c r="AG16" s="13">
        <f t="shared" ca="1" si="6"/>
        <v>8688.8342945296281</v>
      </c>
      <c r="AH16" s="13">
        <f t="shared" ca="1" si="7"/>
        <v>0</v>
      </c>
      <c r="AI16" s="13">
        <f t="shared" ca="1" si="8"/>
        <v>112</v>
      </c>
      <c r="AJ16" s="13">
        <f t="shared" ca="1" si="9"/>
        <v>8688.8342945296281</v>
      </c>
      <c r="AK16" s="13">
        <f t="shared" ca="1" si="10"/>
        <v>0</v>
      </c>
      <c r="AL16" s="13">
        <f t="shared" ca="1" si="11"/>
        <v>11509.088256683297</v>
      </c>
      <c r="AM16" s="13">
        <f t="shared" ca="1" si="12"/>
        <v>0</v>
      </c>
      <c r="AN16" s="13">
        <f t="shared" ca="1" si="13"/>
        <v>142</v>
      </c>
      <c r="AO16" s="13">
        <f t="shared" ca="1" si="14"/>
        <v>11509.088256683297</v>
      </c>
      <c r="AP16" s="13">
        <f t="shared" ca="1" si="15"/>
        <v>0</v>
      </c>
      <c r="AQ16" s="13">
        <f t="shared" ca="1" si="16"/>
        <v>13652.812273417105</v>
      </c>
      <c r="AR16" s="13">
        <f t="shared" ca="1" si="17"/>
        <v>0</v>
      </c>
      <c r="AS16" s="13">
        <f t="shared" ca="1" si="18"/>
        <v>178</v>
      </c>
      <c r="AT16" s="13">
        <f t="shared" ca="1" si="19"/>
        <v>13652.812273417105</v>
      </c>
      <c r="AU16" s="13">
        <f t="shared" ca="1" si="20"/>
        <v>0</v>
      </c>
      <c r="AV16" s="13">
        <f t="shared" ca="1" si="21"/>
        <v>24454.46863253471</v>
      </c>
      <c r="AW16" s="13">
        <f t="shared" ca="1" si="22"/>
        <v>0</v>
      </c>
      <c r="AX16" s="13">
        <f t="shared" ca="1" si="23"/>
        <v>410</v>
      </c>
      <c r="AY16" s="13">
        <f t="shared" ca="1" si="24"/>
        <v>24454.46863253471</v>
      </c>
      <c r="AZ16" s="13">
        <f t="shared" ca="1" si="25"/>
        <v>0</v>
      </c>
      <c r="BA16" s="13">
        <f t="shared" ca="1" si="26"/>
        <v>0</v>
      </c>
      <c r="BB16" s="13">
        <f t="shared" ca="1" si="27"/>
        <v>0</v>
      </c>
      <c r="BC16" s="13">
        <f t="shared" ca="1" si="28"/>
        <v>0</v>
      </c>
      <c r="BD16" s="13">
        <f t="shared" ca="1" si="29"/>
        <v>0</v>
      </c>
      <c r="BE16" s="13">
        <f t="shared" ca="1" si="30"/>
        <v>0</v>
      </c>
      <c r="BF16" s="13">
        <f t="shared" ca="1" si="31"/>
        <v>0</v>
      </c>
      <c r="BG16" s="13">
        <f t="shared" ca="1" si="32"/>
        <v>0</v>
      </c>
      <c r="BH16" s="13">
        <f t="shared" ca="1" si="33"/>
        <v>0</v>
      </c>
      <c r="BI16" s="13">
        <f t="shared" ca="1" si="34"/>
        <v>0</v>
      </c>
      <c r="BJ16" s="13">
        <f t="shared" ca="1" si="35"/>
        <v>0</v>
      </c>
      <c r="BK16" s="13">
        <f t="shared" ca="1" si="36"/>
        <v>0</v>
      </c>
      <c r="BL16" s="13">
        <f t="shared" ca="1" si="37"/>
        <v>0</v>
      </c>
      <c r="BM16" s="13">
        <f t="shared" ca="1" si="38"/>
        <v>0</v>
      </c>
      <c r="BN16" s="13">
        <f t="shared" ca="1" si="39"/>
        <v>0</v>
      </c>
      <c r="BO16" s="13">
        <f t="shared" ca="1" si="40"/>
        <v>1400</v>
      </c>
      <c r="BP16" s="13">
        <f t="shared" ca="1" si="41"/>
        <v>325.04460192774525</v>
      </c>
      <c r="BQ16" s="13">
        <f t="shared" ca="1" si="42"/>
        <v>58385.43692568448</v>
      </c>
    </row>
    <row r="17" spans="1:69" x14ac:dyDescent="0.25">
      <c r="A17" s="1">
        <v>16</v>
      </c>
      <c r="B17" s="13">
        <f ca="1">IF(A17=1,IF(OR('My Loans'!$O$14="",'My Loans'!$O$14=0),0,INDIRECT("'My Loans'!$D"&amp;'My Loans'!$O$14)),AE16)</f>
        <v>80.233468519745429</v>
      </c>
      <c r="C17" s="13">
        <f ca="1">IF(OR('My Loans'!$O$14="",'My Loans'!$O$14=0),0,B17*INDIRECT("'My Loans'!$E"&amp;'My Loans'!$O$14)/12)</f>
        <v>0.30087550694904536</v>
      </c>
      <c r="D17" s="13">
        <f ca="1">IF(OR('My Loans'!$O$14="",'My Loans'!$O$14=0),0,IF(B17&lt;0.005,0,MIN(INDIRECT("'My Loans'!$F"&amp;'My Loans'!$O$14),B17+C17)))</f>
        <v>80.53434402669447</v>
      </c>
      <c r="E17" s="13">
        <f ca="1">IF(A17=1,IF(OR('My Loans'!$O$15="",'My Loans'!$O$15=0),0,INDIRECT("'My Loans'!$D"&amp;'My Loans'!$O$15)),AJ16)</f>
        <v>8688.8342945296281</v>
      </c>
      <c r="F17" s="13">
        <f ca="1">IF(OR('My Loans'!$O$15="",'My Loans'!$O$15=0),0,E17*INDIRECT("'My Loans'!$E"&amp;'My Loans'!$O$15)/12)</f>
        <v>35.479406702662651</v>
      </c>
      <c r="G17" s="13">
        <f ca="1">IF(OR('My Loans'!$O$15="",'My Loans'!$O$15=0),0,IF(E17&lt;0.005,0,MIN(INDIRECT("'My Loans'!$F"&amp;'My Loans'!$O$15),E17+F17)))</f>
        <v>112</v>
      </c>
      <c r="H17" s="13">
        <f ca="1">IF(A17=1,IF(OR('My Loans'!$O$16="",'My Loans'!$O$16=0),0,INDIRECT("'My Loans'!$D"&amp;'My Loans'!$O$16)),AO16)</f>
        <v>11509.088256683297</v>
      </c>
      <c r="I17" s="13">
        <f ca="1">IF(OR('My Loans'!$O$16="",'My Loans'!$O$16=0),0,H17*INDIRECT("'My Loans'!$E"&amp;'My Loans'!$O$16)/12)</f>
        <v>52.749987843131777</v>
      </c>
      <c r="J17" s="13">
        <f ca="1">IF(OR('My Loans'!$O$16="",'My Loans'!$O$16=0),0,IF(H17&lt;0.005,0,MIN(INDIRECT("'My Loans'!$F"&amp;'My Loans'!$O$16),H17+I17)))</f>
        <v>142</v>
      </c>
      <c r="K17" s="13">
        <f ca="1">IF(A17=1,IF(OR('My Loans'!$O$17="",'My Loans'!$O$17=0),0,INDIRECT("'My Loans'!$D"&amp;'My Loans'!$O$17)),AT16)</f>
        <v>13652.812273417105</v>
      </c>
      <c r="L17" s="13">
        <f ca="1">IF(OR('My Loans'!$O$17="",'My Loans'!$O$17=0),0,K17*INDIRECT("'My Loans'!$E"&amp;'My Loans'!$O$17)/12)</f>
        <v>70.539530079321707</v>
      </c>
      <c r="M17" s="13">
        <f ca="1">IF(OR('My Loans'!$O$17="",'My Loans'!$O$17=0),0,IF(K17&lt;0.005,0,MIN(INDIRECT("'My Loans'!$F"&amp;'My Loans'!$O$17),K17+L17)))</f>
        <v>178</v>
      </c>
      <c r="N17" s="13">
        <f ca="1">IF(A17=1,IF(OR('My Loans'!$O$18="",'My Loans'!$O$18=0),0,INDIRECT("'My Loans'!$D"&amp;'My Loans'!$O$18)),AY16)</f>
        <v>24454.46863253471</v>
      </c>
      <c r="O17" s="13">
        <f ca="1">IF(OR('My Loans'!$O$18="",'My Loans'!$O$18=0),0,N17*INDIRECT("'My Loans'!$E"&amp;'My Loans'!$O$18)/12)</f>
        <v>160.99191849752017</v>
      </c>
      <c r="P17" s="13">
        <f ca="1">IF(OR('My Loans'!$O$18="",'My Loans'!$O$18=0),0,IF(N17&lt;0.005,0,MIN(INDIRECT("'My Loans'!$F"&amp;'My Loans'!$O$18),N17+O17)))</f>
        <v>410</v>
      </c>
      <c r="Q17" s="13">
        <f ca="1">IF(A17=1,IF(OR('My Loans'!$O$19="",'My Loans'!$O$19=0),0,INDIRECT("'My Loans'!$D"&amp;'My Loans'!$O$19)),BD16)</f>
        <v>0</v>
      </c>
      <c r="R17" s="13">
        <f ca="1">IF(OR('My Loans'!$O$19="",'My Loans'!$O$19=0),0,Q17*INDIRECT("'My Loans'!$E"&amp;'My Loans'!$O$19)/12)</f>
        <v>0</v>
      </c>
      <c r="S17" s="13">
        <f ca="1">IF(OR('My Loans'!$O$19="",'My Loans'!$O$19=0),0,IF(Q17&lt;0.005,0,MIN(INDIRECT("'My Loans'!$F"&amp;'My Loans'!$O$19),Q17+R17)))</f>
        <v>0</v>
      </c>
      <c r="T17" s="13">
        <f ca="1">IF(A17=1,IF(OR('My Loans'!$O$20="",'My Loans'!$O$20=0),0,INDIRECT("'My Loans'!$D"&amp;'My Loans'!$O$20)),BI16)</f>
        <v>0</v>
      </c>
      <c r="U17" s="13">
        <f ca="1">IF(OR('My Loans'!$O$20="",'My Loans'!$O$20=0),0,T17*INDIRECT("'My Loans'!$E"&amp;'My Loans'!$O$20)/12)</f>
        <v>0</v>
      </c>
      <c r="V17" s="13">
        <f ca="1">IF(OR('My Loans'!$O$20="",'My Loans'!$O$20=0),0,IF(T17&lt;0.005,0,MIN(INDIRECT("'My Loans'!$F"&amp;'My Loans'!$O$20),T17+U17)))</f>
        <v>0</v>
      </c>
      <c r="W17" s="13">
        <f ca="1">IF(A17=1,IF(OR('My Loans'!$O$21="",'My Loans'!$O$21=0),0,INDIRECT("'My Loans'!$D"&amp;'My Loans'!$O$21)),BN16)</f>
        <v>0</v>
      </c>
      <c r="X17" s="13">
        <f ca="1">IF(OR('My Loans'!$O$21="",'My Loans'!$O$21=0),0,W17*INDIRECT("'My Loans'!$E"&amp;'My Loans'!$O$21)/12)</f>
        <v>0</v>
      </c>
      <c r="Y17" s="13">
        <f ca="1">IF(OR('My Loans'!$O$21="",'My Loans'!$O$21=0),0,IF(W17&lt;0.005,0,MIN(INDIRECT("'My Loans'!$F"&amp;'My Loans'!$O$21),W17+X17)))</f>
        <v>0</v>
      </c>
      <c r="Z17" s="13">
        <f ca="1">'My Loans'!$B$13-(D17+G17+J17+M17+P17+S17+V17+Y17)</f>
        <v>477.4656559733055</v>
      </c>
      <c r="AA17" s="13">
        <f t="shared" ca="1" si="0"/>
        <v>477.4656559733055</v>
      </c>
      <c r="AB17" s="13">
        <f t="shared" ca="1" si="1"/>
        <v>0</v>
      </c>
      <c r="AC17" s="13">
        <f t="shared" ca="1" si="2"/>
        <v>0</v>
      </c>
      <c r="AD17" s="13">
        <f t="shared" ca="1" si="3"/>
        <v>80.53434402669447</v>
      </c>
      <c r="AE17" s="13">
        <f t="shared" ca="1" si="4"/>
        <v>0</v>
      </c>
      <c r="AF17" s="13">
        <f t="shared" ca="1" si="5"/>
        <v>477.4656559733055</v>
      </c>
      <c r="AG17" s="13">
        <f t="shared" ca="1" si="6"/>
        <v>8612.3137012322914</v>
      </c>
      <c r="AH17" s="13">
        <f t="shared" ca="1" si="7"/>
        <v>477.4656559733055</v>
      </c>
      <c r="AI17" s="13">
        <f t="shared" ca="1" si="8"/>
        <v>589.4656559733055</v>
      </c>
      <c r="AJ17" s="13">
        <f t="shared" ca="1" si="9"/>
        <v>8134.8480452589856</v>
      </c>
      <c r="AK17" s="13">
        <f t="shared" ca="1" si="10"/>
        <v>0</v>
      </c>
      <c r="AL17" s="13">
        <f t="shared" ca="1" si="11"/>
        <v>11419.838244526429</v>
      </c>
      <c r="AM17" s="13">
        <f t="shared" ca="1" si="12"/>
        <v>0</v>
      </c>
      <c r="AN17" s="13">
        <f t="shared" ca="1" si="13"/>
        <v>142</v>
      </c>
      <c r="AO17" s="13">
        <f t="shared" ca="1" si="14"/>
        <v>11419.838244526429</v>
      </c>
      <c r="AP17" s="13">
        <f t="shared" ca="1" si="15"/>
        <v>0</v>
      </c>
      <c r="AQ17" s="13">
        <f t="shared" ca="1" si="16"/>
        <v>13545.351803496427</v>
      </c>
      <c r="AR17" s="13">
        <f t="shared" ca="1" si="17"/>
        <v>0</v>
      </c>
      <c r="AS17" s="13">
        <f t="shared" ca="1" si="18"/>
        <v>178</v>
      </c>
      <c r="AT17" s="13">
        <f t="shared" ca="1" si="19"/>
        <v>13545.351803496427</v>
      </c>
      <c r="AU17" s="13">
        <f t="shared" ca="1" si="20"/>
        <v>0</v>
      </c>
      <c r="AV17" s="13">
        <f t="shared" ca="1" si="21"/>
        <v>24205.460551032229</v>
      </c>
      <c r="AW17" s="13">
        <f t="shared" ca="1" si="22"/>
        <v>0</v>
      </c>
      <c r="AX17" s="13">
        <f t="shared" ca="1" si="23"/>
        <v>410</v>
      </c>
      <c r="AY17" s="13">
        <f t="shared" ca="1" si="24"/>
        <v>24205.460551032229</v>
      </c>
      <c r="AZ17" s="13">
        <f t="shared" ca="1" si="25"/>
        <v>0</v>
      </c>
      <c r="BA17" s="13">
        <f t="shared" ca="1" si="26"/>
        <v>0</v>
      </c>
      <c r="BB17" s="13">
        <f t="shared" ca="1" si="27"/>
        <v>0</v>
      </c>
      <c r="BC17" s="13">
        <f t="shared" ca="1" si="28"/>
        <v>0</v>
      </c>
      <c r="BD17" s="13">
        <f t="shared" ca="1" si="29"/>
        <v>0</v>
      </c>
      <c r="BE17" s="13">
        <f t="shared" ca="1" si="30"/>
        <v>0</v>
      </c>
      <c r="BF17" s="13">
        <f t="shared" ca="1" si="31"/>
        <v>0</v>
      </c>
      <c r="BG17" s="13">
        <f t="shared" ca="1" si="32"/>
        <v>0</v>
      </c>
      <c r="BH17" s="13">
        <f t="shared" ca="1" si="33"/>
        <v>0</v>
      </c>
      <c r="BI17" s="13">
        <f t="shared" ca="1" si="34"/>
        <v>0</v>
      </c>
      <c r="BJ17" s="13">
        <f t="shared" ca="1" si="35"/>
        <v>0</v>
      </c>
      <c r="BK17" s="13">
        <f t="shared" ca="1" si="36"/>
        <v>0</v>
      </c>
      <c r="BL17" s="13">
        <f t="shared" ca="1" si="37"/>
        <v>0</v>
      </c>
      <c r="BM17" s="13">
        <f t="shared" ca="1" si="38"/>
        <v>0</v>
      </c>
      <c r="BN17" s="13">
        <f t="shared" ca="1" si="39"/>
        <v>0</v>
      </c>
      <c r="BO17" s="13">
        <f t="shared" ca="1" si="40"/>
        <v>1400</v>
      </c>
      <c r="BP17" s="13">
        <f t="shared" ca="1" si="41"/>
        <v>320.06171862958536</v>
      </c>
      <c r="BQ17" s="13">
        <f t="shared" ca="1" si="42"/>
        <v>57305.498644314073</v>
      </c>
    </row>
    <row r="18" spans="1:69" x14ac:dyDescent="0.25">
      <c r="A18" s="1">
        <v>17</v>
      </c>
      <c r="B18" s="13">
        <f ca="1">IF(A18=1,IF(OR('My Loans'!$O$14="",'My Loans'!$O$14=0),0,INDIRECT("'My Loans'!$D"&amp;'My Loans'!$O$14)),AE17)</f>
        <v>0</v>
      </c>
      <c r="C18" s="13">
        <f ca="1">IF(OR('My Loans'!$O$14="",'My Loans'!$O$14=0),0,B18*INDIRECT("'My Loans'!$E"&amp;'My Loans'!$O$14)/12)</f>
        <v>0</v>
      </c>
      <c r="D18" s="13">
        <f ca="1">IF(OR('My Loans'!$O$14="",'My Loans'!$O$14=0),0,IF(B18&lt;0.005,0,MIN(INDIRECT("'My Loans'!$F"&amp;'My Loans'!$O$14),B18+C18)))</f>
        <v>0</v>
      </c>
      <c r="E18" s="13">
        <f ca="1">IF(A18=1,IF(OR('My Loans'!$O$15="",'My Loans'!$O$15=0),0,INDIRECT("'My Loans'!$D"&amp;'My Loans'!$O$15)),AJ17)</f>
        <v>8134.8480452589856</v>
      </c>
      <c r="F18" s="13">
        <f ca="1">IF(OR('My Loans'!$O$15="",'My Loans'!$O$15=0),0,E18*INDIRECT("'My Loans'!$E"&amp;'My Loans'!$O$15)/12)</f>
        <v>33.21729618480753</v>
      </c>
      <c r="G18" s="13">
        <f ca="1">IF(OR('My Loans'!$O$15="",'My Loans'!$O$15=0),0,IF(E18&lt;0.005,0,MIN(INDIRECT("'My Loans'!$F"&amp;'My Loans'!$O$15),E18+F18)))</f>
        <v>112</v>
      </c>
      <c r="H18" s="13">
        <f ca="1">IF(A18=1,IF(OR('My Loans'!$O$16="",'My Loans'!$O$16=0),0,INDIRECT("'My Loans'!$D"&amp;'My Loans'!$O$16)),AO17)</f>
        <v>11419.838244526429</v>
      </c>
      <c r="I18" s="13">
        <f ca="1">IF(OR('My Loans'!$O$16="",'My Loans'!$O$16=0),0,H18*INDIRECT("'My Loans'!$E"&amp;'My Loans'!$O$16)/12)</f>
        <v>52.340925287412801</v>
      </c>
      <c r="J18" s="13">
        <f ca="1">IF(OR('My Loans'!$O$16="",'My Loans'!$O$16=0),0,IF(H18&lt;0.005,0,MIN(INDIRECT("'My Loans'!$F"&amp;'My Loans'!$O$16),H18+I18)))</f>
        <v>142</v>
      </c>
      <c r="K18" s="13">
        <f ca="1">IF(A18=1,IF(OR('My Loans'!$O$17="",'My Loans'!$O$17=0),0,INDIRECT("'My Loans'!$D"&amp;'My Loans'!$O$17)),AT17)</f>
        <v>13545.351803496427</v>
      </c>
      <c r="L18" s="13">
        <f ca="1">IF(OR('My Loans'!$O$17="",'My Loans'!$O$17=0),0,K18*INDIRECT("'My Loans'!$E"&amp;'My Loans'!$O$17)/12)</f>
        <v>69.9843176513982</v>
      </c>
      <c r="M18" s="13">
        <f ca="1">IF(OR('My Loans'!$O$17="",'My Loans'!$O$17=0),0,IF(K18&lt;0.005,0,MIN(INDIRECT("'My Loans'!$F"&amp;'My Loans'!$O$17),K18+L18)))</f>
        <v>178</v>
      </c>
      <c r="N18" s="13">
        <f ca="1">IF(A18=1,IF(OR('My Loans'!$O$18="",'My Loans'!$O$18=0),0,INDIRECT("'My Loans'!$D"&amp;'My Loans'!$O$18)),AY17)</f>
        <v>24205.460551032229</v>
      </c>
      <c r="O18" s="13">
        <f ca="1">IF(OR('My Loans'!$O$18="",'My Loans'!$O$18=0),0,N18*INDIRECT("'My Loans'!$E"&amp;'My Loans'!$O$18)/12)</f>
        <v>159.3526152942955</v>
      </c>
      <c r="P18" s="13">
        <f ca="1">IF(OR('My Loans'!$O$18="",'My Loans'!$O$18=0),0,IF(N18&lt;0.005,0,MIN(INDIRECT("'My Loans'!$F"&amp;'My Loans'!$O$18),N18+O18)))</f>
        <v>410</v>
      </c>
      <c r="Q18" s="13">
        <f ca="1">IF(A18=1,IF(OR('My Loans'!$O$19="",'My Loans'!$O$19=0),0,INDIRECT("'My Loans'!$D"&amp;'My Loans'!$O$19)),BD17)</f>
        <v>0</v>
      </c>
      <c r="R18" s="13">
        <f ca="1">IF(OR('My Loans'!$O$19="",'My Loans'!$O$19=0),0,Q18*INDIRECT("'My Loans'!$E"&amp;'My Loans'!$O$19)/12)</f>
        <v>0</v>
      </c>
      <c r="S18" s="13">
        <f ca="1">IF(OR('My Loans'!$O$19="",'My Loans'!$O$19=0),0,IF(Q18&lt;0.005,0,MIN(INDIRECT("'My Loans'!$F"&amp;'My Loans'!$O$19),Q18+R18)))</f>
        <v>0</v>
      </c>
      <c r="T18" s="13">
        <f ca="1">IF(A18=1,IF(OR('My Loans'!$O$20="",'My Loans'!$O$20=0),0,INDIRECT("'My Loans'!$D"&amp;'My Loans'!$O$20)),BI17)</f>
        <v>0</v>
      </c>
      <c r="U18" s="13">
        <f ca="1">IF(OR('My Loans'!$O$20="",'My Loans'!$O$20=0),0,T18*INDIRECT("'My Loans'!$E"&amp;'My Loans'!$O$20)/12)</f>
        <v>0</v>
      </c>
      <c r="V18" s="13">
        <f ca="1">IF(OR('My Loans'!$O$20="",'My Loans'!$O$20=0),0,IF(T18&lt;0.005,0,MIN(INDIRECT("'My Loans'!$F"&amp;'My Loans'!$O$20),T18+U18)))</f>
        <v>0</v>
      </c>
      <c r="W18" s="13">
        <f ca="1">IF(A18=1,IF(OR('My Loans'!$O$21="",'My Loans'!$O$21=0),0,INDIRECT("'My Loans'!$D"&amp;'My Loans'!$O$21)),BN17)</f>
        <v>0</v>
      </c>
      <c r="X18" s="13">
        <f ca="1">IF(OR('My Loans'!$O$21="",'My Loans'!$O$21=0),0,W18*INDIRECT("'My Loans'!$E"&amp;'My Loans'!$O$21)/12)</f>
        <v>0</v>
      </c>
      <c r="Y18" s="13">
        <f ca="1">IF(OR('My Loans'!$O$21="",'My Loans'!$O$21=0),0,IF(W18&lt;0.005,0,MIN(INDIRECT("'My Loans'!$F"&amp;'My Loans'!$O$21),W18+X18)))</f>
        <v>0</v>
      </c>
      <c r="Z18" s="13">
        <f ca="1">'My Loans'!$B$13-(D18+G18+J18+M18+P18+S18+V18+Y18)</f>
        <v>558</v>
      </c>
      <c r="AA18" s="13">
        <f t="shared" ca="1" si="0"/>
        <v>558</v>
      </c>
      <c r="AB18" s="13">
        <f t="shared" ca="1" si="1"/>
        <v>0</v>
      </c>
      <c r="AC18" s="13">
        <f t="shared" ca="1" si="2"/>
        <v>0</v>
      </c>
      <c r="AD18" s="13">
        <f t="shared" ca="1" si="3"/>
        <v>0</v>
      </c>
      <c r="AE18" s="13">
        <f t="shared" ca="1" si="4"/>
        <v>0</v>
      </c>
      <c r="AF18" s="13">
        <f t="shared" ca="1" si="5"/>
        <v>558</v>
      </c>
      <c r="AG18" s="13">
        <f t="shared" ca="1" si="6"/>
        <v>8056.0653414437929</v>
      </c>
      <c r="AH18" s="13">
        <f t="shared" ca="1" si="7"/>
        <v>558</v>
      </c>
      <c r="AI18" s="13">
        <f t="shared" ca="1" si="8"/>
        <v>670</v>
      </c>
      <c r="AJ18" s="13">
        <f t="shared" ca="1" si="9"/>
        <v>7498.0653414437929</v>
      </c>
      <c r="AK18" s="13">
        <f t="shared" ca="1" si="10"/>
        <v>0</v>
      </c>
      <c r="AL18" s="13">
        <f t="shared" ca="1" si="11"/>
        <v>11330.179169813842</v>
      </c>
      <c r="AM18" s="13">
        <f t="shared" ca="1" si="12"/>
        <v>0</v>
      </c>
      <c r="AN18" s="13">
        <f t="shared" ca="1" si="13"/>
        <v>142</v>
      </c>
      <c r="AO18" s="13">
        <f t="shared" ca="1" si="14"/>
        <v>11330.179169813842</v>
      </c>
      <c r="AP18" s="13">
        <f t="shared" ca="1" si="15"/>
        <v>0</v>
      </c>
      <c r="AQ18" s="13">
        <f t="shared" ca="1" si="16"/>
        <v>13437.336121147826</v>
      </c>
      <c r="AR18" s="13">
        <f t="shared" ca="1" si="17"/>
        <v>0</v>
      </c>
      <c r="AS18" s="13">
        <f t="shared" ca="1" si="18"/>
        <v>178</v>
      </c>
      <c r="AT18" s="13">
        <f t="shared" ca="1" si="19"/>
        <v>13437.336121147826</v>
      </c>
      <c r="AU18" s="13">
        <f t="shared" ca="1" si="20"/>
        <v>0</v>
      </c>
      <c r="AV18" s="13">
        <f t="shared" ca="1" si="21"/>
        <v>23954.813166326523</v>
      </c>
      <c r="AW18" s="13">
        <f t="shared" ca="1" si="22"/>
        <v>0</v>
      </c>
      <c r="AX18" s="13">
        <f t="shared" ca="1" si="23"/>
        <v>410</v>
      </c>
      <c r="AY18" s="13">
        <f t="shared" ca="1" si="24"/>
        <v>23954.813166326523</v>
      </c>
      <c r="AZ18" s="13">
        <f t="shared" ca="1" si="25"/>
        <v>0</v>
      </c>
      <c r="BA18" s="13">
        <f t="shared" ca="1" si="26"/>
        <v>0</v>
      </c>
      <c r="BB18" s="13">
        <f t="shared" ca="1" si="27"/>
        <v>0</v>
      </c>
      <c r="BC18" s="13">
        <f t="shared" ca="1" si="28"/>
        <v>0</v>
      </c>
      <c r="BD18" s="13">
        <f t="shared" ca="1" si="29"/>
        <v>0</v>
      </c>
      <c r="BE18" s="13">
        <f t="shared" ca="1" si="30"/>
        <v>0</v>
      </c>
      <c r="BF18" s="13">
        <f t="shared" ca="1" si="31"/>
        <v>0</v>
      </c>
      <c r="BG18" s="13">
        <f t="shared" ca="1" si="32"/>
        <v>0</v>
      </c>
      <c r="BH18" s="13">
        <f t="shared" ca="1" si="33"/>
        <v>0</v>
      </c>
      <c r="BI18" s="13">
        <f t="shared" ca="1" si="34"/>
        <v>0</v>
      </c>
      <c r="BJ18" s="13">
        <f t="shared" ca="1" si="35"/>
        <v>0</v>
      </c>
      <c r="BK18" s="13">
        <f t="shared" ca="1" si="36"/>
        <v>0</v>
      </c>
      <c r="BL18" s="13">
        <f t="shared" ca="1" si="37"/>
        <v>0</v>
      </c>
      <c r="BM18" s="13">
        <f t="shared" ca="1" si="38"/>
        <v>0</v>
      </c>
      <c r="BN18" s="13">
        <f t="shared" ca="1" si="39"/>
        <v>0</v>
      </c>
      <c r="BO18" s="13">
        <f t="shared" ca="1" si="40"/>
        <v>1400</v>
      </c>
      <c r="BP18" s="13">
        <f t="shared" ca="1" si="41"/>
        <v>314.89515441791406</v>
      </c>
      <c r="BQ18" s="13">
        <f t="shared" ca="1" si="42"/>
        <v>56220.39379873198</v>
      </c>
    </row>
    <row r="19" spans="1:69" x14ac:dyDescent="0.25">
      <c r="A19" s="1">
        <v>18</v>
      </c>
      <c r="B19" s="13">
        <f ca="1">IF(A19=1,IF(OR('My Loans'!$O$14="",'My Loans'!$O$14=0),0,INDIRECT("'My Loans'!$D"&amp;'My Loans'!$O$14)),AE18)</f>
        <v>0</v>
      </c>
      <c r="C19" s="13">
        <f ca="1">IF(OR('My Loans'!$O$14="",'My Loans'!$O$14=0),0,B19*INDIRECT("'My Loans'!$E"&amp;'My Loans'!$O$14)/12)</f>
        <v>0</v>
      </c>
      <c r="D19" s="13">
        <f ca="1">IF(OR('My Loans'!$O$14="",'My Loans'!$O$14=0),0,IF(B19&lt;0.005,0,MIN(INDIRECT("'My Loans'!$F"&amp;'My Loans'!$O$14),B19+C19)))</f>
        <v>0</v>
      </c>
      <c r="E19" s="13">
        <f ca="1">IF(A19=1,IF(OR('My Loans'!$O$15="",'My Loans'!$O$15=0),0,INDIRECT("'My Loans'!$D"&amp;'My Loans'!$O$15)),AJ18)</f>
        <v>7498.0653414437929</v>
      </c>
      <c r="F19" s="13">
        <f ca="1">IF(OR('My Loans'!$O$15="",'My Loans'!$O$15=0),0,E19*INDIRECT("'My Loans'!$E"&amp;'My Loans'!$O$15)/12)</f>
        <v>30.617100144228825</v>
      </c>
      <c r="G19" s="13">
        <f ca="1">IF(OR('My Loans'!$O$15="",'My Loans'!$O$15=0),0,IF(E19&lt;0.005,0,MIN(INDIRECT("'My Loans'!$F"&amp;'My Loans'!$O$15),E19+F19)))</f>
        <v>112</v>
      </c>
      <c r="H19" s="13">
        <f ca="1">IF(A19=1,IF(OR('My Loans'!$O$16="",'My Loans'!$O$16=0),0,INDIRECT("'My Loans'!$D"&amp;'My Loans'!$O$16)),AO18)</f>
        <v>11330.179169813842</v>
      </c>
      <c r="I19" s="13">
        <f ca="1">IF(OR('My Loans'!$O$16="",'My Loans'!$O$16=0),0,H19*INDIRECT("'My Loans'!$E"&amp;'My Loans'!$O$16)/12)</f>
        <v>51.929987861646772</v>
      </c>
      <c r="J19" s="13">
        <f ca="1">IF(OR('My Loans'!$O$16="",'My Loans'!$O$16=0),0,IF(H19&lt;0.005,0,MIN(INDIRECT("'My Loans'!$F"&amp;'My Loans'!$O$16),H19+I19)))</f>
        <v>142</v>
      </c>
      <c r="K19" s="13">
        <f ca="1">IF(A19=1,IF(OR('My Loans'!$O$17="",'My Loans'!$O$17=0),0,INDIRECT("'My Loans'!$D"&amp;'My Loans'!$O$17)),AT18)</f>
        <v>13437.336121147826</v>
      </c>
      <c r="L19" s="13">
        <f ca="1">IF(OR('My Loans'!$O$17="",'My Loans'!$O$17=0),0,K19*INDIRECT("'My Loans'!$E"&amp;'My Loans'!$O$17)/12)</f>
        <v>69.426236625930429</v>
      </c>
      <c r="M19" s="13">
        <f ca="1">IF(OR('My Loans'!$O$17="",'My Loans'!$O$17=0),0,IF(K19&lt;0.005,0,MIN(INDIRECT("'My Loans'!$F"&amp;'My Loans'!$O$17),K19+L19)))</f>
        <v>178</v>
      </c>
      <c r="N19" s="13">
        <f ca="1">IF(A19=1,IF(OR('My Loans'!$O$18="",'My Loans'!$O$18=0),0,INDIRECT("'My Loans'!$D"&amp;'My Loans'!$O$18)),AY18)</f>
        <v>23954.813166326523</v>
      </c>
      <c r="O19" s="13">
        <f ca="1">IF(OR('My Loans'!$O$18="",'My Loans'!$O$18=0),0,N19*INDIRECT("'My Loans'!$E"&amp;'My Loans'!$O$18)/12)</f>
        <v>157.70252001164963</v>
      </c>
      <c r="P19" s="13">
        <f ca="1">IF(OR('My Loans'!$O$18="",'My Loans'!$O$18=0),0,IF(N19&lt;0.005,0,MIN(INDIRECT("'My Loans'!$F"&amp;'My Loans'!$O$18),N19+O19)))</f>
        <v>410</v>
      </c>
      <c r="Q19" s="13">
        <f ca="1">IF(A19=1,IF(OR('My Loans'!$O$19="",'My Loans'!$O$19=0),0,INDIRECT("'My Loans'!$D"&amp;'My Loans'!$O$19)),BD18)</f>
        <v>0</v>
      </c>
      <c r="R19" s="13">
        <f ca="1">IF(OR('My Loans'!$O$19="",'My Loans'!$O$19=0),0,Q19*INDIRECT("'My Loans'!$E"&amp;'My Loans'!$O$19)/12)</f>
        <v>0</v>
      </c>
      <c r="S19" s="13">
        <f ca="1">IF(OR('My Loans'!$O$19="",'My Loans'!$O$19=0),0,IF(Q19&lt;0.005,0,MIN(INDIRECT("'My Loans'!$F"&amp;'My Loans'!$O$19),Q19+R19)))</f>
        <v>0</v>
      </c>
      <c r="T19" s="13">
        <f ca="1">IF(A19=1,IF(OR('My Loans'!$O$20="",'My Loans'!$O$20=0),0,INDIRECT("'My Loans'!$D"&amp;'My Loans'!$O$20)),BI18)</f>
        <v>0</v>
      </c>
      <c r="U19" s="13">
        <f ca="1">IF(OR('My Loans'!$O$20="",'My Loans'!$O$20=0),0,T19*INDIRECT("'My Loans'!$E"&amp;'My Loans'!$O$20)/12)</f>
        <v>0</v>
      </c>
      <c r="V19" s="13">
        <f ca="1">IF(OR('My Loans'!$O$20="",'My Loans'!$O$20=0),0,IF(T19&lt;0.005,0,MIN(INDIRECT("'My Loans'!$F"&amp;'My Loans'!$O$20),T19+U19)))</f>
        <v>0</v>
      </c>
      <c r="W19" s="13">
        <f ca="1">IF(A19=1,IF(OR('My Loans'!$O$21="",'My Loans'!$O$21=0),0,INDIRECT("'My Loans'!$D"&amp;'My Loans'!$O$21)),BN18)</f>
        <v>0</v>
      </c>
      <c r="X19" s="13">
        <f ca="1">IF(OR('My Loans'!$O$21="",'My Loans'!$O$21=0),0,W19*INDIRECT("'My Loans'!$E"&amp;'My Loans'!$O$21)/12)</f>
        <v>0</v>
      </c>
      <c r="Y19" s="13">
        <f ca="1">IF(OR('My Loans'!$O$21="",'My Loans'!$O$21=0),0,IF(W19&lt;0.005,0,MIN(INDIRECT("'My Loans'!$F"&amp;'My Loans'!$O$21),W19+X19)))</f>
        <v>0</v>
      </c>
      <c r="Z19" s="13">
        <f ca="1">'My Loans'!$B$13-(D19+G19+J19+M19+P19+S19+V19+Y19)</f>
        <v>558</v>
      </c>
      <c r="AA19" s="13">
        <f t="shared" ca="1" si="0"/>
        <v>558</v>
      </c>
      <c r="AB19" s="13">
        <f t="shared" ca="1" si="1"/>
        <v>0</v>
      </c>
      <c r="AC19" s="13">
        <f t="shared" ca="1" si="2"/>
        <v>0</v>
      </c>
      <c r="AD19" s="13">
        <f t="shared" ca="1" si="3"/>
        <v>0</v>
      </c>
      <c r="AE19" s="13">
        <f t="shared" ca="1" si="4"/>
        <v>0</v>
      </c>
      <c r="AF19" s="13">
        <f t="shared" ca="1" si="5"/>
        <v>558</v>
      </c>
      <c r="AG19" s="13">
        <f t="shared" ca="1" si="6"/>
        <v>7416.6824415880219</v>
      </c>
      <c r="AH19" s="13">
        <f t="shared" ca="1" si="7"/>
        <v>558</v>
      </c>
      <c r="AI19" s="13">
        <f t="shared" ca="1" si="8"/>
        <v>670</v>
      </c>
      <c r="AJ19" s="13">
        <f t="shared" ca="1" si="9"/>
        <v>6858.6824415880219</v>
      </c>
      <c r="AK19" s="13">
        <f t="shared" ca="1" si="10"/>
        <v>0</v>
      </c>
      <c r="AL19" s="13">
        <f t="shared" ca="1" si="11"/>
        <v>11240.10915767549</v>
      </c>
      <c r="AM19" s="13">
        <f t="shared" ca="1" si="12"/>
        <v>0</v>
      </c>
      <c r="AN19" s="13">
        <f t="shared" ca="1" si="13"/>
        <v>142</v>
      </c>
      <c r="AO19" s="13">
        <f t="shared" ca="1" si="14"/>
        <v>11240.10915767549</v>
      </c>
      <c r="AP19" s="13">
        <f t="shared" ca="1" si="15"/>
        <v>0</v>
      </c>
      <c r="AQ19" s="13">
        <f t="shared" ca="1" si="16"/>
        <v>13328.762357773756</v>
      </c>
      <c r="AR19" s="13">
        <f t="shared" ca="1" si="17"/>
        <v>0</v>
      </c>
      <c r="AS19" s="13">
        <f t="shared" ca="1" si="18"/>
        <v>178</v>
      </c>
      <c r="AT19" s="13">
        <f t="shared" ca="1" si="19"/>
        <v>13328.762357773756</v>
      </c>
      <c r="AU19" s="13">
        <f t="shared" ca="1" si="20"/>
        <v>0</v>
      </c>
      <c r="AV19" s="13">
        <f t="shared" ca="1" si="21"/>
        <v>23702.515686338174</v>
      </c>
      <c r="AW19" s="13">
        <f t="shared" ca="1" si="22"/>
        <v>0</v>
      </c>
      <c r="AX19" s="13">
        <f t="shared" ca="1" si="23"/>
        <v>410</v>
      </c>
      <c r="AY19" s="13">
        <f t="shared" ca="1" si="24"/>
        <v>23702.515686338174</v>
      </c>
      <c r="AZ19" s="13">
        <f t="shared" ca="1" si="25"/>
        <v>0</v>
      </c>
      <c r="BA19" s="13">
        <f t="shared" ca="1" si="26"/>
        <v>0</v>
      </c>
      <c r="BB19" s="13">
        <f t="shared" ca="1" si="27"/>
        <v>0</v>
      </c>
      <c r="BC19" s="13">
        <f t="shared" ca="1" si="28"/>
        <v>0</v>
      </c>
      <c r="BD19" s="13">
        <f t="shared" ca="1" si="29"/>
        <v>0</v>
      </c>
      <c r="BE19" s="13">
        <f t="shared" ca="1" si="30"/>
        <v>0</v>
      </c>
      <c r="BF19" s="13">
        <f t="shared" ca="1" si="31"/>
        <v>0</v>
      </c>
      <c r="BG19" s="13">
        <f t="shared" ca="1" si="32"/>
        <v>0</v>
      </c>
      <c r="BH19" s="13">
        <f t="shared" ca="1" si="33"/>
        <v>0</v>
      </c>
      <c r="BI19" s="13">
        <f t="shared" ca="1" si="34"/>
        <v>0</v>
      </c>
      <c r="BJ19" s="13">
        <f t="shared" ca="1" si="35"/>
        <v>0</v>
      </c>
      <c r="BK19" s="13">
        <f t="shared" ca="1" si="36"/>
        <v>0</v>
      </c>
      <c r="BL19" s="13">
        <f t="shared" ca="1" si="37"/>
        <v>0</v>
      </c>
      <c r="BM19" s="13">
        <f t="shared" ca="1" si="38"/>
        <v>0</v>
      </c>
      <c r="BN19" s="13">
        <f t="shared" ca="1" si="39"/>
        <v>0</v>
      </c>
      <c r="BO19" s="13">
        <f t="shared" ca="1" si="40"/>
        <v>1400</v>
      </c>
      <c r="BP19" s="13">
        <f t="shared" ca="1" si="41"/>
        <v>309.67584464345566</v>
      </c>
      <c r="BQ19" s="13">
        <f t="shared" ca="1" si="42"/>
        <v>55130.069643375435</v>
      </c>
    </row>
    <row r="20" spans="1:69" x14ac:dyDescent="0.25">
      <c r="A20" s="1">
        <v>19</v>
      </c>
      <c r="B20" s="13">
        <f ca="1">IF(A20=1,IF(OR('My Loans'!$O$14="",'My Loans'!$O$14=0),0,INDIRECT("'My Loans'!$D"&amp;'My Loans'!$O$14)),AE19)</f>
        <v>0</v>
      </c>
      <c r="C20" s="13">
        <f ca="1">IF(OR('My Loans'!$O$14="",'My Loans'!$O$14=0),0,B20*INDIRECT("'My Loans'!$E"&amp;'My Loans'!$O$14)/12)</f>
        <v>0</v>
      </c>
      <c r="D20" s="13">
        <f ca="1">IF(OR('My Loans'!$O$14="",'My Loans'!$O$14=0),0,IF(B20&lt;0.005,0,MIN(INDIRECT("'My Loans'!$F"&amp;'My Loans'!$O$14),B20+C20)))</f>
        <v>0</v>
      </c>
      <c r="E20" s="13">
        <f ca="1">IF(A20=1,IF(OR('My Loans'!$O$15="",'My Loans'!$O$15=0),0,INDIRECT("'My Loans'!$D"&amp;'My Loans'!$O$15)),AJ19)</f>
        <v>6858.6824415880219</v>
      </c>
      <c r="F20" s="13">
        <f ca="1">IF(OR('My Loans'!$O$15="",'My Loans'!$O$15=0),0,E20*INDIRECT("'My Loans'!$E"&amp;'My Loans'!$O$15)/12)</f>
        <v>28.006286636484422</v>
      </c>
      <c r="G20" s="13">
        <f ca="1">IF(OR('My Loans'!$O$15="",'My Loans'!$O$15=0),0,IF(E20&lt;0.005,0,MIN(INDIRECT("'My Loans'!$F"&amp;'My Loans'!$O$15),E20+F20)))</f>
        <v>112</v>
      </c>
      <c r="H20" s="13">
        <f ca="1">IF(A20=1,IF(OR('My Loans'!$O$16="",'My Loans'!$O$16=0),0,INDIRECT("'My Loans'!$D"&amp;'My Loans'!$O$16)),AO19)</f>
        <v>11240.10915767549</v>
      </c>
      <c r="I20" s="13">
        <f ca="1">IF(OR('My Loans'!$O$16="",'My Loans'!$O$16=0),0,H20*INDIRECT("'My Loans'!$E"&amp;'My Loans'!$O$16)/12)</f>
        <v>51.517166972679327</v>
      </c>
      <c r="J20" s="13">
        <f ca="1">IF(OR('My Loans'!$O$16="",'My Loans'!$O$16=0),0,IF(H20&lt;0.005,0,MIN(INDIRECT("'My Loans'!$F"&amp;'My Loans'!$O$16),H20+I20)))</f>
        <v>142</v>
      </c>
      <c r="K20" s="13">
        <f ca="1">IF(A20=1,IF(OR('My Loans'!$O$17="",'My Loans'!$O$17=0),0,INDIRECT("'My Loans'!$D"&amp;'My Loans'!$O$17)),AT19)</f>
        <v>13328.762357773756</v>
      </c>
      <c r="L20" s="13">
        <f ca="1">IF(OR('My Loans'!$O$17="",'My Loans'!$O$17=0),0,K20*INDIRECT("'My Loans'!$E"&amp;'My Loans'!$O$17)/12)</f>
        <v>68.865272181831074</v>
      </c>
      <c r="M20" s="13">
        <f ca="1">IF(OR('My Loans'!$O$17="",'My Loans'!$O$17=0),0,IF(K20&lt;0.005,0,MIN(INDIRECT("'My Loans'!$F"&amp;'My Loans'!$O$17),K20+L20)))</f>
        <v>178</v>
      </c>
      <c r="N20" s="13">
        <f ca="1">IF(A20=1,IF(OR('My Loans'!$O$18="",'My Loans'!$O$18=0),0,INDIRECT("'My Loans'!$D"&amp;'My Loans'!$O$18)),AY19)</f>
        <v>23702.515686338174</v>
      </c>
      <c r="O20" s="13">
        <f ca="1">IF(OR('My Loans'!$O$18="",'My Loans'!$O$18=0),0,N20*INDIRECT("'My Loans'!$E"&amp;'My Loans'!$O$18)/12)</f>
        <v>156.04156160172633</v>
      </c>
      <c r="P20" s="13">
        <f ca="1">IF(OR('My Loans'!$O$18="",'My Loans'!$O$18=0),0,IF(N20&lt;0.005,0,MIN(INDIRECT("'My Loans'!$F"&amp;'My Loans'!$O$18),N20+O20)))</f>
        <v>410</v>
      </c>
      <c r="Q20" s="13">
        <f ca="1">IF(A20=1,IF(OR('My Loans'!$O$19="",'My Loans'!$O$19=0),0,INDIRECT("'My Loans'!$D"&amp;'My Loans'!$O$19)),BD19)</f>
        <v>0</v>
      </c>
      <c r="R20" s="13">
        <f ca="1">IF(OR('My Loans'!$O$19="",'My Loans'!$O$19=0),0,Q20*INDIRECT("'My Loans'!$E"&amp;'My Loans'!$O$19)/12)</f>
        <v>0</v>
      </c>
      <c r="S20" s="13">
        <f ca="1">IF(OR('My Loans'!$O$19="",'My Loans'!$O$19=0),0,IF(Q20&lt;0.005,0,MIN(INDIRECT("'My Loans'!$F"&amp;'My Loans'!$O$19),Q20+R20)))</f>
        <v>0</v>
      </c>
      <c r="T20" s="13">
        <f ca="1">IF(A20=1,IF(OR('My Loans'!$O$20="",'My Loans'!$O$20=0),0,INDIRECT("'My Loans'!$D"&amp;'My Loans'!$O$20)),BI19)</f>
        <v>0</v>
      </c>
      <c r="U20" s="13">
        <f ca="1">IF(OR('My Loans'!$O$20="",'My Loans'!$O$20=0),0,T20*INDIRECT("'My Loans'!$E"&amp;'My Loans'!$O$20)/12)</f>
        <v>0</v>
      </c>
      <c r="V20" s="13">
        <f ca="1">IF(OR('My Loans'!$O$20="",'My Loans'!$O$20=0),0,IF(T20&lt;0.005,0,MIN(INDIRECT("'My Loans'!$F"&amp;'My Loans'!$O$20),T20+U20)))</f>
        <v>0</v>
      </c>
      <c r="W20" s="13">
        <f ca="1">IF(A20=1,IF(OR('My Loans'!$O$21="",'My Loans'!$O$21=0),0,INDIRECT("'My Loans'!$D"&amp;'My Loans'!$O$21)),BN19)</f>
        <v>0</v>
      </c>
      <c r="X20" s="13">
        <f ca="1">IF(OR('My Loans'!$O$21="",'My Loans'!$O$21=0),0,W20*INDIRECT("'My Loans'!$E"&amp;'My Loans'!$O$21)/12)</f>
        <v>0</v>
      </c>
      <c r="Y20" s="13">
        <f ca="1">IF(OR('My Loans'!$O$21="",'My Loans'!$O$21=0),0,IF(W20&lt;0.005,0,MIN(INDIRECT("'My Loans'!$F"&amp;'My Loans'!$O$21),W20+X20)))</f>
        <v>0</v>
      </c>
      <c r="Z20" s="13">
        <f ca="1">'My Loans'!$B$13-(D20+G20+J20+M20+P20+S20+V20+Y20)</f>
        <v>558</v>
      </c>
      <c r="AA20" s="13">
        <f t="shared" ca="1" si="0"/>
        <v>558</v>
      </c>
      <c r="AB20" s="13">
        <f t="shared" ca="1" si="1"/>
        <v>0</v>
      </c>
      <c r="AC20" s="13">
        <f t="shared" ca="1" si="2"/>
        <v>0</v>
      </c>
      <c r="AD20" s="13">
        <f t="shared" ca="1" si="3"/>
        <v>0</v>
      </c>
      <c r="AE20" s="13">
        <f t="shared" ca="1" si="4"/>
        <v>0</v>
      </c>
      <c r="AF20" s="13">
        <f t="shared" ca="1" si="5"/>
        <v>558</v>
      </c>
      <c r="AG20" s="13">
        <f t="shared" ca="1" si="6"/>
        <v>6774.6887282245061</v>
      </c>
      <c r="AH20" s="13">
        <f t="shared" ca="1" si="7"/>
        <v>558</v>
      </c>
      <c r="AI20" s="13">
        <f t="shared" ca="1" si="8"/>
        <v>670</v>
      </c>
      <c r="AJ20" s="13">
        <f t="shared" ca="1" si="9"/>
        <v>6216.6887282245061</v>
      </c>
      <c r="AK20" s="13">
        <f t="shared" ca="1" si="10"/>
        <v>0</v>
      </c>
      <c r="AL20" s="13">
        <f t="shared" ca="1" si="11"/>
        <v>11149.626324648169</v>
      </c>
      <c r="AM20" s="13">
        <f t="shared" ca="1" si="12"/>
        <v>0</v>
      </c>
      <c r="AN20" s="13">
        <f t="shared" ca="1" si="13"/>
        <v>142</v>
      </c>
      <c r="AO20" s="13">
        <f t="shared" ca="1" si="14"/>
        <v>11149.626324648169</v>
      </c>
      <c r="AP20" s="13">
        <f t="shared" ca="1" si="15"/>
        <v>0</v>
      </c>
      <c r="AQ20" s="13">
        <f t="shared" ca="1" si="16"/>
        <v>13219.627629955587</v>
      </c>
      <c r="AR20" s="13">
        <f t="shared" ca="1" si="17"/>
        <v>0</v>
      </c>
      <c r="AS20" s="13">
        <f t="shared" ca="1" si="18"/>
        <v>178</v>
      </c>
      <c r="AT20" s="13">
        <f t="shared" ca="1" si="19"/>
        <v>13219.627629955587</v>
      </c>
      <c r="AU20" s="13">
        <f t="shared" ca="1" si="20"/>
        <v>0</v>
      </c>
      <c r="AV20" s="13">
        <f t="shared" ca="1" si="21"/>
        <v>23448.557247939902</v>
      </c>
      <c r="AW20" s="13">
        <f t="shared" ca="1" si="22"/>
        <v>0</v>
      </c>
      <c r="AX20" s="13">
        <f t="shared" ca="1" si="23"/>
        <v>410</v>
      </c>
      <c r="AY20" s="13">
        <f t="shared" ca="1" si="24"/>
        <v>23448.557247939902</v>
      </c>
      <c r="AZ20" s="13">
        <f t="shared" ca="1" si="25"/>
        <v>0</v>
      </c>
      <c r="BA20" s="13">
        <f t="shared" ca="1" si="26"/>
        <v>0</v>
      </c>
      <c r="BB20" s="13">
        <f t="shared" ca="1" si="27"/>
        <v>0</v>
      </c>
      <c r="BC20" s="13">
        <f t="shared" ca="1" si="28"/>
        <v>0</v>
      </c>
      <c r="BD20" s="13">
        <f t="shared" ca="1" si="29"/>
        <v>0</v>
      </c>
      <c r="BE20" s="13">
        <f t="shared" ca="1" si="30"/>
        <v>0</v>
      </c>
      <c r="BF20" s="13">
        <f t="shared" ca="1" si="31"/>
        <v>0</v>
      </c>
      <c r="BG20" s="13">
        <f t="shared" ca="1" si="32"/>
        <v>0</v>
      </c>
      <c r="BH20" s="13">
        <f t="shared" ca="1" si="33"/>
        <v>0</v>
      </c>
      <c r="BI20" s="13">
        <f t="shared" ca="1" si="34"/>
        <v>0</v>
      </c>
      <c r="BJ20" s="13">
        <f t="shared" ca="1" si="35"/>
        <v>0</v>
      </c>
      <c r="BK20" s="13">
        <f t="shared" ca="1" si="36"/>
        <v>0</v>
      </c>
      <c r="BL20" s="13">
        <f t="shared" ca="1" si="37"/>
        <v>0</v>
      </c>
      <c r="BM20" s="13">
        <f t="shared" ca="1" si="38"/>
        <v>0</v>
      </c>
      <c r="BN20" s="13">
        <f t="shared" ca="1" si="39"/>
        <v>0</v>
      </c>
      <c r="BO20" s="13">
        <f t="shared" ca="1" si="40"/>
        <v>1400</v>
      </c>
      <c r="BP20" s="13">
        <f t="shared" ca="1" si="41"/>
        <v>304.4302873927212</v>
      </c>
      <c r="BQ20" s="13">
        <f t="shared" ca="1" si="42"/>
        <v>54034.499930768165</v>
      </c>
    </row>
    <row r="21" spans="1:69" x14ac:dyDescent="0.25">
      <c r="A21" s="1">
        <v>20</v>
      </c>
      <c r="B21" s="13">
        <f ca="1">IF(A21=1,IF(OR('My Loans'!$O$14="",'My Loans'!$O$14=0),0,INDIRECT("'My Loans'!$D"&amp;'My Loans'!$O$14)),AE20)</f>
        <v>0</v>
      </c>
      <c r="C21" s="13">
        <f ca="1">IF(OR('My Loans'!$O$14="",'My Loans'!$O$14=0),0,B21*INDIRECT("'My Loans'!$E"&amp;'My Loans'!$O$14)/12)</f>
        <v>0</v>
      </c>
      <c r="D21" s="13">
        <f ca="1">IF(OR('My Loans'!$O$14="",'My Loans'!$O$14=0),0,IF(B21&lt;0.005,0,MIN(INDIRECT("'My Loans'!$F"&amp;'My Loans'!$O$14),B21+C21)))</f>
        <v>0</v>
      </c>
      <c r="E21" s="13">
        <f ca="1">IF(A21=1,IF(OR('My Loans'!$O$15="",'My Loans'!$O$15=0),0,INDIRECT("'My Loans'!$D"&amp;'My Loans'!$O$15)),AJ20)</f>
        <v>6216.6887282245061</v>
      </c>
      <c r="F21" s="13">
        <f ca="1">IF(OR('My Loans'!$O$15="",'My Loans'!$O$15=0),0,E21*INDIRECT("'My Loans'!$E"&amp;'My Loans'!$O$15)/12)</f>
        <v>25.384812306916732</v>
      </c>
      <c r="G21" s="13">
        <f ca="1">IF(OR('My Loans'!$O$15="",'My Loans'!$O$15=0),0,IF(E21&lt;0.005,0,MIN(INDIRECT("'My Loans'!$F"&amp;'My Loans'!$O$15),E21+F21)))</f>
        <v>112</v>
      </c>
      <c r="H21" s="13">
        <f ca="1">IF(A21=1,IF(OR('My Loans'!$O$16="",'My Loans'!$O$16=0),0,INDIRECT("'My Loans'!$D"&amp;'My Loans'!$O$16)),AO20)</f>
        <v>11149.626324648169</v>
      </c>
      <c r="I21" s="13">
        <f ca="1">IF(OR('My Loans'!$O$16="",'My Loans'!$O$16=0),0,H21*INDIRECT("'My Loans'!$E"&amp;'My Loans'!$O$16)/12)</f>
        <v>51.102453987970769</v>
      </c>
      <c r="J21" s="13">
        <f ca="1">IF(OR('My Loans'!$O$16="",'My Loans'!$O$16=0),0,IF(H21&lt;0.005,0,MIN(INDIRECT("'My Loans'!$F"&amp;'My Loans'!$O$16),H21+I21)))</f>
        <v>142</v>
      </c>
      <c r="K21" s="13">
        <f ca="1">IF(A21=1,IF(OR('My Loans'!$O$17="",'My Loans'!$O$17=0),0,INDIRECT("'My Loans'!$D"&amp;'My Loans'!$O$17)),AT20)</f>
        <v>13219.627629955587</v>
      </c>
      <c r="L21" s="13">
        <f ca="1">IF(OR('My Loans'!$O$17="",'My Loans'!$O$17=0),0,K21*INDIRECT("'My Loans'!$E"&amp;'My Loans'!$O$17)/12)</f>
        <v>68.301409421437199</v>
      </c>
      <c r="M21" s="13">
        <f ca="1">IF(OR('My Loans'!$O$17="",'My Loans'!$O$17=0),0,IF(K21&lt;0.005,0,MIN(INDIRECT("'My Loans'!$F"&amp;'My Loans'!$O$17),K21+L21)))</f>
        <v>178</v>
      </c>
      <c r="N21" s="13">
        <f ca="1">IF(A21=1,IF(OR('My Loans'!$O$18="",'My Loans'!$O$18=0),0,INDIRECT("'My Loans'!$D"&amp;'My Loans'!$O$18)),AY20)</f>
        <v>23448.557247939902</v>
      </c>
      <c r="O21" s="13">
        <f ca="1">IF(OR('My Loans'!$O$18="",'My Loans'!$O$18=0),0,N21*INDIRECT("'My Loans'!$E"&amp;'My Loans'!$O$18)/12)</f>
        <v>154.36966854893768</v>
      </c>
      <c r="P21" s="13">
        <f ca="1">IF(OR('My Loans'!$O$18="",'My Loans'!$O$18=0),0,IF(N21&lt;0.005,0,MIN(INDIRECT("'My Loans'!$F"&amp;'My Loans'!$O$18),N21+O21)))</f>
        <v>410</v>
      </c>
      <c r="Q21" s="13">
        <f ca="1">IF(A21=1,IF(OR('My Loans'!$O$19="",'My Loans'!$O$19=0),0,INDIRECT("'My Loans'!$D"&amp;'My Loans'!$O$19)),BD20)</f>
        <v>0</v>
      </c>
      <c r="R21" s="13">
        <f ca="1">IF(OR('My Loans'!$O$19="",'My Loans'!$O$19=0),0,Q21*INDIRECT("'My Loans'!$E"&amp;'My Loans'!$O$19)/12)</f>
        <v>0</v>
      </c>
      <c r="S21" s="13">
        <f ca="1">IF(OR('My Loans'!$O$19="",'My Loans'!$O$19=0),0,IF(Q21&lt;0.005,0,MIN(INDIRECT("'My Loans'!$F"&amp;'My Loans'!$O$19),Q21+R21)))</f>
        <v>0</v>
      </c>
      <c r="T21" s="13">
        <f ca="1">IF(A21=1,IF(OR('My Loans'!$O$20="",'My Loans'!$O$20=0),0,INDIRECT("'My Loans'!$D"&amp;'My Loans'!$O$20)),BI20)</f>
        <v>0</v>
      </c>
      <c r="U21" s="13">
        <f ca="1">IF(OR('My Loans'!$O$20="",'My Loans'!$O$20=0),0,T21*INDIRECT("'My Loans'!$E"&amp;'My Loans'!$O$20)/12)</f>
        <v>0</v>
      </c>
      <c r="V21" s="13">
        <f ca="1">IF(OR('My Loans'!$O$20="",'My Loans'!$O$20=0),0,IF(T21&lt;0.005,0,MIN(INDIRECT("'My Loans'!$F"&amp;'My Loans'!$O$20),T21+U21)))</f>
        <v>0</v>
      </c>
      <c r="W21" s="13">
        <f ca="1">IF(A21=1,IF(OR('My Loans'!$O$21="",'My Loans'!$O$21=0),0,INDIRECT("'My Loans'!$D"&amp;'My Loans'!$O$21)),BN20)</f>
        <v>0</v>
      </c>
      <c r="X21" s="13">
        <f ca="1">IF(OR('My Loans'!$O$21="",'My Loans'!$O$21=0),0,W21*INDIRECT("'My Loans'!$E"&amp;'My Loans'!$O$21)/12)</f>
        <v>0</v>
      </c>
      <c r="Y21" s="13">
        <f ca="1">IF(OR('My Loans'!$O$21="",'My Loans'!$O$21=0),0,IF(W21&lt;0.005,0,MIN(INDIRECT("'My Loans'!$F"&amp;'My Loans'!$O$21),W21+X21)))</f>
        <v>0</v>
      </c>
      <c r="Z21" s="13">
        <f ca="1">'My Loans'!$B$13-(D21+G21+J21+M21+P21+S21+V21+Y21)</f>
        <v>558</v>
      </c>
      <c r="AA21" s="13">
        <f t="shared" ca="1" si="0"/>
        <v>558</v>
      </c>
      <c r="AB21" s="13">
        <f t="shared" ca="1" si="1"/>
        <v>0</v>
      </c>
      <c r="AC21" s="13">
        <f t="shared" ca="1" si="2"/>
        <v>0</v>
      </c>
      <c r="AD21" s="13">
        <f t="shared" ca="1" si="3"/>
        <v>0</v>
      </c>
      <c r="AE21" s="13">
        <f t="shared" ca="1" si="4"/>
        <v>0</v>
      </c>
      <c r="AF21" s="13">
        <f t="shared" ca="1" si="5"/>
        <v>558</v>
      </c>
      <c r="AG21" s="13">
        <f t="shared" ca="1" si="6"/>
        <v>6130.0735405314226</v>
      </c>
      <c r="AH21" s="13">
        <f t="shared" ca="1" si="7"/>
        <v>558</v>
      </c>
      <c r="AI21" s="13">
        <f t="shared" ca="1" si="8"/>
        <v>670</v>
      </c>
      <c r="AJ21" s="13">
        <f t="shared" ca="1" si="9"/>
        <v>5572.0735405314226</v>
      </c>
      <c r="AK21" s="13">
        <f t="shared" ca="1" si="10"/>
        <v>0</v>
      </c>
      <c r="AL21" s="13">
        <f t="shared" ca="1" si="11"/>
        <v>11058.728778636139</v>
      </c>
      <c r="AM21" s="13">
        <f t="shared" ca="1" si="12"/>
        <v>0</v>
      </c>
      <c r="AN21" s="13">
        <f t="shared" ca="1" si="13"/>
        <v>142</v>
      </c>
      <c r="AO21" s="13">
        <f t="shared" ca="1" si="14"/>
        <v>11058.728778636139</v>
      </c>
      <c r="AP21" s="13">
        <f t="shared" ca="1" si="15"/>
        <v>0</v>
      </c>
      <c r="AQ21" s="13">
        <f t="shared" ca="1" si="16"/>
        <v>13109.929039377024</v>
      </c>
      <c r="AR21" s="13">
        <f t="shared" ca="1" si="17"/>
        <v>0</v>
      </c>
      <c r="AS21" s="13">
        <f t="shared" ca="1" si="18"/>
        <v>178</v>
      </c>
      <c r="AT21" s="13">
        <f t="shared" ca="1" si="19"/>
        <v>13109.929039377024</v>
      </c>
      <c r="AU21" s="13">
        <f t="shared" ca="1" si="20"/>
        <v>0</v>
      </c>
      <c r="AV21" s="13">
        <f t="shared" ca="1" si="21"/>
        <v>23192.926916488839</v>
      </c>
      <c r="AW21" s="13">
        <f t="shared" ca="1" si="22"/>
        <v>0</v>
      </c>
      <c r="AX21" s="13">
        <f t="shared" ca="1" si="23"/>
        <v>410</v>
      </c>
      <c r="AY21" s="13">
        <f t="shared" ca="1" si="24"/>
        <v>23192.926916488839</v>
      </c>
      <c r="AZ21" s="13">
        <f t="shared" ca="1" si="25"/>
        <v>0</v>
      </c>
      <c r="BA21" s="13">
        <f t="shared" ca="1" si="26"/>
        <v>0</v>
      </c>
      <c r="BB21" s="13">
        <f t="shared" ca="1" si="27"/>
        <v>0</v>
      </c>
      <c r="BC21" s="13">
        <f t="shared" ca="1" si="28"/>
        <v>0</v>
      </c>
      <c r="BD21" s="13">
        <f t="shared" ca="1" si="29"/>
        <v>0</v>
      </c>
      <c r="BE21" s="13">
        <f t="shared" ca="1" si="30"/>
        <v>0</v>
      </c>
      <c r="BF21" s="13">
        <f t="shared" ca="1" si="31"/>
        <v>0</v>
      </c>
      <c r="BG21" s="13">
        <f t="shared" ca="1" si="32"/>
        <v>0</v>
      </c>
      <c r="BH21" s="13">
        <f t="shared" ca="1" si="33"/>
        <v>0</v>
      </c>
      <c r="BI21" s="13">
        <f t="shared" ca="1" si="34"/>
        <v>0</v>
      </c>
      <c r="BJ21" s="13">
        <f t="shared" ca="1" si="35"/>
        <v>0</v>
      </c>
      <c r="BK21" s="13">
        <f t="shared" ca="1" si="36"/>
        <v>0</v>
      </c>
      <c r="BL21" s="13">
        <f t="shared" ca="1" si="37"/>
        <v>0</v>
      </c>
      <c r="BM21" s="13">
        <f t="shared" ca="1" si="38"/>
        <v>0</v>
      </c>
      <c r="BN21" s="13">
        <f t="shared" ca="1" si="39"/>
        <v>0</v>
      </c>
      <c r="BO21" s="13">
        <f t="shared" ca="1" si="40"/>
        <v>1400</v>
      </c>
      <c r="BP21" s="13">
        <f t="shared" ca="1" si="41"/>
        <v>299.15834426526237</v>
      </c>
      <c r="BQ21" s="13">
        <f t="shared" ca="1" si="42"/>
        <v>52933.65827503342</v>
      </c>
    </row>
    <row r="22" spans="1:69" x14ac:dyDescent="0.25">
      <c r="A22" s="1">
        <v>21</v>
      </c>
      <c r="B22" s="13">
        <f ca="1">IF(A22=1,IF(OR('My Loans'!$O$14="",'My Loans'!$O$14=0),0,INDIRECT("'My Loans'!$D"&amp;'My Loans'!$O$14)),AE21)</f>
        <v>0</v>
      </c>
      <c r="C22" s="13">
        <f ca="1">IF(OR('My Loans'!$O$14="",'My Loans'!$O$14=0),0,B22*INDIRECT("'My Loans'!$E"&amp;'My Loans'!$O$14)/12)</f>
        <v>0</v>
      </c>
      <c r="D22" s="13">
        <f ca="1">IF(OR('My Loans'!$O$14="",'My Loans'!$O$14=0),0,IF(B22&lt;0.005,0,MIN(INDIRECT("'My Loans'!$F"&amp;'My Loans'!$O$14),B22+C22)))</f>
        <v>0</v>
      </c>
      <c r="E22" s="13">
        <f ca="1">IF(A22=1,IF(OR('My Loans'!$O$15="",'My Loans'!$O$15=0),0,INDIRECT("'My Loans'!$D"&amp;'My Loans'!$O$15)),AJ21)</f>
        <v>5572.0735405314226</v>
      </c>
      <c r="F22" s="13">
        <f ca="1">IF(OR('My Loans'!$O$15="",'My Loans'!$O$15=0),0,E22*INDIRECT("'My Loans'!$E"&amp;'My Loans'!$O$15)/12)</f>
        <v>22.752633623836644</v>
      </c>
      <c r="G22" s="13">
        <f ca="1">IF(OR('My Loans'!$O$15="",'My Loans'!$O$15=0),0,IF(E22&lt;0.005,0,MIN(INDIRECT("'My Loans'!$F"&amp;'My Loans'!$O$15),E22+F22)))</f>
        <v>112</v>
      </c>
      <c r="H22" s="13">
        <f ca="1">IF(A22=1,IF(OR('My Loans'!$O$16="",'My Loans'!$O$16=0),0,INDIRECT("'My Loans'!$D"&amp;'My Loans'!$O$16)),AO21)</f>
        <v>11058.728778636139</v>
      </c>
      <c r="I22" s="13">
        <f ca="1">IF(OR('My Loans'!$O$16="",'My Loans'!$O$16=0),0,H22*INDIRECT("'My Loans'!$E"&amp;'My Loans'!$O$16)/12)</f>
        <v>50.68584023541564</v>
      </c>
      <c r="J22" s="13">
        <f ca="1">IF(OR('My Loans'!$O$16="",'My Loans'!$O$16=0),0,IF(H22&lt;0.005,0,MIN(INDIRECT("'My Loans'!$F"&amp;'My Loans'!$O$16),H22+I22)))</f>
        <v>142</v>
      </c>
      <c r="K22" s="13">
        <f ca="1">IF(A22=1,IF(OR('My Loans'!$O$17="",'My Loans'!$O$17=0),0,INDIRECT("'My Loans'!$D"&amp;'My Loans'!$O$17)),AT21)</f>
        <v>13109.929039377024</v>
      </c>
      <c r="L22" s="13">
        <f ca="1">IF(OR('My Loans'!$O$17="",'My Loans'!$O$17=0),0,K22*INDIRECT("'My Loans'!$E"&amp;'My Loans'!$O$17)/12)</f>
        <v>67.734633370114622</v>
      </c>
      <c r="M22" s="13">
        <f ca="1">IF(OR('My Loans'!$O$17="",'My Loans'!$O$17=0),0,IF(K22&lt;0.005,0,MIN(INDIRECT("'My Loans'!$F"&amp;'My Loans'!$O$17),K22+L22)))</f>
        <v>178</v>
      </c>
      <c r="N22" s="13">
        <f ca="1">IF(A22=1,IF(OR('My Loans'!$O$18="",'My Loans'!$O$18=0),0,INDIRECT("'My Loans'!$D"&amp;'My Loans'!$O$18)),AY21)</f>
        <v>23192.926916488839</v>
      </c>
      <c r="O22" s="13">
        <f ca="1">IF(OR('My Loans'!$O$18="",'My Loans'!$O$18=0),0,N22*INDIRECT("'My Loans'!$E"&amp;'My Loans'!$O$18)/12)</f>
        <v>152.68676886688488</v>
      </c>
      <c r="P22" s="13">
        <f ca="1">IF(OR('My Loans'!$O$18="",'My Loans'!$O$18=0),0,IF(N22&lt;0.005,0,MIN(INDIRECT("'My Loans'!$F"&amp;'My Loans'!$O$18),N22+O22)))</f>
        <v>410</v>
      </c>
      <c r="Q22" s="13">
        <f ca="1">IF(A22=1,IF(OR('My Loans'!$O$19="",'My Loans'!$O$19=0),0,INDIRECT("'My Loans'!$D"&amp;'My Loans'!$O$19)),BD21)</f>
        <v>0</v>
      </c>
      <c r="R22" s="13">
        <f ca="1">IF(OR('My Loans'!$O$19="",'My Loans'!$O$19=0),0,Q22*INDIRECT("'My Loans'!$E"&amp;'My Loans'!$O$19)/12)</f>
        <v>0</v>
      </c>
      <c r="S22" s="13">
        <f ca="1">IF(OR('My Loans'!$O$19="",'My Loans'!$O$19=0),0,IF(Q22&lt;0.005,0,MIN(INDIRECT("'My Loans'!$F"&amp;'My Loans'!$O$19),Q22+R22)))</f>
        <v>0</v>
      </c>
      <c r="T22" s="13">
        <f ca="1">IF(A22=1,IF(OR('My Loans'!$O$20="",'My Loans'!$O$20=0),0,INDIRECT("'My Loans'!$D"&amp;'My Loans'!$O$20)),BI21)</f>
        <v>0</v>
      </c>
      <c r="U22" s="13">
        <f ca="1">IF(OR('My Loans'!$O$20="",'My Loans'!$O$20=0),0,T22*INDIRECT("'My Loans'!$E"&amp;'My Loans'!$O$20)/12)</f>
        <v>0</v>
      </c>
      <c r="V22" s="13">
        <f ca="1">IF(OR('My Loans'!$O$20="",'My Loans'!$O$20=0),0,IF(T22&lt;0.005,0,MIN(INDIRECT("'My Loans'!$F"&amp;'My Loans'!$O$20),T22+U22)))</f>
        <v>0</v>
      </c>
      <c r="W22" s="13">
        <f ca="1">IF(A22=1,IF(OR('My Loans'!$O$21="",'My Loans'!$O$21=0),0,INDIRECT("'My Loans'!$D"&amp;'My Loans'!$O$21)),BN21)</f>
        <v>0</v>
      </c>
      <c r="X22" s="13">
        <f ca="1">IF(OR('My Loans'!$O$21="",'My Loans'!$O$21=0),0,W22*INDIRECT("'My Loans'!$E"&amp;'My Loans'!$O$21)/12)</f>
        <v>0</v>
      </c>
      <c r="Y22" s="13">
        <f ca="1">IF(OR('My Loans'!$O$21="",'My Loans'!$O$21=0),0,IF(W22&lt;0.005,0,MIN(INDIRECT("'My Loans'!$F"&amp;'My Loans'!$O$21),W22+X22)))</f>
        <v>0</v>
      </c>
      <c r="Z22" s="13">
        <f ca="1">'My Loans'!$B$13-(D22+G22+J22+M22+P22+S22+V22+Y22)</f>
        <v>558</v>
      </c>
      <c r="AA22" s="13">
        <f t="shared" ca="1" si="0"/>
        <v>558</v>
      </c>
      <c r="AB22" s="13">
        <f t="shared" ca="1" si="1"/>
        <v>0</v>
      </c>
      <c r="AC22" s="13">
        <f t="shared" ca="1" si="2"/>
        <v>0</v>
      </c>
      <c r="AD22" s="13">
        <f t="shared" ca="1" si="3"/>
        <v>0</v>
      </c>
      <c r="AE22" s="13">
        <f t="shared" ca="1" si="4"/>
        <v>0</v>
      </c>
      <c r="AF22" s="13">
        <f t="shared" ca="1" si="5"/>
        <v>558</v>
      </c>
      <c r="AG22" s="13">
        <f t="shared" ca="1" si="6"/>
        <v>5482.8261741552597</v>
      </c>
      <c r="AH22" s="13">
        <f t="shared" ca="1" si="7"/>
        <v>558</v>
      </c>
      <c r="AI22" s="13">
        <f t="shared" ca="1" si="8"/>
        <v>670</v>
      </c>
      <c r="AJ22" s="13">
        <f t="shared" ca="1" si="9"/>
        <v>4924.8261741552597</v>
      </c>
      <c r="AK22" s="13">
        <f t="shared" ca="1" si="10"/>
        <v>0</v>
      </c>
      <c r="AL22" s="13">
        <f t="shared" ca="1" si="11"/>
        <v>10967.414618871555</v>
      </c>
      <c r="AM22" s="13">
        <f t="shared" ca="1" si="12"/>
        <v>0</v>
      </c>
      <c r="AN22" s="13">
        <f t="shared" ca="1" si="13"/>
        <v>142</v>
      </c>
      <c r="AO22" s="13">
        <f t="shared" ca="1" si="14"/>
        <v>10967.414618871555</v>
      </c>
      <c r="AP22" s="13">
        <f t="shared" ca="1" si="15"/>
        <v>0</v>
      </c>
      <c r="AQ22" s="13">
        <f t="shared" ca="1" si="16"/>
        <v>12999.66367274714</v>
      </c>
      <c r="AR22" s="13">
        <f t="shared" ca="1" si="17"/>
        <v>0</v>
      </c>
      <c r="AS22" s="13">
        <f t="shared" ca="1" si="18"/>
        <v>178</v>
      </c>
      <c r="AT22" s="13">
        <f t="shared" ca="1" si="19"/>
        <v>12999.66367274714</v>
      </c>
      <c r="AU22" s="13">
        <f t="shared" ca="1" si="20"/>
        <v>0</v>
      </c>
      <c r="AV22" s="13">
        <f t="shared" ca="1" si="21"/>
        <v>22935.613685355725</v>
      </c>
      <c r="AW22" s="13">
        <f t="shared" ca="1" si="22"/>
        <v>0</v>
      </c>
      <c r="AX22" s="13">
        <f t="shared" ca="1" si="23"/>
        <v>410</v>
      </c>
      <c r="AY22" s="13">
        <f t="shared" ca="1" si="24"/>
        <v>22935.613685355725</v>
      </c>
      <c r="AZ22" s="13">
        <f t="shared" ca="1" si="25"/>
        <v>0</v>
      </c>
      <c r="BA22" s="13">
        <f t="shared" ca="1" si="26"/>
        <v>0</v>
      </c>
      <c r="BB22" s="13">
        <f t="shared" ca="1" si="27"/>
        <v>0</v>
      </c>
      <c r="BC22" s="13">
        <f t="shared" ca="1" si="28"/>
        <v>0</v>
      </c>
      <c r="BD22" s="13">
        <f t="shared" ca="1" si="29"/>
        <v>0</v>
      </c>
      <c r="BE22" s="13">
        <f t="shared" ca="1" si="30"/>
        <v>0</v>
      </c>
      <c r="BF22" s="13">
        <f t="shared" ca="1" si="31"/>
        <v>0</v>
      </c>
      <c r="BG22" s="13">
        <f t="shared" ca="1" si="32"/>
        <v>0</v>
      </c>
      <c r="BH22" s="13">
        <f t="shared" ca="1" si="33"/>
        <v>0</v>
      </c>
      <c r="BI22" s="13">
        <f t="shared" ca="1" si="34"/>
        <v>0</v>
      </c>
      <c r="BJ22" s="13">
        <f t="shared" ca="1" si="35"/>
        <v>0</v>
      </c>
      <c r="BK22" s="13">
        <f t="shared" ca="1" si="36"/>
        <v>0</v>
      </c>
      <c r="BL22" s="13">
        <f t="shared" ca="1" si="37"/>
        <v>0</v>
      </c>
      <c r="BM22" s="13">
        <f t="shared" ca="1" si="38"/>
        <v>0</v>
      </c>
      <c r="BN22" s="13">
        <f t="shared" ca="1" si="39"/>
        <v>0</v>
      </c>
      <c r="BO22" s="13">
        <f t="shared" ca="1" si="40"/>
        <v>1400</v>
      </c>
      <c r="BP22" s="13">
        <f t="shared" ca="1" si="41"/>
        <v>293.85987609625181</v>
      </c>
      <c r="BQ22" s="13">
        <f t="shared" ca="1" si="42"/>
        <v>51827.518151129683</v>
      </c>
    </row>
    <row r="23" spans="1:69" x14ac:dyDescent="0.25">
      <c r="A23" s="1">
        <v>22</v>
      </c>
      <c r="B23" s="13">
        <f ca="1">IF(A23=1,IF(OR('My Loans'!$O$14="",'My Loans'!$O$14=0),0,INDIRECT("'My Loans'!$D"&amp;'My Loans'!$O$14)),AE22)</f>
        <v>0</v>
      </c>
      <c r="C23" s="13">
        <f ca="1">IF(OR('My Loans'!$O$14="",'My Loans'!$O$14=0),0,B23*INDIRECT("'My Loans'!$E"&amp;'My Loans'!$O$14)/12)</f>
        <v>0</v>
      </c>
      <c r="D23" s="13">
        <f ca="1">IF(OR('My Loans'!$O$14="",'My Loans'!$O$14=0),0,IF(B23&lt;0.005,0,MIN(INDIRECT("'My Loans'!$F"&amp;'My Loans'!$O$14),B23+C23)))</f>
        <v>0</v>
      </c>
      <c r="E23" s="13">
        <f ca="1">IF(A23=1,IF(OR('My Loans'!$O$15="",'My Loans'!$O$15=0),0,INDIRECT("'My Loans'!$D"&amp;'My Loans'!$O$15)),AJ22)</f>
        <v>4924.8261741552597</v>
      </c>
      <c r="F23" s="13">
        <f ca="1">IF(OR('My Loans'!$O$15="",'My Loans'!$O$15=0),0,E23*INDIRECT("'My Loans'!$E"&amp;'My Loans'!$O$15)/12)</f>
        <v>20.109706877800644</v>
      </c>
      <c r="G23" s="13">
        <f ca="1">IF(OR('My Loans'!$O$15="",'My Loans'!$O$15=0),0,IF(E23&lt;0.005,0,MIN(INDIRECT("'My Loans'!$F"&amp;'My Loans'!$O$15),E23+F23)))</f>
        <v>112</v>
      </c>
      <c r="H23" s="13">
        <f ca="1">IF(A23=1,IF(OR('My Loans'!$O$16="",'My Loans'!$O$16=0),0,INDIRECT("'My Loans'!$D"&amp;'My Loans'!$O$16)),AO22)</f>
        <v>10967.414618871555</v>
      </c>
      <c r="I23" s="13">
        <f ca="1">IF(OR('My Loans'!$O$16="",'My Loans'!$O$16=0),0,H23*INDIRECT("'My Loans'!$E"&amp;'My Loans'!$O$16)/12)</f>
        <v>50.267317003161288</v>
      </c>
      <c r="J23" s="13">
        <f ca="1">IF(OR('My Loans'!$O$16="",'My Loans'!$O$16=0),0,IF(H23&lt;0.005,0,MIN(INDIRECT("'My Loans'!$F"&amp;'My Loans'!$O$16),H23+I23)))</f>
        <v>142</v>
      </c>
      <c r="K23" s="13">
        <f ca="1">IF(A23=1,IF(OR('My Loans'!$O$17="",'My Loans'!$O$17=0),0,INDIRECT("'My Loans'!$D"&amp;'My Loans'!$O$17)),AT22)</f>
        <v>12999.66367274714</v>
      </c>
      <c r="L23" s="13">
        <f ca="1">IF(OR('My Loans'!$O$17="",'My Loans'!$O$17=0),0,K23*INDIRECT("'My Loans'!$E"&amp;'My Loans'!$O$17)/12)</f>
        <v>67.164928975860221</v>
      </c>
      <c r="M23" s="13">
        <f ca="1">IF(OR('My Loans'!$O$17="",'My Loans'!$O$17=0),0,IF(K23&lt;0.005,0,MIN(INDIRECT("'My Loans'!$F"&amp;'My Loans'!$O$17),K23+L23)))</f>
        <v>178</v>
      </c>
      <c r="N23" s="13">
        <f ca="1">IF(A23=1,IF(OR('My Loans'!$O$18="",'My Loans'!$O$18=0),0,INDIRECT("'My Loans'!$D"&amp;'My Loans'!$O$18)),AY22)</f>
        <v>22935.613685355725</v>
      </c>
      <c r="O23" s="13">
        <f ca="1">IF(OR('My Loans'!$O$18="",'My Loans'!$O$18=0),0,N23*INDIRECT("'My Loans'!$E"&amp;'My Loans'!$O$18)/12)</f>
        <v>150.99279009525853</v>
      </c>
      <c r="P23" s="13">
        <f ca="1">IF(OR('My Loans'!$O$18="",'My Loans'!$O$18=0),0,IF(N23&lt;0.005,0,MIN(INDIRECT("'My Loans'!$F"&amp;'My Loans'!$O$18),N23+O23)))</f>
        <v>410</v>
      </c>
      <c r="Q23" s="13">
        <f ca="1">IF(A23=1,IF(OR('My Loans'!$O$19="",'My Loans'!$O$19=0),0,INDIRECT("'My Loans'!$D"&amp;'My Loans'!$O$19)),BD22)</f>
        <v>0</v>
      </c>
      <c r="R23" s="13">
        <f ca="1">IF(OR('My Loans'!$O$19="",'My Loans'!$O$19=0),0,Q23*INDIRECT("'My Loans'!$E"&amp;'My Loans'!$O$19)/12)</f>
        <v>0</v>
      </c>
      <c r="S23" s="13">
        <f ca="1">IF(OR('My Loans'!$O$19="",'My Loans'!$O$19=0),0,IF(Q23&lt;0.005,0,MIN(INDIRECT("'My Loans'!$F"&amp;'My Loans'!$O$19),Q23+R23)))</f>
        <v>0</v>
      </c>
      <c r="T23" s="13">
        <f ca="1">IF(A23=1,IF(OR('My Loans'!$O$20="",'My Loans'!$O$20=0),0,INDIRECT("'My Loans'!$D"&amp;'My Loans'!$O$20)),BI22)</f>
        <v>0</v>
      </c>
      <c r="U23" s="13">
        <f ca="1">IF(OR('My Loans'!$O$20="",'My Loans'!$O$20=0),0,T23*INDIRECT("'My Loans'!$E"&amp;'My Loans'!$O$20)/12)</f>
        <v>0</v>
      </c>
      <c r="V23" s="13">
        <f ca="1">IF(OR('My Loans'!$O$20="",'My Loans'!$O$20=0),0,IF(T23&lt;0.005,0,MIN(INDIRECT("'My Loans'!$F"&amp;'My Loans'!$O$20),T23+U23)))</f>
        <v>0</v>
      </c>
      <c r="W23" s="13">
        <f ca="1">IF(A23=1,IF(OR('My Loans'!$O$21="",'My Loans'!$O$21=0),0,INDIRECT("'My Loans'!$D"&amp;'My Loans'!$O$21)),BN22)</f>
        <v>0</v>
      </c>
      <c r="X23" s="13">
        <f ca="1">IF(OR('My Loans'!$O$21="",'My Loans'!$O$21=0),0,W23*INDIRECT("'My Loans'!$E"&amp;'My Loans'!$O$21)/12)</f>
        <v>0</v>
      </c>
      <c r="Y23" s="13">
        <f ca="1">IF(OR('My Loans'!$O$21="",'My Loans'!$O$21=0),0,IF(W23&lt;0.005,0,MIN(INDIRECT("'My Loans'!$F"&amp;'My Loans'!$O$21),W23+X23)))</f>
        <v>0</v>
      </c>
      <c r="Z23" s="13">
        <f ca="1">'My Loans'!$B$13-(D23+G23+J23+M23+P23+S23+V23+Y23)</f>
        <v>558</v>
      </c>
      <c r="AA23" s="13">
        <f t="shared" ca="1" si="0"/>
        <v>558</v>
      </c>
      <c r="AB23" s="13">
        <f t="shared" ca="1" si="1"/>
        <v>0</v>
      </c>
      <c r="AC23" s="13">
        <f t="shared" ca="1" si="2"/>
        <v>0</v>
      </c>
      <c r="AD23" s="13">
        <f t="shared" ca="1" si="3"/>
        <v>0</v>
      </c>
      <c r="AE23" s="13">
        <f t="shared" ca="1" si="4"/>
        <v>0</v>
      </c>
      <c r="AF23" s="13">
        <f t="shared" ca="1" si="5"/>
        <v>558</v>
      </c>
      <c r="AG23" s="13">
        <f t="shared" ca="1" si="6"/>
        <v>4832.9358810330605</v>
      </c>
      <c r="AH23" s="13">
        <f t="shared" ca="1" si="7"/>
        <v>558</v>
      </c>
      <c r="AI23" s="13">
        <f t="shared" ca="1" si="8"/>
        <v>670</v>
      </c>
      <c r="AJ23" s="13">
        <f t="shared" ca="1" si="9"/>
        <v>4274.9358810330605</v>
      </c>
      <c r="AK23" s="13">
        <f t="shared" ca="1" si="10"/>
        <v>0</v>
      </c>
      <c r="AL23" s="13">
        <f t="shared" ca="1" si="11"/>
        <v>10875.681935874716</v>
      </c>
      <c r="AM23" s="13">
        <f t="shared" ca="1" si="12"/>
        <v>0</v>
      </c>
      <c r="AN23" s="13">
        <f t="shared" ca="1" si="13"/>
        <v>142</v>
      </c>
      <c r="AO23" s="13">
        <f t="shared" ca="1" si="14"/>
        <v>10875.681935874716</v>
      </c>
      <c r="AP23" s="13">
        <f t="shared" ca="1" si="15"/>
        <v>0</v>
      </c>
      <c r="AQ23" s="13">
        <f t="shared" ca="1" si="16"/>
        <v>12888.828601723</v>
      </c>
      <c r="AR23" s="13">
        <f t="shared" ca="1" si="17"/>
        <v>0</v>
      </c>
      <c r="AS23" s="13">
        <f t="shared" ca="1" si="18"/>
        <v>178</v>
      </c>
      <c r="AT23" s="13">
        <f t="shared" ca="1" si="19"/>
        <v>12888.828601723</v>
      </c>
      <c r="AU23" s="13">
        <f t="shared" ca="1" si="20"/>
        <v>0</v>
      </c>
      <c r="AV23" s="13">
        <f t="shared" ca="1" si="21"/>
        <v>22676.606475450983</v>
      </c>
      <c r="AW23" s="13">
        <f t="shared" ca="1" si="22"/>
        <v>0</v>
      </c>
      <c r="AX23" s="13">
        <f t="shared" ca="1" si="23"/>
        <v>410</v>
      </c>
      <c r="AY23" s="13">
        <f t="shared" ca="1" si="24"/>
        <v>22676.606475450983</v>
      </c>
      <c r="AZ23" s="13">
        <f t="shared" ca="1" si="25"/>
        <v>0</v>
      </c>
      <c r="BA23" s="13">
        <f t="shared" ca="1" si="26"/>
        <v>0</v>
      </c>
      <c r="BB23" s="13">
        <f t="shared" ca="1" si="27"/>
        <v>0</v>
      </c>
      <c r="BC23" s="13">
        <f t="shared" ca="1" si="28"/>
        <v>0</v>
      </c>
      <c r="BD23" s="13">
        <f t="shared" ca="1" si="29"/>
        <v>0</v>
      </c>
      <c r="BE23" s="13">
        <f t="shared" ca="1" si="30"/>
        <v>0</v>
      </c>
      <c r="BF23" s="13">
        <f t="shared" ca="1" si="31"/>
        <v>0</v>
      </c>
      <c r="BG23" s="13">
        <f t="shared" ca="1" si="32"/>
        <v>0</v>
      </c>
      <c r="BH23" s="13">
        <f t="shared" ca="1" si="33"/>
        <v>0</v>
      </c>
      <c r="BI23" s="13">
        <f t="shared" ca="1" si="34"/>
        <v>0</v>
      </c>
      <c r="BJ23" s="13">
        <f t="shared" ca="1" si="35"/>
        <v>0</v>
      </c>
      <c r="BK23" s="13">
        <f t="shared" ca="1" si="36"/>
        <v>0</v>
      </c>
      <c r="BL23" s="13">
        <f t="shared" ca="1" si="37"/>
        <v>0</v>
      </c>
      <c r="BM23" s="13">
        <f t="shared" ca="1" si="38"/>
        <v>0</v>
      </c>
      <c r="BN23" s="13">
        <f t="shared" ca="1" si="39"/>
        <v>0</v>
      </c>
      <c r="BO23" s="13">
        <f t="shared" ca="1" si="40"/>
        <v>1400</v>
      </c>
      <c r="BP23" s="13">
        <f t="shared" ca="1" si="41"/>
        <v>288.53474295208071</v>
      </c>
      <c r="BQ23" s="13">
        <f t="shared" ca="1" si="42"/>
        <v>50716.05289408176</v>
      </c>
    </row>
    <row r="24" spans="1:69" x14ac:dyDescent="0.25">
      <c r="A24" s="1">
        <v>23</v>
      </c>
      <c r="B24" s="13">
        <f ca="1">IF(A24=1,IF(OR('My Loans'!$O$14="",'My Loans'!$O$14=0),0,INDIRECT("'My Loans'!$D"&amp;'My Loans'!$O$14)),AE23)</f>
        <v>0</v>
      </c>
      <c r="C24" s="13">
        <f ca="1">IF(OR('My Loans'!$O$14="",'My Loans'!$O$14=0),0,B24*INDIRECT("'My Loans'!$E"&amp;'My Loans'!$O$14)/12)</f>
        <v>0</v>
      </c>
      <c r="D24" s="13">
        <f ca="1">IF(OR('My Loans'!$O$14="",'My Loans'!$O$14=0),0,IF(B24&lt;0.005,0,MIN(INDIRECT("'My Loans'!$F"&amp;'My Loans'!$O$14),B24+C24)))</f>
        <v>0</v>
      </c>
      <c r="E24" s="13">
        <f ca="1">IF(A24=1,IF(OR('My Loans'!$O$15="",'My Loans'!$O$15=0),0,INDIRECT("'My Loans'!$D"&amp;'My Loans'!$O$15)),AJ23)</f>
        <v>4274.9358810330605</v>
      </c>
      <c r="F24" s="13">
        <f ca="1">IF(OR('My Loans'!$O$15="",'My Loans'!$O$15=0),0,E24*INDIRECT("'My Loans'!$E"&amp;'My Loans'!$O$15)/12)</f>
        <v>17.455988180884997</v>
      </c>
      <c r="G24" s="13">
        <f ca="1">IF(OR('My Loans'!$O$15="",'My Loans'!$O$15=0),0,IF(E24&lt;0.005,0,MIN(INDIRECT("'My Loans'!$F"&amp;'My Loans'!$O$15),E24+F24)))</f>
        <v>112</v>
      </c>
      <c r="H24" s="13">
        <f ca="1">IF(A24=1,IF(OR('My Loans'!$O$16="",'My Loans'!$O$16=0),0,INDIRECT("'My Loans'!$D"&amp;'My Loans'!$O$16)),AO23)</f>
        <v>10875.681935874716</v>
      </c>
      <c r="I24" s="13">
        <f ca="1">IF(OR('My Loans'!$O$16="",'My Loans'!$O$16=0),0,H24*INDIRECT("'My Loans'!$E"&amp;'My Loans'!$O$16)/12)</f>
        <v>49.846875539425781</v>
      </c>
      <c r="J24" s="13">
        <f ca="1">IF(OR('My Loans'!$O$16="",'My Loans'!$O$16=0),0,IF(H24&lt;0.005,0,MIN(INDIRECT("'My Loans'!$F"&amp;'My Loans'!$O$16),H24+I24)))</f>
        <v>142</v>
      </c>
      <c r="K24" s="13">
        <f ca="1">IF(A24=1,IF(OR('My Loans'!$O$17="",'My Loans'!$O$17=0),0,INDIRECT("'My Loans'!$D"&amp;'My Loans'!$O$17)),AT23)</f>
        <v>12888.828601723</v>
      </c>
      <c r="L24" s="13">
        <f ca="1">IF(OR('My Loans'!$O$17="",'My Loans'!$O$17=0),0,K24*INDIRECT("'My Loans'!$E"&amp;'My Loans'!$O$17)/12)</f>
        <v>66.592281108902171</v>
      </c>
      <c r="M24" s="13">
        <f ca="1">IF(OR('My Loans'!$O$17="",'My Loans'!$O$17=0),0,IF(K24&lt;0.005,0,MIN(INDIRECT("'My Loans'!$F"&amp;'My Loans'!$O$17),K24+L24)))</f>
        <v>178</v>
      </c>
      <c r="N24" s="13">
        <f ca="1">IF(A24=1,IF(OR('My Loans'!$O$18="",'My Loans'!$O$18=0),0,INDIRECT("'My Loans'!$D"&amp;'My Loans'!$O$18)),AY23)</f>
        <v>22676.606475450983</v>
      </c>
      <c r="O24" s="13">
        <f ca="1">IF(OR('My Loans'!$O$18="",'My Loans'!$O$18=0),0,N24*INDIRECT("'My Loans'!$E"&amp;'My Loans'!$O$18)/12)</f>
        <v>149.28765929671897</v>
      </c>
      <c r="P24" s="13">
        <f ca="1">IF(OR('My Loans'!$O$18="",'My Loans'!$O$18=0),0,IF(N24&lt;0.005,0,MIN(INDIRECT("'My Loans'!$F"&amp;'My Loans'!$O$18),N24+O24)))</f>
        <v>410</v>
      </c>
      <c r="Q24" s="13">
        <f ca="1">IF(A24=1,IF(OR('My Loans'!$O$19="",'My Loans'!$O$19=0),0,INDIRECT("'My Loans'!$D"&amp;'My Loans'!$O$19)),BD23)</f>
        <v>0</v>
      </c>
      <c r="R24" s="13">
        <f ca="1">IF(OR('My Loans'!$O$19="",'My Loans'!$O$19=0),0,Q24*INDIRECT("'My Loans'!$E"&amp;'My Loans'!$O$19)/12)</f>
        <v>0</v>
      </c>
      <c r="S24" s="13">
        <f ca="1">IF(OR('My Loans'!$O$19="",'My Loans'!$O$19=0),0,IF(Q24&lt;0.005,0,MIN(INDIRECT("'My Loans'!$F"&amp;'My Loans'!$O$19),Q24+R24)))</f>
        <v>0</v>
      </c>
      <c r="T24" s="13">
        <f ca="1">IF(A24=1,IF(OR('My Loans'!$O$20="",'My Loans'!$O$20=0),0,INDIRECT("'My Loans'!$D"&amp;'My Loans'!$O$20)),BI23)</f>
        <v>0</v>
      </c>
      <c r="U24" s="13">
        <f ca="1">IF(OR('My Loans'!$O$20="",'My Loans'!$O$20=0),0,T24*INDIRECT("'My Loans'!$E"&amp;'My Loans'!$O$20)/12)</f>
        <v>0</v>
      </c>
      <c r="V24" s="13">
        <f ca="1">IF(OR('My Loans'!$O$20="",'My Loans'!$O$20=0),0,IF(T24&lt;0.005,0,MIN(INDIRECT("'My Loans'!$F"&amp;'My Loans'!$O$20),T24+U24)))</f>
        <v>0</v>
      </c>
      <c r="W24" s="13">
        <f ca="1">IF(A24=1,IF(OR('My Loans'!$O$21="",'My Loans'!$O$21=0),0,INDIRECT("'My Loans'!$D"&amp;'My Loans'!$O$21)),BN23)</f>
        <v>0</v>
      </c>
      <c r="X24" s="13">
        <f ca="1">IF(OR('My Loans'!$O$21="",'My Loans'!$O$21=0),0,W24*INDIRECT("'My Loans'!$E"&amp;'My Loans'!$O$21)/12)</f>
        <v>0</v>
      </c>
      <c r="Y24" s="13">
        <f ca="1">IF(OR('My Loans'!$O$21="",'My Loans'!$O$21=0),0,IF(W24&lt;0.005,0,MIN(INDIRECT("'My Loans'!$F"&amp;'My Loans'!$O$21),W24+X24)))</f>
        <v>0</v>
      </c>
      <c r="Z24" s="13">
        <f ca="1">'My Loans'!$B$13-(D24+G24+J24+M24+P24+S24+V24+Y24)</f>
        <v>558</v>
      </c>
      <c r="AA24" s="13">
        <f t="shared" ca="1" si="0"/>
        <v>558</v>
      </c>
      <c r="AB24" s="13">
        <f t="shared" ca="1" si="1"/>
        <v>0</v>
      </c>
      <c r="AC24" s="13">
        <f t="shared" ca="1" si="2"/>
        <v>0</v>
      </c>
      <c r="AD24" s="13">
        <f t="shared" ca="1" si="3"/>
        <v>0</v>
      </c>
      <c r="AE24" s="13">
        <f t="shared" ca="1" si="4"/>
        <v>0</v>
      </c>
      <c r="AF24" s="13">
        <f t="shared" ca="1" si="5"/>
        <v>558</v>
      </c>
      <c r="AG24" s="13">
        <f t="shared" ca="1" si="6"/>
        <v>4180.391869213945</v>
      </c>
      <c r="AH24" s="13">
        <f t="shared" ca="1" si="7"/>
        <v>558</v>
      </c>
      <c r="AI24" s="13">
        <f t="shared" ca="1" si="8"/>
        <v>670</v>
      </c>
      <c r="AJ24" s="13">
        <f t="shared" ca="1" si="9"/>
        <v>3622.391869213945</v>
      </c>
      <c r="AK24" s="13">
        <f t="shared" ca="1" si="10"/>
        <v>0</v>
      </c>
      <c r="AL24" s="13">
        <f t="shared" ca="1" si="11"/>
        <v>10783.528811414142</v>
      </c>
      <c r="AM24" s="13">
        <f t="shared" ca="1" si="12"/>
        <v>0</v>
      </c>
      <c r="AN24" s="13">
        <f t="shared" ca="1" si="13"/>
        <v>142</v>
      </c>
      <c r="AO24" s="13">
        <f t="shared" ca="1" si="14"/>
        <v>10783.528811414142</v>
      </c>
      <c r="AP24" s="13">
        <f t="shared" ca="1" si="15"/>
        <v>0</v>
      </c>
      <c r="AQ24" s="13">
        <f t="shared" ca="1" si="16"/>
        <v>12777.420882831902</v>
      </c>
      <c r="AR24" s="13">
        <f t="shared" ca="1" si="17"/>
        <v>0</v>
      </c>
      <c r="AS24" s="13">
        <f t="shared" ca="1" si="18"/>
        <v>178</v>
      </c>
      <c r="AT24" s="13">
        <f t="shared" ca="1" si="19"/>
        <v>12777.420882831902</v>
      </c>
      <c r="AU24" s="13">
        <f t="shared" ca="1" si="20"/>
        <v>0</v>
      </c>
      <c r="AV24" s="13">
        <f t="shared" ca="1" si="21"/>
        <v>22415.894134747701</v>
      </c>
      <c r="AW24" s="13">
        <f t="shared" ca="1" si="22"/>
        <v>0</v>
      </c>
      <c r="AX24" s="13">
        <f t="shared" ca="1" si="23"/>
        <v>410</v>
      </c>
      <c r="AY24" s="13">
        <f t="shared" ca="1" si="24"/>
        <v>22415.894134747701</v>
      </c>
      <c r="AZ24" s="13">
        <f t="shared" ca="1" si="25"/>
        <v>0</v>
      </c>
      <c r="BA24" s="13">
        <f t="shared" ca="1" si="26"/>
        <v>0</v>
      </c>
      <c r="BB24" s="13">
        <f t="shared" ca="1" si="27"/>
        <v>0</v>
      </c>
      <c r="BC24" s="13">
        <f t="shared" ca="1" si="28"/>
        <v>0</v>
      </c>
      <c r="BD24" s="13">
        <f t="shared" ca="1" si="29"/>
        <v>0</v>
      </c>
      <c r="BE24" s="13">
        <f t="shared" ca="1" si="30"/>
        <v>0</v>
      </c>
      <c r="BF24" s="13">
        <f t="shared" ca="1" si="31"/>
        <v>0</v>
      </c>
      <c r="BG24" s="13">
        <f t="shared" ca="1" si="32"/>
        <v>0</v>
      </c>
      <c r="BH24" s="13">
        <f t="shared" ca="1" si="33"/>
        <v>0</v>
      </c>
      <c r="BI24" s="13">
        <f t="shared" ca="1" si="34"/>
        <v>0</v>
      </c>
      <c r="BJ24" s="13">
        <f t="shared" ca="1" si="35"/>
        <v>0</v>
      </c>
      <c r="BK24" s="13">
        <f t="shared" ca="1" si="36"/>
        <v>0</v>
      </c>
      <c r="BL24" s="13">
        <f t="shared" ca="1" si="37"/>
        <v>0</v>
      </c>
      <c r="BM24" s="13">
        <f t="shared" ca="1" si="38"/>
        <v>0</v>
      </c>
      <c r="BN24" s="13">
        <f t="shared" ca="1" si="39"/>
        <v>0</v>
      </c>
      <c r="BO24" s="13">
        <f t="shared" ca="1" si="40"/>
        <v>1400</v>
      </c>
      <c r="BP24" s="13">
        <f t="shared" ca="1" si="41"/>
        <v>283.18280412593191</v>
      </c>
      <c r="BQ24" s="13">
        <f t="shared" ca="1" si="42"/>
        <v>49599.235698207689</v>
      </c>
    </row>
    <row r="25" spans="1:69" x14ac:dyDescent="0.25">
      <c r="A25" s="1">
        <v>24</v>
      </c>
      <c r="B25" s="13">
        <f ca="1">IF(A25=1,IF(OR('My Loans'!$O$14="",'My Loans'!$O$14=0),0,INDIRECT("'My Loans'!$D"&amp;'My Loans'!$O$14)),AE24)</f>
        <v>0</v>
      </c>
      <c r="C25" s="13">
        <f ca="1">IF(OR('My Loans'!$O$14="",'My Loans'!$O$14=0),0,B25*INDIRECT("'My Loans'!$E"&amp;'My Loans'!$O$14)/12)</f>
        <v>0</v>
      </c>
      <c r="D25" s="13">
        <f ca="1">IF(OR('My Loans'!$O$14="",'My Loans'!$O$14=0),0,IF(B25&lt;0.005,0,MIN(INDIRECT("'My Loans'!$F"&amp;'My Loans'!$O$14),B25+C25)))</f>
        <v>0</v>
      </c>
      <c r="E25" s="13">
        <f ca="1">IF(A25=1,IF(OR('My Loans'!$O$15="",'My Loans'!$O$15=0),0,INDIRECT("'My Loans'!$D"&amp;'My Loans'!$O$15)),AJ24)</f>
        <v>3622.391869213945</v>
      </c>
      <c r="F25" s="13">
        <f ca="1">IF(OR('My Loans'!$O$15="",'My Loans'!$O$15=0),0,E25*INDIRECT("'My Loans'!$E"&amp;'My Loans'!$O$15)/12)</f>
        <v>14.791433465956942</v>
      </c>
      <c r="G25" s="13">
        <f ca="1">IF(OR('My Loans'!$O$15="",'My Loans'!$O$15=0),0,IF(E25&lt;0.005,0,MIN(INDIRECT("'My Loans'!$F"&amp;'My Loans'!$O$15),E25+F25)))</f>
        <v>112</v>
      </c>
      <c r="H25" s="13">
        <f ca="1">IF(A25=1,IF(OR('My Loans'!$O$16="",'My Loans'!$O$16=0),0,INDIRECT("'My Loans'!$D"&amp;'My Loans'!$O$16)),AO24)</f>
        <v>10783.528811414142</v>
      </c>
      <c r="I25" s="13">
        <f ca="1">IF(OR('My Loans'!$O$16="",'My Loans'!$O$16=0),0,H25*INDIRECT("'My Loans'!$E"&amp;'My Loans'!$O$16)/12)</f>
        <v>49.424507052314823</v>
      </c>
      <c r="J25" s="13">
        <f ca="1">IF(OR('My Loans'!$O$16="",'My Loans'!$O$16=0),0,IF(H25&lt;0.005,0,MIN(INDIRECT("'My Loans'!$F"&amp;'My Loans'!$O$16),H25+I25)))</f>
        <v>142</v>
      </c>
      <c r="K25" s="13">
        <f ca="1">IF(A25=1,IF(OR('My Loans'!$O$17="",'My Loans'!$O$17=0),0,INDIRECT("'My Loans'!$D"&amp;'My Loans'!$O$17)),AT24)</f>
        <v>12777.420882831902</v>
      </c>
      <c r="L25" s="13">
        <f ca="1">IF(OR('My Loans'!$O$17="",'My Loans'!$O$17=0),0,K25*INDIRECT("'My Loans'!$E"&amp;'My Loans'!$O$17)/12)</f>
        <v>66.01667456129816</v>
      </c>
      <c r="M25" s="13">
        <f ca="1">IF(OR('My Loans'!$O$17="",'My Loans'!$O$17=0),0,IF(K25&lt;0.005,0,MIN(INDIRECT("'My Loans'!$F"&amp;'My Loans'!$O$17),K25+L25)))</f>
        <v>178</v>
      </c>
      <c r="N25" s="13">
        <f ca="1">IF(A25=1,IF(OR('My Loans'!$O$18="",'My Loans'!$O$18=0),0,INDIRECT("'My Loans'!$D"&amp;'My Loans'!$O$18)),AY24)</f>
        <v>22415.894134747701</v>
      </c>
      <c r="O25" s="13">
        <f ca="1">IF(OR('My Loans'!$O$18="",'My Loans'!$O$18=0),0,N25*INDIRECT("'My Loans'!$E"&amp;'My Loans'!$O$18)/12)</f>
        <v>147.57130305375571</v>
      </c>
      <c r="P25" s="13">
        <f ca="1">IF(OR('My Loans'!$O$18="",'My Loans'!$O$18=0),0,IF(N25&lt;0.005,0,MIN(INDIRECT("'My Loans'!$F"&amp;'My Loans'!$O$18),N25+O25)))</f>
        <v>410</v>
      </c>
      <c r="Q25" s="13">
        <f ca="1">IF(A25=1,IF(OR('My Loans'!$O$19="",'My Loans'!$O$19=0),0,INDIRECT("'My Loans'!$D"&amp;'My Loans'!$O$19)),BD24)</f>
        <v>0</v>
      </c>
      <c r="R25" s="13">
        <f ca="1">IF(OR('My Loans'!$O$19="",'My Loans'!$O$19=0),0,Q25*INDIRECT("'My Loans'!$E"&amp;'My Loans'!$O$19)/12)</f>
        <v>0</v>
      </c>
      <c r="S25" s="13">
        <f ca="1">IF(OR('My Loans'!$O$19="",'My Loans'!$O$19=0),0,IF(Q25&lt;0.005,0,MIN(INDIRECT("'My Loans'!$F"&amp;'My Loans'!$O$19),Q25+R25)))</f>
        <v>0</v>
      </c>
      <c r="T25" s="13">
        <f ca="1">IF(A25=1,IF(OR('My Loans'!$O$20="",'My Loans'!$O$20=0),0,INDIRECT("'My Loans'!$D"&amp;'My Loans'!$O$20)),BI24)</f>
        <v>0</v>
      </c>
      <c r="U25" s="13">
        <f ca="1">IF(OR('My Loans'!$O$20="",'My Loans'!$O$20=0),0,T25*INDIRECT("'My Loans'!$E"&amp;'My Loans'!$O$20)/12)</f>
        <v>0</v>
      </c>
      <c r="V25" s="13">
        <f ca="1">IF(OR('My Loans'!$O$20="",'My Loans'!$O$20=0),0,IF(T25&lt;0.005,0,MIN(INDIRECT("'My Loans'!$F"&amp;'My Loans'!$O$20),T25+U25)))</f>
        <v>0</v>
      </c>
      <c r="W25" s="13">
        <f ca="1">IF(A25=1,IF(OR('My Loans'!$O$21="",'My Loans'!$O$21=0),0,INDIRECT("'My Loans'!$D"&amp;'My Loans'!$O$21)),BN24)</f>
        <v>0</v>
      </c>
      <c r="X25" s="13">
        <f ca="1">IF(OR('My Loans'!$O$21="",'My Loans'!$O$21=0),0,W25*INDIRECT("'My Loans'!$E"&amp;'My Loans'!$O$21)/12)</f>
        <v>0</v>
      </c>
      <c r="Y25" s="13">
        <f ca="1">IF(OR('My Loans'!$O$21="",'My Loans'!$O$21=0),0,IF(W25&lt;0.005,0,MIN(INDIRECT("'My Loans'!$F"&amp;'My Loans'!$O$21),W25+X25)))</f>
        <v>0</v>
      </c>
      <c r="Z25" s="13">
        <f ca="1">'My Loans'!$B$13-(D25+G25+J25+M25+P25+S25+V25+Y25)</f>
        <v>558</v>
      </c>
      <c r="AA25" s="13">
        <f t="shared" ca="1" si="0"/>
        <v>558</v>
      </c>
      <c r="AB25" s="13">
        <f t="shared" ca="1" si="1"/>
        <v>0</v>
      </c>
      <c r="AC25" s="13">
        <f t="shared" ca="1" si="2"/>
        <v>0</v>
      </c>
      <c r="AD25" s="13">
        <f t="shared" ca="1" si="3"/>
        <v>0</v>
      </c>
      <c r="AE25" s="13">
        <f t="shared" ca="1" si="4"/>
        <v>0</v>
      </c>
      <c r="AF25" s="13">
        <f t="shared" ca="1" si="5"/>
        <v>558</v>
      </c>
      <c r="AG25" s="13">
        <f t="shared" ca="1" si="6"/>
        <v>3525.1833026799018</v>
      </c>
      <c r="AH25" s="13">
        <f t="shared" ca="1" si="7"/>
        <v>558</v>
      </c>
      <c r="AI25" s="13">
        <f t="shared" ca="1" si="8"/>
        <v>670</v>
      </c>
      <c r="AJ25" s="13">
        <f t="shared" ca="1" si="9"/>
        <v>2967.1833026799018</v>
      </c>
      <c r="AK25" s="13">
        <f t="shared" ca="1" si="10"/>
        <v>0</v>
      </c>
      <c r="AL25" s="13">
        <f t="shared" ca="1" si="11"/>
        <v>10690.953318466458</v>
      </c>
      <c r="AM25" s="13">
        <f t="shared" ca="1" si="12"/>
        <v>0</v>
      </c>
      <c r="AN25" s="13">
        <f t="shared" ca="1" si="13"/>
        <v>142</v>
      </c>
      <c r="AO25" s="13">
        <f t="shared" ca="1" si="14"/>
        <v>10690.953318466458</v>
      </c>
      <c r="AP25" s="13">
        <f t="shared" ca="1" si="15"/>
        <v>0</v>
      </c>
      <c r="AQ25" s="13">
        <f t="shared" ca="1" si="16"/>
        <v>12665.437557393201</v>
      </c>
      <c r="AR25" s="13">
        <f t="shared" ca="1" si="17"/>
        <v>0</v>
      </c>
      <c r="AS25" s="13">
        <f t="shared" ca="1" si="18"/>
        <v>178</v>
      </c>
      <c r="AT25" s="13">
        <f t="shared" ca="1" si="19"/>
        <v>12665.437557393201</v>
      </c>
      <c r="AU25" s="13">
        <f t="shared" ca="1" si="20"/>
        <v>0</v>
      </c>
      <c r="AV25" s="13">
        <f t="shared" ca="1" si="21"/>
        <v>22153.465437801457</v>
      </c>
      <c r="AW25" s="13">
        <f t="shared" ca="1" si="22"/>
        <v>0</v>
      </c>
      <c r="AX25" s="13">
        <f t="shared" ca="1" si="23"/>
        <v>410</v>
      </c>
      <c r="AY25" s="13">
        <f t="shared" ca="1" si="24"/>
        <v>22153.465437801457</v>
      </c>
      <c r="AZ25" s="13">
        <f t="shared" ca="1" si="25"/>
        <v>0</v>
      </c>
      <c r="BA25" s="13">
        <f t="shared" ca="1" si="26"/>
        <v>0</v>
      </c>
      <c r="BB25" s="13">
        <f t="shared" ca="1" si="27"/>
        <v>0</v>
      </c>
      <c r="BC25" s="13">
        <f t="shared" ca="1" si="28"/>
        <v>0</v>
      </c>
      <c r="BD25" s="13">
        <f t="shared" ca="1" si="29"/>
        <v>0</v>
      </c>
      <c r="BE25" s="13">
        <f t="shared" ca="1" si="30"/>
        <v>0</v>
      </c>
      <c r="BF25" s="13">
        <f t="shared" ca="1" si="31"/>
        <v>0</v>
      </c>
      <c r="BG25" s="13">
        <f t="shared" ca="1" si="32"/>
        <v>0</v>
      </c>
      <c r="BH25" s="13">
        <f t="shared" ca="1" si="33"/>
        <v>0</v>
      </c>
      <c r="BI25" s="13">
        <f t="shared" ca="1" si="34"/>
        <v>0</v>
      </c>
      <c r="BJ25" s="13">
        <f t="shared" ca="1" si="35"/>
        <v>0</v>
      </c>
      <c r="BK25" s="13">
        <f t="shared" ca="1" si="36"/>
        <v>0</v>
      </c>
      <c r="BL25" s="13">
        <f t="shared" ca="1" si="37"/>
        <v>0</v>
      </c>
      <c r="BM25" s="13">
        <f t="shared" ca="1" si="38"/>
        <v>0</v>
      </c>
      <c r="BN25" s="13">
        <f t="shared" ca="1" si="39"/>
        <v>0</v>
      </c>
      <c r="BO25" s="13">
        <f t="shared" ca="1" si="40"/>
        <v>1400</v>
      </c>
      <c r="BP25" s="13">
        <f t="shared" ca="1" si="41"/>
        <v>277.80391813332562</v>
      </c>
      <c r="BQ25" s="13">
        <f t="shared" ca="1" si="42"/>
        <v>48477.039616341019</v>
      </c>
    </row>
    <row r="26" spans="1:69" x14ac:dyDescent="0.25">
      <c r="A26" s="1">
        <v>25</v>
      </c>
      <c r="B26" s="13">
        <f ca="1">IF(A26=1,IF(OR('My Loans'!$O$14="",'My Loans'!$O$14=0),0,INDIRECT("'My Loans'!$D"&amp;'My Loans'!$O$14)),AE25)</f>
        <v>0</v>
      </c>
      <c r="C26" s="13">
        <f ca="1">IF(OR('My Loans'!$O$14="",'My Loans'!$O$14=0),0,B26*INDIRECT("'My Loans'!$E"&amp;'My Loans'!$O$14)/12)</f>
        <v>0</v>
      </c>
      <c r="D26" s="13">
        <f ca="1">IF(OR('My Loans'!$O$14="",'My Loans'!$O$14=0),0,IF(B26&lt;0.005,0,MIN(INDIRECT("'My Loans'!$F"&amp;'My Loans'!$O$14),B26+C26)))</f>
        <v>0</v>
      </c>
      <c r="E26" s="13">
        <f ca="1">IF(A26=1,IF(OR('My Loans'!$O$15="",'My Loans'!$O$15=0),0,INDIRECT("'My Loans'!$D"&amp;'My Loans'!$O$15)),AJ25)</f>
        <v>2967.1833026799018</v>
      </c>
      <c r="F26" s="13">
        <f ca="1">IF(OR('My Loans'!$O$15="",'My Loans'!$O$15=0),0,E26*INDIRECT("'My Loans'!$E"&amp;'My Loans'!$O$15)/12)</f>
        <v>12.115998485942933</v>
      </c>
      <c r="G26" s="13">
        <f ca="1">IF(OR('My Loans'!$O$15="",'My Loans'!$O$15=0),0,IF(E26&lt;0.005,0,MIN(INDIRECT("'My Loans'!$F"&amp;'My Loans'!$O$15),E26+F26)))</f>
        <v>112</v>
      </c>
      <c r="H26" s="13">
        <f ca="1">IF(A26=1,IF(OR('My Loans'!$O$16="",'My Loans'!$O$16=0),0,INDIRECT("'My Loans'!$D"&amp;'My Loans'!$O$16)),AO25)</f>
        <v>10690.953318466458</v>
      </c>
      <c r="I26" s="13">
        <f ca="1">IF(OR('My Loans'!$O$16="",'My Loans'!$O$16=0),0,H26*INDIRECT("'My Loans'!$E"&amp;'My Loans'!$O$16)/12)</f>
        <v>49.000202709637932</v>
      </c>
      <c r="J26" s="13">
        <f ca="1">IF(OR('My Loans'!$O$16="",'My Loans'!$O$16=0),0,IF(H26&lt;0.005,0,MIN(INDIRECT("'My Loans'!$F"&amp;'My Loans'!$O$16),H26+I26)))</f>
        <v>142</v>
      </c>
      <c r="K26" s="13">
        <f ca="1">IF(A26=1,IF(OR('My Loans'!$O$17="",'My Loans'!$O$17=0),0,INDIRECT("'My Loans'!$D"&amp;'My Loans'!$O$17)),AT25)</f>
        <v>12665.437557393201</v>
      </c>
      <c r="L26" s="13">
        <f ca="1">IF(OR('My Loans'!$O$17="",'My Loans'!$O$17=0),0,K26*INDIRECT("'My Loans'!$E"&amp;'My Loans'!$O$17)/12)</f>
        <v>65.438094046531532</v>
      </c>
      <c r="M26" s="13">
        <f ca="1">IF(OR('My Loans'!$O$17="",'My Loans'!$O$17=0),0,IF(K26&lt;0.005,0,MIN(INDIRECT("'My Loans'!$F"&amp;'My Loans'!$O$17),K26+L26)))</f>
        <v>178</v>
      </c>
      <c r="N26" s="13">
        <f ca="1">IF(A26=1,IF(OR('My Loans'!$O$18="",'My Loans'!$O$18=0),0,INDIRECT("'My Loans'!$D"&amp;'My Loans'!$O$18)),AY25)</f>
        <v>22153.465437801457</v>
      </c>
      <c r="O26" s="13">
        <f ca="1">IF(OR('My Loans'!$O$18="",'My Loans'!$O$18=0),0,N26*INDIRECT("'My Loans'!$E"&amp;'My Loans'!$O$18)/12)</f>
        <v>145.84364746552626</v>
      </c>
      <c r="P26" s="13">
        <f ca="1">IF(OR('My Loans'!$O$18="",'My Loans'!$O$18=0),0,IF(N26&lt;0.005,0,MIN(INDIRECT("'My Loans'!$F"&amp;'My Loans'!$O$18),N26+O26)))</f>
        <v>410</v>
      </c>
      <c r="Q26" s="13">
        <f ca="1">IF(A26=1,IF(OR('My Loans'!$O$19="",'My Loans'!$O$19=0),0,INDIRECT("'My Loans'!$D"&amp;'My Loans'!$O$19)),BD25)</f>
        <v>0</v>
      </c>
      <c r="R26" s="13">
        <f ca="1">IF(OR('My Loans'!$O$19="",'My Loans'!$O$19=0),0,Q26*INDIRECT("'My Loans'!$E"&amp;'My Loans'!$O$19)/12)</f>
        <v>0</v>
      </c>
      <c r="S26" s="13">
        <f ca="1">IF(OR('My Loans'!$O$19="",'My Loans'!$O$19=0),0,IF(Q26&lt;0.005,0,MIN(INDIRECT("'My Loans'!$F"&amp;'My Loans'!$O$19),Q26+R26)))</f>
        <v>0</v>
      </c>
      <c r="T26" s="13">
        <f ca="1">IF(A26=1,IF(OR('My Loans'!$O$20="",'My Loans'!$O$20=0),0,INDIRECT("'My Loans'!$D"&amp;'My Loans'!$O$20)),BI25)</f>
        <v>0</v>
      </c>
      <c r="U26" s="13">
        <f ca="1">IF(OR('My Loans'!$O$20="",'My Loans'!$O$20=0),0,T26*INDIRECT("'My Loans'!$E"&amp;'My Loans'!$O$20)/12)</f>
        <v>0</v>
      </c>
      <c r="V26" s="13">
        <f ca="1">IF(OR('My Loans'!$O$20="",'My Loans'!$O$20=0),0,IF(T26&lt;0.005,0,MIN(INDIRECT("'My Loans'!$F"&amp;'My Loans'!$O$20),T26+U26)))</f>
        <v>0</v>
      </c>
      <c r="W26" s="13">
        <f ca="1">IF(A26=1,IF(OR('My Loans'!$O$21="",'My Loans'!$O$21=0),0,INDIRECT("'My Loans'!$D"&amp;'My Loans'!$O$21)),BN25)</f>
        <v>0</v>
      </c>
      <c r="X26" s="13">
        <f ca="1">IF(OR('My Loans'!$O$21="",'My Loans'!$O$21=0),0,W26*INDIRECT("'My Loans'!$E"&amp;'My Loans'!$O$21)/12)</f>
        <v>0</v>
      </c>
      <c r="Y26" s="13">
        <f ca="1">IF(OR('My Loans'!$O$21="",'My Loans'!$O$21=0),0,IF(W26&lt;0.005,0,MIN(INDIRECT("'My Loans'!$F"&amp;'My Loans'!$O$21),W26+X26)))</f>
        <v>0</v>
      </c>
      <c r="Z26" s="13">
        <f ca="1">'My Loans'!$B$13-(D26+G26+J26+M26+P26+S26+V26+Y26)</f>
        <v>558</v>
      </c>
      <c r="AA26" s="13">
        <f t="shared" ca="1" si="0"/>
        <v>558</v>
      </c>
      <c r="AB26" s="13">
        <f t="shared" ca="1" si="1"/>
        <v>0</v>
      </c>
      <c r="AC26" s="13">
        <f t="shared" ca="1" si="2"/>
        <v>0</v>
      </c>
      <c r="AD26" s="13">
        <f t="shared" ca="1" si="3"/>
        <v>0</v>
      </c>
      <c r="AE26" s="13">
        <f t="shared" ca="1" si="4"/>
        <v>0</v>
      </c>
      <c r="AF26" s="13">
        <f t="shared" ca="1" si="5"/>
        <v>558</v>
      </c>
      <c r="AG26" s="13">
        <f t="shared" ca="1" si="6"/>
        <v>2867.2993011658446</v>
      </c>
      <c r="AH26" s="13">
        <f t="shared" ca="1" si="7"/>
        <v>558</v>
      </c>
      <c r="AI26" s="13">
        <f t="shared" ca="1" si="8"/>
        <v>670</v>
      </c>
      <c r="AJ26" s="13">
        <f t="shared" ca="1" si="9"/>
        <v>2309.2993011658446</v>
      </c>
      <c r="AK26" s="13">
        <f t="shared" ca="1" si="10"/>
        <v>0</v>
      </c>
      <c r="AL26" s="13">
        <f t="shared" ca="1" si="11"/>
        <v>10597.953521176096</v>
      </c>
      <c r="AM26" s="13">
        <f t="shared" ca="1" si="12"/>
        <v>0</v>
      </c>
      <c r="AN26" s="13">
        <f t="shared" ca="1" si="13"/>
        <v>142</v>
      </c>
      <c r="AO26" s="13">
        <f t="shared" ca="1" si="14"/>
        <v>10597.953521176096</v>
      </c>
      <c r="AP26" s="13">
        <f t="shared" ca="1" si="15"/>
        <v>0</v>
      </c>
      <c r="AQ26" s="13">
        <f t="shared" ca="1" si="16"/>
        <v>12552.875651439732</v>
      </c>
      <c r="AR26" s="13">
        <f t="shared" ca="1" si="17"/>
        <v>0</v>
      </c>
      <c r="AS26" s="13">
        <f t="shared" ca="1" si="18"/>
        <v>178</v>
      </c>
      <c r="AT26" s="13">
        <f t="shared" ca="1" si="19"/>
        <v>12552.875651439732</v>
      </c>
      <c r="AU26" s="13">
        <f t="shared" ca="1" si="20"/>
        <v>0</v>
      </c>
      <c r="AV26" s="13">
        <f t="shared" ca="1" si="21"/>
        <v>21889.309085266981</v>
      </c>
      <c r="AW26" s="13">
        <f t="shared" ca="1" si="22"/>
        <v>0</v>
      </c>
      <c r="AX26" s="13">
        <f t="shared" ca="1" si="23"/>
        <v>410</v>
      </c>
      <c r="AY26" s="13">
        <f t="shared" ca="1" si="24"/>
        <v>21889.309085266981</v>
      </c>
      <c r="AZ26" s="13">
        <f t="shared" ca="1" si="25"/>
        <v>0</v>
      </c>
      <c r="BA26" s="13">
        <f t="shared" ca="1" si="26"/>
        <v>0</v>
      </c>
      <c r="BB26" s="13">
        <f t="shared" ca="1" si="27"/>
        <v>0</v>
      </c>
      <c r="BC26" s="13">
        <f t="shared" ca="1" si="28"/>
        <v>0</v>
      </c>
      <c r="BD26" s="13">
        <f t="shared" ca="1" si="29"/>
        <v>0</v>
      </c>
      <c r="BE26" s="13">
        <f t="shared" ca="1" si="30"/>
        <v>0</v>
      </c>
      <c r="BF26" s="13">
        <f t="shared" ca="1" si="31"/>
        <v>0</v>
      </c>
      <c r="BG26" s="13">
        <f t="shared" ca="1" si="32"/>
        <v>0</v>
      </c>
      <c r="BH26" s="13">
        <f t="shared" ca="1" si="33"/>
        <v>0</v>
      </c>
      <c r="BI26" s="13">
        <f t="shared" ca="1" si="34"/>
        <v>0</v>
      </c>
      <c r="BJ26" s="13">
        <f t="shared" ca="1" si="35"/>
        <v>0</v>
      </c>
      <c r="BK26" s="13">
        <f t="shared" ca="1" si="36"/>
        <v>0</v>
      </c>
      <c r="BL26" s="13">
        <f t="shared" ca="1" si="37"/>
        <v>0</v>
      </c>
      <c r="BM26" s="13">
        <f t="shared" ca="1" si="38"/>
        <v>0</v>
      </c>
      <c r="BN26" s="13">
        <f t="shared" ca="1" si="39"/>
        <v>0</v>
      </c>
      <c r="BO26" s="13">
        <f t="shared" ca="1" si="40"/>
        <v>1400</v>
      </c>
      <c r="BP26" s="13">
        <f t="shared" ca="1" si="41"/>
        <v>272.39794270763866</v>
      </c>
      <c r="BQ26" s="13">
        <f t="shared" ca="1" si="42"/>
        <v>47349.437559048652</v>
      </c>
    </row>
    <row r="27" spans="1:69" x14ac:dyDescent="0.25">
      <c r="A27" s="1">
        <v>26</v>
      </c>
      <c r="B27" s="13">
        <f ca="1">IF(A27=1,IF(OR('My Loans'!$O$14="",'My Loans'!$O$14=0),0,INDIRECT("'My Loans'!$D"&amp;'My Loans'!$O$14)),AE26)</f>
        <v>0</v>
      </c>
      <c r="C27" s="13">
        <f ca="1">IF(OR('My Loans'!$O$14="",'My Loans'!$O$14=0),0,B27*INDIRECT("'My Loans'!$E"&amp;'My Loans'!$O$14)/12)</f>
        <v>0</v>
      </c>
      <c r="D27" s="13">
        <f ca="1">IF(OR('My Loans'!$O$14="",'My Loans'!$O$14=0),0,IF(B27&lt;0.005,0,MIN(INDIRECT("'My Loans'!$F"&amp;'My Loans'!$O$14),B27+C27)))</f>
        <v>0</v>
      </c>
      <c r="E27" s="13">
        <f ca="1">IF(A27=1,IF(OR('My Loans'!$O$15="",'My Loans'!$O$15=0),0,INDIRECT("'My Loans'!$D"&amp;'My Loans'!$O$15)),AJ26)</f>
        <v>2309.2993011658446</v>
      </c>
      <c r="F27" s="13">
        <f ca="1">IF(OR('My Loans'!$O$15="",'My Loans'!$O$15=0),0,E27*INDIRECT("'My Loans'!$E"&amp;'My Loans'!$O$15)/12)</f>
        <v>9.4296388130938649</v>
      </c>
      <c r="G27" s="13">
        <f ca="1">IF(OR('My Loans'!$O$15="",'My Loans'!$O$15=0),0,IF(E27&lt;0.005,0,MIN(INDIRECT("'My Loans'!$F"&amp;'My Loans'!$O$15),E27+F27)))</f>
        <v>112</v>
      </c>
      <c r="H27" s="13">
        <f ca="1">IF(A27=1,IF(OR('My Loans'!$O$16="",'My Loans'!$O$16=0),0,INDIRECT("'My Loans'!$D"&amp;'My Loans'!$O$16)),AO26)</f>
        <v>10597.953521176096</v>
      </c>
      <c r="I27" s="13">
        <f ca="1">IF(OR('My Loans'!$O$16="",'My Loans'!$O$16=0),0,H27*INDIRECT("'My Loans'!$E"&amp;'My Loans'!$O$16)/12)</f>
        <v>48.573953638723772</v>
      </c>
      <c r="J27" s="13">
        <f ca="1">IF(OR('My Loans'!$O$16="",'My Loans'!$O$16=0),0,IF(H27&lt;0.005,0,MIN(INDIRECT("'My Loans'!$F"&amp;'My Loans'!$O$16),H27+I27)))</f>
        <v>142</v>
      </c>
      <c r="K27" s="13">
        <f ca="1">IF(A27=1,IF(OR('My Loans'!$O$17="",'My Loans'!$O$17=0),0,INDIRECT("'My Loans'!$D"&amp;'My Loans'!$O$17)),AT26)</f>
        <v>12552.875651439732</v>
      </c>
      <c r="L27" s="13">
        <f ca="1">IF(OR('My Loans'!$O$17="",'My Loans'!$O$17=0),0,K27*INDIRECT("'My Loans'!$E"&amp;'My Loans'!$O$17)/12)</f>
        <v>64.85652419910528</v>
      </c>
      <c r="M27" s="13">
        <f ca="1">IF(OR('My Loans'!$O$17="",'My Loans'!$O$17=0),0,IF(K27&lt;0.005,0,MIN(INDIRECT("'My Loans'!$F"&amp;'My Loans'!$O$17),K27+L27)))</f>
        <v>178</v>
      </c>
      <c r="N27" s="13">
        <f ca="1">IF(A27=1,IF(OR('My Loans'!$O$18="",'My Loans'!$O$18=0),0,INDIRECT("'My Loans'!$D"&amp;'My Loans'!$O$18)),AY26)</f>
        <v>21889.309085266981</v>
      </c>
      <c r="O27" s="13">
        <f ca="1">IF(OR('My Loans'!$O$18="",'My Loans'!$O$18=0),0,N27*INDIRECT("'My Loans'!$E"&amp;'My Loans'!$O$18)/12)</f>
        <v>144.10461814467428</v>
      </c>
      <c r="P27" s="13">
        <f ca="1">IF(OR('My Loans'!$O$18="",'My Loans'!$O$18=0),0,IF(N27&lt;0.005,0,MIN(INDIRECT("'My Loans'!$F"&amp;'My Loans'!$O$18),N27+O27)))</f>
        <v>410</v>
      </c>
      <c r="Q27" s="13">
        <f ca="1">IF(A27=1,IF(OR('My Loans'!$O$19="",'My Loans'!$O$19=0),0,INDIRECT("'My Loans'!$D"&amp;'My Loans'!$O$19)),BD26)</f>
        <v>0</v>
      </c>
      <c r="R27" s="13">
        <f ca="1">IF(OR('My Loans'!$O$19="",'My Loans'!$O$19=0),0,Q27*INDIRECT("'My Loans'!$E"&amp;'My Loans'!$O$19)/12)</f>
        <v>0</v>
      </c>
      <c r="S27" s="13">
        <f ca="1">IF(OR('My Loans'!$O$19="",'My Loans'!$O$19=0),0,IF(Q27&lt;0.005,0,MIN(INDIRECT("'My Loans'!$F"&amp;'My Loans'!$O$19),Q27+R27)))</f>
        <v>0</v>
      </c>
      <c r="T27" s="13">
        <f ca="1">IF(A27=1,IF(OR('My Loans'!$O$20="",'My Loans'!$O$20=0),0,INDIRECT("'My Loans'!$D"&amp;'My Loans'!$O$20)),BI26)</f>
        <v>0</v>
      </c>
      <c r="U27" s="13">
        <f ca="1">IF(OR('My Loans'!$O$20="",'My Loans'!$O$20=0),0,T27*INDIRECT("'My Loans'!$E"&amp;'My Loans'!$O$20)/12)</f>
        <v>0</v>
      </c>
      <c r="V27" s="13">
        <f ca="1">IF(OR('My Loans'!$O$20="",'My Loans'!$O$20=0),0,IF(T27&lt;0.005,0,MIN(INDIRECT("'My Loans'!$F"&amp;'My Loans'!$O$20),T27+U27)))</f>
        <v>0</v>
      </c>
      <c r="W27" s="13">
        <f ca="1">IF(A27=1,IF(OR('My Loans'!$O$21="",'My Loans'!$O$21=0),0,INDIRECT("'My Loans'!$D"&amp;'My Loans'!$O$21)),BN26)</f>
        <v>0</v>
      </c>
      <c r="X27" s="13">
        <f ca="1">IF(OR('My Loans'!$O$21="",'My Loans'!$O$21=0),0,W27*INDIRECT("'My Loans'!$E"&amp;'My Loans'!$O$21)/12)</f>
        <v>0</v>
      </c>
      <c r="Y27" s="13">
        <f ca="1">IF(OR('My Loans'!$O$21="",'My Loans'!$O$21=0),0,IF(W27&lt;0.005,0,MIN(INDIRECT("'My Loans'!$F"&amp;'My Loans'!$O$21),W27+X27)))</f>
        <v>0</v>
      </c>
      <c r="Z27" s="13">
        <f ca="1">'My Loans'!$B$13-(D27+G27+J27+M27+P27+S27+V27+Y27)</f>
        <v>558</v>
      </c>
      <c r="AA27" s="13">
        <f t="shared" ca="1" si="0"/>
        <v>558</v>
      </c>
      <c r="AB27" s="13">
        <f t="shared" ca="1" si="1"/>
        <v>0</v>
      </c>
      <c r="AC27" s="13">
        <f t="shared" ca="1" si="2"/>
        <v>0</v>
      </c>
      <c r="AD27" s="13">
        <f t="shared" ca="1" si="3"/>
        <v>0</v>
      </c>
      <c r="AE27" s="13">
        <f t="shared" ca="1" si="4"/>
        <v>0</v>
      </c>
      <c r="AF27" s="13">
        <f t="shared" ca="1" si="5"/>
        <v>558</v>
      </c>
      <c r="AG27" s="13">
        <f t="shared" ca="1" si="6"/>
        <v>2206.7289399789383</v>
      </c>
      <c r="AH27" s="13">
        <f t="shared" ca="1" si="7"/>
        <v>558</v>
      </c>
      <c r="AI27" s="13">
        <f t="shared" ca="1" si="8"/>
        <v>670</v>
      </c>
      <c r="AJ27" s="13">
        <f t="shared" ca="1" si="9"/>
        <v>1648.7289399789383</v>
      </c>
      <c r="AK27" s="13">
        <f t="shared" ca="1" si="10"/>
        <v>0</v>
      </c>
      <c r="AL27" s="13">
        <f t="shared" ca="1" si="11"/>
        <v>10504.52747481482</v>
      </c>
      <c r="AM27" s="13">
        <f t="shared" ca="1" si="12"/>
        <v>0</v>
      </c>
      <c r="AN27" s="13">
        <f t="shared" ca="1" si="13"/>
        <v>142</v>
      </c>
      <c r="AO27" s="13">
        <f t="shared" ca="1" si="14"/>
        <v>10504.52747481482</v>
      </c>
      <c r="AP27" s="13">
        <f t="shared" ca="1" si="15"/>
        <v>0</v>
      </c>
      <c r="AQ27" s="13">
        <f t="shared" ca="1" si="16"/>
        <v>12439.732175638837</v>
      </c>
      <c r="AR27" s="13">
        <f t="shared" ca="1" si="17"/>
        <v>0</v>
      </c>
      <c r="AS27" s="13">
        <f t="shared" ca="1" si="18"/>
        <v>178</v>
      </c>
      <c r="AT27" s="13">
        <f t="shared" ca="1" si="19"/>
        <v>12439.732175638837</v>
      </c>
      <c r="AU27" s="13">
        <f t="shared" ca="1" si="20"/>
        <v>0</v>
      </c>
      <c r="AV27" s="13">
        <f t="shared" ca="1" si="21"/>
        <v>21623.413703411654</v>
      </c>
      <c r="AW27" s="13">
        <f t="shared" ca="1" si="22"/>
        <v>0</v>
      </c>
      <c r="AX27" s="13">
        <f t="shared" ca="1" si="23"/>
        <v>410</v>
      </c>
      <c r="AY27" s="13">
        <f t="shared" ca="1" si="24"/>
        <v>21623.413703411654</v>
      </c>
      <c r="AZ27" s="13">
        <f t="shared" ca="1" si="25"/>
        <v>0</v>
      </c>
      <c r="BA27" s="13">
        <f t="shared" ca="1" si="26"/>
        <v>0</v>
      </c>
      <c r="BB27" s="13">
        <f t="shared" ca="1" si="27"/>
        <v>0</v>
      </c>
      <c r="BC27" s="13">
        <f t="shared" ca="1" si="28"/>
        <v>0</v>
      </c>
      <c r="BD27" s="13">
        <f t="shared" ca="1" si="29"/>
        <v>0</v>
      </c>
      <c r="BE27" s="13">
        <f t="shared" ca="1" si="30"/>
        <v>0</v>
      </c>
      <c r="BF27" s="13">
        <f t="shared" ca="1" si="31"/>
        <v>0</v>
      </c>
      <c r="BG27" s="13">
        <f t="shared" ca="1" si="32"/>
        <v>0</v>
      </c>
      <c r="BH27" s="13">
        <f t="shared" ca="1" si="33"/>
        <v>0</v>
      </c>
      <c r="BI27" s="13">
        <f t="shared" ca="1" si="34"/>
        <v>0</v>
      </c>
      <c r="BJ27" s="13">
        <f t="shared" ca="1" si="35"/>
        <v>0</v>
      </c>
      <c r="BK27" s="13">
        <f t="shared" ca="1" si="36"/>
        <v>0</v>
      </c>
      <c r="BL27" s="13">
        <f t="shared" ca="1" si="37"/>
        <v>0</v>
      </c>
      <c r="BM27" s="13">
        <f t="shared" ca="1" si="38"/>
        <v>0</v>
      </c>
      <c r="BN27" s="13">
        <f t="shared" ca="1" si="39"/>
        <v>0</v>
      </c>
      <c r="BO27" s="13">
        <f t="shared" ca="1" si="40"/>
        <v>1400</v>
      </c>
      <c r="BP27" s="13">
        <f t="shared" ca="1" si="41"/>
        <v>266.96473479559722</v>
      </c>
      <c r="BQ27" s="13">
        <f t="shared" ca="1" si="42"/>
        <v>46216.40229384425</v>
      </c>
    </row>
    <row r="28" spans="1:69" x14ac:dyDescent="0.25">
      <c r="A28" s="1">
        <v>27</v>
      </c>
      <c r="B28" s="13">
        <f ca="1">IF(A28=1,IF(OR('My Loans'!$O$14="",'My Loans'!$O$14=0),0,INDIRECT("'My Loans'!$D"&amp;'My Loans'!$O$14)),AE27)</f>
        <v>0</v>
      </c>
      <c r="C28" s="13">
        <f ca="1">IF(OR('My Loans'!$O$14="",'My Loans'!$O$14=0),0,B28*INDIRECT("'My Loans'!$E"&amp;'My Loans'!$O$14)/12)</f>
        <v>0</v>
      </c>
      <c r="D28" s="13">
        <f ca="1">IF(OR('My Loans'!$O$14="",'My Loans'!$O$14=0),0,IF(B28&lt;0.005,0,MIN(INDIRECT("'My Loans'!$F"&amp;'My Loans'!$O$14),B28+C28)))</f>
        <v>0</v>
      </c>
      <c r="E28" s="13">
        <f ca="1">IF(A28=1,IF(OR('My Loans'!$O$15="",'My Loans'!$O$15=0),0,INDIRECT("'My Loans'!$D"&amp;'My Loans'!$O$15)),AJ27)</f>
        <v>1648.7289399789383</v>
      </c>
      <c r="F28" s="13">
        <f ca="1">IF(OR('My Loans'!$O$15="",'My Loans'!$O$15=0),0,E28*INDIRECT("'My Loans'!$E"&amp;'My Loans'!$O$15)/12)</f>
        <v>6.7323098382473319</v>
      </c>
      <c r="G28" s="13">
        <f ca="1">IF(OR('My Loans'!$O$15="",'My Loans'!$O$15=0),0,IF(E28&lt;0.005,0,MIN(INDIRECT("'My Loans'!$F"&amp;'My Loans'!$O$15),E28+F28)))</f>
        <v>112</v>
      </c>
      <c r="H28" s="13">
        <f ca="1">IF(A28=1,IF(OR('My Loans'!$O$16="",'My Loans'!$O$16=0),0,INDIRECT("'My Loans'!$D"&amp;'My Loans'!$O$16)),AO27)</f>
        <v>10504.52747481482</v>
      </c>
      <c r="I28" s="13">
        <f ca="1">IF(OR('My Loans'!$O$16="",'My Loans'!$O$16=0),0,H28*INDIRECT("'My Loans'!$E"&amp;'My Loans'!$O$16)/12)</f>
        <v>48.145750926234598</v>
      </c>
      <c r="J28" s="13">
        <f ca="1">IF(OR('My Loans'!$O$16="",'My Loans'!$O$16=0),0,IF(H28&lt;0.005,0,MIN(INDIRECT("'My Loans'!$F"&amp;'My Loans'!$O$16),H28+I28)))</f>
        <v>142</v>
      </c>
      <c r="K28" s="13">
        <f ca="1">IF(A28=1,IF(OR('My Loans'!$O$17="",'My Loans'!$O$17=0),0,INDIRECT("'My Loans'!$D"&amp;'My Loans'!$O$17)),AT27)</f>
        <v>12439.732175638837</v>
      </c>
      <c r="L28" s="13">
        <f ca="1">IF(OR('My Loans'!$O$17="",'My Loans'!$O$17=0),0,K28*INDIRECT("'My Loans'!$E"&amp;'My Loans'!$O$17)/12)</f>
        <v>64.271949574133984</v>
      </c>
      <c r="M28" s="13">
        <f ca="1">IF(OR('My Loans'!$O$17="",'My Loans'!$O$17=0),0,IF(K28&lt;0.005,0,MIN(INDIRECT("'My Loans'!$F"&amp;'My Loans'!$O$17),K28+L28)))</f>
        <v>178</v>
      </c>
      <c r="N28" s="13">
        <f ca="1">IF(A28=1,IF(OR('My Loans'!$O$18="",'My Loans'!$O$18=0),0,INDIRECT("'My Loans'!$D"&amp;'My Loans'!$O$18)),AY27)</f>
        <v>21623.413703411654</v>
      </c>
      <c r="O28" s="13">
        <f ca="1">IF(OR('My Loans'!$O$18="",'My Loans'!$O$18=0),0,N28*INDIRECT("'My Loans'!$E"&amp;'My Loans'!$O$18)/12)</f>
        <v>142.35414021412672</v>
      </c>
      <c r="P28" s="13">
        <f ca="1">IF(OR('My Loans'!$O$18="",'My Loans'!$O$18=0),0,IF(N28&lt;0.005,0,MIN(INDIRECT("'My Loans'!$F"&amp;'My Loans'!$O$18),N28+O28)))</f>
        <v>410</v>
      </c>
      <c r="Q28" s="13">
        <f ca="1">IF(A28=1,IF(OR('My Loans'!$O$19="",'My Loans'!$O$19=0),0,INDIRECT("'My Loans'!$D"&amp;'My Loans'!$O$19)),BD27)</f>
        <v>0</v>
      </c>
      <c r="R28" s="13">
        <f ca="1">IF(OR('My Loans'!$O$19="",'My Loans'!$O$19=0),0,Q28*INDIRECT("'My Loans'!$E"&amp;'My Loans'!$O$19)/12)</f>
        <v>0</v>
      </c>
      <c r="S28" s="13">
        <f ca="1">IF(OR('My Loans'!$O$19="",'My Loans'!$O$19=0),0,IF(Q28&lt;0.005,0,MIN(INDIRECT("'My Loans'!$F"&amp;'My Loans'!$O$19),Q28+R28)))</f>
        <v>0</v>
      </c>
      <c r="T28" s="13">
        <f ca="1">IF(A28=1,IF(OR('My Loans'!$O$20="",'My Loans'!$O$20=0),0,INDIRECT("'My Loans'!$D"&amp;'My Loans'!$O$20)),BI27)</f>
        <v>0</v>
      </c>
      <c r="U28" s="13">
        <f ca="1">IF(OR('My Loans'!$O$20="",'My Loans'!$O$20=0),0,T28*INDIRECT("'My Loans'!$E"&amp;'My Loans'!$O$20)/12)</f>
        <v>0</v>
      </c>
      <c r="V28" s="13">
        <f ca="1">IF(OR('My Loans'!$O$20="",'My Loans'!$O$20=0),0,IF(T28&lt;0.005,0,MIN(INDIRECT("'My Loans'!$F"&amp;'My Loans'!$O$20),T28+U28)))</f>
        <v>0</v>
      </c>
      <c r="W28" s="13">
        <f ca="1">IF(A28=1,IF(OR('My Loans'!$O$21="",'My Loans'!$O$21=0),0,INDIRECT("'My Loans'!$D"&amp;'My Loans'!$O$21)),BN27)</f>
        <v>0</v>
      </c>
      <c r="X28" s="13">
        <f ca="1">IF(OR('My Loans'!$O$21="",'My Loans'!$O$21=0),0,W28*INDIRECT("'My Loans'!$E"&amp;'My Loans'!$O$21)/12)</f>
        <v>0</v>
      </c>
      <c r="Y28" s="13">
        <f ca="1">IF(OR('My Loans'!$O$21="",'My Loans'!$O$21=0),0,IF(W28&lt;0.005,0,MIN(INDIRECT("'My Loans'!$F"&amp;'My Loans'!$O$21),W28+X28)))</f>
        <v>0</v>
      </c>
      <c r="Z28" s="13">
        <f ca="1">'My Loans'!$B$13-(D28+G28+J28+M28+P28+S28+V28+Y28)</f>
        <v>558</v>
      </c>
      <c r="AA28" s="13">
        <f t="shared" ca="1" si="0"/>
        <v>558</v>
      </c>
      <c r="AB28" s="13">
        <f t="shared" ca="1" si="1"/>
        <v>0</v>
      </c>
      <c r="AC28" s="13">
        <f t="shared" ca="1" si="2"/>
        <v>0</v>
      </c>
      <c r="AD28" s="13">
        <f t="shared" ca="1" si="3"/>
        <v>0</v>
      </c>
      <c r="AE28" s="13">
        <f t="shared" ca="1" si="4"/>
        <v>0</v>
      </c>
      <c r="AF28" s="13">
        <f t="shared" ca="1" si="5"/>
        <v>558</v>
      </c>
      <c r="AG28" s="13">
        <f t="shared" ca="1" si="6"/>
        <v>1543.4612498171857</v>
      </c>
      <c r="AH28" s="13">
        <f t="shared" ca="1" si="7"/>
        <v>558</v>
      </c>
      <c r="AI28" s="13">
        <f t="shared" ca="1" si="8"/>
        <v>670</v>
      </c>
      <c r="AJ28" s="13">
        <f t="shared" ca="1" si="9"/>
        <v>985.46124981718572</v>
      </c>
      <c r="AK28" s="13">
        <f t="shared" ca="1" si="10"/>
        <v>0</v>
      </c>
      <c r="AL28" s="13">
        <f t="shared" ca="1" si="11"/>
        <v>10410.673225741055</v>
      </c>
      <c r="AM28" s="13">
        <f t="shared" ca="1" si="12"/>
        <v>0</v>
      </c>
      <c r="AN28" s="13">
        <f t="shared" ca="1" si="13"/>
        <v>142</v>
      </c>
      <c r="AO28" s="13">
        <f t="shared" ca="1" si="14"/>
        <v>10410.673225741055</v>
      </c>
      <c r="AP28" s="13">
        <f t="shared" ca="1" si="15"/>
        <v>0</v>
      </c>
      <c r="AQ28" s="13">
        <f t="shared" ca="1" si="16"/>
        <v>12326.004125212972</v>
      </c>
      <c r="AR28" s="13">
        <f t="shared" ca="1" si="17"/>
        <v>0</v>
      </c>
      <c r="AS28" s="13">
        <f t="shared" ca="1" si="18"/>
        <v>178</v>
      </c>
      <c r="AT28" s="13">
        <f t="shared" ca="1" si="19"/>
        <v>12326.004125212972</v>
      </c>
      <c r="AU28" s="13">
        <f t="shared" ca="1" si="20"/>
        <v>0</v>
      </c>
      <c r="AV28" s="13">
        <f t="shared" ca="1" si="21"/>
        <v>21355.767843625781</v>
      </c>
      <c r="AW28" s="13">
        <f t="shared" ca="1" si="22"/>
        <v>0</v>
      </c>
      <c r="AX28" s="13">
        <f t="shared" ca="1" si="23"/>
        <v>410</v>
      </c>
      <c r="AY28" s="13">
        <f t="shared" ca="1" si="24"/>
        <v>21355.767843625781</v>
      </c>
      <c r="AZ28" s="13">
        <f t="shared" ca="1" si="25"/>
        <v>0</v>
      </c>
      <c r="BA28" s="13">
        <f t="shared" ca="1" si="26"/>
        <v>0</v>
      </c>
      <c r="BB28" s="13">
        <f t="shared" ca="1" si="27"/>
        <v>0</v>
      </c>
      <c r="BC28" s="13">
        <f t="shared" ca="1" si="28"/>
        <v>0</v>
      </c>
      <c r="BD28" s="13">
        <f t="shared" ca="1" si="29"/>
        <v>0</v>
      </c>
      <c r="BE28" s="13">
        <f t="shared" ca="1" si="30"/>
        <v>0</v>
      </c>
      <c r="BF28" s="13">
        <f t="shared" ca="1" si="31"/>
        <v>0</v>
      </c>
      <c r="BG28" s="13">
        <f t="shared" ca="1" si="32"/>
        <v>0</v>
      </c>
      <c r="BH28" s="13">
        <f t="shared" ca="1" si="33"/>
        <v>0</v>
      </c>
      <c r="BI28" s="13">
        <f t="shared" ca="1" si="34"/>
        <v>0</v>
      </c>
      <c r="BJ28" s="13">
        <f t="shared" ca="1" si="35"/>
        <v>0</v>
      </c>
      <c r="BK28" s="13">
        <f t="shared" ca="1" si="36"/>
        <v>0</v>
      </c>
      <c r="BL28" s="13">
        <f t="shared" ca="1" si="37"/>
        <v>0</v>
      </c>
      <c r="BM28" s="13">
        <f t="shared" ca="1" si="38"/>
        <v>0</v>
      </c>
      <c r="BN28" s="13">
        <f t="shared" ca="1" si="39"/>
        <v>0</v>
      </c>
      <c r="BO28" s="13">
        <f t="shared" ca="1" si="40"/>
        <v>1400</v>
      </c>
      <c r="BP28" s="13">
        <f t="shared" ca="1" si="41"/>
        <v>261.50415055274266</v>
      </c>
      <c r="BQ28" s="13">
        <f t="shared" ca="1" si="42"/>
        <v>45077.906444396998</v>
      </c>
    </row>
    <row r="29" spans="1:69" x14ac:dyDescent="0.25">
      <c r="A29" s="1">
        <v>28</v>
      </c>
      <c r="B29" s="13">
        <f ca="1">IF(A29=1,IF(OR('My Loans'!$O$14="",'My Loans'!$O$14=0),0,INDIRECT("'My Loans'!$D"&amp;'My Loans'!$O$14)),AE28)</f>
        <v>0</v>
      </c>
      <c r="C29" s="13">
        <f ca="1">IF(OR('My Loans'!$O$14="",'My Loans'!$O$14=0),0,B29*INDIRECT("'My Loans'!$E"&amp;'My Loans'!$O$14)/12)</f>
        <v>0</v>
      </c>
      <c r="D29" s="13">
        <f ca="1">IF(OR('My Loans'!$O$14="",'My Loans'!$O$14=0),0,IF(B29&lt;0.005,0,MIN(INDIRECT("'My Loans'!$F"&amp;'My Loans'!$O$14),B29+C29)))</f>
        <v>0</v>
      </c>
      <c r="E29" s="13">
        <f ca="1">IF(A29=1,IF(OR('My Loans'!$O$15="",'My Loans'!$O$15=0),0,INDIRECT("'My Loans'!$D"&amp;'My Loans'!$O$15)),AJ28)</f>
        <v>985.46124981718572</v>
      </c>
      <c r="F29" s="13">
        <f ca="1">IF(OR('My Loans'!$O$15="",'My Loans'!$O$15=0),0,E29*INDIRECT("'My Loans'!$E"&amp;'My Loans'!$O$15)/12)</f>
        <v>4.023966770086842</v>
      </c>
      <c r="G29" s="13">
        <f ca="1">IF(OR('My Loans'!$O$15="",'My Loans'!$O$15=0),0,IF(E29&lt;0.005,0,MIN(INDIRECT("'My Loans'!$F"&amp;'My Loans'!$O$15),E29+F29)))</f>
        <v>112</v>
      </c>
      <c r="H29" s="13">
        <f ca="1">IF(A29=1,IF(OR('My Loans'!$O$16="",'My Loans'!$O$16=0),0,INDIRECT("'My Loans'!$D"&amp;'My Loans'!$O$16)),AO28)</f>
        <v>10410.673225741055</v>
      </c>
      <c r="I29" s="13">
        <f ca="1">IF(OR('My Loans'!$O$16="",'My Loans'!$O$16=0),0,H29*INDIRECT("'My Loans'!$E"&amp;'My Loans'!$O$16)/12)</f>
        <v>47.715585617979833</v>
      </c>
      <c r="J29" s="13">
        <f ca="1">IF(OR('My Loans'!$O$16="",'My Loans'!$O$16=0),0,IF(H29&lt;0.005,0,MIN(INDIRECT("'My Loans'!$F"&amp;'My Loans'!$O$16),H29+I29)))</f>
        <v>142</v>
      </c>
      <c r="K29" s="13">
        <f ca="1">IF(A29=1,IF(OR('My Loans'!$O$17="",'My Loans'!$O$17=0),0,INDIRECT("'My Loans'!$D"&amp;'My Loans'!$O$17)),AT28)</f>
        <v>12326.004125212972</v>
      </c>
      <c r="L29" s="13">
        <f ca="1">IF(OR('My Loans'!$O$17="",'My Loans'!$O$17=0),0,K29*INDIRECT("'My Loans'!$E"&amp;'My Loans'!$O$17)/12)</f>
        <v>63.684354646933691</v>
      </c>
      <c r="M29" s="13">
        <f ca="1">IF(OR('My Loans'!$O$17="",'My Loans'!$O$17=0),0,IF(K29&lt;0.005,0,MIN(INDIRECT("'My Loans'!$F"&amp;'My Loans'!$O$17),K29+L29)))</f>
        <v>178</v>
      </c>
      <c r="N29" s="13">
        <f ca="1">IF(A29=1,IF(OR('My Loans'!$O$18="",'My Loans'!$O$18=0),0,INDIRECT("'My Loans'!$D"&amp;'My Loans'!$O$18)),AY28)</f>
        <v>21355.767843625781</v>
      </c>
      <c r="O29" s="13">
        <f ca="1">IF(OR('My Loans'!$O$18="",'My Loans'!$O$18=0),0,N29*INDIRECT("'My Loans'!$E"&amp;'My Loans'!$O$18)/12)</f>
        <v>140.59213830386975</v>
      </c>
      <c r="P29" s="13">
        <f ca="1">IF(OR('My Loans'!$O$18="",'My Loans'!$O$18=0),0,IF(N29&lt;0.005,0,MIN(INDIRECT("'My Loans'!$F"&amp;'My Loans'!$O$18),N29+O29)))</f>
        <v>410</v>
      </c>
      <c r="Q29" s="13">
        <f ca="1">IF(A29=1,IF(OR('My Loans'!$O$19="",'My Loans'!$O$19=0),0,INDIRECT("'My Loans'!$D"&amp;'My Loans'!$O$19)),BD28)</f>
        <v>0</v>
      </c>
      <c r="R29" s="13">
        <f ca="1">IF(OR('My Loans'!$O$19="",'My Loans'!$O$19=0),0,Q29*INDIRECT("'My Loans'!$E"&amp;'My Loans'!$O$19)/12)</f>
        <v>0</v>
      </c>
      <c r="S29" s="13">
        <f ca="1">IF(OR('My Loans'!$O$19="",'My Loans'!$O$19=0),0,IF(Q29&lt;0.005,0,MIN(INDIRECT("'My Loans'!$F"&amp;'My Loans'!$O$19),Q29+R29)))</f>
        <v>0</v>
      </c>
      <c r="T29" s="13">
        <f ca="1">IF(A29=1,IF(OR('My Loans'!$O$20="",'My Loans'!$O$20=0),0,INDIRECT("'My Loans'!$D"&amp;'My Loans'!$O$20)),BI28)</f>
        <v>0</v>
      </c>
      <c r="U29" s="13">
        <f ca="1">IF(OR('My Loans'!$O$20="",'My Loans'!$O$20=0),0,T29*INDIRECT("'My Loans'!$E"&amp;'My Loans'!$O$20)/12)</f>
        <v>0</v>
      </c>
      <c r="V29" s="13">
        <f ca="1">IF(OR('My Loans'!$O$20="",'My Loans'!$O$20=0),0,IF(T29&lt;0.005,0,MIN(INDIRECT("'My Loans'!$F"&amp;'My Loans'!$O$20),T29+U29)))</f>
        <v>0</v>
      </c>
      <c r="W29" s="13">
        <f ca="1">IF(A29=1,IF(OR('My Loans'!$O$21="",'My Loans'!$O$21=0),0,INDIRECT("'My Loans'!$D"&amp;'My Loans'!$O$21)),BN28)</f>
        <v>0</v>
      </c>
      <c r="X29" s="13">
        <f ca="1">IF(OR('My Loans'!$O$21="",'My Loans'!$O$21=0),0,W29*INDIRECT("'My Loans'!$E"&amp;'My Loans'!$O$21)/12)</f>
        <v>0</v>
      </c>
      <c r="Y29" s="13">
        <f ca="1">IF(OR('My Loans'!$O$21="",'My Loans'!$O$21=0),0,IF(W29&lt;0.005,0,MIN(INDIRECT("'My Loans'!$F"&amp;'My Loans'!$O$21),W29+X29)))</f>
        <v>0</v>
      </c>
      <c r="Z29" s="13">
        <f ca="1">'My Loans'!$B$13-(D29+G29+J29+M29+P29+S29+V29+Y29)</f>
        <v>558</v>
      </c>
      <c r="AA29" s="13">
        <f t="shared" ca="1" si="0"/>
        <v>558</v>
      </c>
      <c r="AB29" s="13">
        <f t="shared" ca="1" si="1"/>
        <v>0</v>
      </c>
      <c r="AC29" s="13">
        <f t="shared" ca="1" si="2"/>
        <v>0</v>
      </c>
      <c r="AD29" s="13">
        <f t="shared" ca="1" si="3"/>
        <v>0</v>
      </c>
      <c r="AE29" s="13">
        <f t="shared" ca="1" si="4"/>
        <v>0</v>
      </c>
      <c r="AF29" s="13">
        <f t="shared" ca="1" si="5"/>
        <v>558</v>
      </c>
      <c r="AG29" s="13">
        <f t="shared" ca="1" si="6"/>
        <v>877.48521658727259</v>
      </c>
      <c r="AH29" s="13">
        <f t="shared" ca="1" si="7"/>
        <v>558</v>
      </c>
      <c r="AI29" s="13">
        <f t="shared" ca="1" si="8"/>
        <v>670</v>
      </c>
      <c r="AJ29" s="13">
        <f t="shared" ca="1" si="9"/>
        <v>319.48521658727259</v>
      </c>
      <c r="AK29" s="13">
        <f t="shared" ca="1" si="10"/>
        <v>0</v>
      </c>
      <c r="AL29" s="13">
        <f t="shared" ca="1" si="11"/>
        <v>10316.388811359035</v>
      </c>
      <c r="AM29" s="13">
        <f t="shared" ca="1" si="12"/>
        <v>0</v>
      </c>
      <c r="AN29" s="13">
        <f t="shared" ca="1" si="13"/>
        <v>142</v>
      </c>
      <c r="AO29" s="13">
        <f t="shared" ca="1" si="14"/>
        <v>10316.388811359035</v>
      </c>
      <c r="AP29" s="13">
        <f t="shared" ca="1" si="15"/>
        <v>0</v>
      </c>
      <c r="AQ29" s="13">
        <f t="shared" ca="1" si="16"/>
        <v>12211.688479859906</v>
      </c>
      <c r="AR29" s="13">
        <f t="shared" ca="1" si="17"/>
        <v>0</v>
      </c>
      <c r="AS29" s="13">
        <f t="shared" ca="1" si="18"/>
        <v>178</v>
      </c>
      <c r="AT29" s="13">
        <f t="shared" ca="1" si="19"/>
        <v>12211.688479859906</v>
      </c>
      <c r="AU29" s="13">
        <f t="shared" ca="1" si="20"/>
        <v>0</v>
      </c>
      <c r="AV29" s="13">
        <f t="shared" ca="1" si="21"/>
        <v>21086.359981929651</v>
      </c>
      <c r="AW29" s="13">
        <f t="shared" ca="1" si="22"/>
        <v>0</v>
      </c>
      <c r="AX29" s="13">
        <f t="shared" ca="1" si="23"/>
        <v>410</v>
      </c>
      <c r="AY29" s="13">
        <f t="shared" ca="1" si="24"/>
        <v>21086.359981929651</v>
      </c>
      <c r="AZ29" s="13">
        <f t="shared" ca="1" si="25"/>
        <v>0</v>
      </c>
      <c r="BA29" s="13">
        <f t="shared" ca="1" si="26"/>
        <v>0</v>
      </c>
      <c r="BB29" s="13">
        <f t="shared" ca="1" si="27"/>
        <v>0</v>
      </c>
      <c r="BC29" s="13">
        <f t="shared" ca="1" si="28"/>
        <v>0</v>
      </c>
      <c r="BD29" s="13">
        <f t="shared" ca="1" si="29"/>
        <v>0</v>
      </c>
      <c r="BE29" s="13">
        <f t="shared" ca="1" si="30"/>
        <v>0</v>
      </c>
      <c r="BF29" s="13">
        <f t="shared" ca="1" si="31"/>
        <v>0</v>
      </c>
      <c r="BG29" s="13">
        <f t="shared" ca="1" si="32"/>
        <v>0</v>
      </c>
      <c r="BH29" s="13">
        <f t="shared" ca="1" si="33"/>
        <v>0</v>
      </c>
      <c r="BI29" s="13">
        <f t="shared" ca="1" si="34"/>
        <v>0</v>
      </c>
      <c r="BJ29" s="13">
        <f t="shared" ca="1" si="35"/>
        <v>0</v>
      </c>
      <c r="BK29" s="13">
        <f t="shared" ca="1" si="36"/>
        <v>0</v>
      </c>
      <c r="BL29" s="13">
        <f t="shared" ca="1" si="37"/>
        <v>0</v>
      </c>
      <c r="BM29" s="13">
        <f t="shared" ca="1" si="38"/>
        <v>0</v>
      </c>
      <c r="BN29" s="13">
        <f t="shared" ca="1" si="39"/>
        <v>0</v>
      </c>
      <c r="BO29" s="13">
        <f t="shared" ca="1" si="40"/>
        <v>1400</v>
      </c>
      <c r="BP29" s="13">
        <f t="shared" ca="1" si="41"/>
        <v>256.01604533887013</v>
      </c>
      <c r="BQ29" s="13">
        <f t="shared" ca="1" si="42"/>
        <v>43933.922489735865</v>
      </c>
    </row>
    <row r="30" spans="1:69" x14ac:dyDescent="0.25">
      <c r="A30" s="1">
        <v>29</v>
      </c>
      <c r="B30" s="13">
        <f ca="1">IF(A30=1,IF(OR('My Loans'!$O$14="",'My Loans'!$O$14=0),0,INDIRECT("'My Loans'!$D"&amp;'My Loans'!$O$14)),AE29)</f>
        <v>0</v>
      </c>
      <c r="C30" s="13">
        <f ca="1">IF(OR('My Loans'!$O$14="",'My Loans'!$O$14=0),0,B30*INDIRECT("'My Loans'!$E"&amp;'My Loans'!$O$14)/12)</f>
        <v>0</v>
      </c>
      <c r="D30" s="13">
        <f ca="1">IF(OR('My Loans'!$O$14="",'My Loans'!$O$14=0),0,IF(B30&lt;0.005,0,MIN(INDIRECT("'My Loans'!$F"&amp;'My Loans'!$O$14),B30+C30)))</f>
        <v>0</v>
      </c>
      <c r="E30" s="13">
        <f ca="1">IF(A30=1,IF(OR('My Loans'!$O$15="",'My Loans'!$O$15=0),0,INDIRECT("'My Loans'!$D"&amp;'My Loans'!$O$15)),AJ29)</f>
        <v>319.48521658727259</v>
      </c>
      <c r="F30" s="13">
        <f ca="1">IF(OR('My Loans'!$O$15="",'My Loans'!$O$15=0),0,E30*INDIRECT("'My Loans'!$E"&amp;'My Loans'!$O$15)/12)</f>
        <v>1.3045646343980297</v>
      </c>
      <c r="G30" s="13">
        <f ca="1">IF(OR('My Loans'!$O$15="",'My Loans'!$O$15=0),0,IF(E30&lt;0.005,0,MIN(INDIRECT("'My Loans'!$F"&amp;'My Loans'!$O$15),E30+F30)))</f>
        <v>112</v>
      </c>
      <c r="H30" s="13">
        <f ca="1">IF(A30=1,IF(OR('My Loans'!$O$16="",'My Loans'!$O$16=0),0,INDIRECT("'My Loans'!$D"&amp;'My Loans'!$O$16)),AO29)</f>
        <v>10316.388811359035</v>
      </c>
      <c r="I30" s="13">
        <f ca="1">IF(OR('My Loans'!$O$16="",'My Loans'!$O$16=0),0,H30*INDIRECT("'My Loans'!$E"&amp;'My Loans'!$O$16)/12)</f>
        <v>47.283448718728913</v>
      </c>
      <c r="J30" s="13">
        <f ca="1">IF(OR('My Loans'!$O$16="",'My Loans'!$O$16=0),0,IF(H30&lt;0.005,0,MIN(INDIRECT("'My Loans'!$F"&amp;'My Loans'!$O$16),H30+I30)))</f>
        <v>142</v>
      </c>
      <c r="K30" s="13">
        <f ca="1">IF(A30=1,IF(OR('My Loans'!$O$17="",'My Loans'!$O$17=0),0,INDIRECT("'My Loans'!$D"&amp;'My Loans'!$O$17)),AT29)</f>
        <v>12211.688479859906</v>
      </c>
      <c r="L30" s="13">
        <f ca="1">IF(OR('My Loans'!$O$17="",'My Loans'!$O$17=0),0,K30*INDIRECT("'My Loans'!$E"&amp;'My Loans'!$O$17)/12)</f>
        <v>63.093723812609511</v>
      </c>
      <c r="M30" s="13">
        <f ca="1">IF(OR('My Loans'!$O$17="",'My Loans'!$O$17=0),0,IF(K30&lt;0.005,0,MIN(INDIRECT("'My Loans'!$F"&amp;'My Loans'!$O$17),K30+L30)))</f>
        <v>178</v>
      </c>
      <c r="N30" s="13">
        <f ca="1">IF(A30=1,IF(OR('My Loans'!$O$18="",'My Loans'!$O$18=0),0,INDIRECT("'My Loans'!$D"&amp;'My Loans'!$O$18)),AY29)</f>
        <v>21086.359981929651</v>
      </c>
      <c r="O30" s="13">
        <f ca="1">IF(OR('My Loans'!$O$18="",'My Loans'!$O$18=0),0,N30*INDIRECT("'My Loans'!$E"&amp;'My Loans'!$O$18)/12)</f>
        <v>138.81853654770353</v>
      </c>
      <c r="P30" s="13">
        <f ca="1">IF(OR('My Loans'!$O$18="",'My Loans'!$O$18=0),0,IF(N30&lt;0.005,0,MIN(INDIRECT("'My Loans'!$F"&amp;'My Loans'!$O$18),N30+O30)))</f>
        <v>410</v>
      </c>
      <c r="Q30" s="13">
        <f ca="1">IF(A30=1,IF(OR('My Loans'!$O$19="",'My Loans'!$O$19=0),0,INDIRECT("'My Loans'!$D"&amp;'My Loans'!$O$19)),BD29)</f>
        <v>0</v>
      </c>
      <c r="R30" s="13">
        <f ca="1">IF(OR('My Loans'!$O$19="",'My Loans'!$O$19=0),0,Q30*INDIRECT("'My Loans'!$E"&amp;'My Loans'!$O$19)/12)</f>
        <v>0</v>
      </c>
      <c r="S30" s="13">
        <f ca="1">IF(OR('My Loans'!$O$19="",'My Loans'!$O$19=0),0,IF(Q30&lt;0.005,0,MIN(INDIRECT("'My Loans'!$F"&amp;'My Loans'!$O$19),Q30+R30)))</f>
        <v>0</v>
      </c>
      <c r="T30" s="13">
        <f ca="1">IF(A30=1,IF(OR('My Loans'!$O$20="",'My Loans'!$O$20=0),0,INDIRECT("'My Loans'!$D"&amp;'My Loans'!$O$20)),BI29)</f>
        <v>0</v>
      </c>
      <c r="U30" s="13">
        <f ca="1">IF(OR('My Loans'!$O$20="",'My Loans'!$O$20=0),0,T30*INDIRECT("'My Loans'!$E"&amp;'My Loans'!$O$20)/12)</f>
        <v>0</v>
      </c>
      <c r="V30" s="13">
        <f ca="1">IF(OR('My Loans'!$O$20="",'My Loans'!$O$20=0),0,IF(T30&lt;0.005,0,MIN(INDIRECT("'My Loans'!$F"&amp;'My Loans'!$O$20),T30+U30)))</f>
        <v>0</v>
      </c>
      <c r="W30" s="13">
        <f ca="1">IF(A30=1,IF(OR('My Loans'!$O$21="",'My Loans'!$O$21=0),0,INDIRECT("'My Loans'!$D"&amp;'My Loans'!$O$21)),BN29)</f>
        <v>0</v>
      </c>
      <c r="X30" s="13">
        <f ca="1">IF(OR('My Loans'!$O$21="",'My Loans'!$O$21=0),0,W30*INDIRECT("'My Loans'!$E"&amp;'My Loans'!$O$21)/12)</f>
        <v>0</v>
      </c>
      <c r="Y30" s="13">
        <f ca="1">IF(OR('My Loans'!$O$21="",'My Loans'!$O$21=0),0,IF(W30&lt;0.005,0,MIN(INDIRECT("'My Loans'!$F"&amp;'My Loans'!$O$21),W30+X30)))</f>
        <v>0</v>
      </c>
      <c r="Z30" s="13">
        <f ca="1">'My Loans'!$B$13-(D30+G30+J30+M30+P30+S30+V30+Y30)</f>
        <v>558</v>
      </c>
      <c r="AA30" s="13">
        <f t="shared" ca="1" si="0"/>
        <v>558</v>
      </c>
      <c r="AB30" s="13">
        <f t="shared" ca="1" si="1"/>
        <v>0</v>
      </c>
      <c r="AC30" s="13">
        <f t="shared" ca="1" si="2"/>
        <v>0</v>
      </c>
      <c r="AD30" s="13">
        <f t="shared" ca="1" si="3"/>
        <v>0</v>
      </c>
      <c r="AE30" s="13">
        <f t="shared" ca="1" si="4"/>
        <v>0</v>
      </c>
      <c r="AF30" s="13">
        <f t="shared" ca="1" si="5"/>
        <v>558</v>
      </c>
      <c r="AG30" s="13">
        <f t="shared" ca="1" si="6"/>
        <v>208.78978122167064</v>
      </c>
      <c r="AH30" s="13">
        <f t="shared" ca="1" si="7"/>
        <v>208.78978122167064</v>
      </c>
      <c r="AI30" s="13">
        <f t="shared" ca="1" si="8"/>
        <v>320.78978122167064</v>
      </c>
      <c r="AJ30" s="13">
        <f t="shared" ca="1" si="9"/>
        <v>0</v>
      </c>
      <c r="AK30" s="13">
        <f t="shared" ca="1" si="10"/>
        <v>349.21021877832936</v>
      </c>
      <c r="AL30" s="13">
        <f t="shared" ca="1" si="11"/>
        <v>10221.672260077763</v>
      </c>
      <c r="AM30" s="13">
        <f t="shared" ca="1" si="12"/>
        <v>349.21021877832936</v>
      </c>
      <c r="AN30" s="13">
        <f t="shared" ca="1" si="13"/>
        <v>491.21021877832936</v>
      </c>
      <c r="AO30" s="13">
        <f t="shared" ca="1" si="14"/>
        <v>9872.4620412994336</v>
      </c>
      <c r="AP30" s="13">
        <f t="shared" ca="1" si="15"/>
        <v>0</v>
      </c>
      <c r="AQ30" s="13">
        <f t="shared" ca="1" si="16"/>
        <v>12096.782203672516</v>
      </c>
      <c r="AR30" s="13">
        <f t="shared" ca="1" si="17"/>
        <v>0</v>
      </c>
      <c r="AS30" s="13">
        <f t="shared" ca="1" si="18"/>
        <v>178</v>
      </c>
      <c r="AT30" s="13">
        <f t="shared" ca="1" si="19"/>
        <v>12096.782203672516</v>
      </c>
      <c r="AU30" s="13">
        <f t="shared" ca="1" si="20"/>
        <v>0</v>
      </c>
      <c r="AV30" s="13">
        <f t="shared" ca="1" si="21"/>
        <v>20815.178518477354</v>
      </c>
      <c r="AW30" s="13">
        <f t="shared" ca="1" si="22"/>
        <v>0</v>
      </c>
      <c r="AX30" s="13">
        <f t="shared" ca="1" si="23"/>
        <v>410</v>
      </c>
      <c r="AY30" s="13">
        <f t="shared" ca="1" si="24"/>
        <v>20815.178518477354</v>
      </c>
      <c r="AZ30" s="13">
        <f t="shared" ca="1" si="25"/>
        <v>0</v>
      </c>
      <c r="BA30" s="13">
        <f t="shared" ca="1" si="26"/>
        <v>0</v>
      </c>
      <c r="BB30" s="13">
        <f t="shared" ca="1" si="27"/>
        <v>0</v>
      </c>
      <c r="BC30" s="13">
        <f t="shared" ca="1" si="28"/>
        <v>0</v>
      </c>
      <c r="BD30" s="13">
        <f t="shared" ca="1" si="29"/>
        <v>0</v>
      </c>
      <c r="BE30" s="13">
        <f t="shared" ca="1" si="30"/>
        <v>0</v>
      </c>
      <c r="BF30" s="13">
        <f t="shared" ca="1" si="31"/>
        <v>0</v>
      </c>
      <c r="BG30" s="13">
        <f t="shared" ca="1" si="32"/>
        <v>0</v>
      </c>
      <c r="BH30" s="13">
        <f t="shared" ca="1" si="33"/>
        <v>0</v>
      </c>
      <c r="BI30" s="13">
        <f t="shared" ca="1" si="34"/>
        <v>0</v>
      </c>
      <c r="BJ30" s="13">
        <f t="shared" ca="1" si="35"/>
        <v>0</v>
      </c>
      <c r="BK30" s="13">
        <f t="shared" ca="1" si="36"/>
        <v>0</v>
      </c>
      <c r="BL30" s="13">
        <f t="shared" ca="1" si="37"/>
        <v>0</v>
      </c>
      <c r="BM30" s="13">
        <f t="shared" ca="1" si="38"/>
        <v>0</v>
      </c>
      <c r="BN30" s="13">
        <f t="shared" ca="1" si="39"/>
        <v>0</v>
      </c>
      <c r="BO30" s="13">
        <f t="shared" ca="1" si="40"/>
        <v>1400</v>
      </c>
      <c r="BP30" s="13">
        <f t="shared" ca="1" si="41"/>
        <v>250.50027371343998</v>
      </c>
      <c r="BQ30" s="13">
        <f t="shared" ca="1" si="42"/>
        <v>42784.4227634493</v>
      </c>
    </row>
    <row r="31" spans="1:69" x14ac:dyDescent="0.25">
      <c r="A31" s="1">
        <v>30</v>
      </c>
      <c r="B31" s="13">
        <f ca="1">IF(A31=1,IF(OR('My Loans'!$O$14="",'My Loans'!$O$14=0),0,INDIRECT("'My Loans'!$D"&amp;'My Loans'!$O$14)),AE30)</f>
        <v>0</v>
      </c>
      <c r="C31" s="13">
        <f ca="1">IF(OR('My Loans'!$O$14="",'My Loans'!$O$14=0),0,B31*INDIRECT("'My Loans'!$E"&amp;'My Loans'!$O$14)/12)</f>
        <v>0</v>
      </c>
      <c r="D31" s="13">
        <f ca="1">IF(OR('My Loans'!$O$14="",'My Loans'!$O$14=0),0,IF(B31&lt;0.005,0,MIN(INDIRECT("'My Loans'!$F"&amp;'My Loans'!$O$14),B31+C31)))</f>
        <v>0</v>
      </c>
      <c r="E31" s="13">
        <f ca="1">IF(A31=1,IF(OR('My Loans'!$O$15="",'My Loans'!$O$15=0),0,INDIRECT("'My Loans'!$D"&amp;'My Loans'!$O$15)),AJ30)</f>
        <v>0</v>
      </c>
      <c r="F31" s="13">
        <f ca="1">IF(OR('My Loans'!$O$15="",'My Loans'!$O$15=0),0,E31*INDIRECT("'My Loans'!$E"&amp;'My Loans'!$O$15)/12)</f>
        <v>0</v>
      </c>
      <c r="G31" s="13">
        <f ca="1">IF(OR('My Loans'!$O$15="",'My Loans'!$O$15=0),0,IF(E31&lt;0.005,0,MIN(INDIRECT("'My Loans'!$F"&amp;'My Loans'!$O$15),E31+F31)))</f>
        <v>0</v>
      </c>
      <c r="H31" s="13">
        <f ca="1">IF(A31=1,IF(OR('My Loans'!$O$16="",'My Loans'!$O$16=0),0,INDIRECT("'My Loans'!$D"&amp;'My Loans'!$O$16)),AO30)</f>
        <v>9872.4620412994336</v>
      </c>
      <c r="I31" s="13">
        <f ca="1">IF(OR('My Loans'!$O$16="",'My Loans'!$O$16=0),0,H31*INDIRECT("'My Loans'!$E"&amp;'My Loans'!$O$16)/12)</f>
        <v>45.248784355955735</v>
      </c>
      <c r="J31" s="13">
        <f ca="1">IF(OR('My Loans'!$O$16="",'My Loans'!$O$16=0),0,IF(H31&lt;0.005,0,MIN(INDIRECT("'My Loans'!$F"&amp;'My Loans'!$O$16),H31+I31)))</f>
        <v>142</v>
      </c>
      <c r="K31" s="13">
        <f ca="1">IF(A31=1,IF(OR('My Loans'!$O$17="",'My Loans'!$O$17=0),0,INDIRECT("'My Loans'!$D"&amp;'My Loans'!$O$17)),AT30)</f>
        <v>12096.782203672516</v>
      </c>
      <c r="L31" s="13">
        <f ca="1">IF(OR('My Loans'!$O$17="",'My Loans'!$O$17=0),0,K31*INDIRECT("'My Loans'!$E"&amp;'My Loans'!$O$17)/12)</f>
        <v>62.500041385641332</v>
      </c>
      <c r="M31" s="13">
        <f ca="1">IF(OR('My Loans'!$O$17="",'My Loans'!$O$17=0),0,IF(K31&lt;0.005,0,MIN(INDIRECT("'My Loans'!$F"&amp;'My Loans'!$O$17),K31+L31)))</f>
        <v>178</v>
      </c>
      <c r="N31" s="13">
        <f ca="1">IF(A31=1,IF(OR('My Loans'!$O$18="",'My Loans'!$O$18=0),0,INDIRECT("'My Loans'!$D"&amp;'My Loans'!$O$18)),AY30)</f>
        <v>20815.178518477354</v>
      </c>
      <c r="O31" s="13">
        <f ca="1">IF(OR('My Loans'!$O$18="",'My Loans'!$O$18=0),0,N31*INDIRECT("'My Loans'!$E"&amp;'My Loans'!$O$18)/12)</f>
        <v>137.03325857997592</v>
      </c>
      <c r="P31" s="13">
        <f ca="1">IF(OR('My Loans'!$O$18="",'My Loans'!$O$18=0),0,IF(N31&lt;0.005,0,MIN(INDIRECT("'My Loans'!$F"&amp;'My Loans'!$O$18),N31+O31)))</f>
        <v>410</v>
      </c>
      <c r="Q31" s="13">
        <f ca="1">IF(A31=1,IF(OR('My Loans'!$O$19="",'My Loans'!$O$19=0),0,INDIRECT("'My Loans'!$D"&amp;'My Loans'!$O$19)),BD30)</f>
        <v>0</v>
      </c>
      <c r="R31" s="13">
        <f ca="1">IF(OR('My Loans'!$O$19="",'My Loans'!$O$19=0),0,Q31*INDIRECT("'My Loans'!$E"&amp;'My Loans'!$O$19)/12)</f>
        <v>0</v>
      </c>
      <c r="S31" s="13">
        <f ca="1">IF(OR('My Loans'!$O$19="",'My Loans'!$O$19=0),0,IF(Q31&lt;0.005,0,MIN(INDIRECT("'My Loans'!$F"&amp;'My Loans'!$O$19),Q31+R31)))</f>
        <v>0</v>
      </c>
      <c r="T31" s="13">
        <f ca="1">IF(A31=1,IF(OR('My Loans'!$O$20="",'My Loans'!$O$20=0),0,INDIRECT("'My Loans'!$D"&amp;'My Loans'!$O$20)),BI30)</f>
        <v>0</v>
      </c>
      <c r="U31" s="13">
        <f ca="1">IF(OR('My Loans'!$O$20="",'My Loans'!$O$20=0),0,T31*INDIRECT("'My Loans'!$E"&amp;'My Loans'!$O$20)/12)</f>
        <v>0</v>
      </c>
      <c r="V31" s="13">
        <f ca="1">IF(OR('My Loans'!$O$20="",'My Loans'!$O$20=0),0,IF(T31&lt;0.005,0,MIN(INDIRECT("'My Loans'!$F"&amp;'My Loans'!$O$20),T31+U31)))</f>
        <v>0</v>
      </c>
      <c r="W31" s="13">
        <f ca="1">IF(A31=1,IF(OR('My Loans'!$O$21="",'My Loans'!$O$21=0),0,INDIRECT("'My Loans'!$D"&amp;'My Loans'!$O$21)),BN30)</f>
        <v>0</v>
      </c>
      <c r="X31" s="13">
        <f ca="1">IF(OR('My Loans'!$O$21="",'My Loans'!$O$21=0),0,W31*INDIRECT("'My Loans'!$E"&amp;'My Loans'!$O$21)/12)</f>
        <v>0</v>
      </c>
      <c r="Y31" s="13">
        <f ca="1">IF(OR('My Loans'!$O$21="",'My Loans'!$O$21=0),0,IF(W31&lt;0.005,0,MIN(INDIRECT("'My Loans'!$F"&amp;'My Loans'!$O$21),W31+X31)))</f>
        <v>0</v>
      </c>
      <c r="Z31" s="13">
        <f ca="1">'My Loans'!$B$13-(D31+G31+J31+M31+P31+S31+V31+Y31)</f>
        <v>670</v>
      </c>
      <c r="AA31" s="13">
        <f t="shared" ca="1" si="0"/>
        <v>670</v>
      </c>
      <c r="AB31" s="13">
        <f t="shared" ca="1" si="1"/>
        <v>0</v>
      </c>
      <c r="AC31" s="13">
        <f t="shared" ca="1" si="2"/>
        <v>0</v>
      </c>
      <c r="AD31" s="13">
        <f t="shared" ca="1" si="3"/>
        <v>0</v>
      </c>
      <c r="AE31" s="13">
        <f t="shared" ca="1" si="4"/>
        <v>0</v>
      </c>
      <c r="AF31" s="13">
        <f t="shared" ca="1" si="5"/>
        <v>670</v>
      </c>
      <c r="AG31" s="13">
        <f t="shared" ca="1" si="6"/>
        <v>0</v>
      </c>
      <c r="AH31" s="13">
        <f t="shared" ca="1" si="7"/>
        <v>0</v>
      </c>
      <c r="AI31" s="13">
        <f t="shared" ca="1" si="8"/>
        <v>0</v>
      </c>
      <c r="AJ31" s="13">
        <f t="shared" ca="1" si="9"/>
        <v>0</v>
      </c>
      <c r="AK31" s="13">
        <f t="shared" ca="1" si="10"/>
        <v>670</v>
      </c>
      <c r="AL31" s="13">
        <f t="shared" ca="1" si="11"/>
        <v>9775.7108256553893</v>
      </c>
      <c r="AM31" s="13">
        <f t="shared" ca="1" si="12"/>
        <v>670</v>
      </c>
      <c r="AN31" s="13">
        <f t="shared" ca="1" si="13"/>
        <v>812</v>
      </c>
      <c r="AO31" s="13">
        <f t="shared" ca="1" si="14"/>
        <v>9105.7108256553893</v>
      </c>
      <c r="AP31" s="13">
        <f t="shared" ca="1" si="15"/>
        <v>0</v>
      </c>
      <c r="AQ31" s="13">
        <f t="shared" ca="1" si="16"/>
        <v>11981.282245058157</v>
      </c>
      <c r="AR31" s="13">
        <f t="shared" ca="1" si="17"/>
        <v>0</v>
      </c>
      <c r="AS31" s="13">
        <f t="shared" ca="1" si="18"/>
        <v>178</v>
      </c>
      <c r="AT31" s="13">
        <f t="shared" ca="1" si="19"/>
        <v>11981.282245058157</v>
      </c>
      <c r="AU31" s="13">
        <f t="shared" ca="1" si="20"/>
        <v>0</v>
      </c>
      <c r="AV31" s="13">
        <f t="shared" ca="1" si="21"/>
        <v>20542.211777057331</v>
      </c>
      <c r="AW31" s="13">
        <f t="shared" ca="1" si="22"/>
        <v>0</v>
      </c>
      <c r="AX31" s="13">
        <f t="shared" ca="1" si="23"/>
        <v>410</v>
      </c>
      <c r="AY31" s="13">
        <f t="shared" ca="1" si="24"/>
        <v>20542.211777057331</v>
      </c>
      <c r="AZ31" s="13">
        <f t="shared" ca="1" si="25"/>
        <v>0</v>
      </c>
      <c r="BA31" s="13">
        <f t="shared" ca="1" si="26"/>
        <v>0</v>
      </c>
      <c r="BB31" s="13">
        <f t="shared" ca="1" si="27"/>
        <v>0</v>
      </c>
      <c r="BC31" s="13">
        <f t="shared" ca="1" si="28"/>
        <v>0</v>
      </c>
      <c r="BD31" s="13">
        <f t="shared" ca="1" si="29"/>
        <v>0</v>
      </c>
      <c r="BE31" s="13">
        <f t="shared" ca="1" si="30"/>
        <v>0</v>
      </c>
      <c r="BF31" s="13">
        <f t="shared" ca="1" si="31"/>
        <v>0</v>
      </c>
      <c r="BG31" s="13">
        <f t="shared" ca="1" si="32"/>
        <v>0</v>
      </c>
      <c r="BH31" s="13">
        <f t="shared" ca="1" si="33"/>
        <v>0</v>
      </c>
      <c r="BI31" s="13">
        <f t="shared" ca="1" si="34"/>
        <v>0</v>
      </c>
      <c r="BJ31" s="13">
        <f t="shared" ca="1" si="35"/>
        <v>0</v>
      </c>
      <c r="BK31" s="13">
        <f t="shared" ca="1" si="36"/>
        <v>0</v>
      </c>
      <c r="BL31" s="13">
        <f t="shared" ca="1" si="37"/>
        <v>0</v>
      </c>
      <c r="BM31" s="13">
        <f t="shared" ca="1" si="38"/>
        <v>0</v>
      </c>
      <c r="BN31" s="13">
        <f t="shared" ca="1" si="39"/>
        <v>0</v>
      </c>
      <c r="BO31" s="13">
        <f t="shared" ca="1" si="40"/>
        <v>1400</v>
      </c>
      <c r="BP31" s="13">
        <f t="shared" ca="1" si="41"/>
        <v>244.782084321573</v>
      </c>
      <c r="BQ31" s="13">
        <f t="shared" ca="1" si="42"/>
        <v>41629.204847770874</v>
      </c>
    </row>
    <row r="32" spans="1:69" x14ac:dyDescent="0.25">
      <c r="A32" s="1">
        <v>31</v>
      </c>
      <c r="B32" s="13">
        <f ca="1">IF(A32=1,IF(OR('My Loans'!$O$14="",'My Loans'!$O$14=0),0,INDIRECT("'My Loans'!$D"&amp;'My Loans'!$O$14)),AE31)</f>
        <v>0</v>
      </c>
      <c r="C32" s="13">
        <f ca="1">IF(OR('My Loans'!$O$14="",'My Loans'!$O$14=0),0,B32*INDIRECT("'My Loans'!$E"&amp;'My Loans'!$O$14)/12)</f>
        <v>0</v>
      </c>
      <c r="D32" s="13">
        <f ca="1">IF(OR('My Loans'!$O$14="",'My Loans'!$O$14=0),0,IF(B32&lt;0.005,0,MIN(INDIRECT("'My Loans'!$F"&amp;'My Loans'!$O$14),B32+C32)))</f>
        <v>0</v>
      </c>
      <c r="E32" s="13">
        <f ca="1">IF(A32=1,IF(OR('My Loans'!$O$15="",'My Loans'!$O$15=0),0,INDIRECT("'My Loans'!$D"&amp;'My Loans'!$O$15)),AJ31)</f>
        <v>0</v>
      </c>
      <c r="F32" s="13">
        <f ca="1">IF(OR('My Loans'!$O$15="",'My Loans'!$O$15=0),0,E32*INDIRECT("'My Loans'!$E"&amp;'My Loans'!$O$15)/12)</f>
        <v>0</v>
      </c>
      <c r="G32" s="13">
        <f ca="1">IF(OR('My Loans'!$O$15="",'My Loans'!$O$15=0),0,IF(E32&lt;0.005,0,MIN(INDIRECT("'My Loans'!$F"&amp;'My Loans'!$O$15),E32+F32)))</f>
        <v>0</v>
      </c>
      <c r="H32" s="13">
        <f ca="1">IF(A32=1,IF(OR('My Loans'!$O$16="",'My Loans'!$O$16=0),0,INDIRECT("'My Loans'!$D"&amp;'My Loans'!$O$16)),AO31)</f>
        <v>9105.7108256553893</v>
      </c>
      <c r="I32" s="13">
        <f ca="1">IF(OR('My Loans'!$O$16="",'My Loans'!$O$16=0),0,H32*INDIRECT("'My Loans'!$E"&amp;'My Loans'!$O$16)/12)</f>
        <v>41.734507950920538</v>
      </c>
      <c r="J32" s="13">
        <f ca="1">IF(OR('My Loans'!$O$16="",'My Loans'!$O$16=0),0,IF(H32&lt;0.005,0,MIN(INDIRECT("'My Loans'!$F"&amp;'My Loans'!$O$16),H32+I32)))</f>
        <v>142</v>
      </c>
      <c r="K32" s="13">
        <f ca="1">IF(A32=1,IF(OR('My Loans'!$O$17="",'My Loans'!$O$17=0),0,INDIRECT("'My Loans'!$D"&amp;'My Loans'!$O$17)),AT31)</f>
        <v>11981.282245058157</v>
      </c>
      <c r="L32" s="13">
        <f ca="1">IF(OR('My Loans'!$O$17="",'My Loans'!$O$17=0),0,K32*INDIRECT("'My Loans'!$E"&amp;'My Loans'!$O$17)/12)</f>
        <v>61.903291599467146</v>
      </c>
      <c r="M32" s="13">
        <f ca="1">IF(OR('My Loans'!$O$17="",'My Loans'!$O$17=0),0,IF(K32&lt;0.005,0,MIN(INDIRECT("'My Loans'!$F"&amp;'My Loans'!$O$17),K32+L32)))</f>
        <v>178</v>
      </c>
      <c r="N32" s="13">
        <f ca="1">IF(A32=1,IF(OR('My Loans'!$O$18="",'My Loans'!$O$18=0),0,INDIRECT("'My Loans'!$D"&amp;'My Loans'!$O$18)),AY31)</f>
        <v>20542.211777057331</v>
      </c>
      <c r="O32" s="13">
        <f ca="1">IF(OR('My Loans'!$O$18="",'My Loans'!$O$18=0),0,N32*INDIRECT("'My Loans'!$E"&amp;'My Loans'!$O$18)/12)</f>
        <v>135.23622753229409</v>
      </c>
      <c r="P32" s="13">
        <f ca="1">IF(OR('My Loans'!$O$18="",'My Loans'!$O$18=0),0,IF(N32&lt;0.005,0,MIN(INDIRECT("'My Loans'!$F"&amp;'My Loans'!$O$18),N32+O32)))</f>
        <v>410</v>
      </c>
      <c r="Q32" s="13">
        <f ca="1">IF(A32=1,IF(OR('My Loans'!$O$19="",'My Loans'!$O$19=0),0,INDIRECT("'My Loans'!$D"&amp;'My Loans'!$O$19)),BD31)</f>
        <v>0</v>
      </c>
      <c r="R32" s="13">
        <f ca="1">IF(OR('My Loans'!$O$19="",'My Loans'!$O$19=0),0,Q32*INDIRECT("'My Loans'!$E"&amp;'My Loans'!$O$19)/12)</f>
        <v>0</v>
      </c>
      <c r="S32" s="13">
        <f ca="1">IF(OR('My Loans'!$O$19="",'My Loans'!$O$19=0),0,IF(Q32&lt;0.005,0,MIN(INDIRECT("'My Loans'!$F"&amp;'My Loans'!$O$19),Q32+R32)))</f>
        <v>0</v>
      </c>
      <c r="T32" s="13">
        <f ca="1">IF(A32=1,IF(OR('My Loans'!$O$20="",'My Loans'!$O$20=0),0,INDIRECT("'My Loans'!$D"&amp;'My Loans'!$O$20)),BI31)</f>
        <v>0</v>
      </c>
      <c r="U32" s="13">
        <f ca="1">IF(OR('My Loans'!$O$20="",'My Loans'!$O$20=0),0,T32*INDIRECT("'My Loans'!$E"&amp;'My Loans'!$O$20)/12)</f>
        <v>0</v>
      </c>
      <c r="V32" s="13">
        <f ca="1">IF(OR('My Loans'!$O$20="",'My Loans'!$O$20=0),0,IF(T32&lt;0.005,0,MIN(INDIRECT("'My Loans'!$F"&amp;'My Loans'!$O$20),T32+U32)))</f>
        <v>0</v>
      </c>
      <c r="W32" s="13">
        <f ca="1">IF(A32=1,IF(OR('My Loans'!$O$21="",'My Loans'!$O$21=0),0,INDIRECT("'My Loans'!$D"&amp;'My Loans'!$O$21)),BN31)</f>
        <v>0</v>
      </c>
      <c r="X32" s="13">
        <f ca="1">IF(OR('My Loans'!$O$21="",'My Loans'!$O$21=0),0,W32*INDIRECT("'My Loans'!$E"&amp;'My Loans'!$O$21)/12)</f>
        <v>0</v>
      </c>
      <c r="Y32" s="13">
        <f ca="1">IF(OR('My Loans'!$O$21="",'My Loans'!$O$21=0),0,IF(W32&lt;0.005,0,MIN(INDIRECT("'My Loans'!$F"&amp;'My Loans'!$O$21),W32+X32)))</f>
        <v>0</v>
      </c>
      <c r="Z32" s="13">
        <f ca="1">'My Loans'!$B$13-(D32+G32+J32+M32+P32+S32+V32+Y32)</f>
        <v>670</v>
      </c>
      <c r="AA32" s="13">
        <f t="shared" ca="1" si="0"/>
        <v>670</v>
      </c>
      <c r="AB32" s="13">
        <f t="shared" ca="1" si="1"/>
        <v>0</v>
      </c>
      <c r="AC32" s="13">
        <f t="shared" ca="1" si="2"/>
        <v>0</v>
      </c>
      <c r="AD32" s="13">
        <f t="shared" ca="1" si="3"/>
        <v>0</v>
      </c>
      <c r="AE32" s="13">
        <f t="shared" ca="1" si="4"/>
        <v>0</v>
      </c>
      <c r="AF32" s="13">
        <f t="shared" ca="1" si="5"/>
        <v>670</v>
      </c>
      <c r="AG32" s="13">
        <f t="shared" ca="1" si="6"/>
        <v>0</v>
      </c>
      <c r="AH32" s="13">
        <f t="shared" ca="1" si="7"/>
        <v>0</v>
      </c>
      <c r="AI32" s="13">
        <f t="shared" ca="1" si="8"/>
        <v>0</v>
      </c>
      <c r="AJ32" s="13">
        <f t="shared" ca="1" si="9"/>
        <v>0</v>
      </c>
      <c r="AK32" s="13">
        <f t="shared" ca="1" si="10"/>
        <v>670</v>
      </c>
      <c r="AL32" s="13">
        <f t="shared" ca="1" si="11"/>
        <v>9005.4453336063107</v>
      </c>
      <c r="AM32" s="13">
        <f t="shared" ca="1" si="12"/>
        <v>670</v>
      </c>
      <c r="AN32" s="13">
        <f t="shared" ca="1" si="13"/>
        <v>812</v>
      </c>
      <c r="AO32" s="13">
        <f t="shared" ca="1" si="14"/>
        <v>8335.4453336063107</v>
      </c>
      <c r="AP32" s="13">
        <f t="shared" ca="1" si="15"/>
        <v>0</v>
      </c>
      <c r="AQ32" s="13">
        <f t="shared" ca="1" si="16"/>
        <v>11865.185536657624</v>
      </c>
      <c r="AR32" s="13">
        <f t="shared" ca="1" si="17"/>
        <v>0</v>
      </c>
      <c r="AS32" s="13">
        <f t="shared" ca="1" si="18"/>
        <v>178</v>
      </c>
      <c r="AT32" s="13">
        <f t="shared" ca="1" si="19"/>
        <v>11865.185536657624</v>
      </c>
      <c r="AU32" s="13">
        <f t="shared" ca="1" si="20"/>
        <v>0</v>
      </c>
      <c r="AV32" s="13">
        <f t="shared" ca="1" si="21"/>
        <v>20267.448004589627</v>
      </c>
      <c r="AW32" s="13">
        <f t="shared" ca="1" si="22"/>
        <v>0</v>
      </c>
      <c r="AX32" s="13">
        <f t="shared" ca="1" si="23"/>
        <v>410</v>
      </c>
      <c r="AY32" s="13">
        <f t="shared" ca="1" si="24"/>
        <v>20267.448004589627</v>
      </c>
      <c r="AZ32" s="13">
        <f t="shared" ca="1" si="25"/>
        <v>0</v>
      </c>
      <c r="BA32" s="13">
        <f t="shared" ca="1" si="26"/>
        <v>0</v>
      </c>
      <c r="BB32" s="13">
        <f t="shared" ca="1" si="27"/>
        <v>0</v>
      </c>
      <c r="BC32" s="13">
        <f t="shared" ca="1" si="28"/>
        <v>0</v>
      </c>
      <c r="BD32" s="13">
        <f t="shared" ca="1" si="29"/>
        <v>0</v>
      </c>
      <c r="BE32" s="13">
        <f t="shared" ca="1" si="30"/>
        <v>0</v>
      </c>
      <c r="BF32" s="13">
        <f t="shared" ca="1" si="31"/>
        <v>0</v>
      </c>
      <c r="BG32" s="13">
        <f t="shared" ca="1" si="32"/>
        <v>0</v>
      </c>
      <c r="BH32" s="13">
        <f t="shared" ca="1" si="33"/>
        <v>0</v>
      </c>
      <c r="BI32" s="13">
        <f t="shared" ca="1" si="34"/>
        <v>0</v>
      </c>
      <c r="BJ32" s="13">
        <f t="shared" ca="1" si="35"/>
        <v>0</v>
      </c>
      <c r="BK32" s="13">
        <f t="shared" ca="1" si="36"/>
        <v>0</v>
      </c>
      <c r="BL32" s="13">
        <f t="shared" ca="1" si="37"/>
        <v>0</v>
      </c>
      <c r="BM32" s="13">
        <f t="shared" ca="1" si="38"/>
        <v>0</v>
      </c>
      <c r="BN32" s="13">
        <f t="shared" ca="1" si="39"/>
        <v>0</v>
      </c>
      <c r="BO32" s="13">
        <f t="shared" ca="1" si="40"/>
        <v>1400</v>
      </c>
      <c r="BP32" s="13">
        <f t="shared" ca="1" si="41"/>
        <v>238.87402708268178</v>
      </c>
      <c r="BQ32" s="13">
        <f t="shared" ca="1" si="42"/>
        <v>40468.078874853563</v>
      </c>
    </row>
    <row r="33" spans="1:69" x14ac:dyDescent="0.25">
      <c r="A33" s="1">
        <v>32</v>
      </c>
      <c r="B33" s="13">
        <f ca="1">IF(A33=1,IF(OR('My Loans'!$O$14="",'My Loans'!$O$14=0),0,INDIRECT("'My Loans'!$D"&amp;'My Loans'!$O$14)),AE32)</f>
        <v>0</v>
      </c>
      <c r="C33" s="13">
        <f ca="1">IF(OR('My Loans'!$O$14="",'My Loans'!$O$14=0),0,B33*INDIRECT("'My Loans'!$E"&amp;'My Loans'!$O$14)/12)</f>
        <v>0</v>
      </c>
      <c r="D33" s="13">
        <f ca="1">IF(OR('My Loans'!$O$14="",'My Loans'!$O$14=0),0,IF(B33&lt;0.005,0,MIN(INDIRECT("'My Loans'!$F"&amp;'My Loans'!$O$14),B33+C33)))</f>
        <v>0</v>
      </c>
      <c r="E33" s="13">
        <f ca="1">IF(A33=1,IF(OR('My Loans'!$O$15="",'My Loans'!$O$15=0),0,INDIRECT("'My Loans'!$D"&amp;'My Loans'!$O$15)),AJ32)</f>
        <v>0</v>
      </c>
      <c r="F33" s="13">
        <f ca="1">IF(OR('My Loans'!$O$15="",'My Loans'!$O$15=0),0,E33*INDIRECT("'My Loans'!$E"&amp;'My Loans'!$O$15)/12)</f>
        <v>0</v>
      </c>
      <c r="G33" s="13">
        <f ca="1">IF(OR('My Loans'!$O$15="",'My Loans'!$O$15=0),0,IF(E33&lt;0.005,0,MIN(INDIRECT("'My Loans'!$F"&amp;'My Loans'!$O$15),E33+F33)))</f>
        <v>0</v>
      </c>
      <c r="H33" s="13">
        <f ca="1">IF(A33=1,IF(OR('My Loans'!$O$16="",'My Loans'!$O$16=0),0,INDIRECT("'My Loans'!$D"&amp;'My Loans'!$O$16)),AO32)</f>
        <v>8335.4453336063107</v>
      </c>
      <c r="I33" s="13">
        <f ca="1">IF(OR('My Loans'!$O$16="",'My Loans'!$O$16=0),0,H33*INDIRECT("'My Loans'!$E"&amp;'My Loans'!$O$16)/12)</f>
        <v>38.204124445695591</v>
      </c>
      <c r="J33" s="13">
        <f ca="1">IF(OR('My Loans'!$O$16="",'My Loans'!$O$16=0),0,IF(H33&lt;0.005,0,MIN(INDIRECT("'My Loans'!$F"&amp;'My Loans'!$O$16),H33+I33)))</f>
        <v>142</v>
      </c>
      <c r="K33" s="13">
        <f ca="1">IF(A33=1,IF(OR('My Loans'!$O$17="",'My Loans'!$O$17=0),0,INDIRECT("'My Loans'!$D"&amp;'My Loans'!$O$17)),AT32)</f>
        <v>11865.185536657624</v>
      </c>
      <c r="L33" s="13">
        <f ca="1">IF(OR('My Loans'!$O$17="",'My Loans'!$O$17=0),0,K33*INDIRECT("'My Loans'!$E"&amp;'My Loans'!$O$17)/12)</f>
        <v>61.303458606064389</v>
      </c>
      <c r="M33" s="13">
        <f ca="1">IF(OR('My Loans'!$O$17="",'My Loans'!$O$17=0),0,IF(K33&lt;0.005,0,MIN(INDIRECT("'My Loans'!$F"&amp;'My Loans'!$O$17),K33+L33)))</f>
        <v>178</v>
      </c>
      <c r="N33" s="13">
        <f ca="1">IF(A33=1,IF(OR('My Loans'!$O$18="",'My Loans'!$O$18=0),0,INDIRECT("'My Loans'!$D"&amp;'My Loans'!$O$18)),AY32)</f>
        <v>20267.448004589627</v>
      </c>
      <c r="O33" s="13">
        <f ca="1">IF(OR('My Loans'!$O$18="",'My Loans'!$O$18=0),0,N33*INDIRECT("'My Loans'!$E"&amp;'My Loans'!$O$18)/12)</f>
        <v>133.42736603021504</v>
      </c>
      <c r="P33" s="13">
        <f ca="1">IF(OR('My Loans'!$O$18="",'My Loans'!$O$18=0),0,IF(N33&lt;0.005,0,MIN(INDIRECT("'My Loans'!$F"&amp;'My Loans'!$O$18),N33+O33)))</f>
        <v>410</v>
      </c>
      <c r="Q33" s="13">
        <f ca="1">IF(A33=1,IF(OR('My Loans'!$O$19="",'My Loans'!$O$19=0),0,INDIRECT("'My Loans'!$D"&amp;'My Loans'!$O$19)),BD32)</f>
        <v>0</v>
      </c>
      <c r="R33" s="13">
        <f ca="1">IF(OR('My Loans'!$O$19="",'My Loans'!$O$19=0),0,Q33*INDIRECT("'My Loans'!$E"&amp;'My Loans'!$O$19)/12)</f>
        <v>0</v>
      </c>
      <c r="S33" s="13">
        <f ca="1">IF(OR('My Loans'!$O$19="",'My Loans'!$O$19=0),0,IF(Q33&lt;0.005,0,MIN(INDIRECT("'My Loans'!$F"&amp;'My Loans'!$O$19),Q33+R33)))</f>
        <v>0</v>
      </c>
      <c r="T33" s="13">
        <f ca="1">IF(A33=1,IF(OR('My Loans'!$O$20="",'My Loans'!$O$20=0),0,INDIRECT("'My Loans'!$D"&amp;'My Loans'!$O$20)),BI32)</f>
        <v>0</v>
      </c>
      <c r="U33" s="13">
        <f ca="1">IF(OR('My Loans'!$O$20="",'My Loans'!$O$20=0),0,T33*INDIRECT("'My Loans'!$E"&amp;'My Loans'!$O$20)/12)</f>
        <v>0</v>
      </c>
      <c r="V33" s="13">
        <f ca="1">IF(OR('My Loans'!$O$20="",'My Loans'!$O$20=0),0,IF(T33&lt;0.005,0,MIN(INDIRECT("'My Loans'!$F"&amp;'My Loans'!$O$20),T33+U33)))</f>
        <v>0</v>
      </c>
      <c r="W33" s="13">
        <f ca="1">IF(A33=1,IF(OR('My Loans'!$O$21="",'My Loans'!$O$21=0),0,INDIRECT("'My Loans'!$D"&amp;'My Loans'!$O$21)),BN32)</f>
        <v>0</v>
      </c>
      <c r="X33" s="13">
        <f ca="1">IF(OR('My Loans'!$O$21="",'My Loans'!$O$21=0),0,W33*INDIRECT("'My Loans'!$E"&amp;'My Loans'!$O$21)/12)</f>
        <v>0</v>
      </c>
      <c r="Y33" s="13">
        <f ca="1">IF(OR('My Loans'!$O$21="",'My Loans'!$O$21=0),0,IF(W33&lt;0.005,0,MIN(INDIRECT("'My Loans'!$F"&amp;'My Loans'!$O$21),W33+X33)))</f>
        <v>0</v>
      </c>
      <c r="Z33" s="13">
        <f ca="1">'My Loans'!$B$13-(D33+G33+J33+M33+P33+S33+V33+Y33)</f>
        <v>670</v>
      </c>
      <c r="AA33" s="13">
        <f t="shared" ca="1" si="0"/>
        <v>670</v>
      </c>
      <c r="AB33" s="13">
        <f t="shared" ca="1" si="1"/>
        <v>0</v>
      </c>
      <c r="AC33" s="13">
        <f t="shared" ca="1" si="2"/>
        <v>0</v>
      </c>
      <c r="AD33" s="13">
        <f t="shared" ca="1" si="3"/>
        <v>0</v>
      </c>
      <c r="AE33" s="13">
        <f t="shared" ca="1" si="4"/>
        <v>0</v>
      </c>
      <c r="AF33" s="13">
        <f t="shared" ca="1" si="5"/>
        <v>670</v>
      </c>
      <c r="AG33" s="13">
        <f t="shared" ca="1" si="6"/>
        <v>0</v>
      </c>
      <c r="AH33" s="13">
        <f t="shared" ca="1" si="7"/>
        <v>0</v>
      </c>
      <c r="AI33" s="13">
        <f t="shared" ca="1" si="8"/>
        <v>0</v>
      </c>
      <c r="AJ33" s="13">
        <f t="shared" ca="1" si="9"/>
        <v>0</v>
      </c>
      <c r="AK33" s="13">
        <f t="shared" ca="1" si="10"/>
        <v>670</v>
      </c>
      <c r="AL33" s="13">
        <f t="shared" ca="1" si="11"/>
        <v>8231.6494580520066</v>
      </c>
      <c r="AM33" s="13">
        <f t="shared" ca="1" si="12"/>
        <v>670</v>
      </c>
      <c r="AN33" s="13">
        <f t="shared" ca="1" si="13"/>
        <v>812</v>
      </c>
      <c r="AO33" s="13">
        <f t="shared" ca="1" si="14"/>
        <v>7561.6494580520066</v>
      </c>
      <c r="AP33" s="13">
        <f t="shared" ca="1" si="15"/>
        <v>0</v>
      </c>
      <c r="AQ33" s="13">
        <f t="shared" ca="1" si="16"/>
        <v>11748.488995263688</v>
      </c>
      <c r="AR33" s="13">
        <f t="shared" ca="1" si="17"/>
        <v>0</v>
      </c>
      <c r="AS33" s="13">
        <f t="shared" ca="1" si="18"/>
        <v>178</v>
      </c>
      <c r="AT33" s="13">
        <f t="shared" ca="1" si="19"/>
        <v>11748.488995263688</v>
      </c>
      <c r="AU33" s="13">
        <f t="shared" ca="1" si="20"/>
        <v>0</v>
      </c>
      <c r="AV33" s="13">
        <f t="shared" ca="1" si="21"/>
        <v>19990.87537061984</v>
      </c>
      <c r="AW33" s="13">
        <f t="shared" ca="1" si="22"/>
        <v>0</v>
      </c>
      <c r="AX33" s="13">
        <f t="shared" ca="1" si="23"/>
        <v>410</v>
      </c>
      <c r="AY33" s="13">
        <f t="shared" ca="1" si="24"/>
        <v>19990.87537061984</v>
      </c>
      <c r="AZ33" s="13">
        <f t="shared" ca="1" si="25"/>
        <v>0</v>
      </c>
      <c r="BA33" s="13">
        <f t="shared" ca="1" si="26"/>
        <v>0</v>
      </c>
      <c r="BB33" s="13">
        <f t="shared" ca="1" si="27"/>
        <v>0</v>
      </c>
      <c r="BC33" s="13">
        <f t="shared" ca="1" si="28"/>
        <v>0</v>
      </c>
      <c r="BD33" s="13">
        <f t="shared" ca="1" si="29"/>
        <v>0</v>
      </c>
      <c r="BE33" s="13">
        <f t="shared" ca="1" si="30"/>
        <v>0</v>
      </c>
      <c r="BF33" s="13">
        <f t="shared" ca="1" si="31"/>
        <v>0</v>
      </c>
      <c r="BG33" s="13">
        <f t="shared" ca="1" si="32"/>
        <v>0</v>
      </c>
      <c r="BH33" s="13">
        <f t="shared" ca="1" si="33"/>
        <v>0</v>
      </c>
      <c r="BI33" s="13">
        <f t="shared" ca="1" si="34"/>
        <v>0</v>
      </c>
      <c r="BJ33" s="13">
        <f t="shared" ca="1" si="35"/>
        <v>0</v>
      </c>
      <c r="BK33" s="13">
        <f t="shared" ca="1" si="36"/>
        <v>0</v>
      </c>
      <c r="BL33" s="13">
        <f t="shared" ca="1" si="37"/>
        <v>0</v>
      </c>
      <c r="BM33" s="13">
        <f t="shared" ca="1" si="38"/>
        <v>0</v>
      </c>
      <c r="BN33" s="13">
        <f t="shared" ca="1" si="39"/>
        <v>0</v>
      </c>
      <c r="BO33" s="13">
        <f t="shared" ca="1" si="40"/>
        <v>1400</v>
      </c>
      <c r="BP33" s="13">
        <f t="shared" ca="1" si="41"/>
        <v>232.93494908197502</v>
      </c>
      <c r="BQ33" s="13">
        <f t="shared" ca="1" si="42"/>
        <v>39301.013823935536</v>
      </c>
    </row>
    <row r="34" spans="1:69" x14ac:dyDescent="0.25">
      <c r="A34" s="1">
        <v>33</v>
      </c>
      <c r="B34" s="13">
        <f ca="1">IF(A34=1,IF(OR('My Loans'!$O$14="",'My Loans'!$O$14=0),0,INDIRECT("'My Loans'!$D"&amp;'My Loans'!$O$14)),AE33)</f>
        <v>0</v>
      </c>
      <c r="C34" s="13">
        <f ca="1">IF(OR('My Loans'!$O$14="",'My Loans'!$O$14=0),0,B34*INDIRECT("'My Loans'!$E"&amp;'My Loans'!$O$14)/12)</f>
        <v>0</v>
      </c>
      <c r="D34" s="13">
        <f ca="1">IF(OR('My Loans'!$O$14="",'My Loans'!$O$14=0),0,IF(B34&lt;0.005,0,MIN(INDIRECT("'My Loans'!$F"&amp;'My Loans'!$O$14),B34+C34)))</f>
        <v>0</v>
      </c>
      <c r="E34" s="13">
        <f ca="1">IF(A34=1,IF(OR('My Loans'!$O$15="",'My Loans'!$O$15=0),0,INDIRECT("'My Loans'!$D"&amp;'My Loans'!$O$15)),AJ33)</f>
        <v>0</v>
      </c>
      <c r="F34" s="13">
        <f ca="1">IF(OR('My Loans'!$O$15="",'My Loans'!$O$15=0),0,E34*INDIRECT("'My Loans'!$E"&amp;'My Loans'!$O$15)/12)</f>
        <v>0</v>
      </c>
      <c r="G34" s="13">
        <f ca="1">IF(OR('My Loans'!$O$15="",'My Loans'!$O$15=0),0,IF(E34&lt;0.005,0,MIN(INDIRECT("'My Loans'!$F"&amp;'My Loans'!$O$15),E34+F34)))</f>
        <v>0</v>
      </c>
      <c r="H34" s="13">
        <f ca="1">IF(A34=1,IF(OR('My Loans'!$O$16="",'My Loans'!$O$16=0),0,INDIRECT("'My Loans'!$D"&amp;'My Loans'!$O$16)),AO33)</f>
        <v>7561.6494580520066</v>
      </c>
      <c r="I34" s="13">
        <f ca="1">IF(OR('My Loans'!$O$16="",'My Loans'!$O$16=0),0,H34*INDIRECT("'My Loans'!$E"&amp;'My Loans'!$O$16)/12)</f>
        <v>34.657560016071699</v>
      </c>
      <c r="J34" s="13">
        <f ca="1">IF(OR('My Loans'!$O$16="",'My Loans'!$O$16=0),0,IF(H34&lt;0.005,0,MIN(INDIRECT("'My Loans'!$F"&amp;'My Loans'!$O$16),H34+I34)))</f>
        <v>142</v>
      </c>
      <c r="K34" s="13">
        <f ca="1">IF(A34=1,IF(OR('My Loans'!$O$17="",'My Loans'!$O$17=0),0,INDIRECT("'My Loans'!$D"&amp;'My Loans'!$O$17)),AT33)</f>
        <v>11748.488995263688</v>
      </c>
      <c r="L34" s="13">
        <f ca="1">IF(OR('My Loans'!$O$17="",'My Loans'!$O$17=0),0,K34*INDIRECT("'My Loans'!$E"&amp;'My Loans'!$O$17)/12)</f>
        <v>60.700526475529053</v>
      </c>
      <c r="M34" s="13">
        <f ca="1">IF(OR('My Loans'!$O$17="",'My Loans'!$O$17=0),0,IF(K34&lt;0.005,0,MIN(INDIRECT("'My Loans'!$F"&amp;'My Loans'!$O$17),K34+L34)))</f>
        <v>178</v>
      </c>
      <c r="N34" s="13">
        <f ca="1">IF(A34=1,IF(OR('My Loans'!$O$18="",'My Loans'!$O$18=0),0,INDIRECT("'My Loans'!$D"&amp;'My Loans'!$O$18)),AY33)</f>
        <v>19990.87537061984</v>
      </c>
      <c r="O34" s="13">
        <f ca="1">IF(OR('My Loans'!$O$18="",'My Loans'!$O$18=0),0,N34*INDIRECT("'My Loans'!$E"&amp;'My Loans'!$O$18)/12)</f>
        <v>131.60659618991394</v>
      </c>
      <c r="P34" s="13">
        <f ca="1">IF(OR('My Loans'!$O$18="",'My Loans'!$O$18=0),0,IF(N34&lt;0.005,0,MIN(INDIRECT("'My Loans'!$F"&amp;'My Loans'!$O$18),N34+O34)))</f>
        <v>410</v>
      </c>
      <c r="Q34" s="13">
        <f ca="1">IF(A34=1,IF(OR('My Loans'!$O$19="",'My Loans'!$O$19=0),0,INDIRECT("'My Loans'!$D"&amp;'My Loans'!$O$19)),BD33)</f>
        <v>0</v>
      </c>
      <c r="R34" s="13">
        <f ca="1">IF(OR('My Loans'!$O$19="",'My Loans'!$O$19=0),0,Q34*INDIRECT("'My Loans'!$E"&amp;'My Loans'!$O$19)/12)</f>
        <v>0</v>
      </c>
      <c r="S34" s="13">
        <f ca="1">IF(OR('My Loans'!$O$19="",'My Loans'!$O$19=0),0,IF(Q34&lt;0.005,0,MIN(INDIRECT("'My Loans'!$F"&amp;'My Loans'!$O$19),Q34+R34)))</f>
        <v>0</v>
      </c>
      <c r="T34" s="13">
        <f ca="1">IF(A34=1,IF(OR('My Loans'!$O$20="",'My Loans'!$O$20=0),0,INDIRECT("'My Loans'!$D"&amp;'My Loans'!$O$20)),BI33)</f>
        <v>0</v>
      </c>
      <c r="U34" s="13">
        <f ca="1">IF(OR('My Loans'!$O$20="",'My Loans'!$O$20=0),0,T34*INDIRECT("'My Loans'!$E"&amp;'My Loans'!$O$20)/12)</f>
        <v>0</v>
      </c>
      <c r="V34" s="13">
        <f ca="1">IF(OR('My Loans'!$O$20="",'My Loans'!$O$20=0),0,IF(T34&lt;0.005,0,MIN(INDIRECT("'My Loans'!$F"&amp;'My Loans'!$O$20),T34+U34)))</f>
        <v>0</v>
      </c>
      <c r="W34" s="13">
        <f ca="1">IF(A34=1,IF(OR('My Loans'!$O$21="",'My Loans'!$O$21=0),0,INDIRECT("'My Loans'!$D"&amp;'My Loans'!$O$21)),BN33)</f>
        <v>0</v>
      </c>
      <c r="X34" s="13">
        <f ca="1">IF(OR('My Loans'!$O$21="",'My Loans'!$O$21=0),0,W34*INDIRECT("'My Loans'!$E"&amp;'My Loans'!$O$21)/12)</f>
        <v>0</v>
      </c>
      <c r="Y34" s="13">
        <f ca="1">IF(OR('My Loans'!$O$21="",'My Loans'!$O$21=0),0,IF(W34&lt;0.005,0,MIN(INDIRECT("'My Loans'!$F"&amp;'My Loans'!$O$21),W34+X34)))</f>
        <v>0</v>
      </c>
      <c r="Z34" s="13">
        <f ca="1">'My Loans'!$B$13-(D34+G34+J34+M34+P34+S34+V34+Y34)</f>
        <v>670</v>
      </c>
      <c r="AA34" s="13">
        <f t="shared" ref="AA34:AA65" ca="1" si="43">MAX(0,Z34)</f>
        <v>670</v>
      </c>
      <c r="AB34" s="13">
        <f t="shared" ref="AB34:AB65" ca="1" si="44">MAX(0,B34+C34-D34)</f>
        <v>0</v>
      </c>
      <c r="AC34" s="13">
        <f t="shared" ref="AC34:AC65" ca="1" si="45">MIN(AA34,AB34)</f>
        <v>0</v>
      </c>
      <c r="AD34" s="13">
        <f t="shared" ref="AD34:AD65" ca="1" si="46">D34+AC34</f>
        <v>0</v>
      </c>
      <c r="AE34" s="13">
        <f t="shared" ref="AE34:AE65" ca="1" si="47">MAX(0,B34+C34-AD34)</f>
        <v>0</v>
      </c>
      <c r="AF34" s="13">
        <f t="shared" ref="AF34:AF65" ca="1" si="48">MAX(0,AA34-AC34)</f>
        <v>670</v>
      </c>
      <c r="AG34" s="13">
        <f t="shared" ref="AG34:AG65" ca="1" si="49">MAX(0,E34+F34-G34)</f>
        <v>0</v>
      </c>
      <c r="AH34" s="13">
        <f t="shared" ref="AH34:AH65" ca="1" si="50">MIN(AF34,AG34)</f>
        <v>0</v>
      </c>
      <c r="AI34" s="13">
        <f t="shared" ref="AI34:AI65" ca="1" si="51">G34+AH34</f>
        <v>0</v>
      </c>
      <c r="AJ34" s="13">
        <f t="shared" ref="AJ34:AJ65" ca="1" si="52">MAX(0,E34+F34-AI34)</f>
        <v>0</v>
      </c>
      <c r="AK34" s="13">
        <f t="shared" ref="AK34:AK65" ca="1" si="53">MAX(0,AF34-AH34)</f>
        <v>670</v>
      </c>
      <c r="AL34" s="13">
        <f t="shared" ref="AL34:AL65" ca="1" si="54">MAX(0,H34+I34-J34)</f>
        <v>7454.3070180680779</v>
      </c>
      <c r="AM34" s="13">
        <f t="shared" ref="AM34:AM65" ca="1" si="55">MIN(AK34,AL34)</f>
        <v>670</v>
      </c>
      <c r="AN34" s="13">
        <f t="shared" ref="AN34:AN65" ca="1" si="56">J34+AM34</f>
        <v>812</v>
      </c>
      <c r="AO34" s="13">
        <f t="shared" ref="AO34:AO65" ca="1" si="57">MAX(0,H34+I34-AN34)</f>
        <v>6784.3070180680779</v>
      </c>
      <c r="AP34" s="13">
        <f t="shared" ref="AP34:AP65" ca="1" si="58">MAX(0,AK34-AM34)</f>
        <v>0</v>
      </c>
      <c r="AQ34" s="13">
        <f t="shared" ref="AQ34:AQ65" ca="1" si="59">MAX(0,K34+L34-M34)</f>
        <v>11631.189521739218</v>
      </c>
      <c r="AR34" s="13">
        <f t="shared" ref="AR34:AR65" ca="1" si="60">MIN(AP34,AQ34)</f>
        <v>0</v>
      </c>
      <c r="AS34" s="13">
        <f t="shared" ref="AS34:AS65" ca="1" si="61">M34+AR34</f>
        <v>178</v>
      </c>
      <c r="AT34" s="13">
        <f t="shared" ref="AT34:AT65" ca="1" si="62">MAX(0,K34+L34-AS34)</f>
        <v>11631.189521739218</v>
      </c>
      <c r="AU34" s="13">
        <f t="shared" ref="AU34:AU65" ca="1" si="63">MAX(0,AP34-AR34)</f>
        <v>0</v>
      </c>
      <c r="AV34" s="13">
        <f t="shared" ref="AV34:AV65" ca="1" si="64">MAX(0,N34+O34-P34)</f>
        <v>19712.481966809755</v>
      </c>
      <c r="AW34" s="13">
        <f t="shared" ref="AW34:AW65" ca="1" si="65">MIN(AU34,AV34)</f>
        <v>0</v>
      </c>
      <c r="AX34" s="13">
        <f t="shared" ref="AX34:AX65" ca="1" si="66">P34+AW34</f>
        <v>410</v>
      </c>
      <c r="AY34" s="13">
        <f t="shared" ref="AY34:AY65" ca="1" si="67">MAX(0,N34+O34-AX34)</f>
        <v>19712.481966809755</v>
      </c>
      <c r="AZ34" s="13">
        <f t="shared" ref="AZ34:AZ65" ca="1" si="68">MAX(0,AU34-AW34)</f>
        <v>0</v>
      </c>
      <c r="BA34" s="13">
        <f t="shared" ref="BA34:BA65" ca="1" si="69">MAX(0,Q34+R34-S34)</f>
        <v>0</v>
      </c>
      <c r="BB34" s="13">
        <f t="shared" ref="BB34:BB65" ca="1" si="70">MIN(AZ34,BA34)</f>
        <v>0</v>
      </c>
      <c r="BC34" s="13">
        <f t="shared" ref="BC34:BC65" ca="1" si="71">S34+BB34</f>
        <v>0</v>
      </c>
      <c r="BD34" s="13">
        <f t="shared" ref="BD34:BD65" ca="1" si="72">MAX(0,Q34+R34-BC34)</f>
        <v>0</v>
      </c>
      <c r="BE34" s="13">
        <f t="shared" ref="BE34:BE65" ca="1" si="73">MAX(0,AZ34-BB34)</f>
        <v>0</v>
      </c>
      <c r="BF34" s="13">
        <f t="shared" ref="BF34:BF65" ca="1" si="74">MAX(0,T34+U34-V34)</f>
        <v>0</v>
      </c>
      <c r="BG34" s="13">
        <f t="shared" ref="BG34:BG65" ca="1" si="75">MIN(BE34,BF34)</f>
        <v>0</v>
      </c>
      <c r="BH34" s="13">
        <f t="shared" ref="BH34:BH65" ca="1" si="76">V34+BG34</f>
        <v>0</v>
      </c>
      <c r="BI34" s="13">
        <f t="shared" ref="BI34:BI65" ca="1" si="77">MAX(0,T34+U34-BH34)</f>
        <v>0</v>
      </c>
      <c r="BJ34" s="13">
        <f t="shared" ref="BJ34:BJ65" ca="1" si="78">MAX(0,BE34-BG34)</f>
        <v>0</v>
      </c>
      <c r="BK34" s="13">
        <f t="shared" ref="BK34:BK65" ca="1" si="79">MAX(0,W34+X34-Y34)</f>
        <v>0</v>
      </c>
      <c r="BL34" s="13">
        <f t="shared" ref="BL34:BL65" ca="1" si="80">MIN(BJ34,BK34)</f>
        <v>0</v>
      </c>
      <c r="BM34" s="13">
        <f t="shared" ref="BM34:BM65" ca="1" si="81">Y34+BL34</f>
        <v>0</v>
      </c>
      <c r="BN34" s="13">
        <f t="shared" ref="BN34:BN65" ca="1" si="82">MAX(0,W34+X34-BM34)</f>
        <v>0</v>
      </c>
      <c r="BO34" s="13">
        <f t="shared" ref="BO34:BO65" ca="1" si="83">AD34+AI34+AN34+AS34+AX34+BC34+BH34+BM34</f>
        <v>1400</v>
      </c>
      <c r="BP34" s="13">
        <f t="shared" ref="BP34:BP65" ca="1" si="84">C34+F34+I34+L34+O34+R34+U34+X34</f>
        <v>226.96468268151469</v>
      </c>
      <c r="BQ34" s="13">
        <f t="shared" ref="BQ34:BQ65" ca="1" si="85">AE34+AJ34+AO34+AT34+AY34+BD34+BI34+BN34</f>
        <v>38127.978506617052</v>
      </c>
    </row>
    <row r="35" spans="1:69" x14ac:dyDescent="0.25">
      <c r="A35" s="1">
        <v>34</v>
      </c>
      <c r="B35" s="13">
        <f ca="1">IF(A35=1,IF(OR('My Loans'!$O$14="",'My Loans'!$O$14=0),0,INDIRECT("'My Loans'!$D"&amp;'My Loans'!$O$14)),AE34)</f>
        <v>0</v>
      </c>
      <c r="C35" s="13">
        <f ca="1">IF(OR('My Loans'!$O$14="",'My Loans'!$O$14=0),0,B35*INDIRECT("'My Loans'!$E"&amp;'My Loans'!$O$14)/12)</f>
        <v>0</v>
      </c>
      <c r="D35" s="13">
        <f ca="1">IF(OR('My Loans'!$O$14="",'My Loans'!$O$14=0),0,IF(B35&lt;0.005,0,MIN(INDIRECT("'My Loans'!$F"&amp;'My Loans'!$O$14),B35+C35)))</f>
        <v>0</v>
      </c>
      <c r="E35" s="13">
        <f ca="1">IF(A35=1,IF(OR('My Loans'!$O$15="",'My Loans'!$O$15=0),0,INDIRECT("'My Loans'!$D"&amp;'My Loans'!$O$15)),AJ34)</f>
        <v>0</v>
      </c>
      <c r="F35" s="13">
        <f ca="1">IF(OR('My Loans'!$O$15="",'My Loans'!$O$15=0),0,E35*INDIRECT("'My Loans'!$E"&amp;'My Loans'!$O$15)/12)</f>
        <v>0</v>
      </c>
      <c r="G35" s="13">
        <f ca="1">IF(OR('My Loans'!$O$15="",'My Loans'!$O$15=0),0,IF(E35&lt;0.005,0,MIN(INDIRECT("'My Loans'!$F"&amp;'My Loans'!$O$15),E35+F35)))</f>
        <v>0</v>
      </c>
      <c r="H35" s="13">
        <f ca="1">IF(A35=1,IF(OR('My Loans'!$O$16="",'My Loans'!$O$16=0),0,INDIRECT("'My Loans'!$D"&amp;'My Loans'!$O$16)),AO34)</f>
        <v>6784.3070180680779</v>
      </c>
      <c r="I35" s="13">
        <f ca="1">IF(OR('My Loans'!$O$16="",'My Loans'!$O$16=0),0,H35*INDIRECT("'My Loans'!$E"&amp;'My Loans'!$O$16)/12)</f>
        <v>31.094740499478689</v>
      </c>
      <c r="J35" s="13">
        <f ca="1">IF(OR('My Loans'!$O$16="",'My Loans'!$O$16=0),0,IF(H35&lt;0.005,0,MIN(INDIRECT("'My Loans'!$F"&amp;'My Loans'!$O$16),H35+I35)))</f>
        <v>142</v>
      </c>
      <c r="K35" s="13">
        <f ca="1">IF(A35=1,IF(OR('My Loans'!$O$17="",'My Loans'!$O$17=0),0,INDIRECT("'My Loans'!$D"&amp;'My Loans'!$O$17)),AT34)</f>
        <v>11631.189521739218</v>
      </c>
      <c r="L35" s="13">
        <f ca="1">IF(OR('My Loans'!$O$17="",'My Loans'!$O$17=0),0,K35*INDIRECT("'My Loans'!$E"&amp;'My Loans'!$O$17)/12)</f>
        <v>60.094479195652617</v>
      </c>
      <c r="M35" s="13">
        <f ca="1">IF(OR('My Loans'!$O$17="",'My Loans'!$O$17=0),0,IF(K35&lt;0.005,0,MIN(INDIRECT("'My Loans'!$F"&amp;'My Loans'!$O$17),K35+L35)))</f>
        <v>178</v>
      </c>
      <c r="N35" s="13">
        <f ca="1">IF(A35=1,IF(OR('My Loans'!$O$18="",'My Loans'!$O$18=0),0,INDIRECT("'My Loans'!$D"&amp;'My Loans'!$O$18)),AY34)</f>
        <v>19712.481966809755</v>
      </c>
      <c r="O35" s="13">
        <f ca="1">IF(OR('My Loans'!$O$18="",'My Loans'!$O$18=0),0,N35*INDIRECT("'My Loans'!$E"&amp;'My Loans'!$O$18)/12)</f>
        <v>129.77383961483091</v>
      </c>
      <c r="P35" s="13">
        <f ca="1">IF(OR('My Loans'!$O$18="",'My Loans'!$O$18=0),0,IF(N35&lt;0.005,0,MIN(INDIRECT("'My Loans'!$F"&amp;'My Loans'!$O$18),N35+O35)))</f>
        <v>410</v>
      </c>
      <c r="Q35" s="13">
        <f ca="1">IF(A35=1,IF(OR('My Loans'!$O$19="",'My Loans'!$O$19=0),0,INDIRECT("'My Loans'!$D"&amp;'My Loans'!$O$19)),BD34)</f>
        <v>0</v>
      </c>
      <c r="R35" s="13">
        <f ca="1">IF(OR('My Loans'!$O$19="",'My Loans'!$O$19=0),0,Q35*INDIRECT("'My Loans'!$E"&amp;'My Loans'!$O$19)/12)</f>
        <v>0</v>
      </c>
      <c r="S35" s="13">
        <f ca="1">IF(OR('My Loans'!$O$19="",'My Loans'!$O$19=0),0,IF(Q35&lt;0.005,0,MIN(INDIRECT("'My Loans'!$F"&amp;'My Loans'!$O$19),Q35+R35)))</f>
        <v>0</v>
      </c>
      <c r="T35" s="13">
        <f ca="1">IF(A35=1,IF(OR('My Loans'!$O$20="",'My Loans'!$O$20=0),0,INDIRECT("'My Loans'!$D"&amp;'My Loans'!$O$20)),BI34)</f>
        <v>0</v>
      </c>
      <c r="U35" s="13">
        <f ca="1">IF(OR('My Loans'!$O$20="",'My Loans'!$O$20=0),0,T35*INDIRECT("'My Loans'!$E"&amp;'My Loans'!$O$20)/12)</f>
        <v>0</v>
      </c>
      <c r="V35" s="13">
        <f ca="1">IF(OR('My Loans'!$O$20="",'My Loans'!$O$20=0),0,IF(T35&lt;0.005,0,MIN(INDIRECT("'My Loans'!$F"&amp;'My Loans'!$O$20),T35+U35)))</f>
        <v>0</v>
      </c>
      <c r="W35" s="13">
        <f ca="1">IF(A35=1,IF(OR('My Loans'!$O$21="",'My Loans'!$O$21=0),0,INDIRECT("'My Loans'!$D"&amp;'My Loans'!$O$21)),BN34)</f>
        <v>0</v>
      </c>
      <c r="X35" s="13">
        <f ca="1">IF(OR('My Loans'!$O$21="",'My Loans'!$O$21=0),0,W35*INDIRECT("'My Loans'!$E"&amp;'My Loans'!$O$21)/12)</f>
        <v>0</v>
      </c>
      <c r="Y35" s="13">
        <f ca="1">IF(OR('My Loans'!$O$21="",'My Loans'!$O$21=0),0,IF(W35&lt;0.005,0,MIN(INDIRECT("'My Loans'!$F"&amp;'My Loans'!$O$21),W35+X35)))</f>
        <v>0</v>
      </c>
      <c r="Z35" s="13">
        <f ca="1">'My Loans'!$B$13-(D35+G35+J35+M35+P35+S35+V35+Y35)</f>
        <v>670</v>
      </c>
      <c r="AA35" s="13">
        <f t="shared" ca="1" si="43"/>
        <v>670</v>
      </c>
      <c r="AB35" s="13">
        <f t="shared" ca="1" si="44"/>
        <v>0</v>
      </c>
      <c r="AC35" s="13">
        <f t="shared" ca="1" si="45"/>
        <v>0</v>
      </c>
      <c r="AD35" s="13">
        <f t="shared" ca="1" si="46"/>
        <v>0</v>
      </c>
      <c r="AE35" s="13">
        <f t="shared" ca="1" si="47"/>
        <v>0</v>
      </c>
      <c r="AF35" s="13">
        <f t="shared" ca="1" si="48"/>
        <v>670</v>
      </c>
      <c r="AG35" s="13">
        <f t="shared" ca="1" si="49"/>
        <v>0</v>
      </c>
      <c r="AH35" s="13">
        <f t="shared" ca="1" si="50"/>
        <v>0</v>
      </c>
      <c r="AI35" s="13">
        <f t="shared" ca="1" si="51"/>
        <v>0</v>
      </c>
      <c r="AJ35" s="13">
        <f t="shared" ca="1" si="52"/>
        <v>0</v>
      </c>
      <c r="AK35" s="13">
        <f t="shared" ca="1" si="53"/>
        <v>670</v>
      </c>
      <c r="AL35" s="13">
        <f t="shared" ca="1" si="54"/>
        <v>6673.4017585675565</v>
      </c>
      <c r="AM35" s="13">
        <f t="shared" ca="1" si="55"/>
        <v>670</v>
      </c>
      <c r="AN35" s="13">
        <f t="shared" ca="1" si="56"/>
        <v>812</v>
      </c>
      <c r="AO35" s="13">
        <f t="shared" ca="1" si="57"/>
        <v>6003.4017585675565</v>
      </c>
      <c r="AP35" s="13">
        <f t="shared" ca="1" si="58"/>
        <v>0</v>
      </c>
      <c r="AQ35" s="13">
        <f t="shared" ca="1" si="59"/>
        <v>11513.284000934869</v>
      </c>
      <c r="AR35" s="13">
        <f t="shared" ca="1" si="60"/>
        <v>0</v>
      </c>
      <c r="AS35" s="13">
        <f t="shared" ca="1" si="61"/>
        <v>178</v>
      </c>
      <c r="AT35" s="13">
        <f t="shared" ca="1" si="62"/>
        <v>11513.284000934869</v>
      </c>
      <c r="AU35" s="13">
        <f t="shared" ca="1" si="63"/>
        <v>0</v>
      </c>
      <c r="AV35" s="13">
        <f t="shared" ca="1" si="64"/>
        <v>19432.255806424586</v>
      </c>
      <c r="AW35" s="13">
        <f t="shared" ca="1" si="65"/>
        <v>0</v>
      </c>
      <c r="AX35" s="13">
        <f t="shared" ca="1" si="66"/>
        <v>410</v>
      </c>
      <c r="AY35" s="13">
        <f t="shared" ca="1" si="67"/>
        <v>19432.255806424586</v>
      </c>
      <c r="AZ35" s="13">
        <f t="shared" ca="1" si="68"/>
        <v>0</v>
      </c>
      <c r="BA35" s="13">
        <f t="shared" ca="1" si="69"/>
        <v>0</v>
      </c>
      <c r="BB35" s="13">
        <f t="shared" ca="1" si="70"/>
        <v>0</v>
      </c>
      <c r="BC35" s="13">
        <f t="shared" ca="1" si="71"/>
        <v>0</v>
      </c>
      <c r="BD35" s="13">
        <f t="shared" ca="1" si="72"/>
        <v>0</v>
      </c>
      <c r="BE35" s="13">
        <f t="shared" ca="1" si="73"/>
        <v>0</v>
      </c>
      <c r="BF35" s="13">
        <f t="shared" ca="1" si="74"/>
        <v>0</v>
      </c>
      <c r="BG35" s="13">
        <f t="shared" ca="1" si="75"/>
        <v>0</v>
      </c>
      <c r="BH35" s="13">
        <f t="shared" ca="1" si="76"/>
        <v>0</v>
      </c>
      <c r="BI35" s="13">
        <f t="shared" ca="1" si="77"/>
        <v>0</v>
      </c>
      <c r="BJ35" s="13">
        <f t="shared" ca="1" si="78"/>
        <v>0</v>
      </c>
      <c r="BK35" s="13">
        <f t="shared" ca="1" si="79"/>
        <v>0</v>
      </c>
      <c r="BL35" s="13">
        <f t="shared" ca="1" si="80"/>
        <v>0</v>
      </c>
      <c r="BM35" s="13">
        <f t="shared" ca="1" si="81"/>
        <v>0</v>
      </c>
      <c r="BN35" s="13">
        <f t="shared" ca="1" si="82"/>
        <v>0</v>
      </c>
      <c r="BO35" s="13">
        <f t="shared" ca="1" si="83"/>
        <v>1400</v>
      </c>
      <c r="BP35" s="13">
        <f t="shared" ca="1" si="84"/>
        <v>220.9630593099622</v>
      </c>
      <c r="BQ35" s="13">
        <f t="shared" ca="1" si="85"/>
        <v>36948.941565927016</v>
      </c>
    </row>
    <row r="36" spans="1:69" x14ac:dyDescent="0.25">
      <c r="A36" s="1">
        <v>35</v>
      </c>
      <c r="B36" s="13">
        <f ca="1">IF(A36=1,IF(OR('My Loans'!$O$14="",'My Loans'!$O$14=0),0,INDIRECT("'My Loans'!$D"&amp;'My Loans'!$O$14)),AE35)</f>
        <v>0</v>
      </c>
      <c r="C36" s="13">
        <f ca="1">IF(OR('My Loans'!$O$14="",'My Loans'!$O$14=0),0,B36*INDIRECT("'My Loans'!$E"&amp;'My Loans'!$O$14)/12)</f>
        <v>0</v>
      </c>
      <c r="D36" s="13">
        <f ca="1">IF(OR('My Loans'!$O$14="",'My Loans'!$O$14=0),0,IF(B36&lt;0.005,0,MIN(INDIRECT("'My Loans'!$F"&amp;'My Loans'!$O$14),B36+C36)))</f>
        <v>0</v>
      </c>
      <c r="E36" s="13">
        <f ca="1">IF(A36=1,IF(OR('My Loans'!$O$15="",'My Loans'!$O$15=0),0,INDIRECT("'My Loans'!$D"&amp;'My Loans'!$O$15)),AJ35)</f>
        <v>0</v>
      </c>
      <c r="F36" s="13">
        <f ca="1">IF(OR('My Loans'!$O$15="",'My Loans'!$O$15=0),0,E36*INDIRECT("'My Loans'!$E"&amp;'My Loans'!$O$15)/12)</f>
        <v>0</v>
      </c>
      <c r="G36" s="13">
        <f ca="1">IF(OR('My Loans'!$O$15="",'My Loans'!$O$15=0),0,IF(E36&lt;0.005,0,MIN(INDIRECT("'My Loans'!$F"&amp;'My Loans'!$O$15),E36+F36)))</f>
        <v>0</v>
      </c>
      <c r="H36" s="13">
        <f ca="1">IF(A36=1,IF(OR('My Loans'!$O$16="",'My Loans'!$O$16=0),0,INDIRECT("'My Loans'!$D"&amp;'My Loans'!$O$16)),AO35)</f>
        <v>6003.4017585675565</v>
      </c>
      <c r="I36" s="13">
        <f ca="1">IF(OR('My Loans'!$O$16="",'My Loans'!$O$16=0),0,H36*INDIRECT("'My Loans'!$E"&amp;'My Loans'!$O$16)/12)</f>
        <v>27.515591393434633</v>
      </c>
      <c r="J36" s="13">
        <f ca="1">IF(OR('My Loans'!$O$16="",'My Loans'!$O$16=0),0,IF(H36&lt;0.005,0,MIN(INDIRECT("'My Loans'!$F"&amp;'My Loans'!$O$16),H36+I36)))</f>
        <v>142</v>
      </c>
      <c r="K36" s="13">
        <f ca="1">IF(A36=1,IF(OR('My Loans'!$O$17="",'My Loans'!$O$17=0),0,INDIRECT("'My Loans'!$D"&amp;'My Loans'!$O$17)),AT35)</f>
        <v>11513.284000934869</v>
      </c>
      <c r="L36" s="13">
        <f ca="1">IF(OR('My Loans'!$O$17="",'My Loans'!$O$17=0),0,K36*INDIRECT("'My Loans'!$E"&amp;'My Loans'!$O$17)/12)</f>
        <v>59.485300671496823</v>
      </c>
      <c r="M36" s="13">
        <f ca="1">IF(OR('My Loans'!$O$17="",'My Loans'!$O$17=0),0,IF(K36&lt;0.005,0,MIN(INDIRECT("'My Loans'!$F"&amp;'My Loans'!$O$17),K36+L36)))</f>
        <v>178</v>
      </c>
      <c r="N36" s="13">
        <f ca="1">IF(A36=1,IF(OR('My Loans'!$O$18="",'My Loans'!$O$18=0),0,INDIRECT("'My Loans'!$D"&amp;'My Loans'!$O$18)),AY35)</f>
        <v>19432.255806424586</v>
      </c>
      <c r="O36" s="13">
        <f ca="1">IF(OR('My Loans'!$O$18="",'My Loans'!$O$18=0),0,N36*INDIRECT("'My Loans'!$E"&amp;'My Loans'!$O$18)/12)</f>
        <v>127.92901739229519</v>
      </c>
      <c r="P36" s="13">
        <f ca="1">IF(OR('My Loans'!$O$18="",'My Loans'!$O$18=0),0,IF(N36&lt;0.005,0,MIN(INDIRECT("'My Loans'!$F"&amp;'My Loans'!$O$18),N36+O36)))</f>
        <v>410</v>
      </c>
      <c r="Q36" s="13">
        <f ca="1">IF(A36=1,IF(OR('My Loans'!$O$19="",'My Loans'!$O$19=0),0,INDIRECT("'My Loans'!$D"&amp;'My Loans'!$O$19)),BD35)</f>
        <v>0</v>
      </c>
      <c r="R36" s="13">
        <f ca="1">IF(OR('My Loans'!$O$19="",'My Loans'!$O$19=0),0,Q36*INDIRECT("'My Loans'!$E"&amp;'My Loans'!$O$19)/12)</f>
        <v>0</v>
      </c>
      <c r="S36" s="13">
        <f ca="1">IF(OR('My Loans'!$O$19="",'My Loans'!$O$19=0),0,IF(Q36&lt;0.005,0,MIN(INDIRECT("'My Loans'!$F"&amp;'My Loans'!$O$19),Q36+R36)))</f>
        <v>0</v>
      </c>
      <c r="T36" s="13">
        <f ca="1">IF(A36=1,IF(OR('My Loans'!$O$20="",'My Loans'!$O$20=0),0,INDIRECT("'My Loans'!$D"&amp;'My Loans'!$O$20)),BI35)</f>
        <v>0</v>
      </c>
      <c r="U36" s="13">
        <f ca="1">IF(OR('My Loans'!$O$20="",'My Loans'!$O$20=0),0,T36*INDIRECT("'My Loans'!$E"&amp;'My Loans'!$O$20)/12)</f>
        <v>0</v>
      </c>
      <c r="V36" s="13">
        <f ca="1">IF(OR('My Loans'!$O$20="",'My Loans'!$O$20=0),0,IF(T36&lt;0.005,0,MIN(INDIRECT("'My Loans'!$F"&amp;'My Loans'!$O$20),T36+U36)))</f>
        <v>0</v>
      </c>
      <c r="W36" s="13">
        <f ca="1">IF(A36=1,IF(OR('My Loans'!$O$21="",'My Loans'!$O$21=0),0,INDIRECT("'My Loans'!$D"&amp;'My Loans'!$O$21)),BN35)</f>
        <v>0</v>
      </c>
      <c r="X36" s="13">
        <f ca="1">IF(OR('My Loans'!$O$21="",'My Loans'!$O$21=0),0,W36*INDIRECT("'My Loans'!$E"&amp;'My Loans'!$O$21)/12)</f>
        <v>0</v>
      </c>
      <c r="Y36" s="13">
        <f ca="1">IF(OR('My Loans'!$O$21="",'My Loans'!$O$21=0),0,IF(W36&lt;0.005,0,MIN(INDIRECT("'My Loans'!$F"&amp;'My Loans'!$O$21),W36+X36)))</f>
        <v>0</v>
      </c>
      <c r="Z36" s="13">
        <f ca="1">'My Loans'!$B$13-(D36+G36+J36+M36+P36+S36+V36+Y36)</f>
        <v>670</v>
      </c>
      <c r="AA36" s="13">
        <f t="shared" ca="1" si="43"/>
        <v>670</v>
      </c>
      <c r="AB36" s="13">
        <f t="shared" ca="1" si="44"/>
        <v>0</v>
      </c>
      <c r="AC36" s="13">
        <f t="shared" ca="1" si="45"/>
        <v>0</v>
      </c>
      <c r="AD36" s="13">
        <f t="shared" ca="1" si="46"/>
        <v>0</v>
      </c>
      <c r="AE36" s="13">
        <f t="shared" ca="1" si="47"/>
        <v>0</v>
      </c>
      <c r="AF36" s="13">
        <f t="shared" ca="1" si="48"/>
        <v>670</v>
      </c>
      <c r="AG36" s="13">
        <f t="shared" ca="1" si="49"/>
        <v>0</v>
      </c>
      <c r="AH36" s="13">
        <f t="shared" ca="1" si="50"/>
        <v>0</v>
      </c>
      <c r="AI36" s="13">
        <f t="shared" ca="1" si="51"/>
        <v>0</v>
      </c>
      <c r="AJ36" s="13">
        <f t="shared" ca="1" si="52"/>
        <v>0</v>
      </c>
      <c r="AK36" s="13">
        <f t="shared" ca="1" si="53"/>
        <v>670</v>
      </c>
      <c r="AL36" s="13">
        <f t="shared" ca="1" si="54"/>
        <v>5888.9173499609915</v>
      </c>
      <c r="AM36" s="13">
        <f t="shared" ca="1" si="55"/>
        <v>670</v>
      </c>
      <c r="AN36" s="13">
        <f t="shared" ca="1" si="56"/>
        <v>812</v>
      </c>
      <c r="AO36" s="13">
        <f t="shared" ca="1" si="57"/>
        <v>5218.9173499609915</v>
      </c>
      <c r="AP36" s="13">
        <f t="shared" ca="1" si="58"/>
        <v>0</v>
      </c>
      <c r="AQ36" s="13">
        <f t="shared" ca="1" si="59"/>
        <v>11394.769301606366</v>
      </c>
      <c r="AR36" s="13">
        <f t="shared" ca="1" si="60"/>
        <v>0</v>
      </c>
      <c r="AS36" s="13">
        <f t="shared" ca="1" si="61"/>
        <v>178</v>
      </c>
      <c r="AT36" s="13">
        <f t="shared" ca="1" si="62"/>
        <v>11394.769301606366</v>
      </c>
      <c r="AU36" s="13">
        <f t="shared" ca="1" si="63"/>
        <v>0</v>
      </c>
      <c r="AV36" s="13">
        <f t="shared" ca="1" si="64"/>
        <v>19150.184823816882</v>
      </c>
      <c r="AW36" s="13">
        <f t="shared" ca="1" si="65"/>
        <v>0</v>
      </c>
      <c r="AX36" s="13">
        <f t="shared" ca="1" si="66"/>
        <v>410</v>
      </c>
      <c r="AY36" s="13">
        <f t="shared" ca="1" si="67"/>
        <v>19150.184823816882</v>
      </c>
      <c r="AZ36" s="13">
        <f t="shared" ca="1" si="68"/>
        <v>0</v>
      </c>
      <c r="BA36" s="13">
        <f t="shared" ca="1" si="69"/>
        <v>0</v>
      </c>
      <c r="BB36" s="13">
        <f t="shared" ca="1" si="70"/>
        <v>0</v>
      </c>
      <c r="BC36" s="13">
        <f t="shared" ca="1" si="71"/>
        <v>0</v>
      </c>
      <c r="BD36" s="13">
        <f t="shared" ca="1" si="72"/>
        <v>0</v>
      </c>
      <c r="BE36" s="13">
        <f t="shared" ca="1" si="73"/>
        <v>0</v>
      </c>
      <c r="BF36" s="13">
        <f t="shared" ca="1" si="74"/>
        <v>0</v>
      </c>
      <c r="BG36" s="13">
        <f t="shared" ca="1" si="75"/>
        <v>0</v>
      </c>
      <c r="BH36" s="13">
        <f t="shared" ca="1" si="76"/>
        <v>0</v>
      </c>
      <c r="BI36" s="13">
        <f t="shared" ca="1" si="77"/>
        <v>0</v>
      </c>
      <c r="BJ36" s="13">
        <f t="shared" ca="1" si="78"/>
        <v>0</v>
      </c>
      <c r="BK36" s="13">
        <f t="shared" ca="1" si="79"/>
        <v>0</v>
      </c>
      <c r="BL36" s="13">
        <f t="shared" ca="1" si="80"/>
        <v>0</v>
      </c>
      <c r="BM36" s="13">
        <f t="shared" ca="1" si="81"/>
        <v>0</v>
      </c>
      <c r="BN36" s="13">
        <f t="shared" ca="1" si="82"/>
        <v>0</v>
      </c>
      <c r="BO36" s="13">
        <f t="shared" ca="1" si="83"/>
        <v>1400</v>
      </c>
      <c r="BP36" s="13">
        <f t="shared" ca="1" si="84"/>
        <v>214.92990945722664</v>
      </c>
      <c r="BQ36" s="13">
        <f t="shared" ca="1" si="85"/>
        <v>35763.871475384236</v>
      </c>
    </row>
    <row r="37" spans="1:69" x14ac:dyDescent="0.25">
      <c r="A37" s="1">
        <v>36</v>
      </c>
      <c r="B37" s="13">
        <f ca="1">IF(A37=1,IF(OR('My Loans'!$O$14="",'My Loans'!$O$14=0),0,INDIRECT("'My Loans'!$D"&amp;'My Loans'!$O$14)),AE36)</f>
        <v>0</v>
      </c>
      <c r="C37" s="13">
        <f ca="1">IF(OR('My Loans'!$O$14="",'My Loans'!$O$14=0),0,B37*INDIRECT("'My Loans'!$E"&amp;'My Loans'!$O$14)/12)</f>
        <v>0</v>
      </c>
      <c r="D37" s="13">
        <f ca="1">IF(OR('My Loans'!$O$14="",'My Loans'!$O$14=0),0,IF(B37&lt;0.005,0,MIN(INDIRECT("'My Loans'!$F"&amp;'My Loans'!$O$14),B37+C37)))</f>
        <v>0</v>
      </c>
      <c r="E37" s="13">
        <f ca="1">IF(A37=1,IF(OR('My Loans'!$O$15="",'My Loans'!$O$15=0),0,INDIRECT("'My Loans'!$D"&amp;'My Loans'!$O$15)),AJ36)</f>
        <v>0</v>
      </c>
      <c r="F37" s="13">
        <f ca="1">IF(OR('My Loans'!$O$15="",'My Loans'!$O$15=0),0,E37*INDIRECT("'My Loans'!$E"&amp;'My Loans'!$O$15)/12)</f>
        <v>0</v>
      </c>
      <c r="G37" s="13">
        <f ca="1">IF(OR('My Loans'!$O$15="",'My Loans'!$O$15=0),0,IF(E37&lt;0.005,0,MIN(INDIRECT("'My Loans'!$F"&amp;'My Loans'!$O$15),E37+F37)))</f>
        <v>0</v>
      </c>
      <c r="H37" s="13">
        <f ca="1">IF(A37=1,IF(OR('My Loans'!$O$16="",'My Loans'!$O$16=0),0,INDIRECT("'My Loans'!$D"&amp;'My Loans'!$O$16)),AO36)</f>
        <v>5218.9173499609915</v>
      </c>
      <c r="I37" s="13">
        <f ca="1">IF(OR('My Loans'!$O$16="",'My Loans'!$O$16=0),0,H37*INDIRECT("'My Loans'!$E"&amp;'My Loans'!$O$16)/12)</f>
        <v>23.920037853987878</v>
      </c>
      <c r="J37" s="13">
        <f ca="1">IF(OR('My Loans'!$O$16="",'My Loans'!$O$16=0),0,IF(H37&lt;0.005,0,MIN(INDIRECT("'My Loans'!$F"&amp;'My Loans'!$O$16),H37+I37)))</f>
        <v>142</v>
      </c>
      <c r="K37" s="13">
        <f ca="1">IF(A37=1,IF(OR('My Loans'!$O$17="",'My Loans'!$O$17=0),0,INDIRECT("'My Loans'!$D"&amp;'My Loans'!$O$17)),AT36)</f>
        <v>11394.769301606366</v>
      </c>
      <c r="L37" s="13">
        <f ca="1">IF(OR('My Loans'!$O$17="",'My Loans'!$O$17=0),0,K37*INDIRECT("'My Loans'!$E"&amp;'My Loans'!$O$17)/12)</f>
        <v>58.87297472496622</v>
      </c>
      <c r="M37" s="13">
        <f ca="1">IF(OR('My Loans'!$O$17="",'My Loans'!$O$17=0),0,IF(K37&lt;0.005,0,MIN(INDIRECT("'My Loans'!$F"&amp;'My Loans'!$O$17),K37+L37)))</f>
        <v>178</v>
      </c>
      <c r="N37" s="13">
        <f ca="1">IF(A37=1,IF(OR('My Loans'!$O$18="",'My Loans'!$O$18=0),0,INDIRECT("'My Loans'!$D"&amp;'My Loans'!$O$18)),AY36)</f>
        <v>19150.184823816882</v>
      </c>
      <c r="O37" s="13">
        <f ca="1">IF(OR('My Loans'!$O$18="",'My Loans'!$O$18=0),0,N37*INDIRECT("'My Loans'!$E"&amp;'My Loans'!$O$18)/12)</f>
        <v>126.0720500901278</v>
      </c>
      <c r="P37" s="13">
        <f ca="1">IF(OR('My Loans'!$O$18="",'My Loans'!$O$18=0),0,IF(N37&lt;0.005,0,MIN(INDIRECT("'My Loans'!$F"&amp;'My Loans'!$O$18),N37+O37)))</f>
        <v>410</v>
      </c>
      <c r="Q37" s="13">
        <f ca="1">IF(A37=1,IF(OR('My Loans'!$O$19="",'My Loans'!$O$19=0),0,INDIRECT("'My Loans'!$D"&amp;'My Loans'!$O$19)),BD36)</f>
        <v>0</v>
      </c>
      <c r="R37" s="13">
        <f ca="1">IF(OR('My Loans'!$O$19="",'My Loans'!$O$19=0),0,Q37*INDIRECT("'My Loans'!$E"&amp;'My Loans'!$O$19)/12)</f>
        <v>0</v>
      </c>
      <c r="S37" s="13">
        <f ca="1">IF(OR('My Loans'!$O$19="",'My Loans'!$O$19=0),0,IF(Q37&lt;0.005,0,MIN(INDIRECT("'My Loans'!$F"&amp;'My Loans'!$O$19),Q37+R37)))</f>
        <v>0</v>
      </c>
      <c r="T37" s="13">
        <f ca="1">IF(A37=1,IF(OR('My Loans'!$O$20="",'My Loans'!$O$20=0),0,INDIRECT("'My Loans'!$D"&amp;'My Loans'!$O$20)),BI36)</f>
        <v>0</v>
      </c>
      <c r="U37" s="13">
        <f ca="1">IF(OR('My Loans'!$O$20="",'My Loans'!$O$20=0),0,T37*INDIRECT("'My Loans'!$E"&amp;'My Loans'!$O$20)/12)</f>
        <v>0</v>
      </c>
      <c r="V37" s="13">
        <f ca="1">IF(OR('My Loans'!$O$20="",'My Loans'!$O$20=0),0,IF(T37&lt;0.005,0,MIN(INDIRECT("'My Loans'!$F"&amp;'My Loans'!$O$20),T37+U37)))</f>
        <v>0</v>
      </c>
      <c r="W37" s="13">
        <f ca="1">IF(A37=1,IF(OR('My Loans'!$O$21="",'My Loans'!$O$21=0),0,INDIRECT("'My Loans'!$D"&amp;'My Loans'!$O$21)),BN36)</f>
        <v>0</v>
      </c>
      <c r="X37" s="13">
        <f ca="1">IF(OR('My Loans'!$O$21="",'My Loans'!$O$21=0),0,W37*INDIRECT("'My Loans'!$E"&amp;'My Loans'!$O$21)/12)</f>
        <v>0</v>
      </c>
      <c r="Y37" s="13">
        <f ca="1">IF(OR('My Loans'!$O$21="",'My Loans'!$O$21=0),0,IF(W37&lt;0.005,0,MIN(INDIRECT("'My Loans'!$F"&amp;'My Loans'!$O$21),W37+X37)))</f>
        <v>0</v>
      </c>
      <c r="Z37" s="13">
        <f ca="1">'My Loans'!$B$13-(D37+G37+J37+M37+P37+S37+V37+Y37)</f>
        <v>670</v>
      </c>
      <c r="AA37" s="13">
        <f t="shared" ca="1" si="43"/>
        <v>670</v>
      </c>
      <c r="AB37" s="13">
        <f t="shared" ca="1" si="44"/>
        <v>0</v>
      </c>
      <c r="AC37" s="13">
        <f t="shared" ca="1" si="45"/>
        <v>0</v>
      </c>
      <c r="AD37" s="13">
        <f t="shared" ca="1" si="46"/>
        <v>0</v>
      </c>
      <c r="AE37" s="13">
        <f t="shared" ca="1" si="47"/>
        <v>0</v>
      </c>
      <c r="AF37" s="13">
        <f t="shared" ca="1" si="48"/>
        <v>670</v>
      </c>
      <c r="AG37" s="13">
        <f t="shared" ca="1" si="49"/>
        <v>0</v>
      </c>
      <c r="AH37" s="13">
        <f t="shared" ca="1" si="50"/>
        <v>0</v>
      </c>
      <c r="AI37" s="13">
        <f t="shared" ca="1" si="51"/>
        <v>0</v>
      </c>
      <c r="AJ37" s="13">
        <f t="shared" ca="1" si="52"/>
        <v>0</v>
      </c>
      <c r="AK37" s="13">
        <f t="shared" ca="1" si="53"/>
        <v>670</v>
      </c>
      <c r="AL37" s="13">
        <f t="shared" ca="1" si="54"/>
        <v>5100.8373878149796</v>
      </c>
      <c r="AM37" s="13">
        <f t="shared" ca="1" si="55"/>
        <v>670</v>
      </c>
      <c r="AN37" s="13">
        <f t="shared" ca="1" si="56"/>
        <v>812</v>
      </c>
      <c r="AO37" s="13">
        <f t="shared" ca="1" si="57"/>
        <v>4430.8373878149796</v>
      </c>
      <c r="AP37" s="13">
        <f t="shared" ca="1" si="58"/>
        <v>0</v>
      </c>
      <c r="AQ37" s="13">
        <f t="shared" ca="1" si="59"/>
        <v>11275.642276331331</v>
      </c>
      <c r="AR37" s="13">
        <f t="shared" ca="1" si="60"/>
        <v>0</v>
      </c>
      <c r="AS37" s="13">
        <f t="shared" ca="1" si="61"/>
        <v>178</v>
      </c>
      <c r="AT37" s="13">
        <f t="shared" ca="1" si="62"/>
        <v>11275.642276331331</v>
      </c>
      <c r="AU37" s="13">
        <f t="shared" ca="1" si="63"/>
        <v>0</v>
      </c>
      <c r="AV37" s="13">
        <f t="shared" ca="1" si="64"/>
        <v>18866.256873907008</v>
      </c>
      <c r="AW37" s="13">
        <f t="shared" ca="1" si="65"/>
        <v>0</v>
      </c>
      <c r="AX37" s="13">
        <f t="shared" ca="1" si="66"/>
        <v>410</v>
      </c>
      <c r="AY37" s="13">
        <f t="shared" ca="1" si="67"/>
        <v>18866.256873907008</v>
      </c>
      <c r="AZ37" s="13">
        <f t="shared" ca="1" si="68"/>
        <v>0</v>
      </c>
      <c r="BA37" s="13">
        <f t="shared" ca="1" si="69"/>
        <v>0</v>
      </c>
      <c r="BB37" s="13">
        <f t="shared" ca="1" si="70"/>
        <v>0</v>
      </c>
      <c r="BC37" s="13">
        <f t="shared" ca="1" si="71"/>
        <v>0</v>
      </c>
      <c r="BD37" s="13">
        <f t="shared" ca="1" si="72"/>
        <v>0</v>
      </c>
      <c r="BE37" s="13">
        <f t="shared" ca="1" si="73"/>
        <v>0</v>
      </c>
      <c r="BF37" s="13">
        <f t="shared" ca="1" si="74"/>
        <v>0</v>
      </c>
      <c r="BG37" s="13">
        <f t="shared" ca="1" si="75"/>
        <v>0</v>
      </c>
      <c r="BH37" s="13">
        <f t="shared" ca="1" si="76"/>
        <v>0</v>
      </c>
      <c r="BI37" s="13">
        <f t="shared" ca="1" si="77"/>
        <v>0</v>
      </c>
      <c r="BJ37" s="13">
        <f t="shared" ca="1" si="78"/>
        <v>0</v>
      </c>
      <c r="BK37" s="13">
        <f t="shared" ca="1" si="79"/>
        <v>0</v>
      </c>
      <c r="BL37" s="13">
        <f t="shared" ca="1" si="80"/>
        <v>0</v>
      </c>
      <c r="BM37" s="13">
        <f t="shared" ca="1" si="81"/>
        <v>0</v>
      </c>
      <c r="BN37" s="13">
        <f t="shared" ca="1" si="82"/>
        <v>0</v>
      </c>
      <c r="BO37" s="13">
        <f t="shared" ca="1" si="83"/>
        <v>1400</v>
      </c>
      <c r="BP37" s="13">
        <f t="shared" ca="1" si="84"/>
        <v>208.86506266908191</v>
      </c>
      <c r="BQ37" s="13">
        <f t="shared" ca="1" si="85"/>
        <v>34572.736538053316</v>
      </c>
    </row>
    <row r="38" spans="1:69" x14ac:dyDescent="0.25">
      <c r="A38" s="1">
        <v>37</v>
      </c>
      <c r="B38" s="13">
        <f ca="1">IF(A38=1,IF(OR('My Loans'!$O$14="",'My Loans'!$O$14=0),0,INDIRECT("'My Loans'!$D"&amp;'My Loans'!$O$14)),AE37)</f>
        <v>0</v>
      </c>
      <c r="C38" s="13">
        <f ca="1">IF(OR('My Loans'!$O$14="",'My Loans'!$O$14=0),0,B38*INDIRECT("'My Loans'!$E"&amp;'My Loans'!$O$14)/12)</f>
        <v>0</v>
      </c>
      <c r="D38" s="13">
        <f ca="1">IF(OR('My Loans'!$O$14="",'My Loans'!$O$14=0),0,IF(B38&lt;0.005,0,MIN(INDIRECT("'My Loans'!$F"&amp;'My Loans'!$O$14),B38+C38)))</f>
        <v>0</v>
      </c>
      <c r="E38" s="13">
        <f ca="1">IF(A38=1,IF(OR('My Loans'!$O$15="",'My Loans'!$O$15=0),0,INDIRECT("'My Loans'!$D"&amp;'My Loans'!$O$15)),AJ37)</f>
        <v>0</v>
      </c>
      <c r="F38" s="13">
        <f ca="1">IF(OR('My Loans'!$O$15="",'My Loans'!$O$15=0),0,E38*INDIRECT("'My Loans'!$E"&amp;'My Loans'!$O$15)/12)</f>
        <v>0</v>
      </c>
      <c r="G38" s="13">
        <f ca="1">IF(OR('My Loans'!$O$15="",'My Loans'!$O$15=0),0,IF(E38&lt;0.005,0,MIN(INDIRECT("'My Loans'!$F"&amp;'My Loans'!$O$15),E38+F38)))</f>
        <v>0</v>
      </c>
      <c r="H38" s="13">
        <f ca="1">IF(A38=1,IF(OR('My Loans'!$O$16="",'My Loans'!$O$16=0),0,INDIRECT("'My Loans'!$D"&amp;'My Loans'!$O$16)),AO37)</f>
        <v>4430.8373878149796</v>
      </c>
      <c r="I38" s="13">
        <f ca="1">IF(OR('My Loans'!$O$16="",'My Loans'!$O$16=0),0,H38*INDIRECT("'My Loans'!$E"&amp;'My Loans'!$O$16)/12)</f>
        <v>20.30800469415199</v>
      </c>
      <c r="J38" s="13">
        <f ca="1">IF(OR('My Loans'!$O$16="",'My Loans'!$O$16=0),0,IF(H38&lt;0.005,0,MIN(INDIRECT("'My Loans'!$F"&amp;'My Loans'!$O$16),H38+I38)))</f>
        <v>142</v>
      </c>
      <c r="K38" s="13">
        <f ca="1">IF(A38=1,IF(OR('My Loans'!$O$17="",'My Loans'!$O$17=0),0,INDIRECT("'My Loans'!$D"&amp;'My Loans'!$O$17)),AT37)</f>
        <v>11275.642276331331</v>
      </c>
      <c r="L38" s="13">
        <f ca="1">IF(OR('My Loans'!$O$17="",'My Loans'!$O$17=0),0,K38*INDIRECT("'My Loans'!$E"&amp;'My Loans'!$O$17)/12)</f>
        <v>58.257485094378545</v>
      </c>
      <c r="M38" s="13">
        <f ca="1">IF(OR('My Loans'!$O$17="",'My Loans'!$O$17=0),0,IF(K38&lt;0.005,0,MIN(INDIRECT("'My Loans'!$F"&amp;'My Loans'!$O$17),K38+L38)))</f>
        <v>178</v>
      </c>
      <c r="N38" s="13">
        <f ca="1">IF(A38=1,IF(OR('My Loans'!$O$18="",'My Loans'!$O$18=0),0,INDIRECT("'My Loans'!$D"&amp;'My Loans'!$O$18)),AY37)</f>
        <v>18866.256873907008</v>
      </c>
      <c r="O38" s="13">
        <f ca="1">IF(OR('My Loans'!$O$18="",'My Loans'!$O$18=0),0,N38*INDIRECT("'My Loans'!$E"&amp;'My Loans'!$O$18)/12)</f>
        <v>124.20285775322115</v>
      </c>
      <c r="P38" s="13">
        <f ca="1">IF(OR('My Loans'!$O$18="",'My Loans'!$O$18=0),0,IF(N38&lt;0.005,0,MIN(INDIRECT("'My Loans'!$F"&amp;'My Loans'!$O$18),N38+O38)))</f>
        <v>410</v>
      </c>
      <c r="Q38" s="13">
        <f ca="1">IF(A38=1,IF(OR('My Loans'!$O$19="",'My Loans'!$O$19=0),0,INDIRECT("'My Loans'!$D"&amp;'My Loans'!$O$19)),BD37)</f>
        <v>0</v>
      </c>
      <c r="R38" s="13">
        <f ca="1">IF(OR('My Loans'!$O$19="",'My Loans'!$O$19=0),0,Q38*INDIRECT("'My Loans'!$E"&amp;'My Loans'!$O$19)/12)</f>
        <v>0</v>
      </c>
      <c r="S38" s="13">
        <f ca="1">IF(OR('My Loans'!$O$19="",'My Loans'!$O$19=0),0,IF(Q38&lt;0.005,0,MIN(INDIRECT("'My Loans'!$F"&amp;'My Loans'!$O$19),Q38+R38)))</f>
        <v>0</v>
      </c>
      <c r="T38" s="13">
        <f ca="1">IF(A38=1,IF(OR('My Loans'!$O$20="",'My Loans'!$O$20=0),0,INDIRECT("'My Loans'!$D"&amp;'My Loans'!$O$20)),BI37)</f>
        <v>0</v>
      </c>
      <c r="U38" s="13">
        <f ca="1">IF(OR('My Loans'!$O$20="",'My Loans'!$O$20=0),0,T38*INDIRECT("'My Loans'!$E"&amp;'My Loans'!$O$20)/12)</f>
        <v>0</v>
      </c>
      <c r="V38" s="13">
        <f ca="1">IF(OR('My Loans'!$O$20="",'My Loans'!$O$20=0),0,IF(T38&lt;0.005,0,MIN(INDIRECT("'My Loans'!$F"&amp;'My Loans'!$O$20),T38+U38)))</f>
        <v>0</v>
      </c>
      <c r="W38" s="13">
        <f ca="1">IF(A38=1,IF(OR('My Loans'!$O$21="",'My Loans'!$O$21=0),0,INDIRECT("'My Loans'!$D"&amp;'My Loans'!$O$21)),BN37)</f>
        <v>0</v>
      </c>
      <c r="X38" s="13">
        <f ca="1">IF(OR('My Loans'!$O$21="",'My Loans'!$O$21=0),0,W38*INDIRECT("'My Loans'!$E"&amp;'My Loans'!$O$21)/12)</f>
        <v>0</v>
      </c>
      <c r="Y38" s="13">
        <f ca="1">IF(OR('My Loans'!$O$21="",'My Loans'!$O$21=0),0,IF(W38&lt;0.005,0,MIN(INDIRECT("'My Loans'!$F"&amp;'My Loans'!$O$21),W38+X38)))</f>
        <v>0</v>
      </c>
      <c r="Z38" s="13">
        <f ca="1">'My Loans'!$B$13-(D38+G38+J38+M38+P38+S38+V38+Y38)</f>
        <v>670</v>
      </c>
      <c r="AA38" s="13">
        <f t="shared" ca="1" si="43"/>
        <v>670</v>
      </c>
      <c r="AB38" s="13">
        <f t="shared" ca="1" si="44"/>
        <v>0</v>
      </c>
      <c r="AC38" s="13">
        <f t="shared" ca="1" si="45"/>
        <v>0</v>
      </c>
      <c r="AD38" s="13">
        <f t="shared" ca="1" si="46"/>
        <v>0</v>
      </c>
      <c r="AE38" s="13">
        <f t="shared" ca="1" si="47"/>
        <v>0</v>
      </c>
      <c r="AF38" s="13">
        <f t="shared" ca="1" si="48"/>
        <v>670</v>
      </c>
      <c r="AG38" s="13">
        <f t="shared" ca="1" si="49"/>
        <v>0</v>
      </c>
      <c r="AH38" s="13">
        <f t="shared" ca="1" si="50"/>
        <v>0</v>
      </c>
      <c r="AI38" s="13">
        <f t="shared" ca="1" si="51"/>
        <v>0</v>
      </c>
      <c r="AJ38" s="13">
        <f t="shared" ca="1" si="52"/>
        <v>0</v>
      </c>
      <c r="AK38" s="13">
        <f t="shared" ca="1" si="53"/>
        <v>670</v>
      </c>
      <c r="AL38" s="13">
        <f t="shared" ca="1" si="54"/>
        <v>4309.1453925091319</v>
      </c>
      <c r="AM38" s="13">
        <f t="shared" ca="1" si="55"/>
        <v>670</v>
      </c>
      <c r="AN38" s="13">
        <f t="shared" ca="1" si="56"/>
        <v>812</v>
      </c>
      <c r="AO38" s="13">
        <f t="shared" ca="1" si="57"/>
        <v>3639.1453925091319</v>
      </c>
      <c r="AP38" s="13">
        <f t="shared" ca="1" si="58"/>
        <v>0</v>
      </c>
      <c r="AQ38" s="13">
        <f t="shared" ca="1" si="59"/>
        <v>11155.89976142571</v>
      </c>
      <c r="AR38" s="13">
        <f t="shared" ca="1" si="60"/>
        <v>0</v>
      </c>
      <c r="AS38" s="13">
        <f t="shared" ca="1" si="61"/>
        <v>178</v>
      </c>
      <c r="AT38" s="13">
        <f t="shared" ca="1" si="62"/>
        <v>11155.89976142571</v>
      </c>
      <c r="AU38" s="13">
        <f t="shared" ca="1" si="63"/>
        <v>0</v>
      </c>
      <c r="AV38" s="13">
        <f t="shared" ca="1" si="64"/>
        <v>18580.45973166023</v>
      </c>
      <c r="AW38" s="13">
        <f t="shared" ca="1" si="65"/>
        <v>0</v>
      </c>
      <c r="AX38" s="13">
        <f t="shared" ca="1" si="66"/>
        <v>410</v>
      </c>
      <c r="AY38" s="13">
        <f t="shared" ca="1" si="67"/>
        <v>18580.45973166023</v>
      </c>
      <c r="AZ38" s="13">
        <f t="shared" ca="1" si="68"/>
        <v>0</v>
      </c>
      <c r="BA38" s="13">
        <f t="shared" ca="1" si="69"/>
        <v>0</v>
      </c>
      <c r="BB38" s="13">
        <f t="shared" ca="1" si="70"/>
        <v>0</v>
      </c>
      <c r="BC38" s="13">
        <f t="shared" ca="1" si="71"/>
        <v>0</v>
      </c>
      <c r="BD38" s="13">
        <f t="shared" ca="1" si="72"/>
        <v>0</v>
      </c>
      <c r="BE38" s="13">
        <f t="shared" ca="1" si="73"/>
        <v>0</v>
      </c>
      <c r="BF38" s="13">
        <f t="shared" ca="1" si="74"/>
        <v>0</v>
      </c>
      <c r="BG38" s="13">
        <f t="shared" ca="1" si="75"/>
        <v>0</v>
      </c>
      <c r="BH38" s="13">
        <f t="shared" ca="1" si="76"/>
        <v>0</v>
      </c>
      <c r="BI38" s="13">
        <f t="shared" ca="1" si="77"/>
        <v>0</v>
      </c>
      <c r="BJ38" s="13">
        <f t="shared" ca="1" si="78"/>
        <v>0</v>
      </c>
      <c r="BK38" s="13">
        <f t="shared" ca="1" si="79"/>
        <v>0</v>
      </c>
      <c r="BL38" s="13">
        <f t="shared" ca="1" si="80"/>
        <v>0</v>
      </c>
      <c r="BM38" s="13">
        <f t="shared" ca="1" si="81"/>
        <v>0</v>
      </c>
      <c r="BN38" s="13">
        <f t="shared" ca="1" si="82"/>
        <v>0</v>
      </c>
      <c r="BO38" s="13">
        <f t="shared" ca="1" si="83"/>
        <v>1400</v>
      </c>
      <c r="BP38" s="13">
        <f t="shared" ca="1" si="84"/>
        <v>202.76834754175167</v>
      </c>
      <c r="BQ38" s="13">
        <f t="shared" ca="1" si="85"/>
        <v>33375.504885595074</v>
      </c>
    </row>
    <row r="39" spans="1:69" x14ac:dyDescent="0.25">
      <c r="A39" s="1">
        <v>38</v>
      </c>
      <c r="B39" s="13">
        <f ca="1">IF(A39=1,IF(OR('My Loans'!$O$14="",'My Loans'!$O$14=0),0,INDIRECT("'My Loans'!$D"&amp;'My Loans'!$O$14)),AE38)</f>
        <v>0</v>
      </c>
      <c r="C39" s="13">
        <f ca="1">IF(OR('My Loans'!$O$14="",'My Loans'!$O$14=0),0,B39*INDIRECT("'My Loans'!$E"&amp;'My Loans'!$O$14)/12)</f>
        <v>0</v>
      </c>
      <c r="D39" s="13">
        <f ca="1">IF(OR('My Loans'!$O$14="",'My Loans'!$O$14=0),0,IF(B39&lt;0.005,0,MIN(INDIRECT("'My Loans'!$F"&amp;'My Loans'!$O$14),B39+C39)))</f>
        <v>0</v>
      </c>
      <c r="E39" s="13">
        <f ca="1">IF(A39=1,IF(OR('My Loans'!$O$15="",'My Loans'!$O$15=0),0,INDIRECT("'My Loans'!$D"&amp;'My Loans'!$O$15)),AJ38)</f>
        <v>0</v>
      </c>
      <c r="F39" s="13">
        <f ca="1">IF(OR('My Loans'!$O$15="",'My Loans'!$O$15=0),0,E39*INDIRECT("'My Loans'!$E"&amp;'My Loans'!$O$15)/12)</f>
        <v>0</v>
      </c>
      <c r="G39" s="13">
        <f ca="1">IF(OR('My Loans'!$O$15="",'My Loans'!$O$15=0),0,IF(E39&lt;0.005,0,MIN(INDIRECT("'My Loans'!$F"&amp;'My Loans'!$O$15),E39+F39)))</f>
        <v>0</v>
      </c>
      <c r="H39" s="13">
        <f ca="1">IF(A39=1,IF(OR('My Loans'!$O$16="",'My Loans'!$O$16=0),0,INDIRECT("'My Loans'!$D"&amp;'My Loans'!$O$16)),AO38)</f>
        <v>3639.1453925091319</v>
      </c>
      <c r="I39" s="13">
        <f ca="1">IF(OR('My Loans'!$O$16="",'My Loans'!$O$16=0),0,H39*INDIRECT("'My Loans'!$E"&amp;'My Loans'!$O$16)/12)</f>
        <v>16.679416382333521</v>
      </c>
      <c r="J39" s="13">
        <f ca="1">IF(OR('My Loans'!$O$16="",'My Loans'!$O$16=0),0,IF(H39&lt;0.005,0,MIN(INDIRECT("'My Loans'!$F"&amp;'My Loans'!$O$16),H39+I39)))</f>
        <v>142</v>
      </c>
      <c r="K39" s="13">
        <f ca="1">IF(A39=1,IF(OR('My Loans'!$O$17="",'My Loans'!$O$17=0),0,INDIRECT("'My Loans'!$D"&amp;'My Loans'!$O$17)),AT38)</f>
        <v>11155.89976142571</v>
      </c>
      <c r="L39" s="13">
        <f ca="1">IF(OR('My Loans'!$O$17="",'My Loans'!$O$17=0),0,K39*INDIRECT("'My Loans'!$E"&amp;'My Loans'!$O$17)/12)</f>
        <v>57.638815434032836</v>
      </c>
      <c r="M39" s="13">
        <f ca="1">IF(OR('My Loans'!$O$17="",'My Loans'!$O$17=0),0,IF(K39&lt;0.005,0,MIN(INDIRECT("'My Loans'!$F"&amp;'My Loans'!$O$17),K39+L39)))</f>
        <v>178</v>
      </c>
      <c r="N39" s="13">
        <f ca="1">IF(A39=1,IF(OR('My Loans'!$O$18="",'My Loans'!$O$18=0),0,INDIRECT("'My Loans'!$D"&amp;'My Loans'!$O$18)),AY38)</f>
        <v>18580.45973166023</v>
      </c>
      <c r="O39" s="13">
        <f ca="1">IF(OR('My Loans'!$O$18="",'My Loans'!$O$18=0),0,N39*INDIRECT("'My Loans'!$E"&amp;'My Loans'!$O$18)/12)</f>
        <v>122.32135990009652</v>
      </c>
      <c r="P39" s="13">
        <f ca="1">IF(OR('My Loans'!$O$18="",'My Loans'!$O$18=0),0,IF(N39&lt;0.005,0,MIN(INDIRECT("'My Loans'!$F"&amp;'My Loans'!$O$18),N39+O39)))</f>
        <v>410</v>
      </c>
      <c r="Q39" s="13">
        <f ca="1">IF(A39=1,IF(OR('My Loans'!$O$19="",'My Loans'!$O$19=0),0,INDIRECT("'My Loans'!$D"&amp;'My Loans'!$O$19)),BD38)</f>
        <v>0</v>
      </c>
      <c r="R39" s="13">
        <f ca="1">IF(OR('My Loans'!$O$19="",'My Loans'!$O$19=0),0,Q39*INDIRECT("'My Loans'!$E"&amp;'My Loans'!$O$19)/12)</f>
        <v>0</v>
      </c>
      <c r="S39" s="13">
        <f ca="1">IF(OR('My Loans'!$O$19="",'My Loans'!$O$19=0),0,IF(Q39&lt;0.005,0,MIN(INDIRECT("'My Loans'!$F"&amp;'My Loans'!$O$19),Q39+R39)))</f>
        <v>0</v>
      </c>
      <c r="T39" s="13">
        <f ca="1">IF(A39=1,IF(OR('My Loans'!$O$20="",'My Loans'!$O$20=0),0,INDIRECT("'My Loans'!$D"&amp;'My Loans'!$O$20)),BI38)</f>
        <v>0</v>
      </c>
      <c r="U39" s="13">
        <f ca="1">IF(OR('My Loans'!$O$20="",'My Loans'!$O$20=0),0,T39*INDIRECT("'My Loans'!$E"&amp;'My Loans'!$O$20)/12)</f>
        <v>0</v>
      </c>
      <c r="V39" s="13">
        <f ca="1">IF(OR('My Loans'!$O$20="",'My Loans'!$O$20=0),0,IF(T39&lt;0.005,0,MIN(INDIRECT("'My Loans'!$F"&amp;'My Loans'!$O$20),T39+U39)))</f>
        <v>0</v>
      </c>
      <c r="W39" s="13">
        <f ca="1">IF(A39=1,IF(OR('My Loans'!$O$21="",'My Loans'!$O$21=0),0,INDIRECT("'My Loans'!$D"&amp;'My Loans'!$O$21)),BN38)</f>
        <v>0</v>
      </c>
      <c r="X39" s="13">
        <f ca="1">IF(OR('My Loans'!$O$21="",'My Loans'!$O$21=0),0,W39*INDIRECT("'My Loans'!$E"&amp;'My Loans'!$O$21)/12)</f>
        <v>0</v>
      </c>
      <c r="Y39" s="13">
        <f ca="1">IF(OR('My Loans'!$O$21="",'My Loans'!$O$21=0),0,IF(W39&lt;0.005,0,MIN(INDIRECT("'My Loans'!$F"&amp;'My Loans'!$O$21),W39+X39)))</f>
        <v>0</v>
      </c>
      <c r="Z39" s="13">
        <f ca="1">'My Loans'!$B$13-(D39+G39+J39+M39+P39+S39+V39+Y39)</f>
        <v>670</v>
      </c>
      <c r="AA39" s="13">
        <f t="shared" ca="1" si="43"/>
        <v>670</v>
      </c>
      <c r="AB39" s="13">
        <f t="shared" ca="1" si="44"/>
        <v>0</v>
      </c>
      <c r="AC39" s="13">
        <f t="shared" ca="1" si="45"/>
        <v>0</v>
      </c>
      <c r="AD39" s="13">
        <f t="shared" ca="1" si="46"/>
        <v>0</v>
      </c>
      <c r="AE39" s="13">
        <f t="shared" ca="1" si="47"/>
        <v>0</v>
      </c>
      <c r="AF39" s="13">
        <f t="shared" ca="1" si="48"/>
        <v>670</v>
      </c>
      <c r="AG39" s="13">
        <f t="shared" ca="1" si="49"/>
        <v>0</v>
      </c>
      <c r="AH39" s="13">
        <f t="shared" ca="1" si="50"/>
        <v>0</v>
      </c>
      <c r="AI39" s="13">
        <f t="shared" ca="1" si="51"/>
        <v>0</v>
      </c>
      <c r="AJ39" s="13">
        <f t="shared" ca="1" si="52"/>
        <v>0</v>
      </c>
      <c r="AK39" s="13">
        <f t="shared" ca="1" si="53"/>
        <v>670</v>
      </c>
      <c r="AL39" s="13">
        <f t="shared" ca="1" si="54"/>
        <v>3513.8248088914652</v>
      </c>
      <c r="AM39" s="13">
        <f t="shared" ca="1" si="55"/>
        <v>670</v>
      </c>
      <c r="AN39" s="13">
        <f t="shared" ca="1" si="56"/>
        <v>812</v>
      </c>
      <c r="AO39" s="13">
        <f t="shared" ca="1" si="57"/>
        <v>2843.8248088914652</v>
      </c>
      <c r="AP39" s="13">
        <f t="shared" ca="1" si="58"/>
        <v>0</v>
      </c>
      <c r="AQ39" s="13">
        <f t="shared" ca="1" si="59"/>
        <v>11035.538576859743</v>
      </c>
      <c r="AR39" s="13">
        <f t="shared" ca="1" si="60"/>
        <v>0</v>
      </c>
      <c r="AS39" s="13">
        <f t="shared" ca="1" si="61"/>
        <v>178</v>
      </c>
      <c r="AT39" s="13">
        <f t="shared" ca="1" si="62"/>
        <v>11035.538576859743</v>
      </c>
      <c r="AU39" s="13">
        <f t="shared" ca="1" si="63"/>
        <v>0</v>
      </c>
      <c r="AV39" s="13">
        <f t="shared" ca="1" si="64"/>
        <v>18292.781091560326</v>
      </c>
      <c r="AW39" s="13">
        <f t="shared" ca="1" si="65"/>
        <v>0</v>
      </c>
      <c r="AX39" s="13">
        <f t="shared" ca="1" si="66"/>
        <v>410</v>
      </c>
      <c r="AY39" s="13">
        <f t="shared" ca="1" si="67"/>
        <v>18292.781091560326</v>
      </c>
      <c r="AZ39" s="13">
        <f t="shared" ca="1" si="68"/>
        <v>0</v>
      </c>
      <c r="BA39" s="13">
        <f t="shared" ca="1" si="69"/>
        <v>0</v>
      </c>
      <c r="BB39" s="13">
        <f t="shared" ca="1" si="70"/>
        <v>0</v>
      </c>
      <c r="BC39" s="13">
        <f t="shared" ca="1" si="71"/>
        <v>0</v>
      </c>
      <c r="BD39" s="13">
        <f t="shared" ca="1" si="72"/>
        <v>0</v>
      </c>
      <c r="BE39" s="13">
        <f t="shared" ca="1" si="73"/>
        <v>0</v>
      </c>
      <c r="BF39" s="13">
        <f t="shared" ca="1" si="74"/>
        <v>0</v>
      </c>
      <c r="BG39" s="13">
        <f t="shared" ca="1" si="75"/>
        <v>0</v>
      </c>
      <c r="BH39" s="13">
        <f t="shared" ca="1" si="76"/>
        <v>0</v>
      </c>
      <c r="BI39" s="13">
        <f t="shared" ca="1" si="77"/>
        <v>0</v>
      </c>
      <c r="BJ39" s="13">
        <f t="shared" ca="1" si="78"/>
        <v>0</v>
      </c>
      <c r="BK39" s="13">
        <f t="shared" ca="1" si="79"/>
        <v>0</v>
      </c>
      <c r="BL39" s="13">
        <f t="shared" ca="1" si="80"/>
        <v>0</v>
      </c>
      <c r="BM39" s="13">
        <f t="shared" ca="1" si="81"/>
        <v>0</v>
      </c>
      <c r="BN39" s="13">
        <f t="shared" ca="1" si="82"/>
        <v>0</v>
      </c>
      <c r="BO39" s="13">
        <f t="shared" ca="1" si="83"/>
        <v>1400</v>
      </c>
      <c r="BP39" s="13">
        <f t="shared" ca="1" si="84"/>
        <v>196.63959171646289</v>
      </c>
      <c r="BQ39" s="13">
        <f t="shared" ca="1" si="85"/>
        <v>32172.144477311533</v>
      </c>
    </row>
    <row r="40" spans="1:69" x14ac:dyDescent="0.25">
      <c r="A40" s="1">
        <v>39</v>
      </c>
      <c r="B40" s="13">
        <f ca="1">IF(A40=1,IF(OR('My Loans'!$O$14="",'My Loans'!$O$14=0),0,INDIRECT("'My Loans'!$D"&amp;'My Loans'!$O$14)),AE39)</f>
        <v>0</v>
      </c>
      <c r="C40" s="13">
        <f ca="1">IF(OR('My Loans'!$O$14="",'My Loans'!$O$14=0),0,B40*INDIRECT("'My Loans'!$E"&amp;'My Loans'!$O$14)/12)</f>
        <v>0</v>
      </c>
      <c r="D40" s="13">
        <f ca="1">IF(OR('My Loans'!$O$14="",'My Loans'!$O$14=0),0,IF(B40&lt;0.005,0,MIN(INDIRECT("'My Loans'!$F"&amp;'My Loans'!$O$14),B40+C40)))</f>
        <v>0</v>
      </c>
      <c r="E40" s="13">
        <f ca="1">IF(A40=1,IF(OR('My Loans'!$O$15="",'My Loans'!$O$15=0),0,INDIRECT("'My Loans'!$D"&amp;'My Loans'!$O$15)),AJ39)</f>
        <v>0</v>
      </c>
      <c r="F40" s="13">
        <f ca="1">IF(OR('My Loans'!$O$15="",'My Loans'!$O$15=0),0,E40*INDIRECT("'My Loans'!$E"&amp;'My Loans'!$O$15)/12)</f>
        <v>0</v>
      </c>
      <c r="G40" s="13">
        <f ca="1">IF(OR('My Loans'!$O$15="",'My Loans'!$O$15=0),0,IF(E40&lt;0.005,0,MIN(INDIRECT("'My Loans'!$F"&amp;'My Loans'!$O$15),E40+F40)))</f>
        <v>0</v>
      </c>
      <c r="H40" s="13">
        <f ca="1">IF(A40=1,IF(OR('My Loans'!$O$16="",'My Loans'!$O$16=0),0,INDIRECT("'My Loans'!$D"&amp;'My Loans'!$O$16)),AO39)</f>
        <v>2843.8248088914652</v>
      </c>
      <c r="I40" s="13">
        <f ca="1">IF(OR('My Loans'!$O$16="",'My Loans'!$O$16=0),0,H40*INDIRECT("'My Loans'!$E"&amp;'My Loans'!$O$16)/12)</f>
        <v>13.03419704075255</v>
      </c>
      <c r="J40" s="13">
        <f ca="1">IF(OR('My Loans'!$O$16="",'My Loans'!$O$16=0),0,IF(H40&lt;0.005,0,MIN(INDIRECT("'My Loans'!$F"&amp;'My Loans'!$O$16),H40+I40)))</f>
        <v>142</v>
      </c>
      <c r="K40" s="13">
        <f ca="1">IF(A40=1,IF(OR('My Loans'!$O$17="",'My Loans'!$O$17=0),0,INDIRECT("'My Loans'!$D"&amp;'My Loans'!$O$17)),AT39)</f>
        <v>11035.538576859743</v>
      </c>
      <c r="L40" s="13">
        <f ca="1">IF(OR('My Loans'!$O$17="",'My Loans'!$O$17=0),0,K40*INDIRECT("'My Loans'!$E"&amp;'My Loans'!$O$17)/12)</f>
        <v>57.016949313775335</v>
      </c>
      <c r="M40" s="13">
        <f ca="1">IF(OR('My Loans'!$O$17="",'My Loans'!$O$17=0),0,IF(K40&lt;0.005,0,MIN(INDIRECT("'My Loans'!$F"&amp;'My Loans'!$O$17),K40+L40)))</f>
        <v>178</v>
      </c>
      <c r="N40" s="13">
        <f ca="1">IF(A40=1,IF(OR('My Loans'!$O$18="",'My Loans'!$O$18=0),0,INDIRECT("'My Loans'!$D"&amp;'My Loans'!$O$18)),AY39)</f>
        <v>18292.781091560326</v>
      </c>
      <c r="O40" s="13">
        <f ca="1">IF(OR('My Loans'!$O$18="",'My Loans'!$O$18=0),0,N40*INDIRECT("'My Loans'!$E"&amp;'My Loans'!$O$18)/12)</f>
        <v>120.42747551943881</v>
      </c>
      <c r="P40" s="13">
        <f ca="1">IF(OR('My Loans'!$O$18="",'My Loans'!$O$18=0),0,IF(N40&lt;0.005,0,MIN(INDIRECT("'My Loans'!$F"&amp;'My Loans'!$O$18),N40+O40)))</f>
        <v>410</v>
      </c>
      <c r="Q40" s="13">
        <f ca="1">IF(A40=1,IF(OR('My Loans'!$O$19="",'My Loans'!$O$19=0),0,INDIRECT("'My Loans'!$D"&amp;'My Loans'!$O$19)),BD39)</f>
        <v>0</v>
      </c>
      <c r="R40" s="13">
        <f ca="1">IF(OR('My Loans'!$O$19="",'My Loans'!$O$19=0),0,Q40*INDIRECT("'My Loans'!$E"&amp;'My Loans'!$O$19)/12)</f>
        <v>0</v>
      </c>
      <c r="S40" s="13">
        <f ca="1">IF(OR('My Loans'!$O$19="",'My Loans'!$O$19=0),0,IF(Q40&lt;0.005,0,MIN(INDIRECT("'My Loans'!$F"&amp;'My Loans'!$O$19),Q40+R40)))</f>
        <v>0</v>
      </c>
      <c r="T40" s="13">
        <f ca="1">IF(A40=1,IF(OR('My Loans'!$O$20="",'My Loans'!$O$20=0),0,INDIRECT("'My Loans'!$D"&amp;'My Loans'!$O$20)),BI39)</f>
        <v>0</v>
      </c>
      <c r="U40" s="13">
        <f ca="1">IF(OR('My Loans'!$O$20="",'My Loans'!$O$20=0),0,T40*INDIRECT("'My Loans'!$E"&amp;'My Loans'!$O$20)/12)</f>
        <v>0</v>
      </c>
      <c r="V40" s="13">
        <f ca="1">IF(OR('My Loans'!$O$20="",'My Loans'!$O$20=0),0,IF(T40&lt;0.005,0,MIN(INDIRECT("'My Loans'!$F"&amp;'My Loans'!$O$20),T40+U40)))</f>
        <v>0</v>
      </c>
      <c r="W40" s="13">
        <f ca="1">IF(A40=1,IF(OR('My Loans'!$O$21="",'My Loans'!$O$21=0),0,INDIRECT("'My Loans'!$D"&amp;'My Loans'!$O$21)),BN39)</f>
        <v>0</v>
      </c>
      <c r="X40" s="13">
        <f ca="1">IF(OR('My Loans'!$O$21="",'My Loans'!$O$21=0),0,W40*INDIRECT("'My Loans'!$E"&amp;'My Loans'!$O$21)/12)</f>
        <v>0</v>
      </c>
      <c r="Y40" s="13">
        <f ca="1">IF(OR('My Loans'!$O$21="",'My Loans'!$O$21=0),0,IF(W40&lt;0.005,0,MIN(INDIRECT("'My Loans'!$F"&amp;'My Loans'!$O$21),W40+X40)))</f>
        <v>0</v>
      </c>
      <c r="Z40" s="13">
        <f ca="1">'My Loans'!$B$13-(D40+G40+J40+M40+P40+S40+V40+Y40)</f>
        <v>670</v>
      </c>
      <c r="AA40" s="13">
        <f t="shared" ca="1" si="43"/>
        <v>670</v>
      </c>
      <c r="AB40" s="13">
        <f t="shared" ca="1" si="44"/>
        <v>0</v>
      </c>
      <c r="AC40" s="13">
        <f t="shared" ca="1" si="45"/>
        <v>0</v>
      </c>
      <c r="AD40" s="13">
        <f t="shared" ca="1" si="46"/>
        <v>0</v>
      </c>
      <c r="AE40" s="13">
        <f t="shared" ca="1" si="47"/>
        <v>0</v>
      </c>
      <c r="AF40" s="13">
        <f t="shared" ca="1" si="48"/>
        <v>670</v>
      </c>
      <c r="AG40" s="13">
        <f t="shared" ca="1" si="49"/>
        <v>0</v>
      </c>
      <c r="AH40" s="13">
        <f t="shared" ca="1" si="50"/>
        <v>0</v>
      </c>
      <c r="AI40" s="13">
        <f t="shared" ca="1" si="51"/>
        <v>0</v>
      </c>
      <c r="AJ40" s="13">
        <f t="shared" ca="1" si="52"/>
        <v>0</v>
      </c>
      <c r="AK40" s="13">
        <f t="shared" ca="1" si="53"/>
        <v>670</v>
      </c>
      <c r="AL40" s="13">
        <f t="shared" ca="1" si="54"/>
        <v>2714.8590059322178</v>
      </c>
      <c r="AM40" s="13">
        <f t="shared" ca="1" si="55"/>
        <v>670</v>
      </c>
      <c r="AN40" s="13">
        <f t="shared" ca="1" si="56"/>
        <v>812</v>
      </c>
      <c r="AO40" s="13">
        <f t="shared" ca="1" si="57"/>
        <v>2044.8590059322178</v>
      </c>
      <c r="AP40" s="13">
        <f t="shared" ca="1" si="58"/>
        <v>0</v>
      </c>
      <c r="AQ40" s="13">
        <f t="shared" ca="1" si="59"/>
        <v>10914.555526173517</v>
      </c>
      <c r="AR40" s="13">
        <f t="shared" ca="1" si="60"/>
        <v>0</v>
      </c>
      <c r="AS40" s="13">
        <f t="shared" ca="1" si="61"/>
        <v>178</v>
      </c>
      <c r="AT40" s="13">
        <f t="shared" ca="1" si="62"/>
        <v>10914.555526173517</v>
      </c>
      <c r="AU40" s="13">
        <f t="shared" ca="1" si="63"/>
        <v>0</v>
      </c>
      <c r="AV40" s="13">
        <f t="shared" ca="1" si="64"/>
        <v>18003.208567079764</v>
      </c>
      <c r="AW40" s="13">
        <f t="shared" ca="1" si="65"/>
        <v>0</v>
      </c>
      <c r="AX40" s="13">
        <f t="shared" ca="1" si="66"/>
        <v>410</v>
      </c>
      <c r="AY40" s="13">
        <f t="shared" ca="1" si="67"/>
        <v>18003.208567079764</v>
      </c>
      <c r="AZ40" s="13">
        <f t="shared" ca="1" si="68"/>
        <v>0</v>
      </c>
      <c r="BA40" s="13">
        <f t="shared" ca="1" si="69"/>
        <v>0</v>
      </c>
      <c r="BB40" s="13">
        <f t="shared" ca="1" si="70"/>
        <v>0</v>
      </c>
      <c r="BC40" s="13">
        <f t="shared" ca="1" si="71"/>
        <v>0</v>
      </c>
      <c r="BD40" s="13">
        <f t="shared" ca="1" si="72"/>
        <v>0</v>
      </c>
      <c r="BE40" s="13">
        <f t="shared" ca="1" si="73"/>
        <v>0</v>
      </c>
      <c r="BF40" s="13">
        <f t="shared" ca="1" si="74"/>
        <v>0</v>
      </c>
      <c r="BG40" s="13">
        <f t="shared" ca="1" si="75"/>
        <v>0</v>
      </c>
      <c r="BH40" s="13">
        <f t="shared" ca="1" si="76"/>
        <v>0</v>
      </c>
      <c r="BI40" s="13">
        <f t="shared" ca="1" si="77"/>
        <v>0</v>
      </c>
      <c r="BJ40" s="13">
        <f t="shared" ca="1" si="78"/>
        <v>0</v>
      </c>
      <c r="BK40" s="13">
        <f t="shared" ca="1" si="79"/>
        <v>0</v>
      </c>
      <c r="BL40" s="13">
        <f t="shared" ca="1" si="80"/>
        <v>0</v>
      </c>
      <c r="BM40" s="13">
        <f t="shared" ca="1" si="81"/>
        <v>0</v>
      </c>
      <c r="BN40" s="13">
        <f t="shared" ca="1" si="82"/>
        <v>0</v>
      </c>
      <c r="BO40" s="13">
        <f t="shared" ca="1" si="83"/>
        <v>1400</v>
      </c>
      <c r="BP40" s="13">
        <f t="shared" ca="1" si="84"/>
        <v>190.47862187396669</v>
      </c>
      <c r="BQ40" s="13">
        <f t="shared" ca="1" si="85"/>
        <v>30962.623099185497</v>
      </c>
    </row>
    <row r="41" spans="1:69" x14ac:dyDescent="0.25">
      <c r="A41" s="1">
        <v>40</v>
      </c>
      <c r="B41" s="13">
        <f ca="1">IF(A41=1,IF(OR('My Loans'!$O$14="",'My Loans'!$O$14=0),0,INDIRECT("'My Loans'!$D"&amp;'My Loans'!$O$14)),AE40)</f>
        <v>0</v>
      </c>
      <c r="C41" s="13">
        <f ca="1">IF(OR('My Loans'!$O$14="",'My Loans'!$O$14=0),0,B41*INDIRECT("'My Loans'!$E"&amp;'My Loans'!$O$14)/12)</f>
        <v>0</v>
      </c>
      <c r="D41" s="13">
        <f ca="1">IF(OR('My Loans'!$O$14="",'My Loans'!$O$14=0),0,IF(B41&lt;0.005,0,MIN(INDIRECT("'My Loans'!$F"&amp;'My Loans'!$O$14),B41+C41)))</f>
        <v>0</v>
      </c>
      <c r="E41" s="13">
        <f ca="1">IF(A41=1,IF(OR('My Loans'!$O$15="",'My Loans'!$O$15=0),0,INDIRECT("'My Loans'!$D"&amp;'My Loans'!$O$15)),AJ40)</f>
        <v>0</v>
      </c>
      <c r="F41" s="13">
        <f ca="1">IF(OR('My Loans'!$O$15="",'My Loans'!$O$15=0),0,E41*INDIRECT("'My Loans'!$E"&amp;'My Loans'!$O$15)/12)</f>
        <v>0</v>
      </c>
      <c r="G41" s="13">
        <f ca="1">IF(OR('My Loans'!$O$15="",'My Loans'!$O$15=0),0,IF(E41&lt;0.005,0,MIN(INDIRECT("'My Loans'!$F"&amp;'My Loans'!$O$15),E41+F41)))</f>
        <v>0</v>
      </c>
      <c r="H41" s="13">
        <f ca="1">IF(A41=1,IF(OR('My Loans'!$O$16="",'My Loans'!$O$16=0),0,INDIRECT("'My Loans'!$D"&amp;'My Loans'!$O$16)),AO40)</f>
        <v>2044.8590059322178</v>
      </c>
      <c r="I41" s="13">
        <f ca="1">IF(OR('My Loans'!$O$16="",'My Loans'!$O$16=0),0,H41*INDIRECT("'My Loans'!$E"&amp;'My Loans'!$O$16)/12)</f>
        <v>9.3722704438559976</v>
      </c>
      <c r="J41" s="13">
        <f ca="1">IF(OR('My Loans'!$O$16="",'My Loans'!$O$16=0),0,IF(H41&lt;0.005,0,MIN(INDIRECT("'My Loans'!$F"&amp;'My Loans'!$O$16),H41+I41)))</f>
        <v>142</v>
      </c>
      <c r="K41" s="13">
        <f ca="1">IF(A41=1,IF(OR('My Loans'!$O$17="",'My Loans'!$O$17=0),0,INDIRECT("'My Loans'!$D"&amp;'My Loans'!$O$17)),AT40)</f>
        <v>10914.555526173517</v>
      </c>
      <c r="L41" s="13">
        <f ca="1">IF(OR('My Loans'!$O$17="",'My Loans'!$O$17=0),0,K41*INDIRECT("'My Loans'!$E"&amp;'My Loans'!$O$17)/12)</f>
        <v>56.391870218563177</v>
      </c>
      <c r="M41" s="13">
        <f ca="1">IF(OR('My Loans'!$O$17="",'My Loans'!$O$17=0),0,IF(K41&lt;0.005,0,MIN(INDIRECT("'My Loans'!$F"&amp;'My Loans'!$O$17),K41+L41)))</f>
        <v>178</v>
      </c>
      <c r="N41" s="13">
        <f ca="1">IF(A41=1,IF(OR('My Loans'!$O$18="",'My Loans'!$O$18=0),0,INDIRECT("'My Loans'!$D"&amp;'My Loans'!$O$18)),AY40)</f>
        <v>18003.208567079764</v>
      </c>
      <c r="O41" s="13">
        <f ca="1">IF(OR('My Loans'!$O$18="",'My Loans'!$O$18=0),0,N41*INDIRECT("'My Loans'!$E"&amp;'My Loans'!$O$18)/12)</f>
        <v>118.52112306660844</v>
      </c>
      <c r="P41" s="13">
        <f ca="1">IF(OR('My Loans'!$O$18="",'My Loans'!$O$18=0),0,IF(N41&lt;0.005,0,MIN(INDIRECT("'My Loans'!$F"&amp;'My Loans'!$O$18),N41+O41)))</f>
        <v>410</v>
      </c>
      <c r="Q41" s="13">
        <f ca="1">IF(A41=1,IF(OR('My Loans'!$O$19="",'My Loans'!$O$19=0),0,INDIRECT("'My Loans'!$D"&amp;'My Loans'!$O$19)),BD40)</f>
        <v>0</v>
      </c>
      <c r="R41" s="13">
        <f ca="1">IF(OR('My Loans'!$O$19="",'My Loans'!$O$19=0),0,Q41*INDIRECT("'My Loans'!$E"&amp;'My Loans'!$O$19)/12)</f>
        <v>0</v>
      </c>
      <c r="S41" s="13">
        <f ca="1">IF(OR('My Loans'!$O$19="",'My Loans'!$O$19=0),0,IF(Q41&lt;0.005,0,MIN(INDIRECT("'My Loans'!$F"&amp;'My Loans'!$O$19),Q41+R41)))</f>
        <v>0</v>
      </c>
      <c r="T41" s="13">
        <f ca="1">IF(A41=1,IF(OR('My Loans'!$O$20="",'My Loans'!$O$20=0),0,INDIRECT("'My Loans'!$D"&amp;'My Loans'!$O$20)),BI40)</f>
        <v>0</v>
      </c>
      <c r="U41" s="13">
        <f ca="1">IF(OR('My Loans'!$O$20="",'My Loans'!$O$20=0),0,T41*INDIRECT("'My Loans'!$E"&amp;'My Loans'!$O$20)/12)</f>
        <v>0</v>
      </c>
      <c r="V41" s="13">
        <f ca="1">IF(OR('My Loans'!$O$20="",'My Loans'!$O$20=0),0,IF(T41&lt;0.005,0,MIN(INDIRECT("'My Loans'!$F"&amp;'My Loans'!$O$20),T41+U41)))</f>
        <v>0</v>
      </c>
      <c r="W41" s="13">
        <f ca="1">IF(A41=1,IF(OR('My Loans'!$O$21="",'My Loans'!$O$21=0),0,INDIRECT("'My Loans'!$D"&amp;'My Loans'!$O$21)),BN40)</f>
        <v>0</v>
      </c>
      <c r="X41" s="13">
        <f ca="1">IF(OR('My Loans'!$O$21="",'My Loans'!$O$21=0),0,W41*INDIRECT("'My Loans'!$E"&amp;'My Loans'!$O$21)/12)</f>
        <v>0</v>
      </c>
      <c r="Y41" s="13">
        <f ca="1">IF(OR('My Loans'!$O$21="",'My Loans'!$O$21=0),0,IF(W41&lt;0.005,0,MIN(INDIRECT("'My Loans'!$F"&amp;'My Loans'!$O$21),W41+X41)))</f>
        <v>0</v>
      </c>
      <c r="Z41" s="13">
        <f ca="1">'My Loans'!$B$13-(D41+G41+J41+M41+P41+S41+V41+Y41)</f>
        <v>670</v>
      </c>
      <c r="AA41" s="13">
        <f t="shared" ca="1" si="43"/>
        <v>670</v>
      </c>
      <c r="AB41" s="13">
        <f t="shared" ca="1" si="44"/>
        <v>0</v>
      </c>
      <c r="AC41" s="13">
        <f t="shared" ca="1" si="45"/>
        <v>0</v>
      </c>
      <c r="AD41" s="13">
        <f t="shared" ca="1" si="46"/>
        <v>0</v>
      </c>
      <c r="AE41" s="13">
        <f t="shared" ca="1" si="47"/>
        <v>0</v>
      </c>
      <c r="AF41" s="13">
        <f t="shared" ca="1" si="48"/>
        <v>670</v>
      </c>
      <c r="AG41" s="13">
        <f t="shared" ca="1" si="49"/>
        <v>0</v>
      </c>
      <c r="AH41" s="13">
        <f t="shared" ca="1" si="50"/>
        <v>0</v>
      </c>
      <c r="AI41" s="13">
        <f t="shared" ca="1" si="51"/>
        <v>0</v>
      </c>
      <c r="AJ41" s="13">
        <f t="shared" ca="1" si="52"/>
        <v>0</v>
      </c>
      <c r="AK41" s="13">
        <f t="shared" ca="1" si="53"/>
        <v>670</v>
      </c>
      <c r="AL41" s="13">
        <f t="shared" ca="1" si="54"/>
        <v>1912.2312763760738</v>
      </c>
      <c r="AM41" s="13">
        <f t="shared" ca="1" si="55"/>
        <v>670</v>
      </c>
      <c r="AN41" s="13">
        <f t="shared" ca="1" si="56"/>
        <v>812</v>
      </c>
      <c r="AO41" s="13">
        <f t="shared" ca="1" si="57"/>
        <v>1242.2312763760738</v>
      </c>
      <c r="AP41" s="13">
        <f t="shared" ca="1" si="58"/>
        <v>0</v>
      </c>
      <c r="AQ41" s="13">
        <f t="shared" ca="1" si="59"/>
        <v>10792.947396392081</v>
      </c>
      <c r="AR41" s="13">
        <f t="shared" ca="1" si="60"/>
        <v>0</v>
      </c>
      <c r="AS41" s="13">
        <f t="shared" ca="1" si="61"/>
        <v>178</v>
      </c>
      <c r="AT41" s="13">
        <f t="shared" ca="1" si="62"/>
        <v>10792.947396392081</v>
      </c>
      <c r="AU41" s="13">
        <f t="shared" ca="1" si="63"/>
        <v>0</v>
      </c>
      <c r="AV41" s="13">
        <f t="shared" ca="1" si="64"/>
        <v>17711.729690146374</v>
      </c>
      <c r="AW41" s="13">
        <f t="shared" ca="1" si="65"/>
        <v>0</v>
      </c>
      <c r="AX41" s="13">
        <f t="shared" ca="1" si="66"/>
        <v>410</v>
      </c>
      <c r="AY41" s="13">
        <f t="shared" ca="1" si="67"/>
        <v>17711.729690146374</v>
      </c>
      <c r="AZ41" s="13">
        <f t="shared" ca="1" si="68"/>
        <v>0</v>
      </c>
      <c r="BA41" s="13">
        <f t="shared" ca="1" si="69"/>
        <v>0</v>
      </c>
      <c r="BB41" s="13">
        <f t="shared" ca="1" si="70"/>
        <v>0</v>
      </c>
      <c r="BC41" s="13">
        <f t="shared" ca="1" si="71"/>
        <v>0</v>
      </c>
      <c r="BD41" s="13">
        <f t="shared" ca="1" si="72"/>
        <v>0</v>
      </c>
      <c r="BE41" s="13">
        <f t="shared" ca="1" si="73"/>
        <v>0</v>
      </c>
      <c r="BF41" s="13">
        <f t="shared" ca="1" si="74"/>
        <v>0</v>
      </c>
      <c r="BG41" s="13">
        <f t="shared" ca="1" si="75"/>
        <v>0</v>
      </c>
      <c r="BH41" s="13">
        <f t="shared" ca="1" si="76"/>
        <v>0</v>
      </c>
      <c r="BI41" s="13">
        <f t="shared" ca="1" si="77"/>
        <v>0</v>
      </c>
      <c r="BJ41" s="13">
        <f t="shared" ca="1" si="78"/>
        <v>0</v>
      </c>
      <c r="BK41" s="13">
        <f t="shared" ca="1" si="79"/>
        <v>0</v>
      </c>
      <c r="BL41" s="13">
        <f t="shared" ca="1" si="80"/>
        <v>0</v>
      </c>
      <c r="BM41" s="13">
        <f t="shared" ca="1" si="81"/>
        <v>0</v>
      </c>
      <c r="BN41" s="13">
        <f t="shared" ca="1" si="82"/>
        <v>0</v>
      </c>
      <c r="BO41" s="13">
        <f t="shared" ca="1" si="83"/>
        <v>1400</v>
      </c>
      <c r="BP41" s="13">
        <f t="shared" ca="1" si="84"/>
        <v>184.28526372902763</v>
      </c>
      <c r="BQ41" s="13">
        <f t="shared" ca="1" si="85"/>
        <v>29746.908362914528</v>
      </c>
    </row>
    <row r="42" spans="1:69" x14ac:dyDescent="0.25">
      <c r="A42" s="1">
        <v>41</v>
      </c>
      <c r="B42" s="13">
        <f ca="1">IF(A42=1,IF(OR('My Loans'!$O$14="",'My Loans'!$O$14=0),0,INDIRECT("'My Loans'!$D"&amp;'My Loans'!$O$14)),AE41)</f>
        <v>0</v>
      </c>
      <c r="C42" s="13">
        <f ca="1">IF(OR('My Loans'!$O$14="",'My Loans'!$O$14=0),0,B42*INDIRECT("'My Loans'!$E"&amp;'My Loans'!$O$14)/12)</f>
        <v>0</v>
      </c>
      <c r="D42" s="13">
        <f ca="1">IF(OR('My Loans'!$O$14="",'My Loans'!$O$14=0),0,IF(B42&lt;0.005,0,MIN(INDIRECT("'My Loans'!$F"&amp;'My Loans'!$O$14),B42+C42)))</f>
        <v>0</v>
      </c>
      <c r="E42" s="13">
        <f ca="1">IF(A42=1,IF(OR('My Loans'!$O$15="",'My Loans'!$O$15=0),0,INDIRECT("'My Loans'!$D"&amp;'My Loans'!$O$15)),AJ41)</f>
        <v>0</v>
      </c>
      <c r="F42" s="13">
        <f ca="1">IF(OR('My Loans'!$O$15="",'My Loans'!$O$15=0),0,E42*INDIRECT("'My Loans'!$E"&amp;'My Loans'!$O$15)/12)</f>
        <v>0</v>
      </c>
      <c r="G42" s="13">
        <f ca="1">IF(OR('My Loans'!$O$15="",'My Loans'!$O$15=0),0,IF(E42&lt;0.005,0,MIN(INDIRECT("'My Loans'!$F"&amp;'My Loans'!$O$15),E42+F42)))</f>
        <v>0</v>
      </c>
      <c r="H42" s="13">
        <f ca="1">IF(A42=1,IF(OR('My Loans'!$O$16="",'My Loans'!$O$16=0),0,INDIRECT("'My Loans'!$D"&amp;'My Loans'!$O$16)),AO41)</f>
        <v>1242.2312763760738</v>
      </c>
      <c r="I42" s="13">
        <f ca="1">IF(OR('My Loans'!$O$16="",'My Loans'!$O$16=0),0,H42*INDIRECT("'My Loans'!$E"&amp;'My Loans'!$O$16)/12)</f>
        <v>5.693560016723672</v>
      </c>
      <c r="J42" s="13">
        <f ca="1">IF(OR('My Loans'!$O$16="",'My Loans'!$O$16=0),0,IF(H42&lt;0.005,0,MIN(INDIRECT("'My Loans'!$F"&amp;'My Loans'!$O$16),H42+I42)))</f>
        <v>142</v>
      </c>
      <c r="K42" s="13">
        <f ca="1">IF(A42=1,IF(OR('My Loans'!$O$17="",'My Loans'!$O$17=0),0,INDIRECT("'My Loans'!$D"&amp;'My Loans'!$O$17)),AT41)</f>
        <v>10792.947396392081</v>
      </c>
      <c r="L42" s="13">
        <f ca="1">IF(OR('My Loans'!$O$17="",'My Loans'!$O$17=0),0,K42*INDIRECT("'My Loans'!$E"&amp;'My Loans'!$O$17)/12)</f>
        <v>55.763561548025756</v>
      </c>
      <c r="M42" s="13">
        <f ca="1">IF(OR('My Loans'!$O$17="",'My Loans'!$O$17=0),0,IF(K42&lt;0.005,0,MIN(INDIRECT("'My Loans'!$F"&amp;'My Loans'!$O$17),K42+L42)))</f>
        <v>178</v>
      </c>
      <c r="N42" s="13">
        <f ca="1">IF(A42=1,IF(OR('My Loans'!$O$18="",'My Loans'!$O$18=0),0,INDIRECT("'My Loans'!$D"&amp;'My Loans'!$O$18)),AY41)</f>
        <v>17711.729690146374</v>
      </c>
      <c r="O42" s="13">
        <f ca="1">IF(OR('My Loans'!$O$18="",'My Loans'!$O$18=0),0,N42*INDIRECT("'My Loans'!$E"&amp;'My Loans'!$O$18)/12)</f>
        <v>116.6022204601303</v>
      </c>
      <c r="P42" s="13">
        <f ca="1">IF(OR('My Loans'!$O$18="",'My Loans'!$O$18=0),0,IF(N42&lt;0.005,0,MIN(INDIRECT("'My Loans'!$F"&amp;'My Loans'!$O$18),N42+O42)))</f>
        <v>410</v>
      </c>
      <c r="Q42" s="13">
        <f ca="1">IF(A42=1,IF(OR('My Loans'!$O$19="",'My Loans'!$O$19=0),0,INDIRECT("'My Loans'!$D"&amp;'My Loans'!$O$19)),BD41)</f>
        <v>0</v>
      </c>
      <c r="R42" s="13">
        <f ca="1">IF(OR('My Loans'!$O$19="",'My Loans'!$O$19=0),0,Q42*INDIRECT("'My Loans'!$E"&amp;'My Loans'!$O$19)/12)</f>
        <v>0</v>
      </c>
      <c r="S42" s="13">
        <f ca="1">IF(OR('My Loans'!$O$19="",'My Loans'!$O$19=0),0,IF(Q42&lt;0.005,0,MIN(INDIRECT("'My Loans'!$F"&amp;'My Loans'!$O$19),Q42+R42)))</f>
        <v>0</v>
      </c>
      <c r="T42" s="13">
        <f ca="1">IF(A42=1,IF(OR('My Loans'!$O$20="",'My Loans'!$O$20=0),0,INDIRECT("'My Loans'!$D"&amp;'My Loans'!$O$20)),BI41)</f>
        <v>0</v>
      </c>
      <c r="U42" s="13">
        <f ca="1">IF(OR('My Loans'!$O$20="",'My Loans'!$O$20=0),0,T42*INDIRECT("'My Loans'!$E"&amp;'My Loans'!$O$20)/12)</f>
        <v>0</v>
      </c>
      <c r="V42" s="13">
        <f ca="1">IF(OR('My Loans'!$O$20="",'My Loans'!$O$20=0),0,IF(T42&lt;0.005,0,MIN(INDIRECT("'My Loans'!$F"&amp;'My Loans'!$O$20),T42+U42)))</f>
        <v>0</v>
      </c>
      <c r="W42" s="13">
        <f ca="1">IF(A42=1,IF(OR('My Loans'!$O$21="",'My Loans'!$O$21=0),0,INDIRECT("'My Loans'!$D"&amp;'My Loans'!$O$21)),BN41)</f>
        <v>0</v>
      </c>
      <c r="X42" s="13">
        <f ca="1">IF(OR('My Loans'!$O$21="",'My Loans'!$O$21=0),0,W42*INDIRECT("'My Loans'!$E"&amp;'My Loans'!$O$21)/12)</f>
        <v>0</v>
      </c>
      <c r="Y42" s="13">
        <f ca="1">IF(OR('My Loans'!$O$21="",'My Loans'!$O$21=0),0,IF(W42&lt;0.005,0,MIN(INDIRECT("'My Loans'!$F"&amp;'My Loans'!$O$21),W42+X42)))</f>
        <v>0</v>
      </c>
      <c r="Z42" s="13">
        <f ca="1">'My Loans'!$B$13-(D42+G42+J42+M42+P42+S42+V42+Y42)</f>
        <v>670</v>
      </c>
      <c r="AA42" s="13">
        <f t="shared" ca="1" si="43"/>
        <v>670</v>
      </c>
      <c r="AB42" s="13">
        <f t="shared" ca="1" si="44"/>
        <v>0</v>
      </c>
      <c r="AC42" s="13">
        <f t="shared" ca="1" si="45"/>
        <v>0</v>
      </c>
      <c r="AD42" s="13">
        <f t="shared" ca="1" si="46"/>
        <v>0</v>
      </c>
      <c r="AE42" s="13">
        <f t="shared" ca="1" si="47"/>
        <v>0</v>
      </c>
      <c r="AF42" s="13">
        <f t="shared" ca="1" si="48"/>
        <v>670</v>
      </c>
      <c r="AG42" s="13">
        <f t="shared" ca="1" si="49"/>
        <v>0</v>
      </c>
      <c r="AH42" s="13">
        <f t="shared" ca="1" si="50"/>
        <v>0</v>
      </c>
      <c r="AI42" s="13">
        <f t="shared" ca="1" si="51"/>
        <v>0</v>
      </c>
      <c r="AJ42" s="13">
        <f t="shared" ca="1" si="52"/>
        <v>0</v>
      </c>
      <c r="AK42" s="13">
        <f t="shared" ca="1" si="53"/>
        <v>670</v>
      </c>
      <c r="AL42" s="13">
        <f t="shared" ca="1" si="54"/>
        <v>1105.9248363927975</v>
      </c>
      <c r="AM42" s="13">
        <f t="shared" ca="1" si="55"/>
        <v>670</v>
      </c>
      <c r="AN42" s="13">
        <f t="shared" ca="1" si="56"/>
        <v>812</v>
      </c>
      <c r="AO42" s="13">
        <f t="shared" ca="1" si="57"/>
        <v>435.92483639279749</v>
      </c>
      <c r="AP42" s="13">
        <f t="shared" ca="1" si="58"/>
        <v>0</v>
      </c>
      <c r="AQ42" s="13">
        <f t="shared" ca="1" si="59"/>
        <v>10670.710957940106</v>
      </c>
      <c r="AR42" s="13">
        <f t="shared" ca="1" si="60"/>
        <v>0</v>
      </c>
      <c r="AS42" s="13">
        <f t="shared" ca="1" si="61"/>
        <v>178</v>
      </c>
      <c r="AT42" s="13">
        <f t="shared" ca="1" si="62"/>
        <v>10670.710957940106</v>
      </c>
      <c r="AU42" s="13">
        <f t="shared" ca="1" si="63"/>
        <v>0</v>
      </c>
      <c r="AV42" s="13">
        <f t="shared" ca="1" si="64"/>
        <v>17418.331910606503</v>
      </c>
      <c r="AW42" s="13">
        <f t="shared" ca="1" si="65"/>
        <v>0</v>
      </c>
      <c r="AX42" s="13">
        <f t="shared" ca="1" si="66"/>
        <v>410</v>
      </c>
      <c r="AY42" s="13">
        <f t="shared" ca="1" si="67"/>
        <v>17418.331910606503</v>
      </c>
      <c r="AZ42" s="13">
        <f t="shared" ca="1" si="68"/>
        <v>0</v>
      </c>
      <c r="BA42" s="13">
        <f t="shared" ca="1" si="69"/>
        <v>0</v>
      </c>
      <c r="BB42" s="13">
        <f t="shared" ca="1" si="70"/>
        <v>0</v>
      </c>
      <c r="BC42" s="13">
        <f t="shared" ca="1" si="71"/>
        <v>0</v>
      </c>
      <c r="BD42" s="13">
        <f t="shared" ca="1" si="72"/>
        <v>0</v>
      </c>
      <c r="BE42" s="13">
        <f t="shared" ca="1" si="73"/>
        <v>0</v>
      </c>
      <c r="BF42" s="13">
        <f t="shared" ca="1" si="74"/>
        <v>0</v>
      </c>
      <c r="BG42" s="13">
        <f t="shared" ca="1" si="75"/>
        <v>0</v>
      </c>
      <c r="BH42" s="13">
        <f t="shared" ca="1" si="76"/>
        <v>0</v>
      </c>
      <c r="BI42" s="13">
        <f t="shared" ca="1" si="77"/>
        <v>0</v>
      </c>
      <c r="BJ42" s="13">
        <f t="shared" ca="1" si="78"/>
        <v>0</v>
      </c>
      <c r="BK42" s="13">
        <f t="shared" ca="1" si="79"/>
        <v>0</v>
      </c>
      <c r="BL42" s="13">
        <f t="shared" ca="1" si="80"/>
        <v>0</v>
      </c>
      <c r="BM42" s="13">
        <f t="shared" ca="1" si="81"/>
        <v>0</v>
      </c>
      <c r="BN42" s="13">
        <f t="shared" ca="1" si="82"/>
        <v>0</v>
      </c>
      <c r="BO42" s="13">
        <f t="shared" ca="1" si="83"/>
        <v>1400</v>
      </c>
      <c r="BP42" s="13">
        <f t="shared" ca="1" si="84"/>
        <v>178.05934202487973</v>
      </c>
      <c r="BQ42" s="13">
        <f t="shared" ca="1" si="85"/>
        <v>28524.967704939409</v>
      </c>
    </row>
    <row r="43" spans="1:69" x14ac:dyDescent="0.25">
      <c r="A43" s="1">
        <v>42</v>
      </c>
      <c r="B43" s="13">
        <f ca="1">IF(A43=1,IF(OR('My Loans'!$O$14="",'My Loans'!$O$14=0),0,INDIRECT("'My Loans'!$D"&amp;'My Loans'!$O$14)),AE42)</f>
        <v>0</v>
      </c>
      <c r="C43" s="13">
        <f ca="1">IF(OR('My Loans'!$O$14="",'My Loans'!$O$14=0),0,B43*INDIRECT("'My Loans'!$E"&amp;'My Loans'!$O$14)/12)</f>
        <v>0</v>
      </c>
      <c r="D43" s="13">
        <f ca="1">IF(OR('My Loans'!$O$14="",'My Loans'!$O$14=0),0,IF(B43&lt;0.005,0,MIN(INDIRECT("'My Loans'!$F"&amp;'My Loans'!$O$14),B43+C43)))</f>
        <v>0</v>
      </c>
      <c r="E43" s="13">
        <f ca="1">IF(A43=1,IF(OR('My Loans'!$O$15="",'My Loans'!$O$15=0),0,INDIRECT("'My Loans'!$D"&amp;'My Loans'!$O$15)),AJ42)</f>
        <v>0</v>
      </c>
      <c r="F43" s="13">
        <f ca="1">IF(OR('My Loans'!$O$15="",'My Loans'!$O$15=0),0,E43*INDIRECT("'My Loans'!$E"&amp;'My Loans'!$O$15)/12)</f>
        <v>0</v>
      </c>
      <c r="G43" s="13">
        <f ca="1">IF(OR('My Loans'!$O$15="",'My Loans'!$O$15=0),0,IF(E43&lt;0.005,0,MIN(INDIRECT("'My Loans'!$F"&amp;'My Loans'!$O$15),E43+F43)))</f>
        <v>0</v>
      </c>
      <c r="H43" s="13">
        <f ca="1">IF(A43=1,IF(OR('My Loans'!$O$16="",'My Loans'!$O$16=0),0,INDIRECT("'My Loans'!$D"&amp;'My Loans'!$O$16)),AO42)</f>
        <v>435.92483639279749</v>
      </c>
      <c r="I43" s="13">
        <f ca="1">IF(OR('My Loans'!$O$16="",'My Loans'!$O$16=0),0,H43*INDIRECT("'My Loans'!$E"&amp;'My Loans'!$O$16)/12)</f>
        <v>1.9979888334669884</v>
      </c>
      <c r="J43" s="13">
        <f ca="1">IF(OR('My Loans'!$O$16="",'My Loans'!$O$16=0),0,IF(H43&lt;0.005,0,MIN(INDIRECT("'My Loans'!$F"&amp;'My Loans'!$O$16),H43+I43)))</f>
        <v>142</v>
      </c>
      <c r="K43" s="13">
        <f ca="1">IF(A43=1,IF(OR('My Loans'!$O$17="",'My Loans'!$O$17=0),0,INDIRECT("'My Loans'!$D"&amp;'My Loans'!$O$17)),AT42)</f>
        <v>10670.710957940106</v>
      </c>
      <c r="L43" s="13">
        <f ca="1">IF(OR('My Loans'!$O$17="",'My Loans'!$O$17=0),0,K43*INDIRECT("'My Loans'!$E"&amp;'My Loans'!$O$17)/12)</f>
        <v>55.13200661602388</v>
      </c>
      <c r="M43" s="13">
        <f ca="1">IF(OR('My Loans'!$O$17="",'My Loans'!$O$17=0),0,IF(K43&lt;0.005,0,MIN(INDIRECT("'My Loans'!$F"&amp;'My Loans'!$O$17),K43+L43)))</f>
        <v>178</v>
      </c>
      <c r="N43" s="13">
        <f ca="1">IF(A43=1,IF(OR('My Loans'!$O$18="",'My Loans'!$O$18=0),0,INDIRECT("'My Loans'!$D"&amp;'My Loans'!$O$18)),AY42)</f>
        <v>17418.331910606503</v>
      </c>
      <c r="O43" s="13">
        <f ca="1">IF(OR('My Loans'!$O$18="",'My Loans'!$O$18=0),0,N43*INDIRECT("'My Loans'!$E"&amp;'My Loans'!$O$18)/12)</f>
        <v>114.67068507815948</v>
      </c>
      <c r="P43" s="13">
        <f ca="1">IF(OR('My Loans'!$O$18="",'My Loans'!$O$18=0),0,IF(N43&lt;0.005,0,MIN(INDIRECT("'My Loans'!$F"&amp;'My Loans'!$O$18),N43+O43)))</f>
        <v>410</v>
      </c>
      <c r="Q43" s="13">
        <f ca="1">IF(A43=1,IF(OR('My Loans'!$O$19="",'My Loans'!$O$19=0),0,INDIRECT("'My Loans'!$D"&amp;'My Loans'!$O$19)),BD42)</f>
        <v>0</v>
      </c>
      <c r="R43" s="13">
        <f ca="1">IF(OR('My Loans'!$O$19="",'My Loans'!$O$19=0),0,Q43*INDIRECT("'My Loans'!$E"&amp;'My Loans'!$O$19)/12)</f>
        <v>0</v>
      </c>
      <c r="S43" s="13">
        <f ca="1">IF(OR('My Loans'!$O$19="",'My Loans'!$O$19=0),0,IF(Q43&lt;0.005,0,MIN(INDIRECT("'My Loans'!$F"&amp;'My Loans'!$O$19),Q43+R43)))</f>
        <v>0</v>
      </c>
      <c r="T43" s="13">
        <f ca="1">IF(A43=1,IF(OR('My Loans'!$O$20="",'My Loans'!$O$20=0),0,INDIRECT("'My Loans'!$D"&amp;'My Loans'!$O$20)),BI42)</f>
        <v>0</v>
      </c>
      <c r="U43" s="13">
        <f ca="1">IF(OR('My Loans'!$O$20="",'My Loans'!$O$20=0),0,T43*INDIRECT("'My Loans'!$E"&amp;'My Loans'!$O$20)/12)</f>
        <v>0</v>
      </c>
      <c r="V43" s="13">
        <f ca="1">IF(OR('My Loans'!$O$20="",'My Loans'!$O$20=0),0,IF(T43&lt;0.005,0,MIN(INDIRECT("'My Loans'!$F"&amp;'My Loans'!$O$20),T43+U43)))</f>
        <v>0</v>
      </c>
      <c r="W43" s="13">
        <f ca="1">IF(A43=1,IF(OR('My Loans'!$O$21="",'My Loans'!$O$21=0),0,INDIRECT("'My Loans'!$D"&amp;'My Loans'!$O$21)),BN42)</f>
        <v>0</v>
      </c>
      <c r="X43" s="13">
        <f ca="1">IF(OR('My Loans'!$O$21="",'My Loans'!$O$21=0),0,W43*INDIRECT("'My Loans'!$E"&amp;'My Loans'!$O$21)/12)</f>
        <v>0</v>
      </c>
      <c r="Y43" s="13">
        <f ca="1">IF(OR('My Loans'!$O$21="",'My Loans'!$O$21=0),0,IF(W43&lt;0.005,0,MIN(INDIRECT("'My Loans'!$F"&amp;'My Loans'!$O$21),W43+X43)))</f>
        <v>0</v>
      </c>
      <c r="Z43" s="13">
        <f ca="1">'My Loans'!$B$13-(D43+G43+J43+M43+P43+S43+V43+Y43)</f>
        <v>670</v>
      </c>
      <c r="AA43" s="13">
        <f t="shared" ca="1" si="43"/>
        <v>670</v>
      </c>
      <c r="AB43" s="13">
        <f t="shared" ca="1" si="44"/>
        <v>0</v>
      </c>
      <c r="AC43" s="13">
        <f t="shared" ca="1" si="45"/>
        <v>0</v>
      </c>
      <c r="AD43" s="13">
        <f t="shared" ca="1" si="46"/>
        <v>0</v>
      </c>
      <c r="AE43" s="13">
        <f t="shared" ca="1" si="47"/>
        <v>0</v>
      </c>
      <c r="AF43" s="13">
        <f t="shared" ca="1" si="48"/>
        <v>670</v>
      </c>
      <c r="AG43" s="13">
        <f t="shared" ca="1" si="49"/>
        <v>0</v>
      </c>
      <c r="AH43" s="13">
        <f t="shared" ca="1" si="50"/>
        <v>0</v>
      </c>
      <c r="AI43" s="13">
        <f t="shared" ca="1" si="51"/>
        <v>0</v>
      </c>
      <c r="AJ43" s="13">
        <f t="shared" ca="1" si="52"/>
        <v>0</v>
      </c>
      <c r="AK43" s="13">
        <f t="shared" ca="1" si="53"/>
        <v>670</v>
      </c>
      <c r="AL43" s="13">
        <f t="shared" ca="1" si="54"/>
        <v>295.92282522626448</v>
      </c>
      <c r="AM43" s="13">
        <f t="shared" ca="1" si="55"/>
        <v>295.92282522626448</v>
      </c>
      <c r="AN43" s="13">
        <f t="shared" ca="1" si="56"/>
        <v>437.92282522626448</v>
      </c>
      <c r="AO43" s="13">
        <f t="shared" ca="1" si="57"/>
        <v>0</v>
      </c>
      <c r="AP43" s="13">
        <f t="shared" ca="1" si="58"/>
        <v>374.07717477373552</v>
      </c>
      <c r="AQ43" s="13">
        <f t="shared" ca="1" si="59"/>
        <v>10547.84296455613</v>
      </c>
      <c r="AR43" s="13">
        <f t="shared" ca="1" si="60"/>
        <v>374.07717477373552</v>
      </c>
      <c r="AS43" s="13">
        <f t="shared" ca="1" si="61"/>
        <v>552.07717477373558</v>
      </c>
      <c r="AT43" s="13">
        <f t="shared" ca="1" si="62"/>
        <v>10173.765789782394</v>
      </c>
      <c r="AU43" s="13">
        <f t="shared" ca="1" si="63"/>
        <v>0</v>
      </c>
      <c r="AV43" s="13">
        <f t="shared" ca="1" si="64"/>
        <v>17123.002595684662</v>
      </c>
      <c r="AW43" s="13">
        <f t="shared" ca="1" si="65"/>
        <v>0</v>
      </c>
      <c r="AX43" s="13">
        <f t="shared" ca="1" si="66"/>
        <v>410</v>
      </c>
      <c r="AY43" s="13">
        <f t="shared" ca="1" si="67"/>
        <v>17123.002595684662</v>
      </c>
      <c r="AZ43" s="13">
        <f t="shared" ca="1" si="68"/>
        <v>0</v>
      </c>
      <c r="BA43" s="13">
        <f t="shared" ca="1" si="69"/>
        <v>0</v>
      </c>
      <c r="BB43" s="13">
        <f t="shared" ca="1" si="70"/>
        <v>0</v>
      </c>
      <c r="BC43" s="13">
        <f t="shared" ca="1" si="71"/>
        <v>0</v>
      </c>
      <c r="BD43" s="13">
        <f t="shared" ca="1" si="72"/>
        <v>0</v>
      </c>
      <c r="BE43" s="13">
        <f t="shared" ca="1" si="73"/>
        <v>0</v>
      </c>
      <c r="BF43" s="13">
        <f t="shared" ca="1" si="74"/>
        <v>0</v>
      </c>
      <c r="BG43" s="13">
        <f t="shared" ca="1" si="75"/>
        <v>0</v>
      </c>
      <c r="BH43" s="13">
        <f t="shared" ca="1" si="76"/>
        <v>0</v>
      </c>
      <c r="BI43" s="13">
        <f t="shared" ca="1" si="77"/>
        <v>0</v>
      </c>
      <c r="BJ43" s="13">
        <f t="shared" ca="1" si="78"/>
        <v>0</v>
      </c>
      <c r="BK43" s="13">
        <f t="shared" ca="1" si="79"/>
        <v>0</v>
      </c>
      <c r="BL43" s="13">
        <f t="shared" ca="1" si="80"/>
        <v>0</v>
      </c>
      <c r="BM43" s="13">
        <f t="shared" ca="1" si="81"/>
        <v>0</v>
      </c>
      <c r="BN43" s="13">
        <f t="shared" ca="1" si="82"/>
        <v>0</v>
      </c>
      <c r="BO43" s="13">
        <f t="shared" ca="1" si="83"/>
        <v>1400</v>
      </c>
      <c r="BP43" s="13">
        <f t="shared" ca="1" si="84"/>
        <v>171.80068052765034</v>
      </c>
      <c r="BQ43" s="13">
        <f t="shared" ca="1" si="85"/>
        <v>27296.768385467054</v>
      </c>
    </row>
    <row r="44" spans="1:69" x14ac:dyDescent="0.25">
      <c r="A44" s="1">
        <v>43</v>
      </c>
      <c r="B44" s="13">
        <f ca="1">IF(A44=1,IF(OR('My Loans'!$O$14="",'My Loans'!$O$14=0),0,INDIRECT("'My Loans'!$D"&amp;'My Loans'!$O$14)),AE43)</f>
        <v>0</v>
      </c>
      <c r="C44" s="13">
        <f ca="1">IF(OR('My Loans'!$O$14="",'My Loans'!$O$14=0),0,B44*INDIRECT("'My Loans'!$E"&amp;'My Loans'!$O$14)/12)</f>
        <v>0</v>
      </c>
      <c r="D44" s="13">
        <f ca="1">IF(OR('My Loans'!$O$14="",'My Loans'!$O$14=0),0,IF(B44&lt;0.005,0,MIN(INDIRECT("'My Loans'!$F"&amp;'My Loans'!$O$14),B44+C44)))</f>
        <v>0</v>
      </c>
      <c r="E44" s="13">
        <f ca="1">IF(A44=1,IF(OR('My Loans'!$O$15="",'My Loans'!$O$15=0),0,INDIRECT("'My Loans'!$D"&amp;'My Loans'!$O$15)),AJ43)</f>
        <v>0</v>
      </c>
      <c r="F44" s="13">
        <f ca="1">IF(OR('My Loans'!$O$15="",'My Loans'!$O$15=0),0,E44*INDIRECT("'My Loans'!$E"&amp;'My Loans'!$O$15)/12)</f>
        <v>0</v>
      </c>
      <c r="G44" s="13">
        <f ca="1">IF(OR('My Loans'!$O$15="",'My Loans'!$O$15=0),0,IF(E44&lt;0.005,0,MIN(INDIRECT("'My Loans'!$F"&amp;'My Loans'!$O$15),E44+F44)))</f>
        <v>0</v>
      </c>
      <c r="H44" s="13">
        <f ca="1">IF(A44=1,IF(OR('My Loans'!$O$16="",'My Loans'!$O$16=0),0,INDIRECT("'My Loans'!$D"&amp;'My Loans'!$O$16)),AO43)</f>
        <v>0</v>
      </c>
      <c r="I44" s="13">
        <f ca="1">IF(OR('My Loans'!$O$16="",'My Loans'!$O$16=0),0,H44*INDIRECT("'My Loans'!$E"&amp;'My Loans'!$O$16)/12)</f>
        <v>0</v>
      </c>
      <c r="J44" s="13">
        <f ca="1">IF(OR('My Loans'!$O$16="",'My Loans'!$O$16=0),0,IF(H44&lt;0.005,0,MIN(INDIRECT("'My Loans'!$F"&amp;'My Loans'!$O$16),H44+I44)))</f>
        <v>0</v>
      </c>
      <c r="K44" s="13">
        <f ca="1">IF(A44=1,IF(OR('My Loans'!$O$17="",'My Loans'!$O$17=0),0,INDIRECT("'My Loans'!$D"&amp;'My Loans'!$O$17)),AT43)</f>
        <v>10173.765789782394</v>
      </c>
      <c r="L44" s="13">
        <f ca="1">IF(OR('My Loans'!$O$17="",'My Loans'!$O$17=0),0,K44*INDIRECT("'My Loans'!$E"&amp;'My Loans'!$O$17)/12)</f>
        <v>52.564456580542362</v>
      </c>
      <c r="M44" s="13">
        <f ca="1">IF(OR('My Loans'!$O$17="",'My Loans'!$O$17=0),0,IF(K44&lt;0.005,0,MIN(INDIRECT("'My Loans'!$F"&amp;'My Loans'!$O$17),K44+L44)))</f>
        <v>178</v>
      </c>
      <c r="N44" s="13">
        <f ca="1">IF(A44=1,IF(OR('My Loans'!$O$18="",'My Loans'!$O$18=0),0,INDIRECT("'My Loans'!$D"&amp;'My Loans'!$O$18)),AY43)</f>
        <v>17123.002595684662</v>
      </c>
      <c r="O44" s="13">
        <f ca="1">IF(OR('My Loans'!$O$18="",'My Loans'!$O$18=0),0,N44*INDIRECT("'My Loans'!$E"&amp;'My Loans'!$O$18)/12)</f>
        <v>112.72643375492403</v>
      </c>
      <c r="P44" s="13">
        <f ca="1">IF(OR('My Loans'!$O$18="",'My Loans'!$O$18=0),0,IF(N44&lt;0.005,0,MIN(INDIRECT("'My Loans'!$F"&amp;'My Loans'!$O$18),N44+O44)))</f>
        <v>410</v>
      </c>
      <c r="Q44" s="13">
        <f ca="1">IF(A44=1,IF(OR('My Loans'!$O$19="",'My Loans'!$O$19=0),0,INDIRECT("'My Loans'!$D"&amp;'My Loans'!$O$19)),BD43)</f>
        <v>0</v>
      </c>
      <c r="R44" s="13">
        <f ca="1">IF(OR('My Loans'!$O$19="",'My Loans'!$O$19=0),0,Q44*INDIRECT("'My Loans'!$E"&amp;'My Loans'!$O$19)/12)</f>
        <v>0</v>
      </c>
      <c r="S44" s="13">
        <f ca="1">IF(OR('My Loans'!$O$19="",'My Loans'!$O$19=0),0,IF(Q44&lt;0.005,0,MIN(INDIRECT("'My Loans'!$F"&amp;'My Loans'!$O$19),Q44+R44)))</f>
        <v>0</v>
      </c>
      <c r="T44" s="13">
        <f ca="1">IF(A44=1,IF(OR('My Loans'!$O$20="",'My Loans'!$O$20=0),0,INDIRECT("'My Loans'!$D"&amp;'My Loans'!$O$20)),BI43)</f>
        <v>0</v>
      </c>
      <c r="U44" s="13">
        <f ca="1">IF(OR('My Loans'!$O$20="",'My Loans'!$O$20=0),0,T44*INDIRECT("'My Loans'!$E"&amp;'My Loans'!$O$20)/12)</f>
        <v>0</v>
      </c>
      <c r="V44" s="13">
        <f ca="1">IF(OR('My Loans'!$O$20="",'My Loans'!$O$20=0),0,IF(T44&lt;0.005,0,MIN(INDIRECT("'My Loans'!$F"&amp;'My Loans'!$O$20),T44+U44)))</f>
        <v>0</v>
      </c>
      <c r="W44" s="13">
        <f ca="1">IF(A44=1,IF(OR('My Loans'!$O$21="",'My Loans'!$O$21=0),0,INDIRECT("'My Loans'!$D"&amp;'My Loans'!$O$21)),BN43)</f>
        <v>0</v>
      </c>
      <c r="X44" s="13">
        <f ca="1">IF(OR('My Loans'!$O$21="",'My Loans'!$O$21=0),0,W44*INDIRECT("'My Loans'!$E"&amp;'My Loans'!$O$21)/12)</f>
        <v>0</v>
      </c>
      <c r="Y44" s="13">
        <f ca="1">IF(OR('My Loans'!$O$21="",'My Loans'!$O$21=0),0,IF(W44&lt;0.005,0,MIN(INDIRECT("'My Loans'!$F"&amp;'My Loans'!$O$21),W44+X44)))</f>
        <v>0</v>
      </c>
      <c r="Z44" s="13">
        <f ca="1">'My Loans'!$B$13-(D44+G44+J44+M44+P44+S44+V44+Y44)</f>
        <v>812</v>
      </c>
      <c r="AA44" s="13">
        <f t="shared" ca="1" si="43"/>
        <v>812</v>
      </c>
      <c r="AB44" s="13">
        <f t="shared" ca="1" si="44"/>
        <v>0</v>
      </c>
      <c r="AC44" s="13">
        <f t="shared" ca="1" si="45"/>
        <v>0</v>
      </c>
      <c r="AD44" s="13">
        <f t="shared" ca="1" si="46"/>
        <v>0</v>
      </c>
      <c r="AE44" s="13">
        <f t="shared" ca="1" si="47"/>
        <v>0</v>
      </c>
      <c r="AF44" s="13">
        <f t="shared" ca="1" si="48"/>
        <v>812</v>
      </c>
      <c r="AG44" s="13">
        <f t="shared" ca="1" si="49"/>
        <v>0</v>
      </c>
      <c r="AH44" s="13">
        <f t="shared" ca="1" si="50"/>
        <v>0</v>
      </c>
      <c r="AI44" s="13">
        <f t="shared" ca="1" si="51"/>
        <v>0</v>
      </c>
      <c r="AJ44" s="13">
        <f t="shared" ca="1" si="52"/>
        <v>0</v>
      </c>
      <c r="AK44" s="13">
        <f t="shared" ca="1" si="53"/>
        <v>812</v>
      </c>
      <c r="AL44" s="13">
        <f t="shared" ca="1" si="54"/>
        <v>0</v>
      </c>
      <c r="AM44" s="13">
        <f t="shared" ca="1" si="55"/>
        <v>0</v>
      </c>
      <c r="AN44" s="13">
        <f t="shared" ca="1" si="56"/>
        <v>0</v>
      </c>
      <c r="AO44" s="13">
        <f t="shared" ca="1" si="57"/>
        <v>0</v>
      </c>
      <c r="AP44" s="13">
        <f t="shared" ca="1" si="58"/>
        <v>812</v>
      </c>
      <c r="AQ44" s="13">
        <f t="shared" ca="1" si="59"/>
        <v>10048.330246362937</v>
      </c>
      <c r="AR44" s="13">
        <f t="shared" ca="1" si="60"/>
        <v>812</v>
      </c>
      <c r="AS44" s="13">
        <f t="shared" ca="1" si="61"/>
        <v>990</v>
      </c>
      <c r="AT44" s="13">
        <f t="shared" ca="1" si="62"/>
        <v>9236.330246362937</v>
      </c>
      <c r="AU44" s="13">
        <f t="shared" ca="1" si="63"/>
        <v>0</v>
      </c>
      <c r="AV44" s="13">
        <f t="shared" ca="1" si="64"/>
        <v>16825.729029439586</v>
      </c>
      <c r="AW44" s="13">
        <f t="shared" ca="1" si="65"/>
        <v>0</v>
      </c>
      <c r="AX44" s="13">
        <f t="shared" ca="1" si="66"/>
        <v>410</v>
      </c>
      <c r="AY44" s="13">
        <f t="shared" ca="1" si="67"/>
        <v>16825.729029439586</v>
      </c>
      <c r="AZ44" s="13">
        <f t="shared" ca="1" si="68"/>
        <v>0</v>
      </c>
      <c r="BA44" s="13">
        <f t="shared" ca="1" si="69"/>
        <v>0</v>
      </c>
      <c r="BB44" s="13">
        <f t="shared" ca="1" si="70"/>
        <v>0</v>
      </c>
      <c r="BC44" s="13">
        <f t="shared" ca="1" si="71"/>
        <v>0</v>
      </c>
      <c r="BD44" s="13">
        <f t="shared" ca="1" si="72"/>
        <v>0</v>
      </c>
      <c r="BE44" s="13">
        <f t="shared" ca="1" si="73"/>
        <v>0</v>
      </c>
      <c r="BF44" s="13">
        <f t="shared" ca="1" si="74"/>
        <v>0</v>
      </c>
      <c r="BG44" s="13">
        <f t="shared" ca="1" si="75"/>
        <v>0</v>
      </c>
      <c r="BH44" s="13">
        <f t="shared" ca="1" si="76"/>
        <v>0</v>
      </c>
      <c r="BI44" s="13">
        <f t="shared" ca="1" si="77"/>
        <v>0</v>
      </c>
      <c r="BJ44" s="13">
        <f t="shared" ca="1" si="78"/>
        <v>0</v>
      </c>
      <c r="BK44" s="13">
        <f t="shared" ca="1" si="79"/>
        <v>0</v>
      </c>
      <c r="BL44" s="13">
        <f t="shared" ca="1" si="80"/>
        <v>0</v>
      </c>
      <c r="BM44" s="13">
        <f t="shared" ca="1" si="81"/>
        <v>0</v>
      </c>
      <c r="BN44" s="13">
        <f t="shared" ca="1" si="82"/>
        <v>0</v>
      </c>
      <c r="BO44" s="13">
        <f t="shared" ca="1" si="83"/>
        <v>1400</v>
      </c>
      <c r="BP44" s="13">
        <f t="shared" ca="1" si="84"/>
        <v>165.2908903354664</v>
      </c>
      <c r="BQ44" s="13">
        <f t="shared" ca="1" si="85"/>
        <v>26062.059275802523</v>
      </c>
    </row>
    <row r="45" spans="1:69" x14ac:dyDescent="0.25">
      <c r="A45" s="1">
        <v>44</v>
      </c>
      <c r="B45" s="13">
        <f ca="1">IF(A45=1,IF(OR('My Loans'!$O$14="",'My Loans'!$O$14=0),0,INDIRECT("'My Loans'!$D"&amp;'My Loans'!$O$14)),AE44)</f>
        <v>0</v>
      </c>
      <c r="C45" s="13">
        <f ca="1">IF(OR('My Loans'!$O$14="",'My Loans'!$O$14=0),0,B45*INDIRECT("'My Loans'!$E"&amp;'My Loans'!$O$14)/12)</f>
        <v>0</v>
      </c>
      <c r="D45" s="13">
        <f ca="1">IF(OR('My Loans'!$O$14="",'My Loans'!$O$14=0),0,IF(B45&lt;0.005,0,MIN(INDIRECT("'My Loans'!$F"&amp;'My Loans'!$O$14),B45+C45)))</f>
        <v>0</v>
      </c>
      <c r="E45" s="13">
        <f ca="1">IF(A45=1,IF(OR('My Loans'!$O$15="",'My Loans'!$O$15=0),0,INDIRECT("'My Loans'!$D"&amp;'My Loans'!$O$15)),AJ44)</f>
        <v>0</v>
      </c>
      <c r="F45" s="13">
        <f ca="1">IF(OR('My Loans'!$O$15="",'My Loans'!$O$15=0),0,E45*INDIRECT("'My Loans'!$E"&amp;'My Loans'!$O$15)/12)</f>
        <v>0</v>
      </c>
      <c r="G45" s="13">
        <f ca="1">IF(OR('My Loans'!$O$15="",'My Loans'!$O$15=0),0,IF(E45&lt;0.005,0,MIN(INDIRECT("'My Loans'!$F"&amp;'My Loans'!$O$15),E45+F45)))</f>
        <v>0</v>
      </c>
      <c r="H45" s="13">
        <f ca="1">IF(A45=1,IF(OR('My Loans'!$O$16="",'My Loans'!$O$16=0),0,INDIRECT("'My Loans'!$D"&amp;'My Loans'!$O$16)),AO44)</f>
        <v>0</v>
      </c>
      <c r="I45" s="13">
        <f ca="1">IF(OR('My Loans'!$O$16="",'My Loans'!$O$16=0),0,H45*INDIRECT("'My Loans'!$E"&amp;'My Loans'!$O$16)/12)</f>
        <v>0</v>
      </c>
      <c r="J45" s="13">
        <f ca="1">IF(OR('My Loans'!$O$16="",'My Loans'!$O$16=0),0,IF(H45&lt;0.005,0,MIN(INDIRECT("'My Loans'!$F"&amp;'My Loans'!$O$16),H45+I45)))</f>
        <v>0</v>
      </c>
      <c r="K45" s="13">
        <f ca="1">IF(A45=1,IF(OR('My Loans'!$O$17="",'My Loans'!$O$17=0),0,INDIRECT("'My Loans'!$D"&amp;'My Loans'!$O$17)),AT44)</f>
        <v>9236.330246362937</v>
      </c>
      <c r="L45" s="13">
        <f ca="1">IF(OR('My Loans'!$O$17="",'My Loans'!$O$17=0),0,K45*INDIRECT("'My Loans'!$E"&amp;'My Loans'!$O$17)/12)</f>
        <v>47.721039606208507</v>
      </c>
      <c r="M45" s="13">
        <f ca="1">IF(OR('My Loans'!$O$17="",'My Loans'!$O$17=0),0,IF(K45&lt;0.005,0,MIN(INDIRECT("'My Loans'!$F"&amp;'My Loans'!$O$17),K45+L45)))</f>
        <v>178</v>
      </c>
      <c r="N45" s="13">
        <f ca="1">IF(A45=1,IF(OR('My Loans'!$O$18="",'My Loans'!$O$18=0),0,INDIRECT("'My Loans'!$D"&amp;'My Loans'!$O$18)),AY44)</f>
        <v>16825.729029439586</v>
      </c>
      <c r="O45" s="13">
        <f ca="1">IF(OR('My Loans'!$O$18="",'My Loans'!$O$18=0),0,N45*INDIRECT("'My Loans'!$E"&amp;'My Loans'!$O$18)/12)</f>
        <v>110.76938277714395</v>
      </c>
      <c r="P45" s="13">
        <f ca="1">IF(OR('My Loans'!$O$18="",'My Loans'!$O$18=0),0,IF(N45&lt;0.005,0,MIN(INDIRECT("'My Loans'!$F"&amp;'My Loans'!$O$18),N45+O45)))</f>
        <v>410</v>
      </c>
      <c r="Q45" s="13">
        <f ca="1">IF(A45=1,IF(OR('My Loans'!$O$19="",'My Loans'!$O$19=0),0,INDIRECT("'My Loans'!$D"&amp;'My Loans'!$O$19)),BD44)</f>
        <v>0</v>
      </c>
      <c r="R45" s="13">
        <f ca="1">IF(OR('My Loans'!$O$19="",'My Loans'!$O$19=0),0,Q45*INDIRECT("'My Loans'!$E"&amp;'My Loans'!$O$19)/12)</f>
        <v>0</v>
      </c>
      <c r="S45" s="13">
        <f ca="1">IF(OR('My Loans'!$O$19="",'My Loans'!$O$19=0),0,IF(Q45&lt;0.005,0,MIN(INDIRECT("'My Loans'!$F"&amp;'My Loans'!$O$19),Q45+R45)))</f>
        <v>0</v>
      </c>
      <c r="T45" s="13">
        <f ca="1">IF(A45=1,IF(OR('My Loans'!$O$20="",'My Loans'!$O$20=0),0,INDIRECT("'My Loans'!$D"&amp;'My Loans'!$O$20)),BI44)</f>
        <v>0</v>
      </c>
      <c r="U45" s="13">
        <f ca="1">IF(OR('My Loans'!$O$20="",'My Loans'!$O$20=0),0,T45*INDIRECT("'My Loans'!$E"&amp;'My Loans'!$O$20)/12)</f>
        <v>0</v>
      </c>
      <c r="V45" s="13">
        <f ca="1">IF(OR('My Loans'!$O$20="",'My Loans'!$O$20=0),0,IF(T45&lt;0.005,0,MIN(INDIRECT("'My Loans'!$F"&amp;'My Loans'!$O$20),T45+U45)))</f>
        <v>0</v>
      </c>
      <c r="W45" s="13">
        <f ca="1">IF(A45=1,IF(OR('My Loans'!$O$21="",'My Loans'!$O$21=0),0,INDIRECT("'My Loans'!$D"&amp;'My Loans'!$O$21)),BN44)</f>
        <v>0</v>
      </c>
      <c r="X45" s="13">
        <f ca="1">IF(OR('My Loans'!$O$21="",'My Loans'!$O$21=0),0,W45*INDIRECT("'My Loans'!$E"&amp;'My Loans'!$O$21)/12)</f>
        <v>0</v>
      </c>
      <c r="Y45" s="13">
        <f ca="1">IF(OR('My Loans'!$O$21="",'My Loans'!$O$21=0),0,IF(W45&lt;0.005,0,MIN(INDIRECT("'My Loans'!$F"&amp;'My Loans'!$O$21),W45+X45)))</f>
        <v>0</v>
      </c>
      <c r="Z45" s="13">
        <f ca="1">'My Loans'!$B$13-(D45+G45+J45+M45+P45+S45+V45+Y45)</f>
        <v>812</v>
      </c>
      <c r="AA45" s="13">
        <f t="shared" ca="1" si="43"/>
        <v>812</v>
      </c>
      <c r="AB45" s="13">
        <f t="shared" ca="1" si="44"/>
        <v>0</v>
      </c>
      <c r="AC45" s="13">
        <f t="shared" ca="1" si="45"/>
        <v>0</v>
      </c>
      <c r="AD45" s="13">
        <f t="shared" ca="1" si="46"/>
        <v>0</v>
      </c>
      <c r="AE45" s="13">
        <f t="shared" ca="1" si="47"/>
        <v>0</v>
      </c>
      <c r="AF45" s="13">
        <f t="shared" ca="1" si="48"/>
        <v>812</v>
      </c>
      <c r="AG45" s="13">
        <f t="shared" ca="1" si="49"/>
        <v>0</v>
      </c>
      <c r="AH45" s="13">
        <f t="shared" ca="1" si="50"/>
        <v>0</v>
      </c>
      <c r="AI45" s="13">
        <f t="shared" ca="1" si="51"/>
        <v>0</v>
      </c>
      <c r="AJ45" s="13">
        <f t="shared" ca="1" si="52"/>
        <v>0</v>
      </c>
      <c r="AK45" s="13">
        <f t="shared" ca="1" si="53"/>
        <v>812</v>
      </c>
      <c r="AL45" s="13">
        <f t="shared" ca="1" si="54"/>
        <v>0</v>
      </c>
      <c r="AM45" s="13">
        <f t="shared" ca="1" si="55"/>
        <v>0</v>
      </c>
      <c r="AN45" s="13">
        <f t="shared" ca="1" si="56"/>
        <v>0</v>
      </c>
      <c r="AO45" s="13">
        <f t="shared" ca="1" si="57"/>
        <v>0</v>
      </c>
      <c r="AP45" s="13">
        <f t="shared" ca="1" si="58"/>
        <v>812</v>
      </c>
      <c r="AQ45" s="13">
        <f t="shared" ca="1" si="59"/>
        <v>9106.0512859691462</v>
      </c>
      <c r="AR45" s="13">
        <f t="shared" ca="1" si="60"/>
        <v>812</v>
      </c>
      <c r="AS45" s="13">
        <f t="shared" ca="1" si="61"/>
        <v>990</v>
      </c>
      <c r="AT45" s="13">
        <f t="shared" ca="1" si="62"/>
        <v>8294.0512859691462</v>
      </c>
      <c r="AU45" s="13">
        <f t="shared" ca="1" si="63"/>
        <v>0</v>
      </c>
      <c r="AV45" s="13">
        <f t="shared" ca="1" si="64"/>
        <v>16526.49841221673</v>
      </c>
      <c r="AW45" s="13">
        <f t="shared" ca="1" si="65"/>
        <v>0</v>
      </c>
      <c r="AX45" s="13">
        <f t="shared" ca="1" si="66"/>
        <v>410</v>
      </c>
      <c r="AY45" s="13">
        <f t="shared" ca="1" si="67"/>
        <v>16526.49841221673</v>
      </c>
      <c r="AZ45" s="13">
        <f t="shared" ca="1" si="68"/>
        <v>0</v>
      </c>
      <c r="BA45" s="13">
        <f t="shared" ca="1" si="69"/>
        <v>0</v>
      </c>
      <c r="BB45" s="13">
        <f t="shared" ca="1" si="70"/>
        <v>0</v>
      </c>
      <c r="BC45" s="13">
        <f t="shared" ca="1" si="71"/>
        <v>0</v>
      </c>
      <c r="BD45" s="13">
        <f t="shared" ca="1" si="72"/>
        <v>0</v>
      </c>
      <c r="BE45" s="13">
        <f t="shared" ca="1" si="73"/>
        <v>0</v>
      </c>
      <c r="BF45" s="13">
        <f t="shared" ca="1" si="74"/>
        <v>0</v>
      </c>
      <c r="BG45" s="13">
        <f t="shared" ca="1" si="75"/>
        <v>0</v>
      </c>
      <c r="BH45" s="13">
        <f t="shared" ca="1" si="76"/>
        <v>0</v>
      </c>
      <c r="BI45" s="13">
        <f t="shared" ca="1" si="77"/>
        <v>0</v>
      </c>
      <c r="BJ45" s="13">
        <f t="shared" ca="1" si="78"/>
        <v>0</v>
      </c>
      <c r="BK45" s="13">
        <f t="shared" ca="1" si="79"/>
        <v>0</v>
      </c>
      <c r="BL45" s="13">
        <f t="shared" ca="1" si="80"/>
        <v>0</v>
      </c>
      <c r="BM45" s="13">
        <f t="shared" ca="1" si="81"/>
        <v>0</v>
      </c>
      <c r="BN45" s="13">
        <f t="shared" ca="1" si="82"/>
        <v>0</v>
      </c>
      <c r="BO45" s="13">
        <f t="shared" ca="1" si="83"/>
        <v>1400</v>
      </c>
      <c r="BP45" s="13">
        <f t="shared" ca="1" si="84"/>
        <v>158.49042238335244</v>
      </c>
      <c r="BQ45" s="13">
        <f t="shared" ca="1" si="85"/>
        <v>24820.549698185874</v>
      </c>
    </row>
    <row r="46" spans="1:69" x14ac:dyDescent="0.25">
      <c r="A46" s="1">
        <v>45</v>
      </c>
      <c r="B46" s="13">
        <f ca="1">IF(A46=1,IF(OR('My Loans'!$O$14="",'My Loans'!$O$14=0),0,INDIRECT("'My Loans'!$D"&amp;'My Loans'!$O$14)),AE45)</f>
        <v>0</v>
      </c>
      <c r="C46" s="13">
        <f ca="1">IF(OR('My Loans'!$O$14="",'My Loans'!$O$14=0),0,B46*INDIRECT("'My Loans'!$E"&amp;'My Loans'!$O$14)/12)</f>
        <v>0</v>
      </c>
      <c r="D46" s="13">
        <f ca="1">IF(OR('My Loans'!$O$14="",'My Loans'!$O$14=0),0,IF(B46&lt;0.005,0,MIN(INDIRECT("'My Loans'!$F"&amp;'My Loans'!$O$14),B46+C46)))</f>
        <v>0</v>
      </c>
      <c r="E46" s="13">
        <f ca="1">IF(A46=1,IF(OR('My Loans'!$O$15="",'My Loans'!$O$15=0),0,INDIRECT("'My Loans'!$D"&amp;'My Loans'!$O$15)),AJ45)</f>
        <v>0</v>
      </c>
      <c r="F46" s="13">
        <f ca="1">IF(OR('My Loans'!$O$15="",'My Loans'!$O$15=0),0,E46*INDIRECT("'My Loans'!$E"&amp;'My Loans'!$O$15)/12)</f>
        <v>0</v>
      </c>
      <c r="G46" s="13">
        <f ca="1">IF(OR('My Loans'!$O$15="",'My Loans'!$O$15=0),0,IF(E46&lt;0.005,0,MIN(INDIRECT("'My Loans'!$F"&amp;'My Loans'!$O$15),E46+F46)))</f>
        <v>0</v>
      </c>
      <c r="H46" s="13">
        <f ca="1">IF(A46=1,IF(OR('My Loans'!$O$16="",'My Loans'!$O$16=0),0,INDIRECT("'My Loans'!$D"&amp;'My Loans'!$O$16)),AO45)</f>
        <v>0</v>
      </c>
      <c r="I46" s="13">
        <f ca="1">IF(OR('My Loans'!$O$16="",'My Loans'!$O$16=0),0,H46*INDIRECT("'My Loans'!$E"&amp;'My Loans'!$O$16)/12)</f>
        <v>0</v>
      </c>
      <c r="J46" s="13">
        <f ca="1">IF(OR('My Loans'!$O$16="",'My Loans'!$O$16=0),0,IF(H46&lt;0.005,0,MIN(INDIRECT("'My Loans'!$F"&amp;'My Loans'!$O$16),H46+I46)))</f>
        <v>0</v>
      </c>
      <c r="K46" s="13">
        <f ca="1">IF(A46=1,IF(OR('My Loans'!$O$17="",'My Loans'!$O$17=0),0,INDIRECT("'My Loans'!$D"&amp;'My Loans'!$O$17)),AT45)</f>
        <v>8294.0512859691462</v>
      </c>
      <c r="L46" s="13">
        <f ca="1">IF(OR('My Loans'!$O$17="",'My Loans'!$O$17=0),0,K46*INDIRECT("'My Loans'!$E"&amp;'My Loans'!$O$17)/12)</f>
        <v>42.852598310840591</v>
      </c>
      <c r="M46" s="13">
        <f ca="1">IF(OR('My Loans'!$O$17="",'My Loans'!$O$17=0),0,IF(K46&lt;0.005,0,MIN(INDIRECT("'My Loans'!$F"&amp;'My Loans'!$O$17),K46+L46)))</f>
        <v>178</v>
      </c>
      <c r="N46" s="13">
        <f ca="1">IF(A46=1,IF(OR('My Loans'!$O$18="",'My Loans'!$O$18=0),0,INDIRECT("'My Loans'!$D"&amp;'My Loans'!$O$18)),AY45)</f>
        <v>16526.49841221673</v>
      </c>
      <c r="O46" s="13">
        <f ca="1">IF(OR('My Loans'!$O$18="",'My Loans'!$O$18=0),0,N46*INDIRECT("'My Loans'!$E"&amp;'My Loans'!$O$18)/12)</f>
        <v>108.7994478804268</v>
      </c>
      <c r="P46" s="13">
        <f ca="1">IF(OR('My Loans'!$O$18="",'My Loans'!$O$18=0),0,IF(N46&lt;0.005,0,MIN(INDIRECT("'My Loans'!$F"&amp;'My Loans'!$O$18),N46+O46)))</f>
        <v>410</v>
      </c>
      <c r="Q46" s="13">
        <f ca="1">IF(A46=1,IF(OR('My Loans'!$O$19="",'My Loans'!$O$19=0),0,INDIRECT("'My Loans'!$D"&amp;'My Loans'!$O$19)),BD45)</f>
        <v>0</v>
      </c>
      <c r="R46" s="13">
        <f ca="1">IF(OR('My Loans'!$O$19="",'My Loans'!$O$19=0),0,Q46*INDIRECT("'My Loans'!$E"&amp;'My Loans'!$O$19)/12)</f>
        <v>0</v>
      </c>
      <c r="S46" s="13">
        <f ca="1">IF(OR('My Loans'!$O$19="",'My Loans'!$O$19=0),0,IF(Q46&lt;0.005,0,MIN(INDIRECT("'My Loans'!$F"&amp;'My Loans'!$O$19),Q46+R46)))</f>
        <v>0</v>
      </c>
      <c r="T46" s="13">
        <f ca="1">IF(A46=1,IF(OR('My Loans'!$O$20="",'My Loans'!$O$20=0),0,INDIRECT("'My Loans'!$D"&amp;'My Loans'!$O$20)),BI45)</f>
        <v>0</v>
      </c>
      <c r="U46" s="13">
        <f ca="1">IF(OR('My Loans'!$O$20="",'My Loans'!$O$20=0),0,T46*INDIRECT("'My Loans'!$E"&amp;'My Loans'!$O$20)/12)</f>
        <v>0</v>
      </c>
      <c r="V46" s="13">
        <f ca="1">IF(OR('My Loans'!$O$20="",'My Loans'!$O$20=0),0,IF(T46&lt;0.005,0,MIN(INDIRECT("'My Loans'!$F"&amp;'My Loans'!$O$20),T46+U46)))</f>
        <v>0</v>
      </c>
      <c r="W46" s="13">
        <f ca="1">IF(A46=1,IF(OR('My Loans'!$O$21="",'My Loans'!$O$21=0),0,INDIRECT("'My Loans'!$D"&amp;'My Loans'!$O$21)),BN45)</f>
        <v>0</v>
      </c>
      <c r="X46" s="13">
        <f ca="1">IF(OR('My Loans'!$O$21="",'My Loans'!$O$21=0),0,W46*INDIRECT("'My Loans'!$E"&amp;'My Loans'!$O$21)/12)</f>
        <v>0</v>
      </c>
      <c r="Y46" s="13">
        <f ca="1">IF(OR('My Loans'!$O$21="",'My Loans'!$O$21=0),0,IF(W46&lt;0.005,0,MIN(INDIRECT("'My Loans'!$F"&amp;'My Loans'!$O$21),W46+X46)))</f>
        <v>0</v>
      </c>
      <c r="Z46" s="13">
        <f ca="1">'My Loans'!$B$13-(D46+G46+J46+M46+P46+S46+V46+Y46)</f>
        <v>812</v>
      </c>
      <c r="AA46" s="13">
        <f t="shared" ca="1" si="43"/>
        <v>812</v>
      </c>
      <c r="AB46" s="13">
        <f t="shared" ca="1" si="44"/>
        <v>0</v>
      </c>
      <c r="AC46" s="13">
        <f t="shared" ca="1" si="45"/>
        <v>0</v>
      </c>
      <c r="AD46" s="13">
        <f t="shared" ca="1" si="46"/>
        <v>0</v>
      </c>
      <c r="AE46" s="13">
        <f t="shared" ca="1" si="47"/>
        <v>0</v>
      </c>
      <c r="AF46" s="13">
        <f t="shared" ca="1" si="48"/>
        <v>812</v>
      </c>
      <c r="AG46" s="13">
        <f t="shared" ca="1" si="49"/>
        <v>0</v>
      </c>
      <c r="AH46" s="13">
        <f t="shared" ca="1" si="50"/>
        <v>0</v>
      </c>
      <c r="AI46" s="13">
        <f t="shared" ca="1" si="51"/>
        <v>0</v>
      </c>
      <c r="AJ46" s="13">
        <f t="shared" ca="1" si="52"/>
        <v>0</v>
      </c>
      <c r="AK46" s="13">
        <f t="shared" ca="1" si="53"/>
        <v>812</v>
      </c>
      <c r="AL46" s="13">
        <f t="shared" ca="1" si="54"/>
        <v>0</v>
      </c>
      <c r="AM46" s="13">
        <f t="shared" ca="1" si="55"/>
        <v>0</v>
      </c>
      <c r="AN46" s="13">
        <f t="shared" ca="1" si="56"/>
        <v>0</v>
      </c>
      <c r="AO46" s="13">
        <f t="shared" ca="1" si="57"/>
        <v>0</v>
      </c>
      <c r="AP46" s="13">
        <f t="shared" ca="1" si="58"/>
        <v>812</v>
      </c>
      <c r="AQ46" s="13">
        <f t="shared" ca="1" si="59"/>
        <v>8158.9038842799873</v>
      </c>
      <c r="AR46" s="13">
        <f t="shared" ca="1" si="60"/>
        <v>812</v>
      </c>
      <c r="AS46" s="13">
        <f t="shared" ca="1" si="61"/>
        <v>990</v>
      </c>
      <c r="AT46" s="13">
        <f t="shared" ca="1" si="62"/>
        <v>7346.9038842799873</v>
      </c>
      <c r="AU46" s="13">
        <f t="shared" ca="1" si="63"/>
        <v>0</v>
      </c>
      <c r="AV46" s="13">
        <f t="shared" ca="1" si="64"/>
        <v>16225.297860097158</v>
      </c>
      <c r="AW46" s="13">
        <f t="shared" ca="1" si="65"/>
        <v>0</v>
      </c>
      <c r="AX46" s="13">
        <f t="shared" ca="1" si="66"/>
        <v>410</v>
      </c>
      <c r="AY46" s="13">
        <f t="shared" ca="1" si="67"/>
        <v>16225.297860097158</v>
      </c>
      <c r="AZ46" s="13">
        <f t="shared" ca="1" si="68"/>
        <v>0</v>
      </c>
      <c r="BA46" s="13">
        <f t="shared" ca="1" si="69"/>
        <v>0</v>
      </c>
      <c r="BB46" s="13">
        <f t="shared" ca="1" si="70"/>
        <v>0</v>
      </c>
      <c r="BC46" s="13">
        <f t="shared" ca="1" si="71"/>
        <v>0</v>
      </c>
      <c r="BD46" s="13">
        <f t="shared" ca="1" si="72"/>
        <v>0</v>
      </c>
      <c r="BE46" s="13">
        <f t="shared" ca="1" si="73"/>
        <v>0</v>
      </c>
      <c r="BF46" s="13">
        <f t="shared" ca="1" si="74"/>
        <v>0</v>
      </c>
      <c r="BG46" s="13">
        <f t="shared" ca="1" si="75"/>
        <v>0</v>
      </c>
      <c r="BH46" s="13">
        <f t="shared" ca="1" si="76"/>
        <v>0</v>
      </c>
      <c r="BI46" s="13">
        <f t="shared" ca="1" si="77"/>
        <v>0</v>
      </c>
      <c r="BJ46" s="13">
        <f t="shared" ca="1" si="78"/>
        <v>0</v>
      </c>
      <c r="BK46" s="13">
        <f t="shared" ca="1" si="79"/>
        <v>0</v>
      </c>
      <c r="BL46" s="13">
        <f t="shared" ca="1" si="80"/>
        <v>0</v>
      </c>
      <c r="BM46" s="13">
        <f t="shared" ca="1" si="81"/>
        <v>0</v>
      </c>
      <c r="BN46" s="13">
        <f t="shared" ca="1" si="82"/>
        <v>0</v>
      </c>
      <c r="BO46" s="13">
        <f t="shared" ca="1" si="83"/>
        <v>1400</v>
      </c>
      <c r="BP46" s="13">
        <f t="shared" ca="1" si="84"/>
        <v>151.6520461912674</v>
      </c>
      <c r="BQ46" s="13">
        <f t="shared" ca="1" si="85"/>
        <v>23572.201744377147</v>
      </c>
    </row>
    <row r="47" spans="1:69" x14ac:dyDescent="0.25">
      <c r="A47" s="1">
        <v>46</v>
      </c>
      <c r="B47" s="13">
        <f ca="1">IF(A47=1,IF(OR('My Loans'!$O$14="",'My Loans'!$O$14=0),0,INDIRECT("'My Loans'!$D"&amp;'My Loans'!$O$14)),AE46)</f>
        <v>0</v>
      </c>
      <c r="C47" s="13">
        <f ca="1">IF(OR('My Loans'!$O$14="",'My Loans'!$O$14=0),0,B47*INDIRECT("'My Loans'!$E"&amp;'My Loans'!$O$14)/12)</f>
        <v>0</v>
      </c>
      <c r="D47" s="13">
        <f ca="1">IF(OR('My Loans'!$O$14="",'My Loans'!$O$14=0),0,IF(B47&lt;0.005,0,MIN(INDIRECT("'My Loans'!$F"&amp;'My Loans'!$O$14),B47+C47)))</f>
        <v>0</v>
      </c>
      <c r="E47" s="13">
        <f ca="1">IF(A47=1,IF(OR('My Loans'!$O$15="",'My Loans'!$O$15=0),0,INDIRECT("'My Loans'!$D"&amp;'My Loans'!$O$15)),AJ46)</f>
        <v>0</v>
      </c>
      <c r="F47" s="13">
        <f ca="1">IF(OR('My Loans'!$O$15="",'My Loans'!$O$15=0),0,E47*INDIRECT("'My Loans'!$E"&amp;'My Loans'!$O$15)/12)</f>
        <v>0</v>
      </c>
      <c r="G47" s="13">
        <f ca="1">IF(OR('My Loans'!$O$15="",'My Loans'!$O$15=0),0,IF(E47&lt;0.005,0,MIN(INDIRECT("'My Loans'!$F"&amp;'My Loans'!$O$15),E47+F47)))</f>
        <v>0</v>
      </c>
      <c r="H47" s="13">
        <f ca="1">IF(A47=1,IF(OR('My Loans'!$O$16="",'My Loans'!$O$16=0),0,INDIRECT("'My Loans'!$D"&amp;'My Loans'!$O$16)),AO46)</f>
        <v>0</v>
      </c>
      <c r="I47" s="13">
        <f ca="1">IF(OR('My Loans'!$O$16="",'My Loans'!$O$16=0),0,H47*INDIRECT("'My Loans'!$E"&amp;'My Loans'!$O$16)/12)</f>
        <v>0</v>
      </c>
      <c r="J47" s="13">
        <f ca="1">IF(OR('My Loans'!$O$16="",'My Loans'!$O$16=0),0,IF(H47&lt;0.005,0,MIN(INDIRECT("'My Loans'!$F"&amp;'My Loans'!$O$16),H47+I47)))</f>
        <v>0</v>
      </c>
      <c r="K47" s="13">
        <f ca="1">IF(A47=1,IF(OR('My Loans'!$O$17="",'My Loans'!$O$17=0),0,INDIRECT("'My Loans'!$D"&amp;'My Loans'!$O$17)),AT46)</f>
        <v>7346.9038842799873</v>
      </c>
      <c r="L47" s="13">
        <f ca="1">IF(OR('My Loans'!$O$17="",'My Loans'!$O$17=0),0,K47*INDIRECT("'My Loans'!$E"&amp;'My Loans'!$O$17)/12)</f>
        <v>37.959003402113268</v>
      </c>
      <c r="M47" s="13">
        <f ca="1">IF(OR('My Loans'!$O$17="",'My Loans'!$O$17=0),0,IF(K47&lt;0.005,0,MIN(INDIRECT("'My Loans'!$F"&amp;'My Loans'!$O$17),K47+L47)))</f>
        <v>178</v>
      </c>
      <c r="N47" s="13">
        <f ca="1">IF(A47=1,IF(OR('My Loans'!$O$18="",'My Loans'!$O$18=0),0,INDIRECT("'My Loans'!$D"&amp;'My Loans'!$O$18)),AY46)</f>
        <v>16225.297860097158</v>
      </c>
      <c r="O47" s="13">
        <f ca="1">IF(OR('My Loans'!$O$18="",'My Loans'!$O$18=0),0,N47*INDIRECT("'My Loans'!$E"&amp;'My Loans'!$O$18)/12)</f>
        <v>106.81654424563963</v>
      </c>
      <c r="P47" s="13">
        <f ca="1">IF(OR('My Loans'!$O$18="",'My Loans'!$O$18=0),0,IF(N47&lt;0.005,0,MIN(INDIRECT("'My Loans'!$F"&amp;'My Loans'!$O$18),N47+O47)))</f>
        <v>410</v>
      </c>
      <c r="Q47" s="13">
        <f ca="1">IF(A47=1,IF(OR('My Loans'!$O$19="",'My Loans'!$O$19=0),0,INDIRECT("'My Loans'!$D"&amp;'My Loans'!$O$19)),BD46)</f>
        <v>0</v>
      </c>
      <c r="R47" s="13">
        <f ca="1">IF(OR('My Loans'!$O$19="",'My Loans'!$O$19=0),0,Q47*INDIRECT("'My Loans'!$E"&amp;'My Loans'!$O$19)/12)</f>
        <v>0</v>
      </c>
      <c r="S47" s="13">
        <f ca="1">IF(OR('My Loans'!$O$19="",'My Loans'!$O$19=0),0,IF(Q47&lt;0.005,0,MIN(INDIRECT("'My Loans'!$F"&amp;'My Loans'!$O$19),Q47+R47)))</f>
        <v>0</v>
      </c>
      <c r="T47" s="13">
        <f ca="1">IF(A47=1,IF(OR('My Loans'!$O$20="",'My Loans'!$O$20=0),0,INDIRECT("'My Loans'!$D"&amp;'My Loans'!$O$20)),BI46)</f>
        <v>0</v>
      </c>
      <c r="U47" s="13">
        <f ca="1">IF(OR('My Loans'!$O$20="",'My Loans'!$O$20=0),0,T47*INDIRECT("'My Loans'!$E"&amp;'My Loans'!$O$20)/12)</f>
        <v>0</v>
      </c>
      <c r="V47" s="13">
        <f ca="1">IF(OR('My Loans'!$O$20="",'My Loans'!$O$20=0),0,IF(T47&lt;0.005,0,MIN(INDIRECT("'My Loans'!$F"&amp;'My Loans'!$O$20),T47+U47)))</f>
        <v>0</v>
      </c>
      <c r="W47" s="13">
        <f ca="1">IF(A47=1,IF(OR('My Loans'!$O$21="",'My Loans'!$O$21=0),0,INDIRECT("'My Loans'!$D"&amp;'My Loans'!$O$21)),BN46)</f>
        <v>0</v>
      </c>
      <c r="X47" s="13">
        <f ca="1">IF(OR('My Loans'!$O$21="",'My Loans'!$O$21=0),0,W47*INDIRECT("'My Loans'!$E"&amp;'My Loans'!$O$21)/12)</f>
        <v>0</v>
      </c>
      <c r="Y47" s="13">
        <f ca="1">IF(OR('My Loans'!$O$21="",'My Loans'!$O$21=0),0,IF(W47&lt;0.005,0,MIN(INDIRECT("'My Loans'!$F"&amp;'My Loans'!$O$21),W47+X47)))</f>
        <v>0</v>
      </c>
      <c r="Z47" s="13">
        <f ca="1">'My Loans'!$B$13-(D47+G47+J47+M47+P47+S47+V47+Y47)</f>
        <v>812</v>
      </c>
      <c r="AA47" s="13">
        <f t="shared" ca="1" si="43"/>
        <v>812</v>
      </c>
      <c r="AB47" s="13">
        <f t="shared" ca="1" si="44"/>
        <v>0</v>
      </c>
      <c r="AC47" s="13">
        <f t="shared" ca="1" si="45"/>
        <v>0</v>
      </c>
      <c r="AD47" s="13">
        <f t="shared" ca="1" si="46"/>
        <v>0</v>
      </c>
      <c r="AE47" s="13">
        <f t="shared" ca="1" si="47"/>
        <v>0</v>
      </c>
      <c r="AF47" s="13">
        <f t="shared" ca="1" si="48"/>
        <v>812</v>
      </c>
      <c r="AG47" s="13">
        <f t="shared" ca="1" si="49"/>
        <v>0</v>
      </c>
      <c r="AH47" s="13">
        <f t="shared" ca="1" si="50"/>
        <v>0</v>
      </c>
      <c r="AI47" s="13">
        <f t="shared" ca="1" si="51"/>
        <v>0</v>
      </c>
      <c r="AJ47" s="13">
        <f t="shared" ca="1" si="52"/>
        <v>0</v>
      </c>
      <c r="AK47" s="13">
        <f t="shared" ca="1" si="53"/>
        <v>812</v>
      </c>
      <c r="AL47" s="13">
        <f t="shared" ca="1" si="54"/>
        <v>0</v>
      </c>
      <c r="AM47" s="13">
        <f t="shared" ca="1" si="55"/>
        <v>0</v>
      </c>
      <c r="AN47" s="13">
        <f t="shared" ca="1" si="56"/>
        <v>0</v>
      </c>
      <c r="AO47" s="13">
        <f t="shared" ca="1" si="57"/>
        <v>0</v>
      </c>
      <c r="AP47" s="13">
        <f t="shared" ca="1" si="58"/>
        <v>812</v>
      </c>
      <c r="AQ47" s="13">
        <f t="shared" ca="1" si="59"/>
        <v>7206.8628876821003</v>
      </c>
      <c r="AR47" s="13">
        <f t="shared" ca="1" si="60"/>
        <v>812</v>
      </c>
      <c r="AS47" s="13">
        <f t="shared" ca="1" si="61"/>
        <v>990</v>
      </c>
      <c r="AT47" s="13">
        <f t="shared" ca="1" si="62"/>
        <v>6394.8628876821003</v>
      </c>
      <c r="AU47" s="13">
        <f t="shared" ca="1" si="63"/>
        <v>0</v>
      </c>
      <c r="AV47" s="13">
        <f t="shared" ca="1" si="64"/>
        <v>15922.114404342798</v>
      </c>
      <c r="AW47" s="13">
        <f t="shared" ca="1" si="65"/>
        <v>0</v>
      </c>
      <c r="AX47" s="13">
        <f t="shared" ca="1" si="66"/>
        <v>410</v>
      </c>
      <c r="AY47" s="13">
        <f t="shared" ca="1" si="67"/>
        <v>15922.114404342798</v>
      </c>
      <c r="AZ47" s="13">
        <f t="shared" ca="1" si="68"/>
        <v>0</v>
      </c>
      <c r="BA47" s="13">
        <f t="shared" ca="1" si="69"/>
        <v>0</v>
      </c>
      <c r="BB47" s="13">
        <f t="shared" ca="1" si="70"/>
        <v>0</v>
      </c>
      <c r="BC47" s="13">
        <f t="shared" ca="1" si="71"/>
        <v>0</v>
      </c>
      <c r="BD47" s="13">
        <f t="shared" ca="1" si="72"/>
        <v>0</v>
      </c>
      <c r="BE47" s="13">
        <f t="shared" ca="1" si="73"/>
        <v>0</v>
      </c>
      <c r="BF47" s="13">
        <f t="shared" ca="1" si="74"/>
        <v>0</v>
      </c>
      <c r="BG47" s="13">
        <f t="shared" ca="1" si="75"/>
        <v>0</v>
      </c>
      <c r="BH47" s="13">
        <f t="shared" ca="1" si="76"/>
        <v>0</v>
      </c>
      <c r="BI47" s="13">
        <f t="shared" ca="1" si="77"/>
        <v>0</v>
      </c>
      <c r="BJ47" s="13">
        <f t="shared" ca="1" si="78"/>
        <v>0</v>
      </c>
      <c r="BK47" s="13">
        <f t="shared" ca="1" si="79"/>
        <v>0</v>
      </c>
      <c r="BL47" s="13">
        <f t="shared" ca="1" si="80"/>
        <v>0</v>
      </c>
      <c r="BM47" s="13">
        <f t="shared" ca="1" si="81"/>
        <v>0</v>
      </c>
      <c r="BN47" s="13">
        <f t="shared" ca="1" si="82"/>
        <v>0</v>
      </c>
      <c r="BO47" s="13">
        <f t="shared" ca="1" si="83"/>
        <v>1400</v>
      </c>
      <c r="BP47" s="13">
        <f t="shared" ca="1" si="84"/>
        <v>144.77554764775289</v>
      </c>
      <c r="BQ47" s="13">
        <f t="shared" ca="1" si="85"/>
        <v>22316.977292024898</v>
      </c>
    </row>
    <row r="48" spans="1:69" x14ac:dyDescent="0.25">
      <c r="A48" s="1">
        <v>47</v>
      </c>
      <c r="B48" s="13">
        <f ca="1">IF(A48=1,IF(OR('My Loans'!$O$14="",'My Loans'!$O$14=0),0,INDIRECT("'My Loans'!$D"&amp;'My Loans'!$O$14)),AE47)</f>
        <v>0</v>
      </c>
      <c r="C48" s="13">
        <f ca="1">IF(OR('My Loans'!$O$14="",'My Loans'!$O$14=0),0,B48*INDIRECT("'My Loans'!$E"&amp;'My Loans'!$O$14)/12)</f>
        <v>0</v>
      </c>
      <c r="D48" s="13">
        <f ca="1">IF(OR('My Loans'!$O$14="",'My Loans'!$O$14=0),0,IF(B48&lt;0.005,0,MIN(INDIRECT("'My Loans'!$F"&amp;'My Loans'!$O$14),B48+C48)))</f>
        <v>0</v>
      </c>
      <c r="E48" s="13">
        <f ca="1">IF(A48=1,IF(OR('My Loans'!$O$15="",'My Loans'!$O$15=0),0,INDIRECT("'My Loans'!$D"&amp;'My Loans'!$O$15)),AJ47)</f>
        <v>0</v>
      </c>
      <c r="F48" s="13">
        <f ca="1">IF(OR('My Loans'!$O$15="",'My Loans'!$O$15=0),0,E48*INDIRECT("'My Loans'!$E"&amp;'My Loans'!$O$15)/12)</f>
        <v>0</v>
      </c>
      <c r="G48" s="13">
        <f ca="1">IF(OR('My Loans'!$O$15="",'My Loans'!$O$15=0),0,IF(E48&lt;0.005,0,MIN(INDIRECT("'My Loans'!$F"&amp;'My Loans'!$O$15),E48+F48)))</f>
        <v>0</v>
      </c>
      <c r="H48" s="13">
        <f ca="1">IF(A48=1,IF(OR('My Loans'!$O$16="",'My Loans'!$O$16=0),0,INDIRECT("'My Loans'!$D"&amp;'My Loans'!$O$16)),AO47)</f>
        <v>0</v>
      </c>
      <c r="I48" s="13">
        <f ca="1">IF(OR('My Loans'!$O$16="",'My Loans'!$O$16=0),0,H48*INDIRECT("'My Loans'!$E"&amp;'My Loans'!$O$16)/12)</f>
        <v>0</v>
      </c>
      <c r="J48" s="13">
        <f ca="1">IF(OR('My Loans'!$O$16="",'My Loans'!$O$16=0),0,IF(H48&lt;0.005,0,MIN(INDIRECT("'My Loans'!$F"&amp;'My Loans'!$O$16),H48+I48)))</f>
        <v>0</v>
      </c>
      <c r="K48" s="13">
        <f ca="1">IF(A48=1,IF(OR('My Loans'!$O$17="",'My Loans'!$O$17=0),0,INDIRECT("'My Loans'!$D"&amp;'My Loans'!$O$17)),AT47)</f>
        <v>6394.8628876821003</v>
      </c>
      <c r="L48" s="13">
        <f ca="1">IF(OR('My Loans'!$O$17="",'My Loans'!$O$17=0),0,K48*INDIRECT("'My Loans'!$E"&amp;'My Loans'!$O$17)/12)</f>
        <v>33.040124919690854</v>
      </c>
      <c r="M48" s="13">
        <f ca="1">IF(OR('My Loans'!$O$17="",'My Loans'!$O$17=0),0,IF(K48&lt;0.005,0,MIN(INDIRECT("'My Loans'!$F"&amp;'My Loans'!$O$17),K48+L48)))</f>
        <v>178</v>
      </c>
      <c r="N48" s="13">
        <f ca="1">IF(A48=1,IF(OR('My Loans'!$O$18="",'My Loans'!$O$18=0),0,INDIRECT("'My Loans'!$D"&amp;'My Loans'!$O$18)),AY47)</f>
        <v>15922.114404342798</v>
      </c>
      <c r="O48" s="13">
        <f ca="1">IF(OR('My Loans'!$O$18="",'My Loans'!$O$18=0),0,N48*INDIRECT("'My Loans'!$E"&amp;'My Loans'!$O$18)/12)</f>
        <v>104.82058649525675</v>
      </c>
      <c r="P48" s="13">
        <f ca="1">IF(OR('My Loans'!$O$18="",'My Loans'!$O$18=0),0,IF(N48&lt;0.005,0,MIN(INDIRECT("'My Loans'!$F"&amp;'My Loans'!$O$18),N48+O48)))</f>
        <v>410</v>
      </c>
      <c r="Q48" s="13">
        <f ca="1">IF(A48=1,IF(OR('My Loans'!$O$19="",'My Loans'!$O$19=0),0,INDIRECT("'My Loans'!$D"&amp;'My Loans'!$O$19)),BD47)</f>
        <v>0</v>
      </c>
      <c r="R48" s="13">
        <f ca="1">IF(OR('My Loans'!$O$19="",'My Loans'!$O$19=0),0,Q48*INDIRECT("'My Loans'!$E"&amp;'My Loans'!$O$19)/12)</f>
        <v>0</v>
      </c>
      <c r="S48" s="13">
        <f ca="1">IF(OR('My Loans'!$O$19="",'My Loans'!$O$19=0),0,IF(Q48&lt;0.005,0,MIN(INDIRECT("'My Loans'!$F"&amp;'My Loans'!$O$19),Q48+R48)))</f>
        <v>0</v>
      </c>
      <c r="T48" s="13">
        <f ca="1">IF(A48=1,IF(OR('My Loans'!$O$20="",'My Loans'!$O$20=0),0,INDIRECT("'My Loans'!$D"&amp;'My Loans'!$O$20)),BI47)</f>
        <v>0</v>
      </c>
      <c r="U48" s="13">
        <f ca="1">IF(OR('My Loans'!$O$20="",'My Loans'!$O$20=0),0,T48*INDIRECT("'My Loans'!$E"&amp;'My Loans'!$O$20)/12)</f>
        <v>0</v>
      </c>
      <c r="V48" s="13">
        <f ca="1">IF(OR('My Loans'!$O$20="",'My Loans'!$O$20=0),0,IF(T48&lt;0.005,0,MIN(INDIRECT("'My Loans'!$F"&amp;'My Loans'!$O$20),T48+U48)))</f>
        <v>0</v>
      </c>
      <c r="W48" s="13">
        <f ca="1">IF(A48=1,IF(OR('My Loans'!$O$21="",'My Loans'!$O$21=0),0,INDIRECT("'My Loans'!$D"&amp;'My Loans'!$O$21)),BN47)</f>
        <v>0</v>
      </c>
      <c r="X48" s="13">
        <f ca="1">IF(OR('My Loans'!$O$21="",'My Loans'!$O$21=0),0,W48*INDIRECT("'My Loans'!$E"&amp;'My Loans'!$O$21)/12)</f>
        <v>0</v>
      </c>
      <c r="Y48" s="13">
        <f ca="1">IF(OR('My Loans'!$O$21="",'My Loans'!$O$21=0),0,IF(W48&lt;0.005,0,MIN(INDIRECT("'My Loans'!$F"&amp;'My Loans'!$O$21),W48+X48)))</f>
        <v>0</v>
      </c>
      <c r="Z48" s="13">
        <f ca="1">'My Loans'!$B$13-(D48+G48+J48+M48+P48+S48+V48+Y48)</f>
        <v>812</v>
      </c>
      <c r="AA48" s="13">
        <f t="shared" ca="1" si="43"/>
        <v>812</v>
      </c>
      <c r="AB48" s="13">
        <f t="shared" ca="1" si="44"/>
        <v>0</v>
      </c>
      <c r="AC48" s="13">
        <f t="shared" ca="1" si="45"/>
        <v>0</v>
      </c>
      <c r="AD48" s="13">
        <f t="shared" ca="1" si="46"/>
        <v>0</v>
      </c>
      <c r="AE48" s="13">
        <f t="shared" ca="1" si="47"/>
        <v>0</v>
      </c>
      <c r="AF48" s="13">
        <f t="shared" ca="1" si="48"/>
        <v>812</v>
      </c>
      <c r="AG48" s="13">
        <f t="shared" ca="1" si="49"/>
        <v>0</v>
      </c>
      <c r="AH48" s="13">
        <f t="shared" ca="1" si="50"/>
        <v>0</v>
      </c>
      <c r="AI48" s="13">
        <f t="shared" ca="1" si="51"/>
        <v>0</v>
      </c>
      <c r="AJ48" s="13">
        <f t="shared" ca="1" si="52"/>
        <v>0</v>
      </c>
      <c r="AK48" s="13">
        <f t="shared" ca="1" si="53"/>
        <v>812</v>
      </c>
      <c r="AL48" s="13">
        <f t="shared" ca="1" si="54"/>
        <v>0</v>
      </c>
      <c r="AM48" s="13">
        <f t="shared" ca="1" si="55"/>
        <v>0</v>
      </c>
      <c r="AN48" s="13">
        <f t="shared" ca="1" si="56"/>
        <v>0</v>
      </c>
      <c r="AO48" s="13">
        <f t="shared" ca="1" si="57"/>
        <v>0</v>
      </c>
      <c r="AP48" s="13">
        <f t="shared" ca="1" si="58"/>
        <v>812</v>
      </c>
      <c r="AQ48" s="13">
        <f t="shared" ca="1" si="59"/>
        <v>6249.9030126017915</v>
      </c>
      <c r="AR48" s="13">
        <f t="shared" ca="1" si="60"/>
        <v>812</v>
      </c>
      <c r="AS48" s="13">
        <f t="shared" ca="1" si="61"/>
        <v>990</v>
      </c>
      <c r="AT48" s="13">
        <f t="shared" ca="1" si="62"/>
        <v>5437.9030126017915</v>
      </c>
      <c r="AU48" s="13">
        <f t="shared" ca="1" si="63"/>
        <v>0</v>
      </c>
      <c r="AV48" s="13">
        <f t="shared" ca="1" si="64"/>
        <v>15616.934990838054</v>
      </c>
      <c r="AW48" s="13">
        <f t="shared" ca="1" si="65"/>
        <v>0</v>
      </c>
      <c r="AX48" s="13">
        <f t="shared" ca="1" si="66"/>
        <v>410</v>
      </c>
      <c r="AY48" s="13">
        <f t="shared" ca="1" si="67"/>
        <v>15616.934990838054</v>
      </c>
      <c r="AZ48" s="13">
        <f t="shared" ca="1" si="68"/>
        <v>0</v>
      </c>
      <c r="BA48" s="13">
        <f t="shared" ca="1" si="69"/>
        <v>0</v>
      </c>
      <c r="BB48" s="13">
        <f t="shared" ca="1" si="70"/>
        <v>0</v>
      </c>
      <c r="BC48" s="13">
        <f t="shared" ca="1" si="71"/>
        <v>0</v>
      </c>
      <c r="BD48" s="13">
        <f t="shared" ca="1" si="72"/>
        <v>0</v>
      </c>
      <c r="BE48" s="13">
        <f t="shared" ca="1" si="73"/>
        <v>0</v>
      </c>
      <c r="BF48" s="13">
        <f t="shared" ca="1" si="74"/>
        <v>0</v>
      </c>
      <c r="BG48" s="13">
        <f t="shared" ca="1" si="75"/>
        <v>0</v>
      </c>
      <c r="BH48" s="13">
        <f t="shared" ca="1" si="76"/>
        <v>0</v>
      </c>
      <c r="BI48" s="13">
        <f t="shared" ca="1" si="77"/>
        <v>0</v>
      </c>
      <c r="BJ48" s="13">
        <f t="shared" ca="1" si="78"/>
        <v>0</v>
      </c>
      <c r="BK48" s="13">
        <f t="shared" ca="1" si="79"/>
        <v>0</v>
      </c>
      <c r="BL48" s="13">
        <f t="shared" ca="1" si="80"/>
        <v>0</v>
      </c>
      <c r="BM48" s="13">
        <f t="shared" ca="1" si="81"/>
        <v>0</v>
      </c>
      <c r="BN48" s="13">
        <f t="shared" ca="1" si="82"/>
        <v>0</v>
      </c>
      <c r="BO48" s="13">
        <f t="shared" ca="1" si="83"/>
        <v>1400</v>
      </c>
      <c r="BP48" s="13">
        <f t="shared" ca="1" si="84"/>
        <v>137.86071141494762</v>
      </c>
      <c r="BQ48" s="13">
        <f t="shared" ca="1" si="85"/>
        <v>21054.838003439843</v>
      </c>
    </row>
    <row r="49" spans="1:69" x14ac:dyDescent="0.25">
      <c r="A49" s="1">
        <v>48</v>
      </c>
      <c r="B49" s="13">
        <f ca="1">IF(A49=1,IF(OR('My Loans'!$O$14="",'My Loans'!$O$14=0),0,INDIRECT("'My Loans'!$D"&amp;'My Loans'!$O$14)),AE48)</f>
        <v>0</v>
      </c>
      <c r="C49" s="13">
        <f ca="1">IF(OR('My Loans'!$O$14="",'My Loans'!$O$14=0),0,B49*INDIRECT("'My Loans'!$E"&amp;'My Loans'!$O$14)/12)</f>
        <v>0</v>
      </c>
      <c r="D49" s="13">
        <f ca="1">IF(OR('My Loans'!$O$14="",'My Loans'!$O$14=0),0,IF(B49&lt;0.005,0,MIN(INDIRECT("'My Loans'!$F"&amp;'My Loans'!$O$14),B49+C49)))</f>
        <v>0</v>
      </c>
      <c r="E49" s="13">
        <f ca="1">IF(A49=1,IF(OR('My Loans'!$O$15="",'My Loans'!$O$15=0),0,INDIRECT("'My Loans'!$D"&amp;'My Loans'!$O$15)),AJ48)</f>
        <v>0</v>
      </c>
      <c r="F49" s="13">
        <f ca="1">IF(OR('My Loans'!$O$15="",'My Loans'!$O$15=0),0,E49*INDIRECT("'My Loans'!$E"&amp;'My Loans'!$O$15)/12)</f>
        <v>0</v>
      </c>
      <c r="G49" s="13">
        <f ca="1">IF(OR('My Loans'!$O$15="",'My Loans'!$O$15=0),0,IF(E49&lt;0.005,0,MIN(INDIRECT("'My Loans'!$F"&amp;'My Loans'!$O$15),E49+F49)))</f>
        <v>0</v>
      </c>
      <c r="H49" s="13">
        <f ca="1">IF(A49=1,IF(OR('My Loans'!$O$16="",'My Loans'!$O$16=0),0,INDIRECT("'My Loans'!$D"&amp;'My Loans'!$O$16)),AO48)</f>
        <v>0</v>
      </c>
      <c r="I49" s="13">
        <f ca="1">IF(OR('My Loans'!$O$16="",'My Loans'!$O$16=0),0,H49*INDIRECT("'My Loans'!$E"&amp;'My Loans'!$O$16)/12)</f>
        <v>0</v>
      </c>
      <c r="J49" s="13">
        <f ca="1">IF(OR('My Loans'!$O$16="",'My Loans'!$O$16=0),0,IF(H49&lt;0.005,0,MIN(INDIRECT("'My Loans'!$F"&amp;'My Loans'!$O$16),H49+I49)))</f>
        <v>0</v>
      </c>
      <c r="K49" s="13">
        <f ca="1">IF(A49=1,IF(OR('My Loans'!$O$17="",'My Loans'!$O$17=0),0,INDIRECT("'My Loans'!$D"&amp;'My Loans'!$O$17)),AT48)</f>
        <v>5437.9030126017915</v>
      </c>
      <c r="L49" s="13">
        <f ca="1">IF(OR('My Loans'!$O$17="",'My Loans'!$O$17=0),0,K49*INDIRECT("'My Loans'!$E"&amp;'My Loans'!$O$17)/12)</f>
        <v>28.095832231775919</v>
      </c>
      <c r="M49" s="13">
        <f ca="1">IF(OR('My Loans'!$O$17="",'My Loans'!$O$17=0),0,IF(K49&lt;0.005,0,MIN(INDIRECT("'My Loans'!$F"&amp;'My Loans'!$O$17),K49+L49)))</f>
        <v>178</v>
      </c>
      <c r="N49" s="13">
        <f ca="1">IF(A49=1,IF(OR('My Loans'!$O$18="",'My Loans'!$O$18=0),0,INDIRECT("'My Loans'!$D"&amp;'My Loans'!$O$18)),AY48)</f>
        <v>15616.934990838054</v>
      </c>
      <c r="O49" s="13">
        <f ca="1">IF(OR('My Loans'!$O$18="",'My Loans'!$O$18=0),0,N49*INDIRECT("'My Loans'!$E"&amp;'My Loans'!$O$18)/12)</f>
        <v>102.81148868968386</v>
      </c>
      <c r="P49" s="13">
        <f ca="1">IF(OR('My Loans'!$O$18="",'My Loans'!$O$18=0),0,IF(N49&lt;0.005,0,MIN(INDIRECT("'My Loans'!$F"&amp;'My Loans'!$O$18),N49+O49)))</f>
        <v>410</v>
      </c>
      <c r="Q49" s="13">
        <f ca="1">IF(A49=1,IF(OR('My Loans'!$O$19="",'My Loans'!$O$19=0),0,INDIRECT("'My Loans'!$D"&amp;'My Loans'!$O$19)),BD48)</f>
        <v>0</v>
      </c>
      <c r="R49" s="13">
        <f ca="1">IF(OR('My Loans'!$O$19="",'My Loans'!$O$19=0),0,Q49*INDIRECT("'My Loans'!$E"&amp;'My Loans'!$O$19)/12)</f>
        <v>0</v>
      </c>
      <c r="S49" s="13">
        <f ca="1">IF(OR('My Loans'!$O$19="",'My Loans'!$O$19=0),0,IF(Q49&lt;0.005,0,MIN(INDIRECT("'My Loans'!$F"&amp;'My Loans'!$O$19),Q49+R49)))</f>
        <v>0</v>
      </c>
      <c r="T49" s="13">
        <f ca="1">IF(A49=1,IF(OR('My Loans'!$O$20="",'My Loans'!$O$20=0),0,INDIRECT("'My Loans'!$D"&amp;'My Loans'!$O$20)),BI48)</f>
        <v>0</v>
      </c>
      <c r="U49" s="13">
        <f ca="1">IF(OR('My Loans'!$O$20="",'My Loans'!$O$20=0),0,T49*INDIRECT("'My Loans'!$E"&amp;'My Loans'!$O$20)/12)</f>
        <v>0</v>
      </c>
      <c r="V49" s="13">
        <f ca="1">IF(OR('My Loans'!$O$20="",'My Loans'!$O$20=0),0,IF(T49&lt;0.005,0,MIN(INDIRECT("'My Loans'!$F"&amp;'My Loans'!$O$20),T49+U49)))</f>
        <v>0</v>
      </c>
      <c r="W49" s="13">
        <f ca="1">IF(A49=1,IF(OR('My Loans'!$O$21="",'My Loans'!$O$21=0),0,INDIRECT("'My Loans'!$D"&amp;'My Loans'!$O$21)),BN48)</f>
        <v>0</v>
      </c>
      <c r="X49" s="13">
        <f ca="1">IF(OR('My Loans'!$O$21="",'My Loans'!$O$21=0),0,W49*INDIRECT("'My Loans'!$E"&amp;'My Loans'!$O$21)/12)</f>
        <v>0</v>
      </c>
      <c r="Y49" s="13">
        <f ca="1">IF(OR('My Loans'!$O$21="",'My Loans'!$O$21=0),0,IF(W49&lt;0.005,0,MIN(INDIRECT("'My Loans'!$F"&amp;'My Loans'!$O$21),W49+X49)))</f>
        <v>0</v>
      </c>
      <c r="Z49" s="13">
        <f ca="1">'My Loans'!$B$13-(D49+G49+J49+M49+P49+S49+V49+Y49)</f>
        <v>812</v>
      </c>
      <c r="AA49" s="13">
        <f t="shared" ca="1" si="43"/>
        <v>812</v>
      </c>
      <c r="AB49" s="13">
        <f t="shared" ca="1" si="44"/>
        <v>0</v>
      </c>
      <c r="AC49" s="13">
        <f t="shared" ca="1" si="45"/>
        <v>0</v>
      </c>
      <c r="AD49" s="13">
        <f t="shared" ca="1" si="46"/>
        <v>0</v>
      </c>
      <c r="AE49" s="13">
        <f t="shared" ca="1" si="47"/>
        <v>0</v>
      </c>
      <c r="AF49" s="13">
        <f t="shared" ca="1" si="48"/>
        <v>812</v>
      </c>
      <c r="AG49" s="13">
        <f t="shared" ca="1" si="49"/>
        <v>0</v>
      </c>
      <c r="AH49" s="13">
        <f t="shared" ca="1" si="50"/>
        <v>0</v>
      </c>
      <c r="AI49" s="13">
        <f t="shared" ca="1" si="51"/>
        <v>0</v>
      </c>
      <c r="AJ49" s="13">
        <f t="shared" ca="1" si="52"/>
        <v>0</v>
      </c>
      <c r="AK49" s="13">
        <f t="shared" ca="1" si="53"/>
        <v>812</v>
      </c>
      <c r="AL49" s="13">
        <f t="shared" ca="1" si="54"/>
        <v>0</v>
      </c>
      <c r="AM49" s="13">
        <f t="shared" ca="1" si="55"/>
        <v>0</v>
      </c>
      <c r="AN49" s="13">
        <f t="shared" ca="1" si="56"/>
        <v>0</v>
      </c>
      <c r="AO49" s="13">
        <f t="shared" ca="1" si="57"/>
        <v>0</v>
      </c>
      <c r="AP49" s="13">
        <f t="shared" ca="1" si="58"/>
        <v>812</v>
      </c>
      <c r="AQ49" s="13">
        <f t="shared" ca="1" si="59"/>
        <v>5287.9988448335671</v>
      </c>
      <c r="AR49" s="13">
        <f t="shared" ca="1" si="60"/>
        <v>812</v>
      </c>
      <c r="AS49" s="13">
        <f t="shared" ca="1" si="61"/>
        <v>990</v>
      </c>
      <c r="AT49" s="13">
        <f t="shared" ca="1" si="62"/>
        <v>4475.9988448335671</v>
      </c>
      <c r="AU49" s="13">
        <f t="shared" ca="1" si="63"/>
        <v>0</v>
      </c>
      <c r="AV49" s="13">
        <f t="shared" ca="1" si="64"/>
        <v>15309.746479527737</v>
      </c>
      <c r="AW49" s="13">
        <f t="shared" ca="1" si="65"/>
        <v>0</v>
      </c>
      <c r="AX49" s="13">
        <f t="shared" ca="1" si="66"/>
        <v>410</v>
      </c>
      <c r="AY49" s="13">
        <f t="shared" ca="1" si="67"/>
        <v>15309.746479527737</v>
      </c>
      <c r="AZ49" s="13">
        <f t="shared" ca="1" si="68"/>
        <v>0</v>
      </c>
      <c r="BA49" s="13">
        <f t="shared" ca="1" si="69"/>
        <v>0</v>
      </c>
      <c r="BB49" s="13">
        <f t="shared" ca="1" si="70"/>
        <v>0</v>
      </c>
      <c r="BC49" s="13">
        <f t="shared" ca="1" si="71"/>
        <v>0</v>
      </c>
      <c r="BD49" s="13">
        <f t="shared" ca="1" si="72"/>
        <v>0</v>
      </c>
      <c r="BE49" s="13">
        <f t="shared" ca="1" si="73"/>
        <v>0</v>
      </c>
      <c r="BF49" s="13">
        <f t="shared" ca="1" si="74"/>
        <v>0</v>
      </c>
      <c r="BG49" s="13">
        <f t="shared" ca="1" si="75"/>
        <v>0</v>
      </c>
      <c r="BH49" s="13">
        <f t="shared" ca="1" si="76"/>
        <v>0</v>
      </c>
      <c r="BI49" s="13">
        <f t="shared" ca="1" si="77"/>
        <v>0</v>
      </c>
      <c r="BJ49" s="13">
        <f t="shared" ca="1" si="78"/>
        <v>0</v>
      </c>
      <c r="BK49" s="13">
        <f t="shared" ca="1" si="79"/>
        <v>0</v>
      </c>
      <c r="BL49" s="13">
        <f t="shared" ca="1" si="80"/>
        <v>0</v>
      </c>
      <c r="BM49" s="13">
        <f t="shared" ca="1" si="81"/>
        <v>0</v>
      </c>
      <c r="BN49" s="13">
        <f t="shared" ca="1" si="82"/>
        <v>0</v>
      </c>
      <c r="BO49" s="13">
        <f t="shared" ca="1" si="83"/>
        <v>1400</v>
      </c>
      <c r="BP49" s="13">
        <f t="shared" ca="1" si="84"/>
        <v>130.90732092145979</v>
      </c>
      <c r="BQ49" s="13">
        <f t="shared" ca="1" si="85"/>
        <v>19785.745324361305</v>
      </c>
    </row>
    <row r="50" spans="1:69" x14ac:dyDescent="0.25">
      <c r="A50" s="1">
        <v>49</v>
      </c>
      <c r="B50" s="13">
        <f ca="1">IF(A50=1,IF(OR('My Loans'!$O$14="",'My Loans'!$O$14=0),0,INDIRECT("'My Loans'!$D"&amp;'My Loans'!$O$14)),AE49)</f>
        <v>0</v>
      </c>
      <c r="C50" s="13">
        <f ca="1">IF(OR('My Loans'!$O$14="",'My Loans'!$O$14=0),0,B50*INDIRECT("'My Loans'!$E"&amp;'My Loans'!$O$14)/12)</f>
        <v>0</v>
      </c>
      <c r="D50" s="13">
        <f ca="1">IF(OR('My Loans'!$O$14="",'My Loans'!$O$14=0),0,IF(B50&lt;0.005,0,MIN(INDIRECT("'My Loans'!$F"&amp;'My Loans'!$O$14),B50+C50)))</f>
        <v>0</v>
      </c>
      <c r="E50" s="13">
        <f ca="1">IF(A50=1,IF(OR('My Loans'!$O$15="",'My Loans'!$O$15=0),0,INDIRECT("'My Loans'!$D"&amp;'My Loans'!$O$15)),AJ49)</f>
        <v>0</v>
      </c>
      <c r="F50" s="13">
        <f ca="1">IF(OR('My Loans'!$O$15="",'My Loans'!$O$15=0),0,E50*INDIRECT("'My Loans'!$E"&amp;'My Loans'!$O$15)/12)</f>
        <v>0</v>
      </c>
      <c r="G50" s="13">
        <f ca="1">IF(OR('My Loans'!$O$15="",'My Loans'!$O$15=0),0,IF(E50&lt;0.005,0,MIN(INDIRECT("'My Loans'!$F"&amp;'My Loans'!$O$15),E50+F50)))</f>
        <v>0</v>
      </c>
      <c r="H50" s="13">
        <f ca="1">IF(A50=1,IF(OR('My Loans'!$O$16="",'My Loans'!$O$16=0),0,INDIRECT("'My Loans'!$D"&amp;'My Loans'!$O$16)),AO49)</f>
        <v>0</v>
      </c>
      <c r="I50" s="13">
        <f ca="1">IF(OR('My Loans'!$O$16="",'My Loans'!$O$16=0),0,H50*INDIRECT("'My Loans'!$E"&amp;'My Loans'!$O$16)/12)</f>
        <v>0</v>
      </c>
      <c r="J50" s="13">
        <f ca="1">IF(OR('My Loans'!$O$16="",'My Loans'!$O$16=0),0,IF(H50&lt;0.005,0,MIN(INDIRECT("'My Loans'!$F"&amp;'My Loans'!$O$16),H50+I50)))</f>
        <v>0</v>
      </c>
      <c r="K50" s="13">
        <f ca="1">IF(A50=1,IF(OR('My Loans'!$O$17="",'My Loans'!$O$17=0),0,INDIRECT("'My Loans'!$D"&amp;'My Loans'!$O$17)),AT49)</f>
        <v>4475.9988448335671</v>
      </c>
      <c r="L50" s="13">
        <f ca="1">IF(OR('My Loans'!$O$17="",'My Loans'!$O$17=0),0,K50*INDIRECT("'My Loans'!$E"&amp;'My Loans'!$O$17)/12)</f>
        <v>23.125994031640094</v>
      </c>
      <c r="M50" s="13">
        <f ca="1">IF(OR('My Loans'!$O$17="",'My Loans'!$O$17=0),0,IF(K50&lt;0.005,0,MIN(INDIRECT("'My Loans'!$F"&amp;'My Loans'!$O$17),K50+L50)))</f>
        <v>178</v>
      </c>
      <c r="N50" s="13">
        <f ca="1">IF(A50=1,IF(OR('My Loans'!$O$18="",'My Loans'!$O$18=0),0,INDIRECT("'My Loans'!$D"&amp;'My Loans'!$O$18)),AY49)</f>
        <v>15309.746479527737</v>
      </c>
      <c r="O50" s="13">
        <f ca="1">IF(OR('My Loans'!$O$18="",'My Loans'!$O$18=0),0,N50*INDIRECT("'My Loans'!$E"&amp;'My Loans'!$O$18)/12)</f>
        <v>100.7891643235576</v>
      </c>
      <c r="P50" s="13">
        <f ca="1">IF(OR('My Loans'!$O$18="",'My Loans'!$O$18=0),0,IF(N50&lt;0.005,0,MIN(INDIRECT("'My Loans'!$F"&amp;'My Loans'!$O$18),N50+O50)))</f>
        <v>410</v>
      </c>
      <c r="Q50" s="13">
        <f ca="1">IF(A50=1,IF(OR('My Loans'!$O$19="",'My Loans'!$O$19=0),0,INDIRECT("'My Loans'!$D"&amp;'My Loans'!$O$19)),BD49)</f>
        <v>0</v>
      </c>
      <c r="R50" s="13">
        <f ca="1">IF(OR('My Loans'!$O$19="",'My Loans'!$O$19=0),0,Q50*INDIRECT("'My Loans'!$E"&amp;'My Loans'!$O$19)/12)</f>
        <v>0</v>
      </c>
      <c r="S50" s="13">
        <f ca="1">IF(OR('My Loans'!$O$19="",'My Loans'!$O$19=0),0,IF(Q50&lt;0.005,0,MIN(INDIRECT("'My Loans'!$F"&amp;'My Loans'!$O$19),Q50+R50)))</f>
        <v>0</v>
      </c>
      <c r="T50" s="13">
        <f ca="1">IF(A50=1,IF(OR('My Loans'!$O$20="",'My Loans'!$O$20=0),0,INDIRECT("'My Loans'!$D"&amp;'My Loans'!$O$20)),BI49)</f>
        <v>0</v>
      </c>
      <c r="U50" s="13">
        <f ca="1">IF(OR('My Loans'!$O$20="",'My Loans'!$O$20=0),0,T50*INDIRECT("'My Loans'!$E"&amp;'My Loans'!$O$20)/12)</f>
        <v>0</v>
      </c>
      <c r="V50" s="13">
        <f ca="1">IF(OR('My Loans'!$O$20="",'My Loans'!$O$20=0),0,IF(T50&lt;0.005,0,MIN(INDIRECT("'My Loans'!$F"&amp;'My Loans'!$O$20),T50+U50)))</f>
        <v>0</v>
      </c>
      <c r="W50" s="13">
        <f ca="1">IF(A50=1,IF(OR('My Loans'!$O$21="",'My Loans'!$O$21=0),0,INDIRECT("'My Loans'!$D"&amp;'My Loans'!$O$21)),BN49)</f>
        <v>0</v>
      </c>
      <c r="X50" s="13">
        <f ca="1">IF(OR('My Loans'!$O$21="",'My Loans'!$O$21=0),0,W50*INDIRECT("'My Loans'!$E"&amp;'My Loans'!$O$21)/12)</f>
        <v>0</v>
      </c>
      <c r="Y50" s="13">
        <f ca="1">IF(OR('My Loans'!$O$21="",'My Loans'!$O$21=0),0,IF(W50&lt;0.005,0,MIN(INDIRECT("'My Loans'!$F"&amp;'My Loans'!$O$21),W50+X50)))</f>
        <v>0</v>
      </c>
      <c r="Z50" s="13">
        <f ca="1">'My Loans'!$B$13-(D50+G50+J50+M50+P50+S50+V50+Y50)</f>
        <v>812</v>
      </c>
      <c r="AA50" s="13">
        <f t="shared" ca="1" si="43"/>
        <v>812</v>
      </c>
      <c r="AB50" s="13">
        <f t="shared" ca="1" si="44"/>
        <v>0</v>
      </c>
      <c r="AC50" s="13">
        <f t="shared" ca="1" si="45"/>
        <v>0</v>
      </c>
      <c r="AD50" s="13">
        <f t="shared" ca="1" si="46"/>
        <v>0</v>
      </c>
      <c r="AE50" s="13">
        <f t="shared" ca="1" si="47"/>
        <v>0</v>
      </c>
      <c r="AF50" s="13">
        <f t="shared" ca="1" si="48"/>
        <v>812</v>
      </c>
      <c r="AG50" s="13">
        <f t="shared" ca="1" si="49"/>
        <v>0</v>
      </c>
      <c r="AH50" s="13">
        <f t="shared" ca="1" si="50"/>
        <v>0</v>
      </c>
      <c r="AI50" s="13">
        <f t="shared" ca="1" si="51"/>
        <v>0</v>
      </c>
      <c r="AJ50" s="13">
        <f t="shared" ca="1" si="52"/>
        <v>0</v>
      </c>
      <c r="AK50" s="13">
        <f t="shared" ca="1" si="53"/>
        <v>812</v>
      </c>
      <c r="AL50" s="13">
        <f t="shared" ca="1" si="54"/>
        <v>0</v>
      </c>
      <c r="AM50" s="13">
        <f t="shared" ca="1" si="55"/>
        <v>0</v>
      </c>
      <c r="AN50" s="13">
        <f t="shared" ca="1" si="56"/>
        <v>0</v>
      </c>
      <c r="AO50" s="13">
        <f t="shared" ca="1" si="57"/>
        <v>0</v>
      </c>
      <c r="AP50" s="13">
        <f t="shared" ca="1" si="58"/>
        <v>812</v>
      </c>
      <c r="AQ50" s="13">
        <f t="shared" ca="1" si="59"/>
        <v>4321.1248388652075</v>
      </c>
      <c r="AR50" s="13">
        <f t="shared" ca="1" si="60"/>
        <v>812</v>
      </c>
      <c r="AS50" s="13">
        <f t="shared" ca="1" si="61"/>
        <v>990</v>
      </c>
      <c r="AT50" s="13">
        <f t="shared" ca="1" si="62"/>
        <v>3509.1248388652075</v>
      </c>
      <c r="AU50" s="13">
        <f t="shared" ca="1" si="63"/>
        <v>0</v>
      </c>
      <c r="AV50" s="13">
        <f t="shared" ca="1" si="64"/>
        <v>15000.535643851295</v>
      </c>
      <c r="AW50" s="13">
        <f t="shared" ca="1" si="65"/>
        <v>0</v>
      </c>
      <c r="AX50" s="13">
        <f t="shared" ca="1" si="66"/>
        <v>410</v>
      </c>
      <c r="AY50" s="13">
        <f t="shared" ca="1" si="67"/>
        <v>15000.535643851295</v>
      </c>
      <c r="AZ50" s="13">
        <f t="shared" ca="1" si="68"/>
        <v>0</v>
      </c>
      <c r="BA50" s="13">
        <f t="shared" ca="1" si="69"/>
        <v>0</v>
      </c>
      <c r="BB50" s="13">
        <f t="shared" ca="1" si="70"/>
        <v>0</v>
      </c>
      <c r="BC50" s="13">
        <f t="shared" ca="1" si="71"/>
        <v>0</v>
      </c>
      <c r="BD50" s="13">
        <f t="shared" ca="1" si="72"/>
        <v>0</v>
      </c>
      <c r="BE50" s="13">
        <f t="shared" ca="1" si="73"/>
        <v>0</v>
      </c>
      <c r="BF50" s="13">
        <f t="shared" ca="1" si="74"/>
        <v>0</v>
      </c>
      <c r="BG50" s="13">
        <f t="shared" ca="1" si="75"/>
        <v>0</v>
      </c>
      <c r="BH50" s="13">
        <f t="shared" ca="1" si="76"/>
        <v>0</v>
      </c>
      <c r="BI50" s="13">
        <f t="shared" ca="1" si="77"/>
        <v>0</v>
      </c>
      <c r="BJ50" s="13">
        <f t="shared" ca="1" si="78"/>
        <v>0</v>
      </c>
      <c r="BK50" s="13">
        <f t="shared" ca="1" si="79"/>
        <v>0</v>
      </c>
      <c r="BL50" s="13">
        <f t="shared" ca="1" si="80"/>
        <v>0</v>
      </c>
      <c r="BM50" s="13">
        <f t="shared" ca="1" si="81"/>
        <v>0</v>
      </c>
      <c r="BN50" s="13">
        <f t="shared" ca="1" si="82"/>
        <v>0</v>
      </c>
      <c r="BO50" s="13">
        <f t="shared" ca="1" si="83"/>
        <v>1400</v>
      </c>
      <c r="BP50" s="13">
        <f t="shared" ca="1" si="84"/>
        <v>123.91515835519769</v>
      </c>
      <c r="BQ50" s="13">
        <f t="shared" ca="1" si="85"/>
        <v>18509.660482716503</v>
      </c>
    </row>
    <row r="51" spans="1:69" x14ac:dyDescent="0.25">
      <c r="A51" s="1">
        <v>50</v>
      </c>
      <c r="B51" s="13">
        <f ca="1">IF(A51=1,IF(OR('My Loans'!$O$14="",'My Loans'!$O$14=0),0,INDIRECT("'My Loans'!$D"&amp;'My Loans'!$O$14)),AE50)</f>
        <v>0</v>
      </c>
      <c r="C51" s="13">
        <f ca="1">IF(OR('My Loans'!$O$14="",'My Loans'!$O$14=0),0,B51*INDIRECT("'My Loans'!$E"&amp;'My Loans'!$O$14)/12)</f>
        <v>0</v>
      </c>
      <c r="D51" s="13">
        <f ca="1">IF(OR('My Loans'!$O$14="",'My Loans'!$O$14=0),0,IF(B51&lt;0.005,0,MIN(INDIRECT("'My Loans'!$F"&amp;'My Loans'!$O$14),B51+C51)))</f>
        <v>0</v>
      </c>
      <c r="E51" s="13">
        <f ca="1">IF(A51=1,IF(OR('My Loans'!$O$15="",'My Loans'!$O$15=0),0,INDIRECT("'My Loans'!$D"&amp;'My Loans'!$O$15)),AJ50)</f>
        <v>0</v>
      </c>
      <c r="F51" s="13">
        <f ca="1">IF(OR('My Loans'!$O$15="",'My Loans'!$O$15=0),0,E51*INDIRECT("'My Loans'!$E"&amp;'My Loans'!$O$15)/12)</f>
        <v>0</v>
      </c>
      <c r="G51" s="13">
        <f ca="1">IF(OR('My Loans'!$O$15="",'My Loans'!$O$15=0),0,IF(E51&lt;0.005,0,MIN(INDIRECT("'My Loans'!$F"&amp;'My Loans'!$O$15),E51+F51)))</f>
        <v>0</v>
      </c>
      <c r="H51" s="13">
        <f ca="1">IF(A51=1,IF(OR('My Loans'!$O$16="",'My Loans'!$O$16=0),0,INDIRECT("'My Loans'!$D"&amp;'My Loans'!$O$16)),AO50)</f>
        <v>0</v>
      </c>
      <c r="I51" s="13">
        <f ca="1">IF(OR('My Loans'!$O$16="",'My Loans'!$O$16=0),0,H51*INDIRECT("'My Loans'!$E"&amp;'My Loans'!$O$16)/12)</f>
        <v>0</v>
      </c>
      <c r="J51" s="13">
        <f ca="1">IF(OR('My Loans'!$O$16="",'My Loans'!$O$16=0),0,IF(H51&lt;0.005,0,MIN(INDIRECT("'My Loans'!$F"&amp;'My Loans'!$O$16),H51+I51)))</f>
        <v>0</v>
      </c>
      <c r="K51" s="13">
        <f ca="1">IF(A51=1,IF(OR('My Loans'!$O$17="",'My Loans'!$O$17=0),0,INDIRECT("'My Loans'!$D"&amp;'My Loans'!$O$17)),AT50)</f>
        <v>3509.1248388652075</v>
      </c>
      <c r="L51" s="13">
        <f ca="1">IF(OR('My Loans'!$O$17="",'My Loans'!$O$17=0),0,K51*INDIRECT("'My Loans'!$E"&amp;'My Loans'!$O$17)/12)</f>
        <v>18.130478334136907</v>
      </c>
      <c r="M51" s="13">
        <f ca="1">IF(OR('My Loans'!$O$17="",'My Loans'!$O$17=0),0,IF(K51&lt;0.005,0,MIN(INDIRECT("'My Loans'!$F"&amp;'My Loans'!$O$17),K51+L51)))</f>
        <v>178</v>
      </c>
      <c r="N51" s="13">
        <f ca="1">IF(A51=1,IF(OR('My Loans'!$O$18="",'My Loans'!$O$18=0),0,INDIRECT("'My Loans'!$D"&amp;'My Loans'!$O$18)),AY50)</f>
        <v>15000.535643851295</v>
      </c>
      <c r="O51" s="13">
        <f ca="1">IF(OR('My Loans'!$O$18="",'My Loans'!$O$18=0),0,N51*INDIRECT("'My Loans'!$E"&amp;'My Loans'!$O$18)/12)</f>
        <v>98.753526322021017</v>
      </c>
      <c r="P51" s="13">
        <f ca="1">IF(OR('My Loans'!$O$18="",'My Loans'!$O$18=0),0,IF(N51&lt;0.005,0,MIN(INDIRECT("'My Loans'!$F"&amp;'My Loans'!$O$18),N51+O51)))</f>
        <v>410</v>
      </c>
      <c r="Q51" s="13">
        <f ca="1">IF(A51=1,IF(OR('My Loans'!$O$19="",'My Loans'!$O$19=0),0,INDIRECT("'My Loans'!$D"&amp;'My Loans'!$O$19)),BD50)</f>
        <v>0</v>
      </c>
      <c r="R51" s="13">
        <f ca="1">IF(OR('My Loans'!$O$19="",'My Loans'!$O$19=0),0,Q51*INDIRECT("'My Loans'!$E"&amp;'My Loans'!$O$19)/12)</f>
        <v>0</v>
      </c>
      <c r="S51" s="13">
        <f ca="1">IF(OR('My Loans'!$O$19="",'My Loans'!$O$19=0),0,IF(Q51&lt;0.005,0,MIN(INDIRECT("'My Loans'!$F"&amp;'My Loans'!$O$19),Q51+R51)))</f>
        <v>0</v>
      </c>
      <c r="T51" s="13">
        <f ca="1">IF(A51=1,IF(OR('My Loans'!$O$20="",'My Loans'!$O$20=0),0,INDIRECT("'My Loans'!$D"&amp;'My Loans'!$O$20)),BI50)</f>
        <v>0</v>
      </c>
      <c r="U51" s="13">
        <f ca="1">IF(OR('My Loans'!$O$20="",'My Loans'!$O$20=0),0,T51*INDIRECT("'My Loans'!$E"&amp;'My Loans'!$O$20)/12)</f>
        <v>0</v>
      </c>
      <c r="V51" s="13">
        <f ca="1">IF(OR('My Loans'!$O$20="",'My Loans'!$O$20=0),0,IF(T51&lt;0.005,0,MIN(INDIRECT("'My Loans'!$F"&amp;'My Loans'!$O$20),T51+U51)))</f>
        <v>0</v>
      </c>
      <c r="W51" s="13">
        <f ca="1">IF(A51=1,IF(OR('My Loans'!$O$21="",'My Loans'!$O$21=0),0,INDIRECT("'My Loans'!$D"&amp;'My Loans'!$O$21)),BN50)</f>
        <v>0</v>
      </c>
      <c r="X51" s="13">
        <f ca="1">IF(OR('My Loans'!$O$21="",'My Loans'!$O$21=0),0,W51*INDIRECT("'My Loans'!$E"&amp;'My Loans'!$O$21)/12)</f>
        <v>0</v>
      </c>
      <c r="Y51" s="13">
        <f ca="1">IF(OR('My Loans'!$O$21="",'My Loans'!$O$21=0),0,IF(W51&lt;0.005,0,MIN(INDIRECT("'My Loans'!$F"&amp;'My Loans'!$O$21),W51+X51)))</f>
        <v>0</v>
      </c>
      <c r="Z51" s="13">
        <f ca="1">'My Loans'!$B$13-(D51+G51+J51+M51+P51+S51+V51+Y51)</f>
        <v>812</v>
      </c>
      <c r="AA51" s="13">
        <f t="shared" ca="1" si="43"/>
        <v>812</v>
      </c>
      <c r="AB51" s="13">
        <f t="shared" ca="1" si="44"/>
        <v>0</v>
      </c>
      <c r="AC51" s="13">
        <f t="shared" ca="1" si="45"/>
        <v>0</v>
      </c>
      <c r="AD51" s="13">
        <f t="shared" ca="1" si="46"/>
        <v>0</v>
      </c>
      <c r="AE51" s="13">
        <f t="shared" ca="1" si="47"/>
        <v>0</v>
      </c>
      <c r="AF51" s="13">
        <f t="shared" ca="1" si="48"/>
        <v>812</v>
      </c>
      <c r="AG51" s="13">
        <f t="shared" ca="1" si="49"/>
        <v>0</v>
      </c>
      <c r="AH51" s="13">
        <f t="shared" ca="1" si="50"/>
        <v>0</v>
      </c>
      <c r="AI51" s="13">
        <f t="shared" ca="1" si="51"/>
        <v>0</v>
      </c>
      <c r="AJ51" s="13">
        <f t="shared" ca="1" si="52"/>
        <v>0</v>
      </c>
      <c r="AK51" s="13">
        <f t="shared" ca="1" si="53"/>
        <v>812</v>
      </c>
      <c r="AL51" s="13">
        <f t="shared" ca="1" si="54"/>
        <v>0</v>
      </c>
      <c r="AM51" s="13">
        <f t="shared" ca="1" si="55"/>
        <v>0</v>
      </c>
      <c r="AN51" s="13">
        <f t="shared" ca="1" si="56"/>
        <v>0</v>
      </c>
      <c r="AO51" s="13">
        <f t="shared" ca="1" si="57"/>
        <v>0</v>
      </c>
      <c r="AP51" s="13">
        <f t="shared" ca="1" si="58"/>
        <v>812</v>
      </c>
      <c r="AQ51" s="13">
        <f t="shared" ca="1" si="59"/>
        <v>3349.2553171993445</v>
      </c>
      <c r="AR51" s="13">
        <f t="shared" ca="1" si="60"/>
        <v>812</v>
      </c>
      <c r="AS51" s="13">
        <f t="shared" ca="1" si="61"/>
        <v>990</v>
      </c>
      <c r="AT51" s="13">
        <f t="shared" ca="1" si="62"/>
        <v>2537.2553171993445</v>
      </c>
      <c r="AU51" s="13">
        <f t="shared" ca="1" si="63"/>
        <v>0</v>
      </c>
      <c r="AV51" s="13">
        <f t="shared" ca="1" si="64"/>
        <v>14689.289170173317</v>
      </c>
      <c r="AW51" s="13">
        <f t="shared" ca="1" si="65"/>
        <v>0</v>
      </c>
      <c r="AX51" s="13">
        <f t="shared" ca="1" si="66"/>
        <v>410</v>
      </c>
      <c r="AY51" s="13">
        <f t="shared" ca="1" si="67"/>
        <v>14689.289170173317</v>
      </c>
      <c r="AZ51" s="13">
        <f t="shared" ca="1" si="68"/>
        <v>0</v>
      </c>
      <c r="BA51" s="13">
        <f t="shared" ca="1" si="69"/>
        <v>0</v>
      </c>
      <c r="BB51" s="13">
        <f t="shared" ca="1" si="70"/>
        <v>0</v>
      </c>
      <c r="BC51" s="13">
        <f t="shared" ca="1" si="71"/>
        <v>0</v>
      </c>
      <c r="BD51" s="13">
        <f t="shared" ca="1" si="72"/>
        <v>0</v>
      </c>
      <c r="BE51" s="13">
        <f t="shared" ca="1" si="73"/>
        <v>0</v>
      </c>
      <c r="BF51" s="13">
        <f t="shared" ca="1" si="74"/>
        <v>0</v>
      </c>
      <c r="BG51" s="13">
        <f t="shared" ca="1" si="75"/>
        <v>0</v>
      </c>
      <c r="BH51" s="13">
        <f t="shared" ca="1" si="76"/>
        <v>0</v>
      </c>
      <c r="BI51" s="13">
        <f t="shared" ca="1" si="77"/>
        <v>0</v>
      </c>
      <c r="BJ51" s="13">
        <f t="shared" ca="1" si="78"/>
        <v>0</v>
      </c>
      <c r="BK51" s="13">
        <f t="shared" ca="1" si="79"/>
        <v>0</v>
      </c>
      <c r="BL51" s="13">
        <f t="shared" ca="1" si="80"/>
        <v>0</v>
      </c>
      <c r="BM51" s="13">
        <f t="shared" ca="1" si="81"/>
        <v>0</v>
      </c>
      <c r="BN51" s="13">
        <f t="shared" ca="1" si="82"/>
        <v>0</v>
      </c>
      <c r="BO51" s="13">
        <f t="shared" ca="1" si="83"/>
        <v>1400</v>
      </c>
      <c r="BP51" s="13">
        <f t="shared" ca="1" si="84"/>
        <v>116.88400465615793</v>
      </c>
      <c r="BQ51" s="13">
        <f t="shared" ca="1" si="85"/>
        <v>17226.544487372663</v>
      </c>
    </row>
    <row r="52" spans="1:69" x14ac:dyDescent="0.25">
      <c r="A52" s="1">
        <v>51</v>
      </c>
      <c r="B52" s="13">
        <f ca="1">IF(A52=1,IF(OR('My Loans'!$O$14="",'My Loans'!$O$14=0),0,INDIRECT("'My Loans'!$D"&amp;'My Loans'!$O$14)),AE51)</f>
        <v>0</v>
      </c>
      <c r="C52" s="13">
        <f ca="1">IF(OR('My Loans'!$O$14="",'My Loans'!$O$14=0),0,B52*INDIRECT("'My Loans'!$E"&amp;'My Loans'!$O$14)/12)</f>
        <v>0</v>
      </c>
      <c r="D52" s="13">
        <f ca="1">IF(OR('My Loans'!$O$14="",'My Loans'!$O$14=0),0,IF(B52&lt;0.005,0,MIN(INDIRECT("'My Loans'!$F"&amp;'My Loans'!$O$14),B52+C52)))</f>
        <v>0</v>
      </c>
      <c r="E52" s="13">
        <f ca="1">IF(A52=1,IF(OR('My Loans'!$O$15="",'My Loans'!$O$15=0),0,INDIRECT("'My Loans'!$D"&amp;'My Loans'!$O$15)),AJ51)</f>
        <v>0</v>
      </c>
      <c r="F52" s="13">
        <f ca="1">IF(OR('My Loans'!$O$15="",'My Loans'!$O$15=0),0,E52*INDIRECT("'My Loans'!$E"&amp;'My Loans'!$O$15)/12)</f>
        <v>0</v>
      </c>
      <c r="G52" s="13">
        <f ca="1">IF(OR('My Loans'!$O$15="",'My Loans'!$O$15=0),0,IF(E52&lt;0.005,0,MIN(INDIRECT("'My Loans'!$F"&amp;'My Loans'!$O$15),E52+F52)))</f>
        <v>0</v>
      </c>
      <c r="H52" s="13">
        <f ca="1">IF(A52=1,IF(OR('My Loans'!$O$16="",'My Loans'!$O$16=0),0,INDIRECT("'My Loans'!$D"&amp;'My Loans'!$O$16)),AO51)</f>
        <v>0</v>
      </c>
      <c r="I52" s="13">
        <f ca="1">IF(OR('My Loans'!$O$16="",'My Loans'!$O$16=0),0,H52*INDIRECT("'My Loans'!$E"&amp;'My Loans'!$O$16)/12)</f>
        <v>0</v>
      </c>
      <c r="J52" s="13">
        <f ca="1">IF(OR('My Loans'!$O$16="",'My Loans'!$O$16=0),0,IF(H52&lt;0.005,0,MIN(INDIRECT("'My Loans'!$F"&amp;'My Loans'!$O$16),H52+I52)))</f>
        <v>0</v>
      </c>
      <c r="K52" s="13">
        <f ca="1">IF(A52=1,IF(OR('My Loans'!$O$17="",'My Loans'!$O$17=0),0,INDIRECT("'My Loans'!$D"&amp;'My Loans'!$O$17)),AT51)</f>
        <v>2537.2553171993445</v>
      </c>
      <c r="L52" s="13">
        <f ca="1">IF(OR('My Loans'!$O$17="",'My Loans'!$O$17=0),0,K52*INDIRECT("'My Loans'!$E"&amp;'My Loans'!$O$17)/12)</f>
        <v>13.109152472196612</v>
      </c>
      <c r="M52" s="13">
        <f ca="1">IF(OR('My Loans'!$O$17="",'My Loans'!$O$17=0),0,IF(K52&lt;0.005,0,MIN(INDIRECT("'My Loans'!$F"&amp;'My Loans'!$O$17),K52+L52)))</f>
        <v>178</v>
      </c>
      <c r="N52" s="13">
        <f ca="1">IF(A52=1,IF(OR('My Loans'!$O$18="",'My Loans'!$O$18=0),0,INDIRECT("'My Loans'!$D"&amp;'My Loans'!$O$18)),AY51)</f>
        <v>14689.289170173317</v>
      </c>
      <c r="O52" s="13">
        <f ca="1">IF(OR('My Loans'!$O$18="",'My Loans'!$O$18=0),0,N52*INDIRECT("'My Loans'!$E"&amp;'My Loans'!$O$18)/12)</f>
        <v>96.704487036974342</v>
      </c>
      <c r="P52" s="13">
        <f ca="1">IF(OR('My Loans'!$O$18="",'My Loans'!$O$18=0),0,IF(N52&lt;0.005,0,MIN(INDIRECT("'My Loans'!$F"&amp;'My Loans'!$O$18),N52+O52)))</f>
        <v>410</v>
      </c>
      <c r="Q52" s="13">
        <f ca="1">IF(A52=1,IF(OR('My Loans'!$O$19="",'My Loans'!$O$19=0),0,INDIRECT("'My Loans'!$D"&amp;'My Loans'!$O$19)),BD51)</f>
        <v>0</v>
      </c>
      <c r="R52" s="13">
        <f ca="1">IF(OR('My Loans'!$O$19="",'My Loans'!$O$19=0),0,Q52*INDIRECT("'My Loans'!$E"&amp;'My Loans'!$O$19)/12)</f>
        <v>0</v>
      </c>
      <c r="S52" s="13">
        <f ca="1">IF(OR('My Loans'!$O$19="",'My Loans'!$O$19=0),0,IF(Q52&lt;0.005,0,MIN(INDIRECT("'My Loans'!$F"&amp;'My Loans'!$O$19),Q52+R52)))</f>
        <v>0</v>
      </c>
      <c r="T52" s="13">
        <f ca="1">IF(A52=1,IF(OR('My Loans'!$O$20="",'My Loans'!$O$20=0),0,INDIRECT("'My Loans'!$D"&amp;'My Loans'!$O$20)),BI51)</f>
        <v>0</v>
      </c>
      <c r="U52" s="13">
        <f ca="1">IF(OR('My Loans'!$O$20="",'My Loans'!$O$20=0),0,T52*INDIRECT("'My Loans'!$E"&amp;'My Loans'!$O$20)/12)</f>
        <v>0</v>
      </c>
      <c r="V52" s="13">
        <f ca="1">IF(OR('My Loans'!$O$20="",'My Loans'!$O$20=0),0,IF(T52&lt;0.005,0,MIN(INDIRECT("'My Loans'!$F"&amp;'My Loans'!$O$20),T52+U52)))</f>
        <v>0</v>
      </c>
      <c r="W52" s="13">
        <f ca="1">IF(A52=1,IF(OR('My Loans'!$O$21="",'My Loans'!$O$21=0),0,INDIRECT("'My Loans'!$D"&amp;'My Loans'!$O$21)),BN51)</f>
        <v>0</v>
      </c>
      <c r="X52" s="13">
        <f ca="1">IF(OR('My Loans'!$O$21="",'My Loans'!$O$21=0),0,W52*INDIRECT("'My Loans'!$E"&amp;'My Loans'!$O$21)/12)</f>
        <v>0</v>
      </c>
      <c r="Y52" s="13">
        <f ca="1">IF(OR('My Loans'!$O$21="",'My Loans'!$O$21=0),0,IF(W52&lt;0.005,0,MIN(INDIRECT("'My Loans'!$F"&amp;'My Loans'!$O$21),W52+X52)))</f>
        <v>0</v>
      </c>
      <c r="Z52" s="13">
        <f ca="1">'My Loans'!$B$13-(D52+G52+J52+M52+P52+S52+V52+Y52)</f>
        <v>812</v>
      </c>
      <c r="AA52" s="13">
        <f t="shared" ca="1" si="43"/>
        <v>812</v>
      </c>
      <c r="AB52" s="13">
        <f t="shared" ca="1" si="44"/>
        <v>0</v>
      </c>
      <c r="AC52" s="13">
        <f t="shared" ca="1" si="45"/>
        <v>0</v>
      </c>
      <c r="AD52" s="13">
        <f t="shared" ca="1" si="46"/>
        <v>0</v>
      </c>
      <c r="AE52" s="13">
        <f t="shared" ca="1" si="47"/>
        <v>0</v>
      </c>
      <c r="AF52" s="13">
        <f t="shared" ca="1" si="48"/>
        <v>812</v>
      </c>
      <c r="AG52" s="13">
        <f t="shared" ca="1" si="49"/>
        <v>0</v>
      </c>
      <c r="AH52" s="13">
        <f t="shared" ca="1" si="50"/>
        <v>0</v>
      </c>
      <c r="AI52" s="13">
        <f t="shared" ca="1" si="51"/>
        <v>0</v>
      </c>
      <c r="AJ52" s="13">
        <f t="shared" ca="1" si="52"/>
        <v>0</v>
      </c>
      <c r="AK52" s="13">
        <f t="shared" ca="1" si="53"/>
        <v>812</v>
      </c>
      <c r="AL52" s="13">
        <f t="shared" ca="1" si="54"/>
        <v>0</v>
      </c>
      <c r="AM52" s="13">
        <f t="shared" ca="1" si="55"/>
        <v>0</v>
      </c>
      <c r="AN52" s="13">
        <f t="shared" ca="1" si="56"/>
        <v>0</v>
      </c>
      <c r="AO52" s="13">
        <f t="shared" ca="1" si="57"/>
        <v>0</v>
      </c>
      <c r="AP52" s="13">
        <f t="shared" ca="1" si="58"/>
        <v>812</v>
      </c>
      <c r="AQ52" s="13">
        <f t="shared" ca="1" si="59"/>
        <v>2372.364469671541</v>
      </c>
      <c r="AR52" s="13">
        <f t="shared" ca="1" si="60"/>
        <v>812</v>
      </c>
      <c r="AS52" s="13">
        <f t="shared" ca="1" si="61"/>
        <v>990</v>
      </c>
      <c r="AT52" s="13">
        <f t="shared" ca="1" si="62"/>
        <v>1560.364469671541</v>
      </c>
      <c r="AU52" s="13">
        <f t="shared" ca="1" si="63"/>
        <v>0</v>
      </c>
      <c r="AV52" s="13">
        <f t="shared" ca="1" si="64"/>
        <v>14375.993657210291</v>
      </c>
      <c r="AW52" s="13">
        <f t="shared" ca="1" si="65"/>
        <v>0</v>
      </c>
      <c r="AX52" s="13">
        <f t="shared" ca="1" si="66"/>
        <v>410</v>
      </c>
      <c r="AY52" s="13">
        <f t="shared" ca="1" si="67"/>
        <v>14375.993657210291</v>
      </c>
      <c r="AZ52" s="13">
        <f t="shared" ca="1" si="68"/>
        <v>0</v>
      </c>
      <c r="BA52" s="13">
        <f t="shared" ca="1" si="69"/>
        <v>0</v>
      </c>
      <c r="BB52" s="13">
        <f t="shared" ca="1" si="70"/>
        <v>0</v>
      </c>
      <c r="BC52" s="13">
        <f t="shared" ca="1" si="71"/>
        <v>0</v>
      </c>
      <c r="BD52" s="13">
        <f t="shared" ca="1" si="72"/>
        <v>0</v>
      </c>
      <c r="BE52" s="13">
        <f t="shared" ca="1" si="73"/>
        <v>0</v>
      </c>
      <c r="BF52" s="13">
        <f t="shared" ca="1" si="74"/>
        <v>0</v>
      </c>
      <c r="BG52" s="13">
        <f t="shared" ca="1" si="75"/>
        <v>0</v>
      </c>
      <c r="BH52" s="13">
        <f t="shared" ca="1" si="76"/>
        <v>0</v>
      </c>
      <c r="BI52" s="13">
        <f t="shared" ca="1" si="77"/>
        <v>0</v>
      </c>
      <c r="BJ52" s="13">
        <f t="shared" ca="1" si="78"/>
        <v>0</v>
      </c>
      <c r="BK52" s="13">
        <f t="shared" ca="1" si="79"/>
        <v>0</v>
      </c>
      <c r="BL52" s="13">
        <f t="shared" ca="1" si="80"/>
        <v>0</v>
      </c>
      <c r="BM52" s="13">
        <f t="shared" ca="1" si="81"/>
        <v>0</v>
      </c>
      <c r="BN52" s="13">
        <f t="shared" ca="1" si="82"/>
        <v>0</v>
      </c>
      <c r="BO52" s="13">
        <f t="shared" ca="1" si="83"/>
        <v>1400</v>
      </c>
      <c r="BP52" s="13">
        <f t="shared" ca="1" si="84"/>
        <v>109.81363950917095</v>
      </c>
      <c r="BQ52" s="13">
        <f t="shared" ca="1" si="85"/>
        <v>15936.358126881831</v>
      </c>
    </row>
    <row r="53" spans="1:69" x14ac:dyDescent="0.25">
      <c r="A53" s="1">
        <v>52</v>
      </c>
      <c r="B53" s="13">
        <f ca="1">IF(A53=1,IF(OR('My Loans'!$O$14="",'My Loans'!$O$14=0),0,INDIRECT("'My Loans'!$D"&amp;'My Loans'!$O$14)),AE52)</f>
        <v>0</v>
      </c>
      <c r="C53" s="13">
        <f ca="1">IF(OR('My Loans'!$O$14="",'My Loans'!$O$14=0),0,B53*INDIRECT("'My Loans'!$E"&amp;'My Loans'!$O$14)/12)</f>
        <v>0</v>
      </c>
      <c r="D53" s="13">
        <f ca="1">IF(OR('My Loans'!$O$14="",'My Loans'!$O$14=0),0,IF(B53&lt;0.005,0,MIN(INDIRECT("'My Loans'!$F"&amp;'My Loans'!$O$14),B53+C53)))</f>
        <v>0</v>
      </c>
      <c r="E53" s="13">
        <f ca="1">IF(A53=1,IF(OR('My Loans'!$O$15="",'My Loans'!$O$15=0),0,INDIRECT("'My Loans'!$D"&amp;'My Loans'!$O$15)),AJ52)</f>
        <v>0</v>
      </c>
      <c r="F53" s="13">
        <f ca="1">IF(OR('My Loans'!$O$15="",'My Loans'!$O$15=0),0,E53*INDIRECT("'My Loans'!$E"&amp;'My Loans'!$O$15)/12)</f>
        <v>0</v>
      </c>
      <c r="G53" s="13">
        <f ca="1">IF(OR('My Loans'!$O$15="",'My Loans'!$O$15=0),0,IF(E53&lt;0.005,0,MIN(INDIRECT("'My Loans'!$F"&amp;'My Loans'!$O$15),E53+F53)))</f>
        <v>0</v>
      </c>
      <c r="H53" s="13">
        <f ca="1">IF(A53=1,IF(OR('My Loans'!$O$16="",'My Loans'!$O$16=0),0,INDIRECT("'My Loans'!$D"&amp;'My Loans'!$O$16)),AO52)</f>
        <v>0</v>
      </c>
      <c r="I53" s="13">
        <f ca="1">IF(OR('My Loans'!$O$16="",'My Loans'!$O$16=0),0,H53*INDIRECT("'My Loans'!$E"&amp;'My Loans'!$O$16)/12)</f>
        <v>0</v>
      </c>
      <c r="J53" s="13">
        <f ca="1">IF(OR('My Loans'!$O$16="",'My Loans'!$O$16=0),0,IF(H53&lt;0.005,0,MIN(INDIRECT("'My Loans'!$F"&amp;'My Loans'!$O$16),H53+I53)))</f>
        <v>0</v>
      </c>
      <c r="K53" s="13">
        <f ca="1">IF(A53=1,IF(OR('My Loans'!$O$17="",'My Loans'!$O$17=0),0,INDIRECT("'My Loans'!$D"&amp;'My Loans'!$O$17)),AT52)</f>
        <v>1560.364469671541</v>
      </c>
      <c r="L53" s="13">
        <f ca="1">IF(OR('My Loans'!$O$17="",'My Loans'!$O$17=0),0,K53*INDIRECT("'My Loans'!$E"&amp;'My Loans'!$O$17)/12)</f>
        <v>8.0618830933029617</v>
      </c>
      <c r="M53" s="13">
        <f ca="1">IF(OR('My Loans'!$O$17="",'My Loans'!$O$17=0),0,IF(K53&lt;0.005,0,MIN(INDIRECT("'My Loans'!$F"&amp;'My Loans'!$O$17),K53+L53)))</f>
        <v>178</v>
      </c>
      <c r="N53" s="13">
        <f ca="1">IF(A53=1,IF(OR('My Loans'!$O$18="",'My Loans'!$O$18=0),0,INDIRECT("'My Loans'!$D"&amp;'My Loans'!$O$18)),AY52)</f>
        <v>14375.993657210291</v>
      </c>
      <c r="O53" s="13">
        <f ca="1">IF(OR('My Loans'!$O$18="",'My Loans'!$O$18=0),0,N53*INDIRECT("'My Loans'!$E"&amp;'My Loans'!$O$18)/12)</f>
        <v>94.641958243301076</v>
      </c>
      <c r="P53" s="13">
        <f ca="1">IF(OR('My Loans'!$O$18="",'My Loans'!$O$18=0),0,IF(N53&lt;0.005,0,MIN(INDIRECT("'My Loans'!$F"&amp;'My Loans'!$O$18),N53+O53)))</f>
        <v>410</v>
      </c>
      <c r="Q53" s="13">
        <f ca="1">IF(A53=1,IF(OR('My Loans'!$O$19="",'My Loans'!$O$19=0),0,INDIRECT("'My Loans'!$D"&amp;'My Loans'!$O$19)),BD52)</f>
        <v>0</v>
      </c>
      <c r="R53" s="13">
        <f ca="1">IF(OR('My Loans'!$O$19="",'My Loans'!$O$19=0),0,Q53*INDIRECT("'My Loans'!$E"&amp;'My Loans'!$O$19)/12)</f>
        <v>0</v>
      </c>
      <c r="S53" s="13">
        <f ca="1">IF(OR('My Loans'!$O$19="",'My Loans'!$O$19=0),0,IF(Q53&lt;0.005,0,MIN(INDIRECT("'My Loans'!$F"&amp;'My Loans'!$O$19),Q53+R53)))</f>
        <v>0</v>
      </c>
      <c r="T53" s="13">
        <f ca="1">IF(A53=1,IF(OR('My Loans'!$O$20="",'My Loans'!$O$20=0),0,INDIRECT("'My Loans'!$D"&amp;'My Loans'!$O$20)),BI52)</f>
        <v>0</v>
      </c>
      <c r="U53" s="13">
        <f ca="1">IF(OR('My Loans'!$O$20="",'My Loans'!$O$20=0),0,T53*INDIRECT("'My Loans'!$E"&amp;'My Loans'!$O$20)/12)</f>
        <v>0</v>
      </c>
      <c r="V53" s="13">
        <f ca="1">IF(OR('My Loans'!$O$20="",'My Loans'!$O$20=0),0,IF(T53&lt;0.005,0,MIN(INDIRECT("'My Loans'!$F"&amp;'My Loans'!$O$20),T53+U53)))</f>
        <v>0</v>
      </c>
      <c r="W53" s="13">
        <f ca="1">IF(A53=1,IF(OR('My Loans'!$O$21="",'My Loans'!$O$21=0),0,INDIRECT("'My Loans'!$D"&amp;'My Loans'!$O$21)),BN52)</f>
        <v>0</v>
      </c>
      <c r="X53" s="13">
        <f ca="1">IF(OR('My Loans'!$O$21="",'My Loans'!$O$21=0),0,W53*INDIRECT("'My Loans'!$E"&amp;'My Loans'!$O$21)/12)</f>
        <v>0</v>
      </c>
      <c r="Y53" s="13">
        <f ca="1">IF(OR('My Loans'!$O$21="",'My Loans'!$O$21=0),0,IF(W53&lt;0.005,0,MIN(INDIRECT("'My Loans'!$F"&amp;'My Loans'!$O$21),W53+X53)))</f>
        <v>0</v>
      </c>
      <c r="Z53" s="13">
        <f ca="1">'My Loans'!$B$13-(D53+G53+J53+M53+P53+S53+V53+Y53)</f>
        <v>812</v>
      </c>
      <c r="AA53" s="13">
        <f t="shared" ca="1" si="43"/>
        <v>812</v>
      </c>
      <c r="AB53" s="13">
        <f t="shared" ca="1" si="44"/>
        <v>0</v>
      </c>
      <c r="AC53" s="13">
        <f t="shared" ca="1" si="45"/>
        <v>0</v>
      </c>
      <c r="AD53" s="13">
        <f t="shared" ca="1" si="46"/>
        <v>0</v>
      </c>
      <c r="AE53" s="13">
        <f t="shared" ca="1" si="47"/>
        <v>0</v>
      </c>
      <c r="AF53" s="13">
        <f t="shared" ca="1" si="48"/>
        <v>812</v>
      </c>
      <c r="AG53" s="13">
        <f t="shared" ca="1" si="49"/>
        <v>0</v>
      </c>
      <c r="AH53" s="13">
        <f t="shared" ca="1" si="50"/>
        <v>0</v>
      </c>
      <c r="AI53" s="13">
        <f t="shared" ca="1" si="51"/>
        <v>0</v>
      </c>
      <c r="AJ53" s="13">
        <f t="shared" ca="1" si="52"/>
        <v>0</v>
      </c>
      <c r="AK53" s="13">
        <f t="shared" ca="1" si="53"/>
        <v>812</v>
      </c>
      <c r="AL53" s="13">
        <f t="shared" ca="1" si="54"/>
        <v>0</v>
      </c>
      <c r="AM53" s="13">
        <f t="shared" ca="1" si="55"/>
        <v>0</v>
      </c>
      <c r="AN53" s="13">
        <f t="shared" ca="1" si="56"/>
        <v>0</v>
      </c>
      <c r="AO53" s="13">
        <f t="shared" ca="1" si="57"/>
        <v>0</v>
      </c>
      <c r="AP53" s="13">
        <f t="shared" ca="1" si="58"/>
        <v>812</v>
      </c>
      <c r="AQ53" s="13">
        <f t="shared" ca="1" si="59"/>
        <v>1390.4263527648438</v>
      </c>
      <c r="AR53" s="13">
        <f t="shared" ca="1" si="60"/>
        <v>812</v>
      </c>
      <c r="AS53" s="13">
        <f t="shared" ca="1" si="61"/>
        <v>990</v>
      </c>
      <c r="AT53" s="13">
        <f t="shared" ca="1" si="62"/>
        <v>578.42635276484384</v>
      </c>
      <c r="AU53" s="13">
        <f t="shared" ca="1" si="63"/>
        <v>0</v>
      </c>
      <c r="AV53" s="13">
        <f t="shared" ca="1" si="64"/>
        <v>14060.635615453592</v>
      </c>
      <c r="AW53" s="13">
        <f t="shared" ca="1" si="65"/>
        <v>0</v>
      </c>
      <c r="AX53" s="13">
        <f t="shared" ca="1" si="66"/>
        <v>410</v>
      </c>
      <c r="AY53" s="13">
        <f t="shared" ca="1" si="67"/>
        <v>14060.635615453592</v>
      </c>
      <c r="AZ53" s="13">
        <f t="shared" ca="1" si="68"/>
        <v>0</v>
      </c>
      <c r="BA53" s="13">
        <f t="shared" ca="1" si="69"/>
        <v>0</v>
      </c>
      <c r="BB53" s="13">
        <f t="shared" ca="1" si="70"/>
        <v>0</v>
      </c>
      <c r="BC53" s="13">
        <f t="shared" ca="1" si="71"/>
        <v>0</v>
      </c>
      <c r="BD53" s="13">
        <f t="shared" ca="1" si="72"/>
        <v>0</v>
      </c>
      <c r="BE53" s="13">
        <f t="shared" ca="1" si="73"/>
        <v>0</v>
      </c>
      <c r="BF53" s="13">
        <f t="shared" ca="1" si="74"/>
        <v>0</v>
      </c>
      <c r="BG53" s="13">
        <f t="shared" ca="1" si="75"/>
        <v>0</v>
      </c>
      <c r="BH53" s="13">
        <f t="shared" ca="1" si="76"/>
        <v>0</v>
      </c>
      <c r="BI53" s="13">
        <f t="shared" ca="1" si="77"/>
        <v>0</v>
      </c>
      <c r="BJ53" s="13">
        <f t="shared" ca="1" si="78"/>
        <v>0</v>
      </c>
      <c r="BK53" s="13">
        <f t="shared" ca="1" si="79"/>
        <v>0</v>
      </c>
      <c r="BL53" s="13">
        <f t="shared" ca="1" si="80"/>
        <v>0</v>
      </c>
      <c r="BM53" s="13">
        <f t="shared" ca="1" si="81"/>
        <v>0</v>
      </c>
      <c r="BN53" s="13">
        <f t="shared" ca="1" si="82"/>
        <v>0</v>
      </c>
      <c r="BO53" s="13">
        <f t="shared" ca="1" si="83"/>
        <v>1400</v>
      </c>
      <c r="BP53" s="13">
        <f t="shared" ca="1" si="84"/>
        <v>102.70384133660404</v>
      </c>
      <c r="BQ53" s="13">
        <f t="shared" ca="1" si="85"/>
        <v>14639.061968218435</v>
      </c>
    </row>
    <row r="54" spans="1:69" x14ac:dyDescent="0.25">
      <c r="A54" s="1">
        <v>53</v>
      </c>
      <c r="B54" s="13">
        <f ca="1">IF(A54=1,IF(OR('My Loans'!$O$14="",'My Loans'!$O$14=0),0,INDIRECT("'My Loans'!$D"&amp;'My Loans'!$O$14)),AE53)</f>
        <v>0</v>
      </c>
      <c r="C54" s="13">
        <f ca="1">IF(OR('My Loans'!$O$14="",'My Loans'!$O$14=0),0,B54*INDIRECT("'My Loans'!$E"&amp;'My Loans'!$O$14)/12)</f>
        <v>0</v>
      </c>
      <c r="D54" s="13">
        <f ca="1">IF(OR('My Loans'!$O$14="",'My Loans'!$O$14=0),0,IF(B54&lt;0.005,0,MIN(INDIRECT("'My Loans'!$F"&amp;'My Loans'!$O$14),B54+C54)))</f>
        <v>0</v>
      </c>
      <c r="E54" s="13">
        <f ca="1">IF(A54=1,IF(OR('My Loans'!$O$15="",'My Loans'!$O$15=0),0,INDIRECT("'My Loans'!$D"&amp;'My Loans'!$O$15)),AJ53)</f>
        <v>0</v>
      </c>
      <c r="F54" s="13">
        <f ca="1">IF(OR('My Loans'!$O$15="",'My Loans'!$O$15=0),0,E54*INDIRECT("'My Loans'!$E"&amp;'My Loans'!$O$15)/12)</f>
        <v>0</v>
      </c>
      <c r="G54" s="13">
        <f ca="1">IF(OR('My Loans'!$O$15="",'My Loans'!$O$15=0),0,IF(E54&lt;0.005,0,MIN(INDIRECT("'My Loans'!$F"&amp;'My Loans'!$O$15),E54+F54)))</f>
        <v>0</v>
      </c>
      <c r="H54" s="13">
        <f ca="1">IF(A54=1,IF(OR('My Loans'!$O$16="",'My Loans'!$O$16=0),0,INDIRECT("'My Loans'!$D"&amp;'My Loans'!$O$16)),AO53)</f>
        <v>0</v>
      </c>
      <c r="I54" s="13">
        <f ca="1">IF(OR('My Loans'!$O$16="",'My Loans'!$O$16=0),0,H54*INDIRECT("'My Loans'!$E"&amp;'My Loans'!$O$16)/12)</f>
        <v>0</v>
      </c>
      <c r="J54" s="13">
        <f ca="1">IF(OR('My Loans'!$O$16="",'My Loans'!$O$16=0),0,IF(H54&lt;0.005,0,MIN(INDIRECT("'My Loans'!$F"&amp;'My Loans'!$O$16),H54+I54)))</f>
        <v>0</v>
      </c>
      <c r="K54" s="13">
        <f ca="1">IF(A54=1,IF(OR('My Loans'!$O$17="",'My Loans'!$O$17=0),0,INDIRECT("'My Loans'!$D"&amp;'My Loans'!$O$17)),AT53)</f>
        <v>578.42635276484384</v>
      </c>
      <c r="L54" s="13">
        <f ca="1">IF(OR('My Loans'!$O$17="",'My Loans'!$O$17=0),0,K54*INDIRECT("'My Loans'!$E"&amp;'My Loans'!$O$17)/12)</f>
        <v>2.9885361559516928</v>
      </c>
      <c r="M54" s="13">
        <f ca="1">IF(OR('My Loans'!$O$17="",'My Loans'!$O$17=0),0,IF(K54&lt;0.005,0,MIN(INDIRECT("'My Loans'!$F"&amp;'My Loans'!$O$17),K54+L54)))</f>
        <v>178</v>
      </c>
      <c r="N54" s="13">
        <f ca="1">IF(A54=1,IF(OR('My Loans'!$O$18="",'My Loans'!$O$18=0),0,INDIRECT("'My Loans'!$D"&amp;'My Loans'!$O$18)),AY53)</f>
        <v>14060.635615453592</v>
      </c>
      <c r="O54" s="13">
        <f ca="1">IF(OR('My Loans'!$O$18="",'My Loans'!$O$18=0),0,N54*INDIRECT("'My Loans'!$E"&amp;'My Loans'!$O$18)/12)</f>
        <v>92.565851135069479</v>
      </c>
      <c r="P54" s="13">
        <f ca="1">IF(OR('My Loans'!$O$18="",'My Loans'!$O$18=0),0,IF(N54&lt;0.005,0,MIN(INDIRECT("'My Loans'!$F"&amp;'My Loans'!$O$18),N54+O54)))</f>
        <v>410</v>
      </c>
      <c r="Q54" s="13">
        <f ca="1">IF(A54=1,IF(OR('My Loans'!$O$19="",'My Loans'!$O$19=0),0,INDIRECT("'My Loans'!$D"&amp;'My Loans'!$O$19)),BD53)</f>
        <v>0</v>
      </c>
      <c r="R54" s="13">
        <f ca="1">IF(OR('My Loans'!$O$19="",'My Loans'!$O$19=0),0,Q54*INDIRECT("'My Loans'!$E"&amp;'My Loans'!$O$19)/12)</f>
        <v>0</v>
      </c>
      <c r="S54" s="13">
        <f ca="1">IF(OR('My Loans'!$O$19="",'My Loans'!$O$19=0),0,IF(Q54&lt;0.005,0,MIN(INDIRECT("'My Loans'!$F"&amp;'My Loans'!$O$19),Q54+R54)))</f>
        <v>0</v>
      </c>
      <c r="T54" s="13">
        <f ca="1">IF(A54=1,IF(OR('My Loans'!$O$20="",'My Loans'!$O$20=0),0,INDIRECT("'My Loans'!$D"&amp;'My Loans'!$O$20)),BI53)</f>
        <v>0</v>
      </c>
      <c r="U54" s="13">
        <f ca="1">IF(OR('My Loans'!$O$20="",'My Loans'!$O$20=0),0,T54*INDIRECT("'My Loans'!$E"&amp;'My Loans'!$O$20)/12)</f>
        <v>0</v>
      </c>
      <c r="V54" s="13">
        <f ca="1">IF(OR('My Loans'!$O$20="",'My Loans'!$O$20=0),0,IF(T54&lt;0.005,0,MIN(INDIRECT("'My Loans'!$F"&amp;'My Loans'!$O$20),T54+U54)))</f>
        <v>0</v>
      </c>
      <c r="W54" s="13">
        <f ca="1">IF(A54=1,IF(OR('My Loans'!$O$21="",'My Loans'!$O$21=0),0,INDIRECT("'My Loans'!$D"&amp;'My Loans'!$O$21)),BN53)</f>
        <v>0</v>
      </c>
      <c r="X54" s="13">
        <f ca="1">IF(OR('My Loans'!$O$21="",'My Loans'!$O$21=0),0,W54*INDIRECT("'My Loans'!$E"&amp;'My Loans'!$O$21)/12)</f>
        <v>0</v>
      </c>
      <c r="Y54" s="13">
        <f ca="1">IF(OR('My Loans'!$O$21="",'My Loans'!$O$21=0),0,IF(W54&lt;0.005,0,MIN(INDIRECT("'My Loans'!$F"&amp;'My Loans'!$O$21),W54+X54)))</f>
        <v>0</v>
      </c>
      <c r="Z54" s="13">
        <f ca="1">'My Loans'!$B$13-(D54+G54+J54+M54+P54+S54+V54+Y54)</f>
        <v>812</v>
      </c>
      <c r="AA54" s="13">
        <f t="shared" ca="1" si="43"/>
        <v>812</v>
      </c>
      <c r="AB54" s="13">
        <f t="shared" ca="1" si="44"/>
        <v>0</v>
      </c>
      <c r="AC54" s="13">
        <f t="shared" ca="1" si="45"/>
        <v>0</v>
      </c>
      <c r="AD54" s="13">
        <f t="shared" ca="1" si="46"/>
        <v>0</v>
      </c>
      <c r="AE54" s="13">
        <f t="shared" ca="1" si="47"/>
        <v>0</v>
      </c>
      <c r="AF54" s="13">
        <f t="shared" ca="1" si="48"/>
        <v>812</v>
      </c>
      <c r="AG54" s="13">
        <f t="shared" ca="1" si="49"/>
        <v>0</v>
      </c>
      <c r="AH54" s="13">
        <f t="shared" ca="1" si="50"/>
        <v>0</v>
      </c>
      <c r="AI54" s="13">
        <f t="shared" ca="1" si="51"/>
        <v>0</v>
      </c>
      <c r="AJ54" s="13">
        <f t="shared" ca="1" si="52"/>
        <v>0</v>
      </c>
      <c r="AK54" s="13">
        <f t="shared" ca="1" si="53"/>
        <v>812</v>
      </c>
      <c r="AL54" s="13">
        <f t="shared" ca="1" si="54"/>
        <v>0</v>
      </c>
      <c r="AM54" s="13">
        <f t="shared" ca="1" si="55"/>
        <v>0</v>
      </c>
      <c r="AN54" s="13">
        <f t="shared" ca="1" si="56"/>
        <v>0</v>
      </c>
      <c r="AO54" s="13">
        <f t="shared" ca="1" si="57"/>
        <v>0</v>
      </c>
      <c r="AP54" s="13">
        <f t="shared" ca="1" si="58"/>
        <v>812</v>
      </c>
      <c r="AQ54" s="13">
        <f t="shared" ca="1" si="59"/>
        <v>403.41488892079553</v>
      </c>
      <c r="AR54" s="13">
        <f t="shared" ca="1" si="60"/>
        <v>403.41488892079553</v>
      </c>
      <c r="AS54" s="13">
        <f t="shared" ca="1" si="61"/>
        <v>581.41488892079553</v>
      </c>
      <c r="AT54" s="13">
        <f t="shared" ca="1" si="62"/>
        <v>0</v>
      </c>
      <c r="AU54" s="13">
        <f t="shared" ca="1" si="63"/>
        <v>408.58511107920447</v>
      </c>
      <c r="AV54" s="13">
        <f t="shared" ca="1" si="64"/>
        <v>13743.201466588662</v>
      </c>
      <c r="AW54" s="13">
        <f t="shared" ca="1" si="65"/>
        <v>408.58511107920447</v>
      </c>
      <c r="AX54" s="13">
        <f t="shared" ca="1" si="66"/>
        <v>818.58511107920447</v>
      </c>
      <c r="AY54" s="13">
        <f t="shared" ca="1" si="67"/>
        <v>13334.616355509457</v>
      </c>
      <c r="AZ54" s="13">
        <f t="shared" ca="1" si="68"/>
        <v>0</v>
      </c>
      <c r="BA54" s="13">
        <f t="shared" ca="1" si="69"/>
        <v>0</v>
      </c>
      <c r="BB54" s="13">
        <f t="shared" ca="1" si="70"/>
        <v>0</v>
      </c>
      <c r="BC54" s="13">
        <f t="shared" ca="1" si="71"/>
        <v>0</v>
      </c>
      <c r="BD54" s="13">
        <f t="shared" ca="1" si="72"/>
        <v>0</v>
      </c>
      <c r="BE54" s="13">
        <f t="shared" ca="1" si="73"/>
        <v>0</v>
      </c>
      <c r="BF54" s="13">
        <f t="shared" ca="1" si="74"/>
        <v>0</v>
      </c>
      <c r="BG54" s="13">
        <f t="shared" ca="1" si="75"/>
        <v>0</v>
      </c>
      <c r="BH54" s="13">
        <f t="shared" ca="1" si="76"/>
        <v>0</v>
      </c>
      <c r="BI54" s="13">
        <f t="shared" ca="1" si="77"/>
        <v>0</v>
      </c>
      <c r="BJ54" s="13">
        <f t="shared" ca="1" si="78"/>
        <v>0</v>
      </c>
      <c r="BK54" s="13">
        <f t="shared" ca="1" si="79"/>
        <v>0</v>
      </c>
      <c r="BL54" s="13">
        <f t="shared" ca="1" si="80"/>
        <v>0</v>
      </c>
      <c r="BM54" s="13">
        <f t="shared" ca="1" si="81"/>
        <v>0</v>
      </c>
      <c r="BN54" s="13">
        <f t="shared" ca="1" si="82"/>
        <v>0</v>
      </c>
      <c r="BO54" s="13">
        <f t="shared" ca="1" si="83"/>
        <v>1400</v>
      </c>
      <c r="BP54" s="13">
        <f t="shared" ca="1" si="84"/>
        <v>95.554387291021172</v>
      </c>
      <c r="BQ54" s="13">
        <f t="shared" ca="1" si="85"/>
        <v>13334.616355509457</v>
      </c>
    </row>
    <row r="55" spans="1:69" x14ac:dyDescent="0.25">
      <c r="A55" s="1">
        <v>54</v>
      </c>
      <c r="B55" s="13">
        <f ca="1">IF(A55=1,IF(OR('My Loans'!$O$14="",'My Loans'!$O$14=0),0,INDIRECT("'My Loans'!$D"&amp;'My Loans'!$O$14)),AE54)</f>
        <v>0</v>
      </c>
      <c r="C55" s="13">
        <f ca="1">IF(OR('My Loans'!$O$14="",'My Loans'!$O$14=0),0,B55*INDIRECT("'My Loans'!$E"&amp;'My Loans'!$O$14)/12)</f>
        <v>0</v>
      </c>
      <c r="D55" s="13">
        <f ca="1">IF(OR('My Loans'!$O$14="",'My Loans'!$O$14=0),0,IF(B55&lt;0.005,0,MIN(INDIRECT("'My Loans'!$F"&amp;'My Loans'!$O$14),B55+C55)))</f>
        <v>0</v>
      </c>
      <c r="E55" s="13">
        <f ca="1">IF(A55=1,IF(OR('My Loans'!$O$15="",'My Loans'!$O$15=0),0,INDIRECT("'My Loans'!$D"&amp;'My Loans'!$O$15)),AJ54)</f>
        <v>0</v>
      </c>
      <c r="F55" s="13">
        <f ca="1">IF(OR('My Loans'!$O$15="",'My Loans'!$O$15=0),0,E55*INDIRECT("'My Loans'!$E"&amp;'My Loans'!$O$15)/12)</f>
        <v>0</v>
      </c>
      <c r="G55" s="13">
        <f ca="1">IF(OR('My Loans'!$O$15="",'My Loans'!$O$15=0),0,IF(E55&lt;0.005,0,MIN(INDIRECT("'My Loans'!$F"&amp;'My Loans'!$O$15),E55+F55)))</f>
        <v>0</v>
      </c>
      <c r="H55" s="13">
        <f ca="1">IF(A55=1,IF(OR('My Loans'!$O$16="",'My Loans'!$O$16=0),0,INDIRECT("'My Loans'!$D"&amp;'My Loans'!$O$16)),AO54)</f>
        <v>0</v>
      </c>
      <c r="I55" s="13">
        <f ca="1">IF(OR('My Loans'!$O$16="",'My Loans'!$O$16=0),0,H55*INDIRECT("'My Loans'!$E"&amp;'My Loans'!$O$16)/12)</f>
        <v>0</v>
      </c>
      <c r="J55" s="13">
        <f ca="1">IF(OR('My Loans'!$O$16="",'My Loans'!$O$16=0),0,IF(H55&lt;0.005,0,MIN(INDIRECT("'My Loans'!$F"&amp;'My Loans'!$O$16),H55+I55)))</f>
        <v>0</v>
      </c>
      <c r="K55" s="13">
        <f ca="1">IF(A55=1,IF(OR('My Loans'!$O$17="",'My Loans'!$O$17=0),0,INDIRECT("'My Loans'!$D"&amp;'My Loans'!$O$17)),AT54)</f>
        <v>0</v>
      </c>
      <c r="L55" s="13">
        <f ca="1">IF(OR('My Loans'!$O$17="",'My Loans'!$O$17=0),0,K55*INDIRECT("'My Loans'!$E"&amp;'My Loans'!$O$17)/12)</f>
        <v>0</v>
      </c>
      <c r="M55" s="13">
        <f ca="1">IF(OR('My Loans'!$O$17="",'My Loans'!$O$17=0),0,IF(K55&lt;0.005,0,MIN(INDIRECT("'My Loans'!$F"&amp;'My Loans'!$O$17),K55+L55)))</f>
        <v>0</v>
      </c>
      <c r="N55" s="13">
        <f ca="1">IF(A55=1,IF(OR('My Loans'!$O$18="",'My Loans'!$O$18=0),0,INDIRECT("'My Loans'!$D"&amp;'My Loans'!$O$18)),AY54)</f>
        <v>13334.616355509457</v>
      </c>
      <c r="O55" s="13">
        <f ca="1">IF(OR('My Loans'!$O$18="",'My Loans'!$O$18=0),0,N55*INDIRECT("'My Loans'!$E"&amp;'My Loans'!$O$18)/12)</f>
        <v>87.786224340437272</v>
      </c>
      <c r="P55" s="13">
        <f ca="1">IF(OR('My Loans'!$O$18="",'My Loans'!$O$18=0),0,IF(N55&lt;0.005,0,MIN(INDIRECT("'My Loans'!$F"&amp;'My Loans'!$O$18),N55+O55)))</f>
        <v>410</v>
      </c>
      <c r="Q55" s="13">
        <f ca="1">IF(A55=1,IF(OR('My Loans'!$O$19="",'My Loans'!$O$19=0),0,INDIRECT("'My Loans'!$D"&amp;'My Loans'!$O$19)),BD54)</f>
        <v>0</v>
      </c>
      <c r="R55" s="13">
        <f ca="1">IF(OR('My Loans'!$O$19="",'My Loans'!$O$19=0),0,Q55*INDIRECT("'My Loans'!$E"&amp;'My Loans'!$O$19)/12)</f>
        <v>0</v>
      </c>
      <c r="S55" s="13">
        <f ca="1">IF(OR('My Loans'!$O$19="",'My Loans'!$O$19=0),0,IF(Q55&lt;0.005,0,MIN(INDIRECT("'My Loans'!$F"&amp;'My Loans'!$O$19),Q55+R55)))</f>
        <v>0</v>
      </c>
      <c r="T55" s="13">
        <f ca="1">IF(A55=1,IF(OR('My Loans'!$O$20="",'My Loans'!$O$20=0),0,INDIRECT("'My Loans'!$D"&amp;'My Loans'!$O$20)),BI54)</f>
        <v>0</v>
      </c>
      <c r="U55" s="13">
        <f ca="1">IF(OR('My Loans'!$O$20="",'My Loans'!$O$20=0),0,T55*INDIRECT("'My Loans'!$E"&amp;'My Loans'!$O$20)/12)</f>
        <v>0</v>
      </c>
      <c r="V55" s="13">
        <f ca="1">IF(OR('My Loans'!$O$20="",'My Loans'!$O$20=0),0,IF(T55&lt;0.005,0,MIN(INDIRECT("'My Loans'!$F"&amp;'My Loans'!$O$20),T55+U55)))</f>
        <v>0</v>
      </c>
      <c r="W55" s="13">
        <f ca="1">IF(A55=1,IF(OR('My Loans'!$O$21="",'My Loans'!$O$21=0),0,INDIRECT("'My Loans'!$D"&amp;'My Loans'!$O$21)),BN54)</f>
        <v>0</v>
      </c>
      <c r="X55" s="13">
        <f ca="1">IF(OR('My Loans'!$O$21="",'My Loans'!$O$21=0),0,W55*INDIRECT("'My Loans'!$E"&amp;'My Loans'!$O$21)/12)</f>
        <v>0</v>
      </c>
      <c r="Y55" s="13">
        <f ca="1">IF(OR('My Loans'!$O$21="",'My Loans'!$O$21=0),0,IF(W55&lt;0.005,0,MIN(INDIRECT("'My Loans'!$F"&amp;'My Loans'!$O$21),W55+X55)))</f>
        <v>0</v>
      </c>
      <c r="Z55" s="13">
        <f ca="1">'My Loans'!$B$13-(D55+G55+J55+M55+P55+S55+V55+Y55)</f>
        <v>990</v>
      </c>
      <c r="AA55" s="13">
        <f t="shared" ca="1" si="43"/>
        <v>990</v>
      </c>
      <c r="AB55" s="13">
        <f t="shared" ca="1" si="44"/>
        <v>0</v>
      </c>
      <c r="AC55" s="13">
        <f t="shared" ca="1" si="45"/>
        <v>0</v>
      </c>
      <c r="AD55" s="13">
        <f t="shared" ca="1" si="46"/>
        <v>0</v>
      </c>
      <c r="AE55" s="13">
        <f t="shared" ca="1" si="47"/>
        <v>0</v>
      </c>
      <c r="AF55" s="13">
        <f t="shared" ca="1" si="48"/>
        <v>990</v>
      </c>
      <c r="AG55" s="13">
        <f t="shared" ca="1" si="49"/>
        <v>0</v>
      </c>
      <c r="AH55" s="13">
        <f t="shared" ca="1" si="50"/>
        <v>0</v>
      </c>
      <c r="AI55" s="13">
        <f t="shared" ca="1" si="51"/>
        <v>0</v>
      </c>
      <c r="AJ55" s="13">
        <f t="shared" ca="1" si="52"/>
        <v>0</v>
      </c>
      <c r="AK55" s="13">
        <f t="shared" ca="1" si="53"/>
        <v>990</v>
      </c>
      <c r="AL55" s="13">
        <f t="shared" ca="1" si="54"/>
        <v>0</v>
      </c>
      <c r="AM55" s="13">
        <f t="shared" ca="1" si="55"/>
        <v>0</v>
      </c>
      <c r="AN55" s="13">
        <f t="shared" ca="1" si="56"/>
        <v>0</v>
      </c>
      <c r="AO55" s="13">
        <f t="shared" ca="1" si="57"/>
        <v>0</v>
      </c>
      <c r="AP55" s="13">
        <f t="shared" ca="1" si="58"/>
        <v>990</v>
      </c>
      <c r="AQ55" s="13">
        <f t="shared" ca="1" si="59"/>
        <v>0</v>
      </c>
      <c r="AR55" s="13">
        <f t="shared" ca="1" si="60"/>
        <v>0</v>
      </c>
      <c r="AS55" s="13">
        <f t="shared" ca="1" si="61"/>
        <v>0</v>
      </c>
      <c r="AT55" s="13">
        <f t="shared" ca="1" si="62"/>
        <v>0</v>
      </c>
      <c r="AU55" s="13">
        <f t="shared" ca="1" si="63"/>
        <v>990</v>
      </c>
      <c r="AV55" s="13">
        <f t="shared" ca="1" si="64"/>
        <v>13012.402579849895</v>
      </c>
      <c r="AW55" s="13">
        <f t="shared" ca="1" si="65"/>
        <v>990</v>
      </c>
      <c r="AX55" s="13">
        <f t="shared" ca="1" si="66"/>
        <v>1400</v>
      </c>
      <c r="AY55" s="13">
        <f t="shared" ca="1" si="67"/>
        <v>12022.402579849895</v>
      </c>
      <c r="AZ55" s="13">
        <f t="shared" ca="1" si="68"/>
        <v>0</v>
      </c>
      <c r="BA55" s="13">
        <f t="shared" ca="1" si="69"/>
        <v>0</v>
      </c>
      <c r="BB55" s="13">
        <f t="shared" ca="1" si="70"/>
        <v>0</v>
      </c>
      <c r="BC55" s="13">
        <f t="shared" ca="1" si="71"/>
        <v>0</v>
      </c>
      <c r="BD55" s="13">
        <f t="shared" ca="1" si="72"/>
        <v>0</v>
      </c>
      <c r="BE55" s="13">
        <f t="shared" ca="1" si="73"/>
        <v>0</v>
      </c>
      <c r="BF55" s="13">
        <f t="shared" ca="1" si="74"/>
        <v>0</v>
      </c>
      <c r="BG55" s="13">
        <f t="shared" ca="1" si="75"/>
        <v>0</v>
      </c>
      <c r="BH55" s="13">
        <f t="shared" ca="1" si="76"/>
        <v>0</v>
      </c>
      <c r="BI55" s="13">
        <f t="shared" ca="1" si="77"/>
        <v>0</v>
      </c>
      <c r="BJ55" s="13">
        <f t="shared" ca="1" si="78"/>
        <v>0</v>
      </c>
      <c r="BK55" s="13">
        <f t="shared" ca="1" si="79"/>
        <v>0</v>
      </c>
      <c r="BL55" s="13">
        <f t="shared" ca="1" si="80"/>
        <v>0</v>
      </c>
      <c r="BM55" s="13">
        <f t="shared" ca="1" si="81"/>
        <v>0</v>
      </c>
      <c r="BN55" s="13">
        <f t="shared" ca="1" si="82"/>
        <v>0</v>
      </c>
      <c r="BO55" s="13">
        <f t="shared" ca="1" si="83"/>
        <v>1400</v>
      </c>
      <c r="BP55" s="13">
        <f t="shared" ca="1" si="84"/>
        <v>87.786224340437272</v>
      </c>
      <c r="BQ55" s="13">
        <f t="shared" ca="1" si="85"/>
        <v>12022.402579849895</v>
      </c>
    </row>
    <row r="56" spans="1:69" x14ac:dyDescent="0.25">
      <c r="A56" s="1">
        <v>55</v>
      </c>
      <c r="B56" s="13">
        <f ca="1">IF(A56=1,IF(OR('My Loans'!$O$14="",'My Loans'!$O$14=0),0,INDIRECT("'My Loans'!$D"&amp;'My Loans'!$O$14)),AE55)</f>
        <v>0</v>
      </c>
      <c r="C56" s="13">
        <f ca="1">IF(OR('My Loans'!$O$14="",'My Loans'!$O$14=0),0,B56*INDIRECT("'My Loans'!$E"&amp;'My Loans'!$O$14)/12)</f>
        <v>0</v>
      </c>
      <c r="D56" s="13">
        <f ca="1">IF(OR('My Loans'!$O$14="",'My Loans'!$O$14=0),0,IF(B56&lt;0.005,0,MIN(INDIRECT("'My Loans'!$F"&amp;'My Loans'!$O$14),B56+C56)))</f>
        <v>0</v>
      </c>
      <c r="E56" s="13">
        <f ca="1">IF(A56=1,IF(OR('My Loans'!$O$15="",'My Loans'!$O$15=0),0,INDIRECT("'My Loans'!$D"&amp;'My Loans'!$O$15)),AJ55)</f>
        <v>0</v>
      </c>
      <c r="F56" s="13">
        <f ca="1">IF(OR('My Loans'!$O$15="",'My Loans'!$O$15=0),0,E56*INDIRECT("'My Loans'!$E"&amp;'My Loans'!$O$15)/12)</f>
        <v>0</v>
      </c>
      <c r="G56" s="13">
        <f ca="1">IF(OR('My Loans'!$O$15="",'My Loans'!$O$15=0),0,IF(E56&lt;0.005,0,MIN(INDIRECT("'My Loans'!$F"&amp;'My Loans'!$O$15),E56+F56)))</f>
        <v>0</v>
      </c>
      <c r="H56" s="13">
        <f ca="1">IF(A56=1,IF(OR('My Loans'!$O$16="",'My Loans'!$O$16=0),0,INDIRECT("'My Loans'!$D"&amp;'My Loans'!$O$16)),AO55)</f>
        <v>0</v>
      </c>
      <c r="I56" s="13">
        <f ca="1">IF(OR('My Loans'!$O$16="",'My Loans'!$O$16=0),0,H56*INDIRECT("'My Loans'!$E"&amp;'My Loans'!$O$16)/12)</f>
        <v>0</v>
      </c>
      <c r="J56" s="13">
        <f ca="1">IF(OR('My Loans'!$O$16="",'My Loans'!$O$16=0),0,IF(H56&lt;0.005,0,MIN(INDIRECT("'My Loans'!$F"&amp;'My Loans'!$O$16),H56+I56)))</f>
        <v>0</v>
      </c>
      <c r="K56" s="13">
        <f ca="1">IF(A56=1,IF(OR('My Loans'!$O$17="",'My Loans'!$O$17=0),0,INDIRECT("'My Loans'!$D"&amp;'My Loans'!$O$17)),AT55)</f>
        <v>0</v>
      </c>
      <c r="L56" s="13">
        <f ca="1">IF(OR('My Loans'!$O$17="",'My Loans'!$O$17=0),0,K56*INDIRECT("'My Loans'!$E"&amp;'My Loans'!$O$17)/12)</f>
        <v>0</v>
      </c>
      <c r="M56" s="13">
        <f ca="1">IF(OR('My Loans'!$O$17="",'My Loans'!$O$17=0),0,IF(K56&lt;0.005,0,MIN(INDIRECT("'My Loans'!$F"&amp;'My Loans'!$O$17),K56+L56)))</f>
        <v>0</v>
      </c>
      <c r="N56" s="13">
        <f ca="1">IF(A56=1,IF(OR('My Loans'!$O$18="",'My Loans'!$O$18=0),0,INDIRECT("'My Loans'!$D"&amp;'My Loans'!$O$18)),AY55)</f>
        <v>12022.402579849895</v>
      </c>
      <c r="O56" s="13">
        <f ca="1">IF(OR('My Loans'!$O$18="",'My Loans'!$O$18=0),0,N56*INDIRECT("'My Loans'!$E"&amp;'My Loans'!$O$18)/12)</f>
        <v>79.147483650678481</v>
      </c>
      <c r="P56" s="13">
        <f ca="1">IF(OR('My Loans'!$O$18="",'My Loans'!$O$18=0),0,IF(N56&lt;0.005,0,MIN(INDIRECT("'My Loans'!$F"&amp;'My Loans'!$O$18),N56+O56)))</f>
        <v>410</v>
      </c>
      <c r="Q56" s="13">
        <f ca="1">IF(A56=1,IF(OR('My Loans'!$O$19="",'My Loans'!$O$19=0),0,INDIRECT("'My Loans'!$D"&amp;'My Loans'!$O$19)),BD55)</f>
        <v>0</v>
      </c>
      <c r="R56" s="13">
        <f ca="1">IF(OR('My Loans'!$O$19="",'My Loans'!$O$19=0),0,Q56*INDIRECT("'My Loans'!$E"&amp;'My Loans'!$O$19)/12)</f>
        <v>0</v>
      </c>
      <c r="S56" s="13">
        <f ca="1">IF(OR('My Loans'!$O$19="",'My Loans'!$O$19=0),0,IF(Q56&lt;0.005,0,MIN(INDIRECT("'My Loans'!$F"&amp;'My Loans'!$O$19),Q56+R56)))</f>
        <v>0</v>
      </c>
      <c r="T56" s="13">
        <f ca="1">IF(A56=1,IF(OR('My Loans'!$O$20="",'My Loans'!$O$20=0),0,INDIRECT("'My Loans'!$D"&amp;'My Loans'!$O$20)),BI55)</f>
        <v>0</v>
      </c>
      <c r="U56" s="13">
        <f ca="1">IF(OR('My Loans'!$O$20="",'My Loans'!$O$20=0),0,T56*INDIRECT("'My Loans'!$E"&amp;'My Loans'!$O$20)/12)</f>
        <v>0</v>
      </c>
      <c r="V56" s="13">
        <f ca="1">IF(OR('My Loans'!$O$20="",'My Loans'!$O$20=0),0,IF(T56&lt;0.005,0,MIN(INDIRECT("'My Loans'!$F"&amp;'My Loans'!$O$20),T56+U56)))</f>
        <v>0</v>
      </c>
      <c r="W56" s="13">
        <f ca="1">IF(A56=1,IF(OR('My Loans'!$O$21="",'My Loans'!$O$21=0),0,INDIRECT("'My Loans'!$D"&amp;'My Loans'!$O$21)),BN55)</f>
        <v>0</v>
      </c>
      <c r="X56" s="13">
        <f ca="1">IF(OR('My Loans'!$O$21="",'My Loans'!$O$21=0),0,W56*INDIRECT("'My Loans'!$E"&amp;'My Loans'!$O$21)/12)</f>
        <v>0</v>
      </c>
      <c r="Y56" s="13">
        <f ca="1">IF(OR('My Loans'!$O$21="",'My Loans'!$O$21=0),0,IF(W56&lt;0.005,0,MIN(INDIRECT("'My Loans'!$F"&amp;'My Loans'!$O$21),W56+X56)))</f>
        <v>0</v>
      </c>
      <c r="Z56" s="13">
        <f ca="1">'My Loans'!$B$13-(D56+G56+J56+M56+P56+S56+V56+Y56)</f>
        <v>990</v>
      </c>
      <c r="AA56" s="13">
        <f t="shared" ca="1" si="43"/>
        <v>990</v>
      </c>
      <c r="AB56" s="13">
        <f t="shared" ca="1" si="44"/>
        <v>0</v>
      </c>
      <c r="AC56" s="13">
        <f t="shared" ca="1" si="45"/>
        <v>0</v>
      </c>
      <c r="AD56" s="13">
        <f t="shared" ca="1" si="46"/>
        <v>0</v>
      </c>
      <c r="AE56" s="13">
        <f t="shared" ca="1" si="47"/>
        <v>0</v>
      </c>
      <c r="AF56" s="13">
        <f t="shared" ca="1" si="48"/>
        <v>990</v>
      </c>
      <c r="AG56" s="13">
        <f t="shared" ca="1" si="49"/>
        <v>0</v>
      </c>
      <c r="AH56" s="13">
        <f t="shared" ca="1" si="50"/>
        <v>0</v>
      </c>
      <c r="AI56" s="13">
        <f t="shared" ca="1" si="51"/>
        <v>0</v>
      </c>
      <c r="AJ56" s="13">
        <f t="shared" ca="1" si="52"/>
        <v>0</v>
      </c>
      <c r="AK56" s="13">
        <f t="shared" ca="1" si="53"/>
        <v>990</v>
      </c>
      <c r="AL56" s="13">
        <f t="shared" ca="1" si="54"/>
        <v>0</v>
      </c>
      <c r="AM56" s="13">
        <f t="shared" ca="1" si="55"/>
        <v>0</v>
      </c>
      <c r="AN56" s="13">
        <f t="shared" ca="1" si="56"/>
        <v>0</v>
      </c>
      <c r="AO56" s="13">
        <f t="shared" ca="1" si="57"/>
        <v>0</v>
      </c>
      <c r="AP56" s="13">
        <f t="shared" ca="1" si="58"/>
        <v>990</v>
      </c>
      <c r="AQ56" s="13">
        <f t="shared" ca="1" si="59"/>
        <v>0</v>
      </c>
      <c r="AR56" s="13">
        <f t="shared" ca="1" si="60"/>
        <v>0</v>
      </c>
      <c r="AS56" s="13">
        <f t="shared" ca="1" si="61"/>
        <v>0</v>
      </c>
      <c r="AT56" s="13">
        <f t="shared" ca="1" si="62"/>
        <v>0</v>
      </c>
      <c r="AU56" s="13">
        <f t="shared" ca="1" si="63"/>
        <v>990</v>
      </c>
      <c r="AV56" s="13">
        <f t="shared" ca="1" si="64"/>
        <v>11691.550063500574</v>
      </c>
      <c r="AW56" s="13">
        <f t="shared" ca="1" si="65"/>
        <v>990</v>
      </c>
      <c r="AX56" s="13">
        <f t="shared" ca="1" si="66"/>
        <v>1400</v>
      </c>
      <c r="AY56" s="13">
        <f t="shared" ca="1" si="67"/>
        <v>10701.550063500574</v>
      </c>
      <c r="AZ56" s="13">
        <f t="shared" ca="1" si="68"/>
        <v>0</v>
      </c>
      <c r="BA56" s="13">
        <f t="shared" ca="1" si="69"/>
        <v>0</v>
      </c>
      <c r="BB56" s="13">
        <f t="shared" ca="1" si="70"/>
        <v>0</v>
      </c>
      <c r="BC56" s="13">
        <f t="shared" ca="1" si="71"/>
        <v>0</v>
      </c>
      <c r="BD56" s="13">
        <f t="shared" ca="1" si="72"/>
        <v>0</v>
      </c>
      <c r="BE56" s="13">
        <f t="shared" ca="1" si="73"/>
        <v>0</v>
      </c>
      <c r="BF56" s="13">
        <f t="shared" ca="1" si="74"/>
        <v>0</v>
      </c>
      <c r="BG56" s="13">
        <f t="shared" ca="1" si="75"/>
        <v>0</v>
      </c>
      <c r="BH56" s="13">
        <f t="shared" ca="1" si="76"/>
        <v>0</v>
      </c>
      <c r="BI56" s="13">
        <f t="shared" ca="1" si="77"/>
        <v>0</v>
      </c>
      <c r="BJ56" s="13">
        <f t="shared" ca="1" si="78"/>
        <v>0</v>
      </c>
      <c r="BK56" s="13">
        <f t="shared" ca="1" si="79"/>
        <v>0</v>
      </c>
      <c r="BL56" s="13">
        <f t="shared" ca="1" si="80"/>
        <v>0</v>
      </c>
      <c r="BM56" s="13">
        <f t="shared" ca="1" si="81"/>
        <v>0</v>
      </c>
      <c r="BN56" s="13">
        <f t="shared" ca="1" si="82"/>
        <v>0</v>
      </c>
      <c r="BO56" s="13">
        <f t="shared" ca="1" si="83"/>
        <v>1400</v>
      </c>
      <c r="BP56" s="13">
        <f t="shared" ca="1" si="84"/>
        <v>79.147483650678481</v>
      </c>
      <c r="BQ56" s="13">
        <f t="shared" ca="1" si="85"/>
        <v>10701.550063500574</v>
      </c>
    </row>
    <row r="57" spans="1:69" x14ac:dyDescent="0.25">
      <c r="A57" s="1">
        <v>56</v>
      </c>
      <c r="B57" s="13">
        <f ca="1">IF(A57=1,IF(OR('My Loans'!$O$14="",'My Loans'!$O$14=0),0,INDIRECT("'My Loans'!$D"&amp;'My Loans'!$O$14)),AE56)</f>
        <v>0</v>
      </c>
      <c r="C57" s="13">
        <f ca="1">IF(OR('My Loans'!$O$14="",'My Loans'!$O$14=0),0,B57*INDIRECT("'My Loans'!$E"&amp;'My Loans'!$O$14)/12)</f>
        <v>0</v>
      </c>
      <c r="D57" s="13">
        <f ca="1">IF(OR('My Loans'!$O$14="",'My Loans'!$O$14=0),0,IF(B57&lt;0.005,0,MIN(INDIRECT("'My Loans'!$F"&amp;'My Loans'!$O$14),B57+C57)))</f>
        <v>0</v>
      </c>
      <c r="E57" s="13">
        <f ca="1">IF(A57=1,IF(OR('My Loans'!$O$15="",'My Loans'!$O$15=0),0,INDIRECT("'My Loans'!$D"&amp;'My Loans'!$O$15)),AJ56)</f>
        <v>0</v>
      </c>
      <c r="F57" s="13">
        <f ca="1">IF(OR('My Loans'!$O$15="",'My Loans'!$O$15=0),0,E57*INDIRECT("'My Loans'!$E"&amp;'My Loans'!$O$15)/12)</f>
        <v>0</v>
      </c>
      <c r="G57" s="13">
        <f ca="1">IF(OR('My Loans'!$O$15="",'My Loans'!$O$15=0),0,IF(E57&lt;0.005,0,MIN(INDIRECT("'My Loans'!$F"&amp;'My Loans'!$O$15),E57+F57)))</f>
        <v>0</v>
      </c>
      <c r="H57" s="13">
        <f ca="1">IF(A57=1,IF(OR('My Loans'!$O$16="",'My Loans'!$O$16=0),0,INDIRECT("'My Loans'!$D"&amp;'My Loans'!$O$16)),AO56)</f>
        <v>0</v>
      </c>
      <c r="I57" s="13">
        <f ca="1">IF(OR('My Loans'!$O$16="",'My Loans'!$O$16=0),0,H57*INDIRECT("'My Loans'!$E"&amp;'My Loans'!$O$16)/12)</f>
        <v>0</v>
      </c>
      <c r="J57" s="13">
        <f ca="1">IF(OR('My Loans'!$O$16="",'My Loans'!$O$16=0),0,IF(H57&lt;0.005,0,MIN(INDIRECT("'My Loans'!$F"&amp;'My Loans'!$O$16),H57+I57)))</f>
        <v>0</v>
      </c>
      <c r="K57" s="13">
        <f ca="1">IF(A57=1,IF(OR('My Loans'!$O$17="",'My Loans'!$O$17=0),0,INDIRECT("'My Loans'!$D"&amp;'My Loans'!$O$17)),AT56)</f>
        <v>0</v>
      </c>
      <c r="L57" s="13">
        <f ca="1">IF(OR('My Loans'!$O$17="",'My Loans'!$O$17=0),0,K57*INDIRECT("'My Loans'!$E"&amp;'My Loans'!$O$17)/12)</f>
        <v>0</v>
      </c>
      <c r="M57" s="13">
        <f ca="1">IF(OR('My Loans'!$O$17="",'My Loans'!$O$17=0),0,IF(K57&lt;0.005,0,MIN(INDIRECT("'My Loans'!$F"&amp;'My Loans'!$O$17),K57+L57)))</f>
        <v>0</v>
      </c>
      <c r="N57" s="13">
        <f ca="1">IF(A57=1,IF(OR('My Loans'!$O$18="",'My Loans'!$O$18=0),0,INDIRECT("'My Loans'!$D"&amp;'My Loans'!$O$18)),AY56)</f>
        <v>10701.550063500574</v>
      </c>
      <c r="O57" s="13">
        <f ca="1">IF(OR('My Loans'!$O$18="",'My Loans'!$O$18=0),0,N57*INDIRECT("'My Loans'!$E"&amp;'My Loans'!$O$18)/12)</f>
        <v>70.451871251378776</v>
      </c>
      <c r="P57" s="13">
        <f ca="1">IF(OR('My Loans'!$O$18="",'My Loans'!$O$18=0),0,IF(N57&lt;0.005,0,MIN(INDIRECT("'My Loans'!$F"&amp;'My Loans'!$O$18),N57+O57)))</f>
        <v>410</v>
      </c>
      <c r="Q57" s="13">
        <f ca="1">IF(A57=1,IF(OR('My Loans'!$O$19="",'My Loans'!$O$19=0),0,INDIRECT("'My Loans'!$D"&amp;'My Loans'!$O$19)),BD56)</f>
        <v>0</v>
      </c>
      <c r="R57" s="13">
        <f ca="1">IF(OR('My Loans'!$O$19="",'My Loans'!$O$19=0),0,Q57*INDIRECT("'My Loans'!$E"&amp;'My Loans'!$O$19)/12)</f>
        <v>0</v>
      </c>
      <c r="S57" s="13">
        <f ca="1">IF(OR('My Loans'!$O$19="",'My Loans'!$O$19=0),0,IF(Q57&lt;0.005,0,MIN(INDIRECT("'My Loans'!$F"&amp;'My Loans'!$O$19),Q57+R57)))</f>
        <v>0</v>
      </c>
      <c r="T57" s="13">
        <f ca="1">IF(A57=1,IF(OR('My Loans'!$O$20="",'My Loans'!$O$20=0),0,INDIRECT("'My Loans'!$D"&amp;'My Loans'!$O$20)),BI56)</f>
        <v>0</v>
      </c>
      <c r="U57" s="13">
        <f ca="1">IF(OR('My Loans'!$O$20="",'My Loans'!$O$20=0),0,T57*INDIRECT("'My Loans'!$E"&amp;'My Loans'!$O$20)/12)</f>
        <v>0</v>
      </c>
      <c r="V57" s="13">
        <f ca="1">IF(OR('My Loans'!$O$20="",'My Loans'!$O$20=0),0,IF(T57&lt;0.005,0,MIN(INDIRECT("'My Loans'!$F"&amp;'My Loans'!$O$20),T57+U57)))</f>
        <v>0</v>
      </c>
      <c r="W57" s="13">
        <f ca="1">IF(A57=1,IF(OR('My Loans'!$O$21="",'My Loans'!$O$21=0),0,INDIRECT("'My Loans'!$D"&amp;'My Loans'!$O$21)),BN56)</f>
        <v>0</v>
      </c>
      <c r="X57" s="13">
        <f ca="1">IF(OR('My Loans'!$O$21="",'My Loans'!$O$21=0),0,W57*INDIRECT("'My Loans'!$E"&amp;'My Loans'!$O$21)/12)</f>
        <v>0</v>
      </c>
      <c r="Y57" s="13">
        <f ca="1">IF(OR('My Loans'!$O$21="",'My Loans'!$O$21=0),0,IF(W57&lt;0.005,0,MIN(INDIRECT("'My Loans'!$F"&amp;'My Loans'!$O$21),W57+X57)))</f>
        <v>0</v>
      </c>
      <c r="Z57" s="13">
        <f ca="1">'My Loans'!$B$13-(D57+G57+J57+M57+P57+S57+V57+Y57)</f>
        <v>990</v>
      </c>
      <c r="AA57" s="13">
        <f t="shared" ca="1" si="43"/>
        <v>990</v>
      </c>
      <c r="AB57" s="13">
        <f t="shared" ca="1" si="44"/>
        <v>0</v>
      </c>
      <c r="AC57" s="13">
        <f t="shared" ca="1" si="45"/>
        <v>0</v>
      </c>
      <c r="AD57" s="13">
        <f t="shared" ca="1" si="46"/>
        <v>0</v>
      </c>
      <c r="AE57" s="13">
        <f t="shared" ca="1" si="47"/>
        <v>0</v>
      </c>
      <c r="AF57" s="13">
        <f t="shared" ca="1" si="48"/>
        <v>990</v>
      </c>
      <c r="AG57" s="13">
        <f t="shared" ca="1" si="49"/>
        <v>0</v>
      </c>
      <c r="AH57" s="13">
        <f t="shared" ca="1" si="50"/>
        <v>0</v>
      </c>
      <c r="AI57" s="13">
        <f t="shared" ca="1" si="51"/>
        <v>0</v>
      </c>
      <c r="AJ57" s="13">
        <f t="shared" ca="1" si="52"/>
        <v>0</v>
      </c>
      <c r="AK57" s="13">
        <f t="shared" ca="1" si="53"/>
        <v>990</v>
      </c>
      <c r="AL57" s="13">
        <f t="shared" ca="1" si="54"/>
        <v>0</v>
      </c>
      <c r="AM57" s="13">
        <f t="shared" ca="1" si="55"/>
        <v>0</v>
      </c>
      <c r="AN57" s="13">
        <f t="shared" ca="1" si="56"/>
        <v>0</v>
      </c>
      <c r="AO57" s="13">
        <f t="shared" ca="1" si="57"/>
        <v>0</v>
      </c>
      <c r="AP57" s="13">
        <f t="shared" ca="1" si="58"/>
        <v>990</v>
      </c>
      <c r="AQ57" s="13">
        <f t="shared" ca="1" si="59"/>
        <v>0</v>
      </c>
      <c r="AR57" s="13">
        <f t="shared" ca="1" si="60"/>
        <v>0</v>
      </c>
      <c r="AS57" s="13">
        <f t="shared" ca="1" si="61"/>
        <v>0</v>
      </c>
      <c r="AT57" s="13">
        <f t="shared" ca="1" si="62"/>
        <v>0</v>
      </c>
      <c r="AU57" s="13">
        <f t="shared" ca="1" si="63"/>
        <v>990</v>
      </c>
      <c r="AV57" s="13">
        <f t="shared" ca="1" si="64"/>
        <v>10362.001934751952</v>
      </c>
      <c r="AW57" s="13">
        <f t="shared" ca="1" si="65"/>
        <v>990</v>
      </c>
      <c r="AX57" s="13">
        <f t="shared" ca="1" si="66"/>
        <v>1400</v>
      </c>
      <c r="AY57" s="13">
        <f t="shared" ca="1" si="67"/>
        <v>9372.0019347519519</v>
      </c>
      <c r="AZ57" s="13">
        <f t="shared" ca="1" si="68"/>
        <v>0</v>
      </c>
      <c r="BA57" s="13">
        <f t="shared" ca="1" si="69"/>
        <v>0</v>
      </c>
      <c r="BB57" s="13">
        <f t="shared" ca="1" si="70"/>
        <v>0</v>
      </c>
      <c r="BC57" s="13">
        <f t="shared" ca="1" si="71"/>
        <v>0</v>
      </c>
      <c r="BD57" s="13">
        <f t="shared" ca="1" si="72"/>
        <v>0</v>
      </c>
      <c r="BE57" s="13">
        <f t="shared" ca="1" si="73"/>
        <v>0</v>
      </c>
      <c r="BF57" s="13">
        <f t="shared" ca="1" si="74"/>
        <v>0</v>
      </c>
      <c r="BG57" s="13">
        <f t="shared" ca="1" si="75"/>
        <v>0</v>
      </c>
      <c r="BH57" s="13">
        <f t="shared" ca="1" si="76"/>
        <v>0</v>
      </c>
      <c r="BI57" s="13">
        <f t="shared" ca="1" si="77"/>
        <v>0</v>
      </c>
      <c r="BJ57" s="13">
        <f t="shared" ca="1" si="78"/>
        <v>0</v>
      </c>
      <c r="BK57" s="13">
        <f t="shared" ca="1" si="79"/>
        <v>0</v>
      </c>
      <c r="BL57" s="13">
        <f t="shared" ca="1" si="80"/>
        <v>0</v>
      </c>
      <c r="BM57" s="13">
        <f t="shared" ca="1" si="81"/>
        <v>0</v>
      </c>
      <c r="BN57" s="13">
        <f t="shared" ca="1" si="82"/>
        <v>0</v>
      </c>
      <c r="BO57" s="13">
        <f t="shared" ca="1" si="83"/>
        <v>1400</v>
      </c>
      <c r="BP57" s="13">
        <f t="shared" ca="1" si="84"/>
        <v>70.451871251378776</v>
      </c>
      <c r="BQ57" s="13">
        <f t="shared" ca="1" si="85"/>
        <v>9372.0019347519519</v>
      </c>
    </row>
    <row r="58" spans="1:69" x14ac:dyDescent="0.25">
      <c r="A58" s="1">
        <v>57</v>
      </c>
      <c r="B58" s="13">
        <f ca="1">IF(A58=1,IF(OR('My Loans'!$O$14="",'My Loans'!$O$14=0),0,INDIRECT("'My Loans'!$D"&amp;'My Loans'!$O$14)),AE57)</f>
        <v>0</v>
      </c>
      <c r="C58" s="13">
        <f ca="1">IF(OR('My Loans'!$O$14="",'My Loans'!$O$14=0),0,B58*INDIRECT("'My Loans'!$E"&amp;'My Loans'!$O$14)/12)</f>
        <v>0</v>
      </c>
      <c r="D58" s="13">
        <f ca="1">IF(OR('My Loans'!$O$14="",'My Loans'!$O$14=0),0,IF(B58&lt;0.005,0,MIN(INDIRECT("'My Loans'!$F"&amp;'My Loans'!$O$14),B58+C58)))</f>
        <v>0</v>
      </c>
      <c r="E58" s="13">
        <f ca="1">IF(A58=1,IF(OR('My Loans'!$O$15="",'My Loans'!$O$15=0),0,INDIRECT("'My Loans'!$D"&amp;'My Loans'!$O$15)),AJ57)</f>
        <v>0</v>
      </c>
      <c r="F58" s="13">
        <f ca="1">IF(OR('My Loans'!$O$15="",'My Loans'!$O$15=0),0,E58*INDIRECT("'My Loans'!$E"&amp;'My Loans'!$O$15)/12)</f>
        <v>0</v>
      </c>
      <c r="G58" s="13">
        <f ca="1">IF(OR('My Loans'!$O$15="",'My Loans'!$O$15=0),0,IF(E58&lt;0.005,0,MIN(INDIRECT("'My Loans'!$F"&amp;'My Loans'!$O$15),E58+F58)))</f>
        <v>0</v>
      </c>
      <c r="H58" s="13">
        <f ca="1">IF(A58=1,IF(OR('My Loans'!$O$16="",'My Loans'!$O$16=0),0,INDIRECT("'My Loans'!$D"&amp;'My Loans'!$O$16)),AO57)</f>
        <v>0</v>
      </c>
      <c r="I58" s="13">
        <f ca="1">IF(OR('My Loans'!$O$16="",'My Loans'!$O$16=0),0,H58*INDIRECT("'My Loans'!$E"&amp;'My Loans'!$O$16)/12)</f>
        <v>0</v>
      </c>
      <c r="J58" s="13">
        <f ca="1">IF(OR('My Loans'!$O$16="",'My Loans'!$O$16=0),0,IF(H58&lt;0.005,0,MIN(INDIRECT("'My Loans'!$F"&amp;'My Loans'!$O$16),H58+I58)))</f>
        <v>0</v>
      </c>
      <c r="K58" s="13">
        <f ca="1">IF(A58=1,IF(OR('My Loans'!$O$17="",'My Loans'!$O$17=0),0,INDIRECT("'My Loans'!$D"&amp;'My Loans'!$O$17)),AT57)</f>
        <v>0</v>
      </c>
      <c r="L58" s="13">
        <f ca="1">IF(OR('My Loans'!$O$17="",'My Loans'!$O$17=0),0,K58*INDIRECT("'My Loans'!$E"&amp;'My Loans'!$O$17)/12)</f>
        <v>0</v>
      </c>
      <c r="M58" s="13">
        <f ca="1">IF(OR('My Loans'!$O$17="",'My Loans'!$O$17=0),0,IF(K58&lt;0.005,0,MIN(INDIRECT("'My Loans'!$F"&amp;'My Loans'!$O$17),K58+L58)))</f>
        <v>0</v>
      </c>
      <c r="N58" s="13">
        <f ca="1">IF(A58=1,IF(OR('My Loans'!$O$18="",'My Loans'!$O$18=0),0,INDIRECT("'My Loans'!$D"&amp;'My Loans'!$O$18)),AY57)</f>
        <v>9372.0019347519519</v>
      </c>
      <c r="O58" s="13">
        <f ca="1">IF(OR('My Loans'!$O$18="",'My Loans'!$O$18=0),0,N58*INDIRECT("'My Loans'!$E"&amp;'My Loans'!$O$18)/12)</f>
        <v>61.699012737117016</v>
      </c>
      <c r="P58" s="13">
        <f ca="1">IF(OR('My Loans'!$O$18="",'My Loans'!$O$18=0),0,IF(N58&lt;0.005,0,MIN(INDIRECT("'My Loans'!$F"&amp;'My Loans'!$O$18),N58+O58)))</f>
        <v>410</v>
      </c>
      <c r="Q58" s="13">
        <f ca="1">IF(A58=1,IF(OR('My Loans'!$O$19="",'My Loans'!$O$19=0),0,INDIRECT("'My Loans'!$D"&amp;'My Loans'!$O$19)),BD57)</f>
        <v>0</v>
      </c>
      <c r="R58" s="13">
        <f ca="1">IF(OR('My Loans'!$O$19="",'My Loans'!$O$19=0),0,Q58*INDIRECT("'My Loans'!$E"&amp;'My Loans'!$O$19)/12)</f>
        <v>0</v>
      </c>
      <c r="S58" s="13">
        <f ca="1">IF(OR('My Loans'!$O$19="",'My Loans'!$O$19=0),0,IF(Q58&lt;0.005,0,MIN(INDIRECT("'My Loans'!$F"&amp;'My Loans'!$O$19),Q58+R58)))</f>
        <v>0</v>
      </c>
      <c r="T58" s="13">
        <f ca="1">IF(A58=1,IF(OR('My Loans'!$O$20="",'My Loans'!$O$20=0),0,INDIRECT("'My Loans'!$D"&amp;'My Loans'!$O$20)),BI57)</f>
        <v>0</v>
      </c>
      <c r="U58" s="13">
        <f ca="1">IF(OR('My Loans'!$O$20="",'My Loans'!$O$20=0),0,T58*INDIRECT("'My Loans'!$E"&amp;'My Loans'!$O$20)/12)</f>
        <v>0</v>
      </c>
      <c r="V58" s="13">
        <f ca="1">IF(OR('My Loans'!$O$20="",'My Loans'!$O$20=0),0,IF(T58&lt;0.005,0,MIN(INDIRECT("'My Loans'!$F"&amp;'My Loans'!$O$20),T58+U58)))</f>
        <v>0</v>
      </c>
      <c r="W58" s="13">
        <f ca="1">IF(A58=1,IF(OR('My Loans'!$O$21="",'My Loans'!$O$21=0),0,INDIRECT("'My Loans'!$D"&amp;'My Loans'!$O$21)),BN57)</f>
        <v>0</v>
      </c>
      <c r="X58" s="13">
        <f ca="1">IF(OR('My Loans'!$O$21="",'My Loans'!$O$21=0),0,W58*INDIRECT("'My Loans'!$E"&amp;'My Loans'!$O$21)/12)</f>
        <v>0</v>
      </c>
      <c r="Y58" s="13">
        <f ca="1">IF(OR('My Loans'!$O$21="",'My Loans'!$O$21=0),0,IF(W58&lt;0.005,0,MIN(INDIRECT("'My Loans'!$F"&amp;'My Loans'!$O$21),W58+X58)))</f>
        <v>0</v>
      </c>
      <c r="Z58" s="13">
        <f ca="1">'My Loans'!$B$13-(D58+G58+J58+M58+P58+S58+V58+Y58)</f>
        <v>990</v>
      </c>
      <c r="AA58" s="13">
        <f t="shared" ca="1" si="43"/>
        <v>990</v>
      </c>
      <c r="AB58" s="13">
        <f t="shared" ca="1" si="44"/>
        <v>0</v>
      </c>
      <c r="AC58" s="13">
        <f t="shared" ca="1" si="45"/>
        <v>0</v>
      </c>
      <c r="AD58" s="13">
        <f t="shared" ca="1" si="46"/>
        <v>0</v>
      </c>
      <c r="AE58" s="13">
        <f t="shared" ca="1" si="47"/>
        <v>0</v>
      </c>
      <c r="AF58" s="13">
        <f t="shared" ca="1" si="48"/>
        <v>990</v>
      </c>
      <c r="AG58" s="13">
        <f t="shared" ca="1" si="49"/>
        <v>0</v>
      </c>
      <c r="AH58" s="13">
        <f t="shared" ca="1" si="50"/>
        <v>0</v>
      </c>
      <c r="AI58" s="13">
        <f t="shared" ca="1" si="51"/>
        <v>0</v>
      </c>
      <c r="AJ58" s="13">
        <f t="shared" ca="1" si="52"/>
        <v>0</v>
      </c>
      <c r="AK58" s="13">
        <f t="shared" ca="1" si="53"/>
        <v>990</v>
      </c>
      <c r="AL58" s="13">
        <f t="shared" ca="1" si="54"/>
        <v>0</v>
      </c>
      <c r="AM58" s="13">
        <f t="shared" ca="1" si="55"/>
        <v>0</v>
      </c>
      <c r="AN58" s="13">
        <f t="shared" ca="1" si="56"/>
        <v>0</v>
      </c>
      <c r="AO58" s="13">
        <f t="shared" ca="1" si="57"/>
        <v>0</v>
      </c>
      <c r="AP58" s="13">
        <f t="shared" ca="1" si="58"/>
        <v>990</v>
      </c>
      <c r="AQ58" s="13">
        <f t="shared" ca="1" si="59"/>
        <v>0</v>
      </c>
      <c r="AR58" s="13">
        <f t="shared" ca="1" si="60"/>
        <v>0</v>
      </c>
      <c r="AS58" s="13">
        <f t="shared" ca="1" si="61"/>
        <v>0</v>
      </c>
      <c r="AT58" s="13">
        <f t="shared" ca="1" si="62"/>
        <v>0</v>
      </c>
      <c r="AU58" s="13">
        <f t="shared" ca="1" si="63"/>
        <v>990</v>
      </c>
      <c r="AV58" s="13">
        <f t="shared" ca="1" si="64"/>
        <v>9023.7009474890692</v>
      </c>
      <c r="AW58" s="13">
        <f t="shared" ca="1" si="65"/>
        <v>990</v>
      </c>
      <c r="AX58" s="13">
        <f t="shared" ca="1" si="66"/>
        <v>1400</v>
      </c>
      <c r="AY58" s="13">
        <f t="shared" ca="1" si="67"/>
        <v>8033.7009474890692</v>
      </c>
      <c r="AZ58" s="13">
        <f t="shared" ca="1" si="68"/>
        <v>0</v>
      </c>
      <c r="BA58" s="13">
        <f t="shared" ca="1" si="69"/>
        <v>0</v>
      </c>
      <c r="BB58" s="13">
        <f t="shared" ca="1" si="70"/>
        <v>0</v>
      </c>
      <c r="BC58" s="13">
        <f t="shared" ca="1" si="71"/>
        <v>0</v>
      </c>
      <c r="BD58" s="13">
        <f t="shared" ca="1" si="72"/>
        <v>0</v>
      </c>
      <c r="BE58" s="13">
        <f t="shared" ca="1" si="73"/>
        <v>0</v>
      </c>
      <c r="BF58" s="13">
        <f t="shared" ca="1" si="74"/>
        <v>0</v>
      </c>
      <c r="BG58" s="13">
        <f t="shared" ca="1" si="75"/>
        <v>0</v>
      </c>
      <c r="BH58" s="13">
        <f t="shared" ca="1" si="76"/>
        <v>0</v>
      </c>
      <c r="BI58" s="13">
        <f t="shared" ca="1" si="77"/>
        <v>0</v>
      </c>
      <c r="BJ58" s="13">
        <f t="shared" ca="1" si="78"/>
        <v>0</v>
      </c>
      <c r="BK58" s="13">
        <f t="shared" ca="1" si="79"/>
        <v>0</v>
      </c>
      <c r="BL58" s="13">
        <f t="shared" ca="1" si="80"/>
        <v>0</v>
      </c>
      <c r="BM58" s="13">
        <f t="shared" ca="1" si="81"/>
        <v>0</v>
      </c>
      <c r="BN58" s="13">
        <f t="shared" ca="1" si="82"/>
        <v>0</v>
      </c>
      <c r="BO58" s="13">
        <f t="shared" ca="1" si="83"/>
        <v>1400</v>
      </c>
      <c r="BP58" s="13">
        <f t="shared" ca="1" si="84"/>
        <v>61.699012737117016</v>
      </c>
      <c r="BQ58" s="13">
        <f t="shared" ca="1" si="85"/>
        <v>8033.7009474890692</v>
      </c>
    </row>
    <row r="59" spans="1:69" x14ac:dyDescent="0.25">
      <c r="A59" s="1">
        <v>58</v>
      </c>
      <c r="B59" s="13">
        <f ca="1">IF(A59=1,IF(OR('My Loans'!$O$14="",'My Loans'!$O$14=0),0,INDIRECT("'My Loans'!$D"&amp;'My Loans'!$O$14)),AE58)</f>
        <v>0</v>
      </c>
      <c r="C59" s="13">
        <f ca="1">IF(OR('My Loans'!$O$14="",'My Loans'!$O$14=0),0,B59*INDIRECT("'My Loans'!$E"&amp;'My Loans'!$O$14)/12)</f>
        <v>0</v>
      </c>
      <c r="D59" s="13">
        <f ca="1">IF(OR('My Loans'!$O$14="",'My Loans'!$O$14=0),0,IF(B59&lt;0.005,0,MIN(INDIRECT("'My Loans'!$F"&amp;'My Loans'!$O$14),B59+C59)))</f>
        <v>0</v>
      </c>
      <c r="E59" s="13">
        <f ca="1">IF(A59=1,IF(OR('My Loans'!$O$15="",'My Loans'!$O$15=0),0,INDIRECT("'My Loans'!$D"&amp;'My Loans'!$O$15)),AJ58)</f>
        <v>0</v>
      </c>
      <c r="F59" s="13">
        <f ca="1">IF(OR('My Loans'!$O$15="",'My Loans'!$O$15=0),0,E59*INDIRECT("'My Loans'!$E"&amp;'My Loans'!$O$15)/12)</f>
        <v>0</v>
      </c>
      <c r="G59" s="13">
        <f ca="1">IF(OR('My Loans'!$O$15="",'My Loans'!$O$15=0),0,IF(E59&lt;0.005,0,MIN(INDIRECT("'My Loans'!$F"&amp;'My Loans'!$O$15),E59+F59)))</f>
        <v>0</v>
      </c>
      <c r="H59" s="13">
        <f ca="1">IF(A59=1,IF(OR('My Loans'!$O$16="",'My Loans'!$O$16=0),0,INDIRECT("'My Loans'!$D"&amp;'My Loans'!$O$16)),AO58)</f>
        <v>0</v>
      </c>
      <c r="I59" s="13">
        <f ca="1">IF(OR('My Loans'!$O$16="",'My Loans'!$O$16=0),0,H59*INDIRECT("'My Loans'!$E"&amp;'My Loans'!$O$16)/12)</f>
        <v>0</v>
      </c>
      <c r="J59" s="13">
        <f ca="1">IF(OR('My Loans'!$O$16="",'My Loans'!$O$16=0),0,IF(H59&lt;0.005,0,MIN(INDIRECT("'My Loans'!$F"&amp;'My Loans'!$O$16),H59+I59)))</f>
        <v>0</v>
      </c>
      <c r="K59" s="13">
        <f ca="1">IF(A59=1,IF(OR('My Loans'!$O$17="",'My Loans'!$O$17=0),0,INDIRECT("'My Loans'!$D"&amp;'My Loans'!$O$17)),AT58)</f>
        <v>0</v>
      </c>
      <c r="L59" s="13">
        <f ca="1">IF(OR('My Loans'!$O$17="",'My Loans'!$O$17=0),0,K59*INDIRECT("'My Loans'!$E"&amp;'My Loans'!$O$17)/12)</f>
        <v>0</v>
      </c>
      <c r="M59" s="13">
        <f ca="1">IF(OR('My Loans'!$O$17="",'My Loans'!$O$17=0),0,IF(K59&lt;0.005,0,MIN(INDIRECT("'My Loans'!$F"&amp;'My Loans'!$O$17),K59+L59)))</f>
        <v>0</v>
      </c>
      <c r="N59" s="13">
        <f ca="1">IF(A59=1,IF(OR('My Loans'!$O$18="",'My Loans'!$O$18=0),0,INDIRECT("'My Loans'!$D"&amp;'My Loans'!$O$18)),AY58)</f>
        <v>8033.7009474890692</v>
      </c>
      <c r="O59" s="13">
        <f ca="1">IF(OR('My Loans'!$O$18="",'My Loans'!$O$18=0),0,N59*INDIRECT("'My Loans'!$E"&amp;'My Loans'!$O$18)/12)</f>
        <v>52.888531237636379</v>
      </c>
      <c r="P59" s="13">
        <f ca="1">IF(OR('My Loans'!$O$18="",'My Loans'!$O$18=0),0,IF(N59&lt;0.005,0,MIN(INDIRECT("'My Loans'!$F"&amp;'My Loans'!$O$18),N59+O59)))</f>
        <v>410</v>
      </c>
      <c r="Q59" s="13">
        <f ca="1">IF(A59=1,IF(OR('My Loans'!$O$19="",'My Loans'!$O$19=0),0,INDIRECT("'My Loans'!$D"&amp;'My Loans'!$O$19)),BD58)</f>
        <v>0</v>
      </c>
      <c r="R59" s="13">
        <f ca="1">IF(OR('My Loans'!$O$19="",'My Loans'!$O$19=0),0,Q59*INDIRECT("'My Loans'!$E"&amp;'My Loans'!$O$19)/12)</f>
        <v>0</v>
      </c>
      <c r="S59" s="13">
        <f ca="1">IF(OR('My Loans'!$O$19="",'My Loans'!$O$19=0),0,IF(Q59&lt;0.005,0,MIN(INDIRECT("'My Loans'!$F"&amp;'My Loans'!$O$19),Q59+R59)))</f>
        <v>0</v>
      </c>
      <c r="T59" s="13">
        <f ca="1">IF(A59=1,IF(OR('My Loans'!$O$20="",'My Loans'!$O$20=0),0,INDIRECT("'My Loans'!$D"&amp;'My Loans'!$O$20)),BI58)</f>
        <v>0</v>
      </c>
      <c r="U59" s="13">
        <f ca="1">IF(OR('My Loans'!$O$20="",'My Loans'!$O$20=0),0,T59*INDIRECT("'My Loans'!$E"&amp;'My Loans'!$O$20)/12)</f>
        <v>0</v>
      </c>
      <c r="V59" s="13">
        <f ca="1">IF(OR('My Loans'!$O$20="",'My Loans'!$O$20=0),0,IF(T59&lt;0.005,0,MIN(INDIRECT("'My Loans'!$F"&amp;'My Loans'!$O$20),T59+U59)))</f>
        <v>0</v>
      </c>
      <c r="W59" s="13">
        <f ca="1">IF(A59=1,IF(OR('My Loans'!$O$21="",'My Loans'!$O$21=0),0,INDIRECT("'My Loans'!$D"&amp;'My Loans'!$O$21)),BN58)</f>
        <v>0</v>
      </c>
      <c r="X59" s="13">
        <f ca="1">IF(OR('My Loans'!$O$21="",'My Loans'!$O$21=0),0,W59*INDIRECT("'My Loans'!$E"&amp;'My Loans'!$O$21)/12)</f>
        <v>0</v>
      </c>
      <c r="Y59" s="13">
        <f ca="1">IF(OR('My Loans'!$O$21="",'My Loans'!$O$21=0),0,IF(W59&lt;0.005,0,MIN(INDIRECT("'My Loans'!$F"&amp;'My Loans'!$O$21),W59+X59)))</f>
        <v>0</v>
      </c>
      <c r="Z59" s="13">
        <f ca="1">'My Loans'!$B$13-(D59+G59+J59+M59+P59+S59+V59+Y59)</f>
        <v>990</v>
      </c>
      <c r="AA59" s="13">
        <f t="shared" ca="1" si="43"/>
        <v>990</v>
      </c>
      <c r="AB59" s="13">
        <f t="shared" ca="1" si="44"/>
        <v>0</v>
      </c>
      <c r="AC59" s="13">
        <f t="shared" ca="1" si="45"/>
        <v>0</v>
      </c>
      <c r="AD59" s="13">
        <f t="shared" ca="1" si="46"/>
        <v>0</v>
      </c>
      <c r="AE59" s="13">
        <f t="shared" ca="1" si="47"/>
        <v>0</v>
      </c>
      <c r="AF59" s="13">
        <f t="shared" ca="1" si="48"/>
        <v>990</v>
      </c>
      <c r="AG59" s="13">
        <f t="shared" ca="1" si="49"/>
        <v>0</v>
      </c>
      <c r="AH59" s="13">
        <f t="shared" ca="1" si="50"/>
        <v>0</v>
      </c>
      <c r="AI59" s="13">
        <f t="shared" ca="1" si="51"/>
        <v>0</v>
      </c>
      <c r="AJ59" s="13">
        <f t="shared" ca="1" si="52"/>
        <v>0</v>
      </c>
      <c r="AK59" s="13">
        <f t="shared" ca="1" si="53"/>
        <v>990</v>
      </c>
      <c r="AL59" s="13">
        <f t="shared" ca="1" si="54"/>
        <v>0</v>
      </c>
      <c r="AM59" s="13">
        <f t="shared" ca="1" si="55"/>
        <v>0</v>
      </c>
      <c r="AN59" s="13">
        <f t="shared" ca="1" si="56"/>
        <v>0</v>
      </c>
      <c r="AO59" s="13">
        <f t="shared" ca="1" si="57"/>
        <v>0</v>
      </c>
      <c r="AP59" s="13">
        <f t="shared" ca="1" si="58"/>
        <v>990</v>
      </c>
      <c r="AQ59" s="13">
        <f t="shared" ca="1" si="59"/>
        <v>0</v>
      </c>
      <c r="AR59" s="13">
        <f t="shared" ca="1" si="60"/>
        <v>0</v>
      </c>
      <c r="AS59" s="13">
        <f t="shared" ca="1" si="61"/>
        <v>0</v>
      </c>
      <c r="AT59" s="13">
        <f t="shared" ca="1" si="62"/>
        <v>0</v>
      </c>
      <c r="AU59" s="13">
        <f t="shared" ca="1" si="63"/>
        <v>990</v>
      </c>
      <c r="AV59" s="13">
        <f t="shared" ca="1" si="64"/>
        <v>7676.5894787267052</v>
      </c>
      <c r="AW59" s="13">
        <f t="shared" ca="1" si="65"/>
        <v>990</v>
      </c>
      <c r="AX59" s="13">
        <f t="shared" ca="1" si="66"/>
        <v>1400</v>
      </c>
      <c r="AY59" s="13">
        <f t="shared" ca="1" si="67"/>
        <v>6686.5894787267052</v>
      </c>
      <c r="AZ59" s="13">
        <f t="shared" ca="1" si="68"/>
        <v>0</v>
      </c>
      <c r="BA59" s="13">
        <f t="shared" ca="1" si="69"/>
        <v>0</v>
      </c>
      <c r="BB59" s="13">
        <f t="shared" ca="1" si="70"/>
        <v>0</v>
      </c>
      <c r="BC59" s="13">
        <f t="shared" ca="1" si="71"/>
        <v>0</v>
      </c>
      <c r="BD59" s="13">
        <f t="shared" ca="1" si="72"/>
        <v>0</v>
      </c>
      <c r="BE59" s="13">
        <f t="shared" ca="1" si="73"/>
        <v>0</v>
      </c>
      <c r="BF59" s="13">
        <f t="shared" ca="1" si="74"/>
        <v>0</v>
      </c>
      <c r="BG59" s="13">
        <f t="shared" ca="1" si="75"/>
        <v>0</v>
      </c>
      <c r="BH59" s="13">
        <f t="shared" ca="1" si="76"/>
        <v>0</v>
      </c>
      <c r="BI59" s="13">
        <f t="shared" ca="1" si="77"/>
        <v>0</v>
      </c>
      <c r="BJ59" s="13">
        <f t="shared" ca="1" si="78"/>
        <v>0</v>
      </c>
      <c r="BK59" s="13">
        <f t="shared" ca="1" si="79"/>
        <v>0</v>
      </c>
      <c r="BL59" s="13">
        <f t="shared" ca="1" si="80"/>
        <v>0</v>
      </c>
      <c r="BM59" s="13">
        <f t="shared" ca="1" si="81"/>
        <v>0</v>
      </c>
      <c r="BN59" s="13">
        <f t="shared" ca="1" si="82"/>
        <v>0</v>
      </c>
      <c r="BO59" s="13">
        <f t="shared" ca="1" si="83"/>
        <v>1400</v>
      </c>
      <c r="BP59" s="13">
        <f t="shared" ca="1" si="84"/>
        <v>52.888531237636379</v>
      </c>
      <c r="BQ59" s="13">
        <f t="shared" ca="1" si="85"/>
        <v>6686.5894787267052</v>
      </c>
    </row>
    <row r="60" spans="1:69" x14ac:dyDescent="0.25">
      <c r="A60" s="1">
        <v>59</v>
      </c>
      <c r="B60" s="13">
        <f ca="1">IF(A60=1,IF(OR('My Loans'!$O$14="",'My Loans'!$O$14=0),0,INDIRECT("'My Loans'!$D"&amp;'My Loans'!$O$14)),AE59)</f>
        <v>0</v>
      </c>
      <c r="C60" s="13">
        <f ca="1">IF(OR('My Loans'!$O$14="",'My Loans'!$O$14=0),0,B60*INDIRECT("'My Loans'!$E"&amp;'My Loans'!$O$14)/12)</f>
        <v>0</v>
      </c>
      <c r="D60" s="13">
        <f ca="1">IF(OR('My Loans'!$O$14="",'My Loans'!$O$14=0),0,IF(B60&lt;0.005,0,MIN(INDIRECT("'My Loans'!$F"&amp;'My Loans'!$O$14),B60+C60)))</f>
        <v>0</v>
      </c>
      <c r="E60" s="13">
        <f ca="1">IF(A60=1,IF(OR('My Loans'!$O$15="",'My Loans'!$O$15=0),0,INDIRECT("'My Loans'!$D"&amp;'My Loans'!$O$15)),AJ59)</f>
        <v>0</v>
      </c>
      <c r="F60" s="13">
        <f ca="1">IF(OR('My Loans'!$O$15="",'My Loans'!$O$15=0),0,E60*INDIRECT("'My Loans'!$E"&amp;'My Loans'!$O$15)/12)</f>
        <v>0</v>
      </c>
      <c r="G60" s="13">
        <f ca="1">IF(OR('My Loans'!$O$15="",'My Loans'!$O$15=0),0,IF(E60&lt;0.005,0,MIN(INDIRECT("'My Loans'!$F"&amp;'My Loans'!$O$15),E60+F60)))</f>
        <v>0</v>
      </c>
      <c r="H60" s="13">
        <f ca="1">IF(A60=1,IF(OR('My Loans'!$O$16="",'My Loans'!$O$16=0),0,INDIRECT("'My Loans'!$D"&amp;'My Loans'!$O$16)),AO59)</f>
        <v>0</v>
      </c>
      <c r="I60" s="13">
        <f ca="1">IF(OR('My Loans'!$O$16="",'My Loans'!$O$16=0),0,H60*INDIRECT("'My Loans'!$E"&amp;'My Loans'!$O$16)/12)</f>
        <v>0</v>
      </c>
      <c r="J60" s="13">
        <f ca="1">IF(OR('My Loans'!$O$16="",'My Loans'!$O$16=0),0,IF(H60&lt;0.005,0,MIN(INDIRECT("'My Loans'!$F"&amp;'My Loans'!$O$16),H60+I60)))</f>
        <v>0</v>
      </c>
      <c r="K60" s="13">
        <f ca="1">IF(A60=1,IF(OR('My Loans'!$O$17="",'My Loans'!$O$17=0),0,INDIRECT("'My Loans'!$D"&amp;'My Loans'!$O$17)),AT59)</f>
        <v>0</v>
      </c>
      <c r="L60" s="13">
        <f ca="1">IF(OR('My Loans'!$O$17="",'My Loans'!$O$17=0),0,K60*INDIRECT("'My Loans'!$E"&amp;'My Loans'!$O$17)/12)</f>
        <v>0</v>
      </c>
      <c r="M60" s="13">
        <f ca="1">IF(OR('My Loans'!$O$17="",'My Loans'!$O$17=0),0,IF(K60&lt;0.005,0,MIN(INDIRECT("'My Loans'!$F"&amp;'My Loans'!$O$17),K60+L60)))</f>
        <v>0</v>
      </c>
      <c r="N60" s="13">
        <f ca="1">IF(A60=1,IF(OR('My Loans'!$O$18="",'My Loans'!$O$18=0),0,INDIRECT("'My Loans'!$D"&amp;'My Loans'!$O$18)),AY59)</f>
        <v>6686.5894787267052</v>
      </c>
      <c r="O60" s="13">
        <f ca="1">IF(OR('My Loans'!$O$18="",'My Loans'!$O$18=0),0,N60*INDIRECT("'My Loans'!$E"&amp;'My Loans'!$O$18)/12)</f>
        <v>44.020047401617482</v>
      </c>
      <c r="P60" s="13">
        <f ca="1">IF(OR('My Loans'!$O$18="",'My Loans'!$O$18=0),0,IF(N60&lt;0.005,0,MIN(INDIRECT("'My Loans'!$F"&amp;'My Loans'!$O$18),N60+O60)))</f>
        <v>410</v>
      </c>
      <c r="Q60" s="13">
        <f ca="1">IF(A60=1,IF(OR('My Loans'!$O$19="",'My Loans'!$O$19=0),0,INDIRECT("'My Loans'!$D"&amp;'My Loans'!$O$19)),BD59)</f>
        <v>0</v>
      </c>
      <c r="R60" s="13">
        <f ca="1">IF(OR('My Loans'!$O$19="",'My Loans'!$O$19=0),0,Q60*INDIRECT("'My Loans'!$E"&amp;'My Loans'!$O$19)/12)</f>
        <v>0</v>
      </c>
      <c r="S60" s="13">
        <f ca="1">IF(OR('My Loans'!$O$19="",'My Loans'!$O$19=0),0,IF(Q60&lt;0.005,0,MIN(INDIRECT("'My Loans'!$F"&amp;'My Loans'!$O$19),Q60+R60)))</f>
        <v>0</v>
      </c>
      <c r="T60" s="13">
        <f ca="1">IF(A60=1,IF(OR('My Loans'!$O$20="",'My Loans'!$O$20=0),0,INDIRECT("'My Loans'!$D"&amp;'My Loans'!$O$20)),BI59)</f>
        <v>0</v>
      </c>
      <c r="U60" s="13">
        <f ca="1">IF(OR('My Loans'!$O$20="",'My Loans'!$O$20=0),0,T60*INDIRECT("'My Loans'!$E"&amp;'My Loans'!$O$20)/12)</f>
        <v>0</v>
      </c>
      <c r="V60" s="13">
        <f ca="1">IF(OR('My Loans'!$O$20="",'My Loans'!$O$20=0),0,IF(T60&lt;0.005,0,MIN(INDIRECT("'My Loans'!$F"&amp;'My Loans'!$O$20),T60+U60)))</f>
        <v>0</v>
      </c>
      <c r="W60" s="13">
        <f ca="1">IF(A60=1,IF(OR('My Loans'!$O$21="",'My Loans'!$O$21=0),0,INDIRECT("'My Loans'!$D"&amp;'My Loans'!$O$21)),BN59)</f>
        <v>0</v>
      </c>
      <c r="X60" s="13">
        <f ca="1">IF(OR('My Loans'!$O$21="",'My Loans'!$O$21=0),0,W60*INDIRECT("'My Loans'!$E"&amp;'My Loans'!$O$21)/12)</f>
        <v>0</v>
      </c>
      <c r="Y60" s="13">
        <f ca="1">IF(OR('My Loans'!$O$21="",'My Loans'!$O$21=0),0,IF(W60&lt;0.005,0,MIN(INDIRECT("'My Loans'!$F"&amp;'My Loans'!$O$21),W60+X60)))</f>
        <v>0</v>
      </c>
      <c r="Z60" s="13">
        <f ca="1">'My Loans'!$B$13-(D60+G60+J60+M60+P60+S60+V60+Y60)</f>
        <v>990</v>
      </c>
      <c r="AA60" s="13">
        <f t="shared" ca="1" si="43"/>
        <v>990</v>
      </c>
      <c r="AB60" s="13">
        <f t="shared" ca="1" si="44"/>
        <v>0</v>
      </c>
      <c r="AC60" s="13">
        <f t="shared" ca="1" si="45"/>
        <v>0</v>
      </c>
      <c r="AD60" s="13">
        <f t="shared" ca="1" si="46"/>
        <v>0</v>
      </c>
      <c r="AE60" s="13">
        <f t="shared" ca="1" si="47"/>
        <v>0</v>
      </c>
      <c r="AF60" s="13">
        <f t="shared" ca="1" si="48"/>
        <v>990</v>
      </c>
      <c r="AG60" s="13">
        <f t="shared" ca="1" si="49"/>
        <v>0</v>
      </c>
      <c r="AH60" s="13">
        <f t="shared" ca="1" si="50"/>
        <v>0</v>
      </c>
      <c r="AI60" s="13">
        <f t="shared" ca="1" si="51"/>
        <v>0</v>
      </c>
      <c r="AJ60" s="13">
        <f t="shared" ca="1" si="52"/>
        <v>0</v>
      </c>
      <c r="AK60" s="13">
        <f t="shared" ca="1" si="53"/>
        <v>990</v>
      </c>
      <c r="AL60" s="13">
        <f t="shared" ca="1" si="54"/>
        <v>0</v>
      </c>
      <c r="AM60" s="13">
        <f t="shared" ca="1" si="55"/>
        <v>0</v>
      </c>
      <c r="AN60" s="13">
        <f t="shared" ca="1" si="56"/>
        <v>0</v>
      </c>
      <c r="AO60" s="13">
        <f t="shared" ca="1" si="57"/>
        <v>0</v>
      </c>
      <c r="AP60" s="13">
        <f t="shared" ca="1" si="58"/>
        <v>990</v>
      </c>
      <c r="AQ60" s="13">
        <f t="shared" ca="1" si="59"/>
        <v>0</v>
      </c>
      <c r="AR60" s="13">
        <f t="shared" ca="1" si="60"/>
        <v>0</v>
      </c>
      <c r="AS60" s="13">
        <f t="shared" ca="1" si="61"/>
        <v>0</v>
      </c>
      <c r="AT60" s="13">
        <f t="shared" ca="1" si="62"/>
        <v>0</v>
      </c>
      <c r="AU60" s="13">
        <f t="shared" ca="1" si="63"/>
        <v>990</v>
      </c>
      <c r="AV60" s="13">
        <f t="shared" ca="1" si="64"/>
        <v>6320.6095261283226</v>
      </c>
      <c r="AW60" s="13">
        <f t="shared" ca="1" si="65"/>
        <v>990</v>
      </c>
      <c r="AX60" s="13">
        <f t="shared" ca="1" si="66"/>
        <v>1400</v>
      </c>
      <c r="AY60" s="13">
        <f t="shared" ca="1" si="67"/>
        <v>5330.6095261283226</v>
      </c>
      <c r="AZ60" s="13">
        <f t="shared" ca="1" si="68"/>
        <v>0</v>
      </c>
      <c r="BA60" s="13">
        <f t="shared" ca="1" si="69"/>
        <v>0</v>
      </c>
      <c r="BB60" s="13">
        <f t="shared" ca="1" si="70"/>
        <v>0</v>
      </c>
      <c r="BC60" s="13">
        <f t="shared" ca="1" si="71"/>
        <v>0</v>
      </c>
      <c r="BD60" s="13">
        <f t="shared" ca="1" si="72"/>
        <v>0</v>
      </c>
      <c r="BE60" s="13">
        <f t="shared" ca="1" si="73"/>
        <v>0</v>
      </c>
      <c r="BF60" s="13">
        <f t="shared" ca="1" si="74"/>
        <v>0</v>
      </c>
      <c r="BG60" s="13">
        <f t="shared" ca="1" si="75"/>
        <v>0</v>
      </c>
      <c r="BH60" s="13">
        <f t="shared" ca="1" si="76"/>
        <v>0</v>
      </c>
      <c r="BI60" s="13">
        <f t="shared" ca="1" si="77"/>
        <v>0</v>
      </c>
      <c r="BJ60" s="13">
        <f t="shared" ca="1" si="78"/>
        <v>0</v>
      </c>
      <c r="BK60" s="13">
        <f t="shared" ca="1" si="79"/>
        <v>0</v>
      </c>
      <c r="BL60" s="13">
        <f t="shared" ca="1" si="80"/>
        <v>0</v>
      </c>
      <c r="BM60" s="13">
        <f t="shared" ca="1" si="81"/>
        <v>0</v>
      </c>
      <c r="BN60" s="13">
        <f t="shared" ca="1" si="82"/>
        <v>0</v>
      </c>
      <c r="BO60" s="13">
        <f t="shared" ca="1" si="83"/>
        <v>1400</v>
      </c>
      <c r="BP60" s="13">
        <f t="shared" ca="1" si="84"/>
        <v>44.020047401617482</v>
      </c>
      <c r="BQ60" s="13">
        <f t="shared" ca="1" si="85"/>
        <v>5330.6095261283226</v>
      </c>
    </row>
    <row r="61" spans="1:69" x14ac:dyDescent="0.25">
      <c r="A61" s="1">
        <v>60</v>
      </c>
      <c r="B61" s="13">
        <f ca="1">IF(A61=1,IF(OR('My Loans'!$O$14="",'My Loans'!$O$14=0),0,INDIRECT("'My Loans'!$D"&amp;'My Loans'!$O$14)),AE60)</f>
        <v>0</v>
      </c>
      <c r="C61" s="13">
        <f ca="1">IF(OR('My Loans'!$O$14="",'My Loans'!$O$14=0),0,B61*INDIRECT("'My Loans'!$E"&amp;'My Loans'!$O$14)/12)</f>
        <v>0</v>
      </c>
      <c r="D61" s="13">
        <f ca="1">IF(OR('My Loans'!$O$14="",'My Loans'!$O$14=0),0,IF(B61&lt;0.005,0,MIN(INDIRECT("'My Loans'!$F"&amp;'My Loans'!$O$14),B61+C61)))</f>
        <v>0</v>
      </c>
      <c r="E61" s="13">
        <f ca="1">IF(A61=1,IF(OR('My Loans'!$O$15="",'My Loans'!$O$15=0),0,INDIRECT("'My Loans'!$D"&amp;'My Loans'!$O$15)),AJ60)</f>
        <v>0</v>
      </c>
      <c r="F61" s="13">
        <f ca="1">IF(OR('My Loans'!$O$15="",'My Loans'!$O$15=0),0,E61*INDIRECT("'My Loans'!$E"&amp;'My Loans'!$O$15)/12)</f>
        <v>0</v>
      </c>
      <c r="G61" s="13">
        <f ca="1">IF(OR('My Loans'!$O$15="",'My Loans'!$O$15=0),0,IF(E61&lt;0.005,0,MIN(INDIRECT("'My Loans'!$F"&amp;'My Loans'!$O$15),E61+F61)))</f>
        <v>0</v>
      </c>
      <c r="H61" s="13">
        <f ca="1">IF(A61=1,IF(OR('My Loans'!$O$16="",'My Loans'!$O$16=0),0,INDIRECT("'My Loans'!$D"&amp;'My Loans'!$O$16)),AO60)</f>
        <v>0</v>
      </c>
      <c r="I61" s="13">
        <f ca="1">IF(OR('My Loans'!$O$16="",'My Loans'!$O$16=0),0,H61*INDIRECT("'My Loans'!$E"&amp;'My Loans'!$O$16)/12)</f>
        <v>0</v>
      </c>
      <c r="J61" s="13">
        <f ca="1">IF(OR('My Loans'!$O$16="",'My Loans'!$O$16=0),0,IF(H61&lt;0.005,0,MIN(INDIRECT("'My Loans'!$F"&amp;'My Loans'!$O$16),H61+I61)))</f>
        <v>0</v>
      </c>
      <c r="K61" s="13">
        <f ca="1">IF(A61=1,IF(OR('My Loans'!$O$17="",'My Loans'!$O$17=0),0,INDIRECT("'My Loans'!$D"&amp;'My Loans'!$O$17)),AT60)</f>
        <v>0</v>
      </c>
      <c r="L61" s="13">
        <f ca="1">IF(OR('My Loans'!$O$17="",'My Loans'!$O$17=0),0,K61*INDIRECT("'My Loans'!$E"&amp;'My Loans'!$O$17)/12)</f>
        <v>0</v>
      </c>
      <c r="M61" s="13">
        <f ca="1">IF(OR('My Loans'!$O$17="",'My Loans'!$O$17=0),0,IF(K61&lt;0.005,0,MIN(INDIRECT("'My Loans'!$F"&amp;'My Loans'!$O$17),K61+L61)))</f>
        <v>0</v>
      </c>
      <c r="N61" s="13">
        <f ca="1">IF(A61=1,IF(OR('My Loans'!$O$18="",'My Loans'!$O$18=0),0,INDIRECT("'My Loans'!$D"&amp;'My Loans'!$O$18)),AY60)</f>
        <v>5330.6095261283226</v>
      </c>
      <c r="O61" s="13">
        <f ca="1">IF(OR('My Loans'!$O$18="",'My Loans'!$O$18=0),0,N61*INDIRECT("'My Loans'!$E"&amp;'My Loans'!$O$18)/12)</f>
        <v>35.093179380344793</v>
      </c>
      <c r="P61" s="13">
        <f ca="1">IF(OR('My Loans'!$O$18="",'My Loans'!$O$18=0),0,IF(N61&lt;0.005,0,MIN(INDIRECT("'My Loans'!$F"&amp;'My Loans'!$O$18),N61+O61)))</f>
        <v>410</v>
      </c>
      <c r="Q61" s="13">
        <f ca="1">IF(A61=1,IF(OR('My Loans'!$O$19="",'My Loans'!$O$19=0),0,INDIRECT("'My Loans'!$D"&amp;'My Loans'!$O$19)),BD60)</f>
        <v>0</v>
      </c>
      <c r="R61" s="13">
        <f ca="1">IF(OR('My Loans'!$O$19="",'My Loans'!$O$19=0),0,Q61*INDIRECT("'My Loans'!$E"&amp;'My Loans'!$O$19)/12)</f>
        <v>0</v>
      </c>
      <c r="S61" s="13">
        <f ca="1">IF(OR('My Loans'!$O$19="",'My Loans'!$O$19=0),0,IF(Q61&lt;0.005,0,MIN(INDIRECT("'My Loans'!$F"&amp;'My Loans'!$O$19),Q61+R61)))</f>
        <v>0</v>
      </c>
      <c r="T61" s="13">
        <f ca="1">IF(A61=1,IF(OR('My Loans'!$O$20="",'My Loans'!$O$20=0),0,INDIRECT("'My Loans'!$D"&amp;'My Loans'!$O$20)),BI60)</f>
        <v>0</v>
      </c>
      <c r="U61" s="13">
        <f ca="1">IF(OR('My Loans'!$O$20="",'My Loans'!$O$20=0),0,T61*INDIRECT("'My Loans'!$E"&amp;'My Loans'!$O$20)/12)</f>
        <v>0</v>
      </c>
      <c r="V61" s="13">
        <f ca="1">IF(OR('My Loans'!$O$20="",'My Loans'!$O$20=0),0,IF(T61&lt;0.005,0,MIN(INDIRECT("'My Loans'!$F"&amp;'My Loans'!$O$20),T61+U61)))</f>
        <v>0</v>
      </c>
      <c r="W61" s="13">
        <f ca="1">IF(A61=1,IF(OR('My Loans'!$O$21="",'My Loans'!$O$21=0),0,INDIRECT("'My Loans'!$D"&amp;'My Loans'!$O$21)),BN60)</f>
        <v>0</v>
      </c>
      <c r="X61" s="13">
        <f ca="1">IF(OR('My Loans'!$O$21="",'My Loans'!$O$21=0),0,W61*INDIRECT("'My Loans'!$E"&amp;'My Loans'!$O$21)/12)</f>
        <v>0</v>
      </c>
      <c r="Y61" s="13">
        <f ca="1">IF(OR('My Loans'!$O$21="",'My Loans'!$O$21=0),0,IF(W61&lt;0.005,0,MIN(INDIRECT("'My Loans'!$F"&amp;'My Loans'!$O$21),W61+X61)))</f>
        <v>0</v>
      </c>
      <c r="Z61" s="13">
        <f ca="1">'My Loans'!$B$13-(D61+G61+J61+M61+P61+S61+V61+Y61)</f>
        <v>990</v>
      </c>
      <c r="AA61" s="13">
        <f t="shared" ca="1" si="43"/>
        <v>990</v>
      </c>
      <c r="AB61" s="13">
        <f t="shared" ca="1" si="44"/>
        <v>0</v>
      </c>
      <c r="AC61" s="13">
        <f t="shared" ca="1" si="45"/>
        <v>0</v>
      </c>
      <c r="AD61" s="13">
        <f t="shared" ca="1" si="46"/>
        <v>0</v>
      </c>
      <c r="AE61" s="13">
        <f t="shared" ca="1" si="47"/>
        <v>0</v>
      </c>
      <c r="AF61" s="13">
        <f t="shared" ca="1" si="48"/>
        <v>990</v>
      </c>
      <c r="AG61" s="13">
        <f t="shared" ca="1" si="49"/>
        <v>0</v>
      </c>
      <c r="AH61" s="13">
        <f t="shared" ca="1" si="50"/>
        <v>0</v>
      </c>
      <c r="AI61" s="13">
        <f t="shared" ca="1" si="51"/>
        <v>0</v>
      </c>
      <c r="AJ61" s="13">
        <f t="shared" ca="1" si="52"/>
        <v>0</v>
      </c>
      <c r="AK61" s="13">
        <f t="shared" ca="1" si="53"/>
        <v>990</v>
      </c>
      <c r="AL61" s="13">
        <f t="shared" ca="1" si="54"/>
        <v>0</v>
      </c>
      <c r="AM61" s="13">
        <f t="shared" ca="1" si="55"/>
        <v>0</v>
      </c>
      <c r="AN61" s="13">
        <f t="shared" ca="1" si="56"/>
        <v>0</v>
      </c>
      <c r="AO61" s="13">
        <f t="shared" ca="1" si="57"/>
        <v>0</v>
      </c>
      <c r="AP61" s="13">
        <f t="shared" ca="1" si="58"/>
        <v>990</v>
      </c>
      <c r="AQ61" s="13">
        <f t="shared" ca="1" si="59"/>
        <v>0</v>
      </c>
      <c r="AR61" s="13">
        <f t="shared" ca="1" si="60"/>
        <v>0</v>
      </c>
      <c r="AS61" s="13">
        <f t="shared" ca="1" si="61"/>
        <v>0</v>
      </c>
      <c r="AT61" s="13">
        <f t="shared" ca="1" si="62"/>
        <v>0</v>
      </c>
      <c r="AU61" s="13">
        <f t="shared" ca="1" si="63"/>
        <v>990</v>
      </c>
      <c r="AV61" s="13">
        <f t="shared" ca="1" si="64"/>
        <v>4955.7027055086673</v>
      </c>
      <c r="AW61" s="13">
        <f t="shared" ca="1" si="65"/>
        <v>990</v>
      </c>
      <c r="AX61" s="13">
        <f t="shared" ca="1" si="66"/>
        <v>1400</v>
      </c>
      <c r="AY61" s="13">
        <f t="shared" ca="1" si="67"/>
        <v>3965.7027055086673</v>
      </c>
      <c r="AZ61" s="13">
        <f t="shared" ca="1" si="68"/>
        <v>0</v>
      </c>
      <c r="BA61" s="13">
        <f t="shared" ca="1" si="69"/>
        <v>0</v>
      </c>
      <c r="BB61" s="13">
        <f t="shared" ca="1" si="70"/>
        <v>0</v>
      </c>
      <c r="BC61" s="13">
        <f t="shared" ca="1" si="71"/>
        <v>0</v>
      </c>
      <c r="BD61" s="13">
        <f t="shared" ca="1" si="72"/>
        <v>0</v>
      </c>
      <c r="BE61" s="13">
        <f t="shared" ca="1" si="73"/>
        <v>0</v>
      </c>
      <c r="BF61" s="13">
        <f t="shared" ca="1" si="74"/>
        <v>0</v>
      </c>
      <c r="BG61" s="13">
        <f t="shared" ca="1" si="75"/>
        <v>0</v>
      </c>
      <c r="BH61" s="13">
        <f t="shared" ca="1" si="76"/>
        <v>0</v>
      </c>
      <c r="BI61" s="13">
        <f t="shared" ca="1" si="77"/>
        <v>0</v>
      </c>
      <c r="BJ61" s="13">
        <f t="shared" ca="1" si="78"/>
        <v>0</v>
      </c>
      <c r="BK61" s="13">
        <f t="shared" ca="1" si="79"/>
        <v>0</v>
      </c>
      <c r="BL61" s="13">
        <f t="shared" ca="1" si="80"/>
        <v>0</v>
      </c>
      <c r="BM61" s="13">
        <f t="shared" ca="1" si="81"/>
        <v>0</v>
      </c>
      <c r="BN61" s="13">
        <f t="shared" ca="1" si="82"/>
        <v>0</v>
      </c>
      <c r="BO61" s="13">
        <f t="shared" ca="1" si="83"/>
        <v>1400</v>
      </c>
      <c r="BP61" s="13">
        <f t="shared" ca="1" si="84"/>
        <v>35.093179380344793</v>
      </c>
      <c r="BQ61" s="13">
        <f t="shared" ca="1" si="85"/>
        <v>3965.7027055086673</v>
      </c>
    </row>
    <row r="62" spans="1:69" x14ac:dyDescent="0.25">
      <c r="A62" s="1">
        <v>61</v>
      </c>
      <c r="B62" s="13">
        <f ca="1">IF(A62=1,IF(OR('My Loans'!$O$14="",'My Loans'!$O$14=0),0,INDIRECT("'My Loans'!$D"&amp;'My Loans'!$O$14)),AE61)</f>
        <v>0</v>
      </c>
      <c r="C62" s="13">
        <f ca="1">IF(OR('My Loans'!$O$14="",'My Loans'!$O$14=0),0,B62*INDIRECT("'My Loans'!$E"&amp;'My Loans'!$O$14)/12)</f>
        <v>0</v>
      </c>
      <c r="D62" s="13">
        <f ca="1">IF(OR('My Loans'!$O$14="",'My Loans'!$O$14=0),0,IF(B62&lt;0.005,0,MIN(INDIRECT("'My Loans'!$F"&amp;'My Loans'!$O$14),B62+C62)))</f>
        <v>0</v>
      </c>
      <c r="E62" s="13">
        <f ca="1">IF(A62=1,IF(OR('My Loans'!$O$15="",'My Loans'!$O$15=0),0,INDIRECT("'My Loans'!$D"&amp;'My Loans'!$O$15)),AJ61)</f>
        <v>0</v>
      </c>
      <c r="F62" s="13">
        <f ca="1">IF(OR('My Loans'!$O$15="",'My Loans'!$O$15=0),0,E62*INDIRECT("'My Loans'!$E"&amp;'My Loans'!$O$15)/12)</f>
        <v>0</v>
      </c>
      <c r="G62" s="13">
        <f ca="1">IF(OR('My Loans'!$O$15="",'My Loans'!$O$15=0),0,IF(E62&lt;0.005,0,MIN(INDIRECT("'My Loans'!$F"&amp;'My Loans'!$O$15),E62+F62)))</f>
        <v>0</v>
      </c>
      <c r="H62" s="13">
        <f ca="1">IF(A62=1,IF(OR('My Loans'!$O$16="",'My Loans'!$O$16=0),0,INDIRECT("'My Loans'!$D"&amp;'My Loans'!$O$16)),AO61)</f>
        <v>0</v>
      </c>
      <c r="I62" s="13">
        <f ca="1">IF(OR('My Loans'!$O$16="",'My Loans'!$O$16=0),0,H62*INDIRECT("'My Loans'!$E"&amp;'My Loans'!$O$16)/12)</f>
        <v>0</v>
      </c>
      <c r="J62" s="13">
        <f ca="1">IF(OR('My Loans'!$O$16="",'My Loans'!$O$16=0),0,IF(H62&lt;0.005,0,MIN(INDIRECT("'My Loans'!$F"&amp;'My Loans'!$O$16),H62+I62)))</f>
        <v>0</v>
      </c>
      <c r="K62" s="13">
        <f ca="1">IF(A62=1,IF(OR('My Loans'!$O$17="",'My Loans'!$O$17=0),0,INDIRECT("'My Loans'!$D"&amp;'My Loans'!$O$17)),AT61)</f>
        <v>0</v>
      </c>
      <c r="L62" s="13">
        <f ca="1">IF(OR('My Loans'!$O$17="",'My Loans'!$O$17=0),0,K62*INDIRECT("'My Loans'!$E"&amp;'My Loans'!$O$17)/12)</f>
        <v>0</v>
      </c>
      <c r="M62" s="13">
        <f ca="1">IF(OR('My Loans'!$O$17="",'My Loans'!$O$17=0),0,IF(K62&lt;0.005,0,MIN(INDIRECT("'My Loans'!$F"&amp;'My Loans'!$O$17),K62+L62)))</f>
        <v>0</v>
      </c>
      <c r="N62" s="13">
        <f ca="1">IF(A62=1,IF(OR('My Loans'!$O$18="",'My Loans'!$O$18=0),0,INDIRECT("'My Loans'!$D"&amp;'My Loans'!$O$18)),AY61)</f>
        <v>3965.7027055086673</v>
      </c>
      <c r="O62" s="13">
        <f ca="1">IF(OR('My Loans'!$O$18="",'My Loans'!$O$18=0),0,N62*INDIRECT("'My Loans'!$E"&amp;'My Loans'!$O$18)/12)</f>
        <v>26.107542811265393</v>
      </c>
      <c r="P62" s="13">
        <f ca="1">IF(OR('My Loans'!$O$18="",'My Loans'!$O$18=0),0,IF(N62&lt;0.005,0,MIN(INDIRECT("'My Loans'!$F"&amp;'My Loans'!$O$18),N62+O62)))</f>
        <v>410</v>
      </c>
      <c r="Q62" s="13">
        <f ca="1">IF(A62=1,IF(OR('My Loans'!$O$19="",'My Loans'!$O$19=0),0,INDIRECT("'My Loans'!$D"&amp;'My Loans'!$O$19)),BD61)</f>
        <v>0</v>
      </c>
      <c r="R62" s="13">
        <f ca="1">IF(OR('My Loans'!$O$19="",'My Loans'!$O$19=0),0,Q62*INDIRECT("'My Loans'!$E"&amp;'My Loans'!$O$19)/12)</f>
        <v>0</v>
      </c>
      <c r="S62" s="13">
        <f ca="1">IF(OR('My Loans'!$O$19="",'My Loans'!$O$19=0),0,IF(Q62&lt;0.005,0,MIN(INDIRECT("'My Loans'!$F"&amp;'My Loans'!$O$19),Q62+R62)))</f>
        <v>0</v>
      </c>
      <c r="T62" s="13">
        <f ca="1">IF(A62=1,IF(OR('My Loans'!$O$20="",'My Loans'!$O$20=0),0,INDIRECT("'My Loans'!$D"&amp;'My Loans'!$O$20)),BI61)</f>
        <v>0</v>
      </c>
      <c r="U62" s="13">
        <f ca="1">IF(OR('My Loans'!$O$20="",'My Loans'!$O$20=0),0,T62*INDIRECT("'My Loans'!$E"&amp;'My Loans'!$O$20)/12)</f>
        <v>0</v>
      </c>
      <c r="V62" s="13">
        <f ca="1">IF(OR('My Loans'!$O$20="",'My Loans'!$O$20=0),0,IF(T62&lt;0.005,0,MIN(INDIRECT("'My Loans'!$F"&amp;'My Loans'!$O$20),T62+U62)))</f>
        <v>0</v>
      </c>
      <c r="W62" s="13">
        <f ca="1">IF(A62=1,IF(OR('My Loans'!$O$21="",'My Loans'!$O$21=0),0,INDIRECT("'My Loans'!$D"&amp;'My Loans'!$O$21)),BN61)</f>
        <v>0</v>
      </c>
      <c r="X62" s="13">
        <f ca="1">IF(OR('My Loans'!$O$21="",'My Loans'!$O$21=0),0,W62*INDIRECT("'My Loans'!$E"&amp;'My Loans'!$O$21)/12)</f>
        <v>0</v>
      </c>
      <c r="Y62" s="13">
        <f ca="1">IF(OR('My Loans'!$O$21="",'My Loans'!$O$21=0),0,IF(W62&lt;0.005,0,MIN(INDIRECT("'My Loans'!$F"&amp;'My Loans'!$O$21),W62+X62)))</f>
        <v>0</v>
      </c>
      <c r="Z62" s="13">
        <f ca="1">'My Loans'!$B$13-(D62+G62+J62+M62+P62+S62+V62+Y62)</f>
        <v>990</v>
      </c>
      <c r="AA62" s="13">
        <f t="shared" ca="1" si="43"/>
        <v>990</v>
      </c>
      <c r="AB62" s="13">
        <f t="shared" ca="1" si="44"/>
        <v>0</v>
      </c>
      <c r="AC62" s="13">
        <f t="shared" ca="1" si="45"/>
        <v>0</v>
      </c>
      <c r="AD62" s="13">
        <f t="shared" ca="1" si="46"/>
        <v>0</v>
      </c>
      <c r="AE62" s="13">
        <f t="shared" ca="1" si="47"/>
        <v>0</v>
      </c>
      <c r="AF62" s="13">
        <f t="shared" ca="1" si="48"/>
        <v>990</v>
      </c>
      <c r="AG62" s="13">
        <f t="shared" ca="1" si="49"/>
        <v>0</v>
      </c>
      <c r="AH62" s="13">
        <f t="shared" ca="1" si="50"/>
        <v>0</v>
      </c>
      <c r="AI62" s="13">
        <f t="shared" ca="1" si="51"/>
        <v>0</v>
      </c>
      <c r="AJ62" s="13">
        <f t="shared" ca="1" si="52"/>
        <v>0</v>
      </c>
      <c r="AK62" s="13">
        <f t="shared" ca="1" si="53"/>
        <v>990</v>
      </c>
      <c r="AL62" s="13">
        <f t="shared" ca="1" si="54"/>
        <v>0</v>
      </c>
      <c r="AM62" s="13">
        <f t="shared" ca="1" si="55"/>
        <v>0</v>
      </c>
      <c r="AN62" s="13">
        <f t="shared" ca="1" si="56"/>
        <v>0</v>
      </c>
      <c r="AO62" s="13">
        <f t="shared" ca="1" si="57"/>
        <v>0</v>
      </c>
      <c r="AP62" s="13">
        <f t="shared" ca="1" si="58"/>
        <v>990</v>
      </c>
      <c r="AQ62" s="13">
        <f t="shared" ca="1" si="59"/>
        <v>0</v>
      </c>
      <c r="AR62" s="13">
        <f t="shared" ca="1" si="60"/>
        <v>0</v>
      </c>
      <c r="AS62" s="13">
        <f t="shared" ca="1" si="61"/>
        <v>0</v>
      </c>
      <c r="AT62" s="13">
        <f t="shared" ca="1" si="62"/>
        <v>0</v>
      </c>
      <c r="AU62" s="13">
        <f t="shared" ca="1" si="63"/>
        <v>990</v>
      </c>
      <c r="AV62" s="13">
        <f t="shared" ca="1" si="64"/>
        <v>3581.8102483199327</v>
      </c>
      <c r="AW62" s="13">
        <f t="shared" ca="1" si="65"/>
        <v>990</v>
      </c>
      <c r="AX62" s="13">
        <f t="shared" ca="1" si="66"/>
        <v>1400</v>
      </c>
      <c r="AY62" s="13">
        <f t="shared" ca="1" si="67"/>
        <v>2591.8102483199327</v>
      </c>
      <c r="AZ62" s="13">
        <f t="shared" ca="1" si="68"/>
        <v>0</v>
      </c>
      <c r="BA62" s="13">
        <f t="shared" ca="1" si="69"/>
        <v>0</v>
      </c>
      <c r="BB62" s="13">
        <f t="shared" ca="1" si="70"/>
        <v>0</v>
      </c>
      <c r="BC62" s="13">
        <f t="shared" ca="1" si="71"/>
        <v>0</v>
      </c>
      <c r="BD62" s="13">
        <f t="shared" ca="1" si="72"/>
        <v>0</v>
      </c>
      <c r="BE62" s="13">
        <f t="shared" ca="1" si="73"/>
        <v>0</v>
      </c>
      <c r="BF62" s="13">
        <f t="shared" ca="1" si="74"/>
        <v>0</v>
      </c>
      <c r="BG62" s="13">
        <f t="shared" ca="1" si="75"/>
        <v>0</v>
      </c>
      <c r="BH62" s="13">
        <f t="shared" ca="1" si="76"/>
        <v>0</v>
      </c>
      <c r="BI62" s="13">
        <f t="shared" ca="1" si="77"/>
        <v>0</v>
      </c>
      <c r="BJ62" s="13">
        <f t="shared" ca="1" si="78"/>
        <v>0</v>
      </c>
      <c r="BK62" s="13">
        <f t="shared" ca="1" si="79"/>
        <v>0</v>
      </c>
      <c r="BL62" s="13">
        <f t="shared" ca="1" si="80"/>
        <v>0</v>
      </c>
      <c r="BM62" s="13">
        <f t="shared" ca="1" si="81"/>
        <v>0</v>
      </c>
      <c r="BN62" s="13">
        <f t="shared" ca="1" si="82"/>
        <v>0</v>
      </c>
      <c r="BO62" s="13">
        <f t="shared" ca="1" si="83"/>
        <v>1400</v>
      </c>
      <c r="BP62" s="13">
        <f t="shared" ca="1" si="84"/>
        <v>26.107542811265393</v>
      </c>
      <c r="BQ62" s="13">
        <f t="shared" ca="1" si="85"/>
        <v>2591.8102483199327</v>
      </c>
    </row>
    <row r="63" spans="1:69" x14ac:dyDescent="0.25">
      <c r="A63" s="1">
        <v>62</v>
      </c>
      <c r="B63" s="13">
        <f ca="1">IF(A63=1,IF(OR('My Loans'!$O$14="",'My Loans'!$O$14=0),0,INDIRECT("'My Loans'!$D"&amp;'My Loans'!$O$14)),AE62)</f>
        <v>0</v>
      </c>
      <c r="C63" s="13">
        <f ca="1">IF(OR('My Loans'!$O$14="",'My Loans'!$O$14=0),0,B63*INDIRECT("'My Loans'!$E"&amp;'My Loans'!$O$14)/12)</f>
        <v>0</v>
      </c>
      <c r="D63" s="13">
        <f ca="1">IF(OR('My Loans'!$O$14="",'My Loans'!$O$14=0),0,IF(B63&lt;0.005,0,MIN(INDIRECT("'My Loans'!$F"&amp;'My Loans'!$O$14),B63+C63)))</f>
        <v>0</v>
      </c>
      <c r="E63" s="13">
        <f ca="1">IF(A63=1,IF(OR('My Loans'!$O$15="",'My Loans'!$O$15=0),0,INDIRECT("'My Loans'!$D"&amp;'My Loans'!$O$15)),AJ62)</f>
        <v>0</v>
      </c>
      <c r="F63" s="13">
        <f ca="1">IF(OR('My Loans'!$O$15="",'My Loans'!$O$15=0),0,E63*INDIRECT("'My Loans'!$E"&amp;'My Loans'!$O$15)/12)</f>
        <v>0</v>
      </c>
      <c r="G63" s="13">
        <f ca="1">IF(OR('My Loans'!$O$15="",'My Loans'!$O$15=0),0,IF(E63&lt;0.005,0,MIN(INDIRECT("'My Loans'!$F"&amp;'My Loans'!$O$15),E63+F63)))</f>
        <v>0</v>
      </c>
      <c r="H63" s="13">
        <f ca="1">IF(A63=1,IF(OR('My Loans'!$O$16="",'My Loans'!$O$16=0),0,INDIRECT("'My Loans'!$D"&amp;'My Loans'!$O$16)),AO62)</f>
        <v>0</v>
      </c>
      <c r="I63" s="13">
        <f ca="1">IF(OR('My Loans'!$O$16="",'My Loans'!$O$16=0),0,H63*INDIRECT("'My Loans'!$E"&amp;'My Loans'!$O$16)/12)</f>
        <v>0</v>
      </c>
      <c r="J63" s="13">
        <f ca="1">IF(OR('My Loans'!$O$16="",'My Loans'!$O$16=0),0,IF(H63&lt;0.005,0,MIN(INDIRECT("'My Loans'!$F"&amp;'My Loans'!$O$16),H63+I63)))</f>
        <v>0</v>
      </c>
      <c r="K63" s="13">
        <f ca="1">IF(A63=1,IF(OR('My Loans'!$O$17="",'My Loans'!$O$17=0),0,INDIRECT("'My Loans'!$D"&amp;'My Loans'!$O$17)),AT62)</f>
        <v>0</v>
      </c>
      <c r="L63" s="13">
        <f ca="1">IF(OR('My Loans'!$O$17="",'My Loans'!$O$17=0),0,K63*INDIRECT("'My Loans'!$E"&amp;'My Loans'!$O$17)/12)</f>
        <v>0</v>
      </c>
      <c r="M63" s="13">
        <f ca="1">IF(OR('My Loans'!$O$17="",'My Loans'!$O$17=0),0,IF(K63&lt;0.005,0,MIN(INDIRECT("'My Loans'!$F"&amp;'My Loans'!$O$17),K63+L63)))</f>
        <v>0</v>
      </c>
      <c r="N63" s="13">
        <f ca="1">IF(A63=1,IF(OR('My Loans'!$O$18="",'My Loans'!$O$18=0),0,INDIRECT("'My Loans'!$D"&amp;'My Loans'!$O$18)),AY62)</f>
        <v>2591.8102483199327</v>
      </c>
      <c r="O63" s="13">
        <f ca="1">IF(OR('My Loans'!$O$18="",'My Loans'!$O$18=0),0,N63*INDIRECT("'My Loans'!$E"&amp;'My Loans'!$O$18)/12)</f>
        <v>17.062750801439559</v>
      </c>
      <c r="P63" s="13">
        <f ca="1">IF(OR('My Loans'!$O$18="",'My Loans'!$O$18=0),0,IF(N63&lt;0.005,0,MIN(INDIRECT("'My Loans'!$F"&amp;'My Loans'!$O$18),N63+O63)))</f>
        <v>410</v>
      </c>
      <c r="Q63" s="13">
        <f ca="1">IF(A63=1,IF(OR('My Loans'!$O$19="",'My Loans'!$O$19=0),0,INDIRECT("'My Loans'!$D"&amp;'My Loans'!$O$19)),BD62)</f>
        <v>0</v>
      </c>
      <c r="R63" s="13">
        <f ca="1">IF(OR('My Loans'!$O$19="",'My Loans'!$O$19=0),0,Q63*INDIRECT("'My Loans'!$E"&amp;'My Loans'!$O$19)/12)</f>
        <v>0</v>
      </c>
      <c r="S63" s="13">
        <f ca="1">IF(OR('My Loans'!$O$19="",'My Loans'!$O$19=0),0,IF(Q63&lt;0.005,0,MIN(INDIRECT("'My Loans'!$F"&amp;'My Loans'!$O$19),Q63+R63)))</f>
        <v>0</v>
      </c>
      <c r="T63" s="13">
        <f ca="1">IF(A63=1,IF(OR('My Loans'!$O$20="",'My Loans'!$O$20=0),0,INDIRECT("'My Loans'!$D"&amp;'My Loans'!$O$20)),BI62)</f>
        <v>0</v>
      </c>
      <c r="U63" s="13">
        <f ca="1">IF(OR('My Loans'!$O$20="",'My Loans'!$O$20=0),0,T63*INDIRECT("'My Loans'!$E"&amp;'My Loans'!$O$20)/12)</f>
        <v>0</v>
      </c>
      <c r="V63" s="13">
        <f ca="1">IF(OR('My Loans'!$O$20="",'My Loans'!$O$20=0),0,IF(T63&lt;0.005,0,MIN(INDIRECT("'My Loans'!$F"&amp;'My Loans'!$O$20),T63+U63)))</f>
        <v>0</v>
      </c>
      <c r="W63" s="13">
        <f ca="1">IF(A63=1,IF(OR('My Loans'!$O$21="",'My Loans'!$O$21=0),0,INDIRECT("'My Loans'!$D"&amp;'My Loans'!$O$21)),BN62)</f>
        <v>0</v>
      </c>
      <c r="X63" s="13">
        <f ca="1">IF(OR('My Loans'!$O$21="",'My Loans'!$O$21=0),0,W63*INDIRECT("'My Loans'!$E"&amp;'My Loans'!$O$21)/12)</f>
        <v>0</v>
      </c>
      <c r="Y63" s="13">
        <f ca="1">IF(OR('My Loans'!$O$21="",'My Loans'!$O$21=0),0,IF(W63&lt;0.005,0,MIN(INDIRECT("'My Loans'!$F"&amp;'My Loans'!$O$21),W63+X63)))</f>
        <v>0</v>
      </c>
      <c r="Z63" s="13">
        <f ca="1">'My Loans'!$B$13-(D63+G63+J63+M63+P63+S63+V63+Y63)</f>
        <v>990</v>
      </c>
      <c r="AA63" s="13">
        <f t="shared" ca="1" si="43"/>
        <v>990</v>
      </c>
      <c r="AB63" s="13">
        <f t="shared" ca="1" si="44"/>
        <v>0</v>
      </c>
      <c r="AC63" s="13">
        <f t="shared" ca="1" si="45"/>
        <v>0</v>
      </c>
      <c r="AD63" s="13">
        <f t="shared" ca="1" si="46"/>
        <v>0</v>
      </c>
      <c r="AE63" s="13">
        <f t="shared" ca="1" si="47"/>
        <v>0</v>
      </c>
      <c r="AF63" s="13">
        <f t="shared" ca="1" si="48"/>
        <v>990</v>
      </c>
      <c r="AG63" s="13">
        <f t="shared" ca="1" si="49"/>
        <v>0</v>
      </c>
      <c r="AH63" s="13">
        <f t="shared" ca="1" si="50"/>
        <v>0</v>
      </c>
      <c r="AI63" s="13">
        <f t="shared" ca="1" si="51"/>
        <v>0</v>
      </c>
      <c r="AJ63" s="13">
        <f t="shared" ca="1" si="52"/>
        <v>0</v>
      </c>
      <c r="AK63" s="13">
        <f t="shared" ca="1" si="53"/>
        <v>990</v>
      </c>
      <c r="AL63" s="13">
        <f t="shared" ca="1" si="54"/>
        <v>0</v>
      </c>
      <c r="AM63" s="13">
        <f t="shared" ca="1" si="55"/>
        <v>0</v>
      </c>
      <c r="AN63" s="13">
        <f t="shared" ca="1" si="56"/>
        <v>0</v>
      </c>
      <c r="AO63" s="13">
        <f t="shared" ca="1" si="57"/>
        <v>0</v>
      </c>
      <c r="AP63" s="13">
        <f t="shared" ca="1" si="58"/>
        <v>990</v>
      </c>
      <c r="AQ63" s="13">
        <f t="shared" ca="1" si="59"/>
        <v>0</v>
      </c>
      <c r="AR63" s="13">
        <f t="shared" ca="1" si="60"/>
        <v>0</v>
      </c>
      <c r="AS63" s="13">
        <f t="shared" ca="1" si="61"/>
        <v>0</v>
      </c>
      <c r="AT63" s="13">
        <f t="shared" ca="1" si="62"/>
        <v>0</v>
      </c>
      <c r="AU63" s="13">
        <f t="shared" ca="1" si="63"/>
        <v>990</v>
      </c>
      <c r="AV63" s="13">
        <f t="shared" ca="1" si="64"/>
        <v>2198.8729991213722</v>
      </c>
      <c r="AW63" s="13">
        <f t="shared" ca="1" si="65"/>
        <v>990</v>
      </c>
      <c r="AX63" s="13">
        <f t="shared" ca="1" si="66"/>
        <v>1400</v>
      </c>
      <c r="AY63" s="13">
        <f t="shared" ca="1" si="67"/>
        <v>1208.8729991213722</v>
      </c>
      <c r="AZ63" s="13">
        <f t="shared" ca="1" si="68"/>
        <v>0</v>
      </c>
      <c r="BA63" s="13">
        <f t="shared" ca="1" si="69"/>
        <v>0</v>
      </c>
      <c r="BB63" s="13">
        <f t="shared" ca="1" si="70"/>
        <v>0</v>
      </c>
      <c r="BC63" s="13">
        <f t="shared" ca="1" si="71"/>
        <v>0</v>
      </c>
      <c r="BD63" s="13">
        <f t="shared" ca="1" si="72"/>
        <v>0</v>
      </c>
      <c r="BE63" s="13">
        <f t="shared" ca="1" si="73"/>
        <v>0</v>
      </c>
      <c r="BF63" s="13">
        <f t="shared" ca="1" si="74"/>
        <v>0</v>
      </c>
      <c r="BG63" s="13">
        <f t="shared" ca="1" si="75"/>
        <v>0</v>
      </c>
      <c r="BH63" s="13">
        <f t="shared" ca="1" si="76"/>
        <v>0</v>
      </c>
      <c r="BI63" s="13">
        <f t="shared" ca="1" si="77"/>
        <v>0</v>
      </c>
      <c r="BJ63" s="13">
        <f t="shared" ca="1" si="78"/>
        <v>0</v>
      </c>
      <c r="BK63" s="13">
        <f t="shared" ca="1" si="79"/>
        <v>0</v>
      </c>
      <c r="BL63" s="13">
        <f t="shared" ca="1" si="80"/>
        <v>0</v>
      </c>
      <c r="BM63" s="13">
        <f t="shared" ca="1" si="81"/>
        <v>0</v>
      </c>
      <c r="BN63" s="13">
        <f t="shared" ca="1" si="82"/>
        <v>0</v>
      </c>
      <c r="BO63" s="13">
        <f t="shared" ca="1" si="83"/>
        <v>1400</v>
      </c>
      <c r="BP63" s="13">
        <f t="shared" ca="1" si="84"/>
        <v>17.062750801439559</v>
      </c>
      <c r="BQ63" s="13">
        <f t="shared" ca="1" si="85"/>
        <v>1208.8729991213722</v>
      </c>
    </row>
    <row r="64" spans="1:69" x14ac:dyDescent="0.25">
      <c r="A64" s="1">
        <v>63</v>
      </c>
      <c r="B64" s="13">
        <f ca="1">IF(A64=1,IF(OR('My Loans'!$O$14="",'My Loans'!$O$14=0),0,INDIRECT("'My Loans'!$D"&amp;'My Loans'!$O$14)),AE63)</f>
        <v>0</v>
      </c>
      <c r="C64" s="13">
        <f ca="1">IF(OR('My Loans'!$O$14="",'My Loans'!$O$14=0),0,B64*INDIRECT("'My Loans'!$E"&amp;'My Loans'!$O$14)/12)</f>
        <v>0</v>
      </c>
      <c r="D64" s="13">
        <f ca="1">IF(OR('My Loans'!$O$14="",'My Loans'!$O$14=0),0,IF(B64&lt;0.005,0,MIN(INDIRECT("'My Loans'!$F"&amp;'My Loans'!$O$14),B64+C64)))</f>
        <v>0</v>
      </c>
      <c r="E64" s="13">
        <f ca="1">IF(A64=1,IF(OR('My Loans'!$O$15="",'My Loans'!$O$15=0),0,INDIRECT("'My Loans'!$D"&amp;'My Loans'!$O$15)),AJ63)</f>
        <v>0</v>
      </c>
      <c r="F64" s="13">
        <f ca="1">IF(OR('My Loans'!$O$15="",'My Loans'!$O$15=0),0,E64*INDIRECT("'My Loans'!$E"&amp;'My Loans'!$O$15)/12)</f>
        <v>0</v>
      </c>
      <c r="G64" s="13">
        <f ca="1">IF(OR('My Loans'!$O$15="",'My Loans'!$O$15=0),0,IF(E64&lt;0.005,0,MIN(INDIRECT("'My Loans'!$F"&amp;'My Loans'!$O$15),E64+F64)))</f>
        <v>0</v>
      </c>
      <c r="H64" s="13">
        <f ca="1">IF(A64=1,IF(OR('My Loans'!$O$16="",'My Loans'!$O$16=0),0,INDIRECT("'My Loans'!$D"&amp;'My Loans'!$O$16)),AO63)</f>
        <v>0</v>
      </c>
      <c r="I64" s="13">
        <f ca="1">IF(OR('My Loans'!$O$16="",'My Loans'!$O$16=0),0,H64*INDIRECT("'My Loans'!$E"&amp;'My Loans'!$O$16)/12)</f>
        <v>0</v>
      </c>
      <c r="J64" s="13">
        <f ca="1">IF(OR('My Loans'!$O$16="",'My Loans'!$O$16=0),0,IF(H64&lt;0.005,0,MIN(INDIRECT("'My Loans'!$F"&amp;'My Loans'!$O$16),H64+I64)))</f>
        <v>0</v>
      </c>
      <c r="K64" s="13">
        <f ca="1">IF(A64=1,IF(OR('My Loans'!$O$17="",'My Loans'!$O$17=0),0,INDIRECT("'My Loans'!$D"&amp;'My Loans'!$O$17)),AT63)</f>
        <v>0</v>
      </c>
      <c r="L64" s="13">
        <f ca="1">IF(OR('My Loans'!$O$17="",'My Loans'!$O$17=0),0,K64*INDIRECT("'My Loans'!$E"&amp;'My Loans'!$O$17)/12)</f>
        <v>0</v>
      </c>
      <c r="M64" s="13">
        <f ca="1">IF(OR('My Loans'!$O$17="",'My Loans'!$O$17=0),0,IF(K64&lt;0.005,0,MIN(INDIRECT("'My Loans'!$F"&amp;'My Loans'!$O$17),K64+L64)))</f>
        <v>0</v>
      </c>
      <c r="N64" s="13">
        <f ca="1">IF(A64=1,IF(OR('My Loans'!$O$18="",'My Loans'!$O$18=0),0,INDIRECT("'My Loans'!$D"&amp;'My Loans'!$O$18)),AY63)</f>
        <v>1208.8729991213722</v>
      </c>
      <c r="O64" s="13">
        <f ca="1">IF(OR('My Loans'!$O$18="",'My Loans'!$O$18=0),0,N64*INDIRECT("'My Loans'!$E"&amp;'My Loans'!$O$18)/12)</f>
        <v>7.958413910882367</v>
      </c>
      <c r="P64" s="13">
        <f ca="1">IF(OR('My Loans'!$O$18="",'My Loans'!$O$18=0),0,IF(N64&lt;0.005,0,MIN(INDIRECT("'My Loans'!$F"&amp;'My Loans'!$O$18),N64+O64)))</f>
        <v>410</v>
      </c>
      <c r="Q64" s="13">
        <f ca="1">IF(A64=1,IF(OR('My Loans'!$O$19="",'My Loans'!$O$19=0),0,INDIRECT("'My Loans'!$D"&amp;'My Loans'!$O$19)),BD63)</f>
        <v>0</v>
      </c>
      <c r="R64" s="13">
        <f ca="1">IF(OR('My Loans'!$O$19="",'My Loans'!$O$19=0),0,Q64*INDIRECT("'My Loans'!$E"&amp;'My Loans'!$O$19)/12)</f>
        <v>0</v>
      </c>
      <c r="S64" s="13">
        <f ca="1">IF(OR('My Loans'!$O$19="",'My Loans'!$O$19=0),0,IF(Q64&lt;0.005,0,MIN(INDIRECT("'My Loans'!$F"&amp;'My Loans'!$O$19),Q64+R64)))</f>
        <v>0</v>
      </c>
      <c r="T64" s="13">
        <f ca="1">IF(A64=1,IF(OR('My Loans'!$O$20="",'My Loans'!$O$20=0),0,INDIRECT("'My Loans'!$D"&amp;'My Loans'!$O$20)),BI63)</f>
        <v>0</v>
      </c>
      <c r="U64" s="13">
        <f ca="1">IF(OR('My Loans'!$O$20="",'My Loans'!$O$20=0),0,T64*INDIRECT("'My Loans'!$E"&amp;'My Loans'!$O$20)/12)</f>
        <v>0</v>
      </c>
      <c r="V64" s="13">
        <f ca="1">IF(OR('My Loans'!$O$20="",'My Loans'!$O$20=0),0,IF(T64&lt;0.005,0,MIN(INDIRECT("'My Loans'!$F"&amp;'My Loans'!$O$20),T64+U64)))</f>
        <v>0</v>
      </c>
      <c r="W64" s="13">
        <f ca="1">IF(A64=1,IF(OR('My Loans'!$O$21="",'My Loans'!$O$21=0),0,INDIRECT("'My Loans'!$D"&amp;'My Loans'!$O$21)),BN63)</f>
        <v>0</v>
      </c>
      <c r="X64" s="13">
        <f ca="1">IF(OR('My Loans'!$O$21="",'My Loans'!$O$21=0),0,W64*INDIRECT("'My Loans'!$E"&amp;'My Loans'!$O$21)/12)</f>
        <v>0</v>
      </c>
      <c r="Y64" s="13">
        <f ca="1">IF(OR('My Loans'!$O$21="",'My Loans'!$O$21=0),0,IF(W64&lt;0.005,0,MIN(INDIRECT("'My Loans'!$F"&amp;'My Loans'!$O$21),W64+X64)))</f>
        <v>0</v>
      </c>
      <c r="Z64" s="13">
        <f ca="1">'My Loans'!$B$13-(D64+G64+J64+M64+P64+S64+V64+Y64)</f>
        <v>990</v>
      </c>
      <c r="AA64" s="13">
        <f t="shared" ca="1" si="43"/>
        <v>990</v>
      </c>
      <c r="AB64" s="13">
        <f t="shared" ca="1" si="44"/>
        <v>0</v>
      </c>
      <c r="AC64" s="13">
        <f t="shared" ca="1" si="45"/>
        <v>0</v>
      </c>
      <c r="AD64" s="13">
        <f t="shared" ca="1" si="46"/>
        <v>0</v>
      </c>
      <c r="AE64" s="13">
        <f t="shared" ca="1" si="47"/>
        <v>0</v>
      </c>
      <c r="AF64" s="13">
        <f t="shared" ca="1" si="48"/>
        <v>990</v>
      </c>
      <c r="AG64" s="13">
        <f t="shared" ca="1" si="49"/>
        <v>0</v>
      </c>
      <c r="AH64" s="13">
        <f t="shared" ca="1" si="50"/>
        <v>0</v>
      </c>
      <c r="AI64" s="13">
        <f t="shared" ca="1" si="51"/>
        <v>0</v>
      </c>
      <c r="AJ64" s="13">
        <f t="shared" ca="1" si="52"/>
        <v>0</v>
      </c>
      <c r="AK64" s="13">
        <f t="shared" ca="1" si="53"/>
        <v>990</v>
      </c>
      <c r="AL64" s="13">
        <f t="shared" ca="1" si="54"/>
        <v>0</v>
      </c>
      <c r="AM64" s="13">
        <f t="shared" ca="1" si="55"/>
        <v>0</v>
      </c>
      <c r="AN64" s="13">
        <f t="shared" ca="1" si="56"/>
        <v>0</v>
      </c>
      <c r="AO64" s="13">
        <f t="shared" ca="1" si="57"/>
        <v>0</v>
      </c>
      <c r="AP64" s="13">
        <f t="shared" ca="1" si="58"/>
        <v>990</v>
      </c>
      <c r="AQ64" s="13">
        <f t="shared" ca="1" si="59"/>
        <v>0</v>
      </c>
      <c r="AR64" s="13">
        <f t="shared" ca="1" si="60"/>
        <v>0</v>
      </c>
      <c r="AS64" s="13">
        <f t="shared" ca="1" si="61"/>
        <v>0</v>
      </c>
      <c r="AT64" s="13">
        <f t="shared" ca="1" si="62"/>
        <v>0</v>
      </c>
      <c r="AU64" s="13">
        <f t="shared" ca="1" si="63"/>
        <v>990</v>
      </c>
      <c r="AV64" s="13">
        <f t="shared" ca="1" si="64"/>
        <v>806.83141303225466</v>
      </c>
      <c r="AW64" s="13">
        <f t="shared" ca="1" si="65"/>
        <v>806.83141303225466</v>
      </c>
      <c r="AX64" s="13">
        <f t="shared" ca="1" si="66"/>
        <v>1216.8314130322547</v>
      </c>
      <c r="AY64" s="13">
        <f t="shared" ca="1" si="67"/>
        <v>0</v>
      </c>
      <c r="AZ64" s="13">
        <f t="shared" ca="1" si="68"/>
        <v>183.16858696774534</v>
      </c>
      <c r="BA64" s="13">
        <f t="shared" ca="1" si="69"/>
        <v>0</v>
      </c>
      <c r="BB64" s="13">
        <f t="shared" ca="1" si="70"/>
        <v>0</v>
      </c>
      <c r="BC64" s="13">
        <f t="shared" ca="1" si="71"/>
        <v>0</v>
      </c>
      <c r="BD64" s="13">
        <f t="shared" ca="1" si="72"/>
        <v>0</v>
      </c>
      <c r="BE64" s="13">
        <f t="shared" ca="1" si="73"/>
        <v>183.16858696774534</v>
      </c>
      <c r="BF64" s="13">
        <f t="shared" ca="1" si="74"/>
        <v>0</v>
      </c>
      <c r="BG64" s="13">
        <f t="shared" ca="1" si="75"/>
        <v>0</v>
      </c>
      <c r="BH64" s="13">
        <f t="shared" ca="1" si="76"/>
        <v>0</v>
      </c>
      <c r="BI64" s="13">
        <f t="shared" ca="1" si="77"/>
        <v>0</v>
      </c>
      <c r="BJ64" s="13">
        <f t="shared" ca="1" si="78"/>
        <v>183.16858696774534</v>
      </c>
      <c r="BK64" s="13">
        <f t="shared" ca="1" si="79"/>
        <v>0</v>
      </c>
      <c r="BL64" s="13">
        <f t="shared" ca="1" si="80"/>
        <v>0</v>
      </c>
      <c r="BM64" s="13">
        <f t="shared" ca="1" si="81"/>
        <v>0</v>
      </c>
      <c r="BN64" s="13">
        <f t="shared" ca="1" si="82"/>
        <v>0</v>
      </c>
      <c r="BO64" s="13">
        <f t="shared" ca="1" si="83"/>
        <v>1216.8314130322547</v>
      </c>
      <c r="BP64" s="13">
        <f t="shared" ca="1" si="84"/>
        <v>7.958413910882367</v>
      </c>
      <c r="BQ64" s="13">
        <f t="shared" ca="1" si="85"/>
        <v>0</v>
      </c>
    </row>
    <row r="65" spans="1:69" x14ac:dyDescent="0.25">
      <c r="A65" s="1">
        <v>64</v>
      </c>
      <c r="B65" s="13">
        <f ca="1">IF(A65=1,IF(OR('My Loans'!$O$14="",'My Loans'!$O$14=0),0,INDIRECT("'My Loans'!$D"&amp;'My Loans'!$O$14)),AE64)</f>
        <v>0</v>
      </c>
      <c r="C65" s="13">
        <f ca="1">IF(OR('My Loans'!$O$14="",'My Loans'!$O$14=0),0,B65*INDIRECT("'My Loans'!$E"&amp;'My Loans'!$O$14)/12)</f>
        <v>0</v>
      </c>
      <c r="D65" s="13">
        <f ca="1">IF(OR('My Loans'!$O$14="",'My Loans'!$O$14=0),0,IF(B65&lt;0.005,0,MIN(INDIRECT("'My Loans'!$F"&amp;'My Loans'!$O$14),B65+C65)))</f>
        <v>0</v>
      </c>
      <c r="E65" s="13">
        <f ca="1">IF(A65=1,IF(OR('My Loans'!$O$15="",'My Loans'!$O$15=0),0,INDIRECT("'My Loans'!$D"&amp;'My Loans'!$O$15)),AJ64)</f>
        <v>0</v>
      </c>
      <c r="F65" s="13">
        <f ca="1">IF(OR('My Loans'!$O$15="",'My Loans'!$O$15=0),0,E65*INDIRECT("'My Loans'!$E"&amp;'My Loans'!$O$15)/12)</f>
        <v>0</v>
      </c>
      <c r="G65" s="13">
        <f ca="1">IF(OR('My Loans'!$O$15="",'My Loans'!$O$15=0),0,IF(E65&lt;0.005,0,MIN(INDIRECT("'My Loans'!$F"&amp;'My Loans'!$O$15),E65+F65)))</f>
        <v>0</v>
      </c>
      <c r="H65" s="13">
        <f ca="1">IF(A65=1,IF(OR('My Loans'!$O$16="",'My Loans'!$O$16=0),0,INDIRECT("'My Loans'!$D"&amp;'My Loans'!$O$16)),AO64)</f>
        <v>0</v>
      </c>
      <c r="I65" s="13">
        <f ca="1">IF(OR('My Loans'!$O$16="",'My Loans'!$O$16=0),0,H65*INDIRECT("'My Loans'!$E"&amp;'My Loans'!$O$16)/12)</f>
        <v>0</v>
      </c>
      <c r="J65" s="13">
        <f ca="1">IF(OR('My Loans'!$O$16="",'My Loans'!$O$16=0),0,IF(H65&lt;0.005,0,MIN(INDIRECT("'My Loans'!$F"&amp;'My Loans'!$O$16),H65+I65)))</f>
        <v>0</v>
      </c>
      <c r="K65" s="13">
        <f ca="1">IF(A65=1,IF(OR('My Loans'!$O$17="",'My Loans'!$O$17=0),0,INDIRECT("'My Loans'!$D"&amp;'My Loans'!$O$17)),AT64)</f>
        <v>0</v>
      </c>
      <c r="L65" s="13">
        <f ca="1">IF(OR('My Loans'!$O$17="",'My Loans'!$O$17=0),0,K65*INDIRECT("'My Loans'!$E"&amp;'My Loans'!$O$17)/12)</f>
        <v>0</v>
      </c>
      <c r="M65" s="13">
        <f ca="1">IF(OR('My Loans'!$O$17="",'My Loans'!$O$17=0),0,IF(K65&lt;0.005,0,MIN(INDIRECT("'My Loans'!$F"&amp;'My Loans'!$O$17),K65+L65)))</f>
        <v>0</v>
      </c>
      <c r="N65" s="13">
        <f ca="1">IF(A65=1,IF(OR('My Loans'!$O$18="",'My Loans'!$O$18=0),0,INDIRECT("'My Loans'!$D"&amp;'My Loans'!$O$18)),AY64)</f>
        <v>0</v>
      </c>
      <c r="O65" s="13">
        <f ca="1">IF(OR('My Loans'!$O$18="",'My Loans'!$O$18=0),0,N65*INDIRECT("'My Loans'!$E"&amp;'My Loans'!$O$18)/12)</f>
        <v>0</v>
      </c>
      <c r="P65" s="13">
        <f ca="1">IF(OR('My Loans'!$O$18="",'My Loans'!$O$18=0),0,IF(N65&lt;0.005,0,MIN(INDIRECT("'My Loans'!$F"&amp;'My Loans'!$O$18),N65+O65)))</f>
        <v>0</v>
      </c>
      <c r="Q65" s="13">
        <f ca="1">IF(A65=1,IF(OR('My Loans'!$O$19="",'My Loans'!$O$19=0),0,INDIRECT("'My Loans'!$D"&amp;'My Loans'!$O$19)),BD64)</f>
        <v>0</v>
      </c>
      <c r="R65" s="13">
        <f ca="1">IF(OR('My Loans'!$O$19="",'My Loans'!$O$19=0),0,Q65*INDIRECT("'My Loans'!$E"&amp;'My Loans'!$O$19)/12)</f>
        <v>0</v>
      </c>
      <c r="S65" s="13">
        <f ca="1">IF(OR('My Loans'!$O$19="",'My Loans'!$O$19=0),0,IF(Q65&lt;0.005,0,MIN(INDIRECT("'My Loans'!$F"&amp;'My Loans'!$O$19),Q65+R65)))</f>
        <v>0</v>
      </c>
      <c r="T65" s="13">
        <f ca="1">IF(A65=1,IF(OR('My Loans'!$O$20="",'My Loans'!$O$20=0),0,INDIRECT("'My Loans'!$D"&amp;'My Loans'!$O$20)),BI64)</f>
        <v>0</v>
      </c>
      <c r="U65" s="13">
        <f ca="1">IF(OR('My Loans'!$O$20="",'My Loans'!$O$20=0),0,T65*INDIRECT("'My Loans'!$E"&amp;'My Loans'!$O$20)/12)</f>
        <v>0</v>
      </c>
      <c r="V65" s="13">
        <f ca="1">IF(OR('My Loans'!$O$20="",'My Loans'!$O$20=0),0,IF(T65&lt;0.005,0,MIN(INDIRECT("'My Loans'!$F"&amp;'My Loans'!$O$20),T65+U65)))</f>
        <v>0</v>
      </c>
      <c r="W65" s="13">
        <f ca="1">IF(A65=1,IF(OR('My Loans'!$O$21="",'My Loans'!$O$21=0),0,INDIRECT("'My Loans'!$D"&amp;'My Loans'!$O$21)),BN64)</f>
        <v>0</v>
      </c>
      <c r="X65" s="13">
        <f ca="1">IF(OR('My Loans'!$O$21="",'My Loans'!$O$21=0),0,W65*INDIRECT("'My Loans'!$E"&amp;'My Loans'!$O$21)/12)</f>
        <v>0</v>
      </c>
      <c r="Y65" s="13">
        <f ca="1">IF(OR('My Loans'!$O$21="",'My Loans'!$O$21=0),0,IF(W65&lt;0.005,0,MIN(INDIRECT("'My Loans'!$F"&amp;'My Loans'!$O$21),W65+X65)))</f>
        <v>0</v>
      </c>
      <c r="Z65" s="13">
        <f ca="1">'My Loans'!$B$13-(D65+G65+J65+M65+P65+S65+V65+Y65)</f>
        <v>1400</v>
      </c>
      <c r="AA65" s="13">
        <f t="shared" ca="1" si="43"/>
        <v>1400</v>
      </c>
      <c r="AB65" s="13">
        <f t="shared" ca="1" si="44"/>
        <v>0</v>
      </c>
      <c r="AC65" s="13">
        <f t="shared" ca="1" si="45"/>
        <v>0</v>
      </c>
      <c r="AD65" s="13">
        <f t="shared" ca="1" si="46"/>
        <v>0</v>
      </c>
      <c r="AE65" s="13">
        <f t="shared" ca="1" si="47"/>
        <v>0</v>
      </c>
      <c r="AF65" s="13">
        <f t="shared" ca="1" si="48"/>
        <v>1400</v>
      </c>
      <c r="AG65" s="13">
        <f t="shared" ca="1" si="49"/>
        <v>0</v>
      </c>
      <c r="AH65" s="13">
        <f t="shared" ca="1" si="50"/>
        <v>0</v>
      </c>
      <c r="AI65" s="13">
        <f t="shared" ca="1" si="51"/>
        <v>0</v>
      </c>
      <c r="AJ65" s="13">
        <f t="shared" ca="1" si="52"/>
        <v>0</v>
      </c>
      <c r="AK65" s="13">
        <f t="shared" ca="1" si="53"/>
        <v>1400</v>
      </c>
      <c r="AL65" s="13">
        <f t="shared" ca="1" si="54"/>
        <v>0</v>
      </c>
      <c r="AM65" s="13">
        <f t="shared" ca="1" si="55"/>
        <v>0</v>
      </c>
      <c r="AN65" s="13">
        <f t="shared" ca="1" si="56"/>
        <v>0</v>
      </c>
      <c r="AO65" s="13">
        <f t="shared" ca="1" si="57"/>
        <v>0</v>
      </c>
      <c r="AP65" s="13">
        <f t="shared" ca="1" si="58"/>
        <v>1400</v>
      </c>
      <c r="AQ65" s="13">
        <f t="shared" ca="1" si="59"/>
        <v>0</v>
      </c>
      <c r="AR65" s="13">
        <f t="shared" ca="1" si="60"/>
        <v>0</v>
      </c>
      <c r="AS65" s="13">
        <f t="shared" ca="1" si="61"/>
        <v>0</v>
      </c>
      <c r="AT65" s="13">
        <f t="shared" ca="1" si="62"/>
        <v>0</v>
      </c>
      <c r="AU65" s="13">
        <f t="shared" ca="1" si="63"/>
        <v>1400</v>
      </c>
      <c r="AV65" s="13">
        <f t="shared" ca="1" si="64"/>
        <v>0</v>
      </c>
      <c r="AW65" s="13">
        <f t="shared" ca="1" si="65"/>
        <v>0</v>
      </c>
      <c r="AX65" s="13">
        <f t="shared" ca="1" si="66"/>
        <v>0</v>
      </c>
      <c r="AY65" s="13">
        <f t="shared" ca="1" si="67"/>
        <v>0</v>
      </c>
      <c r="AZ65" s="13">
        <f t="shared" ca="1" si="68"/>
        <v>1400</v>
      </c>
      <c r="BA65" s="13">
        <f t="shared" ca="1" si="69"/>
        <v>0</v>
      </c>
      <c r="BB65" s="13">
        <f t="shared" ca="1" si="70"/>
        <v>0</v>
      </c>
      <c r="BC65" s="13">
        <f t="shared" ca="1" si="71"/>
        <v>0</v>
      </c>
      <c r="BD65" s="13">
        <f t="shared" ca="1" si="72"/>
        <v>0</v>
      </c>
      <c r="BE65" s="13">
        <f t="shared" ca="1" si="73"/>
        <v>1400</v>
      </c>
      <c r="BF65" s="13">
        <f t="shared" ca="1" si="74"/>
        <v>0</v>
      </c>
      <c r="BG65" s="13">
        <f t="shared" ca="1" si="75"/>
        <v>0</v>
      </c>
      <c r="BH65" s="13">
        <f t="shared" ca="1" si="76"/>
        <v>0</v>
      </c>
      <c r="BI65" s="13">
        <f t="shared" ca="1" si="77"/>
        <v>0</v>
      </c>
      <c r="BJ65" s="13">
        <f t="shared" ca="1" si="78"/>
        <v>1400</v>
      </c>
      <c r="BK65" s="13">
        <f t="shared" ca="1" si="79"/>
        <v>0</v>
      </c>
      <c r="BL65" s="13">
        <f t="shared" ca="1" si="80"/>
        <v>0</v>
      </c>
      <c r="BM65" s="13">
        <f t="shared" ca="1" si="81"/>
        <v>0</v>
      </c>
      <c r="BN65" s="13">
        <f t="shared" ca="1" si="82"/>
        <v>0</v>
      </c>
      <c r="BO65" s="13">
        <f t="shared" ca="1" si="83"/>
        <v>0</v>
      </c>
      <c r="BP65" s="13">
        <f t="shared" ca="1" si="84"/>
        <v>0</v>
      </c>
      <c r="BQ65" s="13">
        <f t="shared" ca="1" si="85"/>
        <v>0</v>
      </c>
    </row>
    <row r="66" spans="1:69" x14ac:dyDescent="0.25">
      <c r="A66" s="1">
        <v>65</v>
      </c>
      <c r="B66" s="13">
        <f ca="1">IF(A66=1,IF(OR('My Loans'!$O$14="",'My Loans'!$O$14=0),0,INDIRECT("'My Loans'!$D"&amp;'My Loans'!$O$14)),AE65)</f>
        <v>0</v>
      </c>
      <c r="C66" s="13">
        <f ca="1">IF(OR('My Loans'!$O$14="",'My Loans'!$O$14=0),0,B66*INDIRECT("'My Loans'!$E"&amp;'My Loans'!$O$14)/12)</f>
        <v>0</v>
      </c>
      <c r="D66" s="13">
        <f ca="1">IF(OR('My Loans'!$O$14="",'My Loans'!$O$14=0),0,IF(B66&lt;0.005,0,MIN(INDIRECT("'My Loans'!$F"&amp;'My Loans'!$O$14),B66+C66)))</f>
        <v>0</v>
      </c>
      <c r="E66" s="13">
        <f ca="1">IF(A66=1,IF(OR('My Loans'!$O$15="",'My Loans'!$O$15=0),0,INDIRECT("'My Loans'!$D"&amp;'My Loans'!$O$15)),AJ65)</f>
        <v>0</v>
      </c>
      <c r="F66" s="13">
        <f ca="1">IF(OR('My Loans'!$O$15="",'My Loans'!$O$15=0),0,E66*INDIRECT("'My Loans'!$E"&amp;'My Loans'!$O$15)/12)</f>
        <v>0</v>
      </c>
      <c r="G66" s="13">
        <f ca="1">IF(OR('My Loans'!$O$15="",'My Loans'!$O$15=0),0,IF(E66&lt;0.005,0,MIN(INDIRECT("'My Loans'!$F"&amp;'My Loans'!$O$15),E66+F66)))</f>
        <v>0</v>
      </c>
      <c r="H66" s="13">
        <f ca="1">IF(A66=1,IF(OR('My Loans'!$O$16="",'My Loans'!$O$16=0),0,INDIRECT("'My Loans'!$D"&amp;'My Loans'!$O$16)),AO65)</f>
        <v>0</v>
      </c>
      <c r="I66" s="13">
        <f ca="1">IF(OR('My Loans'!$O$16="",'My Loans'!$O$16=0),0,H66*INDIRECT("'My Loans'!$E"&amp;'My Loans'!$O$16)/12)</f>
        <v>0</v>
      </c>
      <c r="J66" s="13">
        <f ca="1">IF(OR('My Loans'!$O$16="",'My Loans'!$O$16=0),0,IF(H66&lt;0.005,0,MIN(INDIRECT("'My Loans'!$F"&amp;'My Loans'!$O$16),H66+I66)))</f>
        <v>0</v>
      </c>
      <c r="K66" s="13">
        <f ca="1">IF(A66=1,IF(OR('My Loans'!$O$17="",'My Loans'!$O$17=0),0,INDIRECT("'My Loans'!$D"&amp;'My Loans'!$O$17)),AT65)</f>
        <v>0</v>
      </c>
      <c r="L66" s="13">
        <f ca="1">IF(OR('My Loans'!$O$17="",'My Loans'!$O$17=0),0,K66*INDIRECT("'My Loans'!$E"&amp;'My Loans'!$O$17)/12)</f>
        <v>0</v>
      </c>
      <c r="M66" s="13">
        <f ca="1">IF(OR('My Loans'!$O$17="",'My Loans'!$O$17=0),0,IF(K66&lt;0.005,0,MIN(INDIRECT("'My Loans'!$F"&amp;'My Loans'!$O$17),K66+L66)))</f>
        <v>0</v>
      </c>
      <c r="N66" s="13">
        <f ca="1">IF(A66=1,IF(OR('My Loans'!$O$18="",'My Loans'!$O$18=0),0,INDIRECT("'My Loans'!$D"&amp;'My Loans'!$O$18)),AY65)</f>
        <v>0</v>
      </c>
      <c r="O66" s="13">
        <f ca="1">IF(OR('My Loans'!$O$18="",'My Loans'!$O$18=0),0,N66*INDIRECT("'My Loans'!$E"&amp;'My Loans'!$O$18)/12)</f>
        <v>0</v>
      </c>
      <c r="P66" s="13">
        <f ca="1">IF(OR('My Loans'!$O$18="",'My Loans'!$O$18=0),0,IF(N66&lt;0.005,0,MIN(INDIRECT("'My Loans'!$F"&amp;'My Loans'!$O$18),N66+O66)))</f>
        <v>0</v>
      </c>
      <c r="Q66" s="13">
        <f ca="1">IF(A66=1,IF(OR('My Loans'!$O$19="",'My Loans'!$O$19=0),0,INDIRECT("'My Loans'!$D"&amp;'My Loans'!$O$19)),BD65)</f>
        <v>0</v>
      </c>
      <c r="R66" s="13">
        <f ca="1">IF(OR('My Loans'!$O$19="",'My Loans'!$O$19=0),0,Q66*INDIRECT("'My Loans'!$E"&amp;'My Loans'!$O$19)/12)</f>
        <v>0</v>
      </c>
      <c r="S66" s="13">
        <f ca="1">IF(OR('My Loans'!$O$19="",'My Loans'!$O$19=0),0,IF(Q66&lt;0.005,0,MIN(INDIRECT("'My Loans'!$F"&amp;'My Loans'!$O$19),Q66+R66)))</f>
        <v>0</v>
      </c>
      <c r="T66" s="13">
        <f ca="1">IF(A66=1,IF(OR('My Loans'!$O$20="",'My Loans'!$O$20=0),0,INDIRECT("'My Loans'!$D"&amp;'My Loans'!$O$20)),BI65)</f>
        <v>0</v>
      </c>
      <c r="U66" s="13">
        <f ca="1">IF(OR('My Loans'!$O$20="",'My Loans'!$O$20=0),0,T66*INDIRECT("'My Loans'!$E"&amp;'My Loans'!$O$20)/12)</f>
        <v>0</v>
      </c>
      <c r="V66" s="13">
        <f ca="1">IF(OR('My Loans'!$O$20="",'My Loans'!$O$20=0),0,IF(T66&lt;0.005,0,MIN(INDIRECT("'My Loans'!$F"&amp;'My Loans'!$O$20),T66+U66)))</f>
        <v>0</v>
      </c>
      <c r="W66" s="13">
        <f ca="1">IF(A66=1,IF(OR('My Loans'!$O$21="",'My Loans'!$O$21=0),0,INDIRECT("'My Loans'!$D"&amp;'My Loans'!$O$21)),BN65)</f>
        <v>0</v>
      </c>
      <c r="X66" s="13">
        <f ca="1">IF(OR('My Loans'!$O$21="",'My Loans'!$O$21=0),0,W66*INDIRECT("'My Loans'!$E"&amp;'My Loans'!$O$21)/12)</f>
        <v>0</v>
      </c>
      <c r="Y66" s="13">
        <f ca="1">IF(OR('My Loans'!$O$21="",'My Loans'!$O$21=0),0,IF(W66&lt;0.005,0,MIN(INDIRECT("'My Loans'!$F"&amp;'My Loans'!$O$21),W66+X66)))</f>
        <v>0</v>
      </c>
      <c r="Z66" s="13">
        <f ca="1">'My Loans'!$B$13-(D66+G66+J66+M66+P66+S66+V66+Y66)</f>
        <v>1400</v>
      </c>
      <c r="AA66" s="13">
        <f t="shared" ref="AA66:AA97" ca="1" si="86">MAX(0,Z66)</f>
        <v>1400</v>
      </c>
      <c r="AB66" s="13">
        <f t="shared" ref="AB66:AB97" ca="1" si="87">MAX(0,B66+C66-D66)</f>
        <v>0</v>
      </c>
      <c r="AC66" s="13">
        <f t="shared" ref="AC66:AC97" ca="1" si="88">MIN(AA66,AB66)</f>
        <v>0</v>
      </c>
      <c r="AD66" s="13">
        <f t="shared" ref="AD66:AD97" ca="1" si="89">D66+AC66</f>
        <v>0</v>
      </c>
      <c r="AE66" s="13">
        <f t="shared" ref="AE66:AE97" ca="1" si="90">MAX(0,B66+C66-AD66)</f>
        <v>0</v>
      </c>
      <c r="AF66" s="13">
        <f t="shared" ref="AF66:AF97" ca="1" si="91">MAX(0,AA66-AC66)</f>
        <v>1400</v>
      </c>
      <c r="AG66" s="13">
        <f t="shared" ref="AG66:AG97" ca="1" si="92">MAX(0,E66+F66-G66)</f>
        <v>0</v>
      </c>
      <c r="AH66" s="13">
        <f t="shared" ref="AH66:AH97" ca="1" si="93">MIN(AF66,AG66)</f>
        <v>0</v>
      </c>
      <c r="AI66" s="13">
        <f t="shared" ref="AI66:AI97" ca="1" si="94">G66+AH66</f>
        <v>0</v>
      </c>
      <c r="AJ66" s="13">
        <f t="shared" ref="AJ66:AJ97" ca="1" si="95">MAX(0,E66+F66-AI66)</f>
        <v>0</v>
      </c>
      <c r="AK66" s="13">
        <f t="shared" ref="AK66:AK97" ca="1" si="96">MAX(0,AF66-AH66)</f>
        <v>1400</v>
      </c>
      <c r="AL66" s="13">
        <f t="shared" ref="AL66:AL97" ca="1" si="97">MAX(0,H66+I66-J66)</f>
        <v>0</v>
      </c>
      <c r="AM66" s="13">
        <f t="shared" ref="AM66:AM97" ca="1" si="98">MIN(AK66,AL66)</f>
        <v>0</v>
      </c>
      <c r="AN66" s="13">
        <f t="shared" ref="AN66:AN97" ca="1" si="99">J66+AM66</f>
        <v>0</v>
      </c>
      <c r="AO66" s="13">
        <f t="shared" ref="AO66:AO97" ca="1" si="100">MAX(0,H66+I66-AN66)</f>
        <v>0</v>
      </c>
      <c r="AP66" s="13">
        <f t="shared" ref="AP66:AP97" ca="1" si="101">MAX(0,AK66-AM66)</f>
        <v>1400</v>
      </c>
      <c r="AQ66" s="13">
        <f t="shared" ref="AQ66:AQ97" ca="1" si="102">MAX(0,K66+L66-M66)</f>
        <v>0</v>
      </c>
      <c r="AR66" s="13">
        <f t="shared" ref="AR66:AR97" ca="1" si="103">MIN(AP66,AQ66)</f>
        <v>0</v>
      </c>
      <c r="AS66" s="13">
        <f t="shared" ref="AS66:AS97" ca="1" si="104">M66+AR66</f>
        <v>0</v>
      </c>
      <c r="AT66" s="13">
        <f t="shared" ref="AT66:AT97" ca="1" si="105">MAX(0,K66+L66-AS66)</f>
        <v>0</v>
      </c>
      <c r="AU66" s="13">
        <f t="shared" ref="AU66:AU97" ca="1" si="106">MAX(0,AP66-AR66)</f>
        <v>1400</v>
      </c>
      <c r="AV66" s="13">
        <f t="shared" ref="AV66:AV97" ca="1" si="107">MAX(0,N66+O66-P66)</f>
        <v>0</v>
      </c>
      <c r="AW66" s="13">
        <f t="shared" ref="AW66:AW97" ca="1" si="108">MIN(AU66,AV66)</f>
        <v>0</v>
      </c>
      <c r="AX66" s="13">
        <f t="shared" ref="AX66:AX97" ca="1" si="109">P66+AW66</f>
        <v>0</v>
      </c>
      <c r="AY66" s="13">
        <f t="shared" ref="AY66:AY97" ca="1" si="110">MAX(0,N66+O66-AX66)</f>
        <v>0</v>
      </c>
      <c r="AZ66" s="13">
        <f t="shared" ref="AZ66:AZ97" ca="1" si="111">MAX(0,AU66-AW66)</f>
        <v>1400</v>
      </c>
      <c r="BA66" s="13">
        <f t="shared" ref="BA66:BA97" ca="1" si="112">MAX(0,Q66+R66-S66)</f>
        <v>0</v>
      </c>
      <c r="BB66" s="13">
        <f t="shared" ref="BB66:BB97" ca="1" si="113">MIN(AZ66,BA66)</f>
        <v>0</v>
      </c>
      <c r="BC66" s="13">
        <f t="shared" ref="BC66:BC97" ca="1" si="114">S66+BB66</f>
        <v>0</v>
      </c>
      <c r="BD66" s="13">
        <f t="shared" ref="BD66:BD97" ca="1" si="115">MAX(0,Q66+R66-BC66)</f>
        <v>0</v>
      </c>
      <c r="BE66" s="13">
        <f t="shared" ref="BE66:BE97" ca="1" si="116">MAX(0,AZ66-BB66)</f>
        <v>1400</v>
      </c>
      <c r="BF66" s="13">
        <f t="shared" ref="BF66:BF97" ca="1" si="117">MAX(0,T66+U66-V66)</f>
        <v>0</v>
      </c>
      <c r="BG66" s="13">
        <f t="shared" ref="BG66:BG97" ca="1" si="118">MIN(BE66,BF66)</f>
        <v>0</v>
      </c>
      <c r="BH66" s="13">
        <f t="shared" ref="BH66:BH97" ca="1" si="119">V66+BG66</f>
        <v>0</v>
      </c>
      <c r="BI66" s="13">
        <f t="shared" ref="BI66:BI97" ca="1" si="120">MAX(0,T66+U66-BH66)</f>
        <v>0</v>
      </c>
      <c r="BJ66" s="13">
        <f t="shared" ref="BJ66:BJ97" ca="1" si="121">MAX(0,BE66-BG66)</f>
        <v>1400</v>
      </c>
      <c r="BK66" s="13">
        <f t="shared" ref="BK66:BK97" ca="1" si="122">MAX(0,W66+X66-Y66)</f>
        <v>0</v>
      </c>
      <c r="BL66" s="13">
        <f t="shared" ref="BL66:BL97" ca="1" si="123">MIN(BJ66,BK66)</f>
        <v>0</v>
      </c>
      <c r="BM66" s="13">
        <f t="shared" ref="BM66:BM97" ca="1" si="124">Y66+BL66</f>
        <v>0</v>
      </c>
      <c r="BN66" s="13">
        <f t="shared" ref="BN66:BN97" ca="1" si="125">MAX(0,W66+X66-BM66)</f>
        <v>0</v>
      </c>
      <c r="BO66" s="13">
        <f t="shared" ref="BO66:BO97" ca="1" si="126">AD66+AI66+AN66+AS66+AX66+BC66+BH66+BM66</f>
        <v>0</v>
      </c>
      <c r="BP66" s="13">
        <f t="shared" ref="BP66:BP97" ca="1" si="127">C66+F66+I66+L66+O66+R66+U66+X66</f>
        <v>0</v>
      </c>
      <c r="BQ66" s="13">
        <f t="shared" ref="BQ66:BQ97" ca="1" si="128">AE66+AJ66+AO66+AT66+AY66+BD66+BI66+BN66</f>
        <v>0</v>
      </c>
    </row>
    <row r="67" spans="1:69" x14ac:dyDescent="0.25">
      <c r="A67" s="1">
        <v>66</v>
      </c>
      <c r="B67" s="13">
        <f ca="1">IF(A67=1,IF(OR('My Loans'!$O$14="",'My Loans'!$O$14=0),0,INDIRECT("'My Loans'!$D"&amp;'My Loans'!$O$14)),AE66)</f>
        <v>0</v>
      </c>
      <c r="C67" s="13">
        <f ca="1">IF(OR('My Loans'!$O$14="",'My Loans'!$O$14=0),0,B67*INDIRECT("'My Loans'!$E"&amp;'My Loans'!$O$14)/12)</f>
        <v>0</v>
      </c>
      <c r="D67" s="13">
        <f ca="1">IF(OR('My Loans'!$O$14="",'My Loans'!$O$14=0),0,IF(B67&lt;0.005,0,MIN(INDIRECT("'My Loans'!$F"&amp;'My Loans'!$O$14),B67+C67)))</f>
        <v>0</v>
      </c>
      <c r="E67" s="13">
        <f ca="1">IF(A67=1,IF(OR('My Loans'!$O$15="",'My Loans'!$O$15=0),0,INDIRECT("'My Loans'!$D"&amp;'My Loans'!$O$15)),AJ66)</f>
        <v>0</v>
      </c>
      <c r="F67" s="13">
        <f ca="1">IF(OR('My Loans'!$O$15="",'My Loans'!$O$15=0),0,E67*INDIRECT("'My Loans'!$E"&amp;'My Loans'!$O$15)/12)</f>
        <v>0</v>
      </c>
      <c r="G67" s="13">
        <f ca="1">IF(OR('My Loans'!$O$15="",'My Loans'!$O$15=0),0,IF(E67&lt;0.005,0,MIN(INDIRECT("'My Loans'!$F"&amp;'My Loans'!$O$15),E67+F67)))</f>
        <v>0</v>
      </c>
      <c r="H67" s="13">
        <f ca="1">IF(A67=1,IF(OR('My Loans'!$O$16="",'My Loans'!$O$16=0),0,INDIRECT("'My Loans'!$D"&amp;'My Loans'!$O$16)),AO66)</f>
        <v>0</v>
      </c>
      <c r="I67" s="13">
        <f ca="1">IF(OR('My Loans'!$O$16="",'My Loans'!$O$16=0),0,H67*INDIRECT("'My Loans'!$E"&amp;'My Loans'!$O$16)/12)</f>
        <v>0</v>
      </c>
      <c r="J67" s="13">
        <f ca="1">IF(OR('My Loans'!$O$16="",'My Loans'!$O$16=0),0,IF(H67&lt;0.005,0,MIN(INDIRECT("'My Loans'!$F"&amp;'My Loans'!$O$16),H67+I67)))</f>
        <v>0</v>
      </c>
      <c r="K67" s="13">
        <f ca="1">IF(A67=1,IF(OR('My Loans'!$O$17="",'My Loans'!$O$17=0),0,INDIRECT("'My Loans'!$D"&amp;'My Loans'!$O$17)),AT66)</f>
        <v>0</v>
      </c>
      <c r="L67" s="13">
        <f ca="1">IF(OR('My Loans'!$O$17="",'My Loans'!$O$17=0),0,K67*INDIRECT("'My Loans'!$E"&amp;'My Loans'!$O$17)/12)</f>
        <v>0</v>
      </c>
      <c r="M67" s="13">
        <f ca="1">IF(OR('My Loans'!$O$17="",'My Loans'!$O$17=0),0,IF(K67&lt;0.005,0,MIN(INDIRECT("'My Loans'!$F"&amp;'My Loans'!$O$17),K67+L67)))</f>
        <v>0</v>
      </c>
      <c r="N67" s="13">
        <f ca="1">IF(A67=1,IF(OR('My Loans'!$O$18="",'My Loans'!$O$18=0),0,INDIRECT("'My Loans'!$D"&amp;'My Loans'!$O$18)),AY66)</f>
        <v>0</v>
      </c>
      <c r="O67" s="13">
        <f ca="1">IF(OR('My Loans'!$O$18="",'My Loans'!$O$18=0),0,N67*INDIRECT("'My Loans'!$E"&amp;'My Loans'!$O$18)/12)</f>
        <v>0</v>
      </c>
      <c r="P67" s="13">
        <f ca="1">IF(OR('My Loans'!$O$18="",'My Loans'!$O$18=0),0,IF(N67&lt;0.005,0,MIN(INDIRECT("'My Loans'!$F"&amp;'My Loans'!$O$18),N67+O67)))</f>
        <v>0</v>
      </c>
      <c r="Q67" s="13">
        <f ca="1">IF(A67=1,IF(OR('My Loans'!$O$19="",'My Loans'!$O$19=0),0,INDIRECT("'My Loans'!$D"&amp;'My Loans'!$O$19)),BD66)</f>
        <v>0</v>
      </c>
      <c r="R67" s="13">
        <f ca="1">IF(OR('My Loans'!$O$19="",'My Loans'!$O$19=0),0,Q67*INDIRECT("'My Loans'!$E"&amp;'My Loans'!$O$19)/12)</f>
        <v>0</v>
      </c>
      <c r="S67" s="13">
        <f ca="1">IF(OR('My Loans'!$O$19="",'My Loans'!$O$19=0),0,IF(Q67&lt;0.005,0,MIN(INDIRECT("'My Loans'!$F"&amp;'My Loans'!$O$19),Q67+R67)))</f>
        <v>0</v>
      </c>
      <c r="T67" s="13">
        <f ca="1">IF(A67=1,IF(OR('My Loans'!$O$20="",'My Loans'!$O$20=0),0,INDIRECT("'My Loans'!$D"&amp;'My Loans'!$O$20)),BI66)</f>
        <v>0</v>
      </c>
      <c r="U67" s="13">
        <f ca="1">IF(OR('My Loans'!$O$20="",'My Loans'!$O$20=0),0,T67*INDIRECT("'My Loans'!$E"&amp;'My Loans'!$O$20)/12)</f>
        <v>0</v>
      </c>
      <c r="V67" s="13">
        <f ca="1">IF(OR('My Loans'!$O$20="",'My Loans'!$O$20=0),0,IF(T67&lt;0.005,0,MIN(INDIRECT("'My Loans'!$F"&amp;'My Loans'!$O$20),T67+U67)))</f>
        <v>0</v>
      </c>
      <c r="W67" s="13">
        <f ca="1">IF(A67=1,IF(OR('My Loans'!$O$21="",'My Loans'!$O$21=0),0,INDIRECT("'My Loans'!$D"&amp;'My Loans'!$O$21)),BN66)</f>
        <v>0</v>
      </c>
      <c r="X67" s="13">
        <f ca="1">IF(OR('My Loans'!$O$21="",'My Loans'!$O$21=0),0,W67*INDIRECT("'My Loans'!$E"&amp;'My Loans'!$O$21)/12)</f>
        <v>0</v>
      </c>
      <c r="Y67" s="13">
        <f ca="1">IF(OR('My Loans'!$O$21="",'My Loans'!$O$21=0),0,IF(W67&lt;0.005,0,MIN(INDIRECT("'My Loans'!$F"&amp;'My Loans'!$O$21),W67+X67)))</f>
        <v>0</v>
      </c>
      <c r="Z67" s="13">
        <f ca="1">'My Loans'!$B$13-(D67+G67+J67+M67+P67+S67+V67+Y67)</f>
        <v>1400</v>
      </c>
      <c r="AA67" s="13">
        <f t="shared" ca="1" si="86"/>
        <v>1400</v>
      </c>
      <c r="AB67" s="13">
        <f t="shared" ca="1" si="87"/>
        <v>0</v>
      </c>
      <c r="AC67" s="13">
        <f t="shared" ca="1" si="88"/>
        <v>0</v>
      </c>
      <c r="AD67" s="13">
        <f t="shared" ca="1" si="89"/>
        <v>0</v>
      </c>
      <c r="AE67" s="13">
        <f t="shared" ca="1" si="90"/>
        <v>0</v>
      </c>
      <c r="AF67" s="13">
        <f t="shared" ca="1" si="91"/>
        <v>1400</v>
      </c>
      <c r="AG67" s="13">
        <f t="shared" ca="1" si="92"/>
        <v>0</v>
      </c>
      <c r="AH67" s="13">
        <f t="shared" ca="1" si="93"/>
        <v>0</v>
      </c>
      <c r="AI67" s="13">
        <f t="shared" ca="1" si="94"/>
        <v>0</v>
      </c>
      <c r="AJ67" s="13">
        <f t="shared" ca="1" si="95"/>
        <v>0</v>
      </c>
      <c r="AK67" s="13">
        <f t="shared" ca="1" si="96"/>
        <v>1400</v>
      </c>
      <c r="AL67" s="13">
        <f t="shared" ca="1" si="97"/>
        <v>0</v>
      </c>
      <c r="AM67" s="13">
        <f t="shared" ca="1" si="98"/>
        <v>0</v>
      </c>
      <c r="AN67" s="13">
        <f t="shared" ca="1" si="99"/>
        <v>0</v>
      </c>
      <c r="AO67" s="13">
        <f t="shared" ca="1" si="100"/>
        <v>0</v>
      </c>
      <c r="AP67" s="13">
        <f t="shared" ca="1" si="101"/>
        <v>1400</v>
      </c>
      <c r="AQ67" s="13">
        <f t="shared" ca="1" si="102"/>
        <v>0</v>
      </c>
      <c r="AR67" s="13">
        <f t="shared" ca="1" si="103"/>
        <v>0</v>
      </c>
      <c r="AS67" s="13">
        <f t="shared" ca="1" si="104"/>
        <v>0</v>
      </c>
      <c r="AT67" s="13">
        <f t="shared" ca="1" si="105"/>
        <v>0</v>
      </c>
      <c r="AU67" s="13">
        <f t="shared" ca="1" si="106"/>
        <v>1400</v>
      </c>
      <c r="AV67" s="13">
        <f t="shared" ca="1" si="107"/>
        <v>0</v>
      </c>
      <c r="AW67" s="13">
        <f t="shared" ca="1" si="108"/>
        <v>0</v>
      </c>
      <c r="AX67" s="13">
        <f t="shared" ca="1" si="109"/>
        <v>0</v>
      </c>
      <c r="AY67" s="13">
        <f t="shared" ca="1" si="110"/>
        <v>0</v>
      </c>
      <c r="AZ67" s="13">
        <f t="shared" ca="1" si="111"/>
        <v>1400</v>
      </c>
      <c r="BA67" s="13">
        <f t="shared" ca="1" si="112"/>
        <v>0</v>
      </c>
      <c r="BB67" s="13">
        <f t="shared" ca="1" si="113"/>
        <v>0</v>
      </c>
      <c r="BC67" s="13">
        <f t="shared" ca="1" si="114"/>
        <v>0</v>
      </c>
      <c r="BD67" s="13">
        <f t="shared" ca="1" si="115"/>
        <v>0</v>
      </c>
      <c r="BE67" s="13">
        <f t="shared" ca="1" si="116"/>
        <v>1400</v>
      </c>
      <c r="BF67" s="13">
        <f t="shared" ca="1" si="117"/>
        <v>0</v>
      </c>
      <c r="BG67" s="13">
        <f t="shared" ca="1" si="118"/>
        <v>0</v>
      </c>
      <c r="BH67" s="13">
        <f t="shared" ca="1" si="119"/>
        <v>0</v>
      </c>
      <c r="BI67" s="13">
        <f t="shared" ca="1" si="120"/>
        <v>0</v>
      </c>
      <c r="BJ67" s="13">
        <f t="shared" ca="1" si="121"/>
        <v>1400</v>
      </c>
      <c r="BK67" s="13">
        <f t="shared" ca="1" si="122"/>
        <v>0</v>
      </c>
      <c r="BL67" s="13">
        <f t="shared" ca="1" si="123"/>
        <v>0</v>
      </c>
      <c r="BM67" s="13">
        <f t="shared" ca="1" si="124"/>
        <v>0</v>
      </c>
      <c r="BN67" s="13">
        <f t="shared" ca="1" si="125"/>
        <v>0</v>
      </c>
      <c r="BO67" s="13">
        <f t="shared" ca="1" si="126"/>
        <v>0</v>
      </c>
      <c r="BP67" s="13">
        <f t="shared" ca="1" si="127"/>
        <v>0</v>
      </c>
      <c r="BQ67" s="13">
        <f t="shared" ca="1" si="128"/>
        <v>0</v>
      </c>
    </row>
    <row r="68" spans="1:69" x14ac:dyDescent="0.25">
      <c r="A68" s="1">
        <v>67</v>
      </c>
      <c r="B68" s="13">
        <f ca="1">IF(A68=1,IF(OR('My Loans'!$O$14="",'My Loans'!$O$14=0),0,INDIRECT("'My Loans'!$D"&amp;'My Loans'!$O$14)),AE67)</f>
        <v>0</v>
      </c>
      <c r="C68" s="13">
        <f ca="1">IF(OR('My Loans'!$O$14="",'My Loans'!$O$14=0),0,B68*INDIRECT("'My Loans'!$E"&amp;'My Loans'!$O$14)/12)</f>
        <v>0</v>
      </c>
      <c r="D68" s="13">
        <f ca="1">IF(OR('My Loans'!$O$14="",'My Loans'!$O$14=0),0,IF(B68&lt;0.005,0,MIN(INDIRECT("'My Loans'!$F"&amp;'My Loans'!$O$14),B68+C68)))</f>
        <v>0</v>
      </c>
      <c r="E68" s="13">
        <f ca="1">IF(A68=1,IF(OR('My Loans'!$O$15="",'My Loans'!$O$15=0),0,INDIRECT("'My Loans'!$D"&amp;'My Loans'!$O$15)),AJ67)</f>
        <v>0</v>
      </c>
      <c r="F68" s="13">
        <f ca="1">IF(OR('My Loans'!$O$15="",'My Loans'!$O$15=0),0,E68*INDIRECT("'My Loans'!$E"&amp;'My Loans'!$O$15)/12)</f>
        <v>0</v>
      </c>
      <c r="G68" s="13">
        <f ca="1">IF(OR('My Loans'!$O$15="",'My Loans'!$O$15=0),0,IF(E68&lt;0.005,0,MIN(INDIRECT("'My Loans'!$F"&amp;'My Loans'!$O$15),E68+F68)))</f>
        <v>0</v>
      </c>
      <c r="H68" s="13">
        <f ca="1">IF(A68=1,IF(OR('My Loans'!$O$16="",'My Loans'!$O$16=0),0,INDIRECT("'My Loans'!$D"&amp;'My Loans'!$O$16)),AO67)</f>
        <v>0</v>
      </c>
      <c r="I68" s="13">
        <f ca="1">IF(OR('My Loans'!$O$16="",'My Loans'!$O$16=0),0,H68*INDIRECT("'My Loans'!$E"&amp;'My Loans'!$O$16)/12)</f>
        <v>0</v>
      </c>
      <c r="J68" s="13">
        <f ca="1">IF(OR('My Loans'!$O$16="",'My Loans'!$O$16=0),0,IF(H68&lt;0.005,0,MIN(INDIRECT("'My Loans'!$F"&amp;'My Loans'!$O$16),H68+I68)))</f>
        <v>0</v>
      </c>
      <c r="K68" s="13">
        <f ca="1">IF(A68=1,IF(OR('My Loans'!$O$17="",'My Loans'!$O$17=0),0,INDIRECT("'My Loans'!$D"&amp;'My Loans'!$O$17)),AT67)</f>
        <v>0</v>
      </c>
      <c r="L68" s="13">
        <f ca="1">IF(OR('My Loans'!$O$17="",'My Loans'!$O$17=0),0,K68*INDIRECT("'My Loans'!$E"&amp;'My Loans'!$O$17)/12)</f>
        <v>0</v>
      </c>
      <c r="M68" s="13">
        <f ca="1">IF(OR('My Loans'!$O$17="",'My Loans'!$O$17=0),0,IF(K68&lt;0.005,0,MIN(INDIRECT("'My Loans'!$F"&amp;'My Loans'!$O$17),K68+L68)))</f>
        <v>0</v>
      </c>
      <c r="N68" s="13">
        <f ca="1">IF(A68=1,IF(OR('My Loans'!$O$18="",'My Loans'!$O$18=0),0,INDIRECT("'My Loans'!$D"&amp;'My Loans'!$O$18)),AY67)</f>
        <v>0</v>
      </c>
      <c r="O68" s="13">
        <f ca="1">IF(OR('My Loans'!$O$18="",'My Loans'!$O$18=0),0,N68*INDIRECT("'My Loans'!$E"&amp;'My Loans'!$O$18)/12)</f>
        <v>0</v>
      </c>
      <c r="P68" s="13">
        <f ca="1">IF(OR('My Loans'!$O$18="",'My Loans'!$O$18=0),0,IF(N68&lt;0.005,0,MIN(INDIRECT("'My Loans'!$F"&amp;'My Loans'!$O$18),N68+O68)))</f>
        <v>0</v>
      </c>
      <c r="Q68" s="13">
        <f ca="1">IF(A68=1,IF(OR('My Loans'!$O$19="",'My Loans'!$O$19=0),0,INDIRECT("'My Loans'!$D"&amp;'My Loans'!$O$19)),BD67)</f>
        <v>0</v>
      </c>
      <c r="R68" s="13">
        <f ca="1">IF(OR('My Loans'!$O$19="",'My Loans'!$O$19=0),0,Q68*INDIRECT("'My Loans'!$E"&amp;'My Loans'!$O$19)/12)</f>
        <v>0</v>
      </c>
      <c r="S68" s="13">
        <f ca="1">IF(OR('My Loans'!$O$19="",'My Loans'!$O$19=0),0,IF(Q68&lt;0.005,0,MIN(INDIRECT("'My Loans'!$F"&amp;'My Loans'!$O$19),Q68+R68)))</f>
        <v>0</v>
      </c>
      <c r="T68" s="13">
        <f ca="1">IF(A68=1,IF(OR('My Loans'!$O$20="",'My Loans'!$O$20=0),0,INDIRECT("'My Loans'!$D"&amp;'My Loans'!$O$20)),BI67)</f>
        <v>0</v>
      </c>
      <c r="U68" s="13">
        <f ca="1">IF(OR('My Loans'!$O$20="",'My Loans'!$O$20=0),0,T68*INDIRECT("'My Loans'!$E"&amp;'My Loans'!$O$20)/12)</f>
        <v>0</v>
      </c>
      <c r="V68" s="13">
        <f ca="1">IF(OR('My Loans'!$O$20="",'My Loans'!$O$20=0),0,IF(T68&lt;0.005,0,MIN(INDIRECT("'My Loans'!$F"&amp;'My Loans'!$O$20),T68+U68)))</f>
        <v>0</v>
      </c>
      <c r="W68" s="13">
        <f ca="1">IF(A68=1,IF(OR('My Loans'!$O$21="",'My Loans'!$O$21=0),0,INDIRECT("'My Loans'!$D"&amp;'My Loans'!$O$21)),BN67)</f>
        <v>0</v>
      </c>
      <c r="X68" s="13">
        <f ca="1">IF(OR('My Loans'!$O$21="",'My Loans'!$O$21=0),0,W68*INDIRECT("'My Loans'!$E"&amp;'My Loans'!$O$21)/12)</f>
        <v>0</v>
      </c>
      <c r="Y68" s="13">
        <f ca="1">IF(OR('My Loans'!$O$21="",'My Loans'!$O$21=0),0,IF(W68&lt;0.005,0,MIN(INDIRECT("'My Loans'!$F"&amp;'My Loans'!$O$21),W68+X68)))</f>
        <v>0</v>
      </c>
      <c r="Z68" s="13">
        <f ca="1">'My Loans'!$B$13-(D68+G68+J68+M68+P68+S68+V68+Y68)</f>
        <v>1400</v>
      </c>
      <c r="AA68" s="13">
        <f t="shared" ca="1" si="86"/>
        <v>1400</v>
      </c>
      <c r="AB68" s="13">
        <f t="shared" ca="1" si="87"/>
        <v>0</v>
      </c>
      <c r="AC68" s="13">
        <f t="shared" ca="1" si="88"/>
        <v>0</v>
      </c>
      <c r="AD68" s="13">
        <f t="shared" ca="1" si="89"/>
        <v>0</v>
      </c>
      <c r="AE68" s="13">
        <f t="shared" ca="1" si="90"/>
        <v>0</v>
      </c>
      <c r="AF68" s="13">
        <f t="shared" ca="1" si="91"/>
        <v>1400</v>
      </c>
      <c r="AG68" s="13">
        <f t="shared" ca="1" si="92"/>
        <v>0</v>
      </c>
      <c r="AH68" s="13">
        <f t="shared" ca="1" si="93"/>
        <v>0</v>
      </c>
      <c r="AI68" s="13">
        <f t="shared" ca="1" si="94"/>
        <v>0</v>
      </c>
      <c r="AJ68" s="13">
        <f t="shared" ca="1" si="95"/>
        <v>0</v>
      </c>
      <c r="AK68" s="13">
        <f t="shared" ca="1" si="96"/>
        <v>1400</v>
      </c>
      <c r="AL68" s="13">
        <f t="shared" ca="1" si="97"/>
        <v>0</v>
      </c>
      <c r="AM68" s="13">
        <f t="shared" ca="1" si="98"/>
        <v>0</v>
      </c>
      <c r="AN68" s="13">
        <f t="shared" ca="1" si="99"/>
        <v>0</v>
      </c>
      <c r="AO68" s="13">
        <f t="shared" ca="1" si="100"/>
        <v>0</v>
      </c>
      <c r="AP68" s="13">
        <f t="shared" ca="1" si="101"/>
        <v>1400</v>
      </c>
      <c r="AQ68" s="13">
        <f t="shared" ca="1" si="102"/>
        <v>0</v>
      </c>
      <c r="AR68" s="13">
        <f t="shared" ca="1" si="103"/>
        <v>0</v>
      </c>
      <c r="AS68" s="13">
        <f t="shared" ca="1" si="104"/>
        <v>0</v>
      </c>
      <c r="AT68" s="13">
        <f t="shared" ca="1" si="105"/>
        <v>0</v>
      </c>
      <c r="AU68" s="13">
        <f t="shared" ca="1" si="106"/>
        <v>1400</v>
      </c>
      <c r="AV68" s="13">
        <f t="shared" ca="1" si="107"/>
        <v>0</v>
      </c>
      <c r="AW68" s="13">
        <f t="shared" ca="1" si="108"/>
        <v>0</v>
      </c>
      <c r="AX68" s="13">
        <f t="shared" ca="1" si="109"/>
        <v>0</v>
      </c>
      <c r="AY68" s="13">
        <f t="shared" ca="1" si="110"/>
        <v>0</v>
      </c>
      <c r="AZ68" s="13">
        <f t="shared" ca="1" si="111"/>
        <v>1400</v>
      </c>
      <c r="BA68" s="13">
        <f t="shared" ca="1" si="112"/>
        <v>0</v>
      </c>
      <c r="BB68" s="13">
        <f t="shared" ca="1" si="113"/>
        <v>0</v>
      </c>
      <c r="BC68" s="13">
        <f t="shared" ca="1" si="114"/>
        <v>0</v>
      </c>
      <c r="BD68" s="13">
        <f t="shared" ca="1" si="115"/>
        <v>0</v>
      </c>
      <c r="BE68" s="13">
        <f t="shared" ca="1" si="116"/>
        <v>1400</v>
      </c>
      <c r="BF68" s="13">
        <f t="shared" ca="1" si="117"/>
        <v>0</v>
      </c>
      <c r="BG68" s="13">
        <f t="shared" ca="1" si="118"/>
        <v>0</v>
      </c>
      <c r="BH68" s="13">
        <f t="shared" ca="1" si="119"/>
        <v>0</v>
      </c>
      <c r="BI68" s="13">
        <f t="shared" ca="1" si="120"/>
        <v>0</v>
      </c>
      <c r="BJ68" s="13">
        <f t="shared" ca="1" si="121"/>
        <v>1400</v>
      </c>
      <c r="BK68" s="13">
        <f t="shared" ca="1" si="122"/>
        <v>0</v>
      </c>
      <c r="BL68" s="13">
        <f t="shared" ca="1" si="123"/>
        <v>0</v>
      </c>
      <c r="BM68" s="13">
        <f t="shared" ca="1" si="124"/>
        <v>0</v>
      </c>
      <c r="BN68" s="13">
        <f t="shared" ca="1" si="125"/>
        <v>0</v>
      </c>
      <c r="BO68" s="13">
        <f t="shared" ca="1" si="126"/>
        <v>0</v>
      </c>
      <c r="BP68" s="13">
        <f t="shared" ca="1" si="127"/>
        <v>0</v>
      </c>
      <c r="BQ68" s="13">
        <f t="shared" ca="1" si="128"/>
        <v>0</v>
      </c>
    </row>
    <row r="69" spans="1:69" x14ac:dyDescent="0.25">
      <c r="A69" s="1">
        <v>68</v>
      </c>
      <c r="B69" s="13">
        <f ca="1">IF(A69=1,IF(OR('My Loans'!$O$14="",'My Loans'!$O$14=0),0,INDIRECT("'My Loans'!$D"&amp;'My Loans'!$O$14)),AE68)</f>
        <v>0</v>
      </c>
      <c r="C69" s="13">
        <f ca="1">IF(OR('My Loans'!$O$14="",'My Loans'!$O$14=0),0,B69*INDIRECT("'My Loans'!$E"&amp;'My Loans'!$O$14)/12)</f>
        <v>0</v>
      </c>
      <c r="D69" s="13">
        <f ca="1">IF(OR('My Loans'!$O$14="",'My Loans'!$O$14=0),0,IF(B69&lt;0.005,0,MIN(INDIRECT("'My Loans'!$F"&amp;'My Loans'!$O$14),B69+C69)))</f>
        <v>0</v>
      </c>
      <c r="E69" s="13">
        <f ca="1">IF(A69=1,IF(OR('My Loans'!$O$15="",'My Loans'!$O$15=0),0,INDIRECT("'My Loans'!$D"&amp;'My Loans'!$O$15)),AJ68)</f>
        <v>0</v>
      </c>
      <c r="F69" s="13">
        <f ca="1">IF(OR('My Loans'!$O$15="",'My Loans'!$O$15=0),0,E69*INDIRECT("'My Loans'!$E"&amp;'My Loans'!$O$15)/12)</f>
        <v>0</v>
      </c>
      <c r="G69" s="13">
        <f ca="1">IF(OR('My Loans'!$O$15="",'My Loans'!$O$15=0),0,IF(E69&lt;0.005,0,MIN(INDIRECT("'My Loans'!$F"&amp;'My Loans'!$O$15),E69+F69)))</f>
        <v>0</v>
      </c>
      <c r="H69" s="13">
        <f ca="1">IF(A69=1,IF(OR('My Loans'!$O$16="",'My Loans'!$O$16=0),0,INDIRECT("'My Loans'!$D"&amp;'My Loans'!$O$16)),AO68)</f>
        <v>0</v>
      </c>
      <c r="I69" s="13">
        <f ca="1">IF(OR('My Loans'!$O$16="",'My Loans'!$O$16=0),0,H69*INDIRECT("'My Loans'!$E"&amp;'My Loans'!$O$16)/12)</f>
        <v>0</v>
      </c>
      <c r="J69" s="13">
        <f ca="1">IF(OR('My Loans'!$O$16="",'My Loans'!$O$16=0),0,IF(H69&lt;0.005,0,MIN(INDIRECT("'My Loans'!$F"&amp;'My Loans'!$O$16),H69+I69)))</f>
        <v>0</v>
      </c>
      <c r="K69" s="13">
        <f ca="1">IF(A69=1,IF(OR('My Loans'!$O$17="",'My Loans'!$O$17=0),0,INDIRECT("'My Loans'!$D"&amp;'My Loans'!$O$17)),AT68)</f>
        <v>0</v>
      </c>
      <c r="L69" s="13">
        <f ca="1">IF(OR('My Loans'!$O$17="",'My Loans'!$O$17=0),0,K69*INDIRECT("'My Loans'!$E"&amp;'My Loans'!$O$17)/12)</f>
        <v>0</v>
      </c>
      <c r="M69" s="13">
        <f ca="1">IF(OR('My Loans'!$O$17="",'My Loans'!$O$17=0),0,IF(K69&lt;0.005,0,MIN(INDIRECT("'My Loans'!$F"&amp;'My Loans'!$O$17),K69+L69)))</f>
        <v>0</v>
      </c>
      <c r="N69" s="13">
        <f ca="1">IF(A69=1,IF(OR('My Loans'!$O$18="",'My Loans'!$O$18=0),0,INDIRECT("'My Loans'!$D"&amp;'My Loans'!$O$18)),AY68)</f>
        <v>0</v>
      </c>
      <c r="O69" s="13">
        <f ca="1">IF(OR('My Loans'!$O$18="",'My Loans'!$O$18=0),0,N69*INDIRECT("'My Loans'!$E"&amp;'My Loans'!$O$18)/12)</f>
        <v>0</v>
      </c>
      <c r="P69" s="13">
        <f ca="1">IF(OR('My Loans'!$O$18="",'My Loans'!$O$18=0),0,IF(N69&lt;0.005,0,MIN(INDIRECT("'My Loans'!$F"&amp;'My Loans'!$O$18),N69+O69)))</f>
        <v>0</v>
      </c>
      <c r="Q69" s="13">
        <f ca="1">IF(A69=1,IF(OR('My Loans'!$O$19="",'My Loans'!$O$19=0),0,INDIRECT("'My Loans'!$D"&amp;'My Loans'!$O$19)),BD68)</f>
        <v>0</v>
      </c>
      <c r="R69" s="13">
        <f ca="1">IF(OR('My Loans'!$O$19="",'My Loans'!$O$19=0),0,Q69*INDIRECT("'My Loans'!$E"&amp;'My Loans'!$O$19)/12)</f>
        <v>0</v>
      </c>
      <c r="S69" s="13">
        <f ca="1">IF(OR('My Loans'!$O$19="",'My Loans'!$O$19=0),0,IF(Q69&lt;0.005,0,MIN(INDIRECT("'My Loans'!$F"&amp;'My Loans'!$O$19),Q69+R69)))</f>
        <v>0</v>
      </c>
      <c r="T69" s="13">
        <f ca="1">IF(A69=1,IF(OR('My Loans'!$O$20="",'My Loans'!$O$20=0),0,INDIRECT("'My Loans'!$D"&amp;'My Loans'!$O$20)),BI68)</f>
        <v>0</v>
      </c>
      <c r="U69" s="13">
        <f ca="1">IF(OR('My Loans'!$O$20="",'My Loans'!$O$20=0),0,T69*INDIRECT("'My Loans'!$E"&amp;'My Loans'!$O$20)/12)</f>
        <v>0</v>
      </c>
      <c r="V69" s="13">
        <f ca="1">IF(OR('My Loans'!$O$20="",'My Loans'!$O$20=0),0,IF(T69&lt;0.005,0,MIN(INDIRECT("'My Loans'!$F"&amp;'My Loans'!$O$20),T69+U69)))</f>
        <v>0</v>
      </c>
      <c r="W69" s="13">
        <f ca="1">IF(A69=1,IF(OR('My Loans'!$O$21="",'My Loans'!$O$21=0),0,INDIRECT("'My Loans'!$D"&amp;'My Loans'!$O$21)),BN68)</f>
        <v>0</v>
      </c>
      <c r="X69" s="13">
        <f ca="1">IF(OR('My Loans'!$O$21="",'My Loans'!$O$21=0),0,W69*INDIRECT("'My Loans'!$E"&amp;'My Loans'!$O$21)/12)</f>
        <v>0</v>
      </c>
      <c r="Y69" s="13">
        <f ca="1">IF(OR('My Loans'!$O$21="",'My Loans'!$O$21=0),0,IF(W69&lt;0.005,0,MIN(INDIRECT("'My Loans'!$F"&amp;'My Loans'!$O$21),W69+X69)))</f>
        <v>0</v>
      </c>
      <c r="Z69" s="13">
        <f ca="1">'My Loans'!$B$13-(D69+G69+J69+M69+P69+S69+V69+Y69)</f>
        <v>1400</v>
      </c>
      <c r="AA69" s="13">
        <f t="shared" ca="1" si="86"/>
        <v>1400</v>
      </c>
      <c r="AB69" s="13">
        <f t="shared" ca="1" si="87"/>
        <v>0</v>
      </c>
      <c r="AC69" s="13">
        <f t="shared" ca="1" si="88"/>
        <v>0</v>
      </c>
      <c r="AD69" s="13">
        <f t="shared" ca="1" si="89"/>
        <v>0</v>
      </c>
      <c r="AE69" s="13">
        <f t="shared" ca="1" si="90"/>
        <v>0</v>
      </c>
      <c r="AF69" s="13">
        <f t="shared" ca="1" si="91"/>
        <v>1400</v>
      </c>
      <c r="AG69" s="13">
        <f t="shared" ca="1" si="92"/>
        <v>0</v>
      </c>
      <c r="AH69" s="13">
        <f t="shared" ca="1" si="93"/>
        <v>0</v>
      </c>
      <c r="AI69" s="13">
        <f t="shared" ca="1" si="94"/>
        <v>0</v>
      </c>
      <c r="AJ69" s="13">
        <f t="shared" ca="1" si="95"/>
        <v>0</v>
      </c>
      <c r="AK69" s="13">
        <f t="shared" ca="1" si="96"/>
        <v>1400</v>
      </c>
      <c r="AL69" s="13">
        <f t="shared" ca="1" si="97"/>
        <v>0</v>
      </c>
      <c r="AM69" s="13">
        <f t="shared" ca="1" si="98"/>
        <v>0</v>
      </c>
      <c r="AN69" s="13">
        <f t="shared" ca="1" si="99"/>
        <v>0</v>
      </c>
      <c r="AO69" s="13">
        <f t="shared" ca="1" si="100"/>
        <v>0</v>
      </c>
      <c r="AP69" s="13">
        <f t="shared" ca="1" si="101"/>
        <v>1400</v>
      </c>
      <c r="AQ69" s="13">
        <f t="shared" ca="1" si="102"/>
        <v>0</v>
      </c>
      <c r="AR69" s="13">
        <f t="shared" ca="1" si="103"/>
        <v>0</v>
      </c>
      <c r="AS69" s="13">
        <f t="shared" ca="1" si="104"/>
        <v>0</v>
      </c>
      <c r="AT69" s="13">
        <f t="shared" ca="1" si="105"/>
        <v>0</v>
      </c>
      <c r="AU69" s="13">
        <f t="shared" ca="1" si="106"/>
        <v>1400</v>
      </c>
      <c r="AV69" s="13">
        <f t="shared" ca="1" si="107"/>
        <v>0</v>
      </c>
      <c r="AW69" s="13">
        <f t="shared" ca="1" si="108"/>
        <v>0</v>
      </c>
      <c r="AX69" s="13">
        <f t="shared" ca="1" si="109"/>
        <v>0</v>
      </c>
      <c r="AY69" s="13">
        <f t="shared" ca="1" si="110"/>
        <v>0</v>
      </c>
      <c r="AZ69" s="13">
        <f t="shared" ca="1" si="111"/>
        <v>1400</v>
      </c>
      <c r="BA69" s="13">
        <f t="shared" ca="1" si="112"/>
        <v>0</v>
      </c>
      <c r="BB69" s="13">
        <f t="shared" ca="1" si="113"/>
        <v>0</v>
      </c>
      <c r="BC69" s="13">
        <f t="shared" ca="1" si="114"/>
        <v>0</v>
      </c>
      <c r="BD69" s="13">
        <f t="shared" ca="1" si="115"/>
        <v>0</v>
      </c>
      <c r="BE69" s="13">
        <f t="shared" ca="1" si="116"/>
        <v>1400</v>
      </c>
      <c r="BF69" s="13">
        <f t="shared" ca="1" si="117"/>
        <v>0</v>
      </c>
      <c r="BG69" s="13">
        <f t="shared" ca="1" si="118"/>
        <v>0</v>
      </c>
      <c r="BH69" s="13">
        <f t="shared" ca="1" si="119"/>
        <v>0</v>
      </c>
      <c r="BI69" s="13">
        <f t="shared" ca="1" si="120"/>
        <v>0</v>
      </c>
      <c r="BJ69" s="13">
        <f t="shared" ca="1" si="121"/>
        <v>1400</v>
      </c>
      <c r="BK69" s="13">
        <f t="shared" ca="1" si="122"/>
        <v>0</v>
      </c>
      <c r="BL69" s="13">
        <f t="shared" ca="1" si="123"/>
        <v>0</v>
      </c>
      <c r="BM69" s="13">
        <f t="shared" ca="1" si="124"/>
        <v>0</v>
      </c>
      <c r="BN69" s="13">
        <f t="shared" ca="1" si="125"/>
        <v>0</v>
      </c>
      <c r="BO69" s="13">
        <f t="shared" ca="1" si="126"/>
        <v>0</v>
      </c>
      <c r="BP69" s="13">
        <f t="shared" ca="1" si="127"/>
        <v>0</v>
      </c>
      <c r="BQ69" s="13">
        <f t="shared" ca="1" si="128"/>
        <v>0</v>
      </c>
    </row>
    <row r="70" spans="1:69" x14ac:dyDescent="0.25">
      <c r="A70" s="1">
        <v>69</v>
      </c>
      <c r="B70" s="13">
        <f ca="1">IF(A70=1,IF(OR('My Loans'!$O$14="",'My Loans'!$O$14=0),0,INDIRECT("'My Loans'!$D"&amp;'My Loans'!$O$14)),AE69)</f>
        <v>0</v>
      </c>
      <c r="C70" s="13">
        <f ca="1">IF(OR('My Loans'!$O$14="",'My Loans'!$O$14=0),0,B70*INDIRECT("'My Loans'!$E"&amp;'My Loans'!$O$14)/12)</f>
        <v>0</v>
      </c>
      <c r="D70" s="13">
        <f ca="1">IF(OR('My Loans'!$O$14="",'My Loans'!$O$14=0),0,IF(B70&lt;0.005,0,MIN(INDIRECT("'My Loans'!$F"&amp;'My Loans'!$O$14),B70+C70)))</f>
        <v>0</v>
      </c>
      <c r="E70" s="13">
        <f ca="1">IF(A70=1,IF(OR('My Loans'!$O$15="",'My Loans'!$O$15=0),0,INDIRECT("'My Loans'!$D"&amp;'My Loans'!$O$15)),AJ69)</f>
        <v>0</v>
      </c>
      <c r="F70" s="13">
        <f ca="1">IF(OR('My Loans'!$O$15="",'My Loans'!$O$15=0),0,E70*INDIRECT("'My Loans'!$E"&amp;'My Loans'!$O$15)/12)</f>
        <v>0</v>
      </c>
      <c r="G70" s="13">
        <f ca="1">IF(OR('My Loans'!$O$15="",'My Loans'!$O$15=0),0,IF(E70&lt;0.005,0,MIN(INDIRECT("'My Loans'!$F"&amp;'My Loans'!$O$15),E70+F70)))</f>
        <v>0</v>
      </c>
      <c r="H70" s="13">
        <f ca="1">IF(A70=1,IF(OR('My Loans'!$O$16="",'My Loans'!$O$16=0),0,INDIRECT("'My Loans'!$D"&amp;'My Loans'!$O$16)),AO69)</f>
        <v>0</v>
      </c>
      <c r="I70" s="13">
        <f ca="1">IF(OR('My Loans'!$O$16="",'My Loans'!$O$16=0),0,H70*INDIRECT("'My Loans'!$E"&amp;'My Loans'!$O$16)/12)</f>
        <v>0</v>
      </c>
      <c r="J70" s="13">
        <f ca="1">IF(OR('My Loans'!$O$16="",'My Loans'!$O$16=0),0,IF(H70&lt;0.005,0,MIN(INDIRECT("'My Loans'!$F"&amp;'My Loans'!$O$16),H70+I70)))</f>
        <v>0</v>
      </c>
      <c r="K70" s="13">
        <f ca="1">IF(A70=1,IF(OR('My Loans'!$O$17="",'My Loans'!$O$17=0),0,INDIRECT("'My Loans'!$D"&amp;'My Loans'!$O$17)),AT69)</f>
        <v>0</v>
      </c>
      <c r="L70" s="13">
        <f ca="1">IF(OR('My Loans'!$O$17="",'My Loans'!$O$17=0),0,K70*INDIRECT("'My Loans'!$E"&amp;'My Loans'!$O$17)/12)</f>
        <v>0</v>
      </c>
      <c r="M70" s="13">
        <f ca="1">IF(OR('My Loans'!$O$17="",'My Loans'!$O$17=0),0,IF(K70&lt;0.005,0,MIN(INDIRECT("'My Loans'!$F"&amp;'My Loans'!$O$17),K70+L70)))</f>
        <v>0</v>
      </c>
      <c r="N70" s="13">
        <f ca="1">IF(A70=1,IF(OR('My Loans'!$O$18="",'My Loans'!$O$18=0),0,INDIRECT("'My Loans'!$D"&amp;'My Loans'!$O$18)),AY69)</f>
        <v>0</v>
      </c>
      <c r="O70" s="13">
        <f ca="1">IF(OR('My Loans'!$O$18="",'My Loans'!$O$18=0),0,N70*INDIRECT("'My Loans'!$E"&amp;'My Loans'!$O$18)/12)</f>
        <v>0</v>
      </c>
      <c r="P70" s="13">
        <f ca="1">IF(OR('My Loans'!$O$18="",'My Loans'!$O$18=0),0,IF(N70&lt;0.005,0,MIN(INDIRECT("'My Loans'!$F"&amp;'My Loans'!$O$18),N70+O70)))</f>
        <v>0</v>
      </c>
      <c r="Q70" s="13">
        <f ca="1">IF(A70=1,IF(OR('My Loans'!$O$19="",'My Loans'!$O$19=0),0,INDIRECT("'My Loans'!$D"&amp;'My Loans'!$O$19)),BD69)</f>
        <v>0</v>
      </c>
      <c r="R70" s="13">
        <f ca="1">IF(OR('My Loans'!$O$19="",'My Loans'!$O$19=0),0,Q70*INDIRECT("'My Loans'!$E"&amp;'My Loans'!$O$19)/12)</f>
        <v>0</v>
      </c>
      <c r="S70" s="13">
        <f ca="1">IF(OR('My Loans'!$O$19="",'My Loans'!$O$19=0),0,IF(Q70&lt;0.005,0,MIN(INDIRECT("'My Loans'!$F"&amp;'My Loans'!$O$19),Q70+R70)))</f>
        <v>0</v>
      </c>
      <c r="T70" s="13">
        <f ca="1">IF(A70=1,IF(OR('My Loans'!$O$20="",'My Loans'!$O$20=0),0,INDIRECT("'My Loans'!$D"&amp;'My Loans'!$O$20)),BI69)</f>
        <v>0</v>
      </c>
      <c r="U70" s="13">
        <f ca="1">IF(OR('My Loans'!$O$20="",'My Loans'!$O$20=0),0,T70*INDIRECT("'My Loans'!$E"&amp;'My Loans'!$O$20)/12)</f>
        <v>0</v>
      </c>
      <c r="V70" s="13">
        <f ca="1">IF(OR('My Loans'!$O$20="",'My Loans'!$O$20=0),0,IF(T70&lt;0.005,0,MIN(INDIRECT("'My Loans'!$F"&amp;'My Loans'!$O$20),T70+U70)))</f>
        <v>0</v>
      </c>
      <c r="W70" s="13">
        <f ca="1">IF(A70=1,IF(OR('My Loans'!$O$21="",'My Loans'!$O$21=0),0,INDIRECT("'My Loans'!$D"&amp;'My Loans'!$O$21)),BN69)</f>
        <v>0</v>
      </c>
      <c r="X70" s="13">
        <f ca="1">IF(OR('My Loans'!$O$21="",'My Loans'!$O$21=0),0,W70*INDIRECT("'My Loans'!$E"&amp;'My Loans'!$O$21)/12)</f>
        <v>0</v>
      </c>
      <c r="Y70" s="13">
        <f ca="1">IF(OR('My Loans'!$O$21="",'My Loans'!$O$21=0),0,IF(W70&lt;0.005,0,MIN(INDIRECT("'My Loans'!$F"&amp;'My Loans'!$O$21),W70+X70)))</f>
        <v>0</v>
      </c>
      <c r="Z70" s="13">
        <f ca="1">'My Loans'!$B$13-(D70+G70+J70+M70+P70+S70+V70+Y70)</f>
        <v>1400</v>
      </c>
      <c r="AA70" s="13">
        <f t="shared" ca="1" si="86"/>
        <v>1400</v>
      </c>
      <c r="AB70" s="13">
        <f t="shared" ca="1" si="87"/>
        <v>0</v>
      </c>
      <c r="AC70" s="13">
        <f t="shared" ca="1" si="88"/>
        <v>0</v>
      </c>
      <c r="AD70" s="13">
        <f t="shared" ca="1" si="89"/>
        <v>0</v>
      </c>
      <c r="AE70" s="13">
        <f t="shared" ca="1" si="90"/>
        <v>0</v>
      </c>
      <c r="AF70" s="13">
        <f t="shared" ca="1" si="91"/>
        <v>1400</v>
      </c>
      <c r="AG70" s="13">
        <f t="shared" ca="1" si="92"/>
        <v>0</v>
      </c>
      <c r="AH70" s="13">
        <f t="shared" ca="1" si="93"/>
        <v>0</v>
      </c>
      <c r="AI70" s="13">
        <f t="shared" ca="1" si="94"/>
        <v>0</v>
      </c>
      <c r="AJ70" s="13">
        <f t="shared" ca="1" si="95"/>
        <v>0</v>
      </c>
      <c r="AK70" s="13">
        <f t="shared" ca="1" si="96"/>
        <v>1400</v>
      </c>
      <c r="AL70" s="13">
        <f t="shared" ca="1" si="97"/>
        <v>0</v>
      </c>
      <c r="AM70" s="13">
        <f t="shared" ca="1" si="98"/>
        <v>0</v>
      </c>
      <c r="AN70" s="13">
        <f t="shared" ca="1" si="99"/>
        <v>0</v>
      </c>
      <c r="AO70" s="13">
        <f t="shared" ca="1" si="100"/>
        <v>0</v>
      </c>
      <c r="AP70" s="13">
        <f t="shared" ca="1" si="101"/>
        <v>1400</v>
      </c>
      <c r="AQ70" s="13">
        <f t="shared" ca="1" si="102"/>
        <v>0</v>
      </c>
      <c r="AR70" s="13">
        <f t="shared" ca="1" si="103"/>
        <v>0</v>
      </c>
      <c r="AS70" s="13">
        <f t="shared" ca="1" si="104"/>
        <v>0</v>
      </c>
      <c r="AT70" s="13">
        <f t="shared" ca="1" si="105"/>
        <v>0</v>
      </c>
      <c r="AU70" s="13">
        <f t="shared" ca="1" si="106"/>
        <v>1400</v>
      </c>
      <c r="AV70" s="13">
        <f t="shared" ca="1" si="107"/>
        <v>0</v>
      </c>
      <c r="AW70" s="13">
        <f t="shared" ca="1" si="108"/>
        <v>0</v>
      </c>
      <c r="AX70" s="13">
        <f t="shared" ca="1" si="109"/>
        <v>0</v>
      </c>
      <c r="AY70" s="13">
        <f t="shared" ca="1" si="110"/>
        <v>0</v>
      </c>
      <c r="AZ70" s="13">
        <f t="shared" ca="1" si="111"/>
        <v>1400</v>
      </c>
      <c r="BA70" s="13">
        <f t="shared" ca="1" si="112"/>
        <v>0</v>
      </c>
      <c r="BB70" s="13">
        <f t="shared" ca="1" si="113"/>
        <v>0</v>
      </c>
      <c r="BC70" s="13">
        <f t="shared" ca="1" si="114"/>
        <v>0</v>
      </c>
      <c r="BD70" s="13">
        <f t="shared" ca="1" si="115"/>
        <v>0</v>
      </c>
      <c r="BE70" s="13">
        <f t="shared" ca="1" si="116"/>
        <v>1400</v>
      </c>
      <c r="BF70" s="13">
        <f t="shared" ca="1" si="117"/>
        <v>0</v>
      </c>
      <c r="BG70" s="13">
        <f t="shared" ca="1" si="118"/>
        <v>0</v>
      </c>
      <c r="BH70" s="13">
        <f t="shared" ca="1" si="119"/>
        <v>0</v>
      </c>
      <c r="BI70" s="13">
        <f t="shared" ca="1" si="120"/>
        <v>0</v>
      </c>
      <c r="BJ70" s="13">
        <f t="shared" ca="1" si="121"/>
        <v>1400</v>
      </c>
      <c r="BK70" s="13">
        <f t="shared" ca="1" si="122"/>
        <v>0</v>
      </c>
      <c r="BL70" s="13">
        <f t="shared" ca="1" si="123"/>
        <v>0</v>
      </c>
      <c r="BM70" s="13">
        <f t="shared" ca="1" si="124"/>
        <v>0</v>
      </c>
      <c r="BN70" s="13">
        <f t="shared" ca="1" si="125"/>
        <v>0</v>
      </c>
      <c r="BO70" s="13">
        <f t="shared" ca="1" si="126"/>
        <v>0</v>
      </c>
      <c r="BP70" s="13">
        <f t="shared" ca="1" si="127"/>
        <v>0</v>
      </c>
      <c r="BQ70" s="13">
        <f t="shared" ca="1" si="128"/>
        <v>0</v>
      </c>
    </row>
    <row r="71" spans="1:69" x14ac:dyDescent="0.25">
      <c r="A71" s="1">
        <v>70</v>
      </c>
      <c r="B71" s="13">
        <f ca="1">IF(A71=1,IF(OR('My Loans'!$O$14="",'My Loans'!$O$14=0),0,INDIRECT("'My Loans'!$D"&amp;'My Loans'!$O$14)),AE70)</f>
        <v>0</v>
      </c>
      <c r="C71" s="13">
        <f ca="1">IF(OR('My Loans'!$O$14="",'My Loans'!$O$14=0),0,B71*INDIRECT("'My Loans'!$E"&amp;'My Loans'!$O$14)/12)</f>
        <v>0</v>
      </c>
      <c r="D71" s="13">
        <f ca="1">IF(OR('My Loans'!$O$14="",'My Loans'!$O$14=0),0,IF(B71&lt;0.005,0,MIN(INDIRECT("'My Loans'!$F"&amp;'My Loans'!$O$14),B71+C71)))</f>
        <v>0</v>
      </c>
      <c r="E71" s="13">
        <f ca="1">IF(A71=1,IF(OR('My Loans'!$O$15="",'My Loans'!$O$15=0),0,INDIRECT("'My Loans'!$D"&amp;'My Loans'!$O$15)),AJ70)</f>
        <v>0</v>
      </c>
      <c r="F71" s="13">
        <f ca="1">IF(OR('My Loans'!$O$15="",'My Loans'!$O$15=0),0,E71*INDIRECT("'My Loans'!$E"&amp;'My Loans'!$O$15)/12)</f>
        <v>0</v>
      </c>
      <c r="G71" s="13">
        <f ca="1">IF(OR('My Loans'!$O$15="",'My Loans'!$O$15=0),0,IF(E71&lt;0.005,0,MIN(INDIRECT("'My Loans'!$F"&amp;'My Loans'!$O$15),E71+F71)))</f>
        <v>0</v>
      </c>
      <c r="H71" s="13">
        <f ca="1">IF(A71=1,IF(OR('My Loans'!$O$16="",'My Loans'!$O$16=0),0,INDIRECT("'My Loans'!$D"&amp;'My Loans'!$O$16)),AO70)</f>
        <v>0</v>
      </c>
      <c r="I71" s="13">
        <f ca="1">IF(OR('My Loans'!$O$16="",'My Loans'!$O$16=0),0,H71*INDIRECT("'My Loans'!$E"&amp;'My Loans'!$O$16)/12)</f>
        <v>0</v>
      </c>
      <c r="J71" s="13">
        <f ca="1">IF(OR('My Loans'!$O$16="",'My Loans'!$O$16=0),0,IF(H71&lt;0.005,0,MIN(INDIRECT("'My Loans'!$F"&amp;'My Loans'!$O$16),H71+I71)))</f>
        <v>0</v>
      </c>
      <c r="K71" s="13">
        <f ca="1">IF(A71=1,IF(OR('My Loans'!$O$17="",'My Loans'!$O$17=0),0,INDIRECT("'My Loans'!$D"&amp;'My Loans'!$O$17)),AT70)</f>
        <v>0</v>
      </c>
      <c r="L71" s="13">
        <f ca="1">IF(OR('My Loans'!$O$17="",'My Loans'!$O$17=0),0,K71*INDIRECT("'My Loans'!$E"&amp;'My Loans'!$O$17)/12)</f>
        <v>0</v>
      </c>
      <c r="M71" s="13">
        <f ca="1">IF(OR('My Loans'!$O$17="",'My Loans'!$O$17=0),0,IF(K71&lt;0.005,0,MIN(INDIRECT("'My Loans'!$F"&amp;'My Loans'!$O$17),K71+L71)))</f>
        <v>0</v>
      </c>
      <c r="N71" s="13">
        <f ca="1">IF(A71=1,IF(OR('My Loans'!$O$18="",'My Loans'!$O$18=0),0,INDIRECT("'My Loans'!$D"&amp;'My Loans'!$O$18)),AY70)</f>
        <v>0</v>
      </c>
      <c r="O71" s="13">
        <f ca="1">IF(OR('My Loans'!$O$18="",'My Loans'!$O$18=0),0,N71*INDIRECT("'My Loans'!$E"&amp;'My Loans'!$O$18)/12)</f>
        <v>0</v>
      </c>
      <c r="P71" s="13">
        <f ca="1">IF(OR('My Loans'!$O$18="",'My Loans'!$O$18=0),0,IF(N71&lt;0.005,0,MIN(INDIRECT("'My Loans'!$F"&amp;'My Loans'!$O$18),N71+O71)))</f>
        <v>0</v>
      </c>
      <c r="Q71" s="13">
        <f ca="1">IF(A71=1,IF(OR('My Loans'!$O$19="",'My Loans'!$O$19=0),0,INDIRECT("'My Loans'!$D"&amp;'My Loans'!$O$19)),BD70)</f>
        <v>0</v>
      </c>
      <c r="R71" s="13">
        <f ca="1">IF(OR('My Loans'!$O$19="",'My Loans'!$O$19=0),0,Q71*INDIRECT("'My Loans'!$E"&amp;'My Loans'!$O$19)/12)</f>
        <v>0</v>
      </c>
      <c r="S71" s="13">
        <f ca="1">IF(OR('My Loans'!$O$19="",'My Loans'!$O$19=0),0,IF(Q71&lt;0.005,0,MIN(INDIRECT("'My Loans'!$F"&amp;'My Loans'!$O$19),Q71+R71)))</f>
        <v>0</v>
      </c>
      <c r="T71" s="13">
        <f ca="1">IF(A71=1,IF(OR('My Loans'!$O$20="",'My Loans'!$O$20=0),0,INDIRECT("'My Loans'!$D"&amp;'My Loans'!$O$20)),BI70)</f>
        <v>0</v>
      </c>
      <c r="U71" s="13">
        <f ca="1">IF(OR('My Loans'!$O$20="",'My Loans'!$O$20=0),0,T71*INDIRECT("'My Loans'!$E"&amp;'My Loans'!$O$20)/12)</f>
        <v>0</v>
      </c>
      <c r="V71" s="13">
        <f ca="1">IF(OR('My Loans'!$O$20="",'My Loans'!$O$20=0),0,IF(T71&lt;0.005,0,MIN(INDIRECT("'My Loans'!$F"&amp;'My Loans'!$O$20),T71+U71)))</f>
        <v>0</v>
      </c>
      <c r="W71" s="13">
        <f ca="1">IF(A71=1,IF(OR('My Loans'!$O$21="",'My Loans'!$O$21=0),0,INDIRECT("'My Loans'!$D"&amp;'My Loans'!$O$21)),BN70)</f>
        <v>0</v>
      </c>
      <c r="X71" s="13">
        <f ca="1">IF(OR('My Loans'!$O$21="",'My Loans'!$O$21=0),0,W71*INDIRECT("'My Loans'!$E"&amp;'My Loans'!$O$21)/12)</f>
        <v>0</v>
      </c>
      <c r="Y71" s="13">
        <f ca="1">IF(OR('My Loans'!$O$21="",'My Loans'!$O$21=0),0,IF(W71&lt;0.005,0,MIN(INDIRECT("'My Loans'!$F"&amp;'My Loans'!$O$21),W71+X71)))</f>
        <v>0</v>
      </c>
      <c r="Z71" s="13">
        <f ca="1">'My Loans'!$B$13-(D71+G71+J71+M71+P71+S71+V71+Y71)</f>
        <v>1400</v>
      </c>
      <c r="AA71" s="13">
        <f t="shared" ca="1" si="86"/>
        <v>1400</v>
      </c>
      <c r="AB71" s="13">
        <f t="shared" ca="1" si="87"/>
        <v>0</v>
      </c>
      <c r="AC71" s="13">
        <f t="shared" ca="1" si="88"/>
        <v>0</v>
      </c>
      <c r="AD71" s="13">
        <f t="shared" ca="1" si="89"/>
        <v>0</v>
      </c>
      <c r="AE71" s="13">
        <f t="shared" ca="1" si="90"/>
        <v>0</v>
      </c>
      <c r="AF71" s="13">
        <f t="shared" ca="1" si="91"/>
        <v>1400</v>
      </c>
      <c r="AG71" s="13">
        <f t="shared" ca="1" si="92"/>
        <v>0</v>
      </c>
      <c r="AH71" s="13">
        <f t="shared" ca="1" si="93"/>
        <v>0</v>
      </c>
      <c r="AI71" s="13">
        <f t="shared" ca="1" si="94"/>
        <v>0</v>
      </c>
      <c r="AJ71" s="13">
        <f t="shared" ca="1" si="95"/>
        <v>0</v>
      </c>
      <c r="AK71" s="13">
        <f t="shared" ca="1" si="96"/>
        <v>1400</v>
      </c>
      <c r="AL71" s="13">
        <f t="shared" ca="1" si="97"/>
        <v>0</v>
      </c>
      <c r="AM71" s="13">
        <f t="shared" ca="1" si="98"/>
        <v>0</v>
      </c>
      <c r="AN71" s="13">
        <f t="shared" ca="1" si="99"/>
        <v>0</v>
      </c>
      <c r="AO71" s="13">
        <f t="shared" ca="1" si="100"/>
        <v>0</v>
      </c>
      <c r="AP71" s="13">
        <f t="shared" ca="1" si="101"/>
        <v>1400</v>
      </c>
      <c r="AQ71" s="13">
        <f t="shared" ca="1" si="102"/>
        <v>0</v>
      </c>
      <c r="AR71" s="13">
        <f t="shared" ca="1" si="103"/>
        <v>0</v>
      </c>
      <c r="AS71" s="13">
        <f t="shared" ca="1" si="104"/>
        <v>0</v>
      </c>
      <c r="AT71" s="13">
        <f t="shared" ca="1" si="105"/>
        <v>0</v>
      </c>
      <c r="AU71" s="13">
        <f t="shared" ca="1" si="106"/>
        <v>1400</v>
      </c>
      <c r="AV71" s="13">
        <f t="shared" ca="1" si="107"/>
        <v>0</v>
      </c>
      <c r="AW71" s="13">
        <f t="shared" ca="1" si="108"/>
        <v>0</v>
      </c>
      <c r="AX71" s="13">
        <f t="shared" ca="1" si="109"/>
        <v>0</v>
      </c>
      <c r="AY71" s="13">
        <f t="shared" ca="1" si="110"/>
        <v>0</v>
      </c>
      <c r="AZ71" s="13">
        <f t="shared" ca="1" si="111"/>
        <v>1400</v>
      </c>
      <c r="BA71" s="13">
        <f t="shared" ca="1" si="112"/>
        <v>0</v>
      </c>
      <c r="BB71" s="13">
        <f t="shared" ca="1" si="113"/>
        <v>0</v>
      </c>
      <c r="BC71" s="13">
        <f t="shared" ca="1" si="114"/>
        <v>0</v>
      </c>
      <c r="BD71" s="13">
        <f t="shared" ca="1" si="115"/>
        <v>0</v>
      </c>
      <c r="BE71" s="13">
        <f t="shared" ca="1" si="116"/>
        <v>1400</v>
      </c>
      <c r="BF71" s="13">
        <f t="shared" ca="1" si="117"/>
        <v>0</v>
      </c>
      <c r="BG71" s="13">
        <f t="shared" ca="1" si="118"/>
        <v>0</v>
      </c>
      <c r="BH71" s="13">
        <f t="shared" ca="1" si="119"/>
        <v>0</v>
      </c>
      <c r="BI71" s="13">
        <f t="shared" ca="1" si="120"/>
        <v>0</v>
      </c>
      <c r="BJ71" s="13">
        <f t="shared" ca="1" si="121"/>
        <v>1400</v>
      </c>
      <c r="BK71" s="13">
        <f t="shared" ca="1" si="122"/>
        <v>0</v>
      </c>
      <c r="BL71" s="13">
        <f t="shared" ca="1" si="123"/>
        <v>0</v>
      </c>
      <c r="BM71" s="13">
        <f t="shared" ca="1" si="124"/>
        <v>0</v>
      </c>
      <c r="BN71" s="13">
        <f t="shared" ca="1" si="125"/>
        <v>0</v>
      </c>
      <c r="BO71" s="13">
        <f t="shared" ca="1" si="126"/>
        <v>0</v>
      </c>
      <c r="BP71" s="13">
        <f t="shared" ca="1" si="127"/>
        <v>0</v>
      </c>
      <c r="BQ71" s="13">
        <f t="shared" ca="1" si="128"/>
        <v>0</v>
      </c>
    </row>
    <row r="72" spans="1:69" x14ac:dyDescent="0.25">
      <c r="A72" s="1">
        <v>71</v>
      </c>
      <c r="B72" s="13">
        <f ca="1">IF(A72=1,IF(OR('My Loans'!$O$14="",'My Loans'!$O$14=0),0,INDIRECT("'My Loans'!$D"&amp;'My Loans'!$O$14)),AE71)</f>
        <v>0</v>
      </c>
      <c r="C72" s="13">
        <f ca="1">IF(OR('My Loans'!$O$14="",'My Loans'!$O$14=0),0,B72*INDIRECT("'My Loans'!$E"&amp;'My Loans'!$O$14)/12)</f>
        <v>0</v>
      </c>
      <c r="D72" s="13">
        <f ca="1">IF(OR('My Loans'!$O$14="",'My Loans'!$O$14=0),0,IF(B72&lt;0.005,0,MIN(INDIRECT("'My Loans'!$F"&amp;'My Loans'!$O$14),B72+C72)))</f>
        <v>0</v>
      </c>
      <c r="E72" s="13">
        <f ca="1">IF(A72=1,IF(OR('My Loans'!$O$15="",'My Loans'!$O$15=0),0,INDIRECT("'My Loans'!$D"&amp;'My Loans'!$O$15)),AJ71)</f>
        <v>0</v>
      </c>
      <c r="F72" s="13">
        <f ca="1">IF(OR('My Loans'!$O$15="",'My Loans'!$O$15=0),0,E72*INDIRECT("'My Loans'!$E"&amp;'My Loans'!$O$15)/12)</f>
        <v>0</v>
      </c>
      <c r="G72" s="13">
        <f ca="1">IF(OR('My Loans'!$O$15="",'My Loans'!$O$15=0),0,IF(E72&lt;0.005,0,MIN(INDIRECT("'My Loans'!$F"&amp;'My Loans'!$O$15),E72+F72)))</f>
        <v>0</v>
      </c>
      <c r="H72" s="13">
        <f ca="1">IF(A72=1,IF(OR('My Loans'!$O$16="",'My Loans'!$O$16=0),0,INDIRECT("'My Loans'!$D"&amp;'My Loans'!$O$16)),AO71)</f>
        <v>0</v>
      </c>
      <c r="I72" s="13">
        <f ca="1">IF(OR('My Loans'!$O$16="",'My Loans'!$O$16=0),0,H72*INDIRECT("'My Loans'!$E"&amp;'My Loans'!$O$16)/12)</f>
        <v>0</v>
      </c>
      <c r="J72" s="13">
        <f ca="1">IF(OR('My Loans'!$O$16="",'My Loans'!$O$16=0),0,IF(H72&lt;0.005,0,MIN(INDIRECT("'My Loans'!$F"&amp;'My Loans'!$O$16),H72+I72)))</f>
        <v>0</v>
      </c>
      <c r="K72" s="13">
        <f ca="1">IF(A72=1,IF(OR('My Loans'!$O$17="",'My Loans'!$O$17=0),0,INDIRECT("'My Loans'!$D"&amp;'My Loans'!$O$17)),AT71)</f>
        <v>0</v>
      </c>
      <c r="L72" s="13">
        <f ca="1">IF(OR('My Loans'!$O$17="",'My Loans'!$O$17=0),0,K72*INDIRECT("'My Loans'!$E"&amp;'My Loans'!$O$17)/12)</f>
        <v>0</v>
      </c>
      <c r="M72" s="13">
        <f ca="1">IF(OR('My Loans'!$O$17="",'My Loans'!$O$17=0),0,IF(K72&lt;0.005,0,MIN(INDIRECT("'My Loans'!$F"&amp;'My Loans'!$O$17),K72+L72)))</f>
        <v>0</v>
      </c>
      <c r="N72" s="13">
        <f ca="1">IF(A72=1,IF(OR('My Loans'!$O$18="",'My Loans'!$O$18=0),0,INDIRECT("'My Loans'!$D"&amp;'My Loans'!$O$18)),AY71)</f>
        <v>0</v>
      </c>
      <c r="O72" s="13">
        <f ca="1">IF(OR('My Loans'!$O$18="",'My Loans'!$O$18=0),0,N72*INDIRECT("'My Loans'!$E"&amp;'My Loans'!$O$18)/12)</f>
        <v>0</v>
      </c>
      <c r="P72" s="13">
        <f ca="1">IF(OR('My Loans'!$O$18="",'My Loans'!$O$18=0),0,IF(N72&lt;0.005,0,MIN(INDIRECT("'My Loans'!$F"&amp;'My Loans'!$O$18),N72+O72)))</f>
        <v>0</v>
      </c>
      <c r="Q72" s="13">
        <f ca="1">IF(A72=1,IF(OR('My Loans'!$O$19="",'My Loans'!$O$19=0),0,INDIRECT("'My Loans'!$D"&amp;'My Loans'!$O$19)),BD71)</f>
        <v>0</v>
      </c>
      <c r="R72" s="13">
        <f ca="1">IF(OR('My Loans'!$O$19="",'My Loans'!$O$19=0),0,Q72*INDIRECT("'My Loans'!$E"&amp;'My Loans'!$O$19)/12)</f>
        <v>0</v>
      </c>
      <c r="S72" s="13">
        <f ca="1">IF(OR('My Loans'!$O$19="",'My Loans'!$O$19=0),0,IF(Q72&lt;0.005,0,MIN(INDIRECT("'My Loans'!$F"&amp;'My Loans'!$O$19),Q72+R72)))</f>
        <v>0</v>
      </c>
      <c r="T72" s="13">
        <f ca="1">IF(A72=1,IF(OR('My Loans'!$O$20="",'My Loans'!$O$20=0),0,INDIRECT("'My Loans'!$D"&amp;'My Loans'!$O$20)),BI71)</f>
        <v>0</v>
      </c>
      <c r="U72" s="13">
        <f ca="1">IF(OR('My Loans'!$O$20="",'My Loans'!$O$20=0),0,T72*INDIRECT("'My Loans'!$E"&amp;'My Loans'!$O$20)/12)</f>
        <v>0</v>
      </c>
      <c r="V72" s="13">
        <f ca="1">IF(OR('My Loans'!$O$20="",'My Loans'!$O$20=0),0,IF(T72&lt;0.005,0,MIN(INDIRECT("'My Loans'!$F"&amp;'My Loans'!$O$20),T72+U72)))</f>
        <v>0</v>
      </c>
      <c r="W72" s="13">
        <f ca="1">IF(A72=1,IF(OR('My Loans'!$O$21="",'My Loans'!$O$21=0),0,INDIRECT("'My Loans'!$D"&amp;'My Loans'!$O$21)),BN71)</f>
        <v>0</v>
      </c>
      <c r="X72" s="13">
        <f ca="1">IF(OR('My Loans'!$O$21="",'My Loans'!$O$21=0),0,W72*INDIRECT("'My Loans'!$E"&amp;'My Loans'!$O$21)/12)</f>
        <v>0</v>
      </c>
      <c r="Y72" s="13">
        <f ca="1">IF(OR('My Loans'!$O$21="",'My Loans'!$O$21=0),0,IF(W72&lt;0.005,0,MIN(INDIRECT("'My Loans'!$F"&amp;'My Loans'!$O$21),W72+X72)))</f>
        <v>0</v>
      </c>
      <c r="Z72" s="13">
        <f ca="1">'My Loans'!$B$13-(D72+G72+J72+M72+P72+S72+V72+Y72)</f>
        <v>1400</v>
      </c>
      <c r="AA72" s="13">
        <f t="shared" ca="1" si="86"/>
        <v>1400</v>
      </c>
      <c r="AB72" s="13">
        <f t="shared" ca="1" si="87"/>
        <v>0</v>
      </c>
      <c r="AC72" s="13">
        <f t="shared" ca="1" si="88"/>
        <v>0</v>
      </c>
      <c r="AD72" s="13">
        <f t="shared" ca="1" si="89"/>
        <v>0</v>
      </c>
      <c r="AE72" s="13">
        <f t="shared" ca="1" si="90"/>
        <v>0</v>
      </c>
      <c r="AF72" s="13">
        <f t="shared" ca="1" si="91"/>
        <v>1400</v>
      </c>
      <c r="AG72" s="13">
        <f t="shared" ca="1" si="92"/>
        <v>0</v>
      </c>
      <c r="AH72" s="13">
        <f t="shared" ca="1" si="93"/>
        <v>0</v>
      </c>
      <c r="AI72" s="13">
        <f t="shared" ca="1" si="94"/>
        <v>0</v>
      </c>
      <c r="AJ72" s="13">
        <f t="shared" ca="1" si="95"/>
        <v>0</v>
      </c>
      <c r="AK72" s="13">
        <f t="shared" ca="1" si="96"/>
        <v>1400</v>
      </c>
      <c r="AL72" s="13">
        <f t="shared" ca="1" si="97"/>
        <v>0</v>
      </c>
      <c r="AM72" s="13">
        <f t="shared" ca="1" si="98"/>
        <v>0</v>
      </c>
      <c r="AN72" s="13">
        <f t="shared" ca="1" si="99"/>
        <v>0</v>
      </c>
      <c r="AO72" s="13">
        <f t="shared" ca="1" si="100"/>
        <v>0</v>
      </c>
      <c r="AP72" s="13">
        <f t="shared" ca="1" si="101"/>
        <v>1400</v>
      </c>
      <c r="AQ72" s="13">
        <f t="shared" ca="1" si="102"/>
        <v>0</v>
      </c>
      <c r="AR72" s="13">
        <f t="shared" ca="1" si="103"/>
        <v>0</v>
      </c>
      <c r="AS72" s="13">
        <f t="shared" ca="1" si="104"/>
        <v>0</v>
      </c>
      <c r="AT72" s="13">
        <f t="shared" ca="1" si="105"/>
        <v>0</v>
      </c>
      <c r="AU72" s="13">
        <f t="shared" ca="1" si="106"/>
        <v>1400</v>
      </c>
      <c r="AV72" s="13">
        <f t="shared" ca="1" si="107"/>
        <v>0</v>
      </c>
      <c r="AW72" s="13">
        <f t="shared" ca="1" si="108"/>
        <v>0</v>
      </c>
      <c r="AX72" s="13">
        <f t="shared" ca="1" si="109"/>
        <v>0</v>
      </c>
      <c r="AY72" s="13">
        <f t="shared" ca="1" si="110"/>
        <v>0</v>
      </c>
      <c r="AZ72" s="13">
        <f t="shared" ca="1" si="111"/>
        <v>1400</v>
      </c>
      <c r="BA72" s="13">
        <f t="shared" ca="1" si="112"/>
        <v>0</v>
      </c>
      <c r="BB72" s="13">
        <f t="shared" ca="1" si="113"/>
        <v>0</v>
      </c>
      <c r="BC72" s="13">
        <f t="shared" ca="1" si="114"/>
        <v>0</v>
      </c>
      <c r="BD72" s="13">
        <f t="shared" ca="1" si="115"/>
        <v>0</v>
      </c>
      <c r="BE72" s="13">
        <f t="shared" ca="1" si="116"/>
        <v>1400</v>
      </c>
      <c r="BF72" s="13">
        <f t="shared" ca="1" si="117"/>
        <v>0</v>
      </c>
      <c r="BG72" s="13">
        <f t="shared" ca="1" si="118"/>
        <v>0</v>
      </c>
      <c r="BH72" s="13">
        <f t="shared" ca="1" si="119"/>
        <v>0</v>
      </c>
      <c r="BI72" s="13">
        <f t="shared" ca="1" si="120"/>
        <v>0</v>
      </c>
      <c r="BJ72" s="13">
        <f t="shared" ca="1" si="121"/>
        <v>1400</v>
      </c>
      <c r="BK72" s="13">
        <f t="shared" ca="1" si="122"/>
        <v>0</v>
      </c>
      <c r="BL72" s="13">
        <f t="shared" ca="1" si="123"/>
        <v>0</v>
      </c>
      <c r="BM72" s="13">
        <f t="shared" ca="1" si="124"/>
        <v>0</v>
      </c>
      <c r="BN72" s="13">
        <f t="shared" ca="1" si="125"/>
        <v>0</v>
      </c>
      <c r="BO72" s="13">
        <f t="shared" ca="1" si="126"/>
        <v>0</v>
      </c>
      <c r="BP72" s="13">
        <f t="shared" ca="1" si="127"/>
        <v>0</v>
      </c>
      <c r="BQ72" s="13">
        <f t="shared" ca="1" si="128"/>
        <v>0</v>
      </c>
    </row>
    <row r="73" spans="1:69" x14ac:dyDescent="0.25">
      <c r="A73" s="1">
        <v>72</v>
      </c>
      <c r="B73" s="13">
        <f ca="1">IF(A73=1,IF(OR('My Loans'!$O$14="",'My Loans'!$O$14=0),0,INDIRECT("'My Loans'!$D"&amp;'My Loans'!$O$14)),AE72)</f>
        <v>0</v>
      </c>
      <c r="C73" s="13">
        <f ca="1">IF(OR('My Loans'!$O$14="",'My Loans'!$O$14=0),0,B73*INDIRECT("'My Loans'!$E"&amp;'My Loans'!$O$14)/12)</f>
        <v>0</v>
      </c>
      <c r="D73" s="13">
        <f ca="1">IF(OR('My Loans'!$O$14="",'My Loans'!$O$14=0),0,IF(B73&lt;0.005,0,MIN(INDIRECT("'My Loans'!$F"&amp;'My Loans'!$O$14),B73+C73)))</f>
        <v>0</v>
      </c>
      <c r="E73" s="13">
        <f ca="1">IF(A73=1,IF(OR('My Loans'!$O$15="",'My Loans'!$O$15=0),0,INDIRECT("'My Loans'!$D"&amp;'My Loans'!$O$15)),AJ72)</f>
        <v>0</v>
      </c>
      <c r="F73" s="13">
        <f ca="1">IF(OR('My Loans'!$O$15="",'My Loans'!$O$15=0),0,E73*INDIRECT("'My Loans'!$E"&amp;'My Loans'!$O$15)/12)</f>
        <v>0</v>
      </c>
      <c r="G73" s="13">
        <f ca="1">IF(OR('My Loans'!$O$15="",'My Loans'!$O$15=0),0,IF(E73&lt;0.005,0,MIN(INDIRECT("'My Loans'!$F"&amp;'My Loans'!$O$15),E73+F73)))</f>
        <v>0</v>
      </c>
      <c r="H73" s="13">
        <f ca="1">IF(A73=1,IF(OR('My Loans'!$O$16="",'My Loans'!$O$16=0),0,INDIRECT("'My Loans'!$D"&amp;'My Loans'!$O$16)),AO72)</f>
        <v>0</v>
      </c>
      <c r="I73" s="13">
        <f ca="1">IF(OR('My Loans'!$O$16="",'My Loans'!$O$16=0),0,H73*INDIRECT("'My Loans'!$E"&amp;'My Loans'!$O$16)/12)</f>
        <v>0</v>
      </c>
      <c r="J73" s="13">
        <f ca="1">IF(OR('My Loans'!$O$16="",'My Loans'!$O$16=0),0,IF(H73&lt;0.005,0,MIN(INDIRECT("'My Loans'!$F"&amp;'My Loans'!$O$16),H73+I73)))</f>
        <v>0</v>
      </c>
      <c r="K73" s="13">
        <f ca="1">IF(A73=1,IF(OR('My Loans'!$O$17="",'My Loans'!$O$17=0),0,INDIRECT("'My Loans'!$D"&amp;'My Loans'!$O$17)),AT72)</f>
        <v>0</v>
      </c>
      <c r="L73" s="13">
        <f ca="1">IF(OR('My Loans'!$O$17="",'My Loans'!$O$17=0),0,K73*INDIRECT("'My Loans'!$E"&amp;'My Loans'!$O$17)/12)</f>
        <v>0</v>
      </c>
      <c r="M73" s="13">
        <f ca="1">IF(OR('My Loans'!$O$17="",'My Loans'!$O$17=0),0,IF(K73&lt;0.005,0,MIN(INDIRECT("'My Loans'!$F"&amp;'My Loans'!$O$17),K73+L73)))</f>
        <v>0</v>
      </c>
      <c r="N73" s="13">
        <f ca="1">IF(A73=1,IF(OR('My Loans'!$O$18="",'My Loans'!$O$18=0),0,INDIRECT("'My Loans'!$D"&amp;'My Loans'!$O$18)),AY72)</f>
        <v>0</v>
      </c>
      <c r="O73" s="13">
        <f ca="1">IF(OR('My Loans'!$O$18="",'My Loans'!$O$18=0),0,N73*INDIRECT("'My Loans'!$E"&amp;'My Loans'!$O$18)/12)</f>
        <v>0</v>
      </c>
      <c r="P73" s="13">
        <f ca="1">IF(OR('My Loans'!$O$18="",'My Loans'!$O$18=0),0,IF(N73&lt;0.005,0,MIN(INDIRECT("'My Loans'!$F"&amp;'My Loans'!$O$18),N73+O73)))</f>
        <v>0</v>
      </c>
      <c r="Q73" s="13">
        <f ca="1">IF(A73=1,IF(OR('My Loans'!$O$19="",'My Loans'!$O$19=0),0,INDIRECT("'My Loans'!$D"&amp;'My Loans'!$O$19)),BD72)</f>
        <v>0</v>
      </c>
      <c r="R73" s="13">
        <f ca="1">IF(OR('My Loans'!$O$19="",'My Loans'!$O$19=0),0,Q73*INDIRECT("'My Loans'!$E"&amp;'My Loans'!$O$19)/12)</f>
        <v>0</v>
      </c>
      <c r="S73" s="13">
        <f ca="1">IF(OR('My Loans'!$O$19="",'My Loans'!$O$19=0),0,IF(Q73&lt;0.005,0,MIN(INDIRECT("'My Loans'!$F"&amp;'My Loans'!$O$19),Q73+R73)))</f>
        <v>0</v>
      </c>
      <c r="T73" s="13">
        <f ca="1">IF(A73=1,IF(OR('My Loans'!$O$20="",'My Loans'!$O$20=0),0,INDIRECT("'My Loans'!$D"&amp;'My Loans'!$O$20)),BI72)</f>
        <v>0</v>
      </c>
      <c r="U73" s="13">
        <f ca="1">IF(OR('My Loans'!$O$20="",'My Loans'!$O$20=0),0,T73*INDIRECT("'My Loans'!$E"&amp;'My Loans'!$O$20)/12)</f>
        <v>0</v>
      </c>
      <c r="V73" s="13">
        <f ca="1">IF(OR('My Loans'!$O$20="",'My Loans'!$O$20=0),0,IF(T73&lt;0.005,0,MIN(INDIRECT("'My Loans'!$F"&amp;'My Loans'!$O$20),T73+U73)))</f>
        <v>0</v>
      </c>
      <c r="W73" s="13">
        <f ca="1">IF(A73=1,IF(OR('My Loans'!$O$21="",'My Loans'!$O$21=0),0,INDIRECT("'My Loans'!$D"&amp;'My Loans'!$O$21)),BN72)</f>
        <v>0</v>
      </c>
      <c r="X73" s="13">
        <f ca="1">IF(OR('My Loans'!$O$21="",'My Loans'!$O$21=0),0,W73*INDIRECT("'My Loans'!$E"&amp;'My Loans'!$O$21)/12)</f>
        <v>0</v>
      </c>
      <c r="Y73" s="13">
        <f ca="1">IF(OR('My Loans'!$O$21="",'My Loans'!$O$21=0),0,IF(W73&lt;0.005,0,MIN(INDIRECT("'My Loans'!$F"&amp;'My Loans'!$O$21),W73+X73)))</f>
        <v>0</v>
      </c>
      <c r="Z73" s="13">
        <f ca="1">'My Loans'!$B$13-(D73+G73+J73+M73+P73+S73+V73+Y73)</f>
        <v>1400</v>
      </c>
      <c r="AA73" s="13">
        <f t="shared" ca="1" si="86"/>
        <v>1400</v>
      </c>
      <c r="AB73" s="13">
        <f t="shared" ca="1" si="87"/>
        <v>0</v>
      </c>
      <c r="AC73" s="13">
        <f t="shared" ca="1" si="88"/>
        <v>0</v>
      </c>
      <c r="AD73" s="13">
        <f t="shared" ca="1" si="89"/>
        <v>0</v>
      </c>
      <c r="AE73" s="13">
        <f t="shared" ca="1" si="90"/>
        <v>0</v>
      </c>
      <c r="AF73" s="13">
        <f t="shared" ca="1" si="91"/>
        <v>1400</v>
      </c>
      <c r="AG73" s="13">
        <f t="shared" ca="1" si="92"/>
        <v>0</v>
      </c>
      <c r="AH73" s="13">
        <f t="shared" ca="1" si="93"/>
        <v>0</v>
      </c>
      <c r="AI73" s="13">
        <f t="shared" ca="1" si="94"/>
        <v>0</v>
      </c>
      <c r="AJ73" s="13">
        <f t="shared" ca="1" si="95"/>
        <v>0</v>
      </c>
      <c r="AK73" s="13">
        <f t="shared" ca="1" si="96"/>
        <v>1400</v>
      </c>
      <c r="AL73" s="13">
        <f t="shared" ca="1" si="97"/>
        <v>0</v>
      </c>
      <c r="AM73" s="13">
        <f t="shared" ca="1" si="98"/>
        <v>0</v>
      </c>
      <c r="AN73" s="13">
        <f t="shared" ca="1" si="99"/>
        <v>0</v>
      </c>
      <c r="AO73" s="13">
        <f t="shared" ca="1" si="100"/>
        <v>0</v>
      </c>
      <c r="AP73" s="13">
        <f t="shared" ca="1" si="101"/>
        <v>1400</v>
      </c>
      <c r="AQ73" s="13">
        <f t="shared" ca="1" si="102"/>
        <v>0</v>
      </c>
      <c r="AR73" s="13">
        <f t="shared" ca="1" si="103"/>
        <v>0</v>
      </c>
      <c r="AS73" s="13">
        <f t="shared" ca="1" si="104"/>
        <v>0</v>
      </c>
      <c r="AT73" s="13">
        <f t="shared" ca="1" si="105"/>
        <v>0</v>
      </c>
      <c r="AU73" s="13">
        <f t="shared" ca="1" si="106"/>
        <v>1400</v>
      </c>
      <c r="AV73" s="13">
        <f t="shared" ca="1" si="107"/>
        <v>0</v>
      </c>
      <c r="AW73" s="13">
        <f t="shared" ca="1" si="108"/>
        <v>0</v>
      </c>
      <c r="AX73" s="13">
        <f t="shared" ca="1" si="109"/>
        <v>0</v>
      </c>
      <c r="AY73" s="13">
        <f t="shared" ca="1" si="110"/>
        <v>0</v>
      </c>
      <c r="AZ73" s="13">
        <f t="shared" ca="1" si="111"/>
        <v>1400</v>
      </c>
      <c r="BA73" s="13">
        <f t="shared" ca="1" si="112"/>
        <v>0</v>
      </c>
      <c r="BB73" s="13">
        <f t="shared" ca="1" si="113"/>
        <v>0</v>
      </c>
      <c r="BC73" s="13">
        <f t="shared" ca="1" si="114"/>
        <v>0</v>
      </c>
      <c r="BD73" s="13">
        <f t="shared" ca="1" si="115"/>
        <v>0</v>
      </c>
      <c r="BE73" s="13">
        <f t="shared" ca="1" si="116"/>
        <v>1400</v>
      </c>
      <c r="BF73" s="13">
        <f t="shared" ca="1" si="117"/>
        <v>0</v>
      </c>
      <c r="BG73" s="13">
        <f t="shared" ca="1" si="118"/>
        <v>0</v>
      </c>
      <c r="BH73" s="13">
        <f t="shared" ca="1" si="119"/>
        <v>0</v>
      </c>
      <c r="BI73" s="13">
        <f t="shared" ca="1" si="120"/>
        <v>0</v>
      </c>
      <c r="BJ73" s="13">
        <f t="shared" ca="1" si="121"/>
        <v>1400</v>
      </c>
      <c r="BK73" s="13">
        <f t="shared" ca="1" si="122"/>
        <v>0</v>
      </c>
      <c r="BL73" s="13">
        <f t="shared" ca="1" si="123"/>
        <v>0</v>
      </c>
      <c r="BM73" s="13">
        <f t="shared" ca="1" si="124"/>
        <v>0</v>
      </c>
      <c r="BN73" s="13">
        <f t="shared" ca="1" si="125"/>
        <v>0</v>
      </c>
      <c r="BO73" s="13">
        <f t="shared" ca="1" si="126"/>
        <v>0</v>
      </c>
      <c r="BP73" s="13">
        <f t="shared" ca="1" si="127"/>
        <v>0</v>
      </c>
      <c r="BQ73" s="13">
        <f t="shared" ca="1" si="128"/>
        <v>0</v>
      </c>
    </row>
    <row r="74" spans="1:69" x14ac:dyDescent="0.25">
      <c r="A74" s="1">
        <v>73</v>
      </c>
      <c r="B74" s="13">
        <f ca="1">IF(A74=1,IF(OR('My Loans'!$O$14="",'My Loans'!$O$14=0),0,INDIRECT("'My Loans'!$D"&amp;'My Loans'!$O$14)),AE73)</f>
        <v>0</v>
      </c>
      <c r="C74" s="13">
        <f ca="1">IF(OR('My Loans'!$O$14="",'My Loans'!$O$14=0),0,B74*INDIRECT("'My Loans'!$E"&amp;'My Loans'!$O$14)/12)</f>
        <v>0</v>
      </c>
      <c r="D74" s="13">
        <f ca="1">IF(OR('My Loans'!$O$14="",'My Loans'!$O$14=0),0,IF(B74&lt;0.005,0,MIN(INDIRECT("'My Loans'!$F"&amp;'My Loans'!$O$14),B74+C74)))</f>
        <v>0</v>
      </c>
      <c r="E74" s="13">
        <f ca="1">IF(A74=1,IF(OR('My Loans'!$O$15="",'My Loans'!$O$15=0),0,INDIRECT("'My Loans'!$D"&amp;'My Loans'!$O$15)),AJ73)</f>
        <v>0</v>
      </c>
      <c r="F74" s="13">
        <f ca="1">IF(OR('My Loans'!$O$15="",'My Loans'!$O$15=0),0,E74*INDIRECT("'My Loans'!$E"&amp;'My Loans'!$O$15)/12)</f>
        <v>0</v>
      </c>
      <c r="G74" s="13">
        <f ca="1">IF(OR('My Loans'!$O$15="",'My Loans'!$O$15=0),0,IF(E74&lt;0.005,0,MIN(INDIRECT("'My Loans'!$F"&amp;'My Loans'!$O$15),E74+F74)))</f>
        <v>0</v>
      </c>
      <c r="H74" s="13">
        <f ca="1">IF(A74=1,IF(OR('My Loans'!$O$16="",'My Loans'!$O$16=0),0,INDIRECT("'My Loans'!$D"&amp;'My Loans'!$O$16)),AO73)</f>
        <v>0</v>
      </c>
      <c r="I74" s="13">
        <f ca="1">IF(OR('My Loans'!$O$16="",'My Loans'!$O$16=0),0,H74*INDIRECT("'My Loans'!$E"&amp;'My Loans'!$O$16)/12)</f>
        <v>0</v>
      </c>
      <c r="J74" s="13">
        <f ca="1">IF(OR('My Loans'!$O$16="",'My Loans'!$O$16=0),0,IF(H74&lt;0.005,0,MIN(INDIRECT("'My Loans'!$F"&amp;'My Loans'!$O$16),H74+I74)))</f>
        <v>0</v>
      </c>
      <c r="K74" s="13">
        <f ca="1">IF(A74=1,IF(OR('My Loans'!$O$17="",'My Loans'!$O$17=0),0,INDIRECT("'My Loans'!$D"&amp;'My Loans'!$O$17)),AT73)</f>
        <v>0</v>
      </c>
      <c r="L74" s="13">
        <f ca="1">IF(OR('My Loans'!$O$17="",'My Loans'!$O$17=0),0,K74*INDIRECT("'My Loans'!$E"&amp;'My Loans'!$O$17)/12)</f>
        <v>0</v>
      </c>
      <c r="M74" s="13">
        <f ca="1">IF(OR('My Loans'!$O$17="",'My Loans'!$O$17=0),0,IF(K74&lt;0.005,0,MIN(INDIRECT("'My Loans'!$F"&amp;'My Loans'!$O$17),K74+L74)))</f>
        <v>0</v>
      </c>
      <c r="N74" s="13">
        <f ca="1">IF(A74=1,IF(OR('My Loans'!$O$18="",'My Loans'!$O$18=0),0,INDIRECT("'My Loans'!$D"&amp;'My Loans'!$O$18)),AY73)</f>
        <v>0</v>
      </c>
      <c r="O74" s="13">
        <f ca="1">IF(OR('My Loans'!$O$18="",'My Loans'!$O$18=0),0,N74*INDIRECT("'My Loans'!$E"&amp;'My Loans'!$O$18)/12)</f>
        <v>0</v>
      </c>
      <c r="P74" s="13">
        <f ca="1">IF(OR('My Loans'!$O$18="",'My Loans'!$O$18=0),0,IF(N74&lt;0.005,0,MIN(INDIRECT("'My Loans'!$F"&amp;'My Loans'!$O$18),N74+O74)))</f>
        <v>0</v>
      </c>
      <c r="Q74" s="13">
        <f ca="1">IF(A74=1,IF(OR('My Loans'!$O$19="",'My Loans'!$O$19=0),0,INDIRECT("'My Loans'!$D"&amp;'My Loans'!$O$19)),BD73)</f>
        <v>0</v>
      </c>
      <c r="R74" s="13">
        <f ca="1">IF(OR('My Loans'!$O$19="",'My Loans'!$O$19=0),0,Q74*INDIRECT("'My Loans'!$E"&amp;'My Loans'!$O$19)/12)</f>
        <v>0</v>
      </c>
      <c r="S74" s="13">
        <f ca="1">IF(OR('My Loans'!$O$19="",'My Loans'!$O$19=0),0,IF(Q74&lt;0.005,0,MIN(INDIRECT("'My Loans'!$F"&amp;'My Loans'!$O$19),Q74+R74)))</f>
        <v>0</v>
      </c>
      <c r="T74" s="13">
        <f ca="1">IF(A74=1,IF(OR('My Loans'!$O$20="",'My Loans'!$O$20=0),0,INDIRECT("'My Loans'!$D"&amp;'My Loans'!$O$20)),BI73)</f>
        <v>0</v>
      </c>
      <c r="U74" s="13">
        <f ca="1">IF(OR('My Loans'!$O$20="",'My Loans'!$O$20=0),0,T74*INDIRECT("'My Loans'!$E"&amp;'My Loans'!$O$20)/12)</f>
        <v>0</v>
      </c>
      <c r="V74" s="13">
        <f ca="1">IF(OR('My Loans'!$O$20="",'My Loans'!$O$20=0),0,IF(T74&lt;0.005,0,MIN(INDIRECT("'My Loans'!$F"&amp;'My Loans'!$O$20),T74+U74)))</f>
        <v>0</v>
      </c>
      <c r="W74" s="13">
        <f ca="1">IF(A74=1,IF(OR('My Loans'!$O$21="",'My Loans'!$O$21=0),0,INDIRECT("'My Loans'!$D"&amp;'My Loans'!$O$21)),BN73)</f>
        <v>0</v>
      </c>
      <c r="X74" s="13">
        <f ca="1">IF(OR('My Loans'!$O$21="",'My Loans'!$O$21=0),0,W74*INDIRECT("'My Loans'!$E"&amp;'My Loans'!$O$21)/12)</f>
        <v>0</v>
      </c>
      <c r="Y74" s="13">
        <f ca="1">IF(OR('My Loans'!$O$21="",'My Loans'!$O$21=0),0,IF(W74&lt;0.005,0,MIN(INDIRECT("'My Loans'!$F"&amp;'My Loans'!$O$21),W74+X74)))</f>
        <v>0</v>
      </c>
      <c r="Z74" s="13">
        <f ca="1">'My Loans'!$B$13-(D74+G74+J74+M74+P74+S74+V74+Y74)</f>
        <v>1400</v>
      </c>
      <c r="AA74" s="13">
        <f t="shared" ca="1" si="86"/>
        <v>1400</v>
      </c>
      <c r="AB74" s="13">
        <f t="shared" ca="1" si="87"/>
        <v>0</v>
      </c>
      <c r="AC74" s="13">
        <f t="shared" ca="1" si="88"/>
        <v>0</v>
      </c>
      <c r="AD74" s="13">
        <f t="shared" ca="1" si="89"/>
        <v>0</v>
      </c>
      <c r="AE74" s="13">
        <f t="shared" ca="1" si="90"/>
        <v>0</v>
      </c>
      <c r="AF74" s="13">
        <f t="shared" ca="1" si="91"/>
        <v>1400</v>
      </c>
      <c r="AG74" s="13">
        <f t="shared" ca="1" si="92"/>
        <v>0</v>
      </c>
      <c r="AH74" s="13">
        <f t="shared" ca="1" si="93"/>
        <v>0</v>
      </c>
      <c r="AI74" s="13">
        <f t="shared" ca="1" si="94"/>
        <v>0</v>
      </c>
      <c r="AJ74" s="13">
        <f t="shared" ca="1" si="95"/>
        <v>0</v>
      </c>
      <c r="AK74" s="13">
        <f t="shared" ca="1" si="96"/>
        <v>1400</v>
      </c>
      <c r="AL74" s="13">
        <f t="shared" ca="1" si="97"/>
        <v>0</v>
      </c>
      <c r="AM74" s="13">
        <f t="shared" ca="1" si="98"/>
        <v>0</v>
      </c>
      <c r="AN74" s="13">
        <f t="shared" ca="1" si="99"/>
        <v>0</v>
      </c>
      <c r="AO74" s="13">
        <f t="shared" ca="1" si="100"/>
        <v>0</v>
      </c>
      <c r="AP74" s="13">
        <f t="shared" ca="1" si="101"/>
        <v>1400</v>
      </c>
      <c r="AQ74" s="13">
        <f t="shared" ca="1" si="102"/>
        <v>0</v>
      </c>
      <c r="AR74" s="13">
        <f t="shared" ca="1" si="103"/>
        <v>0</v>
      </c>
      <c r="AS74" s="13">
        <f t="shared" ca="1" si="104"/>
        <v>0</v>
      </c>
      <c r="AT74" s="13">
        <f t="shared" ca="1" si="105"/>
        <v>0</v>
      </c>
      <c r="AU74" s="13">
        <f t="shared" ca="1" si="106"/>
        <v>1400</v>
      </c>
      <c r="AV74" s="13">
        <f t="shared" ca="1" si="107"/>
        <v>0</v>
      </c>
      <c r="AW74" s="13">
        <f t="shared" ca="1" si="108"/>
        <v>0</v>
      </c>
      <c r="AX74" s="13">
        <f t="shared" ca="1" si="109"/>
        <v>0</v>
      </c>
      <c r="AY74" s="13">
        <f t="shared" ca="1" si="110"/>
        <v>0</v>
      </c>
      <c r="AZ74" s="13">
        <f t="shared" ca="1" si="111"/>
        <v>1400</v>
      </c>
      <c r="BA74" s="13">
        <f t="shared" ca="1" si="112"/>
        <v>0</v>
      </c>
      <c r="BB74" s="13">
        <f t="shared" ca="1" si="113"/>
        <v>0</v>
      </c>
      <c r="BC74" s="13">
        <f t="shared" ca="1" si="114"/>
        <v>0</v>
      </c>
      <c r="BD74" s="13">
        <f t="shared" ca="1" si="115"/>
        <v>0</v>
      </c>
      <c r="BE74" s="13">
        <f t="shared" ca="1" si="116"/>
        <v>1400</v>
      </c>
      <c r="BF74" s="13">
        <f t="shared" ca="1" si="117"/>
        <v>0</v>
      </c>
      <c r="BG74" s="13">
        <f t="shared" ca="1" si="118"/>
        <v>0</v>
      </c>
      <c r="BH74" s="13">
        <f t="shared" ca="1" si="119"/>
        <v>0</v>
      </c>
      <c r="BI74" s="13">
        <f t="shared" ca="1" si="120"/>
        <v>0</v>
      </c>
      <c r="BJ74" s="13">
        <f t="shared" ca="1" si="121"/>
        <v>1400</v>
      </c>
      <c r="BK74" s="13">
        <f t="shared" ca="1" si="122"/>
        <v>0</v>
      </c>
      <c r="BL74" s="13">
        <f t="shared" ca="1" si="123"/>
        <v>0</v>
      </c>
      <c r="BM74" s="13">
        <f t="shared" ca="1" si="124"/>
        <v>0</v>
      </c>
      <c r="BN74" s="13">
        <f t="shared" ca="1" si="125"/>
        <v>0</v>
      </c>
      <c r="BO74" s="13">
        <f t="shared" ca="1" si="126"/>
        <v>0</v>
      </c>
      <c r="BP74" s="13">
        <f t="shared" ca="1" si="127"/>
        <v>0</v>
      </c>
      <c r="BQ74" s="13">
        <f t="shared" ca="1" si="128"/>
        <v>0</v>
      </c>
    </row>
    <row r="75" spans="1:69" x14ac:dyDescent="0.25">
      <c r="A75" s="1">
        <v>74</v>
      </c>
      <c r="B75" s="13">
        <f ca="1">IF(A75=1,IF(OR('My Loans'!$O$14="",'My Loans'!$O$14=0),0,INDIRECT("'My Loans'!$D"&amp;'My Loans'!$O$14)),AE74)</f>
        <v>0</v>
      </c>
      <c r="C75" s="13">
        <f ca="1">IF(OR('My Loans'!$O$14="",'My Loans'!$O$14=0),0,B75*INDIRECT("'My Loans'!$E"&amp;'My Loans'!$O$14)/12)</f>
        <v>0</v>
      </c>
      <c r="D75" s="13">
        <f ca="1">IF(OR('My Loans'!$O$14="",'My Loans'!$O$14=0),0,IF(B75&lt;0.005,0,MIN(INDIRECT("'My Loans'!$F"&amp;'My Loans'!$O$14),B75+C75)))</f>
        <v>0</v>
      </c>
      <c r="E75" s="13">
        <f ca="1">IF(A75=1,IF(OR('My Loans'!$O$15="",'My Loans'!$O$15=0),0,INDIRECT("'My Loans'!$D"&amp;'My Loans'!$O$15)),AJ74)</f>
        <v>0</v>
      </c>
      <c r="F75" s="13">
        <f ca="1">IF(OR('My Loans'!$O$15="",'My Loans'!$O$15=0),0,E75*INDIRECT("'My Loans'!$E"&amp;'My Loans'!$O$15)/12)</f>
        <v>0</v>
      </c>
      <c r="G75" s="13">
        <f ca="1">IF(OR('My Loans'!$O$15="",'My Loans'!$O$15=0),0,IF(E75&lt;0.005,0,MIN(INDIRECT("'My Loans'!$F"&amp;'My Loans'!$O$15),E75+F75)))</f>
        <v>0</v>
      </c>
      <c r="H75" s="13">
        <f ca="1">IF(A75=1,IF(OR('My Loans'!$O$16="",'My Loans'!$O$16=0),0,INDIRECT("'My Loans'!$D"&amp;'My Loans'!$O$16)),AO74)</f>
        <v>0</v>
      </c>
      <c r="I75" s="13">
        <f ca="1">IF(OR('My Loans'!$O$16="",'My Loans'!$O$16=0),0,H75*INDIRECT("'My Loans'!$E"&amp;'My Loans'!$O$16)/12)</f>
        <v>0</v>
      </c>
      <c r="J75" s="13">
        <f ca="1">IF(OR('My Loans'!$O$16="",'My Loans'!$O$16=0),0,IF(H75&lt;0.005,0,MIN(INDIRECT("'My Loans'!$F"&amp;'My Loans'!$O$16),H75+I75)))</f>
        <v>0</v>
      </c>
      <c r="K75" s="13">
        <f ca="1">IF(A75=1,IF(OR('My Loans'!$O$17="",'My Loans'!$O$17=0),0,INDIRECT("'My Loans'!$D"&amp;'My Loans'!$O$17)),AT74)</f>
        <v>0</v>
      </c>
      <c r="L75" s="13">
        <f ca="1">IF(OR('My Loans'!$O$17="",'My Loans'!$O$17=0),0,K75*INDIRECT("'My Loans'!$E"&amp;'My Loans'!$O$17)/12)</f>
        <v>0</v>
      </c>
      <c r="M75" s="13">
        <f ca="1">IF(OR('My Loans'!$O$17="",'My Loans'!$O$17=0),0,IF(K75&lt;0.005,0,MIN(INDIRECT("'My Loans'!$F"&amp;'My Loans'!$O$17),K75+L75)))</f>
        <v>0</v>
      </c>
      <c r="N75" s="13">
        <f ca="1">IF(A75=1,IF(OR('My Loans'!$O$18="",'My Loans'!$O$18=0),0,INDIRECT("'My Loans'!$D"&amp;'My Loans'!$O$18)),AY74)</f>
        <v>0</v>
      </c>
      <c r="O75" s="13">
        <f ca="1">IF(OR('My Loans'!$O$18="",'My Loans'!$O$18=0),0,N75*INDIRECT("'My Loans'!$E"&amp;'My Loans'!$O$18)/12)</f>
        <v>0</v>
      </c>
      <c r="P75" s="13">
        <f ca="1">IF(OR('My Loans'!$O$18="",'My Loans'!$O$18=0),0,IF(N75&lt;0.005,0,MIN(INDIRECT("'My Loans'!$F"&amp;'My Loans'!$O$18),N75+O75)))</f>
        <v>0</v>
      </c>
      <c r="Q75" s="13">
        <f ca="1">IF(A75=1,IF(OR('My Loans'!$O$19="",'My Loans'!$O$19=0),0,INDIRECT("'My Loans'!$D"&amp;'My Loans'!$O$19)),BD74)</f>
        <v>0</v>
      </c>
      <c r="R75" s="13">
        <f ca="1">IF(OR('My Loans'!$O$19="",'My Loans'!$O$19=0),0,Q75*INDIRECT("'My Loans'!$E"&amp;'My Loans'!$O$19)/12)</f>
        <v>0</v>
      </c>
      <c r="S75" s="13">
        <f ca="1">IF(OR('My Loans'!$O$19="",'My Loans'!$O$19=0),0,IF(Q75&lt;0.005,0,MIN(INDIRECT("'My Loans'!$F"&amp;'My Loans'!$O$19),Q75+R75)))</f>
        <v>0</v>
      </c>
      <c r="T75" s="13">
        <f ca="1">IF(A75=1,IF(OR('My Loans'!$O$20="",'My Loans'!$O$20=0),0,INDIRECT("'My Loans'!$D"&amp;'My Loans'!$O$20)),BI74)</f>
        <v>0</v>
      </c>
      <c r="U75" s="13">
        <f ca="1">IF(OR('My Loans'!$O$20="",'My Loans'!$O$20=0),0,T75*INDIRECT("'My Loans'!$E"&amp;'My Loans'!$O$20)/12)</f>
        <v>0</v>
      </c>
      <c r="V75" s="13">
        <f ca="1">IF(OR('My Loans'!$O$20="",'My Loans'!$O$20=0),0,IF(T75&lt;0.005,0,MIN(INDIRECT("'My Loans'!$F"&amp;'My Loans'!$O$20),T75+U75)))</f>
        <v>0</v>
      </c>
      <c r="W75" s="13">
        <f ca="1">IF(A75=1,IF(OR('My Loans'!$O$21="",'My Loans'!$O$21=0),0,INDIRECT("'My Loans'!$D"&amp;'My Loans'!$O$21)),BN74)</f>
        <v>0</v>
      </c>
      <c r="X75" s="13">
        <f ca="1">IF(OR('My Loans'!$O$21="",'My Loans'!$O$21=0),0,W75*INDIRECT("'My Loans'!$E"&amp;'My Loans'!$O$21)/12)</f>
        <v>0</v>
      </c>
      <c r="Y75" s="13">
        <f ca="1">IF(OR('My Loans'!$O$21="",'My Loans'!$O$21=0),0,IF(W75&lt;0.005,0,MIN(INDIRECT("'My Loans'!$F"&amp;'My Loans'!$O$21),W75+X75)))</f>
        <v>0</v>
      </c>
      <c r="Z75" s="13">
        <f ca="1">'My Loans'!$B$13-(D75+G75+J75+M75+P75+S75+V75+Y75)</f>
        <v>1400</v>
      </c>
      <c r="AA75" s="13">
        <f t="shared" ca="1" si="86"/>
        <v>1400</v>
      </c>
      <c r="AB75" s="13">
        <f t="shared" ca="1" si="87"/>
        <v>0</v>
      </c>
      <c r="AC75" s="13">
        <f t="shared" ca="1" si="88"/>
        <v>0</v>
      </c>
      <c r="AD75" s="13">
        <f t="shared" ca="1" si="89"/>
        <v>0</v>
      </c>
      <c r="AE75" s="13">
        <f t="shared" ca="1" si="90"/>
        <v>0</v>
      </c>
      <c r="AF75" s="13">
        <f t="shared" ca="1" si="91"/>
        <v>1400</v>
      </c>
      <c r="AG75" s="13">
        <f t="shared" ca="1" si="92"/>
        <v>0</v>
      </c>
      <c r="AH75" s="13">
        <f t="shared" ca="1" si="93"/>
        <v>0</v>
      </c>
      <c r="AI75" s="13">
        <f t="shared" ca="1" si="94"/>
        <v>0</v>
      </c>
      <c r="AJ75" s="13">
        <f t="shared" ca="1" si="95"/>
        <v>0</v>
      </c>
      <c r="AK75" s="13">
        <f t="shared" ca="1" si="96"/>
        <v>1400</v>
      </c>
      <c r="AL75" s="13">
        <f t="shared" ca="1" si="97"/>
        <v>0</v>
      </c>
      <c r="AM75" s="13">
        <f t="shared" ca="1" si="98"/>
        <v>0</v>
      </c>
      <c r="AN75" s="13">
        <f t="shared" ca="1" si="99"/>
        <v>0</v>
      </c>
      <c r="AO75" s="13">
        <f t="shared" ca="1" si="100"/>
        <v>0</v>
      </c>
      <c r="AP75" s="13">
        <f t="shared" ca="1" si="101"/>
        <v>1400</v>
      </c>
      <c r="AQ75" s="13">
        <f t="shared" ca="1" si="102"/>
        <v>0</v>
      </c>
      <c r="AR75" s="13">
        <f t="shared" ca="1" si="103"/>
        <v>0</v>
      </c>
      <c r="AS75" s="13">
        <f t="shared" ca="1" si="104"/>
        <v>0</v>
      </c>
      <c r="AT75" s="13">
        <f t="shared" ca="1" si="105"/>
        <v>0</v>
      </c>
      <c r="AU75" s="13">
        <f t="shared" ca="1" si="106"/>
        <v>1400</v>
      </c>
      <c r="AV75" s="13">
        <f t="shared" ca="1" si="107"/>
        <v>0</v>
      </c>
      <c r="AW75" s="13">
        <f t="shared" ca="1" si="108"/>
        <v>0</v>
      </c>
      <c r="AX75" s="13">
        <f t="shared" ca="1" si="109"/>
        <v>0</v>
      </c>
      <c r="AY75" s="13">
        <f t="shared" ca="1" si="110"/>
        <v>0</v>
      </c>
      <c r="AZ75" s="13">
        <f t="shared" ca="1" si="111"/>
        <v>1400</v>
      </c>
      <c r="BA75" s="13">
        <f t="shared" ca="1" si="112"/>
        <v>0</v>
      </c>
      <c r="BB75" s="13">
        <f t="shared" ca="1" si="113"/>
        <v>0</v>
      </c>
      <c r="BC75" s="13">
        <f t="shared" ca="1" si="114"/>
        <v>0</v>
      </c>
      <c r="BD75" s="13">
        <f t="shared" ca="1" si="115"/>
        <v>0</v>
      </c>
      <c r="BE75" s="13">
        <f t="shared" ca="1" si="116"/>
        <v>1400</v>
      </c>
      <c r="BF75" s="13">
        <f t="shared" ca="1" si="117"/>
        <v>0</v>
      </c>
      <c r="BG75" s="13">
        <f t="shared" ca="1" si="118"/>
        <v>0</v>
      </c>
      <c r="BH75" s="13">
        <f t="shared" ca="1" si="119"/>
        <v>0</v>
      </c>
      <c r="BI75" s="13">
        <f t="shared" ca="1" si="120"/>
        <v>0</v>
      </c>
      <c r="BJ75" s="13">
        <f t="shared" ca="1" si="121"/>
        <v>1400</v>
      </c>
      <c r="BK75" s="13">
        <f t="shared" ca="1" si="122"/>
        <v>0</v>
      </c>
      <c r="BL75" s="13">
        <f t="shared" ca="1" si="123"/>
        <v>0</v>
      </c>
      <c r="BM75" s="13">
        <f t="shared" ca="1" si="124"/>
        <v>0</v>
      </c>
      <c r="BN75" s="13">
        <f t="shared" ca="1" si="125"/>
        <v>0</v>
      </c>
      <c r="BO75" s="13">
        <f t="shared" ca="1" si="126"/>
        <v>0</v>
      </c>
      <c r="BP75" s="13">
        <f t="shared" ca="1" si="127"/>
        <v>0</v>
      </c>
      <c r="BQ75" s="13">
        <f t="shared" ca="1" si="128"/>
        <v>0</v>
      </c>
    </row>
    <row r="76" spans="1:69" x14ac:dyDescent="0.25">
      <c r="A76" s="1">
        <v>75</v>
      </c>
      <c r="B76" s="13">
        <f ca="1">IF(A76=1,IF(OR('My Loans'!$O$14="",'My Loans'!$O$14=0),0,INDIRECT("'My Loans'!$D"&amp;'My Loans'!$O$14)),AE75)</f>
        <v>0</v>
      </c>
      <c r="C76" s="13">
        <f ca="1">IF(OR('My Loans'!$O$14="",'My Loans'!$O$14=0),0,B76*INDIRECT("'My Loans'!$E"&amp;'My Loans'!$O$14)/12)</f>
        <v>0</v>
      </c>
      <c r="D76" s="13">
        <f ca="1">IF(OR('My Loans'!$O$14="",'My Loans'!$O$14=0),0,IF(B76&lt;0.005,0,MIN(INDIRECT("'My Loans'!$F"&amp;'My Loans'!$O$14),B76+C76)))</f>
        <v>0</v>
      </c>
      <c r="E76" s="13">
        <f ca="1">IF(A76=1,IF(OR('My Loans'!$O$15="",'My Loans'!$O$15=0),0,INDIRECT("'My Loans'!$D"&amp;'My Loans'!$O$15)),AJ75)</f>
        <v>0</v>
      </c>
      <c r="F76" s="13">
        <f ca="1">IF(OR('My Loans'!$O$15="",'My Loans'!$O$15=0),0,E76*INDIRECT("'My Loans'!$E"&amp;'My Loans'!$O$15)/12)</f>
        <v>0</v>
      </c>
      <c r="G76" s="13">
        <f ca="1">IF(OR('My Loans'!$O$15="",'My Loans'!$O$15=0),0,IF(E76&lt;0.005,0,MIN(INDIRECT("'My Loans'!$F"&amp;'My Loans'!$O$15),E76+F76)))</f>
        <v>0</v>
      </c>
      <c r="H76" s="13">
        <f ca="1">IF(A76=1,IF(OR('My Loans'!$O$16="",'My Loans'!$O$16=0),0,INDIRECT("'My Loans'!$D"&amp;'My Loans'!$O$16)),AO75)</f>
        <v>0</v>
      </c>
      <c r="I76" s="13">
        <f ca="1">IF(OR('My Loans'!$O$16="",'My Loans'!$O$16=0),0,H76*INDIRECT("'My Loans'!$E"&amp;'My Loans'!$O$16)/12)</f>
        <v>0</v>
      </c>
      <c r="J76" s="13">
        <f ca="1">IF(OR('My Loans'!$O$16="",'My Loans'!$O$16=0),0,IF(H76&lt;0.005,0,MIN(INDIRECT("'My Loans'!$F"&amp;'My Loans'!$O$16),H76+I76)))</f>
        <v>0</v>
      </c>
      <c r="K76" s="13">
        <f ca="1">IF(A76=1,IF(OR('My Loans'!$O$17="",'My Loans'!$O$17=0),0,INDIRECT("'My Loans'!$D"&amp;'My Loans'!$O$17)),AT75)</f>
        <v>0</v>
      </c>
      <c r="L76" s="13">
        <f ca="1">IF(OR('My Loans'!$O$17="",'My Loans'!$O$17=0),0,K76*INDIRECT("'My Loans'!$E"&amp;'My Loans'!$O$17)/12)</f>
        <v>0</v>
      </c>
      <c r="M76" s="13">
        <f ca="1">IF(OR('My Loans'!$O$17="",'My Loans'!$O$17=0),0,IF(K76&lt;0.005,0,MIN(INDIRECT("'My Loans'!$F"&amp;'My Loans'!$O$17),K76+L76)))</f>
        <v>0</v>
      </c>
      <c r="N76" s="13">
        <f ca="1">IF(A76=1,IF(OR('My Loans'!$O$18="",'My Loans'!$O$18=0),0,INDIRECT("'My Loans'!$D"&amp;'My Loans'!$O$18)),AY75)</f>
        <v>0</v>
      </c>
      <c r="O76" s="13">
        <f ca="1">IF(OR('My Loans'!$O$18="",'My Loans'!$O$18=0),0,N76*INDIRECT("'My Loans'!$E"&amp;'My Loans'!$O$18)/12)</f>
        <v>0</v>
      </c>
      <c r="P76" s="13">
        <f ca="1">IF(OR('My Loans'!$O$18="",'My Loans'!$O$18=0),0,IF(N76&lt;0.005,0,MIN(INDIRECT("'My Loans'!$F"&amp;'My Loans'!$O$18),N76+O76)))</f>
        <v>0</v>
      </c>
      <c r="Q76" s="13">
        <f ca="1">IF(A76=1,IF(OR('My Loans'!$O$19="",'My Loans'!$O$19=0),0,INDIRECT("'My Loans'!$D"&amp;'My Loans'!$O$19)),BD75)</f>
        <v>0</v>
      </c>
      <c r="R76" s="13">
        <f ca="1">IF(OR('My Loans'!$O$19="",'My Loans'!$O$19=0),0,Q76*INDIRECT("'My Loans'!$E"&amp;'My Loans'!$O$19)/12)</f>
        <v>0</v>
      </c>
      <c r="S76" s="13">
        <f ca="1">IF(OR('My Loans'!$O$19="",'My Loans'!$O$19=0),0,IF(Q76&lt;0.005,0,MIN(INDIRECT("'My Loans'!$F"&amp;'My Loans'!$O$19),Q76+R76)))</f>
        <v>0</v>
      </c>
      <c r="T76" s="13">
        <f ca="1">IF(A76=1,IF(OR('My Loans'!$O$20="",'My Loans'!$O$20=0),0,INDIRECT("'My Loans'!$D"&amp;'My Loans'!$O$20)),BI75)</f>
        <v>0</v>
      </c>
      <c r="U76" s="13">
        <f ca="1">IF(OR('My Loans'!$O$20="",'My Loans'!$O$20=0),0,T76*INDIRECT("'My Loans'!$E"&amp;'My Loans'!$O$20)/12)</f>
        <v>0</v>
      </c>
      <c r="V76" s="13">
        <f ca="1">IF(OR('My Loans'!$O$20="",'My Loans'!$O$20=0),0,IF(T76&lt;0.005,0,MIN(INDIRECT("'My Loans'!$F"&amp;'My Loans'!$O$20),T76+U76)))</f>
        <v>0</v>
      </c>
      <c r="W76" s="13">
        <f ca="1">IF(A76=1,IF(OR('My Loans'!$O$21="",'My Loans'!$O$21=0),0,INDIRECT("'My Loans'!$D"&amp;'My Loans'!$O$21)),BN75)</f>
        <v>0</v>
      </c>
      <c r="X76" s="13">
        <f ca="1">IF(OR('My Loans'!$O$21="",'My Loans'!$O$21=0),0,W76*INDIRECT("'My Loans'!$E"&amp;'My Loans'!$O$21)/12)</f>
        <v>0</v>
      </c>
      <c r="Y76" s="13">
        <f ca="1">IF(OR('My Loans'!$O$21="",'My Loans'!$O$21=0),0,IF(W76&lt;0.005,0,MIN(INDIRECT("'My Loans'!$F"&amp;'My Loans'!$O$21),W76+X76)))</f>
        <v>0</v>
      </c>
      <c r="Z76" s="13">
        <f ca="1">'My Loans'!$B$13-(D76+G76+J76+M76+P76+S76+V76+Y76)</f>
        <v>1400</v>
      </c>
      <c r="AA76" s="13">
        <f t="shared" ca="1" si="86"/>
        <v>1400</v>
      </c>
      <c r="AB76" s="13">
        <f t="shared" ca="1" si="87"/>
        <v>0</v>
      </c>
      <c r="AC76" s="13">
        <f t="shared" ca="1" si="88"/>
        <v>0</v>
      </c>
      <c r="AD76" s="13">
        <f t="shared" ca="1" si="89"/>
        <v>0</v>
      </c>
      <c r="AE76" s="13">
        <f t="shared" ca="1" si="90"/>
        <v>0</v>
      </c>
      <c r="AF76" s="13">
        <f t="shared" ca="1" si="91"/>
        <v>1400</v>
      </c>
      <c r="AG76" s="13">
        <f t="shared" ca="1" si="92"/>
        <v>0</v>
      </c>
      <c r="AH76" s="13">
        <f t="shared" ca="1" si="93"/>
        <v>0</v>
      </c>
      <c r="AI76" s="13">
        <f t="shared" ca="1" si="94"/>
        <v>0</v>
      </c>
      <c r="AJ76" s="13">
        <f t="shared" ca="1" si="95"/>
        <v>0</v>
      </c>
      <c r="AK76" s="13">
        <f t="shared" ca="1" si="96"/>
        <v>1400</v>
      </c>
      <c r="AL76" s="13">
        <f t="shared" ca="1" si="97"/>
        <v>0</v>
      </c>
      <c r="AM76" s="13">
        <f t="shared" ca="1" si="98"/>
        <v>0</v>
      </c>
      <c r="AN76" s="13">
        <f t="shared" ca="1" si="99"/>
        <v>0</v>
      </c>
      <c r="AO76" s="13">
        <f t="shared" ca="1" si="100"/>
        <v>0</v>
      </c>
      <c r="AP76" s="13">
        <f t="shared" ca="1" si="101"/>
        <v>1400</v>
      </c>
      <c r="AQ76" s="13">
        <f t="shared" ca="1" si="102"/>
        <v>0</v>
      </c>
      <c r="AR76" s="13">
        <f t="shared" ca="1" si="103"/>
        <v>0</v>
      </c>
      <c r="AS76" s="13">
        <f t="shared" ca="1" si="104"/>
        <v>0</v>
      </c>
      <c r="AT76" s="13">
        <f t="shared" ca="1" si="105"/>
        <v>0</v>
      </c>
      <c r="AU76" s="13">
        <f t="shared" ca="1" si="106"/>
        <v>1400</v>
      </c>
      <c r="AV76" s="13">
        <f t="shared" ca="1" si="107"/>
        <v>0</v>
      </c>
      <c r="AW76" s="13">
        <f t="shared" ca="1" si="108"/>
        <v>0</v>
      </c>
      <c r="AX76" s="13">
        <f t="shared" ca="1" si="109"/>
        <v>0</v>
      </c>
      <c r="AY76" s="13">
        <f t="shared" ca="1" si="110"/>
        <v>0</v>
      </c>
      <c r="AZ76" s="13">
        <f t="shared" ca="1" si="111"/>
        <v>1400</v>
      </c>
      <c r="BA76" s="13">
        <f t="shared" ca="1" si="112"/>
        <v>0</v>
      </c>
      <c r="BB76" s="13">
        <f t="shared" ca="1" si="113"/>
        <v>0</v>
      </c>
      <c r="BC76" s="13">
        <f t="shared" ca="1" si="114"/>
        <v>0</v>
      </c>
      <c r="BD76" s="13">
        <f t="shared" ca="1" si="115"/>
        <v>0</v>
      </c>
      <c r="BE76" s="13">
        <f t="shared" ca="1" si="116"/>
        <v>1400</v>
      </c>
      <c r="BF76" s="13">
        <f t="shared" ca="1" si="117"/>
        <v>0</v>
      </c>
      <c r="BG76" s="13">
        <f t="shared" ca="1" si="118"/>
        <v>0</v>
      </c>
      <c r="BH76" s="13">
        <f t="shared" ca="1" si="119"/>
        <v>0</v>
      </c>
      <c r="BI76" s="13">
        <f t="shared" ca="1" si="120"/>
        <v>0</v>
      </c>
      <c r="BJ76" s="13">
        <f t="shared" ca="1" si="121"/>
        <v>1400</v>
      </c>
      <c r="BK76" s="13">
        <f t="shared" ca="1" si="122"/>
        <v>0</v>
      </c>
      <c r="BL76" s="13">
        <f t="shared" ca="1" si="123"/>
        <v>0</v>
      </c>
      <c r="BM76" s="13">
        <f t="shared" ca="1" si="124"/>
        <v>0</v>
      </c>
      <c r="BN76" s="13">
        <f t="shared" ca="1" si="125"/>
        <v>0</v>
      </c>
      <c r="BO76" s="13">
        <f t="shared" ca="1" si="126"/>
        <v>0</v>
      </c>
      <c r="BP76" s="13">
        <f t="shared" ca="1" si="127"/>
        <v>0</v>
      </c>
      <c r="BQ76" s="13">
        <f t="shared" ca="1" si="128"/>
        <v>0</v>
      </c>
    </row>
    <row r="77" spans="1:69" x14ac:dyDescent="0.25">
      <c r="A77" s="1">
        <v>76</v>
      </c>
      <c r="B77" s="13">
        <f ca="1">IF(A77=1,IF(OR('My Loans'!$O$14="",'My Loans'!$O$14=0),0,INDIRECT("'My Loans'!$D"&amp;'My Loans'!$O$14)),AE76)</f>
        <v>0</v>
      </c>
      <c r="C77" s="13">
        <f ca="1">IF(OR('My Loans'!$O$14="",'My Loans'!$O$14=0),0,B77*INDIRECT("'My Loans'!$E"&amp;'My Loans'!$O$14)/12)</f>
        <v>0</v>
      </c>
      <c r="D77" s="13">
        <f ca="1">IF(OR('My Loans'!$O$14="",'My Loans'!$O$14=0),0,IF(B77&lt;0.005,0,MIN(INDIRECT("'My Loans'!$F"&amp;'My Loans'!$O$14),B77+C77)))</f>
        <v>0</v>
      </c>
      <c r="E77" s="13">
        <f ca="1">IF(A77=1,IF(OR('My Loans'!$O$15="",'My Loans'!$O$15=0),0,INDIRECT("'My Loans'!$D"&amp;'My Loans'!$O$15)),AJ76)</f>
        <v>0</v>
      </c>
      <c r="F77" s="13">
        <f ca="1">IF(OR('My Loans'!$O$15="",'My Loans'!$O$15=0),0,E77*INDIRECT("'My Loans'!$E"&amp;'My Loans'!$O$15)/12)</f>
        <v>0</v>
      </c>
      <c r="G77" s="13">
        <f ca="1">IF(OR('My Loans'!$O$15="",'My Loans'!$O$15=0),0,IF(E77&lt;0.005,0,MIN(INDIRECT("'My Loans'!$F"&amp;'My Loans'!$O$15),E77+F77)))</f>
        <v>0</v>
      </c>
      <c r="H77" s="13">
        <f ca="1">IF(A77=1,IF(OR('My Loans'!$O$16="",'My Loans'!$O$16=0),0,INDIRECT("'My Loans'!$D"&amp;'My Loans'!$O$16)),AO76)</f>
        <v>0</v>
      </c>
      <c r="I77" s="13">
        <f ca="1">IF(OR('My Loans'!$O$16="",'My Loans'!$O$16=0),0,H77*INDIRECT("'My Loans'!$E"&amp;'My Loans'!$O$16)/12)</f>
        <v>0</v>
      </c>
      <c r="J77" s="13">
        <f ca="1">IF(OR('My Loans'!$O$16="",'My Loans'!$O$16=0),0,IF(H77&lt;0.005,0,MIN(INDIRECT("'My Loans'!$F"&amp;'My Loans'!$O$16),H77+I77)))</f>
        <v>0</v>
      </c>
      <c r="K77" s="13">
        <f ca="1">IF(A77=1,IF(OR('My Loans'!$O$17="",'My Loans'!$O$17=0),0,INDIRECT("'My Loans'!$D"&amp;'My Loans'!$O$17)),AT76)</f>
        <v>0</v>
      </c>
      <c r="L77" s="13">
        <f ca="1">IF(OR('My Loans'!$O$17="",'My Loans'!$O$17=0),0,K77*INDIRECT("'My Loans'!$E"&amp;'My Loans'!$O$17)/12)</f>
        <v>0</v>
      </c>
      <c r="M77" s="13">
        <f ca="1">IF(OR('My Loans'!$O$17="",'My Loans'!$O$17=0),0,IF(K77&lt;0.005,0,MIN(INDIRECT("'My Loans'!$F"&amp;'My Loans'!$O$17),K77+L77)))</f>
        <v>0</v>
      </c>
      <c r="N77" s="13">
        <f ca="1">IF(A77=1,IF(OR('My Loans'!$O$18="",'My Loans'!$O$18=0),0,INDIRECT("'My Loans'!$D"&amp;'My Loans'!$O$18)),AY76)</f>
        <v>0</v>
      </c>
      <c r="O77" s="13">
        <f ca="1">IF(OR('My Loans'!$O$18="",'My Loans'!$O$18=0),0,N77*INDIRECT("'My Loans'!$E"&amp;'My Loans'!$O$18)/12)</f>
        <v>0</v>
      </c>
      <c r="P77" s="13">
        <f ca="1">IF(OR('My Loans'!$O$18="",'My Loans'!$O$18=0),0,IF(N77&lt;0.005,0,MIN(INDIRECT("'My Loans'!$F"&amp;'My Loans'!$O$18),N77+O77)))</f>
        <v>0</v>
      </c>
      <c r="Q77" s="13">
        <f ca="1">IF(A77=1,IF(OR('My Loans'!$O$19="",'My Loans'!$O$19=0),0,INDIRECT("'My Loans'!$D"&amp;'My Loans'!$O$19)),BD76)</f>
        <v>0</v>
      </c>
      <c r="R77" s="13">
        <f ca="1">IF(OR('My Loans'!$O$19="",'My Loans'!$O$19=0),0,Q77*INDIRECT("'My Loans'!$E"&amp;'My Loans'!$O$19)/12)</f>
        <v>0</v>
      </c>
      <c r="S77" s="13">
        <f ca="1">IF(OR('My Loans'!$O$19="",'My Loans'!$O$19=0),0,IF(Q77&lt;0.005,0,MIN(INDIRECT("'My Loans'!$F"&amp;'My Loans'!$O$19),Q77+R77)))</f>
        <v>0</v>
      </c>
      <c r="T77" s="13">
        <f ca="1">IF(A77=1,IF(OR('My Loans'!$O$20="",'My Loans'!$O$20=0),0,INDIRECT("'My Loans'!$D"&amp;'My Loans'!$O$20)),BI76)</f>
        <v>0</v>
      </c>
      <c r="U77" s="13">
        <f ca="1">IF(OR('My Loans'!$O$20="",'My Loans'!$O$20=0),0,T77*INDIRECT("'My Loans'!$E"&amp;'My Loans'!$O$20)/12)</f>
        <v>0</v>
      </c>
      <c r="V77" s="13">
        <f ca="1">IF(OR('My Loans'!$O$20="",'My Loans'!$O$20=0),0,IF(T77&lt;0.005,0,MIN(INDIRECT("'My Loans'!$F"&amp;'My Loans'!$O$20),T77+U77)))</f>
        <v>0</v>
      </c>
      <c r="W77" s="13">
        <f ca="1">IF(A77=1,IF(OR('My Loans'!$O$21="",'My Loans'!$O$21=0),0,INDIRECT("'My Loans'!$D"&amp;'My Loans'!$O$21)),BN76)</f>
        <v>0</v>
      </c>
      <c r="X77" s="13">
        <f ca="1">IF(OR('My Loans'!$O$21="",'My Loans'!$O$21=0),0,W77*INDIRECT("'My Loans'!$E"&amp;'My Loans'!$O$21)/12)</f>
        <v>0</v>
      </c>
      <c r="Y77" s="13">
        <f ca="1">IF(OR('My Loans'!$O$21="",'My Loans'!$O$21=0),0,IF(W77&lt;0.005,0,MIN(INDIRECT("'My Loans'!$F"&amp;'My Loans'!$O$21),W77+X77)))</f>
        <v>0</v>
      </c>
      <c r="Z77" s="13">
        <f ca="1">'My Loans'!$B$13-(D77+G77+J77+M77+P77+S77+V77+Y77)</f>
        <v>1400</v>
      </c>
      <c r="AA77" s="13">
        <f t="shared" ca="1" si="86"/>
        <v>1400</v>
      </c>
      <c r="AB77" s="13">
        <f t="shared" ca="1" si="87"/>
        <v>0</v>
      </c>
      <c r="AC77" s="13">
        <f t="shared" ca="1" si="88"/>
        <v>0</v>
      </c>
      <c r="AD77" s="13">
        <f t="shared" ca="1" si="89"/>
        <v>0</v>
      </c>
      <c r="AE77" s="13">
        <f t="shared" ca="1" si="90"/>
        <v>0</v>
      </c>
      <c r="AF77" s="13">
        <f t="shared" ca="1" si="91"/>
        <v>1400</v>
      </c>
      <c r="AG77" s="13">
        <f t="shared" ca="1" si="92"/>
        <v>0</v>
      </c>
      <c r="AH77" s="13">
        <f t="shared" ca="1" si="93"/>
        <v>0</v>
      </c>
      <c r="AI77" s="13">
        <f t="shared" ca="1" si="94"/>
        <v>0</v>
      </c>
      <c r="AJ77" s="13">
        <f t="shared" ca="1" si="95"/>
        <v>0</v>
      </c>
      <c r="AK77" s="13">
        <f t="shared" ca="1" si="96"/>
        <v>1400</v>
      </c>
      <c r="AL77" s="13">
        <f t="shared" ca="1" si="97"/>
        <v>0</v>
      </c>
      <c r="AM77" s="13">
        <f t="shared" ca="1" si="98"/>
        <v>0</v>
      </c>
      <c r="AN77" s="13">
        <f t="shared" ca="1" si="99"/>
        <v>0</v>
      </c>
      <c r="AO77" s="13">
        <f t="shared" ca="1" si="100"/>
        <v>0</v>
      </c>
      <c r="AP77" s="13">
        <f t="shared" ca="1" si="101"/>
        <v>1400</v>
      </c>
      <c r="AQ77" s="13">
        <f t="shared" ca="1" si="102"/>
        <v>0</v>
      </c>
      <c r="AR77" s="13">
        <f t="shared" ca="1" si="103"/>
        <v>0</v>
      </c>
      <c r="AS77" s="13">
        <f t="shared" ca="1" si="104"/>
        <v>0</v>
      </c>
      <c r="AT77" s="13">
        <f t="shared" ca="1" si="105"/>
        <v>0</v>
      </c>
      <c r="AU77" s="13">
        <f t="shared" ca="1" si="106"/>
        <v>1400</v>
      </c>
      <c r="AV77" s="13">
        <f t="shared" ca="1" si="107"/>
        <v>0</v>
      </c>
      <c r="AW77" s="13">
        <f t="shared" ca="1" si="108"/>
        <v>0</v>
      </c>
      <c r="AX77" s="13">
        <f t="shared" ca="1" si="109"/>
        <v>0</v>
      </c>
      <c r="AY77" s="13">
        <f t="shared" ca="1" si="110"/>
        <v>0</v>
      </c>
      <c r="AZ77" s="13">
        <f t="shared" ca="1" si="111"/>
        <v>1400</v>
      </c>
      <c r="BA77" s="13">
        <f t="shared" ca="1" si="112"/>
        <v>0</v>
      </c>
      <c r="BB77" s="13">
        <f t="shared" ca="1" si="113"/>
        <v>0</v>
      </c>
      <c r="BC77" s="13">
        <f t="shared" ca="1" si="114"/>
        <v>0</v>
      </c>
      <c r="BD77" s="13">
        <f t="shared" ca="1" si="115"/>
        <v>0</v>
      </c>
      <c r="BE77" s="13">
        <f t="shared" ca="1" si="116"/>
        <v>1400</v>
      </c>
      <c r="BF77" s="13">
        <f t="shared" ca="1" si="117"/>
        <v>0</v>
      </c>
      <c r="BG77" s="13">
        <f t="shared" ca="1" si="118"/>
        <v>0</v>
      </c>
      <c r="BH77" s="13">
        <f t="shared" ca="1" si="119"/>
        <v>0</v>
      </c>
      <c r="BI77" s="13">
        <f t="shared" ca="1" si="120"/>
        <v>0</v>
      </c>
      <c r="BJ77" s="13">
        <f t="shared" ca="1" si="121"/>
        <v>1400</v>
      </c>
      <c r="BK77" s="13">
        <f t="shared" ca="1" si="122"/>
        <v>0</v>
      </c>
      <c r="BL77" s="13">
        <f t="shared" ca="1" si="123"/>
        <v>0</v>
      </c>
      <c r="BM77" s="13">
        <f t="shared" ca="1" si="124"/>
        <v>0</v>
      </c>
      <c r="BN77" s="13">
        <f t="shared" ca="1" si="125"/>
        <v>0</v>
      </c>
      <c r="BO77" s="13">
        <f t="shared" ca="1" si="126"/>
        <v>0</v>
      </c>
      <c r="BP77" s="13">
        <f t="shared" ca="1" si="127"/>
        <v>0</v>
      </c>
      <c r="BQ77" s="13">
        <f t="shared" ca="1" si="128"/>
        <v>0</v>
      </c>
    </row>
    <row r="78" spans="1:69" x14ac:dyDescent="0.25">
      <c r="A78" s="1">
        <v>77</v>
      </c>
      <c r="B78" s="13">
        <f ca="1">IF(A78=1,IF(OR('My Loans'!$O$14="",'My Loans'!$O$14=0),0,INDIRECT("'My Loans'!$D"&amp;'My Loans'!$O$14)),AE77)</f>
        <v>0</v>
      </c>
      <c r="C78" s="13">
        <f ca="1">IF(OR('My Loans'!$O$14="",'My Loans'!$O$14=0),0,B78*INDIRECT("'My Loans'!$E"&amp;'My Loans'!$O$14)/12)</f>
        <v>0</v>
      </c>
      <c r="D78" s="13">
        <f ca="1">IF(OR('My Loans'!$O$14="",'My Loans'!$O$14=0),0,IF(B78&lt;0.005,0,MIN(INDIRECT("'My Loans'!$F"&amp;'My Loans'!$O$14),B78+C78)))</f>
        <v>0</v>
      </c>
      <c r="E78" s="13">
        <f ca="1">IF(A78=1,IF(OR('My Loans'!$O$15="",'My Loans'!$O$15=0),0,INDIRECT("'My Loans'!$D"&amp;'My Loans'!$O$15)),AJ77)</f>
        <v>0</v>
      </c>
      <c r="F78" s="13">
        <f ca="1">IF(OR('My Loans'!$O$15="",'My Loans'!$O$15=0),0,E78*INDIRECT("'My Loans'!$E"&amp;'My Loans'!$O$15)/12)</f>
        <v>0</v>
      </c>
      <c r="G78" s="13">
        <f ca="1">IF(OR('My Loans'!$O$15="",'My Loans'!$O$15=0),0,IF(E78&lt;0.005,0,MIN(INDIRECT("'My Loans'!$F"&amp;'My Loans'!$O$15),E78+F78)))</f>
        <v>0</v>
      </c>
      <c r="H78" s="13">
        <f ca="1">IF(A78=1,IF(OR('My Loans'!$O$16="",'My Loans'!$O$16=0),0,INDIRECT("'My Loans'!$D"&amp;'My Loans'!$O$16)),AO77)</f>
        <v>0</v>
      </c>
      <c r="I78" s="13">
        <f ca="1">IF(OR('My Loans'!$O$16="",'My Loans'!$O$16=0),0,H78*INDIRECT("'My Loans'!$E"&amp;'My Loans'!$O$16)/12)</f>
        <v>0</v>
      </c>
      <c r="J78" s="13">
        <f ca="1">IF(OR('My Loans'!$O$16="",'My Loans'!$O$16=0),0,IF(H78&lt;0.005,0,MIN(INDIRECT("'My Loans'!$F"&amp;'My Loans'!$O$16),H78+I78)))</f>
        <v>0</v>
      </c>
      <c r="K78" s="13">
        <f ca="1">IF(A78=1,IF(OR('My Loans'!$O$17="",'My Loans'!$O$17=0),0,INDIRECT("'My Loans'!$D"&amp;'My Loans'!$O$17)),AT77)</f>
        <v>0</v>
      </c>
      <c r="L78" s="13">
        <f ca="1">IF(OR('My Loans'!$O$17="",'My Loans'!$O$17=0),0,K78*INDIRECT("'My Loans'!$E"&amp;'My Loans'!$O$17)/12)</f>
        <v>0</v>
      </c>
      <c r="M78" s="13">
        <f ca="1">IF(OR('My Loans'!$O$17="",'My Loans'!$O$17=0),0,IF(K78&lt;0.005,0,MIN(INDIRECT("'My Loans'!$F"&amp;'My Loans'!$O$17),K78+L78)))</f>
        <v>0</v>
      </c>
      <c r="N78" s="13">
        <f ca="1">IF(A78=1,IF(OR('My Loans'!$O$18="",'My Loans'!$O$18=0),0,INDIRECT("'My Loans'!$D"&amp;'My Loans'!$O$18)),AY77)</f>
        <v>0</v>
      </c>
      <c r="O78" s="13">
        <f ca="1">IF(OR('My Loans'!$O$18="",'My Loans'!$O$18=0),0,N78*INDIRECT("'My Loans'!$E"&amp;'My Loans'!$O$18)/12)</f>
        <v>0</v>
      </c>
      <c r="P78" s="13">
        <f ca="1">IF(OR('My Loans'!$O$18="",'My Loans'!$O$18=0),0,IF(N78&lt;0.005,0,MIN(INDIRECT("'My Loans'!$F"&amp;'My Loans'!$O$18),N78+O78)))</f>
        <v>0</v>
      </c>
      <c r="Q78" s="13">
        <f ca="1">IF(A78=1,IF(OR('My Loans'!$O$19="",'My Loans'!$O$19=0),0,INDIRECT("'My Loans'!$D"&amp;'My Loans'!$O$19)),BD77)</f>
        <v>0</v>
      </c>
      <c r="R78" s="13">
        <f ca="1">IF(OR('My Loans'!$O$19="",'My Loans'!$O$19=0),0,Q78*INDIRECT("'My Loans'!$E"&amp;'My Loans'!$O$19)/12)</f>
        <v>0</v>
      </c>
      <c r="S78" s="13">
        <f ca="1">IF(OR('My Loans'!$O$19="",'My Loans'!$O$19=0),0,IF(Q78&lt;0.005,0,MIN(INDIRECT("'My Loans'!$F"&amp;'My Loans'!$O$19),Q78+R78)))</f>
        <v>0</v>
      </c>
      <c r="T78" s="13">
        <f ca="1">IF(A78=1,IF(OR('My Loans'!$O$20="",'My Loans'!$O$20=0),0,INDIRECT("'My Loans'!$D"&amp;'My Loans'!$O$20)),BI77)</f>
        <v>0</v>
      </c>
      <c r="U78" s="13">
        <f ca="1">IF(OR('My Loans'!$O$20="",'My Loans'!$O$20=0),0,T78*INDIRECT("'My Loans'!$E"&amp;'My Loans'!$O$20)/12)</f>
        <v>0</v>
      </c>
      <c r="V78" s="13">
        <f ca="1">IF(OR('My Loans'!$O$20="",'My Loans'!$O$20=0),0,IF(T78&lt;0.005,0,MIN(INDIRECT("'My Loans'!$F"&amp;'My Loans'!$O$20),T78+U78)))</f>
        <v>0</v>
      </c>
      <c r="W78" s="13">
        <f ca="1">IF(A78=1,IF(OR('My Loans'!$O$21="",'My Loans'!$O$21=0),0,INDIRECT("'My Loans'!$D"&amp;'My Loans'!$O$21)),BN77)</f>
        <v>0</v>
      </c>
      <c r="X78" s="13">
        <f ca="1">IF(OR('My Loans'!$O$21="",'My Loans'!$O$21=0),0,W78*INDIRECT("'My Loans'!$E"&amp;'My Loans'!$O$21)/12)</f>
        <v>0</v>
      </c>
      <c r="Y78" s="13">
        <f ca="1">IF(OR('My Loans'!$O$21="",'My Loans'!$O$21=0),0,IF(W78&lt;0.005,0,MIN(INDIRECT("'My Loans'!$F"&amp;'My Loans'!$O$21),W78+X78)))</f>
        <v>0</v>
      </c>
      <c r="Z78" s="13">
        <f ca="1">'My Loans'!$B$13-(D78+G78+J78+M78+P78+S78+V78+Y78)</f>
        <v>1400</v>
      </c>
      <c r="AA78" s="13">
        <f t="shared" ca="1" si="86"/>
        <v>1400</v>
      </c>
      <c r="AB78" s="13">
        <f t="shared" ca="1" si="87"/>
        <v>0</v>
      </c>
      <c r="AC78" s="13">
        <f t="shared" ca="1" si="88"/>
        <v>0</v>
      </c>
      <c r="AD78" s="13">
        <f t="shared" ca="1" si="89"/>
        <v>0</v>
      </c>
      <c r="AE78" s="13">
        <f t="shared" ca="1" si="90"/>
        <v>0</v>
      </c>
      <c r="AF78" s="13">
        <f t="shared" ca="1" si="91"/>
        <v>1400</v>
      </c>
      <c r="AG78" s="13">
        <f t="shared" ca="1" si="92"/>
        <v>0</v>
      </c>
      <c r="AH78" s="13">
        <f t="shared" ca="1" si="93"/>
        <v>0</v>
      </c>
      <c r="AI78" s="13">
        <f t="shared" ca="1" si="94"/>
        <v>0</v>
      </c>
      <c r="AJ78" s="13">
        <f t="shared" ca="1" si="95"/>
        <v>0</v>
      </c>
      <c r="AK78" s="13">
        <f t="shared" ca="1" si="96"/>
        <v>1400</v>
      </c>
      <c r="AL78" s="13">
        <f t="shared" ca="1" si="97"/>
        <v>0</v>
      </c>
      <c r="AM78" s="13">
        <f t="shared" ca="1" si="98"/>
        <v>0</v>
      </c>
      <c r="AN78" s="13">
        <f t="shared" ca="1" si="99"/>
        <v>0</v>
      </c>
      <c r="AO78" s="13">
        <f t="shared" ca="1" si="100"/>
        <v>0</v>
      </c>
      <c r="AP78" s="13">
        <f t="shared" ca="1" si="101"/>
        <v>1400</v>
      </c>
      <c r="AQ78" s="13">
        <f t="shared" ca="1" si="102"/>
        <v>0</v>
      </c>
      <c r="AR78" s="13">
        <f t="shared" ca="1" si="103"/>
        <v>0</v>
      </c>
      <c r="AS78" s="13">
        <f t="shared" ca="1" si="104"/>
        <v>0</v>
      </c>
      <c r="AT78" s="13">
        <f t="shared" ca="1" si="105"/>
        <v>0</v>
      </c>
      <c r="AU78" s="13">
        <f t="shared" ca="1" si="106"/>
        <v>1400</v>
      </c>
      <c r="AV78" s="13">
        <f t="shared" ca="1" si="107"/>
        <v>0</v>
      </c>
      <c r="AW78" s="13">
        <f t="shared" ca="1" si="108"/>
        <v>0</v>
      </c>
      <c r="AX78" s="13">
        <f t="shared" ca="1" si="109"/>
        <v>0</v>
      </c>
      <c r="AY78" s="13">
        <f t="shared" ca="1" si="110"/>
        <v>0</v>
      </c>
      <c r="AZ78" s="13">
        <f t="shared" ca="1" si="111"/>
        <v>1400</v>
      </c>
      <c r="BA78" s="13">
        <f t="shared" ca="1" si="112"/>
        <v>0</v>
      </c>
      <c r="BB78" s="13">
        <f t="shared" ca="1" si="113"/>
        <v>0</v>
      </c>
      <c r="BC78" s="13">
        <f t="shared" ca="1" si="114"/>
        <v>0</v>
      </c>
      <c r="BD78" s="13">
        <f t="shared" ca="1" si="115"/>
        <v>0</v>
      </c>
      <c r="BE78" s="13">
        <f t="shared" ca="1" si="116"/>
        <v>1400</v>
      </c>
      <c r="BF78" s="13">
        <f t="shared" ca="1" si="117"/>
        <v>0</v>
      </c>
      <c r="BG78" s="13">
        <f t="shared" ca="1" si="118"/>
        <v>0</v>
      </c>
      <c r="BH78" s="13">
        <f t="shared" ca="1" si="119"/>
        <v>0</v>
      </c>
      <c r="BI78" s="13">
        <f t="shared" ca="1" si="120"/>
        <v>0</v>
      </c>
      <c r="BJ78" s="13">
        <f t="shared" ca="1" si="121"/>
        <v>1400</v>
      </c>
      <c r="BK78" s="13">
        <f t="shared" ca="1" si="122"/>
        <v>0</v>
      </c>
      <c r="BL78" s="13">
        <f t="shared" ca="1" si="123"/>
        <v>0</v>
      </c>
      <c r="BM78" s="13">
        <f t="shared" ca="1" si="124"/>
        <v>0</v>
      </c>
      <c r="BN78" s="13">
        <f t="shared" ca="1" si="125"/>
        <v>0</v>
      </c>
      <c r="BO78" s="13">
        <f t="shared" ca="1" si="126"/>
        <v>0</v>
      </c>
      <c r="BP78" s="13">
        <f t="shared" ca="1" si="127"/>
        <v>0</v>
      </c>
      <c r="BQ78" s="13">
        <f t="shared" ca="1" si="128"/>
        <v>0</v>
      </c>
    </row>
    <row r="79" spans="1:69" x14ac:dyDescent="0.25">
      <c r="A79" s="1">
        <v>78</v>
      </c>
      <c r="B79" s="13">
        <f ca="1">IF(A79=1,IF(OR('My Loans'!$O$14="",'My Loans'!$O$14=0),0,INDIRECT("'My Loans'!$D"&amp;'My Loans'!$O$14)),AE78)</f>
        <v>0</v>
      </c>
      <c r="C79" s="13">
        <f ca="1">IF(OR('My Loans'!$O$14="",'My Loans'!$O$14=0),0,B79*INDIRECT("'My Loans'!$E"&amp;'My Loans'!$O$14)/12)</f>
        <v>0</v>
      </c>
      <c r="D79" s="13">
        <f ca="1">IF(OR('My Loans'!$O$14="",'My Loans'!$O$14=0),0,IF(B79&lt;0.005,0,MIN(INDIRECT("'My Loans'!$F"&amp;'My Loans'!$O$14),B79+C79)))</f>
        <v>0</v>
      </c>
      <c r="E79" s="13">
        <f ca="1">IF(A79=1,IF(OR('My Loans'!$O$15="",'My Loans'!$O$15=0),0,INDIRECT("'My Loans'!$D"&amp;'My Loans'!$O$15)),AJ78)</f>
        <v>0</v>
      </c>
      <c r="F79" s="13">
        <f ca="1">IF(OR('My Loans'!$O$15="",'My Loans'!$O$15=0),0,E79*INDIRECT("'My Loans'!$E"&amp;'My Loans'!$O$15)/12)</f>
        <v>0</v>
      </c>
      <c r="G79" s="13">
        <f ca="1">IF(OR('My Loans'!$O$15="",'My Loans'!$O$15=0),0,IF(E79&lt;0.005,0,MIN(INDIRECT("'My Loans'!$F"&amp;'My Loans'!$O$15),E79+F79)))</f>
        <v>0</v>
      </c>
      <c r="H79" s="13">
        <f ca="1">IF(A79=1,IF(OR('My Loans'!$O$16="",'My Loans'!$O$16=0),0,INDIRECT("'My Loans'!$D"&amp;'My Loans'!$O$16)),AO78)</f>
        <v>0</v>
      </c>
      <c r="I79" s="13">
        <f ca="1">IF(OR('My Loans'!$O$16="",'My Loans'!$O$16=0),0,H79*INDIRECT("'My Loans'!$E"&amp;'My Loans'!$O$16)/12)</f>
        <v>0</v>
      </c>
      <c r="J79" s="13">
        <f ca="1">IF(OR('My Loans'!$O$16="",'My Loans'!$O$16=0),0,IF(H79&lt;0.005,0,MIN(INDIRECT("'My Loans'!$F"&amp;'My Loans'!$O$16),H79+I79)))</f>
        <v>0</v>
      </c>
      <c r="K79" s="13">
        <f ca="1">IF(A79=1,IF(OR('My Loans'!$O$17="",'My Loans'!$O$17=0),0,INDIRECT("'My Loans'!$D"&amp;'My Loans'!$O$17)),AT78)</f>
        <v>0</v>
      </c>
      <c r="L79" s="13">
        <f ca="1">IF(OR('My Loans'!$O$17="",'My Loans'!$O$17=0),0,K79*INDIRECT("'My Loans'!$E"&amp;'My Loans'!$O$17)/12)</f>
        <v>0</v>
      </c>
      <c r="M79" s="13">
        <f ca="1">IF(OR('My Loans'!$O$17="",'My Loans'!$O$17=0),0,IF(K79&lt;0.005,0,MIN(INDIRECT("'My Loans'!$F"&amp;'My Loans'!$O$17),K79+L79)))</f>
        <v>0</v>
      </c>
      <c r="N79" s="13">
        <f ca="1">IF(A79=1,IF(OR('My Loans'!$O$18="",'My Loans'!$O$18=0),0,INDIRECT("'My Loans'!$D"&amp;'My Loans'!$O$18)),AY78)</f>
        <v>0</v>
      </c>
      <c r="O79" s="13">
        <f ca="1">IF(OR('My Loans'!$O$18="",'My Loans'!$O$18=0),0,N79*INDIRECT("'My Loans'!$E"&amp;'My Loans'!$O$18)/12)</f>
        <v>0</v>
      </c>
      <c r="P79" s="13">
        <f ca="1">IF(OR('My Loans'!$O$18="",'My Loans'!$O$18=0),0,IF(N79&lt;0.005,0,MIN(INDIRECT("'My Loans'!$F"&amp;'My Loans'!$O$18),N79+O79)))</f>
        <v>0</v>
      </c>
      <c r="Q79" s="13">
        <f ca="1">IF(A79=1,IF(OR('My Loans'!$O$19="",'My Loans'!$O$19=0),0,INDIRECT("'My Loans'!$D"&amp;'My Loans'!$O$19)),BD78)</f>
        <v>0</v>
      </c>
      <c r="R79" s="13">
        <f ca="1">IF(OR('My Loans'!$O$19="",'My Loans'!$O$19=0),0,Q79*INDIRECT("'My Loans'!$E"&amp;'My Loans'!$O$19)/12)</f>
        <v>0</v>
      </c>
      <c r="S79" s="13">
        <f ca="1">IF(OR('My Loans'!$O$19="",'My Loans'!$O$19=0),0,IF(Q79&lt;0.005,0,MIN(INDIRECT("'My Loans'!$F"&amp;'My Loans'!$O$19),Q79+R79)))</f>
        <v>0</v>
      </c>
      <c r="T79" s="13">
        <f ca="1">IF(A79=1,IF(OR('My Loans'!$O$20="",'My Loans'!$O$20=0),0,INDIRECT("'My Loans'!$D"&amp;'My Loans'!$O$20)),BI78)</f>
        <v>0</v>
      </c>
      <c r="U79" s="13">
        <f ca="1">IF(OR('My Loans'!$O$20="",'My Loans'!$O$20=0),0,T79*INDIRECT("'My Loans'!$E"&amp;'My Loans'!$O$20)/12)</f>
        <v>0</v>
      </c>
      <c r="V79" s="13">
        <f ca="1">IF(OR('My Loans'!$O$20="",'My Loans'!$O$20=0),0,IF(T79&lt;0.005,0,MIN(INDIRECT("'My Loans'!$F"&amp;'My Loans'!$O$20),T79+U79)))</f>
        <v>0</v>
      </c>
      <c r="W79" s="13">
        <f ca="1">IF(A79=1,IF(OR('My Loans'!$O$21="",'My Loans'!$O$21=0),0,INDIRECT("'My Loans'!$D"&amp;'My Loans'!$O$21)),BN78)</f>
        <v>0</v>
      </c>
      <c r="X79" s="13">
        <f ca="1">IF(OR('My Loans'!$O$21="",'My Loans'!$O$21=0),0,W79*INDIRECT("'My Loans'!$E"&amp;'My Loans'!$O$21)/12)</f>
        <v>0</v>
      </c>
      <c r="Y79" s="13">
        <f ca="1">IF(OR('My Loans'!$O$21="",'My Loans'!$O$21=0),0,IF(W79&lt;0.005,0,MIN(INDIRECT("'My Loans'!$F"&amp;'My Loans'!$O$21),W79+X79)))</f>
        <v>0</v>
      </c>
      <c r="Z79" s="13">
        <f ca="1">'My Loans'!$B$13-(D79+G79+J79+M79+P79+S79+V79+Y79)</f>
        <v>1400</v>
      </c>
      <c r="AA79" s="13">
        <f t="shared" ca="1" si="86"/>
        <v>1400</v>
      </c>
      <c r="AB79" s="13">
        <f t="shared" ca="1" si="87"/>
        <v>0</v>
      </c>
      <c r="AC79" s="13">
        <f t="shared" ca="1" si="88"/>
        <v>0</v>
      </c>
      <c r="AD79" s="13">
        <f t="shared" ca="1" si="89"/>
        <v>0</v>
      </c>
      <c r="AE79" s="13">
        <f t="shared" ca="1" si="90"/>
        <v>0</v>
      </c>
      <c r="AF79" s="13">
        <f t="shared" ca="1" si="91"/>
        <v>1400</v>
      </c>
      <c r="AG79" s="13">
        <f t="shared" ca="1" si="92"/>
        <v>0</v>
      </c>
      <c r="AH79" s="13">
        <f t="shared" ca="1" si="93"/>
        <v>0</v>
      </c>
      <c r="AI79" s="13">
        <f t="shared" ca="1" si="94"/>
        <v>0</v>
      </c>
      <c r="AJ79" s="13">
        <f t="shared" ca="1" si="95"/>
        <v>0</v>
      </c>
      <c r="AK79" s="13">
        <f t="shared" ca="1" si="96"/>
        <v>1400</v>
      </c>
      <c r="AL79" s="13">
        <f t="shared" ca="1" si="97"/>
        <v>0</v>
      </c>
      <c r="AM79" s="13">
        <f t="shared" ca="1" si="98"/>
        <v>0</v>
      </c>
      <c r="AN79" s="13">
        <f t="shared" ca="1" si="99"/>
        <v>0</v>
      </c>
      <c r="AO79" s="13">
        <f t="shared" ca="1" si="100"/>
        <v>0</v>
      </c>
      <c r="AP79" s="13">
        <f t="shared" ca="1" si="101"/>
        <v>1400</v>
      </c>
      <c r="AQ79" s="13">
        <f t="shared" ca="1" si="102"/>
        <v>0</v>
      </c>
      <c r="AR79" s="13">
        <f t="shared" ca="1" si="103"/>
        <v>0</v>
      </c>
      <c r="AS79" s="13">
        <f t="shared" ca="1" si="104"/>
        <v>0</v>
      </c>
      <c r="AT79" s="13">
        <f t="shared" ca="1" si="105"/>
        <v>0</v>
      </c>
      <c r="AU79" s="13">
        <f t="shared" ca="1" si="106"/>
        <v>1400</v>
      </c>
      <c r="AV79" s="13">
        <f t="shared" ca="1" si="107"/>
        <v>0</v>
      </c>
      <c r="AW79" s="13">
        <f t="shared" ca="1" si="108"/>
        <v>0</v>
      </c>
      <c r="AX79" s="13">
        <f t="shared" ca="1" si="109"/>
        <v>0</v>
      </c>
      <c r="AY79" s="13">
        <f t="shared" ca="1" si="110"/>
        <v>0</v>
      </c>
      <c r="AZ79" s="13">
        <f t="shared" ca="1" si="111"/>
        <v>1400</v>
      </c>
      <c r="BA79" s="13">
        <f t="shared" ca="1" si="112"/>
        <v>0</v>
      </c>
      <c r="BB79" s="13">
        <f t="shared" ca="1" si="113"/>
        <v>0</v>
      </c>
      <c r="BC79" s="13">
        <f t="shared" ca="1" si="114"/>
        <v>0</v>
      </c>
      <c r="BD79" s="13">
        <f t="shared" ca="1" si="115"/>
        <v>0</v>
      </c>
      <c r="BE79" s="13">
        <f t="shared" ca="1" si="116"/>
        <v>1400</v>
      </c>
      <c r="BF79" s="13">
        <f t="shared" ca="1" si="117"/>
        <v>0</v>
      </c>
      <c r="BG79" s="13">
        <f t="shared" ca="1" si="118"/>
        <v>0</v>
      </c>
      <c r="BH79" s="13">
        <f t="shared" ca="1" si="119"/>
        <v>0</v>
      </c>
      <c r="BI79" s="13">
        <f t="shared" ca="1" si="120"/>
        <v>0</v>
      </c>
      <c r="BJ79" s="13">
        <f t="shared" ca="1" si="121"/>
        <v>1400</v>
      </c>
      <c r="BK79" s="13">
        <f t="shared" ca="1" si="122"/>
        <v>0</v>
      </c>
      <c r="BL79" s="13">
        <f t="shared" ca="1" si="123"/>
        <v>0</v>
      </c>
      <c r="BM79" s="13">
        <f t="shared" ca="1" si="124"/>
        <v>0</v>
      </c>
      <c r="BN79" s="13">
        <f t="shared" ca="1" si="125"/>
        <v>0</v>
      </c>
      <c r="BO79" s="13">
        <f t="shared" ca="1" si="126"/>
        <v>0</v>
      </c>
      <c r="BP79" s="13">
        <f t="shared" ca="1" si="127"/>
        <v>0</v>
      </c>
      <c r="BQ79" s="13">
        <f t="shared" ca="1" si="128"/>
        <v>0</v>
      </c>
    </row>
    <row r="80" spans="1:69" x14ac:dyDescent="0.25">
      <c r="A80" s="1">
        <v>79</v>
      </c>
      <c r="B80" s="13">
        <f ca="1">IF(A80=1,IF(OR('My Loans'!$O$14="",'My Loans'!$O$14=0),0,INDIRECT("'My Loans'!$D"&amp;'My Loans'!$O$14)),AE79)</f>
        <v>0</v>
      </c>
      <c r="C80" s="13">
        <f ca="1">IF(OR('My Loans'!$O$14="",'My Loans'!$O$14=0),0,B80*INDIRECT("'My Loans'!$E"&amp;'My Loans'!$O$14)/12)</f>
        <v>0</v>
      </c>
      <c r="D80" s="13">
        <f ca="1">IF(OR('My Loans'!$O$14="",'My Loans'!$O$14=0),0,IF(B80&lt;0.005,0,MIN(INDIRECT("'My Loans'!$F"&amp;'My Loans'!$O$14),B80+C80)))</f>
        <v>0</v>
      </c>
      <c r="E80" s="13">
        <f ca="1">IF(A80=1,IF(OR('My Loans'!$O$15="",'My Loans'!$O$15=0),0,INDIRECT("'My Loans'!$D"&amp;'My Loans'!$O$15)),AJ79)</f>
        <v>0</v>
      </c>
      <c r="F80" s="13">
        <f ca="1">IF(OR('My Loans'!$O$15="",'My Loans'!$O$15=0),0,E80*INDIRECT("'My Loans'!$E"&amp;'My Loans'!$O$15)/12)</f>
        <v>0</v>
      </c>
      <c r="G80" s="13">
        <f ca="1">IF(OR('My Loans'!$O$15="",'My Loans'!$O$15=0),0,IF(E80&lt;0.005,0,MIN(INDIRECT("'My Loans'!$F"&amp;'My Loans'!$O$15),E80+F80)))</f>
        <v>0</v>
      </c>
      <c r="H80" s="13">
        <f ca="1">IF(A80=1,IF(OR('My Loans'!$O$16="",'My Loans'!$O$16=0),0,INDIRECT("'My Loans'!$D"&amp;'My Loans'!$O$16)),AO79)</f>
        <v>0</v>
      </c>
      <c r="I80" s="13">
        <f ca="1">IF(OR('My Loans'!$O$16="",'My Loans'!$O$16=0),0,H80*INDIRECT("'My Loans'!$E"&amp;'My Loans'!$O$16)/12)</f>
        <v>0</v>
      </c>
      <c r="J80" s="13">
        <f ca="1">IF(OR('My Loans'!$O$16="",'My Loans'!$O$16=0),0,IF(H80&lt;0.005,0,MIN(INDIRECT("'My Loans'!$F"&amp;'My Loans'!$O$16),H80+I80)))</f>
        <v>0</v>
      </c>
      <c r="K80" s="13">
        <f ca="1">IF(A80=1,IF(OR('My Loans'!$O$17="",'My Loans'!$O$17=0),0,INDIRECT("'My Loans'!$D"&amp;'My Loans'!$O$17)),AT79)</f>
        <v>0</v>
      </c>
      <c r="L80" s="13">
        <f ca="1">IF(OR('My Loans'!$O$17="",'My Loans'!$O$17=0),0,K80*INDIRECT("'My Loans'!$E"&amp;'My Loans'!$O$17)/12)</f>
        <v>0</v>
      </c>
      <c r="M80" s="13">
        <f ca="1">IF(OR('My Loans'!$O$17="",'My Loans'!$O$17=0),0,IF(K80&lt;0.005,0,MIN(INDIRECT("'My Loans'!$F"&amp;'My Loans'!$O$17),K80+L80)))</f>
        <v>0</v>
      </c>
      <c r="N80" s="13">
        <f ca="1">IF(A80=1,IF(OR('My Loans'!$O$18="",'My Loans'!$O$18=0),0,INDIRECT("'My Loans'!$D"&amp;'My Loans'!$O$18)),AY79)</f>
        <v>0</v>
      </c>
      <c r="O80" s="13">
        <f ca="1">IF(OR('My Loans'!$O$18="",'My Loans'!$O$18=0),0,N80*INDIRECT("'My Loans'!$E"&amp;'My Loans'!$O$18)/12)</f>
        <v>0</v>
      </c>
      <c r="P80" s="13">
        <f ca="1">IF(OR('My Loans'!$O$18="",'My Loans'!$O$18=0),0,IF(N80&lt;0.005,0,MIN(INDIRECT("'My Loans'!$F"&amp;'My Loans'!$O$18),N80+O80)))</f>
        <v>0</v>
      </c>
      <c r="Q80" s="13">
        <f ca="1">IF(A80=1,IF(OR('My Loans'!$O$19="",'My Loans'!$O$19=0),0,INDIRECT("'My Loans'!$D"&amp;'My Loans'!$O$19)),BD79)</f>
        <v>0</v>
      </c>
      <c r="R80" s="13">
        <f ca="1">IF(OR('My Loans'!$O$19="",'My Loans'!$O$19=0),0,Q80*INDIRECT("'My Loans'!$E"&amp;'My Loans'!$O$19)/12)</f>
        <v>0</v>
      </c>
      <c r="S80" s="13">
        <f ca="1">IF(OR('My Loans'!$O$19="",'My Loans'!$O$19=0),0,IF(Q80&lt;0.005,0,MIN(INDIRECT("'My Loans'!$F"&amp;'My Loans'!$O$19),Q80+R80)))</f>
        <v>0</v>
      </c>
      <c r="T80" s="13">
        <f ca="1">IF(A80=1,IF(OR('My Loans'!$O$20="",'My Loans'!$O$20=0),0,INDIRECT("'My Loans'!$D"&amp;'My Loans'!$O$20)),BI79)</f>
        <v>0</v>
      </c>
      <c r="U80" s="13">
        <f ca="1">IF(OR('My Loans'!$O$20="",'My Loans'!$O$20=0),0,T80*INDIRECT("'My Loans'!$E"&amp;'My Loans'!$O$20)/12)</f>
        <v>0</v>
      </c>
      <c r="V80" s="13">
        <f ca="1">IF(OR('My Loans'!$O$20="",'My Loans'!$O$20=0),0,IF(T80&lt;0.005,0,MIN(INDIRECT("'My Loans'!$F"&amp;'My Loans'!$O$20),T80+U80)))</f>
        <v>0</v>
      </c>
      <c r="W80" s="13">
        <f ca="1">IF(A80=1,IF(OR('My Loans'!$O$21="",'My Loans'!$O$21=0),0,INDIRECT("'My Loans'!$D"&amp;'My Loans'!$O$21)),BN79)</f>
        <v>0</v>
      </c>
      <c r="X80" s="13">
        <f ca="1">IF(OR('My Loans'!$O$21="",'My Loans'!$O$21=0),0,W80*INDIRECT("'My Loans'!$E"&amp;'My Loans'!$O$21)/12)</f>
        <v>0</v>
      </c>
      <c r="Y80" s="13">
        <f ca="1">IF(OR('My Loans'!$O$21="",'My Loans'!$O$21=0),0,IF(W80&lt;0.005,0,MIN(INDIRECT("'My Loans'!$F"&amp;'My Loans'!$O$21),W80+X80)))</f>
        <v>0</v>
      </c>
      <c r="Z80" s="13">
        <f ca="1">'My Loans'!$B$13-(D80+G80+J80+M80+P80+S80+V80+Y80)</f>
        <v>1400</v>
      </c>
      <c r="AA80" s="13">
        <f t="shared" ca="1" si="86"/>
        <v>1400</v>
      </c>
      <c r="AB80" s="13">
        <f t="shared" ca="1" si="87"/>
        <v>0</v>
      </c>
      <c r="AC80" s="13">
        <f t="shared" ca="1" si="88"/>
        <v>0</v>
      </c>
      <c r="AD80" s="13">
        <f t="shared" ca="1" si="89"/>
        <v>0</v>
      </c>
      <c r="AE80" s="13">
        <f t="shared" ca="1" si="90"/>
        <v>0</v>
      </c>
      <c r="AF80" s="13">
        <f t="shared" ca="1" si="91"/>
        <v>1400</v>
      </c>
      <c r="AG80" s="13">
        <f t="shared" ca="1" si="92"/>
        <v>0</v>
      </c>
      <c r="AH80" s="13">
        <f t="shared" ca="1" si="93"/>
        <v>0</v>
      </c>
      <c r="AI80" s="13">
        <f t="shared" ca="1" si="94"/>
        <v>0</v>
      </c>
      <c r="AJ80" s="13">
        <f t="shared" ca="1" si="95"/>
        <v>0</v>
      </c>
      <c r="AK80" s="13">
        <f t="shared" ca="1" si="96"/>
        <v>1400</v>
      </c>
      <c r="AL80" s="13">
        <f t="shared" ca="1" si="97"/>
        <v>0</v>
      </c>
      <c r="AM80" s="13">
        <f t="shared" ca="1" si="98"/>
        <v>0</v>
      </c>
      <c r="AN80" s="13">
        <f t="shared" ca="1" si="99"/>
        <v>0</v>
      </c>
      <c r="AO80" s="13">
        <f t="shared" ca="1" si="100"/>
        <v>0</v>
      </c>
      <c r="AP80" s="13">
        <f t="shared" ca="1" si="101"/>
        <v>1400</v>
      </c>
      <c r="AQ80" s="13">
        <f t="shared" ca="1" si="102"/>
        <v>0</v>
      </c>
      <c r="AR80" s="13">
        <f t="shared" ca="1" si="103"/>
        <v>0</v>
      </c>
      <c r="AS80" s="13">
        <f t="shared" ca="1" si="104"/>
        <v>0</v>
      </c>
      <c r="AT80" s="13">
        <f t="shared" ca="1" si="105"/>
        <v>0</v>
      </c>
      <c r="AU80" s="13">
        <f t="shared" ca="1" si="106"/>
        <v>1400</v>
      </c>
      <c r="AV80" s="13">
        <f t="shared" ca="1" si="107"/>
        <v>0</v>
      </c>
      <c r="AW80" s="13">
        <f t="shared" ca="1" si="108"/>
        <v>0</v>
      </c>
      <c r="AX80" s="13">
        <f t="shared" ca="1" si="109"/>
        <v>0</v>
      </c>
      <c r="AY80" s="13">
        <f t="shared" ca="1" si="110"/>
        <v>0</v>
      </c>
      <c r="AZ80" s="13">
        <f t="shared" ca="1" si="111"/>
        <v>1400</v>
      </c>
      <c r="BA80" s="13">
        <f t="shared" ca="1" si="112"/>
        <v>0</v>
      </c>
      <c r="BB80" s="13">
        <f t="shared" ca="1" si="113"/>
        <v>0</v>
      </c>
      <c r="BC80" s="13">
        <f t="shared" ca="1" si="114"/>
        <v>0</v>
      </c>
      <c r="BD80" s="13">
        <f t="shared" ca="1" si="115"/>
        <v>0</v>
      </c>
      <c r="BE80" s="13">
        <f t="shared" ca="1" si="116"/>
        <v>1400</v>
      </c>
      <c r="BF80" s="13">
        <f t="shared" ca="1" si="117"/>
        <v>0</v>
      </c>
      <c r="BG80" s="13">
        <f t="shared" ca="1" si="118"/>
        <v>0</v>
      </c>
      <c r="BH80" s="13">
        <f t="shared" ca="1" si="119"/>
        <v>0</v>
      </c>
      <c r="BI80" s="13">
        <f t="shared" ca="1" si="120"/>
        <v>0</v>
      </c>
      <c r="BJ80" s="13">
        <f t="shared" ca="1" si="121"/>
        <v>1400</v>
      </c>
      <c r="BK80" s="13">
        <f t="shared" ca="1" si="122"/>
        <v>0</v>
      </c>
      <c r="BL80" s="13">
        <f t="shared" ca="1" si="123"/>
        <v>0</v>
      </c>
      <c r="BM80" s="13">
        <f t="shared" ca="1" si="124"/>
        <v>0</v>
      </c>
      <c r="BN80" s="13">
        <f t="shared" ca="1" si="125"/>
        <v>0</v>
      </c>
      <c r="BO80" s="13">
        <f t="shared" ca="1" si="126"/>
        <v>0</v>
      </c>
      <c r="BP80" s="13">
        <f t="shared" ca="1" si="127"/>
        <v>0</v>
      </c>
      <c r="BQ80" s="13">
        <f t="shared" ca="1" si="128"/>
        <v>0</v>
      </c>
    </row>
    <row r="81" spans="1:69" x14ac:dyDescent="0.25">
      <c r="A81" s="1">
        <v>80</v>
      </c>
      <c r="B81" s="13">
        <f ca="1">IF(A81=1,IF(OR('My Loans'!$O$14="",'My Loans'!$O$14=0),0,INDIRECT("'My Loans'!$D"&amp;'My Loans'!$O$14)),AE80)</f>
        <v>0</v>
      </c>
      <c r="C81" s="13">
        <f ca="1">IF(OR('My Loans'!$O$14="",'My Loans'!$O$14=0),0,B81*INDIRECT("'My Loans'!$E"&amp;'My Loans'!$O$14)/12)</f>
        <v>0</v>
      </c>
      <c r="D81" s="13">
        <f ca="1">IF(OR('My Loans'!$O$14="",'My Loans'!$O$14=0),0,IF(B81&lt;0.005,0,MIN(INDIRECT("'My Loans'!$F"&amp;'My Loans'!$O$14),B81+C81)))</f>
        <v>0</v>
      </c>
      <c r="E81" s="13">
        <f ca="1">IF(A81=1,IF(OR('My Loans'!$O$15="",'My Loans'!$O$15=0),0,INDIRECT("'My Loans'!$D"&amp;'My Loans'!$O$15)),AJ80)</f>
        <v>0</v>
      </c>
      <c r="F81" s="13">
        <f ca="1">IF(OR('My Loans'!$O$15="",'My Loans'!$O$15=0),0,E81*INDIRECT("'My Loans'!$E"&amp;'My Loans'!$O$15)/12)</f>
        <v>0</v>
      </c>
      <c r="G81" s="13">
        <f ca="1">IF(OR('My Loans'!$O$15="",'My Loans'!$O$15=0),0,IF(E81&lt;0.005,0,MIN(INDIRECT("'My Loans'!$F"&amp;'My Loans'!$O$15),E81+F81)))</f>
        <v>0</v>
      </c>
      <c r="H81" s="13">
        <f ca="1">IF(A81=1,IF(OR('My Loans'!$O$16="",'My Loans'!$O$16=0),0,INDIRECT("'My Loans'!$D"&amp;'My Loans'!$O$16)),AO80)</f>
        <v>0</v>
      </c>
      <c r="I81" s="13">
        <f ca="1">IF(OR('My Loans'!$O$16="",'My Loans'!$O$16=0),0,H81*INDIRECT("'My Loans'!$E"&amp;'My Loans'!$O$16)/12)</f>
        <v>0</v>
      </c>
      <c r="J81" s="13">
        <f ca="1">IF(OR('My Loans'!$O$16="",'My Loans'!$O$16=0),0,IF(H81&lt;0.005,0,MIN(INDIRECT("'My Loans'!$F"&amp;'My Loans'!$O$16),H81+I81)))</f>
        <v>0</v>
      </c>
      <c r="K81" s="13">
        <f ca="1">IF(A81=1,IF(OR('My Loans'!$O$17="",'My Loans'!$O$17=0),0,INDIRECT("'My Loans'!$D"&amp;'My Loans'!$O$17)),AT80)</f>
        <v>0</v>
      </c>
      <c r="L81" s="13">
        <f ca="1">IF(OR('My Loans'!$O$17="",'My Loans'!$O$17=0),0,K81*INDIRECT("'My Loans'!$E"&amp;'My Loans'!$O$17)/12)</f>
        <v>0</v>
      </c>
      <c r="M81" s="13">
        <f ca="1">IF(OR('My Loans'!$O$17="",'My Loans'!$O$17=0),0,IF(K81&lt;0.005,0,MIN(INDIRECT("'My Loans'!$F"&amp;'My Loans'!$O$17),K81+L81)))</f>
        <v>0</v>
      </c>
      <c r="N81" s="13">
        <f ca="1">IF(A81=1,IF(OR('My Loans'!$O$18="",'My Loans'!$O$18=0),0,INDIRECT("'My Loans'!$D"&amp;'My Loans'!$O$18)),AY80)</f>
        <v>0</v>
      </c>
      <c r="O81" s="13">
        <f ca="1">IF(OR('My Loans'!$O$18="",'My Loans'!$O$18=0),0,N81*INDIRECT("'My Loans'!$E"&amp;'My Loans'!$O$18)/12)</f>
        <v>0</v>
      </c>
      <c r="P81" s="13">
        <f ca="1">IF(OR('My Loans'!$O$18="",'My Loans'!$O$18=0),0,IF(N81&lt;0.005,0,MIN(INDIRECT("'My Loans'!$F"&amp;'My Loans'!$O$18),N81+O81)))</f>
        <v>0</v>
      </c>
      <c r="Q81" s="13">
        <f ca="1">IF(A81=1,IF(OR('My Loans'!$O$19="",'My Loans'!$O$19=0),0,INDIRECT("'My Loans'!$D"&amp;'My Loans'!$O$19)),BD80)</f>
        <v>0</v>
      </c>
      <c r="R81" s="13">
        <f ca="1">IF(OR('My Loans'!$O$19="",'My Loans'!$O$19=0),0,Q81*INDIRECT("'My Loans'!$E"&amp;'My Loans'!$O$19)/12)</f>
        <v>0</v>
      </c>
      <c r="S81" s="13">
        <f ca="1">IF(OR('My Loans'!$O$19="",'My Loans'!$O$19=0),0,IF(Q81&lt;0.005,0,MIN(INDIRECT("'My Loans'!$F"&amp;'My Loans'!$O$19),Q81+R81)))</f>
        <v>0</v>
      </c>
      <c r="T81" s="13">
        <f ca="1">IF(A81=1,IF(OR('My Loans'!$O$20="",'My Loans'!$O$20=0),0,INDIRECT("'My Loans'!$D"&amp;'My Loans'!$O$20)),BI80)</f>
        <v>0</v>
      </c>
      <c r="U81" s="13">
        <f ca="1">IF(OR('My Loans'!$O$20="",'My Loans'!$O$20=0),0,T81*INDIRECT("'My Loans'!$E"&amp;'My Loans'!$O$20)/12)</f>
        <v>0</v>
      </c>
      <c r="V81" s="13">
        <f ca="1">IF(OR('My Loans'!$O$20="",'My Loans'!$O$20=0),0,IF(T81&lt;0.005,0,MIN(INDIRECT("'My Loans'!$F"&amp;'My Loans'!$O$20),T81+U81)))</f>
        <v>0</v>
      </c>
      <c r="W81" s="13">
        <f ca="1">IF(A81=1,IF(OR('My Loans'!$O$21="",'My Loans'!$O$21=0),0,INDIRECT("'My Loans'!$D"&amp;'My Loans'!$O$21)),BN80)</f>
        <v>0</v>
      </c>
      <c r="X81" s="13">
        <f ca="1">IF(OR('My Loans'!$O$21="",'My Loans'!$O$21=0),0,W81*INDIRECT("'My Loans'!$E"&amp;'My Loans'!$O$21)/12)</f>
        <v>0</v>
      </c>
      <c r="Y81" s="13">
        <f ca="1">IF(OR('My Loans'!$O$21="",'My Loans'!$O$21=0),0,IF(W81&lt;0.005,0,MIN(INDIRECT("'My Loans'!$F"&amp;'My Loans'!$O$21),W81+X81)))</f>
        <v>0</v>
      </c>
      <c r="Z81" s="13">
        <f ca="1">'My Loans'!$B$13-(D81+G81+J81+M81+P81+S81+V81+Y81)</f>
        <v>1400</v>
      </c>
      <c r="AA81" s="13">
        <f t="shared" ca="1" si="86"/>
        <v>1400</v>
      </c>
      <c r="AB81" s="13">
        <f t="shared" ca="1" si="87"/>
        <v>0</v>
      </c>
      <c r="AC81" s="13">
        <f t="shared" ca="1" si="88"/>
        <v>0</v>
      </c>
      <c r="AD81" s="13">
        <f t="shared" ca="1" si="89"/>
        <v>0</v>
      </c>
      <c r="AE81" s="13">
        <f t="shared" ca="1" si="90"/>
        <v>0</v>
      </c>
      <c r="AF81" s="13">
        <f t="shared" ca="1" si="91"/>
        <v>1400</v>
      </c>
      <c r="AG81" s="13">
        <f t="shared" ca="1" si="92"/>
        <v>0</v>
      </c>
      <c r="AH81" s="13">
        <f t="shared" ca="1" si="93"/>
        <v>0</v>
      </c>
      <c r="AI81" s="13">
        <f t="shared" ca="1" si="94"/>
        <v>0</v>
      </c>
      <c r="AJ81" s="13">
        <f t="shared" ca="1" si="95"/>
        <v>0</v>
      </c>
      <c r="AK81" s="13">
        <f t="shared" ca="1" si="96"/>
        <v>1400</v>
      </c>
      <c r="AL81" s="13">
        <f t="shared" ca="1" si="97"/>
        <v>0</v>
      </c>
      <c r="AM81" s="13">
        <f t="shared" ca="1" si="98"/>
        <v>0</v>
      </c>
      <c r="AN81" s="13">
        <f t="shared" ca="1" si="99"/>
        <v>0</v>
      </c>
      <c r="AO81" s="13">
        <f t="shared" ca="1" si="100"/>
        <v>0</v>
      </c>
      <c r="AP81" s="13">
        <f t="shared" ca="1" si="101"/>
        <v>1400</v>
      </c>
      <c r="AQ81" s="13">
        <f t="shared" ca="1" si="102"/>
        <v>0</v>
      </c>
      <c r="AR81" s="13">
        <f t="shared" ca="1" si="103"/>
        <v>0</v>
      </c>
      <c r="AS81" s="13">
        <f t="shared" ca="1" si="104"/>
        <v>0</v>
      </c>
      <c r="AT81" s="13">
        <f t="shared" ca="1" si="105"/>
        <v>0</v>
      </c>
      <c r="AU81" s="13">
        <f t="shared" ca="1" si="106"/>
        <v>1400</v>
      </c>
      <c r="AV81" s="13">
        <f t="shared" ca="1" si="107"/>
        <v>0</v>
      </c>
      <c r="AW81" s="13">
        <f t="shared" ca="1" si="108"/>
        <v>0</v>
      </c>
      <c r="AX81" s="13">
        <f t="shared" ca="1" si="109"/>
        <v>0</v>
      </c>
      <c r="AY81" s="13">
        <f t="shared" ca="1" si="110"/>
        <v>0</v>
      </c>
      <c r="AZ81" s="13">
        <f t="shared" ca="1" si="111"/>
        <v>1400</v>
      </c>
      <c r="BA81" s="13">
        <f t="shared" ca="1" si="112"/>
        <v>0</v>
      </c>
      <c r="BB81" s="13">
        <f t="shared" ca="1" si="113"/>
        <v>0</v>
      </c>
      <c r="BC81" s="13">
        <f t="shared" ca="1" si="114"/>
        <v>0</v>
      </c>
      <c r="BD81" s="13">
        <f t="shared" ca="1" si="115"/>
        <v>0</v>
      </c>
      <c r="BE81" s="13">
        <f t="shared" ca="1" si="116"/>
        <v>1400</v>
      </c>
      <c r="BF81" s="13">
        <f t="shared" ca="1" si="117"/>
        <v>0</v>
      </c>
      <c r="BG81" s="13">
        <f t="shared" ca="1" si="118"/>
        <v>0</v>
      </c>
      <c r="BH81" s="13">
        <f t="shared" ca="1" si="119"/>
        <v>0</v>
      </c>
      <c r="BI81" s="13">
        <f t="shared" ca="1" si="120"/>
        <v>0</v>
      </c>
      <c r="BJ81" s="13">
        <f t="shared" ca="1" si="121"/>
        <v>1400</v>
      </c>
      <c r="BK81" s="13">
        <f t="shared" ca="1" si="122"/>
        <v>0</v>
      </c>
      <c r="BL81" s="13">
        <f t="shared" ca="1" si="123"/>
        <v>0</v>
      </c>
      <c r="BM81" s="13">
        <f t="shared" ca="1" si="124"/>
        <v>0</v>
      </c>
      <c r="BN81" s="13">
        <f t="shared" ca="1" si="125"/>
        <v>0</v>
      </c>
      <c r="BO81" s="13">
        <f t="shared" ca="1" si="126"/>
        <v>0</v>
      </c>
      <c r="BP81" s="13">
        <f t="shared" ca="1" si="127"/>
        <v>0</v>
      </c>
      <c r="BQ81" s="13">
        <f t="shared" ca="1" si="128"/>
        <v>0</v>
      </c>
    </row>
    <row r="82" spans="1:69" x14ac:dyDescent="0.25">
      <c r="A82" s="1">
        <v>81</v>
      </c>
      <c r="B82" s="13">
        <f ca="1">IF(A82=1,IF(OR('My Loans'!$O$14="",'My Loans'!$O$14=0),0,INDIRECT("'My Loans'!$D"&amp;'My Loans'!$O$14)),AE81)</f>
        <v>0</v>
      </c>
      <c r="C82" s="13">
        <f ca="1">IF(OR('My Loans'!$O$14="",'My Loans'!$O$14=0),0,B82*INDIRECT("'My Loans'!$E"&amp;'My Loans'!$O$14)/12)</f>
        <v>0</v>
      </c>
      <c r="D82" s="13">
        <f ca="1">IF(OR('My Loans'!$O$14="",'My Loans'!$O$14=0),0,IF(B82&lt;0.005,0,MIN(INDIRECT("'My Loans'!$F"&amp;'My Loans'!$O$14),B82+C82)))</f>
        <v>0</v>
      </c>
      <c r="E82" s="13">
        <f ca="1">IF(A82=1,IF(OR('My Loans'!$O$15="",'My Loans'!$O$15=0),0,INDIRECT("'My Loans'!$D"&amp;'My Loans'!$O$15)),AJ81)</f>
        <v>0</v>
      </c>
      <c r="F82" s="13">
        <f ca="1">IF(OR('My Loans'!$O$15="",'My Loans'!$O$15=0),0,E82*INDIRECT("'My Loans'!$E"&amp;'My Loans'!$O$15)/12)</f>
        <v>0</v>
      </c>
      <c r="G82" s="13">
        <f ca="1">IF(OR('My Loans'!$O$15="",'My Loans'!$O$15=0),0,IF(E82&lt;0.005,0,MIN(INDIRECT("'My Loans'!$F"&amp;'My Loans'!$O$15),E82+F82)))</f>
        <v>0</v>
      </c>
      <c r="H82" s="13">
        <f ca="1">IF(A82=1,IF(OR('My Loans'!$O$16="",'My Loans'!$O$16=0),0,INDIRECT("'My Loans'!$D"&amp;'My Loans'!$O$16)),AO81)</f>
        <v>0</v>
      </c>
      <c r="I82" s="13">
        <f ca="1">IF(OR('My Loans'!$O$16="",'My Loans'!$O$16=0),0,H82*INDIRECT("'My Loans'!$E"&amp;'My Loans'!$O$16)/12)</f>
        <v>0</v>
      </c>
      <c r="J82" s="13">
        <f ca="1">IF(OR('My Loans'!$O$16="",'My Loans'!$O$16=0),0,IF(H82&lt;0.005,0,MIN(INDIRECT("'My Loans'!$F"&amp;'My Loans'!$O$16),H82+I82)))</f>
        <v>0</v>
      </c>
      <c r="K82" s="13">
        <f ca="1">IF(A82=1,IF(OR('My Loans'!$O$17="",'My Loans'!$O$17=0),0,INDIRECT("'My Loans'!$D"&amp;'My Loans'!$O$17)),AT81)</f>
        <v>0</v>
      </c>
      <c r="L82" s="13">
        <f ca="1">IF(OR('My Loans'!$O$17="",'My Loans'!$O$17=0),0,K82*INDIRECT("'My Loans'!$E"&amp;'My Loans'!$O$17)/12)</f>
        <v>0</v>
      </c>
      <c r="M82" s="13">
        <f ca="1">IF(OR('My Loans'!$O$17="",'My Loans'!$O$17=0),0,IF(K82&lt;0.005,0,MIN(INDIRECT("'My Loans'!$F"&amp;'My Loans'!$O$17),K82+L82)))</f>
        <v>0</v>
      </c>
      <c r="N82" s="13">
        <f ca="1">IF(A82=1,IF(OR('My Loans'!$O$18="",'My Loans'!$O$18=0),0,INDIRECT("'My Loans'!$D"&amp;'My Loans'!$O$18)),AY81)</f>
        <v>0</v>
      </c>
      <c r="O82" s="13">
        <f ca="1">IF(OR('My Loans'!$O$18="",'My Loans'!$O$18=0),0,N82*INDIRECT("'My Loans'!$E"&amp;'My Loans'!$O$18)/12)</f>
        <v>0</v>
      </c>
      <c r="P82" s="13">
        <f ca="1">IF(OR('My Loans'!$O$18="",'My Loans'!$O$18=0),0,IF(N82&lt;0.005,0,MIN(INDIRECT("'My Loans'!$F"&amp;'My Loans'!$O$18),N82+O82)))</f>
        <v>0</v>
      </c>
      <c r="Q82" s="13">
        <f ca="1">IF(A82=1,IF(OR('My Loans'!$O$19="",'My Loans'!$O$19=0),0,INDIRECT("'My Loans'!$D"&amp;'My Loans'!$O$19)),BD81)</f>
        <v>0</v>
      </c>
      <c r="R82" s="13">
        <f ca="1">IF(OR('My Loans'!$O$19="",'My Loans'!$O$19=0),0,Q82*INDIRECT("'My Loans'!$E"&amp;'My Loans'!$O$19)/12)</f>
        <v>0</v>
      </c>
      <c r="S82" s="13">
        <f ca="1">IF(OR('My Loans'!$O$19="",'My Loans'!$O$19=0),0,IF(Q82&lt;0.005,0,MIN(INDIRECT("'My Loans'!$F"&amp;'My Loans'!$O$19),Q82+R82)))</f>
        <v>0</v>
      </c>
      <c r="T82" s="13">
        <f ca="1">IF(A82=1,IF(OR('My Loans'!$O$20="",'My Loans'!$O$20=0),0,INDIRECT("'My Loans'!$D"&amp;'My Loans'!$O$20)),BI81)</f>
        <v>0</v>
      </c>
      <c r="U82" s="13">
        <f ca="1">IF(OR('My Loans'!$O$20="",'My Loans'!$O$20=0),0,T82*INDIRECT("'My Loans'!$E"&amp;'My Loans'!$O$20)/12)</f>
        <v>0</v>
      </c>
      <c r="V82" s="13">
        <f ca="1">IF(OR('My Loans'!$O$20="",'My Loans'!$O$20=0),0,IF(T82&lt;0.005,0,MIN(INDIRECT("'My Loans'!$F"&amp;'My Loans'!$O$20),T82+U82)))</f>
        <v>0</v>
      </c>
      <c r="W82" s="13">
        <f ca="1">IF(A82=1,IF(OR('My Loans'!$O$21="",'My Loans'!$O$21=0),0,INDIRECT("'My Loans'!$D"&amp;'My Loans'!$O$21)),BN81)</f>
        <v>0</v>
      </c>
      <c r="X82" s="13">
        <f ca="1">IF(OR('My Loans'!$O$21="",'My Loans'!$O$21=0),0,W82*INDIRECT("'My Loans'!$E"&amp;'My Loans'!$O$21)/12)</f>
        <v>0</v>
      </c>
      <c r="Y82" s="13">
        <f ca="1">IF(OR('My Loans'!$O$21="",'My Loans'!$O$21=0),0,IF(W82&lt;0.005,0,MIN(INDIRECT("'My Loans'!$F"&amp;'My Loans'!$O$21),W82+X82)))</f>
        <v>0</v>
      </c>
      <c r="Z82" s="13">
        <f ca="1">'My Loans'!$B$13-(D82+G82+J82+M82+P82+S82+V82+Y82)</f>
        <v>1400</v>
      </c>
      <c r="AA82" s="13">
        <f t="shared" ca="1" si="86"/>
        <v>1400</v>
      </c>
      <c r="AB82" s="13">
        <f t="shared" ca="1" si="87"/>
        <v>0</v>
      </c>
      <c r="AC82" s="13">
        <f t="shared" ca="1" si="88"/>
        <v>0</v>
      </c>
      <c r="AD82" s="13">
        <f t="shared" ca="1" si="89"/>
        <v>0</v>
      </c>
      <c r="AE82" s="13">
        <f t="shared" ca="1" si="90"/>
        <v>0</v>
      </c>
      <c r="AF82" s="13">
        <f t="shared" ca="1" si="91"/>
        <v>1400</v>
      </c>
      <c r="AG82" s="13">
        <f t="shared" ca="1" si="92"/>
        <v>0</v>
      </c>
      <c r="AH82" s="13">
        <f t="shared" ca="1" si="93"/>
        <v>0</v>
      </c>
      <c r="AI82" s="13">
        <f t="shared" ca="1" si="94"/>
        <v>0</v>
      </c>
      <c r="AJ82" s="13">
        <f t="shared" ca="1" si="95"/>
        <v>0</v>
      </c>
      <c r="AK82" s="13">
        <f t="shared" ca="1" si="96"/>
        <v>1400</v>
      </c>
      <c r="AL82" s="13">
        <f t="shared" ca="1" si="97"/>
        <v>0</v>
      </c>
      <c r="AM82" s="13">
        <f t="shared" ca="1" si="98"/>
        <v>0</v>
      </c>
      <c r="AN82" s="13">
        <f t="shared" ca="1" si="99"/>
        <v>0</v>
      </c>
      <c r="AO82" s="13">
        <f t="shared" ca="1" si="100"/>
        <v>0</v>
      </c>
      <c r="AP82" s="13">
        <f t="shared" ca="1" si="101"/>
        <v>1400</v>
      </c>
      <c r="AQ82" s="13">
        <f t="shared" ca="1" si="102"/>
        <v>0</v>
      </c>
      <c r="AR82" s="13">
        <f t="shared" ca="1" si="103"/>
        <v>0</v>
      </c>
      <c r="AS82" s="13">
        <f t="shared" ca="1" si="104"/>
        <v>0</v>
      </c>
      <c r="AT82" s="13">
        <f t="shared" ca="1" si="105"/>
        <v>0</v>
      </c>
      <c r="AU82" s="13">
        <f t="shared" ca="1" si="106"/>
        <v>1400</v>
      </c>
      <c r="AV82" s="13">
        <f t="shared" ca="1" si="107"/>
        <v>0</v>
      </c>
      <c r="AW82" s="13">
        <f t="shared" ca="1" si="108"/>
        <v>0</v>
      </c>
      <c r="AX82" s="13">
        <f t="shared" ca="1" si="109"/>
        <v>0</v>
      </c>
      <c r="AY82" s="13">
        <f t="shared" ca="1" si="110"/>
        <v>0</v>
      </c>
      <c r="AZ82" s="13">
        <f t="shared" ca="1" si="111"/>
        <v>1400</v>
      </c>
      <c r="BA82" s="13">
        <f t="shared" ca="1" si="112"/>
        <v>0</v>
      </c>
      <c r="BB82" s="13">
        <f t="shared" ca="1" si="113"/>
        <v>0</v>
      </c>
      <c r="BC82" s="13">
        <f t="shared" ca="1" si="114"/>
        <v>0</v>
      </c>
      <c r="BD82" s="13">
        <f t="shared" ca="1" si="115"/>
        <v>0</v>
      </c>
      <c r="BE82" s="13">
        <f t="shared" ca="1" si="116"/>
        <v>1400</v>
      </c>
      <c r="BF82" s="13">
        <f t="shared" ca="1" si="117"/>
        <v>0</v>
      </c>
      <c r="BG82" s="13">
        <f t="shared" ca="1" si="118"/>
        <v>0</v>
      </c>
      <c r="BH82" s="13">
        <f t="shared" ca="1" si="119"/>
        <v>0</v>
      </c>
      <c r="BI82" s="13">
        <f t="shared" ca="1" si="120"/>
        <v>0</v>
      </c>
      <c r="BJ82" s="13">
        <f t="shared" ca="1" si="121"/>
        <v>1400</v>
      </c>
      <c r="BK82" s="13">
        <f t="shared" ca="1" si="122"/>
        <v>0</v>
      </c>
      <c r="BL82" s="13">
        <f t="shared" ca="1" si="123"/>
        <v>0</v>
      </c>
      <c r="BM82" s="13">
        <f t="shared" ca="1" si="124"/>
        <v>0</v>
      </c>
      <c r="BN82" s="13">
        <f t="shared" ca="1" si="125"/>
        <v>0</v>
      </c>
      <c r="BO82" s="13">
        <f t="shared" ca="1" si="126"/>
        <v>0</v>
      </c>
      <c r="BP82" s="13">
        <f t="shared" ca="1" si="127"/>
        <v>0</v>
      </c>
      <c r="BQ82" s="13">
        <f t="shared" ca="1" si="128"/>
        <v>0</v>
      </c>
    </row>
    <row r="83" spans="1:69" x14ac:dyDescent="0.25">
      <c r="A83" s="1">
        <v>82</v>
      </c>
      <c r="B83" s="13">
        <f ca="1">IF(A83=1,IF(OR('My Loans'!$O$14="",'My Loans'!$O$14=0),0,INDIRECT("'My Loans'!$D"&amp;'My Loans'!$O$14)),AE82)</f>
        <v>0</v>
      </c>
      <c r="C83" s="13">
        <f ca="1">IF(OR('My Loans'!$O$14="",'My Loans'!$O$14=0),0,B83*INDIRECT("'My Loans'!$E"&amp;'My Loans'!$O$14)/12)</f>
        <v>0</v>
      </c>
      <c r="D83" s="13">
        <f ca="1">IF(OR('My Loans'!$O$14="",'My Loans'!$O$14=0),0,IF(B83&lt;0.005,0,MIN(INDIRECT("'My Loans'!$F"&amp;'My Loans'!$O$14),B83+C83)))</f>
        <v>0</v>
      </c>
      <c r="E83" s="13">
        <f ca="1">IF(A83=1,IF(OR('My Loans'!$O$15="",'My Loans'!$O$15=0),0,INDIRECT("'My Loans'!$D"&amp;'My Loans'!$O$15)),AJ82)</f>
        <v>0</v>
      </c>
      <c r="F83" s="13">
        <f ca="1">IF(OR('My Loans'!$O$15="",'My Loans'!$O$15=0),0,E83*INDIRECT("'My Loans'!$E"&amp;'My Loans'!$O$15)/12)</f>
        <v>0</v>
      </c>
      <c r="G83" s="13">
        <f ca="1">IF(OR('My Loans'!$O$15="",'My Loans'!$O$15=0),0,IF(E83&lt;0.005,0,MIN(INDIRECT("'My Loans'!$F"&amp;'My Loans'!$O$15),E83+F83)))</f>
        <v>0</v>
      </c>
      <c r="H83" s="13">
        <f ca="1">IF(A83=1,IF(OR('My Loans'!$O$16="",'My Loans'!$O$16=0),0,INDIRECT("'My Loans'!$D"&amp;'My Loans'!$O$16)),AO82)</f>
        <v>0</v>
      </c>
      <c r="I83" s="13">
        <f ca="1">IF(OR('My Loans'!$O$16="",'My Loans'!$O$16=0),0,H83*INDIRECT("'My Loans'!$E"&amp;'My Loans'!$O$16)/12)</f>
        <v>0</v>
      </c>
      <c r="J83" s="13">
        <f ca="1">IF(OR('My Loans'!$O$16="",'My Loans'!$O$16=0),0,IF(H83&lt;0.005,0,MIN(INDIRECT("'My Loans'!$F"&amp;'My Loans'!$O$16),H83+I83)))</f>
        <v>0</v>
      </c>
      <c r="K83" s="13">
        <f ca="1">IF(A83=1,IF(OR('My Loans'!$O$17="",'My Loans'!$O$17=0),0,INDIRECT("'My Loans'!$D"&amp;'My Loans'!$O$17)),AT82)</f>
        <v>0</v>
      </c>
      <c r="L83" s="13">
        <f ca="1">IF(OR('My Loans'!$O$17="",'My Loans'!$O$17=0),0,K83*INDIRECT("'My Loans'!$E"&amp;'My Loans'!$O$17)/12)</f>
        <v>0</v>
      </c>
      <c r="M83" s="13">
        <f ca="1">IF(OR('My Loans'!$O$17="",'My Loans'!$O$17=0),0,IF(K83&lt;0.005,0,MIN(INDIRECT("'My Loans'!$F"&amp;'My Loans'!$O$17),K83+L83)))</f>
        <v>0</v>
      </c>
      <c r="N83" s="13">
        <f ca="1">IF(A83=1,IF(OR('My Loans'!$O$18="",'My Loans'!$O$18=0),0,INDIRECT("'My Loans'!$D"&amp;'My Loans'!$O$18)),AY82)</f>
        <v>0</v>
      </c>
      <c r="O83" s="13">
        <f ca="1">IF(OR('My Loans'!$O$18="",'My Loans'!$O$18=0),0,N83*INDIRECT("'My Loans'!$E"&amp;'My Loans'!$O$18)/12)</f>
        <v>0</v>
      </c>
      <c r="P83" s="13">
        <f ca="1">IF(OR('My Loans'!$O$18="",'My Loans'!$O$18=0),0,IF(N83&lt;0.005,0,MIN(INDIRECT("'My Loans'!$F"&amp;'My Loans'!$O$18),N83+O83)))</f>
        <v>0</v>
      </c>
      <c r="Q83" s="13">
        <f ca="1">IF(A83=1,IF(OR('My Loans'!$O$19="",'My Loans'!$O$19=0),0,INDIRECT("'My Loans'!$D"&amp;'My Loans'!$O$19)),BD82)</f>
        <v>0</v>
      </c>
      <c r="R83" s="13">
        <f ca="1">IF(OR('My Loans'!$O$19="",'My Loans'!$O$19=0),0,Q83*INDIRECT("'My Loans'!$E"&amp;'My Loans'!$O$19)/12)</f>
        <v>0</v>
      </c>
      <c r="S83" s="13">
        <f ca="1">IF(OR('My Loans'!$O$19="",'My Loans'!$O$19=0),0,IF(Q83&lt;0.005,0,MIN(INDIRECT("'My Loans'!$F"&amp;'My Loans'!$O$19),Q83+R83)))</f>
        <v>0</v>
      </c>
      <c r="T83" s="13">
        <f ca="1">IF(A83=1,IF(OR('My Loans'!$O$20="",'My Loans'!$O$20=0),0,INDIRECT("'My Loans'!$D"&amp;'My Loans'!$O$20)),BI82)</f>
        <v>0</v>
      </c>
      <c r="U83" s="13">
        <f ca="1">IF(OR('My Loans'!$O$20="",'My Loans'!$O$20=0),0,T83*INDIRECT("'My Loans'!$E"&amp;'My Loans'!$O$20)/12)</f>
        <v>0</v>
      </c>
      <c r="V83" s="13">
        <f ca="1">IF(OR('My Loans'!$O$20="",'My Loans'!$O$20=0),0,IF(T83&lt;0.005,0,MIN(INDIRECT("'My Loans'!$F"&amp;'My Loans'!$O$20),T83+U83)))</f>
        <v>0</v>
      </c>
      <c r="W83" s="13">
        <f ca="1">IF(A83=1,IF(OR('My Loans'!$O$21="",'My Loans'!$O$21=0),0,INDIRECT("'My Loans'!$D"&amp;'My Loans'!$O$21)),BN82)</f>
        <v>0</v>
      </c>
      <c r="X83" s="13">
        <f ca="1">IF(OR('My Loans'!$O$21="",'My Loans'!$O$21=0),0,W83*INDIRECT("'My Loans'!$E"&amp;'My Loans'!$O$21)/12)</f>
        <v>0</v>
      </c>
      <c r="Y83" s="13">
        <f ca="1">IF(OR('My Loans'!$O$21="",'My Loans'!$O$21=0),0,IF(W83&lt;0.005,0,MIN(INDIRECT("'My Loans'!$F"&amp;'My Loans'!$O$21),W83+X83)))</f>
        <v>0</v>
      </c>
      <c r="Z83" s="13">
        <f ca="1">'My Loans'!$B$13-(D83+G83+J83+M83+P83+S83+V83+Y83)</f>
        <v>1400</v>
      </c>
      <c r="AA83" s="13">
        <f t="shared" ca="1" si="86"/>
        <v>1400</v>
      </c>
      <c r="AB83" s="13">
        <f t="shared" ca="1" si="87"/>
        <v>0</v>
      </c>
      <c r="AC83" s="13">
        <f t="shared" ca="1" si="88"/>
        <v>0</v>
      </c>
      <c r="AD83" s="13">
        <f t="shared" ca="1" si="89"/>
        <v>0</v>
      </c>
      <c r="AE83" s="13">
        <f t="shared" ca="1" si="90"/>
        <v>0</v>
      </c>
      <c r="AF83" s="13">
        <f t="shared" ca="1" si="91"/>
        <v>1400</v>
      </c>
      <c r="AG83" s="13">
        <f t="shared" ca="1" si="92"/>
        <v>0</v>
      </c>
      <c r="AH83" s="13">
        <f t="shared" ca="1" si="93"/>
        <v>0</v>
      </c>
      <c r="AI83" s="13">
        <f t="shared" ca="1" si="94"/>
        <v>0</v>
      </c>
      <c r="AJ83" s="13">
        <f t="shared" ca="1" si="95"/>
        <v>0</v>
      </c>
      <c r="AK83" s="13">
        <f t="shared" ca="1" si="96"/>
        <v>1400</v>
      </c>
      <c r="AL83" s="13">
        <f t="shared" ca="1" si="97"/>
        <v>0</v>
      </c>
      <c r="AM83" s="13">
        <f t="shared" ca="1" si="98"/>
        <v>0</v>
      </c>
      <c r="AN83" s="13">
        <f t="shared" ca="1" si="99"/>
        <v>0</v>
      </c>
      <c r="AO83" s="13">
        <f t="shared" ca="1" si="100"/>
        <v>0</v>
      </c>
      <c r="AP83" s="13">
        <f t="shared" ca="1" si="101"/>
        <v>1400</v>
      </c>
      <c r="AQ83" s="13">
        <f t="shared" ca="1" si="102"/>
        <v>0</v>
      </c>
      <c r="AR83" s="13">
        <f t="shared" ca="1" si="103"/>
        <v>0</v>
      </c>
      <c r="AS83" s="13">
        <f t="shared" ca="1" si="104"/>
        <v>0</v>
      </c>
      <c r="AT83" s="13">
        <f t="shared" ca="1" si="105"/>
        <v>0</v>
      </c>
      <c r="AU83" s="13">
        <f t="shared" ca="1" si="106"/>
        <v>1400</v>
      </c>
      <c r="AV83" s="13">
        <f t="shared" ca="1" si="107"/>
        <v>0</v>
      </c>
      <c r="AW83" s="13">
        <f t="shared" ca="1" si="108"/>
        <v>0</v>
      </c>
      <c r="AX83" s="13">
        <f t="shared" ca="1" si="109"/>
        <v>0</v>
      </c>
      <c r="AY83" s="13">
        <f t="shared" ca="1" si="110"/>
        <v>0</v>
      </c>
      <c r="AZ83" s="13">
        <f t="shared" ca="1" si="111"/>
        <v>1400</v>
      </c>
      <c r="BA83" s="13">
        <f t="shared" ca="1" si="112"/>
        <v>0</v>
      </c>
      <c r="BB83" s="13">
        <f t="shared" ca="1" si="113"/>
        <v>0</v>
      </c>
      <c r="BC83" s="13">
        <f t="shared" ca="1" si="114"/>
        <v>0</v>
      </c>
      <c r="BD83" s="13">
        <f t="shared" ca="1" si="115"/>
        <v>0</v>
      </c>
      <c r="BE83" s="13">
        <f t="shared" ca="1" si="116"/>
        <v>1400</v>
      </c>
      <c r="BF83" s="13">
        <f t="shared" ca="1" si="117"/>
        <v>0</v>
      </c>
      <c r="BG83" s="13">
        <f t="shared" ca="1" si="118"/>
        <v>0</v>
      </c>
      <c r="BH83" s="13">
        <f t="shared" ca="1" si="119"/>
        <v>0</v>
      </c>
      <c r="BI83" s="13">
        <f t="shared" ca="1" si="120"/>
        <v>0</v>
      </c>
      <c r="BJ83" s="13">
        <f t="shared" ca="1" si="121"/>
        <v>1400</v>
      </c>
      <c r="BK83" s="13">
        <f t="shared" ca="1" si="122"/>
        <v>0</v>
      </c>
      <c r="BL83" s="13">
        <f t="shared" ca="1" si="123"/>
        <v>0</v>
      </c>
      <c r="BM83" s="13">
        <f t="shared" ca="1" si="124"/>
        <v>0</v>
      </c>
      <c r="BN83" s="13">
        <f t="shared" ca="1" si="125"/>
        <v>0</v>
      </c>
      <c r="BO83" s="13">
        <f t="shared" ca="1" si="126"/>
        <v>0</v>
      </c>
      <c r="BP83" s="13">
        <f t="shared" ca="1" si="127"/>
        <v>0</v>
      </c>
      <c r="BQ83" s="13">
        <f t="shared" ca="1" si="128"/>
        <v>0</v>
      </c>
    </row>
    <row r="84" spans="1:69" x14ac:dyDescent="0.25">
      <c r="A84" s="1">
        <v>83</v>
      </c>
      <c r="B84" s="13">
        <f ca="1">IF(A84=1,IF(OR('My Loans'!$O$14="",'My Loans'!$O$14=0),0,INDIRECT("'My Loans'!$D"&amp;'My Loans'!$O$14)),AE83)</f>
        <v>0</v>
      </c>
      <c r="C84" s="13">
        <f ca="1">IF(OR('My Loans'!$O$14="",'My Loans'!$O$14=0),0,B84*INDIRECT("'My Loans'!$E"&amp;'My Loans'!$O$14)/12)</f>
        <v>0</v>
      </c>
      <c r="D84" s="13">
        <f ca="1">IF(OR('My Loans'!$O$14="",'My Loans'!$O$14=0),0,IF(B84&lt;0.005,0,MIN(INDIRECT("'My Loans'!$F"&amp;'My Loans'!$O$14),B84+C84)))</f>
        <v>0</v>
      </c>
      <c r="E84" s="13">
        <f ca="1">IF(A84=1,IF(OR('My Loans'!$O$15="",'My Loans'!$O$15=0),0,INDIRECT("'My Loans'!$D"&amp;'My Loans'!$O$15)),AJ83)</f>
        <v>0</v>
      </c>
      <c r="F84" s="13">
        <f ca="1">IF(OR('My Loans'!$O$15="",'My Loans'!$O$15=0),0,E84*INDIRECT("'My Loans'!$E"&amp;'My Loans'!$O$15)/12)</f>
        <v>0</v>
      </c>
      <c r="G84" s="13">
        <f ca="1">IF(OR('My Loans'!$O$15="",'My Loans'!$O$15=0),0,IF(E84&lt;0.005,0,MIN(INDIRECT("'My Loans'!$F"&amp;'My Loans'!$O$15),E84+F84)))</f>
        <v>0</v>
      </c>
      <c r="H84" s="13">
        <f ca="1">IF(A84=1,IF(OR('My Loans'!$O$16="",'My Loans'!$O$16=0),0,INDIRECT("'My Loans'!$D"&amp;'My Loans'!$O$16)),AO83)</f>
        <v>0</v>
      </c>
      <c r="I84" s="13">
        <f ca="1">IF(OR('My Loans'!$O$16="",'My Loans'!$O$16=0),0,H84*INDIRECT("'My Loans'!$E"&amp;'My Loans'!$O$16)/12)</f>
        <v>0</v>
      </c>
      <c r="J84" s="13">
        <f ca="1">IF(OR('My Loans'!$O$16="",'My Loans'!$O$16=0),0,IF(H84&lt;0.005,0,MIN(INDIRECT("'My Loans'!$F"&amp;'My Loans'!$O$16),H84+I84)))</f>
        <v>0</v>
      </c>
      <c r="K84" s="13">
        <f ca="1">IF(A84=1,IF(OR('My Loans'!$O$17="",'My Loans'!$O$17=0),0,INDIRECT("'My Loans'!$D"&amp;'My Loans'!$O$17)),AT83)</f>
        <v>0</v>
      </c>
      <c r="L84" s="13">
        <f ca="1">IF(OR('My Loans'!$O$17="",'My Loans'!$O$17=0),0,K84*INDIRECT("'My Loans'!$E"&amp;'My Loans'!$O$17)/12)</f>
        <v>0</v>
      </c>
      <c r="M84" s="13">
        <f ca="1">IF(OR('My Loans'!$O$17="",'My Loans'!$O$17=0),0,IF(K84&lt;0.005,0,MIN(INDIRECT("'My Loans'!$F"&amp;'My Loans'!$O$17),K84+L84)))</f>
        <v>0</v>
      </c>
      <c r="N84" s="13">
        <f ca="1">IF(A84=1,IF(OR('My Loans'!$O$18="",'My Loans'!$O$18=0),0,INDIRECT("'My Loans'!$D"&amp;'My Loans'!$O$18)),AY83)</f>
        <v>0</v>
      </c>
      <c r="O84" s="13">
        <f ca="1">IF(OR('My Loans'!$O$18="",'My Loans'!$O$18=0),0,N84*INDIRECT("'My Loans'!$E"&amp;'My Loans'!$O$18)/12)</f>
        <v>0</v>
      </c>
      <c r="P84" s="13">
        <f ca="1">IF(OR('My Loans'!$O$18="",'My Loans'!$O$18=0),0,IF(N84&lt;0.005,0,MIN(INDIRECT("'My Loans'!$F"&amp;'My Loans'!$O$18),N84+O84)))</f>
        <v>0</v>
      </c>
      <c r="Q84" s="13">
        <f ca="1">IF(A84=1,IF(OR('My Loans'!$O$19="",'My Loans'!$O$19=0),0,INDIRECT("'My Loans'!$D"&amp;'My Loans'!$O$19)),BD83)</f>
        <v>0</v>
      </c>
      <c r="R84" s="13">
        <f ca="1">IF(OR('My Loans'!$O$19="",'My Loans'!$O$19=0),0,Q84*INDIRECT("'My Loans'!$E"&amp;'My Loans'!$O$19)/12)</f>
        <v>0</v>
      </c>
      <c r="S84" s="13">
        <f ca="1">IF(OR('My Loans'!$O$19="",'My Loans'!$O$19=0),0,IF(Q84&lt;0.005,0,MIN(INDIRECT("'My Loans'!$F"&amp;'My Loans'!$O$19),Q84+R84)))</f>
        <v>0</v>
      </c>
      <c r="T84" s="13">
        <f ca="1">IF(A84=1,IF(OR('My Loans'!$O$20="",'My Loans'!$O$20=0),0,INDIRECT("'My Loans'!$D"&amp;'My Loans'!$O$20)),BI83)</f>
        <v>0</v>
      </c>
      <c r="U84" s="13">
        <f ca="1">IF(OR('My Loans'!$O$20="",'My Loans'!$O$20=0),0,T84*INDIRECT("'My Loans'!$E"&amp;'My Loans'!$O$20)/12)</f>
        <v>0</v>
      </c>
      <c r="V84" s="13">
        <f ca="1">IF(OR('My Loans'!$O$20="",'My Loans'!$O$20=0),0,IF(T84&lt;0.005,0,MIN(INDIRECT("'My Loans'!$F"&amp;'My Loans'!$O$20),T84+U84)))</f>
        <v>0</v>
      </c>
      <c r="W84" s="13">
        <f ca="1">IF(A84=1,IF(OR('My Loans'!$O$21="",'My Loans'!$O$21=0),0,INDIRECT("'My Loans'!$D"&amp;'My Loans'!$O$21)),BN83)</f>
        <v>0</v>
      </c>
      <c r="X84" s="13">
        <f ca="1">IF(OR('My Loans'!$O$21="",'My Loans'!$O$21=0),0,W84*INDIRECT("'My Loans'!$E"&amp;'My Loans'!$O$21)/12)</f>
        <v>0</v>
      </c>
      <c r="Y84" s="13">
        <f ca="1">IF(OR('My Loans'!$O$21="",'My Loans'!$O$21=0),0,IF(W84&lt;0.005,0,MIN(INDIRECT("'My Loans'!$F"&amp;'My Loans'!$O$21),W84+X84)))</f>
        <v>0</v>
      </c>
      <c r="Z84" s="13">
        <f ca="1">'My Loans'!$B$13-(D84+G84+J84+M84+P84+S84+V84+Y84)</f>
        <v>1400</v>
      </c>
      <c r="AA84" s="13">
        <f t="shared" ca="1" si="86"/>
        <v>1400</v>
      </c>
      <c r="AB84" s="13">
        <f t="shared" ca="1" si="87"/>
        <v>0</v>
      </c>
      <c r="AC84" s="13">
        <f t="shared" ca="1" si="88"/>
        <v>0</v>
      </c>
      <c r="AD84" s="13">
        <f t="shared" ca="1" si="89"/>
        <v>0</v>
      </c>
      <c r="AE84" s="13">
        <f t="shared" ca="1" si="90"/>
        <v>0</v>
      </c>
      <c r="AF84" s="13">
        <f t="shared" ca="1" si="91"/>
        <v>1400</v>
      </c>
      <c r="AG84" s="13">
        <f t="shared" ca="1" si="92"/>
        <v>0</v>
      </c>
      <c r="AH84" s="13">
        <f t="shared" ca="1" si="93"/>
        <v>0</v>
      </c>
      <c r="AI84" s="13">
        <f t="shared" ca="1" si="94"/>
        <v>0</v>
      </c>
      <c r="AJ84" s="13">
        <f t="shared" ca="1" si="95"/>
        <v>0</v>
      </c>
      <c r="AK84" s="13">
        <f t="shared" ca="1" si="96"/>
        <v>1400</v>
      </c>
      <c r="AL84" s="13">
        <f t="shared" ca="1" si="97"/>
        <v>0</v>
      </c>
      <c r="AM84" s="13">
        <f t="shared" ca="1" si="98"/>
        <v>0</v>
      </c>
      <c r="AN84" s="13">
        <f t="shared" ca="1" si="99"/>
        <v>0</v>
      </c>
      <c r="AO84" s="13">
        <f t="shared" ca="1" si="100"/>
        <v>0</v>
      </c>
      <c r="AP84" s="13">
        <f t="shared" ca="1" si="101"/>
        <v>1400</v>
      </c>
      <c r="AQ84" s="13">
        <f t="shared" ca="1" si="102"/>
        <v>0</v>
      </c>
      <c r="AR84" s="13">
        <f t="shared" ca="1" si="103"/>
        <v>0</v>
      </c>
      <c r="AS84" s="13">
        <f t="shared" ca="1" si="104"/>
        <v>0</v>
      </c>
      <c r="AT84" s="13">
        <f t="shared" ca="1" si="105"/>
        <v>0</v>
      </c>
      <c r="AU84" s="13">
        <f t="shared" ca="1" si="106"/>
        <v>1400</v>
      </c>
      <c r="AV84" s="13">
        <f t="shared" ca="1" si="107"/>
        <v>0</v>
      </c>
      <c r="AW84" s="13">
        <f t="shared" ca="1" si="108"/>
        <v>0</v>
      </c>
      <c r="AX84" s="13">
        <f t="shared" ca="1" si="109"/>
        <v>0</v>
      </c>
      <c r="AY84" s="13">
        <f t="shared" ca="1" si="110"/>
        <v>0</v>
      </c>
      <c r="AZ84" s="13">
        <f t="shared" ca="1" si="111"/>
        <v>1400</v>
      </c>
      <c r="BA84" s="13">
        <f t="shared" ca="1" si="112"/>
        <v>0</v>
      </c>
      <c r="BB84" s="13">
        <f t="shared" ca="1" si="113"/>
        <v>0</v>
      </c>
      <c r="BC84" s="13">
        <f t="shared" ca="1" si="114"/>
        <v>0</v>
      </c>
      <c r="BD84" s="13">
        <f t="shared" ca="1" si="115"/>
        <v>0</v>
      </c>
      <c r="BE84" s="13">
        <f t="shared" ca="1" si="116"/>
        <v>1400</v>
      </c>
      <c r="BF84" s="13">
        <f t="shared" ca="1" si="117"/>
        <v>0</v>
      </c>
      <c r="BG84" s="13">
        <f t="shared" ca="1" si="118"/>
        <v>0</v>
      </c>
      <c r="BH84" s="13">
        <f t="shared" ca="1" si="119"/>
        <v>0</v>
      </c>
      <c r="BI84" s="13">
        <f t="shared" ca="1" si="120"/>
        <v>0</v>
      </c>
      <c r="BJ84" s="13">
        <f t="shared" ca="1" si="121"/>
        <v>1400</v>
      </c>
      <c r="BK84" s="13">
        <f t="shared" ca="1" si="122"/>
        <v>0</v>
      </c>
      <c r="BL84" s="13">
        <f t="shared" ca="1" si="123"/>
        <v>0</v>
      </c>
      <c r="BM84" s="13">
        <f t="shared" ca="1" si="124"/>
        <v>0</v>
      </c>
      <c r="BN84" s="13">
        <f t="shared" ca="1" si="125"/>
        <v>0</v>
      </c>
      <c r="BO84" s="13">
        <f t="shared" ca="1" si="126"/>
        <v>0</v>
      </c>
      <c r="BP84" s="13">
        <f t="shared" ca="1" si="127"/>
        <v>0</v>
      </c>
      <c r="BQ84" s="13">
        <f t="shared" ca="1" si="128"/>
        <v>0</v>
      </c>
    </row>
    <row r="85" spans="1:69" x14ac:dyDescent="0.25">
      <c r="A85" s="1">
        <v>84</v>
      </c>
      <c r="B85" s="13">
        <f ca="1">IF(A85=1,IF(OR('My Loans'!$O$14="",'My Loans'!$O$14=0),0,INDIRECT("'My Loans'!$D"&amp;'My Loans'!$O$14)),AE84)</f>
        <v>0</v>
      </c>
      <c r="C85" s="13">
        <f ca="1">IF(OR('My Loans'!$O$14="",'My Loans'!$O$14=0),0,B85*INDIRECT("'My Loans'!$E"&amp;'My Loans'!$O$14)/12)</f>
        <v>0</v>
      </c>
      <c r="D85" s="13">
        <f ca="1">IF(OR('My Loans'!$O$14="",'My Loans'!$O$14=0),0,IF(B85&lt;0.005,0,MIN(INDIRECT("'My Loans'!$F"&amp;'My Loans'!$O$14),B85+C85)))</f>
        <v>0</v>
      </c>
      <c r="E85" s="13">
        <f ca="1">IF(A85=1,IF(OR('My Loans'!$O$15="",'My Loans'!$O$15=0),0,INDIRECT("'My Loans'!$D"&amp;'My Loans'!$O$15)),AJ84)</f>
        <v>0</v>
      </c>
      <c r="F85" s="13">
        <f ca="1">IF(OR('My Loans'!$O$15="",'My Loans'!$O$15=0),0,E85*INDIRECT("'My Loans'!$E"&amp;'My Loans'!$O$15)/12)</f>
        <v>0</v>
      </c>
      <c r="G85" s="13">
        <f ca="1">IF(OR('My Loans'!$O$15="",'My Loans'!$O$15=0),0,IF(E85&lt;0.005,0,MIN(INDIRECT("'My Loans'!$F"&amp;'My Loans'!$O$15),E85+F85)))</f>
        <v>0</v>
      </c>
      <c r="H85" s="13">
        <f ca="1">IF(A85=1,IF(OR('My Loans'!$O$16="",'My Loans'!$O$16=0),0,INDIRECT("'My Loans'!$D"&amp;'My Loans'!$O$16)),AO84)</f>
        <v>0</v>
      </c>
      <c r="I85" s="13">
        <f ca="1">IF(OR('My Loans'!$O$16="",'My Loans'!$O$16=0),0,H85*INDIRECT("'My Loans'!$E"&amp;'My Loans'!$O$16)/12)</f>
        <v>0</v>
      </c>
      <c r="J85" s="13">
        <f ca="1">IF(OR('My Loans'!$O$16="",'My Loans'!$O$16=0),0,IF(H85&lt;0.005,0,MIN(INDIRECT("'My Loans'!$F"&amp;'My Loans'!$O$16),H85+I85)))</f>
        <v>0</v>
      </c>
      <c r="K85" s="13">
        <f ca="1">IF(A85=1,IF(OR('My Loans'!$O$17="",'My Loans'!$O$17=0),0,INDIRECT("'My Loans'!$D"&amp;'My Loans'!$O$17)),AT84)</f>
        <v>0</v>
      </c>
      <c r="L85" s="13">
        <f ca="1">IF(OR('My Loans'!$O$17="",'My Loans'!$O$17=0),0,K85*INDIRECT("'My Loans'!$E"&amp;'My Loans'!$O$17)/12)</f>
        <v>0</v>
      </c>
      <c r="M85" s="13">
        <f ca="1">IF(OR('My Loans'!$O$17="",'My Loans'!$O$17=0),0,IF(K85&lt;0.005,0,MIN(INDIRECT("'My Loans'!$F"&amp;'My Loans'!$O$17),K85+L85)))</f>
        <v>0</v>
      </c>
      <c r="N85" s="13">
        <f ca="1">IF(A85=1,IF(OR('My Loans'!$O$18="",'My Loans'!$O$18=0),0,INDIRECT("'My Loans'!$D"&amp;'My Loans'!$O$18)),AY84)</f>
        <v>0</v>
      </c>
      <c r="O85" s="13">
        <f ca="1">IF(OR('My Loans'!$O$18="",'My Loans'!$O$18=0),0,N85*INDIRECT("'My Loans'!$E"&amp;'My Loans'!$O$18)/12)</f>
        <v>0</v>
      </c>
      <c r="P85" s="13">
        <f ca="1">IF(OR('My Loans'!$O$18="",'My Loans'!$O$18=0),0,IF(N85&lt;0.005,0,MIN(INDIRECT("'My Loans'!$F"&amp;'My Loans'!$O$18),N85+O85)))</f>
        <v>0</v>
      </c>
      <c r="Q85" s="13">
        <f ca="1">IF(A85=1,IF(OR('My Loans'!$O$19="",'My Loans'!$O$19=0),0,INDIRECT("'My Loans'!$D"&amp;'My Loans'!$O$19)),BD84)</f>
        <v>0</v>
      </c>
      <c r="R85" s="13">
        <f ca="1">IF(OR('My Loans'!$O$19="",'My Loans'!$O$19=0),0,Q85*INDIRECT("'My Loans'!$E"&amp;'My Loans'!$O$19)/12)</f>
        <v>0</v>
      </c>
      <c r="S85" s="13">
        <f ca="1">IF(OR('My Loans'!$O$19="",'My Loans'!$O$19=0),0,IF(Q85&lt;0.005,0,MIN(INDIRECT("'My Loans'!$F"&amp;'My Loans'!$O$19),Q85+R85)))</f>
        <v>0</v>
      </c>
      <c r="T85" s="13">
        <f ca="1">IF(A85=1,IF(OR('My Loans'!$O$20="",'My Loans'!$O$20=0),0,INDIRECT("'My Loans'!$D"&amp;'My Loans'!$O$20)),BI84)</f>
        <v>0</v>
      </c>
      <c r="U85" s="13">
        <f ca="1">IF(OR('My Loans'!$O$20="",'My Loans'!$O$20=0),0,T85*INDIRECT("'My Loans'!$E"&amp;'My Loans'!$O$20)/12)</f>
        <v>0</v>
      </c>
      <c r="V85" s="13">
        <f ca="1">IF(OR('My Loans'!$O$20="",'My Loans'!$O$20=0),0,IF(T85&lt;0.005,0,MIN(INDIRECT("'My Loans'!$F"&amp;'My Loans'!$O$20),T85+U85)))</f>
        <v>0</v>
      </c>
      <c r="W85" s="13">
        <f ca="1">IF(A85=1,IF(OR('My Loans'!$O$21="",'My Loans'!$O$21=0),0,INDIRECT("'My Loans'!$D"&amp;'My Loans'!$O$21)),BN84)</f>
        <v>0</v>
      </c>
      <c r="X85" s="13">
        <f ca="1">IF(OR('My Loans'!$O$21="",'My Loans'!$O$21=0),0,W85*INDIRECT("'My Loans'!$E"&amp;'My Loans'!$O$21)/12)</f>
        <v>0</v>
      </c>
      <c r="Y85" s="13">
        <f ca="1">IF(OR('My Loans'!$O$21="",'My Loans'!$O$21=0),0,IF(W85&lt;0.005,0,MIN(INDIRECT("'My Loans'!$F"&amp;'My Loans'!$O$21),W85+X85)))</f>
        <v>0</v>
      </c>
      <c r="Z85" s="13">
        <f ca="1">'My Loans'!$B$13-(D85+G85+J85+M85+P85+S85+V85+Y85)</f>
        <v>1400</v>
      </c>
      <c r="AA85" s="13">
        <f t="shared" ca="1" si="86"/>
        <v>1400</v>
      </c>
      <c r="AB85" s="13">
        <f t="shared" ca="1" si="87"/>
        <v>0</v>
      </c>
      <c r="AC85" s="13">
        <f t="shared" ca="1" si="88"/>
        <v>0</v>
      </c>
      <c r="AD85" s="13">
        <f t="shared" ca="1" si="89"/>
        <v>0</v>
      </c>
      <c r="AE85" s="13">
        <f t="shared" ca="1" si="90"/>
        <v>0</v>
      </c>
      <c r="AF85" s="13">
        <f t="shared" ca="1" si="91"/>
        <v>1400</v>
      </c>
      <c r="AG85" s="13">
        <f t="shared" ca="1" si="92"/>
        <v>0</v>
      </c>
      <c r="AH85" s="13">
        <f t="shared" ca="1" si="93"/>
        <v>0</v>
      </c>
      <c r="AI85" s="13">
        <f t="shared" ca="1" si="94"/>
        <v>0</v>
      </c>
      <c r="AJ85" s="13">
        <f t="shared" ca="1" si="95"/>
        <v>0</v>
      </c>
      <c r="AK85" s="13">
        <f t="shared" ca="1" si="96"/>
        <v>1400</v>
      </c>
      <c r="AL85" s="13">
        <f t="shared" ca="1" si="97"/>
        <v>0</v>
      </c>
      <c r="AM85" s="13">
        <f t="shared" ca="1" si="98"/>
        <v>0</v>
      </c>
      <c r="AN85" s="13">
        <f t="shared" ca="1" si="99"/>
        <v>0</v>
      </c>
      <c r="AO85" s="13">
        <f t="shared" ca="1" si="100"/>
        <v>0</v>
      </c>
      <c r="AP85" s="13">
        <f t="shared" ca="1" si="101"/>
        <v>1400</v>
      </c>
      <c r="AQ85" s="13">
        <f t="shared" ca="1" si="102"/>
        <v>0</v>
      </c>
      <c r="AR85" s="13">
        <f t="shared" ca="1" si="103"/>
        <v>0</v>
      </c>
      <c r="AS85" s="13">
        <f t="shared" ca="1" si="104"/>
        <v>0</v>
      </c>
      <c r="AT85" s="13">
        <f t="shared" ca="1" si="105"/>
        <v>0</v>
      </c>
      <c r="AU85" s="13">
        <f t="shared" ca="1" si="106"/>
        <v>1400</v>
      </c>
      <c r="AV85" s="13">
        <f t="shared" ca="1" si="107"/>
        <v>0</v>
      </c>
      <c r="AW85" s="13">
        <f t="shared" ca="1" si="108"/>
        <v>0</v>
      </c>
      <c r="AX85" s="13">
        <f t="shared" ca="1" si="109"/>
        <v>0</v>
      </c>
      <c r="AY85" s="13">
        <f t="shared" ca="1" si="110"/>
        <v>0</v>
      </c>
      <c r="AZ85" s="13">
        <f t="shared" ca="1" si="111"/>
        <v>1400</v>
      </c>
      <c r="BA85" s="13">
        <f t="shared" ca="1" si="112"/>
        <v>0</v>
      </c>
      <c r="BB85" s="13">
        <f t="shared" ca="1" si="113"/>
        <v>0</v>
      </c>
      <c r="BC85" s="13">
        <f t="shared" ca="1" si="114"/>
        <v>0</v>
      </c>
      <c r="BD85" s="13">
        <f t="shared" ca="1" si="115"/>
        <v>0</v>
      </c>
      <c r="BE85" s="13">
        <f t="shared" ca="1" si="116"/>
        <v>1400</v>
      </c>
      <c r="BF85" s="13">
        <f t="shared" ca="1" si="117"/>
        <v>0</v>
      </c>
      <c r="BG85" s="13">
        <f t="shared" ca="1" si="118"/>
        <v>0</v>
      </c>
      <c r="BH85" s="13">
        <f t="shared" ca="1" si="119"/>
        <v>0</v>
      </c>
      <c r="BI85" s="13">
        <f t="shared" ca="1" si="120"/>
        <v>0</v>
      </c>
      <c r="BJ85" s="13">
        <f t="shared" ca="1" si="121"/>
        <v>1400</v>
      </c>
      <c r="BK85" s="13">
        <f t="shared" ca="1" si="122"/>
        <v>0</v>
      </c>
      <c r="BL85" s="13">
        <f t="shared" ca="1" si="123"/>
        <v>0</v>
      </c>
      <c r="BM85" s="13">
        <f t="shared" ca="1" si="124"/>
        <v>0</v>
      </c>
      <c r="BN85" s="13">
        <f t="shared" ca="1" si="125"/>
        <v>0</v>
      </c>
      <c r="BO85" s="13">
        <f t="shared" ca="1" si="126"/>
        <v>0</v>
      </c>
      <c r="BP85" s="13">
        <f t="shared" ca="1" si="127"/>
        <v>0</v>
      </c>
      <c r="BQ85" s="13">
        <f t="shared" ca="1" si="128"/>
        <v>0</v>
      </c>
    </row>
    <row r="86" spans="1:69" x14ac:dyDescent="0.25">
      <c r="A86" s="1">
        <v>85</v>
      </c>
      <c r="B86" s="13">
        <f ca="1">IF(A86=1,IF(OR('My Loans'!$O$14="",'My Loans'!$O$14=0),0,INDIRECT("'My Loans'!$D"&amp;'My Loans'!$O$14)),AE85)</f>
        <v>0</v>
      </c>
      <c r="C86" s="13">
        <f ca="1">IF(OR('My Loans'!$O$14="",'My Loans'!$O$14=0),0,B86*INDIRECT("'My Loans'!$E"&amp;'My Loans'!$O$14)/12)</f>
        <v>0</v>
      </c>
      <c r="D86" s="13">
        <f ca="1">IF(OR('My Loans'!$O$14="",'My Loans'!$O$14=0),0,IF(B86&lt;0.005,0,MIN(INDIRECT("'My Loans'!$F"&amp;'My Loans'!$O$14),B86+C86)))</f>
        <v>0</v>
      </c>
      <c r="E86" s="13">
        <f ca="1">IF(A86=1,IF(OR('My Loans'!$O$15="",'My Loans'!$O$15=0),0,INDIRECT("'My Loans'!$D"&amp;'My Loans'!$O$15)),AJ85)</f>
        <v>0</v>
      </c>
      <c r="F86" s="13">
        <f ca="1">IF(OR('My Loans'!$O$15="",'My Loans'!$O$15=0),0,E86*INDIRECT("'My Loans'!$E"&amp;'My Loans'!$O$15)/12)</f>
        <v>0</v>
      </c>
      <c r="G86" s="13">
        <f ca="1">IF(OR('My Loans'!$O$15="",'My Loans'!$O$15=0),0,IF(E86&lt;0.005,0,MIN(INDIRECT("'My Loans'!$F"&amp;'My Loans'!$O$15),E86+F86)))</f>
        <v>0</v>
      </c>
      <c r="H86" s="13">
        <f ca="1">IF(A86=1,IF(OR('My Loans'!$O$16="",'My Loans'!$O$16=0),0,INDIRECT("'My Loans'!$D"&amp;'My Loans'!$O$16)),AO85)</f>
        <v>0</v>
      </c>
      <c r="I86" s="13">
        <f ca="1">IF(OR('My Loans'!$O$16="",'My Loans'!$O$16=0),0,H86*INDIRECT("'My Loans'!$E"&amp;'My Loans'!$O$16)/12)</f>
        <v>0</v>
      </c>
      <c r="J86" s="13">
        <f ca="1">IF(OR('My Loans'!$O$16="",'My Loans'!$O$16=0),0,IF(H86&lt;0.005,0,MIN(INDIRECT("'My Loans'!$F"&amp;'My Loans'!$O$16),H86+I86)))</f>
        <v>0</v>
      </c>
      <c r="K86" s="13">
        <f ca="1">IF(A86=1,IF(OR('My Loans'!$O$17="",'My Loans'!$O$17=0),0,INDIRECT("'My Loans'!$D"&amp;'My Loans'!$O$17)),AT85)</f>
        <v>0</v>
      </c>
      <c r="L86" s="13">
        <f ca="1">IF(OR('My Loans'!$O$17="",'My Loans'!$O$17=0),0,K86*INDIRECT("'My Loans'!$E"&amp;'My Loans'!$O$17)/12)</f>
        <v>0</v>
      </c>
      <c r="M86" s="13">
        <f ca="1">IF(OR('My Loans'!$O$17="",'My Loans'!$O$17=0),0,IF(K86&lt;0.005,0,MIN(INDIRECT("'My Loans'!$F"&amp;'My Loans'!$O$17),K86+L86)))</f>
        <v>0</v>
      </c>
      <c r="N86" s="13">
        <f ca="1">IF(A86=1,IF(OR('My Loans'!$O$18="",'My Loans'!$O$18=0),0,INDIRECT("'My Loans'!$D"&amp;'My Loans'!$O$18)),AY85)</f>
        <v>0</v>
      </c>
      <c r="O86" s="13">
        <f ca="1">IF(OR('My Loans'!$O$18="",'My Loans'!$O$18=0),0,N86*INDIRECT("'My Loans'!$E"&amp;'My Loans'!$O$18)/12)</f>
        <v>0</v>
      </c>
      <c r="P86" s="13">
        <f ca="1">IF(OR('My Loans'!$O$18="",'My Loans'!$O$18=0),0,IF(N86&lt;0.005,0,MIN(INDIRECT("'My Loans'!$F"&amp;'My Loans'!$O$18),N86+O86)))</f>
        <v>0</v>
      </c>
      <c r="Q86" s="13">
        <f ca="1">IF(A86=1,IF(OR('My Loans'!$O$19="",'My Loans'!$O$19=0),0,INDIRECT("'My Loans'!$D"&amp;'My Loans'!$O$19)),BD85)</f>
        <v>0</v>
      </c>
      <c r="R86" s="13">
        <f ca="1">IF(OR('My Loans'!$O$19="",'My Loans'!$O$19=0),0,Q86*INDIRECT("'My Loans'!$E"&amp;'My Loans'!$O$19)/12)</f>
        <v>0</v>
      </c>
      <c r="S86" s="13">
        <f ca="1">IF(OR('My Loans'!$O$19="",'My Loans'!$O$19=0),0,IF(Q86&lt;0.005,0,MIN(INDIRECT("'My Loans'!$F"&amp;'My Loans'!$O$19),Q86+R86)))</f>
        <v>0</v>
      </c>
      <c r="T86" s="13">
        <f ca="1">IF(A86=1,IF(OR('My Loans'!$O$20="",'My Loans'!$O$20=0),0,INDIRECT("'My Loans'!$D"&amp;'My Loans'!$O$20)),BI85)</f>
        <v>0</v>
      </c>
      <c r="U86" s="13">
        <f ca="1">IF(OR('My Loans'!$O$20="",'My Loans'!$O$20=0),0,T86*INDIRECT("'My Loans'!$E"&amp;'My Loans'!$O$20)/12)</f>
        <v>0</v>
      </c>
      <c r="V86" s="13">
        <f ca="1">IF(OR('My Loans'!$O$20="",'My Loans'!$O$20=0),0,IF(T86&lt;0.005,0,MIN(INDIRECT("'My Loans'!$F"&amp;'My Loans'!$O$20),T86+U86)))</f>
        <v>0</v>
      </c>
      <c r="W86" s="13">
        <f ca="1">IF(A86=1,IF(OR('My Loans'!$O$21="",'My Loans'!$O$21=0),0,INDIRECT("'My Loans'!$D"&amp;'My Loans'!$O$21)),BN85)</f>
        <v>0</v>
      </c>
      <c r="X86" s="13">
        <f ca="1">IF(OR('My Loans'!$O$21="",'My Loans'!$O$21=0),0,W86*INDIRECT("'My Loans'!$E"&amp;'My Loans'!$O$21)/12)</f>
        <v>0</v>
      </c>
      <c r="Y86" s="13">
        <f ca="1">IF(OR('My Loans'!$O$21="",'My Loans'!$O$21=0),0,IF(W86&lt;0.005,0,MIN(INDIRECT("'My Loans'!$F"&amp;'My Loans'!$O$21),W86+X86)))</f>
        <v>0</v>
      </c>
      <c r="Z86" s="13">
        <f ca="1">'My Loans'!$B$13-(D86+G86+J86+M86+P86+S86+V86+Y86)</f>
        <v>1400</v>
      </c>
      <c r="AA86" s="13">
        <f t="shared" ca="1" si="86"/>
        <v>1400</v>
      </c>
      <c r="AB86" s="13">
        <f t="shared" ca="1" si="87"/>
        <v>0</v>
      </c>
      <c r="AC86" s="13">
        <f t="shared" ca="1" si="88"/>
        <v>0</v>
      </c>
      <c r="AD86" s="13">
        <f t="shared" ca="1" si="89"/>
        <v>0</v>
      </c>
      <c r="AE86" s="13">
        <f t="shared" ca="1" si="90"/>
        <v>0</v>
      </c>
      <c r="AF86" s="13">
        <f t="shared" ca="1" si="91"/>
        <v>1400</v>
      </c>
      <c r="AG86" s="13">
        <f t="shared" ca="1" si="92"/>
        <v>0</v>
      </c>
      <c r="AH86" s="13">
        <f t="shared" ca="1" si="93"/>
        <v>0</v>
      </c>
      <c r="AI86" s="13">
        <f t="shared" ca="1" si="94"/>
        <v>0</v>
      </c>
      <c r="AJ86" s="13">
        <f t="shared" ca="1" si="95"/>
        <v>0</v>
      </c>
      <c r="AK86" s="13">
        <f t="shared" ca="1" si="96"/>
        <v>1400</v>
      </c>
      <c r="AL86" s="13">
        <f t="shared" ca="1" si="97"/>
        <v>0</v>
      </c>
      <c r="AM86" s="13">
        <f t="shared" ca="1" si="98"/>
        <v>0</v>
      </c>
      <c r="AN86" s="13">
        <f t="shared" ca="1" si="99"/>
        <v>0</v>
      </c>
      <c r="AO86" s="13">
        <f t="shared" ca="1" si="100"/>
        <v>0</v>
      </c>
      <c r="AP86" s="13">
        <f t="shared" ca="1" si="101"/>
        <v>1400</v>
      </c>
      <c r="AQ86" s="13">
        <f t="shared" ca="1" si="102"/>
        <v>0</v>
      </c>
      <c r="AR86" s="13">
        <f t="shared" ca="1" si="103"/>
        <v>0</v>
      </c>
      <c r="AS86" s="13">
        <f t="shared" ca="1" si="104"/>
        <v>0</v>
      </c>
      <c r="AT86" s="13">
        <f t="shared" ca="1" si="105"/>
        <v>0</v>
      </c>
      <c r="AU86" s="13">
        <f t="shared" ca="1" si="106"/>
        <v>1400</v>
      </c>
      <c r="AV86" s="13">
        <f t="shared" ca="1" si="107"/>
        <v>0</v>
      </c>
      <c r="AW86" s="13">
        <f t="shared" ca="1" si="108"/>
        <v>0</v>
      </c>
      <c r="AX86" s="13">
        <f t="shared" ca="1" si="109"/>
        <v>0</v>
      </c>
      <c r="AY86" s="13">
        <f t="shared" ca="1" si="110"/>
        <v>0</v>
      </c>
      <c r="AZ86" s="13">
        <f t="shared" ca="1" si="111"/>
        <v>1400</v>
      </c>
      <c r="BA86" s="13">
        <f t="shared" ca="1" si="112"/>
        <v>0</v>
      </c>
      <c r="BB86" s="13">
        <f t="shared" ca="1" si="113"/>
        <v>0</v>
      </c>
      <c r="BC86" s="13">
        <f t="shared" ca="1" si="114"/>
        <v>0</v>
      </c>
      <c r="BD86" s="13">
        <f t="shared" ca="1" si="115"/>
        <v>0</v>
      </c>
      <c r="BE86" s="13">
        <f t="shared" ca="1" si="116"/>
        <v>1400</v>
      </c>
      <c r="BF86" s="13">
        <f t="shared" ca="1" si="117"/>
        <v>0</v>
      </c>
      <c r="BG86" s="13">
        <f t="shared" ca="1" si="118"/>
        <v>0</v>
      </c>
      <c r="BH86" s="13">
        <f t="shared" ca="1" si="119"/>
        <v>0</v>
      </c>
      <c r="BI86" s="13">
        <f t="shared" ca="1" si="120"/>
        <v>0</v>
      </c>
      <c r="BJ86" s="13">
        <f t="shared" ca="1" si="121"/>
        <v>1400</v>
      </c>
      <c r="BK86" s="13">
        <f t="shared" ca="1" si="122"/>
        <v>0</v>
      </c>
      <c r="BL86" s="13">
        <f t="shared" ca="1" si="123"/>
        <v>0</v>
      </c>
      <c r="BM86" s="13">
        <f t="shared" ca="1" si="124"/>
        <v>0</v>
      </c>
      <c r="BN86" s="13">
        <f t="shared" ca="1" si="125"/>
        <v>0</v>
      </c>
      <c r="BO86" s="13">
        <f t="shared" ca="1" si="126"/>
        <v>0</v>
      </c>
      <c r="BP86" s="13">
        <f t="shared" ca="1" si="127"/>
        <v>0</v>
      </c>
      <c r="BQ86" s="13">
        <f t="shared" ca="1" si="128"/>
        <v>0</v>
      </c>
    </row>
    <row r="87" spans="1:69" x14ac:dyDescent="0.25">
      <c r="A87" s="1">
        <v>86</v>
      </c>
      <c r="B87" s="13">
        <f ca="1">IF(A87=1,IF(OR('My Loans'!$O$14="",'My Loans'!$O$14=0),0,INDIRECT("'My Loans'!$D"&amp;'My Loans'!$O$14)),AE86)</f>
        <v>0</v>
      </c>
      <c r="C87" s="13">
        <f ca="1">IF(OR('My Loans'!$O$14="",'My Loans'!$O$14=0),0,B87*INDIRECT("'My Loans'!$E"&amp;'My Loans'!$O$14)/12)</f>
        <v>0</v>
      </c>
      <c r="D87" s="13">
        <f ca="1">IF(OR('My Loans'!$O$14="",'My Loans'!$O$14=0),0,IF(B87&lt;0.005,0,MIN(INDIRECT("'My Loans'!$F"&amp;'My Loans'!$O$14),B87+C87)))</f>
        <v>0</v>
      </c>
      <c r="E87" s="13">
        <f ca="1">IF(A87=1,IF(OR('My Loans'!$O$15="",'My Loans'!$O$15=0),0,INDIRECT("'My Loans'!$D"&amp;'My Loans'!$O$15)),AJ86)</f>
        <v>0</v>
      </c>
      <c r="F87" s="13">
        <f ca="1">IF(OR('My Loans'!$O$15="",'My Loans'!$O$15=0),0,E87*INDIRECT("'My Loans'!$E"&amp;'My Loans'!$O$15)/12)</f>
        <v>0</v>
      </c>
      <c r="G87" s="13">
        <f ca="1">IF(OR('My Loans'!$O$15="",'My Loans'!$O$15=0),0,IF(E87&lt;0.005,0,MIN(INDIRECT("'My Loans'!$F"&amp;'My Loans'!$O$15),E87+F87)))</f>
        <v>0</v>
      </c>
      <c r="H87" s="13">
        <f ca="1">IF(A87=1,IF(OR('My Loans'!$O$16="",'My Loans'!$O$16=0),0,INDIRECT("'My Loans'!$D"&amp;'My Loans'!$O$16)),AO86)</f>
        <v>0</v>
      </c>
      <c r="I87" s="13">
        <f ca="1">IF(OR('My Loans'!$O$16="",'My Loans'!$O$16=0),0,H87*INDIRECT("'My Loans'!$E"&amp;'My Loans'!$O$16)/12)</f>
        <v>0</v>
      </c>
      <c r="J87" s="13">
        <f ca="1">IF(OR('My Loans'!$O$16="",'My Loans'!$O$16=0),0,IF(H87&lt;0.005,0,MIN(INDIRECT("'My Loans'!$F"&amp;'My Loans'!$O$16),H87+I87)))</f>
        <v>0</v>
      </c>
      <c r="K87" s="13">
        <f ca="1">IF(A87=1,IF(OR('My Loans'!$O$17="",'My Loans'!$O$17=0),0,INDIRECT("'My Loans'!$D"&amp;'My Loans'!$O$17)),AT86)</f>
        <v>0</v>
      </c>
      <c r="L87" s="13">
        <f ca="1">IF(OR('My Loans'!$O$17="",'My Loans'!$O$17=0),0,K87*INDIRECT("'My Loans'!$E"&amp;'My Loans'!$O$17)/12)</f>
        <v>0</v>
      </c>
      <c r="M87" s="13">
        <f ca="1">IF(OR('My Loans'!$O$17="",'My Loans'!$O$17=0),0,IF(K87&lt;0.005,0,MIN(INDIRECT("'My Loans'!$F"&amp;'My Loans'!$O$17),K87+L87)))</f>
        <v>0</v>
      </c>
      <c r="N87" s="13">
        <f ca="1">IF(A87=1,IF(OR('My Loans'!$O$18="",'My Loans'!$O$18=0),0,INDIRECT("'My Loans'!$D"&amp;'My Loans'!$O$18)),AY86)</f>
        <v>0</v>
      </c>
      <c r="O87" s="13">
        <f ca="1">IF(OR('My Loans'!$O$18="",'My Loans'!$O$18=0),0,N87*INDIRECT("'My Loans'!$E"&amp;'My Loans'!$O$18)/12)</f>
        <v>0</v>
      </c>
      <c r="P87" s="13">
        <f ca="1">IF(OR('My Loans'!$O$18="",'My Loans'!$O$18=0),0,IF(N87&lt;0.005,0,MIN(INDIRECT("'My Loans'!$F"&amp;'My Loans'!$O$18),N87+O87)))</f>
        <v>0</v>
      </c>
      <c r="Q87" s="13">
        <f ca="1">IF(A87=1,IF(OR('My Loans'!$O$19="",'My Loans'!$O$19=0),0,INDIRECT("'My Loans'!$D"&amp;'My Loans'!$O$19)),BD86)</f>
        <v>0</v>
      </c>
      <c r="R87" s="13">
        <f ca="1">IF(OR('My Loans'!$O$19="",'My Loans'!$O$19=0),0,Q87*INDIRECT("'My Loans'!$E"&amp;'My Loans'!$O$19)/12)</f>
        <v>0</v>
      </c>
      <c r="S87" s="13">
        <f ca="1">IF(OR('My Loans'!$O$19="",'My Loans'!$O$19=0),0,IF(Q87&lt;0.005,0,MIN(INDIRECT("'My Loans'!$F"&amp;'My Loans'!$O$19),Q87+R87)))</f>
        <v>0</v>
      </c>
      <c r="T87" s="13">
        <f ca="1">IF(A87=1,IF(OR('My Loans'!$O$20="",'My Loans'!$O$20=0),0,INDIRECT("'My Loans'!$D"&amp;'My Loans'!$O$20)),BI86)</f>
        <v>0</v>
      </c>
      <c r="U87" s="13">
        <f ca="1">IF(OR('My Loans'!$O$20="",'My Loans'!$O$20=0),0,T87*INDIRECT("'My Loans'!$E"&amp;'My Loans'!$O$20)/12)</f>
        <v>0</v>
      </c>
      <c r="V87" s="13">
        <f ca="1">IF(OR('My Loans'!$O$20="",'My Loans'!$O$20=0),0,IF(T87&lt;0.005,0,MIN(INDIRECT("'My Loans'!$F"&amp;'My Loans'!$O$20),T87+U87)))</f>
        <v>0</v>
      </c>
      <c r="W87" s="13">
        <f ca="1">IF(A87=1,IF(OR('My Loans'!$O$21="",'My Loans'!$O$21=0),0,INDIRECT("'My Loans'!$D"&amp;'My Loans'!$O$21)),BN86)</f>
        <v>0</v>
      </c>
      <c r="X87" s="13">
        <f ca="1">IF(OR('My Loans'!$O$21="",'My Loans'!$O$21=0),0,W87*INDIRECT("'My Loans'!$E"&amp;'My Loans'!$O$21)/12)</f>
        <v>0</v>
      </c>
      <c r="Y87" s="13">
        <f ca="1">IF(OR('My Loans'!$O$21="",'My Loans'!$O$21=0),0,IF(W87&lt;0.005,0,MIN(INDIRECT("'My Loans'!$F"&amp;'My Loans'!$O$21),W87+X87)))</f>
        <v>0</v>
      </c>
      <c r="Z87" s="13">
        <f ca="1">'My Loans'!$B$13-(D87+G87+J87+M87+P87+S87+V87+Y87)</f>
        <v>1400</v>
      </c>
      <c r="AA87" s="13">
        <f t="shared" ca="1" si="86"/>
        <v>1400</v>
      </c>
      <c r="AB87" s="13">
        <f t="shared" ca="1" si="87"/>
        <v>0</v>
      </c>
      <c r="AC87" s="13">
        <f t="shared" ca="1" si="88"/>
        <v>0</v>
      </c>
      <c r="AD87" s="13">
        <f t="shared" ca="1" si="89"/>
        <v>0</v>
      </c>
      <c r="AE87" s="13">
        <f t="shared" ca="1" si="90"/>
        <v>0</v>
      </c>
      <c r="AF87" s="13">
        <f t="shared" ca="1" si="91"/>
        <v>1400</v>
      </c>
      <c r="AG87" s="13">
        <f t="shared" ca="1" si="92"/>
        <v>0</v>
      </c>
      <c r="AH87" s="13">
        <f t="shared" ca="1" si="93"/>
        <v>0</v>
      </c>
      <c r="AI87" s="13">
        <f t="shared" ca="1" si="94"/>
        <v>0</v>
      </c>
      <c r="AJ87" s="13">
        <f t="shared" ca="1" si="95"/>
        <v>0</v>
      </c>
      <c r="AK87" s="13">
        <f t="shared" ca="1" si="96"/>
        <v>1400</v>
      </c>
      <c r="AL87" s="13">
        <f t="shared" ca="1" si="97"/>
        <v>0</v>
      </c>
      <c r="AM87" s="13">
        <f t="shared" ca="1" si="98"/>
        <v>0</v>
      </c>
      <c r="AN87" s="13">
        <f t="shared" ca="1" si="99"/>
        <v>0</v>
      </c>
      <c r="AO87" s="13">
        <f t="shared" ca="1" si="100"/>
        <v>0</v>
      </c>
      <c r="AP87" s="13">
        <f t="shared" ca="1" si="101"/>
        <v>1400</v>
      </c>
      <c r="AQ87" s="13">
        <f t="shared" ca="1" si="102"/>
        <v>0</v>
      </c>
      <c r="AR87" s="13">
        <f t="shared" ca="1" si="103"/>
        <v>0</v>
      </c>
      <c r="AS87" s="13">
        <f t="shared" ca="1" si="104"/>
        <v>0</v>
      </c>
      <c r="AT87" s="13">
        <f t="shared" ca="1" si="105"/>
        <v>0</v>
      </c>
      <c r="AU87" s="13">
        <f t="shared" ca="1" si="106"/>
        <v>1400</v>
      </c>
      <c r="AV87" s="13">
        <f t="shared" ca="1" si="107"/>
        <v>0</v>
      </c>
      <c r="AW87" s="13">
        <f t="shared" ca="1" si="108"/>
        <v>0</v>
      </c>
      <c r="AX87" s="13">
        <f t="shared" ca="1" si="109"/>
        <v>0</v>
      </c>
      <c r="AY87" s="13">
        <f t="shared" ca="1" si="110"/>
        <v>0</v>
      </c>
      <c r="AZ87" s="13">
        <f t="shared" ca="1" si="111"/>
        <v>1400</v>
      </c>
      <c r="BA87" s="13">
        <f t="shared" ca="1" si="112"/>
        <v>0</v>
      </c>
      <c r="BB87" s="13">
        <f t="shared" ca="1" si="113"/>
        <v>0</v>
      </c>
      <c r="BC87" s="13">
        <f t="shared" ca="1" si="114"/>
        <v>0</v>
      </c>
      <c r="BD87" s="13">
        <f t="shared" ca="1" si="115"/>
        <v>0</v>
      </c>
      <c r="BE87" s="13">
        <f t="shared" ca="1" si="116"/>
        <v>1400</v>
      </c>
      <c r="BF87" s="13">
        <f t="shared" ca="1" si="117"/>
        <v>0</v>
      </c>
      <c r="BG87" s="13">
        <f t="shared" ca="1" si="118"/>
        <v>0</v>
      </c>
      <c r="BH87" s="13">
        <f t="shared" ca="1" si="119"/>
        <v>0</v>
      </c>
      <c r="BI87" s="13">
        <f t="shared" ca="1" si="120"/>
        <v>0</v>
      </c>
      <c r="BJ87" s="13">
        <f t="shared" ca="1" si="121"/>
        <v>1400</v>
      </c>
      <c r="BK87" s="13">
        <f t="shared" ca="1" si="122"/>
        <v>0</v>
      </c>
      <c r="BL87" s="13">
        <f t="shared" ca="1" si="123"/>
        <v>0</v>
      </c>
      <c r="BM87" s="13">
        <f t="shared" ca="1" si="124"/>
        <v>0</v>
      </c>
      <c r="BN87" s="13">
        <f t="shared" ca="1" si="125"/>
        <v>0</v>
      </c>
      <c r="BO87" s="13">
        <f t="shared" ca="1" si="126"/>
        <v>0</v>
      </c>
      <c r="BP87" s="13">
        <f t="shared" ca="1" si="127"/>
        <v>0</v>
      </c>
      <c r="BQ87" s="13">
        <f t="shared" ca="1" si="128"/>
        <v>0</v>
      </c>
    </row>
    <row r="88" spans="1:69" x14ac:dyDescent="0.25">
      <c r="A88" s="1">
        <v>87</v>
      </c>
      <c r="B88" s="13">
        <f ca="1">IF(A88=1,IF(OR('My Loans'!$O$14="",'My Loans'!$O$14=0),0,INDIRECT("'My Loans'!$D"&amp;'My Loans'!$O$14)),AE87)</f>
        <v>0</v>
      </c>
      <c r="C88" s="13">
        <f ca="1">IF(OR('My Loans'!$O$14="",'My Loans'!$O$14=0),0,B88*INDIRECT("'My Loans'!$E"&amp;'My Loans'!$O$14)/12)</f>
        <v>0</v>
      </c>
      <c r="D88" s="13">
        <f ca="1">IF(OR('My Loans'!$O$14="",'My Loans'!$O$14=0),0,IF(B88&lt;0.005,0,MIN(INDIRECT("'My Loans'!$F"&amp;'My Loans'!$O$14),B88+C88)))</f>
        <v>0</v>
      </c>
      <c r="E88" s="13">
        <f ca="1">IF(A88=1,IF(OR('My Loans'!$O$15="",'My Loans'!$O$15=0),0,INDIRECT("'My Loans'!$D"&amp;'My Loans'!$O$15)),AJ87)</f>
        <v>0</v>
      </c>
      <c r="F88" s="13">
        <f ca="1">IF(OR('My Loans'!$O$15="",'My Loans'!$O$15=0),0,E88*INDIRECT("'My Loans'!$E"&amp;'My Loans'!$O$15)/12)</f>
        <v>0</v>
      </c>
      <c r="G88" s="13">
        <f ca="1">IF(OR('My Loans'!$O$15="",'My Loans'!$O$15=0),0,IF(E88&lt;0.005,0,MIN(INDIRECT("'My Loans'!$F"&amp;'My Loans'!$O$15),E88+F88)))</f>
        <v>0</v>
      </c>
      <c r="H88" s="13">
        <f ca="1">IF(A88=1,IF(OR('My Loans'!$O$16="",'My Loans'!$O$16=0),0,INDIRECT("'My Loans'!$D"&amp;'My Loans'!$O$16)),AO87)</f>
        <v>0</v>
      </c>
      <c r="I88" s="13">
        <f ca="1">IF(OR('My Loans'!$O$16="",'My Loans'!$O$16=0),0,H88*INDIRECT("'My Loans'!$E"&amp;'My Loans'!$O$16)/12)</f>
        <v>0</v>
      </c>
      <c r="J88" s="13">
        <f ca="1">IF(OR('My Loans'!$O$16="",'My Loans'!$O$16=0),0,IF(H88&lt;0.005,0,MIN(INDIRECT("'My Loans'!$F"&amp;'My Loans'!$O$16),H88+I88)))</f>
        <v>0</v>
      </c>
      <c r="K88" s="13">
        <f ca="1">IF(A88=1,IF(OR('My Loans'!$O$17="",'My Loans'!$O$17=0),0,INDIRECT("'My Loans'!$D"&amp;'My Loans'!$O$17)),AT87)</f>
        <v>0</v>
      </c>
      <c r="L88" s="13">
        <f ca="1">IF(OR('My Loans'!$O$17="",'My Loans'!$O$17=0),0,K88*INDIRECT("'My Loans'!$E"&amp;'My Loans'!$O$17)/12)</f>
        <v>0</v>
      </c>
      <c r="M88" s="13">
        <f ca="1">IF(OR('My Loans'!$O$17="",'My Loans'!$O$17=0),0,IF(K88&lt;0.005,0,MIN(INDIRECT("'My Loans'!$F"&amp;'My Loans'!$O$17),K88+L88)))</f>
        <v>0</v>
      </c>
      <c r="N88" s="13">
        <f ca="1">IF(A88=1,IF(OR('My Loans'!$O$18="",'My Loans'!$O$18=0),0,INDIRECT("'My Loans'!$D"&amp;'My Loans'!$O$18)),AY87)</f>
        <v>0</v>
      </c>
      <c r="O88" s="13">
        <f ca="1">IF(OR('My Loans'!$O$18="",'My Loans'!$O$18=0),0,N88*INDIRECT("'My Loans'!$E"&amp;'My Loans'!$O$18)/12)</f>
        <v>0</v>
      </c>
      <c r="P88" s="13">
        <f ca="1">IF(OR('My Loans'!$O$18="",'My Loans'!$O$18=0),0,IF(N88&lt;0.005,0,MIN(INDIRECT("'My Loans'!$F"&amp;'My Loans'!$O$18),N88+O88)))</f>
        <v>0</v>
      </c>
      <c r="Q88" s="13">
        <f ca="1">IF(A88=1,IF(OR('My Loans'!$O$19="",'My Loans'!$O$19=0),0,INDIRECT("'My Loans'!$D"&amp;'My Loans'!$O$19)),BD87)</f>
        <v>0</v>
      </c>
      <c r="R88" s="13">
        <f ca="1">IF(OR('My Loans'!$O$19="",'My Loans'!$O$19=0),0,Q88*INDIRECT("'My Loans'!$E"&amp;'My Loans'!$O$19)/12)</f>
        <v>0</v>
      </c>
      <c r="S88" s="13">
        <f ca="1">IF(OR('My Loans'!$O$19="",'My Loans'!$O$19=0),0,IF(Q88&lt;0.005,0,MIN(INDIRECT("'My Loans'!$F"&amp;'My Loans'!$O$19),Q88+R88)))</f>
        <v>0</v>
      </c>
      <c r="T88" s="13">
        <f ca="1">IF(A88=1,IF(OR('My Loans'!$O$20="",'My Loans'!$O$20=0),0,INDIRECT("'My Loans'!$D"&amp;'My Loans'!$O$20)),BI87)</f>
        <v>0</v>
      </c>
      <c r="U88" s="13">
        <f ca="1">IF(OR('My Loans'!$O$20="",'My Loans'!$O$20=0),0,T88*INDIRECT("'My Loans'!$E"&amp;'My Loans'!$O$20)/12)</f>
        <v>0</v>
      </c>
      <c r="V88" s="13">
        <f ca="1">IF(OR('My Loans'!$O$20="",'My Loans'!$O$20=0),0,IF(T88&lt;0.005,0,MIN(INDIRECT("'My Loans'!$F"&amp;'My Loans'!$O$20),T88+U88)))</f>
        <v>0</v>
      </c>
      <c r="W88" s="13">
        <f ca="1">IF(A88=1,IF(OR('My Loans'!$O$21="",'My Loans'!$O$21=0),0,INDIRECT("'My Loans'!$D"&amp;'My Loans'!$O$21)),BN87)</f>
        <v>0</v>
      </c>
      <c r="X88" s="13">
        <f ca="1">IF(OR('My Loans'!$O$21="",'My Loans'!$O$21=0),0,W88*INDIRECT("'My Loans'!$E"&amp;'My Loans'!$O$21)/12)</f>
        <v>0</v>
      </c>
      <c r="Y88" s="13">
        <f ca="1">IF(OR('My Loans'!$O$21="",'My Loans'!$O$21=0),0,IF(W88&lt;0.005,0,MIN(INDIRECT("'My Loans'!$F"&amp;'My Loans'!$O$21),W88+X88)))</f>
        <v>0</v>
      </c>
      <c r="Z88" s="13">
        <f ca="1">'My Loans'!$B$13-(D88+G88+J88+M88+P88+S88+V88+Y88)</f>
        <v>1400</v>
      </c>
      <c r="AA88" s="13">
        <f t="shared" ca="1" si="86"/>
        <v>1400</v>
      </c>
      <c r="AB88" s="13">
        <f t="shared" ca="1" si="87"/>
        <v>0</v>
      </c>
      <c r="AC88" s="13">
        <f t="shared" ca="1" si="88"/>
        <v>0</v>
      </c>
      <c r="AD88" s="13">
        <f t="shared" ca="1" si="89"/>
        <v>0</v>
      </c>
      <c r="AE88" s="13">
        <f t="shared" ca="1" si="90"/>
        <v>0</v>
      </c>
      <c r="AF88" s="13">
        <f t="shared" ca="1" si="91"/>
        <v>1400</v>
      </c>
      <c r="AG88" s="13">
        <f t="shared" ca="1" si="92"/>
        <v>0</v>
      </c>
      <c r="AH88" s="13">
        <f t="shared" ca="1" si="93"/>
        <v>0</v>
      </c>
      <c r="AI88" s="13">
        <f t="shared" ca="1" si="94"/>
        <v>0</v>
      </c>
      <c r="AJ88" s="13">
        <f t="shared" ca="1" si="95"/>
        <v>0</v>
      </c>
      <c r="AK88" s="13">
        <f t="shared" ca="1" si="96"/>
        <v>1400</v>
      </c>
      <c r="AL88" s="13">
        <f t="shared" ca="1" si="97"/>
        <v>0</v>
      </c>
      <c r="AM88" s="13">
        <f t="shared" ca="1" si="98"/>
        <v>0</v>
      </c>
      <c r="AN88" s="13">
        <f t="shared" ca="1" si="99"/>
        <v>0</v>
      </c>
      <c r="AO88" s="13">
        <f t="shared" ca="1" si="100"/>
        <v>0</v>
      </c>
      <c r="AP88" s="13">
        <f t="shared" ca="1" si="101"/>
        <v>1400</v>
      </c>
      <c r="AQ88" s="13">
        <f t="shared" ca="1" si="102"/>
        <v>0</v>
      </c>
      <c r="AR88" s="13">
        <f t="shared" ca="1" si="103"/>
        <v>0</v>
      </c>
      <c r="AS88" s="13">
        <f t="shared" ca="1" si="104"/>
        <v>0</v>
      </c>
      <c r="AT88" s="13">
        <f t="shared" ca="1" si="105"/>
        <v>0</v>
      </c>
      <c r="AU88" s="13">
        <f t="shared" ca="1" si="106"/>
        <v>1400</v>
      </c>
      <c r="AV88" s="13">
        <f t="shared" ca="1" si="107"/>
        <v>0</v>
      </c>
      <c r="AW88" s="13">
        <f t="shared" ca="1" si="108"/>
        <v>0</v>
      </c>
      <c r="AX88" s="13">
        <f t="shared" ca="1" si="109"/>
        <v>0</v>
      </c>
      <c r="AY88" s="13">
        <f t="shared" ca="1" si="110"/>
        <v>0</v>
      </c>
      <c r="AZ88" s="13">
        <f t="shared" ca="1" si="111"/>
        <v>1400</v>
      </c>
      <c r="BA88" s="13">
        <f t="shared" ca="1" si="112"/>
        <v>0</v>
      </c>
      <c r="BB88" s="13">
        <f t="shared" ca="1" si="113"/>
        <v>0</v>
      </c>
      <c r="BC88" s="13">
        <f t="shared" ca="1" si="114"/>
        <v>0</v>
      </c>
      <c r="BD88" s="13">
        <f t="shared" ca="1" si="115"/>
        <v>0</v>
      </c>
      <c r="BE88" s="13">
        <f t="shared" ca="1" si="116"/>
        <v>1400</v>
      </c>
      <c r="BF88" s="13">
        <f t="shared" ca="1" si="117"/>
        <v>0</v>
      </c>
      <c r="BG88" s="13">
        <f t="shared" ca="1" si="118"/>
        <v>0</v>
      </c>
      <c r="BH88" s="13">
        <f t="shared" ca="1" si="119"/>
        <v>0</v>
      </c>
      <c r="BI88" s="13">
        <f t="shared" ca="1" si="120"/>
        <v>0</v>
      </c>
      <c r="BJ88" s="13">
        <f t="shared" ca="1" si="121"/>
        <v>1400</v>
      </c>
      <c r="BK88" s="13">
        <f t="shared" ca="1" si="122"/>
        <v>0</v>
      </c>
      <c r="BL88" s="13">
        <f t="shared" ca="1" si="123"/>
        <v>0</v>
      </c>
      <c r="BM88" s="13">
        <f t="shared" ca="1" si="124"/>
        <v>0</v>
      </c>
      <c r="BN88" s="13">
        <f t="shared" ca="1" si="125"/>
        <v>0</v>
      </c>
      <c r="BO88" s="13">
        <f t="shared" ca="1" si="126"/>
        <v>0</v>
      </c>
      <c r="BP88" s="13">
        <f t="shared" ca="1" si="127"/>
        <v>0</v>
      </c>
      <c r="BQ88" s="13">
        <f t="shared" ca="1" si="128"/>
        <v>0</v>
      </c>
    </row>
    <row r="89" spans="1:69" x14ac:dyDescent="0.25">
      <c r="A89" s="1">
        <v>88</v>
      </c>
      <c r="B89" s="13">
        <f ca="1">IF(A89=1,IF(OR('My Loans'!$O$14="",'My Loans'!$O$14=0),0,INDIRECT("'My Loans'!$D"&amp;'My Loans'!$O$14)),AE88)</f>
        <v>0</v>
      </c>
      <c r="C89" s="13">
        <f ca="1">IF(OR('My Loans'!$O$14="",'My Loans'!$O$14=0),0,B89*INDIRECT("'My Loans'!$E"&amp;'My Loans'!$O$14)/12)</f>
        <v>0</v>
      </c>
      <c r="D89" s="13">
        <f ca="1">IF(OR('My Loans'!$O$14="",'My Loans'!$O$14=0),0,IF(B89&lt;0.005,0,MIN(INDIRECT("'My Loans'!$F"&amp;'My Loans'!$O$14),B89+C89)))</f>
        <v>0</v>
      </c>
      <c r="E89" s="13">
        <f ca="1">IF(A89=1,IF(OR('My Loans'!$O$15="",'My Loans'!$O$15=0),0,INDIRECT("'My Loans'!$D"&amp;'My Loans'!$O$15)),AJ88)</f>
        <v>0</v>
      </c>
      <c r="F89" s="13">
        <f ca="1">IF(OR('My Loans'!$O$15="",'My Loans'!$O$15=0),0,E89*INDIRECT("'My Loans'!$E"&amp;'My Loans'!$O$15)/12)</f>
        <v>0</v>
      </c>
      <c r="G89" s="13">
        <f ca="1">IF(OR('My Loans'!$O$15="",'My Loans'!$O$15=0),0,IF(E89&lt;0.005,0,MIN(INDIRECT("'My Loans'!$F"&amp;'My Loans'!$O$15),E89+F89)))</f>
        <v>0</v>
      </c>
      <c r="H89" s="13">
        <f ca="1">IF(A89=1,IF(OR('My Loans'!$O$16="",'My Loans'!$O$16=0),0,INDIRECT("'My Loans'!$D"&amp;'My Loans'!$O$16)),AO88)</f>
        <v>0</v>
      </c>
      <c r="I89" s="13">
        <f ca="1">IF(OR('My Loans'!$O$16="",'My Loans'!$O$16=0),0,H89*INDIRECT("'My Loans'!$E"&amp;'My Loans'!$O$16)/12)</f>
        <v>0</v>
      </c>
      <c r="J89" s="13">
        <f ca="1">IF(OR('My Loans'!$O$16="",'My Loans'!$O$16=0),0,IF(H89&lt;0.005,0,MIN(INDIRECT("'My Loans'!$F"&amp;'My Loans'!$O$16),H89+I89)))</f>
        <v>0</v>
      </c>
      <c r="K89" s="13">
        <f ca="1">IF(A89=1,IF(OR('My Loans'!$O$17="",'My Loans'!$O$17=0),0,INDIRECT("'My Loans'!$D"&amp;'My Loans'!$O$17)),AT88)</f>
        <v>0</v>
      </c>
      <c r="L89" s="13">
        <f ca="1">IF(OR('My Loans'!$O$17="",'My Loans'!$O$17=0),0,K89*INDIRECT("'My Loans'!$E"&amp;'My Loans'!$O$17)/12)</f>
        <v>0</v>
      </c>
      <c r="M89" s="13">
        <f ca="1">IF(OR('My Loans'!$O$17="",'My Loans'!$O$17=0),0,IF(K89&lt;0.005,0,MIN(INDIRECT("'My Loans'!$F"&amp;'My Loans'!$O$17),K89+L89)))</f>
        <v>0</v>
      </c>
      <c r="N89" s="13">
        <f ca="1">IF(A89=1,IF(OR('My Loans'!$O$18="",'My Loans'!$O$18=0),0,INDIRECT("'My Loans'!$D"&amp;'My Loans'!$O$18)),AY88)</f>
        <v>0</v>
      </c>
      <c r="O89" s="13">
        <f ca="1">IF(OR('My Loans'!$O$18="",'My Loans'!$O$18=0),0,N89*INDIRECT("'My Loans'!$E"&amp;'My Loans'!$O$18)/12)</f>
        <v>0</v>
      </c>
      <c r="P89" s="13">
        <f ca="1">IF(OR('My Loans'!$O$18="",'My Loans'!$O$18=0),0,IF(N89&lt;0.005,0,MIN(INDIRECT("'My Loans'!$F"&amp;'My Loans'!$O$18),N89+O89)))</f>
        <v>0</v>
      </c>
      <c r="Q89" s="13">
        <f ca="1">IF(A89=1,IF(OR('My Loans'!$O$19="",'My Loans'!$O$19=0),0,INDIRECT("'My Loans'!$D"&amp;'My Loans'!$O$19)),BD88)</f>
        <v>0</v>
      </c>
      <c r="R89" s="13">
        <f ca="1">IF(OR('My Loans'!$O$19="",'My Loans'!$O$19=0),0,Q89*INDIRECT("'My Loans'!$E"&amp;'My Loans'!$O$19)/12)</f>
        <v>0</v>
      </c>
      <c r="S89" s="13">
        <f ca="1">IF(OR('My Loans'!$O$19="",'My Loans'!$O$19=0),0,IF(Q89&lt;0.005,0,MIN(INDIRECT("'My Loans'!$F"&amp;'My Loans'!$O$19),Q89+R89)))</f>
        <v>0</v>
      </c>
      <c r="T89" s="13">
        <f ca="1">IF(A89=1,IF(OR('My Loans'!$O$20="",'My Loans'!$O$20=0),0,INDIRECT("'My Loans'!$D"&amp;'My Loans'!$O$20)),BI88)</f>
        <v>0</v>
      </c>
      <c r="U89" s="13">
        <f ca="1">IF(OR('My Loans'!$O$20="",'My Loans'!$O$20=0),0,T89*INDIRECT("'My Loans'!$E"&amp;'My Loans'!$O$20)/12)</f>
        <v>0</v>
      </c>
      <c r="V89" s="13">
        <f ca="1">IF(OR('My Loans'!$O$20="",'My Loans'!$O$20=0),0,IF(T89&lt;0.005,0,MIN(INDIRECT("'My Loans'!$F"&amp;'My Loans'!$O$20),T89+U89)))</f>
        <v>0</v>
      </c>
      <c r="W89" s="13">
        <f ca="1">IF(A89=1,IF(OR('My Loans'!$O$21="",'My Loans'!$O$21=0),0,INDIRECT("'My Loans'!$D"&amp;'My Loans'!$O$21)),BN88)</f>
        <v>0</v>
      </c>
      <c r="X89" s="13">
        <f ca="1">IF(OR('My Loans'!$O$21="",'My Loans'!$O$21=0),0,W89*INDIRECT("'My Loans'!$E"&amp;'My Loans'!$O$21)/12)</f>
        <v>0</v>
      </c>
      <c r="Y89" s="13">
        <f ca="1">IF(OR('My Loans'!$O$21="",'My Loans'!$O$21=0),0,IF(W89&lt;0.005,0,MIN(INDIRECT("'My Loans'!$F"&amp;'My Loans'!$O$21),W89+X89)))</f>
        <v>0</v>
      </c>
      <c r="Z89" s="13">
        <f ca="1">'My Loans'!$B$13-(D89+G89+J89+M89+P89+S89+V89+Y89)</f>
        <v>1400</v>
      </c>
      <c r="AA89" s="13">
        <f t="shared" ca="1" si="86"/>
        <v>1400</v>
      </c>
      <c r="AB89" s="13">
        <f t="shared" ca="1" si="87"/>
        <v>0</v>
      </c>
      <c r="AC89" s="13">
        <f t="shared" ca="1" si="88"/>
        <v>0</v>
      </c>
      <c r="AD89" s="13">
        <f t="shared" ca="1" si="89"/>
        <v>0</v>
      </c>
      <c r="AE89" s="13">
        <f t="shared" ca="1" si="90"/>
        <v>0</v>
      </c>
      <c r="AF89" s="13">
        <f t="shared" ca="1" si="91"/>
        <v>1400</v>
      </c>
      <c r="AG89" s="13">
        <f t="shared" ca="1" si="92"/>
        <v>0</v>
      </c>
      <c r="AH89" s="13">
        <f t="shared" ca="1" si="93"/>
        <v>0</v>
      </c>
      <c r="AI89" s="13">
        <f t="shared" ca="1" si="94"/>
        <v>0</v>
      </c>
      <c r="AJ89" s="13">
        <f t="shared" ca="1" si="95"/>
        <v>0</v>
      </c>
      <c r="AK89" s="13">
        <f t="shared" ca="1" si="96"/>
        <v>1400</v>
      </c>
      <c r="AL89" s="13">
        <f t="shared" ca="1" si="97"/>
        <v>0</v>
      </c>
      <c r="AM89" s="13">
        <f t="shared" ca="1" si="98"/>
        <v>0</v>
      </c>
      <c r="AN89" s="13">
        <f t="shared" ca="1" si="99"/>
        <v>0</v>
      </c>
      <c r="AO89" s="13">
        <f t="shared" ca="1" si="100"/>
        <v>0</v>
      </c>
      <c r="AP89" s="13">
        <f t="shared" ca="1" si="101"/>
        <v>1400</v>
      </c>
      <c r="AQ89" s="13">
        <f t="shared" ca="1" si="102"/>
        <v>0</v>
      </c>
      <c r="AR89" s="13">
        <f t="shared" ca="1" si="103"/>
        <v>0</v>
      </c>
      <c r="AS89" s="13">
        <f t="shared" ca="1" si="104"/>
        <v>0</v>
      </c>
      <c r="AT89" s="13">
        <f t="shared" ca="1" si="105"/>
        <v>0</v>
      </c>
      <c r="AU89" s="13">
        <f t="shared" ca="1" si="106"/>
        <v>1400</v>
      </c>
      <c r="AV89" s="13">
        <f t="shared" ca="1" si="107"/>
        <v>0</v>
      </c>
      <c r="AW89" s="13">
        <f t="shared" ca="1" si="108"/>
        <v>0</v>
      </c>
      <c r="AX89" s="13">
        <f t="shared" ca="1" si="109"/>
        <v>0</v>
      </c>
      <c r="AY89" s="13">
        <f t="shared" ca="1" si="110"/>
        <v>0</v>
      </c>
      <c r="AZ89" s="13">
        <f t="shared" ca="1" si="111"/>
        <v>1400</v>
      </c>
      <c r="BA89" s="13">
        <f t="shared" ca="1" si="112"/>
        <v>0</v>
      </c>
      <c r="BB89" s="13">
        <f t="shared" ca="1" si="113"/>
        <v>0</v>
      </c>
      <c r="BC89" s="13">
        <f t="shared" ca="1" si="114"/>
        <v>0</v>
      </c>
      <c r="BD89" s="13">
        <f t="shared" ca="1" si="115"/>
        <v>0</v>
      </c>
      <c r="BE89" s="13">
        <f t="shared" ca="1" si="116"/>
        <v>1400</v>
      </c>
      <c r="BF89" s="13">
        <f t="shared" ca="1" si="117"/>
        <v>0</v>
      </c>
      <c r="BG89" s="13">
        <f t="shared" ca="1" si="118"/>
        <v>0</v>
      </c>
      <c r="BH89" s="13">
        <f t="shared" ca="1" si="119"/>
        <v>0</v>
      </c>
      <c r="BI89" s="13">
        <f t="shared" ca="1" si="120"/>
        <v>0</v>
      </c>
      <c r="BJ89" s="13">
        <f t="shared" ca="1" si="121"/>
        <v>1400</v>
      </c>
      <c r="BK89" s="13">
        <f t="shared" ca="1" si="122"/>
        <v>0</v>
      </c>
      <c r="BL89" s="13">
        <f t="shared" ca="1" si="123"/>
        <v>0</v>
      </c>
      <c r="BM89" s="13">
        <f t="shared" ca="1" si="124"/>
        <v>0</v>
      </c>
      <c r="BN89" s="13">
        <f t="shared" ca="1" si="125"/>
        <v>0</v>
      </c>
      <c r="BO89" s="13">
        <f t="shared" ca="1" si="126"/>
        <v>0</v>
      </c>
      <c r="BP89" s="13">
        <f t="shared" ca="1" si="127"/>
        <v>0</v>
      </c>
      <c r="BQ89" s="13">
        <f t="shared" ca="1" si="128"/>
        <v>0</v>
      </c>
    </row>
    <row r="90" spans="1:69" x14ac:dyDescent="0.25">
      <c r="A90" s="1">
        <v>89</v>
      </c>
      <c r="B90" s="13">
        <f ca="1">IF(A90=1,IF(OR('My Loans'!$O$14="",'My Loans'!$O$14=0),0,INDIRECT("'My Loans'!$D"&amp;'My Loans'!$O$14)),AE89)</f>
        <v>0</v>
      </c>
      <c r="C90" s="13">
        <f ca="1">IF(OR('My Loans'!$O$14="",'My Loans'!$O$14=0),0,B90*INDIRECT("'My Loans'!$E"&amp;'My Loans'!$O$14)/12)</f>
        <v>0</v>
      </c>
      <c r="D90" s="13">
        <f ca="1">IF(OR('My Loans'!$O$14="",'My Loans'!$O$14=0),0,IF(B90&lt;0.005,0,MIN(INDIRECT("'My Loans'!$F"&amp;'My Loans'!$O$14),B90+C90)))</f>
        <v>0</v>
      </c>
      <c r="E90" s="13">
        <f ca="1">IF(A90=1,IF(OR('My Loans'!$O$15="",'My Loans'!$O$15=0),0,INDIRECT("'My Loans'!$D"&amp;'My Loans'!$O$15)),AJ89)</f>
        <v>0</v>
      </c>
      <c r="F90" s="13">
        <f ca="1">IF(OR('My Loans'!$O$15="",'My Loans'!$O$15=0),0,E90*INDIRECT("'My Loans'!$E"&amp;'My Loans'!$O$15)/12)</f>
        <v>0</v>
      </c>
      <c r="G90" s="13">
        <f ca="1">IF(OR('My Loans'!$O$15="",'My Loans'!$O$15=0),0,IF(E90&lt;0.005,0,MIN(INDIRECT("'My Loans'!$F"&amp;'My Loans'!$O$15),E90+F90)))</f>
        <v>0</v>
      </c>
      <c r="H90" s="13">
        <f ca="1">IF(A90=1,IF(OR('My Loans'!$O$16="",'My Loans'!$O$16=0),0,INDIRECT("'My Loans'!$D"&amp;'My Loans'!$O$16)),AO89)</f>
        <v>0</v>
      </c>
      <c r="I90" s="13">
        <f ca="1">IF(OR('My Loans'!$O$16="",'My Loans'!$O$16=0),0,H90*INDIRECT("'My Loans'!$E"&amp;'My Loans'!$O$16)/12)</f>
        <v>0</v>
      </c>
      <c r="J90" s="13">
        <f ca="1">IF(OR('My Loans'!$O$16="",'My Loans'!$O$16=0),0,IF(H90&lt;0.005,0,MIN(INDIRECT("'My Loans'!$F"&amp;'My Loans'!$O$16),H90+I90)))</f>
        <v>0</v>
      </c>
      <c r="K90" s="13">
        <f ca="1">IF(A90=1,IF(OR('My Loans'!$O$17="",'My Loans'!$O$17=0),0,INDIRECT("'My Loans'!$D"&amp;'My Loans'!$O$17)),AT89)</f>
        <v>0</v>
      </c>
      <c r="L90" s="13">
        <f ca="1">IF(OR('My Loans'!$O$17="",'My Loans'!$O$17=0),0,K90*INDIRECT("'My Loans'!$E"&amp;'My Loans'!$O$17)/12)</f>
        <v>0</v>
      </c>
      <c r="M90" s="13">
        <f ca="1">IF(OR('My Loans'!$O$17="",'My Loans'!$O$17=0),0,IF(K90&lt;0.005,0,MIN(INDIRECT("'My Loans'!$F"&amp;'My Loans'!$O$17),K90+L90)))</f>
        <v>0</v>
      </c>
      <c r="N90" s="13">
        <f ca="1">IF(A90=1,IF(OR('My Loans'!$O$18="",'My Loans'!$O$18=0),0,INDIRECT("'My Loans'!$D"&amp;'My Loans'!$O$18)),AY89)</f>
        <v>0</v>
      </c>
      <c r="O90" s="13">
        <f ca="1">IF(OR('My Loans'!$O$18="",'My Loans'!$O$18=0),0,N90*INDIRECT("'My Loans'!$E"&amp;'My Loans'!$O$18)/12)</f>
        <v>0</v>
      </c>
      <c r="P90" s="13">
        <f ca="1">IF(OR('My Loans'!$O$18="",'My Loans'!$O$18=0),0,IF(N90&lt;0.005,0,MIN(INDIRECT("'My Loans'!$F"&amp;'My Loans'!$O$18),N90+O90)))</f>
        <v>0</v>
      </c>
      <c r="Q90" s="13">
        <f ca="1">IF(A90=1,IF(OR('My Loans'!$O$19="",'My Loans'!$O$19=0),0,INDIRECT("'My Loans'!$D"&amp;'My Loans'!$O$19)),BD89)</f>
        <v>0</v>
      </c>
      <c r="R90" s="13">
        <f ca="1">IF(OR('My Loans'!$O$19="",'My Loans'!$O$19=0),0,Q90*INDIRECT("'My Loans'!$E"&amp;'My Loans'!$O$19)/12)</f>
        <v>0</v>
      </c>
      <c r="S90" s="13">
        <f ca="1">IF(OR('My Loans'!$O$19="",'My Loans'!$O$19=0),0,IF(Q90&lt;0.005,0,MIN(INDIRECT("'My Loans'!$F"&amp;'My Loans'!$O$19),Q90+R90)))</f>
        <v>0</v>
      </c>
      <c r="T90" s="13">
        <f ca="1">IF(A90=1,IF(OR('My Loans'!$O$20="",'My Loans'!$O$20=0),0,INDIRECT("'My Loans'!$D"&amp;'My Loans'!$O$20)),BI89)</f>
        <v>0</v>
      </c>
      <c r="U90" s="13">
        <f ca="1">IF(OR('My Loans'!$O$20="",'My Loans'!$O$20=0),0,T90*INDIRECT("'My Loans'!$E"&amp;'My Loans'!$O$20)/12)</f>
        <v>0</v>
      </c>
      <c r="V90" s="13">
        <f ca="1">IF(OR('My Loans'!$O$20="",'My Loans'!$O$20=0),0,IF(T90&lt;0.005,0,MIN(INDIRECT("'My Loans'!$F"&amp;'My Loans'!$O$20),T90+U90)))</f>
        <v>0</v>
      </c>
      <c r="W90" s="13">
        <f ca="1">IF(A90=1,IF(OR('My Loans'!$O$21="",'My Loans'!$O$21=0),0,INDIRECT("'My Loans'!$D"&amp;'My Loans'!$O$21)),BN89)</f>
        <v>0</v>
      </c>
      <c r="X90" s="13">
        <f ca="1">IF(OR('My Loans'!$O$21="",'My Loans'!$O$21=0),0,W90*INDIRECT("'My Loans'!$E"&amp;'My Loans'!$O$21)/12)</f>
        <v>0</v>
      </c>
      <c r="Y90" s="13">
        <f ca="1">IF(OR('My Loans'!$O$21="",'My Loans'!$O$21=0),0,IF(W90&lt;0.005,0,MIN(INDIRECT("'My Loans'!$F"&amp;'My Loans'!$O$21),W90+X90)))</f>
        <v>0</v>
      </c>
      <c r="Z90" s="13">
        <f ca="1">'My Loans'!$B$13-(D90+G90+J90+M90+P90+S90+V90+Y90)</f>
        <v>1400</v>
      </c>
      <c r="AA90" s="13">
        <f t="shared" ca="1" si="86"/>
        <v>1400</v>
      </c>
      <c r="AB90" s="13">
        <f t="shared" ca="1" si="87"/>
        <v>0</v>
      </c>
      <c r="AC90" s="13">
        <f t="shared" ca="1" si="88"/>
        <v>0</v>
      </c>
      <c r="AD90" s="13">
        <f t="shared" ca="1" si="89"/>
        <v>0</v>
      </c>
      <c r="AE90" s="13">
        <f t="shared" ca="1" si="90"/>
        <v>0</v>
      </c>
      <c r="AF90" s="13">
        <f t="shared" ca="1" si="91"/>
        <v>1400</v>
      </c>
      <c r="AG90" s="13">
        <f t="shared" ca="1" si="92"/>
        <v>0</v>
      </c>
      <c r="AH90" s="13">
        <f t="shared" ca="1" si="93"/>
        <v>0</v>
      </c>
      <c r="AI90" s="13">
        <f t="shared" ca="1" si="94"/>
        <v>0</v>
      </c>
      <c r="AJ90" s="13">
        <f t="shared" ca="1" si="95"/>
        <v>0</v>
      </c>
      <c r="AK90" s="13">
        <f t="shared" ca="1" si="96"/>
        <v>1400</v>
      </c>
      <c r="AL90" s="13">
        <f t="shared" ca="1" si="97"/>
        <v>0</v>
      </c>
      <c r="AM90" s="13">
        <f t="shared" ca="1" si="98"/>
        <v>0</v>
      </c>
      <c r="AN90" s="13">
        <f t="shared" ca="1" si="99"/>
        <v>0</v>
      </c>
      <c r="AO90" s="13">
        <f t="shared" ca="1" si="100"/>
        <v>0</v>
      </c>
      <c r="AP90" s="13">
        <f t="shared" ca="1" si="101"/>
        <v>1400</v>
      </c>
      <c r="AQ90" s="13">
        <f t="shared" ca="1" si="102"/>
        <v>0</v>
      </c>
      <c r="AR90" s="13">
        <f t="shared" ca="1" si="103"/>
        <v>0</v>
      </c>
      <c r="AS90" s="13">
        <f t="shared" ca="1" si="104"/>
        <v>0</v>
      </c>
      <c r="AT90" s="13">
        <f t="shared" ca="1" si="105"/>
        <v>0</v>
      </c>
      <c r="AU90" s="13">
        <f t="shared" ca="1" si="106"/>
        <v>1400</v>
      </c>
      <c r="AV90" s="13">
        <f t="shared" ca="1" si="107"/>
        <v>0</v>
      </c>
      <c r="AW90" s="13">
        <f t="shared" ca="1" si="108"/>
        <v>0</v>
      </c>
      <c r="AX90" s="13">
        <f t="shared" ca="1" si="109"/>
        <v>0</v>
      </c>
      <c r="AY90" s="13">
        <f t="shared" ca="1" si="110"/>
        <v>0</v>
      </c>
      <c r="AZ90" s="13">
        <f t="shared" ca="1" si="111"/>
        <v>1400</v>
      </c>
      <c r="BA90" s="13">
        <f t="shared" ca="1" si="112"/>
        <v>0</v>
      </c>
      <c r="BB90" s="13">
        <f t="shared" ca="1" si="113"/>
        <v>0</v>
      </c>
      <c r="BC90" s="13">
        <f t="shared" ca="1" si="114"/>
        <v>0</v>
      </c>
      <c r="BD90" s="13">
        <f t="shared" ca="1" si="115"/>
        <v>0</v>
      </c>
      <c r="BE90" s="13">
        <f t="shared" ca="1" si="116"/>
        <v>1400</v>
      </c>
      <c r="BF90" s="13">
        <f t="shared" ca="1" si="117"/>
        <v>0</v>
      </c>
      <c r="BG90" s="13">
        <f t="shared" ca="1" si="118"/>
        <v>0</v>
      </c>
      <c r="BH90" s="13">
        <f t="shared" ca="1" si="119"/>
        <v>0</v>
      </c>
      <c r="BI90" s="13">
        <f t="shared" ca="1" si="120"/>
        <v>0</v>
      </c>
      <c r="BJ90" s="13">
        <f t="shared" ca="1" si="121"/>
        <v>1400</v>
      </c>
      <c r="BK90" s="13">
        <f t="shared" ca="1" si="122"/>
        <v>0</v>
      </c>
      <c r="BL90" s="13">
        <f t="shared" ca="1" si="123"/>
        <v>0</v>
      </c>
      <c r="BM90" s="13">
        <f t="shared" ca="1" si="124"/>
        <v>0</v>
      </c>
      <c r="BN90" s="13">
        <f t="shared" ca="1" si="125"/>
        <v>0</v>
      </c>
      <c r="BO90" s="13">
        <f t="shared" ca="1" si="126"/>
        <v>0</v>
      </c>
      <c r="BP90" s="13">
        <f t="shared" ca="1" si="127"/>
        <v>0</v>
      </c>
      <c r="BQ90" s="13">
        <f t="shared" ca="1" si="128"/>
        <v>0</v>
      </c>
    </row>
    <row r="91" spans="1:69" x14ac:dyDescent="0.25">
      <c r="A91" s="1">
        <v>90</v>
      </c>
      <c r="B91" s="13">
        <f ca="1">IF(A91=1,IF(OR('My Loans'!$O$14="",'My Loans'!$O$14=0),0,INDIRECT("'My Loans'!$D"&amp;'My Loans'!$O$14)),AE90)</f>
        <v>0</v>
      </c>
      <c r="C91" s="13">
        <f ca="1">IF(OR('My Loans'!$O$14="",'My Loans'!$O$14=0),0,B91*INDIRECT("'My Loans'!$E"&amp;'My Loans'!$O$14)/12)</f>
        <v>0</v>
      </c>
      <c r="D91" s="13">
        <f ca="1">IF(OR('My Loans'!$O$14="",'My Loans'!$O$14=0),0,IF(B91&lt;0.005,0,MIN(INDIRECT("'My Loans'!$F"&amp;'My Loans'!$O$14),B91+C91)))</f>
        <v>0</v>
      </c>
      <c r="E91" s="13">
        <f ca="1">IF(A91=1,IF(OR('My Loans'!$O$15="",'My Loans'!$O$15=0),0,INDIRECT("'My Loans'!$D"&amp;'My Loans'!$O$15)),AJ90)</f>
        <v>0</v>
      </c>
      <c r="F91" s="13">
        <f ca="1">IF(OR('My Loans'!$O$15="",'My Loans'!$O$15=0),0,E91*INDIRECT("'My Loans'!$E"&amp;'My Loans'!$O$15)/12)</f>
        <v>0</v>
      </c>
      <c r="G91" s="13">
        <f ca="1">IF(OR('My Loans'!$O$15="",'My Loans'!$O$15=0),0,IF(E91&lt;0.005,0,MIN(INDIRECT("'My Loans'!$F"&amp;'My Loans'!$O$15),E91+F91)))</f>
        <v>0</v>
      </c>
      <c r="H91" s="13">
        <f ca="1">IF(A91=1,IF(OR('My Loans'!$O$16="",'My Loans'!$O$16=0),0,INDIRECT("'My Loans'!$D"&amp;'My Loans'!$O$16)),AO90)</f>
        <v>0</v>
      </c>
      <c r="I91" s="13">
        <f ca="1">IF(OR('My Loans'!$O$16="",'My Loans'!$O$16=0),0,H91*INDIRECT("'My Loans'!$E"&amp;'My Loans'!$O$16)/12)</f>
        <v>0</v>
      </c>
      <c r="J91" s="13">
        <f ca="1">IF(OR('My Loans'!$O$16="",'My Loans'!$O$16=0),0,IF(H91&lt;0.005,0,MIN(INDIRECT("'My Loans'!$F"&amp;'My Loans'!$O$16),H91+I91)))</f>
        <v>0</v>
      </c>
      <c r="K91" s="13">
        <f ca="1">IF(A91=1,IF(OR('My Loans'!$O$17="",'My Loans'!$O$17=0),0,INDIRECT("'My Loans'!$D"&amp;'My Loans'!$O$17)),AT90)</f>
        <v>0</v>
      </c>
      <c r="L91" s="13">
        <f ca="1">IF(OR('My Loans'!$O$17="",'My Loans'!$O$17=0),0,K91*INDIRECT("'My Loans'!$E"&amp;'My Loans'!$O$17)/12)</f>
        <v>0</v>
      </c>
      <c r="M91" s="13">
        <f ca="1">IF(OR('My Loans'!$O$17="",'My Loans'!$O$17=0),0,IF(K91&lt;0.005,0,MIN(INDIRECT("'My Loans'!$F"&amp;'My Loans'!$O$17),K91+L91)))</f>
        <v>0</v>
      </c>
      <c r="N91" s="13">
        <f ca="1">IF(A91=1,IF(OR('My Loans'!$O$18="",'My Loans'!$O$18=0),0,INDIRECT("'My Loans'!$D"&amp;'My Loans'!$O$18)),AY90)</f>
        <v>0</v>
      </c>
      <c r="O91" s="13">
        <f ca="1">IF(OR('My Loans'!$O$18="",'My Loans'!$O$18=0),0,N91*INDIRECT("'My Loans'!$E"&amp;'My Loans'!$O$18)/12)</f>
        <v>0</v>
      </c>
      <c r="P91" s="13">
        <f ca="1">IF(OR('My Loans'!$O$18="",'My Loans'!$O$18=0),0,IF(N91&lt;0.005,0,MIN(INDIRECT("'My Loans'!$F"&amp;'My Loans'!$O$18),N91+O91)))</f>
        <v>0</v>
      </c>
      <c r="Q91" s="13">
        <f ca="1">IF(A91=1,IF(OR('My Loans'!$O$19="",'My Loans'!$O$19=0),0,INDIRECT("'My Loans'!$D"&amp;'My Loans'!$O$19)),BD90)</f>
        <v>0</v>
      </c>
      <c r="R91" s="13">
        <f ca="1">IF(OR('My Loans'!$O$19="",'My Loans'!$O$19=0),0,Q91*INDIRECT("'My Loans'!$E"&amp;'My Loans'!$O$19)/12)</f>
        <v>0</v>
      </c>
      <c r="S91" s="13">
        <f ca="1">IF(OR('My Loans'!$O$19="",'My Loans'!$O$19=0),0,IF(Q91&lt;0.005,0,MIN(INDIRECT("'My Loans'!$F"&amp;'My Loans'!$O$19),Q91+R91)))</f>
        <v>0</v>
      </c>
      <c r="T91" s="13">
        <f ca="1">IF(A91=1,IF(OR('My Loans'!$O$20="",'My Loans'!$O$20=0),0,INDIRECT("'My Loans'!$D"&amp;'My Loans'!$O$20)),BI90)</f>
        <v>0</v>
      </c>
      <c r="U91" s="13">
        <f ca="1">IF(OR('My Loans'!$O$20="",'My Loans'!$O$20=0),0,T91*INDIRECT("'My Loans'!$E"&amp;'My Loans'!$O$20)/12)</f>
        <v>0</v>
      </c>
      <c r="V91" s="13">
        <f ca="1">IF(OR('My Loans'!$O$20="",'My Loans'!$O$20=0),0,IF(T91&lt;0.005,0,MIN(INDIRECT("'My Loans'!$F"&amp;'My Loans'!$O$20),T91+U91)))</f>
        <v>0</v>
      </c>
      <c r="W91" s="13">
        <f ca="1">IF(A91=1,IF(OR('My Loans'!$O$21="",'My Loans'!$O$21=0),0,INDIRECT("'My Loans'!$D"&amp;'My Loans'!$O$21)),BN90)</f>
        <v>0</v>
      </c>
      <c r="X91" s="13">
        <f ca="1">IF(OR('My Loans'!$O$21="",'My Loans'!$O$21=0),0,W91*INDIRECT("'My Loans'!$E"&amp;'My Loans'!$O$21)/12)</f>
        <v>0</v>
      </c>
      <c r="Y91" s="13">
        <f ca="1">IF(OR('My Loans'!$O$21="",'My Loans'!$O$21=0),0,IF(W91&lt;0.005,0,MIN(INDIRECT("'My Loans'!$F"&amp;'My Loans'!$O$21),W91+X91)))</f>
        <v>0</v>
      </c>
      <c r="Z91" s="13">
        <f ca="1">'My Loans'!$B$13-(D91+G91+J91+M91+P91+S91+V91+Y91)</f>
        <v>1400</v>
      </c>
      <c r="AA91" s="13">
        <f t="shared" ca="1" si="86"/>
        <v>1400</v>
      </c>
      <c r="AB91" s="13">
        <f t="shared" ca="1" si="87"/>
        <v>0</v>
      </c>
      <c r="AC91" s="13">
        <f t="shared" ca="1" si="88"/>
        <v>0</v>
      </c>
      <c r="AD91" s="13">
        <f t="shared" ca="1" si="89"/>
        <v>0</v>
      </c>
      <c r="AE91" s="13">
        <f t="shared" ca="1" si="90"/>
        <v>0</v>
      </c>
      <c r="AF91" s="13">
        <f t="shared" ca="1" si="91"/>
        <v>1400</v>
      </c>
      <c r="AG91" s="13">
        <f t="shared" ca="1" si="92"/>
        <v>0</v>
      </c>
      <c r="AH91" s="13">
        <f t="shared" ca="1" si="93"/>
        <v>0</v>
      </c>
      <c r="AI91" s="13">
        <f t="shared" ca="1" si="94"/>
        <v>0</v>
      </c>
      <c r="AJ91" s="13">
        <f t="shared" ca="1" si="95"/>
        <v>0</v>
      </c>
      <c r="AK91" s="13">
        <f t="shared" ca="1" si="96"/>
        <v>1400</v>
      </c>
      <c r="AL91" s="13">
        <f t="shared" ca="1" si="97"/>
        <v>0</v>
      </c>
      <c r="AM91" s="13">
        <f t="shared" ca="1" si="98"/>
        <v>0</v>
      </c>
      <c r="AN91" s="13">
        <f t="shared" ca="1" si="99"/>
        <v>0</v>
      </c>
      <c r="AO91" s="13">
        <f t="shared" ca="1" si="100"/>
        <v>0</v>
      </c>
      <c r="AP91" s="13">
        <f t="shared" ca="1" si="101"/>
        <v>1400</v>
      </c>
      <c r="AQ91" s="13">
        <f t="shared" ca="1" si="102"/>
        <v>0</v>
      </c>
      <c r="AR91" s="13">
        <f t="shared" ca="1" si="103"/>
        <v>0</v>
      </c>
      <c r="AS91" s="13">
        <f t="shared" ca="1" si="104"/>
        <v>0</v>
      </c>
      <c r="AT91" s="13">
        <f t="shared" ca="1" si="105"/>
        <v>0</v>
      </c>
      <c r="AU91" s="13">
        <f t="shared" ca="1" si="106"/>
        <v>1400</v>
      </c>
      <c r="AV91" s="13">
        <f t="shared" ca="1" si="107"/>
        <v>0</v>
      </c>
      <c r="AW91" s="13">
        <f t="shared" ca="1" si="108"/>
        <v>0</v>
      </c>
      <c r="AX91" s="13">
        <f t="shared" ca="1" si="109"/>
        <v>0</v>
      </c>
      <c r="AY91" s="13">
        <f t="shared" ca="1" si="110"/>
        <v>0</v>
      </c>
      <c r="AZ91" s="13">
        <f t="shared" ca="1" si="111"/>
        <v>1400</v>
      </c>
      <c r="BA91" s="13">
        <f t="shared" ca="1" si="112"/>
        <v>0</v>
      </c>
      <c r="BB91" s="13">
        <f t="shared" ca="1" si="113"/>
        <v>0</v>
      </c>
      <c r="BC91" s="13">
        <f t="shared" ca="1" si="114"/>
        <v>0</v>
      </c>
      <c r="BD91" s="13">
        <f t="shared" ca="1" si="115"/>
        <v>0</v>
      </c>
      <c r="BE91" s="13">
        <f t="shared" ca="1" si="116"/>
        <v>1400</v>
      </c>
      <c r="BF91" s="13">
        <f t="shared" ca="1" si="117"/>
        <v>0</v>
      </c>
      <c r="BG91" s="13">
        <f t="shared" ca="1" si="118"/>
        <v>0</v>
      </c>
      <c r="BH91" s="13">
        <f t="shared" ca="1" si="119"/>
        <v>0</v>
      </c>
      <c r="BI91" s="13">
        <f t="shared" ca="1" si="120"/>
        <v>0</v>
      </c>
      <c r="BJ91" s="13">
        <f t="shared" ca="1" si="121"/>
        <v>1400</v>
      </c>
      <c r="BK91" s="13">
        <f t="shared" ca="1" si="122"/>
        <v>0</v>
      </c>
      <c r="BL91" s="13">
        <f t="shared" ca="1" si="123"/>
        <v>0</v>
      </c>
      <c r="BM91" s="13">
        <f t="shared" ca="1" si="124"/>
        <v>0</v>
      </c>
      <c r="BN91" s="13">
        <f t="shared" ca="1" si="125"/>
        <v>0</v>
      </c>
      <c r="BO91" s="13">
        <f t="shared" ca="1" si="126"/>
        <v>0</v>
      </c>
      <c r="BP91" s="13">
        <f t="shared" ca="1" si="127"/>
        <v>0</v>
      </c>
      <c r="BQ91" s="13">
        <f t="shared" ca="1" si="128"/>
        <v>0</v>
      </c>
    </row>
    <row r="92" spans="1:69" x14ac:dyDescent="0.25">
      <c r="A92" s="1">
        <v>91</v>
      </c>
      <c r="B92" s="13">
        <f ca="1">IF(A92=1,IF(OR('My Loans'!$O$14="",'My Loans'!$O$14=0),0,INDIRECT("'My Loans'!$D"&amp;'My Loans'!$O$14)),AE91)</f>
        <v>0</v>
      </c>
      <c r="C92" s="13">
        <f ca="1">IF(OR('My Loans'!$O$14="",'My Loans'!$O$14=0),0,B92*INDIRECT("'My Loans'!$E"&amp;'My Loans'!$O$14)/12)</f>
        <v>0</v>
      </c>
      <c r="D92" s="13">
        <f ca="1">IF(OR('My Loans'!$O$14="",'My Loans'!$O$14=0),0,IF(B92&lt;0.005,0,MIN(INDIRECT("'My Loans'!$F"&amp;'My Loans'!$O$14),B92+C92)))</f>
        <v>0</v>
      </c>
      <c r="E92" s="13">
        <f ca="1">IF(A92=1,IF(OR('My Loans'!$O$15="",'My Loans'!$O$15=0),0,INDIRECT("'My Loans'!$D"&amp;'My Loans'!$O$15)),AJ91)</f>
        <v>0</v>
      </c>
      <c r="F92" s="13">
        <f ca="1">IF(OR('My Loans'!$O$15="",'My Loans'!$O$15=0),0,E92*INDIRECT("'My Loans'!$E"&amp;'My Loans'!$O$15)/12)</f>
        <v>0</v>
      </c>
      <c r="G92" s="13">
        <f ca="1">IF(OR('My Loans'!$O$15="",'My Loans'!$O$15=0),0,IF(E92&lt;0.005,0,MIN(INDIRECT("'My Loans'!$F"&amp;'My Loans'!$O$15),E92+F92)))</f>
        <v>0</v>
      </c>
      <c r="H92" s="13">
        <f ca="1">IF(A92=1,IF(OR('My Loans'!$O$16="",'My Loans'!$O$16=0),0,INDIRECT("'My Loans'!$D"&amp;'My Loans'!$O$16)),AO91)</f>
        <v>0</v>
      </c>
      <c r="I92" s="13">
        <f ca="1">IF(OR('My Loans'!$O$16="",'My Loans'!$O$16=0),0,H92*INDIRECT("'My Loans'!$E"&amp;'My Loans'!$O$16)/12)</f>
        <v>0</v>
      </c>
      <c r="J92" s="13">
        <f ca="1">IF(OR('My Loans'!$O$16="",'My Loans'!$O$16=0),0,IF(H92&lt;0.005,0,MIN(INDIRECT("'My Loans'!$F"&amp;'My Loans'!$O$16),H92+I92)))</f>
        <v>0</v>
      </c>
      <c r="K92" s="13">
        <f ca="1">IF(A92=1,IF(OR('My Loans'!$O$17="",'My Loans'!$O$17=0),0,INDIRECT("'My Loans'!$D"&amp;'My Loans'!$O$17)),AT91)</f>
        <v>0</v>
      </c>
      <c r="L92" s="13">
        <f ca="1">IF(OR('My Loans'!$O$17="",'My Loans'!$O$17=0),0,K92*INDIRECT("'My Loans'!$E"&amp;'My Loans'!$O$17)/12)</f>
        <v>0</v>
      </c>
      <c r="M92" s="13">
        <f ca="1">IF(OR('My Loans'!$O$17="",'My Loans'!$O$17=0),0,IF(K92&lt;0.005,0,MIN(INDIRECT("'My Loans'!$F"&amp;'My Loans'!$O$17),K92+L92)))</f>
        <v>0</v>
      </c>
      <c r="N92" s="13">
        <f ca="1">IF(A92=1,IF(OR('My Loans'!$O$18="",'My Loans'!$O$18=0),0,INDIRECT("'My Loans'!$D"&amp;'My Loans'!$O$18)),AY91)</f>
        <v>0</v>
      </c>
      <c r="O92" s="13">
        <f ca="1">IF(OR('My Loans'!$O$18="",'My Loans'!$O$18=0),0,N92*INDIRECT("'My Loans'!$E"&amp;'My Loans'!$O$18)/12)</f>
        <v>0</v>
      </c>
      <c r="P92" s="13">
        <f ca="1">IF(OR('My Loans'!$O$18="",'My Loans'!$O$18=0),0,IF(N92&lt;0.005,0,MIN(INDIRECT("'My Loans'!$F"&amp;'My Loans'!$O$18),N92+O92)))</f>
        <v>0</v>
      </c>
      <c r="Q92" s="13">
        <f ca="1">IF(A92=1,IF(OR('My Loans'!$O$19="",'My Loans'!$O$19=0),0,INDIRECT("'My Loans'!$D"&amp;'My Loans'!$O$19)),BD91)</f>
        <v>0</v>
      </c>
      <c r="R92" s="13">
        <f ca="1">IF(OR('My Loans'!$O$19="",'My Loans'!$O$19=0),0,Q92*INDIRECT("'My Loans'!$E"&amp;'My Loans'!$O$19)/12)</f>
        <v>0</v>
      </c>
      <c r="S92" s="13">
        <f ca="1">IF(OR('My Loans'!$O$19="",'My Loans'!$O$19=0),0,IF(Q92&lt;0.005,0,MIN(INDIRECT("'My Loans'!$F"&amp;'My Loans'!$O$19),Q92+R92)))</f>
        <v>0</v>
      </c>
      <c r="T92" s="13">
        <f ca="1">IF(A92=1,IF(OR('My Loans'!$O$20="",'My Loans'!$O$20=0),0,INDIRECT("'My Loans'!$D"&amp;'My Loans'!$O$20)),BI91)</f>
        <v>0</v>
      </c>
      <c r="U92" s="13">
        <f ca="1">IF(OR('My Loans'!$O$20="",'My Loans'!$O$20=0),0,T92*INDIRECT("'My Loans'!$E"&amp;'My Loans'!$O$20)/12)</f>
        <v>0</v>
      </c>
      <c r="V92" s="13">
        <f ca="1">IF(OR('My Loans'!$O$20="",'My Loans'!$O$20=0),0,IF(T92&lt;0.005,0,MIN(INDIRECT("'My Loans'!$F"&amp;'My Loans'!$O$20),T92+U92)))</f>
        <v>0</v>
      </c>
      <c r="W92" s="13">
        <f ca="1">IF(A92=1,IF(OR('My Loans'!$O$21="",'My Loans'!$O$21=0),0,INDIRECT("'My Loans'!$D"&amp;'My Loans'!$O$21)),BN91)</f>
        <v>0</v>
      </c>
      <c r="X92" s="13">
        <f ca="1">IF(OR('My Loans'!$O$21="",'My Loans'!$O$21=0),0,W92*INDIRECT("'My Loans'!$E"&amp;'My Loans'!$O$21)/12)</f>
        <v>0</v>
      </c>
      <c r="Y92" s="13">
        <f ca="1">IF(OR('My Loans'!$O$21="",'My Loans'!$O$21=0),0,IF(W92&lt;0.005,0,MIN(INDIRECT("'My Loans'!$F"&amp;'My Loans'!$O$21),W92+X92)))</f>
        <v>0</v>
      </c>
      <c r="Z92" s="13">
        <f ca="1">'My Loans'!$B$13-(D92+G92+J92+M92+P92+S92+V92+Y92)</f>
        <v>1400</v>
      </c>
      <c r="AA92" s="13">
        <f t="shared" ca="1" si="86"/>
        <v>1400</v>
      </c>
      <c r="AB92" s="13">
        <f t="shared" ca="1" si="87"/>
        <v>0</v>
      </c>
      <c r="AC92" s="13">
        <f t="shared" ca="1" si="88"/>
        <v>0</v>
      </c>
      <c r="AD92" s="13">
        <f t="shared" ca="1" si="89"/>
        <v>0</v>
      </c>
      <c r="AE92" s="13">
        <f t="shared" ca="1" si="90"/>
        <v>0</v>
      </c>
      <c r="AF92" s="13">
        <f t="shared" ca="1" si="91"/>
        <v>1400</v>
      </c>
      <c r="AG92" s="13">
        <f t="shared" ca="1" si="92"/>
        <v>0</v>
      </c>
      <c r="AH92" s="13">
        <f t="shared" ca="1" si="93"/>
        <v>0</v>
      </c>
      <c r="AI92" s="13">
        <f t="shared" ca="1" si="94"/>
        <v>0</v>
      </c>
      <c r="AJ92" s="13">
        <f t="shared" ca="1" si="95"/>
        <v>0</v>
      </c>
      <c r="AK92" s="13">
        <f t="shared" ca="1" si="96"/>
        <v>1400</v>
      </c>
      <c r="AL92" s="13">
        <f t="shared" ca="1" si="97"/>
        <v>0</v>
      </c>
      <c r="AM92" s="13">
        <f t="shared" ca="1" si="98"/>
        <v>0</v>
      </c>
      <c r="AN92" s="13">
        <f t="shared" ca="1" si="99"/>
        <v>0</v>
      </c>
      <c r="AO92" s="13">
        <f t="shared" ca="1" si="100"/>
        <v>0</v>
      </c>
      <c r="AP92" s="13">
        <f t="shared" ca="1" si="101"/>
        <v>1400</v>
      </c>
      <c r="AQ92" s="13">
        <f t="shared" ca="1" si="102"/>
        <v>0</v>
      </c>
      <c r="AR92" s="13">
        <f t="shared" ca="1" si="103"/>
        <v>0</v>
      </c>
      <c r="AS92" s="13">
        <f t="shared" ca="1" si="104"/>
        <v>0</v>
      </c>
      <c r="AT92" s="13">
        <f t="shared" ca="1" si="105"/>
        <v>0</v>
      </c>
      <c r="AU92" s="13">
        <f t="shared" ca="1" si="106"/>
        <v>1400</v>
      </c>
      <c r="AV92" s="13">
        <f t="shared" ca="1" si="107"/>
        <v>0</v>
      </c>
      <c r="AW92" s="13">
        <f t="shared" ca="1" si="108"/>
        <v>0</v>
      </c>
      <c r="AX92" s="13">
        <f t="shared" ca="1" si="109"/>
        <v>0</v>
      </c>
      <c r="AY92" s="13">
        <f t="shared" ca="1" si="110"/>
        <v>0</v>
      </c>
      <c r="AZ92" s="13">
        <f t="shared" ca="1" si="111"/>
        <v>1400</v>
      </c>
      <c r="BA92" s="13">
        <f t="shared" ca="1" si="112"/>
        <v>0</v>
      </c>
      <c r="BB92" s="13">
        <f t="shared" ca="1" si="113"/>
        <v>0</v>
      </c>
      <c r="BC92" s="13">
        <f t="shared" ca="1" si="114"/>
        <v>0</v>
      </c>
      <c r="BD92" s="13">
        <f t="shared" ca="1" si="115"/>
        <v>0</v>
      </c>
      <c r="BE92" s="13">
        <f t="shared" ca="1" si="116"/>
        <v>1400</v>
      </c>
      <c r="BF92" s="13">
        <f t="shared" ca="1" si="117"/>
        <v>0</v>
      </c>
      <c r="BG92" s="13">
        <f t="shared" ca="1" si="118"/>
        <v>0</v>
      </c>
      <c r="BH92" s="13">
        <f t="shared" ca="1" si="119"/>
        <v>0</v>
      </c>
      <c r="BI92" s="13">
        <f t="shared" ca="1" si="120"/>
        <v>0</v>
      </c>
      <c r="BJ92" s="13">
        <f t="shared" ca="1" si="121"/>
        <v>1400</v>
      </c>
      <c r="BK92" s="13">
        <f t="shared" ca="1" si="122"/>
        <v>0</v>
      </c>
      <c r="BL92" s="13">
        <f t="shared" ca="1" si="123"/>
        <v>0</v>
      </c>
      <c r="BM92" s="13">
        <f t="shared" ca="1" si="124"/>
        <v>0</v>
      </c>
      <c r="BN92" s="13">
        <f t="shared" ca="1" si="125"/>
        <v>0</v>
      </c>
      <c r="BO92" s="13">
        <f t="shared" ca="1" si="126"/>
        <v>0</v>
      </c>
      <c r="BP92" s="13">
        <f t="shared" ca="1" si="127"/>
        <v>0</v>
      </c>
      <c r="BQ92" s="13">
        <f t="shared" ca="1" si="128"/>
        <v>0</v>
      </c>
    </row>
    <row r="93" spans="1:69" x14ac:dyDescent="0.25">
      <c r="A93" s="1">
        <v>92</v>
      </c>
      <c r="B93" s="13">
        <f ca="1">IF(A93=1,IF(OR('My Loans'!$O$14="",'My Loans'!$O$14=0),0,INDIRECT("'My Loans'!$D"&amp;'My Loans'!$O$14)),AE92)</f>
        <v>0</v>
      </c>
      <c r="C93" s="13">
        <f ca="1">IF(OR('My Loans'!$O$14="",'My Loans'!$O$14=0),0,B93*INDIRECT("'My Loans'!$E"&amp;'My Loans'!$O$14)/12)</f>
        <v>0</v>
      </c>
      <c r="D93" s="13">
        <f ca="1">IF(OR('My Loans'!$O$14="",'My Loans'!$O$14=0),0,IF(B93&lt;0.005,0,MIN(INDIRECT("'My Loans'!$F"&amp;'My Loans'!$O$14),B93+C93)))</f>
        <v>0</v>
      </c>
      <c r="E93" s="13">
        <f ca="1">IF(A93=1,IF(OR('My Loans'!$O$15="",'My Loans'!$O$15=0),0,INDIRECT("'My Loans'!$D"&amp;'My Loans'!$O$15)),AJ92)</f>
        <v>0</v>
      </c>
      <c r="F93" s="13">
        <f ca="1">IF(OR('My Loans'!$O$15="",'My Loans'!$O$15=0),0,E93*INDIRECT("'My Loans'!$E"&amp;'My Loans'!$O$15)/12)</f>
        <v>0</v>
      </c>
      <c r="G93" s="13">
        <f ca="1">IF(OR('My Loans'!$O$15="",'My Loans'!$O$15=0),0,IF(E93&lt;0.005,0,MIN(INDIRECT("'My Loans'!$F"&amp;'My Loans'!$O$15),E93+F93)))</f>
        <v>0</v>
      </c>
      <c r="H93" s="13">
        <f ca="1">IF(A93=1,IF(OR('My Loans'!$O$16="",'My Loans'!$O$16=0),0,INDIRECT("'My Loans'!$D"&amp;'My Loans'!$O$16)),AO92)</f>
        <v>0</v>
      </c>
      <c r="I93" s="13">
        <f ca="1">IF(OR('My Loans'!$O$16="",'My Loans'!$O$16=0),0,H93*INDIRECT("'My Loans'!$E"&amp;'My Loans'!$O$16)/12)</f>
        <v>0</v>
      </c>
      <c r="J93" s="13">
        <f ca="1">IF(OR('My Loans'!$O$16="",'My Loans'!$O$16=0),0,IF(H93&lt;0.005,0,MIN(INDIRECT("'My Loans'!$F"&amp;'My Loans'!$O$16),H93+I93)))</f>
        <v>0</v>
      </c>
      <c r="K93" s="13">
        <f ca="1">IF(A93=1,IF(OR('My Loans'!$O$17="",'My Loans'!$O$17=0),0,INDIRECT("'My Loans'!$D"&amp;'My Loans'!$O$17)),AT92)</f>
        <v>0</v>
      </c>
      <c r="L93" s="13">
        <f ca="1">IF(OR('My Loans'!$O$17="",'My Loans'!$O$17=0),0,K93*INDIRECT("'My Loans'!$E"&amp;'My Loans'!$O$17)/12)</f>
        <v>0</v>
      </c>
      <c r="M93" s="13">
        <f ca="1">IF(OR('My Loans'!$O$17="",'My Loans'!$O$17=0),0,IF(K93&lt;0.005,0,MIN(INDIRECT("'My Loans'!$F"&amp;'My Loans'!$O$17),K93+L93)))</f>
        <v>0</v>
      </c>
      <c r="N93" s="13">
        <f ca="1">IF(A93=1,IF(OR('My Loans'!$O$18="",'My Loans'!$O$18=0),0,INDIRECT("'My Loans'!$D"&amp;'My Loans'!$O$18)),AY92)</f>
        <v>0</v>
      </c>
      <c r="O93" s="13">
        <f ca="1">IF(OR('My Loans'!$O$18="",'My Loans'!$O$18=0),0,N93*INDIRECT("'My Loans'!$E"&amp;'My Loans'!$O$18)/12)</f>
        <v>0</v>
      </c>
      <c r="P93" s="13">
        <f ca="1">IF(OR('My Loans'!$O$18="",'My Loans'!$O$18=0),0,IF(N93&lt;0.005,0,MIN(INDIRECT("'My Loans'!$F"&amp;'My Loans'!$O$18),N93+O93)))</f>
        <v>0</v>
      </c>
      <c r="Q93" s="13">
        <f ca="1">IF(A93=1,IF(OR('My Loans'!$O$19="",'My Loans'!$O$19=0),0,INDIRECT("'My Loans'!$D"&amp;'My Loans'!$O$19)),BD92)</f>
        <v>0</v>
      </c>
      <c r="R93" s="13">
        <f ca="1">IF(OR('My Loans'!$O$19="",'My Loans'!$O$19=0),0,Q93*INDIRECT("'My Loans'!$E"&amp;'My Loans'!$O$19)/12)</f>
        <v>0</v>
      </c>
      <c r="S93" s="13">
        <f ca="1">IF(OR('My Loans'!$O$19="",'My Loans'!$O$19=0),0,IF(Q93&lt;0.005,0,MIN(INDIRECT("'My Loans'!$F"&amp;'My Loans'!$O$19),Q93+R93)))</f>
        <v>0</v>
      </c>
      <c r="T93" s="13">
        <f ca="1">IF(A93=1,IF(OR('My Loans'!$O$20="",'My Loans'!$O$20=0),0,INDIRECT("'My Loans'!$D"&amp;'My Loans'!$O$20)),BI92)</f>
        <v>0</v>
      </c>
      <c r="U93" s="13">
        <f ca="1">IF(OR('My Loans'!$O$20="",'My Loans'!$O$20=0),0,T93*INDIRECT("'My Loans'!$E"&amp;'My Loans'!$O$20)/12)</f>
        <v>0</v>
      </c>
      <c r="V93" s="13">
        <f ca="1">IF(OR('My Loans'!$O$20="",'My Loans'!$O$20=0),0,IF(T93&lt;0.005,0,MIN(INDIRECT("'My Loans'!$F"&amp;'My Loans'!$O$20),T93+U93)))</f>
        <v>0</v>
      </c>
      <c r="W93" s="13">
        <f ca="1">IF(A93=1,IF(OR('My Loans'!$O$21="",'My Loans'!$O$21=0),0,INDIRECT("'My Loans'!$D"&amp;'My Loans'!$O$21)),BN92)</f>
        <v>0</v>
      </c>
      <c r="X93" s="13">
        <f ca="1">IF(OR('My Loans'!$O$21="",'My Loans'!$O$21=0),0,W93*INDIRECT("'My Loans'!$E"&amp;'My Loans'!$O$21)/12)</f>
        <v>0</v>
      </c>
      <c r="Y93" s="13">
        <f ca="1">IF(OR('My Loans'!$O$21="",'My Loans'!$O$21=0),0,IF(W93&lt;0.005,0,MIN(INDIRECT("'My Loans'!$F"&amp;'My Loans'!$O$21),W93+X93)))</f>
        <v>0</v>
      </c>
      <c r="Z93" s="13">
        <f ca="1">'My Loans'!$B$13-(D93+G93+J93+M93+P93+S93+V93+Y93)</f>
        <v>1400</v>
      </c>
      <c r="AA93" s="13">
        <f t="shared" ca="1" si="86"/>
        <v>1400</v>
      </c>
      <c r="AB93" s="13">
        <f t="shared" ca="1" si="87"/>
        <v>0</v>
      </c>
      <c r="AC93" s="13">
        <f t="shared" ca="1" si="88"/>
        <v>0</v>
      </c>
      <c r="AD93" s="13">
        <f t="shared" ca="1" si="89"/>
        <v>0</v>
      </c>
      <c r="AE93" s="13">
        <f t="shared" ca="1" si="90"/>
        <v>0</v>
      </c>
      <c r="AF93" s="13">
        <f t="shared" ca="1" si="91"/>
        <v>1400</v>
      </c>
      <c r="AG93" s="13">
        <f t="shared" ca="1" si="92"/>
        <v>0</v>
      </c>
      <c r="AH93" s="13">
        <f t="shared" ca="1" si="93"/>
        <v>0</v>
      </c>
      <c r="AI93" s="13">
        <f t="shared" ca="1" si="94"/>
        <v>0</v>
      </c>
      <c r="AJ93" s="13">
        <f t="shared" ca="1" si="95"/>
        <v>0</v>
      </c>
      <c r="AK93" s="13">
        <f t="shared" ca="1" si="96"/>
        <v>1400</v>
      </c>
      <c r="AL93" s="13">
        <f t="shared" ca="1" si="97"/>
        <v>0</v>
      </c>
      <c r="AM93" s="13">
        <f t="shared" ca="1" si="98"/>
        <v>0</v>
      </c>
      <c r="AN93" s="13">
        <f t="shared" ca="1" si="99"/>
        <v>0</v>
      </c>
      <c r="AO93" s="13">
        <f t="shared" ca="1" si="100"/>
        <v>0</v>
      </c>
      <c r="AP93" s="13">
        <f t="shared" ca="1" si="101"/>
        <v>1400</v>
      </c>
      <c r="AQ93" s="13">
        <f t="shared" ca="1" si="102"/>
        <v>0</v>
      </c>
      <c r="AR93" s="13">
        <f t="shared" ca="1" si="103"/>
        <v>0</v>
      </c>
      <c r="AS93" s="13">
        <f t="shared" ca="1" si="104"/>
        <v>0</v>
      </c>
      <c r="AT93" s="13">
        <f t="shared" ca="1" si="105"/>
        <v>0</v>
      </c>
      <c r="AU93" s="13">
        <f t="shared" ca="1" si="106"/>
        <v>1400</v>
      </c>
      <c r="AV93" s="13">
        <f t="shared" ca="1" si="107"/>
        <v>0</v>
      </c>
      <c r="AW93" s="13">
        <f t="shared" ca="1" si="108"/>
        <v>0</v>
      </c>
      <c r="AX93" s="13">
        <f t="shared" ca="1" si="109"/>
        <v>0</v>
      </c>
      <c r="AY93" s="13">
        <f t="shared" ca="1" si="110"/>
        <v>0</v>
      </c>
      <c r="AZ93" s="13">
        <f t="shared" ca="1" si="111"/>
        <v>1400</v>
      </c>
      <c r="BA93" s="13">
        <f t="shared" ca="1" si="112"/>
        <v>0</v>
      </c>
      <c r="BB93" s="13">
        <f t="shared" ca="1" si="113"/>
        <v>0</v>
      </c>
      <c r="BC93" s="13">
        <f t="shared" ca="1" si="114"/>
        <v>0</v>
      </c>
      <c r="BD93" s="13">
        <f t="shared" ca="1" si="115"/>
        <v>0</v>
      </c>
      <c r="BE93" s="13">
        <f t="shared" ca="1" si="116"/>
        <v>1400</v>
      </c>
      <c r="BF93" s="13">
        <f t="shared" ca="1" si="117"/>
        <v>0</v>
      </c>
      <c r="BG93" s="13">
        <f t="shared" ca="1" si="118"/>
        <v>0</v>
      </c>
      <c r="BH93" s="13">
        <f t="shared" ca="1" si="119"/>
        <v>0</v>
      </c>
      <c r="BI93" s="13">
        <f t="shared" ca="1" si="120"/>
        <v>0</v>
      </c>
      <c r="BJ93" s="13">
        <f t="shared" ca="1" si="121"/>
        <v>1400</v>
      </c>
      <c r="BK93" s="13">
        <f t="shared" ca="1" si="122"/>
        <v>0</v>
      </c>
      <c r="BL93" s="13">
        <f t="shared" ca="1" si="123"/>
        <v>0</v>
      </c>
      <c r="BM93" s="13">
        <f t="shared" ca="1" si="124"/>
        <v>0</v>
      </c>
      <c r="BN93" s="13">
        <f t="shared" ca="1" si="125"/>
        <v>0</v>
      </c>
      <c r="BO93" s="13">
        <f t="shared" ca="1" si="126"/>
        <v>0</v>
      </c>
      <c r="BP93" s="13">
        <f t="shared" ca="1" si="127"/>
        <v>0</v>
      </c>
      <c r="BQ93" s="13">
        <f t="shared" ca="1" si="128"/>
        <v>0</v>
      </c>
    </row>
    <row r="94" spans="1:69" x14ac:dyDescent="0.25">
      <c r="A94" s="1">
        <v>93</v>
      </c>
      <c r="B94" s="13">
        <f ca="1">IF(A94=1,IF(OR('My Loans'!$O$14="",'My Loans'!$O$14=0),0,INDIRECT("'My Loans'!$D"&amp;'My Loans'!$O$14)),AE93)</f>
        <v>0</v>
      </c>
      <c r="C94" s="13">
        <f ca="1">IF(OR('My Loans'!$O$14="",'My Loans'!$O$14=0),0,B94*INDIRECT("'My Loans'!$E"&amp;'My Loans'!$O$14)/12)</f>
        <v>0</v>
      </c>
      <c r="D94" s="13">
        <f ca="1">IF(OR('My Loans'!$O$14="",'My Loans'!$O$14=0),0,IF(B94&lt;0.005,0,MIN(INDIRECT("'My Loans'!$F"&amp;'My Loans'!$O$14),B94+C94)))</f>
        <v>0</v>
      </c>
      <c r="E94" s="13">
        <f ca="1">IF(A94=1,IF(OR('My Loans'!$O$15="",'My Loans'!$O$15=0),0,INDIRECT("'My Loans'!$D"&amp;'My Loans'!$O$15)),AJ93)</f>
        <v>0</v>
      </c>
      <c r="F94" s="13">
        <f ca="1">IF(OR('My Loans'!$O$15="",'My Loans'!$O$15=0),0,E94*INDIRECT("'My Loans'!$E"&amp;'My Loans'!$O$15)/12)</f>
        <v>0</v>
      </c>
      <c r="G94" s="13">
        <f ca="1">IF(OR('My Loans'!$O$15="",'My Loans'!$O$15=0),0,IF(E94&lt;0.005,0,MIN(INDIRECT("'My Loans'!$F"&amp;'My Loans'!$O$15),E94+F94)))</f>
        <v>0</v>
      </c>
      <c r="H94" s="13">
        <f ca="1">IF(A94=1,IF(OR('My Loans'!$O$16="",'My Loans'!$O$16=0),0,INDIRECT("'My Loans'!$D"&amp;'My Loans'!$O$16)),AO93)</f>
        <v>0</v>
      </c>
      <c r="I94" s="13">
        <f ca="1">IF(OR('My Loans'!$O$16="",'My Loans'!$O$16=0),0,H94*INDIRECT("'My Loans'!$E"&amp;'My Loans'!$O$16)/12)</f>
        <v>0</v>
      </c>
      <c r="J94" s="13">
        <f ca="1">IF(OR('My Loans'!$O$16="",'My Loans'!$O$16=0),0,IF(H94&lt;0.005,0,MIN(INDIRECT("'My Loans'!$F"&amp;'My Loans'!$O$16),H94+I94)))</f>
        <v>0</v>
      </c>
      <c r="K94" s="13">
        <f ca="1">IF(A94=1,IF(OR('My Loans'!$O$17="",'My Loans'!$O$17=0),0,INDIRECT("'My Loans'!$D"&amp;'My Loans'!$O$17)),AT93)</f>
        <v>0</v>
      </c>
      <c r="L94" s="13">
        <f ca="1">IF(OR('My Loans'!$O$17="",'My Loans'!$O$17=0),0,K94*INDIRECT("'My Loans'!$E"&amp;'My Loans'!$O$17)/12)</f>
        <v>0</v>
      </c>
      <c r="M94" s="13">
        <f ca="1">IF(OR('My Loans'!$O$17="",'My Loans'!$O$17=0),0,IF(K94&lt;0.005,0,MIN(INDIRECT("'My Loans'!$F"&amp;'My Loans'!$O$17),K94+L94)))</f>
        <v>0</v>
      </c>
      <c r="N94" s="13">
        <f ca="1">IF(A94=1,IF(OR('My Loans'!$O$18="",'My Loans'!$O$18=0),0,INDIRECT("'My Loans'!$D"&amp;'My Loans'!$O$18)),AY93)</f>
        <v>0</v>
      </c>
      <c r="O94" s="13">
        <f ca="1">IF(OR('My Loans'!$O$18="",'My Loans'!$O$18=0),0,N94*INDIRECT("'My Loans'!$E"&amp;'My Loans'!$O$18)/12)</f>
        <v>0</v>
      </c>
      <c r="P94" s="13">
        <f ca="1">IF(OR('My Loans'!$O$18="",'My Loans'!$O$18=0),0,IF(N94&lt;0.005,0,MIN(INDIRECT("'My Loans'!$F"&amp;'My Loans'!$O$18),N94+O94)))</f>
        <v>0</v>
      </c>
      <c r="Q94" s="13">
        <f ca="1">IF(A94=1,IF(OR('My Loans'!$O$19="",'My Loans'!$O$19=0),0,INDIRECT("'My Loans'!$D"&amp;'My Loans'!$O$19)),BD93)</f>
        <v>0</v>
      </c>
      <c r="R94" s="13">
        <f ca="1">IF(OR('My Loans'!$O$19="",'My Loans'!$O$19=0),0,Q94*INDIRECT("'My Loans'!$E"&amp;'My Loans'!$O$19)/12)</f>
        <v>0</v>
      </c>
      <c r="S94" s="13">
        <f ca="1">IF(OR('My Loans'!$O$19="",'My Loans'!$O$19=0),0,IF(Q94&lt;0.005,0,MIN(INDIRECT("'My Loans'!$F"&amp;'My Loans'!$O$19),Q94+R94)))</f>
        <v>0</v>
      </c>
      <c r="T94" s="13">
        <f ca="1">IF(A94=1,IF(OR('My Loans'!$O$20="",'My Loans'!$O$20=0),0,INDIRECT("'My Loans'!$D"&amp;'My Loans'!$O$20)),BI93)</f>
        <v>0</v>
      </c>
      <c r="U94" s="13">
        <f ca="1">IF(OR('My Loans'!$O$20="",'My Loans'!$O$20=0),0,T94*INDIRECT("'My Loans'!$E"&amp;'My Loans'!$O$20)/12)</f>
        <v>0</v>
      </c>
      <c r="V94" s="13">
        <f ca="1">IF(OR('My Loans'!$O$20="",'My Loans'!$O$20=0),0,IF(T94&lt;0.005,0,MIN(INDIRECT("'My Loans'!$F"&amp;'My Loans'!$O$20),T94+U94)))</f>
        <v>0</v>
      </c>
      <c r="W94" s="13">
        <f ca="1">IF(A94=1,IF(OR('My Loans'!$O$21="",'My Loans'!$O$21=0),0,INDIRECT("'My Loans'!$D"&amp;'My Loans'!$O$21)),BN93)</f>
        <v>0</v>
      </c>
      <c r="X94" s="13">
        <f ca="1">IF(OR('My Loans'!$O$21="",'My Loans'!$O$21=0),0,W94*INDIRECT("'My Loans'!$E"&amp;'My Loans'!$O$21)/12)</f>
        <v>0</v>
      </c>
      <c r="Y94" s="13">
        <f ca="1">IF(OR('My Loans'!$O$21="",'My Loans'!$O$21=0),0,IF(W94&lt;0.005,0,MIN(INDIRECT("'My Loans'!$F"&amp;'My Loans'!$O$21),W94+X94)))</f>
        <v>0</v>
      </c>
      <c r="Z94" s="13">
        <f ca="1">'My Loans'!$B$13-(D94+G94+J94+M94+P94+S94+V94+Y94)</f>
        <v>1400</v>
      </c>
      <c r="AA94" s="13">
        <f t="shared" ca="1" si="86"/>
        <v>1400</v>
      </c>
      <c r="AB94" s="13">
        <f t="shared" ca="1" si="87"/>
        <v>0</v>
      </c>
      <c r="AC94" s="13">
        <f t="shared" ca="1" si="88"/>
        <v>0</v>
      </c>
      <c r="AD94" s="13">
        <f t="shared" ca="1" si="89"/>
        <v>0</v>
      </c>
      <c r="AE94" s="13">
        <f t="shared" ca="1" si="90"/>
        <v>0</v>
      </c>
      <c r="AF94" s="13">
        <f t="shared" ca="1" si="91"/>
        <v>1400</v>
      </c>
      <c r="AG94" s="13">
        <f t="shared" ca="1" si="92"/>
        <v>0</v>
      </c>
      <c r="AH94" s="13">
        <f t="shared" ca="1" si="93"/>
        <v>0</v>
      </c>
      <c r="AI94" s="13">
        <f t="shared" ca="1" si="94"/>
        <v>0</v>
      </c>
      <c r="AJ94" s="13">
        <f t="shared" ca="1" si="95"/>
        <v>0</v>
      </c>
      <c r="AK94" s="13">
        <f t="shared" ca="1" si="96"/>
        <v>1400</v>
      </c>
      <c r="AL94" s="13">
        <f t="shared" ca="1" si="97"/>
        <v>0</v>
      </c>
      <c r="AM94" s="13">
        <f t="shared" ca="1" si="98"/>
        <v>0</v>
      </c>
      <c r="AN94" s="13">
        <f t="shared" ca="1" si="99"/>
        <v>0</v>
      </c>
      <c r="AO94" s="13">
        <f t="shared" ca="1" si="100"/>
        <v>0</v>
      </c>
      <c r="AP94" s="13">
        <f t="shared" ca="1" si="101"/>
        <v>1400</v>
      </c>
      <c r="AQ94" s="13">
        <f t="shared" ca="1" si="102"/>
        <v>0</v>
      </c>
      <c r="AR94" s="13">
        <f t="shared" ca="1" si="103"/>
        <v>0</v>
      </c>
      <c r="AS94" s="13">
        <f t="shared" ca="1" si="104"/>
        <v>0</v>
      </c>
      <c r="AT94" s="13">
        <f t="shared" ca="1" si="105"/>
        <v>0</v>
      </c>
      <c r="AU94" s="13">
        <f t="shared" ca="1" si="106"/>
        <v>1400</v>
      </c>
      <c r="AV94" s="13">
        <f t="shared" ca="1" si="107"/>
        <v>0</v>
      </c>
      <c r="AW94" s="13">
        <f t="shared" ca="1" si="108"/>
        <v>0</v>
      </c>
      <c r="AX94" s="13">
        <f t="shared" ca="1" si="109"/>
        <v>0</v>
      </c>
      <c r="AY94" s="13">
        <f t="shared" ca="1" si="110"/>
        <v>0</v>
      </c>
      <c r="AZ94" s="13">
        <f t="shared" ca="1" si="111"/>
        <v>1400</v>
      </c>
      <c r="BA94" s="13">
        <f t="shared" ca="1" si="112"/>
        <v>0</v>
      </c>
      <c r="BB94" s="13">
        <f t="shared" ca="1" si="113"/>
        <v>0</v>
      </c>
      <c r="BC94" s="13">
        <f t="shared" ca="1" si="114"/>
        <v>0</v>
      </c>
      <c r="BD94" s="13">
        <f t="shared" ca="1" si="115"/>
        <v>0</v>
      </c>
      <c r="BE94" s="13">
        <f t="shared" ca="1" si="116"/>
        <v>1400</v>
      </c>
      <c r="BF94" s="13">
        <f t="shared" ca="1" si="117"/>
        <v>0</v>
      </c>
      <c r="BG94" s="13">
        <f t="shared" ca="1" si="118"/>
        <v>0</v>
      </c>
      <c r="BH94" s="13">
        <f t="shared" ca="1" si="119"/>
        <v>0</v>
      </c>
      <c r="BI94" s="13">
        <f t="shared" ca="1" si="120"/>
        <v>0</v>
      </c>
      <c r="BJ94" s="13">
        <f t="shared" ca="1" si="121"/>
        <v>1400</v>
      </c>
      <c r="BK94" s="13">
        <f t="shared" ca="1" si="122"/>
        <v>0</v>
      </c>
      <c r="BL94" s="13">
        <f t="shared" ca="1" si="123"/>
        <v>0</v>
      </c>
      <c r="BM94" s="13">
        <f t="shared" ca="1" si="124"/>
        <v>0</v>
      </c>
      <c r="BN94" s="13">
        <f t="shared" ca="1" si="125"/>
        <v>0</v>
      </c>
      <c r="BO94" s="13">
        <f t="shared" ca="1" si="126"/>
        <v>0</v>
      </c>
      <c r="BP94" s="13">
        <f t="shared" ca="1" si="127"/>
        <v>0</v>
      </c>
      <c r="BQ94" s="13">
        <f t="shared" ca="1" si="128"/>
        <v>0</v>
      </c>
    </row>
    <row r="95" spans="1:69" x14ac:dyDescent="0.25">
      <c r="A95" s="1">
        <v>94</v>
      </c>
      <c r="B95" s="13">
        <f ca="1">IF(A95=1,IF(OR('My Loans'!$O$14="",'My Loans'!$O$14=0),0,INDIRECT("'My Loans'!$D"&amp;'My Loans'!$O$14)),AE94)</f>
        <v>0</v>
      </c>
      <c r="C95" s="13">
        <f ca="1">IF(OR('My Loans'!$O$14="",'My Loans'!$O$14=0),0,B95*INDIRECT("'My Loans'!$E"&amp;'My Loans'!$O$14)/12)</f>
        <v>0</v>
      </c>
      <c r="D95" s="13">
        <f ca="1">IF(OR('My Loans'!$O$14="",'My Loans'!$O$14=0),0,IF(B95&lt;0.005,0,MIN(INDIRECT("'My Loans'!$F"&amp;'My Loans'!$O$14),B95+C95)))</f>
        <v>0</v>
      </c>
      <c r="E95" s="13">
        <f ca="1">IF(A95=1,IF(OR('My Loans'!$O$15="",'My Loans'!$O$15=0),0,INDIRECT("'My Loans'!$D"&amp;'My Loans'!$O$15)),AJ94)</f>
        <v>0</v>
      </c>
      <c r="F95" s="13">
        <f ca="1">IF(OR('My Loans'!$O$15="",'My Loans'!$O$15=0),0,E95*INDIRECT("'My Loans'!$E"&amp;'My Loans'!$O$15)/12)</f>
        <v>0</v>
      </c>
      <c r="G95" s="13">
        <f ca="1">IF(OR('My Loans'!$O$15="",'My Loans'!$O$15=0),0,IF(E95&lt;0.005,0,MIN(INDIRECT("'My Loans'!$F"&amp;'My Loans'!$O$15),E95+F95)))</f>
        <v>0</v>
      </c>
      <c r="H95" s="13">
        <f ca="1">IF(A95=1,IF(OR('My Loans'!$O$16="",'My Loans'!$O$16=0),0,INDIRECT("'My Loans'!$D"&amp;'My Loans'!$O$16)),AO94)</f>
        <v>0</v>
      </c>
      <c r="I95" s="13">
        <f ca="1">IF(OR('My Loans'!$O$16="",'My Loans'!$O$16=0),0,H95*INDIRECT("'My Loans'!$E"&amp;'My Loans'!$O$16)/12)</f>
        <v>0</v>
      </c>
      <c r="J95" s="13">
        <f ca="1">IF(OR('My Loans'!$O$16="",'My Loans'!$O$16=0),0,IF(H95&lt;0.005,0,MIN(INDIRECT("'My Loans'!$F"&amp;'My Loans'!$O$16),H95+I95)))</f>
        <v>0</v>
      </c>
      <c r="K95" s="13">
        <f ca="1">IF(A95=1,IF(OR('My Loans'!$O$17="",'My Loans'!$O$17=0),0,INDIRECT("'My Loans'!$D"&amp;'My Loans'!$O$17)),AT94)</f>
        <v>0</v>
      </c>
      <c r="L95" s="13">
        <f ca="1">IF(OR('My Loans'!$O$17="",'My Loans'!$O$17=0),0,K95*INDIRECT("'My Loans'!$E"&amp;'My Loans'!$O$17)/12)</f>
        <v>0</v>
      </c>
      <c r="M95" s="13">
        <f ca="1">IF(OR('My Loans'!$O$17="",'My Loans'!$O$17=0),0,IF(K95&lt;0.005,0,MIN(INDIRECT("'My Loans'!$F"&amp;'My Loans'!$O$17),K95+L95)))</f>
        <v>0</v>
      </c>
      <c r="N95" s="13">
        <f ca="1">IF(A95=1,IF(OR('My Loans'!$O$18="",'My Loans'!$O$18=0),0,INDIRECT("'My Loans'!$D"&amp;'My Loans'!$O$18)),AY94)</f>
        <v>0</v>
      </c>
      <c r="O95" s="13">
        <f ca="1">IF(OR('My Loans'!$O$18="",'My Loans'!$O$18=0),0,N95*INDIRECT("'My Loans'!$E"&amp;'My Loans'!$O$18)/12)</f>
        <v>0</v>
      </c>
      <c r="P95" s="13">
        <f ca="1">IF(OR('My Loans'!$O$18="",'My Loans'!$O$18=0),0,IF(N95&lt;0.005,0,MIN(INDIRECT("'My Loans'!$F"&amp;'My Loans'!$O$18),N95+O95)))</f>
        <v>0</v>
      </c>
      <c r="Q95" s="13">
        <f ca="1">IF(A95=1,IF(OR('My Loans'!$O$19="",'My Loans'!$O$19=0),0,INDIRECT("'My Loans'!$D"&amp;'My Loans'!$O$19)),BD94)</f>
        <v>0</v>
      </c>
      <c r="R95" s="13">
        <f ca="1">IF(OR('My Loans'!$O$19="",'My Loans'!$O$19=0),0,Q95*INDIRECT("'My Loans'!$E"&amp;'My Loans'!$O$19)/12)</f>
        <v>0</v>
      </c>
      <c r="S95" s="13">
        <f ca="1">IF(OR('My Loans'!$O$19="",'My Loans'!$O$19=0),0,IF(Q95&lt;0.005,0,MIN(INDIRECT("'My Loans'!$F"&amp;'My Loans'!$O$19),Q95+R95)))</f>
        <v>0</v>
      </c>
      <c r="T95" s="13">
        <f ca="1">IF(A95=1,IF(OR('My Loans'!$O$20="",'My Loans'!$O$20=0),0,INDIRECT("'My Loans'!$D"&amp;'My Loans'!$O$20)),BI94)</f>
        <v>0</v>
      </c>
      <c r="U95" s="13">
        <f ca="1">IF(OR('My Loans'!$O$20="",'My Loans'!$O$20=0),0,T95*INDIRECT("'My Loans'!$E"&amp;'My Loans'!$O$20)/12)</f>
        <v>0</v>
      </c>
      <c r="V95" s="13">
        <f ca="1">IF(OR('My Loans'!$O$20="",'My Loans'!$O$20=0),0,IF(T95&lt;0.005,0,MIN(INDIRECT("'My Loans'!$F"&amp;'My Loans'!$O$20),T95+U95)))</f>
        <v>0</v>
      </c>
      <c r="W95" s="13">
        <f ca="1">IF(A95=1,IF(OR('My Loans'!$O$21="",'My Loans'!$O$21=0),0,INDIRECT("'My Loans'!$D"&amp;'My Loans'!$O$21)),BN94)</f>
        <v>0</v>
      </c>
      <c r="X95" s="13">
        <f ca="1">IF(OR('My Loans'!$O$21="",'My Loans'!$O$21=0),0,W95*INDIRECT("'My Loans'!$E"&amp;'My Loans'!$O$21)/12)</f>
        <v>0</v>
      </c>
      <c r="Y95" s="13">
        <f ca="1">IF(OR('My Loans'!$O$21="",'My Loans'!$O$21=0),0,IF(W95&lt;0.005,0,MIN(INDIRECT("'My Loans'!$F"&amp;'My Loans'!$O$21),W95+X95)))</f>
        <v>0</v>
      </c>
      <c r="Z95" s="13">
        <f ca="1">'My Loans'!$B$13-(D95+G95+J95+M95+P95+S95+V95+Y95)</f>
        <v>1400</v>
      </c>
      <c r="AA95" s="13">
        <f t="shared" ca="1" si="86"/>
        <v>1400</v>
      </c>
      <c r="AB95" s="13">
        <f t="shared" ca="1" si="87"/>
        <v>0</v>
      </c>
      <c r="AC95" s="13">
        <f t="shared" ca="1" si="88"/>
        <v>0</v>
      </c>
      <c r="AD95" s="13">
        <f t="shared" ca="1" si="89"/>
        <v>0</v>
      </c>
      <c r="AE95" s="13">
        <f t="shared" ca="1" si="90"/>
        <v>0</v>
      </c>
      <c r="AF95" s="13">
        <f t="shared" ca="1" si="91"/>
        <v>1400</v>
      </c>
      <c r="AG95" s="13">
        <f t="shared" ca="1" si="92"/>
        <v>0</v>
      </c>
      <c r="AH95" s="13">
        <f t="shared" ca="1" si="93"/>
        <v>0</v>
      </c>
      <c r="AI95" s="13">
        <f t="shared" ca="1" si="94"/>
        <v>0</v>
      </c>
      <c r="AJ95" s="13">
        <f t="shared" ca="1" si="95"/>
        <v>0</v>
      </c>
      <c r="AK95" s="13">
        <f t="shared" ca="1" si="96"/>
        <v>1400</v>
      </c>
      <c r="AL95" s="13">
        <f t="shared" ca="1" si="97"/>
        <v>0</v>
      </c>
      <c r="AM95" s="13">
        <f t="shared" ca="1" si="98"/>
        <v>0</v>
      </c>
      <c r="AN95" s="13">
        <f t="shared" ca="1" si="99"/>
        <v>0</v>
      </c>
      <c r="AO95" s="13">
        <f t="shared" ca="1" si="100"/>
        <v>0</v>
      </c>
      <c r="AP95" s="13">
        <f t="shared" ca="1" si="101"/>
        <v>1400</v>
      </c>
      <c r="AQ95" s="13">
        <f t="shared" ca="1" si="102"/>
        <v>0</v>
      </c>
      <c r="AR95" s="13">
        <f t="shared" ca="1" si="103"/>
        <v>0</v>
      </c>
      <c r="AS95" s="13">
        <f t="shared" ca="1" si="104"/>
        <v>0</v>
      </c>
      <c r="AT95" s="13">
        <f t="shared" ca="1" si="105"/>
        <v>0</v>
      </c>
      <c r="AU95" s="13">
        <f t="shared" ca="1" si="106"/>
        <v>1400</v>
      </c>
      <c r="AV95" s="13">
        <f t="shared" ca="1" si="107"/>
        <v>0</v>
      </c>
      <c r="AW95" s="13">
        <f t="shared" ca="1" si="108"/>
        <v>0</v>
      </c>
      <c r="AX95" s="13">
        <f t="shared" ca="1" si="109"/>
        <v>0</v>
      </c>
      <c r="AY95" s="13">
        <f t="shared" ca="1" si="110"/>
        <v>0</v>
      </c>
      <c r="AZ95" s="13">
        <f t="shared" ca="1" si="111"/>
        <v>1400</v>
      </c>
      <c r="BA95" s="13">
        <f t="shared" ca="1" si="112"/>
        <v>0</v>
      </c>
      <c r="BB95" s="13">
        <f t="shared" ca="1" si="113"/>
        <v>0</v>
      </c>
      <c r="BC95" s="13">
        <f t="shared" ca="1" si="114"/>
        <v>0</v>
      </c>
      <c r="BD95" s="13">
        <f t="shared" ca="1" si="115"/>
        <v>0</v>
      </c>
      <c r="BE95" s="13">
        <f t="shared" ca="1" si="116"/>
        <v>1400</v>
      </c>
      <c r="BF95" s="13">
        <f t="shared" ca="1" si="117"/>
        <v>0</v>
      </c>
      <c r="BG95" s="13">
        <f t="shared" ca="1" si="118"/>
        <v>0</v>
      </c>
      <c r="BH95" s="13">
        <f t="shared" ca="1" si="119"/>
        <v>0</v>
      </c>
      <c r="BI95" s="13">
        <f t="shared" ca="1" si="120"/>
        <v>0</v>
      </c>
      <c r="BJ95" s="13">
        <f t="shared" ca="1" si="121"/>
        <v>1400</v>
      </c>
      <c r="BK95" s="13">
        <f t="shared" ca="1" si="122"/>
        <v>0</v>
      </c>
      <c r="BL95" s="13">
        <f t="shared" ca="1" si="123"/>
        <v>0</v>
      </c>
      <c r="BM95" s="13">
        <f t="shared" ca="1" si="124"/>
        <v>0</v>
      </c>
      <c r="BN95" s="13">
        <f t="shared" ca="1" si="125"/>
        <v>0</v>
      </c>
      <c r="BO95" s="13">
        <f t="shared" ca="1" si="126"/>
        <v>0</v>
      </c>
      <c r="BP95" s="13">
        <f t="shared" ca="1" si="127"/>
        <v>0</v>
      </c>
      <c r="BQ95" s="13">
        <f t="shared" ca="1" si="128"/>
        <v>0</v>
      </c>
    </row>
    <row r="96" spans="1:69" x14ac:dyDescent="0.25">
      <c r="A96" s="1">
        <v>95</v>
      </c>
      <c r="B96" s="13">
        <f ca="1">IF(A96=1,IF(OR('My Loans'!$O$14="",'My Loans'!$O$14=0),0,INDIRECT("'My Loans'!$D"&amp;'My Loans'!$O$14)),AE95)</f>
        <v>0</v>
      </c>
      <c r="C96" s="13">
        <f ca="1">IF(OR('My Loans'!$O$14="",'My Loans'!$O$14=0),0,B96*INDIRECT("'My Loans'!$E"&amp;'My Loans'!$O$14)/12)</f>
        <v>0</v>
      </c>
      <c r="D96" s="13">
        <f ca="1">IF(OR('My Loans'!$O$14="",'My Loans'!$O$14=0),0,IF(B96&lt;0.005,0,MIN(INDIRECT("'My Loans'!$F"&amp;'My Loans'!$O$14),B96+C96)))</f>
        <v>0</v>
      </c>
      <c r="E96" s="13">
        <f ca="1">IF(A96=1,IF(OR('My Loans'!$O$15="",'My Loans'!$O$15=0),0,INDIRECT("'My Loans'!$D"&amp;'My Loans'!$O$15)),AJ95)</f>
        <v>0</v>
      </c>
      <c r="F96" s="13">
        <f ca="1">IF(OR('My Loans'!$O$15="",'My Loans'!$O$15=0),0,E96*INDIRECT("'My Loans'!$E"&amp;'My Loans'!$O$15)/12)</f>
        <v>0</v>
      </c>
      <c r="G96" s="13">
        <f ca="1">IF(OR('My Loans'!$O$15="",'My Loans'!$O$15=0),0,IF(E96&lt;0.005,0,MIN(INDIRECT("'My Loans'!$F"&amp;'My Loans'!$O$15),E96+F96)))</f>
        <v>0</v>
      </c>
      <c r="H96" s="13">
        <f ca="1">IF(A96=1,IF(OR('My Loans'!$O$16="",'My Loans'!$O$16=0),0,INDIRECT("'My Loans'!$D"&amp;'My Loans'!$O$16)),AO95)</f>
        <v>0</v>
      </c>
      <c r="I96" s="13">
        <f ca="1">IF(OR('My Loans'!$O$16="",'My Loans'!$O$16=0),0,H96*INDIRECT("'My Loans'!$E"&amp;'My Loans'!$O$16)/12)</f>
        <v>0</v>
      </c>
      <c r="J96" s="13">
        <f ca="1">IF(OR('My Loans'!$O$16="",'My Loans'!$O$16=0),0,IF(H96&lt;0.005,0,MIN(INDIRECT("'My Loans'!$F"&amp;'My Loans'!$O$16),H96+I96)))</f>
        <v>0</v>
      </c>
      <c r="K96" s="13">
        <f ca="1">IF(A96=1,IF(OR('My Loans'!$O$17="",'My Loans'!$O$17=0),0,INDIRECT("'My Loans'!$D"&amp;'My Loans'!$O$17)),AT95)</f>
        <v>0</v>
      </c>
      <c r="L96" s="13">
        <f ca="1">IF(OR('My Loans'!$O$17="",'My Loans'!$O$17=0),0,K96*INDIRECT("'My Loans'!$E"&amp;'My Loans'!$O$17)/12)</f>
        <v>0</v>
      </c>
      <c r="M96" s="13">
        <f ca="1">IF(OR('My Loans'!$O$17="",'My Loans'!$O$17=0),0,IF(K96&lt;0.005,0,MIN(INDIRECT("'My Loans'!$F"&amp;'My Loans'!$O$17),K96+L96)))</f>
        <v>0</v>
      </c>
      <c r="N96" s="13">
        <f ca="1">IF(A96=1,IF(OR('My Loans'!$O$18="",'My Loans'!$O$18=0),0,INDIRECT("'My Loans'!$D"&amp;'My Loans'!$O$18)),AY95)</f>
        <v>0</v>
      </c>
      <c r="O96" s="13">
        <f ca="1">IF(OR('My Loans'!$O$18="",'My Loans'!$O$18=0),0,N96*INDIRECT("'My Loans'!$E"&amp;'My Loans'!$O$18)/12)</f>
        <v>0</v>
      </c>
      <c r="P96" s="13">
        <f ca="1">IF(OR('My Loans'!$O$18="",'My Loans'!$O$18=0),0,IF(N96&lt;0.005,0,MIN(INDIRECT("'My Loans'!$F"&amp;'My Loans'!$O$18),N96+O96)))</f>
        <v>0</v>
      </c>
      <c r="Q96" s="13">
        <f ca="1">IF(A96=1,IF(OR('My Loans'!$O$19="",'My Loans'!$O$19=0),0,INDIRECT("'My Loans'!$D"&amp;'My Loans'!$O$19)),BD95)</f>
        <v>0</v>
      </c>
      <c r="R96" s="13">
        <f ca="1">IF(OR('My Loans'!$O$19="",'My Loans'!$O$19=0),0,Q96*INDIRECT("'My Loans'!$E"&amp;'My Loans'!$O$19)/12)</f>
        <v>0</v>
      </c>
      <c r="S96" s="13">
        <f ca="1">IF(OR('My Loans'!$O$19="",'My Loans'!$O$19=0),0,IF(Q96&lt;0.005,0,MIN(INDIRECT("'My Loans'!$F"&amp;'My Loans'!$O$19),Q96+R96)))</f>
        <v>0</v>
      </c>
      <c r="T96" s="13">
        <f ca="1">IF(A96=1,IF(OR('My Loans'!$O$20="",'My Loans'!$O$20=0),0,INDIRECT("'My Loans'!$D"&amp;'My Loans'!$O$20)),BI95)</f>
        <v>0</v>
      </c>
      <c r="U96" s="13">
        <f ca="1">IF(OR('My Loans'!$O$20="",'My Loans'!$O$20=0),0,T96*INDIRECT("'My Loans'!$E"&amp;'My Loans'!$O$20)/12)</f>
        <v>0</v>
      </c>
      <c r="V96" s="13">
        <f ca="1">IF(OR('My Loans'!$O$20="",'My Loans'!$O$20=0),0,IF(T96&lt;0.005,0,MIN(INDIRECT("'My Loans'!$F"&amp;'My Loans'!$O$20),T96+U96)))</f>
        <v>0</v>
      </c>
      <c r="W96" s="13">
        <f ca="1">IF(A96=1,IF(OR('My Loans'!$O$21="",'My Loans'!$O$21=0),0,INDIRECT("'My Loans'!$D"&amp;'My Loans'!$O$21)),BN95)</f>
        <v>0</v>
      </c>
      <c r="X96" s="13">
        <f ca="1">IF(OR('My Loans'!$O$21="",'My Loans'!$O$21=0),0,W96*INDIRECT("'My Loans'!$E"&amp;'My Loans'!$O$21)/12)</f>
        <v>0</v>
      </c>
      <c r="Y96" s="13">
        <f ca="1">IF(OR('My Loans'!$O$21="",'My Loans'!$O$21=0),0,IF(W96&lt;0.005,0,MIN(INDIRECT("'My Loans'!$F"&amp;'My Loans'!$O$21),W96+X96)))</f>
        <v>0</v>
      </c>
      <c r="Z96" s="13">
        <f ca="1">'My Loans'!$B$13-(D96+G96+J96+M96+P96+S96+V96+Y96)</f>
        <v>1400</v>
      </c>
      <c r="AA96" s="13">
        <f t="shared" ca="1" si="86"/>
        <v>1400</v>
      </c>
      <c r="AB96" s="13">
        <f t="shared" ca="1" si="87"/>
        <v>0</v>
      </c>
      <c r="AC96" s="13">
        <f t="shared" ca="1" si="88"/>
        <v>0</v>
      </c>
      <c r="AD96" s="13">
        <f t="shared" ca="1" si="89"/>
        <v>0</v>
      </c>
      <c r="AE96" s="13">
        <f t="shared" ca="1" si="90"/>
        <v>0</v>
      </c>
      <c r="AF96" s="13">
        <f t="shared" ca="1" si="91"/>
        <v>1400</v>
      </c>
      <c r="AG96" s="13">
        <f t="shared" ca="1" si="92"/>
        <v>0</v>
      </c>
      <c r="AH96" s="13">
        <f t="shared" ca="1" si="93"/>
        <v>0</v>
      </c>
      <c r="AI96" s="13">
        <f t="shared" ca="1" si="94"/>
        <v>0</v>
      </c>
      <c r="AJ96" s="13">
        <f t="shared" ca="1" si="95"/>
        <v>0</v>
      </c>
      <c r="AK96" s="13">
        <f t="shared" ca="1" si="96"/>
        <v>1400</v>
      </c>
      <c r="AL96" s="13">
        <f t="shared" ca="1" si="97"/>
        <v>0</v>
      </c>
      <c r="AM96" s="13">
        <f t="shared" ca="1" si="98"/>
        <v>0</v>
      </c>
      <c r="AN96" s="13">
        <f t="shared" ca="1" si="99"/>
        <v>0</v>
      </c>
      <c r="AO96" s="13">
        <f t="shared" ca="1" si="100"/>
        <v>0</v>
      </c>
      <c r="AP96" s="13">
        <f t="shared" ca="1" si="101"/>
        <v>1400</v>
      </c>
      <c r="AQ96" s="13">
        <f t="shared" ca="1" si="102"/>
        <v>0</v>
      </c>
      <c r="AR96" s="13">
        <f t="shared" ca="1" si="103"/>
        <v>0</v>
      </c>
      <c r="AS96" s="13">
        <f t="shared" ca="1" si="104"/>
        <v>0</v>
      </c>
      <c r="AT96" s="13">
        <f t="shared" ca="1" si="105"/>
        <v>0</v>
      </c>
      <c r="AU96" s="13">
        <f t="shared" ca="1" si="106"/>
        <v>1400</v>
      </c>
      <c r="AV96" s="13">
        <f t="shared" ca="1" si="107"/>
        <v>0</v>
      </c>
      <c r="AW96" s="13">
        <f t="shared" ca="1" si="108"/>
        <v>0</v>
      </c>
      <c r="AX96" s="13">
        <f t="shared" ca="1" si="109"/>
        <v>0</v>
      </c>
      <c r="AY96" s="13">
        <f t="shared" ca="1" si="110"/>
        <v>0</v>
      </c>
      <c r="AZ96" s="13">
        <f t="shared" ca="1" si="111"/>
        <v>1400</v>
      </c>
      <c r="BA96" s="13">
        <f t="shared" ca="1" si="112"/>
        <v>0</v>
      </c>
      <c r="BB96" s="13">
        <f t="shared" ca="1" si="113"/>
        <v>0</v>
      </c>
      <c r="BC96" s="13">
        <f t="shared" ca="1" si="114"/>
        <v>0</v>
      </c>
      <c r="BD96" s="13">
        <f t="shared" ca="1" si="115"/>
        <v>0</v>
      </c>
      <c r="BE96" s="13">
        <f t="shared" ca="1" si="116"/>
        <v>1400</v>
      </c>
      <c r="BF96" s="13">
        <f t="shared" ca="1" si="117"/>
        <v>0</v>
      </c>
      <c r="BG96" s="13">
        <f t="shared" ca="1" si="118"/>
        <v>0</v>
      </c>
      <c r="BH96" s="13">
        <f t="shared" ca="1" si="119"/>
        <v>0</v>
      </c>
      <c r="BI96" s="13">
        <f t="shared" ca="1" si="120"/>
        <v>0</v>
      </c>
      <c r="BJ96" s="13">
        <f t="shared" ca="1" si="121"/>
        <v>1400</v>
      </c>
      <c r="BK96" s="13">
        <f t="shared" ca="1" si="122"/>
        <v>0</v>
      </c>
      <c r="BL96" s="13">
        <f t="shared" ca="1" si="123"/>
        <v>0</v>
      </c>
      <c r="BM96" s="13">
        <f t="shared" ca="1" si="124"/>
        <v>0</v>
      </c>
      <c r="BN96" s="13">
        <f t="shared" ca="1" si="125"/>
        <v>0</v>
      </c>
      <c r="BO96" s="13">
        <f t="shared" ca="1" si="126"/>
        <v>0</v>
      </c>
      <c r="BP96" s="13">
        <f t="shared" ca="1" si="127"/>
        <v>0</v>
      </c>
      <c r="BQ96" s="13">
        <f t="shared" ca="1" si="128"/>
        <v>0</v>
      </c>
    </row>
    <row r="97" spans="1:69" x14ac:dyDescent="0.25">
      <c r="A97" s="1">
        <v>96</v>
      </c>
      <c r="B97" s="13">
        <f ca="1">IF(A97=1,IF(OR('My Loans'!$O$14="",'My Loans'!$O$14=0),0,INDIRECT("'My Loans'!$D"&amp;'My Loans'!$O$14)),AE96)</f>
        <v>0</v>
      </c>
      <c r="C97" s="13">
        <f ca="1">IF(OR('My Loans'!$O$14="",'My Loans'!$O$14=0),0,B97*INDIRECT("'My Loans'!$E"&amp;'My Loans'!$O$14)/12)</f>
        <v>0</v>
      </c>
      <c r="D97" s="13">
        <f ca="1">IF(OR('My Loans'!$O$14="",'My Loans'!$O$14=0),0,IF(B97&lt;0.005,0,MIN(INDIRECT("'My Loans'!$F"&amp;'My Loans'!$O$14),B97+C97)))</f>
        <v>0</v>
      </c>
      <c r="E97" s="13">
        <f ca="1">IF(A97=1,IF(OR('My Loans'!$O$15="",'My Loans'!$O$15=0),0,INDIRECT("'My Loans'!$D"&amp;'My Loans'!$O$15)),AJ96)</f>
        <v>0</v>
      </c>
      <c r="F97" s="13">
        <f ca="1">IF(OR('My Loans'!$O$15="",'My Loans'!$O$15=0),0,E97*INDIRECT("'My Loans'!$E"&amp;'My Loans'!$O$15)/12)</f>
        <v>0</v>
      </c>
      <c r="G97" s="13">
        <f ca="1">IF(OR('My Loans'!$O$15="",'My Loans'!$O$15=0),0,IF(E97&lt;0.005,0,MIN(INDIRECT("'My Loans'!$F"&amp;'My Loans'!$O$15),E97+F97)))</f>
        <v>0</v>
      </c>
      <c r="H97" s="13">
        <f ca="1">IF(A97=1,IF(OR('My Loans'!$O$16="",'My Loans'!$O$16=0),0,INDIRECT("'My Loans'!$D"&amp;'My Loans'!$O$16)),AO96)</f>
        <v>0</v>
      </c>
      <c r="I97" s="13">
        <f ca="1">IF(OR('My Loans'!$O$16="",'My Loans'!$O$16=0),0,H97*INDIRECT("'My Loans'!$E"&amp;'My Loans'!$O$16)/12)</f>
        <v>0</v>
      </c>
      <c r="J97" s="13">
        <f ca="1">IF(OR('My Loans'!$O$16="",'My Loans'!$O$16=0),0,IF(H97&lt;0.005,0,MIN(INDIRECT("'My Loans'!$F"&amp;'My Loans'!$O$16),H97+I97)))</f>
        <v>0</v>
      </c>
      <c r="K97" s="13">
        <f ca="1">IF(A97=1,IF(OR('My Loans'!$O$17="",'My Loans'!$O$17=0),0,INDIRECT("'My Loans'!$D"&amp;'My Loans'!$O$17)),AT96)</f>
        <v>0</v>
      </c>
      <c r="L97" s="13">
        <f ca="1">IF(OR('My Loans'!$O$17="",'My Loans'!$O$17=0),0,K97*INDIRECT("'My Loans'!$E"&amp;'My Loans'!$O$17)/12)</f>
        <v>0</v>
      </c>
      <c r="M97" s="13">
        <f ca="1">IF(OR('My Loans'!$O$17="",'My Loans'!$O$17=0),0,IF(K97&lt;0.005,0,MIN(INDIRECT("'My Loans'!$F"&amp;'My Loans'!$O$17),K97+L97)))</f>
        <v>0</v>
      </c>
      <c r="N97" s="13">
        <f ca="1">IF(A97=1,IF(OR('My Loans'!$O$18="",'My Loans'!$O$18=0),0,INDIRECT("'My Loans'!$D"&amp;'My Loans'!$O$18)),AY96)</f>
        <v>0</v>
      </c>
      <c r="O97" s="13">
        <f ca="1">IF(OR('My Loans'!$O$18="",'My Loans'!$O$18=0),0,N97*INDIRECT("'My Loans'!$E"&amp;'My Loans'!$O$18)/12)</f>
        <v>0</v>
      </c>
      <c r="P97" s="13">
        <f ca="1">IF(OR('My Loans'!$O$18="",'My Loans'!$O$18=0),0,IF(N97&lt;0.005,0,MIN(INDIRECT("'My Loans'!$F"&amp;'My Loans'!$O$18),N97+O97)))</f>
        <v>0</v>
      </c>
      <c r="Q97" s="13">
        <f ca="1">IF(A97=1,IF(OR('My Loans'!$O$19="",'My Loans'!$O$19=0),0,INDIRECT("'My Loans'!$D"&amp;'My Loans'!$O$19)),BD96)</f>
        <v>0</v>
      </c>
      <c r="R97" s="13">
        <f ca="1">IF(OR('My Loans'!$O$19="",'My Loans'!$O$19=0),0,Q97*INDIRECT("'My Loans'!$E"&amp;'My Loans'!$O$19)/12)</f>
        <v>0</v>
      </c>
      <c r="S97" s="13">
        <f ca="1">IF(OR('My Loans'!$O$19="",'My Loans'!$O$19=0),0,IF(Q97&lt;0.005,0,MIN(INDIRECT("'My Loans'!$F"&amp;'My Loans'!$O$19),Q97+R97)))</f>
        <v>0</v>
      </c>
      <c r="T97" s="13">
        <f ca="1">IF(A97=1,IF(OR('My Loans'!$O$20="",'My Loans'!$O$20=0),0,INDIRECT("'My Loans'!$D"&amp;'My Loans'!$O$20)),BI96)</f>
        <v>0</v>
      </c>
      <c r="U97" s="13">
        <f ca="1">IF(OR('My Loans'!$O$20="",'My Loans'!$O$20=0),0,T97*INDIRECT("'My Loans'!$E"&amp;'My Loans'!$O$20)/12)</f>
        <v>0</v>
      </c>
      <c r="V97" s="13">
        <f ca="1">IF(OR('My Loans'!$O$20="",'My Loans'!$O$20=0),0,IF(T97&lt;0.005,0,MIN(INDIRECT("'My Loans'!$F"&amp;'My Loans'!$O$20),T97+U97)))</f>
        <v>0</v>
      </c>
      <c r="W97" s="13">
        <f ca="1">IF(A97=1,IF(OR('My Loans'!$O$21="",'My Loans'!$O$21=0),0,INDIRECT("'My Loans'!$D"&amp;'My Loans'!$O$21)),BN96)</f>
        <v>0</v>
      </c>
      <c r="X97" s="13">
        <f ca="1">IF(OR('My Loans'!$O$21="",'My Loans'!$O$21=0),0,W97*INDIRECT("'My Loans'!$E"&amp;'My Loans'!$O$21)/12)</f>
        <v>0</v>
      </c>
      <c r="Y97" s="13">
        <f ca="1">IF(OR('My Loans'!$O$21="",'My Loans'!$O$21=0),0,IF(W97&lt;0.005,0,MIN(INDIRECT("'My Loans'!$F"&amp;'My Loans'!$O$21),W97+X97)))</f>
        <v>0</v>
      </c>
      <c r="Z97" s="13">
        <f ca="1">'My Loans'!$B$13-(D97+G97+J97+M97+P97+S97+V97+Y97)</f>
        <v>1400</v>
      </c>
      <c r="AA97" s="13">
        <f t="shared" ca="1" si="86"/>
        <v>1400</v>
      </c>
      <c r="AB97" s="13">
        <f t="shared" ca="1" si="87"/>
        <v>0</v>
      </c>
      <c r="AC97" s="13">
        <f t="shared" ca="1" si="88"/>
        <v>0</v>
      </c>
      <c r="AD97" s="13">
        <f t="shared" ca="1" si="89"/>
        <v>0</v>
      </c>
      <c r="AE97" s="13">
        <f t="shared" ca="1" si="90"/>
        <v>0</v>
      </c>
      <c r="AF97" s="13">
        <f t="shared" ca="1" si="91"/>
        <v>1400</v>
      </c>
      <c r="AG97" s="13">
        <f t="shared" ca="1" si="92"/>
        <v>0</v>
      </c>
      <c r="AH97" s="13">
        <f t="shared" ca="1" si="93"/>
        <v>0</v>
      </c>
      <c r="AI97" s="13">
        <f t="shared" ca="1" si="94"/>
        <v>0</v>
      </c>
      <c r="AJ97" s="13">
        <f t="shared" ca="1" si="95"/>
        <v>0</v>
      </c>
      <c r="AK97" s="13">
        <f t="shared" ca="1" si="96"/>
        <v>1400</v>
      </c>
      <c r="AL97" s="13">
        <f t="shared" ca="1" si="97"/>
        <v>0</v>
      </c>
      <c r="AM97" s="13">
        <f t="shared" ca="1" si="98"/>
        <v>0</v>
      </c>
      <c r="AN97" s="13">
        <f t="shared" ca="1" si="99"/>
        <v>0</v>
      </c>
      <c r="AO97" s="13">
        <f t="shared" ca="1" si="100"/>
        <v>0</v>
      </c>
      <c r="AP97" s="13">
        <f t="shared" ca="1" si="101"/>
        <v>1400</v>
      </c>
      <c r="AQ97" s="13">
        <f t="shared" ca="1" si="102"/>
        <v>0</v>
      </c>
      <c r="AR97" s="13">
        <f t="shared" ca="1" si="103"/>
        <v>0</v>
      </c>
      <c r="AS97" s="13">
        <f t="shared" ca="1" si="104"/>
        <v>0</v>
      </c>
      <c r="AT97" s="13">
        <f t="shared" ca="1" si="105"/>
        <v>0</v>
      </c>
      <c r="AU97" s="13">
        <f t="shared" ca="1" si="106"/>
        <v>1400</v>
      </c>
      <c r="AV97" s="13">
        <f t="shared" ca="1" si="107"/>
        <v>0</v>
      </c>
      <c r="AW97" s="13">
        <f t="shared" ca="1" si="108"/>
        <v>0</v>
      </c>
      <c r="AX97" s="13">
        <f t="shared" ca="1" si="109"/>
        <v>0</v>
      </c>
      <c r="AY97" s="13">
        <f t="shared" ca="1" si="110"/>
        <v>0</v>
      </c>
      <c r="AZ97" s="13">
        <f t="shared" ca="1" si="111"/>
        <v>1400</v>
      </c>
      <c r="BA97" s="13">
        <f t="shared" ca="1" si="112"/>
        <v>0</v>
      </c>
      <c r="BB97" s="13">
        <f t="shared" ca="1" si="113"/>
        <v>0</v>
      </c>
      <c r="BC97" s="13">
        <f t="shared" ca="1" si="114"/>
        <v>0</v>
      </c>
      <c r="BD97" s="13">
        <f t="shared" ca="1" si="115"/>
        <v>0</v>
      </c>
      <c r="BE97" s="13">
        <f t="shared" ca="1" si="116"/>
        <v>1400</v>
      </c>
      <c r="BF97" s="13">
        <f t="shared" ca="1" si="117"/>
        <v>0</v>
      </c>
      <c r="BG97" s="13">
        <f t="shared" ca="1" si="118"/>
        <v>0</v>
      </c>
      <c r="BH97" s="13">
        <f t="shared" ca="1" si="119"/>
        <v>0</v>
      </c>
      <c r="BI97" s="13">
        <f t="shared" ca="1" si="120"/>
        <v>0</v>
      </c>
      <c r="BJ97" s="13">
        <f t="shared" ca="1" si="121"/>
        <v>1400</v>
      </c>
      <c r="BK97" s="13">
        <f t="shared" ca="1" si="122"/>
        <v>0</v>
      </c>
      <c r="BL97" s="13">
        <f t="shared" ca="1" si="123"/>
        <v>0</v>
      </c>
      <c r="BM97" s="13">
        <f t="shared" ca="1" si="124"/>
        <v>0</v>
      </c>
      <c r="BN97" s="13">
        <f t="shared" ca="1" si="125"/>
        <v>0</v>
      </c>
      <c r="BO97" s="13">
        <f t="shared" ca="1" si="126"/>
        <v>0</v>
      </c>
      <c r="BP97" s="13">
        <f t="shared" ca="1" si="127"/>
        <v>0</v>
      </c>
      <c r="BQ97" s="13">
        <f t="shared" ca="1" si="128"/>
        <v>0</v>
      </c>
    </row>
    <row r="98" spans="1:69" x14ac:dyDescent="0.25">
      <c r="A98" s="1">
        <v>97</v>
      </c>
      <c r="B98" s="13">
        <f ca="1">IF(A98=1,IF(OR('My Loans'!$O$14="",'My Loans'!$O$14=0),0,INDIRECT("'My Loans'!$D"&amp;'My Loans'!$O$14)),AE97)</f>
        <v>0</v>
      </c>
      <c r="C98" s="13">
        <f ca="1">IF(OR('My Loans'!$O$14="",'My Loans'!$O$14=0),0,B98*INDIRECT("'My Loans'!$E"&amp;'My Loans'!$O$14)/12)</f>
        <v>0</v>
      </c>
      <c r="D98" s="13">
        <f ca="1">IF(OR('My Loans'!$O$14="",'My Loans'!$O$14=0),0,IF(B98&lt;0.005,0,MIN(INDIRECT("'My Loans'!$F"&amp;'My Loans'!$O$14),B98+C98)))</f>
        <v>0</v>
      </c>
      <c r="E98" s="13">
        <f ca="1">IF(A98=1,IF(OR('My Loans'!$O$15="",'My Loans'!$O$15=0),0,INDIRECT("'My Loans'!$D"&amp;'My Loans'!$O$15)),AJ97)</f>
        <v>0</v>
      </c>
      <c r="F98" s="13">
        <f ca="1">IF(OR('My Loans'!$O$15="",'My Loans'!$O$15=0),0,E98*INDIRECT("'My Loans'!$E"&amp;'My Loans'!$O$15)/12)</f>
        <v>0</v>
      </c>
      <c r="G98" s="13">
        <f ca="1">IF(OR('My Loans'!$O$15="",'My Loans'!$O$15=0),0,IF(E98&lt;0.005,0,MIN(INDIRECT("'My Loans'!$F"&amp;'My Loans'!$O$15),E98+F98)))</f>
        <v>0</v>
      </c>
      <c r="H98" s="13">
        <f ca="1">IF(A98=1,IF(OR('My Loans'!$O$16="",'My Loans'!$O$16=0),0,INDIRECT("'My Loans'!$D"&amp;'My Loans'!$O$16)),AO97)</f>
        <v>0</v>
      </c>
      <c r="I98" s="13">
        <f ca="1">IF(OR('My Loans'!$O$16="",'My Loans'!$O$16=0),0,H98*INDIRECT("'My Loans'!$E"&amp;'My Loans'!$O$16)/12)</f>
        <v>0</v>
      </c>
      <c r="J98" s="13">
        <f ca="1">IF(OR('My Loans'!$O$16="",'My Loans'!$O$16=0),0,IF(H98&lt;0.005,0,MIN(INDIRECT("'My Loans'!$F"&amp;'My Loans'!$O$16),H98+I98)))</f>
        <v>0</v>
      </c>
      <c r="K98" s="13">
        <f ca="1">IF(A98=1,IF(OR('My Loans'!$O$17="",'My Loans'!$O$17=0),0,INDIRECT("'My Loans'!$D"&amp;'My Loans'!$O$17)),AT97)</f>
        <v>0</v>
      </c>
      <c r="L98" s="13">
        <f ca="1">IF(OR('My Loans'!$O$17="",'My Loans'!$O$17=0),0,K98*INDIRECT("'My Loans'!$E"&amp;'My Loans'!$O$17)/12)</f>
        <v>0</v>
      </c>
      <c r="M98" s="13">
        <f ca="1">IF(OR('My Loans'!$O$17="",'My Loans'!$O$17=0),0,IF(K98&lt;0.005,0,MIN(INDIRECT("'My Loans'!$F"&amp;'My Loans'!$O$17),K98+L98)))</f>
        <v>0</v>
      </c>
      <c r="N98" s="13">
        <f ca="1">IF(A98=1,IF(OR('My Loans'!$O$18="",'My Loans'!$O$18=0),0,INDIRECT("'My Loans'!$D"&amp;'My Loans'!$O$18)),AY97)</f>
        <v>0</v>
      </c>
      <c r="O98" s="13">
        <f ca="1">IF(OR('My Loans'!$O$18="",'My Loans'!$O$18=0),0,N98*INDIRECT("'My Loans'!$E"&amp;'My Loans'!$O$18)/12)</f>
        <v>0</v>
      </c>
      <c r="P98" s="13">
        <f ca="1">IF(OR('My Loans'!$O$18="",'My Loans'!$O$18=0),0,IF(N98&lt;0.005,0,MIN(INDIRECT("'My Loans'!$F"&amp;'My Loans'!$O$18),N98+O98)))</f>
        <v>0</v>
      </c>
      <c r="Q98" s="13">
        <f ca="1">IF(A98=1,IF(OR('My Loans'!$O$19="",'My Loans'!$O$19=0),0,INDIRECT("'My Loans'!$D"&amp;'My Loans'!$O$19)),BD97)</f>
        <v>0</v>
      </c>
      <c r="R98" s="13">
        <f ca="1">IF(OR('My Loans'!$O$19="",'My Loans'!$O$19=0),0,Q98*INDIRECT("'My Loans'!$E"&amp;'My Loans'!$O$19)/12)</f>
        <v>0</v>
      </c>
      <c r="S98" s="13">
        <f ca="1">IF(OR('My Loans'!$O$19="",'My Loans'!$O$19=0),0,IF(Q98&lt;0.005,0,MIN(INDIRECT("'My Loans'!$F"&amp;'My Loans'!$O$19),Q98+R98)))</f>
        <v>0</v>
      </c>
      <c r="T98" s="13">
        <f ca="1">IF(A98=1,IF(OR('My Loans'!$O$20="",'My Loans'!$O$20=0),0,INDIRECT("'My Loans'!$D"&amp;'My Loans'!$O$20)),BI97)</f>
        <v>0</v>
      </c>
      <c r="U98" s="13">
        <f ca="1">IF(OR('My Loans'!$O$20="",'My Loans'!$O$20=0),0,T98*INDIRECT("'My Loans'!$E"&amp;'My Loans'!$O$20)/12)</f>
        <v>0</v>
      </c>
      <c r="V98" s="13">
        <f ca="1">IF(OR('My Loans'!$O$20="",'My Loans'!$O$20=0),0,IF(T98&lt;0.005,0,MIN(INDIRECT("'My Loans'!$F"&amp;'My Loans'!$O$20),T98+U98)))</f>
        <v>0</v>
      </c>
      <c r="W98" s="13">
        <f ca="1">IF(A98=1,IF(OR('My Loans'!$O$21="",'My Loans'!$O$21=0),0,INDIRECT("'My Loans'!$D"&amp;'My Loans'!$O$21)),BN97)</f>
        <v>0</v>
      </c>
      <c r="X98" s="13">
        <f ca="1">IF(OR('My Loans'!$O$21="",'My Loans'!$O$21=0),0,W98*INDIRECT("'My Loans'!$E"&amp;'My Loans'!$O$21)/12)</f>
        <v>0</v>
      </c>
      <c r="Y98" s="13">
        <f ca="1">IF(OR('My Loans'!$O$21="",'My Loans'!$O$21=0),0,IF(W98&lt;0.005,0,MIN(INDIRECT("'My Loans'!$F"&amp;'My Loans'!$O$21),W98+X98)))</f>
        <v>0</v>
      </c>
      <c r="Z98" s="13">
        <f ca="1">'My Loans'!$B$13-(D98+G98+J98+M98+P98+S98+V98+Y98)</f>
        <v>1400</v>
      </c>
      <c r="AA98" s="13">
        <f t="shared" ref="AA98:AA129" ca="1" si="129">MAX(0,Z98)</f>
        <v>1400</v>
      </c>
      <c r="AB98" s="13">
        <f t="shared" ref="AB98:AB121" ca="1" si="130">MAX(0,B98+C98-D98)</f>
        <v>0</v>
      </c>
      <c r="AC98" s="13">
        <f t="shared" ref="AC98:AC129" ca="1" si="131">MIN(AA98,AB98)</f>
        <v>0</v>
      </c>
      <c r="AD98" s="13">
        <f t="shared" ref="AD98:AD129" ca="1" si="132">D98+AC98</f>
        <v>0</v>
      </c>
      <c r="AE98" s="13">
        <f t="shared" ref="AE98:AE129" ca="1" si="133">MAX(0,B98+C98-AD98)</f>
        <v>0</v>
      </c>
      <c r="AF98" s="13">
        <f t="shared" ref="AF98:AF121" ca="1" si="134">MAX(0,AA98-AC98)</f>
        <v>1400</v>
      </c>
      <c r="AG98" s="13">
        <f t="shared" ref="AG98:AG121" ca="1" si="135">MAX(0,E98+F98-G98)</f>
        <v>0</v>
      </c>
      <c r="AH98" s="13">
        <f t="shared" ref="AH98:AH129" ca="1" si="136">MIN(AF98,AG98)</f>
        <v>0</v>
      </c>
      <c r="AI98" s="13">
        <f t="shared" ref="AI98:AI129" ca="1" si="137">G98+AH98</f>
        <v>0</v>
      </c>
      <c r="AJ98" s="13">
        <f t="shared" ref="AJ98:AJ129" ca="1" si="138">MAX(0,E98+F98-AI98)</f>
        <v>0</v>
      </c>
      <c r="AK98" s="13">
        <f t="shared" ref="AK98:AK121" ca="1" si="139">MAX(0,AF98-AH98)</f>
        <v>1400</v>
      </c>
      <c r="AL98" s="13">
        <f t="shared" ref="AL98:AL121" ca="1" si="140">MAX(0,H98+I98-J98)</f>
        <v>0</v>
      </c>
      <c r="AM98" s="13">
        <f t="shared" ref="AM98:AM129" ca="1" si="141">MIN(AK98,AL98)</f>
        <v>0</v>
      </c>
      <c r="AN98" s="13">
        <f t="shared" ref="AN98:AN129" ca="1" si="142">J98+AM98</f>
        <v>0</v>
      </c>
      <c r="AO98" s="13">
        <f t="shared" ref="AO98:AO129" ca="1" si="143">MAX(0,H98+I98-AN98)</f>
        <v>0</v>
      </c>
      <c r="AP98" s="13">
        <f t="shared" ref="AP98:AP121" ca="1" si="144">MAX(0,AK98-AM98)</f>
        <v>1400</v>
      </c>
      <c r="AQ98" s="13">
        <f t="shared" ref="AQ98:AQ121" ca="1" si="145">MAX(0,K98+L98-M98)</f>
        <v>0</v>
      </c>
      <c r="AR98" s="13">
        <f t="shared" ref="AR98:AR129" ca="1" si="146">MIN(AP98,AQ98)</f>
        <v>0</v>
      </c>
      <c r="AS98" s="13">
        <f t="shared" ref="AS98:AS129" ca="1" si="147">M98+AR98</f>
        <v>0</v>
      </c>
      <c r="AT98" s="13">
        <f t="shared" ref="AT98:AT129" ca="1" si="148">MAX(0,K98+L98-AS98)</f>
        <v>0</v>
      </c>
      <c r="AU98" s="13">
        <f t="shared" ref="AU98:AU121" ca="1" si="149">MAX(0,AP98-AR98)</f>
        <v>1400</v>
      </c>
      <c r="AV98" s="13">
        <f t="shared" ref="AV98:AV121" ca="1" si="150">MAX(0,N98+O98-P98)</f>
        <v>0</v>
      </c>
      <c r="AW98" s="13">
        <f t="shared" ref="AW98:AW129" ca="1" si="151">MIN(AU98,AV98)</f>
        <v>0</v>
      </c>
      <c r="AX98" s="13">
        <f t="shared" ref="AX98:AX129" ca="1" si="152">P98+AW98</f>
        <v>0</v>
      </c>
      <c r="AY98" s="13">
        <f t="shared" ref="AY98:AY129" ca="1" si="153">MAX(0,N98+O98-AX98)</f>
        <v>0</v>
      </c>
      <c r="AZ98" s="13">
        <f t="shared" ref="AZ98:AZ121" ca="1" si="154">MAX(0,AU98-AW98)</f>
        <v>1400</v>
      </c>
      <c r="BA98" s="13">
        <f t="shared" ref="BA98:BA121" ca="1" si="155">MAX(0,Q98+R98-S98)</f>
        <v>0</v>
      </c>
      <c r="BB98" s="13">
        <f t="shared" ref="BB98:BB129" ca="1" si="156">MIN(AZ98,BA98)</f>
        <v>0</v>
      </c>
      <c r="BC98" s="13">
        <f t="shared" ref="BC98:BC129" ca="1" si="157">S98+BB98</f>
        <v>0</v>
      </c>
      <c r="BD98" s="13">
        <f t="shared" ref="BD98:BD129" ca="1" si="158">MAX(0,Q98+R98-BC98)</f>
        <v>0</v>
      </c>
      <c r="BE98" s="13">
        <f t="shared" ref="BE98:BE121" ca="1" si="159">MAX(0,AZ98-BB98)</f>
        <v>1400</v>
      </c>
      <c r="BF98" s="13">
        <f t="shared" ref="BF98:BF121" ca="1" si="160">MAX(0,T98+U98-V98)</f>
        <v>0</v>
      </c>
      <c r="BG98" s="13">
        <f t="shared" ref="BG98:BG129" ca="1" si="161">MIN(BE98,BF98)</f>
        <v>0</v>
      </c>
      <c r="BH98" s="13">
        <f t="shared" ref="BH98:BH129" ca="1" si="162">V98+BG98</f>
        <v>0</v>
      </c>
      <c r="BI98" s="13">
        <f t="shared" ref="BI98:BI129" ca="1" si="163">MAX(0,T98+U98-BH98)</f>
        <v>0</v>
      </c>
      <c r="BJ98" s="13">
        <f t="shared" ref="BJ98:BJ121" ca="1" si="164">MAX(0,BE98-BG98)</f>
        <v>1400</v>
      </c>
      <c r="BK98" s="13">
        <f t="shared" ref="BK98:BK121" ca="1" si="165">MAX(0,W98+X98-Y98)</f>
        <v>0</v>
      </c>
      <c r="BL98" s="13">
        <f t="shared" ref="BL98:BL129" ca="1" si="166">MIN(BJ98,BK98)</f>
        <v>0</v>
      </c>
      <c r="BM98" s="13">
        <f t="shared" ref="BM98:BM129" ca="1" si="167">Y98+BL98</f>
        <v>0</v>
      </c>
      <c r="BN98" s="13">
        <f t="shared" ref="BN98:BN129" ca="1" si="168">MAX(0,W98+X98-BM98)</f>
        <v>0</v>
      </c>
      <c r="BO98" s="13">
        <f t="shared" ref="BO98:BO121" ca="1" si="169">AD98+AI98+AN98+AS98+AX98+BC98+BH98+BM98</f>
        <v>0</v>
      </c>
      <c r="BP98" s="13">
        <f t="shared" ref="BP98:BP121" ca="1" si="170">C98+F98+I98+L98+O98+R98+U98+X98</f>
        <v>0</v>
      </c>
      <c r="BQ98" s="13">
        <f t="shared" ref="BQ98:BQ121" ca="1" si="171">AE98+AJ98+AO98+AT98+AY98+BD98+BI98+BN98</f>
        <v>0</v>
      </c>
    </row>
    <row r="99" spans="1:69" x14ac:dyDescent="0.25">
      <c r="A99" s="1">
        <v>98</v>
      </c>
      <c r="B99" s="13">
        <f ca="1">IF(A99=1,IF(OR('My Loans'!$O$14="",'My Loans'!$O$14=0),0,INDIRECT("'My Loans'!$D"&amp;'My Loans'!$O$14)),AE98)</f>
        <v>0</v>
      </c>
      <c r="C99" s="13">
        <f ca="1">IF(OR('My Loans'!$O$14="",'My Loans'!$O$14=0),0,B99*INDIRECT("'My Loans'!$E"&amp;'My Loans'!$O$14)/12)</f>
        <v>0</v>
      </c>
      <c r="D99" s="13">
        <f ca="1">IF(OR('My Loans'!$O$14="",'My Loans'!$O$14=0),0,IF(B99&lt;0.005,0,MIN(INDIRECT("'My Loans'!$F"&amp;'My Loans'!$O$14),B99+C99)))</f>
        <v>0</v>
      </c>
      <c r="E99" s="13">
        <f ca="1">IF(A99=1,IF(OR('My Loans'!$O$15="",'My Loans'!$O$15=0),0,INDIRECT("'My Loans'!$D"&amp;'My Loans'!$O$15)),AJ98)</f>
        <v>0</v>
      </c>
      <c r="F99" s="13">
        <f ca="1">IF(OR('My Loans'!$O$15="",'My Loans'!$O$15=0),0,E99*INDIRECT("'My Loans'!$E"&amp;'My Loans'!$O$15)/12)</f>
        <v>0</v>
      </c>
      <c r="G99" s="13">
        <f ca="1">IF(OR('My Loans'!$O$15="",'My Loans'!$O$15=0),0,IF(E99&lt;0.005,0,MIN(INDIRECT("'My Loans'!$F"&amp;'My Loans'!$O$15),E99+F99)))</f>
        <v>0</v>
      </c>
      <c r="H99" s="13">
        <f ca="1">IF(A99=1,IF(OR('My Loans'!$O$16="",'My Loans'!$O$16=0),0,INDIRECT("'My Loans'!$D"&amp;'My Loans'!$O$16)),AO98)</f>
        <v>0</v>
      </c>
      <c r="I99" s="13">
        <f ca="1">IF(OR('My Loans'!$O$16="",'My Loans'!$O$16=0),0,H99*INDIRECT("'My Loans'!$E"&amp;'My Loans'!$O$16)/12)</f>
        <v>0</v>
      </c>
      <c r="J99" s="13">
        <f ca="1">IF(OR('My Loans'!$O$16="",'My Loans'!$O$16=0),0,IF(H99&lt;0.005,0,MIN(INDIRECT("'My Loans'!$F"&amp;'My Loans'!$O$16),H99+I99)))</f>
        <v>0</v>
      </c>
      <c r="K99" s="13">
        <f ca="1">IF(A99=1,IF(OR('My Loans'!$O$17="",'My Loans'!$O$17=0),0,INDIRECT("'My Loans'!$D"&amp;'My Loans'!$O$17)),AT98)</f>
        <v>0</v>
      </c>
      <c r="L99" s="13">
        <f ca="1">IF(OR('My Loans'!$O$17="",'My Loans'!$O$17=0),0,K99*INDIRECT("'My Loans'!$E"&amp;'My Loans'!$O$17)/12)</f>
        <v>0</v>
      </c>
      <c r="M99" s="13">
        <f ca="1">IF(OR('My Loans'!$O$17="",'My Loans'!$O$17=0),0,IF(K99&lt;0.005,0,MIN(INDIRECT("'My Loans'!$F"&amp;'My Loans'!$O$17),K99+L99)))</f>
        <v>0</v>
      </c>
      <c r="N99" s="13">
        <f ca="1">IF(A99=1,IF(OR('My Loans'!$O$18="",'My Loans'!$O$18=0),0,INDIRECT("'My Loans'!$D"&amp;'My Loans'!$O$18)),AY98)</f>
        <v>0</v>
      </c>
      <c r="O99" s="13">
        <f ca="1">IF(OR('My Loans'!$O$18="",'My Loans'!$O$18=0),0,N99*INDIRECT("'My Loans'!$E"&amp;'My Loans'!$O$18)/12)</f>
        <v>0</v>
      </c>
      <c r="P99" s="13">
        <f ca="1">IF(OR('My Loans'!$O$18="",'My Loans'!$O$18=0),0,IF(N99&lt;0.005,0,MIN(INDIRECT("'My Loans'!$F"&amp;'My Loans'!$O$18),N99+O99)))</f>
        <v>0</v>
      </c>
      <c r="Q99" s="13">
        <f ca="1">IF(A99=1,IF(OR('My Loans'!$O$19="",'My Loans'!$O$19=0),0,INDIRECT("'My Loans'!$D"&amp;'My Loans'!$O$19)),BD98)</f>
        <v>0</v>
      </c>
      <c r="R99" s="13">
        <f ca="1">IF(OR('My Loans'!$O$19="",'My Loans'!$O$19=0),0,Q99*INDIRECT("'My Loans'!$E"&amp;'My Loans'!$O$19)/12)</f>
        <v>0</v>
      </c>
      <c r="S99" s="13">
        <f ca="1">IF(OR('My Loans'!$O$19="",'My Loans'!$O$19=0),0,IF(Q99&lt;0.005,0,MIN(INDIRECT("'My Loans'!$F"&amp;'My Loans'!$O$19),Q99+R99)))</f>
        <v>0</v>
      </c>
      <c r="T99" s="13">
        <f ca="1">IF(A99=1,IF(OR('My Loans'!$O$20="",'My Loans'!$O$20=0),0,INDIRECT("'My Loans'!$D"&amp;'My Loans'!$O$20)),BI98)</f>
        <v>0</v>
      </c>
      <c r="U99" s="13">
        <f ca="1">IF(OR('My Loans'!$O$20="",'My Loans'!$O$20=0),0,T99*INDIRECT("'My Loans'!$E"&amp;'My Loans'!$O$20)/12)</f>
        <v>0</v>
      </c>
      <c r="V99" s="13">
        <f ca="1">IF(OR('My Loans'!$O$20="",'My Loans'!$O$20=0),0,IF(T99&lt;0.005,0,MIN(INDIRECT("'My Loans'!$F"&amp;'My Loans'!$O$20),T99+U99)))</f>
        <v>0</v>
      </c>
      <c r="W99" s="13">
        <f ca="1">IF(A99=1,IF(OR('My Loans'!$O$21="",'My Loans'!$O$21=0),0,INDIRECT("'My Loans'!$D"&amp;'My Loans'!$O$21)),BN98)</f>
        <v>0</v>
      </c>
      <c r="X99" s="13">
        <f ca="1">IF(OR('My Loans'!$O$21="",'My Loans'!$O$21=0),0,W99*INDIRECT("'My Loans'!$E"&amp;'My Loans'!$O$21)/12)</f>
        <v>0</v>
      </c>
      <c r="Y99" s="13">
        <f ca="1">IF(OR('My Loans'!$O$21="",'My Loans'!$O$21=0),0,IF(W99&lt;0.005,0,MIN(INDIRECT("'My Loans'!$F"&amp;'My Loans'!$O$21),W99+X99)))</f>
        <v>0</v>
      </c>
      <c r="Z99" s="13">
        <f ca="1">'My Loans'!$B$13-(D99+G99+J99+M99+P99+S99+V99+Y99)</f>
        <v>1400</v>
      </c>
      <c r="AA99" s="13">
        <f t="shared" ca="1" si="129"/>
        <v>1400</v>
      </c>
      <c r="AB99" s="13">
        <f t="shared" ca="1" si="130"/>
        <v>0</v>
      </c>
      <c r="AC99" s="13">
        <f t="shared" ca="1" si="131"/>
        <v>0</v>
      </c>
      <c r="AD99" s="13">
        <f t="shared" ca="1" si="132"/>
        <v>0</v>
      </c>
      <c r="AE99" s="13">
        <f t="shared" ca="1" si="133"/>
        <v>0</v>
      </c>
      <c r="AF99" s="13">
        <f t="shared" ca="1" si="134"/>
        <v>1400</v>
      </c>
      <c r="AG99" s="13">
        <f t="shared" ca="1" si="135"/>
        <v>0</v>
      </c>
      <c r="AH99" s="13">
        <f t="shared" ca="1" si="136"/>
        <v>0</v>
      </c>
      <c r="AI99" s="13">
        <f t="shared" ca="1" si="137"/>
        <v>0</v>
      </c>
      <c r="AJ99" s="13">
        <f t="shared" ca="1" si="138"/>
        <v>0</v>
      </c>
      <c r="AK99" s="13">
        <f t="shared" ca="1" si="139"/>
        <v>1400</v>
      </c>
      <c r="AL99" s="13">
        <f t="shared" ca="1" si="140"/>
        <v>0</v>
      </c>
      <c r="AM99" s="13">
        <f t="shared" ca="1" si="141"/>
        <v>0</v>
      </c>
      <c r="AN99" s="13">
        <f t="shared" ca="1" si="142"/>
        <v>0</v>
      </c>
      <c r="AO99" s="13">
        <f t="shared" ca="1" si="143"/>
        <v>0</v>
      </c>
      <c r="AP99" s="13">
        <f t="shared" ca="1" si="144"/>
        <v>1400</v>
      </c>
      <c r="AQ99" s="13">
        <f t="shared" ca="1" si="145"/>
        <v>0</v>
      </c>
      <c r="AR99" s="13">
        <f t="shared" ca="1" si="146"/>
        <v>0</v>
      </c>
      <c r="AS99" s="13">
        <f t="shared" ca="1" si="147"/>
        <v>0</v>
      </c>
      <c r="AT99" s="13">
        <f t="shared" ca="1" si="148"/>
        <v>0</v>
      </c>
      <c r="AU99" s="13">
        <f t="shared" ca="1" si="149"/>
        <v>1400</v>
      </c>
      <c r="AV99" s="13">
        <f t="shared" ca="1" si="150"/>
        <v>0</v>
      </c>
      <c r="AW99" s="13">
        <f t="shared" ca="1" si="151"/>
        <v>0</v>
      </c>
      <c r="AX99" s="13">
        <f t="shared" ca="1" si="152"/>
        <v>0</v>
      </c>
      <c r="AY99" s="13">
        <f t="shared" ca="1" si="153"/>
        <v>0</v>
      </c>
      <c r="AZ99" s="13">
        <f t="shared" ca="1" si="154"/>
        <v>1400</v>
      </c>
      <c r="BA99" s="13">
        <f t="shared" ca="1" si="155"/>
        <v>0</v>
      </c>
      <c r="BB99" s="13">
        <f t="shared" ca="1" si="156"/>
        <v>0</v>
      </c>
      <c r="BC99" s="13">
        <f t="shared" ca="1" si="157"/>
        <v>0</v>
      </c>
      <c r="BD99" s="13">
        <f t="shared" ca="1" si="158"/>
        <v>0</v>
      </c>
      <c r="BE99" s="13">
        <f t="shared" ca="1" si="159"/>
        <v>1400</v>
      </c>
      <c r="BF99" s="13">
        <f t="shared" ca="1" si="160"/>
        <v>0</v>
      </c>
      <c r="BG99" s="13">
        <f t="shared" ca="1" si="161"/>
        <v>0</v>
      </c>
      <c r="BH99" s="13">
        <f t="shared" ca="1" si="162"/>
        <v>0</v>
      </c>
      <c r="BI99" s="13">
        <f t="shared" ca="1" si="163"/>
        <v>0</v>
      </c>
      <c r="BJ99" s="13">
        <f t="shared" ca="1" si="164"/>
        <v>1400</v>
      </c>
      <c r="BK99" s="13">
        <f t="shared" ca="1" si="165"/>
        <v>0</v>
      </c>
      <c r="BL99" s="13">
        <f t="shared" ca="1" si="166"/>
        <v>0</v>
      </c>
      <c r="BM99" s="13">
        <f t="shared" ca="1" si="167"/>
        <v>0</v>
      </c>
      <c r="BN99" s="13">
        <f t="shared" ca="1" si="168"/>
        <v>0</v>
      </c>
      <c r="BO99" s="13">
        <f t="shared" ca="1" si="169"/>
        <v>0</v>
      </c>
      <c r="BP99" s="13">
        <f t="shared" ca="1" si="170"/>
        <v>0</v>
      </c>
      <c r="BQ99" s="13">
        <f t="shared" ca="1" si="171"/>
        <v>0</v>
      </c>
    </row>
    <row r="100" spans="1:69" x14ac:dyDescent="0.25">
      <c r="A100" s="1">
        <v>99</v>
      </c>
      <c r="B100" s="13">
        <f ca="1">IF(A100=1,IF(OR('My Loans'!$O$14="",'My Loans'!$O$14=0),0,INDIRECT("'My Loans'!$D"&amp;'My Loans'!$O$14)),AE99)</f>
        <v>0</v>
      </c>
      <c r="C100" s="13">
        <f ca="1">IF(OR('My Loans'!$O$14="",'My Loans'!$O$14=0),0,B100*INDIRECT("'My Loans'!$E"&amp;'My Loans'!$O$14)/12)</f>
        <v>0</v>
      </c>
      <c r="D100" s="13">
        <f ca="1">IF(OR('My Loans'!$O$14="",'My Loans'!$O$14=0),0,IF(B100&lt;0.005,0,MIN(INDIRECT("'My Loans'!$F"&amp;'My Loans'!$O$14),B100+C100)))</f>
        <v>0</v>
      </c>
      <c r="E100" s="13">
        <f ca="1">IF(A100=1,IF(OR('My Loans'!$O$15="",'My Loans'!$O$15=0),0,INDIRECT("'My Loans'!$D"&amp;'My Loans'!$O$15)),AJ99)</f>
        <v>0</v>
      </c>
      <c r="F100" s="13">
        <f ca="1">IF(OR('My Loans'!$O$15="",'My Loans'!$O$15=0),0,E100*INDIRECT("'My Loans'!$E"&amp;'My Loans'!$O$15)/12)</f>
        <v>0</v>
      </c>
      <c r="G100" s="13">
        <f ca="1">IF(OR('My Loans'!$O$15="",'My Loans'!$O$15=0),0,IF(E100&lt;0.005,0,MIN(INDIRECT("'My Loans'!$F"&amp;'My Loans'!$O$15),E100+F100)))</f>
        <v>0</v>
      </c>
      <c r="H100" s="13">
        <f ca="1">IF(A100=1,IF(OR('My Loans'!$O$16="",'My Loans'!$O$16=0),0,INDIRECT("'My Loans'!$D"&amp;'My Loans'!$O$16)),AO99)</f>
        <v>0</v>
      </c>
      <c r="I100" s="13">
        <f ca="1">IF(OR('My Loans'!$O$16="",'My Loans'!$O$16=0),0,H100*INDIRECT("'My Loans'!$E"&amp;'My Loans'!$O$16)/12)</f>
        <v>0</v>
      </c>
      <c r="J100" s="13">
        <f ca="1">IF(OR('My Loans'!$O$16="",'My Loans'!$O$16=0),0,IF(H100&lt;0.005,0,MIN(INDIRECT("'My Loans'!$F"&amp;'My Loans'!$O$16),H100+I100)))</f>
        <v>0</v>
      </c>
      <c r="K100" s="13">
        <f ca="1">IF(A100=1,IF(OR('My Loans'!$O$17="",'My Loans'!$O$17=0),0,INDIRECT("'My Loans'!$D"&amp;'My Loans'!$O$17)),AT99)</f>
        <v>0</v>
      </c>
      <c r="L100" s="13">
        <f ca="1">IF(OR('My Loans'!$O$17="",'My Loans'!$O$17=0),0,K100*INDIRECT("'My Loans'!$E"&amp;'My Loans'!$O$17)/12)</f>
        <v>0</v>
      </c>
      <c r="M100" s="13">
        <f ca="1">IF(OR('My Loans'!$O$17="",'My Loans'!$O$17=0),0,IF(K100&lt;0.005,0,MIN(INDIRECT("'My Loans'!$F"&amp;'My Loans'!$O$17),K100+L100)))</f>
        <v>0</v>
      </c>
      <c r="N100" s="13">
        <f ca="1">IF(A100=1,IF(OR('My Loans'!$O$18="",'My Loans'!$O$18=0),0,INDIRECT("'My Loans'!$D"&amp;'My Loans'!$O$18)),AY99)</f>
        <v>0</v>
      </c>
      <c r="O100" s="13">
        <f ca="1">IF(OR('My Loans'!$O$18="",'My Loans'!$O$18=0),0,N100*INDIRECT("'My Loans'!$E"&amp;'My Loans'!$O$18)/12)</f>
        <v>0</v>
      </c>
      <c r="P100" s="13">
        <f ca="1">IF(OR('My Loans'!$O$18="",'My Loans'!$O$18=0),0,IF(N100&lt;0.005,0,MIN(INDIRECT("'My Loans'!$F"&amp;'My Loans'!$O$18),N100+O100)))</f>
        <v>0</v>
      </c>
      <c r="Q100" s="13">
        <f ca="1">IF(A100=1,IF(OR('My Loans'!$O$19="",'My Loans'!$O$19=0),0,INDIRECT("'My Loans'!$D"&amp;'My Loans'!$O$19)),BD99)</f>
        <v>0</v>
      </c>
      <c r="R100" s="13">
        <f ca="1">IF(OR('My Loans'!$O$19="",'My Loans'!$O$19=0),0,Q100*INDIRECT("'My Loans'!$E"&amp;'My Loans'!$O$19)/12)</f>
        <v>0</v>
      </c>
      <c r="S100" s="13">
        <f ca="1">IF(OR('My Loans'!$O$19="",'My Loans'!$O$19=0),0,IF(Q100&lt;0.005,0,MIN(INDIRECT("'My Loans'!$F"&amp;'My Loans'!$O$19),Q100+R100)))</f>
        <v>0</v>
      </c>
      <c r="T100" s="13">
        <f ca="1">IF(A100=1,IF(OR('My Loans'!$O$20="",'My Loans'!$O$20=0),0,INDIRECT("'My Loans'!$D"&amp;'My Loans'!$O$20)),BI99)</f>
        <v>0</v>
      </c>
      <c r="U100" s="13">
        <f ca="1">IF(OR('My Loans'!$O$20="",'My Loans'!$O$20=0),0,T100*INDIRECT("'My Loans'!$E"&amp;'My Loans'!$O$20)/12)</f>
        <v>0</v>
      </c>
      <c r="V100" s="13">
        <f ca="1">IF(OR('My Loans'!$O$20="",'My Loans'!$O$20=0),0,IF(T100&lt;0.005,0,MIN(INDIRECT("'My Loans'!$F"&amp;'My Loans'!$O$20),T100+U100)))</f>
        <v>0</v>
      </c>
      <c r="W100" s="13">
        <f ca="1">IF(A100=1,IF(OR('My Loans'!$O$21="",'My Loans'!$O$21=0),0,INDIRECT("'My Loans'!$D"&amp;'My Loans'!$O$21)),BN99)</f>
        <v>0</v>
      </c>
      <c r="X100" s="13">
        <f ca="1">IF(OR('My Loans'!$O$21="",'My Loans'!$O$21=0),0,W100*INDIRECT("'My Loans'!$E"&amp;'My Loans'!$O$21)/12)</f>
        <v>0</v>
      </c>
      <c r="Y100" s="13">
        <f ca="1">IF(OR('My Loans'!$O$21="",'My Loans'!$O$21=0),0,IF(W100&lt;0.005,0,MIN(INDIRECT("'My Loans'!$F"&amp;'My Loans'!$O$21),W100+X100)))</f>
        <v>0</v>
      </c>
      <c r="Z100" s="13">
        <f ca="1">'My Loans'!$B$13-(D100+G100+J100+M100+P100+S100+V100+Y100)</f>
        <v>1400</v>
      </c>
      <c r="AA100" s="13">
        <f t="shared" ca="1" si="129"/>
        <v>1400</v>
      </c>
      <c r="AB100" s="13">
        <f t="shared" ca="1" si="130"/>
        <v>0</v>
      </c>
      <c r="AC100" s="13">
        <f t="shared" ca="1" si="131"/>
        <v>0</v>
      </c>
      <c r="AD100" s="13">
        <f t="shared" ca="1" si="132"/>
        <v>0</v>
      </c>
      <c r="AE100" s="13">
        <f t="shared" ca="1" si="133"/>
        <v>0</v>
      </c>
      <c r="AF100" s="13">
        <f t="shared" ca="1" si="134"/>
        <v>1400</v>
      </c>
      <c r="AG100" s="13">
        <f t="shared" ca="1" si="135"/>
        <v>0</v>
      </c>
      <c r="AH100" s="13">
        <f t="shared" ca="1" si="136"/>
        <v>0</v>
      </c>
      <c r="AI100" s="13">
        <f t="shared" ca="1" si="137"/>
        <v>0</v>
      </c>
      <c r="AJ100" s="13">
        <f t="shared" ca="1" si="138"/>
        <v>0</v>
      </c>
      <c r="AK100" s="13">
        <f t="shared" ca="1" si="139"/>
        <v>1400</v>
      </c>
      <c r="AL100" s="13">
        <f t="shared" ca="1" si="140"/>
        <v>0</v>
      </c>
      <c r="AM100" s="13">
        <f t="shared" ca="1" si="141"/>
        <v>0</v>
      </c>
      <c r="AN100" s="13">
        <f t="shared" ca="1" si="142"/>
        <v>0</v>
      </c>
      <c r="AO100" s="13">
        <f t="shared" ca="1" si="143"/>
        <v>0</v>
      </c>
      <c r="AP100" s="13">
        <f t="shared" ca="1" si="144"/>
        <v>1400</v>
      </c>
      <c r="AQ100" s="13">
        <f t="shared" ca="1" si="145"/>
        <v>0</v>
      </c>
      <c r="AR100" s="13">
        <f t="shared" ca="1" si="146"/>
        <v>0</v>
      </c>
      <c r="AS100" s="13">
        <f t="shared" ca="1" si="147"/>
        <v>0</v>
      </c>
      <c r="AT100" s="13">
        <f t="shared" ca="1" si="148"/>
        <v>0</v>
      </c>
      <c r="AU100" s="13">
        <f t="shared" ca="1" si="149"/>
        <v>1400</v>
      </c>
      <c r="AV100" s="13">
        <f t="shared" ca="1" si="150"/>
        <v>0</v>
      </c>
      <c r="AW100" s="13">
        <f t="shared" ca="1" si="151"/>
        <v>0</v>
      </c>
      <c r="AX100" s="13">
        <f t="shared" ca="1" si="152"/>
        <v>0</v>
      </c>
      <c r="AY100" s="13">
        <f t="shared" ca="1" si="153"/>
        <v>0</v>
      </c>
      <c r="AZ100" s="13">
        <f t="shared" ca="1" si="154"/>
        <v>1400</v>
      </c>
      <c r="BA100" s="13">
        <f t="shared" ca="1" si="155"/>
        <v>0</v>
      </c>
      <c r="BB100" s="13">
        <f t="shared" ca="1" si="156"/>
        <v>0</v>
      </c>
      <c r="BC100" s="13">
        <f t="shared" ca="1" si="157"/>
        <v>0</v>
      </c>
      <c r="BD100" s="13">
        <f t="shared" ca="1" si="158"/>
        <v>0</v>
      </c>
      <c r="BE100" s="13">
        <f t="shared" ca="1" si="159"/>
        <v>1400</v>
      </c>
      <c r="BF100" s="13">
        <f t="shared" ca="1" si="160"/>
        <v>0</v>
      </c>
      <c r="BG100" s="13">
        <f t="shared" ca="1" si="161"/>
        <v>0</v>
      </c>
      <c r="BH100" s="13">
        <f t="shared" ca="1" si="162"/>
        <v>0</v>
      </c>
      <c r="BI100" s="13">
        <f t="shared" ca="1" si="163"/>
        <v>0</v>
      </c>
      <c r="BJ100" s="13">
        <f t="shared" ca="1" si="164"/>
        <v>1400</v>
      </c>
      <c r="BK100" s="13">
        <f t="shared" ca="1" si="165"/>
        <v>0</v>
      </c>
      <c r="BL100" s="13">
        <f t="shared" ca="1" si="166"/>
        <v>0</v>
      </c>
      <c r="BM100" s="13">
        <f t="shared" ca="1" si="167"/>
        <v>0</v>
      </c>
      <c r="BN100" s="13">
        <f t="shared" ca="1" si="168"/>
        <v>0</v>
      </c>
      <c r="BO100" s="13">
        <f t="shared" ca="1" si="169"/>
        <v>0</v>
      </c>
      <c r="BP100" s="13">
        <f t="shared" ca="1" si="170"/>
        <v>0</v>
      </c>
      <c r="BQ100" s="13">
        <f t="shared" ca="1" si="171"/>
        <v>0</v>
      </c>
    </row>
    <row r="101" spans="1:69" x14ac:dyDescent="0.25">
      <c r="A101" s="1">
        <v>100</v>
      </c>
      <c r="B101" s="13">
        <f ca="1">IF(A101=1,IF(OR('My Loans'!$O$14="",'My Loans'!$O$14=0),0,INDIRECT("'My Loans'!$D"&amp;'My Loans'!$O$14)),AE100)</f>
        <v>0</v>
      </c>
      <c r="C101" s="13">
        <f ca="1">IF(OR('My Loans'!$O$14="",'My Loans'!$O$14=0),0,B101*INDIRECT("'My Loans'!$E"&amp;'My Loans'!$O$14)/12)</f>
        <v>0</v>
      </c>
      <c r="D101" s="13">
        <f ca="1">IF(OR('My Loans'!$O$14="",'My Loans'!$O$14=0),0,IF(B101&lt;0.005,0,MIN(INDIRECT("'My Loans'!$F"&amp;'My Loans'!$O$14),B101+C101)))</f>
        <v>0</v>
      </c>
      <c r="E101" s="13">
        <f ca="1">IF(A101=1,IF(OR('My Loans'!$O$15="",'My Loans'!$O$15=0),0,INDIRECT("'My Loans'!$D"&amp;'My Loans'!$O$15)),AJ100)</f>
        <v>0</v>
      </c>
      <c r="F101" s="13">
        <f ca="1">IF(OR('My Loans'!$O$15="",'My Loans'!$O$15=0),0,E101*INDIRECT("'My Loans'!$E"&amp;'My Loans'!$O$15)/12)</f>
        <v>0</v>
      </c>
      <c r="G101" s="13">
        <f ca="1">IF(OR('My Loans'!$O$15="",'My Loans'!$O$15=0),0,IF(E101&lt;0.005,0,MIN(INDIRECT("'My Loans'!$F"&amp;'My Loans'!$O$15),E101+F101)))</f>
        <v>0</v>
      </c>
      <c r="H101" s="13">
        <f ca="1">IF(A101=1,IF(OR('My Loans'!$O$16="",'My Loans'!$O$16=0),0,INDIRECT("'My Loans'!$D"&amp;'My Loans'!$O$16)),AO100)</f>
        <v>0</v>
      </c>
      <c r="I101" s="13">
        <f ca="1">IF(OR('My Loans'!$O$16="",'My Loans'!$O$16=0),0,H101*INDIRECT("'My Loans'!$E"&amp;'My Loans'!$O$16)/12)</f>
        <v>0</v>
      </c>
      <c r="J101" s="13">
        <f ca="1">IF(OR('My Loans'!$O$16="",'My Loans'!$O$16=0),0,IF(H101&lt;0.005,0,MIN(INDIRECT("'My Loans'!$F"&amp;'My Loans'!$O$16),H101+I101)))</f>
        <v>0</v>
      </c>
      <c r="K101" s="13">
        <f ca="1">IF(A101=1,IF(OR('My Loans'!$O$17="",'My Loans'!$O$17=0),0,INDIRECT("'My Loans'!$D"&amp;'My Loans'!$O$17)),AT100)</f>
        <v>0</v>
      </c>
      <c r="L101" s="13">
        <f ca="1">IF(OR('My Loans'!$O$17="",'My Loans'!$O$17=0),0,K101*INDIRECT("'My Loans'!$E"&amp;'My Loans'!$O$17)/12)</f>
        <v>0</v>
      </c>
      <c r="M101" s="13">
        <f ca="1">IF(OR('My Loans'!$O$17="",'My Loans'!$O$17=0),0,IF(K101&lt;0.005,0,MIN(INDIRECT("'My Loans'!$F"&amp;'My Loans'!$O$17),K101+L101)))</f>
        <v>0</v>
      </c>
      <c r="N101" s="13">
        <f ca="1">IF(A101=1,IF(OR('My Loans'!$O$18="",'My Loans'!$O$18=0),0,INDIRECT("'My Loans'!$D"&amp;'My Loans'!$O$18)),AY100)</f>
        <v>0</v>
      </c>
      <c r="O101" s="13">
        <f ca="1">IF(OR('My Loans'!$O$18="",'My Loans'!$O$18=0),0,N101*INDIRECT("'My Loans'!$E"&amp;'My Loans'!$O$18)/12)</f>
        <v>0</v>
      </c>
      <c r="P101" s="13">
        <f ca="1">IF(OR('My Loans'!$O$18="",'My Loans'!$O$18=0),0,IF(N101&lt;0.005,0,MIN(INDIRECT("'My Loans'!$F"&amp;'My Loans'!$O$18),N101+O101)))</f>
        <v>0</v>
      </c>
      <c r="Q101" s="13">
        <f ca="1">IF(A101=1,IF(OR('My Loans'!$O$19="",'My Loans'!$O$19=0),0,INDIRECT("'My Loans'!$D"&amp;'My Loans'!$O$19)),BD100)</f>
        <v>0</v>
      </c>
      <c r="R101" s="13">
        <f ca="1">IF(OR('My Loans'!$O$19="",'My Loans'!$O$19=0),0,Q101*INDIRECT("'My Loans'!$E"&amp;'My Loans'!$O$19)/12)</f>
        <v>0</v>
      </c>
      <c r="S101" s="13">
        <f ca="1">IF(OR('My Loans'!$O$19="",'My Loans'!$O$19=0),0,IF(Q101&lt;0.005,0,MIN(INDIRECT("'My Loans'!$F"&amp;'My Loans'!$O$19),Q101+R101)))</f>
        <v>0</v>
      </c>
      <c r="T101" s="13">
        <f ca="1">IF(A101=1,IF(OR('My Loans'!$O$20="",'My Loans'!$O$20=0),0,INDIRECT("'My Loans'!$D"&amp;'My Loans'!$O$20)),BI100)</f>
        <v>0</v>
      </c>
      <c r="U101" s="13">
        <f ca="1">IF(OR('My Loans'!$O$20="",'My Loans'!$O$20=0),0,T101*INDIRECT("'My Loans'!$E"&amp;'My Loans'!$O$20)/12)</f>
        <v>0</v>
      </c>
      <c r="V101" s="13">
        <f ca="1">IF(OR('My Loans'!$O$20="",'My Loans'!$O$20=0),0,IF(T101&lt;0.005,0,MIN(INDIRECT("'My Loans'!$F"&amp;'My Loans'!$O$20),T101+U101)))</f>
        <v>0</v>
      </c>
      <c r="W101" s="13">
        <f ca="1">IF(A101=1,IF(OR('My Loans'!$O$21="",'My Loans'!$O$21=0),0,INDIRECT("'My Loans'!$D"&amp;'My Loans'!$O$21)),BN100)</f>
        <v>0</v>
      </c>
      <c r="X101" s="13">
        <f ca="1">IF(OR('My Loans'!$O$21="",'My Loans'!$O$21=0),0,W101*INDIRECT("'My Loans'!$E"&amp;'My Loans'!$O$21)/12)</f>
        <v>0</v>
      </c>
      <c r="Y101" s="13">
        <f ca="1">IF(OR('My Loans'!$O$21="",'My Loans'!$O$21=0),0,IF(W101&lt;0.005,0,MIN(INDIRECT("'My Loans'!$F"&amp;'My Loans'!$O$21),W101+X101)))</f>
        <v>0</v>
      </c>
      <c r="Z101" s="13">
        <f ca="1">'My Loans'!$B$13-(D101+G101+J101+M101+P101+S101+V101+Y101)</f>
        <v>1400</v>
      </c>
      <c r="AA101" s="13">
        <f t="shared" ca="1" si="129"/>
        <v>1400</v>
      </c>
      <c r="AB101" s="13">
        <f t="shared" ca="1" si="130"/>
        <v>0</v>
      </c>
      <c r="AC101" s="13">
        <f t="shared" ca="1" si="131"/>
        <v>0</v>
      </c>
      <c r="AD101" s="13">
        <f t="shared" ca="1" si="132"/>
        <v>0</v>
      </c>
      <c r="AE101" s="13">
        <f t="shared" ca="1" si="133"/>
        <v>0</v>
      </c>
      <c r="AF101" s="13">
        <f t="shared" ca="1" si="134"/>
        <v>1400</v>
      </c>
      <c r="AG101" s="13">
        <f t="shared" ca="1" si="135"/>
        <v>0</v>
      </c>
      <c r="AH101" s="13">
        <f t="shared" ca="1" si="136"/>
        <v>0</v>
      </c>
      <c r="AI101" s="13">
        <f t="shared" ca="1" si="137"/>
        <v>0</v>
      </c>
      <c r="AJ101" s="13">
        <f t="shared" ca="1" si="138"/>
        <v>0</v>
      </c>
      <c r="AK101" s="13">
        <f t="shared" ca="1" si="139"/>
        <v>1400</v>
      </c>
      <c r="AL101" s="13">
        <f t="shared" ca="1" si="140"/>
        <v>0</v>
      </c>
      <c r="AM101" s="13">
        <f t="shared" ca="1" si="141"/>
        <v>0</v>
      </c>
      <c r="AN101" s="13">
        <f t="shared" ca="1" si="142"/>
        <v>0</v>
      </c>
      <c r="AO101" s="13">
        <f t="shared" ca="1" si="143"/>
        <v>0</v>
      </c>
      <c r="AP101" s="13">
        <f t="shared" ca="1" si="144"/>
        <v>1400</v>
      </c>
      <c r="AQ101" s="13">
        <f t="shared" ca="1" si="145"/>
        <v>0</v>
      </c>
      <c r="AR101" s="13">
        <f t="shared" ca="1" si="146"/>
        <v>0</v>
      </c>
      <c r="AS101" s="13">
        <f t="shared" ca="1" si="147"/>
        <v>0</v>
      </c>
      <c r="AT101" s="13">
        <f t="shared" ca="1" si="148"/>
        <v>0</v>
      </c>
      <c r="AU101" s="13">
        <f t="shared" ca="1" si="149"/>
        <v>1400</v>
      </c>
      <c r="AV101" s="13">
        <f t="shared" ca="1" si="150"/>
        <v>0</v>
      </c>
      <c r="AW101" s="13">
        <f t="shared" ca="1" si="151"/>
        <v>0</v>
      </c>
      <c r="AX101" s="13">
        <f t="shared" ca="1" si="152"/>
        <v>0</v>
      </c>
      <c r="AY101" s="13">
        <f t="shared" ca="1" si="153"/>
        <v>0</v>
      </c>
      <c r="AZ101" s="13">
        <f t="shared" ca="1" si="154"/>
        <v>1400</v>
      </c>
      <c r="BA101" s="13">
        <f t="shared" ca="1" si="155"/>
        <v>0</v>
      </c>
      <c r="BB101" s="13">
        <f t="shared" ca="1" si="156"/>
        <v>0</v>
      </c>
      <c r="BC101" s="13">
        <f t="shared" ca="1" si="157"/>
        <v>0</v>
      </c>
      <c r="BD101" s="13">
        <f t="shared" ca="1" si="158"/>
        <v>0</v>
      </c>
      <c r="BE101" s="13">
        <f t="shared" ca="1" si="159"/>
        <v>1400</v>
      </c>
      <c r="BF101" s="13">
        <f t="shared" ca="1" si="160"/>
        <v>0</v>
      </c>
      <c r="BG101" s="13">
        <f t="shared" ca="1" si="161"/>
        <v>0</v>
      </c>
      <c r="BH101" s="13">
        <f t="shared" ca="1" si="162"/>
        <v>0</v>
      </c>
      <c r="BI101" s="13">
        <f t="shared" ca="1" si="163"/>
        <v>0</v>
      </c>
      <c r="BJ101" s="13">
        <f t="shared" ca="1" si="164"/>
        <v>1400</v>
      </c>
      <c r="BK101" s="13">
        <f t="shared" ca="1" si="165"/>
        <v>0</v>
      </c>
      <c r="BL101" s="13">
        <f t="shared" ca="1" si="166"/>
        <v>0</v>
      </c>
      <c r="BM101" s="13">
        <f t="shared" ca="1" si="167"/>
        <v>0</v>
      </c>
      <c r="BN101" s="13">
        <f t="shared" ca="1" si="168"/>
        <v>0</v>
      </c>
      <c r="BO101" s="13">
        <f t="shared" ca="1" si="169"/>
        <v>0</v>
      </c>
      <c r="BP101" s="13">
        <f t="shared" ca="1" si="170"/>
        <v>0</v>
      </c>
      <c r="BQ101" s="13">
        <f t="shared" ca="1" si="171"/>
        <v>0</v>
      </c>
    </row>
    <row r="102" spans="1:69" x14ac:dyDescent="0.25">
      <c r="A102" s="1">
        <v>101</v>
      </c>
      <c r="B102" s="13">
        <f ca="1">IF(A102=1,IF(OR('My Loans'!$O$14="",'My Loans'!$O$14=0),0,INDIRECT("'My Loans'!$D"&amp;'My Loans'!$O$14)),AE101)</f>
        <v>0</v>
      </c>
      <c r="C102" s="13">
        <f ca="1">IF(OR('My Loans'!$O$14="",'My Loans'!$O$14=0),0,B102*INDIRECT("'My Loans'!$E"&amp;'My Loans'!$O$14)/12)</f>
        <v>0</v>
      </c>
      <c r="D102" s="13">
        <f ca="1">IF(OR('My Loans'!$O$14="",'My Loans'!$O$14=0),0,IF(B102&lt;0.005,0,MIN(INDIRECT("'My Loans'!$F"&amp;'My Loans'!$O$14),B102+C102)))</f>
        <v>0</v>
      </c>
      <c r="E102" s="13">
        <f ca="1">IF(A102=1,IF(OR('My Loans'!$O$15="",'My Loans'!$O$15=0),0,INDIRECT("'My Loans'!$D"&amp;'My Loans'!$O$15)),AJ101)</f>
        <v>0</v>
      </c>
      <c r="F102" s="13">
        <f ca="1">IF(OR('My Loans'!$O$15="",'My Loans'!$O$15=0),0,E102*INDIRECT("'My Loans'!$E"&amp;'My Loans'!$O$15)/12)</f>
        <v>0</v>
      </c>
      <c r="G102" s="13">
        <f ca="1">IF(OR('My Loans'!$O$15="",'My Loans'!$O$15=0),0,IF(E102&lt;0.005,0,MIN(INDIRECT("'My Loans'!$F"&amp;'My Loans'!$O$15),E102+F102)))</f>
        <v>0</v>
      </c>
      <c r="H102" s="13">
        <f ca="1">IF(A102=1,IF(OR('My Loans'!$O$16="",'My Loans'!$O$16=0),0,INDIRECT("'My Loans'!$D"&amp;'My Loans'!$O$16)),AO101)</f>
        <v>0</v>
      </c>
      <c r="I102" s="13">
        <f ca="1">IF(OR('My Loans'!$O$16="",'My Loans'!$O$16=0),0,H102*INDIRECT("'My Loans'!$E"&amp;'My Loans'!$O$16)/12)</f>
        <v>0</v>
      </c>
      <c r="J102" s="13">
        <f ca="1">IF(OR('My Loans'!$O$16="",'My Loans'!$O$16=0),0,IF(H102&lt;0.005,0,MIN(INDIRECT("'My Loans'!$F"&amp;'My Loans'!$O$16),H102+I102)))</f>
        <v>0</v>
      </c>
      <c r="K102" s="13">
        <f ca="1">IF(A102=1,IF(OR('My Loans'!$O$17="",'My Loans'!$O$17=0),0,INDIRECT("'My Loans'!$D"&amp;'My Loans'!$O$17)),AT101)</f>
        <v>0</v>
      </c>
      <c r="L102" s="13">
        <f ca="1">IF(OR('My Loans'!$O$17="",'My Loans'!$O$17=0),0,K102*INDIRECT("'My Loans'!$E"&amp;'My Loans'!$O$17)/12)</f>
        <v>0</v>
      </c>
      <c r="M102" s="13">
        <f ca="1">IF(OR('My Loans'!$O$17="",'My Loans'!$O$17=0),0,IF(K102&lt;0.005,0,MIN(INDIRECT("'My Loans'!$F"&amp;'My Loans'!$O$17),K102+L102)))</f>
        <v>0</v>
      </c>
      <c r="N102" s="13">
        <f ca="1">IF(A102=1,IF(OR('My Loans'!$O$18="",'My Loans'!$O$18=0),0,INDIRECT("'My Loans'!$D"&amp;'My Loans'!$O$18)),AY101)</f>
        <v>0</v>
      </c>
      <c r="O102" s="13">
        <f ca="1">IF(OR('My Loans'!$O$18="",'My Loans'!$O$18=0),0,N102*INDIRECT("'My Loans'!$E"&amp;'My Loans'!$O$18)/12)</f>
        <v>0</v>
      </c>
      <c r="P102" s="13">
        <f ca="1">IF(OR('My Loans'!$O$18="",'My Loans'!$O$18=0),0,IF(N102&lt;0.005,0,MIN(INDIRECT("'My Loans'!$F"&amp;'My Loans'!$O$18),N102+O102)))</f>
        <v>0</v>
      </c>
      <c r="Q102" s="13">
        <f ca="1">IF(A102=1,IF(OR('My Loans'!$O$19="",'My Loans'!$O$19=0),0,INDIRECT("'My Loans'!$D"&amp;'My Loans'!$O$19)),BD101)</f>
        <v>0</v>
      </c>
      <c r="R102" s="13">
        <f ca="1">IF(OR('My Loans'!$O$19="",'My Loans'!$O$19=0),0,Q102*INDIRECT("'My Loans'!$E"&amp;'My Loans'!$O$19)/12)</f>
        <v>0</v>
      </c>
      <c r="S102" s="13">
        <f ca="1">IF(OR('My Loans'!$O$19="",'My Loans'!$O$19=0),0,IF(Q102&lt;0.005,0,MIN(INDIRECT("'My Loans'!$F"&amp;'My Loans'!$O$19),Q102+R102)))</f>
        <v>0</v>
      </c>
      <c r="T102" s="13">
        <f ca="1">IF(A102=1,IF(OR('My Loans'!$O$20="",'My Loans'!$O$20=0),0,INDIRECT("'My Loans'!$D"&amp;'My Loans'!$O$20)),BI101)</f>
        <v>0</v>
      </c>
      <c r="U102" s="13">
        <f ca="1">IF(OR('My Loans'!$O$20="",'My Loans'!$O$20=0),0,T102*INDIRECT("'My Loans'!$E"&amp;'My Loans'!$O$20)/12)</f>
        <v>0</v>
      </c>
      <c r="V102" s="13">
        <f ca="1">IF(OR('My Loans'!$O$20="",'My Loans'!$O$20=0),0,IF(T102&lt;0.005,0,MIN(INDIRECT("'My Loans'!$F"&amp;'My Loans'!$O$20),T102+U102)))</f>
        <v>0</v>
      </c>
      <c r="W102" s="13">
        <f ca="1">IF(A102=1,IF(OR('My Loans'!$O$21="",'My Loans'!$O$21=0),0,INDIRECT("'My Loans'!$D"&amp;'My Loans'!$O$21)),BN101)</f>
        <v>0</v>
      </c>
      <c r="X102" s="13">
        <f ca="1">IF(OR('My Loans'!$O$21="",'My Loans'!$O$21=0),0,W102*INDIRECT("'My Loans'!$E"&amp;'My Loans'!$O$21)/12)</f>
        <v>0</v>
      </c>
      <c r="Y102" s="13">
        <f ca="1">IF(OR('My Loans'!$O$21="",'My Loans'!$O$21=0),0,IF(W102&lt;0.005,0,MIN(INDIRECT("'My Loans'!$F"&amp;'My Loans'!$O$21),W102+X102)))</f>
        <v>0</v>
      </c>
      <c r="Z102" s="13">
        <f ca="1">'My Loans'!$B$13-(D102+G102+J102+M102+P102+S102+V102+Y102)</f>
        <v>1400</v>
      </c>
      <c r="AA102" s="13">
        <f t="shared" ca="1" si="129"/>
        <v>1400</v>
      </c>
      <c r="AB102" s="13">
        <f t="shared" ca="1" si="130"/>
        <v>0</v>
      </c>
      <c r="AC102" s="13">
        <f t="shared" ca="1" si="131"/>
        <v>0</v>
      </c>
      <c r="AD102" s="13">
        <f t="shared" ca="1" si="132"/>
        <v>0</v>
      </c>
      <c r="AE102" s="13">
        <f t="shared" ca="1" si="133"/>
        <v>0</v>
      </c>
      <c r="AF102" s="13">
        <f t="shared" ca="1" si="134"/>
        <v>1400</v>
      </c>
      <c r="AG102" s="13">
        <f t="shared" ca="1" si="135"/>
        <v>0</v>
      </c>
      <c r="AH102" s="13">
        <f t="shared" ca="1" si="136"/>
        <v>0</v>
      </c>
      <c r="AI102" s="13">
        <f t="shared" ca="1" si="137"/>
        <v>0</v>
      </c>
      <c r="AJ102" s="13">
        <f t="shared" ca="1" si="138"/>
        <v>0</v>
      </c>
      <c r="AK102" s="13">
        <f t="shared" ca="1" si="139"/>
        <v>1400</v>
      </c>
      <c r="AL102" s="13">
        <f t="shared" ca="1" si="140"/>
        <v>0</v>
      </c>
      <c r="AM102" s="13">
        <f t="shared" ca="1" si="141"/>
        <v>0</v>
      </c>
      <c r="AN102" s="13">
        <f t="shared" ca="1" si="142"/>
        <v>0</v>
      </c>
      <c r="AO102" s="13">
        <f t="shared" ca="1" si="143"/>
        <v>0</v>
      </c>
      <c r="AP102" s="13">
        <f t="shared" ca="1" si="144"/>
        <v>1400</v>
      </c>
      <c r="AQ102" s="13">
        <f t="shared" ca="1" si="145"/>
        <v>0</v>
      </c>
      <c r="AR102" s="13">
        <f t="shared" ca="1" si="146"/>
        <v>0</v>
      </c>
      <c r="AS102" s="13">
        <f t="shared" ca="1" si="147"/>
        <v>0</v>
      </c>
      <c r="AT102" s="13">
        <f t="shared" ca="1" si="148"/>
        <v>0</v>
      </c>
      <c r="AU102" s="13">
        <f t="shared" ca="1" si="149"/>
        <v>1400</v>
      </c>
      <c r="AV102" s="13">
        <f t="shared" ca="1" si="150"/>
        <v>0</v>
      </c>
      <c r="AW102" s="13">
        <f t="shared" ca="1" si="151"/>
        <v>0</v>
      </c>
      <c r="AX102" s="13">
        <f t="shared" ca="1" si="152"/>
        <v>0</v>
      </c>
      <c r="AY102" s="13">
        <f t="shared" ca="1" si="153"/>
        <v>0</v>
      </c>
      <c r="AZ102" s="13">
        <f t="shared" ca="1" si="154"/>
        <v>1400</v>
      </c>
      <c r="BA102" s="13">
        <f t="shared" ca="1" si="155"/>
        <v>0</v>
      </c>
      <c r="BB102" s="13">
        <f t="shared" ca="1" si="156"/>
        <v>0</v>
      </c>
      <c r="BC102" s="13">
        <f t="shared" ca="1" si="157"/>
        <v>0</v>
      </c>
      <c r="BD102" s="13">
        <f t="shared" ca="1" si="158"/>
        <v>0</v>
      </c>
      <c r="BE102" s="13">
        <f t="shared" ca="1" si="159"/>
        <v>1400</v>
      </c>
      <c r="BF102" s="13">
        <f t="shared" ca="1" si="160"/>
        <v>0</v>
      </c>
      <c r="BG102" s="13">
        <f t="shared" ca="1" si="161"/>
        <v>0</v>
      </c>
      <c r="BH102" s="13">
        <f t="shared" ca="1" si="162"/>
        <v>0</v>
      </c>
      <c r="BI102" s="13">
        <f t="shared" ca="1" si="163"/>
        <v>0</v>
      </c>
      <c r="BJ102" s="13">
        <f t="shared" ca="1" si="164"/>
        <v>1400</v>
      </c>
      <c r="BK102" s="13">
        <f t="shared" ca="1" si="165"/>
        <v>0</v>
      </c>
      <c r="BL102" s="13">
        <f t="shared" ca="1" si="166"/>
        <v>0</v>
      </c>
      <c r="BM102" s="13">
        <f t="shared" ca="1" si="167"/>
        <v>0</v>
      </c>
      <c r="BN102" s="13">
        <f t="shared" ca="1" si="168"/>
        <v>0</v>
      </c>
      <c r="BO102" s="13">
        <f t="shared" ca="1" si="169"/>
        <v>0</v>
      </c>
      <c r="BP102" s="13">
        <f t="shared" ca="1" si="170"/>
        <v>0</v>
      </c>
      <c r="BQ102" s="13">
        <f t="shared" ca="1" si="171"/>
        <v>0</v>
      </c>
    </row>
    <row r="103" spans="1:69" x14ac:dyDescent="0.25">
      <c r="A103" s="1">
        <v>102</v>
      </c>
      <c r="B103" s="13">
        <f ca="1">IF(A103=1,IF(OR('My Loans'!$O$14="",'My Loans'!$O$14=0),0,INDIRECT("'My Loans'!$D"&amp;'My Loans'!$O$14)),AE102)</f>
        <v>0</v>
      </c>
      <c r="C103" s="13">
        <f ca="1">IF(OR('My Loans'!$O$14="",'My Loans'!$O$14=0),0,B103*INDIRECT("'My Loans'!$E"&amp;'My Loans'!$O$14)/12)</f>
        <v>0</v>
      </c>
      <c r="D103" s="13">
        <f ca="1">IF(OR('My Loans'!$O$14="",'My Loans'!$O$14=0),0,IF(B103&lt;0.005,0,MIN(INDIRECT("'My Loans'!$F"&amp;'My Loans'!$O$14),B103+C103)))</f>
        <v>0</v>
      </c>
      <c r="E103" s="13">
        <f ca="1">IF(A103=1,IF(OR('My Loans'!$O$15="",'My Loans'!$O$15=0),0,INDIRECT("'My Loans'!$D"&amp;'My Loans'!$O$15)),AJ102)</f>
        <v>0</v>
      </c>
      <c r="F103" s="13">
        <f ca="1">IF(OR('My Loans'!$O$15="",'My Loans'!$O$15=0),0,E103*INDIRECT("'My Loans'!$E"&amp;'My Loans'!$O$15)/12)</f>
        <v>0</v>
      </c>
      <c r="G103" s="13">
        <f ca="1">IF(OR('My Loans'!$O$15="",'My Loans'!$O$15=0),0,IF(E103&lt;0.005,0,MIN(INDIRECT("'My Loans'!$F"&amp;'My Loans'!$O$15),E103+F103)))</f>
        <v>0</v>
      </c>
      <c r="H103" s="13">
        <f ca="1">IF(A103=1,IF(OR('My Loans'!$O$16="",'My Loans'!$O$16=0),0,INDIRECT("'My Loans'!$D"&amp;'My Loans'!$O$16)),AO102)</f>
        <v>0</v>
      </c>
      <c r="I103" s="13">
        <f ca="1">IF(OR('My Loans'!$O$16="",'My Loans'!$O$16=0),0,H103*INDIRECT("'My Loans'!$E"&amp;'My Loans'!$O$16)/12)</f>
        <v>0</v>
      </c>
      <c r="J103" s="13">
        <f ca="1">IF(OR('My Loans'!$O$16="",'My Loans'!$O$16=0),0,IF(H103&lt;0.005,0,MIN(INDIRECT("'My Loans'!$F"&amp;'My Loans'!$O$16),H103+I103)))</f>
        <v>0</v>
      </c>
      <c r="K103" s="13">
        <f ca="1">IF(A103=1,IF(OR('My Loans'!$O$17="",'My Loans'!$O$17=0),0,INDIRECT("'My Loans'!$D"&amp;'My Loans'!$O$17)),AT102)</f>
        <v>0</v>
      </c>
      <c r="L103" s="13">
        <f ca="1">IF(OR('My Loans'!$O$17="",'My Loans'!$O$17=0),0,K103*INDIRECT("'My Loans'!$E"&amp;'My Loans'!$O$17)/12)</f>
        <v>0</v>
      </c>
      <c r="M103" s="13">
        <f ca="1">IF(OR('My Loans'!$O$17="",'My Loans'!$O$17=0),0,IF(K103&lt;0.005,0,MIN(INDIRECT("'My Loans'!$F"&amp;'My Loans'!$O$17),K103+L103)))</f>
        <v>0</v>
      </c>
      <c r="N103" s="13">
        <f ca="1">IF(A103=1,IF(OR('My Loans'!$O$18="",'My Loans'!$O$18=0),0,INDIRECT("'My Loans'!$D"&amp;'My Loans'!$O$18)),AY102)</f>
        <v>0</v>
      </c>
      <c r="O103" s="13">
        <f ca="1">IF(OR('My Loans'!$O$18="",'My Loans'!$O$18=0),0,N103*INDIRECT("'My Loans'!$E"&amp;'My Loans'!$O$18)/12)</f>
        <v>0</v>
      </c>
      <c r="P103" s="13">
        <f ca="1">IF(OR('My Loans'!$O$18="",'My Loans'!$O$18=0),0,IF(N103&lt;0.005,0,MIN(INDIRECT("'My Loans'!$F"&amp;'My Loans'!$O$18),N103+O103)))</f>
        <v>0</v>
      </c>
      <c r="Q103" s="13">
        <f ca="1">IF(A103=1,IF(OR('My Loans'!$O$19="",'My Loans'!$O$19=0),0,INDIRECT("'My Loans'!$D"&amp;'My Loans'!$O$19)),BD102)</f>
        <v>0</v>
      </c>
      <c r="R103" s="13">
        <f ca="1">IF(OR('My Loans'!$O$19="",'My Loans'!$O$19=0),0,Q103*INDIRECT("'My Loans'!$E"&amp;'My Loans'!$O$19)/12)</f>
        <v>0</v>
      </c>
      <c r="S103" s="13">
        <f ca="1">IF(OR('My Loans'!$O$19="",'My Loans'!$O$19=0),0,IF(Q103&lt;0.005,0,MIN(INDIRECT("'My Loans'!$F"&amp;'My Loans'!$O$19),Q103+R103)))</f>
        <v>0</v>
      </c>
      <c r="T103" s="13">
        <f ca="1">IF(A103=1,IF(OR('My Loans'!$O$20="",'My Loans'!$O$20=0),0,INDIRECT("'My Loans'!$D"&amp;'My Loans'!$O$20)),BI102)</f>
        <v>0</v>
      </c>
      <c r="U103" s="13">
        <f ca="1">IF(OR('My Loans'!$O$20="",'My Loans'!$O$20=0),0,T103*INDIRECT("'My Loans'!$E"&amp;'My Loans'!$O$20)/12)</f>
        <v>0</v>
      </c>
      <c r="V103" s="13">
        <f ca="1">IF(OR('My Loans'!$O$20="",'My Loans'!$O$20=0),0,IF(T103&lt;0.005,0,MIN(INDIRECT("'My Loans'!$F"&amp;'My Loans'!$O$20),T103+U103)))</f>
        <v>0</v>
      </c>
      <c r="W103" s="13">
        <f ca="1">IF(A103=1,IF(OR('My Loans'!$O$21="",'My Loans'!$O$21=0),0,INDIRECT("'My Loans'!$D"&amp;'My Loans'!$O$21)),BN102)</f>
        <v>0</v>
      </c>
      <c r="X103" s="13">
        <f ca="1">IF(OR('My Loans'!$O$21="",'My Loans'!$O$21=0),0,W103*INDIRECT("'My Loans'!$E"&amp;'My Loans'!$O$21)/12)</f>
        <v>0</v>
      </c>
      <c r="Y103" s="13">
        <f ca="1">IF(OR('My Loans'!$O$21="",'My Loans'!$O$21=0),0,IF(W103&lt;0.005,0,MIN(INDIRECT("'My Loans'!$F"&amp;'My Loans'!$O$21),W103+X103)))</f>
        <v>0</v>
      </c>
      <c r="Z103" s="13">
        <f ca="1">'My Loans'!$B$13-(D103+G103+J103+M103+P103+S103+V103+Y103)</f>
        <v>1400</v>
      </c>
      <c r="AA103" s="13">
        <f t="shared" ca="1" si="129"/>
        <v>1400</v>
      </c>
      <c r="AB103" s="13">
        <f t="shared" ca="1" si="130"/>
        <v>0</v>
      </c>
      <c r="AC103" s="13">
        <f t="shared" ca="1" si="131"/>
        <v>0</v>
      </c>
      <c r="AD103" s="13">
        <f t="shared" ca="1" si="132"/>
        <v>0</v>
      </c>
      <c r="AE103" s="13">
        <f t="shared" ca="1" si="133"/>
        <v>0</v>
      </c>
      <c r="AF103" s="13">
        <f t="shared" ca="1" si="134"/>
        <v>1400</v>
      </c>
      <c r="AG103" s="13">
        <f t="shared" ca="1" si="135"/>
        <v>0</v>
      </c>
      <c r="AH103" s="13">
        <f t="shared" ca="1" si="136"/>
        <v>0</v>
      </c>
      <c r="AI103" s="13">
        <f t="shared" ca="1" si="137"/>
        <v>0</v>
      </c>
      <c r="AJ103" s="13">
        <f t="shared" ca="1" si="138"/>
        <v>0</v>
      </c>
      <c r="AK103" s="13">
        <f t="shared" ca="1" si="139"/>
        <v>1400</v>
      </c>
      <c r="AL103" s="13">
        <f t="shared" ca="1" si="140"/>
        <v>0</v>
      </c>
      <c r="AM103" s="13">
        <f t="shared" ca="1" si="141"/>
        <v>0</v>
      </c>
      <c r="AN103" s="13">
        <f t="shared" ca="1" si="142"/>
        <v>0</v>
      </c>
      <c r="AO103" s="13">
        <f t="shared" ca="1" si="143"/>
        <v>0</v>
      </c>
      <c r="AP103" s="13">
        <f t="shared" ca="1" si="144"/>
        <v>1400</v>
      </c>
      <c r="AQ103" s="13">
        <f t="shared" ca="1" si="145"/>
        <v>0</v>
      </c>
      <c r="AR103" s="13">
        <f t="shared" ca="1" si="146"/>
        <v>0</v>
      </c>
      <c r="AS103" s="13">
        <f t="shared" ca="1" si="147"/>
        <v>0</v>
      </c>
      <c r="AT103" s="13">
        <f t="shared" ca="1" si="148"/>
        <v>0</v>
      </c>
      <c r="AU103" s="13">
        <f t="shared" ca="1" si="149"/>
        <v>1400</v>
      </c>
      <c r="AV103" s="13">
        <f t="shared" ca="1" si="150"/>
        <v>0</v>
      </c>
      <c r="AW103" s="13">
        <f t="shared" ca="1" si="151"/>
        <v>0</v>
      </c>
      <c r="AX103" s="13">
        <f t="shared" ca="1" si="152"/>
        <v>0</v>
      </c>
      <c r="AY103" s="13">
        <f t="shared" ca="1" si="153"/>
        <v>0</v>
      </c>
      <c r="AZ103" s="13">
        <f t="shared" ca="1" si="154"/>
        <v>1400</v>
      </c>
      <c r="BA103" s="13">
        <f t="shared" ca="1" si="155"/>
        <v>0</v>
      </c>
      <c r="BB103" s="13">
        <f t="shared" ca="1" si="156"/>
        <v>0</v>
      </c>
      <c r="BC103" s="13">
        <f t="shared" ca="1" si="157"/>
        <v>0</v>
      </c>
      <c r="BD103" s="13">
        <f t="shared" ca="1" si="158"/>
        <v>0</v>
      </c>
      <c r="BE103" s="13">
        <f t="shared" ca="1" si="159"/>
        <v>1400</v>
      </c>
      <c r="BF103" s="13">
        <f t="shared" ca="1" si="160"/>
        <v>0</v>
      </c>
      <c r="BG103" s="13">
        <f t="shared" ca="1" si="161"/>
        <v>0</v>
      </c>
      <c r="BH103" s="13">
        <f t="shared" ca="1" si="162"/>
        <v>0</v>
      </c>
      <c r="BI103" s="13">
        <f t="shared" ca="1" si="163"/>
        <v>0</v>
      </c>
      <c r="BJ103" s="13">
        <f t="shared" ca="1" si="164"/>
        <v>1400</v>
      </c>
      <c r="BK103" s="13">
        <f t="shared" ca="1" si="165"/>
        <v>0</v>
      </c>
      <c r="BL103" s="13">
        <f t="shared" ca="1" si="166"/>
        <v>0</v>
      </c>
      <c r="BM103" s="13">
        <f t="shared" ca="1" si="167"/>
        <v>0</v>
      </c>
      <c r="BN103" s="13">
        <f t="shared" ca="1" si="168"/>
        <v>0</v>
      </c>
      <c r="BO103" s="13">
        <f t="shared" ca="1" si="169"/>
        <v>0</v>
      </c>
      <c r="BP103" s="13">
        <f t="shared" ca="1" si="170"/>
        <v>0</v>
      </c>
      <c r="BQ103" s="13">
        <f t="shared" ca="1" si="171"/>
        <v>0</v>
      </c>
    </row>
    <row r="104" spans="1:69" x14ac:dyDescent="0.25">
      <c r="A104" s="1">
        <v>103</v>
      </c>
      <c r="B104" s="13">
        <f ca="1">IF(A104=1,IF(OR('My Loans'!$O$14="",'My Loans'!$O$14=0),0,INDIRECT("'My Loans'!$D"&amp;'My Loans'!$O$14)),AE103)</f>
        <v>0</v>
      </c>
      <c r="C104" s="13">
        <f ca="1">IF(OR('My Loans'!$O$14="",'My Loans'!$O$14=0),0,B104*INDIRECT("'My Loans'!$E"&amp;'My Loans'!$O$14)/12)</f>
        <v>0</v>
      </c>
      <c r="D104" s="13">
        <f ca="1">IF(OR('My Loans'!$O$14="",'My Loans'!$O$14=0),0,IF(B104&lt;0.005,0,MIN(INDIRECT("'My Loans'!$F"&amp;'My Loans'!$O$14),B104+C104)))</f>
        <v>0</v>
      </c>
      <c r="E104" s="13">
        <f ca="1">IF(A104=1,IF(OR('My Loans'!$O$15="",'My Loans'!$O$15=0),0,INDIRECT("'My Loans'!$D"&amp;'My Loans'!$O$15)),AJ103)</f>
        <v>0</v>
      </c>
      <c r="F104" s="13">
        <f ca="1">IF(OR('My Loans'!$O$15="",'My Loans'!$O$15=0),0,E104*INDIRECT("'My Loans'!$E"&amp;'My Loans'!$O$15)/12)</f>
        <v>0</v>
      </c>
      <c r="G104" s="13">
        <f ca="1">IF(OR('My Loans'!$O$15="",'My Loans'!$O$15=0),0,IF(E104&lt;0.005,0,MIN(INDIRECT("'My Loans'!$F"&amp;'My Loans'!$O$15),E104+F104)))</f>
        <v>0</v>
      </c>
      <c r="H104" s="13">
        <f ca="1">IF(A104=1,IF(OR('My Loans'!$O$16="",'My Loans'!$O$16=0),0,INDIRECT("'My Loans'!$D"&amp;'My Loans'!$O$16)),AO103)</f>
        <v>0</v>
      </c>
      <c r="I104" s="13">
        <f ca="1">IF(OR('My Loans'!$O$16="",'My Loans'!$O$16=0),0,H104*INDIRECT("'My Loans'!$E"&amp;'My Loans'!$O$16)/12)</f>
        <v>0</v>
      </c>
      <c r="J104" s="13">
        <f ca="1">IF(OR('My Loans'!$O$16="",'My Loans'!$O$16=0),0,IF(H104&lt;0.005,0,MIN(INDIRECT("'My Loans'!$F"&amp;'My Loans'!$O$16),H104+I104)))</f>
        <v>0</v>
      </c>
      <c r="K104" s="13">
        <f ca="1">IF(A104=1,IF(OR('My Loans'!$O$17="",'My Loans'!$O$17=0),0,INDIRECT("'My Loans'!$D"&amp;'My Loans'!$O$17)),AT103)</f>
        <v>0</v>
      </c>
      <c r="L104" s="13">
        <f ca="1">IF(OR('My Loans'!$O$17="",'My Loans'!$O$17=0),0,K104*INDIRECT("'My Loans'!$E"&amp;'My Loans'!$O$17)/12)</f>
        <v>0</v>
      </c>
      <c r="M104" s="13">
        <f ca="1">IF(OR('My Loans'!$O$17="",'My Loans'!$O$17=0),0,IF(K104&lt;0.005,0,MIN(INDIRECT("'My Loans'!$F"&amp;'My Loans'!$O$17),K104+L104)))</f>
        <v>0</v>
      </c>
      <c r="N104" s="13">
        <f ca="1">IF(A104=1,IF(OR('My Loans'!$O$18="",'My Loans'!$O$18=0),0,INDIRECT("'My Loans'!$D"&amp;'My Loans'!$O$18)),AY103)</f>
        <v>0</v>
      </c>
      <c r="O104" s="13">
        <f ca="1">IF(OR('My Loans'!$O$18="",'My Loans'!$O$18=0),0,N104*INDIRECT("'My Loans'!$E"&amp;'My Loans'!$O$18)/12)</f>
        <v>0</v>
      </c>
      <c r="P104" s="13">
        <f ca="1">IF(OR('My Loans'!$O$18="",'My Loans'!$O$18=0),0,IF(N104&lt;0.005,0,MIN(INDIRECT("'My Loans'!$F"&amp;'My Loans'!$O$18),N104+O104)))</f>
        <v>0</v>
      </c>
      <c r="Q104" s="13">
        <f ca="1">IF(A104=1,IF(OR('My Loans'!$O$19="",'My Loans'!$O$19=0),0,INDIRECT("'My Loans'!$D"&amp;'My Loans'!$O$19)),BD103)</f>
        <v>0</v>
      </c>
      <c r="R104" s="13">
        <f ca="1">IF(OR('My Loans'!$O$19="",'My Loans'!$O$19=0),0,Q104*INDIRECT("'My Loans'!$E"&amp;'My Loans'!$O$19)/12)</f>
        <v>0</v>
      </c>
      <c r="S104" s="13">
        <f ca="1">IF(OR('My Loans'!$O$19="",'My Loans'!$O$19=0),0,IF(Q104&lt;0.005,0,MIN(INDIRECT("'My Loans'!$F"&amp;'My Loans'!$O$19),Q104+R104)))</f>
        <v>0</v>
      </c>
      <c r="T104" s="13">
        <f ca="1">IF(A104=1,IF(OR('My Loans'!$O$20="",'My Loans'!$O$20=0),0,INDIRECT("'My Loans'!$D"&amp;'My Loans'!$O$20)),BI103)</f>
        <v>0</v>
      </c>
      <c r="U104" s="13">
        <f ca="1">IF(OR('My Loans'!$O$20="",'My Loans'!$O$20=0),0,T104*INDIRECT("'My Loans'!$E"&amp;'My Loans'!$O$20)/12)</f>
        <v>0</v>
      </c>
      <c r="V104" s="13">
        <f ca="1">IF(OR('My Loans'!$O$20="",'My Loans'!$O$20=0),0,IF(T104&lt;0.005,0,MIN(INDIRECT("'My Loans'!$F"&amp;'My Loans'!$O$20),T104+U104)))</f>
        <v>0</v>
      </c>
      <c r="W104" s="13">
        <f ca="1">IF(A104=1,IF(OR('My Loans'!$O$21="",'My Loans'!$O$21=0),0,INDIRECT("'My Loans'!$D"&amp;'My Loans'!$O$21)),BN103)</f>
        <v>0</v>
      </c>
      <c r="X104" s="13">
        <f ca="1">IF(OR('My Loans'!$O$21="",'My Loans'!$O$21=0),0,W104*INDIRECT("'My Loans'!$E"&amp;'My Loans'!$O$21)/12)</f>
        <v>0</v>
      </c>
      <c r="Y104" s="13">
        <f ca="1">IF(OR('My Loans'!$O$21="",'My Loans'!$O$21=0),0,IF(W104&lt;0.005,0,MIN(INDIRECT("'My Loans'!$F"&amp;'My Loans'!$O$21),W104+X104)))</f>
        <v>0</v>
      </c>
      <c r="Z104" s="13">
        <f ca="1">'My Loans'!$B$13-(D104+G104+J104+M104+P104+S104+V104+Y104)</f>
        <v>1400</v>
      </c>
      <c r="AA104" s="13">
        <f t="shared" ca="1" si="129"/>
        <v>1400</v>
      </c>
      <c r="AB104" s="13">
        <f t="shared" ca="1" si="130"/>
        <v>0</v>
      </c>
      <c r="AC104" s="13">
        <f t="shared" ca="1" si="131"/>
        <v>0</v>
      </c>
      <c r="AD104" s="13">
        <f t="shared" ca="1" si="132"/>
        <v>0</v>
      </c>
      <c r="AE104" s="13">
        <f t="shared" ca="1" si="133"/>
        <v>0</v>
      </c>
      <c r="AF104" s="13">
        <f t="shared" ca="1" si="134"/>
        <v>1400</v>
      </c>
      <c r="AG104" s="13">
        <f t="shared" ca="1" si="135"/>
        <v>0</v>
      </c>
      <c r="AH104" s="13">
        <f t="shared" ca="1" si="136"/>
        <v>0</v>
      </c>
      <c r="AI104" s="13">
        <f t="shared" ca="1" si="137"/>
        <v>0</v>
      </c>
      <c r="AJ104" s="13">
        <f t="shared" ca="1" si="138"/>
        <v>0</v>
      </c>
      <c r="AK104" s="13">
        <f t="shared" ca="1" si="139"/>
        <v>1400</v>
      </c>
      <c r="AL104" s="13">
        <f t="shared" ca="1" si="140"/>
        <v>0</v>
      </c>
      <c r="AM104" s="13">
        <f t="shared" ca="1" si="141"/>
        <v>0</v>
      </c>
      <c r="AN104" s="13">
        <f t="shared" ca="1" si="142"/>
        <v>0</v>
      </c>
      <c r="AO104" s="13">
        <f t="shared" ca="1" si="143"/>
        <v>0</v>
      </c>
      <c r="AP104" s="13">
        <f t="shared" ca="1" si="144"/>
        <v>1400</v>
      </c>
      <c r="AQ104" s="13">
        <f t="shared" ca="1" si="145"/>
        <v>0</v>
      </c>
      <c r="AR104" s="13">
        <f t="shared" ca="1" si="146"/>
        <v>0</v>
      </c>
      <c r="AS104" s="13">
        <f t="shared" ca="1" si="147"/>
        <v>0</v>
      </c>
      <c r="AT104" s="13">
        <f t="shared" ca="1" si="148"/>
        <v>0</v>
      </c>
      <c r="AU104" s="13">
        <f t="shared" ca="1" si="149"/>
        <v>1400</v>
      </c>
      <c r="AV104" s="13">
        <f t="shared" ca="1" si="150"/>
        <v>0</v>
      </c>
      <c r="AW104" s="13">
        <f t="shared" ca="1" si="151"/>
        <v>0</v>
      </c>
      <c r="AX104" s="13">
        <f t="shared" ca="1" si="152"/>
        <v>0</v>
      </c>
      <c r="AY104" s="13">
        <f t="shared" ca="1" si="153"/>
        <v>0</v>
      </c>
      <c r="AZ104" s="13">
        <f t="shared" ca="1" si="154"/>
        <v>1400</v>
      </c>
      <c r="BA104" s="13">
        <f t="shared" ca="1" si="155"/>
        <v>0</v>
      </c>
      <c r="BB104" s="13">
        <f t="shared" ca="1" si="156"/>
        <v>0</v>
      </c>
      <c r="BC104" s="13">
        <f t="shared" ca="1" si="157"/>
        <v>0</v>
      </c>
      <c r="BD104" s="13">
        <f t="shared" ca="1" si="158"/>
        <v>0</v>
      </c>
      <c r="BE104" s="13">
        <f t="shared" ca="1" si="159"/>
        <v>1400</v>
      </c>
      <c r="BF104" s="13">
        <f t="shared" ca="1" si="160"/>
        <v>0</v>
      </c>
      <c r="BG104" s="13">
        <f t="shared" ca="1" si="161"/>
        <v>0</v>
      </c>
      <c r="BH104" s="13">
        <f t="shared" ca="1" si="162"/>
        <v>0</v>
      </c>
      <c r="BI104" s="13">
        <f t="shared" ca="1" si="163"/>
        <v>0</v>
      </c>
      <c r="BJ104" s="13">
        <f t="shared" ca="1" si="164"/>
        <v>1400</v>
      </c>
      <c r="BK104" s="13">
        <f t="shared" ca="1" si="165"/>
        <v>0</v>
      </c>
      <c r="BL104" s="13">
        <f t="shared" ca="1" si="166"/>
        <v>0</v>
      </c>
      <c r="BM104" s="13">
        <f t="shared" ca="1" si="167"/>
        <v>0</v>
      </c>
      <c r="BN104" s="13">
        <f t="shared" ca="1" si="168"/>
        <v>0</v>
      </c>
      <c r="BO104" s="13">
        <f t="shared" ca="1" si="169"/>
        <v>0</v>
      </c>
      <c r="BP104" s="13">
        <f t="shared" ca="1" si="170"/>
        <v>0</v>
      </c>
      <c r="BQ104" s="13">
        <f t="shared" ca="1" si="171"/>
        <v>0</v>
      </c>
    </row>
    <row r="105" spans="1:69" x14ac:dyDescent="0.25">
      <c r="A105" s="1">
        <v>104</v>
      </c>
      <c r="B105" s="13">
        <f ca="1">IF(A105=1,IF(OR('My Loans'!$O$14="",'My Loans'!$O$14=0),0,INDIRECT("'My Loans'!$D"&amp;'My Loans'!$O$14)),AE104)</f>
        <v>0</v>
      </c>
      <c r="C105" s="13">
        <f ca="1">IF(OR('My Loans'!$O$14="",'My Loans'!$O$14=0),0,B105*INDIRECT("'My Loans'!$E"&amp;'My Loans'!$O$14)/12)</f>
        <v>0</v>
      </c>
      <c r="D105" s="13">
        <f ca="1">IF(OR('My Loans'!$O$14="",'My Loans'!$O$14=0),0,IF(B105&lt;0.005,0,MIN(INDIRECT("'My Loans'!$F"&amp;'My Loans'!$O$14),B105+C105)))</f>
        <v>0</v>
      </c>
      <c r="E105" s="13">
        <f ca="1">IF(A105=1,IF(OR('My Loans'!$O$15="",'My Loans'!$O$15=0),0,INDIRECT("'My Loans'!$D"&amp;'My Loans'!$O$15)),AJ104)</f>
        <v>0</v>
      </c>
      <c r="F105" s="13">
        <f ca="1">IF(OR('My Loans'!$O$15="",'My Loans'!$O$15=0),0,E105*INDIRECT("'My Loans'!$E"&amp;'My Loans'!$O$15)/12)</f>
        <v>0</v>
      </c>
      <c r="G105" s="13">
        <f ca="1">IF(OR('My Loans'!$O$15="",'My Loans'!$O$15=0),0,IF(E105&lt;0.005,0,MIN(INDIRECT("'My Loans'!$F"&amp;'My Loans'!$O$15),E105+F105)))</f>
        <v>0</v>
      </c>
      <c r="H105" s="13">
        <f ca="1">IF(A105=1,IF(OR('My Loans'!$O$16="",'My Loans'!$O$16=0),0,INDIRECT("'My Loans'!$D"&amp;'My Loans'!$O$16)),AO104)</f>
        <v>0</v>
      </c>
      <c r="I105" s="13">
        <f ca="1">IF(OR('My Loans'!$O$16="",'My Loans'!$O$16=0),0,H105*INDIRECT("'My Loans'!$E"&amp;'My Loans'!$O$16)/12)</f>
        <v>0</v>
      </c>
      <c r="J105" s="13">
        <f ca="1">IF(OR('My Loans'!$O$16="",'My Loans'!$O$16=0),0,IF(H105&lt;0.005,0,MIN(INDIRECT("'My Loans'!$F"&amp;'My Loans'!$O$16),H105+I105)))</f>
        <v>0</v>
      </c>
      <c r="K105" s="13">
        <f ca="1">IF(A105=1,IF(OR('My Loans'!$O$17="",'My Loans'!$O$17=0),0,INDIRECT("'My Loans'!$D"&amp;'My Loans'!$O$17)),AT104)</f>
        <v>0</v>
      </c>
      <c r="L105" s="13">
        <f ca="1">IF(OR('My Loans'!$O$17="",'My Loans'!$O$17=0),0,K105*INDIRECT("'My Loans'!$E"&amp;'My Loans'!$O$17)/12)</f>
        <v>0</v>
      </c>
      <c r="M105" s="13">
        <f ca="1">IF(OR('My Loans'!$O$17="",'My Loans'!$O$17=0),0,IF(K105&lt;0.005,0,MIN(INDIRECT("'My Loans'!$F"&amp;'My Loans'!$O$17),K105+L105)))</f>
        <v>0</v>
      </c>
      <c r="N105" s="13">
        <f ca="1">IF(A105=1,IF(OR('My Loans'!$O$18="",'My Loans'!$O$18=0),0,INDIRECT("'My Loans'!$D"&amp;'My Loans'!$O$18)),AY104)</f>
        <v>0</v>
      </c>
      <c r="O105" s="13">
        <f ca="1">IF(OR('My Loans'!$O$18="",'My Loans'!$O$18=0),0,N105*INDIRECT("'My Loans'!$E"&amp;'My Loans'!$O$18)/12)</f>
        <v>0</v>
      </c>
      <c r="P105" s="13">
        <f ca="1">IF(OR('My Loans'!$O$18="",'My Loans'!$O$18=0),0,IF(N105&lt;0.005,0,MIN(INDIRECT("'My Loans'!$F"&amp;'My Loans'!$O$18),N105+O105)))</f>
        <v>0</v>
      </c>
      <c r="Q105" s="13">
        <f ca="1">IF(A105=1,IF(OR('My Loans'!$O$19="",'My Loans'!$O$19=0),0,INDIRECT("'My Loans'!$D"&amp;'My Loans'!$O$19)),BD104)</f>
        <v>0</v>
      </c>
      <c r="R105" s="13">
        <f ca="1">IF(OR('My Loans'!$O$19="",'My Loans'!$O$19=0),0,Q105*INDIRECT("'My Loans'!$E"&amp;'My Loans'!$O$19)/12)</f>
        <v>0</v>
      </c>
      <c r="S105" s="13">
        <f ca="1">IF(OR('My Loans'!$O$19="",'My Loans'!$O$19=0),0,IF(Q105&lt;0.005,0,MIN(INDIRECT("'My Loans'!$F"&amp;'My Loans'!$O$19),Q105+R105)))</f>
        <v>0</v>
      </c>
      <c r="T105" s="13">
        <f ca="1">IF(A105=1,IF(OR('My Loans'!$O$20="",'My Loans'!$O$20=0),0,INDIRECT("'My Loans'!$D"&amp;'My Loans'!$O$20)),BI104)</f>
        <v>0</v>
      </c>
      <c r="U105" s="13">
        <f ca="1">IF(OR('My Loans'!$O$20="",'My Loans'!$O$20=0),0,T105*INDIRECT("'My Loans'!$E"&amp;'My Loans'!$O$20)/12)</f>
        <v>0</v>
      </c>
      <c r="V105" s="13">
        <f ca="1">IF(OR('My Loans'!$O$20="",'My Loans'!$O$20=0),0,IF(T105&lt;0.005,0,MIN(INDIRECT("'My Loans'!$F"&amp;'My Loans'!$O$20),T105+U105)))</f>
        <v>0</v>
      </c>
      <c r="W105" s="13">
        <f ca="1">IF(A105=1,IF(OR('My Loans'!$O$21="",'My Loans'!$O$21=0),0,INDIRECT("'My Loans'!$D"&amp;'My Loans'!$O$21)),BN104)</f>
        <v>0</v>
      </c>
      <c r="X105" s="13">
        <f ca="1">IF(OR('My Loans'!$O$21="",'My Loans'!$O$21=0),0,W105*INDIRECT("'My Loans'!$E"&amp;'My Loans'!$O$21)/12)</f>
        <v>0</v>
      </c>
      <c r="Y105" s="13">
        <f ca="1">IF(OR('My Loans'!$O$21="",'My Loans'!$O$21=0),0,IF(W105&lt;0.005,0,MIN(INDIRECT("'My Loans'!$F"&amp;'My Loans'!$O$21),W105+X105)))</f>
        <v>0</v>
      </c>
      <c r="Z105" s="13">
        <f ca="1">'My Loans'!$B$13-(D105+G105+J105+M105+P105+S105+V105+Y105)</f>
        <v>1400</v>
      </c>
      <c r="AA105" s="13">
        <f t="shared" ca="1" si="129"/>
        <v>1400</v>
      </c>
      <c r="AB105" s="13">
        <f t="shared" ca="1" si="130"/>
        <v>0</v>
      </c>
      <c r="AC105" s="13">
        <f t="shared" ca="1" si="131"/>
        <v>0</v>
      </c>
      <c r="AD105" s="13">
        <f t="shared" ca="1" si="132"/>
        <v>0</v>
      </c>
      <c r="AE105" s="13">
        <f t="shared" ca="1" si="133"/>
        <v>0</v>
      </c>
      <c r="AF105" s="13">
        <f t="shared" ca="1" si="134"/>
        <v>1400</v>
      </c>
      <c r="AG105" s="13">
        <f t="shared" ca="1" si="135"/>
        <v>0</v>
      </c>
      <c r="AH105" s="13">
        <f t="shared" ca="1" si="136"/>
        <v>0</v>
      </c>
      <c r="AI105" s="13">
        <f t="shared" ca="1" si="137"/>
        <v>0</v>
      </c>
      <c r="AJ105" s="13">
        <f t="shared" ca="1" si="138"/>
        <v>0</v>
      </c>
      <c r="AK105" s="13">
        <f t="shared" ca="1" si="139"/>
        <v>1400</v>
      </c>
      <c r="AL105" s="13">
        <f t="shared" ca="1" si="140"/>
        <v>0</v>
      </c>
      <c r="AM105" s="13">
        <f t="shared" ca="1" si="141"/>
        <v>0</v>
      </c>
      <c r="AN105" s="13">
        <f t="shared" ca="1" si="142"/>
        <v>0</v>
      </c>
      <c r="AO105" s="13">
        <f t="shared" ca="1" si="143"/>
        <v>0</v>
      </c>
      <c r="AP105" s="13">
        <f t="shared" ca="1" si="144"/>
        <v>1400</v>
      </c>
      <c r="AQ105" s="13">
        <f t="shared" ca="1" si="145"/>
        <v>0</v>
      </c>
      <c r="AR105" s="13">
        <f t="shared" ca="1" si="146"/>
        <v>0</v>
      </c>
      <c r="AS105" s="13">
        <f t="shared" ca="1" si="147"/>
        <v>0</v>
      </c>
      <c r="AT105" s="13">
        <f t="shared" ca="1" si="148"/>
        <v>0</v>
      </c>
      <c r="AU105" s="13">
        <f t="shared" ca="1" si="149"/>
        <v>1400</v>
      </c>
      <c r="AV105" s="13">
        <f t="shared" ca="1" si="150"/>
        <v>0</v>
      </c>
      <c r="AW105" s="13">
        <f t="shared" ca="1" si="151"/>
        <v>0</v>
      </c>
      <c r="AX105" s="13">
        <f t="shared" ca="1" si="152"/>
        <v>0</v>
      </c>
      <c r="AY105" s="13">
        <f t="shared" ca="1" si="153"/>
        <v>0</v>
      </c>
      <c r="AZ105" s="13">
        <f t="shared" ca="1" si="154"/>
        <v>1400</v>
      </c>
      <c r="BA105" s="13">
        <f t="shared" ca="1" si="155"/>
        <v>0</v>
      </c>
      <c r="BB105" s="13">
        <f t="shared" ca="1" si="156"/>
        <v>0</v>
      </c>
      <c r="BC105" s="13">
        <f t="shared" ca="1" si="157"/>
        <v>0</v>
      </c>
      <c r="BD105" s="13">
        <f t="shared" ca="1" si="158"/>
        <v>0</v>
      </c>
      <c r="BE105" s="13">
        <f t="shared" ca="1" si="159"/>
        <v>1400</v>
      </c>
      <c r="BF105" s="13">
        <f t="shared" ca="1" si="160"/>
        <v>0</v>
      </c>
      <c r="BG105" s="13">
        <f t="shared" ca="1" si="161"/>
        <v>0</v>
      </c>
      <c r="BH105" s="13">
        <f t="shared" ca="1" si="162"/>
        <v>0</v>
      </c>
      <c r="BI105" s="13">
        <f t="shared" ca="1" si="163"/>
        <v>0</v>
      </c>
      <c r="BJ105" s="13">
        <f t="shared" ca="1" si="164"/>
        <v>1400</v>
      </c>
      <c r="BK105" s="13">
        <f t="shared" ca="1" si="165"/>
        <v>0</v>
      </c>
      <c r="BL105" s="13">
        <f t="shared" ca="1" si="166"/>
        <v>0</v>
      </c>
      <c r="BM105" s="13">
        <f t="shared" ca="1" si="167"/>
        <v>0</v>
      </c>
      <c r="BN105" s="13">
        <f t="shared" ca="1" si="168"/>
        <v>0</v>
      </c>
      <c r="BO105" s="13">
        <f t="shared" ca="1" si="169"/>
        <v>0</v>
      </c>
      <c r="BP105" s="13">
        <f t="shared" ca="1" si="170"/>
        <v>0</v>
      </c>
      <c r="BQ105" s="13">
        <f t="shared" ca="1" si="171"/>
        <v>0</v>
      </c>
    </row>
    <row r="106" spans="1:69" x14ac:dyDescent="0.25">
      <c r="A106" s="1">
        <v>105</v>
      </c>
      <c r="B106" s="13">
        <f ca="1">IF(A106=1,IF(OR('My Loans'!$O$14="",'My Loans'!$O$14=0),0,INDIRECT("'My Loans'!$D"&amp;'My Loans'!$O$14)),AE105)</f>
        <v>0</v>
      </c>
      <c r="C106" s="13">
        <f ca="1">IF(OR('My Loans'!$O$14="",'My Loans'!$O$14=0),0,B106*INDIRECT("'My Loans'!$E"&amp;'My Loans'!$O$14)/12)</f>
        <v>0</v>
      </c>
      <c r="D106" s="13">
        <f ca="1">IF(OR('My Loans'!$O$14="",'My Loans'!$O$14=0),0,IF(B106&lt;0.005,0,MIN(INDIRECT("'My Loans'!$F"&amp;'My Loans'!$O$14),B106+C106)))</f>
        <v>0</v>
      </c>
      <c r="E106" s="13">
        <f ca="1">IF(A106=1,IF(OR('My Loans'!$O$15="",'My Loans'!$O$15=0),0,INDIRECT("'My Loans'!$D"&amp;'My Loans'!$O$15)),AJ105)</f>
        <v>0</v>
      </c>
      <c r="F106" s="13">
        <f ca="1">IF(OR('My Loans'!$O$15="",'My Loans'!$O$15=0),0,E106*INDIRECT("'My Loans'!$E"&amp;'My Loans'!$O$15)/12)</f>
        <v>0</v>
      </c>
      <c r="G106" s="13">
        <f ca="1">IF(OR('My Loans'!$O$15="",'My Loans'!$O$15=0),0,IF(E106&lt;0.005,0,MIN(INDIRECT("'My Loans'!$F"&amp;'My Loans'!$O$15),E106+F106)))</f>
        <v>0</v>
      </c>
      <c r="H106" s="13">
        <f ca="1">IF(A106=1,IF(OR('My Loans'!$O$16="",'My Loans'!$O$16=0),0,INDIRECT("'My Loans'!$D"&amp;'My Loans'!$O$16)),AO105)</f>
        <v>0</v>
      </c>
      <c r="I106" s="13">
        <f ca="1">IF(OR('My Loans'!$O$16="",'My Loans'!$O$16=0),0,H106*INDIRECT("'My Loans'!$E"&amp;'My Loans'!$O$16)/12)</f>
        <v>0</v>
      </c>
      <c r="J106" s="13">
        <f ca="1">IF(OR('My Loans'!$O$16="",'My Loans'!$O$16=0),0,IF(H106&lt;0.005,0,MIN(INDIRECT("'My Loans'!$F"&amp;'My Loans'!$O$16),H106+I106)))</f>
        <v>0</v>
      </c>
      <c r="K106" s="13">
        <f ca="1">IF(A106=1,IF(OR('My Loans'!$O$17="",'My Loans'!$O$17=0),0,INDIRECT("'My Loans'!$D"&amp;'My Loans'!$O$17)),AT105)</f>
        <v>0</v>
      </c>
      <c r="L106" s="13">
        <f ca="1">IF(OR('My Loans'!$O$17="",'My Loans'!$O$17=0),0,K106*INDIRECT("'My Loans'!$E"&amp;'My Loans'!$O$17)/12)</f>
        <v>0</v>
      </c>
      <c r="M106" s="13">
        <f ca="1">IF(OR('My Loans'!$O$17="",'My Loans'!$O$17=0),0,IF(K106&lt;0.005,0,MIN(INDIRECT("'My Loans'!$F"&amp;'My Loans'!$O$17),K106+L106)))</f>
        <v>0</v>
      </c>
      <c r="N106" s="13">
        <f ca="1">IF(A106=1,IF(OR('My Loans'!$O$18="",'My Loans'!$O$18=0),0,INDIRECT("'My Loans'!$D"&amp;'My Loans'!$O$18)),AY105)</f>
        <v>0</v>
      </c>
      <c r="O106" s="13">
        <f ca="1">IF(OR('My Loans'!$O$18="",'My Loans'!$O$18=0),0,N106*INDIRECT("'My Loans'!$E"&amp;'My Loans'!$O$18)/12)</f>
        <v>0</v>
      </c>
      <c r="P106" s="13">
        <f ca="1">IF(OR('My Loans'!$O$18="",'My Loans'!$O$18=0),0,IF(N106&lt;0.005,0,MIN(INDIRECT("'My Loans'!$F"&amp;'My Loans'!$O$18),N106+O106)))</f>
        <v>0</v>
      </c>
      <c r="Q106" s="13">
        <f ca="1">IF(A106=1,IF(OR('My Loans'!$O$19="",'My Loans'!$O$19=0),0,INDIRECT("'My Loans'!$D"&amp;'My Loans'!$O$19)),BD105)</f>
        <v>0</v>
      </c>
      <c r="R106" s="13">
        <f ca="1">IF(OR('My Loans'!$O$19="",'My Loans'!$O$19=0),0,Q106*INDIRECT("'My Loans'!$E"&amp;'My Loans'!$O$19)/12)</f>
        <v>0</v>
      </c>
      <c r="S106" s="13">
        <f ca="1">IF(OR('My Loans'!$O$19="",'My Loans'!$O$19=0),0,IF(Q106&lt;0.005,0,MIN(INDIRECT("'My Loans'!$F"&amp;'My Loans'!$O$19),Q106+R106)))</f>
        <v>0</v>
      </c>
      <c r="T106" s="13">
        <f ca="1">IF(A106=1,IF(OR('My Loans'!$O$20="",'My Loans'!$O$20=0),0,INDIRECT("'My Loans'!$D"&amp;'My Loans'!$O$20)),BI105)</f>
        <v>0</v>
      </c>
      <c r="U106" s="13">
        <f ca="1">IF(OR('My Loans'!$O$20="",'My Loans'!$O$20=0),0,T106*INDIRECT("'My Loans'!$E"&amp;'My Loans'!$O$20)/12)</f>
        <v>0</v>
      </c>
      <c r="V106" s="13">
        <f ca="1">IF(OR('My Loans'!$O$20="",'My Loans'!$O$20=0),0,IF(T106&lt;0.005,0,MIN(INDIRECT("'My Loans'!$F"&amp;'My Loans'!$O$20),T106+U106)))</f>
        <v>0</v>
      </c>
      <c r="W106" s="13">
        <f ca="1">IF(A106=1,IF(OR('My Loans'!$O$21="",'My Loans'!$O$21=0),0,INDIRECT("'My Loans'!$D"&amp;'My Loans'!$O$21)),BN105)</f>
        <v>0</v>
      </c>
      <c r="X106" s="13">
        <f ca="1">IF(OR('My Loans'!$O$21="",'My Loans'!$O$21=0),0,W106*INDIRECT("'My Loans'!$E"&amp;'My Loans'!$O$21)/12)</f>
        <v>0</v>
      </c>
      <c r="Y106" s="13">
        <f ca="1">IF(OR('My Loans'!$O$21="",'My Loans'!$O$21=0),0,IF(W106&lt;0.005,0,MIN(INDIRECT("'My Loans'!$F"&amp;'My Loans'!$O$21),W106+X106)))</f>
        <v>0</v>
      </c>
      <c r="Z106" s="13">
        <f ca="1">'My Loans'!$B$13-(D106+G106+J106+M106+P106+S106+V106+Y106)</f>
        <v>1400</v>
      </c>
      <c r="AA106" s="13">
        <f t="shared" ca="1" si="129"/>
        <v>1400</v>
      </c>
      <c r="AB106" s="13">
        <f t="shared" ca="1" si="130"/>
        <v>0</v>
      </c>
      <c r="AC106" s="13">
        <f t="shared" ca="1" si="131"/>
        <v>0</v>
      </c>
      <c r="AD106" s="13">
        <f t="shared" ca="1" si="132"/>
        <v>0</v>
      </c>
      <c r="AE106" s="13">
        <f t="shared" ca="1" si="133"/>
        <v>0</v>
      </c>
      <c r="AF106" s="13">
        <f t="shared" ca="1" si="134"/>
        <v>1400</v>
      </c>
      <c r="AG106" s="13">
        <f t="shared" ca="1" si="135"/>
        <v>0</v>
      </c>
      <c r="AH106" s="13">
        <f t="shared" ca="1" si="136"/>
        <v>0</v>
      </c>
      <c r="AI106" s="13">
        <f t="shared" ca="1" si="137"/>
        <v>0</v>
      </c>
      <c r="AJ106" s="13">
        <f t="shared" ca="1" si="138"/>
        <v>0</v>
      </c>
      <c r="AK106" s="13">
        <f t="shared" ca="1" si="139"/>
        <v>1400</v>
      </c>
      <c r="AL106" s="13">
        <f t="shared" ca="1" si="140"/>
        <v>0</v>
      </c>
      <c r="AM106" s="13">
        <f t="shared" ca="1" si="141"/>
        <v>0</v>
      </c>
      <c r="AN106" s="13">
        <f t="shared" ca="1" si="142"/>
        <v>0</v>
      </c>
      <c r="AO106" s="13">
        <f t="shared" ca="1" si="143"/>
        <v>0</v>
      </c>
      <c r="AP106" s="13">
        <f t="shared" ca="1" si="144"/>
        <v>1400</v>
      </c>
      <c r="AQ106" s="13">
        <f t="shared" ca="1" si="145"/>
        <v>0</v>
      </c>
      <c r="AR106" s="13">
        <f t="shared" ca="1" si="146"/>
        <v>0</v>
      </c>
      <c r="AS106" s="13">
        <f t="shared" ca="1" si="147"/>
        <v>0</v>
      </c>
      <c r="AT106" s="13">
        <f t="shared" ca="1" si="148"/>
        <v>0</v>
      </c>
      <c r="AU106" s="13">
        <f t="shared" ca="1" si="149"/>
        <v>1400</v>
      </c>
      <c r="AV106" s="13">
        <f t="shared" ca="1" si="150"/>
        <v>0</v>
      </c>
      <c r="AW106" s="13">
        <f t="shared" ca="1" si="151"/>
        <v>0</v>
      </c>
      <c r="AX106" s="13">
        <f t="shared" ca="1" si="152"/>
        <v>0</v>
      </c>
      <c r="AY106" s="13">
        <f t="shared" ca="1" si="153"/>
        <v>0</v>
      </c>
      <c r="AZ106" s="13">
        <f t="shared" ca="1" si="154"/>
        <v>1400</v>
      </c>
      <c r="BA106" s="13">
        <f t="shared" ca="1" si="155"/>
        <v>0</v>
      </c>
      <c r="BB106" s="13">
        <f t="shared" ca="1" si="156"/>
        <v>0</v>
      </c>
      <c r="BC106" s="13">
        <f t="shared" ca="1" si="157"/>
        <v>0</v>
      </c>
      <c r="BD106" s="13">
        <f t="shared" ca="1" si="158"/>
        <v>0</v>
      </c>
      <c r="BE106" s="13">
        <f t="shared" ca="1" si="159"/>
        <v>1400</v>
      </c>
      <c r="BF106" s="13">
        <f t="shared" ca="1" si="160"/>
        <v>0</v>
      </c>
      <c r="BG106" s="13">
        <f t="shared" ca="1" si="161"/>
        <v>0</v>
      </c>
      <c r="BH106" s="13">
        <f t="shared" ca="1" si="162"/>
        <v>0</v>
      </c>
      <c r="BI106" s="13">
        <f t="shared" ca="1" si="163"/>
        <v>0</v>
      </c>
      <c r="BJ106" s="13">
        <f t="shared" ca="1" si="164"/>
        <v>1400</v>
      </c>
      <c r="BK106" s="13">
        <f t="shared" ca="1" si="165"/>
        <v>0</v>
      </c>
      <c r="BL106" s="13">
        <f t="shared" ca="1" si="166"/>
        <v>0</v>
      </c>
      <c r="BM106" s="13">
        <f t="shared" ca="1" si="167"/>
        <v>0</v>
      </c>
      <c r="BN106" s="13">
        <f t="shared" ca="1" si="168"/>
        <v>0</v>
      </c>
      <c r="BO106" s="13">
        <f t="shared" ca="1" si="169"/>
        <v>0</v>
      </c>
      <c r="BP106" s="13">
        <f t="shared" ca="1" si="170"/>
        <v>0</v>
      </c>
      <c r="BQ106" s="13">
        <f t="shared" ca="1" si="171"/>
        <v>0</v>
      </c>
    </row>
    <row r="107" spans="1:69" x14ac:dyDescent="0.25">
      <c r="A107" s="1">
        <v>106</v>
      </c>
      <c r="B107" s="13">
        <f ca="1">IF(A107=1,IF(OR('My Loans'!$O$14="",'My Loans'!$O$14=0),0,INDIRECT("'My Loans'!$D"&amp;'My Loans'!$O$14)),AE106)</f>
        <v>0</v>
      </c>
      <c r="C107" s="13">
        <f ca="1">IF(OR('My Loans'!$O$14="",'My Loans'!$O$14=0),0,B107*INDIRECT("'My Loans'!$E"&amp;'My Loans'!$O$14)/12)</f>
        <v>0</v>
      </c>
      <c r="D107" s="13">
        <f ca="1">IF(OR('My Loans'!$O$14="",'My Loans'!$O$14=0),0,IF(B107&lt;0.005,0,MIN(INDIRECT("'My Loans'!$F"&amp;'My Loans'!$O$14),B107+C107)))</f>
        <v>0</v>
      </c>
      <c r="E107" s="13">
        <f ca="1">IF(A107=1,IF(OR('My Loans'!$O$15="",'My Loans'!$O$15=0),0,INDIRECT("'My Loans'!$D"&amp;'My Loans'!$O$15)),AJ106)</f>
        <v>0</v>
      </c>
      <c r="F107" s="13">
        <f ca="1">IF(OR('My Loans'!$O$15="",'My Loans'!$O$15=0),0,E107*INDIRECT("'My Loans'!$E"&amp;'My Loans'!$O$15)/12)</f>
        <v>0</v>
      </c>
      <c r="G107" s="13">
        <f ca="1">IF(OR('My Loans'!$O$15="",'My Loans'!$O$15=0),0,IF(E107&lt;0.005,0,MIN(INDIRECT("'My Loans'!$F"&amp;'My Loans'!$O$15),E107+F107)))</f>
        <v>0</v>
      </c>
      <c r="H107" s="13">
        <f ca="1">IF(A107=1,IF(OR('My Loans'!$O$16="",'My Loans'!$O$16=0),0,INDIRECT("'My Loans'!$D"&amp;'My Loans'!$O$16)),AO106)</f>
        <v>0</v>
      </c>
      <c r="I107" s="13">
        <f ca="1">IF(OR('My Loans'!$O$16="",'My Loans'!$O$16=0),0,H107*INDIRECT("'My Loans'!$E"&amp;'My Loans'!$O$16)/12)</f>
        <v>0</v>
      </c>
      <c r="J107" s="13">
        <f ca="1">IF(OR('My Loans'!$O$16="",'My Loans'!$O$16=0),0,IF(H107&lt;0.005,0,MIN(INDIRECT("'My Loans'!$F"&amp;'My Loans'!$O$16),H107+I107)))</f>
        <v>0</v>
      </c>
      <c r="K107" s="13">
        <f ca="1">IF(A107=1,IF(OR('My Loans'!$O$17="",'My Loans'!$O$17=0),0,INDIRECT("'My Loans'!$D"&amp;'My Loans'!$O$17)),AT106)</f>
        <v>0</v>
      </c>
      <c r="L107" s="13">
        <f ca="1">IF(OR('My Loans'!$O$17="",'My Loans'!$O$17=0),0,K107*INDIRECT("'My Loans'!$E"&amp;'My Loans'!$O$17)/12)</f>
        <v>0</v>
      </c>
      <c r="M107" s="13">
        <f ca="1">IF(OR('My Loans'!$O$17="",'My Loans'!$O$17=0),0,IF(K107&lt;0.005,0,MIN(INDIRECT("'My Loans'!$F"&amp;'My Loans'!$O$17),K107+L107)))</f>
        <v>0</v>
      </c>
      <c r="N107" s="13">
        <f ca="1">IF(A107=1,IF(OR('My Loans'!$O$18="",'My Loans'!$O$18=0),0,INDIRECT("'My Loans'!$D"&amp;'My Loans'!$O$18)),AY106)</f>
        <v>0</v>
      </c>
      <c r="O107" s="13">
        <f ca="1">IF(OR('My Loans'!$O$18="",'My Loans'!$O$18=0),0,N107*INDIRECT("'My Loans'!$E"&amp;'My Loans'!$O$18)/12)</f>
        <v>0</v>
      </c>
      <c r="P107" s="13">
        <f ca="1">IF(OR('My Loans'!$O$18="",'My Loans'!$O$18=0),0,IF(N107&lt;0.005,0,MIN(INDIRECT("'My Loans'!$F"&amp;'My Loans'!$O$18),N107+O107)))</f>
        <v>0</v>
      </c>
      <c r="Q107" s="13">
        <f ca="1">IF(A107=1,IF(OR('My Loans'!$O$19="",'My Loans'!$O$19=0),0,INDIRECT("'My Loans'!$D"&amp;'My Loans'!$O$19)),BD106)</f>
        <v>0</v>
      </c>
      <c r="R107" s="13">
        <f ca="1">IF(OR('My Loans'!$O$19="",'My Loans'!$O$19=0),0,Q107*INDIRECT("'My Loans'!$E"&amp;'My Loans'!$O$19)/12)</f>
        <v>0</v>
      </c>
      <c r="S107" s="13">
        <f ca="1">IF(OR('My Loans'!$O$19="",'My Loans'!$O$19=0),0,IF(Q107&lt;0.005,0,MIN(INDIRECT("'My Loans'!$F"&amp;'My Loans'!$O$19),Q107+R107)))</f>
        <v>0</v>
      </c>
      <c r="T107" s="13">
        <f ca="1">IF(A107=1,IF(OR('My Loans'!$O$20="",'My Loans'!$O$20=0),0,INDIRECT("'My Loans'!$D"&amp;'My Loans'!$O$20)),BI106)</f>
        <v>0</v>
      </c>
      <c r="U107" s="13">
        <f ca="1">IF(OR('My Loans'!$O$20="",'My Loans'!$O$20=0),0,T107*INDIRECT("'My Loans'!$E"&amp;'My Loans'!$O$20)/12)</f>
        <v>0</v>
      </c>
      <c r="V107" s="13">
        <f ca="1">IF(OR('My Loans'!$O$20="",'My Loans'!$O$20=0),0,IF(T107&lt;0.005,0,MIN(INDIRECT("'My Loans'!$F"&amp;'My Loans'!$O$20),T107+U107)))</f>
        <v>0</v>
      </c>
      <c r="W107" s="13">
        <f ca="1">IF(A107=1,IF(OR('My Loans'!$O$21="",'My Loans'!$O$21=0),0,INDIRECT("'My Loans'!$D"&amp;'My Loans'!$O$21)),BN106)</f>
        <v>0</v>
      </c>
      <c r="X107" s="13">
        <f ca="1">IF(OR('My Loans'!$O$21="",'My Loans'!$O$21=0),0,W107*INDIRECT("'My Loans'!$E"&amp;'My Loans'!$O$21)/12)</f>
        <v>0</v>
      </c>
      <c r="Y107" s="13">
        <f ca="1">IF(OR('My Loans'!$O$21="",'My Loans'!$O$21=0),0,IF(W107&lt;0.005,0,MIN(INDIRECT("'My Loans'!$F"&amp;'My Loans'!$O$21),W107+X107)))</f>
        <v>0</v>
      </c>
      <c r="Z107" s="13">
        <f ca="1">'My Loans'!$B$13-(D107+G107+J107+M107+P107+S107+V107+Y107)</f>
        <v>1400</v>
      </c>
      <c r="AA107" s="13">
        <f t="shared" ca="1" si="129"/>
        <v>1400</v>
      </c>
      <c r="AB107" s="13">
        <f t="shared" ca="1" si="130"/>
        <v>0</v>
      </c>
      <c r="AC107" s="13">
        <f t="shared" ca="1" si="131"/>
        <v>0</v>
      </c>
      <c r="AD107" s="13">
        <f t="shared" ca="1" si="132"/>
        <v>0</v>
      </c>
      <c r="AE107" s="13">
        <f t="shared" ca="1" si="133"/>
        <v>0</v>
      </c>
      <c r="AF107" s="13">
        <f t="shared" ca="1" si="134"/>
        <v>1400</v>
      </c>
      <c r="AG107" s="13">
        <f t="shared" ca="1" si="135"/>
        <v>0</v>
      </c>
      <c r="AH107" s="13">
        <f t="shared" ca="1" si="136"/>
        <v>0</v>
      </c>
      <c r="AI107" s="13">
        <f t="shared" ca="1" si="137"/>
        <v>0</v>
      </c>
      <c r="AJ107" s="13">
        <f t="shared" ca="1" si="138"/>
        <v>0</v>
      </c>
      <c r="AK107" s="13">
        <f t="shared" ca="1" si="139"/>
        <v>1400</v>
      </c>
      <c r="AL107" s="13">
        <f t="shared" ca="1" si="140"/>
        <v>0</v>
      </c>
      <c r="AM107" s="13">
        <f t="shared" ca="1" si="141"/>
        <v>0</v>
      </c>
      <c r="AN107" s="13">
        <f t="shared" ca="1" si="142"/>
        <v>0</v>
      </c>
      <c r="AO107" s="13">
        <f t="shared" ca="1" si="143"/>
        <v>0</v>
      </c>
      <c r="AP107" s="13">
        <f t="shared" ca="1" si="144"/>
        <v>1400</v>
      </c>
      <c r="AQ107" s="13">
        <f t="shared" ca="1" si="145"/>
        <v>0</v>
      </c>
      <c r="AR107" s="13">
        <f t="shared" ca="1" si="146"/>
        <v>0</v>
      </c>
      <c r="AS107" s="13">
        <f t="shared" ca="1" si="147"/>
        <v>0</v>
      </c>
      <c r="AT107" s="13">
        <f t="shared" ca="1" si="148"/>
        <v>0</v>
      </c>
      <c r="AU107" s="13">
        <f t="shared" ca="1" si="149"/>
        <v>1400</v>
      </c>
      <c r="AV107" s="13">
        <f t="shared" ca="1" si="150"/>
        <v>0</v>
      </c>
      <c r="AW107" s="13">
        <f t="shared" ca="1" si="151"/>
        <v>0</v>
      </c>
      <c r="AX107" s="13">
        <f t="shared" ca="1" si="152"/>
        <v>0</v>
      </c>
      <c r="AY107" s="13">
        <f t="shared" ca="1" si="153"/>
        <v>0</v>
      </c>
      <c r="AZ107" s="13">
        <f t="shared" ca="1" si="154"/>
        <v>1400</v>
      </c>
      <c r="BA107" s="13">
        <f t="shared" ca="1" si="155"/>
        <v>0</v>
      </c>
      <c r="BB107" s="13">
        <f t="shared" ca="1" si="156"/>
        <v>0</v>
      </c>
      <c r="BC107" s="13">
        <f t="shared" ca="1" si="157"/>
        <v>0</v>
      </c>
      <c r="BD107" s="13">
        <f t="shared" ca="1" si="158"/>
        <v>0</v>
      </c>
      <c r="BE107" s="13">
        <f t="shared" ca="1" si="159"/>
        <v>1400</v>
      </c>
      <c r="BF107" s="13">
        <f t="shared" ca="1" si="160"/>
        <v>0</v>
      </c>
      <c r="BG107" s="13">
        <f t="shared" ca="1" si="161"/>
        <v>0</v>
      </c>
      <c r="BH107" s="13">
        <f t="shared" ca="1" si="162"/>
        <v>0</v>
      </c>
      <c r="BI107" s="13">
        <f t="shared" ca="1" si="163"/>
        <v>0</v>
      </c>
      <c r="BJ107" s="13">
        <f t="shared" ca="1" si="164"/>
        <v>1400</v>
      </c>
      <c r="BK107" s="13">
        <f t="shared" ca="1" si="165"/>
        <v>0</v>
      </c>
      <c r="BL107" s="13">
        <f t="shared" ca="1" si="166"/>
        <v>0</v>
      </c>
      <c r="BM107" s="13">
        <f t="shared" ca="1" si="167"/>
        <v>0</v>
      </c>
      <c r="BN107" s="13">
        <f t="shared" ca="1" si="168"/>
        <v>0</v>
      </c>
      <c r="BO107" s="13">
        <f t="shared" ca="1" si="169"/>
        <v>0</v>
      </c>
      <c r="BP107" s="13">
        <f t="shared" ca="1" si="170"/>
        <v>0</v>
      </c>
      <c r="BQ107" s="13">
        <f t="shared" ca="1" si="171"/>
        <v>0</v>
      </c>
    </row>
    <row r="108" spans="1:69" x14ac:dyDescent="0.25">
      <c r="A108" s="1">
        <v>107</v>
      </c>
      <c r="B108" s="13">
        <f ca="1">IF(A108=1,IF(OR('My Loans'!$O$14="",'My Loans'!$O$14=0),0,INDIRECT("'My Loans'!$D"&amp;'My Loans'!$O$14)),AE107)</f>
        <v>0</v>
      </c>
      <c r="C108" s="13">
        <f ca="1">IF(OR('My Loans'!$O$14="",'My Loans'!$O$14=0),0,B108*INDIRECT("'My Loans'!$E"&amp;'My Loans'!$O$14)/12)</f>
        <v>0</v>
      </c>
      <c r="D108" s="13">
        <f ca="1">IF(OR('My Loans'!$O$14="",'My Loans'!$O$14=0),0,IF(B108&lt;0.005,0,MIN(INDIRECT("'My Loans'!$F"&amp;'My Loans'!$O$14),B108+C108)))</f>
        <v>0</v>
      </c>
      <c r="E108" s="13">
        <f ca="1">IF(A108=1,IF(OR('My Loans'!$O$15="",'My Loans'!$O$15=0),0,INDIRECT("'My Loans'!$D"&amp;'My Loans'!$O$15)),AJ107)</f>
        <v>0</v>
      </c>
      <c r="F108" s="13">
        <f ca="1">IF(OR('My Loans'!$O$15="",'My Loans'!$O$15=0),0,E108*INDIRECT("'My Loans'!$E"&amp;'My Loans'!$O$15)/12)</f>
        <v>0</v>
      </c>
      <c r="G108" s="13">
        <f ca="1">IF(OR('My Loans'!$O$15="",'My Loans'!$O$15=0),0,IF(E108&lt;0.005,0,MIN(INDIRECT("'My Loans'!$F"&amp;'My Loans'!$O$15),E108+F108)))</f>
        <v>0</v>
      </c>
      <c r="H108" s="13">
        <f ca="1">IF(A108=1,IF(OR('My Loans'!$O$16="",'My Loans'!$O$16=0),0,INDIRECT("'My Loans'!$D"&amp;'My Loans'!$O$16)),AO107)</f>
        <v>0</v>
      </c>
      <c r="I108" s="13">
        <f ca="1">IF(OR('My Loans'!$O$16="",'My Loans'!$O$16=0),0,H108*INDIRECT("'My Loans'!$E"&amp;'My Loans'!$O$16)/12)</f>
        <v>0</v>
      </c>
      <c r="J108" s="13">
        <f ca="1">IF(OR('My Loans'!$O$16="",'My Loans'!$O$16=0),0,IF(H108&lt;0.005,0,MIN(INDIRECT("'My Loans'!$F"&amp;'My Loans'!$O$16),H108+I108)))</f>
        <v>0</v>
      </c>
      <c r="K108" s="13">
        <f ca="1">IF(A108=1,IF(OR('My Loans'!$O$17="",'My Loans'!$O$17=0),0,INDIRECT("'My Loans'!$D"&amp;'My Loans'!$O$17)),AT107)</f>
        <v>0</v>
      </c>
      <c r="L108" s="13">
        <f ca="1">IF(OR('My Loans'!$O$17="",'My Loans'!$O$17=0),0,K108*INDIRECT("'My Loans'!$E"&amp;'My Loans'!$O$17)/12)</f>
        <v>0</v>
      </c>
      <c r="M108" s="13">
        <f ca="1">IF(OR('My Loans'!$O$17="",'My Loans'!$O$17=0),0,IF(K108&lt;0.005,0,MIN(INDIRECT("'My Loans'!$F"&amp;'My Loans'!$O$17),K108+L108)))</f>
        <v>0</v>
      </c>
      <c r="N108" s="13">
        <f ca="1">IF(A108=1,IF(OR('My Loans'!$O$18="",'My Loans'!$O$18=0),0,INDIRECT("'My Loans'!$D"&amp;'My Loans'!$O$18)),AY107)</f>
        <v>0</v>
      </c>
      <c r="O108" s="13">
        <f ca="1">IF(OR('My Loans'!$O$18="",'My Loans'!$O$18=0),0,N108*INDIRECT("'My Loans'!$E"&amp;'My Loans'!$O$18)/12)</f>
        <v>0</v>
      </c>
      <c r="P108" s="13">
        <f ca="1">IF(OR('My Loans'!$O$18="",'My Loans'!$O$18=0),0,IF(N108&lt;0.005,0,MIN(INDIRECT("'My Loans'!$F"&amp;'My Loans'!$O$18),N108+O108)))</f>
        <v>0</v>
      </c>
      <c r="Q108" s="13">
        <f ca="1">IF(A108=1,IF(OR('My Loans'!$O$19="",'My Loans'!$O$19=0),0,INDIRECT("'My Loans'!$D"&amp;'My Loans'!$O$19)),BD107)</f>
        <v>0</v>
      </c>
      <c r="R108" s="13">
        <f ca="1">IF(OR('My Loans'!$O$19="",'My Loans'!$O$19=0),0,Q108*INDIRECT("'My Loans'!$E"&amp;'My Loans'!$O$19)/12)</f>
        <v>0</v>
      </c>
      <c r="S108" s="13">
        <f ca="1">IF(OR('My Loans'!$O$19="",'My Loans'!$O$19=0),0,IF(Q108&lt;0.005,0,MIN(INDIRECT("'My Loans'!$F"&amp;'My Loans'!$O$19),Q108+R108)))</f>
        <v>0</v>
      </c>
      <c r="T108" s="13">
        <f ca="1">IF(A108=1,IF(OR('My Loans'!$O$20="",'My Loans'!$O$20=0),0,INDIRECT("'My Loans'!$D"&amp;'My Loans'!$O$20)),BI107)</f>
        <v>0</v>
      </c>
      <c r="U108" s="13">
        <f ca="1">IF(OR('My Loans'!$O$20="",'My Loans'!$O$20=0),0,T108*INDIRECT("'My Loans'!$E"&amp;'My Loans'!$O$20)/12)</f>
        <v>0</v>
      </c>
      <c r="V108" s="13">
        <f ca="1">IF(OR('My Loans'!$O$20="",'My Loans'!$O$20=0),0,IF(T108&lt;0.005,0,MIN(INDIRECT("'My Loans'!$F"&amp;'My Loans'!$O$20),T108+U108)))</f>
        <v>0</v>
      </c>
      <c r="W108" s="13">
        <f ca="1">IF(A108=1,IF(OR('My Loans'!$O$21="",'My Loans'!$O$21=0),0,INDIRECT("'My Loans'!$D"&amp;'My Loans'!$O$21)),BN107)</f>
        <v>0</v>
      </c>
      <c r="X108" s="13">
        <f ca="1">IF(OR('My Loans'!$O$21="",'My Loans'!$O$21=0),0,W108*INDIRECT("'My Loans'!$E"&amp;'My Loans'!$O$21)/12)</f>
        <v>0</v>
      </c>
      <c r="Y108" s="13">
        <f ca="1">IF(OR('My Loans'!$O$21="",'My Loans'!$O$21=0),0,IF(W108&lt;0.005,0,MIN(INDIRECT("'My Loans'!$F"&amp;'My Loans'!$O$21),W108+X108)))</f>
        <v>0</v>
      </c>
      <c r="Z108" s="13">
        <f ca="1">'My Loans'!$B$13-(D108+G108+J108+M108+P108+S108+V108+Y108)</f>
        <v>1400</v>
      </c>
      <c r="AA108" s="13">
        <f t="shared" ca="1" si="129"/>
        <v>1400</v>
      </c>
      <c r="AB108" s="13">
        <f t="shared" ca="1" si="130"/>
        <v>0</v>
      </c>
      <c r="AC108" s="13">
        <f t="shared" ca="1" si="131"/>
        <v>0</v>
      </c>
      <c r="AD108" s="13">
        <f t="shared" ca="1" si="132"/>
        <v>0</v>
      </c>
      <c r="AE108" s="13">
        <f t="shared" ca="1" si="133"/>
        <v>0</v>
      </c>
      <c r="AF108" s="13">
        <f t="shared" ca="1" si="134"/>
        <v>1400</v>
      </c>
      <c r="AG108" s="13">
        <f t="shared" ca="1" si="135"/>
        <v>0</v>
      </c>
      <c r="AH108" s="13">
        <f t="shared" ca="1" si="136"/>
        <v>0</v>
      </c>
      <c r="AI108" s="13">
        <f t="shared" ca="1" si="137"/>
        <v>0</v>
      </c>
      <c r="AJ108" s="13">
        <f t="shared" ca="1" si="138"/>
        <v>0</v>
      </c>
      <c r="AK108" s="13">
        <f t="shared" ca="1" si="139"/>
        <v>1400</v>
      </c>
      <c r="AL108" s="13">
        <f t="shared" ca="1" si="140"/>
        <v>0</v>
      </c>
      <c r="AM108" s="13">
        <f t="shared" ca="1" si="141"/>
        <v>0</v>
      </c>
      <c r="AN108" s="13">
        <f t="shared" ca="1" si="142"/>
        <v>0</v>
      </c>
      <c r="AO108" s="13">
        <f t="shared" ca="1" si="143"/>
        <v>0</v>
      </c>
      <c r="AP108" s="13">
        <f t="shared" ca="1" si="144"/>
        <v>1400</v>
      </c>
      <c r="AQ108" s="13">
        <f t="shared" ca="1" si="145"/>
        <v>0</v>
      </c>
      <c r="AR108" s="13">
        <f t="shared" ca="1" si="146"/>
        <v>0</v>
      </c>
      <c r="AS108" s="13">
        <f t="shared" ca="1" si="147"/>
        <v>0</v>
      </c>
      <c r="AT108" s="13">
        <f t="shared" ca="1" si="148"/>
        <v>0</v>
      </c>
      <c r="AU108" s="13">
        <f t="shared" ca="1" si="149"/>
        <v>1400</v>
      </c>
      <c r="AV108" s="13">
        <f t="shared" ca="1" si="150"/>
        <v>0</v>
      </c>
      <c r="AW108" s="13">
        <f t="shared" ca="1" si="151"/>
        <v>0</v>
      </c>
      <c r="AX108" s="13">
        <f t="shared" ca="1" si="152"/>
        <v>0</v>
      </c>
      <c r="AY108" s="13">
        <f t="shared" ca="1" si="153"/>
        <v>0</v>
      </c>
      <c r="AZ108" s="13">
        <f t="shared" ca="1" si="154"/>
        <v>1400</v>
      </c>
      <c r="BA108" s="13">
        <f t="shared" ca="1" si="155"/>
        <v>0</v>
      </c>
      <c r="BB108" s="13">
        <f t="shared" ca="1" si="156"/>
        <v>0</v>
      </c>
      <c r="BC108" s="13">
        <f t="shared" ca="1" si="157"/>
        <v>0</v>
      </c>
      <c r="BD108" s="13">
        <f t="shared" ca="1" si="158"/>
        <v>0</v>
      </c>
      <c r="BE108" s="13">
        <f t="shared" ca="1" si="159"/>
        <v>1400</v>
      </c>
      <c r="BF108" s="13">
        <f t="shared" ca="1" si="160"/>
        <v>0</v>
      </c>
      <c r="BG108" s="13">
        <f t="shared" ca="1" si="161"/>
        <v>0</v>
      </c>
      <c r="BH108" s="13">
        <f t="shared" ca="1" si="162"/>
        <v>0</v>
      </c>
      <c r="BI108" s="13">
        <f t="shared" ca="1" si="163"/>
        <v>0</v>
      </c>
      <c r="BJ108" s="13">
        <f t="shared" ca="1" si="164"/>
        <v>1400</v>
      </c>
      <c r="BK108" s="13">
        <f t="shared" ca="1" si="165"/>
        <v>0</v>
      </c>
      <c r="BL108" s="13">
        <f t="shared" ca="1" si="166"/>
        <v>0</v>
      </c>
      <c r="BM108" s="13">
        <f t="shared" ca="1" si="167"/>
        <v>0</v>
      </c>
      <c r="BN108" s="13">
        <f t="shared" ca="1" si="168"/>
        <v>0</v>
      </c>
      <c r="BO108" s="13">
        <f t="shared" ca="1" si="169"/>
        <v>0</v>
      </c>
      <c r="BP108" s="13">
        <f t="shared" ca="1" si="170"/>
        <v>0</v>
      </c>
      <c r="BQ108" s="13">
        <f t="shared" ca="1" si="171"/>
        <v>0</v>
      </c>
    </row>
    <row r="109" spans="1:69" x14ac:dyDescent="0.25">
      <c r="A109" s="1">
        <v>108</v>
      </c>
      <c r="B109" s="13">
        <f ca="1">IF(A109=1,IF(OR('My Loans'!$O$14="",'My Loans'!$O$14=0),0,INDIRECT("'My Loans'!$D"&amp;'My Loans'!$O$14)),AE108)</f>
        <v>0</v>
      </c>
      <c r="C109" s="13">
        <f ca="1">IF(OR('My Loans'!$O$14="",'My Loans'!$O$14=0),0,B109*INDIRECT("'My Loans'!$E"&amp;'My Loans'!$O$14)/12)</f>
        <v>0</v>
      </c>
      <c r="D109" s="13">
        <f ca="1">IF(OR('My Loans'!$O$14="",'My Loans'!$O$14=0),0,IF(B109&lt;0.005,0,MIN(INDIRECT("'My Loans'!$F"&amp;'My Loans'!$O$14),B109+C109)))</f>
        <v>0</v>
      </c>
      <c r="E109" s="13">
        <f ca="1">IF(A109=1,IF(OR('My Loans'!$O$15="",'My Loans'!$O$15=0),0,INDIRECT("'My Loans'!$D"&amp;'My Loans'!$O$15)),AJ108)</f>
        <v>0</v>
      </c>
      <c r="F109" s="13">
        <f ca="1">IF(OR('My Loans'!$O$15="",'My Loans'!$O$15=0),0,E109*INDIRECT("'My Loans'!$E"&amp;'My Loans'!$O$15)/12)</f>
        <v>0</v>
      </c>
      <c r="G109" s="13">
        <f ca="1">IF(OR('My Loans'!$O$15="",'My Loans'!$O$15=0),0,IF(E109&lt;0.005,0,MIN(INDIRECT("'My Loans'!$F"&amp;'My Loans'!$O$15),E109+F109)))</f>
        <v>0</v>
      </c>
      <c r="H109" s="13">
        <f ca="1">IF(A109=1,IF(OR('My Loans'!$O$16="",'My Loans'!$O$16=0),0,INDIRECT("'My Loans'!$D"&amp;'My Loans'!$O$16)),AO108)</f>
        <v>0</v>
      </c>
      <c r="I109" s="13">
        <f ca="1">IF(OR('My Loans'!$O$16="",'My Loans'!$O$16=0),0,H109*INDIRECT("'My Loans'!$E"&amp;'My Loans'!$O$16)/12)</f>
        <v>0</v>
      </c>
      <c r="J109" s="13">
        <f ca="1">IF(OR('My Loans'!$O$16="",'My Loans'!$O$16=0),0,IF(H109&lt;0.005,0,MIN(INDIRECT("'My Loans'!$F"&amp;'My Loans'!$O$16),H109+I109)))</f>
        <v>0</v>
      </c>
      <c r="K109" s="13">
        <f ca="1">IF(A109=1,IF(OR('My Loans'!$O$17="",'My Loans'!$O$17=0),0,INDIRECT("'My Loans'!$D"&amp;'My Loans'!$O$17)),AT108)</f>
        <v>0</v>
      </c>
      <c r="L109" s="13">
        <f ca="1">IF(OR('My Loans'!$O$17="",'My Loans'!$O$17=0),0,K109*INDIRECT("'My Loans'!$E"&amp;'My Loans'!$O$17)/12)</f>
        <v>0</v>
      </c>
      <c r="M109" s="13">
        <f ca="1">IF(OR('My Loans'!$O$17="",'My Loans'!$O$17=0),0,IF(K109&lt;0.005,0,MIN(INDIRECT("'My Loans'!$F"&amp;'My Loans'!$O$17),K109+L109)))</f>
        <v>0</v>
      </c>
      <c r="N109" s="13">
        <f ca="1">IF(A109=1,IF(OR('My Loans'!$O$18="",'My Loans'!$O$18=0),0,INDIRECT("'My Loans'!$D"&amp;'My Loans'!$O$18)),AY108)</f>
        <v>0</v>
      </c>
      <c r="O109" s="13">
        <f ca="1">IF(OR('My Loans'!$O$18="",'My Loans'!$O$18=0),0,N109*INDIRECT("'My Loans'!$E"&amp;'My Loans'!$O$18)/12)</f>
        <v>0</v>
      </c>
      <c r="P109" s="13">
        <f ca="1">IF(OR('My Loans'!$O$18="",'My Loans'!$O$18=0),0,IF(N109&lt;0.005,0,MIN(INDIRECT("'My Loans'!$F"&amp;'My Loans'!$O$18),N109+O109)))</f>
        <v>0</v>
      </c>
      <c r="Q109" s="13">
        <f ca="1">IF(A109=1,IF(OR('My Loans'!$O$19="",'My Loans'!$O$19=0),0,INDIRECT("'My Loans'!$D"&amp;'My Loans'!$O$19)),BD108)</f>
        <v>0</v>
      </c>
      <c r="R109" s="13">
        <f ca="1">IF(OR('My Loans'!$O$19="",'My Loans'!$O$19=0),0,Q109*INDIRECT("'My Loans'!$E"&amp;'My Loans'!$O$19)/12)</f>
        <v>0</v>
      </c>
      <c r="S109" s="13">
        <f ca="1">IF(OR('My Loans'!$O$19="",'My Loans'!$O$19=0),0,IF(Q109&lt;0.005,0,MIN(INDIRECT("'My Loans'!$F"&amp;'My Loans'!$O$19),Q109+R109)))</f>
        <v>0</v>
      </c>
      <c r="T109" s="13">
        <f ca="1">IF(A109=1,IF(OR('My Loans'!$O$20="",'My Loans'!$O$20=0),0,INDIRECT("'My Loans'!$D"&amp;'My Loans'!$O$20)),BI108)</f>
        <v>0</v>
      </c>
      <c r="U109" s="13">
        <f ca="1">IF(OR('My Loans'!$O$20="",'My Loans'!$O$20=0),0,T109*INDIRECT("'My Loans'!$E"&amp;'My Loans'!$O$20)/12)</f>
        <v>0</v>
      </c>
      <c r="V109" s="13">
        <f ca="1">IF(OR('My Loans'!$O$20="",'My Loans'!$O$20=0),0,IF(T109&lt;0.005,0,MIN(INDIRECT("'My Loans'!$F"&amp;'My Loans'!$O$20),T109+U109)))</f>
        <v>0</v>
      </c>
      <c r="W109" s="13">
        <f ca="1">IF(A109=1,IF(OR('My Loans'!$O$21="",'My Loans'!$O$21=0),0,INDIRECT("'My Loans'!$D"&amp;'My Loans'!$O$21)),BN108)</f>
        <v>0</v>
      </c>
      <c r="X109" s="13">
        <f ca="1">IF(OR('My Loans'!$O$21="",'My Loans'!$O$21=0),0,W109*INDIRECT("'My Loans'!$E"&amp;'My Loans'!$O$21)/12)</f>
        <v>0</v>
      </c>
      <c r="Y109" s="13">
        <f ca="1">IF(OR('My Loans'!$O$21="",'My Loans'!$O$21=0),0,IF(W109&lt;0.005,0,MIN(INDIRECT("'My Loans'!$F"&amp;'My Loans'!$O$21),W109+X109)))</f>
        <v>0</v>
      </c>
      <c r="Z109" s="13">
        <f ca="1">'My Loans'!$B$13-(D109+G109+J109+M109+P109+S109+V109+Y109)</f>
        <v>1400</v>
      </c>
      <c r="AA109" s="13">
        <f t="shared" ca="1" si="129"/>
        <v>1400</v>
      </c>
      <c r="AB109" s="13">
        <f t="shared" ca="1" si="130"/>
        <v>0</v>
      </c>
      <c r="AC109" s="13">
        <f t="shared" ca="1" si="131"/>
        <v>0</v>
      </c>
      <c r="AD109" s="13">
        <f t="shared" ca="1" si="132"/>
        <v>0</v>
      </c>
      <c r="AE109" s="13">
        <f t="shared" ca="1" si="133"/>
        <v>0</v>
      </c>
      <c r="AF109" s="13">
        <f t="shared" ca="1" si="134"/>
        <v>1400</v>
      </c>
      <c r="AG109" s="13">
        <f t="shared" ca="1" si="135"/>
        <v>0</v>
      </c>
      <c r="AH109" s="13">
        <f t="shared" ca="1" si="136"/>
        <v>0</v>
      </c>
      <c r="AI109" s="13">
        <f t="shared" ca="1" si="137"/>
        <v>0</v>
      </c>
      <c r="AJ109" s="13">
        <f t="shared" ca="1" si="138"/>
        <v>0</v>
      </c>
      <c r="AK109" s="13">
        <f t="shared" ca="1" si="139"/>
        <v>1400</v>
      </c>
      <c r="AL109" s="13">
        <f t="shared" ca="1" si="140"/>
        <v>0</v>
      </c>
      <c r="AM109" s="13">
        <f t="shared" ca="1" si="141"/>
        <v>0</v>
      </c>
      <c r="AN109" s="13">
        <f t="shared" ca="1" si="142"/>
        <v>0</v>
      </c>
      <c r="AO109" s="13">
        <f t="shared" ca="1" si="143"/>
        <v>0</v>
      </c>
      <c r="AP109" s="13">
        <f t="shared" ca="1" si="144"/>
        <v>1400</v>
      </c>
      <c r="AQ109" s="13">
        <f t="shared" ca="1" si="145"/>
        <v>0</v>
      </c>
      <c r="AR109" s="13">
        <f t="shared" ca="1" si="146"/>
        <v>0</v>
      </c>
      <c r="AS109" s="13">
        <f t="shared" ca="1" si="147"/>
        <v>0</v>
      </c>
      <c r="AT109" s="13">
        <f t="shared" ca="1" si="148"/>
        <v>0</v>
      </c>
      <c r="AU109" s="13">
        <f t="shared" ca="1" si="149"/>
        <v>1400</v>
      </c>
      <c r="AV109" s="13">
        <f t="shared" ca="1" si="150"/>
        <v>0</v>
      </c>
      <c r="AW109" s="13">
        <f t="shared" ca="1" si="151"/>
        <v>0</v>
      </c>
      <c r="AX109" s="13">
        <f t="shared" ca="1" si="152"/>
        <v>0</v>
      </c>
      <c r="AY109" s="13">
        <f t="shared" ca="1" si="153"/>
        <v>0</v>
      </c>
      <c r="AZ109" s="13">
        <f t="shared" ca="1" si="154"/>
        <v>1400</v>
      </c>
      <c r="BA109" s="13">
        <f t="shared" ca="1" si="155"/>
        <v>0</v>
      </c>
      <c r="BB109" s="13">
        <f t="shared" ca="1" si="156"/>
        <v>0</v>
      </c>
      <c r="BC109" s="13">
        <f t="shared" ca="1" si="157"/>
        <v>0</v>
      </c>
      <c r="BD109" s="13">
        <f t="shared" ca="1" si="158"/>
        <v>0</v>
      </c>
      <c r="BE109" s="13">
        <f t="shared" ca="1" si="159"/>
        <v>1400</v>
      </c>
      <c r="BF109" s="13">
        <f t="shared" ca="1" si="160"/>
        <v>0</v>
      </c>
      <c r="BG109" s="13">
        <f t="shared" ca="1" si="161"/>
        <v>0</v>
      </c>
      <c r="BH109" s="13">
        <f t="shared" ca="1" si="162"/>
        <v>0</v>
      </c>
      <c r="BI109" s="13">
        <f t="shared" ca="1" si="163"/>
        <v>0</v>
      </c>
      <c r="BJ109" s="13">
        <f t="shared" ca="1" si="164"/>
        <v>1400</v>
      </c>
      <c r="BK109" s="13">
        <f t="shared" ca="1" si="165"/>
        <v>0</v>
      </c>
      <c r="BL109" s="13">
        <f t="shared" ca="1" si="166"/>
        <v>0</v>
      </c>
      <c r="BM109" s="13">
        <f t="shared" ca="1" si="167"/>
        <v>0</v>
      </c>
      <c r="BN109" s="13">
        <f t="shared" ca="1" si="168"/>
        <v>0</v>
      </c>
      <c r="BO109" s="13">
        <f t="shared" ca="1" si="169"/>
        <v>0</v>
      </c>
      <c r="BP109" s="13">
        <f t="shared" ca="1" si="170"/>
        <v>0</v>
      </c>
      <c r="BQ109" s="13">
        <f t="shared" ca="1" si="171"/>
        <v>0</v>
      </c>
    </row>
    <row r="110" spans="1:69" x14ac:dyDescent="0.25">
      <c r="A110" s="1">
        <v>109</v>
      </c>
      <c r="B110" s="13">
        <f ca="1">IF(A110=1,IF(OR('My Loans'!$O$14="",'My Loans'!$O$14=0),0,INDIRECT("'My Loans'!$D"&amp;'My Loans'!$O$14)),AE109)</f>
        <v>0</v>
      </c>
      <c r="C110" s="13">
        <f ca="1">IF(OR('My Loans'!$O$14="",'My Loans'!$O$14=0),0,B110*INDIRECT("'My Loans'!$E"&amp;'My Loans'!$O$14)/12)</f>
        <v>0</v>
      </c>
      <c r="D110" s="13">
        <f ca="1">IF(OR('My Loans'!$O$14="",'My Loans'!$O$14=0),0,IF(B110&lt;0.005,0,MIN(INDIRECT("'My Loans'!$F"&amp;'My Loans'!$O$14),B110+C110)))</f>
        <v>0</v>
      </c>
      <c r="E110" s="13">
        <f ca="1">IF(A110=1,IF(OR('My Loans'!$O$15="",'My Loans'!$O$15=0),0,INDIRECT("'My Loans'!$D"&amp;'My Loans'!$O$15)),AJ109)</f>
        <v>0</v>
      </c>
      <c r="F110" s="13">
        <f ca="1">IF(OR('My Loans'!$O$15="",'My Loans'!$O$15=0),0,E110*INDIRECT("'My Loans'!$E"&amp;'My Loans'!$O$15)/12)</f>
        <v>0</v>
      </c>
      <c r="G110" s="13">
        <f ca="1">IF(OR('My Loans'!$O$15="",'My Loans'!$O$15=0),0,IF(E110&lt;0.005,0,MIN(INDIRECT("'My Loans'!$F"&amp;'My Loans'!$O$15),E110+F110)))</f>
        <v>0</v>
      </c>
      <c r="H110" s="13">
        <f ca="1">IF(A110=1,IF(OR('My Loans'!$O$16="",'My Loans'!$O$16=0),0,INDIRECT("'My Loans'!$D"&amp;'My Loans'!$O$16)),AO109)</f>
        <v>0</v>
      </c>
      <c r="I110" s="13">
        <f ca="1">IF(OR('My Loans'!$O$16="",'My Loans'!$O$16=0),0,H110*INDIRECT("'My Loans'!$E"&amp;'My Loans'!$O$16)/12)</f>
        <v>0</v>
      </c>
      <c r="J110" s="13">
        <f ca="1">IF(OR('My Loans'!$O$16="",'My Loans'!$O$16=0),0,IF(H110&lt;0.005,0,MIN(INDIRECT("'My Loans'!$F"&amp;'My Loans'!$O$16),H110+I110)))</f>
        <v>0</v>
      </c>
      <c r="K110" s="13">
        <f ca="1">IF(A110=1,IF(OR('My Loans'!$O$17="",'My Loans'!$O$17=0),0,INDIRECT("'My Loans'!$D"&amp;'My Loans'!$O$17)),AT109)</f>
        <v>0</v>
      </c>
      <c r="L110" s="13">
        <f ca="1">IF(OR('My Loans'!$O$17="",'My Loans'!$O$17=0),0,K110*INDIRECT("'My Loans'!$E"&amp;'My Loans'!$O$17)/12)</f>
        <v>0</v>
      </c>
      <c r="M110" s="13">
        <f ca="1">IF(OR('My Loans'!$O$17="",'My Loans'!$O$17=0),0,IF(K110&lt;0.005,0,MIN(INDIRECT("'My Loans'!$F"&amp;'My Loans'!$O$17),K110+L110)))</f>
        <v>0</v>
      </c>
      <c r="N110" s="13">
        <f ca="1">IF(A110=1,IF(OR('My Loans'!$O$18="",'My Loans'!$O$18=0),0,INDIRECT("'My Loans'!$D"&amp;'My Loans'!$O$18)),AY109)</f>
        <v>0</v>
      </c>
      <c r="O110" s="13">
        <f ca="1">IF(OR('My Loans'!$O$18="",'My Loans'!$O$18=0),0,N110*INDIRECT("'My Loans'!$E"&amp;'My Loans'!$O$18)/12)</f>
        <v>0</v>
      </c>
      <c r="P110" s="13">
        <f ca="1">IF(OR('My Loans'!$O$18="",'My Loans'!$O$18=0),0,IF(N110&lt;0.005,0,MIN(INDIRECT("'My Loans'!$F"&amp;'My Loans'!$O$18),N110+O110)))</f>
        <v>0</v>
      </c>
      <c r="Q110" s="13">
        <f ca="1">IF(A110=1,IF(OR('My Loans'!$O$19="",'My Loans'!$O$19=0),0,INDIRECT("'My Loans'!$D"&amp;'My Loans'!$O$19)),BD109)</f>
        <v>0</v>
      </c>
      <c r="R110" s="13">
        <f ca="1">IF(OR('My Loans'!$O$19="",'My Loans'!$O$19=0),0,Q110*INDIRECT("'My Loans'!$E"&amp;'My Loans'!$O$19)/12)</f>
        <v>0</v>
      </c>
      <c r="S110" s="13">
        <f ca="1">IF(OR('My Loans'!$O$19="",'My Loans'!$O$19=0),0,IF(Q110&lt;0.005,0,MIN(INDIRECT("'My Loans'!$F"&amp;'My Loans'!$O$19),Q110+R110)))</f>
        <v>0</v>
      </c>
      <c r="T110" s="13">
        <f ca="1">IF(A110=1,IF(OR('My Loans'!$O$20="",'My Loans'!$O$20=0),0,INDIRECT("'My Loans'!$D"&amp;'My Loans'!$O$20)),BI109)</f>
        <v>0</v>
      </c>
      <c r="U110" s="13">
        <f ca="1">IF(OR('My Loans'!$O$20="",'My Loans'!$O$20=0),0,T110*INDIRECT("'My Loans'!$E"&amp;'My Loans'!$O$20)/12)</f>
        <v>0</v>
      </c>
      <c r="V110" s="13">
        <f ca="1">IF(OR('My Loans'!$O$20="",'My Loans'!$O$20=0),0,IF(T110&lt;0.005,0,MIN(INDIRECT("'My Loans'!$F"&amp;'My Loans'!$O$20),T110+U110)))</f>
        <v>0</v>
      </c>
      <c r="W110" s="13">
        <f ca="1">IF(A110=1,IF(OR('My Loans'!$O$21="",'My Loans'!$O$21=0),0,INDIRECT("'My Loans'!$D"&amp;'My Loans'!$O$21)),BN109)</f>
        <v>0</v>
      </c>
      <c r="X110" s="13">
        <f ca="1">IF(OR('My Loans'!$O$21="",'My Loans'!$O$21=0),0,W110*INDIRECT("'My Loans'!$E"&amp;'My Loans'!$O$21)/12)</f>
        <v>0</v>
      </c>
      <c r="Y110" s="13">
        <f ca="1">IF(OR('My Loans'!$O$21="",'My Loans'!$O$21=0),0,IF(W110&lt;0.005,0,MIN(INDIRECT("'My Loans'!$F"&amp;'My Loans'!$O$21),W110+X110)))</f>
        <v>0</v>
      </c>
      <c r="Z110" s="13">
        <f ca="1">'My Loans'!$B$13-(D110+G110+J110+M110+P110+S110+V110+Y110)</f>
        <v>1400</v>
      </c>
      <c r="AA110" s="13">
        <f t="shared" ca="1" si="129"/>
        <v>1400</v>
      </c>
      <c r="AB110" s="13">
        <f t="shared" ca="1" si="130"/>
        <v>0</v>
      </c>
      <c r="AC110" s="13">
        <f t="shared" ca="1" si="131"/>
        <v>0</v>
      </c>
      <c r="AD110" s="13">
        <f t="shared" ca="1" si="132"/>
        <v>0</v>
      </c>
      <c r="AE110" s="13">
        <f t="shared" ca="1" si="133"/>
        <v>0</v>
      </c>
      <c r="AF110" s="13">
        <f t="shared" ca="1" si="134"/>
        <v>1400</v>
      </c>
      <c r="AG110" s="13">
        <f t="shared" ca="1" si="135"/>
        <v>0</v>
      </c>
      <c r="AH110" s="13">
        <f t="shared" ca="1" si="136"/>
        <v>0</v>
      </c>
      <c r="AI110" s="13">
        <f t="shared" ca="1" si="137"/>
        <v>0</v>
      </c>
      <c r="AJ110" s="13">
        <f t="shared" ca="1" si="138"/>
        <v>0</v>
      </c>
      <c r="AK110" s="13">
        <f t="shared" ca="1" si="139"/>
        <v>1400</v>
      </c>
      <c r="AL110" s="13">
        <f t="shared" ca="1" si="140"/>
        <v>0</v>
      </c>
      <c r="AM110" s="13">
        <f t="shared" ca="1" si="141"/>
        <v>0</v>
      </c>
      <c r="AN110" s="13">
        <f t="shared" ca="1" si="142"/>
        <v>0</v>
      </c>
      <c r="AO110" s="13">
        <f t="shared" ca="1" si="143"/>
        <v>0</v>
      </c>
      <c r="AP110" s="13">
        <f t="shared" ca="1" si="144"/>
        <v>1400</v>
      </c>
      <c r="AQ110" s="13">
        <f t="shared" ca="1" si="145"/>
        <v>0</v>
      </c>
      <c r="AR110" s="13">
        <f t="shared" ca="1" si="146"/>
        <v>0</v>
      </c>
      <c r="AS110" s="13">
        <f t="shared" ca="1" si="147"/>
        <v>0</v>
      </c>
      <c r="AT110" s="13">
        <f t="shared" ca="1" si="148"/>
        <v>0</v>
      </c>
      <c r="AU110" s="13">
        <f t="shared" ca="1" si="149"/>
        <v>1400</v>
      </c>
      <c r="AV110" s="13">
        <f t="shared" ca="1" si="150"/>
        <v>0</v>
      </c>
      <c r="AW110" s="13">
        <f t="shared" ca="1" si="151"/>
        <v>0</v>
      </c>
      <c r="AX110" s="13">
        <f t="shared" ca="1" si="152"/>
        <v>0</v>
      </c>
      <c r="AY110" s="13">
        <f t="shared" ca="1" si="153"/>
        <v>0</v>
      </c>
      <c r="AZ110" s="13">
        <f t="shared" ca="1" si="154"/>
        <v>1400</v>
      </c>
      <c r="BA110" s="13">
        <f t="shared" ca="1" si="155"/>
        <v>0</v>
      </c>
      <c r="BB110" s="13">
        <f t="shared" ca="1" si="156"/>
        <v>0</v>
      </c>
      <c r="BC110" s="13">
        <f t="shared" ca="1" si="157"/>
        <v>0</v>
      </c>
      <c r="BD110" s="13">
        <f t="shared" ca="1" si="158"/>
        <v>0</v>
      </c>
      <c r="BE110" s="13">
        <f t="shared" ca="1" si="159"/>
        <v>1400</v>
      </c>
      <c r="BF110" s="13">
        <f t="shared" ca="1" si="160"/>
        <v>0</v>
      </c>
      <c r="BG110" s="13">
        <f t="shared" ca="1" si="161"/>
        <v>0</v>
      </c>
      <c r="BH110" s="13">
        <f t="shared" ca="1" si="162"/>
        <v>0</v>
      </c>
      <c r="BI110" s="13">
        <f t="shared" ca="1" si="163"/>
        <v>0</v>
      </c>
      <c r="BJ110" s="13">
        <f t="shared" ca="1" si="164"/>
        <v>1400</v>
      </c>
      <c r="BK110" s="13">
        <f t="shared" ca="1" si="165"/>
        <v>0</v>
      </c>
      <c r="BL110" s="13">
        <f t="shared" ca="1" si="166"/>
        <v>0</v>
      </c>
      <c r="BM110" s="13">
        <f t="shared" ca="1" si="167"/>
        <v>0</v>
      </c>
      <c r="BN110" s="13">
        <f t="shared" ca="1" si="168"/>
        <v>0</v>
      </c>
      <c r="BO110" s="13">
        <f t="shared" ca="1" si="169"/>
        <v>0</v>
      </c>
      <c r="BP110" s="13">
        <f t="shared" ca="1" si="170"/>
        <v>0</v>
      </c>
      <c r="BQ110" s="13">
        <f t="shared" ca="1" si="171"/>
        <v>0</v>
      </c>
    </row>
    <row r="111" spans="1:69" x14ac:dyDescent="0.25">
      <c r="A111" s="1">
        <v>110</v>
      </c>
      <c r="B111" s="13">
        <f ca="1">IF(A111=1,IF(OR('My Loans'!$O$14="",'My Loans'!$O$14=0),0,INDIRECT("'My Loans'!$D"&amp;'My Loans'!$O$14)),AE110)</f>
        <v>0</v>
      </c>
      <c r="C111" s="13">
        <f ca="1">IF(OR('My Loans'!$O$14="",'My Loans'!$O$14=0),0,B111*INDIRECT("'My Loans'!$E"&amp;'My Loans'!$O$14)/12)</f>
        <v>0</v>
      </c>
      <c r="D111" s="13">
        <f ca="1">IF(OR('My Loans'!$O$14="",'My Loans'!$O$14=0),0,IF(B111&lt;0.005,0,MIN(INDIRECT("'My Loans'!$F"&amp;'My Loans'!$O$14),B111+C111)))</f>
        <v>0</v>
      </c>
      <c r="E111" s="13">
        <f ca="1">IF(A111=1,IF(OR('My Loans'!$O$15="",'My Loans'!$O$15=0),0,INDIRECT("'My Loans'!$D"&amp;'My Loans'!$O$15)),AJ110)</f>
        <v>0</v>
      </c>
      <c r="F111" s="13">
        <f ca="1">IF(OR('My Loans'!$O$15="",'My Loans'!$O$15=0),0,E111*INDIRECT("'My Loans'!$E"&amp;'My Loans'!$O$15)/12)</f>
        <v>0</v>
      </c>
      <c r="G111" s="13">
        <f ca="1">IF(OR('My Loans'!$O$15="",'My Loans'!$O$15=0),0,IF(E111&lt;0.005,0,MIN(INDIRECT("'My Loans'!$F"&amp;'My Loans'!$O$15),E111+F111)))</f>
        <v>0</v>
      </c>
      <c r="H111" s="13">
        <f ca="1">IF(A111=1,IF(OR('My Loans'!$O$16="",'My Loans'!$O$16=0),0,INDIRECT("'My Loans'!$D"&amp;'My Loans'!$O$16)),AO110)</f>
        <v>0</v>
      </c>
      <c r="I111" s="13">
        <f ca="1">IF(OR('My Loans'!$O$16="",'My Loans'!$O$16=0),0,H111*INDIRECT("'My Loans'!$E"&amp;'My Loans'!$O$16)/12)</f>
        <v>0</v>
      </c>
      <c r="J111" s="13">
        <f ca="1">IF(OR('My Loans'!$O$16="",'My Loans'!$O$16=0),0,IF(H111&lt;0.005,0,MIN(INDIRECT("'My Loans'!$F"&amp;'My Loans'!$O$16),H111+I111)))</f>
        <v>0</v>
      </c>
      <c r="K111" s="13">
        <f ca="1">IF(A111=1,IF(OR('My Loans'!$O$17="",'My Loans'!$O$17=0),0,INDIRECT("'My Loans'!$D"&amp;'My Loans'!$O$17)),AT110)</f>
        <v>0</v>
      </c>
      <c r="L111" s="13">
        <f ca="1">IF(OR('My Loans'!$O$17="",'My Loans'!$O$17=0),0,K111*INDIRECT("'My Loans'!$E"&amp;'My Loans'!$O$17)/12)</f>
        <v>0</v>
      </c>
      <c r="M111" s="13">
        <f ca="1">IF(OR('My Loans'!$O$17="",'My Loans'!$O$17=0),0,IF(K111&lt;0.005,0,MIN(INDIRECT("'My Loans'!$F"&amp;'My Loans'!$O$17),K111+L111)))</f>
        <v>0</v>
      </c>
      <c r="N111" s="13">
        <f ca="1">IF(A111=1,IF(OR('My Loans'!$O$18="",'My Loans'!$O$18=0),0,INDIRECT("'My Loans'!$D"&amp;'My Loans'!$O$18)),AY110)</f>
        <v>0</v>
      </c>
      <c r="O111" s="13">
        <f ca="1">IF(OR('My Loans'!$O$18="",'My Loans'!$O$18=0),0,N111*INDIRECT("'My Loans'!$E"&amp;'My Loans'!$O$18)/12)</f>
        <v>0</v>
      </c>
      <c r="P111" s="13">
        <f ca="1">IF(OR('My Loans'!$O$18="",'My Loans'!$O$18=0),0,IF(N111&lt;0.005,0,MIN(INDIRECT("'My Loans'!$F"&amp;'My Loans'!$O$18),N111+O111)))</f>
        <v>0</v>
      </c>
      <c r="Q111" s="13">
        <f ca="1">IF(A111=1,IF(OR('My Loans'!$O$19="",'My Loans'!$O$19=0),0,INDIRECT("'My Loans'!$D"&amp;'My Loans'!$O$19)),BD110)</f>
        <v>0</v>
      </c>
      <c r="R111" s="13">
        <f ca="1">IF(OR('My Loans'!$O$19="",'My Loans'!$O$19=0),0,Q111*INDIRECT("'My Loans'!$E"&amp;'My Loans'!$O$19)/12)</f>
        <v>0</v>
      </c>
      <c r="S111" s="13">
        <f ca="1">IF(OR('My Loans'!$O$19="",'My Loans'!$O$19=0),0,IF(Q111&lt;0.005,0,MIN(INDIRECT("'My Loans'!$F"&amp;'My Loans'!$O$19),Q111+R111)))</f>
        <v>0</v>
      </c>
      <c r="T111" s="13">
        <f ca="1">IF(A111=1,IF(OR('My Loans'!$O$20="",'My Loans'!$O$20=0),0,INDIRECT("'My Loans'!$D"&amp;'My Loans'!$O$20)),BI110)</f>
        <v>0</v>
      </c>
      <c r="U111" s="13">
        <f ca="1">IF(OR('My Loans'!$O$20="",'My Loans'!$O$20=0),0,T111*INDIRECT("'My Loans'!$E"&amp;'My Loans'!$O$20)/12)</f>
        <v>0</v>
      </c>
      <c r="V111" s="13">
        <f ca="1">IF(OR('My Loans'!$O$20="",'My Loans'!$O$20=0),0,IF(T111&lt;0.005,0,MIN(INDIRECT("'My Loans'!$F"&amp;'My Loans'!$O$20),T111+U111)))</f>
        <v>0</v>
      </c>
      <c r="W111" s="13">
        <f ca="1">IF(A111=1,IF(OR('My Loans'!$O$21="",'My Loans'!$O$21=0),0,INDIRECT("'My Loans'!$D"&amp;'My Loans'!$O$21)),BN110)</f>
        <v>0</v>
      </c>
      <c r="X111" s="13">
        <f ca="1">IF(OR('My Loans'!$O$21="",'My Loans'!$O$21=0),0,W111*INDIRECT("'My Loans'!$E"&amp;'My Loans'!$O$21)/12)</f>
        <v>0</v>
      </c>
      <c r="Y111" s="13">
        <f ca="1">IF(OR('My Loans'!$O$21="",'My Loans'!$O$21=0),0,IF(W111&lt;0.005,0,MIN(INDIRECT("'My Loans'!$F"&amp;'My Loans'!$O$21),W111+X111)))</f>
        <v>0</v>
      </c>
      <c r="Z111" s="13">
        <f ca="1">'My Loans'!$B$13-(D111+G111+J111+M111+P111+S111+V111+Y111)</f>
        <v>1400</v>
      </c>
      <c r="AA111" s="13">
        <f t="shared" ca="1" si="129"/>
        <v>1400</v>
      </c>
      <c r="AB111" s="13">
        <f t="shared" ca="1" si="130"/>
        <v>0</v>
      </c>
      <c r="AC111" s="13">
        <f t="shared" ca="1" si="131"/>
        <v>0</v>
      </c>
      <c r="AD111" s="13">
        <f t="shared" ca="1" si="132"/>
        <v>0</v>
      </c>
      <c r="AE111" s="13">
        <f t="shared" ca="1" si="133"/>
        <v>0</v>
      </c>
      <c r="AF111" s="13">
        <f t="shared" ca="1" si="134"/>
        <v>1400</v>
      </c>
      <c r="AG111" s="13">
        <f t="shared" ca="1" si="135"/>
        <v>0</v>
      </c>
      <c r="AH111" s="13">
        <f t="shared" ca="1" si="136"/>
        <v>0</v>
      </c>
      <c r="AI111" s="13">
        <f t="shared" ca="1" si="137"/>
        <v>0</v>
      </c>
      <c r="AJ111" s="13">
        <f t="shared" ca="1" si="138"/>
        <v>0</v>
      </c>
      <c r="AK111" s="13">
        <f t="shared" ca="1" si="139"/>
        <v>1400</v>
      </c>
      <c r="AL111" s="13">
        <f t="shared" ca="1" si="140"/>
        <v>0</v>
      </c>
      <c r="AM111" s="13">
        <f t="shared" ca="1" si="141"/>
        <v>0</v>
      </c>
      <c r="AN111" s="13">
        <f t="shared" ca="1" si="142"/>
        <v>0</v>
      </c>
      <c r="AO111" s="13">
        <f t="shared" ca="1" si="143"/>
        <v>0</v>
      </c>
      <c r="AP111" s="13">
        <f t="shared" ca="1" si="144"/>
        <v>1400</v>
      </c>
      <c r="AQ111" s="13">
        <f t="shared" ca="1" si="145"/>
        <v>0</v>
      </c>
      <c r="AR111" s="13">
        <f t="shared" ca="1" si="146"/>
        <v>0</v>
      </c>
      <c r="AS111" s="13">
        <f t="shared" ca="1" si="147"/>
        <v>0</v>
      </c>
      <c r="AT111" s="13">
        <f t="shared" ca="1" si="148"/>
        <v>0</v>
      </c>
      <c r="AU111" s="13">
        <f t="shared" ca="1" si="149"/>
        <v>1400</v>
      </c>
      <c r="AV111" s="13">
        <f t="shared" ca="1" si="150"/>
        <v>0</v>
      </c>
      <c r="AW111" s="13">
        <f t="shared" ca="1" si="151"/>
        <v>0</v>
      </c>
      <c r="AX111" s="13">
        <f t="shared" ca="1" si="152"/>
        <v>0</v>
      </c>
      <c r="AY111" s="13">
        <f t="shared" ca="1" si="153"/>
        <v>0</v>
      </c>
      <c r="AZ111" s="13">
        <f t="shared" ca="1" si="154"/>
        <v>1400</v>
      </c>
      <c r="BA111" s="13">
        <f t="shared" ca="1" si="155"/>
        <v>0</v>
      </c>
      <c r="BB111" s="13">
        <f t="shared" ca="1" si="156"/>
        <v>0</v>
      </c>
      <c r="BC111" s="13">
        <f t="shared" ca="1" si="157"/>
        <v>0</v>
      </c>
      <c r="BD111" s="13">
        <f t="shared" ca="1" si="158"/>
        <v>0</v>
      </c>
      <c r="BE111" s="13">
        <f t="shared" ca="1" si="159"/>
        <v>1400</v>
      </c>
      <c r="BF111" s="13">
        <f t="shared" ca="1" si="160"/>
        <v>0</v>
      </c>
      <c r="BG111" s="13">
        <f t="shared" ca="1" si="161"/>
        <v>0</v>
      </c>
      <c r="BH111" s="13">
        <f t="shared" ca="1" si="162"/>
        <v>0</v>
      </c>
      <c r="BI111" s="13">
        <f t="shared" ca="1" si="163"/>
        <v>0</v>
      </c>
      <c r="BJ111" s="13">
        <f t="shared" ca="1" si="164"/>
        <v>1400</v>
      </c>
      <c r="BK111" s="13">
        <f t="shared" ca="1" si="165"/>
        <v>0</v>
      </c>
      <c r="BL111" s="13">
        <f t="shared" ca="1" si="166"/>
        <v>0</v>
      </c>
      <c r="BM111" s="13">
        <f t="shared" ca="1" si="167"/>
        <v>0</v>
      </c>
      <c r="BN111" s="13">
        <f t="shared" ca="1" si="168"/>
        <v>0</v>
      </c>
      <c r="BO111" s="13">
        <f t="shared" ca="1" si="169"/>
        <v>0</v>
      </c>
      <c r="BP111" s="13">
        <f t="shared" ca="1" si="170"/>
        <v>0</v>
      </c>
      <c r="BQ111" s="13">
        <f t="shared" ca="1" si="171"/>
        <v>0</v>
      </c>
    </row>
    <row r="112" spans="1:69" x14ac:dyDescent="0.25">
      <c r="A112" s="1">
        <v>111</v>
      </c>
      <c r="B112" s="13">
        <f ca="1">IF(A112=1,IF(OR('My Loans'!$O$14="",'My Loans'!$O$14=0),0,INDIRECT("'My Loans'!$D"&amp;'My Loans'!$O$14)),AE111)</f>
        <v>0</v>
      </c>
      <c r="C112" s="13">
        <f ca="1">IF(OR('My Loans'!$O$14="",'My Loans'!$O$14=0),0,B112*INDIRECT("'My Loans'!$E"&amp;'My Loans'!$O$14)/12)</f>
        <v>0</v>
      </c>
      <c r="D112" s="13">
        <f ca="1">IF(OR('My Loans'!$O$14="",'My Loans'!$O$14=0),0,IF(B112&lt;0.005,0,MIN(INDIRECT("'My Loans'!$F"&amp;'My Loans'!$O$14),B112+C112)))</f>
        <v>0</v>
      </c>
      <c r="E112" s="13">
        <f ca="1">IF(A112=1,IF(OR('My Loans'!$O$15="",'My Loans'!$O$15=0),0,INDIRECT("'My Loans'!$D"&amp;'My Loans'!$O$15)),AJ111)</f>
        <v>0</v>
      </c>
      <c r="F112" s="13">
        <f ca="1">IF(OR('My Loans'!$O$15="",'My Loans'!$O$15=0),0,E112*INDIRECT("'My Loans'!$E"&amp;'My Loans'!$O$15)/12)</f>
        <v>0</v>
      </c>
      <c r="G112" s="13">
        <f ca="1">IF(OR('My Loans'!$O$15="",'My Loans'!$O$15=0),0,IF(E112&lt;0.005,0,MIN(INDIRECT("'My Loans'!$F"&amp;'My Loans'!$O$15),E112+F112)))</f>
        <v>0</v>
      </c>
      <c r="H112" s="13">
        <f ca="1">IF(A112=1,IF(OR('My Loans'!$O$16="",'My Loans'!$O$16=0),0,INDIRECT("'My Loans'!$D"&amp;'My Loans'!$O$16)),AO111)</f>
        <v>0</v>
      </c>
      <c r="I112" s="13">
        <f ca="1">IF(OR('My Loans'!$O$16="",'My Loans'!$O$16=0),0,H112*INDIRECT("'My Loans'!$E"&amp;'My Loans'!$O$16)/12)</f>
        <v>0</v>
      </c>
      <c r="J112" s="13">
        <f ca="1">IF(OR('My Loans'!$O$16="",'My Loans'!$O$16=0),0,IF(H112&lt;0.005,0,MIN(INDIRECT("'My Loans'!$F"&amp;'My Loans'!$O$16),H112+I112)))</f>
        <v>0</v>
      </c>
      <c r="K112" s="13">
        <f ca="1">IF(A112=1,IF(OR('My Loans'!$O$17="",'My Loans'!$O$17=0),0,INDIRECT("'My Loans'!$D"&amp;'My Loans'!$O$17)),AT111)</f>
        <v>0</v>
      </c>
      <c r="L112" s="13">
        <f ca="1">IF(OR('My Loans'!$O$17="",'My Loans'!$O$17=0),0,K112*INDIRECT("'My Loans'!$E"&amp;'My Loans'!$O$17)/12)</f>
        <v>0</v>
      </c>
      <c r="M112" s="13">
        <f ca="1">IF(OR('My Loans'!$O$17="",'My Loans'!$O$17=0),0,IF(K112&lt;0.005,0,MIN(INDIRECT("'My Loans'!$F"&amp;'My Loans'!$O$17),K112+L112)))</f>
        <v>0</v>
      </c>
      <c r="N112" s="13">
        <f ca="1">IF(A112=1,IF(OR('My Loans'!$O$18="",'My Loans'!$O$18=0),0,INDIRECT("'My Loans'!$D"&amp;'My Loans'!$O$18)),AY111)</f>
        <v>0</v>
      </c>
      <c r="O112" s="13">
        <f ca="1">IF(OR('My Loans'!$O$18="",'My Loans'!$O$18=0),0,N112*INDIRECT("'My Loans'!$E"&amp;'My Loans'!$O$18)/12)</f>
        <v>0</v>
      </c>
      <c r="P112" s="13">
        <f ca="1">IF(OR('My Loans'!$O$18="",'My Loans'!$O$18=0),0,IF(N112&lt;0.005,0,MIN(INDIRECT("'My Loans'!$F"&amp;'My Loans'!$O$18),N112+O112)))</f>
        <v>0</v>
      </c>
      <c r="Q112" s="13">
        <f ca="1">IF(A112=1,IF(OR('My Loans'!$O$19="",'My Loans'!$O$19=0),0,INDIRECT("'My Loans'!$D"&amp;'My Loans'!$O$19)),BD111)</f>
        <v>0</v>
      </c>
      <c r="R112" s="13">
        <f ca="1">IF(OR('My Loans'!$O$19="",'My Loans'!$O$19=0),0,Q112*INDIRECT("'My Loans'!$E"&amp;'My Loans'!$O$19)/12)</f>
        <v>0</v>
      </c>
      <c r="S112" s="13">
        <f ca="1">IF(OR('My Loans'!$O$19="",'My Loans'!$O$19=0),0,IF(Q112&lt;0.005,0,MIN(INDIRECT("'My Loans'!$F"&amp;'My Loans'!$O$19),Q112+R112)))</f>
        <v>0</v>
      </c>
      <c r="T112" s="13">
        <f ca="1">IF(A112=1,IF(OR('My Loans'!$O$20="",'My Loans'!$O$20=0),0,INDIRECT("'My Loans'!$D"&amp;'My Loans'!$O$20)),BI111)</f>
        <v>0</v>
      </c>
      <c r="U112" s="13">
        <f ca="1">IF(OR('My Loans'!$O$20="",'My Loans'!$O$20=0),0,T112*INDIRECT("'My Loans'!$E"&amp;'My Loans'!$O$20)/12)</f>
        <v>0</v>
      </c>
      <c r="V112" s="13">
        <f ca="1">IF(OR('My Loans'!$O$20="",'My Loans'!$O$20=0),0,IF(T112&lt;0.005,0,MIN(INDIRECT("'My Loans'!$F"&amp;'My Loans'!$O$20),T112+U112)))</f>
        <v>0</v>
      </c>
      <c r="W112" s="13">
        <f ca="1">IF(A112=1,IF(OR('My Loans'!$O$21="",'My Loans'!$O$21=0),0,INDIRECT("'My Loans'!$D"&amp;'My Loans'!$O$21)),BN111)</f>
        <v>0</v>
      </c>
      <c r="X112" s="13">
        <f ca="1">IF(OR('My Loans'!$O$21="",'My Loans'!$O$21=0),0,W112*INDIRECT("'My Loans'!$E"&amp;'My Loans'!$O$21)/12)</f>
        <v>0</v>
      </c>
      <c r="Y112" s="13">
        <f ca="1">IF(OR('My Loans'!$O$21="",'My Loans'!$O$21=0),0,IF(W112&lt;0.005,0,MIN(INDIRECT("'My Loans'!$F"&amp;'My Loans'!$O$21),W112+X112)))</f>
        <v>0</v>
      </c>
      <c r="Z112" s="13">
        <f ca="1">'My Loans'!$B$13-(D112+G112+J112+M112+P112+S112+V112+Y112)</f>
        <v>1400</v>
      </c>
      <c r="AA112" s="13">
        <f t="shared" ca="1" si="129"/>
        <v>1400</v>
      </c>
      <c r="AB112" s="13">
        <f t="shared" ca="1" si="130"/>
        <v>0</v>
      </c>
      <c r="AC112" s="13">
        <f t="shared" ca="1" si="131"/>
        <v>0</v>
      </c>
      <c r="AD112" s="13">
        <f t="shared" ca="1" si="132"/>
        <v>0</v>
      </c>
      <c r="AE112" s="13">
        <f t="shared" ca="1" si="133"/>
        <v>0</v>
      </c>
      <c r="AF112" s="13">
        <f t="shared" ca="1" si="134"/>
        <v>1400</v>
      </c>
      <c r="AG112" s="13">
        <f t="shared" ca="1" si="135"/>
        <v>0</v>
      </c>
      <c r="AH112" s="13">
        <f t="shared" ca="1" si="136"/>
        <v>0</v>
      </c>
      <c r="AI112" s="13">
        <f t="shared" ca="1" si="137"/>
        <v>0</v>
      </c>
      <c r="AJ112" s="13">
        <f t="shared" ca="1" si="138"/>
        <v>0</v>
      </c>
      <c r="AK112" s="13">
        <f t="shared" ca="1" si="139"/>
        <v>1400</v>
      </c>
      <c r="AL112" s="13">
        <f t="shared" ca="1" si="140"/>
        <v>0</v>
      </c>
      <c r="AM112" s="13">
        <f t="shared" ca="1" si="141"/>
        <v>0</v>
      </c>
      <c r="AN112" s="13">
        <f t="shared" ca="1" si="142"/>
        <v>0</v>
      </c>
      <c r="AO112" s="13">
        <f t="shared" ca="1" si="143"/>
        <v>0</v>
      </c>
      <c r="AP112" s="13">
        <f t="shared" ca="1" si="144"/>
        <v>1400</v>
      </c>
      <c r="AQ112" s="13">
        <f t="shared" ca="1" si="145"/>
        <v>0</v>
      </c>
      <c r="AR112" s="13">
        <f t="shared" ca="1" si="146"/>
        <v>0</v>
      </c>
      <c r="AS112" s="13">
        <f t="shared" ca="1" si="147"/>
        <v>0</v>
      </c>
      <c r="AT112" s="13">
        <f t="shared" ca="1" si="148"/>
        <v>0</v>
      </c>
      <c r="AU112" s="13">
        <f t="shared" ca="1" si="149"/>
        <v>1400</v>
      </c>
      <c r="AV112" s="13">
        <f t="shared" ca="1" si="150"/>
        <v>0</v>
      </c>
      <c r="AW112" s="13">
        <f t="shared" ca="1" si="151"/>
        <v>0</v>
      </c>
      <c r="AX112" s="13">
        <f t="shared" ca="1" si="152"/>
        <v>0</v>
      </c>
      <c r="AY112" s="13">
        <f t="shared" ca="1" si="153"/>
        <v>0</v>
      </c>
      <c r="AZ112" s="13">
        <f t="shared" ca="1" si="154"/>
        <v>1400</v>
      </c>
      <c r="BA112" s="13">
        <f t="shared" ca="1" si="155"/>
        <v>0</v>
      </c>
      <c r="BB112" s="13">
        <f t="shared" ca="1" si="156"/>
        <v>0</v>
      </c>
      <c r="BC112" s="13">
        <f t="shared" ca="1" si="157"/>
        <v>0</v>
      </c>
      <c r="BD112" s="13">
        <f t="shared" ca="1" si="158"/>
        <v>0</v>
      </c>
      <c r="BE112" s="13">
        <f t="shared" ca="1" si="159"/>
        <v>1400</v>
      </c>
      <c r="BF112" s="13">
        <f t="shared" ca="1" si="160"/>
        <v>0</v>
      </c>
      <c r="BG112" s="13">
        <f t="shared" ca="1" si="161"/>
        <v>0</v>
      </c>
      <c r="BH112" s="13">
        <f t="shared" ca="1" si="162"/>
        <v>0</v>
      </c>
      <c r="BI112" s="13">
        <f t="shared" ca="1" si="163"/>
        <v>0</v>
      </c>
      <c r="BJ112" s="13">
        <f t="shared" ca="1" si="164"/>
        <v>1400</v>
      </c>
      <c r="BK112" s="13">
        <f t="shared" ca="1" si="165"/>
        <v>0</v>
      </c>
      <c r="BL112" s="13">
        <f t="shared" ca="1" si="166"/>
        <v>0</v>
      </c>
      <c r="BM112" s="13">
        <f t="shared" ca="1" si="167"/>
        <v>0</v>
      </c>
      <c r="BN112" s="13">
        <f t="shared" ca="1" si="168"/>
        <v>0</v>
      </c>
      <c r="BO112" s="13">
        <f t="shared" ca="1" si="169"/>
        <v>0</v>
      </c>
      <c r="BP112" s="13">
        <f t="shared" ca="1" si="170"/>
        <v>0</v>
      </c>
      <c r="BQ112" s="13">
        <f t="shared" ca="1" si="171"/>
        <v>0</v>
      </c>
    </row>
    <row r="113" spans="1:69" x14ac:dyDescent="0.25">
      <c r="A113" s="1">
        <v>112</v>
      </c>
      <c r="B113" s="13">
        <f ca="1">IF(A113=1,IF(OR('My Loans'!$O$14="",'My Loans'!$O$14=0),0,INDIRECT("'My Loans'!$D"&amp;'My Loans'!$O$14)),AE112)</f>
        <v>0</v>
      </c>
      <c r="C113" s="13">
        <f ca="1">IF(OR('My Loans'!$O$14="",'My Loans'!$O$14=0),0,B113*INDIRECT("'My Loans'!$E"&amp;'My Loans'!$O$14)/12)</f>
        <v>0</v>
      </c>
      <c r="D113" s="13">
        <f ca="1">IF(OR('My Loans'!$O$14="",'My Loans'!$O$14=0),0,IF(B113&lt;0.005,0,MIN(INDIRECT("'My Loans'!$F"&amp;'My Loans'!$O$14),B113+C113)))</f>
        <v>0</v>
      </c>
      <c r="E113" s="13">
        <f ca="1">IF(A113=1,IF(OR('My Loans'!$O$15="",'My Loans'!$O$15=0),0,INDIRECT("'My Loans'!$D"&amp;'My Loans'!$O$15)),AJ112)</f>
        <v>0</v>
      </c>
      <c r="F113" s="13">
        <f ca="1">IF(OR('My Loans'!$O$15="",'My Loans'!$O$15=0),0,E113*INDIRECT("'My Loans'!$E"&amp;'My Loans'!$O$15)/12)</f>
        <v>0</v>
      </c>
      <c r="G113" s="13">
        <f ca="1">IF(OR('My Loans'!$O$15="",'My Loans'!$O$15=0),0,IF(E113&lt;0.005,0,MIN(INDIRECT("'My Loans'!$F"&amp;'My Loans'!$O$15),E113+F113)))</f>
        <v>0</v>
      </c>
      <c r="H113" s="13">
        <f ca="1">IF(A113=1,IF(OR('My Loans'!$O$16="",'My Loans'!$O$16=0),0,INDIRECT("'My Loans'!$D"&amp;'My Loans'!$O$16)),AO112)</f>
        <v>0</v>
      </c>
      <c r="I113" s="13">
        <f ca="1">IF(OR('My Loans'!$O$16="",'My Loans'!$O$16=0),0,H113*INDIRECT("'My Loans'!$E"&amp;'My Loans'!$O$16)/12)</f>
        <v>0</v>
      </c>
      <c r="J113" s="13">
        <f ca="1">IF(OR('My Loans'!$O$16="",'My Loans'!$O$16=0),0,IF(H113&lt;0.005,0,MIN(INDIRECT("'My Loans'!$F"&amp;'My Loans'!$O$16),H113+I113)))</f>
        <v>0</v>
      </c>
      <c r="K113" s="13">
        <f ca="1">IF(A113=1,IF(OR('My Loans'!$O$17="",'My Loans'!$O$17=0),0,INDIRECT("'My Loans'!$D"&amp;'My Loans'!$O$17)),AT112)</f>
        <v>0</v>
      </c>
      <c r="L113" s="13">
        <f ca="1">IF(OR('My Loans'!$O$17="",'My Loans'!$O$17=0),0,K113*INDIRECT("'My Loans'!$E"&amp;'My Loans'!$O$17)/12)</f>
        <v>0</v>
      </c>
      <c r="M113" s="13">
        <f ca="1">IF(OR('My Loans'!$O$17="",'My Loans'!$O$17=0),0,IF(K113&lt;0.005,0,MIN(INDIRECT("'My Loans'!$F"&amp;'My Loans'!$O$17),K113+L113)))</f>
        <v>0</v>
      </c>
      <c r="N113" s="13">
        <f ca="1">IF(A113=1,IF(OR('My Loans'!$O$18="",'My Loans'!$O$18=0),0,INDIRECT("'My Loans'!$D"&amp;'My Loans'!$O$18)),AY112)</f>
        <v>0</v>
      </c>
      <c r="O113" s="13">
        <f ca="1">IF(OR('My Loans'!$O$18="",'My Loans'!$O$18=0),0,N113*INDIRECT("'My Loans'!$E"&amp;'My Loans'!$O$18)/12)</f>
        <v>0</v>
      </c>
      <c r="P113" s="13">
        <f ca="1">IF(OR('My Loans'!$O$18="",'My Loans'!$O$18=0),0,IF(N113&lt;0.005,0,MIN(INDIRECT("'My Loans'!$F"&amp;'My Loans'!$O$18),N113+O113)))</f>
        <v>0</v>
      </c>
      <c r="Q113" s="13">
        <f ca="1">IF(A113=1,IF(OR('My Loans'!$O$19="",'My Loans'!$O$19=0),0,INDIRECT("'My Loans'!$D"&amp;'My Loans'!$O$19)),BD112)</f>
        <v>0</v>
      </c>
      <c r="R113" s="13">
        <f ca="1">IF(OR('My Loans'!$O$19="",'My Loans'!$O$19=0),0,Q113*INDIRECT("'My Loans'!$E"&amp;'My Loans'!$O$19)/12)</f>
        <v>0</v>
      </c>
      <c r="S113" s="13">
        <f ca="1">IF(OR('My Loans'!$O$19="",'My Loans'!$O$19=0),0,IF(Q113&lt;0.005,0,MIN(INDIRECT("'My Loans'!$F"&amp;'My Loans'!$O$19),Q113+R113)))</f>
        <v>0</v>
      </c>
      <c r="T113" s="13">
        <f ca="1">IF(A113=1,IF(OR('My Loans'!$O$20="",'My Loans'!$O$20=0),0,INDIRECT("'My Loans'!$D"&amp;'My Loans'!$O$20)),BI112)</f>
        <v>0</v>
      </c>
      <c r="U113" s="13">
        <f ca="1">IF(OR('My Loans'!$O$20="",'My Loans'!$O$20=0),0,T113*INDIRECT("'My Loans'!$E"&amp;'My Loans'!$O$20)/12)</f>
        <v>0</v>
      </c>
      <c r="V113" s="13">
        <f ca="1">IF(OR('My Loans'!$O$20="",'My Loans'!$O$20=0),0,IF(T113&lt;0.005,0,MIN(INDIRECT("'My Loans'!$F"&amp;'My Loans'!$O$20),T113+U113)))</f>
        <v>0</v>
      </c>
      <c r="W113" s="13">
        <f ca="1">IF(A113=1,IF(OR('My Loans'!$O$21="",'My Loans'!$O$21=0),0,INDIRECT("'My Loans'!$D"&amp;'My Loans'!$O$21)),BN112)</f>
        <v>0</v>
      </c>
      <c r="X113" s="13">
        <f ca="1">IF(OR('My Loans'!$O$21="",'My Loans'!$O$21=0),0,W113*INDIRECT("'My Loans'!$E"&amp;'My Loans'!$O$21)/12)</f>
        <v>0</v>
      </c>
      <c r="Y113" s="13">
        <f ca="1">IF(OR('My Loans'!$O$21="",'My Loans'!$O$21=0),0,IF(W113&lt;0.005,0,MIN(INDIRECT("'My Loans'!$F"&amp;'My Loans'!$O$21),W113+X113)))</f>
        <v>0</v>
      </c>
      <c r="Z113" s="13">
        <f ca="1">'My Loans'!$B$13-(D113+G113+J113+M113+P113+S113+V113+Y113)</f>
        <v>1400</v>
      </c>
      <c r="AA113" s="13">
        <f t="shared" ca="1" si="129"/>
        <v>1400</v>
      </c>
      <c r="AB113" s="13">
        <f t="shared" ca="1" si="130"/>
        <v>0</v>
      </c>
      <c r="AC113" s="13">
        <f t="shared" ca="1" si="131"/>
        <v>0</v>
      </c>
      <c r="AD113" s="13">
        <f t="shared" ca="1" si="132"/>
        <v>0</v>
      </c>
      <c r="AE113" s="13">
        <f t="shared" ca="1" si="133"/>
        <v>0</v>
      </c>
      <c r="AF113" s="13">
        <f t="shared" ca="1" si="134"/>
        <v>1400</v>
      </c>
      <c r="AG113" s="13">
        <f t="shared" ca="1" si="135"/>
        <v>0</v>
      </c>
      <c r="AH113" s="13">
        <f t="shared" ca="1" si="136"/>
        <v>0</v>
      </c>
      <c r="AI113" s="13">
        <f t="shared" ca="1" si="137"/>
        <v>0</v>
      </c>
      <c r="AJ113" s="13">
        <f t="shared" ca="1" si="138"/>
        <v>0</v>
      </c>
      <c r="AK113" s="13">
        <f t="shared" ca="1" si="139"/>
        <v>1400</v>
      </c>
      <c r="AL113" s="13">
        <f t="shared" ca="1" si="140"/>
        <v>0</v>
      </c>
      <c r="AM113" s="13">
        <f t="shared" ca="1" si="141"/>
        <v>0</v>
      </c>
      <c r="AN113" s="13">
        <f t="shared" ca="1" si="142"/>
        <v>0</v>
      </c>
      <c r="AO113" s="13">
        <f t="shared" ca="1" si="143"/>
        <v>0</v>
      </c>
      <c r="AP113" s="13">
        <f t="shared" ca="1" si="144"/>
        <v>1400</v>
      </c>
      <c r="AQ113" s="13">
        <f t="shared" ca="1" si="145"/>
        <v>0</v>
      </c>
      <c r="AR113" s="13">
        <f t="shared" ca="1" si="146"/>
        <v>0</v>
      </c>
      <c r="AS113" s="13">
        <f t="shared" ca="1" si="147"/>
        <v>0</v>
      </c>
      <c r="AT113" s="13">
        <f t="shared" ca="1" si="148"/>
        <v>0</v>
      </c>
      <c r="AU113" s="13">
        <f t="shared" ca="1" si="149"/>
        <v>1400</v>
      </c>
      <c r="AV113" s="13">
        <f t="shared" ca="1" si="150"/>
        <v>0</v>
      </c>
      <c r="AW113" s="13">
        <f t="shared" ca="1" si="151"/>
        <v>0</v>
      </c>
      <c r="AX113" s="13">
        <f t="shared" ca="1" si="152"/>
        <v>0</v>
      </c>
      <c r="AY113" s="13">
        <f t="shared" ca="1" si="153"/>
        <v>0</v>
      </c>
      <c r="AZ113" s="13">
        <f t="shared" ca="1" si="154"/>
        <v>1400</v>
      </c>
      <c r="BA113" s="13">
        <f t="shared" ca="1" si="155"/>
        <v>0</v>
      </c>
      <c r="BB113" s="13">
        <f t="shared" ca="1" si="156"/>
        <v>0</v>
      </c>
      <c r="BC113" s="13">
        <f t="shared" ca="1" si="157"/>
        <v>0</v>
      </c>
      <c r="BD113" s="13">
        <f t="shared" ca="1" si="158"/>
        <v>0</v>
      </c>
      <c r="BE113" s="13">
        <f t="shared" ca="1" si="159"/>
        <v>1400</v>
      </c>
      <c r="BF113" s="13">
        <f t="shared" ca="1" si="160"/>
        <v>0</v>
      </c>
      <c r="BG113" s="13">
        <f t="shared" ca="1" si="161"/>
        <v>0</v>
      </c>
      <c r="BH113" s="13">
        <f t="shared" ca="1" si="162"/>
        <v>0</v>
      </c>
      <c r="BI113" s="13">
        <f t="shared" ca="1" si="163"/>
        <v>0</v>
      </c>
      <c r="BJ113" s="13">
        <f t="shared" ca="1" si="164"/>
        <v>1400</v>
      </c>
      <c r="BK113" s="13">
        <f t="shared" ca="1" si="165"/>
        <v>0</v>
      </c>
      <c r="BL113" s="13">
        <f t="shared" ca="1" si="166"/>
        <v>0</v>
      </c>
      <c r="BM113" s="13">
        <f t="shared" ca="1" si="167"/>
        <v>0</v>
      </c>
      <c r="BN113" s="13">
        <f t="shared" ca="1" si="168"/>
        <v>0</v>
      </c>
      <c r="BO113" s="13">
        <f t="shared" ca="1" si="169"/>
        <v>0</v>
      </c>
      <c r="BP113" s="13">
        <f t="shared" ca="1" si="170"/>
        <v>0</v>
      </c>
      <c r="BQ113" s="13">
        <f t="shared" ca="1" si="171"/>
        <v>0</v>
      </c>
    </row>
    <row r="114" spans="1:69" x14ac:dyDescent="0.25">
      <c r="A114" s="1">
        <v>113</v>
      </c>
      <c r="B114" s="13">
        <f ca="1">IF(A114=1,IF(OR('My Loans'!$O$14="",'My Loans'!$O$14=0),0,INDIRECT("'My Loans'!$D"&amp;'My Loans'!$O$14)),AE113)</f>
        <v>0</v>
      </c>
      <c r="C114" s="13">
        <f ca="1">IF(OR('My Loans'!$O$14="",'My Loans'!$O$14=0),0,B114*INDIRECT("'My Loans'!$E"&amp;'My Loans'!$O$14)/12)</f>
        <v>0</v>
      </c>
      <c r="D114" s="13">
        <f ca="1">IF(OR('My Loans'!$O$14="",'My Loans'!$O$14=0),0,IF(B114&lt;0.005,0,MIN(INDIRECT("'My Loans'!$F"&amp;'My Loans'!$O$14),B114+C114)))</f>
        <v>0</v>
      </c>
      <c r="E114" s="13">
        <f ca="1">IF(A114=1,IF(OR('My Loans'!$O$15="",'My Loans'!$O$15=0),0,INDIRECT("'My Loans'!$D"&amp;'My Loans'!$O$15)),AJ113)</f>
        <v>0</v>
      </c>
      <c r="F114" s="13">
        <f ca="1">IF(OR('My Loans'!$O$15="",'My Loans'!$O$15=0),0,E114*INDIRECT("'My Loans'!$E"&amp;'My Loans'!$O$15)/12)</f>
        <v>0</v>
      </c>
      <c r="G114" s="13">
        <f ca="1">IF(OR('My Loans'!$O$15="",'My Loans'!$O$15=0),0,IF(E114&lt;0.005,0,MIN(INDIRECT("'My Loans'!$F"&amp;'My Loans'!$O$15),E114+F114)))</f>
        <v>0</v>
      </c>
      <c r="H114" s="13">
        <f ca="1">IF(A114=1,IF(OR('My Loans'!$O$16="",'My Loans'!$O$16=0),0,INDIRECT("'My Loans'!$D"&amp;'My Loans'!$O$16)),AO113)</f>
        <v>0</v>
      </c>
      <c r="I114" s="13">
        <f ca="1">IF(OR('My Loans'!$O$16="",'My Loans'!$O$16=0),0,H114*INDIRECT("'My Loans'!$E"&amp;'My Loans'!$O$16)/12)</f>
        <v>0</v>
      </c>
      <c r="J114" s="13">
        <f ca="1">IF(OR('My Loans'!$O$16="",'My Loans'!$O$16=0),0,IF(H114&lt;0.005,0,MIN(INDIRECT("'My Loans'!$F"&amp;'My Loans'!$O$16),H114+I114)))</f>
        <v>0</v>
      </c>
      <c r="K114" s="13">
        <f ca="1">IF(A114=1,IF(OR('My Loans'!$O$17="",'My Loans'!$O$17=0),0,INDIRECT("'My Loans'!$D"&amp;'My Loans'!$O$17)),AT113)</f>
        <v>0</v>
      </c>
      <c r="L114" s="13">
        <f ca="1">IF(OR('My Loans'!$O$17="",'My Loans'!$O$17=0),0,K114*INDIRECT("'My Loans'!$E"&amp;'My Loans'!$O$17)/12)</f>
        <v>0</v>
      </c>
      <c r="M114" s="13">
        <f ca="1">IF(OR('My Loans'!$O$17="",'My Loans'!$O$17=0),0,IF(K114&lt;0.005,0,MIN(INDIRECT("'My Loans'!$F"&amp;'My Loans'!$O$17),K114+L114)))</f>
        <v>0</v>
      </c>
      <c r="N114" s="13">
        <f ca="1">IF(A114=1,IF(OR('My Loans'!$O$18="",'My Loans'!$O$18=0),0,INDIRECT("'My Loans'!$D"&amp;'My Loans'!$O$18)),AY113)</f>
        <v>0</v>
      </c>
      <c r="O114" s="13">
        <f ca="1">IF(OR('My Loans'!$O$18="",'My Loans'!$O$18=0),0,N114*INDIRECT("'My Loans'!$E"&amp;'My Loans'!$O$18)/12)</f>
        <v>0</v>
      </c>
      <c r="P114" s="13">
        <f ca="1">IF(OR('My Loans'!$O$18="",'My Loans'!$O$18=0),0,IF(N114&lt;0.005,0,MIN(INDIRECT("'My Loans'!$F"&amp;'My Loans'!$O$18),N114+O114)))</f>
        <v>0</v>
      </c>
      <c r="Q114" s="13">
        <f ca="1">IF(A114=1,IF(OR('My Loans'!$O$19="",'My Loans'!$O$19=0),0,INDIRECT("'My Loans'!$D"&amp;'My Loans'!$O$19)),BD113)</f>
        <v>0</v>
      </c>
      <c r="R114" s="13">
        <f ca="1">IF(OR('My Loans'!$O$19="",'My Loans'!$O$19=0),0,Q114*INDIRECT("'My Loans'!$E"&amp;'My Loans'!$O$19)/12)</f>
        <v>0</v>
      </c>
      <c r="S114" s="13">
        <f ca="1">IF(OR('My Loans'!$O$19="",'My Loans'!$O$19=0),0,IF(Q114&lt;0.005,0,MIN(INDIRECT("'My Loans'!$F"&amp;'My Loans'!$O$19),Q114+R114)))</f>
        <v>0</v>
      </c>
      <c r="T114" s="13">
        <f ca="1">IF(A114=1,IF(OR('My Loans'!$O$20="",'My Loans'!$O$20=0),0,INDIRECT("'My Loans'!$D"&amp;'My Loans'!$O$20)),BI113)</f>
        <v>0</v>
      </c>
      <c r="U114" s="13">
        <f ca="1">IF(OR('My Loans'!$O$20="",'My Loans'!$O$20=0),0,T114*INDIRECT("'My Loans'!$E"&amp;'My Loans'!$O$20)/12)</f>
        <v>0</v>
      </c>
      <c r="V114" s="13">
        <f ca="1">IF(OR('My Loans'!$O$20="",'My Loans'!$O$20=0),0,IF(T114&lt;0.005,0,MIN(INDIRECT("'My Loans'!$F"&amp;'My Loans'!$O$20),T114+U114)))</f>
        <v>0</v>
      </c>
      <c r="W114" s="13">
        <f ca="1">IF(A114=1,IF(OR('My Loans'!$O$21="",'My Loans'!$O$21=0),0,INDIRECT("'My Loans'!$D"&amp;'My Loans'!$O$21)),BN113)</f>
        <v>0</v>
      </c>
      <c r="X114" s="13">
        <f ca="1">IF(OR('My Loans'!$O$21="",'My Loans'!$O$21=0),0,W114*INDIRECT("'My Loans'!$E"&amp;'My Loans'!$O$21)/12)</f>
        <v>0</v>
      </c>
      <c r="Y114" s="13">
        <f ca="1">IF(OR('My Loans'!$O$21="",'My Loans'!$O$21=0),0,IF(W114&lt;0.005,0,MIN(INDIRECT("'My Loans'!$F"&amp;'My Loans'!$O$21),W114+X114)))</f>
        <v>0</v>
      </c>
      <c r="Z114" s="13">
        <f ca="1">'My Loans'!$B$13-(D114+G114+J114+M114+P114+S114+V114+Y114)</f>
        <v>1400</v>
      </c>
      <c r="AA114" s="13">
        <f t="shared" ca="1" si="129"/>
        <v>1400</v>
      </c>
      <c r="AB114" s="13">
        <f t="shared" ca="1" si="130"/>
        <v>0</v>
      </c>
      <c r="AC114" s="13">
        <f t="shared" ca="1" si="131"/>
        <v>0</v>
      </c>
      <c r="AD114" s="13">
        <f t="shared" ca="1" si="132"/>
        <v>0</v>
      </c>
      <c r="AE114" s="13">
        <f t="shared" ca="1" si="133"/>
        <v>0</v>
      </c>
      <c r="AF114" s="13">
        <f t="shared" ca="1" si="134"/>
        <v>1400</v>
      </c>
      <c r="AG114" s="13">
        <f t="shared" ca="1" si="135"/>
        <v>0</v>
      </c>
      <c r="AH114" s="13">
        <f t="shared" ca="1" si="136"/>
        <v>0</v>
      </c>
      <c r="AI114" s="13">
        <f t="shared" ca="1" si="137"/>
        <v>0</v>
      </c>
      <c r="AJ114" s="13">
        <f t="shared" ca="1" si="138"/>
        <v>0</v>
      </c>
      <c r="AK114" s="13">
        <f t="shared" ca="1" si="139"/>
        <v>1400</v>
      </c>
      <c r="AL114" s="13">
        <f t="shared" ca="1" si="140"/>
        <v>0</v>
      </c>
      <c r="AM114" s="13">
        <f t="shared" ca="1" si="141"/>
        <v>0</v>
      </c>
      <c r="AN114" s="13">
        <f t="shared" ca="1" si="142"/>
        <v>0</v>
      </c>
      <c r="AO114" s="13">
        <f t="shared" ca="1" si="143"/>
        <v>0</v>
      </c>
      <c r="AP114" s="13">
        <f t="shared" ca="1" si="144"/>
        <v>1400</v>
      </c>
      <c r="AQ114" s="13">
        <f t="shared" ca="1" si="145"/>
        <v>0</v>
      </c>
      <c r="AR114" s="13">
        <f t="shared" ca="1" si="146"/>
        <v>0</v>
      </c>
      <c r="AS114" s="13">
        <f t="shared" ca="1" si="147"/>
        <v>0</v>
      </c>
      <c r="AT114" s="13">
        <f t="shared" ca="1" si="148"/>
        <v>0</v>
      </c>
      <c r="AU114" s="13">
        <f t="shared" ca="1" si="149"/>
        <v>1400</v>
      </c>
      <c r="AV114" s="13">
        <f t="shared" ca="1" si="150"/>
        <v>0</v>
      </c>
      <c r="AW114" s="13">
        <f t="shared" ca="1" si="151"/>
        <v>0</v>
      </c>
      <c r="AX114" s="13">
        <f t="shared" ca="1" si="152"/>
        <v>0</v>
      </c>
      <c r="AY114" s="13">
        <f t="shared" ca="1" si="153"/>
        <v>0</v>
      </c>
      <c r="AZ114" s="13">
        <f t="shared" ca="1" si="154"/>
        <v>1400</v>
      </c>
      <c r="BA114" s="13">
        <f t="shared" ca="1" si="155"/>
        <v>0</v>
      </c>
      <c r="BB114" s="13">
        <f t="shared" ca="1" si="156"/>
        <v>0</v>
      </c>
      <c r="BC114" s="13">
        <f t="shared" ca="1" si="157"/>
        <v>0</v>
      </c>
      <c r="BD114" s="13">
        <f t="shared" ca="1" si="158"/>
        <v>0</v>
      </c>
      <c r="BE114" s="13">
        <f t="shared" ca="1" si="159"/>
        <v>1400</v>
      </c>
      <c r="BF114" s="13">
        <f t="shared" ca="1" si="160"/>
        <v>0</v>
      </c>
      <c r="BG114" s="13">
        <f t="shared" ca="1" si="161"/>
        <v>0</v>
      </c>
      <c r="BH114" s="13">
        <f t="shared" ca="1" si="162"/>
        <v>0</v>
      </c>
      <c r="BI114" s="13">
        <f t="shared" ca="1" si="163"/>
        <v>0</v>
      </c>
      <c r="BJ114" s="13">
        <f t="shared" ca="1" si="164"/>
        <v>1400</v>
      </c>
      <c r="BK114" s="13">
        <f t="shared" ca="1" si="165"/>
        <v>0</v>
      </c>
      <c r="BL114" s="13">
        <f t="shared" ca="1" si="166"/>
        <v>0</v>
      </c>
      <c r="BM114" s="13">
        <f t="shared" ca="1" si="167"/>
        <v>0</v>
      </c>
      <c r="BN114" s="13">
        <f t="shared" ca="1" si="168"/>
        <v>0</v>
      </c>
      <c r="BO114" s="13">
        <f t="shared" ca="1" si="169"/>
        <v>0</v>
      </c>
      <c r="BP114" s="13">
        <f t="shared" ca="1" si="170"/>
        <v>0</v>
      </c>
      <c r="BQ114" s="13">
        <f t="shared" ca="1" si="171"/>
        <v>0</v>
      </c>
    </row>
    <row r="115" spans="1:69" x14ac:dyDescent="0.25">
      <c r="A115" s="1">
        <v>114</v>
      </c>
      <c r="B115" s="13">
        <f ca="1">IF(A115=1,IF(OR('My Loans'!$O$14="",'My Loans'!$O$14=0),0,INDIRECT("'My Loans'!$D"&amp;'My Loans'!$O$14)),AE114)</f>
        <v>0</v>
      </c>
      <c r="C115" s="13">
        <f ca="1">IF(OR('My Loans'!$O$14="",'My Loans'!$O$14=0),0,B115*INDIRECT("'My Loans'!$E"&amp;'My Loans'!$O$14)/12)</f>
        <v>0</v>
      </c>
      <c r="D115" s="13">
        <f ca="1">IF(OR('My Loans'!$O$14="",'My Loans'!$O$14=0),0,IF(B115&lt;0.005,0,MIN(INDIRECT("'My Loans'!$F"&amp;'My Loans'!$O$14),B115+C115)))</f>
        <v>0</v>
      </c>
      <c r="E115" s="13">
        <f ca="1">IF(A115=1,IF(OR('My Loans'!$O$15="",'My Loans'!$O$15=0),0,INDIRECT("'My Loans'!$D"&amp;'My Loans'!$O$15)),AJ114)</f>
        <v>0</v>
      </c>
      <c r="F115" s="13">
        <f ca="1">IF(OR('My Loans'!$O$15="",'My Loans'!$O$15=0),0,E115*INDIRECT("'My Loans'!$E"&amp;'My Loans'!$O$15)/12)</f>
        <v>0</v>
      </c>
      <c r="G115" s="13">
        <f ca="1">IF(OR('My Loans'!$O$15="",'My Loans'!$O$15=0),0,IF(E115&lt;0.005,0,MIN(INDIRECT("'My Loans'!$F"&amp;'My Loans'!$O$15),E115+F115)))</f>
        <v>0</v>
      </c>
      <c r="H115" s="13">
        <f ca="1">IF(A115=1,IF(OR('My Loans'!$O$16="",'My Loans'!$O$16=0),0,INDIRECT("'My Loans'!$D"&amp;'My Loans'!$O$16)),AO114)</f>
        <v>0</v>
      </c>
      <c r="I115" s="13">
        <f ca="1">IF(OR('My Loans'!$O$16="",'My Loans'!$O$16=0),0,H115*INDIRECT("'My Loans'!$E"&amp;'My Loans'!$O$16)/12)</f>
        <v>0</v>
      </c>
      <c r="J115" s="13">
        <f ca="1">IF(OR('My Loans'!$O$16="",'My Loans'!$O$16=0),0,IF(H115&lt;0.005,0,MIN(INDIRECT("'My Loans'!$F"&amp;'My Loans'!$O$16),H115+I115)))</f>
        <v>0</v>
      </c>
      <c r="K115" s="13">
        <f ca="1">IF(A115=1,IF(OR('My Loans'!$O$17="",'My Loans'!$O$17=0),0,INDIRECT("'My Loans'!$D"&amp;'My Loans'!$O$17)),AT114)</f>
        <v>0</v>
      </c>
      <c r="L115" s="13">
        <f ca="1">IF(OR('My Loans'!$O$17="",'My Loans'!$O$17=0),0,K115*INDIRECT("'My Loans'!$E"&amp;'My Loans'!$O$17)/12)</f>
        <v>0</v>
      </c>
      <c r="M115" s="13">
        <f ca="1">IF(OR('My Loans'!$O$17="",'My Loans'!$O$17=0),0,IF(K115&lt;0.005,0,MIN(INDIRECT("'My Loans'!$F"&amp;'My Loans'!$O$17),K115+L115)))</f>
        <v>0</v>
      </c>
      <c r="N115" s="13">
        <f ca="1">IF(A115=1,IF(OR('My Loans'!$O$18="",'My Loans'!$O$18=0),0,INDIRECT("'My Loans'!$D"&amp;'My Loans'!$O$18)),AY114)</f>
        <v>0</v>
      </c>
      <c r="O115" s="13">
        <f ca="1">IF(OR('My Loans'!$O$18="",'My Loans'!$O$18=0),0,N115*INDIRECT("'My Loans'!$E"&amp;'My Loans'!$O$18)/12)</f>
        <v>0</v>
      </c>
      <c r="P115" s="13">
        <f ca="1">IF(OR('My Loans'!$O$18="",'My Loans'!$O$18=0),0,IF(N115&lt;0.005,0,MIN(INDIRECT("'My Loans'!$F"&amp;'My Loans'!$O$18),N115+O115)))</f>
        <v>0</v>
      </c>
      <c r="Q115" s="13">
        <f ca="1">IF(A115=1,IF(OR('My Loans'!$O$19="",'My Loans'!$O$19=0),0,INDIRECT("'My Loans'!$D"&amp;'My Loans'!$O$19)),BD114)</f>
        <v>0</v>
      </c>
      <c r="R115" s="13">
        <f ca="1">IF(OR('My Loans'!$O$19="",'My Loans'!$O$19=0),0,Q115*INDIRECT("'My Loans'!$E"&amp;'My Loans'!$O$19)/12)</f>
        <v>0</v>
      </c>
      <c r="S115" s="13">
        <f ca="1">IF(OR('My Loans'!$O$19="",'My Loans'!$O$19=0),0,IF(Q115&lt;0.005,0,MIN(INDIRECT("'My Loans'!$F"&amp;'My Loans'!$O$19),Q115+R115)))</f>
        <v>0</v>
      </c>
      <c r="T115" s="13">
        <f ca="1">IF(A115=1,IF(OR('My Loans'!$O$20="",'My Loans'!$O$20=0),0,INDIRECT("'My Loans'!$D"&amp;'My Loans'!$O$20)),BI114)</f>
        <v>0</v>
      </c>
      <c r="U115" s="13">
        <f ca="1">IF(OR('My Loans'!$O$20="",'My Loans'!$O$20=0),0,T115*INDIRECT("'My Loans'!$E"&amp;'My Loans'!$O$20)/12)</f>
        <v>0</v>
      </c>
      <c r="V115" s="13">
        <f ca="1">IF(OR('My Loans'!$O$20="",'My Loans'!$O$20=0),0,IF(T115&lt;0.005,0,MIN(INDIRECT("'My Loans'!$F"&amp;'My Loans'!$O$20),T115+U115)))</f>
        <v>0</v>
      </c>
      <c r="W115" s="13">
        <f ca="1">IF(A115=1,IF(OR('My Loans'!$O$21="",'My Loans'!$O$21=0),0,INDIRECT("'My Loans'!$D"&amp;'My Loans'!$O$21)),BN114)</f>
        <v>0</v>
      </c>
      <c r="X115" s="13">
        <f ca="1">IF(OR('My Loans'!$O$21="",'My Loans'!$O$21=0),0,W115*INDIRECT("'My Loans'!$E"&amp;'My Loans'!$O$21)/12)</f>
        <v>0</v>
      </c>
      <c r="Y115" s="13">
        <f ca="1">IF(OR('My Loans'!$O$21="",'My Loans'!$O$21=0),0,IF(W115&lt;0.005,0,MIN(INDIRECT("'My Loans'!$F"&amp;'My Loans'!$O$21),W115+X115)))</f>
        <v>0</v>
      </c>
      <c r="Z115" s="13">
        <f ca="1">'My Loans'!$B$13-(D115+G115+J115+M115+P115+S115+V115+Y115)</f>
        <v>1400</v>
      </c>
      <c r="AA115" s="13">
        <f t="shared" ca="1" si="129"/>
        <v>1400</v>
      </c>
      <c r="AB115" s="13">
        <f t="shared" ca="1" si="130"/>
        <v>0</v>
      </c>
      <c r="AC115" s="13">
        <f t="shared" ca="1" si="131"/>
        <v>0</v>
      </c>
      <c r="AD115" s="13">
        <f t="shared" ca="1" si="132"/>
        <v>0</v>
      </c>
      <c r="AE115" s="13">
        <f t="shared" ca="1" si="133"/>
        <v>0</v>
      </c>
      <c r="AF115" s="13">
        <f t="shared" ca="1" si="134"/>
        <v>1400</v>
      </c>
      <c r="AG115" s="13">
        <f t="shared" ca="1" si="135"/>
        <v>0</v>
      </c>
      <c r="AH115" s="13">
        <f t="shared" ca="1" si="136"/>
        <v>0</v>
      </c>
      <c r="AI115" s="13">
        <f t="shared" ca="1" si="137"/>
        <v>0</v>
      </c>
      <c r="AJ115" s="13">
        <f t="shared" ca="1" si="138"/>
        <v>0</v>
      </c>
      <c r="AK115" s="13">
        <f t="shared" ca="1" si="139"/>
        <v>1400</v>
      </c>
      <c r="AL115" s="13">
        <f t="shared" ca="1" si="140"/>
        <v>0</v>
      </c>
      <c r="AM115" s="13">
        <f t="shared" ca="1" si="141"/>
        <v>0</v>
      </c>
      <c r="AN115" s="13">
        <f t="shared" ca="1" si="142"/>
        <v>0</v>
      </c>
      <c r="AO115" s="13">
        <f t="shared" ca="1" si="143"/>
        <v>0</v>
      </c>
      <c r="AP115" s="13">
        <f t="shared" ca="1" si="144"/>
        <v>1400</v>
      </c>
      <c r="AQ115" s="13">
        <f t="shared" ca="1" si="145"/>
        <v>0</v>
      </c>
      <c r="AR115" s="13">
        <f t="shared" ca="1" si="146"/>
        <v>0</v>
      </c>
      <c r="AS115" s="13">
        <f t="shared" ca="1" si="147"/>
        <v>0</v>
      </c>
      <c r="AT115" s="13">
        <f t="shared" ca="1" si="148"/>
        <v>0</v>
      </c>
      <c r="AU115" s="13">
        <f t="shared" ca="1" si="149"/>
        <v>1400</v>
      </c>
      <c r="AV115" s="13">
        <f t="shared" ca="1" si="150"/>
        <v>0</v>
      </c>
      <c r="AW115" s="13">
        <f t="shared" ca="1" si="151"/>
        <v>0</v>
      </c>
      <c r="AX115" s="13">
        <f t="shared" ca="1" si="152"/>
        <v>0</v>
      </c>
      <c r="AY115" s="13">
        <f t="shared" ca="1" si="153"/>
        <v>0</v>
      </c>
      <c r="AZ115" s="13">
        <f t="shared" ca="1" si="154"/>
        <v>1400</v>
      </c>
      <c r="BA115" s="13">
        <f t="shared" ca="1" si="155"/>
        <v>0</v>
      </c>
      <c r="BB115" s="13">
        <f t="shared" ca="1" si="156"/>
        <v>0</v>
      </c>
      <c r="BC115" s="13">
        <f t="shared" ca="1" si="157"/>
        <v>0</v>
      </c>
      <c r="BD115" s="13">
        <f t="shared" ca="1" si="158"/>
        <v>0</v>
      </c>
      <c r="BE115" s="13">
        <f t="shared" ca="1" si="159"/>
        <v>1400</v>
      </c>
      <c r="BF115" s="13">
        <f t="shared" ca="1" si="160"/>
        <v>0</v>
      </c>
      <c r="BG115" s="13">
        <f t="shared" ca="1" si="161"/>
        <v>0</v>
      </c>
      <c r="BH115" s="13">
        <f t="shared" ca="1" si="162"/>
        <v>0</v>
      </c>
      <c r="BI115" s="13">
        <f t="shared" ca="1" si="163"/>
        <v>0</v>
      </c>
      <c r="BJ115" s="13">
        <f t="shared" ca="1" si="164"/>
        <v>1400</v>
      </c>
      <c r="BK115" s="13">
        <f t="shared" ca="1" si="165"/>
        <v>0</v>
      </c>
      <c r="BL115" s="13">
        <f t="shared" ca="1" si="166"/>
        <v>0</v>
      </c>
      <c r="BM115" s="13">
        <f t="shared" ca="1" si="167"/>
        <v>0</v>
      </c>
      <c r="BN115" s="13">
        <f t="shared" ca="1" si="168"/>
        <v>0</v>
      </c>
      <c r="BO115" s="13">
        <f t="shared" ca="1" si="169"/>
        <v>0</v>
      </c>
      <c r="BP115" s="13">
        <f t="shared" ca="1" si="170"/>
        <v>0</v>
      </c>
      <c r="BQ115" s="13">
        <f t="shared" ca="1" si="171"/>
        <v>0</v>
      </c>
    </row>
    <row r="116" spans="1:69" x14ac:dyDescent="0.25">
      <c r="A116" s="1">
        <v>115</v>
      </c>
      <c r="B116" s="13">
        <f ca="1">IF(A116=1,IF(OR('My Loans'!$O$14="",'My Loans'!$O$14=0),0,INDIRECT("'My Loans'!$D"&amp;'My Loans'!$O$14)),AE115)</f>
        <v>0</v>
      </c>
      <c r="C116" s="13">
        <f ca="1">IF(OR('My Loans'!$O$14="",'My Loans'!$O$14=0),0,B116*INDIRECT("'My Loans'!$E"&amp;'My Loans'!$O$14)/12)</f>
        <v>0</v>
      </c>
      <c r="D116" s="13">
        <f ca="1">IF(OR('My Loans'!$O$14="",'My Loans'!$O$14=0),0,IF(B116&lt;0.005,0,MIN(INDIRECT("'My Loans'!$F"&amp;'My Loans'!$O$14),B116+C116)))</f>
        <v>0</v>
      </c>
      <c r="E116" s="13">
        <f ca="1">IF(A116=1,IF(OR('My Loans'!$O$15="",'My Loans'!$O$15=0),0,INDIRECT("'My Loans'!$D"&amp;'My Loans'!$O$15)),AJ115)</f>
        <v>0</v>
      </c>
      <c r="F116" s="13">
        <f ca="1">IF(OR('My Loans'!$O$15="",'My Loans'!$O$15=0),0,E116*INDIRECT("'My Loans'!$E"&amp;'My Loans'!$O$15)/12)</f>
        <v>0</v>
      </c>
      <c r="G116" s="13">
        <f ca="1">IF(OR('My Loans'!$O$15="",'My Loans'!$O$15=0),0,IF(E116&lt;0.005,0,MIN(INDIRECT("'My Loans'!$F"&amp;'My Loans'!$O$15),E116+F116)))</f>
        <v>0</v>
      </c>
      <c r="H116" s="13">
        <f ca="1">IF(A116=1,IF(OR('My Loans'!$O$16="",'My Loans'!$O$16=0),0,INDIRECT("'My Loans'!$D"&amp;'My Loans'!$O$16)),AO115)</f>
        <v>0</v>
      </c>
      <c r="I116" s="13">
        <f ca="1">IF(OR('My Loans'!$O$16="",'My Loans'!$O$16=0),0,H116*INDIRECT("'My Loans'!$E"&amp;'My Loans'!$O$16)/12)</f>
        <v>0</v>
      </c>
      <c r="J116" s="13">
        <f ca="1">IF(OR('My Loans'!$O$16="",'My Loans'!$O$16=0),0,IF(H116&lt;0.005,0,MIN(INDIRECT("'My Loans'!$F"&amp;'My Loans'!$O$16),H116+I116)))</f>
        <v>0</v>
      </c>
      <c r="K116" s="13">
        <f ca="1">IF(A116=1,IF(OR('My Loans'!$O$17="",'My Loans'!$O$17=0),0,INDIRECT("'My Loans'!$D"&amp;'My Loans'!$O$17)),AT115)</f>
        <v>0</v>
      </c>
      <c r="L116" s="13">
        <f ca="1">IF(OR('My Loans'!$O$17="",'My Loans'!$O$17=0),0,K116*INDIRECT("'My Loans'!$E"&amp;'My Loans'!$O$17)/12)</f>
        <v>0</v>
      </c>
      <c r="M116" s="13">
        <f ca="1">IF(OR('My Loans'!$O$17="",'My Loans'!$O$17=0),0,IF(K116&lt;0.005,0,MIN(INDIRECT("'My Loans'!$F"&amp;'My Loans'!$O$17),K116+L116)))</f>
        <v>0</v>
      </c>
      <c r="N116" s="13">
        <f ca="1">IF(A116=1,IF(OR('My Loans'!$O$18="",'My Loans'!$O$18=0),0,INDIRECT("'My Loans'!$D"&amp;'My Loans'!$O$18)),AY115)</f>
        <v>0</v>
      </c>
      <c r="O116" s="13">
        <f ca="1">IF(OR('My Loans'!$O$18="",'My Loans'!$O$18=0),0,N116*INDIRECT("'My Loans'!$E"&amp;'My Loans'!$O$18)/12)</f>
        <v>0</v>
      </c>
      <c r="P116" s="13">
        <f ca="1">IF(OR('My Loans'!$O$18="",'My Loans'!$O$18=0),0,IF(N116&lt;0.005,0,MIN(INDIRECT("'My Loans'!$F"&amp;'My Loans'!$O$18),N116+O116)))</f>
        <v>0</v>
      </c>
      <c r="Q116" s="13">
        <f ca="1">IF(A116=1,IF(OR('My Loans'!$O$19="",'My Loans'!$O$19=0),0,INDIRECT("'My Loans'!$D"&amp;'My Loans'!$O$19)),BD115)</f>
        <v>0</v>
      </c>
      <c r="R116" s="13">
        <f ca="1">IF(OR('My Loans'!$O$19="",'My Loans'!$O$19=0),0,Q116*INDIRECT("'My Loans'!$E"&amp;'My Loans'!$O$19)/12)</f>
        <v>0</v>
      </c>
      <c r="S116" s="13">
        <f ca="1">IF(OR('My Loans'!$O$19="",'My Loans'!$O$19=0),0,IF(Q116&lt;0.005,0,MIN(INDIRECT("'My Loans'!$F"&amp;'My Loans'!$O$19),Q116+R116)))</f>
        <v>0</v>
      </c>
      <c r="T116" s="13">
        <f ca="1">IF(A116=1,IF(OR('My Loans'!$O$20="",'My Loans'!$O$20=0),0,INDIRECT("'My Loans'!$D"&amp;'My Loans'!$O$20)),BI115)</f>
        <v>0</v>
      </c>
      <c r="U116" s="13">
        <f ca="1">IF(OR('My Loans'!$O$20="",'My Loans'!$O$20=0),0,T116*INDIRECT("'My Loans'!$E"&amp;'My Loans'!$O$20)/12)</f>
        <v>0</v>
      </c>
      <c r="V116" s="13">
        <f ca="1">IF(OR('My Loans'!$O$20="",'My Loans'!$O$20=0),0,IF(T116&lt;0.005,0,MIN(INDIRECT("'My Loans'!$F"&amp;'My Loans'!$O$20),T116+U116)))</f>
        <v>0</v>
      </c>
      <c r="W116" s="13">
        <f ca="1">IF(A116=1,IF(OR('My Loans'!$O$21="",'My Loans'!$O$21=0),0,INDIRECT("'My Loans'!$D"&amp;'My Loans'!$O$21)),BN115)</f>
        <v>0</v>
      </c>
      <c r="X116" s="13">
        <f ca="1">IF(OR('My Loans'!$O$21="",'My Loans'!$O$21=0),0,W116*INDIRECT("'My Loans'!$E"&amp;'My Loans'!$O$21)/12)</f>
        <v>0</v>
      </c>
      <c r="Y116" s="13">
        <f ca="1">IF(OR('My Loans'!$O$21="",'My Loans'!$O$21=0),0,IF(W116&lt;0.005,0,MIN(INDIRECT("'My Loans'!$F"&amp;'My Loans'!$O$21),W116+X116)))</f>
        <v>0</v>
      </c>
      <c r="Z116" s="13">
        <f ca="1">'My Loans'!$B$13-(D116+G116+J116+M116+P116+S116+V116+Y116)</f>
        <v>1400</v>
      </c>
      <c r="AA116" s="13">
        <f t="shared" ca="1" si="129"/>
        <v>1400</v>
      </c>
      <c r="AB116" s="13">
        <f t="shared" ca="1" si="130"/>
        <v>0</v>
      </c>
      <c r="AC116" s="13">
        <f t="shared" ca="1" si="131"/>
        <v>0</v>
      </c>
      <c r="AD116" s="13">
        <f t="shared" ca="1" si="132"/>
        <v>0</v>
      </c>
      <c r="AE116" s="13">
        <f t="shared" ca="1" si="133"/>
        <v>0</v>
      </c>
      <c r="AF116" s="13">
        <f t="shared" ca="1" si="134"/>
        <v>1400</v>
      </c>
      <c r="AG116" s="13">
        <f t="shared" ca="1" si="135"/>
        <v>0</v>
      </c>
      <c r="AH116" s="13">
        <f t="shared" ca="1" si="136"/>
        <v>0</v>
      </c>
      <c r="AI116" s="13">
        <f t="shared" ca="1" si="137"/>
        <v>0</v>
      </c>
      <c r="AJ116" s="13">
        <f t="shared" ca="1" si="138"/>
        <v>0</v>
      </c>
      <c r="AK116" s="13">
        <f t="shared" ca="1" si="139"/>
        <v>1400</v>
      </c>
      <c r="AL116" s="13">
        <f t="shared" ca="1" si="140"/>
        <v>0</v>
      </c>
      <c r="AM116" s="13">
        <f t="shared" ca="1" si="141"/>
        <v>0</v>
      </c>
      <c r="AN116" s="13">
        <f t="shared" ca="1" si="142"/>
        <v>0</v>
      </c>
      <c r="AO116" s="13">
        <f t="shared" ca="1" si="143"/>
        <v>0</v>
      </c>
      <c r="AP116" s="13">
        <f t="shared" ca="1" si="144"/>
        <v>1400</v>
      </c>
      <c r="AQ116" s="13">
        <f t="shared" ca="1" si="145"/>
        <v>0</v>
      </c>
      <c r="AR116" s="13">
        <f t="shared" ca="1" si="146"/>
        <v>0</v>
      </c>
      <c r="AS116" s="13">
        <f t="shared" ca="1" si="147"/>
        <v>0</v>
      </c>
      <c r="AT116" s="13">
        <f t="shared" ca="1" si="148"/>
        <v>0</v>
      </c>
      <c r="AU116" s="13">
        <f t="shared" ca="1" si="149"/>
        <v>1400</v>
      </c>
      <c r="AV116" s="13">
        <f t="shared" ca="1" si="150"/>
        <v>0</v>
      </c>
      <c r="AW116" s="13">
        <f t="shared" ca="1" si="151"/>
        <v>0</v>
      </c>
      <c r="AX116" s="13">
        <f t="shared" ca="1" si="152"/>
        <v>0</v>
      </c>
      <c r="AY116" s="13">
        <f t="shared" ca="1" si="153"/>
        <v>0</v>
      </c>
      <c r="AZ116" s="13">
        <f t="shared" ca="1" si="154"/>
        <v>1400</v>
      </c>
      <c r="BA116" s="13">
        <f t="shared" ca="1" si="155"/>
        <v>0</v>
      </c>
      <c r="BB116" s="13">
        <f t="shared" ca="1" si="156"/>
        <v>0</v>
      </c>
      <c r="BC116" s="13">
        <f t="shared" ca="1" si="157"/>
        <v>0</v>
      </c>
      <c r="BD116" s="13">
        <f t="shared" ca="1" si="158"/>
        <v>0</v>
      </c>
      <c r="BE116" s="13">
        <f t="shared" ca="1" si="159"/>
        <v>1400</v>
      </c>
      <c r="BF116" s="13">
        <f t="shared" ca="1" si="160"/>
        <v>0</v>
      </c>
      <c r="BG116" s="13">
        <f t="shared" ca="1" si="161"/>
        <v>0</v>
      </c>
      <c r="BH116" s="13">
        <f t="shared" ca="1" si="162"/>
        <v>0</v>
      </c>
      <c r="BI116" s="13">
        <f t="shared" ca="1" si="163"/>
        <v>0</v>
      </c>
      <c r="BJ116" s="13">
        <f t="shared" ca="1" si="164"/>
        <v>1400</v>
      </c>
      <c r="BK116" s="13">
        <f t="shared" ca="1" si="165"/>
        <v>0</v>
      </c>
      <c r="BL116" s="13">
        <f t="shared" ca="1" si="166"/>
        <v>0</v>
      </c>
      <c r="BM116" s="13">
        <f t="shared" ca="1" si="167"/>
        <v>0</v>
      </c>
      <c r="BN116" s="13">
        <f t="shared" ca="1" si="168"/>
        <v>0</v>
      </c>
      <c r="BO116" s="13">
        <f t="shared" ca="1" si="169"/>
        <v>0</v>
      </c>
      <c r="BP116" s="13">
        <f t="shared" ca="1" si="170"/>
        <v>0</v>
      </c>
      <c r="BQ116" s="13">
        <f t="shared" ca="1" si="171"/>
        <v>0</v>
      </c>
    </row>
    <row r="117" spans="1:69" x14ac:dyDescent="0.25">
      <c r="A117" s="1">
        <v>116</v>
      </c>
      <c r="B117" s="13">
        <f ca="1">IF(A117=1,IF(OR('My Loans'!$O$14="",'My Loans'!$O$14=0),0,INDIRECT("'My Loans'!$D"&amp;'My Loans'!$O$14)),AE116)</f>
        <v>0</v>
      </c>
      <c r="C117" s="13">
        <f ca="1">IF(OR('My Loans'!$O$14="",'My Loans'!$O$14=0),0,B117*INDIRECT("'My Loans'!$E"&amp;'My Loans'!$O$14)/12)</f>
        <v>0</v>
      </c>
      <c r="D117" s="13">
        <f ca="1">IF(OR('My Loans'!$O$14="",'My Loans'!$O$14=0),0,IF(B117&lt;0.005,0,MIN(INDIRECT("'My Loans'!$F"&amp;'My Loans'!$O$14),B117+C117)))</f>
        <v>0</v>
      </c>
      <c r="E117" s="13">
        <f ca="1">IF(A117=1,IF(OR('My Loans'!$O$15="",'My Loans'!$O$15=0),0,INDIRECT("'My Loans'!$D"&amp;'My Loans'!$O$15)),AJ116)</f>
        <v>0</v>
      </c>
      <c r="F117" s="13">
        <f ca="1">IF(OR('My Loans'!$O$15="",'My Loans'!$O$15=0),0,E117*INDIRECT("'My Loans'!$E"&amp;'My Loans'!$O$15)/12)</f>
        <v>0</v>
      </c>
      <c r="G117" s="13">
        <f ca="1">IF(OR('My Loans'!$O$15="",'My Loans'!$O$15=0),0,IF(E117&lt;0.005,0,MIN(INDIRECT("'My Loans'!$F"&amp;'My Loans'!$O$15),E117+F117)))</f>
        <v>0</v>
      </c>
      <c r="H117" s="13">
        <f ca="1">IF(A117=1,IF(OR('My Loans'!$O$16="",'My Loans'!$O$16=0),0,INDIRECT("'My Loans'!$D"&amp;'My Loans'!$O$16)),AO116)</f>
        <v>0</v>
      </c>
      <c r="I117" s="13">
        <f ca="1">IF(OR('My Loans'!$O$16="",'My Loans'!$O$16=0),0,H117*INDIRECT("'My Loans'!$E"&amp;'My Loans'!$O$16)/12)</f>
        <v>0</v>
      </c>
      <c r="J117" s="13">
        <f ca="1">IF(OR('My Loans'!$O$16="",'My Loans'!$O$16=0),0,IF(H117&lt;0.005,0,MIN(INDIRECT("'My Loans'!$F"&amp;'My Loans'!$O$16),H117+I117)))</f>
        <v>0</v>
      </c>
      <c r="K117" s="13">
        <f ca="1">IF(A117=1,IF(OR('My Loans'!$O$17="",'My Loans'!$O$17=0),0,INDIRECT("'My Loans'!$D"&amp;'My Loans'!$O$17)),AT116)</f>
        <v>0</v>
      </c>
      <c r="L117" s="13">
        <f ca="1">IF(OR('My Loans'!$O$17="",'My Loans'!$O$17=0),0,K117*INDIRECT("'My Loans'!$E"&amp;'My Loans'!$O$17)/12)</f>
        <v>0</v>
      </c>
      <c r="M117" s="13">
        <f ca="1">IF(OR('My Loans'!$O$17="",'My Loans'!$O$17=0),0,IF(K117&lt;0.005,0,MIN(INDIRECT("'My Loans'!$F"&amp;'My Loans'!$O$17),K117+L117)))</f>
        <v>0</v>
      </c>
      <c r="N117" s="13">
        <f ca="1">IF(A117=1,IF(OR('My Loans'!$O$18="",'My Loans'!$O$18=0),0,INDIRECT("'My Loans'!$D"&amp;'My Loans'!$O$18)),AY116)</f>
        <v>0</v>
      </c>
      <c r="O117" s="13">
        <f ca="1">IF(OR('My Loans'!$O$18="",'My Loans'!$O$18=0),0,N117*INDIRECT("'My Loans'!$E"&amp;'My Loans'!$O$18)/12)</f>
        <v>0</v>
      </c>
      <c r="P117" s="13">
        <f ca="1">IF(OR('My Loans'!$O$18="",'My Loans'!$O$18=0),0,IF(N117&lt;0.005,0,MIN(INDIRECT("'My Loans'!$F"&amp;'My Loans'!$O$18),N117+O117)))</f>
        <v>0</v>
      </c>
      <c r="Q117" s="13">
        <f ca="1">IF(A117=1,IF(OR('My Loans'!$O$19="",'My Loans'!$O$19=0),0,INDIRECT("'My Loans'!$D"&amp;'My Loans'!$O$19)),BD116)</f>
        <v>0</v>
      </c>
      <c r="R117" s="13">
        <f ca="1">IF(OR('My Loans'!$O$19="",'My Loans'!$O$19=0),0,Q117*INDIRECT("'My Loans'!$E"&amp;'My Loans'!$O$19)/12)</f>
        <v>0</v>
      </c>
      <c r="S117" s="13">
        <f ca="1">IF(OR('My Loans'!$O$19="",'My Loans'!$O$19=0),0,IF(Q117&lt;0.005,0,MIN(INDIRECT("'My Loans'!$F"&amp;'My Loans'!$O$19),Q117+R117)))</f>
        <v>0</v>
      </c>
      <c r="T117" s="13">
        <f ca="1">IF(A117=1,IF(OR('My Loans'!$O$20="",'My Loans'!$O$20=0),0,INDIRECT("'My Loans'!$D"&amp;'My Loans'!$O$20)),BI116)</f>
        <v>0</v>
      </c>
      <c r="U117" s="13">
        <f ca="1">IF(OR('My Loans'!$O$20="",'My Loans'!$O$20=0),0,T117*INDIRECT("'My Loans'!$E"&amp;'My Loans'!$O$20)/12)</f>
        <v>0</v>
      </c>
      <c r="V117" s="13">
        <f ca="1">IF(OR('My Loans'!$O$20="",'My Loans'!$O$20=0),0,IF(T117&lt;0.005,0,MIN(INDIRECT("'My Loans'!$F"&amp;'My Loans'!$O$20),T117+U117)))</f>
        <v>0</v>
      </c>
      <c r="W117" s="13">
        <f ca="1">IF(A117=1,IF(OR('My Loans'!$O$21="",'My Loans'!$O$21=0),0,INDIRECT("'My Loans'!$D"&amp;'My Loans'!$O$21)),BN116)</f>
        <v>0</v>
      </c>
      <c r="X117" s="13">
        <f ca="1">IF(OR('My Loans'!$O$21="",'My Loans'!$O$21=0),0,W117*INDIRECT("'My Loans'!$E"&amp;'My Loans'!$O$21)/12)</f>
        <v>0</v>
      </c>
      <c r="Y117" s="13">
        <f ca="1">IF(OR('My Loans'!$O$21="",'My Loans'!$O$21=0),0,IF(W117&lt;0.005,0,MIN(INDIRECT("'My Loans'!$F"&amp;'My Loans'!$O$21),W117+X117)))</f>
        <v>0</v>
      </c>
      <c r="Z117" s="13">
        <f ca="1">'My Loans'!$B$13-(D117+G117+J117+M117+P117+S117+V117+Y117)</f>
        <v>1400</v>
      </c>
      <c r="AA117" s="13">
        <f t="shared" ca="1" si="129"/>
        <v>1400</v>
      </c>
      <c r="AB117" s="13">
        <f t="shared" ca="1" si="130"/>
        <v>0</v>
      </c>
      <c r="AC117" s="13">
        <f t="shared" ca="1" si="131"/>
        <v>0</v>
      </c>
      <c r="AD117" s="13">
        <f t="shared" ca="1" si="132"/>
        <v>0</v>
      </c>
      <c r="AE117" s="13">
        <f t="shared" ca="1" si="133"/>
        <v>0</v>
      </c>
      <c r="AF117" s="13">
        <f t="shared" ca="1" si="134"/>
        <v>1400</v>
      </c>
      <c r="AG117" s="13">
        <f t="shared" ca="1" si="135"/>
        <v>0</v>
      </c>
      <c r="AH117" s="13">
        <f t="shared" ca="1" si="136"/>
        <v>0</v>
      </c>
      <c r="AI117" s="13">
        <f t="shared" ca="1" si="137"/>
        <v>0</v>
      </c>
      <c r="AJ117" s="13">
        <f t="shared" ca="1" si="138"/>
        <v>0</v>
      </c>
      <c r="AK117" s="13">
        <f t="shared" ca="1" si="139"/>
        <v>1400</v>
      </c>
      <c r="AL117" s="13">
        <f t="shared" ca="1" si="140"/>
        <v>0</v>
      </c>
      <c r="AM117" s="13">
        <f t="shared" ca="1" si="141"/>
        <v>0</v>
      </c>
      <c r="AN117" s="13">
        <f t="shared" ca="1" si="142"/>
        <v>0</v>
      </c>
      <c r="AO117" s="13">
        <f t="shared" ca="1" si="143"/>
        <v>0</v>
      </c>
      <c r="AP117" s="13">
        <f t="shared" ca="1" si="144"/>
        <v>1400</v>
      </c>
      <c r="AQ117" s="13">
        <f t="shared" ca="1" si="145"/>
        <v>0</v>
      </c>
      <c r="AR117" s="13">
        <f t="shared" ca="1" si="146"/>
        <v>0</v>
      </c>
      <c r="AS117" s="13">
        <f t="shared" ca="1" si="147"/>
        <v>0</v>
      </c>
      <c r="AT117" s="13">
        <f t="shared" ca="1" si="148"/>
        <v>0</v>
      </c>
      <c r="AU117" s="13">
        <f t="shared" ca="1" si="149"/>
        <v>1400</v>
      </c>
      <c r="AV117" s="13">
        <f t="shared" ca="1" si="150"/>
        <v>0</v>
      </c>
      <c r="AW117" s="13">
        <f t="shared" ca="1" si="151"/>
        <v>0</v>
      </c>
      <c r="AX117" s="13">
        <f t="shared" ca="1" si="152"/>
        <v>0</v>
      </c>
      <c r="AY117" s="13">
        <f t="shared" ca="1" si="153"/>
        <v>0</v>
      </c>
      <c r="AZ117" s="13">
        <f t="shared" ca="1" si="154"/>
        <v>1400</v>
      </c>
      <c r="BA117" s="13">
        <f t="shared" ca="1" si="155"/>
        <v>0</v>
      </c>
      <c r="BB117" s="13">
        <f t="shared" ca="1" si="156"/>
        <v>0</v>
      </c>
      <c r="BC117" s="13">
        <f t="shared" ca="1" si="157"/>
        <v>0</v>
      </c>
      <c r="BD117" s="13">
        <f t="shared" ca="1" si="158"/>
        <v>0</v>
      </c>
      <c r="BE117" s="13">
        <f t="shared" ca="1" si="159"/>
        <v>1400</v>
      </c>
      <c r="BF117" s="13">
        <f t="shared" ca="1" si="160"/>
        <v>0</v>
      </c>
      <c r="BG117" s="13">
        <f t="shared" ca="1" si="161"/>
        <v>0</v>
      </c>
      <c r="BH117" s="13">
        <f t="shared" ca="1" si="162"/>
        <v>0</v>
      </c>
      <c r="BI117" s="13">
        <f t="shared" ca="1" si="163"/>
        <v>0</v>
      </c>
      <c r="BJ117" s="13">
        <f t="shared" ca="1" si="164"/>
        <v>1400</v>
      </c>
      <c r="BK117" s="13">
        <f t="shared" ca="1" si="165"/>
        <v>0</v>
      </c>
      <c r="BL117" s="13">
        <f t="shared" ca="1" si="166"/>
        <v>0</v>
      </c>
      <c r="BM117" s="13">
        <f t="shared" ca="1" si="167"/>
        <v>0</v>
      </c>
      <c r="BN117" s="13">
        <f t="shared" ca="1" si="168"/>
        <v>0</v>
      </c>
      <c r="BO117" s="13">
        <f t="shared" ca="1" si="169"/>
        <v>0</v>
      </c>
      <c r="BP117" s="13">
        <f t="shared" ca="1" si="170"/>
        <v>0</v>
      </c>
      <c r="BQ117" s="13">
        <f t="shared" ca="1" si="171"/>
        <v>0</v>
      </c>
    </row>
    <row r="118" spans="1:69" x14ac:dyDescent="0.25">
      <c r="A118" s="1">
        <v>117</v>
      </c>
      <c r="B118" s="13">
        <f ca="1">IF(A118=1,IF(OR('My Loans'!$O$14="",'My Loans'!$O$14=0),0,INDIRECT("'My Loans'!$D"&amp;'My Loans'!$O$14)),AE117)</f>
        <v>0</v>
      </c>
      <c r="C118" s="13">
        <f ca="1">IF(OR('My Loans'!$O$14="",'My Loans'!$O$14=0),0,B118*INDIRECT("'My Loans'!$E"&amp;'My Loans'!$O$14)/12)</f>
        <v>0</v>
      </c>
      <c r="D118" s="13">
        <f ca="1">IF(OR('My Loans'!$O$14="",'My Loans'!$O$14=0),0,IF(B118&lt;0.005,0,MIN(INDIRECT("'My Loans'!$F"&amp;'My Loans'!$O$14),B118+C118)))</f>
        <v>0</v>
      </c>
      <c r="E118" s="13">
        <f ca="1">IF(A118=1,IF(OR('My Loans'!$O$15="",'My Loans'!$O$15=0),0,INDIRECT("'My Loans'!$D"&amp;'My Loans'!$O$15)),AJ117)</f>
        <v>0</v>
      </c>
      <c r="F118" s="13">
        <f ca="1">IF(OR('My Loans'!$O$15="",'My Loans'!$O$15=0),0,E118*INDIRECT("'My Loans'!$E"&amp;'My Loans'!$O$15)/12)</f>
        <v>0</v>
      </c>
      <c r="G118" s="13">
        <f ca="1">IF(OR('My Loans'!$O$15="",'My Loans'!$O$15=0),0,IF(E118&lt;0.005,0,MIN(INDIRECT("'My Loans'!$F"&amp;'My Loans'!$O$15),E118+F118)))</f>
        <v>0</v>
      </c>
      <c r="H118" s="13">
        <f ca="1">IF(A118=1,IF(OR('My Loans'!$O$16="",'My Loans'!$O$16=0),0,INDIRECT("'My Loans'!$D"&amp;'My Loans'!$O$16)),AO117)</f>
        <v>0</v>
      </c>
      <c r="I118" s="13">
        <f ca="1">IF(OR('My Loans'!$O$16="",'My Loans'!$O$16=0),0,H118*INDIRECT("'My Loans'!$E"&amp;'My Loans'!$O$16)/12)</f>
        <v>0</v>
      </c>
      <c r="J118" s="13">
        <f ca="1">IF(OR('My Loans'!$O$16="",'My Loans'!$O$16=0),0,IF(H118&lt;0.005,0,MIN(INDIRECT("'My Loans'!$F"&amp;'My Loans'!$O$16),H118+I118)))</f>
        <v>0</v>
      </c>
      <c r="K118" s="13">
        <f ca="1">IF(A118=1,IF(OR('My Loans'!$O$17="",'My Loans'!$O$17=0),0,INDIRECT("'My Loans'!$D"&amp;'My Loans'!$O$17)),AT117)</f>
        <v>0</v>
      </c>
      <c r="L118" s="13">
        <f ca="1">IF(OR('My Loans'!$O$17="",'My Loans'!$O$17=0),0,K118*INDIRECT("'My Loans'!$E"&amp;'My Loans'!$O$17)/12)</f>
        <v>0</v>
      </c>
      <c r="M118" s="13">
        <f ca="1">IF(OR('My Loans'!$O$17="",'My Loans'!$O$17=0),0,IF(K118&lt;0.005,0,MIN(INDIRECT("'My Loans'!$F"&amp;'My Loans'!$O$17),K118+L118)))</f>
        <v>0</v>
      </c>
      <c r="N118" s="13">
        <f ca="1">IF(A118=1,IF(OR('My Loans'!$O$18="",'My Loans'!$O$18=0),0,INDIRECT("'My Loans'!$D"&amp;'My Loans'!$O$18)),AY117)</f>
        <v>0</v>
      </c>
      <c r="O118" s="13">
        <f ca="1">IF(OR('My Loans'!$O$18="",'My Loans'!$O$18=0),0,N118*INDIRECT("'My Loans'!$E"&amp;'My Loans'!$O$18)/12)</f>
        <v>0</v>
      </c>
      <c r="P118" s="13">
        <f ca="1">IF(OR('My Loans'!$O$18="",'My Loans'!$O$18=0),0,IF(N118&lt;0.005,0,MIN(INDIRECT("'My Loans'!$F"&amp;'My Loans'!$O$18),N118+O118)))</f>
        <v>0</v>
      </c>
      <c r="Q118" s="13">
        <f ca="1">IF(A118=1,IF(OR('My Loans'!$O$19="",'My Loans'!$O$19=0),0,INDIRECT("'My Loans'!$D"&amp;'My Loans'!$O$19)),BD117)</f>
        <v>0</v>
      </c>
      <c r="R118" s="13">
        <f ca="1">IF(OR('My Loans'!$O$19="",'My Loans'!$O$19=0),0,Q118*INDIRECT("'My Loans'!$E"&amp;'My Loans'!$O$19)/12)</f>
        <v>0</v>
      </c>
      <c r="S118" s="13">
        <f ca="1">IF(OR('My Loans'!$O$19="",'My Loans'!$O$19=0),0,IF(Q118&lt;0.005,0,MIN(INDIRECT("'My Loans'!$F"&amp;'My Loans'!$O$19),Q118+R118)))</f>
        <v>0</v>
      </c>
      <c r="T118" s="13">
        <f ca="1">IF(A118=1,IF(OR('My Loans'!$O$20="",'My Loans'!$O$20=0),0,INDIRECT("'My Loans'!$D"&amp;'My Loans'!$O$20)),BI117)</f>
        <v>0</v>
      </c>
      <c r="U118" s="13">
        <f ca="1">IF(OR('My Loans'!$O$20="",'My Loans'!$O$20=0),0,T118*INDIRECT("'My Loans'!$E"&amp;'My Loans'!$O$20)/12)</f>
        <v>0</v>
      </c>
      <c r="V118" s="13">
        <f ca="1">IF(OR('My Loans'!$O$20="",'My Loans'!$O$20=0),0,IF(T118&lt;0.005,0,MIN(INDIRECT("'My Loans'!$F"&amp;'My Loans'!$O$20),T118+U118)))</f>
        <v>0</v>
      </c>
      <c r="W118" s="13">
        <f ca="1">IF(A118=1,IF(OR('My Loans'!$O$21="",'My Loans'!$O$21=0),0,INDIRECT("'My Loans'!$D"&amp;'My Loans'!$O$21)),BN117)</f>
        <v>0</v>
      </c>
      <c r="X118" s="13">
        <f ca="1">IF(OR('My Loans'!$O$21="",'My Loans'!$O$21=0),0,W118*INDIRECT("'My Loans'!$E"&amp;'My Loans'!$O$21)/12)</f>
        <v>0</v>
      </c>
      <c r="Y118" s="13">
        <f ca="1">IF(OR('My Loans'!$O$21="",'My Loans'!$O$21=0),0,IF(W118&lt;0.005,0,MIN(INDIRECT("'My Loans'!$F"&amp;'My Loans'!$O$21),W118+X118)))</f>
        <v>0</v>
      </c>
      <c r="Z118" s="13">
        <f ca="1">'My Loans'!$B$13-(D118+G118+J118+M118+P118+S118+V118+Y118)</f>
        <v>1400</v>
      </c>
      <c r="AA118" s="13">
        <f t="shared" ca="1" si="129"/>
        <v>1400</v>
      </c>
      <c r="AB118" s="13">
        <f t="shared" ca="1" si="130"/>
        <v>0</v>
      </c>
      <c r="AC118" s="13">
        <f t="shared" ca="1" si="131"/>
        <v>0</v>
      </c>
      <c r="AD118" s="13">
        <f t="shared" ca="1" si="132"/>
        <v>0</v>
      </c>
      <c r="AE118" s="13">
        <f t="shared" ca="1" si="133"/>
        <v>0</v>
      </c>
      <c r="AF118" s="13">
        <f t="shared" ca="1" si="134"/>
        <v>1400</v>
      </c>
      <c r="AG118" s="13">
        <f t="shared" ca="1" si="135"/>
        <v>0</v>
      </c>
      <c r="AH118" s="13">
        <f t="shared" ca="1" si="136"/>
        <v>0</v>
      </c>
      <c r="AI118" s="13">
        <f t="shared" ca="1" si="137"/>
        <v>0</v>
      </c>
      <c r="AJ118" s="13">
        <f t="shared" ca="1" si="138"/>
        <v>0</v>
      </c>
      <c r="AK118" s="13">
        <f t="shared" ca="1" si="139"/>
        <v>1400</v>
      </c>
      <c r="AL118" s="13">
        <f t="shared" ca="1" si="140"/>
        <v>0</v>
      </c>
      <c r="AM118" s="13">
        <f t="shared" ca="1" si="141"/>
        <v>0</v>
      </c>
      <c r="AN118" s="13">
        <f t="shared" ca="1" si="142"/>
        <v>0</v>
      </c>
      <c r="AO118" s="13">
        <f t="shared" ca="1" si="143"/>
        <v>0</v>
      </c>
      <c r="AP118" s="13">
        <f t="shared" ca="1" si="144"/>
        <v>1400</v>
      </c>
      <c r="AQ118" s="13">
        <f t="shared" ca="1" si="145"/>
        <v>0</v>
      </c>
      <c r="AR118" s="13">
        <f t="shared" ca="1" si="146"/>
        <v>0</v>
      </c>
      <c r="AS118" s="13">
        <f t="shared" ca="1" si="147"/>
        <v>0</v>
      </c>
      <c r="AT118" s="13">
        <f t="shared" ca="1" si="148"/>
        <v>0</v>
      </c>
      <c r="AU118" s="13">
        <f t="shared" ca="1" si="149"/>
        <v>1400</v>
      </c>
      <c r="AV118" s="13">
        <f t="shared" ca="1" si="150"/>
        <v>0</v>
      </c>
      <c r="AW118" s="13">
        <f t="shared" ca="1" si="151"/>
        <v>0</v>
      </c>
      <c r="AX118" s="13">
        <f t="shared" ca="1" si="152"/>
        <v>0</v>
      </c>
      <c r="AY118" s="13">
        <f t="shared" ca="1" si="153"/>
        <v>0</v>
      </c>
      <c r="AZ118" s="13">
        <f t="shared" ca="1" si="154"/>
        <v>1400</v>
      </c>
      <c r="BA118" s="13">
        <f t="shared" ca="1" si="155"/>
        <v>0</v>
      </c>
      <c r="BB118" s="13">
        <f t="shared" ca="1" si="156"/>
        <v>0</v>
      </c>
      <c r="BC118" s="13">
        <f t="shared" ca="1" si="157"/>
        <v>0</v>
      </c>
      <c r="BD118" s="13">
        <f t="shared" ca="1" si="158"/>
        <v>0</v>
      </c>
      <c r="BE118" s="13">
        <f t="shared" ca="1" si="159"/>
        <v>1400</v>
      </c>
      <c r="BF118" s="13">
        <f t="shared" ca="1" si="160"/>
        <v>0</v>
      </c>
      <c r="BG118" s="13">
        <f t="shared" ca="1" si="161"/>
        <v>0</v>
      </c>
      <c r="BH118" s="13">
        <f t="shared" ca="1" si="162"/>
        <v>0</v>
      </c>
      <c r="BI118" s="13">
        <f t="shared" ca="1" si="163"/>
        <v>0</v>
      </c>
      <c r="BJ118" s="13">
        <f t="shared" ca="1" si="164"/>
        <v>1400</v>
      </c>
      <c r="BK118" s="13">
        <f t="shared" ca="1" si="165"/>
        <v>0</v>
      </c>
      <c r="BL118" s="13">
        <f t="shared" ca="1" si="166"/>
        <v>0</v>
      </c>
      <c r="BM118" s="13">
        <f t="shared" ca="1" si="167"/>
        <v>0</v>
      </c>
      <c r="BN118" s="13">
        <f t="shared" ca="1" si="168"/>
        <v>0</v>
      </c>
      <c r="BO118" s="13">
        <f t="shared" ca="1" si="169"/>
        <v>0</v>
      </c>
      <c r="BP118" s="13">
        <f t="shared" ca="1" si="170"/>
        <v>0</v>
      </c>
      <c r="BQ118" s="13">
        <f t="shared" ca="1" si="171"/>
        <v>0</v>
      </c>
    </row>
    <row r="119" spans="1:69" x14ac:dyDescent="0.25">
      <c r="A119" s="1">
        <v>118</v>
      </c>
      <c r="B119" s="13">
        <f ca="1">IF(A119=1,IF(OR('My Loans'!$O$14="",'My Loans'!$O$14=0),0,INDIRECT("'My Loans'!$D"&amp;'My Loans'!$O$14)),AE118)</f>
        <v>0</v>
      </c>
      <c r="C119" s="13">
        <f ca="1">IF(OR('My Loans'!$O$14="",'My Loans'!$O$14=0),0,B119*INDIRECT("'My Loans'!$E"&amp;'My Loans'!$O$14)/12)</f>
        <v>0</v>
      </c>
      <c r="D119" s="13">
        <f ca="1">IF(OR('My Loans'!$O$14="",'My Loans'!$O$14=0),0,IF(B119&lt;0.005,0,MIN(INDIRECT("'My Loans'!$F"&amp;'My Loans'!$O$14),B119+C119)))</f>
        <v>0</v>
      </c>
      <c r="E119" s="13">
        <f ca="1">IF(A119=1,IF(OR('My Loans'!$O$15="",'My Loans'!$O$15=0),0,INDIRECT("'My Loans'!$D"&amp;'My Loans'!$O$15)),AJ118)</f>
        <v>0</v>
      </c>
      <c r="F119" s="13">
        <f ca="1">IF(OR('My Loans'!$O$15="",'My Loans'!$O$15=0),0,E119*INDIRECT("'My Loans'!$E"&amp;'My Loans'!$O$15)/12)</f>
        <v>0</v>
      </c>
      <c r="G119" s="13">
        <f ca="1">IF(OR('My Loans'!$O$15="",'My Loans'!$O$15=0),0,IF(E119&lt;0.005,0,MIN(INDIRECT("'My Loans'!$F"&amp;'My Loans'!$O$15),E119+F119)))</f>
        <v>0</v>
      </c>
      <c r="H119" s="13">
        <f ca="1">IF(A119=1,IF(OR('My Loans'!$O$16="",'My Loans'!$O$16=0),0,INDIRECT("'My Loans'!$D"&amp;'My Loans'!$O$16)),AO118)</f>
        <v>0</v>
      </c>
      <c r="I119" s="13">
        <f ca="1">IF(OR('My Loans'!$O$16="",'My Loans'!$O$16=0),0,H119*INDIRECT("'My Loans'!$E"&amp;'My Loans'!$O$16)/12)</f>
        <v>0</v>
      </c>
      <c r="J119" s="13">
        <f ca="1">IF(OR('My Loans'!$O$16="",'My Loans'!$O$16=0),0,IF(H119&lt;0.005,0,MIN(INDIRECT("'My Loans'!$F"&amp;'My Loans'!$O$16),H119+I119)))</f>
        <v>0</v>
      </c>
      <c r="K119" s="13">
        <f ca="1">IF(A119=1,IF(OR('My Loans'!$O$17="",'My Loans'!$O$17=0),0,INDIRECT("'My Loans'!$D"&amp;'My Loans'!$O$17)),AT118)</f>
        <v>0</v>
      </c>
      <c r="L119" s="13">
        <f ca="1">IF(OR('My Loans'!$O$17="",'My Loans'!$O$17=0),0,K119*INDIRECT("'My Loans'!$E"&amp;'My Loans'!$O$17)/12)</f>
        <v>0</v>
      </c>
      <c r="M119" s="13">
        <f ca="1">IF(OR('My Loans'!$O$17="",'My Loans'!$O$17=0),0,IF(K119&lt;0.005,0,MIN(INDIRECT("'My Loans'!$F"&amp;'My Loans'!$O$17),K119+L119)))</f>
        <v>0</v>
      </c>
      <c r="N119" s="13">
        <f ca="1">IF(A119=1,IF(OR('My Loans'!$O$18="",'My Loans'!$O$18=0),0,INDIRECT("'My Loans'!$D"&amp;'My Loans'!$O$18)),AY118)</f>
        <v>0</v>
      </c>
      <c r="O119" s="13">
        <f ca="1">IF(OR('My Loans'!$O$18="",'My Loans'!$O$18=0),0,N119*INDIRECT("'My Loans'!$E"&amp;'My Loans'!$O$18)/12)</f>
        <v>0</v>
      </c>
      <c r="P119" s="13">
        <f ca="1">IF(OR('My Loans'!$O$18="",'My Loans'!$O$18=0),0,IF(N119&lt;0.005,0,MIN(INDIRECT("'My Loans'!$F"&amp;'My Loans'!$O$18),N119+O119)))</f>
        <v>0</v>
      </c>
      <c r="Q119" s="13">
        <f ca="1">IF(A119=1,IF(OR('My Loans'!$O$19="",'My Loans'!$O$19=0),0,INDIRECT("'My Loans'!$D"&amp;'My Loans'!$O$19)),BD118)</f>
        <v>0</v>
      </c>
      <c r="R119" s="13">
        <f ca="1">IF(OR('My Loans'!$O$19="",'My Loans'!$O$19=0),0,Q119*INDIRECT("'My Loans'!$E"&amp;'My Loans'!$O$19)/12)</f>
        <v>0</v>
      </c>
      <c r="S119" s="13">
        <f ca="1">IF(OR('My Loans'!$O$19="",'My Loans'!$O$19=0),0,IF(Q119&lt;0.005,0,MIN(INDIRECT("'My Loans'!$F"&amp;'My Loans'!$O$19),Q119+R119)))</f>
        <v>0</v>
      </c>
      <c r="T119" s="13">
        <f ca="1">IF(A119=1,IF(OR('My Loans'!$O$20="",'My Loans'!$O$20=0),0,INDIRECT("'My Loans'!$D"&amp;'My Loans'!$O$20)),BI118)</f>
        <v>0</v>
      </c>
      <c r="U119" s="13">
        <f ca="1">IF(OR('My Loans'!$O$20="",'My Loans'!$O$20=0),0,T119*INDIRECT("'My Loans'!$E"&amp;'My Loans'!$O$20)/12)</f>
        <v>0</v>
      </c>
      <c r="V119" s="13">
        <f ca="1">IF(OR('My Loans'!$O$20="",'My Loans'!$O$20=0),0,IF(T119&lt;0.005,0,MIN(INDIRECT("'My Loans'!$F"&amp;'My Loans'!$O$20),T119+U119)))</f>
        <v>0</v>
      </c>
      <c r="W119" s="13">
        <f ca="1">IF(A119=1,IF(OR('My Loans'!$O$21="",'My Loans'!$O$21=0),0,INDIRECT("'My Loans'!$D"&amp;'My Loans'!$O$21)),BN118)</f>
        <v>0</v>
      </c>
      <c r="X119" s="13">
        <f ca="1">IF(OR('My Loans'!$O$21="",'My Loans'!$O$21=0),0,W119*INDIRECT("'My Loans'!$E"&amp;'My Loans'!$O$21)/12)</f>
        <v>0</v>
      </c>
      <c r="Y119" s="13">
        <f ca="1">IF(OR('My Loans'!$O$21="",'My Loans'!$O$21=0),0,IF(W119&lt;0.005,0,MIN(INDIRECT("'My Loans'!$F"&amp;'My Loans'!$O$21),W119+X119)))</f>
        <v>0</v>
      </c>
      <c r="Z119" s="13">
        <f ca="1">'My Loans'!$B$13-(D119+G119+J119+M119+P119+S119+V119+Y119)</f>
        <v>1400</v>
      </c>
      <c r="AA119" s="13">
        <f t="shared" ca="1" si="129"/>
        <v>1400</v>
      </c>
      <c r="AB119" s="13">
        <f t="shared" ca="1" si="130"/>
        <v>0</v>
      </c>
      <c r="AC119" s="13">
        <f t="shared" ca="1" si="131"/>
        <v>0</v>
      </c>
      <c r="AD119" s="13">
        <f t="shared" ca="1" si="132"/>
        <v>0</v>
      </c>
      <c r="AE119" s="13">
        <f t="shared" ca="1" si="133"/>
        <v>0</v>
      </c>
      <c r="AF119" s="13">
        <f t="shared" ca="1" si="134"/>
        <v>1400</v>
      </c>
      <c r="AG119" s="13">
        <f t="shared" ca="1" si="135"/>
        <v>0</v>
      </c>
      <c r="AH119" s="13">
        <f t="shared" ca="1" si="136"/>
        <v>0</v>
      </c>
      <c r="AI119" s="13">
        <f t="shared" ca="1" si="137"/>
        <v>0</v>
      </c>
      <c r="AJ119" s="13">
        <f t="shared" ca="1" si="138"/>
        <v>0</v>
      </c>
      <c r="AK119" s="13">
        <f t="shared" ca="1" si="139"/>
        <v>1400</v>
      </c>
      <c r="AL119" s="13">
        <f t="shared" ca="1" si="140"/>
        <v>0</v>
      </c>
      <c r="AM119" s="13">
        <f t="shared" ca="1" si="141"/>
        <v>0</v>
      </c>
      <c r="AN119" s="13">
        <f t="shared" ca="1" si="142"/>
        <v>0</v>
      </c>
      <c r="AO119" s="13">
        <f t="shared" ca="1" si="143"/>
        <v>0</v>
      </c>
      <c r="AP119" s="13">
        <f t="shared" ca="1" si="144"/>
        <v>1400</v>
      </c>
      <c r="AQ119" s="13">
        <f t="shared" ca="1" si="145"/>
        <v>0</v>
      </c>
      <c r="AR119" s="13">
        <f t="shared" ca="1" si="146"/>
        <v>0</v>
      </c>
      <c r="AS119" s="13">
        <f t="shared" ca="1" si="147"/>
        <v>0</v>
      </c>
      <c r="AT119" s="13">
        <f t="shared" ca="1" si="148"/>
        <v>0</v>
      </c>
      <c r="AU119" s="13">
        <f t="shared" ca="1" si="149"/>
        <v>1400</v>
      </c>
      <c r="AV119" s="13">
        <f t="shared" ca="1" si="150"/>
        <v>0</v>
      </c>
      <c r="AW119" s="13">
        <f t="shared" ca="1" si="151"/>
        <v>0</v>
      </c>
      <c r="AX119" s="13">
        <f t="shared" ca="1" si="152"/>
        <v>0</v>
      </c>
      <c r="AY119" s="13">
        <f t="shared" ca="1" si="153"/>
        <v>0</v>
      </c>
      <c r="AZ119" s="13">
        <f t="shared" ca="1" si="154"/>
        <v>1400</v>
      </c>
      <c r="BA119" s="13">
        <f t="shared" ca="1" si="155"/>
        <v>0</v>
      </c>
      <c r="BB119" s="13">
        <f t="shared" ca="1" si="156"/>
        <v>0</v>
      </c>
      <c r="BC119" s="13">
        <f t="shared" ca="1" si="157"/>
        <v>0</v>
      </c>
      <c r="BD119" s="13">
        <f t="shared" ca="1" si="158"/>
        <v>0</v>
      </c>
      <c r="BE119" s="13">
        <f t="shared" ca="1" si="159"/>
        <v>1400</v>
      </c>
      <c r="BF119" s="13">
        <f t="shared" ca="1" si="160"/>
        <v>0</v>
      </c>
      <c r="BG119" s="13">
        <f t="shared" ca="1" si="161"/>
        <v>0</v>
      </c>
      <c r="BH119" s="13">
        <f t="shared" ca="1" si="162"/>
        <v>0</v>
      </c>
      <c r="BI119" s="13">
        <f t="shared" ca="1" si="163"/>
        <v>0</v>
      </c>
      <c r="BJ119" s="13">
        <f t="shared" ca="1" si="164"/>
        <v>1400</v>
      </c>
      <c r="BK119" s="13">
        <f t="shared" ca="1" si="165"/>
        <v>0</v>
      </c>
      <c r="BL119" s="13">
        <f t="shared" ca="1" si="166"/>
        <v>0</v>
      </c>
      <c r="BM119" s="13">
        <f t="shared" ca="1" si="167"/>
        <v>0</v>
      </c>
      <c r="BN119" s="13">
        <f t="shared" ca="1" si="168"/>
        <v>0</v>
      </c>
      <c r="BO119" s="13">
        <f t="shared" ca="1" si="169"/>
        <v>0</v>
      </c>
      <c r="BP119" s="13">
        <f t="shared" ca="1" si="170"/>
        <v>0</v>
      </c>
      <c r="BQ119" s="13">
        <f t="shared" ca="1" si="171"/>
        <v>0</v>
      </c>
    </row>
    <row r="120" spans="1:69" x14ac:dyDescent="0.25">
      <c r="A120" s="1">
        <v>119</v>
      </c>
      <c r="B120" s="13">
        <f ca="1">IF(A120=1,IF(OR('My Loans'!$O$14="",'My Loans'!$O$14=0),0,INDIRECT("'My Loans'!$D"&amp;'My Loans'!$O$14)),AE119)</f>
        <v>0</v>
      </c>
      <c r="C120" s="13">
        <f ca="1">IF(OR('My Loans'!$O$14="",'My Loans'!$O$14=0),0,B120*INDIRECT("'My Loans'!$E"&amp;'My Loans'!$O$14)/12)</f>
        <v>0</v>
      </c>
      <c r="D120" s="13">
        <f ca="1">IF(OR('My Loans'!$O$14="",'My Loans'!$O$14=0),0,IF(B120&lt;0.005,0,MIN(INDIRECT("'My Loans'!$F"&amp;'My Loans'!$O$14),B120+C120)))</f>
        <v>0</v>
      </c>
      <c r="E120" s="13">
        <f ca="1">IF(A120=1,IF(OR('My Loans'!$O$15="",'My Loans'!$O$15=0),0,INDIRECT("'My Loans'!$D"&amp;'My Loans'!$O$15)),AJ119)</f>
        <v>0</v>
      </c>
      <c r="F120" s="13">
        <f ca="1">IF(OR('My Loans'!$O$15="",'My Loans'!$O$15=0),0,E120*INDIRECT("'My Loans'!$E"&amp;'My Loans'!$O$15)/12)</f>
        <v>0</v>
      </c>
      <c r="G120" s="13">
        <f ca="1">IF(OR('My Loans'!$O$15="",'My Loans'!$O$15=0),0,IF(E120&lt;0.005,0,MIN(INDIRECT("'My Loans'!$F"&amp;'My Loans'!$O$15),E120+F120)))</f>
        <v>0</v>
      </c>
      <c r="H120" s="13">
        <f ca="1">IF(A120=1,IF(OR('My Loans'!$O$16="",'My Loans'!$O$16=0),0,INDIRECT("'My Loans'!$D"&amp;'My Loans'!$O$16)),AO119)</f>
        <v>0</v>
      </c>
      <c r="I120" s="13">
        <f ca="1">IF(OR('My Loans'!$O$16="",'My Loans'!$O$16=0),0,H120*INDIRECT("'My Loans'!$E"&amp;'My Loans'!$O$16)/12)</f>
        <v>0</v>
      </c>
      <c r="J120" s="13">
        <f ca="1">IF(OR('My Loans'!$O$16="",'My Loans'!$O$16=0),0,IF(H120&lt;0.005,0,MIN(INDIRECT("'My Loans'!$F"&amp;'My Loans'!$O$16),H120+I120)))</f>
        <v>0</v>
      </c>
      <c r="K120" s="13">
        <f ca="1">IF(A120=1,IF(OR('My Loans'!$O$17="",'My Loans'!$O$17=0),0,INDIRECT("'My Loans'!$D"&amp;'My Loans'!$O$17)),AT119)</f>
        <v>0</v>
      </c>
      <c r="L120" s="13">
        <f ca="1">IF(OR('My Loans'!$O$17="",'My Loans'!$O$17=0),0,K120*INDIRECT("'My Loans'!$E"&amp;'My Loans'!$O$17)/12)</f>
        <v>0</v>
      </c>
      <c r="M120" s="13">
        <f ca="1">IF(OR('My Loans'!$O$17="",'My Loans'!$O$17=0),0,IF(K120&lt;0.005,0,MIN(INDIRECT("'My Loans'!$F"&amp;'My Loans'!$O$17),K120+L120)))</f>
        <v>0</v>
      </c>
      <c r="N120" s="13">
        <f ca="1">IF(A120=1,IF(OR('My Loans'!$O$18="",'My Loans'!$O$18=0),0,INDIRECT("'My Loans'!$D"&amp;'My Loans'!$O$18)),AY119)</f>
        <v>0</v>
      </c>
      <c r="O120" s="13">
        <f ca="1">IF(OR('My Loans'!$O$18="",'My Loans'!$O$18=0),0,N120*INDIRECT("'My Loans'!$E"&amp;'My Loans'!$O$18)/12)</f>
        <v>0</v>
      </c>
      <c r="P120" s="13">
        <f ca="1">IF(OR('My Loans'!$O$18="",'My Loans'!$O$18=0),0,IF(N120&lt;0.005,0,MIN(INDIRECT("'My Loans'!$F"&amp;'My Loans'!$O$18),N120+O120)))</f>
        <v>0</v>
      </c>
      <c r="Q120" s="13">
        <f ca="1">IF(A120=1,IF(OR('My Loans'!$O$19="",'My Loans'!$O$19=0),0,INDIRECT("'My Loans'!$D"&amp;'My Loans'!$O$19)),BD119)</f>
        <v>0</v>
      </c>
      <c r="R120" s="13">
        <f ca="1">IF(OR('My Loans'!$O$19="",'My Loans'!$O$19=0),0,Q120*INDIRECT("'My Loans'!$E"&amp;'My Loans'!$O$19)/12)</f>
        <v>0</v>
      </c>
      <c r="S120" s="13">
        <f ca="1">IF(OR('My Loans'!$O$19="",'My Loans'!$O$19=0),0,IF(Q120&lt;0.005,0,MIN(INDIRECT("'My Loans'!$F"&amp;'My Loans'!$O$19),Q120+R120)))</f>
        <v>0</v>
      </c>
      <c r="T120" s="13">
        <f ca="1">IF(A120=1,IF(OR('My Loans'!$O$20="",'My Loans'!$O$20=0),0,INDIRECT("'My Loans'!$D"&amp;'My Loans'!$O$20)),BI119)</f>
        <v>0</v>
      </c>
      <c r="U120" s="13">
        <f ca="1">IF(OR('My Loans'!$O$20="",'My Loans'!$O$20=0),0,T120*INDIRECT("'My Loans'!$E"&amp;'My Loans'!$O$20)/12)</f>
        <v>0</v>
      </c>
      <c r="V120" s="13">
        <f ca="1">IF(OR('My Loans'!$O$20="",'My Loans'!$O$20=0),0,IF(T120&lt;0.005,0,MIN(INDIRECT("'My Loans'!$F"&amp;'My Loans'!$O$20),T120+U120)))</f>
        <v>0</v>
      </c>
      <c r="W120" s="13">
        <f ca="1">IF(A120=1,IF(OR('My Loans'!$O$21="",'My Loans'!$O$21=0),0,INDIRECT("'My Loans'!$D"&amp;'My Loans'!$O$21)),BN119)</f>
        <v>0</v>
      </c>
      <c r="X120" s="13">
        <f ca="1">IF(OR('My Loans'!$O$21="",'My Loans'!$O$21=0),0,W120*INDIRECT("'My Loans'!$E"&amp;'My Loans'!$O$21)/12)</f>
        <v>0</v>
      </c>
      <c r="Y120" s="13">
        <f ca="1">IF(OR('My Loans'!$O$21="",'My Loans'!$O$21=0),0,IF(W120&lt;0.005,0,MIN(INDIRECT("'My Loans'!$F"&amp;'My Loans'!$O$21),W120+X120)))</f>
        <v>0</v>
      </c>
      <c r="Z120" s="13">
        <f ca="1">'My Loans'!$B$13-(D120+G120+J120+M120+P120+S120+V120+Y120)</f>
        <v>1400</v>
      </c>
      <c r="AA120" s="13">
        <f t="shared" ca="1" si="129"/>
        <v>1400</v>
      </c>
      <c r="AB120" s="13">
        <f t="shared" ca="1" si="130"/>
        <v>0</v>
      </c>
      <c r="AC120" s="13">
        <f t="shared" ca="1" si="131"/>
        <v>0</v>
      </c>
      <c r="AD120" s="13">
        <f t="shared" ca="1" si="132"/>
        <v>0</v>
      </c>
      <c r="AE120" s="13">
        <f t="shared" ca="1" si="133"/>
        <v>0</v>
      </c>
      <c r="AF120" s="13">
        <f t="shared" ca="1" si="134"/>
        <v>1400</v>
      </c>
      <c r="AG120" s="13">
        <f t="shared" ca="1" si="135"/>
        <v>0</v>
      </c>
      <c r="AH120" s="13">
        <f t="shared" ca="1" si="136"/>
        <v>0</v>
      </c>
      <c r="AI120" s="13">
        <f t="shared" ca="1" si="137"/>
        <v>0</v>
      </c>
      <c r="AJ120" s="13">
        <f t="shared" ca="1" si="138"/>
        <v>0</v>
      </c>
      <c r="AK120" s="13">
        <f t="shared" ca="1" si="139"/>
        <v>1400</v>
      </c>
      <c r="AL120" s="13">
        <f t="shared" ca="1" si="140"/>
        <v>0</v>
      </c>
      <c r="AM120" s="13">
        <f t="shared" ca="1" si="141"/>
        <v>0</v>
      </c>
      <c r="AN120" s="13">
        <f t="shared" ca="1" si="142"/>
        <v>0</v>
      </c>
      <c r="AO120" s="13">
        <f t="shared" ca="1" si="143"/>
        <v>0</v>
      </c>
      <c r="AP120" s="13">
        <f t="shared" ca="1" si="144"/>
        <v>1400</v>
      </c>
      <c r="AQ120" s="13">
        <f t="shared" ca="1" si="145"/>
        <v>0</v>
      </c>
      <c r="AR120" s="13">
        <f t="shared" ca="1" si="146"/>
        <v>0</v>
      </c>
      <c r="AS120" s="13">
        <f t="shared" ca="1" si="147"/>
        <v>0</v>
      </c>
      <c r="AT120" s="13">
        <f t="shared" ca="1" si="148"/>
        <v>0</v>
      </c>
      <c r="AU120" s="13">
        <f t="shared" ca="1" si="149"/>
        <v>1400</v>
      </c>
      <c r="AV120" s="13">
        <f t="shared" ca="1" si="150"/>
        <v>0</v>
      </c>
      <c r="AW120" s="13">
        <f t="shared" ca="1" si="151"/>
        <v>0</v>
      </c>
      <c r="AX120" s="13">
        <f t="shared" ca="1" si="152"/>
        <v>0</v>
      </c>
      <c r="AY120" s="13">
        <f t="shared" ca="1" si="153"/>
        <v>0</v>
      </c>
      <c r="AZ120" s="13">
        <f t="shared" ca="1" si="154"/>
        <v>1400</v>
      </c>
      <c r="BA120" s="13">
        <f t="shared" ca="1" si="155"/>
        <v>0</v>
      </c>
      <c r="BB120" s="13">
        <f t="shared" ca="1" si="156"/>
        <v>0</v>
      </c>
      <c r="BC120" s="13">
        <f t="shared" ca="1" si="157"/>
        <v>0</v>
      </c>
      <c r="BD120" s="13">
        <f t="shared" ca="1" si="158"/>
        <v>0</v>
      </c>
      <c r="BE120" s="13">
        <f t="shared" ca="1" si="159"/>
        <v>1400</v>
      </c>
      <c r="BF120" s="13">
        <f t="shared" ca="1" si="160"/>
        <v>0</v>
      </c>
      <c r="BG120" s="13">
        <f t="shared" ca="1" si="161"/>
        <v>0</v>
      </c>
      <c r="BH120" s="13">
        <f t="shared" ca="1" si="162"/>
        <v>0</v>
      </c>
      <c r="BI120" s="13">
        <f t="shared" ca="1" si="163"/>
        <v>0</v>
      </c>
      <c r="BJ120" s="13">
        <f t="shared" ca="1" si="164"/>
        <v>1400</v>
      </c>
      <c r="BK120" s="13">
        <f t="shared" ca="1" si="165"/>
        <v>0</v>
      </c>
      <c r="BL120" s="13">
        <f t="shared" ca="1" si="166"/>
        <v>0</v>
      </c>
      <c r="BM120" s="13">
        <f t="shared" ca="1" si="167"/>
        <v>0</v>
      </c>
      <c r="BN120" s="13">
        <f t="shared" ca="1" si="168"/>
        <v>0</v>
      </c>
      <c r="BO120" s="13">
        <f t="shared" ca="1" si="169"/>
        <v>0</v>
      </c>
      <c r="BP120" s="13">
        <f t="shared" ca="1" si="170"/>
        <v>0</v>
      </c>
      <c r="BQ120" s="13">
        <f t="shared" ca="1" si="171"/>
        <v>0</v>
      </c>
    </row>
    <row r="121" spans="1:69" x14ac:dyDescent="0.25">
      <c r="A121" s="1">
        <v>120</v>
      </c>
      <c r="B121" s="13">
        <f ca="1">IF(A121=1,IF(OR('My Loans'!$O$14="",'My Loans'!$O$14=0),0,INDIRECT("'My Loans'!$D"&amp;'My Loans'!$O$14)),AE120)</f>
        <v>0</v>
      </c>
      <c r="C121" s="13">
        <f ca="1">IF(OR('My Loans'!$O$14="",'My Loans'!$O$14=0),0,B121*INDIRECT("'My Loans'!$E"&amp;'My Loans'!$O$14)/12)</f>
        <v>0</v>
      </c>
      <c r="D121" s="13">
        <f ca="1">IF(OR('My Loans'!$O$14="",'My Loans'!$O$14=0),0,IF(B121&lt;0.005,0,MIN(INDIRECT("'My Loans'!$F"&amp;'My Loans'!$O$14),B121+C121)))</f>
        <v>0</v>
      </c>
      <c r="E121" s="13">
        <f ca="1">IF(A121=1,IF(OR('My Loans'!$O$15="",'My Loans'!$O$15=0),0,INDIRECT("'My Loans'!$D"&amp;'My Loans'!$O$15)),AJ120)</f>
        <v>0</v>
      </c>
      <c r="F121" s="13">
        <f ca="1">IF(OR('My Loans'!$O$15="",'My Loans'!$O$15=0),0,E121*INDIRECT("'My Loans'!$E"&amp;'My Loans'!$O$15)/12)</f>
        <v>0</v>
      </c>
      <c r="G121" s="13">
        <f ca="1">IF(OR('My Loans'!$O$15="",'My Loans'!$O$15=0),0,IF(E121&lt;0.005,0,MIN(INDIRECT("'My Loans'!$F"&amp;'My Loans'!$O$15),E121+F121)))</f>
        <v>0</v>
      </c>
      <c r="H121" s="13">
        <f ca="1">IF(A121=1,IF(OR('My Loans'!$O$16="",'My Loans'!$O$16=0),0,INDIRECT("'My Loans'!$D"&amp;'My Loans'!$O$16)),AO120)</f>
        <v>0</v>
      </c>
      <c r="I121" s="13">
        <f ca="1">IF(OR('My Loans'!$O$16="",'My Loans'!$O$16=0),0,H121*INDIRECT("'My Loans'!$E"&amp;'My Loans'!$O$16)/12)</f>
        <v>0</v>
      </c>
      <c r="J121" s="13">
        <f ca="1">IF(OR('My Loans'!$O$16="",'My Loans'!$O$16=0),0,IF(H121&lt;0.005,0,MIN(INDIRECT("'My Loans'!$F"&amp;'My Loans'!$O$16),H121+I121)))</f>
        <v>0</v>
      </c>
      <c r="K121" s="13">
        <f ca="1">IF(A121=1,IF(OR('My Loans'!$O$17="",'My Loans'!$O$17=0),0,INDIRECT("'My Loans'!$D"&amp;'My Loans'!$O$17)),AT120)</f>
        <v>0</v>
      </c>
      <c r="L121" s="13">
        <f ca="1">IF(OR('My Loans'!$O$17="",'My Loans'!$O$17=0),0,K121*INDIRECT("'My Loans'!$E"&amp;'My Loans'!$O$17)/12)</f>
        <v>0</v>
      </c>
      <c r="M121" s="13">
        <f ca="1">IF(OR('My Loans'!$O$17="",'My Loans'!$O$17=0),0,IF(K121&lt;0.005,0,MIN(INDIRECT("'My Loans'!$F"&amp;'My Loans'!$O$17),K121+L121)))</f>
        <v>0</v>
      </c>
      <c r="N121" s="13">
        <f ca="1">IF(A121=1,IF(OR('My Loans'!$O$18="",'My Loans'!$O$18=0),0,INDIRECT("'My Loans'!$D"&amp;'My Loans'!$O$18)),AY120)</f>
        <v>0</v>
      </c>
      <c r="O121" s="13">
        <f ca="1">IF(OR('My Loans'!$O$18="",'My Loans'!$O$18=0),0,N121*INDIRECT("'My Loans'!$E"&amp;'My Loans'!$O$18)/12)</f>
        <v>0</v>
      </c>
      <c r="P121" s="13">
        <f ca="1">IF(OR('My Loans'!$O$18="",'My Loans'!$O$18=0),0,IF(N121&lt;0.005,0,MIN(INDIRECT("'My Loans'!$F"&amp;'My Loans'!$O$18),N121+O121)))</f>
        <v>0</v>
      </c>
      <c r="Q121" s="13">
        <f ca="1">IF(A121=1,IF(OR('My Loans'!$O$19="",'My Loans'!$O$19=0),0,INDIRECT("'My Loans'!$D"&amp;'My Loans'!$O$19)),BD120)</f>
        <v>0</v>
      </c>
      <c r="R121" s="13">
        <f ca="1">IF(OR('My Loans'!$O$19="",'My Loans'!$O$19=0),0,Q121*INDIRECT("'My Loans'!$E"&amp;'My Loans'!$O$19)/12)</f>
        <v>0</v>
      </c>
      <c r="S121" s="13">
        <f ca="1">IF(OR('My Loans'!$O$19="",'My Loans'!$O$19=0),0,IF(Q121&lt;0.005,0,MIN(INDIRECT("'My Loans'!$F"&amp;'My Loans'!$O$19),Q121+R121)))</f>
        <v>0</v>
      </c>
      <c r="T121" s="13">
        <f ca="1">IF(A121=1,IF(OR('My Loans'!$O$20="",'My Loans'!$O$20=0),0,INDIRECT("'My Loans'!$D"&amp;'My Loans'!$O$20)),BI120)</f>
        <v>0</v>
      </c>
      <c r="U121" s="13">
        <f ca="1">IF(OR('My Loans'!$O$20="",'My Loans'!$O$20=0),0,T121*INDIRECT("'My Loans'!$E"&amp;'My Loans'!$O$20)/12)</f>
        <v>0</v>
      </c>
      <c r="V121" s="13">
        <f ca="1">IF(OR('My Loans'!$O$20="",'My Loans'!$O$20=0),0,IF(T121&lt;0.005,0,MIN(INDIRECT("'My Loans'!$F"&amp;'My Loans'!$O$20),T121+U121)))</f>
        <v>0</v>
      </c>
      <c r="W121" s="13">
        <f ca="1">IF(A121=1,IF(OR('My Loans'!$O$21="",'My Loans'!$O$21=0),0,INDIRECT("'My Loans'!$D"&amp;'My Loans'!$O$21)),BN120)</f>
        <v>0</v>
      </c>
      <c r="X121" s="13">
        <f ca="1">IF(OR('My Loans'!$O$21="",'My Loans'!$O$21=0),0,W121*INDIRECT("'My Loans'!$E"&amp;'My Loans'!$O$21)/12)</f>
        <v>0</v>
      </c>
      <c r="Y121" s="13">
        <f ca="1">IF(OR('My Loans'!$O$21="",'My Loans'!$O$21=0),0,IF(W121&lt;0.005,0,MIN(INDIRECT("'My Loans'!$F"&amp;'My Loans'!$O$21),W121+X121)))</f>
        <v>0</v>
      </c>
      <c r="Z121" s="13">
        <f ca="1">'My Loans'!$B$13-(D121+G121+J121+M121+P121+S121+V121+Y121)</f>
        <v>1400</v>
      </c>
      <c r="AA121" s="13">
        <f t="shared" ca="1" si="129"/>
        <v>1400</v>
      </c>
      <c r="AB121" s="13">
        <f t="shared" ca="1" si="130"/>
        <v>0</v>
      </c>
      <c r="AC121" s="13">
        <f t="shared" ca="1" si="131"/>
        <v>0</v>
      </c>
      <c r="AD121" s="13">
        <f t="shared" ca="1" si="132"/>
        <v>0</v>
      </c>
      <c r="AE121" s="13">
        <f t="shared" ca="1" si="133"/>
        <v>0</v>
      </c>
      <c r="AF121" s="13">
        <f t="shared" ca="1" si="134"/>
        <v>1400</v>
      </c>
      <c r="AG121" s="13">
        <f t="shared" ca="1" si="135"/>
        <v>0</v>
      </c>
      <c r="AH121" s="13">
        <f t="shared" ca="1" si="136"/>
        <v>0</v>
      </c>
      <c r="AI121" s="13">
        <f t="shared" ca="1" si="137"/>
        <v>0</v>
      </c>
      <c r="AJ121" s="13">
        <f t="shared" ca="1" si="138"/>
        <v>0</v>
      </c>
      <c r="AK121" s="13">
        <f t="shared" ca="1" si="139"/>
        <v>1400</v>
      </c>
      <c r="AL121" s="13">
        <f t="shared" ca="1" si="140"/>
        <v>0</v>
      </c>
      <c r="AM121" s="13">
        <f t="shared" ca="1" si="141"/>
        <v>0</v>
      </c>
      <c r="AN121" s="13">
        <f t="shared" ca="1" si="142"/>
        <v>0</v>
      </c>
      <c r="AO121" s="13">
        <f t="shared" ca="1" si="143"/>
        <v>0</v>
      </c>
      <c r="AP121" s="13">
        <f t="shared" ca="1" si="144"/>
        <v>1400</v>
      </c>
      <c r="AQ121" s="13">
        <f t="shared" ca="1" si="145"/>
        <v>0</v>
      </c>
      <c r="AR121" s="13">
        <f t="shared" ca="1" si="146"/>
        <v>0</v>
      </c>
      <c r="AS121" s="13">
        <f t="shared" ca="1" si="147"/>
        <v>0</v>
      </c>
      <c r="AT121" s="13">
        <f t="shared" ca="1" si="148"/>
        <v>0</v>
      </c>
      <c r="AU121" s="13">
        <f t="shared" ca="1" si="149"/>
        <v>1400</v>
      </c>
      <c r="AV121" s="13">
        <f t="shared" ca="1" si="150"/>
        <v>0</v>
      </c>
      <c r="AW121" s="13">
        <f t="shared" ca="1" si="151"/>
        <v>0</v>
      </c>
      <c r="AX121" s="13">
        <f t="shared" ca="1" si="152"/>
        <v>0</v>
      </c>
      <c r="AY121" s="13">
        <f t="shared" ca="1" si="153"/>
        <v>0</v>
      </c>
      <c r="AZ121" s="13">
        <f t="shared" ca="1" si="154"/>
        <v>1400</v>
      </c>
      <c r="BA121" s="13">
        <f t="shared" ca="1" si="155"/>
        <v>0</v>
      </c>
      <c r="BB121" s="13">
        <f t="shared" ca="1" si="156"/>
        <v>0</v>
      </c>
      <c r="BC121" s="13">
        <f t="shared" ca="1" si="157"/>
        <v>0</v>
      </c>
      <c r="BD121" s="13">
        <f t="shared" ca="1" si="158"/>
        <v>0</v>
      </c>
      <c r="BE121" s="13">
        <f t="shared" ca="1" si="159"/>
        <v>1400</v>
      </c>
      <c r="BF121" s="13">
        <f t="shared" ca="1" si="160"/>
        <v>0</v>
      </c>
      <c r="BG121" s="13">
        <f t="shared" ca="1" si="161"/>
        <v>0</v>
      </c>
      <c r="BH121" s="13">
        <f t="shared" ca="1" si="162"/>
        <v>0</v>
      </c>
      <c r="BI121" s="13">
        <f t="shared" ca="1" si="163"/>
        <v>0</v>
      </c>
      <c r="BJ121" s="13">
        <f t="shared" ca="1" si="164"/>
        <v>1400</v>
      </c>
      <c r="BK121" s="13">
        <f t="shared" ca="1" si="165"/>
        <v>0</v>
      </c>
      <c r="BL121" s="13">
        <f t="shared" ca="1" si="166"/>
        <v>0</v>
      </c>
      <c r="BM121" s="13">
        <f t="shared" ca="1" si="167"/>
        <v>0</v>
      </c>
      <c r="BN121" s="13">
        <f t="shared" ca="1" si="168"/>
        <v>0</v>
      </c>
      <c r="BO121" s="13">
        <f t="shared" ca="1" si="169"/>
        <v>0</v>
      </c>
      <c r="BP121" s="13">
        <f t="shared" ca="1" si="170"/>
        <v>0</v>
      </c>
      <c r="BQ121" s="13">
        <f t="shared" ca="1" si="171"/>
        <v>0</v>
      </c>
    </row>
    <row r="123" spans="1:69" x14ac:dyDescent="0.25">
      <c r="A123" s="3" t="s">
        <v>63</v>
      </c>
    </row>
    <row r="124" spans="1:69" x14ac:dyDescent="0.25">
      <c r="A124" s="1" t="s">
        <v>64</v>
      </c>
      <c r="B124" s="13">
        <f ca="1">SUM(BP2:BP121)</f>
        <v>14016.831413032271</v>
      </c>
    </row>
    <row r="125" spans="1:69" x14ac:dyDescent="0.25">
      <c r="A125" s="1" t="s">
        <v>65</v>
      </c>
      <c r="B125" s="13">
        <f ca="1">SUM(BO2:BO121)</f>
        <v>88016.831413032254</v>
      </c>
    </row>
    <row r="126" spans="1:69" x14ac:dyDescent="0.25">
      <c r="A126" s="1" t="s">
        <v>66</v>
      </c>
      <c r="B126" s="16">
        <f>IFERROR(MATCH(TRUE,BQ2:BQ121&lt;=0.005,0),120)</f>
        <v>120</v>
      </c>
    </row>
    <row r="127" spans="1:69" x14ac:dyDescent="0.25">
      <c r="A127" s="1" t="s">
        <v>67</v>
      </c>
      <c r="B127" s="14">
        <f>EDATE('My Loans'!$B$1,B126)</f>
        <v>49310</v>
      </c>
    </row>
    <row r="128" spans="1:69" x14ac:dyDescent="0.25">
      <c r="A128" s="3" t="s">
        <v>68</v>
      </c>
    </row>
    <row r="129" spans="1:2" x14ac:dyDescent="0.25">
      <c r="A129" s="1" t="s">
        <v>69</v>
      </c>
      <c r="B129" s="16" t="str">
        <f>IFERROR(MATCH(TRUE,AE2:AE121&lt;=0.005,0),"")</f>
        <v/>
      </c>
    </row>
    <row r="130" spans="1:2" x14ac:dyDescent="0.25">
      <c r="A130" s="1" t="s">
        <v>70</v>
      </c>
      <c r="B130" s="16" t="str">
        <f>IFERROR(MATCH(TRUE,AJ2:AJ121&lt;=0.005,0),"")</f>
        <v/>
      </c>
    </row>
    <row r="131" spans="1:2" x14ac:dyDescent="0.25">
      <c r="A131" s="1" t="s">
        <v>71</v>
      </c>
      <c r="B131" s="16" t="str">
        <f>IFERROR(MATCH(TRUE,AO2:AO121&lt;=0.005,0),"")</f>
        <v/>
      </c>
    </row>
    <row r="132" spans="1:2" x14ac:dyDescent="0.25">
      <c r="A132" s="1" t="s">
        <v>72</v>
      </c>
      <c r="B132" s="16" t="str">
        <f>IFERROR(MATCH(TRUE,AT2:AT121&lt;=0.005,0),"")</f>
        <v/>
      </c>
    </row>
    <row r="133" spans="1:2" x14ac:dyDescent="0.25">
      <c r="A133" s="1" t="s">
        <v>73</v>
      </c>
      <c r="B133" s="16" t="str">
        <f>IFERROR(MATCH(TRUE,AY2:AY121&lt;=0.005,0),"")</f>
        <v/>
      </c>
    </row>
    <row r="134" spans="1:2" x14ac:dyDescent="0.25">
      <c r="A134" s="1" t="s">
        <v>74</v>
      </c>
      <c r="B134" s="16" t="str">
        <f>IFERROR(MATCH(TRUE,BD2:BD121&lt;=0.005,0),"")</f>
        <v/>
      </c>
    </row>
    <row r="135" spans="1:2" x14ac:dyDescent="0.25">
      <c r="A135" s="1" t="s">
        <v>75</v>
      </c>
      <c r="B135" s="16" t="str">
        <f>IFERROR(MATCH(TRUE,BI2:BI121&lt;=0.005,0),"")</f>
        <v/>
      </c>
    </row>
    <row r="136" spans="1:2" x14ac:dyDescent="0.25">
      <c r="A136" s="1" t="s">
        <v>76</v>
      </c>
      <c r="B136" s="16" t="str">
        <f>IFERROR(MATCH(TRUE,BN2:BN121&lt;=0.005,0),"")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showGridLines="0" workbookViewId="0"/>
  </sheetViews>
  <sheetFormatPr defaultRowHeight="15" x14ac:dyDescent="0.25"/>
  <cols>
    <col min="1" max="1" width="39.42578125" customWidth="1"/>
    <col min="2" max="4" width="23" customWidth="1"/>
  </cols>
  <sheetData>
    <row r="1" spans="1:4" x14ac:dyDescent="0.25">
      <c r="A1" s="5" t="s">
        <v>77</v>
      </c>
    </row>
    <row r="3" spans="1:4" x14ac:dyDescent="0.25">
      <c r="A3" s="1" t="s">
        <v>64</v>
      </c>
      <c r="B3" s="13">
        <f ca="1">Avalanche!B124</f>
        <v>12051.681173883262</v>
      </c>
      <c r="C3" s="13">
        <f ca="1">Snowball!B124</f>
        <v>14016.831413032271</v>
      </c>
      <c r="D3" s="13">
        <f ca="1">B3-C3</f>
        <v>-1965.1502391490085</v>
      </c>
    </row>
    <row r="4" spans="1:4" x14ac:dyDescent="0.25">
      <c r="A4" s="1" t="s">
        <v>78</v>
      </c>
      <c r="B4" s="13">
        <f ca="1">Avalanche!B125</f>
        <v>86051.681173883262</v>
      </c>
      <c r="C4" s="13">
        <f ca="1">Snowball!B125</f>
        <v>88016.831413032254</v>
      </c>
      <c r="D4" s="13">
        <f ca="1">B4-C4</f>
        <v>-1965.1502391489921</v>
      </c>
    </row>
    <row r="5" spans="1:4" x14ac:dyDescent="0.25">
      <c r="A5" s="1" t="s">
        <v>66</v>
      </c>
      <c r="B5" s="19">
        <f>Avalanche!B126</f>
        <v>120</v>
      </c>
      <c r="C5" s="19">
        <f>Snowball!B126</f>
        <v>120</v>
      </c>
      <c r="D5" s="19">
        <f>B5-C5</f>
        <v>0</v>
      </c>
    </row>
    <row r="6" spans="1:4" x14ac:dyDescent="0.25">
      <c r="A6" s="1" t="s">
        <v>67</v>
      </c>
      <c r="B6" s="14">
        <f>Avalanche!B127</f>
        <v>49310</v>
      </c>
      <c r="C6" s="14">
        <f>Snowball!B127</f>
        <v>49310</v>
      </c>
      <c r="D6" s="6" t="s">
        <v>79</v>
      </c>
    </row>
    <row r="7" spans="1:4" x14ac:dyDescent="0.25">
      <c r="A7" s="1" t="s">
        <v>80</v>
      </c>
      <c r="B7" s="13">
        <f ca="1">'My Loans'!$B$21-Avalanche!$B$124</f>
        <v>9985.1112000420726</v>
      </c>
      <c r="C7" s="13">
        <f ca="1">'My Loans'!$B$21-Snowball!$B$124</f>
        <v>8019.9609608930641</v>
      </c>
    </row>
    <row r="9" spans="1:4" x14ac:dyDescent="0.25">
      <c r="A9" s="3" t="s">
        <v>81</v>
      </c>
    </row>
    <row r="10" spans="1:4" x14ac:dyDescent="0.25">
      <c r="A10" t="s">
        <v>82</v>
      </c>
      <c r="B10" t="s">
        <v>83</v>
      </c>
      <c r="C10" t="s">
        <v>84</v>
      </c>
      <c r="D10" t="s">
        <v>85</v>
      </c>
    </row>
    <row r="11" spans="1:4" x14ac:dyDescent="0.25">
      <c r="A11" s="1">
        <v>1</v>
      </c>
      <c r="B11" s="16" t="str">
        <f>IF('My Loans'!$N$14="","",INDEX('My Loans'!$A$3:$A$10,'My Loans'!$N$14-2))</f>
        <v>Private SoFi</v>
      </c>
      <c r="C11" s="16">
        <f>'My Loans'!$N$14</f>
        <v>5</v>
      </c>
      <c r="D11" s="16" t="str">
        <f>Avalanche!B129</f>
        <v/>
      </c>
    </row>
    <row r="12" spans="1:4" x14ac:dyDescent="0.25">
      <c r="A12" s="1">
        <v>2</v>
      </c>
      <c r="B12" s="16" t="str">
        <f>IF('My Loans'!$N$15="","",INDEX('My Loans'!$A$3:$A$10,'My Loans'!$N$15-2))</f>
        <v>Parent PLUS</v>
      </c>
      <c r="C12" s="16">
        <f>'My Loans'!$N$15</f>
        <v>6</v>
      </c>
      <c r="D12" s="16" t="str">
        <f>Avalanche!B130</f>
        <v/>
      </c>
    </row>
    <row r="13" spans="1:4" x14ac:dyDescent="0.25">
      <c r="A13" s="1">
        <v>3</v>
      </c>
      <c r="B13" s="16" t="str">
        <f>IF('My Loans'!$N$16="","",INDEX('My Loans'!$A$3:$A$10,'My Loans'!$N$16-2))</f>
        <v>Stafford Unsub #1</v>
      </c>
      <c r="C13" s="16">
        <f>'My Loans'!$N$16</f>
        <v>4</v>
      </c>
      <c r="D13" s="16" t="str">
        <f>Avalanche!B131</f>
        <v/>
      </c>
    </row>
    <row r="14" spans="1:4" x14ac:dyDescent="0.25">
      <c r="A14" s="1">
        <v>4</v>
      </c>
      <c r="B14" s="16" t="str">
        <f>IF('My Loans'!$N$17="","",INDEX('My Loans'!$A$3:$A$10,'My Loans'!$N$17-2))</f>
        <v>Stafford Sub #2</v>
      </c>
      <c r="C14" s="16">
        <f>'My Loans'!$N$17</f>
        <v>7</v>
      </c>
      <c r="D14" s="16" t="str">
        <f>Avalanche!B132</f>
        <v/>
      </c>
    </row>
    <row r="15" spans="1:4" x14ac:dyDescent="0.25">
      <c r="A15" s="1">
        <v>5</v>
      </c>
      <c r="B15" s="16" t="str">
        <f>IF('My Loans'!$N$18="","",INDEX('My Loans'!$A$3:$A$10,'My Loans'!$N$18-2))</f>
        <v>Stafford Sub #1</v>
      </c>
      <c r="C15" s="16">
        <f>'My Loans'!$N$18</f>
        <v>3</v>
      </c>
      <c r="D15" s="16" t="str">
        <f>Avalanche!B133</f>
        <v/>
      </c>
    </row>
    <row r="16" spans="1:4" x14ac:dyDescent="0.25">
      <c r="A16" s="1">
        <v>6</v>
      </c>
      <c r="B16" s="16">
        <f>IF('My Loans'!$N$19="","",INDEX('My Loans'!$A$3:$A$10,'My Loans'!$N$19-2))</f>
        <v>0</v>
      </c>
      <c r="C16" s="16">
        <f>'My Loans'!$N$19</f>
        <v>8</v>
      </c>
      <c r="D16" s="16" t="str">
        <f>Avalanche!B134</f>
        <v/>
      </c>
    </row>
    <row r="17" spans="1:4" x14ac:dyDescent="0.25">
      <c r="A17" s="1">
        <v>7</v>
      </c>
      <c r="B17" s="16">
        <f>IF('My Loans'!$N$20="","",INDEX('My Loans'!$A$3:$A$10,'My Loans'!$N$20-2))</f>
        <v>0</v>
      </c>
      <c r="C17" s="16">
        <f>'My Loans'!$N$20</f>
        <v>9</v>
      </c>
      <c r="D17" s="16" t="str">
        <f>Avalanche!B135</f>
        <v/>
      </c>
    </row>
    <row r="18" spans="1:4" x14ac:dyDescent="0.25">
      <c r="A18" s="1">
        <v>8</v>
      </c>
      <c r="B18" s="16">
        <f>IF('My Loans'!$N$21="","",INDEX('My Loans'!$A$3:$A$10,'My Loans'!$N$21-2))</f>
        <v>0</v>
      </c>
      <c r="C18" s="16">
        <f>'My Loans'!$N$21</f>
        <v>10</v>
      </c>
      <c r="D18" s="16" t="str">
        <f>Avalanche!B136</f>
        <v/>
      </c>
    </row>
    <row r="20" spans="1:4" x14ac:dyDescent="0.25">
      <c r="A20" s="3" t="s">
        <v>86</v>
      </c>
    </row>
    <row r="21" spans="1:4" x14ac:dyDescent="0.25">
      <c r="A21" t="s">
        <v>82</v>
      </c>
      <c r="B21" t="s">
        <v>83</v>
      </c>
      <c r="C21" t="s">
        <v>84</v>
      </c>
      <c r="D21" t="s">
        <v>85</v>
      </c>
    </row>
    <row r="22" spans="1:4" x14ac:dyDescent="0.25">
      <c r="A22" s="1">
        <v>1</v>
      </c>
      <c r="B22" s="16" t="str">
        <f>IF('My Loans'!$O$14="","",INDEX('My Loans'!$A$3:$A$10,'My Loans'!$O$14-2))</f>
        <v>Stafford Sub #1</v>
      </c>
      <c r="C22" s="16">
        <f>'My Loans'!$O$14</f>
        <v>3</v>
      </c>
      <c r="D22" s="16" t="str">
        <f>Snowball!B129</f>
        <v/>
      </c>
    </row>
    <row r="23" spans="1:4" x14ac:dyDescent="0.25">
      <c r="A23" s="1">
        <v>2</v>
      </c>
      <c r="B23" s="16" t="str">
        <f>IF('My Loans'!$O$15="","",INDEX('My Loans'!$A$3:$A$10,'My Loans'!$O$15-2))</f>
        <v>Stafford Sub #2</v>
      </c>
      <c r="C23" s="16">
        <f>'My Loans'!$O$15</f>
        <v>7</v>
      </c>
      <c r="D23" s="16" t="str">
        <f>Snowball!B130</f>
        <v/>
      </c>
    </row>
    <row r="24" spans="1:4" x14ac:dyDescent="0.25">
      <c r="A24" s="1">
        <v>3</v>
      </c>
      <c r="B24" s="16" t="str">
        <f>IF('My Loans'!$O$16="","",INDEX('My Loans'!$A$3:$A$10,'My Loans'!$O$16-2))</f>
        <v>Stafford Unsub #1</v>
      </c>
      <c r="C24" s="16">
        <f>'My Loans'!$O$16</f>
        <v>4</v>
      </c>
      <c r="D24" s="16" t="str">
        <f>Snowball!B131</f>
        <v/>
      </c>
    </row>
    <row r="25" spans="1:4" x14ac:dyDescent="0.25">
      <c r="A25" s="1">
        <v>4</v>
      </c>
      <c r="B25" s="16" t="str">
        <f>IF('My Loans'!$O$17="","",INDEX('My Loans'!$A$3:$A$10,'My Loans'!$O$17-2))</f>
        <v>Parent PLUS</v>
      </c>
      <c r="C25" s="16">
        <f>'My Loans'!$O$17</f>
        <v>6</v>
      </c>
      <c r="D25" s="16" t="str">
        <f>Snowball!B132</f>
        <v/>
      </c>
    </row>
    <row r="26" spans="1:4" x14ac:dyDescent="0.25">
      <c r="A26" s="1">
        <v>5</v>
      </c>
      <c r="B26" s="16" t="str">
        <f>IF('My Loans'!$O$18="","",INDEX('My Loans'!$A$3:$A$10,'My Loans'!$O$18-2))</f>
        <v>Private SoFi</v>
      </c>
      <c r="C26" s="16">
        <f>'My Loans'!$O$18</f>
        <v>5</v>
      </c>
      <c r="D26" s="16" t="str">
        <f>Snowball!B133</f>
        <v/>
      </c>
    </row>
    <row r="27" spans="1:4" x14ac:dyDescent="0.25">
      <c r="A27" s="1">
        <v>6</v>
      </c>
      <c r="B27" s="16">
        <f>IF('My Loans'!$O$19="","",INDEX('My Loans'!$A$3:$A$10,'My Loans'!$O$19-2))</f>
        <v>0</v>
      </c>
      <c r="C27" s="16">
        <f>'My Loans'!$O$19</f>
        <v>8</v>
      </c>
      <c r="D27" s="16" t="str">
        <f>Snowball!B134</f>
        <v/>
      </c>
    </row>
    <row r="28" spans="1:4" x14ac:dyDescent="0.25">
      <c r="A28" s="1">
        <v>7</v>
      </c>
      <c r="B28" s="16">
        <f>IF('My Loans'!$O$20="","",INDEX('My Loans'!$A$3:$A$10,'My Loans'!$O$20-2))</f>
        <v>0</v>
      </c>
      <c r="C28" s="16">
        <f>'My Loans'!$O$20</f>
        <v>8</v>
      </c>
      <c r="D28" s="16" t="str">
        <f>Snowball!B135</f>
        <v/>
      </c>
    </row>
    <row r="29" spans="1:4" x14ac:dyDescent="0.25">
      <c r="A29" s="1">
        <v>8</v>
      </c>
      <c r="B29" s="16">
        <f>IF('My Loans'!$O$21="","",INDEX('My Loans'!$A$3:$A$10,'My Loans'!$O$21-2))</f>
        <v>0</v>
      </c>
      <c r="C29" s="16">
        <f>'My Loans'!$O$21</f>
        <v>8</v>
      </c>
      <c r="D29" s="16" t="str">
        <f>Snowball!B136</f>
        <v/>
      </c>
    </row>
    <row r="31" spans="1:4" x14ac:dyDescent="0.25">
      <c r="A31" s="7" t="s">
        <v>87</v>
      </c>
    </row>
  </sheetData>
  <conditionalFormatting sqref="B3:C3">
    <cfRule type="expression" dxfId="2" priority="1">
      <formula>B3=MIN(B3,C3)</formula>
    </cfRule>
  </conditionalFormatting>
  <conditionalFormatting sqref="D3:D5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94"/>
  <sheetViews>
    <sheetView workbookViewId="0"/>
  </sheetViews>
  <sheetFormatPr defaultRowHeight="15" x14ac:dyDescent="0.25"/>
  <cols>
    <col min="1" max="1" width="24.140625" customWidth="1"/>
    <col min="2" max="2" width="14" customWidth="1"/>
    <col min="3" max="6" width="11.42578125" style="20" customWidth="1"/>
  </cols>
  <sheetData>
    <row r="1" spans="1:6" x14ac:dyDescent="0.25">
      <c r="A1" s="3" t="s">
        <v>88</v>
      </c>
      <c r="F1" s="13">
        <f>B126+B250+B374+B498+B622+B746+B870+B994</f>
        <v>22036.792373925335</v>
      </c>
    </row>
    <row r="2" spans="1:6" x14ac:dyDescent="0.25">
      <c r="A2" t="s">
        <v>89</v>
      </c>
      <c r="F2" s="13">
        <f>F1</f>
        <v>22036.792373925335</v>
      </c>
    </row>
    <row r="4" spans="1:6" x14ac:dyDescent="0.25">
      <c r="A4" s="3" t="s">
        <v>90</v>
      </c>
    </row>
    <row r="5" spans="1:6" x14ac:dyDescent="0.25">
      <c r="A5" s="2" t="s">
        <v>32</v>
      </c>
      <c r="B5" s="2" t="s">
        <v>91</v>
      </c>
      <c r="C5" s="21" t="s">
        <v>92</v>
      </c>
      <c r="D5" s="21" t="s">
        <v>93</v>
      </c>
      <c r="E5" s="21" t="s">
        <v>94</v>
      </c>
      <c r="F5" s="21" t="s">
        <v>95</v>
      </c>
    </row>
    <row r="6" spans="1:6" x14ac:dyDescent="0.25">
      <c r="A6" s="1">
        <v>1</v>
      </c>
      <c r="B6" s="13">
        <f>'My Loans'!$D$3</f>
        <v>8200</v>
      </c>
      <c r="C6" s="22">
        <f>MIN('My Loans'!$F$3,B6+D6)</f>
        <v>95</v>
      </c>
      <c r="D6" s="22">
        <f>B6*'My Loans'!$E$3/12</f>
        <v>30.75</v>
      </c>
      <c r="E6" s="22">
        <f t="shared" ref="E6:E37" si="0">C6-D6</f>
        <v>64.25</v>
      </c>
      <c r="F6" s="22">
        <f t="shared" ref="F6:F37" si="1">MAX(0,B6-E6)</f>
        <v>8135.75</v>
      </c>
    </row>
    <row r="7" spans="1:6" x14ac:dyDescent="0.25">
      <c r="A7" s="1">
        <v>2</v>
      </c>
      <c r="B7" s="13">
        <f t="shared" ref="B7:B38" si="2">F6</f>
        <v>8135.75</v>
      </c>
      <c r="C7" s="22">
        <f>MIN('My Loans'!$F$3,B7+D7)</f>
        <v>95</v>
      </c>
      <c r="D7" s="22">
        <f>B7*'My Loans'!$E$3/12</f>
        <v>30.509062499999999</v>
      </c>
      <c r="E7" s="22">
        <f t="shared" si="0"/>
        <v>64.490937500000001</v>
      </c>
      <c r="F7" s="22">
        <f t="shared" si="1"/>
        <v>8071.2590625000003</v>
      </c>
    </row>
    <row r="8" spans="1:6" x14ac:dyDescent="0.25">
      <c r="A8" s="1">
        <v>3</v>
      </c>
      <c r="B8" s="13">
        <f t="shared" si="2"/>
        <v>8071.2590625000003</v>
      </c>
      <c r="C8" s="22">
        <f>MIN('My Loans'!$F$3,B8+D8)</f>
        <v>95</v>
      </c>
      <c r="D8" s="22">
        <f>B8*'My Loans'!$E$3/12</f>
        <v>30.267221484375</v>
      </c>
      <c r="E8" s="22">
        <f t="shared" si="0"/>
        <v>64.732778515625</v>
      </c>
      <c r="F8" s="22">
        <f t="shared" si="1"/>
        <v>8006.5262839843754</v>
      </c>
    </row>
    <row r="9" spans="1:6" x14ac:dyDescent="0.25">
      <c r="A9" s="1">
        <v>4</v>
      </c>
      <c r="B9" s="13">
        <f t="shared" si="2"/>
        <v>8006.5262839843754</v>
      </c>
      <c r="C9" s="22">
        <f>MIN('My Loans'!$F$3,B9+D9)</f>
        <v>95</v>
      </c>
      <c r="D9" s="22">
        <f>B9*'My Loans'!$E$3/12</f>
        <v>30.024473564941406</v>
      </c>
      <c r="E9" s="22">
        <f t="shared" si="0"/>
        <v>64.975526435058597</v>
      </c>
      <c r="F9" s="22">
        <f t="shared" si="1"/>
        <v>7941.5507575493166</v>
      </c>
    </row>
    <row r="10" spans="1:6" x14ac:dyDescent="0.25">
      <c r="A10" s="1">
        <v>5</v>
      </c>
      <c r="B10" s="13">
        <f t="shared" si="2"/>
        <v>7941.5507575493166</v>
      </c>
      <c r="C10" s="22">
        <f>MIN('My Loans'!$F$3,B10+D10)</f>
        <v>95</v>
      </c>
      <c r="D10" s="22">
        <f>B10*'My Loans'!$E$3/12</f>
        <v>29.780815340809937</v>
      </c>
      <c r="E10" s="22">
        <f t="shared" si="0"/>
        <v>65.219184659190063</v>
      </c>
      <c r="F10" s="22">
        <f t="shared" si="1"/>
        <v>7876.3315728901262</v>
      </c>
    </row>
    <row r="11" spans="1:6" x14ac:dyDescent="0.25">
      <c r="A11" s="1">
        <v>6</v>
      </c>
      <c r="B11" s="13">
        <f t="shared" si="2"/>
        <v>7876.3315728901262</v>
      </c>
      <c r="C11" s="22">
        <f>MIN('My Loans'!$F$3,B11+D11)</f>
        <v>95</v>
      </c>
      <c r="D11" s="22">
        <f>B11*'My Loans'!$E$3/12</f>
        <v>29.536243398337973</v>
      </c>
      <c r="E11" s="22">
        <f t="shared" si="0"/>
        <v>65.463756601662027</v>
      </c>
      <c r="F11" s="22">
        <f t="shared" si="1"/>
        <v>7810.8678162884644</v>
      </c>
    </row>
    <row r="12" spans="1:6" x14ac:dyDescent="0.25">
      <c r="A12" s="1">
        <v>7</v>
      </c>
      <c r="B12" s="13">
        <f t="shared" si="2"/>
        <v>7810.8678162884644</v>
      </c>
      <c r="C12" s="22">
        <f>MIN('My Loans'!$F$3,B12+D12)</f>
        <v>95</v>
      </c>
      <c r="D12" s="22">
        <f>B12*'My Loans'!$E$3/12</f>
        <v>29.290754311081741</v>
      </c>
      <c r="E12" s="22">
        <f t="shared" si="0"/>
        <v>65.709245688918259</v>
      </c>
      <c r="F12" s="22">
        <f t="shared" si="1"/>
        <v>7745.1585705995458</v>
      </c>
    </row>
    <row r="13" spans="1:6" x14ac:dyDescent="0.25">
      <c r="A13" s="1">
        <v>8</v>
      </c>
      <c r="B13" s="13">
        <f t="shared" si="2"/>
        <v>7745.1585705995458</v>
      </c>
      <c r="C13" s="22">
        <f>MIN('My Loans'!$F$3,B13+D13)</f>
        <v>95</v>
      </c>
      <c r="D13" s="22">
        <f>B13*'My Loans'!$E$3/12</f>
        <v>29.044344639748292</v>
      </c>
      <c r="E13" s="22">
        <f t="shared" si="0"/>
        <v>65.955655360251711</v>
      </c>
      <c r="F13" s="22">
        <f t="shared" si="1"/>
        <v>7679.2029152392943</v>
      </c>
    </row>
    <row r="14" spans="1:6" x14ac:dyDescent="0.25">
      <c r="A14" s="1">
        <v>9</v>
      </c>
      <c r="B14" s="13">
        <f t="shared" si="2"/>
        <v>7679.2029152392943</v>
      </c>
      <c r="C14" s="22">
        <f>MIN('My Loans'!$F$3,B14+D14)</f>
        <v>95</v>
      </c>
      <c r="D14" s="22">
        <f>B14*'My Loans'!$E$3/12</f>
        <v>28.797010932147355</v>
      </c>
      <c r="E14" s="22">
        <f t="shared" si="0"/>
        <v>66.202989067852641</v>
      </c>
      <c r="F14" s="22">
        <f t="shared" si="1"/>
        <v>7612.999926171442</v>
      </c>
    </row>
    <row r="15" spans="1:6" x14ac:dyDescent="0.25">
      <c r="A15" s="1">
        <v>10</v>
      </c>
      <c r="B15" s="13">
        <f t="shared" si="2"/>
        <v>7612.999926171442</v>
      </c>
      <c r="C15" s="22">
        <f>MIN('My Loans'!$F$3,B15+D15)</f>
        <v>95</v>
      </c>
      <c r="D15" s="22">
        <f>B15*'My Loans'!$E$3/12</f>
        <v>28.548749723142905</v>
      </c>
      <c r="E15" s="22">
        <f t="shared" si="0"/>
        <v>66.451250276857095</v>
      </c>
      <c r="F15" s="22">
        <f t="shared" si="1"/>
        <v>7546.5486758945844</v>
      </c>
    </row>
    <row r="16" spans="1:6" x14ac:dyDescent="0.25">
      <c r="A16" s="1">
        <v>11</v>
      </c>
      <c r="B16" s="13">
        <f t="shared" si="2"/>
        <v>7546.5486758945844</v>
      </c>
      <c r="C16" s="22">
        <f>MIN('My Loans'!$F$3,B16+D16)</f>
        <v>95</v>
      </c>
      <c r="D16" s="22">
        <f>B16*'My Loans'!$E$3/12</f>
        <v>28.299557534604691</v>
      </c>
      <c r="E16" s="22">
        <f t="shared" si="0"/>
        <v>66.700442465395312</v>
      </c>
      <c r="F16" s="22">
        <f t="shared" si="1"/>
        <v>7479.8482334291893</v>
      </c>
    </row>
    <row r="17" spans="1:6" x14ac:dyDescent="0.25">
      <c r="A17" s="1">
        <v>12</v>
      </c>
      <c r="B17" s="13">
        <f t="shared" si="2"/>
        <v>7479.8482334291893</v>
      </c>
      <c r="C17" s="22">
        <f>MIN('My Loans'!$F$3,B17+D17)</f>
        <v>95</v>
      </c>
      <c r="D17" s="22">
        <f>B17*'My Loans'!$E$3/12</f>
        <v>28.049430875359459</v>
      </c>
      <c r="E17" s="22">
        <f t="shared" si="0"/>
        <v>66.950569124640538</v>
      </c>
      <c r="F17" s="22">
        <f t="shared" si="1"/>
        <v>7412.8976643045489</v>
      </c>
    </row>
    <row r="18" spans="1:6" x14ac:dyDescent="0.25">
      <c r="A18" s="1">
        <v>13</v>
      </c>
      <c r="B18" s="13">
        <f t="shared" si="2"/>
        <v>7412.8976643045489</v>
      </c>
      <c r="C18" s="22">
        <f>MIN('My Loans'!$F$3,B18+D18)</f>
        <v>95</v>
      </c>
      <c r="D18" s="22">
        <f>B18*'My Loans'!$E$3/12</f>
        <v>27.798366241142059</v>
      </c>
      <c r="E18" s="22">
        <f t="shared" si="0"/>
        <v>67.201633758857938</v>
      </c>
      <c r="F18" s="22">
        <f t="shared" si="1"/>
        <v>7345.6960305456914</v>
      </c>
    </row>
    <row r="19" spans="1:6" x14ac:dyDescent="0.25">
      <c r="A19" s="1">
        <v>14</v>
      </c>
      <c r="B19" s="13">
        <f t="shared" si="2"/>
        <v>7345.6960305456914</v>
      </c>
      <c r="C19" s="22">
        <f>MIN('My Loans'!$F$3,B19+D19)</f>
        <v>95</v>
      </c>
      <c r="D19" s="22">
        <f>B19*'My Loans'!$E$3/12</f>
        <v>27.546360114546342</v>
      </c>
      <c r="E19" s="22">
        <f t="shared" si="0"/>
        <v>67.453639885453654</v>
      </c>
      <c r="F19" s="22">
        <f t="shared" si="1"/>
        <v>7278.242390660238</v>
      </c>
    </row>
    <row r="20" spans="1:6" x14ac:dyDescent="0.25">
      <c r="A20" s="1">
        <v>15</v>
      </c>
      <c r="B20" s="13">
        <f t="shared" si="2"/>
        <v>7278.242390660238</v>
      </c>
      <c r="C20" s="22">
        <f>MIN('My Loans'!$F$3,B20+D20)</f>
        <v>95</v>
      </c>
      <c r="D20" s="22">
        <f>B20*'My Loans'!$E$3/12</f>
        <v>27.293408964975892</v>
      </c>
      <c r="E20" s="22">
        <f t="shared" si="0"/>
        <v>67.706591035024104</v>
      </c>
      <c r="F20" s="22">
        <f t="shared" si="1"/>
        <v>7210.5357996252142</v>
      </c>
    </row>
    <row r="21" spans="1:6" x14ac:dyDescent="0.25">
      <c r="A21" s="1">
        <v>16</v>
      </c>
      <c r="B21" s="13">
        <f t="shared" si="2"/>
        <v>7210.5357996252142</v>
      </c>
      <c r="C21" s="22">
        <f>MIN('My Loans'!$F$3,B21+D21)</f>
        <v>95</v>
      </c>
      <c r="D21" s="22">
        <f>B21*'My Loans'!$E$3/12</f>
        <v>27.039509248594552</v>
      </c>
      <c r="E21" s="22">
        <f t="shared" si="0"/>
        <v>67.960490751405445</v>
      </c>
      <c r="F21" s="22">
        <f t="shared" si="1"/>
        <v>7142.5753088738084</v>
      </c>
    </row>
    <row r="22" spans="1:6" x14ac:dyDescent="0.25">
      <c r="A22" s="1">
        <v>17</v>
      </c>
      <c r="B22" s="13">
        <f t="shared" si="2"/>
        <v>7142.5753088738084</v>
      </c>
      <c r="C22" s="22">
        <f>MIN('My Loans'!$F$3,B22+D22)</f>
        <v>95</v>
      </c>
      <c r="D22" s="22">
        <f>B22*'My Loans'!$E$3/12</f>
        <v>26.784657408276782</v>
      </c>
      <c r="E22" s="22">
        <f t="shared" si="0"/>
        <v>68.215342591723214</v>
      </c>
      <c r="F22" s="22">
        <f t="shared" si="1"/>
        <v>7074.3599662820852</v>
      </c>
    </row>
    <row r="23" spans="1:6" x14ac:dyDescent="0.25">
      <c r="A23" s="1">
        <v>18</v>
      </c>
      <c r="B23" s="13">
        <f t="shared" si="2"/>
        <v>7074.3599662820852</v>
      </c>
      <c r="C23" s="22">
        <f>MIN('My Loans'!$F$3,B23+D23)</f>
        <v>95</v>
      </c>
      <c r="D23" s="22">
        <f>B23*'My Loans'!$E$3/12</f>
        <v>26.528849873557817</v>
      </c>
      <c r="E23" s="22">
        <f t="shared" si="0"/>
        <v>68.471150126442183</v>
      </c>
      <c r="F23" s="22">
        <f t="shared" si="1"/>
        <v>7005.8888161556433</v>
      </c>
    </row>
    <row r="24" spans="1:6" x14ac:dyDescent="0.25">
      <c r="A24" s="1">
        <v>19</v>
      </c>
      <c r="B24" s="13">
        <f t="shared" si="2"/>
        <v>7005.8888161556433</v>
      </c>
      <c r="C24" s="22">
        <f>MIN('My Loans'!$F$3,B24+D24)</f>
        <v>95</v>
      </c>
      <c r="D24" s="22">
        <f>B24*'My Loans'!$E$3/12</f>
        <v>26.272083060583665</v>
      </c>
      <c r="E24" s="22">
        <f t="shared" si="0"/>
        <v>68.727916939416332</v>
      </c>
      <c r="F24" s="22">
        <f t="shared" si="1"/>
        <v>6937.1608992162273</v>
      </c>
    </row>
    <row r="25" spans="1:6" x14ac:dyDescent="0.25">
      <c r="A25" s="1">
        <v>20</v>
      </c>
      <c r="B25" s="13">
        <f t="shared" si="2"/>
        <v>6937.1608992162273</v>
      </c>
      <c r="C25" s="22">
        <f>MIN('My Loans'!$F$3,B25+D25)</f>
        <v>95</v>
      </c>
      <c r="D25" s="22">
        <f>B25*'My Loans'!$E$3/12</f>
        <v>26.014353372060853</v>
      </c>
      <c r="E25" s="22">
        <f t="shared" si="0"/>
        <v>68.985646627939147</v>
      </c>
      <c r="F25" s="22">
        <f t="shared" si="1"/>
        <v>6868.1752525882885</v>
      </c>
    </row>
    <row r="26" spans="1:6" x14ac:dyDescent="0.25">
      <c r="A26" s="1">
        <v>21</v>
      </c>
      <c r="B26" s="13">
        <f t="shared" si="2"/>
        <v>6868.1752525882885</v>
      </c>
      <c r="C26" s="22">
        <f>MIN('My Loans'!$F$3,B26+D26)</f>
        <v>95</v>
      </c>
      <c r="D26" s="22">
        <f>B26*'My Loans'!$E$3/12</f>
        <v>25.75565719720608</v>
      </c>
      <c r="E26" s="22">
        <f t="shared" si="0"/>
        <v>69.244342802793923</v>
      </c>
      <c r="F26" s="22">
        <f t="shared" si="1"/>
        <v>6798.9309097854948</v>
      </c>
    </row>
    <row r="27" spans="1:6" x14ac:dyDescent="0.25">
      <c r="A27" s="1">
        <v>22</v>
      </c>
      <c r="B27" s="13">
        <f t="shared" si="2"/>
        <v>6798.9309097854948</v>
      </c>
      <c r="C27" s="22">
        <f>MIN('My Loans'!$F$3,B27+D27)</f>
        <v>95</v>
      </c>
      <c r="D27" s="22">
        <f>B27*'My Loans'!$E$3/12</f>
        <v>25.495990911695603</v>
      </c>
      <c r="E27" s="22">
        <f t="shared" si="0"/>
        <v>69.5040090883044</v>
      </c>
      <c r="F27" s="22">
        <f t="shared" si="1"/>
        <v>6729.4269006971908</v>
      </c>
    </row>
    <row r="28" spans="1:6" x14ac:dyDescent="0.25">
      <c r="A28" s="1">
        <v>23</v>
      </c>
      <c r="B28" s="13">
        <f t="shared" si="2"/>
        <v>6729.4269006971908</v>
      </c>
      <c r="C28" s="22">
        <f>MIN('My Loans'!$F$3,B28+D28)</f>
        <v>95</v>
      </c>
      <c r="D28" s="22">
        <f>B28*'My Loans'!$E$3/12</f>
        <v>25.235350877614465</v>
      </c>
      <c r="E28" s="22">
        <f t="shared" si="0"/>
        <v>69.764649122385535</v>
      </c>
      <c r="F28" s="22">
        <f t="shared" si="1"/>
        <v>6659.6622515748049</v>
      </c>
    </row>
    <row r="29" spans="1:6" x14ac:dyDescent="0.25">
      <c r="A29" s="1">
        <v>24</v>
      </c>
      <c r="B29" s="13">
        <f t="shared" si="2"/>
        <v>6659.6622515748049</v>
      </c>
      <c r="C29" s="22">
        <f>MIN('My Loans'!$F$3,B29+D29)</f>
        <v>95</v>
      </c>
      <c r="D29" s="22">
        <f>B29*'My Loans'!$E$3/12</f>
        <v>24.973733443405518</v>
      </c>
      <c r="E29" s="22">
        <f t="shared" si="0"/>
        <v>70.026266556594479</v>
      </c>
      <c r="F29" s="22">
        <f t="shared" si="1"/>
        <v>6589.6359850182107</v>
      </c>
    </row>
    <row r="30" spans="1:6" x14ac:dyDescent="0.25">
      <c r="A30" s="1">
        <v>25</v>
      </c>
      <c r="B30" s="13">
        <f t="shared" si="2"/>
        <v>6589.6359850182107</v>
      </c>
      <c r="C30" s="22">
        <f>MIN('My Loans'!$F$3,B30+D30)</f>
        <v>95</v>
      </c>
      <c r="D30" s="22">
        <f>B30*'My Loans'!$E$3/12</f>
        <v>24.711134943818291</v>
      </c>
      <c r="E30" s="22">
        <f t="shared" si="0"/>
        <v>70.288865056181706</v>
      </c>
      <c r="F30" s="22">
        <f t="shared" si="1"/>
        <v>6519.347119962029</v>
      </c>
    </row>
    <row r="31" spans="1:6" x14ac:dyDescent="0.25">
      <c r="A31" s="1">
        <v>26</v>
      </c>
      <c r="B31" s="13">
        <f t="shared" si="2"/>
        <v>6519.347119962029</v>
      </c>
      <c r="C31" s="22">
        <f>MIN('My Loans'!$F$3,B31+D31)</f>
        <v>95</v>
      </c>
      <c r="D31" s="22">
        <f>B31*'My Loans'!$E$3/12</f>
        <v>24.447551699857609</v>
      </c>
      <c r="E31" s="22">
        <f t="shared" si="0"/>
        <v>70.552448300142387</v>
      </c>
      <c r="F31" s="22">
        <f t="shared" si="1"/>
        <v>6448.7946716618862</v>
      </c>
    </row>
    <row r="32" spans="1:6" x14ac:dyDescent="0.25">
      <c r="A32" s="1">
        <v>27</v>
      </c>
      <c r="B32" s="13">
        <f t="shared" si="2"/>
        <v>6448.7946716618862</v>
      </c>
      <c r="C32" s="22">
        <f>MIN('My Loans'!$F$3,B32+D32)</f>
        <v>95</v>
      </c>
      <c r="D32" s="22">
        <f>B32*'My Loans'!$E$3/12</f>
        <v>24.182980018732071</v>
      </c>
      <c r="E32" s="22">
        <f t="shared" si="0"/>
        <v>70.817019981267933</v>
      </c>
      <c r="F32" s="22">
        <f t="shared" si="1"/>
        <v>6377.9776516806187</v>
      </c>
    </row>
    <row r="33" spans="1:6" x14ac:dyDescent="0.25">
      <c r="A33" s="1">
        <v>28</v>
      </c>
      <c r="B33" s="13">
        <f t="shared" si="2"/>
        <v>6377.9776516806187</v>
      </c>
      <c r="C33" s="22">
        <f>MIN('My Loans'!$F$3,B33+D33)</f>
        <v>95</v>
      </c>
      <c r="D33" s="22">
        <f>B33*'My Loans'!$E$3/12</f>
        <v>23.917416193802321</v>
      </c>
      <c r="E33" s="22">
        <f t="shared" si="0"/>
        <v>71.082583806197675</v>
      </c>
      <c r="F33" s="22">
        <f t="shared" si="1"/>
        <v>6306.8950678744213</v>
      </c>
    </row>
    <row r="34" spans="1:6" x14ac:dyDescent="0.25">
      <c r="A34" s="1">
        <v>29</v>
      </c>
      <c r="B34" s="13">
        <f t="shared" si="2"/>
        <v>6306.8950678744213</v>
      </c>
      <c r="C34" s="22">
        <f>MIN('My Loans'!$F$3,B34+D34)</f>
        <v>95</v>
      </c>
      <c r="D34" s="22">
        <f>B34*'My Loans'!$E$3/12</f>
        <v>23.650856504529077</v>
      </c>
      <c r="E34" s="22">
        <f t="shared" si="0"/>
        <v>71.349143495470926</v>
      </c>
      <c r="F34" s="22">
        <f t="shared" si="1"/>
        <v>6235.5459243789501</v>
      </c>
    </row>
    <row r="35" spans="1:6" x14ac:dyDescent="0.25">
      <c r="A35" s="1">
        <v>30</v>
      </c>
      <c r="B35" s="13">
        <f t="shared" si="2"/>
        <v>6235.5459243789501</v>
      </c>
      <c r="C35" s="22">
        <f>MIN('My Loans'!$F$3,B35+D35)</f>
        <v>95</v>
      </c>
      <c r="D35" s="22">
        <f>B35*'My Loans'!$E$3/12</f>
        <v>23.38329721642106</v>
      </c>
      <c r="E35" s="22">
        <f t="shared" si="0"/>
        <v>71.616702783578944</v>
      </c>
      <c r="F35" s="22">
        <f t="shared" si="1"/>
        <v>6163.929221595371</v>
      </c>
    </row>
    <row r="36" spans="1:6" x14ac:dyDescent="0.25">
      <c r="A36" s="1">
        <v>31</v>
      </c>
      <c r="B36" s="13">
        <f t="shared" si="2"/>
        <v>6163.929221595371</v>
      </c>
      <c r="C36" s="22">
        <f>MIN('My Loans'!$F$3,B36+D36)</f>
        <v>95</v>
      </c>
      <c r="D36" s="22">
        <f>B36*'My Loans'!$E$3/12</f>
        <v>23.114734580982642</v>
      </c>
      <c r="E36" s="22">
        <f t="shared" si="0"/>
        <v>71.885265419017358</v>
      </c>
      <c r="F36" s="22">
        <f t="shared" si="1"/>
        <v>6092.0439561763533</v>
      </c>
    </row>
    <row r="37" spans="1:6" x14ac:dyDescent="0.25">
      <c r="A37" s="1">
        <v>32</v>
      </c>
      <c r="B37" s="13">
        <f t="shared" si="2"/>
        <v>6092.0439561763533</v>
      </c>
      <c r="C37" s="22">
        <f>MIN('My Loans'!$F$3,B37+D37)</f>
        <v>95</v>
      </c>
      <c r="D37" s="22">
        <f>B37*'My Loans'!$E$3/12</f>
        <v>22.845164835661322</v>
      </c>
      <c r="E37" s="22">
        <f t="shared" si="0"/>
        <v>72.154835164338678</v>
      </c>
      <c r="F37" s="22">
        <f t="shared" si="1"/>
        <v>6019.8891210120146</v>
      </c>
    </row>
    <row r="38" spans="1:6" x14ac:dyDescent="0.25">
      <c r="A38" s="1">
        <v>33</v>
      </c>
      <c r="B38" s="13">
        <f t="shared" si="2"/>
        <v>6019.8891210120146</v>
      </c>
      <c r="C38" s="22">
        <f>MIN('My Loans'!$F$3,B38+D38)</f>
        <v>95</v>
      </c>
      <c r="D38" s="22">
        <f>B38*'My Loans'!$E$3/12</f>
        <v>22.574584203795055</v>
      </c>
      <c r="E38" s="22">
        <f t="shared" ref="E38:E69" si="3">C38-D38</f>
        <v>72.425415796204945</v>
      </c>
      <c r="F38" s="22">
        <f t="shared" ref="F38:F69" si="4">MAX(0,B38-E38)</f>
        <v>5947.4637052158096</v>
      </c>
    </row>
    <row r="39" spans="1:6" x14ac:dyDescent="0.25">
      <c r="A39" s="1">
        <v>34</v>
      </c>
      <c r="B39" s="13">
        <f t="shared" ref="B39:B70" si="5">F38</f>
        <v>5947.4637052158096</v>
      </c>
      <c r="C39" s="22">
        <f>MIN('My Loans'!$F$3,B39+D39)</f>
        <v>95</v>
      </c>
      <c r="D39" s="22">
        <f>B39*'My Loans'!$E$3/12</f>
        <v>22.302988894559288</v>
      </c>
      <c r="E39" s="22">
        <f t="shared" si="3"/>
        <v>72.697011105440708</v>
      </c>
      <c r="F39" s="22">
        <f t="shared" si="4"/>
        <v>5874.7666941103689</v>
      </c>
    </row>
    <row r="40" spans="1:6" x14ac:dyDescent="0.25">
      <c r="A40" s="1">
        <v>35</v>
      </c>
      <c r="B40" s="13">
        <f t="shared" si="5"/>
        <v>5874.7666941103689</v>
      </c>
      <c r="C40" s="22">
        <f>MIN('My Loans'!$F$3,B40+D40)</f>
        <v>95</v>
      </c>
      <c r="D40" s="22">
        <f>B40*'My Loans'!$E$3/12</f>
        <v>22.030375102913883</v>
      </c>
      <c r="E40" s="22">
        <f t="shared" si="3"/>
        <v>72.969624897086121</v>
      </c>
      <c r="F40" s="22">
        <f t="shared" si="4"/>
        <v>5801.7970692132831</v>
      </c>
    </row>
    <row r="41" spans="1:6" x14ac:dyDescent="0.25">
      <c r="A41" s="1">
        <v>36</v>
      </c>
      <c r="B41" s="13">
        <f t="shared" si="5"/>
        <v>5801.7970692132831</v>
      </c>
      <c r="C41" s="22">
        <f>MIN('My Loans'!$F$3,B41+D41)</f>
        <v>95</v>
      </c>
      <c r="D41" s="22">
        <f>B41*'My Loans'!$E$3/12</f>
        <v>21.756739009549808</v>
      </c>
      <c r="E41" s="22">
        <f t="shared" si="3"/>
        <v>73.243260990450196</v>
      </c>
      <c r="F41" s="22">
        <f t="shared" si="4"/>
        <v>5728.5538082228331</v>
      </c>
    </row>
    <row r="42" spans="1:6" x14ac:dyDescent="0.25">
      <c r="A42" s="1">
        <v>37</v>
      </c>
      <c r="B42" s="13">
        <f t="shared" si="5"/>
        <v>5728.5538082228331</v>
      </c>
      <c r="C42" s="22">
        <f>MIN('My Loans'!$F$3,B42+D42)</f>
        <v>95</v>
      </c>
      <c r="D42" s="22">
        <f>B42*'My Loans'!$E$3/12</f>
        <v>21.482076780835623</v>
      </c>
      <c r="E42" s="22">
        <f t="shared" si="3"/>
        <v>73.517923219164373</v>
      </c>
      <c r="F42" s="22">
        <f t="shared" si="4"/>
        <v>5655.0358850036691</v>
      </c>
    </row>
    <row r="43" spans="1:6" x14ac:dyDescent="0.25">
      <c r="A43" s="1">
        <v>38</v>
      </c>
      <c r="B43" s="13">
        <f t="shared" si="5"/>
        <v>5655.0358850036691</v>
      </c>
      <c r="C43" s="22">
        <f>MIN('My Loans'!$F$3,B43+D43)</f>
        <v>95</v>
      </c>
      <c r="D43" s="22">
        <f>B43*'My Loans'!$E$3/12</f>
        <v>21.20638456876376</v>
      </c>
      <c r="E43" s="22">
        <f t="shared" si="3"/>
        <v>73.793615431236248</v>
      </c>
      <c r="F43" s="22">
        <f t="shared" si="4"/>
        <v>5581.2422695724326</v>
      </c>
    </row>
    <row r="44" spans="1:6" x14ac:dyDescent="0.25">
      <c r="A44" s="1">
        <v>39</v>
      </c>
      <c r="B44" s="13">
        <f t="shared" si="5"/>
        <v>5581.2422695724326</v>
      </c>
      <c r="C44" s="22">
        <f>MIN('My Loans'!$F$3,B44+D44)</f>
        <v>95</v>
      </c>
      <c r="D44" s="22">
        <f>B44*'My Loans'!$E$3/12</f>
        <v>20.929658510896623</v>
      </c>
      <c r="E44" s="22">
        <f t="shared" si="3"/>
        <v>74.070341489103384</v>
      </c>
      <c r="F44" s="22">
        <f t="shared" si="4"/>
        <v>5507.1719280833295</v>
      </c>
    </row>
    <row r="45" spans="1:6" x14ac:dyDescent="0.25">
      <c r="A45" s="1">
        <v>40</v>
      </c>
      <c r="B45" s="13">
        <f t="shared" si="5"/>
        <v>5507.1719280833295</v>
      </c>
      <c r="C45" s="22">
        <f>MIN('My Loans'!$F$3,B45+D45)</f>
        <v>95</v>
      </c>
      <c r="D45" s="22">
        <f>B45*'My Loans'!$E$3/12</f>
        <v>20.651894730312485</v>
      </c>
      <c r="E45" s="22">
        <f t="shared" si="3"/>
        <v>74.348105269687522</v>
      </c>
      <c r="F45" s="22">
        <f t="shared" si="4"/>
        <v>5432.8238228136415</v>
      </c>
    </row>
    <row r="46" spans="1:6" x14ac:dyDescent="0.25">
      <c r="A46" s="1">
        <v>41</v>
      </c>
      <c r="B46" s="13">
        <f t="shared" si="5"/>
        <v>5432.8238228136415</v>
      </c>
      <c r="C46" s="22">
        <f>MIN('My Loans'!$F$3,B46+D46)</f>
        <v>95</v>
      </c>
      <c r="D46" s="22">
        <f>B46*'My Loans'!$E$3/12</f>
        <v>20.373089335551153</v>
      </c>
      <c r="E46" s="22">
        <f t="shared" si="3"/>
        <v>74.626910664448843</v>
      </c>
      <c r="F46" s="22">
        <f t="shared" si="4"/>
        <v>5358.1969121491929</v>
      </c>
    </row>
    <row r="47" spans="1:6" x14ac:dyDescent="0.25">
      <c r="A47" s="1">
        <v>42</v>
      </c>
      <c r="B47" s="13">
        <f t="shared" si="5"/>
        <v>5358.1969121491929</v>
      </c>
      <c r="C47" s="22">
        <f>MIN('My Loans'!$F$3,B47+D47)</f>
        <v>95</v>
      </c>
      <c r="D47" s="22">
        <f>B47*'My Loans'!$E$3/12</f>
        <v>20.093238420559473</v>
      </c>
      <c r="E47" s="22">
        <f t="shared" si="3"/>
        <v>74.906761579440527</v>
      </c>
      <c r="F47" s="22">
        <f t="shared" si="4"/>
        <v>5283.2901505697528</v>
      </c>
    </row>
    <row r="48" spans="1:6" x14ac:dyDescent="0.25">
      <c r="A48" s="1">
        <v>43</v>
      </c>
      <c r="B48" s="13">
        <f t="shared" si="5"/>
        <v>5283.2901505697528</v>
      </c>
      <c r="C48" s="22">
        <f>MIN('My Loans'!$F$3,B48+D48)</f>
        <v>95</v>
      </c>
      <c r="D48" s="22">
        <f>B48*'My Loans'!$E$3/12</f>
        <v>19.812338064636574</v>
      </c>
      <c r="E48" s="22">
        <f t="shared" si="3"/>
        <v>75.187661935363423</v>
      </c>
      <c r="F48" s="22">
        <f t="shared" si="4"/>
        <v>5208.1024886343894</v>
      </c>
    </row>
    <row r="49" spans="1:6" x14ac:dyDescent="0.25">
      <c r="A49" s="1">
        <v>44</v>
      </c>
      <c r="B49" s="13">
        <f t="shared" si="5"/>
        <v>5208.1024886343894</v>
      </c>
      <c r="C49" s="22">
        <f>MIN('My Loans'!$F$3,B49+D49)</f>
        <v>95</v>
      </c>
      <c r="D49" s="22">
        <f>B49*'My Loans'!$E$3/12</f>
        <v>19.530384332378961</v>
      </c>
      <c r="E49" s="22">
        <f t="shared" si="3"/>
        <v>75.469615667621042</v>
      </c>
      <c r="F49" s="22">
        <f t="shared" si="4"/>
        <v>5132.6328729667684</v>
      </c>
    </row>
    <row r="50" spans="1:6" x14ac:dyDescent="0.25">
      <c r="A50" s="1">
        <v>45</v>
      </c>
      <c r="B50" s="13">
        <f t="shared" si="5"/>
        <v>5132.6328729667684</v>
      </c>
      <c r="C50" s="22">
        <f>MIN('My Loans'!$F$3,B50+D50)</f>
        <v>95</v>
      </c>
      <c r="D50" s="22">
        <f>B50*'My Loans'!$E$3/12</f>
        <v>19.247373273625382</v>
      </c>
      <c r="E50" s="22">
        <f t="shared" si="3"/>
        <v>75.752626726374615</v>
      </c>
      <c r="F50" s="22">
        <f t="shared" si="4"/>
        <v>5056.8802462403937</v>
      </c>
    </row>
    <row r="51" spans="1:6" x14ac:dyDescent="0.25">
      <c r="A51" s="1">
        <v>46</v>
      </c>
      <c r="B51" s="13">
        <f t="shared" si="5"/>
        <v>5056.8802462403937</v>
      </c>
      <c r="C51" s="22">
        <f>MIN('My Loans'!$F$3,B51+D51)</f>
        <v>95</v>
      </c>
      <c r="D51" s="22">
        <f>B51*'My Loans'!$E$3/12</f>
        <v>18.963300923401476</v>
      </c>
      <c r="E51" s="22">
        <f t="shared" si="3"/>
        <v>76.036699076598524</v>
      </c>
      <c r="F51" s="22">
        <f t="shared" si="4"/>
        <v>4980.8435471637949</v>
      </c>
    </row>
    <row r="52" spans="1:6" x14ac:dyDescent="0.25">
      <c r="A52" s="1">
        <v>47</v>
      </c>
      <c r="B52" s="13">
        <f t="shared" si="5"/>
        <v>4980.8435471637949</v>
      </c>
      <c r="C52" s="22">
        <f>MIN('My Loans'!$F$3,B52+D52)</f>
        <v>95</v>
      </c>
      <c r="D52" s="22">
        <f>B52*'My Loans'!$E$3/12</f>
        <v>18.678163301864231</v>
      </c>
      <c r="E52" s="22">
        <f t="shared" si="3"/>
        <v>76.321836698135769</v>
      </c>
      <c r="F52" s="22">
        <f t="shared" si="4"/>
        <v>4904.5217104656595</v>
      </c>
    </row>
    <row r="53" spans="1:6" x14ac:dyDescent="0.25">
      <c r="A53" s="1">
        <v>48</v>
      </c>
      <c r="B53" s="13">
        <f t="shared" si="5"/>
        <v>4904.5217104656595</v>
      </c>
      <c r="C53" s="22">
        <f>MIN('My Loans'!$F$3,B53+D53)</f>
        <v>95</v>
      </c>
      <c r="D53" s="22">
        <f>B53*'My Loans'!$E$3/12</f>
        <v>18.39195641424622</v>
      </c>
      <c r="E53" s="22">
        <f t="shared" si="3"/>
        <v>76.608043585753776</v>
      </c>
      <c r="F53" s="22">
        <f t="shared" si="4"/>
        <v>4827.9136668799056</v>
      </c>
    </row>
    <row r="54" spans="1:6" x14ac:dyDescent="0.25">
      <c r="A54" s="1">
        <v>49</v>
      </c>
      <c r="B54" s="13">
        <f t="shared" si="5"/>
        <v>4827.9136668799056</v>
      </c>
      <c r="C54" s="22">
        <f>MIN('My Loans'!$F$3,B54+D54)</f>
        <v>95</v>
      </c>
      <c r="D54" s="22">
        <f>B54*'My Loans'!$E$3/12</f>
        <v>18.104676250799645</v>
      </c>
      <c r="E54" s="22">
        <f t="shared" si="3"/>
        <v>76.895323749200358</v>
      </c>
      <c r="F54" s="22">
        <f t="shared" si="4"/>
        <v>4751.018343130705</v>
      </c>
    </row>
    <row r="55" spans="1:6" x14ac:dyDescent="0.25">
      <c r="A55" s="1">
        <v>50</v>
      </c>
      <c r="B55" s="13">
        <f t="shared" si="5"/>
        <v>4751.018343130705</v>
      </c>
      <c r="C55" s="22">
        <f>MIN('My Loans'!$F$3,B55+D55)</f>
        <v>95</v>
      </c>
      <c r="D55" s="22">
        <f>B55*'My Loans'!$E$3/12</f>
        <v>17.816318786740144</v>
      </c>
      <c r="E55" s="22">
        <f t="shared" si="3"/>
        <v>77.18368121325986</v>
      </c>
      <c r="F55" s="22">
        <f t="shared" si="4"/>
        <v>4673.8346619174454</v>
      </c>
    </row>
    <row r="56" spans="1:6" x14ac:dyDescent="0.25">
      <c r="A56" s="1">
        <v>51</v>
      </c>
      <c r="B56" s="13">
        <f t="shared" si="5"/>
        <v>4673.8346619174454</v>
      </c>
      <c r="C56" s="22">
        <f>MIN('My Loans'!$F$3,B56+D56)</f>
        <v>95</v>
      </c>
      <c r="D56" s="22">
        <f>B56*'My Loans'!$E$3/12</f>
        <v>17.526879982190419</v>
      </c>
      <c r="E56" s="22">
        <f t="shared" si="3"/>
        <v>77.473120017809578</v>
      </c>
      <c r="F56" s="22">
        <f t="shared" si="4"/>
        <v>4596.361541899636</v>
      </c>
    </row>
    <row r="57" spans="1:6" x14ac:dyDescent="0.25">
      <c r="A57" s="1">
        <v>52</v>
      </c>
      <c r="B57" s="13">
        <f t="shared" si="5"/>
        <v>4596.361541899636</v>
      </c>
      <c r="C57" s="22">
        <f>MIN('My Loans'!$F$3,B57+D57)</f>
        <v>95</v>
      </c>
      <c r="D57" s="22">
        <f>B57*'My Loans'!$E$3/12</f>
        <v>17.236355782123635</v>
      </c>
      <c r="E57" s="22">
        <f t="shared" si="3"/>
        <v>77.763644217876362</v>
      </c>
      <c r="F57" s="22">
        <f t="shared" si="4"/>
        <v>4518.5978976817596</v>
      </c>
    </row>
    <row r="58" spans="1:6" x14ac:dyDescent="0.25">
      <c r="A58" s="1">
        <v>53</v>
      </c>
      <c r="B58" s="13">
        <f t="shared" si="5"/>
        <v>4518.5978976817596</v>
      </c>
      <c r="C58" s="22">
        <f>MIN('My Loans'!$F$3,B58+D58)</f>
        <v>95</v>
      </c>
      <c r="D58" s="22">
        <f>B58*'My Loans'!$E$3/12</f>
        <v>16.944742116306596</v>
      </c>
      <c r="E58" s="22">
        <f t="shared" si="3"/>
        <v>78.0552578836934</v>
      </c>
      <c r="F58" s="22">
        <f t="shared" si="4"/>
        <v>4440.5426397980664</v>
      </c>
    </row>
    <row r="59" spans="1:6" x14ac:dyDescent="0.25">
      <c r="A59" s="1">
        <v>54</v>
      </c>
      <c r="B59" s="13">
        <f t="shared" si="5"/>
        <v>4440.5426397980664</v>
      </c>
      <c r="C59" s="22">
        <f>MIN('My Loans'!$F$3,B59+D59)</f>
        <v>95</v>
      </c>
      <c r="D59" s="22">
        <f>B59*'My Loans'!$E$3/12</f>
        <v>16.652034899242746</v>
      </c>
      <c r="E59" s="22">
        <f t="shared" si="3"/>
        <v>78.34796510075725</v>
      </c>
      <c r="F59" s="22">
        <f t="shared" si="4"/>
        <v>4362.194674697309</v>
      </c>
    </row>
    <row r="60" spans="1:6" x14ac:dyDescent="0.25">
      <c r="A60" s="1">
        <v>55</v>
      </c>
      <c r="B60" s="13">
        <f t="shared" si="5"/>
        <v>4362.194674697309</v>
      </c>
      <c r="C60" s="22">
        <f>MIN('My Loans'!$F$3,B60+D60)</f>
        <v>95</v>
      </c>
      <c r="D60" s="22">
        <f>B60*'My Loans'!$E$3/12</f>
        <v>16.358230030114907</v>
      </c>
      <c r="E60" s="22">
        <f t="shared" si="3"/>
        <v>78.64176996988509</v>
      </c>
      <c r="F60" s="22">
        <f t="shared" si="4"/>
        <v>4283.552904727424</v>
      </c>
    </row>
    <row r="61" spans="1:6" x14ac:dyDescent="0.25">
      <c r="A61" s="1">
        <v>56</v>
      </c>
      <c r="B61" s="13">
        <f t="shared" si="5"/>
        <v>4283.552904727424</v>
      </c>
      <c r="C61" s="22">
        <f>MIN('My Loans'!$F$3,B61+D61)</f>
        <v>95</v>
      </c>
      <c r="D61" s="22">
        <f>B61*'My Loans'!$E$3/12</f>
        <v>16.063323392727838</v>
      </c>
      <c r="E61" s="22">
        <f t="shared" si="3"/>
        <v>78.936676607272162</v>
      </c>
      <c r="F61" s="22">
        <f t="shared" si="4"/>
        <v>4204.6162281201514</v>
      </c>
    </row>
    <row r="62" spans="1:6" x14ac:dyDescent="0.25">
      <c r="A62" s="1">
        <v>57</v>
      </c>
      <c r="B62" s="13">
        <f t="shared" si="5"/>
        <v>4204.6162281201514</v>
      </c>
      <c r="C62" s="22">
        <f>MIN('My Loans'!$F$3,B62+D62)</f>
        <v>95</v>
      </c>
      <c r="D62" s="22">
        <f>B62*'My Loans'!$E$3/12</f>
        <v>15.767310855450567</v>
      </c>
      <c r="E62" s="22">
        <f t="shared" si="3"/>
        <v>79.232689144549425</v>
      </c>
      <c r="F62" s="22">
        <f t="shared" si="4"/>
        <v>4125.3835389756023</v>
      </c>
    </row>
    <row r="63" spans="1:6" x14ac:dyDescent="0.25">
      <c r="A63" s="1">
        <v>58</v>
      </c>
      <c r="B63" s="13">
        <f t="shared" si="5"/>
        <v>4125.3835389756023</v>
      </c>
      <c r="C63" s="22">
        <f>MIN('My Loans'!$F$3,B63+D63)</f>
        <v>95</v>
      </c>
      <c r="D63" s="22">
        <f>B63*'My Loans'!$E$3/12</f>
        <v>15.470188271158507</v>
      </c>
      <c r="E63" s="22">
        <f t="shared" si="3"/>
        <v>79.529811728841494</v>
      </c>
      <c r="F63" s="22">
        <f t="shared" si="4"/>
        <v>4045.8537272467606</v>
      </c>
    </row>
    <row r="64" spans="1:6" x14ac:dyDescent="0.25">
      <c r="A64" s="1">
        <v>59</v>
      </c>
      <c r="B64" s="13">
        <f t="shared" si="5"/>
        <v>4045.8537272467606</v>
      </c>
      <c r="C64" s="22">
        <f>MIN('My Loans'!$F$3,B64+D64)</f>
        <v>95</v>
      </c>
      <c r="D64" s="22">
        <f>B64*'My Loans'!$E$3/12</f>
        <v>15.171951477175353</v>
      </c>
      <c r="E64" s="22">
        <f t="shared" si="3"/>
        <v>79.828048522824645</v>
      </c>
      <c r="F64" s="22">
        <f t="shared" si="4"/>
        <v>3966.0256787239359</v>
      </c>
    </row>
    <row r="65" spans="1:6" x14ac:dyDescent="0.25">
      <c r="A65" s="1">
        <v>60</v>
      </c>
      <c r="B65" s="13">
        <f t="shared" si="5"/>
        <v>3966.0256787239359</v>
      </c>
      <c r="C65" s="22">
        <f>MIN('My Loans'!$F$3,B65+D65)</f>
        <v>95</v>
      </c>
      <c r="D65" s="22">
        <f>B65*'My Loans'!$E$3/12</f>
        <v>14.872596295214761</v>
      </c>
      <c r="E65" s="22">
        <f t="shared" si="3"/>
        <v>80.127403704785237</v>
      </c>
      <c r="F65" s="22">
        <f t="shared" si="4"/>
        <v>3885.8982750191508</v>
      </c>
    </row>
    <row r="66" spans="1:6" x14ac:dyDescent="0.25">
      <c r="A66" s="1">
        <v>61</v>
      </c>
      <c r="B66" s="13">
        <f t="shared" si="5"/>
        <v>3885.8982750191508</v>
      </c>
      <c r="C66" s="22">
        <f>MIN('My Loans'!$F$3,B66+D66)</f>
        <v>95</v>
      </c>
      <c r="D66" s="22">
        <f>B66*'My Loans'!$E$3/12</f>
        <v>14.572118531321815</v>
      </c>
      <c r="E66" s="22">
        <f t="shared" si="3"/>
        <v>80.42788146867818</v>
      </c>
      <c r="F66" s="22">
        <f t="shared" si="4"/>
        <v>3805.4703935504726</v>
      </c>
    </row>
    <row r="67" spans="1:6" x14ac:dyDescent="0.25">
      <c r="A67" s="1">
        <v>62</v>
      </c>
      <c r="B67" s="13">
        <f t="shared" si="5"/>
        <v>3805.4703935504726</v>
      </c>
      <c r="C67" s="22">
        <f>MIN('My Loans'!$F$3,B67+D67)</f>
        <v>95</v>
      </c>
      <c r="D67" s="22">
        <f>B67*'My Loans'!$E$3/12</f>
        <v>14.270513975814273</v>
      </c>
      <c r="E67" s="22">
        <f t="shared" si="3"/>
        <v>80.729486024185732</v>
      </c>
      <c r="F67" s="22">
        <f t="shared" si="4"/>
        <v>3724.7409075262867</v>
      </c>
    </row>
    <row r="68" spans="1:6" x14ac:dyDescent="0.25">
      <c r="A68" s="1">
        <v>63</v>
      </c>
      <c r="B68" s="13">
        <f t="shared" si="5"/>
        <v>3724.7409075262867</v>
      </c>
      <c r="C68" s="22">
        <f>MIN('My Loans'!$F$3,B68+D68)</f>
        <v>95</v>
      </c>
      <c r="D68" s="22">
        <f>B68*'My Loans'!$E$3/12</f>
        <v>13.967778403223575</v>
      </c>
      <c r="E68" s="22">
        <f t="shared" si="3"/>
        <v>81.032221596776424</v>
      </c>
      <c r="F68" s="22">
        <f t="shared" si="4"/>
        <v>3643.7086859295105</v>
      </c>
    </row>
    <row r="69" spans="1:6" x14ac:dyDescent="0.25">
      <c r="A69" s="1">
        <v>64</v>
      </c>
      <c r="B69" s="13">
        <f t="shared" si="5"/>
        <v>3643.7086859295105</v>
      </c>
      <c r="C69" s="22">
        <f>MIN('My Loans'!$F$3,B69+D69)</f>
        <v>95</v>
      </c>
      <c r="D69" s="22">
        <f>B69*'My Loans'!$E$3/12</f>
        <v>13.663907572235663</v>
      </c>
      <c r="E69" s="22">
        <f t="shared" si="3"/>
        <v>81.336092427764342</v>
      </c>
      <c r="F69" s="22">
        <f t="shared" si="4"/>
        <v>3562.372593501746</v>
      </c>
    </row>
    <row r="70" spans="1:6" x14ac:dyDescent="0.25">
      <c r="A70" s="1">
        <v>65</v>
      </c>
      <c r="B70" s="13">
        <f t="shared" si="5"/>
        <v>3562.372593501746</v>
      </c>
      <c r="C70" s="22">
        <f>MIN('My Loans'!$F$3,B70+D70)</f>
        <v>95</v>
      </c>
      <c r="D70" s="22">
        <f>B70*'My Loans'!$E$3/12</f>
        <v>13.358897225631546</v>
      </c>
      <c r="E70" s="22">
        <f t="shared" ref="E70:E101" si="6">C70-D70</f>
        <v>81.641102774368449</v>
      </c>
      <c r="F70" s="22">
        <f t="shared" ref="F70:F101" si="7">MAX(0,B70-E70)</f>
        <v>3480.7314907273776</v>
      </c>
    </row>
    <row r="71" spans="1:6" x14ac:dyDescent="0.25">
      <c r="A71" s="1">
        <v>66</v>
      </c>
      <c r="B71" s="13">
        <f t="shared" ref="B71:B102" si="8">F70</f>
        <v>3480.7314907273776</v>
      </c>
      <c r="C71" s="22">
        <f>MIN('My Loans'!$F$3,B71+D71)</f>
        <v>95</v>
      </c>
      <c r="D71" s="22">
        <f>B71*'My Loans'!$E$3/12</f>
        <v>13.052743090227665</v>
      </c>
      <c r="E71" s="22">
        <f t="shared" si="6"/>
        <v>81.947256909772335</v>
      </c>
      <c r="F71" s="22">
        <f t="shared" si="7"/>
        <v>3398.7842338176051</v>
      </c>
    </row>
    <row r="72" spans="1:6" x14ac:dyDescent="0.25">
      <c r="A72" s="1">
        <v>67</v>
      </c>
      <c r="B72" s="13">
        <f t="shared" si="8"/>
        <v>3398.7842338176051</v>
      </c>
      <c r="C72" s="22">
        <f>MIN('My Loans'!$F$3,B72+D72)</f>
        <v>95</v>
      </c>
      <c r="D72" s="22">
        <f>B72*'My Loans'!$E$3/12</f>
        <v>12.745440876816019</v>
      </c>
      <c r="E72" s="22">
        <f t="shared" si="6"/>
        <v>82.254559123183981</v>
      </c>
      <c r="F72" s="22">
        <f t="shared" si="7"/>
        <v>3316.5296746944214</v>
      </c>
    </row>
    <row r="73" spans="1:6" x14ac:dyDescent="0.25">
      <c r="A73" s="1">
        <v>68</v>
      </c>
      <c r="B73" s="13">
        <f t="shared" si="8"/>
        <v>3316.5296746944214</v>
      </c>
      <c r="C73" s="22">
        <f>MIN('My Loans'!$F$3,B73+D73)</f>
        <v>95</v>
      </c>
      <c r="D73" s="22">
        <f>B73*'My Loans'!$E$3/12</f>
        <v>12.43698628010408</v>
      </c>
      <c r="E73" s="22">
        <f t="shared" si="6"/>
        <v>82.56301371989592</v>
      </c>
      <c r="F73" s="22">
        <f t="shared" si="7"/>
        <v>3233.9666609745254</v>
      </c>
    </row>
    <row r="74" spans="1:6" x14ac:dyDescent="0.25">
      <c r="A74" s="1">
        <v>69</v>
      </c>
      <c r="B74" s="13">
        <f t="shared" si="8"/>
        <v>3233.9666609745254</v>
      </c>
      <c r="C74" s="22">
        <f>MIN('My Loans'!$F$3,B74+D74)</f>
        <v>95</v>
      </c>
      <c r="D74" s="22">
        <f>B74*'My Loans'!$E$3/12</f>
        <v>12.127374978654471</v>
      </c>
      <c r="E74" s="22">
        <f t="shared" si="6"/>
        <v>82.872625021345527</v>
      </c>
      <c r="F74" s="22">
        <f t="shared" si="7"/>
        <v>3151.0940359531801</v>
      </c>
    </row>
    <row r="75" spans="1:6" x14ac:dyDescent="0.25">
      <c r="A75" s="1">
        <v>70</v>
      </c>
      <c r="B75" s="13">
        <f t="shared" si="8"/>
        <v>3151.0940359531801</v>
      </c>
      <c r="C75" s="22">
        <f>MIN('My Loans'!$F$3,B75+D75)</f>
        <v>95</v>
      </c>
      <c r="D75" s="22">
        <f>B75*'My Loans'!$E$3/12</f>
        <v>11.816602634824426</v>
      </c>
      <c r="E75" s="22">
        <f t="shared" si="6"/>
        <v>83.18339736517558</v>
      </c>
      <c r="F75" s="22">
        <f t="shared" si="7"/>
        <v>3067.9106385880045</v>
      </c>
    </row>
    <row r="76" spans="1:6" x14ac:dyDescent="0.25">
      <c r="A76" s="1">
        <v>71</v>
      </c>
      <c r="B76" s="13">
        <f t="shared" si="8"/>
        <v>3067.9106385880045</v>
      </c>
      <c r="C76" s="22">
        <f>MIN('My Loans'!$F$3,B76+D76)</f>
        <v>95</v>
      </c>
      <c r="D76" s="22">
        <f>B76*'My Loans'!$E$3/12</f>
        <v>11.504664894705016</v>
      </c>
      <c r="E76" s="22">
        <f t="shared" si="6"/>
        <v>83.495335105294984</v>
      </c>
      <c r="F76" s="22">
        <f t="shared" si="7"/>
        <v>2984.4153034827095</v>
      </c>
    </row>
    <row r="77" spans="1:6" x14ac:dyDescent="0.25">
      <c r="A77" s="1">
        <v>72</v>
      </c>
      <c r="B77" s="13">
        <f t="shared" si="8"/>
        <v>2984.4153034827095</v>
      </c>
      <c r="C77" s="22">
        <f>MIN('My Loans'!$F$3,B77+D77)</f>
        <v>95</v>
      </c>
      <c r="D77" s="22">
        <f>B77*'My Loans'!$E$3/12</f>
        <v>11.191557388060161</v>
      </c>
      <c r="E77" s="22">
        <f t="shared" si="6"/>
        <v>83.808442611939839</v>
      </c>
      <c r="F77" s="22">
        <f t="shared" si="7"/>
        <v>2900.6068608707697</v>
      </c>
    </row>
    <row r="78" spans="1:6" x14ac:dyDescent="0.25">
      <c r="A78" s="1">
        <v>73</v>
      </c>
      <c r="B78" s="13">
        <f t="shared" si="8"/>
        <v>2900.6068608707697</v>
      </c>
      <c r="C78" s="22">
        <f>MIN('My Loans'!$F$3,B78+D78)</f>
        <v>95</v>
      </c>
      <c r="D78" s="22">
        <f>B78*'My Loans'!$E$3/12</f>
        <v>10.877275728265387</v>
      </c>
      <c r="E78" s="22">
        <f t="shared" si="6"/>
        <v>84.122724271734612</v>
      </c>
      <c r="F78" s="22">
        <f t="shared" si="7"/>
        <v>2816.4841365990351</v>
      </c>
    </row>
    <row r="79" spans="1:6" x14ac:dyDescent="0.25">
      <c r="A79" s="1">
        <v>74</v>
      </c>
      <c r="B79" s="13">
        <f t="shared" si="8"/>
        <v>2816.4841365990351</v>
      </c>
      <c r="C79" s="22">
        <f>MIN('My Loans'!$F$3,B79+D79)</f>
        <v>95</v>
      </c>
      <c r="D79" s="22">
        <f>B79*'My Loans'!$E$3/12</f>
        <v>10.561815512246381</v>
      </c>
      <c r="E79" s="22">
        <f t="shared" si="6"/>
        <v>84.438184487753617</v>
      </c>
      <c r="F79" s="22">
        <f t="shared" si="7"/>
        <v>2732.0459521112816</v>
      </c>
    </row>
    <row r="80" spans="1:6" x14ac:dyDescent="0.25">
      <c r="A80" s="1">
        <v>75</v>
      </c>
      <c r="B80" s="13">
        <f t="shared" si="8"/>
        <v>2732.0459521112816</v>
      </c>
      <c r="C80" s="22">
        <f>MIN('My Loans'!$F$3,B80+D80)</f>
        <v>95</v>
      </c>
      <c r="D80" s="22">
        <f>B80*'My Loans'!$E$3/12</f>
        <v>10.245172320417305</v>
      </c>
      <c r="E80" s="22">
        <f t="shared" si="6"/>
        <v>84.754827679582689</v>
      </c>
      <c r="F80" s="22">
        <f t="shared" si="7"/>
        <v>2647.2911244316988</v>
      </c>
    </row>
    <row r="81" spans="1:6" x14ac:dyDescent="0.25">
      <c r="A81" s="1">
        <v>76</v>
      </c>
      <c r="B81" s="13">
        <f t="shared" si="8"/>
        <v>2647.2911244316988</v>
      </c>
      <c r="C81" s="22">
        <f>MIN('My Loans'!$F$3,B81+D81)</f>
        <v>95</v>
      </c>
      <c r="D81" s="22">
        <f>B81*'My Loans'!$E$3/12</f>
        <v>9.9273417166188711</v>
      </c>
      <c r="E81" s="22">
        <f t="shared" si="6"/>
        <v>85.072658283381131</v>
      </c>
      <c r="F81" s="22">
        <f t="shared" si="7"/>
        <v>2562.2184661483175</v>
      </c>
    </row>
    <row r="82" spans="1:6" x14ac:dyDescent="0.25">
      <c r="A82" s="1">
        <v>77</v>
      </c>
      <c r="B82" s="13">
        <f t="shared" si="8"/>
        <v>2562.2184661483175</v>
      </c>
      <c r="C82" s="22">
        <f>MIN('My Loans'!$F$3,B82+D82)</f>
        <v>95</v>
      </c>
      <c r="D82" s="22">
        <f>B82*'My Loans'!$E$3/12</f>
        <v>9.6083192480561905</v>
      </c>
      <c r="E82" s="22">
        <f t="shared" si="6"/>
        <v>85.391680751943809</v>
      </c>
      <c r="F82" s="22">
        <f t="shared" si="7"/>
        <v>2476.8267853963735</v>
      </c>
    </row>
    <row r="83" spans="1:6" x14ac:dyDescent="0.25">
      <c r="A83" s="1">
        <v>78</v>
      </c>
      <c r="B83" s="13">
        <f t="shared" si="8"/>
        <v>2476.8267853963735</v>
      </c>
      <c r="C83" s="22">
        <f>MIN('My Loans'!$F$3,B83+D83)</f>
        <v>95</v>
      </c>
      <c r="D83" s="22">
        <f>B83*'My Loans'!$E$3/12</f>
        <v>9.2881004452364007</v>
      </c>
      <c r="E83" s="22">
        <f t="shared" si="6"/>
        <v>85.711899554763605</v>
      </c>
      <c r="F83" s="22">
        <f t="shared" si="7"/>
        <v>2391.11488584161</v>
      </c>
    </row>
    <row r="84" spans="1:6" x14ac:dyDescent="0.25">
      <c r="A84" s="1">
        <v>79</v>
      </c>
      <c r="B84" s="13">
        <f t="shared" si="8"/>
        <v>2391.11488584161</v>
      </c>
      <c r="C84" s="22">
        <f>MIN('My Loans'!$F$3,B84+D84)</f>
        <v>95</v>
      </c>
      <c r="D84" s="22">
        <f>B84*'My Loans'!$E$3/12</f>
        <v>8.9666808219060368</v>
      </c>
      <c r="E84" s="22">
        <f t="shared" si="6"/>
        <v>86.033319178093961</v>
      </c>
      <c r="F84" s="22">
        <f t="shared" si="7"/>
        <v>2305.0815666635162</v>
      </c>
    </row>
    <row r="85" spans="1:6" x14ac:dyDescent="0.25">
      <c r="A85" s="1">
        <v>80</v>
      </c>
      <c r="B85" s="13">
        <f t="shared" si="8"/>
        <v>2305.0815666635162</v>
      </c>
      <c r="C85" s="22">
        <f>MIN('My Loans'!$F$3,B85+D85)</f>
        <v>95</v>
      </c>
      <c r="D85" s="22">
        <f>B85*'My Loans'!$E$3/12</f>
        <v>8.6440558749881848</v>
      </c>
      <c r="E85" s="22">
        <f t="shared" si="6"/>
        <v>86.355944125011817</v>
      </c>
      <c r="F85" s="22">
        <f t="shared" si="7"/>
        <v>2218.7256225385045</v>
      </c>
    </row>
    <row r="86" spans="1:6" x14ac:dyDescent="0.25">
      <c r="A86" s="1">
        <v>81</v>
      </c>
      <c r="B86" s="13">
        <f t="shared" si="8"/>
        <v>2218.7256225385045</v>
      </c>
      <c r="C86" s="22">
        <f>MIN('My Loans'!$F$3,B86+D86)</f>
        <v>95</v>
      </c>
      <c r="D86" s="22">
        <f>B86*'My Loans'!$E$3/12</f>
        <v>8.3202210845193907</v>
      </c>
      <c r="E86" s="22">
        <f t="shared" si="6"/>
        <v>86.679778915480611</v>
      </c>
      <c r="F86" s="22">
        <f t="shared" si="7"/>
        <v>2132.0458436230238</v>
      </c>
    </row>
    <row r="87" spans="1:6" x14ac:dyDescent="0.25">
      <c r="A87" s="1">
        <v>82</v>
      </c>
      <c r="B87" s="13">
        <f t="shared" si="8"/>
        <v>2132.0458436230238</v>
      </c>
      <c r="C87" s="22">
        <f>MIN('My Loans'!$F$3,B87+D87)</f>
        <v>95</v>
      </c>
      <c r="D87" s="22">
        <f>B87*'My Loans'!$E$3/12</f>
        <v>7.9951719135863391</v>
      </c>
      <c r="E87" s="22">
        <f t="shared" si="6"/>
        <v>87.004828086413667</v>
      </c>
      <c r="F87" s="22">
        <f t="shared" si="7"/>
        <v>2045.0410155366101</v>
      </c>
    </row>
    <row r="88" spans="1:6" x14ac:dyDescent="0.25">
      <c r="A88" s="1">
        <v>83</v>
      </c>
      <c r="B88" s="13">
        <f t="shared" si="8"/>
        <v>2045.0410155366101</v>
      </c>
      <c r="C88" s="22">
        <f>MIN('My Loans'!$F$3,B88+D88)</f>
        <v>95</v>
      </c>
      <c r="D88" s="22">
        <f>B88*'My Loans'!$E$3/12</f>
        <v>7.6689038082622867</v>
      </c>
      <c r="E88" s="22">
        <f t="shared" si="6"/>
        <v>87.331096191737714</v>
      </c>
      <c r="F88" s="22">
        <f t="shared" si="7"/>
        <v>1957.7099193448723</v>
      </c>
    </row>
    <row r="89" spans="1:6" x14ac:dyDescent="0.25">
      <c r="A89" s="1">
        <v>84</v>
      </c>
      <c r="B89" s="13">
        <f t="shared" si="8"/>
        <v>1957.7099193448723</v>
      </c>
      <c r="C89" s="22">
        <f>MIN('My Loans'!$F$3,B89+D89)</f>
        <v>95</v>
      </c>
      <c r="D89" s="22">
        <f>B89*'My Loans'!$E$3/12</f>
        <v>7.3414121975432707</v>
      </c>
      <c r="E89" s="22">
        <f t="shared" si="6"/>
        <v>87.658587802456736</v>
      </c>
      <c r="F89" s="22">
        <f t="shared" si="7"/>
        <v>1870.0513315424155</v>
      </c>
    </row>
    <row r="90" spans="1:6" x14ac:dyDescent="0.25">
      <c r="A90" s="1">
        <v>85</v>
      </c>
      <c r="B90" s="13">
        <f t="shared" si="8"/>
        <v>1870.0513315424155</v>
      </c>
      <c r="C90" s="22">
        <f>MIN('My Loans'!$F$3,B90+D90)</f>
        <v>95</v>
      </c>
      <c r="D90" s="22">
        <f>B90*'My Loans'!$E$3/12</f>
        <v>7.0126924932840575</v>
      </c>
      <c r="E90" s="22">
        <f t="shared" si="6"/>
        <v>87.987307506715936</v>
      </c>
      <c r="F90" s="22">
        <f t="shared" si="7"/>
        <v>1782.0640240356995</v>
      </c>
    </row>
    <row r="91" spans="1:6" x14ac:dyDescent="0.25">
      <c r="A91" s="1">
        <v>86</v>
      </c>
      <c r="B91" s="13">
        <f t="shared" si="8"/>
        <v>1782.0640240356995</v>
      </c>
      <c r="C91" s="22">
        <f>MIN('My Loans'!$F$3,B91+D91)</f>
        <v>95</v>
      </c>
      <c r="D91" s="22">
        <f>B91*'My Loans'!$E$3/12</f>
        <v>6.6827400901338727</v>
      </c>
      <c r="E91" s="22">
        <f t="shared" si="6"/>
        <v>88.317259909866124</v>
      </c>
      <c r="F91" s="22">
        <f t="shared" si="7"/>
        <v>1693.7467641258334</v>
      </c>
    </row>
    <row r="92" spans="1:6" x14ac:dyDescent="0.25">
      <c r="A92" s="1">
        <v>87</v>
      </c>
      <c r="B92" s="13">
        <f t="shared" si="8"/>
        <v>1693.7467641258334</v>
      </c>
      <c r="C92" s="22">
        <f>MIN('My Loans'!$F$3,B92+D92)</f>
        <v>95</v>
      </c>
      <c r="D92" s="22">
        <f>B92*'My Loans'!$E$3/12</f>
        <v>6.3515503654718755</v>
      </c>
      <c r="E92" s="22">
        <f t="shared" si="6"/>
        <v>88.64844963452812</v>
      </c>
      <c r="F92" s="22">
        <f t="shared" si="7"/>
        <v>1605.0983144913052</v>
      </c>
    </row>
    <row r="93" spans="1:6" x14ac:dyDescent="0.25">
      <c r="A93" s="1">
        <v>88</v>
      </c>
      <c r="B93" s="13">
        <f t="shared" si="8"/>
        <v>1605.0983144913052</v>
      </c>
      <c r="C93" s="22">
        <f>MIN('My Loans'!$F$3,B93+D93)</f>
        <v>95</v>
      </c>
      <c r="D93" s="22">
        <f>B93*'My Loans'!$E$3/12</f>
        <v>6.0191186793423945</v>
      </c>
      <c r="E93" s="22">
        <f t="shared" si="6"/>
        <v>88.980881320657602</v>
      </c>
      <c r="F93" s="22">
        <f t="shared" si="7"/>
        <v>1516.1174331706477</v>
      </c>
    </row>
    <row r="94" spans="1:6" x14ac:dyDescent="0.25">
      <c r="A94" s="1">
        <v>89</v>
      </c>
      <c r="B94" s="13">
        <f t="shared" si="8"/>
        <v>1516.1174331706477</v>
      </c>
      <c r="C94" s="22">
        <f>MIN('My Loans'!$F$3,B94+D94)</f>
        <v>95</v>
      </c>
      <c r="D94" s="22">
        <f>B94*'My Loans'!$E$3/12</f>
        <v>5.6854403743899296</v>
      </c>
      <c r="E94" s="22">
        <f t="shared" si="6"/>
        <v>89.314559625610073</v>
      </c>
      <c r="F94" s="22">
        <f t="shared" si="7"/>
        <v>1426.8028735450375</v>
      </c>
    </row>
    <row r="95" spans="1:6" x14ac:dyDescent="0.25">
      <c r="A95" s="1">
        <v>90</v>
      </c>
      <c r="B95" s="13">
        <f t="shared" si="8"/>
        <v>1426.8028735450375</v>
      </c>
      <c r="C95" s="22">
        <f>MIN('My Loans'!$F$3,B95+D95)</f>
        <v>95</v>
      </c>
      <c r="D95" s="22">
        <f>B95*'My Loans'!$E$3/12</f>
        <v>5.3505107757938903</v>
      </c>
      <c r="E95" s="22">
        <f t="shared" si="6"/>
        <v>89.649489224206107</v>
      </c>
      <c r="F95" s="22">
        <f t="shared" si="7"/>
        <v>1337.1533843208315</v>
      </c>
    </row>
    <row r="96" spans="1:6" x14ac:dyDescent="0.25">
      <c r="A96" s="1">
        <v>91</v>
      </c>
      <c r="B96" s="13">
        <f t="shared" si="8"/>
        <v>1337.1533843208315</v>
      </c>
      <c r="C96" s="22">
        <f>MIN('My Loans'!$F$3,B96+D96)</f>
        <v>95</v>
      </c>
      <c r="D96" s="22">
        <f>B96*'My Loans'!$E$3/12</f>
        <v>5.0143251912031177</v>
      </c>
      <c r="E96" s="22">
        <f t="shared" si="6"/>
        <v>89.985674808796887</v>
      </c>
      <c r="F96" s="22">
        <f t="shared" si="7"/>
        <v>1247.1677095120347</v>
      </c>
    </row>
    <row r="97" spans="1:6" x14ac:dyDescent="0.25">
      <c r="A97" s="1">
        <v>92</v>
      </c>
      <c r="B97" s="13">
        <f t="shared" si="8"/>
        <v>1247.1677095120347</v>
      </c>
      <c r="C97" s="22">
        <f>MIN('My Loans'!$F$3,B97+D97)</f>
        <v>95</v>
      </c>
      <c r="D97" s="22">
        <f>B97*'My Loans'!$E$3/12</f>
        <v>4.6768789106701298</v>
      </c>
      <c r="E97" s="22">
        <f t="shared" si="6"/>
        <v>90.323121089329874</v>
      </c>
      <c r="F97" s="22">
        <f t="shared" si="7"/>
        <v>1156.8445884227049</v>
      </c>
    </row>
    <row r="98" spans="1:6" x14ac:dyDescent="0.25">
      <c r="A98" s="1">
        <v>93</v>
      </c>
      <c r="B98" s="13">
        <f t="shared" si="8"/>
        <v>1156.8445884227049</v>
      </c>
      <c r="C98" s="22">
        <f>MIN('My Loans'!$F$3,B98+D98)</f>
        <v>95</v>
      </c>
      <c r="D98" s="22">
        <f>B98*'My Loans'!$E$3/12</f>
        <v>4.3381672065851431</v>
      </c>
      <c r="E98" s="22">
        <f t="shared" si="6"/>
        <v>90.66183279341486</v>
      </c>
      <c r="F98" s="22">
        <f t="shared" si="7"/>
        <v>1066.1827556292901</v>
      </c>
    </row>
    <row r="99" spans="1:6" x14ac:dyDescent="0.25">
      <c r="A99" s="1">
        <v>94</v>
      </c>
      <c r="B99" s="13">
        <f t="shared" si="8"/>
        <v>1066.1827556292901</v>
      </c>
      <c r="C99" s="22">
        <f>MIN('My Loans'!$F$3,B99+D99)</f>
        <v>95</v>
      </c>
      <c r="D99" s="22">
        <f>B99*'My Loans'!$E$3/12</f>
        <v>3.9981853336098379</v>
      </c>
      <c r="E99" s="22">
        <f t="shared" si="6"/>
        <v>91.00181466639016</v>
      </c>
      <c r="F99" s="22">
        <f t="shared" si="7"/>
        <v>975.18094096289997</v>
      </c>
    </row>
    <row r="100" spans="1:6" x14ac:dyDescent="0.25">
      <c r="A100" s="1">
        <v>95</v>
      </c>
      <c r="B100" s="13">
        <f t="shared" si="8"/>
        <v>975.18094096289997</v>
      </c>
      <c r="C100" s="22">
        <f>MIN('My Loans'!$F$3,B100+D100)</f>
        <v>95</v>
      </c>
      <c r="D100" s="22">
        <f>B100*'My Loans'!$E$3/12</f>
        <v>3.6569285286108748</v>
      </c>
      <c r="E100" s="22">
        <f t="shared" si="6"/>
        <v>91.343071471389123</v>
      </c>
      <c r="F100" s="22">
        <f t="shared" si="7"/>
        <v>883.8378694915109</v>
      </c>
    </row>
    <row r="101" spans="1:6" x14ac:dyDescent="0.25">
      <c r="A101" s="1">
        <v>96</v>
      </c>
      <c r="B101" s="13">
        <f t="shared" si="8"/>
        <v>883.8378694915109</v>
      </c>
      <c r="C101" s="22">
        <f>MIN('My Loans'!$F$3,B101+D101)</f>
        <v>95</v>
      </c>
      <c r="D101" s="22">
        <f>B101*'My Loans'!$E$3/12</f>
        <v>3.3143920105931657</v>
      </c>
      <c r="E101" s="22">
        <f t="shared" si="6"/>
        <v>91.685607989406833</v>
      </c>
      <c r="F101" s="22">
        <f t="shared" si="7"/>
        <v>792.15226150210401</v>
      </c>
    </row>
    <row r="102" spans="1:6" x14ac:dyDescent="0.25">
      <c r="A102" s="1">
        <v>97</v>
      </c>
      <c r="B102" s="13">
        <f t="shared" si="8"/>
        <v>792.15226150210401</v>
      </c>
      <c r="C102" s="22">
        <f>MIN('My Loans'!$F$3,B102+D102)</f>
        <v>95</v>
      </c>
      <c r="D102" s="22">
        <f>B102*'My Loans'!$E$3/12</f>
        <v>2.9705709806328895</v>
      </c>
      <c r="E102" s="22">
        <f t="shared" ref="E102:E133" si="9">C102-D102</f>
        <v>92.029429019367115</v>
      </c>
      <c r="F102" s="22">
        <f t="shared" ref="F102:F133" si="10">MAX(0,B102-E102)</f>
        <v>700.12283248273684</v>
      </c>
    </row>
    <row r="103" spans="1:6" x14ac:dyDescent="0.25">
      <c r="A103" s="1">
        <v>98</v>
      </c>
      <c r="B103" s="13">
        <f t="shared" ref="B103:B125" si="11">F102</f>
        <v>700.12283248273684</v>
      </c>
      <c r="C103" s="22">
        <f>MIN('My Loans'!$F$3,B103+D103)</f>
        <v>95</v>
      </c>
      <c r="D103" s="22">
        <f>B103*'My Loans'!$E$3/12</f>
        <v>2.6254606218102632</v>
      </c>
      <c r="E103" s="22">
        <f t="shared" si="9"/>
        <v>92.374539378189738</v>
      </c>
      <c r="F103" s="22">
        <f t="shared" si="10"/>
        <v>607.74829310454709</v>
      </c>
    </row>
    <row r="104" spans="1:6" x14ac:dyDescent="0.25">
      <c r="A104" s="1">
        <v>99</v>
      </c>
      <c r="B104" s="13">
        <f t="shared" si="11"/>
        <v>607.74829310454709</v>
      </c>
      <c r="C104" s="22">
        <f>MIN('My Loans'!$F$3,B104+D104)</f>
        <v>95</v>
      </c>
      <c r="D104" s="22">
        <f>B104*'My Loans'!$E$3/12</f>
        <v>2.2790560991420512</v>
      </c>
      <c r="E104" s="22">
        <f t="shared" si="9"/>
        <v>92.720943900857947</v>
      </c>
      <c r="F104" s="22">
        <f t="shared" si="10"/>
        <v>515.02734920368914</v>
      </c>
    </row>
    <row r="105" spans="1:6" x14ac:dyDescent="0.25">
      <c r="A105" s="1">
        <v>100</v>
      </c>
      <c r="B105" s="13">
        <f t="shared" si="11"/>
        <v>515.02734920368914</v>
      </c>
      <c r="C105" s="22">
        <f>MIN('My Loans'!$F$3,B105+D105)</f>
        <v>95</v>
      </c>
      <c r="D105" s="22">
        <f>B105*'My Loans'!$E$3/12</f>
        <v>1.9313525595138341</v>
      </c>
      <c r="E105" s="22">
        <f t="shared" si="9"/>
        <v>93.06864744048616</v>
      </c>
      <c r="F105" s="22">
        <f t="shared" si="10"/>
        <v>421.95870176320295</v>
      </c>
    </row>
    <row r="106" spans="1:6" x14ac:dyDescent="0.25">
      <c r="A106" s="1">
        <v>101</v>
      </c>
      <c r="B106" s="13">
        <f t="shared" si="11"/>
        <v>421.95870176320295</v>
      </c>
      <c r="C106" s="22">
        <f>MIN('My Loans'!$F$3,B106+D106)</f>
        <v>95</v>
      </c>
      <c r="D106" s="22">
        <f>B106*'My Loans'!$E$3/12</f>
        <v>1.582345131612011</v>
      </c>
      <c r="E106" s="22">
        <f t="shared" si="9"/>
        <v>93.417654868387984</v>
      </c>
      <c r="F106" s="22">
        <f t="shared" si="10"/>
        <v>328.54104689481494</v>
      </c>
    </row>
    <row r="107" spans="1:6" x14ac:dyDescent="0.25">
      <c r="A107" s="1">
        <v>102</v>
      </c>
      <c r="B107" s="13">
        <f t="shared" si="11"/>
        <v>328.54104689481494</v>
      </c>
      <c r="C107" s="22">
        <f>MIN('My Loans'!$F$3,B107+D107)</f>
        <v>95</v>
      </c>
      <c r="D107" s="22">
        <f>B107*'My Loans'!$E$3/12</f>
        <v>1.2320289258555561</v>
      </c>
      <c r="E107" s="22">
        <f t="shared" si="9"/>
        <v>93.767971074144441</v>
      </c>
      <c r="F107" s="22">
        <f t="shared" si="10"/>
        <v>234.7730758206705</v>
      </c>
    </row>
    <row r="108" spans="1:6" x14ac:dyDescent="0.25">
      <c r="A108" s="1">
        <v>103</v>
      </c>
      <c r="B108" s="13">
        <f t="shared" si="11"/>
        <v>234.7730758206705</v>
      </c>
      <c r="C108" s="22">
        <f>MIN('My Loans'!$F$3,B108+D108)</f>
        <v>95</v>
      </c>
      <c r="D108" s="22">
        <f>B108*'My Loans'!$E$3/12</f>
        <v>0.88039903432751432</v>
      </c>
      <c r="E108" s="22">
        <f t="shared" si="9"/>
        <v>94.11960096567249</v>
      </c>
      <c r="F108" s="22">
        <f t="shared" si="10"/>
        <v>140.65347485499802</v>
      </c>
    </row>
    <row r="109" spans="1:6" x14ac:dyDescent="0.25">
      <c r="A109" s="1">
        <v>104</v>
      </c>
      <c r="B109" s="13">
        <f t="shared" si="11"/>
        <v>140.65347485499802</v>
      </c>
      <c r="C109" s="22">
        <f>MIN('My Loans'!$F$3,B109+D109)</f>
        <v>95</v>
      </c>
      <c r="D109" s="22">
        <f>B109*'My Loans'!$E$3/12</f>
        <v>0.52745053070624259</v>
      </c>
      <c r="E109" s="22">
        <f t="shared" si="9"/>
        <v>94.472549469293753</v>
      </c>
      <c r="F109" s="22">
        <f t="shared" si="10"/>
        <v>46.180925385704271</v>
      </c>
    </row>
    <row r="110" spans="1:6" x14ac:dyDescent="0.25">
      <c r="A110" s="1">
        <v>105</v>
      </c>
      <c r="B110" s="13">
        <f t="shared" si="11"/>
        <v>46.180925385704271</v>
      </c>
      <c r="C110" s="22">
        <f>MIN('My Loans'!$F$3,B110+D110)</f>
        <v>46.354103855900661</v>
      </c>
      <c r="D110" s="22">
        <f>B110*'My Loans'!$E$3/12</f>
        <v>0.17317847019639102</v>
      </c>
      <c r="E110" s="22">
        <f t="shared" si="9"/>
        <v>46.180925385704271</v>
      </c>
      <c r="F110" s="22">
        <f t="shared" si="10"/>
        <v>0</v>
      </c>
    </row>
    <row r="111" spans="1:6" x14ac:dyDescent="0.25">
      <c r="A111" s="1">
        <v>106</v>
      </c>
      <c r="B111" s="13">
        <f t="shared" si="11"/>
        <v>0</v>
      </c>
      <c r="C111" s="22">
        <f>MIN('My Loans'!$F$3,B111+D111)</f>
        <v>0</v>
      </c>
      <c r="D111" s="22">
        <f>B111*'My Loans'!$E$3/12</f>
        <v>0</v>
      </c>
      <c r="E111" s="22">
        <f t="shared" si="9"/>
        <v>0</v>
      </c>
      <c r="F111" s="22">
        <f t="shared" si="10"/>
        <v>0</v>
      </c>
    </row>
    <row r="112" spans="1:6" x14ac:dyDescent="0.25">
      <c r="A112" s="1">
        <v>107</v>
      </c>
      <c r="B112" s="13">
        <f t="shared" si="11"/>
        <v>0</v>
      </c>
      <c r="C112" s="22">
        <f>MIN('My Loans'!$F$3,B112+D112)</f>
        <v>0</v>
      </c>
      <c r="D112" s="22">
        <f>B112*'My Loans'!$E$3/12</f>
        <v>0</v>
      </c>
      <c r="E112" s="22">
        <f t="shared" si="9"/>
        <v>0</v>
      </c>
      <c r="F112" s="22">
        <f t="shared" si="10"/>
        <v>0</v>
      </c>
    </row>
    <row r="113" spans="1:6" x14ac:dyDescent="0.25">
      <c r="A113" s="1">
        <v>108</v>
      </c>
      <c r="B113" s="13">
        <f t="shared" si="11"/>
        <v>0</v>
      </c>
      <c r="C113" s="22">
        <f>MIN('My Loans'!$F$3,B113+D113)</f>
        <v>0</v>
      </c>
      <c r="D113" s="22">
        <f>B113*'My Loans'!$E$3/12</f>
        <v>0</v>
      </c>
      <c r="E113" s="22">
        <f t="shared" si="9"/>
        <v>0</v>
      </c>
      <c r="F113" s="22">
        <f t="shared" si="10"/>
        <v>0</v>
      </c>
    </row>
    <row r="114" spans="1:6" x14ac:dyDescent="0.25">
      <c r="A114" s="1">
        <v>109</v>
      </c>
      <c r="B114" s="13">
        <f t="shared" si="11"/>
        <v>0</v>
      </c>
      <c r="C114" s="22">
        <f>MIN('My Loans'!$F$3,B114+D114)</f>
        <v>0</v>
      </c>
      <c r="D114" s="22">
        <f>B114*'My Loans'!$E$3/12</f>
        <v>0</v>
      </c>
      <c r="E114" s="22">
        <f t="shared" si="9"/>
        <v>0</v>
      </c>
      <c r="F114" s="22">
        <f t="shared" si="10"/>
        <v>0</v>
      </c>
    </row>
    <row r="115" spans="1:6" x14ac:dyDescent="0.25">
      <c r="A115" s="1">
        <v>110</v>
      </c>
      <c r="B115" s="13">
        <f t="shared" si="11"/>
        <v>0</v>
      </c>
      <c r="C115" s="22">
        <f>MIN('My Loans'!$F$3,B115+D115)</f>
        <v>0</v>
      </c>
      <c r="D115" s="22">
        <f>B115*'My Loans'!$E$3/12</f>
        <v>0</v>
      </c>
      <c r="E115" s="22">
        <f t="shared" si="9"/>
        <v>0</v>
      </c>
      <c r="F115" s="22">
        <f t="shared" si="10"/>
        <v>0</v>
      </c>
    </row>
    <row r="116" spans="1:6" x14ac:dyDescent="0.25">
      <c r="A116" s="1">
        <v>111</v>
      </c>
      <c r="B116" s="13">
        <f t="shared" si="11"/>
        <v>0</v>
      </c>
      <c r="C116" s="22">
        <f>MIN('My Loans'!$F$3,B116+D116)</f>
        <v>0</v>
      </c>
      <c r="D116" s="22">
        <f>B116*'My Loans'!$E$3/12</f>
        <v>0</v>
      </c>
      <c r="E116" s="22">
        <f t="shared" si="9"/>
        <v>0</v>
      </c>
      <c r="F116" s="22">
        <f t="shared" si="10"/>
        <v>0</v>
      </c>
    </row>
    <row r="117" spans="1:6" x14ac:dyDescent="0.25">
      <c r="A117" s="1">
        <v>112</v>
      </c>
      <c r="B117" s="13">
        <f t="shared" si="11"/>
        <v>0</v>
      </c>
      <c r="C117" s="22">
        <f>MIN('My Loans'!$F$3,B117+D117)</f>
        <v>0</v>
      </c>
      <c r="D117" s="22">
        <f>B117*'My Loans'!$E$3/12</f>
        <v>0</v>
      </c>
      <c r="E117" s="22">
        <f t="shared" si="9"/>
        <v>0</v>
      </c>
      <c r="F117" s="22">
        <f t="shared" si="10"/>
        <v>0</v>
      </c>
    </row>
    <row r="118" spans="1:6" x14ac:dyDescent="0.25">
      <c r="A118" s="1">
        <v>113</v>
      </c>
      <c r="B118" s="13">
        <f t="shared" si="11"/>
        <v>0</v>
      </c>
      <c r="C118" s="22">
        <f>MIN('My Loans'!$F$3,B118+D118)</f>
        <v>0</v>
      </c>
      <c r="D118" s="22">
        <f>B118*'My Loans'!$E$3/12</f>
        <v>0</v>
      </c>
      <c r="E118" s="22">
        <f t="shared" si="9"/>
        <v>0</v>
      </c>
      <c r="F118" s="22">
        <f t="shared" si="10"/>
        <v>0</v>
      </c>
    </row>
    <row r="119" spans="1:6" x14ac:dyDescent="0.25">
      <c r="A119" s="1">
        <v>114</v>
      </c>
      <c r="B119" s="13">
        <f t="shared" si="11"/>
        <v>0</v>
      </c>
      <c r="C119" s="22">
        <f>MIN('My Loans'!$F$3,B119+D119)</f>
        <v>0</v>
      </c>
      <c r="D119" s="22">
        <f>B119*'My Loans'!$E$3/12</f>
        <v>0</v>
      </c>
      <c r="E119" s="22">
        <f t="shared" si="9"/>
        <v>0</v>
      </c>
      <c r="F119" s="22">
        <f t="shared" si="10"/>
        <v>0</v>
      </c>
    </row>
    <row r="120" spans="1:6" x14ac:dyDescent="0.25">
      <c r="A120" s="1">
        <v>115</v>
      </c>
      <c r="B120" s="13">
        <f t="shared" si="11"/>
        <v>0</v>
      </c>
      <c r="C120" s="22">
        <f>MIN('My Loans'!$F$3,B120+D120)</f>
        <v>0</v>
      </c>
      <c r="D120" s="22">
        <f>B120*'My Loans'!$E$3/12</f>
        <v>0</v>
      </c>
      <c r="E120" s="22">
        <f t="shared" si="9"/>
        <v>0</v>
      </c>
      <c r="F120" s="22">
        <f t="shared" si="10"/>
        <v>0</v>
      </c>
    </row>
    <row r="121" spans="1:6" x14ac:dyDescent="0.25">
      <c r="A121" s="1">
        <v>116</v>
      </c>
      <c r="B121" s="13">
        <f t="shared" si="11"/>
        <v>0</v>
      </c>
      <c r="C121" s="22">
        <f>MIN('My Loans'!$F$3,B121+D121)</f>
        <v>0</v>
      </c>
      <c r="D121" s="22">
        <f>B121*'My Loans'!$E$3/12</f>
        <v>0</v>
      </c>
      <c r="E121" s="22">
        <f t="shared" si="9"/>
        <v>0</v>
      </c>
      <c r="F121" s="22">
        <f t="shared" si="10"/>
        <v>0</v>
      </c>
    </row>
    <row r="122" spans="1:6" x14ac:dyDescent="0.25">
      <c r="A122" s="1">
        <v>117</v>
      </c>
      <c r="B122" s="13">
        <f t="shared" si="11"/>
        <v>0</v>
      </c>
      <c r="C122" s="22">
        <f>MIN('My Loans'!$F$3,B122+D122)</f>
        <v>0</v>
      </c>
      <c r="D122" s="22">
        <f>B122*'My Loans'!$E$3/12</f>
        <v>0</v>
      </c>
      <c r="E122" s="22">
        <f t="shared" si="9"/>
        <v>0</v>
      </c>
      <c r="F122" s="22">
        <f t="shared" si="10"/>
        <v>0</v>
      </c>
    </row>
    <row r="123" spans="1:6" x14ac:dyDescent="0.25">
      <c r="A123" s="1">
        <v>118</v>
      </c>
      <c r="B123" s="13">
        <f t="shared" si="11"/>
        <v>0</v>
      </c>
      <c r="C123" s="22">
        <f>MIN('My Loans'!$F$3,B123+D123)</f>
        <v>0</v>
      </c>
      <c r="D123" s="22">
        <f>B123*'My Loans'!$E$3/12</f>
        <v>0</v>
      </c>
      <c r="E123" s="22">
        <f t="shared" si="9"/>
        <v>0</v>
      </c>
      <c r="F123" s="22">
        <f t="shared" si="10"/>
        <v>0</v>
      </c>
    </row>
    <row r="124" spans="1:6" x14ac:dyDescent="0.25">
      <c r="A124" s="1">
        <v>119</v>
      </c>
      <c r="B124" s="13">
        <f t="shared" si="11"/>
        <v>0</v>
      </c>
      <c r="C124" s="22">
        <f>MIN('My Loans'!$F$3,B124+D124)</f>
        <v>0</v>
      </c>
      <c r="D124" s="22">
        <f>B124*'My Loans'!$E$3/12</f>
        <v>0</v>
      </c>
      <c r="E124" s="22">
        <f t="shared" si="9"/>
        <v>0</v>
      </c>
      <c r="F124" s="22">
        <f t="shared" si="10"/>
        <v>0</v>
      </c>
    </row>
    <row r="125" spans="1:6" x14ac:dyDescent="0.25">
      <c r="A125" s="1">
        <v>120</v>
      </c>
      <c r="B125" s="13">
        <f t="shared" si="11"/>
        <v>0</v>
      </c>
      <c r="C125" s="22">
        <f>MIN('My Loans'!$F$3,B125+D125)</f>
        <v>0</v>
      </c>
      <c r="D125" s="22">
        <f>B125*'My Loans'!$E$3/12</f>
        <v>0</v>
      </c>
      <c r="E125" s="22">
        <f t="shared" si="9"/>
        <v>0</v>
      </c>
      <c r="F125" s="22">
        <f t="shared" si="10"/>
        <v>0</v>
      </c>
    </row>
    <row r="126" spans="1:6" x14ac:dyDescent="0.25">
      <c r="A126" s="1" t="s">
        <v>96</v>
      </c>
      <c r="B126" s="13">
        <f>SUM(D6:D125)</f>
        <v>1726.3541038558985</v>
      </c>
    </row>
    <row r="128" spans="1:6" x14ac:dyDescent="0.25">
      <c r="A128" s="3" t="s">
        <v>97</v>
      </c>
    </row>
    <row r="129" spans="1:6" x14ac:dyDescent="0.25">
      <c r="A129" s="2" t="s">
        <v>32</v>
      </c>
      <c r="B129" s="2" t="s">
        <v>91</v>
      </c>
      <c r="C129" s="21" t="s">
        <v>92</v>
      </c>
      <c r="D129" s="21" t="s">
        <v>93</v>
      </c>
      <c r="E129" s="21" t="s">
        <v>94</v>
      </c>
      <c r="F129" s="21" t="s">
        <v>95</v>
      </c>
    </row>
    <row r="130" spans="1:6" x14ac:dyDescent="0.25">
      <c r="A130" s="1">
        <v>1</v>
      </c>
      <c r="B130" s="13">
        <f>'My Loans'!$D$4</f>
        <v>12800</v>
      </c>
      <c r="C130" s="22">
        <f>MIN('My Loans'!$F$4,B130+D130)</f>
        <v>142</v>
      </c>
      <c r="D130" s="22">
        <f>B130*'My Loans'!$E$4/12</f>
        <v>58.666666666666664</v>
      </c>
      <c r="E130" s="22">
        <f t="shared" ref="E130:E161" si="12">C130-D130</f>
        <v>83.333333333333343</v>
      </c>
      <c r="F130" s="22">
        <f t="shared" ref="F130:F161" si="13">MAX(0,B130-E130)</f>
        <v>12716.666666666666</v>
      </c>
    </row>
    <row r="131" spans="1:6" x14ac:dyDescent="0.25">
      <c r="A131" s="1">
        <v>2</v>
      </c>
      <c r="B131" s="13">
        <f t="shared" ref="B131:B162" si="14">F130</f>
        <v>12716.666666666666</v>
      </c>
      <c r="C131" s="22">
        <f>MIN('My Loans'!$F$4,B131+D131)</f>
        <v>142</v>
      </c>
      <c r="D131" s="22">
        <f>B131*'My Loans'!$E$4/12</f>
        <v>58.284722222222221</v>
      </c>
      <c r="E131" s="22">
        <f t="shared" si="12"/>
        <v>83.715277777777771</v>
      </c>
      <c r="F131" s="22">
        <f t="shared" si="13"/>
        <v>12632.951388888889</v>
      </c>
    </row>
    <row r="132" spans="1:6" x14ac:dyDescent="0.25">
      <c r="A132" s="1">
        <v>3</v>
      </c>
      <c r="B132" s="13">
        <f t="shared" si="14"/>
        <v>12632.951388888889</v>
      </c>
      <c r="C132" s="22">
        <f>MIN('My Loans'!$F$4,B132+D132)</f>
        <v>142</v>
      </c>
      <c r="D132" s="22">
        <f>B132*'My Loans'!$E$4/12</f>
        <v>57.901027199074072</v>
      </c>
      <c r="E132" s="22">
        <f t="shared" si="12"/>
        <v>84.098972800925935</v>
      </c>
      <c r="F132" s="22">
        <f t="shared" si="13"/>
        <v>12548.852416087962</v>
      </c>
    </row>
    <row r="133" spans="1:6" x14ac:dyDescent="0.25">
      <c r="A133" s="1">
        <v>4</v>
      </c>
      <c r="B133" s="13">
        <f t="shared" si="14"/>
        <v>12548.852416087962</v>
      </c>
      <c r="C133" s="22">
        <f>MIN('My Loans'!$F$4,B133+D133)</f>
        <v>142</v>
      </c>
      <c r="D133" s="22">
        <f>B133*'My Loans'!$E$4/12</f>
        <v>57.515573573736496</v>
      </c>
      <c r="E133" s="22">
        <f t="shared" si="12"/>
        <v>84.484426426263497</v>
      </c>
      <c r="F133" s="22">
        <f t="shared" si="13"/>
        <v>12464.3679896617</v>
      </c>
    </row>
    <row r="134" spans="1:6" x14ac:dyDescent="0.25">
      <c r="A134" s="1">
        <v>5</v>
      </c>
      <c r="B134" s="13">
        <f t="shared" si="14"/>
        <v>12464.3679896617</v>
      </c>
      <c r="C134" s="22">
        <f>MIN('My Loans'!$F$4,B134+D134)</f>
        <v>142</v>
      </c>
      <c r="D134" s="22">
        <f>B134*'My Loans'!$E$4/12</f>
        <v>57.128353285949458</v>
      </c>
      <c r="E134" s="22">
        <f t="shared" si="12"/>
        <v>84.871646714050542</v>
      </c>
      <c r="F134" s="22">
        <f t="shared" si="13"/>
        <v>12379.496342947648</v>
      </c>
    </row>
    <row r="135" spans="1:6" x14ac:dyDescent="0.25">
      <c r="A135" s="1">
        <v>6</v>
      </c>
      <c r="B135" s="13">
        <f t="shared" si="14"/>
        <v>12379.496342947648</v>
      </c>
      <c r="C135" s="22">
        <f>MIN('My Loans'!$F$4,B135+D135)</f>
        <v>142</v>
      </c>
      <c r="D135" s="22">
        <f>B135*'My Loans'!$E$4/12</f>
        <v>56.739358238510057</v>
      </c>
      <c r="E135" s="22">
        <f t="shared" si="12"/>
        <v>85.26064176148995</v>
      </c>
      <c r="F135" s="22">
        <f t="shared" si="13"/>
        <v>12294.235701186159</v>
      </c>
    </row>
    <row r="136" spans="1:6" x14ac:dyDescent="0.25">
      <c r="A136" s="1">
        <v>7</v>
      </c>
      <c r="B136" s="13">
        <f t="shared" si="14"/>
        <v>12294.235701186159</v>
      </c>
      <c r="C136" s="22">
        <f>MIN('My Loans'!$F$4,B136+D136)</f>
        <v>142</v>
      </c>
      <c r="D136" s="22">
        <f>B136*'My Loans'!$E$4/12</f>
        <v>56.348580297103233</v>
      </c>
      <c r="E136" s="22">
        <f t="shared" si="12"/>
        <v>85.65141970289676</v>
      </c>
      <c r="F136" s="22">
        <f t="shared" si="13"/>
        <v>12208.584281483261</v>
      </c>
    </row>
    <row r="137" spans="1:6" x14ac:dyDescent="0.25">
      <c r="A137" s="1">
        <v>8</v>
      </c>
      <c r="B137" s="13">
        <f t="shared" si="14"/>
        <v>12208.584281483261</v>
      </c>
      <c r="C137" s="22">
        <f>MIN('My Loans'!$F$4,B137+D137)</f>
        <v>142</v>
      </c>
      <c r="D137" s="22">
        <f>B137*'My Loans'!$E$4/12</f>
        <v>55.956011290131613</v>
      </c>
      <c r="E137" s="22">
        <f t="shared" si="12"/>
        <v>86.043988709868387</v>
      </c>
      <c r="F137" s="22">
        <f t="shared" si="13"/>
        <v>12122.540292773392</v>
      </c>
    </row>
    <row r="138" spans="1:6" x14ac:dyDescent="0.25">
      <c r="A138" s="1">
        <v>9</v>
      </c>
      <c r="B138" s="13">
        <f t="shared" si="14"/>
        <v>12122.540292773392</v>
      </c>
      <c r="C138" s="22">
        <f>MIN('My Loans'!$F$4,B138+D138)</f>
        <v>142</v>
      </c>
      <c r="D138" s="22">
        <f>B138*'My Loans'!$E$4/12</f>
        <v>55.561643008544713</v>
      </c>
      <c r="E138" s="22">
        <f t="shared" si="12"/>
        <v>86.438356991455294</v>
      </c>
      <c r="F138" s="22">
        <f t="shared" si="13"/>
        <v>12036.101935781937</v>
      </c>
    </row>
    <row r="139" spans="1:6" x14ac:dyDescent="0.25">
      <c r="A139" s="1">
        <v>10</v>
      </c>
      <c r="B139" s="13">
        <f t="shared" si="14"/>
        <v>12036.101935781937</v>
      </c>
      <c r="C139" s="22">
        <f>MIN('My Loans'!$F$4,B139+D139)</f>
        <v>142</v>
      </c>
      <c r="D139" s="22">
        <f>B139*'My Loans'!$E$4/12</f>
        <v>55.165467205667206</v>
      </c>
      <c r="E139" s="22">
        <f t="shared" si="12"/>
        <v>86.834532794332802</v>
      </c>
      <c r="F139" s="22">
        <f t="shared" si="13"/>
        <v>11949.267402987603</v>
      </c>
    </row>
    <row r="140" spans="1:6" x14ac:dyDescent="0.25">
      <c r="A140" s="1">
        <v>11</v>
      </c>
      <c r="B140" s="13">
        <f t="shared" si="14"/>
        <v>11949.267402987603</v>
      </c>
      <c r="C140" s="22">
        <f>MIN('My Loans'!$F$4,B140+D140)</f>
        <v>142</v>
      </c>
      <c r="D140" s="22">
        <f>B140*'My Loans'!$E$4/12</f>
        <v>54.767475597026511</v>
      </c>
      <c r="E140" s="22">
        <f t="shared" si="12"/>
        <v>87.232524402973496</v>
      </c>
      <c r="F140" s="22">
        <f t="shared" si="13"/>
        <v>11862.034878584629</v>
      </c>
    </row>
    <row r="141" spans="1:6" x14ac:dyDescent="0.25">
      <c r="A141" s="1">
        <v>12</v>
      </c>
      <c r="B141" s="13">
        <f t="shared" si="14"/>
        <v>11862.034878584629</v>
      </c>
      <c r="C141" s="22">
        <f>MIN('My Loans'!$F$4,B141+D141)</f>
        <v>142</v>
      </c>
      <c r="D141" s="22">
        <f>B141*'My Loans'!$E$4/12</f>
        <v>54.36765986017955</v>
      </c>
      <c r="E141" s="22">
        <f t="shared" si="12"/>
        <v>87.632340139820457</v>
      </c>
      <c r="F141" s="22">
        <f t="shared" si="13"/>
        <v>11774.402538444809</v>
      </c>
    </row>
    <row r="142" spans="1:6" x14ac:dyDescent="0.25">
      <c r="A142" s="1">
        <v>13</v>
      </c>
      <c r="B142" s="13">
        <f t="shared" si="14"/>
        <v>11774.402538444809</v>
      </c>
      <c r="C142" s="22">
        <f>MIN('My Loans'!$F$4,B142+D142)</f>
        <v>142</v>
      </c>
      <c r="D142" s="22">
        <f>B142*'My Loans'!$E$4/12</f>
        <v>53.96601163453871</v>
      </c>
      <c r="E142" s="22">
        <f t="shared" si="12"/>
        <v>88.033988365461283</v>
      </c>
      <c r="F142" s="22">
        <f t="shared" si="13"/>
        <v>11686.368550079347</v>
      </c>
    </row>
    <row r="143" spans="1:6" x14ac:dyDescent="0.25">
      <c r="A143" s="1">
        <v>14</v>
      </c>
      <c r="B143" s="13">
        <f t="shared" si="14"/>
        <v>11686.368550079347</v>
      </c>
      <c r="C143" s="22">
        <f>MIN('My Loans'!$F$4,B143+D143)</f>
        <v>142</v>
      </c>
      <c r="D143" s="22">
        <f>B143*'My Loans'!$E$4/12</f>
        <v>53.562522521197003</v>
      </c>
      <c r="E143" s="22">
        <f t="shared" si="12"/>
        <v>88.437477478803004</v>
      </c>
      <c r="F143" s="22">
        <f t="shared" si="13"/>
        <v>11597.931072600544</v>
      </c>
    </row>
    <row r="144" spans="1:6" x14ac:dyDescent="0.25">
      <c r="A144" s="1">
        <v>15</v>
      </c>
      <c r="B144" s="13">
        <f t="shared" si="14"/>
        <v>11597.931072600544</v>
      </c>
      <c r="C144" s="22">
        <f>MIN('My Loans'!$F$4,B144+D144)</f>
        <v>142</v>
      </c>
      <c r="D144" s="22">
        <f>B144*'My Loans'!$E$4/12</f>
        <v>53.157184082752501</v>
      </c>
      <c r="E144" s="22">
        <f t="shared" si="12"/>
        <v>88.842815917247492</v>
      </c>
      <c r="F144" s="22">
        <f t="shared" si="13"/>
        <v>11509.088256683297</v>
      </c>
    </row>
    <row r="145" spans="1:6" x14ac:dyDescent="0.25">
      <c r="A145" s="1">
        <v>16</v>
      </c>
      <c r="B145" s="13">
        <f t="shared" si="14"/>
        <v>11509.088256683297</v>
      </c>
      <c r="C145" s="22">
        <f>MIN('My Loans'!$F$4,B145+D145)</f>
        <v>142</v>
      </c>
      <c r="D145" s="22">
        <f>B145*'My Loans'!$E$4/12</f>
        <v>52.749987843131777</v>
      </c>
      <c r="E145" s="22">
        <f t="shared" si="12"/>
        <v>89.250012156868223</v>
      </c>
      <c r="F145" s="22">
        <f t="shared" si="13"/>
        <v>11419.838244526429</v>
      </c>
    </row>
    <row r="146" spans="1:6" x14ac:dyDescent="0.25">
      <c r="A146" s="1">
        <v>17</v>
      </c>
      <c r="B146" s="13">
        <f t="shared" si="14"/>
        <v>11419.838244526429</v>
      </c>
      <c r="C146" s="22">
        <f>MIN('My Loans'!$F$4,B146+D146)</f>
        <v>142</v>
      </c>
      <c r="D146" s="22">
        <f>B146*'My Loans'!$E$4/12</f>
        <v>52.340925287412801</v>
      </c>
      <c r="E146" s="22">
        <f t="shared" si="12"/>
        <v>89.659074712587199</v>
      </c>
      <c r="F146" s="22">
        <f t="shared" si="13"/>
        <v>11330.179169813842</v>
      </c>
    </row>
    <row r="147" spans="1:6" x14ac:dyDescent="0.25">
      <c r="A147" s="1">
        <v>18</v>
      </c>
      <c r="B147" s="13">
        <f t="shared" si="14"/>
        <v>11330.179169813842</v>
      </c>
      <c r="C147" s="22">
        <f>MIN('My Loans'!$F$4,B147+D147)</f>
        <v>142</v>
      </c>
      <c r="D147" s="22">
        <f>B147*'My Loans'!$E$4/12</f>
        <v>51.929987861646772</v>
      </c>
      <c r="E147" s="22">
        <f t="shared" si="12"/>
        <v>90.070012138353235</v>
      </c>
      <c r="F147" s="22">
        <f t="shared" si="13"/>
        <v>11240.10915767549</v>
      </c>
    </row>
    <row r="148" spans="1:6" x14ac:dyDescent="0.25">
      <c r="A148" s="1">
        <v>19</v>
      </c>
      <c r="B148" s="13">
        <f t="shared" si="14"/>
        <v>11240.10915767549</v>
      </c>
      <c r="C148" s="22">
        <f>MIN('My Loans'!$F$4,B148+D148)</f>
        <v>142</v>
      </c>
      <c r="D148" s="22">
        <f>B148*'My Loans'!$E$4/12</f>
        <v>51.517166972679327</v>
      </c>
      <c r="E148" s="22">
        <f t="shared" si="12"/>
        <v>90.48283302732068</v>
      </c>
      <c r="F148" s="22">
        <f t="shared" si="13"/>
        <v>11149.626324648169</v>
      </c>
    </row>
    <row r="149" spans="1:6" x14ac:dyDescent="0.25">
      <c r="A149" s="1">
        <v>20</v>
      </c>
      <c r="B149" s="13">
        <f t="shared" si="14"/>
        <v>11149.626324648169</v>
      </c>
      <c r="C149" s="22">
        <f>MIN('My Loans'!$F$4,B149+D149)</f>
        <v>142</v>
      </c>
      <c r="D149" s="22">
        <f>B149*'My Loans'!$E$4/12</f>
        <v>51.102453987970769</v>
      </c>
      <c r="E149" s="22">
        <f t="shared" si="12"/>
        <v>90.897546012029238</v>
      </c>
      <c r="F149" s="22">
        <f t="shared" si="13"/>
        <v>11058.728778636139</v>
      </c>
    </row>
    <row r="150" spans="1:6" x14ac:dyDescent="0.25">
      <c r="A150" s="1">
        <v>21</v>
      </c>
      <c r="B150" s="13">
        <f t="shared" si="14"/>
        <v>11058.728778636139</v>
      </c>
      <c r="C150" s="22">
        <f>MIN('My Loans'!$F$4,B150+D150)</f>
        <v>142</v>
      </c>
      <c r="D150" s="22">
        <f>B150*'My Loans'!$E$4/12</f>
        <v>50.68584023541564</v>
      </c>
      <c r="E150" s="22">
        <f t="shared" si="12"/>
        <v>91.31415976458436</v>
      </c>
      <c r="F150" s="22">
        <f t="shared" si="13"/>
        <v>10967.414618871555</v>
      </c>
    </row>
    <row r="151" spans="1:6" x14ac:dyDescent="0.25">
      <c r="A151" s="1">
        <v>22</v>
      </c>
      <c r="B151" s="13">
        <f t="shared" si="14"/>
        <v>10967.414618871555</v>
      </c>
      <c r="C151" s="22">
        <f>MIN('My Loans'!$F$4,B151+D151)</f>
        <v>142</v>
      </c>
      <c r="D151" s="22">
        <f>B151*'My Loans'!$E$4/12</f>
        <v>50.267317003161288</v>
      </c>
      <c r="E151" s="22">
        <f t="shared" si="12"/>
        <v>91.732682996838719</v>
      </c>
      <c r="F151" s="22">
        <f t="shared" si="13"/>
        <v>10875.681935874716</v>
      </c>
    </row>
    <row r="152" spans="1:6" x14ac:dyDescent="0.25">
      <c r="A152" s="1">
        <v>23</v>
      </c>
      <c r="B152" s="13">
        <f t="shared" si="14"/>
        <v>10875.681935874716</v>
      </c>
      <c r="C152" s="22">
        <f>MIN('My Loans'!$F$4,B152+D152)</f>
        <v>142</v>
      </c>
      <c r="D152" s="22">
        <f>B152*'My Loans'!$E$4/12</f>
        <v>49.846875539425781</v>
      </c>
      <c r="E152" s="22">
        <f t="shared" si="12"/>
        <v>92.153124460574219</v>
      </c>
      <c r="F152" s="22">
        <f t="shared" si="13"/>
        <v>10783.528811414142</v>
      </c>
    </row>
    <row r="153" spans="1:6" x14ac:dyDescent="0.25">
      <c r="A153" s="1">
        <v>24</v>
      </c>
      <c r="B153" s="13">
        <f t="shared" si="14"/>
        <v>10783.528811414142</v>
      </c>
      <c r="C153" s="22">
        <f>MIN('My Loans'!$F$4,B153+D153)</f>
        <v>142</v>
      </c>
      <c r="D153" s="22">
        <f>B153*'My Loans'!$E$4/12</f>
        <v>49.424507052314823</v>
      </c>
      <c r="E153" s="22">
        <f t="shared" si="12"/>
        <v>92.575492947685177</v>
      </c>
      <c r="F153" s="22">
        <f t="shared" si="13"/>
        <v>10690.953318466458</v>
      </c>
    </row>
    <row r="154" spans="1:6" x14ac:dyDescent="0.25">
      <c r="A154" s="1">
        <v>25</v>
      </c>
      <c r="B154" s="13">
        <f t="shared" si="14"/>
        <v>10690.953318466458</v>
      </c>
      <c r="C154" s="22">
        <f>MIN('My Loans'!$F$4,B154+D154)</f>
        <v>142</v>
      </c>
      <c r="D154" s="22">
        <f>B154*'My Loans'!$E$4/12</f>
        <v>49.000202709637932</v>
      </c>
      <c r="E154" s="22">
        <f t="shared" si="12"/>
        <v>92.999797290362068</v>
      </c>
      <c r="F154" s="22">
        <f t="shared" si="13"/>
        <v>10597.953521176096</v>
      </c>
    </row>
    <row r="155" spans="1:6" x14ac:dyDescent="0.25">
      <c r="A155" s="1">
        <v>26</v>
      </c>
      <c r="B155" s="13">
        <f t="shared" si="14"/>
        <v>10597.953521176096</v>
      </c>
      <c r="C155" s="22">
        <f>MIN('My Loans'!$F$4,B155+D155)</f>
        <v>142</v>
      </c>
      <c r="D155" s="22">
        <f>B155*'My Loans'!$E$4/12</f>
        <v>48.573953638723772</v>
      </c>
      <c r="E155" s="22">
        <f t="shared" si="12"/>
        <v>93.426046361276235</v>
      </c>
      <c r="F155" s="22">
        <f t="shared" si="13"/>
        <v>10504.52747481482</v>
      </c>
    </row>
    <row r="156" spans="1:6" x14ac:dyDescent="0.25">
      <c r="A156" s="1">
        <v>27</v>
      </c>
      <c r="B156" s="13">
        <f t="shared" si="14"/>
        <v>10504.52747481482</v>
      </c>
      <c r="C156" s="22">
        <f>MIN('My Loans'!$F$4,B156+D156)</f>
        <v>142</v>
      </c>
      <c r="D156" s="22">
        <f>B156*'My Loans'!$E$4/12</f>
        <v>48.145750926234598</v>
      </c>
      <c r="E156" s="22">
        <f t="shared" si="12"/>
        <v>93.854249073765402</v>
      </c>
      <c r="F156" s="22">
        <f t="shared" si="13"/>
        <v>10410.673225741055</v>
      </c>
    </row>
    <row r="157" spans="1:6" x14ac:dyDescent="0.25">
      <c r="A157" s="1">
        <v>28</v>
      </c>
      <c r="B157" s="13">
        <f t="shared" si="14"/>
        <v>10410.673225741055</v>
      </c>
      <c r="C157" s="22">
        <f>MIN('My Loans'!$F$4,B157+D157)</f>
        <v>142</v>
      </c>
      <c r="D157" s="22">
        <f>B157*'My Loans'!$E$4/12</f>
        <v>47.715585617979833</v>
      </c>
      <c r="E157" s="22">
        <f t="shared" si="12"/>
        <v>94.284414382020174</v>
      </c>
      <c r="F157" s="22">
        <f t="shared" si="13"/>
        <v>10316.388811359035</v>
      </c>
    </row>
    <row r="158" spans="1:6" x14ac:dyDescent="0.25">
      <c r="A158" s="1">
        <v>29</v>
      </c>
      <c r="B158" s="13">
        <f t="shared" si="14"/>
        <v>10316.388811359035</v>
      </c>
      <c r="C158" s="22">
        <f>MIN('My Loans'!$F$4,B158+D158)</f>
        <v>142</v>
      </c>
      <c r="D158" s="22">
        <f>B158*'My Loans'!$E$4/12</f>
        <v>47.283448718728913</v>
      </c>
      <c r="E158" s="22">
        <f t="shared" si="12"/>
        <v>94.71655128127108</v>
      </c>
      <c r="F158" s="22">
        <f t="shared" si="13"/>
        <v>10221.672260077763</v>
      </c>
    </row>
    <row r="159" spans="1:6" x14ac:dyDescent="0.25">
      <c r="A159" s="1">
        <v>30</v>
      </c>
      <c r="B159" s="13">
        <f t="shared" si="14"/>
        <v>10221.672260077763</v>
      </c>
      <c r="C159" s="22">
        <f>MIN('My Loans'!$F$4,B159+D159)</f>
        <v>142</v>
      </c>
      <c r="D159" s="22">
        <f>B159*'My Loans'!$E$4/12</f>
        <v>46.849331192023079</v>
      </c>
      <c r="E159" s="22">
        <f t="shared" si="12"/>
        <v>95.150668807976928</v>
      </c>
      <c r="F159" s="22">
        <f t="shared" si="13"/>
        <v>10126.521591269786</v>
      </c>
    </row>
    <row r="160" spans="1:6" x14ac:dyDescent="0.25">
      <c r="A160" s="1">
        <v>31</v>
      </c>
      <c r="B160" s="13">
        <f t="shared" si="14"/>
        <v>10126.521591269786</v>
      </c>
      <c r="C160" s="22">
        <f>MIN('My Loans'!$F$4,B160+D160)</f>
        <v>142</v>
      </c>
      <c r="D160" s="22">
        <f>B160*'My Loans'!$E$4/12</f>
        <v>46.413223959986517</v>
      </c>
      <c r="E160" s="22">
        <f t="shared" si="12"/>
        <v>95.58677604001349</v>
      </c>
      <c r="F160" s="22">
        <f t="shared" si="13"/>
        <v>10030.934815229772</v>
      </c>
    </row>
    <row r="161" spans="1:6" x14ac:dyDescent="0.25">
      <c r="A161" s="1">
        <v>32</v>
      </c>
      <c r="B161" s="13">
        <f t="shared" si="14"/>
        <v>10030.934815229772</v>
      </c>
      <c r="C161" s="22">
        <f>MIN('My Loans'!$F$4,B161+D161)</f>
        <v>142</v>
      </c>
      <c r="D161" s="22">
        <f>B161*'My Loans'!$E$4/12</f>
        <v>45.975117903136457</v>
      </c>
      <c r="E161" s="22">
        <f t="shared" si="12"/>
        <v>96.024882096863536</v>
      </c>
      <c r="F161" s="22">
        <f t="shared" si="13"/>
        <v>9934.9099331329089</v>
      </c>
    </row>
    <row r="162" spans="1:6" x14ac:dyDescent="0.25">
      <c r="A162" s="1">
        <v>33</v>
      </c>
      <c r="B162" s="13">
        <f t="shared" si="14"/>
        <v>9934.9099331329089</v>
      </c>
      <c r="C162" s="22">
        <f>MIN('My Loans'!$F$4,B162+D162)</f>
        <v>142</v>
      </c>
      <c r="D162" s="22">
        <f>B162*'My Loans'!$E$4/12</f>
        <v>45.535003860192496</v>
      </c>
      <c r="E162" s="22">
        <f t="shared" ref="E162:E193" si="15">C162-D162</f>
        <v>96.464996139807511</v>
      </c>
      <c r="F162" s="22">
        <f t="shared" ref="F162:F193" si="16">MAX(0,B162-E162)</f>
        <v>9838.4449369931008</v>
      </c>
    </row>
    <row r="163" spans="1:6" x14ac:dyDescent="0.25">
      <c r="A163" s="1">
        <v>34</v>
      </c>
      <c r="B163" s="13">
        <f t="shared" ref="B163:B194" si="17">F162</f>
        <v>9838.4449369931008</v>
      </c>
      <c r="C163" s="22">
        <f>MIN('My Loans'!$F$4,B163+D163)</f>
        <v>142</v>
      </c>
      <c r="D163" s="22">
        <f>B163*'My Loans'!$E$4/12</f>
        <v>45.092872627885043</v>
      </c>
      <c r="E163" s="22">
        <f t="shared" si="15"/>
        <v>96.907127372114957</v>
      </c>
      <c r="F163" s="22">
        <f t="shared" si="16"/>
        <v>9741.5378096209861</v>
      </c>
    </row>
    <row r="164" spans="1:6" x14ac:dyDescent="0.25">
      <c r="A164" s="1">
        <v>35</v>
      </c>
      <c r="B164" s="13">
        <f t="shared" si="17"/>
        <v>9741.5378096209861</v>
      </c>
      <c r="C164" s="22">
        <f>MIN('My Loans'!$F$4,B164+D164)</f>
        <v>142</v>
      </c>
      <c r="D164" s="22">
        <f>B164*'My Loans'!$E$4/12</f>
        <v>44.648714960762852</v>
      </c>
      <c r="E164" s="22">
        <f t="shared" si="15"/>
        <v>97.351285039237155</v>
      </c>
      <c r="F164" s="22">
        <f t="shared" si="16"/>
        <v>9644.1865245817498</v>
      </c>
    </row>
    <row r="165" spans="1:6" x14ac:dyDescent="0.25">
      <c r="A165" s="1">
        <v>36</v>
      </c>
      <c r="B165" s="13">
        <f t="shared" si="17"/>
        <v>9644.1865245817498</v>
      </c>
      <c r="C165" s="22">
        <f>MIN('My Loans'!$F$4,B165+D165)</f>
        <v>142</v>
      </c>
      <c r="D165" s="22">
        <f>B165*'My Loans'!$E$4/12</f>
        <v>44.202521570999686</v>
      </c>
      <c r="E165" s="22">
        <f t="shared" si="15"/>
        <v>97.797478429000307</v>
      </c>
      <c r="F165" s="22">
        <f t="shared" si="16"/>
        <v>9546.3890461527499</v>
      </c>
    </row>
    <row r="166" spans="1:6" x14ac:dyDescent="0.25">
      <c r="A166" s="1">
        <v>37</v>
      </c>
      <c r="B166" s="13">
        <f t="shared" si="17"/>
        <v>9546.3890461527499</v>
      </c>
      <c r="C166" s="22">
        <f>MIN('My Loans'!$F$4,B166+D166)</f>
        <v>142</v>
      </c>
      <c r="D166" s="22">
        <f>B166*'My Loans'!$E$4/12</f>
        <v>43.754283128200107</v>
      </c>
      <c r="E166" s="22">
        <f t="shared" si="15"/>
        <v>98.245716871799885</v>
      </c>
      <c r="F166" s="22">
        <f t="shared" si="16"/>
        <v>9448.1433292809506</v>
      </c>
    </row>
    <row r="167" spans="1:6" x14ac:dyDescent="0.25">
      <c r="A167" s="1">
        <v>38</v>
      </c>
      <c r="B167" s="13">
        <f t="shared" si="17"/>
        <v>9448.1433292809506</v>
      </c>
      <c r="C167" s="22">
        <f>MIN('My Loans'!$F$4,B167+D167)</f>
        <v>142</v>
      </c>
      <c r="D167" s="22">
        <f>B167*'My Loans'!$E$4/12</f>
        <v>43.303990259204362</v>
      </c>
      <c r="E167" s="22">
        <f t="shared" si="15"/>
        <v>98.696009740795631</v>
      </c>
      <c r="F167" s="22">
        <f t="shared" si="16"/>
        <v>9349.4473195401551</v>
      </c>
    </row>
    <row r="168" spans="1:6" x14ac:dyDescent="0.25">
      <c r="A168" s="1">
        <v>39</v>
      </c>
      <c r="B168" s="13">
        <f t="shared" si="17"/>
        <v>9349.4473195401551</v>
      </c>
      <c r="C168" s="22">
        <f>MIN('My Loans'!$F$4,B168+D168)</f>
        <v>142</v>
      </c>
      <c r="D168" s="22">
        <f>B168*'My Loans'!$E$4/12</f>
        <v>42.851633547892384</v>
      </c>
      <c r="E168" s="22">
        <f t="shared" si="15"/>
        <v>99.148366452107609</v>
      </c>
      <c r="F168" s="22">
        <f t="shared" si="16"/>
        <v>9250.2989530880477</v>
      </c>
    </row>
    <row r="169" spans="1:6" x14ac:dyDescent="0.25">
      <c r="A169" s="1">
        <v>40</v>
      </c>
      <c r="B169" s="13">
        <f t="shared" si="17"/>
        <v>9250.2989530880477</v>
      </c>
      <c r="C169" s="22">
        <f>MIN('My Loans'!$F$4,B169+D169)</f>
        <v>142</v>
      </c>
      <c r="D169" s="22">
        <f>B169*'My Loans'!$E$4/12</f>
        <v>42.397203534986886</v>
      </c>
      <c r="E169" s="22">
        <f t="shared" si="15"/>
        <v>99.602796465013114</v>
      </c>
      <c r="F169" s="22">
        <f t="shared" si="16"/>
        <v>9150.6961566230348</v>
      </c>
    </row>
    <row r="170" spans="1:6" x14ac:dyDescent="0.25">
      <c r="A170" s="1">
        <v>41</v>
      </c>
      <c r="B170" s="13">
        <f t="shared" si="17"/>
        <v>9150.6961566230348</v>
      </c>
      <c r="C170" s="22">
        <f>MIN('My Loans'!$F$4,B170+D170)</f>
        <v>142</v>
      </c>
      <c r="D170" s="22">
        <f>B170*'My Loans'!$E$4/12</f>
        <v>41.940690717855574</v>
      </c>
      <c r="E170" s="22">
        <f t="shared" si="15"/>
        <v>100.05930928214443</v>
      </c>
      <c r="F170" s="22">
        <f t="shared" si="16"/>
        <v>9050.6368473408911</v>
      </c>
    </row>
    <row r="171" spans="1:6" x14ac:dyDescent="0.25">
      <c r="A171" s="1">
        <v>42</v>
      </c>
      <c r="B171" s="13">
        <f t="shared" si="17"/>
        <v>9050.6368473408911</v>
      </c>
      <c r="C171" s="22">
        <f>MIN('My Loans'!$F$4,B171+D171)</f>
        <v>142</v>
      </c>
      <c r="D171" s="22">
        <f>B171*'My Loans'!$E$4/12</f>
        <v>41.482085550312419</v>
      </c>
      <c r="E171" s="22">
        <f t="shared" si="15"/>
        <v>100.51791444968758</v>
      </c>
      <c r="F171" s="22">
        <f t="shared" si="16"/>
        <v>8950.1189328912042</v>
      </c>
    </row>
    <row r="172" spans="1:6" x14ac:dyDescent="0.25">
      <c r="A172" s="1">
        <v>43</v>
      </c>
      <c r="B172" s="13">
        <f t="shared" si="17"/>
        <v>8950.1189328912042</v>
      </c>
      <c r="C172" s="22">
        <f>MIN('My Loans'!$F$4,B172+D172)</f>
        <v>142</v>
      </c>
      <c r="D172" s="22">
        <f>B172*'My Loans'!$E$4/12</f>
        <v>41.021378442418019</v>
      </c>
      <c r="E172" s="22">
        <f t="shared" si="15"/>
        <v>100.97862155758199</v>
      </c>
      <c r="F172" s="22">
        <f t="shared" si="16"/>
        <v>8849.1403113336219</v>
      </c>
    </row>
    <row r="173" spans="1:6" x14ac:dyDescent="0.25">
      <c r="A173" s="1">
        <v>44</v>
      </c>
      <c r="B173" s="13">
        <f t="shared" si="17"/>
        <v>8849.1403113336219</v>
      </c>
      <c r="C173" s="22">
        <f>MIN('My Loans'!$F$4,B173+D173)</f>
        <v>142</v>
      </c>
      <c r="D173" s="22">
        <f>B173*'My Loans'!$E$4/12</f>
        <v>40.558559760279103</v>
      </c>
      <c r="E173" s="22">
        <f t="shared" si="15"/>
        <v>101.44144023972089</v>
      </c>
      <c r="F173" s="22">
        <f t="shared" si="16"/>
        <v>8747.6988710939004</v>
      </c>
    </row>
    <row r="174" spans="1:6" x14ac:dyDescent="0.25">
      <c r="A174" s="1">
        <v>45</v>
      </c>
      <c r="B174" s="13">
        <f t="shared" si="17"/>
        <v>8747.6988710939004</v>
      </c>
      <c r="C174" s="22">
        <f>MIN('My Loans'!$F$4,B174+D174)</f>
        <v>142</v>
      </c>
      <c r="D174" s="22">
        <f>B174*'My Loans'!$E$4/12</f>
        <v>40.093619825847043</v>
      </c>
      <c r="E174" s="22">
        <f t="shared" si="15"/>
        <v>101.90638017415296</v>
      </c>
      <c r="F174" s="22">
        <f t="shared" si="16"/>
        <v>8645.7924909197482</v>
      </c>
    </row>
    <row r="175" spans="1:6" x14ac:dyDescent="0.25">
      <c r="A175" s="1">
        <v>46</v>
      </c>
      <c r="B175" s="13">
        <f t="shared" si="17"/>
        <v>8645.7924909197482</v>
      </c>
      <c r="C175" s="22">
        <f>MIN('My Loans'!$F$4,B175+D175)</f>
        <v>142</v>
      </c>
      <c r="D175" s="22">
        <f>B175*'My Loans'!$E$4/12</f>
        <v>39.626548916715514</v>
      </c>
      <c r="E175" s="22">
        <f t="shared" si="15"/>
        <v>102.37345108328449</v>
      </c>
      <c r="F175" s="22">
        <f t="shared" si="16"/>
        <v>8543.4190398364644</v>
      </c>
    </row>
    <row r="176" spans="1:6" x14ac:dyDescent="0.25">
      <c r="A176" s="1">
        <v>47</v>
      </c>
      <c r="B176" s="13">
        <f t="shared" si="17"/>
        <v>8543.4190398364644</v>
      </c>
      <c r="C176" s="22">
        <f>MIN('My Loans'!$F$4,B176+D176)</f>
        <v>142</v>
      </c>
      <c r="D176" s="22">
        <f>B176*'My Loans'!$E$4/12</f>
        <v>39.157337265917128</v>
      </c>
      <c r="E176" s="22">
        <f t="shared" si="15"/>
        <v>102.84266273408286</v>
      </c>
      <c r="F176" s="22">
        <f t="shared" si="16"/>
        <v>8440.5763771023812</v>
      </c>
    </row>
    <row r="177" spans="1:6" x14ac:dyDescent="0.25">
      <c r="A177" s="1">
        <v>48</v>
      </c>
      <c r="B177" s="13">
        <f t="shared" si="17"/>
        <v>8440.5763771023812</v>
      </c>
      <c r="C177" s="22">
        <f>MIN('My Loans'!$F$4,B177+D177)</f>
        <v>142</v>
      </c>
      <c r="D177" s="22">
        <f>B177*'My Loans'!$E$4/12</f>
        <v>38.685975061719247</v>
      </c>
      <c r="E177" s="22">
        <f t="shared" si="15"/>
        <v>103.31402493828075</v>
      </c>
      <c r="F177" s="22">
        <f t="shared" si="16"/>
        <v>8337.2623521640999</v>
      </c>
    </row>
    <row r="178" spans="1:6" x14ac:dyDescent="0.25">
      <c r="A178" s="1">
        <v>49</v>
      </c>
      <c r="B178" s="13">
        <f t="shared" si="17"/>
        <v>8337.2623521640999</v>
      </c>
      <c r="C178" s="22">
        <f>MIN('My Loans'!$F$4,B178+D178)</f>
        <v>142</v>
      </c>
      <c r="D178" s="22">
        <f>B178*'My Loans'!$E$4/12</f>
        <v>38.212452447418791</v>
      </c>
      <c r="E178" s="22">
        <f t="shared" si="15"/>
        <v>103.7875475525812</v>
      </c>
      <c r="F178" s="22">
        <f t="shared" si="16"/>
        <v>8233.4748046115183</v>
      </c>
    </row>
    <row r="179" spans="1:6" x14ac:dyDescent="0.25">
      <c r="A179" s="1">
        <v>50</v>
      </c>
      <c r="B179" s="13">
        <f t="shared" si="17"/>
        <v>8233.4748046115183</v>
      </c>
      <c r="C179" s="22">
        <f>MIN('My Loans'!$F$4,B179+D179)</f>
        <v>142</v>
      </c>
      <c r="D179" s="22">
        <f>B179*'My Loans'!$E$4/12</f>
        <v>37.736759521136129</v>
      </c>
      <c r="E179" s="22">
        <f t="shared" si="15"/>
        <v>104.26324047886388</v>
      </c>
      <c r="F179" s="22">
        <f t="shared" si="16"/>
        <v>8129.2115641326545</v>
      </c>
    </row>
    <row r="180" spans="1:6" x14ac:dyDescent="0.25">
      <c r="A180" s="1">
        <v>51</v>
      </c>
      <c r="B180" s="13">
        <f t="shared" si="17"/>
        <v>8129.2115641326545</v>
      </c>
      <c r="C180" s="22">
        <f>MIN('My Loans'!$F$4,B180+D180)</f>
        <v>142</v>
      </c>
      <c r="D180" s="22">
        <f>B180*'My Loans'!$E$4/12</f>
        <v>37.258886335608004</v>
      </c>
      <c r="E180" s="22">
        <f t="shared" si="15"/>
        <v>104.741113664392</v>
      </c>
      <c r="F180" s="22">
        <f t="shared" si="16"/>
        <v>8024.4704504682622</v>
      </c>
    </row>
    <row r="181" spans="1:6" x14ac:dyDescent="0.25">
      <c r="A181" s="1">
        <v>52</v>
      </c>
      <c r="B181" s="13">
        <f t="shared" si="17"/>
        <v>8024.4704504682622</v>
      </c>
      <c r="C181" s="22">
        <f>MIN('My Loans'!$F$4,B181+D181)</f>
        <v>142</v>
      </c>
      <c r="D181" s="22">
        <f>B181*'My Loans'!$E$4/12</f>
        <v>36.778822897979538</v>
      </c>
      <c r="E181" s="22">
        <f t="shared" si="15"/>
        <v>105.22117710202046</v>
      </c>
      <c r="F181" s="22">
        <f t="shared" si="16"/>
        <v>7919.2492733662421</v>
      </c>
    </row>
    <row r="182" spans="1:6" x14ac:dyDescent="0.25">
      <c r="A182" s="1">
        <v>53</v>
      </c>
      <c r="B182" s="13">
        <f t="shared" si="17"/>
        <v>7919.2492733662421</v>
      </c>
      <c r="C182" s="22">
        <f>MIN('My Loans'!$F$4,B182+D182)</f>
        <v>142</v>
      </c>
      <c r="D182" s="22">
        <f>B182*'My Loans'!$E$4/12</f>
        <v>36.296559169595277</v>
      </c>
      <c r="E182" s="22">
        <f t="shared" si="15"/>
        <v>105.70344083040473</v>
      </c>
      <c r="F182" s="22">
        <f t="shared" si="16"/>
        <v>7813.5458325358377</v>
      </c>
    </row>
    <row r="183" spans="1:6" x14ac:dyDescent="0.25">
      <c r="A183" s="1">
        <v>54</v>
      </c>
      <c r="B183" s="13">
        <f t="shared" si="17"/>
        <v>7813.5458325358377</v>
      </c>
      <c r="C183" s="22">
        <f>MIN('My Loans'!$F$4,B183+D183)</f>
        <v>142</v>
      </c>
      <c r="D183" s="22">
        <f>B183*'My Loans'!$E$4/12</f>
        <v>35.812085065789255</v>
      </c>
      <c r="E183" s="22">
        <f t="shared" si="15"/>
        <v>106.18791493421074</v>
      </c>
      <c r="F183" s="22">
        <f t="shared" si="16"/>
        <v>7707.3579176016274</v>
      </c>
    </row>
    <row r="184" spans="1:6" x14ac:dyDescent="0.25">
      <c r="A184" s="1">
        <v>55</v>
      </c>
      <c r="B184" s="13">
        <f t="shared" si="17"/>
        <v>7707.3579176016274</v>
      </c>
      <c r="C184" s="22">
        <f>MIN('My Loans'!$F$4,B184+D184)</f>
        <v>142</v>
      </c>
      <c r="D184" s="22">
        <f>B184*'My Loans'!$E$4/12</f>
        <v>35.325390455674125</v>
      </c>
      <c r="E184" s="22">
        <f t="shared" si="15"/>
        <v>106.67460954432588</v>
      </c>
      <c r="F184" s="22">
        <f t="shared" si="16"/>
        <v>7600.6833080573015</v>
      </c>
    </row>
    <row r="185" spans="1:6" x14ac:dyDescent="0.25">
      <c r="A185" s="1">
        <v>56</v>
      </c>
      <c r="B185" s="13">
        <f t="shared" si="17"/>
        <v>7600.6833080573015</v>
      </c>
      <c r="C185" s="22">
        <f>MIN('My Loans'!$F$4,B185+D185)</f>
        <v>142</v>
      </c>
      <c r="D185" s="22">
        <f>B185*'My Loans'!$E$4/12</f>
        <v>34.836465161929297</v>
      </c>
      <c r="E185" s="22">
        <f t="shared" si="15"/>
        <v>107.1635348380707</v>
      </c>
      <c r="F185" s="22">
        <f t="shared" si="16"/>
        <v>7493.519773219231</v>
      </c>
    </row>
    <row r="186" spans="1:6" x14ac:dyDescent="0.25">
      <c r="A186" s="1">
        <v>57</v>
      </c>
      <c r="B186" s="13">
        <f t="shared" si="17"/>
        <v>7493.519773219231</v>
      </c>
      <c r="C186" s="22">
        <f>MIN('My Loans'!$F$4,B186+D186)</f>
        <v>142</v>
      </c>
      <c r="D186" s="22">
        <f>B186*'My Loans'!$E$4/12</f>
        <v>34.345298960588146</v>
      </c>
      <c r="E186" s="22">
        <f t="shared" si="15"/>
        <v>107.65470103941186</v>
      </c>
      <c r="F186" s="22">
        <f t="shared" si="16"/>
        <v>7385.8650721798194</v>
      </c>
    </row>
    <row r="187" spans="1:6" x14ac:dyDescent="0.25">
      <c r="A187" s="1">
        <v>58</v>
      </c>
      <c r="B187" s="13">
        <f t="shared" si="17"/>
        <v>7385.8650721798194</v>
      </c>
      <c r="C187" s="22">
        <f>MIN('My Loans'!$F$4,B187+D187)</f>
        <v>142</v>
      </c>
      <c r="D187" s="22">
        <f>B187*'My Loans'!$E$4/12</f>
        <v>33.851881580824177</v>
      </c>
      <c r="E187" s="22">
        <f t="shared" si="15"/>
        <v>108.14811841917583</v>
      </c>
      <c r="F187" s="22">
        <f t="shared" si="16"/>
        <v>7277.7169537606433</v>
      </c>
    </row>
    <row r="188" spans="1:6" x14ac:dyDescent="0.25">
      <c r="A188" s="1">
        <v>59</v>
      </c>
      <c r="B188" s="13">
        <f t="shared" si="17"/>
        <v>7277.7169537606433</v>
      </c>
      <c r="C188" s="22">
        <f>MIN('My Loans'!$F$4,B188+D188)</f>
        <v>142</v>
      </c>
      <c r="D188" s="22">
        <f>B188*'My Loans'!$E$4/12</f>
        <v>33.356202704736283</v>
      </c>
      <c r="E188" s="22">
        <f t="shared" si="15"/>
        <v>108.64379729526371</v>
      </c>
      <c r="F188" s="22">
        <f t="shared" si="16"/>
        <v>7169.0731564653797</v>
      </c>
    </row>
    <row r="189" spans="1:6" x14ac:dyDescent="0.25">
      <c r="A189" s="1">
        <v>60</v>
      </c>
      <c r="B189" s="13">
        <f t="shared" si="17"/>
        <v>7169.0731564653797</v>
      </c>
      <c r="C189" s="22">
        <f>MIN('My Loans'!$F$4,B189+D189)</f>
        <v>142</v>
      </c>
      <c r="D189" s="22">
        <f>B189*'My Loans'!$E$4/12</f>
        <v>32.858251967132993</v>
      </c>
      <c r="E189" s="22">
        <f t="shared" si="15"/>
        <v>109.14174803286701</v>
      </c>
      <c r="F189" s="22">
        <f t="shared" si="16"/>
        <v>7059.9314084325124</v>
      </c>
    </row>
    <row r="190" spans="1:6" x14ac:dyDescent="0.25">
      <c r="A190" s="1">
        <v>61</v>
      </c>
      <c r="B190" s="13">
        <f t="shared" si="17"/>
        <v>7059.9314084325124</v>
      </c>
      <c r="C190" s="22">
        <f>MIN('My Loans'!$F$4,B190+D190)</f>
        <v>142</v>
      </c>
      <c r="D190" s="22">
        <f>B190*'My Loans'!$E$4/12</f>
        <v>32.358018955315679</v>
      </c>
      <c r="E190" s="22">
        <f t="shared" si="15"/>
        <v>109.64198104468431</v>
      </c>
      <c r="F190" s="22">
        <f t="shared" si="16"/>
        <v>6950.2894273878283</v>
      </c>
    </row>
    <row r="191" spans="1:6" x14ac:dyDescent="0.25">
      <c r="A191" s="1">
        <v>62</v>
      </c>
      <c r="B191" s="13">
        <f t="shared" si="17"/>
        <v>6950.2894273878283</v>
      </c>
      <c r="C191" s="22">
        <f>MIN('My Loans'!$F$4,B191+D191)</f>
        <v>142</v>
      </c>
      <c r="D191" s="22">
        <f>B191*'My Loans'!$E$4/12</f>
        <v>31.855493208860878</v>
      </c>
      <c r="E191" s="22">
        <f t="shared" si="15"/>
        <v>110.14450679113912</v>
      </c>
      <c r="F191" s="22">
        <f t="shared" si="16"/>
        <v>6840.1449205966892</v>
      </c>
    </row>
    <row r="192" spans="1:6" x14ac:dyDescent="0.25">
      <c r="A192" s="1">
        <v>63</v>
      </c>
      <c r="B192" s="13">
        <f t="shared" si="17"/>
        <v>6840.1449205966892</v>
      </c>
      <c r="C192" s="22">
        <f>MIN('My Loans'!$F$4,B192+D192)</f>
        <v>142</v>
      </c>
      <c r="D192" s="22">
        <f>B192*'My Loans'!$E$4/12</f>
        <v>31.350664219401494</v>
      </c>
      <c r="E192" s="22">
        <f t="shared" si="15"/>
        <v>110.64933578059851</v>
      </c>
      <c r="F192" s="22">
        <f t="shared" si="16"/>
        <v>6729.4955848160907</v>
      </c>
    </row>
    <row r="193" spans="1:6" x14ac:dyDescent="0.25">
      <c r="A193" s="1">
        <v>64</v>
      </c>
      <c r="B193" s="13">
        <f t="shared" si="17"/>
        <v>6729.4955848160907</v>
      </c>
      <c r="C193" s="22">
        <f>MIN('My Loans'!$F$4,B193+D193)</f>
        <v>142</v>
      </c>
      <c r="D193" s="22">
        <f>B193*'My Loans'!$E$4/12</f>
        <v>30.843521430407083</v>
      </c>
      <c r="E193" s="22">
        <f t="shared" si="15"/>
        <v>111.15647856959292</v>
      </c>
      <c r="F193" s="22">
        <f t="shared" si="16"/>
        <v>6618.339106246498</v>
      </c>
    </row>
    <row r="194" spans="1:6" x14ac:dyDescent="0.25">
      <c r="A194" s="1">
        <v>65</v>
      </c>
      <c r="B194" s="13">
        <f t="shared" si="17"/>
        <v>6618.339106246498</v>
      </c>
      <c r="C194" s="22">
        <f>MIN('My Loans'!$F$4,B194+D194)</f>
        <v>142</v>
      </c>
      <c r="D194" s="22">
        <f>B194*'My Loans'!$E$4/12</f>
        <v>30.334054236963116</v>
      </c>
      <c r="E194" s="22">
        <f t="shared" ref="E194:E225" si="18">C194-D194</f>
        <v>111.66594576303689</v>
      </c>
      <c r="F194" s="22">
        <f t="shared" ref="F194:F225" si="19">MAX(0,B194-E194)</f>
        <v>6506.6731604834613</v>
      </c>
    </row>
    <row r="195" spans="1:6" x14ac:dyDescent="0.25">
      <c r="A195" s="1">
        <v>66</v>
      </c>
      <c r="B195" s="13">
        <f t="shared" ref="B195:B226" si="20">F194</f>
        <v>6506.6731604834613</v>
      </c>
      <c r="C195" s="22">
        <f>MIN('My Loans'!$F$4,B195+D195)</f>
        <v>142</v>
      </c>
      <c r="D195" s="22">
        <f>B195*'My Loans'!$E$4/12</f>
        <v>29.822251985549197</v>
      </c>
      <c r="E195" s="22">
        <f t="shared" si="18"/>
        <v>112.1777480144508</v>
      </c>
      <c r="F195" s="22">
        <f t="shared" si="19"/>
        <v>6394.4954124690103</v>
      </c>
    </row>
    <row r="196" spans="1:6" x14ac:dyDescent="0.25">
      <c r="A196" s="1">
        <v>67</v>
      </c>
      <c r="B196" s="13">
        <f t="shared" si="20"/>
        <v>6394.4954124690103</v>
      </c>
      <c r="C196" s="22">
        <f>MIN('My Loans'!$F$4,B196+D196)</f>
        <v>142</v>
      </c>
      <c r="D196" s="22">
        <f>B196*'My Loans'!$E$4/12</f>
        <v>29.308103973816298</v>
      </c>
      <c r="E196" s="22">
        <f t="shared" si="18"/>
        <v>112.6918960261837</v>
      </c>
      <c r="F196" s="22">
        <f t="shared" si="19"/>
        <v>6281.8035164428265</v>
      </c>
    </row>
    <row r="197" spans="1:6" x14ac:dyDescent="0.25">
      <c r="A197" s="1">
        <v>68</v>
      </c>
      <c r="B197" s="13">
        <f t="shared" si="20"/>
        <v>6281.8035164428265</v>
      </c>
      <c r="C197" s="22">
        <f>MIN('My Loans'!$F$4,B197+D197)</f>
        <v>142</v>
      </c>
      <c r="D197" s="22">
        <f>B197*'My Loans'!$E$4/12</f>
        <v>28.791599450362956</v>
      </c>
      <c r="E197" s="22">
        <f t="shared" si="18"/>
        <v>113.20840054963705</v>
      </c>
      <c r="F197" s="22">
        <f t="shared" si="19"/>
        <v>6168.5951158931894</v>
      </c>
    </row>
    <row r="198" spans="1:6" x14ac:dyDescent="0.25">
      <c r="A198" s="1">
        <v>69</v>
      </c>
      <c r="B198" s="13">
        <f t="shared" si="20"/>
        <v>6168.5951158931894</v>
      </c>
      <c r="C198" s="22">
        <f>MIN('My Loans'!$F$4,B198+D198)</f>
        <v>142</v>
      </c>
      <c r="D198" s="22">
        <f>B198*'My Loans'!$E$4/12</f>
        <v>28.272727614510455</v>
      </c>
      <c r="E198" s="22">
        <f t="shared" si="18"/>
        <v>113.72727238548954</v>
      </c>
      <c r="F198" s="22">
        <f t="shared" si="19"/>
        <v>6054.8678435076999</v>
      </c>
    </row>
    <row r="199" spans="1:6" x14ac:dyDescent="0.25">
      <c r="A199" s="1">
        <v>70</v>
      </c>
      <c r="B199" s="13">
        <f t="shared" si="20"/>
        <v>6054.8678435076999</v>
      </c>
      <c r="C199" s="22">
        <f>MIN('My Loans'!$F$4,B199+D199)</f>
        <v>142</v>
      </c>
      <c r="D199" s="22">
        <f>B199*'My Loans'!$E$4/12</f>
        <v>27.751477616076958</v>
      </c>
      <c r="E199" s="22">
        <f t="shared" si="18"/>
        <v>114.24852238392305</v>
      </c>
      <c r="F199" s="22">
        <f t="shared" si="19"/>
        <v>5940.6193211237769</v>
      </c>
    </row>
    <row r="200" spans="1:6" x14ac:dyDescent="0.25">
      <c r="A200" s="1">
        <v>71</v>
      </c>
      <c r="B200" s="13">
        <f t="shared" si="20"/>
        <v>5940.6193211237769</v>
      </c>
      <c r="C200" s="22">
        <f>MIN('My Loans'!$F$4,B200+D200)</f>
        <v>142</v>
      </c>
      <c r="D200" s="22">
        <f>B200*'My Loans'!$E$4/12</f>
        <v>27.227838555150644</v>
      </c>
      <c r="E200" s="22">
        <f t="shared" si="18"/>
        <v>114.77216144484936</v>
      </c>
      <c r="F200" s="22">
        <f t="shared" si="19"/>
        <v>5825.8471596789277</v>
      </c>
    </row>
    <row r="201" spans="1:6" x14ac:dyDescent="0.25">
      <c r="A201" s="1">
        <v>72</v>
      </c>
      <c r="B201" s="13">
        <f t="shared" si="20"/>
        <v>5825.8471596789277</v>
      </c>
      <c r="C201" s="22">
        <f>MIN('My Loans'!$F$4,B201+D201)</f>
        <v>142</v>
      </c>
      <c r="D201" s="22">
        <f>B201*'My Loans'!$E$4/12</f>
        <v>26.701799481861752</v>
      </c>
      <c r="E201" s="22">
        <f t="shared" si="18"/>
        <v>115.29820051813824</v>
      </c>
      <c r="F201" s="22">
        <f t="shared" si="19"/>
        <v>5710.5489591607893</v>
      </c>
    </row>
    <row r="202" spans="1:6" x14ac:dyDescent="0.25">
      <c r="A202" s="1">
        <v>73</v>
      </c>
      <c r="B202" s="13">
        <f t="shared" si="20"/>
        <v>5710.5489591607893</v>
      </c>
      <c r="C202" s="22">
        <f>MIN('My Loans'!$F$4,B202+D202)</f>
        <v>142</v>
      </c>
      <c r="D202" s="22">
        <f>B202*'My Loans'!$E$4/12</f>
        <v>26.173349396153615</v>
      </c>
      <c r="E202" s="22">
        <f t="shared" si="18"/>
        <v>115.82665060384639</v>
      </c>
      <c r="F202" s="22">
        <f t="shared" si="19"/>
        <v>5594.7223085569431</v>
      </c>
    </row>
    <row r="203" spans="1:6" x14ac:dyDescent="0.25">
      <c r="A203" s="1">
        <v>74</v>
      </c>
      <c r="B203" s="13">
        <f t="shared" si="20"/>
        <v>5594.7223085569431</v>
      </c>
      <c r="C203" s="22">
        <f>MIN('My Loans'!$F$4,B203+D203)</f>
        <v>142</v>
      </c>
      <c r="D203" s="22">
        <f>B203*'My Loans'!$E$4/12</f>
        <v>25.642477247552659</v>
      </c>
      <c r="E203" s="22">
        <f t="shared" si="18"/>
        <v>116.35752275244734</v>
      </c>
      <c r="F203" s="22">
        <f t="shared" si="19"/>
        <v>5478.364785804496</v>
      </c>
    </row>
    <row r="204" spans="1:6" x14ac:dyDescent="0.25">
      <c r="A204" s="1">
        <v>75</v>
      </c>
      <c r="B204" s="13">
        <f t="shared" si="20"/>
        <v>5478.364785804496</v>
      </c>
      <c r="C204" s="22">
        <f>MIN('My Loans'!$F$4,B204+D204)</f>
        <v>142</v>
      </c>
      <c r="D204" s="22">
        <f>B204*'My Loans'!$E$4/12</f>
        <v>25.109171934937276</v>
      </c>
      <c r="E204" s="22">
        <f t="shared" si="18"/>
        <v>116.89082806506272</v>
      </c>
      <c r="F204" s="22">
        <f t="shared" si="19"/>
        <v>5361.473957739433</v>
      </c>
    </row>
    <row r="205" spans="1:6" x14ac:dyDescent="0.25">
      <c r="A205" s="1">
        <v>76</v>
      </c>
      <c r="B205" s="13">
        <f t="shared" si="20"/>
        <v>5361.473957739433</v>
      </c>
      <c r="C205" s="22">
        <f>MIN('My Loans'!$F$4,B205+D205)</f>
        <v>142</v>
      </c>
      <c r="D205" s="22">
        <f>B205*'My Loans'!$E$4/12</f>
        <v>24.573422306305734</v>
      </c>
      <c r="E205" s="22">
        <f t="shared" si="18"/>
        <v>117.42657769369427</v>
      </c>
      <c r="F205" s="22">
        <f t="shared" si="19"/>
        <v>5244.0473800457385</v>
      </c>
    </row>
    <row r="206" spans="1:6" x14ac:dyDescent="0.25">
      <c r="A206" s="1">
        <v>77</v>
      </c>
      <c r="B206" s="13">
        <f t="shared" si="20"/>
        <v>5244.0473800457385</v>
      </c>
      <c r="C206" s="22">
        <f>MIN('My Loans'!$F$4,B206+D206)</f>
        <v>142</v>
      </c>
      <c r="D206" s="22">
        <f>B206*'My Loans'!$E$4/12</f>
        <v>24.035217158542967</v>
      </c>
      <c r="E206" s="22">
        <f t="shared" si="18"/>
        <v>117.96478284145704</v>
      </c>
      <c r="F206" s="22">
        <f t="shared" si="19"/>
        <v>5126.0825972042812</v>
      </c>
    </row>
    <row r="207" spans="1:6" x14ac:dyDescent="0.25">
      <c r="A207" s="1">
        <v>78</v>
      </c>
      <c r="B207" s="13">
        <f t="shared" si="20"/>
        <v>5126.0825972042812</v>
      </c>
      <c r="C207" s="22">
        <f>MIN('My Loans'!$F$4,B207+D207)</f>
        <v>142</v>
      </c>
      <c r="D207" s="22">
        <f>B207*'My Loans'!$E$4/12</f>
        <v>23.494545237186287</v>
      </c>
      <c r="E207" s="22">
        <f t="shared" si="18"/>
        <v>118.50545476281371</v>
      </c>
      <c r="F207" s="22">
        <f t="shared" si="19"/>
        <v>5007.5771424414679</v>
      </c>
    </row>
    <row r="208" spans="1:6" x14ac:dyDescent="0.25">
      <c r="A208" s="1">
        <v>79</v>
      </c>
      <c r="B208" s="13">
        <f t="shared" si="20"/>
        <v>5007.5771424414679</v>
      </c>
      <c r="C208" s="22">
        <f>MIN('My Loans'!$F$4,B208+D208)</f>
        <v>142</v>
      </c>
      <c r="D208" s="22">
        <f>B208*'My Loans'!$E$4/12</f>
        <v>22.951395236190063</v>
      </c>
      <c r="E208" s="22">
        <f t="shared" si="18"/>
        <v>119.04860476380993</v>
      </c>
      <c r="F208" s="22">
        <f t="shared" si="19"/>
        <v>4888.5285376776583</v>
      </c>
    </row>
    <row r="209" spans="1:6" x14ac:dyDescent="0.25">
      <c r="A209" s="1">
        <v>80</v>
      </c>
      <c r="B209" s="13">
        <f t="shared" si="20"/>
        <v>4888.5285376776583</v>
      </c>
      <c r="C209" s="22">
        <f>MIN('My Loans'!$F$4,B209+D209)</f>
        <v>142</v>
      </c>
      <c r="D209" s="22">
        <f>B209*'My Loans'!$E$4/12</f>
        <v>22.405755797689267</v>
      </c>
      <c r="E209" s="22">
        <f t="shared" si="18"/>
        <v>119.59424420231073</v>
      </c>
      <c r="F209" s="22">
        <f t="shared" si="19"/>
        <v>4768.9342934753477</v>
      </c>
    </row>
    <row r="210" spans="1:6" x14ac:dyDescent="0.25">
      <c r="A210" s="1">
        <v>81</v>
      </c>
      <c r="B210" s="13">
        <f t="shared" si="20"/>
        <v>4768.9342934753477</v>
      </c>
      <c r="C210" s="22">
        <f>MIN('My Loans'!$F$4,B210+D210)</f>
        <v>142</v>
      </c>
      <c r="D210" s="22">
        <f>B210*'My Loans'!$E$4/12</f>
        <v>21.85761551176201</v>
      </c>
      <c r="E210" s="22">
        <f t="shared" si="18"/>
        <v>120.14238448823799</v>
      </c>
      <c r="F210" s="22">
        <f t="shared" si="19"/>
        <v>4648.7919089871093</v>
      </c>
    </row>
    <row r="211" spans="1:6" x14ac:dyDescent="0.25">
      <c r="A211" s="1">
        <v>82</v>
      </c>
      <c r="B211" s="13">
        <f t="shared" si="20"/>
        <v>4648.7919089871093</v>
      </c>
      <c r="C211" s="22">
        <f>MIN('My Loans'!$F$4,B211+D211)</f>
        <v>142</v>
      </c>
      <c r="D211" s="22">
        <f>B211*'My Loans'!$E$4/12</f>
        <v>21.306962916190916</v>
      </c>
      <c r="E211" s="22">
        <f t="shared" si="18"/>
        <v>120.69303708380909</v>
      </c>
      <c r="F211" s="22">
        <f t="shared" si="19"/>
        <v>4528.0988719033003</v>
      </c>
    </row>
    <row r="212" spans="1:6" x14ac:dyDescent="0.25">
      <c r="A212" s="1">
        <v>83</v>
      </c>
      <c r="B212" s="13">
        <f t="shared" si="20"/>
        <v>4528.0988719033003</v>
      </c>
      <c r="C212" s="22">
        <f>MIN('My Loans'!$F$4,B212+D212)</f>
        <v>142</v>
      </c>
      <c r="D212" s="22">
        <f>B212*'My Loans'!$E$4/12</f>
        <v>20.753786496223459</v>
      </c>
      <c r="E212" s="22">
        <f t="shared" si="18"/>
        <v>121.24621350377654</v>
      </c>
      <c r="F212" s="22">
        <f t="shared" si="19"/>
        <v>4406.8526583995235</v>
      </c>
    </row>
    <row r="213" spans="1:6" x14ac:dyDescent="0.25">
      <c r="A213" s="1">
        <v>84</v>
      </c>
      <c r="B213" s="13">
        <f t="shared" si="20"/>
        <v>4406.8526583995235</v>
      </c>
      <c r="C213" s="22">
        <f>MIN('My Loans'!$F$4,B213+D213)</f>
        <v>142</v>
      </c>
      <c r="D213" s="22">
        <f>B213*'My Loans'!$E$4/12</f>
        <v>20.19807468433115</v>
      </c>
      <c r="E213" s="22">
        <f t="shared" si="18"/>
        <v>121.80192531566885</v>
      </c>
      <c r="F213" s="22">
        <f t="shared" si="19"/>
        <v>4285.0507330838545</v>
      </c>
    </row>
    <row r="214" spans="1:6" x14ac:dyDescent="0.25">
      <c r="A214" s="1">
        <v>85</v>
      </c>
      <c r="B214" s="13">
        <f t="shared" si="20"/>
        <v>4285.0507330838545</v>
      </c>
      <c r="C214" s="22">
        <f>MIN('My Loans'!$F$4,B214+D214)</f>
        <v>142</v>
      </c>
      <c r="D214" s="22">
        <f>B214*'My Loans'!$E$4/12</f>
        <v>19.639815859967666</v>
      </c>
      <c r="E214" s="22">
        <f t="shared" si="18"/>
        <v>122.36018414003233</v>
      </c>
      <c r="F214" s="22">
        <f t="shared" si="19"/>
        <v>4162.6905489438223</v>
      </c>
    </row>
    <row r="215" spans="1:6" x14ac:dyDescent="0.25">
      <c r="A215" s="1">
        <v>86</v>
      </c>
      <c r="B215" s="13">
        <f t="shared" si="20"/>
        <v>4162.6905489438223</v>
      </c>
      <c r="C215" s="22">
        <f>MIN('My Loans'!$F$4,B215+D215)</f>
        <v>142</v>
      </c>
      <c r="D215" s="22">
        <f>B215*'My Loans'!$E$4/12</f>
        <v>19.078998349325854</v>
      </c>
      <c r="E215" s="22">
        <f t="shared" si="18"/>
        <v>122.92100165067414</v>
      </c>
      <c r="F215" s="22">
        <f t="shared" si="19"/>
        <v>4039.7695472931482</v>
      </c>
    </row>
    <row r="216" spans="1:6" x14ac:dyDescent="0.25">
      <c r="A216" s="1">
        <v>87</v>
      </c>
      <c r="B216" s="13">
        <f t="shared" si="20"/>
        <v>4039.7695472931482</v>
      </c>
      <c r="C216" s="22">
        <f>MIN('My Loans'!$F$4,B216+D216)</f>
        <v>142</v>
      </c>
      <c r="D216" s="22">
        <f>B216*'My Loans'!$E$4/12</f>
        <v>18.515610425093595</v>
      </c>
      <c r="E216" s="22">
        <f t="shared" si="18"/>
        <v>123.4843895749064</v>
      </c>
      <c r="F216" s="22">
        <f t="shared" si="19"/>
        <v>3916.2851577182419</v>
      </c>
    </row>
    <row r="217" spans="1:6" x14ac:dyDescent="0.25">
      <c r="A217" s="1">
        <v>88</v>
      </c>
      <c r="B217" s="13">
        <f t="shared" si="20"/>
        <v>3916.2851577182419</v>
      </c>
      <c r="C217" s="22">
        <f>MIN('My Loans'!$F$4,B217+D217)</f>
        <v>142</v>
      </c>
      <c r="D217" s="22">
        <f>B217*'My Loans'!$E$4/12</f>
        <v>17.949640306208611</v>
      </c>
      <c r="E217" s="22">
        <f t="shared" si="18"/>
        <v>124.05035969379139</v>
      </c>
      <c r="F217" s="22">
        <f t="shared" si="19"/>
        <v>3792.2347980244504</v>
      </c>
    </row>
    <row r="218" spans="1:6" x14ac:dyDescent="0.25">
      <c r="A218" s="1">
        <v>89</v>
      </c>
      <c r="B218" s="13">
        <f t="shared" si="20"/>
        <v>3792.2347980244504</v>
      </c>
      <c r="C218" s="22">
        <f>MIN('My Loans'!$F$4,B218+D218)</f>
        <v>142</v>
      </c>
      <c r="D218" s="22">
        <f>B218*'My Loans'!$E$4/12</f>
        <v>17.381076157612064</v>
      </c>
      <c r="E218" s="22">
        <f t="shared" si="18"/>
        <v>124.61892384238794</v>
      </c>
      <c r="F218" s="22">
        <f t="shared" si="19"/>
        <v>3667.6158741820623</v>
      </c>
    </row>
    <row r="219" spans="1:6" x14ac:dyDescent="0.25">
      <c r="A219" s="1">
        <v>90</v>
      </c>
      <c r="B219" s="13">
        <f t="shared" si="20"/>
        <v>3667.6158741820623</v>
      </c>
      <c r="C219" s="22">
        <f>MIN('My Loans'!$F$4,B219+D219)</f>
        <v>142</v>
      </c>
      <c r="D219" s="22">
        <f>B219*'My Loans'!$E$4/12</f>
        <v>16.809906090001117</v>
      </c>
      <c r="E219" s="22">
        <f t="shared" si="18"/>
        <v>125.19009390999888</v>
      </c>
      <c r="F219" s="22">
        <f t="shared" si="19"/>
        <v>3542.4257802720635</v>
      </c>
    </row>
    <row r="220" spans="1:6" x14ac:dyDescent="0.25">
      <c r="A220" s="1">
        <v>91</v>
      </c>
      <c r="B220" s="13">
        <f t="shared" si="20"/>
        <v>3542.4257802720635</v>
      </c>
      <c r="C220" s="22">
        <f>MIN('My Loans'!$F$4,B220+D220)</f>
        <v>142</v>
      </c>
      <c r="D220" s="22">
        <f>B220*'My Loans'!$E$4/12</f>
        <v>16.23611815958029</v>
      </c>
      <c r="E220" s="22">
        <f t="shared" si="18"/>
        <v>125.76388184041971</v>
      </c>
      <c r="F220" s="22">
        <f t="shared" si="19"/>
        <v>3416.6618984316437</v>
      </c>
    </row>
    <row r="221" spans="1:6" x14ac:dyDescent="0.25">
      <c r="A221" s="1">
        <v>92</v>
      </c>
      <c r="B221" s="13">
        <f t="shared" si="20"/>
        <v>3416.6618984316437</v>
      </c>
      <c r="C221" s="22">
        <f>MIN('My Loans'!$F$4,B221+D221)</f>
        <v>142</v>
      </c>
      <c r="D221" s="22">
        <f>B221*'My Loans'!$E$4/12</f>
        <v>15.6597003678117</v>
      </c>
      <c r="E221" s="22">
        <f t="shared" si="18"/>
        <v>126.34029963218831</v>
      </c>
      <c r="F221" s="22">
        <f t="shared" si="19"/>
        <v>3290.3215987994554</v>
      </c>
    </row>
    <row r="222" spans="1:6" x14ac:dyDescent="0.25">
      <c r="A222" s="1">
        <v>93</v>
      </c>
      <c r="B222" s="13">
        <f t="shared" si="20"/>
        <v>3290.3215987994554</v>
      </c>
      <c r="C222" s="22">
        <f>MIN('My Loans'!$F$4,B222+D222)</f>
        <v>142</v>
      </c>
      <c r="D222" s="22">
        <f>B222*'My Loans'!$E$4/12</f>
        <v>15.080640661164169</v>
      </c>
      <c r="E222" s="22">
        <f t="shared" si="18"/>
        <v>126.91935933883583</v>
      </c>
      <c r="F222" s="22">
        <f t="shared" si="19"/>
        <v>3163.4022394606195</v>
      </c>
    </row>
    <row r="223" spans="1:6" x14ac:dyDescent="0.25">
      <c r="A223" s="1">
        <v>94</v>
      </c>
      <c r="B223" s="13">
        <f t="shared" si="20"/>
        <v>3163.4022394606195</v>
      </c>
      <c r="C223" s="22">
        <f>MIN('My Loans'!$F$4,B223+D223)</f>
        <v>142</v>
      </c>
      <c r="D223" s="22">
        <f>B223*'My Loans'!$E$4/12</f>
        <v>14.498926930861174</v>
      </c>
      <c r="E223" s="22">
        <f t="shared" si="18"/>
        <v>127.50107306913883</v>
      </c>
      <c r="F223" s="22">
        <f t="shared" si="19"/>
        <v>3035.9011663914807</v>
      </c>
    </row>
    <row r="224" spans="1:6" x14ac:dyDescent="0.25">
      <c r="A224" s="1">
        <v>95</v>
      </c>
      <c r="B224" s="13">
        <f t="shared" si="20"/>
        <v>3035.9011663914807</v>
      </c>
      <c r="C224" s="22">
        <f>MIN('My Loans'!$F$4,B224+D224)</f>
        <v>142</v>
      </c>
      <c r="D224" s="22">
        <f>B224*'My Loans'!$E$4/12</f>
        <v>13.914547012627621</v>
      </c>
      <c r="E224" s="22">
        <f t="shared" si="18"/>
        <v>128.08545298737238</v>
      </c>
      <c r="F224" s="22">
        <f t="shared" si="19"/>
        <v>2907.8157134041085</v>
      </c>
    </row>
    <row r="225" spans="1:6" x14ac:dyDescent="0.25">
      <c r="A225" s="1">
        <v>96</v>
      </c>
      <c r="B225" s="13">
        <f t="shared" si="20"/>
        <v>2907.8157134041085</v>
      </c>
      <c r="C225" s="22">
        <f>MIN('My Loans'!$F$4,B225+D225)</f>
        <v>142</v>
      </c>
      <c r="D225" s="22">
        <f>B225*'My Loans'!$E$4/12</f>
        <v>13.327488686435496</v>
      </c>
      <c r="E225" s="22">
        <f t="shared" si="18"/>
        <v>128.67251131356451</v>
      </c>
      <c r="F225" s="22">
        <f t="shared" si="19"/>
        <v>2779.143202090544</v>
      </c>
    </row>
    <row r="226" spans="1:6" x14ac:dyDescent="0.25">
      <c r="A226" s="1">
        <v>97</v>
      </c>
      <c r="B226" s="13">
        <f t="shared" si="20"/>
        <v>2779.143202090544</v>
      </c>
      <c r="C226" s="22">
        <f>MIN('My Loans'!$F$4,B226+D226)</f>
        <v>142</v>
      </c>
      <c r="D226" s="22">
        <f>B226*'My Loans'!$E$4/12</f>
        <v>12.737739676248326</v>
      </c>
      <c r="E226" s="22">
        <f t="shared" ref="E226:E257" si="21">C226-D226</f>
        <v>129.26226032375166</v>
      </c>
      <c r="F226" s="22">
        <f t="shared" ref="F226:F257" si="22">MAX(0,B226-E226)</f>
        <v>2649.8809417667926</v>
      </c>
    </row>
    <row r="227" spans="1:6" x14ac:dyDescent="0.25">
      <c r="A227" s="1">
        <v>98</v>
      </c>
      <c r="B227" s="13">
        <f t="shared" ref="B227:B249" si="23">F226</f>
        <v>2649.8809417667926</v>
      </c>
      <c r="C227" s="22">
        <f>MIN('My Loans'!$F$4,B227+D227)</f>
        <v>142</v>
      </c>
      <c r="D227" s="22">
        <f>B227*'My Loans'!$E$4/12</f>
        <v>12.145287649764468</v>
      </c>
      <c r="E227" s="22">
        <f t="shared" si="21"/>
        <v>129.85471235023553</v>
      </c>
      <c r="F227" s="22">
        <f t="shared" si="22"/>
        <v>2520.0262294165573</v>
      </c>
    </row>
    <row r="228" spans="1:6" x14ac:dyDescent="0.25">
      <c r="A228" s="1">
        <v>99</v>
      </c>
      <c r="B228" s="13">
        <f t="shared" si="23"/>
        <v>2520.0262294165573</v>
      </c>
      <c r="C228" s="22">
        <f>MIN('My Loans'!$F$4,B228+D228)</f>
        <v>142</v>
      </c>
      <c r="D228" s="22">
        <f>B228*'My Loans'!$E$4/12</f>
        <v>11.550120218159222</v>
      </c>
      <c r="E228" s="22">
        <f t="shared" si="21"/>
        <v>130.44987978184076</v>
      </c>
      <c r="F228" s="22">
        <f t="shared" si="22"/>
        <v>2389.5763496347163</v>
      </c>
    </row>
    <row r="229" spans="1:6" x14ac:dyDescent="0.25">
      <c r="A229" s="1">
        <v>100</v>
      </c>
      <c r="B229" s="13">
        <f t="shared" si="23"/>
        <v>2389.5763496347163</v>
      </c>
      <c r="C229" s="22">
        <f>MIN('My Loans'!$F$4,B229+D229)</f>
        <v>142</v>
      </c>
      <c r="D229" s="22">
        <f>B229*'My Loans'!$E$4/12</f>
        <v>10.952224935825782</v>
      </c>
      <c r="E229" s="22">
        <f t="shared" si="21"/>
        <v>131.04777506417423</v>
      </c>
      <c r="F229" s="22">
        <f t="shared" si="22"/>
        <v>2258.5285745705419</v>
      </c>
    </row>
    <row r="230" spans="1:6" x14ac:dyDescent="0.25">
      <c r="A230" s="1">
        <v>101</v>
      </c>
      <c r="B230" s="13">
        <f t="shared" si="23"/>
        <v>2258.5285745705419</v>
      </c>
      <c r="C230" s="22">
        <f>MIN('My Loans'!$F$4,B230+D230)</f>
        <v>142</v>
      </c>
      <c r="D230" s="22">
        <f>B230*'My Loans'!$E$4/12</f>
        <v>10.351589300114984</v>
      </c>
      <c r="E230" s="22">
        <f t="shared" si="21"/>
        <v>131.64841069988501</v>
      </c>
      <c r="F230" s="22">
        <f t="shared" si="22"/>
        <v>2126.8801638706568</v>
      </c>
    </row>
    <row r="231" spans="1:6" x14ac:dyDescent="0.25">
      <c r="A231" s="1">
        <v>102</v>
      </c>
      <c r="B231" s="13">
        <f t="shared" si="23"/>
        <v>2126.8801638706568</v>
      </c>
      <c r="C231" s="22">
        <f>MIN('My Loans'!$F$4,B231+D231)</f>
        <v>142</v>
      </c>
      <c r="D231" s="22">
        <f>B231*'My Loans'!$E$4/12</f>
        <v>9.7482007510738438</v>
      </c>
      <c r="E231" s="22">
        <f t="shared" si="21"/>
        <v>132.25179924892615</v>
      </c>
      <c r="F231" s="22">
        <f t="shared" si="22"/>
        <v>1994.6283646217307</v>
      </c>
    </row>
    <row r="232" spans="1:6" x14ac:dyDescent="0.25">
      <c r="A232" s="1">
        <v>103</v>
      </c>
      <c r="B232" s="13">
        <f t="shared" si="23"/>
        <v>1994.6283646217307</v>
      </c>
      <c r="C232" s="22">
        <f>MIN('My Loans'!$F$4,B232+D232)</f>
        <v>142</v>
      </c>
      <c r="D232" s="22">
        <f>B232*'My Loans'!$E$4/12</f>
        <v>9.142046671182932</v>
      </c>
      <c r="E232" s="22">
        <f t="shared" si="21"/>
        <v>132.85795332881708</v>
      </c>
      <c r="F232" s="22">
        <f t="shared" si="22"/>
        <v>1861.7704112929136</v>
      </c>
    </row>
    <row r="233" spans="1:6" x14ac:dyDescent="0.25">
      <c r="A233" s="1">
        <v>104</v>
      </c>
      <c r="B233" s="13">
        <f t="shared" si="23"/>
        <v>1861.7704112929136</v>
      </c>
      <c r="C233" s="22">
        <f>MIN('My Loans'!$F$4,B233+D233)</f>
        <v>142</v>
      </c>
      <c r="D233" s="22">
        <f>B233*'My Loans'!$E$4/12</f>
        <v>8.5331143850925208</v>
      </c>
      <c r="E233" s="22">
        <f t="shared" si="21"/>
        <v>133.46688561490748</v>
      </c>
      <c r="F233" s="22">
        <f t="shared" si="22"/>
        <v>1728.3035256780063</v>
      </c>
    </row>
    <row r="234" spans="1:6" x14ac:dyDescent="0.25">
      <c r="A234" s="1">
        <v>105</v>
      </c>
      <c r="B234" s="13">
        <f t="shared" si="23"/>
        <v>1728.3035256780063</v>
      </c>
      <c r="C234" s="22">
        <f>MIN('My Loans'!$F$4,B234+D234)</f>
        <v>142</v>
      </c>
      <c r="D234" s="22">
        <f>B234*'My Loans'!$E$4/12</f>
        <v>7.9213911593575288</v>
      </c>
      <c r="E234" s="22">
        <f t="shared" si="21"/>
        <v>134.07860884064246</v>
      </c>
      <c r="F234" s="22">
        <f t="shared" si="22"/>
        <v>1594.2249168373637</v>
      </c>
    </row>
    <row r="235" spans="1:6" x14ac:dyDescent="0.25">
      <c r="A235" s="1">
        <v>106</v>
      </c>
      <c r="B235" s="13">
        <f t="shared" si="23"/>
        <v>1594.2249168373637</v>
      </c>
      <c r="C235" s="22">
        <f>MIN('My Loans'!$F$4,B235+D235)</f>
        <v>142</v>
      </c>
      <c r="D235" s="22">
        <f>B235*'My Loans'!$E$4/12</f>
        <v>7.3068642021712504</v>
      </c>
      <c r="E235" s="22">
        <f t="shared" si="21"/>
        <v>134.69313579782875</v>
      </c>
      <c r="F235" s="22">
        <f t="shared" si="22"/>
        <v>1459.531781039535</v>
      </c>
    </row>
    <row r="236" spans="1:6" x14ac:dyDescent="0.25">
      <c r="A236" s="1">
        <v>107</v>
      </c>
      <c r="B236" s="13">
        <f t="shared" si="23"/>
        <v>1459.531781039535</v>
      </c>
      <c r="C236" s="22">
        <f>MIN('My Loans'!$F$4,B236+D236)</f>
        <v>142</v>
      </c>
      <c r="D236" s="22">
        <f>B236*'My Loans'!$E$4/12</f>
        <v>6.689520663097869</v>
      </c>
      <c r="E236" s="22">
        <f t="shared" si="21"/>
        <v>135.31047933690212</v>
      </c>
      <c r="F236" s="22">
        <f t="shared" si="22"/>
        <v>1324.2213017026329</v>
      </c>
    </row>
    <row r="237" spans="1:6" x14ac:dyDescent="0.25">
      <c r="A237" s="1">
        <v>108</v>
      </c>
      <c r="B237" s="13">
        <f t="shared" si="23"/>
        <v>1324.2213017026329</v>
      </c>
      <c r="C237" s="22">
        <f>MIN('My Loans'!$F$4,B237+D237)</f>
        <v>142</v>
      </c>
      <c r="D237" s="22">
        <f>B237*'My Loans'!$E$4/12</f>
        <v>6.0693476328037343</v>
      </c>
      <c r="E237" s="22">
        <f t="shared" si="21"/>
        <v>135.93065236719627</v>
      </c>
      <c r="F237" s="22">
        <f t="shared" si="22"/>
        <v>1188.2906493354367</v>
      </c>
    </row>
    <row r="238" spans="1:6" x14ac:dyDescent="0.25">
      <c r="A238" s="1">
        <v>109</v>
      </c>
      <c r="B238" s="13">
        <f t="shared" si="23"/>
        <v>1188.2906493354367</v>
      </c>
      <c r="C238" s="22">
        <f>MIN('My Loans'!$F$4,B238+D238)</f>
        <v>142</v>
      </c>
      <c r="D238" s="22">
        <f>B238*'My Loans'!$E$4/12</f>
        <v>5.4463321427874183</v>
      </c>
      <c r="E238" s="22">
        <f t="shared" si="21"/>
        <v>136.55366785721259</v>
      </c>
      <c r="F238" s="22">
        <f t="shared" si="22"/>
        <v>1051.7369814782242</v>
      </c>
    </row>
    <row r="239" spans="1:6" x14ac:dyDescent="0.25">
      <c r="A239" s="1">
        <v>110</v>
      </c>
      <c r="B239" s="13">
        <f t="shared" si="23"/>
        <v>1051.7369814782242</v>
      </c>
      <c r="C239" s="22">
        <f>MIN('My Loans'!$F$4,B239+D239)</f>
        <v>142</v>
      </c>
      <c r="D239" s="22">
        <f>B239*'My Loans'!$E$4/12</f>
        <v>4.8204611651085276</v>
      </c>
      <c r="E239" s="22">
        <f t="shared" si="21"/>
        <v>137.17953883489147</v>
      </c>
      <c r="F239" s="22">
        <f t="shared" si="22"/>
        <v>914.55744264333271</v>
      </c>
    </row>
    <row r="240" spans="1:6" x14ac:dyDescent="0.25">
      <c r="A240" s="1">
        <v>111</v>
      </c>
      <c r="B240" s="13">
        <f t="shared" si="23"/>
        <v>914.55744264333271</v>
      </c>
      <c r="C240" s="22">
        <f>MIN('My Loans'!$F$4,B240+D240)</f>
        <v>142</v>
      </c>
      <c r="D240" s="22">
        <f>B240*'My Loans'!$E$4/12</f>
        <v>4.1917216121152752</v>
      </c>
      <c r="E240" s="22">
        <f t="shared" si="21"/>
        <v>137.80827838788471</v>
      </c>
      <c r="F240" s="22">
        <f t="shared" si="22"/>
        <v>776.74916425544802</v>
      </c>
    </row>
    <row r="241" spans="1:6" x14ac:dyDescent="0.25">
      <c r="A241" s="1">
        <v>112</v>
      </c>
      <c r="B241" s="13">
        <f t="shared" si="23"/>
        <v>776.74916425544802</v>
      </c>
      <c r="C241" s="22">
        <f>MIN('My Loans'!$F$4,B241+D241)</f>
        <v>142</v>
      </c>
      <c r="D241" s="22">
        <f>B241*'My Loans'!$E$4/12</f>
        <v>3.5601003361708035</v>
      </c>
      <c r="E241" s="22">
        <f t="shared" si="21"/>
        <v>138.43989966382921</v>
      </c>
      <c r="F241" s="22">
        <f t="shared" si="22"/>
        <v>638.30926459161878</v>
      </c>
    </row>
    <row r="242" spans="1:6" x14ac:dyDescent="0.25">
      <c r="A242" s="1">
        <v>113</v>
      </c>
      <c r="B242" s="13">
        <f t="shared" si="23"/>
        <v>638.30926459161878</v>
      </c>
      <c r="C242" s="22">
        <f>MIN('My Loans'!$F$4,B242+D242)</f>
        <v>142</v>
      </c>
      <c r="D242" s="22">
        <f>B242*'My Loans'!$E$4/12</f>
        <v>2.9255841293782527</v>
      </c>
      <c r="E242" s="22">
        <f t="shared" si="21"/>
        <v>139.07441587062175</v>
      </c>
      <c r="F242" s="22">
        <f t="shared" si="22"/>
        <v>499.23484872099704</v>
      </c>
    </row>
    <row r="243" spans="1:6" x14ac:dyDescent="0.25">
      <c r="A243" s="1">
        <v>114</v>
      </c>
      <c r="B243" s="13">
        <f t="shared" si="23"/>
        <v>499.23484872099704</v>
      </c>
      <c r="C243" s="22">
        <f>MIN('My Loans'!$F$4,B243+D243)</f>
        <v>142</v>
      </c>
      <c r="D243" s="22">
        <f>B243*'My Loans'!$E$4/12</f>
        <v>2.2881597233045698</v>
      </c>
      <c r="E243" s="22">
        <f t="shared" si="21"/>
        <v>139.71184027669543</v>
      </c>
      <c r="F243" s="22">
        <f t="shared" si="22"/>
        <v>359.52300844430158</v>
      </c>
    </row>
    <row r="244" spans="1:6" x14ac:dyDescent="0.25">
      <c r="A244" s="1">
        <v>115</v>
      </c>
      <c r="B244" s="13">
        <f t="shared" si="23"/>
        <v>359.52300844430158</v>
      </c>
      <c r="C244" s="22">
        <f>MIN('My Loans'!$F$4,B244+D244)</f>
        <v>142</v>
      </c>
      <c r="D244" s="22">
        <f>B244*'My Loans'!$E$4/12</f>
        <v>1.6478137887030488</v>
      </c>
      <c r="E244" s="22">
        <f t="shared" si="21"/>
        <v>140.35218621129695</v>
      </c>
      <c r="F244" s="22">
        <f t="shared" si="22"/>
        <v>219.17082223300463</v>
      </c>
    </row>
    <row r="245" spans="1:6" x14ac:dyDescent="0.25">
      <c r="A245" s="1">
        <v>116</v>
      </c>
      <c r="B245" s="13">
        <f t="shared" si="23"/>
        <v>219.17082223300463</v>
      </c>
      <c r="C245" s="22">
        <f>MIN('My Loans'!$F$4,B245+D245)</f>
        <v>142</v>
      </c>
      <c r="D245" s="22">
        <f>B245*'My Loans'!$E$4/12</f>
        <v>1.0045329352346044</v>
      </c>
      <c r="E245" s="22">
        <f t="shared" si="21"/>
        <v>140.99546706476539</v>
      </c>
      <c r="F245" s="22">
        <f t="shared" si="22"/>
        <v>78.175355168239236</v>
      </c>
    </row>
    <row r="246" spans="1:6" x14ac:dyDescent="0.25">
      <c r="A246" s="1">
        <v>117</v>
      </c>
      <c r="B246" s="13">
        <f t="shared" si="23"/>
        <v>78.175355168239236</v>
      </c>
      <c r="C246" s="22">
        <f>MIN('My Loans'!$F$4,B246+D246)</f>
        <v>78.533658879426994</v>
      </c>
      <c r="D246" s="22">
        <f>B246*'My Loans'!$E$4/12</f>
        <v>0.35830371118776316</v>
      </c>
      <c r="E246" s="22">
        <f t="shared" si="21"/>
        <v>78.175355168239236</v>
      </c>
      <c r="F246" s="22">
        <f t="shared" si="22"/>
        <v>0</v>
      </c>
    </row>
    <row r="247" spans="1:6" x14ac:dyDescent="0.25">
      <c r="A247" s="1">
        <v>118</v>
      </c>
      <c r="B247" s="13">
        <f t="shared" si="23"/>
        <v>0</v>
      </c>
      <c r="C247" s="22">
        <f>MIN('My Loans'!$F$4,B247+D247)</f>
        <v>0</v>
      </c>
      <c r="D247" s="22">
        <f>B247*'My Loans'!$E$4/12</f>
        <v>0</v>
      </c>
      <c r="E247" s="22">
        <f t="shared" si="21"/>
        <v>0</v>
      </c>
      <c r="F247" s="22">
        <f t="shared" si="22"/>
        <v>0</v>
      </c>
    </row>
    <row r="248" spans="1:6" x14ac:dyDescent="0.25">
      <c r="A248" s="1">
        <v>119</v>
      </c>
      <c r="B248" s="13">
        <f t="shared" si="23"/>
        <v>0</v>
      </c>
      <c r="C248" s="22">
        <f>MIN('My Loans'!$F$4,B248+D248)</f>
        <v>0</v>
      </c>
      <c r="D248" s="22">
        <f>B248*'My Loans'!$E$4/12</f>
        <v>0</v>
      </c>
      <c r="E248" s="22">
        <f t="shared" si="21"/>
        <v>0</v>
      </c>
      <c r="F248" s="22">
        <f t="shared" si="22"/>
        <v>0</v>
      </c>
    </row>
    <row r="249" spans="1:6" x14ac:dyDescent="0.25">
      <c r="A249" s="1">
        <v>120</v>
      </c>
      <c r="B249" s="13">
        <f t="shared" si="23"/>
        <v>0</v>
      </c>
      <c r="C249" s="22">
        <f>MIN('My Loans'!$F$4,B249+D249)</f>
        <v>0</v>
      </c>
      <c r="D249" s="22">
        <f>B249*'My Loans'!$E$4/12</f>
        <v>0</v>
      </c>
      <c r="E249" s="22">
        <f t="shared" si="21"/>
        <v>0</v>
      </c>
      <c r="F249" s="22">
        <f t="shared" si="22"/>
        <v>0</v>
      </c>
    </row>
    <row r="250" spans="1:6" x14ac:dyDescent="0.25">
      <c r="A250" s="1" t="s">
        <v>96</v>
      </c>
      <c r="B250" s="13">
        <f>SUM(D130:D249)</f>
        <v>3750.5336588794239</v>
      </c>
    </row>
    <row r="252" spans="1:6" x14ac:dyDescent="0.25">
      <c r="A252" s="3" t="s">
        <v>98</v>
      </c>
    </row>
    <row r="253" spans="1:6" x14ac:dyDescent="0.25">
      <c r="A253" s="2" t="s">
        <v>32</v>
      </c>
      <c r="B253" s="2" t="s">
        <v>91</v>
      </c>
      <c r="C253" s="21" t="s">
        <v>92</v>
      </c>
      <c r="D253" s="21" t="s">
        <v>93</v>
      </c>
      <c r="E253" s="21" t="s">
        <v>94</v>
      </c>
      <c r="F253" s="21" t="s">
        <v>95</v>
      </c>
    </row>
    <row r="254" spans="1:6" x14ac:dyDescent="0.25">
      <c r="A254" s="1">
        <v>1</v>
      </c>
      <c r="B254" s="13">
        <f>'My Loans'!$D$5</f>
        <v>28000</v>
      </c>
      <c r="C254" s="22">
        <f>MIN('My Loans'!$F$5,B254+D254)</f>
        <v>410</v>
      </c>
      <c r="D254" s="22">
        <f>B254*'My Loans'!$E$5/12</f>
        <v>184.33333333333334</v>
      </c>
      <c r="E254" s="22">
        <f t="shared" ref="E254:E285" si="24">C254-D254</f>
        <v>225.66666666666666</v>
      </c>
      <c r="F254" s="22">
        <f t="shared" ref="F254:F285" si="25">MAX(0,B254-E254)</f>
        <v>27774.333333333332</v>
      </c>
    </row>
    <row r="255" spans="1:6" x14ac:dyDescent="0.25">
      <c r="A255" s="1">
        <v>2</v>
      </c>
      <c r="B255" s="13">
        <f t="shared" ref="B255:B286" si="26">F254</f>
        <v>27774.333333333332</v>
      </c>
      <c r="C255" s="22">
        <f>MIN('My Loans'!$F$5,B255+D255)</f>
        <v>410</v>
      </c>
      <c r="D255" s="22">
        <f>B255*'My Loans'!$E$5/12</f>
        <v>182.84769444444444</v>
      </c>
      <c r="E255" s="22">
        <f t="shared" si="24"/>
        <v>227.15230555555556</v>
      </c>
      <c r="F255" s="22">
        <f t="shared" si="25"/>
        <v>27547.181027777777</v>
      </c>
    </row>
    <row r="256" spans="1:6" x14ac:dyDescent="0.25">
      <c r="A256" s="1">
        <v>3</v>
      </c>
      <c r="B256" s="13">
        <f t="shared" si="26"/>
        <v>27547.181027777777</v>
      </c>
      <c r="C256" s="22">
        <f>MIN('My Loans'!$F$5,B256+D256)</f>
        <v>410</v>
      </c>
      <c r="D256" s="22">
        <f>B256*'My Loans'!$E$5/12</f>
        <v>181.35227509953702</v>
      </c>
      <c r="E256" s="22">
        <f t="shared" si="24"/>
        <v>228.64772490046298</v>
      </c>
      <c r="F256" s="22">
        <f t="shared" si="25"/>
        <v>27318.533302877313</v>
      </c>
    </row>
    <row r="257" spans="1:6" x14ac:dyDescent="0.25">
      <c r="A257" s="1">
        <v>4</v>
      </c>
      <c r="B257" s="13">
        <f t="shared" si="26"/>
        <v>27318.533302877313</v>
      </c>
      <c r="C257" s="22">
        <f>MIN('My Loans'!$F$5,B257+D257)</f>
        <v>410</v>
      </c>
      <c r="D257" s="22">
        <f>B257*'My Loans'!$E$5/12</f>
        <v>179.84701091060899</v>
      </c>
      <c r="E257" s="22">
        <f t="shared" si="24"/>
        <v>230.15298908939101</v>
      </c>
      <c r="F257" s="22">
        <f t="shared" si="25"/>
        <v>27088.380313787922</v>
      </c>
    </row>
    <row r="258" spans="1:6" x14ac:dyDescent="0.25">
      <c r="A258" s="1">
        <v>5</v>
      </c>
      <c r="B258" s="13">
        <f t="shared" si="26"/>
        <v>27088.380313787922</v>
      </c>
      <c r="C258" s="22">
        <f>MIN('My Loans'!$F$5,B258+D258)</f>
        <v>410</v>
      </c>
      <c r="D258" s="22">
        <f>B258*'My Loans'!$E$5/12</f>
        <v>178.33183706577049</v>
      </c>
      <c r="E258" s="22">
        <f t="shared" si="24"/>
        <v>231.66816293422951</v>
      </c>
      <c r="F258" s="22">
        <f t="shared" si="25"/>
        <v>26856.712150853691</v>
      </c>
    </row>
    <row r="259" spans="1:6" x14ac:dyDescent="0.25">
      <c r="A259" s="1">
        <v>6</v>
      </c>
      <c r="B259" s="13">
        <f t="shared" si="26"/>
        <v>26856.712150853691</v>
      </c>
      <c r="C259" s="22">
        <f>MIN('My Loans'!$F$5,B259+D259)</f>
        <v>410</v>
      </c>
      <c r="D259" s="22">
        <f>B259*'My Loans'!$E$5/12</f>
        <v>176.80668832645347</v>
      </c>
      <c r="E259" s="22">
        <f t="shared" si="24"/>
        <v>233.19331167354653</v>
      </c>
      <c r="F259" s="22">
        <f t="shared" si="25"/>
        <v>26623.518839180146</v>
      </c>
    </row>
    <row r="260" spans="1:6" x14ac:dyDescent="0.25">
      <c r="A260" s="1">
        <v>7</v>
      </c>
      <c r="B260" s="13">
        <f t="shared" si="26"/>
        <v>26623.518839180146</v>
      </c>
      <c r="C260" s="22">
        <f>MIN('My Loans'!$F$5,B260+D260)</f>
        <v>410</v>
      </c>
      <c r="D260" s="22">
        <f>B260*'My Loans'!$E$5/12</f>
        <v>175.2714990246026</v>
      </c>
      <c r="E260" s="22">
        <f t="shared" si="24"/>
        <v>234.7285009753974</v>
      </c>
      <c r="F260" s="22">
        <f t="shared" si="25"/>
        <v>26388.790338204748</v>
      </c>
    </row>
    <row r="261" spans="1:6" x14ac:dyDescent="0.25">
      <c r="A261" s="1">
        <v>8</v>
      </c>
      <c r="B261" s="13">
        <f t="shared" si="26"/>
        <v>26388.790338204748</v>
      </c>
      <c r="C261" s="22">
        <f>MIN('My Loans'!$F$5,B261+D261)</f>
        <v>410</v>
      </c>
      <c r="D261" s="22">
        <f>B261*'My Loans'!$E$5/12</f>
        <v>173.7262030598479</v>
      </c>
      <c r="E261" s="22">
        <f t="shared" si="24"/>
        <v>236.2737969401521</v>
      </c>
      <c r="F261" s="22">
        <f t="shared" si="25"/>
        <v>26152.516541264595</v>
      </c>
    </row>
    <row r="262" spans="1:6" x14ac:dyDescent="0.25">
      <c r="A262" s="1">
        <v>9</v>
      </c>
      <c r="B262" s="13">
        <f t="shared" si="26"/>
        <v>26152.516541264595</v>
      </c>
      <c r="C262" s="22">
        <f>MIN('My Loans'!$F$5,B262+D262)</f>
        <v>410</v>
      </c>
      <c r="D262" s="22">
        <f>B262*'My Loans'!$E$5/12</f>
        <v>172.17073389665859</v>
      </c>
      <c r="E262" s="22">
        <f t="shared" si="24"/>
        <v>237.82926610334141</v>
      </c>
      <c r="F262" s="22">
        <f t="shared" si="25"/>
        <v>25914.687275161254</v>
      </c>
    </row>
    <row r="263" spans="1:6" x14ac:dyDescent="0.25">
      <c r="A263" s="1">
        <v>10</v>
      </c>
      <c r="B263" s="13">
        <f t="shared" si="26"/>
        <v>25914.687275161254</v>
      </c>
      <c r="C263" s="22">
        <f>MIN('My Loans'!$F$5,B263+D263)</f>
        <v>410</v>
      </c>
      <c r="D263" s="22">
        <f>B263*'My Loans'!$E$5/12</f>
        <v>170.60502456147825</v>
      </c>
      <c r="E263" s="22">
        <f t="shared" si="24"/>
        <v>239.39497543852175</v>
      </c>
      <c r="F263" s="22">
        <f t="shared" si="25"/>
        <v>25675.292299722732</v>
      </c>
    </row>
    <row r="264" spans="1:6" x14ac:dyDescent="0.25">
      <c r="A264" s="1">
        <v>11</v>
      </c>
      <c r="B264" s="13">
        <f t="shared" si="26"/>
        <v>25675.292299722732</v>
      </c>
      <c r="C264" s="22">
        <f>MIN('My Loans'!$F$5,B264+D264)</f>
        <v>410</v>
      </c>
      <c r="D264" s="22">
        <f>B264*'My Loans'!$E$5/12</f>
        <v>169.02900763984132</v>
      </c>
      <c r="E264" s="22">
        <f t="shared" si="24"/>
        <v>240.97099236015868</v>
      </c>
      <c r="F264" s="22">
        <f t="shared" si="25"/>
        <v>25434.321307362574</v>
      </c>
    </row>
    <row r="265" spans="1:6" x14ac:dyDescent="0.25">
      <c r="A265" s="1">
        <v>12</v>
      </c>
      <c r="B265" s="13">
        <f t="shared" si="26"/>
        <v>25434.321307362574</v>
      </c>
      <c r="C265" s="22">
        <f>MIN('My Loans'!$F$5,B265+D265)</f>
        <v>410</v>
      </c>
      <c r="D265" s="22">
        <f>B265*'My Loans'!$E$5/12</f>
        <v>167.4426152734703</v>
      </c>
      <c r="E265" s="22">
        <f t="shared" si="24"/>
        <v>242.5573847265297</v>
      </c>
      <c r="F265" s="22">
        <f t="shared" si="25"/>
        <v>25191.763922636044</v>
      </c>
    </row>
    <row r="266" spans="1:6" x14ac:dyDescent="0.25">
      <c r="A266" s="1">
        <v>13</v>
      </c>
      <c r="B266" s="13">
        <f t="shared" si="26"/>
        <v>25191.763922636044</v>
      </c>
      <c r="C266" s="22">
        <f>MIN('My Loans'!$F$5,B266+D266)</f>
        <v>410</v>
      </c>
      <c r="D266" s="22">
        <f>B266*'My Loans'!$E$5/12</f>
        <v>165.84577915735397</v>
      </c>
      <c r="E266" s="22">
        <f t="shared" si="24"/>
        <v>244.15422084264603</v>
      </c>
      <c r="F266" s="22">
        <f t="shared" si="25"/>
        <v>24947.609701793397</v>
      </c>
    </row>
    <row r="267" spans="1:6" x14ac:dyDescent="0.25">
      <c r="A267" s="1">
        <v>14</v>
      </c>
      <c r="B267" s="13">
        <f t="shared" si="26"/>
        <v>24947.609701793397</v>
      </c>
      <c r="C267" s="22">
        <f>MIN('My Loans'!$F$5,B267+D267)</f>
        <v>410</v>
      </c>
      <c r="D267" s="22">
        <f>B267*'My Loans'!$E$5/12</f>
        <v>164.23843053680653</v>
      </c>
      <c r="E267" s="22">
        <f t="shared" si="24"/>
        <v>245.76156946319347</v>
      </c>
      <c r="F267" s="22">
        <f t="shared" si="25"/>
        <v>24701.848132330204</v>
      </c>
    </row>
    <row r="268" spans="1:6" x14ac:dyDescent="0.25">
      <c r="A268" s="1">
        <v>15</v>
      </c>
      <c r="B268" s="13">
        <f t="shared" si="26"/>
        <v>24701.848132330204</v>
      </c>
      <c r="C268" s="22">
        <f>MIN('My Loans'!$F$5,B268+D268)</f>
        <v>410</v>
      </c>
      <c r="D268" s="22">
        <f>B268*'My Loans'!$E$5/12</f>
        <v>162.62050020450718</v>
      </c>
      <c r="E268" s="22">
        <f t="shared" si="24"/>
        <v>247.37949979549282</v>
      </c>
      <c r="F268" s="22">
        <f t="shared" si="25"/>
        <v>24454.46863253471</v>
      </c>
    </row>
    <row r="269" spans="1:6" x14ac:dyDescent="0.25">
      <c r="A269" s="1">
        <v>16</v>
      </c>
      <c r="B269" s="13">
        <f t="shared" si="26"/>
        <v>24454.46863253471</v>
      </c>
      <c r="C269" s="22">
        <f>MIN('My Loans'!$F$5,B269+D269)</f>
        <v>410</v>
      </c>
      <c r="D269" s="22">
        <f>B269*'My Loans'!$E$5/12</f>
        <v>160.99191849752017</v>
      </c>
      <c r="E269" s="22">
        <f t="shared" si="24"/>
        <v>249.00808150247983</v>
      </c>
      <c r="F269" s="22">
        <f t="shared" si="25"/>
        <v>24205.460551032229</v>
      </c>
    </row>
    <row r="270" spans="1:6" x14ac:dyDescent="0.25">
      <c r="A270" s="1">
        <v>17</v>
      </c>
      <c r="B270" s="13">
        <f t="shared" si="26"/>
        <v>24205.460551032229</v>
      </c>
      <c r="C270" s="22">
        <f>MIN('My Loans'!$F$5,B270+D270)</f>
        <v>410</v>
      </c>
      <c r="D270" s="22">
        <f>B270*'My Loans'!$E$5/12</f>
        <v>159.3526152942955</v>
      </c>
      <c r="E270" s="22">
        <f t="shared" si="24"/>
        <v>250.6473847057045</v>
      </c>
      <c r="F270" s="22">
        <f t="shared" si="25"/>
        <v>23954.813166326523</v>
      </c>
    </row>
    <row r="271" spans="1:6" x14ac:dyDescent="0.25">
      <c r="A271" s="1">
        <v>18</v>
      </c>
      <c r="B271" s="13">
        <f t="shared" si="26"/>
        <v>23954.813166326523</v>
      </c>
      <c r="C271" s="22">
        <f>MIN('My Loans'!$F$5,B271+D271)</f>
        <v>410</v>
      </c>
      <c r="D271" s="22">
        <f>B271*'My Loans'!$E$5/12</f>
        <v>157.70252001164963</v>
      </c>
      <c r="E271" s="22">
        <f t="shared" si="24"/>
        <v>252.29747998835037</v>
      </c>
      <c r="F271" s="22">
        <f t="shared" si="25"/>
        <v>23702.515686338174</v>
      </c>
    </row>
    <row r="272" spans="1:6" x14ac:dyDescent="0.25">
      <c r="A272" s="1">
        <v>19</v>
      </c>
      <c r="B272" s="13">
        <f t="shared" si="26"/>
        <v>23702.515686338174</v>
      </c>
      <c r="C272" s="22">
        <f>MIN('My Loans'!$F$5,B272+D272)</f>
        <v>410</v>
      </c>
      <c r="D272" s="22">
        <f>B272*'My Loans'!$E$5/12</f>
        <v>156.04156160172633</v>
      </c>
      <c r="E272" s="22">
        <f t="shared" si="24"/>
        <v>253.95843839827367</v>
      </c>
      <c r="F272" s="22">
        <f t="shared" si="25"/>
        <v>23448.557247939902</v>
      </c>
    </row>
    <row r="273" spans="1:6" x14ac:dyDescent="0.25">
      <c r="A273" s="1">
        <v>20</v>
      </c>
      <c r="B273" s="13">
        <f t="shared" si="26"/>
        <v>23448.557247939902</v>
      </c>
      <c r="C273" s="22">
        <f>MIN('My Loans'!$F$5,B273+D273)</f>
        <v>410</v>
      </c>
      <c r="D273" s="22">
        <f>B273*'My Loans'!$E$5/12</f>
        <v>154.36966854893768</v>
      </c>
      <c r="E273" s="22">
        <f t="shared" si="24"/>
        <v>255.63033145106232</v>
      </c>
      <c r="F273" s="22">
        <f t="shared" si="25"/>
        <v>23192.926916488839</v>
      </c>
    </row>
    <row r="274" spans="1:6" x14ac:dyDescent="0.25">
      <c r="A274" s="1">
        <v>21</v>
      </c>
      <c r="B274" s="13">
        <f t="shared" si="26"/>
        <v>23192.926916488839</v>
      </c>
      <c r="C274" s="22">
        <f>MIN('My Loans'!$F$5,B274+D274)</f>
        <v>410</v>
      </c>
      <c r="D274" s="22">
        <f>B274*'My Loans'!$E$5/12</f>
        <v>152.68676886688488</v>
      </c>
      <c r="E274" s="22">
        <f t="shared" si="24"/>
        <v>257.3132311331151</v>
      </c>
      <c r="F274" s="22">
        <f t="shared" si="25"/>
        <v>22935.613685355725</v>
      </c>
    </row>
    <row r="275" spans="1:6" x14ac:dyDescent="0.25">
      <c r="A275" s="1">
        <v>22</v>
      </c>
      <c r="B275" s="13">
        <f t="shared" si="26"/>
        <v>22935.613685355725</v>
      </c>
      <c r="C275" s="22">
        <f>MIN('My Loans'!$F$5,B275+D275)</f>
        <v>410</v>
      </c>
      <c r="D275" s="22">
        <f>B275*'My Loans'!$E$5/12</f>
        <v>150.99279009525853</v>
      </c>
      <c r="E275" s="22">
        <f t="shared" si="24"/>
        <v>259.00720990474144</v>
      </c>
      <c r="F275" s="22">
        <f t="shared" si="25"/>
        <v>22676.606475450983</v>
      </c>
    </row>
    <row r="276" spans="1:6" x14ac:dyDescent="0.25">
      <c r="A276" s="1">
        <v>23</v>
      </c>
      <c r="B276" s="13">
        <f t="shared" si="26"/>
        <v>22676.606475450983</v>
      </c>
      <c r="C276" s="22">
        <f>MIN('My Loans'!$F$5,B276+D276)</f>
        <v>410</v>
      </c>
      <c r="D276" s="22">
        <f>B276*'My Loans'!$E$5/12</f>
        <v>149.28765929671897</v>
      </c>
      <c r="E276" s="22">
        <f t="shared" si="24"/>
        <v>260.71234070328103</v>
      </c>
      <c r="F276" s="22">
        <f t="shared" si="25"/>
        <v>22415.894134747701</v>
      </c>
    </row>
    <row r="277" spans="1:6" x14ac:dyDescent="0.25">
      <c r="A277" s="1">
        <v>24</v>
      </c>
      <c r="B277" s="13">
        <f t="shared" si="26"/>
        <v>22415.894134747701</v>
      </c>
      <c r="C277" s="22">
        <f>MIN('My Loans'!$F$5,B277+D277)</f>
        <v>410</v>
      </c>
      <c r="D277" s="22">
        <f>B277*'My Loans'!$E$5/12</f>
        <v>147.57130305375571</v>
      </c>
      <c r="E277" s="22">
        <f t="shared" si="24"/>
        <v>262.42869694624426</v>
      </c>
      <c r="F277" s="22">
        <f t="shared" si="25"/>
        <v>22153.465437801457</v>
      </c>
    </row>
    <row r="278" spans="1:6" x14ac:dyDescent="0.25">
      <c r="A278" s="1">
        <v>25</v>
      </c>
      <c r="B278" s="13">
        <f t="shared" si="26"/>
        <v>22153.465437801457</v>
      </c>
      <c r="C278" s="22">
        <f>MIN('My Loans'!$F$5,B278+D278)</f>
        <v>410</v>
      </c>
      <c r="D278" s="22">
        <f>B278*'My Loans'!$E$5/12</f>
        <v>145.84364746552626</v>
      </c>
      <c r="E278" s="22">
        <f t="shared" si="24"/>
        <v>264.15635253447374</v>
      </c>
      <c r="F278" s="22">
        <f t="shared" si="25"/>
        <v>21889.309085266981</v>
      </c>
    </row>
    <row r="279" spans="1:6" x14ac:dyDescent="0.25">
      <c r="A279" s="1">
        <v>26</v>
      </c>
      <c r="B279" s="13">
        <f t="shared" si="26"/>
        <v>21889.309085266981</v>
      </c>
      <c r="C279" s="22">
        <f>MIN('My Loans'!$F$5,B279+D279)</f>
        <v>410</v>
      </c>
      <c r="D279" s="22">
        <f>B279*'My Loans'!$E$5/12</f>
        <v>144.10461814467428</v>
      </c>
      <c r="E279" s="22">
        <f t="shared" si="24"/>
        <v>265.8953818553257</v>
      </c>
      <c r="F279" s="22">
        <f t="shared" si="25"/>
        <v>21623.413703411654</v>
      </c>
    </row>
    <row r="280" spans="1:6" x14ac:dyDescent="0.25">
      <c r="A280" s="1">
        <v>27</v>
      </c>
      <c r="B280" s="13">
        <f t="shared" si="26"/>
        <v>21623.413703411654</v>
      </c>
      <c r="C280" s="22">
        <f>MIN('My Loans'!$F$5,B280+D280)</f>
        <v>410</v>
      </c>
      <c r="D280" s="22">
        <f>B280*'My Loans'!$E$5/12</f>
        <v>142.35414021412672</v>
      </c>
      <c r="E280" s="22">
        <f t="shared" si="24"/>
        <v>267.64585978587331</v>
      </c>
      <c r="F280" s="22">
        <f t="shared" si="25"/>
        <v>21355.767843625781</v>
      </c>
    </row>
    <row r="281" spans="1:6" x14ac:dyDescent="0.25">
      <c r="A281" s="1">
        <v>28</v>
      </c>
      <c r="B281" s="13">
        <f t="shared" si="26"/>
        <v>21355.767843625781</v>
      </c>
      <c r="C281" s="22">
        <f>MIN('My Loans'!$F$5,B281+D281)</f>
        <v>410</v>
      </c>
      <c r="D281" s="22">
        <f>B281*'My Loans'!$E$5/12</f>
        <v>140.59213830386975</v>
      </c>
      <c r="E281" s="22">
        <f t="shared" si="24"/>
        <v>269.40786169613023</v>
      </c>
      <c r="F281" s="22">
        <f t="shared" si="25"/>
        <v>21086.359981929651</v>
      </c>
    </row>
    <row r="282" spans="1:6" x14ac:dyDescent="0.25">
      <c r="A282" s="1">
        <v>29</v>
      </c>
      <c r="B282" s="13">
        <f t="shared" si="26"/>
        <v>21086.359981929651</v>
      </c>
      <c r="C282" s="22">
        <f>MIN('My Loans'!$F$5,B282+D282)</f>
        <v>410</v>
      </c>
      <c r="D282" s="22">
        <f>B282*'My Loans'!$E$5/12</f>
        <v>138.81853654770353</v>
      </c>
      <c r="E282" s="22">
        <f t="shared" si="24"/>
        <v>271.1814634522965</v>
      </c>
      <c r="F282" s="22">
        <f t="shared" si="25"/>
        <v>20815.178518477354</v>
      </c>
    </row>
    <row r="283" spans="1:6" x14ac:dyDescent="0.25">
      <c r="A283" s="1">
        <v>30</v>
      </c>
      <c r="B283" s="13">
        <f t="shared" si="26"/>
        <v>20815.178518477354</v>
      </c>
      <c r="C283" s="22">
        <f>MIN('My Loans'!$F$5,B283+D283)</f>
        <v>410</v>
      </c>
      <c r="D283" s="22">
        <f>B283*'My Loans'!$E$5/12</f>
        <v>137.03325857997592</v>
      </c>
      <c r="E283" s="22">
        <f t="shared" si="24"/>
        <v>272.96674142002405</v>
      </c>
      <c r="F283" s="22">
        <f t="shared" si="25"/>
        <v>20542.211777057331</v>
      </c>
    </row>
    <row r="284" spans="1:6" x14ac:dyDescent="0.25">
      <c r="A284" s="1">
        <v>31</v>
      </c>
      <c r="B284" s="13">
        <f t="shared" si="26"/>
        <v>20542.211777057331</v>
      </c>
      <c r="C284" s="22">
        <f>MIN('My Loans'!$F$5,B284+D284)</f>
        <v>410</v>
      </c>
      <c r="D284" s="22">
        <f>B284*'My Loans'!$E$5/12</f>
        <v>135.23622753229409</v>
      </c>
      <c r="E284" s="22">
        <f t="shared" si="24"/>
        <v>274.76377246770591</v>
      </c>
      <c r="F284" s="22">
        <f t="shared" si="25"/>
        <v>20267.448004589627</v>
      </c>
    </row>
    <row r="285" spans="1:6" x14ac:dyDescent="0.25">
      <c r="A285" s="1">
        <v>32</v>
      </c>
      <c r="B285" s="13">
        <f t="shared" si="26"/>
        <v>20267.448004589627</v>
      </c>
      <c r="C285" s="22">
        <f>MIN('My Loans'!$F$5,B285+D285)</f>
        <v>410</v>
      </c>
      <c r="D285" s="22">
        <f>B285*'My Loans'!$E$5/12</f>
        <v>133.42736603021504</v>
      </c>
      <c r="E285" s="22">
        <f t="shared" si="24"/>
        <v>276.57263396978499</v>
      </c>
      <c r="F285" s="22">
        <f t="shared" si="25"/>
        <v>19990.87537061984</v>
      </c>
    </row>
    <row r="286" spans="1:6" x14ac:dyDescent="0.25">
      <c r="A286" s="1">
        <v>33</v>
      </c>
      <c r="B286" s="13">
        <f t="shared" si="26"/>
        <v>19990.87537061984</v>
      </c>
      <c r="C286" s="22">
        <f>MIN('My Loans'!$F$5,B286+D286)</f>
        <v>410</v>
      </c>
      <c r="D286" s="22">
        <f>B286*'My Loans'!$E$5/12</f>
        <v>131.60659618991394</v>
      </c>
      <c r="E286" s="22">
        <f t="shared" ref="E286:E317" si="27">C286-D286</f>
        <v>278.39340381008606</v>
      </c>
      <c r="F286" s="22">
        <f t="shared" ref="F286:F317" si="28">MAX(0,B286-E286)</f>
        <v>19712.481966809755</v>
      </c>
    </row>
    <row r="287" spans="1:6" x14ac:dyDescent="0.25">
      <c r="A287" s="1">
        <v>34</v>
      </c>
      <c r="B287" s="13">
        <f t="shared" ref="B287:B318" si="29">F286</f>
        <v>19712.481966809755</v>
      </c>
      <c r="C287" s="22">
        <f>MIN('My Loans'!$F$5,B287+D287)</f>
        <v>410</v>
      </c>
      <c r="D287" s="22">
        <f>B287*'My Loans'!$E$5/12</f>
        <v>129.77383961483091</v>
      </c>
      <c r="E287" s="22">
        <f t="shared" si="27"/>
        <v>280.22616038516912</v>
      </c>
      <c r="F287" s="22">
        <f t="shared" si="28"/>
        <v>19432.255806424586</v>
      </c>
    </row>
    <row r="288" spans="1:6" x14ac:dyDescent="0.25">
      <c r="A288" s="1">
        <v>35</v>
      </c>
      <c r="B288" s="13">
        <f t="shared" si="29"/>
        <v>19432.255806424586</v>
      </c>
      <c r="C288" s="22">
        <f>MIN('My Loans'!$F$5,B288+D288)</f>
        <v>410</v>
      </c>
      <c r="D288" s="22">
        <f>B288*'My Loans'!$E$5/12</f>
        <v>127.92901739229519</v>
      </c>
      <c r="E288" s="22">
        <f t="shared" si="27"/>
        <v>282.07098260770482</v>
      </c>
      <c r="F288" s="22">
        <f t="shared" si="28"/>
        <v>19150.184823816882</v>
      </c>
    </row>
    <row r="289" spans="1:6" x14ac:dyDescent="0.25">
      <c r="A289" s="1">
        <v>36</v>
      </c>
      <c r="B289" s="13">
        <f t="shared" si="29"/>
        <v>19150.184823816882</v>
      </c>
      <c r="C289" s="22">
        <f>MIN('My Loans'!$F$5,B289+D289)</f>
        <v>410</v>
      </c>
      <c r="D289" s="22">
        <f>B289*'My Loans'!$E$5/12</f>
        <v>126.0720500901278</v>
      </c>
      <c r="E289" s="22">
        <f t="shared" si="27"/>
        <v>283.92794990987221</v>
      </c>
      <c r="F289" s="22">
        <f t="shared" si="28"/>
        <v>18866.256873907008</v>
      </c>
    </row>
    <row r="290" spans="1:6" x14ac:dyDescent="0.25">
      <c r="A290" s="1">
        <v>37</v>
      </c>
      <c r="B290" s="13">
        <f t="shared" si="29"/>
        <v>18866.256873907008</v>
      </c>
      <c r="C290" s="22">
        <f>MIN('My Loans'!$F$5,B290+D290)</f>
        <v>410</v>
      </c>
      <c r="D290" s="22">
        <f>B290*'My Loans'!$E$5/12</f>
        <v>124.20285775322115</v>
      </c>
      <c r="E290" s="22">
        <f t="shared" si="27"/>
        <v>285.79714224677883</v>
      </c>
      <c r="F290" s="22">
        <f t="shared" si="28"/>
        <v>18580.45973166023</v>
      </c>
    </row>
    <row r="291" spans="1:6" x14ac:dyDescent="0.25">
      <c r="A291" s="1">
        <v>38</v>
      </c>
      <c r="B291" s="13">
        <f t="shared" si="29"/>
        <v>18580.45973166023</v>
      </c>
      <c r="C291" s="22">
        <f>MIN('My Loans'!$F$5,B291+D291)</f>
        <v>410</v>
      </c>
      <c r="D291" s="22">
        <f>B291*'My Loans'!$E$5/12</f>
        <v>122.32135990009652</v>
      </c>
      <c r="E291" s="22">
        <f t="shared" si="27"/>
        <v>287.67864009990348</v>
      </c>
      <c r="F291" s="22">
        <f t="shared" si="28"/>
        <v>18292.781091560326</v>
      </c>
    </row>
    <row r="292" spans="1:6" x14ac:dyDescent="0.25">
      <c r="A292" s="1">
        <v>39</v>
      </c>
      <c r="B292" s="13">
        <f t="shared" si="29"/>
        <v>18292.781091560326</v>
      </c>
      <c r="C292" s="22">
        <f>MIN('My Loans'!$F$5,B292+D292)</f>
        <v>410</v>
      </c>
      <c r="D292" s="22">
        <f>B292*'My Loans'!$E$5/12</f>
        <v>120.42747551943881</v>
      </c>
      <c r="E292" s="22">
        <f t="shared" si="27"/>
        <v>289.57252448056119</v>
      </c>
      <c r="F292" s="22">
        <f t="shared" si="28"/>
        <v>18003.208567079764</v>
      </c>
    </row>
    <row r="293" spans="1:6" x14ac:dyDescent="0.25">
      <c r="A293" s="1">
        <v>40</v>
      </c>
      <c r="B293" s="13">
        <f t="shared" si="29"/>
        <v>18003.208567079764</v>
      </c>
      <c r="C293" s="22">
        <f>MIN('My Loans'!$F$5,B293+D293)</f>
        <v>410</v>
      </c>
      <c r="D293" s="22">
        <f>B293*'My Loans'!$E$5/12</f>
        <v>118.52112306660844</v>
      </c>
      <c r="E293" s="22">
        <f t="shared" si="27"/>
        <v>291.47887693339158</v>
      </c>
      <c r="F293" s="22">
        <f t="shared" si="28"/>
        <v>17711.729690146374</v>
      </c>
    </row>
    <row r="294" spans="1:6" x14ac:dyDescent="0.25">
      <c r="A294" s="1">
        <v>41</v>
      </c>
      <c r="B294" s="13">
        <f t="shared" si="29"/>
        <v>17711.729690146374</v>
      </c>
      <c r="C294" s="22">
        <f>MIN('My Loans'!$F$5,B294+D294)</f>
        <v>410</v>
      </c>
      <c r="D294" s="22">
        <f>B294*'My Loans'!$E$5/12</f>
        <v>116.6022204601303</v>
      </c>
      <c r="E294" s="22">
        <f t="shared" si="27"/>
        <v>293.3977795398697</v>
      </c>
      <c r="F294" s="22">
        <f t="shared" si="28"/>
        <v>17418.331910606503</v>
      </c>
    </row>
    <row r="295" spans="1:6" x14ac:dyDescent="0.25">
      <c r="A295" s="1">
        <v>42</v>
      </c>
      <c r="B295" s="13">
        <f t="shared" si="29"/>
        <v>17418.331910606503</v>
      </c>
      <c r="C295" s="22">
        <f>MIN('My Loans'!$F$5,B295+D295)</f>
        <v>410</v>
      </c>
      <c r="D295" s="22">
        <f>B295*'My Loans'!$E$5/12</f>
        <v>114.67068507815948</v>
      </c>
      <c r="E295" s="22">
        <f t="shared" si="27"/>
        <v>295.32931492184053</v>
      </c>
      <c r="F295" s="22">
        <f t="shared" si="28"/>
        <v>17123.002595684662</v>
      </c>
    </row>
    <row r="296" spans="1:6" x14ac:dyDescent="0.25">
      <c r="A296" s="1">
        <v>43</v>
      </c>
      <c r="B296" s="13">
        <f t="shared" si="29"/>
        <v>17123.002595684662</v>
      </c>
      <c r="C296" s="22">
        <f>MIN('My Loans'!$F$5,B296+D296)</f>
        <v>410</v>
      </c>
      <c r="D296" s="22">
        <f>B296*'My Loans'!$E$5/12</f>
        <v>112.72643375492403</v>
      </c>
      <c r="E296" s="22">
        <f t="shared" si="27"/>
        <v>297.27356624507598</v>
      </c>
      <c r="F296" s="22">
        <f t="shared" si="28"/>
        <v>16825.729029439586</v>
      </c>
    </row>
    <row r="297" spans="1:6" x14ac:dyDescent="0.25">
      <c r="A297" s="1">
        <v>44</v>
      </c>
      <c r="B297" s="13">
        <f t="shared" si="29"/>
        <v>16825.729029439586</v>
      </c>
      <c r="C297" s="22">
        <f>MIN('My Loans'!$F$5,B297+D297)</f>
        <v>410</v>
      </c>
      <c r="D297" s="22">
        <f>B297*'My Loans'!$E$5/12</f>
        <v>110.76938277714395</v>
      </c>
      <c r="E297" s="22">
        <f t="shared" si="27"/>
        <v>299.23061722285604</v>
      </c>
      <c r="F297" s="22">
        <f t="shared" si="28"/>
        <v>16526.49841221673</v>
      </c>
    </row>
    <row r="298" spans="1:6" x14ac:dyDescent="0.25">
      <c r="A298" s="1">
        <v>45</v>
      </c>
      <c r="B298" s="13">
        <f t="shared" si="29"/>
        <v>16526.49841221673</v>
      </c>
      <c r="C298" s="22">
        <f>MIN('My Loans'!$F$5,B298+D298)</f>
        <v>410</v>
      </c>
      <c r="D298" s="22">
        <f>B298*'My Loans'!$E$5/12</f>
        <v>108.7994478804268</v>
      </c>
      <c r="E298" s="22">
        <f t="shared" si="27"/>
        <v>301.20055211957322</v>
      </c>
      <c r="F298" s="22">
        <f t="shared" si="28"/>
        <v>16225.297860097156</v>
      </c>
    </row>
    <row r="299" spans="1:6" x14ac:dyDescent="0.25">
      <c r="A299" s="1">
        <v>46</v>
      </c>
      <c r="B299" s="13">
        <f t="shared" si="29"/>
        <v>16225.297860097156</v>
      </c>
      <c r="C299" s="22">
        <f>MIN('My Loans'!$F$5,B299+D299)</f>
        <v>410</v>
      </c>
      <c r="D299" s="22">
        <f>B299*'My Loans'!$E$5/12</f>
        <v>106.81654424563961</v>
      </c>
      <c r="E299" s="22">
        <f t="shared" si="27"/>
        <v>303.18345575436041</v>
      </c>
      <c r="F299" s="22">
        <f t="shared" si="28"/>
        <v>15922.114404342796</v>
      </c>
    </row>
    <row r="300" spans="1:6" x14ac:dyDescent="0.25">
      <c r="A300" s="1">
        <v>47</v>
      </c>
      <c r="B300" s="13">
        <f t="shared" si="29"/>
        <v>15922.114404342796</v>
      </c>
      <c r="C300" s="22">
        <f>MIN('My Loans'!$F$5,B300+D300)</f>
        <v>410</v>
      </c>
      <c r="D300" s="22">
        <f>B300*'My Loans'!$E$5/12</f>
        <v>104.82058649525675</v>
      </c>
      <c r="E300" s="22">
        <f t="shared" si="27"/>
        <v>305.17941350474325</v>
      </c>
      <c r="F300" s="22">
        <f t="shared" si="28"/>
        <v>15616.934990838052</v>
      </c>
    </row>
    <row r="301" spans="1:6" x14ac:dyDescent="0.25">
      <c r="A301" s="1">
        <v>48</v>
      </c>
      <c r="B301" s="13">
        <f t="shared" si="29"/>
        <v>15616.934990838052</v>
      </c>
      <c r="C301" s="22">
        <f>MIN('My Loans'!$F$5,B301+D301)</f>
        <v>410</v>
      </c>
      <c r="D301" s="22">
        <f>B301*'My Loans'!$E$5/12</f>
        <v>102.81148868968386</v>
      </c>
      <c r="E301" s="22">
        <f t="shared" si="27"/>
        <v>307.18851131031613</v>
      </c>
      <c r="F301" s="22">
        <f t="shared" si="28"/>
        <v>15309.746479527736</v>
      </c>
    </row>
    <row r="302" spans="1:6" x14ac:dyDescent="0.25">
      <c r="A302" s="1">
        <v>49</v>
      </c>
      <c r="B302" s="13">
        <f t="shared" si="29"/>
        <v>15309.746479527736</v>
      </c>
      <c r="C302" s="22">
        <f>MIN('My Loans'!$F$5,B302+D302)</f>
        <v>410</v>
      </c>
      <c r="D302" s="22">
        <f>B302*'My Loans'!$E$5/12</f>
        <v>100.7891643235576</v>
      </c>
      <c r="E302" s="22">
        <f t="shared" si="27"/>
        <v>309.2108356764424</v>
      </c>
      <c r="F302" s="22">
        <f t="shared" si="28"/>
        <v>15000.535643851294</v>
      </c>
    </row>
    <row r="303" spans="1:6" x14ac:dyDescent="0.25">
      <c r="A303" s="1">
        <v>50</v>
      </c>
      <c r="B303" s="13">
        <f t="shared" si="29"/>
        <v>15000.535643851294</v>
      </c>
      <c r="C303" s="22">
        <f>MIN('My Loans'!$F$5,B303+D303)</f>
        <v>410</v>
      </c>
      <c r="D303" s="22">
        <f>B303*'My Loans'!$E$5/12</f>
        <v>98.753526322021017</v>
      </c>
      <c r="E303" s="22">
        <f t="shared" si="27"/>
        <v>311.246473677979</v>
      </c>
      <c r="F303" s="22">
        <f t="shared" si="28"/>
        <v>14689.289170173315</v>
      </c>
    </row>
    <row r="304" spans="1:6" x14ac:dyDescent="0.25">
      <c r="A304" s="1">
        <v>51</v>
      </c>
      <c r="B304" s="13">
        <f t="shared" si="29"/>
        <v>14689.289170173315</v>
      </c>
      <c r="C304" s="22">
        <f>MIN('My Loans'!$F$5,B304+D304)</f>
        <v>410</v>
      </c>
      <c r="D304" s="22">
        <f>B304*'My Loans'!$E$5/12</f>
        <v>96.704487036974328</v>
      </c>
      <c r="E304" s="22">
        <f t="shared" si="27"/>
        <v>313.29551296302566</v>
      </c>
      <c r="F304" s="22">
        <f t="shared" si="28"/>
        <v>14375.993657210289</v>
      </c>
    </row>
    <row r="305" spans="1:6" x14ac:dyDescent="0.25">
      <c r="A305" s="1">
        <v>52</v>
      </c>
      <c r="B305" s="13">
        <f t="shared" si="29"/>
        <v>14375.993657210289</v>
      </c>
      <c r="C305" s="22">
        <f>MIN('My Loans'!$F$5,B305+D305)</f>
        <v>410</v>
      </c>
      <c r="D305" s="22">
        <f>B305*'My Loans'!$E$5/12</f>
        <v>94.641958243301076</v>
      </c>
      <c r="E305" s="22">
        <f t="shared" si="27"/>
        <v>315.35804175669892</v>
      </c>
      <c r="F305" s="22">
        <f t="shared" si="28"/>
        <v>14060.63561545359</v>
      </c>
    </row>
    <row r="306" spans="1:6" x14ac:dyDescent="0.25">
      <c r="A306" s="1">
        <v>53</v>
      </c>
      <c r="B306" s="13">
        <f t="shared" si="29"/>
        <v>14060.63561545359</v>
      </c>
      <c r="C306" s="22">
        <f>MIN('My Loans'!$F$5,B306+D306)</f>
        <v>410</v>
      </c>
      <c r="D306" s="22">
        <f>B306*'My Loans'!$E$5/12</f>
        <v>92.565851135069465</v>
      </c>
      <c r="E306" s="22">
        <f t="shared" si="27"/>
        <v>317.43414886493053</v>
      </c>
      <c r="F306" s="22">
        <f t="shared" si="28"/>
        <v>13743.20146658866</v>
      </c>
    </row>
    <row r="307" spans="1:6" x14ac:dyDescent="0.25">
      <c r="A307" s="1">
        <v>54</v>
      </c>
      <c r="B307" s="13">
        <f t="shared" si="29"/>
        <v>13743.20146658866</v>
      </c>
      <c r="C307" s="22">
        <f>MIN('My Loans'!$F$5,B307+D307)</f>
        <v>410</v>
      </c>
      <c r="D307" s="22">
        <f>B307*'My Loans'!$E$5/12</f>
        <v>90.476076321708675</v>
      </c>
      <c r="E307" s="22">
        <f t="shared" si="27"/>
        <v>319.52392367829134</v>
      </c>
      <c r="F307" s="22">
        <f t="shared" si="28"/>
        <v>13423.677542910369</v>
      </c>
    </row>
    <row r="308" spans="1:6" x14ac:dyDescent="0.25">
      <c r="A308" s="1">
        <v>55</v>
      </c>
      <c r="B308" s="13">
        <f t="shared" si="29"/>
        <v>13423.677542910369</v>
      </c>
      <c r="C308" s="22">
        <f>MIN('My Loans'!$F$5,B308+D308)</f>
        <v>410</v>
      </c>
      <c r="D308" s="22">
        <f>B308*'My Loans'!$E$5/12</f>
        <v>88.372543824159933</v>
      </c>
      <c r="E308" s="22">
        <f t="shared" si="27"/>
        <v>321.62745617584005</v>
      </c>
      <c r="F308" s="22">
        <f t="shared" si="28"/>
        <v>13102.050086734529</v>
      </c>
    </row>
    <row r="309" spans="1:6" x14ac:dyDescent="0.25">
      <c r="A309" s="1">
        <v>56</v>
      </c>
      <c r="B309" s="13">
        <f t="shared" si="29"/>
        <v>13102.050086734529</v>
      </c>
      <c r="C309" s="22">
        <f>MIN('My Loans'!$F$5,B309+D309)</f>
        <v>410</v>
      </c>
      <c r="D309" s="22">
        <f>B309*'My Loans'!$E$5/12</f>
        <v>86.255163071002315</v>
      </c>
      <c r="E309" s="22">
        <f t="shared" si="27"/>
        <v>323.7448369289977</v>
      </c>
      <c r="F309" s="22">
        <f t="shared" si="28"/>
        <v>12778.305249805531</v>
      </c>
    </row>
    <row r="310" spans="1:6" x14ac:dyDescent="0.25">
      <c r="A310" s="1">
        <v>57</v>
      </c>
      <c r="B310" s="13">
        <f t="shared" si="29"/>
        <v>12778.305249805531</v>
      </c>
      <c r="C310" s="22">
        <f>MIN('My Loans'!$F$5,B310+D310)</f>
        <v>410</v>
      </c>
      <c r="D310" s="22">
        <f>B310*'My Loans'!$E$5/12</f>
        <v>84.123842894553079</v>
      </c>
      <c r="E310" s="22">
        <f t="shared" si="27"/>
        <v>325.87615710544691</v>
      </c>
      <c r="F310" s="22">
        <f t="shared" si="28"/>
        <v>12452.429092700084</v>
      </c>
    </row>
    <row r="311" spans="1:6" x14ac:dyDescent="0.25">
      <c r="A311" s="1">
        <v>58</v>
      </c>
      <c r="B311" s="13">
        <f t="shared" si="29"/>
        <v>12452.429092700084</v>
      </c>
      <c r="C311" s="22">
        <f>MIN('My Loans'!$F$5,B311+D311)</f>
        <v>410</v>
      </c>
      <c r="D311" s="22">
        <f>B311*'My Loans'!$E$5/12</f>
        <v>81.978491526942221</v>
      </c>
      <c r="E311" s="22">
        <f t="shared" si="27"/>
        <v>328.02150847305779</v>
      </c>
      <c r="F311" s="22">
        <f t="shared" si="28"/>
        <v>12124.407584227027</v>
      </c>
    </row>
    <row r="312" spans="1:6" x14ac:dyDescent="0.25">
      <c r="A312" s="1">
        <v>59</v>
      </c>
      <c r="B312" s="13">
        <f t="shared" si="29"/>
        <v>12124.407584227027</v>
      </c>
      <c r="C312" s="22">
        <f>MIN('My Loans'!$F$5,B312+D312)</f>
        <v>410</v>
      </c>
      <c r="D312" s="22">
        <f>B312*'My Loans'!$E$5/12</f>
        <v>79.819016596161262</v>
      </c>
      <c r="E312" s="22">
        <f t="shared" si="27"/>
        <v>330.18098340383875</v>
      </c>
      <c r="F312" s="22">
        <f t="shared" si="28"/>
        <v>11794.226600823187</v>
      </c>
    </row>
    <row r="313" spans="1:6" x14ac:dyDescent="0.25">
      <c r="A313" s="1">
        <v>60</v>
      </c>
      <c r="B313" s="13">
        <f t="shared" si="29"/>
        <v>11794.226600823187</v>
      </c>
      <c r="C313" s="22">
        <f>MIN('My Loans'!$F$5,B313+D313)</f>
        <v>410</v>
      </c>
      <c r="D313" s="22">
        <f>B313*'My Loans'!$E$5/12</f>
        <v>77.645325122085993</v>
      </c>
      <c r="E313" s="22">
        <f t="shared" si="27"/>
        <v>332.35467487791402</v>
      </c>
      <c r="F313" s="22">
        <f t="shared" si="28"/>
        <v>11461.871925945274</v>
      </c>
    </row>
    <row r="314" spans="1:6" x14ac:dyDescent="0.25">
      <c r="A314" s="1">
        <v>61</v>
      </c>
      <c r="B314" s="13">
        <f t="shared" si="29"/>
        <v>11461.871925945274</v>
      </c>
      <c r="C314" s="22">
        <f>MIN('My Loans'!$F$5,B314+D314)</f>
        <v>410</v>
      </c>
      <c r="D314" s="22">
        <f>B314*'My Loans'!$E$5/12</f>
        <v>75.457323512473053</v>
      </c>
      <c r="E314" s="22">
        <f t="shared" si="27"/>
        <v>334.54267648752693</v>
      </c>
      <c r="F314" s="22">
        <f t="shared" si="28"/>
        <v>11127.329249457747</v>
      </c>
    </row>
    <row r="315" spans="1:6" x14ac:dyDescent="0.25">
      <c r="A315" s="1">
        <v>62</v>
      </c>
      <c r="B315" s="13">
        <f t="shared" si="29"/>
        <v>11127.329249457747</v>
      </c>
      <c r="C315" s="22">
        <f>MIN('My Loans'!$F$5,B315+D315)</f>
        <v>410</v>
      </c>
      <c r="D315" s="22">
        <f>B315*'My Loans'!$E$5/12</f>
        <v>73.254917558930174</v>
      </c>
      <c r="E315" s="22">
        <f t="shared" si="27"/>
        <v>336.74508244106983</v>
      </c>
      <c r="F315" s="22">
        <f t="shared" si="28"/>
        <v>10790.584167016677</v>
      </c>
    </row>
    <row r="316" spans="1:6" x14ac:dyDescent="0.25">
      <c r="A316" s="1">
        <v>63</v>
      </c>
      <c r="B316" s="13">
        <f t="shared" si="29"/>
        <v>10790.584167016677</v>
      </c>
      <c r="C316" s="22">
        <f>MIN('My Loans'!$F$5,B316+D316)</f>
        <v>410</v>
      </c>
      <c r="D316" s="22">
        <f>B316*'My Loans'!$E$5/12</f>
        <v>71.038012432859787</v>
      </c>
      <c r="E316" s="22">
        <f t="shared" si="27"/>
        <v>338.96198756714023</v>
      </c>
      <c r="F316" s="22">
        <f t="shared" si="28"/>
        <v>10451.622179449538</v>
      </c>
    </row>
    <row r="317" spans="1:6" x14ac:dyDescent="0.25">
      <c r="A317" s="1">
        <v>64</v>
      </c>
      <c r="B317" s="13">
        <f t="shared" si="29"/>
        <v>10451.622179449538</v>
      </c>
      <c r="C317" s="22">
        <f>MIN('My Loans'!$F$5,B317+D317)</f>
        <v>410</v>
      </c>
      <c r="D317" s="22">
        <f>B317*'My Loans'!$E$5/12</f>
        <v>68.80651268137612</v>
      </c>
      <c r="E317" s="22">
        <f t="shared" si="27"/>
        <v>341.19348731862385</v>
      </c>
      <c r="F317" s="22">
        <f t="shared" si="28"/>
        <v>10110.428692130914</v>
      </c>
    </row>
    <row r="318" spans="1:6" x14ac:dyDescent="0.25">
      <c r="A318" s="1">
        <v>65</v>
      </c>
      <c r="B318" s="13">
        <f t="shared" si="29"/>
        <v>10110.428692130914</v>
      </c>
      <c r="C318" s="22">
        <f>MIN('My Loans'!$F$5,B318+D318)</f>
        <v>410</v>
      </c>
      <c r="D318" s="22">
        <f>B318*'My Loans'!$E$5/12</f>
        <v>66.560322223195186</v>
      </c>
      <c r="E318" s="22">
        <f t="shared" ref="E318:E349" si="30">C318-D318</f>
        <v>343.43967777680484</v>
      </c>
      <c r="F318" s="22">
        <f t="shared" ref="F318:F349" si="31">MAX(0,B318-E318)</f>
        <v>9766.9890143541088</v>
      </c>
    </row>
    <row r="319" spans="1:6" x14ac:dyDescent="0.25">
      <c r="A319" s="1">
        <v>66</v>
      </c>
      <c r="B319" s="13">
        <f t="shared" ref="B319:B350" si="32">F318</f>
        <v>9766.9890143541088</v>
      </c>
      <c r="C319" s="22">
        <f>MIN('My Loans'!$F$5,B319+D319)</f>
        <v>410</v>
      </c>
      <c r="D319" s="22">
        <f>B319*'My Loans'!$E$5/12</f>
        <v>64.299344344497882</v>
      </c>
      <c r="E319" s="22">
        <f t="shared" si="30"/>
        <v>345.70065565550215</v>
      </c>
      <c r="F319" s="22">
        <f t="shared" si="31"/>
        <v>9421.2883586986063</v>
      </c>
    </row>
    <row r="320" spans="1:6" x14ac:dyDescent="0.25">
      <c r="A320" s="1">
        <v>67</v>
      </c>
      <c r="B320" s="13">
        <f t="shared" si="32"/>
        <v>9421.2883586986063</v>
      </c>
      <c r="C320" s="22">
        <f>MIN('My Loans'!$F$5,B320+D320)</f>
        <v>410</v>
      </c>
      <c r="D320" s="22">
        <f>B320*'My Loans'!$E$5/12</f>
        <v>62.023481694765827</v>
      </c>
      <c r="E320" s="22">
        <f t="shared" si="30"/>
        <v>347.97651830523415</v>
      </c>
      <c r="F320" s="22">
        <f t="shared" si="31"/>
        <v>9073.3118403933713</v>
      </c>
    </row>
    <row r="321" spans="1:6" x14ac:dyDescent="0.25">
      <c r="A321" s="1">
        <v>68</v>
      </c>
      <c r="B321" s="13">
        <f t="shared" si="32"/>
        <v>9073.3118403933713</v>
      </c>
      <c r="C321" s="22">
        <f>MIN('My Loans'!$F$5,B321+D321)</f>
        <v>410</v>
      </c>
      <c r="D321" s="22">
        <f>B321*'My Loans'!$E$5/12</f>
        <v>59.732636282589702</v>
      </c>
      <c r="E321" s="22">
        <f t="shared" si="30"/>
        <v>350.26736371741032</v>
      </c>
      <c r="F321" s="22">
        <f t="shared" si="31"/>
        <v>8723.0444766759611</v>
      </c>
    </row>
    <row r="322" spans="1:6" x14ac:dyDescent="0.25">
      <c r="A322" s="1">
        <v>69</v>
      </c>
      <c r="B322" s="13">
        <f t="shared" si="32"/>
        <v>8723.0444766759611</v>
      </c>
      <c r="C322" s="22">
        <f>MIN('My Loans'!$F$5,B322+D322)</f>
        <v>410</v>
      </c>
      <c r="D322" s="22">
        <f>B322*'My Loans'!$E$5/12</f>
        <v>57.426709471450074</v>
      </c>
      <c r="E322" s="22">
        <f t="shared" si="30"/>
        <v>352.57329052854993</v>
      </c>
      <c r="F322" s="22">
        <f t="shared" si="31"/>
        <v>8370.4711861474116</v>
      </c>
    </row>
    <row r="323" spans="1:6" x14ac:dyDescent="0.25">
      <c r="A323" s="1">
        <v>70</v>
      </c>
      <c r="B323" s="13">
        <f t="shared" si="32"/>
        <v>8370.4711861474116</v>
      </c>
      <c r="C323" s="22">
        <f>MIN('My Loans'!$F$5,B323+D323)</f>
        <v>410</v>
      </c>
      <c r="D323" s="22">
        <f>B323*'My Loans'!$E$5/12</f>
        <v>55.105601975470456</v>
      </c>
      <c r="E323" s="22">
        <f t="shared" si="30"/>
        <v>354.89439802452955</v>
      </c>
      <c r="F323" s="22">
        <f t="shared" si="31"/>
        <v>8015.5767881228821</v>
      </c>
    </row>
    <row r="324" spans="1:6" x14ac:dyDescent="0.25">
      <c r="A324" s="1">
        <v>71</v>
      </c>
      <c r="B324" s="13">
        <f t="shared" si="32"/>
        <v>8015.5767881228821</v>
      </c>
      <c r="C324" s="22">
        <f>MIN('My Loans'!$F$5,B324+D324)</f>
        <v>410</v>
      </c>
      <c r="D324" s="22">
        <f>B324*'My Loans'!$E$5/12</f>
        <v>52.769213855142311</v>
      </c>
      <c r="E324" s="22">
        <f t="shared" si="30"/>
        <v>357.23078614485769</v>
      </c>
      <c r="F324" s="22">
        <f t="shared" si="31"/>
        <v>7658.3460019780241</v>
      </c>
    </row>
    <row r="325" spans="1:6" x14ac:dyDescent="0.25">
      <c r="A325" s="1">
        <v>72</v>
      </c>
      <c r="B325" s="13">
        <f t="shared" si="32"/>
        <v>7658.3460019780241</v>
      </c>
      <c r="C325" s="22">
        <f>MIN('My Loans'!$F$5,B325+D325)</f>
        <v>410</v>
      </c>
      <c r="D325" s="22">
        <f>B325*'My Loans'!$E$5/12</f>
        <v>50.417444513021991</v>
      </c>
      <c r="E325" s="22">
        <f t="shared" si="30"/>
        <v>359.58255548697798</v>
      </c>
      <c r="F325" s="22">
        <f t="shared" si="31"/>
        <v>7298.7634464910461</v>
      </c>
    </row>
    <row r="326" spans="1:6" x14ac:dyDescent="0.25">
      <c r="A326" s="1">
        <v>73</v>
      </c>
      <c r="B326" s="13">
        <f t="shared" si="32"/>
        <v>7298.7634464910461</v>
      </c>
      <c r="C326" s="22">
        <f>MIN('My Loans'!$F$5,B326+D326)</f>
        <v>410</v>
      </c>
      <c r="D326" s="22">
        <f>B326*'My Loans'!$E$5/12</f>
        <v>48.050192689399388</v>
      </c>
      <c r="E326" s="22">
        <f t="shared" si="30"/>
        <v>361.94980731060059</v>
      </c>
      <c r="F326" s="22">
        <f t="shared" si="31"/>
        <v>6936.8136391804455</v>
      </c>
    </row>
    <row r="327" spans="1:6" x14ac:dyDescent="0.25">
      <c r="A327" s="1">
        <v>74</v>
      </c>
      <c r="B327" s="13">
        <f t="shared" si="32"/>
        <v>6936.8136391804455</v>
      </c>
      <c r="C327" s="22">
        <f>MIN('My Loans'!$F$5,B327+D327)</f>
        <v>410</v>
      </c>
      <c r="D327" s="22">
        <f>B327*'My Loans'!$E$5/12</f>
        <v>45.667356457937935</v>
      </c>
      <c r="E327" s="22">
        <f t="shared" si="30"/>
        <v>364.33264354206204</v>
      </c>
      <c r="F327" s="22">
        <f t="shared" si="31"/>
        <v>6572.4809956383833</v>
      </c>
    </row>
    <row r="328" spans="1:6" x14ac:dyDescent="0.25">
      <c r="A328" s="1">
        <v>75</v>
      </c>
      <c r="B328" s="13">
        <f t="shared" si="32"/>
        <v>6572.4809956383833</v>
      </c>
      <c r="C328" s="22">
        <f>MIN('My Loans'!$F$5,B328+D328)</f>
        <v>410</v>
      </c>
      <c r="D328" s="22">
        <f>B328*'My Loans'!$E$5/12</f>
        <v>43.268833221286023</v>
      </c>
      <c r="E328" s="22">
        <f t="shared" si="30"/>
        <v>366.731166778714</v>
      </c>
      <c r="F328" s="22">
        <f t="shared" si="31"/>
        <v>6205.7498288596689</v>
      </c>
    </row>
    <row r="329" spans="1:6" x14ac:dyDescent="0.25">
      <c r="A329" s="1">
        <v>76</v>
      </c>
      <c r="B329" s="13">
        <f t="shared" si="32"/>
        <v>6205.7498288596689</v>
      </c>
      <c r="C329" s="22">
        <f>MIN('My Loans'!$F$5,B329+D329)</f>
        <v>410</v>
      </c>
      <c r="D329" s="22">
        <f>B329*'My Loans'!$E$5/12</f>
        <v>40.854519706659488</v>
      </c>
      <c r="E329" s="22">
        <f t="shared" si="30"/>
        <v>369.14548029334048</v>
      </c>
      <c r="F329" s="22">
        <f t="shared" si="31"/>
        <v>5836.6043485663286</v>
      </c>
    </row>
    <row r="330" spans="1:6" x14ac:dyDescent="0.25">
      <c r="A330" s="1">
        <v>77</v>
      </c>
      <c r="B330" s="13">
        <f t="shared" si="32"/>
        <v>5836.6043485663286</v>
      </c>
      <c r="C330" s="22">
        <f>MIN('My Loans'!$F$5,B330+D330)</f>
        <v>410</v>
      </c>
      <c r="D330" s="22">
        <f>B330*'My Loans'!$E$5/12</f>
        <v>38.424311961394999</v>
      </c>
      <c r="E330" s="22">
        <f t="shared" si="30"/>
        <v>371.57568803860499</v>
      </c>
      <c r="F330" s="22">
        <f t="shared" si="31"/>
        <v>5465.0286605277233</v>
      </c>
    </row>
    <row r="331" spans="1:6" x14ac:dyDescent="0.25">
      <c r="A331" s="1">
        <v>78</v>
      </c>
      <c r="B331" s="13">
        <f t="shared" si="32"/>
        <v>5465.0286605277233</v>
      </c>
      <c r="C331" s="22">
        <f>MIN('My Loans'!$F$5,B331+D331)</f>
        <v>410</v>
      </c>
      <c r="D331" s="22">
        <f>B331*'My Loans'!$E$5/12</f>
        <v>35.97810534847418</v>
      </c>
      <c r="E331" s="22">
        <f t="shared" si="30"/>
        <v>374.02189465152583</v>
      </c>
      <c r="F331" s="22">
        <f t="shared" si="31"/>
        <v>5091.0067658761973</v>
      </c>
    </row>
    <row r="332" spans="1:6" x14ac:dyDescent="0.25">
      <c r="A332" s="1">
        <v>79</v>
      </c>
      <c r="B332" s="13">
        <f t="shared" si="32"/>
        <v>5091.0067658761973</v>
      </c>
      <c r="C332" s="22">
        <f>MIN('My Loans'!$F$5,B332+D332)</f>
        <v>410</v>
      </c>
      <c r="D332" s="22">
        <f>B332*'My Loans'!$E$5/12</f>
        <v>33.515794542018298</v>
      </c>
      <c r="E332" s="22">
        <f t="shared" si="30"/>
        <v>376.48420545798172</v>
      </c>
      <c r="F332" s="22">
        <f t="shared" si="31"/>
        <v>4714.522560418216</v>
      </c>
    </row>
    <row r="333" spans="1:6" x14ac:dyDescent="0.25">
      <c r="A333" s="1">
        <v>80</v>
      </c>
      <c r="B333" s="13">
        <f t="shared" si="32"/>
        <v>4714.522560418216</v>
      </c>
      <c r="C333" s="22">
        <f>MIN('My Loans'!$F$5,B333+D333)</f>
        <v>410</v>
      </c>
      <c r="D333" s="22">
        <f>B333*'My Loans'!$E$5/12</f>
        <v>31.037273522753257</v>
      </c>
      <c r="E333" s="22">
        <f t="shared" si="30"/>
        <v>378.96272647724675</v>
      </c>
      <c r="F333" s="22">
        <f t="shared" si="31"/>
        <v>4335.5598339409689</v>
      </c>
    </row>
    <row r="334" spans="1:6" x14ac:dyDescent="0.25">
      <c r="A334" s="1">
        <v>81</v>
      </c>
      <c r="B334" s="13">
        <f t="shared" si="32"/>
        <v>4335.5598339409689</v>
      </c>
      <c r="C334" s="22">
        <f>MIN('My Loans'!$F$5,B334+D334)</f>
        <v>410</v>
      </c>
      <c r="D334" s="22">
        <f>B334*'My Loans'!$E$5/12</f>
        <v>28.54243557344471</v>
      </c>
      <c r="E334" s="22">
        <f t="shared" si="30"/>
        <v>381.45756442655528</v>
      </c>
      <c r="F334" s="22">
        <f t="shared" si="31"/>
        <v>3954.1022695144138</v>
      </c>
    </row>
    <row r="335" spans="1:6" x14ac:dyDescent="0.25">
      <c r="A335" s="1">
        <v>82</v>
      </c>
      <c r="B335" s="13">
        <f t="shared" si="32"/>
        <v>3954.1022695144138</v>
      </c>
      <c r="C335" s="22">
        <f>MIN('My Loans'!$F$5,B335+D335)</f>
        <v>410</v>
      </c>
      <c r="D335" s="22">
        <f>B335*'My Loans'!$E$5/12</f>
        <v>26.031173274303224</v>
      </c>
      <c r="E335" s="22">
        <f t="shared" si="30"/>
        <v>383.96882672569677</v>
      </c>
      <c r="F335" s="22">
        <f t="shared" si="31"/>
        <v>3570.1334427887168</v>
      </c>
    </row>
    <row r="336" spans="1:6" x14ac:dyDescent="0.25">
      <c r="A336" s="1">
        <v>83</v>
      </c>
      <c r="B336" s="13">
        <f t="shared" si="32"/>
        <v>3570.1334427887168</v>
      </c>
      <c r="C336" s="22">
        <f>MIN('My Loans'!$F$5,B336+D336)</f>
        <v>410</v>
      </c>
      <c r="D336" s="22">
        <f>B336*'My Loans'!$E$5/12</f>
        <v>23.503378498359051</v>
      </c>
      <c r="E336" s="22">
        <f t="shared" si="30"/>
        <v>386.49662150164096</v>
      </c>
      <c r="F336" s="22">
        <f t="shared" si="31"/>
        <v>3183.6368212870757</v>
      </c>
    </row>
    <row r="337" spans="1:6" x14ac:dyDescent="0.25">
      <c r="A337" s="1">
        <v>84</v>
      </c>
      <c r="B337" s="13">
        <f t="shared" si="32"/>
        <v>3183.6368212870757</v>
      </c>
      <c r="C337" s="22">
        <f>MIN('My Loans'!$F$5,B337+D337)</f>
        <v>410</v>
      </c>
      <c r="D337" s="22">
        <f>B337*'My Loans'!$E$5/12</f>
        <v>20.958942406806582</v>
      </c>
      <c r="E337" s="22">
        <f t="shared" si="30"/>
        <v>389.04105759319344</v>
      </c>
      <c r="F337" s="22">
        <f t="shared" si="31"/>
        <v>2794.5957636938824</v>
      </c>
    </row>
    <row r="338" spans="1:6" x14ac:dyDescent="0.25">
      <c r="A338" s="1">
        <v>85</v>
      </c>
      <c r="B338" s="13">
        <f t="shared" si="32"/>
        <v>2794.5957636938824</v>
      </c>
      <c r="C338" s="22">
        <f>MIN('My Loans'!$F$5,B338+D338)</f>
        <v>410</v>
      </c>
      <c r="D338" s="22">
        <f>B338*'My Loans'!$E$5/12</f>
        <v>18.397755444318062</v>
      </c>
      <c r="E338" s="22">
        <f t="shared" si="30"/>
        <v>391.60224455568192</v>
      </c>
      <c r="F338" s="22">
        <f t="shared" si="31"/>
        <v>2402.9935191382006</v>
      </c>
    </row>
    <row r="339" spans="1:6" x14ac:dyDescent="0.25">
      <c r="A339" s="1">
        <v>86</v>
      </c>
      <c r="B339" s="13">
        <f t="shared" si="32"/>
        <v>2402.9935191382006</v>
      </c>
      <c r="C339" s="22">
        <f>MIN('My Loans'!$F$5,B339+D339)</f>
        <v>410</v>
      </c>
      <c r="D339" s="22">
        <f>B339*'My Loans'!$E$5/12</f>
        <v>15.819707334326488</v>
      </c>
      <c r="E339" s="22">
        <f t="shared" si="30"/>
        <v>394.18029266567351</v>
      </c>
      <c r="F339" s="22">
        <f t="shared" si="31"/>
        <v>2008.813226472527</v>
      </c>
    </row>
    <row r="340" spans="1:6" x14ac:dyDescent="0.25">
      <c r="A340" s="1">
        <v>87</v>
      </c>
      <c r="B340" s="13">
        <f t="shared" si="32"/>
        <v>2008.813226472527</v>
      </c>
      <c r="C340" s="22">
        <f>MIN('My Loans'!$F$5,B340+D340)</f>
        <v>410</v>
      </c>
      <c r="D340" s="22">
        <f>B340*'My Loans'!$E$5/12</f>
        <v>13.224687074277469</v>
      </c>
      <c r="E340" s="22">
        <f t="shared" si="30"/>
        <v>396.77531292572252</v>
      </c>
      <c r="F340" s="22">
        <f t="shared" si="31"/>
        <v>1612.0379135468045</v>
      </c>
    </row>
    <row r="341" spans="1:6" x14ac:dyDescent="0.25">
      <c r="A341" s="1">
        <v>88</v>
      </c>
      <c r="B341" s="13">
        <f t="shared" si="32"/>
        <v>1612.0379135468045</v>
      </c>
      <c r="C341" s="22">
        <f>MIN('My Loans'!$F$5,B341+D341)</f>
        <v>410</v>
      </c>
      <c r="D341" s="22">
        <f>B341*'My Loans'!$E$5/12</f>
        <v>10.612582930849795</v>
      </c>
      <c r="E341" s="22">
        <f t="shared" si="30"/>
        <v>399.38741706915022</v>
      </c>
      <c r="F341" s="22">
        <f t="shared" si="31"/>
        <v>1212.6504964776543</v>
      </c>
    </row>
    <row r="342" spans="1:6" x14ac:dyDescent="0.25">
      <c r="A342" s="1">
        <v>89</v>
      </c>
      <c r="B342" s="13">
        <f t="shared" si="32"/>
        <v>1212.6504964776543</v>
      </c>
      <c r="C342" s="22">
        <f>MIN('My Loans'!$F$5,B342+D342)</f>
        <v>410</v>
      </c>
      <c r="D342" s="22">
        <f>B342*'My Loans'!$E$5/12</f>
        <v>7.9832824351445568</v>
      </c>
      <c r="E342" s="22">
        <f t="shared" si="30"/>
        <v>402.01671756485547</v>
      </c>
      <c r="F342" s="22">
        <f t="shared" si="31"/>
        <v>810.63377891279879</v>
      </c>
    </row>
    <row r="343" spans="1:6" x14ac:dyDescent="0.25">
      <c r="A343" s="1">
        <v>90</v>
      </c>
      <c r="B343" s="13">
        <f t="shared" si="32"/>
        <v>810.63377891279879</v>
      </c>
      <c r="C343" s="22">
        <f>MIN('My Loans'!$F$5,B343+D343)</f>
        <v>410</v>
      </c>
      <c r="D343" s="22">
        <f>B343*'My Loans'!$E$5/12</f>
        <v>5.336672377842592</v>
      </c>
      <c r="E343" s="22">
        <f t="shared" si="30"/>
        <v>404.6633276221574</v>
      </c>
      <c r="F343" s="22">
        <f t="shared" si="31"/>
        <v>405.97045129064139</v>
      </c>
    </row>
    <row r="344" spans="1:6" x14ac:dyDescent="0.25">
      <c r="A344" s="1">
        <v>91</v>
      </c>
      <c r="B344" s="13">
        <f t="shared" si="32"/>
        <v>405.97045129064139</v>
      </c>
      <c r="C344" s="22">
        <f>MIN('My Loans'!$F$5,B344+D344)</f>
        <v>408.64309009497146</v>
      </c>
      <c r="D344" s="22">
        <f>B344*'My Loans'!$E$5/12</f>
        <v>2.672638804330056</v>
      </c>
      <c r="E344" s="22">
        <f t="shared" si="30"/>
        <v>405.97045129064139</v>
      </c>
      <c r="F344" s="22">
        <f t="shared" si="31"/>
        <v>0</v>
      </c>
    </row>
    <row r="345" spans="1:6" x14ac:dyDescent="0.25">
      <c r="A345" s="1">
        <v>92</v>
      </c>
      <c r="B345" s="13">
        <f t="shared" si="32"/>
        <v>0</v>
      </c>
      <c r="C345" s="22">
        <f>MIN('My Loans'!$F$5,B345+D345)</f>
        <v>0</v>
      </c>
      <c r="D345" s="22">
        <f>B345*'My Loans'!$E$5/12</f>
        <v>0</v>
      </c>
      <c r="E345" s="22">
        <f t="shared" si="30"/>
        <v>0</v>
      </c>
      <c r="F345" s="22">
        <f t="shared" si="31"/>
        <v>0</v>
      </c>
    </row>
    <row r="346" spans="1:6" x14ac:dyDescent="0.25">
      <c r="A346" s="1">
        <v>93</v>
      </c>
      <c r="B346" s="13">
        <f t="shared" si="32"/>
        <v>0</v>
      </c>
      <c r="C346" s="22">
        <f>MIN('My Loans'!$F$5,B346+D346)</f>
        <v>0</v>
      </c>
      <c r="D346" s="22">
        <f>B346*'My Loans'!$E$5/12</f>
        <v>0</v>
      </c>
      <c r="E346" s="22">
        <f t="shared" si="30"/>
        <v>0</v>
      </c>
      <c r="F346" s="22">
        <f t="shared" si="31"/>
        <v>0</v>
      </c>
    </row>
    <row r="347" spans="1:6" x14ac:dyDescent="0.25">
      <c r="A347" s="1">
        <v>94</v>
      </c>
      <c r="B347" s="13">
        <f t="shared" si="32"/>
        <v>0</v>
      </c>
      <c r="C347" s="22">
        <f>MIN('My Loans'!$F$5,B347+D347)</f>
        <v>0</v>
      </c>
      <c r="D347" s="22">
        <f>B347*'My Loans'!$E$5/12</f>
        <v>0</v>
      </c>
      <c r="E347" s="22">
        <f t="shared" si="30"/>
        <v>0</v>
      </c>
      <c r="F347" s="22">
        <f t="shared" si="31"/>
        <v>0</v>
      </c>
    </row>
    <row r="348" spans="1:6" x14ac:dyDescent="0.25">
      <c r="A348" s="1">
        <v>95</v>
      </c>
      <c r="B348" s="13">
        <f t="shared" si="32"/>
        <v>0</v>
      </c>
      <c r="C348" s="22">
        <f>MIN('My Loans'!$F$5,B348+D348)</f>
        <v>0</v>
      </c>
      <c r="D348" s="22">
        <f>B348*'My Loans'!$E$5/12</f>
        <v>0</v>
      </c>
      <c r="E348" s="22">
        <f t="shared" si="30"/>
        <v>0</v>
      </c>
      <c r="F348" s="22">
        <f t="shared" si="31"/>
        <v>0</v>
      </c>
    </row>
    <row r="349" spans="1:6" x14ac:dyDescent="0.25">
      <c r="A349" s="1">
        <v>96</v>
      </c>
      <c r="B349" s="13">
        <f t="shared" si="32"/>
        <v>0</v>
      </c>
      <c r="C349" s="22">
        <f>MIN('My Loans'!$F$5,B349+D349)</f>
        <v>0</v>
      </c>
      <c r="D349" s="22">
        <f>B349*'My Loans'!$E$5/12</f>
        <v>0</v>
      </c>
      <c r="E349" s="22">
        <f t="shared" si="30"/>
        <v>0</v>
      </c>
      <c r="F349" s="22">
        <f t="shared" si="31"/>
        <v>0</v>
      </c>
    </row>
    <row r="350" spans="1:6" x14ac:dyDescent="0.25">
      <c r="A350" s="1">
        <v>97</v>
      </c>
      <c r="B350" s="13">
        <f t="shared" si="32"/>
        <v>0</v>
      </c>
      <c r="C350" s="22">
        <f>MIN('My Loans'!$F$5,B350+D350)</f>
        <v>0</v>
      </c>
      <c r="D350" s="22">
        <f>B350*'My Loans'!$E$5/12</f>
        <v>0</v>
      </c>
      <c r="E350" s="22">
        <f t="shared" ref="E350:E381" si="33">C350-D350</f>
        <v>0</v>
      </c>
      <c r="F350" s="22">
        <f t="shared" ref="F350:F381" si="34">MAX(0,B350-E350)</f>
        <v>0</v>
      </c>
    </row>
    <row r="351" spans="1:6" x14ac:dyDescent="0.25">
      <c r="A351" s="1">
        <v>98</v>
      </c>
      <c r="B351" s="13">
        <f t="shared" ref="B351:B373" si="35">F350</f>
        <v>0</v>
      </c>
      <c r="C351" s="22">
        <f>MIN('My Loans'!$F$5,B351+D351)</f>
        <v>0</v>
      </c>
      <c r="D351" s="22">
        <f>B351*'My Loans'!$E$5/12</f>
        <v>0</v>
      </c>
      <c r="E351" s="22">
        <f t="shared" si="33"/>
        <v>0</v>
      </c>
      <c r="F351" s="22">
        <f t="shared" si="34"/>
        <v>0</v>
      </c>
    </row>
    <row r="352" spans="1:6" x14ac:dyDescent="0.25">
      <c r="A352" s="1">
        <v>99</v>
      </c>
      <c r="B352" s="13">
        <f t="shared" si="35"/>
        <v>0</v>
      </c>
      <c r="C352" s="22">
        <f>MIN('My Loans'!$F$5,B352+D352)</f>
        <v>0</v>
      </c>
      <c r="D352" s="22">
        <f>B352*'My Loans'!$E$5/12</f>
        <v>0</v>
      </c>
      <c r="E352" s="22">
        <f t="shared" si="33"/>
        <v>0</v>
      </c>
      <c r="F352" s="22">
        <f t="shared" si="34"/>
        <v>0</v>
      </c>
    </row>
    <row r="353" spans="1:6" x14ac:dyDescent="0.25">
      <c r="A353" s="1">
        <v>100</v>
      </c>
      <c r="B353" s="13">
        <f t="shared" si="35"/>
        <v>0</v>
      </c>
      <c r="C353" s="22">
        <f>MIN('My Loans'!$F$5,B353+D353)</f>
        <v>0</v>
      </c>
      <c r="D353" s="22">
        <f>B353*'My Loans'!$E$5/12</f>
        <v>0</v>
      </c>
      <c r="E353" s="22">
        <f t="shared" si="33"/>
        <v>0</v>
      </c>
      <c r="F353" s="22">
        <f t="shared" si="34"/>
        <v>0</v>
      </c>
    </row>
    <row r="354" spans="1:6" x14ac:dyDescent="0.25">
      <c r="A354" s="1">
        <v>101</v>
      </c>
      <c r="B354" s="13">
        <f t="shared" si="35"/>
        <v>0</v>
      </c>
      <c r="C354" s="22">
        <f>MIN('My Loans'!$F$5,B354+D354)</f>
        <v>0</v>
      </c>
      <c r="D354" s="22">
        <f>B354*'My Loans'!$E$5/12</f>
        <v>0</v>
      </c>
      <c r="E354" s="22">
        <f t="shared" si="33"/>
        <v>0</v>
      </c>
      <c r="F354" s="22">
        <f t="shared" si="34"/>
        <v>0</v>
      </c>
    </row>
    <row r="355" spans="1:6" x14ac:dyDescent="0.25">
      <c r="A355" s="1">
        <v>102</v>
      </c>
      <c r="B355" s="13">
        <f t="shared" si="35"/>
        <v>0</v>
      </c>
      <c r="C355" s="22">
        <f>MIN('My Loans'!$F$5,B355+D355)</f>
        <v>0</v>
      </c>
      <c r="D355" s="22">
        <f>B355*'My Loans'!$E$5/12</f>
        <v>0</v>
      </c>
      <c r="E355" s="22">
        <f t="shared" si="33"/>
        <v>0</v>
      </c>
      <c r="F355" s="22">
        <f t="shared" si="34"/>
        <v>0</v>
      </c>
    </row>
    <row r="356" spans="1:6" x14ac:dyDescent="0.25">
      <c r="A356" s="1">
        <v>103</v>
      </c>
      <c r="B356" s="13">
        <f t="shared" si="35"/>
        <v>0</v>
      </c>
      <c r="C356" s="22">
        <f>MIN('My Loans'!$F$5,B356+D356)</f>
        <v>0</v>
      </c>
      <c r="D356" s="22">
        <f>B356*'My Loans'!$E$5/12</f>
        <v>0</v>
      </c>
      <c r="E356" s="22">
        <f t="shared" si="33"/>
        <v>0</v>
      </c>
      <c r="F356" s="22">
        <f t="shared" si="34"/>
        <v>0</v>
      </c>
    </row>
    <row r="357" spans="1:6" x14ac:dyDescent="0.25">
      <c r="A357" s="1">
        <v>104</v>
      </c>
      <c r="B357" s="13">
        <f t="shared" si="35"/>
        <v>0</v>
      </c>
      <c r="C357" s="22">
        <f>MIN('My Loans'!$F$5,B357+D357)</f>
        <v>0</v>
      </c>
      <c r="D357" s="22">
        <f>B357*'My Loans'!$E$5/12</f>
        <v>0</v>
      </c>
      <c r="E357" s="22">
        <f t="shared" si="33"/>
        <v>0</v>
      </c>
      <c r="F357" s="22">
        <f t="shared" si="34"/>
        <v>0</v>
      </c>
    </row>
    <row r="358" spans="1:6" x14ac:dyDescent="0.25">
      <c r="A358" s="1">
        <v>105</v>
      </c>
      <c r="B358" s="13">
        <f t="shared" si="35"/>
        <v>0</v>
      </c>
      <c r="C358" s="22">
        <f>MIN('My Loans'!$F$5,B358+D358)</f>
        <v>0</v>
      </c>
      <c r="D358" s="22">
        <f>B358*'My Loans'!$E$5/12</f>
        <v>0</v>
      </c>
      <c r="E358" s="22">
        <f t="shared" si="33"/>
        <v>0</v>
      </c>
      <c r="F358" s="22">
        <f t="shared" si="34"/>
        <v>0</v>
      </c>
    </row>
    <row r="359" spans="1:6" x14ac:dyDescent="0.25">
      <c r="A359" s="1">
        <v>106</v>
      </c>
      <c r="B359" s="13">
        <f t="shared" si="35"/>
        <v>0</v>
      </c>
      <c r="C359" s="22">
        <f>MIN('My Loans'!$F$5,B359+D359)</f>
        <v>0</v>
      </c>
      <c r="D359" s="22">
        <f>B359*'My Loans'!$E$5/12</f>
        <v>0</v>
      </c>
      <c r="E359" s="22">
        <f t="shared" si="33"/>
        <v>0</v>
      </c>
      <c r="F359" s="22">
        <f t="shared" si="34"/>
        <v>0</v>
      </c>
    </row>
    <row r="360" spans="1:6" x14ac:dyDescent="0.25">
      <c r="A360" s="1">
        <v>107</v>
      </c>
      <c r="B360" s="13">
        <f t="shared" si="35"/>
        <v>0</v>
      </c>
      <c r="C360" s="22">
        <f>MIN('My Loans'!$F$5,B360+D360)</f>
        <v>0</v>
      </c>
      <c r="D360" s="22">
        <f>B360*'My Loans'!$E$5/12</f>
        <v>0</v>
      </c>
      <c r="E360" s="22">
        <f t="shared" si="33"/>
        <v>0</v>
      </c>
      <c r="F360" s="22">
        <f t="shared" si="34"/>
        <v>0</v>
      </c>
    </row>
    <row r="361" spans="1:6" x14ac:dyDescent="0.25">
      <c r="A361" s="1">
        <v>108</v>
      </c>
      <c r="B361" s="13">
        <f t="shared" si="35"/>
        <v>0</v>
      </c>
      <c r="C361" s="22">
        <f>MIN('My Loans'!$F$5,B361+D361)</f>
        <v>0</v>
      </c>
      <c r="D361" s="22">
        <f>B361*'My Loans'!$E$5/12</f>
        <v>0</v>
      </c>
      <c r="E361" s="22">
        <f t="shared" si="33"/>
        <v>0</v>
      </c>
      <c r="F361" s="22">
        <f t="shared" si="34"/>
        <v>0</v>
      </c>
    </row>
    <row r="362" spans="1:6" x14ac:dyDescent="0.25">
      <c r="A362" s="1">
        <v>109</v>
      </c>
      <c r="B362" s="13">
        <f t="shared" si="35"/>
        <v>0</v>
      </c>
      <c r="C362" s="22">
        <f>MIN('My Loans'!$F$5,B362+D362)</f>
        <v>0</v>
      </c>
      <c r="D362" s="22">
        <f>B362*'My Loans'!$E$5/12</f>
        <v>0</v>
      </c>
      <c r="E362" s="22">
        <f t="shared" si="33"/>
        <v>0</v>
      </c>
      <c r="F362" s="22">
        <f t="shared" si="34"/>
        <v>0</v>
      </c>
    </row>
    <row r="363" spans="1:6" x14ac:dyDescent="0.25">
      <c r="A363" s="1">
        <v>110</v>
      </c>
      <c r="B363" s="13">
        <f t="shared" si="35"/>
        <v>0</v>
      </c>
      <c r="C363" s="22">
        <f>MIN('My Loans'!$F$5,B363+D363)</f>
        <v>0</v>
      </c>
      <c r="D363" s="22">
        <f>B363*'My Loans'!$E$5/12</f>
        <v>0</v>
      </c>
      <c r="E363" s="22">
        <f t="shared" si="33"/>
        <v>0</v>
      </c>
      <c r="F363" s="22">
        <f t="shared" si="34"/>
        <v>0</v>
      </c>
    </row>
    <row r="364" spans="1:6" x14ac:dyDescent="0.25">
      <c r="A364" s="1">
        <v>111</v>
      </c>
      <c r="B364" s="13">
        <f t="shared" si="35"/>
        <v>0</v>
      </c>
      <c r="C364" s="22">
        <f>MIN('My Loans'!$F$5,B364+D364)</f>
        <v>0</v>
      </c>
      <c r="D364" s="22">
        <f>B364*'My Loans'!$E$5/12</f>
        <v>0</v>
      </c>
      <c r="E364" s="22">
        <f t="shared" si="33"/>
        <v>0</v>
      </c>
      <c r="F364" s="22">
        <f t="shared" si="34"/>
        <v>0</v>
      </c>
    </row>
    <row r="365" spans="1:6" x14ac:dyDescent="0.25">
      <c r="A365" s="1">
        <v>112</v>
      </c>
      <c r="B365" s="13">
        <f t="shared" si="35"/>
        <v>0</v>
      </c>
      <c r="C365" s="22">
        <f>MIN('My Loans'!$F$5,B365+D365)</f>
        <v>0</v>
      </c>
      <c r="D365" s="22">
        <f>B365*'My Loans'!$E$5/12</f>
        <v>0</v>
      </c>
      <c r="E365" s="22">
        <f t="shared" si="33"/>
        <v>0</v>
      </c>
      <c r="F365" s="22">
        <f t="shared" si="34"/>
        <v>0</v>
      </c>
    </row>
    <row r="366" spans="1:6" x14ac:dyDescent="0.25">
      <c r="A366" s="1">
        <v>113</v>
      </c>
      <c r="B366" s="13">
        <f t="shared" si="35"/>
        <v>0</v>
      </c>
      <c r="C366" s="22">
        <f>MIN('My Loans'!$F$5,B366+D366)</f>
        <v>0</v>
      </c>
      <c r="D366" s="22">
        <f>B366*'My Loans'!$E$5/12</f>
        <v>0</v>
      </c>
      <c r="E366" s="22">
        <f t="shared" si="33"/>
        <v>0</v>
      </c>
      <c r="F366" s="22">
        <f t="shared" si="34"/>
        <v>0</v>
      </c>
    </row>
    <row r="367" spans="1:6" x14ac:dyDescent="0.25">
      <c r="A367" s="1">
        <v>114</v>
      </c>
      <c r="B367" s="13">
        <f t="shared" si="35"/>
        <v>0</v>
      </c>
      <c r="C367" s="22">
        <f>MIN('My Loans'!$F$5,B367+D367)</f>
        <v>0</v>
      </c>
      <c r="D367" s="22">
        <f>B367*'My Loans'!$E$5/12</f>
        <v>0</v>
      </c>
      <c r="E367" s="22">
        <f t="shared" si="33"/>
        <v>0</v>
      </c>
      <c r="F367" s="22">
        <f t="shared" si="34"/>
        <v>0</v>
      </c>
    </row>
    <row r="368" spans="1:6" x14ac:dyDescent="0.25">
      <c r="A368" s="1">
        <v>115</v>
      </c>
      <c r="B368" s="13">
        <f t="shared" si="35"/>
        <v>0</v>
      </c>
      <c r="C368" s="22">
        <f>MIN('My Loans'!$F$5,B368+D368)</f>
        <v>0</v>
      </c>
      <c r="D368" s="22">
        <f>B368*'My Loans'!$E$5/12</f>
        <v>0</v>
      </c>
      <c r="E368" s="22">
        <f t="shared" si="33"/>
        <v>0</v>
      </c>
      <c r="F368" s="22">
        <f t="shared" si="34"/>
        <v>0</v>
      </c>
    </row>
    <row r="369" spans="1:6" x14ac:dyDescent="0.25">
      <c r="A369" s="1">
        <v>116</v>
      </c>
      <c r="B369" s="13">
        <f t="shared" si="35"/>
        <v>0</v>
      </c>
      <c r="C369" s="22">
        <f>MIN('My Loans'!$F$5,B369+D369)</f>
        <v>0</v>
      </c>
      <c r="D369" s="22">
        <f>B369*'My Loans'!$E$5/12</f>
        <v>0</v>
      </c>
      <c r="E369" s="22">
        <f t="shared" si="33"/>
        <v>0</v>
      </c>
      <c r="F369" s="22">
        <f t="shared" si="34"/>
        <v>0</v>
      </c>
    </row>
    <row r="370" spans="1:6" x14ac:dyDescent="0.25">
      <c r="A370" s="1">
        <v>117</v>
      </c>
      <c r="B370" s="13">
        <f t="shared" si="35"/>
        <v>0</v>
      </c>
      <c r="C370" s="22">
        <f>MIN('My Loans'!$F$5,B370+D370)</f>
        <v>0</v>
      </c>
      <c r="D370" s="22">
        <f>B370*'My Loans'!$E$5/12</f>
        <v>0</v>
      </c>
      <c r="E370" s="22">
        <f t="shared" si="33"/>
        <v>0</v>
      </c>
      <c r="F370" s="22">
        <f t="shared" si="34"/>
        <v>0</v>
      </c>
    </row>
    <row r="371" spans="1:6" x14ac:dyDescent="0.25">
      <c r="A371" s="1">
        <v>118</v>
      </c>
      <c r="B371" s="13">
        <f t="shared" si="35"/>
        <v>0</v>
      </c>
      <c r="C371" s="22">
        <f>MIN('My Loans'!$F$5,B371+D371)</f>
        <v>0</v>
      </c>
      <c r="D371" s="22">
        <f>B371*'My Loans'!$E$5/12</f>
        <v>0</v>
      </c>
      <c r="E371" s="22">
        <f t="shared" si="33"/>
        <v>0</v>
      </c>
      <c r="F371" s="22">
        <f t="shared" si="34"/>
        <v>0</v>
      </c>
    </row>
    <row r="372" spans="1:6" x14ac:dyDescent="0.25">
      <c r="A372" s="1">
        <v>119</v>
      </c>
      <c r="B372" s="13">
        <f t="shared" si="35"/>
        <v>0</v>
      </c>
      <c r="C372" s="22">
        <f>MIN('My Loans'!$F$5,B372+D372)</f>
        <v>0</v>
      </c>
      <c r="D372" s="22">
        <f>B372*'My Loans'!$E$5/12</f>
        <v>0</v>
      </c>
      <c r="E372" s="22">
        <f t="shared" si="33"/>
        <v>0</v>
      </c>
      <c r="F372" s="22">
        <f t="shared" si="34"/>
        <v>0</v>
      </c>
    </row>
    <row r="373" spans="1:6" x14ac:dyDescent="0.25">
      <c r="A373" s="1">
        <v>120</v>
      </c>
      <c r="B373" s="13">
        <f t="shared" si="35"/>
        <v>0</v>
      </c>
      <c r="C373" s="22">
        <f>MIN('My Loans'!$F$5,B373+D373)</f>
        <v>0</v>
      </c>
      <c r="D373" s="22">
        <f>B373*'My Loans'!$E$5/12</f>
        <v>0</v>
      </c>
      <c r="E373" s="22">
        <f t="shared" si="33"/>
        <v>0</v>
      </c>
      <c r="F373" s="22">
        <f t="shared" si="34"/>
        <v>0</v>
      </c>
    </row>
    <row r="374" spans="1:6" x14ac:dyDescent="0.25">
      <c r="A374" s="1" t="s">
        <v>96</v>
      </c>
      <c r="B374" s="13">
        <f>SUM(D254:D373)</f>
        <v>9308.6430900949799</v>
      </c>
    </row>
    <row r="376" spans="1:6" x14ac:dyDescent="0.25">
      <c r="A376" s="3" t="s">
        <v>99</v>
      </c>
    </row>
    <row r="377" spans="1:6" x14ac:dyDescent="0.25">
      <c r="A377" s="2" t="s">
        <v>32</v>
      </c>
      <c r="B377" s="2" t="s">
        <v>91</v>
      </c>
      <c r="C377" s="21" t="s">
        <v>92</v>
      </c>
      <c r="D377" s="21" t="s">
        <v>93</v>
      </c>
      <c r="E377" s="21" t="s">
        <v>94</v>
      </c>
      <c r="F377" s="21" t="s">
        <v>95</v>
      </c>
    </row>
    <row r="378" spans="1:6" x14ac:dyDescent="0.25">
      <c r="A378" s="1">
        <v>1</v>
      </c>
      <c r="B378" s="13">
        <f>'My Loans'!$D$6</f>
        <v>15200</v>
      </c>
      <c r="C378" s="22">
        <f>MIN('My Loans'!$F$6,B378+D378)</f>
        <v>178</v>
      </c>
      <c r="D378" s="22">
        <f>B378*'My Loans'!$E$6/12</f>
        <v>78.533333333333331</v>
      </c>
      <c r="E378" s="22">
        <f t="shared" ref="E378:E409" si="36">C378-D378</f>
        <v>99.466666666666669</v>
      </c>
      <c r="F378" s="22">
        <f t="shared" ref="F378:F409" si="37">MAX(0,B378-E378)</f>
        <v>15100.533333333333</v>
      </c>
    </row>
    <row r="379" spans="1:6" x14ac:dyDescent="0.25">
      <c r="A379" s="1">
        <v>2</v>
      </c>
      <c r="B379" s="13">
        <f t="shared" ref="B379:B410" si="38">F378</f>
        <v>15100.533333333333</v>
      </c>
      <c r="C379" s="22">
        <f>MIN('My Loans'!$F$6,B379+D379)</f>
        <v>178</v>
      </c>
      <c r="D379" s="22">
        <f>B379*'My Loans'!$E$6/12</f>
        <v>78.019422222222218</v>
      </c>
      <c r="E379" s="22">
        <f t="shared" si="36"/>
        <v>99.980577777777782</v>
      </c>
      <c r="F379" s="22">
        <f t="shared" si="37"/>
        <v>15000.552755555555</v>
      </c>
    </row>
    <row r="380" spans="1:6" x14ac:dyDescent="0.25">
      <c r="A380" s="1">
        <v>3</v>
      </c>
      <c r="B380" s="13">
        <f t="shared" si="38"/>
        <v>15000.552755555555</v>
      </c>
      <c r="C380" s="22">
        <f>MIN('My Loans'!$F$6,B380+D380)</f>
        <v>178</v>
      </c>
      <c r="D380" s="22">
        <f>B380*'My Loans'!$E$6/12</f>
        <v>77.50285590370369</v>
      </c>
      <c r="E380" s="22">
        <f t="shared" si="36"/>
        <v>100.49714409629631</v>
      </c>
      <c r="F380" s="22">
        <f t="shared" si="37"/>
        <v>14900.055611459258</v>
      </c>
    </row>
    <row r="381" spans="1:6" x14ac:dyDescent="0.25">
      <c r="A381" s="1">
        <v>4</v>
      </c>
      <c r="B381" s="13">
        <f t="shared" si="38"/>
        <v>14900.055611459258</v>
      </c>
      <c r="C381" s="22">
        <f>MIN('My Loans'!$F$6,B381+D381)</f>
        <v>178</v>
      </c>
      <c r="D381" s="22">
        <f>B381*'My Loans'!$E$6/12</f>
        <v>76.983620659206167</v>
      </c>
      <c r="E381" s="22">
        <f t="shared" si="36"/>
        <v>101.01637934079383</v>
      </c>
      <c r="F381" s="22">
        <f t="shared" si="37"/>
        <v>14799.039232118464</v>
      </c>
    </row>
    <row r="382" spans="1:6" x14ac:dyDescent="0.25">
      <c r="A382" s="1">
        <v>5</v>
      </c>
      <c r="B382" s="13">
        <f t="shared" si="38"/>
        <v>14799.039232118464</v>
      </c>
      <c r="C382" s="22">
        <f>MIN('My Loans'!$F$6,B382+D382)</f>
        <v>178</v>
      </c>
      <c r="D382" s="22">
        <f>B382*'My Loans'!$E$6/12</f>
        <v>76.461702699278732</v>
      </c>
      <c r="E382" s="22">
        <f t="shared" si="36"/>
        <v>101.53829730072127</v>
      </c>
      <c r="F382" s="22">
        <f t="shared" si="37"/>
        <v>14697.500934817743</v>
      </c>
    </row>
    <row r="383" spans="1:6" x14ac:dyDescent="0.25">
      <c r="A383" s="1">
        <v>6</v>
      </c>
      <c r="B383" s="13">
        <f t="shared" si="38"/>
        <v>14697.500934817743</v>
      </c>
      <c r="C383" s="22">
        <f>MIN('My Loans'!$F$6,B383+D383)</f>
        <v>178</v>
      </c>
      <c r="D383" s="22">
        <f>B383*'My Loans'!$E$6/12</f>
        <v>75.937088163224999</v>
      </c>
      <c r="E383" s="22">
        <f t="shared" si="36"/>
        <v>102.062911836775</v>
      </c>
      <c r="F383" s="22">
        <f t="shared" si="37"/>
        <v>14595.438022980969</v>
      </c>
    </row>
    <row r="384" spans="1:6" x14ac:dyDescent="0.25">
      <c r="A384" s="1">
        <v>7</v>
      </c>
      <c r="B384" s="13">
        <f t="shared" si="38"/>
        <v>14595.438022980969</v>
      </c>
      <c r="C384" s="22">
        <f>MIN('My Loans'!$F$6,B384+D384)</f>
        <v>178</v>
      </c>
      <c r="D384" s="22">
        <f>B384*'My Loans'!$E$6/12</f>
        <v>75.409763118735</v>
      </c>
      <c r="E384" s="22">
        <f t="shared" si="36"/>
        <v>102.590236881265</v>
      </c>
      <c r="F384" s="22">
        <f t="shared" si="37"/>
        <v>14492.847786099703</v>
      </c>
    </row>
    <row r="385" spans="1:6" x14ac:dyDescent="0.25">
      <c r="A385" s="1">
        <v>8</v>
      </c>
      <c r="B385" s="13">
        <f t="shared" si="38"/>
        <v>14492.847786099703</v>
      </c>
      <c r="C385" s="22">
        <f>MIN('My Loans'!$F$6,B385+D385)</f>
        <v>178</v>
      </c>
      <c r="D385" s="22">
        <f>B385*'My Loans'!$E$6/12</f>
        <v>74.879713561515132</v>
      </c>
      <c r="E385" s="22">
        <f t="shared" si="36"/>
        <v>103.12028643848487</v>
      </c>
      <c r="F385" s="22">
        <f t="shared" si="37"/>
        <v>14389.727499661218</v>
      </c>
    </row>
    <row r="386" spans="1:6" x14ac:dyDescent="0.25">
      <c r="A386" s="1">
        <v>9</v>
      </c>
      <c r="B386" s="13">
        <f t="shared" si="38"/>
        <v>14389.727499661218</v>
      </c>
      <c r="C386" s="22">
        <f>MIN('My Loans'!$F$6,B386+D386)</f>
        <v>178</v>
      </c>
      <c r="D386" s="22">
        <f>B386*'My Loans'!$E$6/12</f>
        <v>74.346925414916299</v>
      </c>
      <c r="E386" s="22">
        <f t="shared" si="36"/>
        <v>103.6530745850837</v>
      </c>
      <c r="F386" s="22">
        <f t="shared" si="37"/>
        <v>14286.074425076135</v>
      </c>
    </row>
    <row r="387" spans="1:6" x14ac:dyDescent="0.25">
      <c r="A387" s="1">
        <v>10</v>
      </c>
      <c r="B387" s="13">
        <f t="shared" si="38"/>
        <v>14286.074425076135</v>
      </c>
      <c r="C387" s="22">
        <f>MIN('My Loans'!$F$6,B387+D387)</f>
        <v>178</v>
      </c>
      <c r="D387" s="22">
        <f>B387*'My Loans'!$E$6/12</f>
        <v>73.81138452956003</v>
      </c>
      <c r="E387" s="22">
        <f t="shared" si="36"/>
        <v>104.18861547043997</v>
      </c>
      <c r="F387" s="22">
        <f t="shared" si="37"/>
        <v>14181.885809605694</v>
      </c>
    </row>
    <row r="388" spans="1:6" x14ac:dyDescent="0.25">
      <c r="A388" s="1">
        <v>11</v>
      </c>
      <c r="B388" s="13">
        <f t="shared" si="38"/>
        <v>14181.885809605694</v>
      </c>
      <c r="C388" s="22">
        <f>MIN('My Loans'!$F$6,B388+D388)</f>
        <v>178</v>
      </c>
      <c r="D388" s="22">
        <f>B388*'My Loans'!$E$6/12</f>
        <v>73.273076682962753</v>
      </c>
      <c r="E388" s="22">
        <f t="shared" si="36"/>
        <v>104.72692331703725</v>
      </c>
      <c r="F388" s="22">
        <f t="shared" si="37"/>
        <v>14077.158886288657</v>
      </c>
    </row>
    <row r="389" spans="1:6" x14ac:dyDescent="0.25">
      <c r="A389" s="1">
        <v>12</v>
      </c>
      <c r="B389" s="13">
        <f t="shared" si="38"/>
        <v>14077.158886288657</v>
      </c>
      <c r="C389" s="22">
        <f>MIN('My Loans'!$F$6,B389+D389)</f>
        <v>178</v>
      </c>
      <c r="D389" s="22">
        <f>B389*'My Loans'!$E$6/12</f>
        <v>72.731987579158059</v>
      </c>
      <c r="E389" s="22">
        <f t="shared" si="36"/>
        <v>105.26801242084194</v>
      </c>
      <c r="F389" s="22">
        <f t="shared" si="37"/>
        <v>13971.890873867815</v>
      </c>
    </row>
    <row r="390" spans="1:6" x14ac:dyDescent="0.25">
      <c r="A390" s="1">
        <v>13</v>
      </c>
      <c r="B390" s="13">
        <f t="shared" si="38"/>
        <v>13971.890873867815</v>
      </c>
      <c r="C390" s="22">
        <f>MIN('My Loans'!$F$6,B390+D390)</f>
        <v>178</v>
      </c>
      <c r="D390" s="22">
        <f>B390*'My Loans'!$E$6/12</f>
        <v>72.188102848317044</v>
      </c>
      <c r="E390" s="22">
        <f t="shared" si="36"/>
        <v>105.81189715168296</v>
      </c>
      <c r="F390" s="22">
        <f t="shared" si="37"/>
        <v>13866.078976716131</v>
      </c>
    </row>
    <row r="391" spans="1:6" x14ac:dyDescent="0.25">
      <c r="A391" s="1">
        <v>14</v>
      </c>
      <c r="B391" s="13">
        <f t="shared" si="38"/>
        <v>13866.078976716131</v>
      </c>
      <c r="C391" s="22">
        <f>MIN('My Loans'!$F$6,B391+D391)</f>
        <v>178</v>
      </c>
      <c r="D391" s="22">
        <f>B391*'My Loans'!$E$6/12</f>
        <v>71.641408046366678</v>
      </c>
      <c r="E391" s="22">
        <f t="shared" si="36"/>
        <v>106.35859195363332</v>
      </c>
      <c r="F391" s="22">
        <f t="shared" si="37"/>
        <v>13759.720384762499</v>
      </c>
    </row>
    <row r="392" spans="1:6" x14ac:dyDescent="0.25">
      <c r="A392" s="1">
        <v>15</v>
      </c>
      <c r="B392" s="13">
        <f t="shared" si="38"/>
        <v>13759.720384762499</v>
      </c>
      <c r="C392" s="22">
        <f>MIN('My Loans'!$F$6,B392+D392)</f>
        <v>178</v>
      </c>
      <c r="D392" s="22">
        <f>B392*'My Loans'!$E$6/12</f>
        <v>71.091888654606251</v>
      </c>
      <c r="E392" s="22">
        <f t="shared" si="36"/>
        <v>106.90811134539375</v>
      </c>
      <c r="F392" s="22">
        <f t="shared" si="37"/>
        <v>13652.812273417105</v>
      </c>
    </row>
    <row r="393" spans="1:6" x14ac:dyDescent="0.25">
      <c r="A393" s="1">
        <v>16</v>
      </c>
      <c r="B393" s="13">
        <f t="shared" si="38"/>
        <v>13652.812273417105</v>
      </c>
      <c r="C393" s="22">
        <f>MIN('My Loans'!$F$6,B393+D393)</f>
        <v>178</v>
      </c>
      <c r="D393" s="22">
        <f>B393*'My Loans'!$E$6/12</f>
        <v>70.539530079321707</v>
      </c>
      <c r="E393" s="22">
        <f t="shared" si="36"/>
        <v>107.46046992067829</v>
      </c>
      <c r="F393" s="22">
        <f t="shared" si="37"/>
        <v>13545.351803496427</v>
      </c>
    </row>
    <row r="394" spans="1:6" x14ac:dyDescent="0.25">
      <c r="A394" s="1">
        <v>17</v>
      </c>
      <c r="B394" s="13">
        <f t="shared" si="38"/>
        <v>13545.351803496427</v>
      </c>
      <c r="C394" s="22">
        <f>MIN('My Loans'!$F$6,B394+D394)</f>
        <v>178</v>
      </c>
      <c r="D394" s="22">
        <f>B394*'My Loans'!$E$6/12</f>
        <v>69.9843176513982</v>
      </c>
      <c r="E394" s="22">
        <f t="shared" si="36"/>
        <v>108.0156823486018</v>
      </c>
      <c r="F394" s="22">
        <f t="shared" si="37"/>
        <v>13437.336121147826</v>
      </c>
    </row>
    <row r="395" spans="1:6" x14ac:dyDescent="0.25">
      <c r="A395" s="1">
        <v>18</v>
      </c>
      <c r="B395" s="13">
        <f t="shared" si="38"/>
        <v>13437.336121147826</v>
      </c>
      <c r="C395" s="22">
        <f>MIN('My Loans'!$F$6,B395+D395)</f>
        <v>178</v>
      </c>
      <c r="D395" s="22">
        <f>B395*'My Loans'!$E$6/12</f>
        <v>69.426236625930429</v>
      </c>
      <c r="E395" s="22">
        <f t="shared" si="36"/>
        <v>108.57376337406957</v>
      </c>
      <c r="F395" s="22">
        <f t="shared" si="37"/>
        <v>13328.762357773756</v>
      </c>
    </row>
    <row r="396" spans="1:6" x14ac:dyDescent="0.25">
      <c r="A396" s="1">
        <v>19</v>
      </c>
      <c r="B396" s="13">
        <f t="shared" si="38"/>
        <v>13328.762357773756</v>
      </c>
      <c r="C396" s="22">
        <f>MIN('My Loans'!$F$6,B396+D396)</f>
        <v>178</v>
      </c>
      <c r="D396" s="22">
        <f>B396*'My Loans'!$E$6/12</f>
        <v>68.865272181831074</v>
      </c>
      <c r="E396" s="22">
        <f t="shared" si="36"/>
        <v>109.13472781816893</v>
      </c>
      <c r="F396" s="22">
        <f t="shared" si="37"/>
        <v>13219.627629955587</v>
      </c>
    </row>
    <row r="397" spans="1:6" x14ac:dyDescent="0.25">
      <c r="A397" s="1">
        <v>20</v>
      </c>
      <c r="B397" s="13">
        <f t="shared" si="38"/>
        <v>13219.627629955587</v>
      </c>
      <c r="C397" s="22">
        <f>MIN('My Loans'!$F$6,B397+D397)</f>
        <v>178</v>
      </c>
      <c r="D397" s="22">
        <f>B397*'My Loans'!$E$6/12</f>
        <v>68.301409421437199</v>
      </c>
      <c r="E397" s="22">
        <f t="shared" si="36"/>
        <v>109.6985905785628</v>
      </c>
      <c r="F397" s="22">
        <f t="shared" si="37"/>
        <v>13109.929039377024</v>
      </c>
    </row>
    <row r="398" spans="1:6" x14ac:dyDescent="0.25">
      <c r="A398" s="1">
        <v>21</v>
      </c>
      <c r="B398" s="13">
        <f t="shared" si="38"/>
        <v>13109.929039377024</v>
      </c>
      <c r="C398" s="22">
        <f>MIN('My Loans'!$F$6,B398+D398)</f>
        <v>178</v>
      </c>
      <c r="D398" s="22">
        <f>B398*'My Loans'!$E$6/12</f>
        <v>67.734633370114622</v>
      </c>
      <c r="E398" s="22">
        <f t="shared" si="36"/>
        <v>110.26536662988538</v>
      </c>
      <c r="F398" s="22">
        <f t="shared" si="37"/>
        <v>12999.66367274714</v>
      </c>
    </row>
    <row r="399" spans="1:6" x14ac:dyDescent="0.25">
      <c r="A399" s="1">
        <v>22</v>
      </c>
      <c r="B399" s="13">
        <f t="shared" si="38"/>
        <v>12999.66367274714</v>
      </c>
      <c r="C399" s="22">
        <f>MIN('My Loans'!$F$6,B399+D399)</f>
        <v>178</v>
      </c>
      <c r="D399" s="22">
        <f>B399*'My Loans'!$E$6/12</f>
        <v>67.164928975860221</v>
      </c>
      <c r="E399" s="22">
        <f t="shared" si="36"/>
        <v>110.83507102413978</v>
      </c>
      <c r="F399" s="22">
        <f t="shared" si="37"/>
        <v>12888.828601723</v>
      </c>
    </row>
    <row r="400" spans="1:6" x14ac:dyDescent="0.25">
      <c r="A400" s="1">
        <v>23</v>
      </c>
      <c r="B400" s="13">
        <f t="shared" si="38"/>
        <v>12888.828601723</v>
      </c>
      <c r="C400" s="22">
        <f>MIN('My Loans'!$F$6,B400+D400)</f>
        <v>178</v>
      </c>
      <c r="D400" s="22">
        <f>B400*'My Loans'!$E$6/12</f>
        <v>66.592281108902171</v>
      </c>
      <c r="E400" s="22">
        <f t="shared" si="36"/>
        <v>111.40771889109783</v>
      </c>
      <c r="F400" s="22">
        <f t="shared" si="37"/>
        <v>12777.420882831902</v>
      </c>
    </row>
    <row r="401" spans="1:6" x14ac:dyDescent="0.25">
      <c r="A401" s="1">
        <v>24</v>
      </c>
      <c r="B401" s="13">
        <f t="shared" si="38"/>
        <v>12777.420882831902</v>
      </c>
      <c r="C401" s="22">
        <f>MIN('My Loans'!$F$6,B401+D401)</f>
        <v>178</v>
      </c>
      <c r="D401" s="22">
        <f>B401*'My Loans'!$E$6/12</f>
        <v>66.01667456129816</v>
      </c>
      <c r="E401" s="22">
        <f t="shared" si="36"/>
        <v>111.98332543870184</v>
      </c>
      <c r="F401" s="22">
        <f t="shared" si="37"/>
        <v>12665.437557393201</v>
      </c>
    </row>
    <row r="402" spans="1:6" x14ac:dyDescent="0.25">
      <c r="A402" s="1">
        <v>25</v>
      </c>
      <c r="B402" s="13">
        <f t="shared" si="38"/>
        <v>12665.437557393201</v>
      </c>
      <c r="C402" s="22">
        <f>MIN('My Loans'!$F$6,B402+D402)</f>
        <v>178</v>
      </c>
      <c r="D402" s="22">
        <f>B402*'My Loans'!$E$6/12</f>
        <v>65.438094046531532</v>
      </c>
      <c r="E402" s="22">
        <f t="shared" si="36"/>
        <v>112.56190595346847</v>
      </c>
      <c r="F402" s="22">
        <f t="shared" si="37"/>
        <v>12552.875651439732</v>
      </c>
    </row>
    <row r="403" spans="1:6" x14ac:dyDescent="0.25">
      <c r="A403" s="1">
        <v>26</v>
      </c>
      <c r="B403" s="13">
        <f t="shared" si="38"/>
        <v>12552.875651439732</v>
      </c>
      <c r="C403" s="22">
        <f>MIN('My Loans'!$F$6,B403+D403)</f>
        <v>178</v>
      </c>
      <c r="D403" s="22">
        <f>B403*'My Loans'!$E$6/12</f>
        <v>64.85652419910528</v>
      </c>
      <c r="E403" s="22">
        <f t="shared" si="36"/>
        <v>113.14347580089472</v>
      </c>
      <c r="F403" s="22">
        <f t="shared" si="37"/>
        <v>12439.732175638837</v>
      </c>
    </row>
    <row r="404" spans="1:6" x14ac:dyDescent="0.25">
      <c r="A404" s="1">
        <v>27</v>
      </c>
      <c r="B404" s="13">
        <f t="shared" si="38"/>
        <v>12439.732175638837</v>
      </c>
      <c r="C404" s="22">
        <f>MIN('My Loans'!$F$6,B404+D404)</f>
        <v>178</v>
      </c>
      <c r="D404" s="22">
        <f>B404*'My Loans'!$E$6/12</f>
        <v>64.271949574133984</v>
      </c>
      <c r="E404" s="22">
        <f t="shared" si="36"/>
        <v>113.72805042586602</v>
      </c>
      <c r="F404" s="22">
        <f t="shared" si="37"/>
        <v>12326.004125212972</v>
      </c>
    </row>
    <row r="405" spans="1:6" x14ac:dyDescent="0.25">
      <c r="A405" s="1">
        <v>28</v>
      </c>
      <c r="B405" s="13">
        <f t="shared" si="38"/>
        <v>12326.004125212972</v>
      </c>
      <c r="C405" s="22">
        <f>MIN('My Loans'!$F$6,B405+D405)</f>
        <v>178</v>
      </c>
      <c r="D405" s="22">
        <f>B405*'My Loans'!$E$6/12</f>
        <v>63.684354646933691</v>
      </c>
      <c r="E405" s="22">
        <f t="shared" si="36"/>
        <v>114.31564535306632</v>
      </c>
      <c r="F405" s="22">
        <f t="shared" si="37"/>
        <v>12211.688479859906</v>
      </c>
    </row>
    <row r="406" spans="1:6" x14ac:dyDescent="0.25">
      <c r="A406" s="1">
        <v>29</v>
      </c>
      <c r="B406" s="13">
        <f t="shared" si="38"/>
        <v>12211.688479859906</v>
      </c>
      <c r="C406" s="22">
        <f>MIN('My Loans'!$F$6,B406+D406)</f>
        <v>178</v>
      </c>
      <c r="D406" s="22">
        <f>B406*'My Loans'!$E$6/12</f>
        <v>63.093723812609511</v>
      </c>
      <c r="E406" s="22">
        <f t="shared" si="36"/>
        <v>114.90627618739049</v>
      </c>
      <c r="F406" s="22">
        <f t="shared" si="37"/>
        <v>12096.782203672516</v>
      </c>
    </row>
    <row r="407" spans="1:6" x14ac:dyDescent="0.25">
      <c r="A407" s="1">
        <v>30</v>
      </c>
      <c r="B407" s="13">
        <f t="shared" si="38"/>
        <v>12096.782203672516</v>
      </c>
      <c r="C407" s="22">
        <f>MIN('My Loans'!$F$6,B407+D407)</f>
        <v>178</v>
      </c>
      <c r="D407" s="22">
        <f>B407*'My Loans'!$E$6/12</f>
        <v>62.500041385641332</v>
      </c>
      <c r="E407" s="22">
        <f t="shared" si="36"/>
        <v>115.49995861435866</v>
      </c>
      <c r="F407" s="22">
        <f t="shared" si="37"/>
        <v>11981.282245058157</v>
      </c>
    </row>
    <row r="408" spans="1:6" x14ac:dyDescent="0.25">
      <c r="A408" s="1">
        <v>31</v>
      </c>
      <c r="B408" s="13">
        <f t="shared" si="38"/>
        <v>11981.282245058157</v>
      </c>
      <c r="C408" s="22">
        <f>MIN('My Loans'!$F$6,B408+D408)</f>
        <v>178</v>
      </c>
      <c r="D408" s="22">
        <f>B408*'My Loans'!$E$6/12</f>
        <v>61.903291599467146</v>
      </c>
      <c r="E408" s="22">
        <f t="shared" si="36"/>
        <v>116.09670840053286</v>
      </c>
      <c r="F408" s="22">
        <f t="shared" si="37"/>
        <v>11865.185536657624</v>
      </c>
    </row>
    <row r="409" spans="1:6" x14ac:dyDescent="0.25">
      <c r="A409" s="1">
        <v>32</v>
      </c>
      <c r="B409" s="13">
        <f t="shared" si="38"/>
        <v>11865.185536657624</v>
      </c>
      <c r="C409" s="22">
        <f>MIN('My Loans'!$F$6,B409+D409)</f>
        <v>178</v>
      </c>
      <c r="D409" s="22">
        <f>B409*'My Loans'!$E$6/12</f>
        <v>61.303458606064389</v>
      </c>
      <c r="E409" s="22">
        <f t="shared" si="36"/>
        <v>116.6965413939356</v>
      </c>
      <c r="F409" s="22">
        <f t="shared" si="37"/>
        <v>11748.488995263688</v>
      </c>
    </row>
    <row r="410" spans="1:6" x14ac:dyDescent="0.25">
      <c r="A410" s="1">
        <v>33</v>
      </c>
      <c r="B410" s="13">
        <f t="shared" si="38"/>
        <v>11748.488995263688</v>
      </c>
      <c r="C410" s="22">
        <f>MIN('My Loans'!$F$6,B410+D410)</f>
        <v>178</v>
      </c>
      <c r="D410" s="22">
        <f>B410*'My Loans'!$E$6/12</f>
        <v>60.700526475529053</v>
      </c>
      <c r="E410" s="22">
        <f t="shared" ref="E410:E441" si="39">C410-D410</f>
        <v>117.29947352447095</v>
      </c>
      <c r="F410" s="22">
        <f t="shared" ref="F410:F441" si="40">MAX(0,B410-E410)</f>
        <v>11631.189521739218</v>
      </c>
    </row>
    <row r="411" spans="1:6" x14ac:dyDescent="0.25">
      <c r="A411" s="1">
        <v>34</v>
      </c>
      <c r="B411" s="13">
        <f t="shared" ref="B411:B442" si="41">F410</f>
        <v>11631.189521739218</v>
      </c>
      <c r="C411" s="22">
        <f>MIN('My Loans'!$F$6,B411+D411)</f>
        <v>178</v>
      </c>
      <c r="D411" s="22">
        <f>B411*'My Loans'!$E$6/12</f>
        <v>60.094479195652617</v>
      </c>
      <c r="E411" s="22">
        <f t="shared" si="39"/>
        <v>117.90552080434739</v>
      </c>
      <c r="F411" s="22">
        <f t="shared" si="40"/>
        <v>11513.284000934869</v>
      </c>
    </row>
    <row r="412" spans="1:6" x14ac:dyDescent="0.25">
      <c r="A412" s="1">
        <v>35</v>
      </c>
      <c r="B412" s="13">
        <f t="shared" si="41"/>
        <v>11513.284000934869</v>
      </c>
      <c r="C412" s="22">
        <f>MIN('My Loans'!$F$6,B412+D412)</f>
        <v>178</v>
      </c>
      <c r="D412" s="22">
        <f>B412*'My Loans'!$E$6/12</f>
        <v>59.485300671496823</v>
      </c>
      <c r="E412" s="22">
        <f t="shared" si="39"/>
        <v>118.51469932850318</v>
      </c>
      <c r="F412" s="22">
        <f t="shared" si="40"/>
        <v>11394.769301606366</v>
      </c>
    </row>
    <row r="413" spans="1:6" x14ac:dyDescent="0.25">
      <c r="A413" s="1">
        <v>36</v>
      </c>
      <c r="B413" s="13">
        <f t="shared" si="41"/>
        <v>11394.769301606366</v>
      </c>
      <c r="C413" s="22">
        <f>MIN('My Loans'!$F$6,B413+D413)</f>
        <v>178</v>
      </c>
      <c r="D413" s="22">
        <f>B413*'My Loans'!$E$6/12</f>
        <v>58.87297472496622</v>
      </c>
      <c r="E413" s="22">
        <f t="shared" si="39"/>
        <v>119.12702527503379</v>
      </c>
      <c r="F413" s="22">
        <f t="shared" si="40"/>
        <v>11275.642276331331</v>
      </c>
    </row>
    <row r="414" spans="1:6" x14ac:dyDescent="0.25">
      <c r="A414" s="1">
        <v>37</v>
      </c>
      <c r="B414" s="13">
        <f t="shared" si="41"/>
        <v>11275.642276331331</v>
      </c>
      <c r="C414" s="22">
        <f>MIN('My Loans'!$F$6,B414+D414)</f>
        <v>178</v>
      </c>
      <c r="D414" s="22">
        <f>B414*'My Loans'!$E$6/12</f>
        <v>58.257485094378545</v>
      </c>
      <c r="E414" s="22">
        <f t="shared" si="39"/>
        <v>119.74251490562145</v>
      </c>
      <c r="F414" s="22">
        <f t="shared" si="40"/>
        <v>11155.89976142571</v>
      </c>
    </row>
    <row r="415" spans="1:6" x14ac:dyDescent="0.25">
      <c r="A415" s="1">
        <v>38</v>
      </c>
      <c r="B415" s="13">
        <f t="shared" si="41"/>
        <v>11155.89976142571</v>
      </c>
      <c r="C415" s="22">
        <f>MIN('My Loans'!$F$6,B415+D415)</f>
        <v>178</v>
      </c>
      <c r="D415" s="22">
        <f>B415*'My Loans'!$E$6/12</f>
        <v>57.638815434032836</v>
      </c>
      <c r="E415" s="22">
        <f t="shared" si="39"/>
        <v>120.36118456596716</v>
      </c>
      <c r="F415" s="22">
        <f t="shared" si="40"/>
        <v>11035.538576859743</v>
      </c>
    </row>
    <row r="416" spans="1:6" x14ac:dyDescent="0.25">
      <c r="A416" s="1">
        <v>39</v>
      </c>
      <c r="B416" s="13">
        <f t="shared" si="41"/>
        <v>11035.538576859743</v>
      </c>
      <c r="C416" s="22">
        <f>MIN('My Loans'!$F$6,B416+D416)</f>
        <v>178</v>
      </c>
      <c r="D416" s="22">
        <f>B416*'My Loans'!$E$6/12</f>
        <v>57.016949313775335</v>
      </c>
      <c r="E416" s="22">
        <f t="shared" si="39"/>
        <v>120.98305068622466</v>
      </c>
      <c r="F416" s="22">
        <f t="shared" si="40"/>
        <v>10914.555526173517</v>
      </c>
    </row>
    <row r="417" spans="1:6" x14ac:dyDescent="0.25">
      <c r="A417" s="1">
        <v>40</v>
      </c>
      <c r="B417" s="13">
        <f t="shared" si="41"/>
        <v>10914.555526173517</v>
      </c>
      <c r="C417" s="22">
        <f>MIN('My Loans'!$F$6,B417+D417)</f>
        <v>178</v>
      </c>
      <c r="D417" s="22">
        <f>B417*'My Loans'!$E$6/12</f>
        <v>56.391870218563177</v>
      </c>
      <c r="E417" s="22">
        <f t="shared" si="39"/>
        <v>121.60812978143682</v>
      </c>
      <c r="F417" s="22">
        <f t="shared" si="40"/>
        <v>10792.947396392081</v>
      </c>
    </row>
    <row r="418" spans="1:6" x14ac:dyDescent="0.25">
      <c r="A418" s="1">
        <v>41</v>
      </c>
      <c r="B418" s="13">
        <f t="shared" si="41"/>
        <v>10792.947396392081</v>
      </c>
      <c r="C418" s="22">
        <f>MIN('My Loans'!$F$6,B418+D418)</f>
        <v>178</v>
      </c>
      <c r="D418" s="22">
        <f>B418*'My Loans'!$E$6/12</f>
        <v>55.763561548025756</v>
      </c>
      <c r="E418" s="22">
        <f t="shared" si="39"/>
        <v>122.23643845197424</v>
      </c>
      <c r="F418" s="22">
        <f t="shared" si="40"/>
        <v>10670.710957940106</v>
      </c>
    </row>
    <row r="419" spans="1:6" x14ac:dyDescent="0.25">
      <c r="A419" s="1">
        <v>42</v>
      </c>
      <c r="B419" s="13">
        <f t="shared" si="41"/>
        <v>10670.710957940106</v>
      </c>
      <c r="C419" s="22">
        <f>MIN('My Loans'!$F$6,B419+D419)</f>
        <v>178</v>
      </c>
      <c r="D419" s="22">
        <f>B419*'My Loans'!$E$6/12</f>
        <v>55.13200661602388</v>
      </c>
      <c r="E419" s="22">
        <f t="shared" si="39"/>
        <v>122.86799338397611</v>
      </c>
      <c r="F419" s="22">
        <f t="shared" si="40"/>
        <v>10547.84296455613</v>
      </c>
    </row>
    <row r="420" spans="1:6" x14ac:dyDescent="0.25">
      <c r="A420" s="1">
        <v>43</v>
      </c>
      <c r="B420" s="13">
        <f t="shared" si="41"/>
        <v>10547.84296455613</v>
      </c>
      <c r="C420" s="22">
        <f>MIN('My Loans'!$F$6,B420+D420)</f>
        <v>178</v>
      </c>
      <c r="D420" s="22">
        <f>B420*'My Loans'!$E$6/12</f>
        <v>54.497188650206674</v>
      </c>
      <c r="E420" s="22">
        <f t="shared" si="39"/>
        <v>123.50281134979332</v>
      </c>
      <c r="F420" s="22">
        <f t="shared" si="40"/>
        <v>10424.340153206336</v>
      </c>
    </row>
    <row r="421" spans="1:6" x14ac:dyDescent="0.25">
      <c r="A421" s="1">
        <v>44</v>
      </c>
      <c r="B421" s="13">
        <f t="shared" si="41"/>
        <v>10424.340153206336</v>
      </c>
      <c r="C421" s="22">
        <f>MIN('My Loans'!$F$6,B421+D421)</f>
        <v>178</v>
      </c>
      <c r="D421" s="22">
        <f>B421*'My Loans'!$E$6/12</f>
        <v>53.859090791566068</v>
      </c>
      <c r="E421" s="22">
        <f t="shared" si="39"/>
        <v>124.14090920843392</v>
      </c>
      <c r="F421" s="22">
        <f t="shared" si="40"/>
        <v>10300.199243997902</v>
      </c>
    </row>
    <row r="422" spans="1:6" x14ac:dyDescent="0.25">
      <c r="A422" s="1">
        <v>45</v>
      </c>
      <c r="B422" s="13">
        <f t="shared" si="41"/>
        <v>10300.199243997902</v>
      </c>
      <c r="C422" s="22">
        <f>MIN('My Loans'!$F$6,B422+D422)</f>
        <v>178</v>
      </c>
      <c r="D422" s="22">
        <f>B422*'My Loans'!$E$6/12</f>
        <v>53.217696093989161</v>
      </c>
      <c r="E422" s="22">
        <f t="shared" si="39"/>
        <v>124.78230390601084</v>
      </c>
      <c r="F422" s="22">
        <f t="shared" si="40"/>
        <v>10175.416940091891</v>
      </c>
    </row>
    <row r="423" spans="1:6" x14ac:dyDescent="0.25">
      <c r="A423" s="1">
        <v>46</v>
      </c>
      <c r="B423" s="13">
        <f t="shared" si="41"/>
        <v>10175.416940091891</v>
      </c>
      <c r="C423" s="22">
        <f>MIN('My Loans'!$F$6,B423+D423)</f>
        <v>178</v>
      </c>
      <c r="D423" s="22">
        <f>B423*'My Loans'!$E$6/12</f>
        <v>52.572987523808102</v>
      </c>
      <c r="E423" s="22">
        <f t="shared" si="39"/>
        <v>125.42701247619189</v>
      </c>
      <c r="F423" s="22">
        <f t="shared" si="40"/>
        <v>10049.989927615699</v>
      </c>
    </row>
    <row r="424" spans="1:6" x14ac:dyDescent="0.25">
      <c r="A424" s="1">
        <v>47</v>
      </c>
      <c r="B424" s="13">
        <f t="shared" si="41"/>
        <v>10049.989927615699</v>
      </c>
      <c r="C424" s="22">
        <f>MIN('My Loans'!$F$6,B424+D424)</f>
        <v>178</v>
      </c>
      <c r="D424" s="22">
        <f>B424*'My Loans'!$E$6/12</f>
        <v>51.924947959347776</v>
      </c>
      <c r="E424" s="22">
        <f t="shared" si="39"/>
        <v>126.07505204065222</v>
      </c>
      <c r="F424" s="22">
        <f t="shared" si="40"/>
        <v>9923.9148755750466</v>
      </c>
    </row>
    <row r="425" spans="1:6" x14ac:dyDescent="0.25">
      <c r="A425" s="1">
        <v>48</v>
      </c>
      <c r="B425" s="13">
        <f t="shared" si="41"/>
        <v>9923.9148755750466</v>
      </c>
      <c r="C425" s="22">
        <f>MIN('My Loans'!$F$6,B425+D425)</f>
        <v>178</v>
      </c>
      <c r="D425" s="22">
        <f>B425*'My Loans'!$E$6/12</f>
        <v>51.273560190471073</v>
      </c>
      <c r="E425" s="22">
        <f t="shared" si="39"/>
        <v>126.72643980952893</v>
      </c>
      <c r="F425" s="22">
        <f t="shared" si="40"/>
        <v>9797.1884357655181</v>
      </c>
    </row>
    <row r="426" spans="1:6" x14ac:dyDescent="0.25">
      <c r="A426" s="1">
        <v>49</v>
      </c>
      <c r="B426" s="13">
        <f t="shared" si="41"/>
        <v>9797.1884357655181</v>
      </c>
      <c r="C426" s="22">
        <f>MIN('My Loans'!$F$6,B426+D426)</f>
        <v>178</v>
      </c>
      <c r="D426" s="22">
        <f>B426*'My Loans'!$E$6/12</f>
        <v>50.618806918121841</v>
      </c>
      <c r="E426" s="22">
        <f t="shared" si="39"/>
        <v>127.38119308187817</v>
      </c>
      <c r="F426" s="22">
        <f t="shared" si="40"/>
        <v>9669.8072426836407</v>
      </c>
    </row>
    <row r="427" spans="1:6" x14ac:dyDescent="0.25">
      <c r="A427" s="1">
        <v>50</v>
      </c>
      <c r="B427" s="13">
        <f t="shared" si="41"/>
        <v>9669.8072426836407</v>
      </c>
      <c r="C427" s="22">
        <f>MIN('My Loans'!$F$6,B427+D427)</f>
        <v>178</v>
      </c>
      <c r="D427" s="22">
        <f>B427*'My Loans'!$E$6/12</f>
        <v>49.960670753865479</v>
      </c>
      <c r="E427" s="22">
        <f t="shared" si="39"/>
        <v>128.03932924613451</v>
      </c>
      <c r="F427" s="22">
        <f t="shared" si="40"/>
        <v>9541.7679134375066</v>
      </c>
    </row>
    <row r="428" spans="1:6" x14ac:dyDescent="0.25">
      <c r="A428" s="1">
        <v>51</v>
      </c>
      <c r="B428" s="13">
        <f t="shared" si="41"/>
        <v>9541.7679134375066</v>
      </c>
      <c r="C428" s="22">
        <f>MIN('My Loans'!$F$6,B428+D428)</f>
        <v>178</v>
      </c>
      <c r="D428" s="22">
        <f>B428*'My Loans'!$E$6/12</f>
        <v>49.299134219427117</v>
      </c>
      <c r="E428" s="22">
        <f t="shared" si="39"/>
        <v>128.70086578057288</v>
      </c>
      <c r="F428" s="22">
        <f t="shared" si="40"/>
        <v>9413.0670476569339</v>
      </c>
    </row>
    <row r="429" spans="1:6" x14ac:dyDescent="0.25">
      <c r="A429" s="1">
        <v>52</v>
      </c>
      <c r="B429" s="13">
        <f t="shared" si="41"/>
        <v>9413.0670476569339</v>
      </c>
      <c r="C429" s="22">
        <f>MIN('My Loans'!$F$6,B429+D429)</f>
        <v>178</v>
      </c>
      <c r="D429" s="22">
        <f>B429*'My Loans'!$E$6/12</f>
        <v>48.634179746227488</v>
      </c>
      <c r="E429" s="22">
        <f t="shared" si="39"/>
        <v>129.36582025377251</v>
      </c>
      <c r="F429" s="22">
        <f t="shared" si="40"/>
        <v>9283.7012274031622</v>
      </c>
    </row>
    <row r="430" spans="1:6" x14ac:dyDescent="0.25">
      <c r="A430" s="1">
        <v>53</v>
      </c>
      <c r="B430" s="13">
        <f t="shared" si="41"/>
        <v>9283.7012274031622</v>
      </c>
      <c r="C430" s="22">
        <f>MIN('My Loans'!$F$6,B430+D430)</f>
        <v>178</v>
      </c>
      <c r="D430" s="22">
        <f>B430*'My Loans'!$E$6/12</f>
        <v>47.965789674916344</v>
      </c>
      <c r="E430" s="22">
        <f t="shared" si="39"/>
        <v>130.03421032508365</v>
      </c>
      <c r="F430" s="22">
        <f t="shared" si="40"/>
        <v>9153.6670170780781</v>
      </c>
    </row>
    <row r="431" spans="1:6" x14ac:dyDescent="0.25">
      <c r="A431" s="1">
        <v>54</v>
      </c>
      <c r="B431" s="13">
        <f t="shared" si="41"/>
        <v>9153.6670170780781</v>
      </c>
      <c r="C431" s="22">
        <f>MIN('My Loans'!$F$6,B431+D431)</f>
        <v>178</v>
      </c>
      <c r="D431" s="22">
        <f>B431*'My Loans'!$E$6/12</f>
        <v>47.293946254903403</v>
      </c>
      <c r="E431" s="22">
        <f t="shared" si="39"/>
        <v>130.7060537450966</v>
      </c>
      <c r="F431" s="22">
        <f t="shared" si="40"/>
        <v>9022.9609633329819</v>
      </c>
    </row>
    <row r="432" spans="1:6" x14ac:dyDescent="0.25">
      <c r="A432" s="1">
        <v>55</v>
      </c>
      <c r="B432" s="13">
        <f t="shared" si="41"/>
        <v>9022.9609633329819</v>
      </c>
      <c r="C432" s="22">
        <f>MIN('My Loans'!$F$6,B432+D432)</f>
        <v>178</v>
      </c>
      <c r="D432" s="22">
        <f>B432*'My Loans'!$E$6/12</f>
        <v>46.618631643887078</v>
      </c>
      <c r="E432" s="22">
        <f t="shared" si="39"/>
        <v>131.38136835611292</v>
      </c>
      <c r="F432" s="22">
        <f t="shared" si="40"/>
        <v>8891.579594976869</v>
      </c>
    </row>
    <row r="433" spans="1:6" x14ac:dyDescent="0.25">
      <c r="A433" s="1">
        <v>56</v>
      </c>
      <c r="B433" s="13">
        <f t="shared" si="41"/>
        <v>8891.579594976869</v>
      </c>
      <c r="C433" s="22">
        <f>MIN('My Loans'!$F$6,B433+D433)</f>
        <v>178</v>
      </c>
      <c r="D433" s="22">
        <f>B433*'My Loans'!$E$6/12</f>
        <v>45.939827907380483</v>
      </c>
      <c r="E433" s="22">
        <f t="shared" si="39"/>
        <v>132.06017209261952</v>
      </c>
      <c r="F433" s="22">
        <f t="shared" si="40"/>
        <v>8759.5194228842502</v>
      </c>
    </row>
    <row r="434" spans="1:6" x14ac:dyDescent="0.25">
      <c r="A434" s="1">
        <v>57</v>
      </c>
      <c r="B434" s="13">
        <f t="shared" si="41"/>
        <v>8759.5194228842502</v>
      </c>
      <c r="C434" s="22">
        <f>MIN('My Loans'!$F$6,B434+D434)</f>
        <v>178</v>
      </c>
      <c r="D434" s="22">
        <f>B434*'My Loans'!$E$6/12</f>
        <v>45.257517018235291</v>
      </c>
      <c r="E434" s="22">
        <f t="shared" si="39"/>
        <v>132.74248298176471</v>
      </c>
      <c r="F434" s="22">
        <f t="shared" si="40"/>
        <v>8626.7769399024855</v>
      </c>
    </row>
    <row r="435" spans="1:6" x14ac:dyDescent="0.25">
      <c r="A435" s="1">
        <v>58</v>
      </c>
      <c r="B435" s="13">
        <f t="shared" si="41"/>
        <v>8626.7769399024855</v>
      </c>
      <c r="C435" s="22">
        <f>MIN('My Loans'!$F$6,B435+D435)</f>
        <v>178</v>
      </c>
      <c r="D435" s="22">
        <f>B435*'My Loans'!$E$6/12</f>
        <v>44.571680856162835</v>
      </c>
      <c r="E435" s="22">
        <f t="shared" si="39"/>
        <v>133.42831914383717</v>
      </c>
      <c r="F435" s="22">
        <f t="shared" si="40"/>
        <v>8493.3486207586484</v>
      </c>
    </row>
    <row r="436" spans="1:6" x14ac:dyDescent="0.25">
      <c r="A436" s="1">
        <v>59</v>
      </c>
      <c r="B436" s="13">
        <f t="shared" si="41"/>
        <v>8493.3486207586484</v>
      </c>
      <c r="C436" s="22">
        <f>MIN('My Loans'!$F$6,B436+D436)</f>
        <v>178</v>
      </c>
      <c r="D436" s="22">
        <f>B436*'My Loans'!$E$6/12</f>
        <v>43.882301207253015</v>
      </c>
      <c r="E436" s="22">
        <f t="shared" si="39"/>
        <v>134.11769879274698</v>
      </c>
      <c r="F436" s="22">
        <f t="shared" si="40"/>
        <v>8359.2309219659019</v>
      </c>
    </row>
    <row r="437" spans="1:6" x14ac:dyDescent="0.25">
      <c r="A437" s="1">
        <v>60</v>
      </c>
      <c r="B437" s="13">
        <f t="shared" si="41"/>
        <v>8359.2309219659019</v>
      </c>
      <c r="C437" s="22">
        <f>MIN('My Loans'!$F$6,B437+D437)</f>
        <v>178</v>
      </c>
      <c r="D437" s="22">
        <f>B437*'My Loans'!$E$6/12</f>
        <v>43.189359763490494</v>
      </c>
      <c r="E437" s="22">
        <f t="shared" si="39"/>
        <v>134.8106402365095</v>
      </c>
      <c r="F437" s="22">
        <f t="shared" si="40"/>
        <v>8224.4202817293917</v>
      </c>
    </row>
    <row r="438" spans="1:6" x14ac:dyDescent="0.25">
      <c r="A438" s="1">
        <v>61</v>
      </c>
      <c r="B438" s="13">
        <f t="shared" si="41"/>
        <v>8224.4202817293917</v>
      </c>
      <c r="C438" s="22">
        <f>MIN('My Loans'!$F$6,B438+D438)</f>
        <v>178</v>
      </c>
      <c r="D438" s="22">
        <f>B438*'My Loans'!$E$6/12</f>
        <v>42.492838122268523</v>
      </c>
      <c r="E438" s="22">
        <f t="shared" si="39"/>
        <v>135.50716187773148</v>
      </c>
      <c r="F438" s="22">
        <f t="shared" si="40"/>
        <v>8088.9131198516607</v>
      </c>
    </row>
    <row r="439" spans="1:6" x14ac:dyDescent="0.25">
      <c r="A439" s="1">
        <v>62</v>
      </c>
      <c r="B439" s="13">
        <f t="shared" si="41"/>
        <v>8088.9131198516607</v>
      </c>
      <c r="C439" s="22">
        <f>MIN('My Loans'!$F$6,B439+D439)</f>
        <v>178</v>
      </c>
      <c r="D439" s="22">
        <f>B439*'My Loans'!$E$6/12</f>
        <v>41.792717785900244</v>
      </c>
      <c r="E439" s="22">
        <f t="shared" si="39"/>
        <v>136.20728221409976</v>
      </c>
      <c r="F439" s="22">
        <f t="shared" si="40"/>
        <v>7952.7058376375608</v>
      </c>
    </row>
    <row r="440" spans="1:6" x14ac:dyDescent="0.25">
      <c r="A440" s="1">
        <v>63</v>
      </c>
      <c r="B440" s="13">
        <f t="shared" si="41"/>
        <v>7952.7058376375608</v>
      </c>
      <c r="C440" s="22">
        <f>MIN('My Loans'!$F$6,B440+D440)</f>
        <v>178</v>
      </c>
      <c r="D440" s="22">
        <f>B440*'My Loans'!$E$6/12</f>
        <v>41.088980161127395</v>
      </c>
      <c r="E440" s="22">
        <f t="shared" si="39"/>
        <v>136.91101983887262</v>
      </c>
      <c r="F440" s="22">
        <f t="shared" si="40"/>
        <v>7815.7948177986882</v>
      </c>
    </row>
    <row r="441" spans="1:6" x14ac:dyDescent="0.25">
      <c r="A441" s="1">
        <v>64</v>
      </c>
      <c r="B441" s="13">
        <f t="shared" si="41"/>
        <v>7815.7948177986882</v>
      </c>
      <c r="C441" s="22">
        <f>MIN('My Loans'!$F$6,B441+D441)</f>
        <v>178</v>
      </c>
      <c r="D441" s="22">
        <f>B441*'My Loans'!$E$6/12</f>
        <v>40.381606558626551</v>
      </c>
      <c r="E441" s="22">
        <f t="shared" si="39"/>
        <v>137.61839344137346</v>
      </c>
      <c r="F441" s="22">
        <f t="shared" si="40"/>
        <v>7678.1764243573143</v>
      </c>
    </row>
    <row r="442" spans="1:6" x14ac:dyDescent="0.25">
      <c r="A442" s="1">
        <v>65</v>
      </c>
      <c r="B442" s="13">
        <f t="shared" si="41"/>
        <v>7678.1764243573143</v>
      </c>
      <c r="C442" s="22">
        <f>MIN('My Loans'!$F$6,B442+D442)</f>
        <v>178</v>
      </c>
      <c r="D442" s="22">
        <f>B442*'My Loans'!$E$6/12</f>
        <v>39.670578192512792</v>
      </c>
      <c r="E442" s="22">
        <f t="shared" ref="E442:E473" si="42">C442-D442</f>
        <v>138.32942180748722</v>
      </c>
      <c r="F442" s="22">
        <f t="shared" ref="F442:F473" si="43">MAX(0,B442-E442)</f>
        <v>7539.8470025498273</v>
      </c>
    </row>
    <row r="443" spans="1:6" x14ac:dyDescent="0.25">
      <c r="A443" s="1">
        <v>66</v>
      </c>
      <c r="B443" s="13">
        <f t="shared" ref="B443:B474" si="44">F442</f>
        <v>7539.8470025498273</v>
      </c>
      <c r="C443" s="22">
        <f>MIN('My Loans'!$F$6,B443+D443)</f>
        <v>178</v>
      </c>
      <c r="D443" s="22">
        <f>B443*'My Loans'!$E$6/12</f>
        <v>38.955876179840779</v>
      </c>
      <c r="E443" s="22">
        <f t="shared" si="42"/>
        <v>139.04412382015923</v>
      </c>
      <c r="F443" s="22">
        <f t="shared" si="43"/>
        <v>7400.802878729668</v>
      </c>
    </row>
    <row r="444" spans="1:6" x14ac:dyDescent="0.25">
      <c r="A444" s="1">
        <v>67</v>
      </c>
      <c r="B444" s="13">
        <f t="shared" si="44"/>
        <v>7400.802878729668</v>
      </c>
      <c r="C444" s="22">
        <f>MIN('My Loans'!$F$6,B444+D444)</f>
        <v>178</v>
      </c>
      <c r="D444" s="22">
        <f>B444*'My Loans'!$E$6/12</f>
        <v>38.237481540103282</v>
      </c>
      <c r="E444" s="22">
        <f t="shared" si="42"/>
        <v>139.76251845989671</v>
      </c>
      <c r="F444" s="22">
        <f t="shared" si="43"/>
        <v>7261.0403602697716</v>
      </c>
    </row>
    <row r="445" spans="1:6" x14ac:dyDescent="0.25">
      <c r="A445" s="1">
        <v>68</v>
      </c>
      <c r="B445" s="13">
        <f t="shared" si="44"/>
        <v>7261.0403602697716</v>
      </c>
      <c r="C445" s="22">
        <f>MIN('My Loans'!$F$6,B445+D445)</f>
        <v>178</v>
      </c>
      <c r="D445" s="22">
        <f>B445*'My Loans'!$E$6/12</f>
        <v>37.515375194727149</v>
      </c>
      <c r="E445" s="22">
        <f t="shared" si="42"/>
        <v>140.48462480527286</v>
      </c>
      <c r="F445" s="22">
        <f t="shared" si="43"/>
        <v>7120.5557354644989</v>
      </c>
    </row>
    <row r="446" spans="1:6" x14ac:dyDescent="0.25">
      <c r="A446" s="1">
        <v>69</v>
      </c>
      <c r="B446" s="13">
        <f t="shared" si="44"/>
        <v>7120.5557354644989</v>
      </c>
      <c r="C446" s="22">
        <f>MIN('My Loans'!$F$6,B446+D446)</f>
        <v>178</v>
      </c>
      <c r="D446" s="22">
        <f>B446*'My Loans'!$E$6/12</f>
        <v>36.789537966566577</v>
      </c>
      <c r="E446" s="22">
        <f t="shared" si="42"/>
        <v>141.21046203343343</v>
      </c>
      <c r="F446" s="22">
        <f t="shared" si="43"/>
        <v>6979.3452734310658</v>
      </c>
    </row>
    <row r="447" spans="1:6" x14ac:dyDescent="0.25">
      <c r="A447" s="1">
        <v>70</v>
      </c>
      <c r="B447" s="13">
        <f t="shared" si="44"/>
        <v>6979.3452734310658</v>
      </c>
      <c r="C447" s="22">
        <f>MIN('My Loans'!$F$6,B447+D447)</f>
        <v>178</v>
      </c>
      <c r="D447" s="22">
        <f>B447*'My Loans'!$E$6/12</f>
        <v>36.059950579393842</v>
      </c>
      <c r="E447" s="22">
        <f t="shared" si="42"/>
        <v>141.94004942060616</v>
      </c>
      <c r="F447" s="22">
        <f t="shared" si="43"/>
        <v>6837.4052240104593</v>
      </c>
    </row>
    <row r="448" spans="1:6" x14ac:dyDescent="0.25">
      <c r="A448" s="1">
        <v>71</v>
      </c>
      <c r="B448" s="13">
        <f t="shared" si="44"/>
        <v>6837.4052240104593</v>
      </c>
      <c r="C448" s="22">
        <f>MIN('My Loans'!$F$6,B448+D448)</f>
        <v>178</v>
      </c>
      <c r="D448" s="22">
        <f>B448*'My Loans'!$E$6/12</f>
        <v>35.32659365738737</v>
      </c>
      <c r="E448" s="22">
        <f t="shared" si="42"/>
        <v>142.67340634261262</v>
      </c>
      <c r="F448" s="22">
        <f t="shared" si="43"/>
        <v>6694.7318176678464</v>
      </c>
    </row>
    <row r="449" spans="1:6" x14ac:dyDescent="0.25">
      <c r="A449" s="1">
        <v>72</v>
      </c>
      <c r="B449" s="13">
        <f t="shared" si="44"/>
        <v>6694.7318176678464</v>
      </c>
      <c r="C449" s="22">
        <f>MIN('My Loans'!$F$6,B449+D449)</f>
        <v>178</v>
      </c>
      <c r="D449" s="22">
        <f>B449*'My Loans'!$E$6/12</f>
        <v>34.589447724617209</v>
      </c>
      <c r="E449" s="22">
        <f t="shared" si="42"/>
        <v>143.4105522753828</v>
      </c>
      <c r="F449" s="22">
        <f t="shared" si="43"/>
        <v>6551.3212653924638</v>
      </c>
    </row>
    <row r="450" spans="1:6" x14ac:dyDescent="0.25">
      <c r="A450" s="1">
        <v>73</v>
      </c>
      <c r="B450" s="13">
        <f t="shared" si="44"/>
        <v>6551.3212653924638</v>
      </c>
      <c r="C450" s="22">
        <f>MIN('My Loans'!$F$6,B450+D450)</f>
        <v>178</v>
      </c>
      <c r="D450" s="22">
        <f>B450*'My Loans'!$E$6/12</f>
        <v>33.848493204527728</v>
      </c>
      <c r="E450" s="22">
        <f t="shared" si="42"/>
        <v>144.15150679547227</v>
      </c>
      <c r="F450" s="22">
        <f t="shared" si="43"/>
        <v>6407.1697585969914</v>
      </c>
    </row>
    <row r="451" spans="1:6" x14ac:dyDescent="0.25">
      <c r="A451" s="1">
        <v>74</v>
      </c>
      <c r="B451" s="13">
        <f t="shared" si="44"/>
        <v>6407.1697585969914</v>
      </c>
      <c r="C451" s="22">
        <f>MIN('My Loans'!$F$6,B451+D451)</f>
        <v>178</v>
      </c>
      <c r="D451" s="22">
        <f>B451*'My Loans'!$E$6/12</f>
        <v>33.103710419417787</v>
      </c>
      <c r="E451" s="22">
        <f t="shared" si="42"/>
        <v>144.89628958058222</v>
      </c>
      <c r="F451" s="22">
        <f t="shared" si="43"/>
        <v>6262.2734690164089</v>
      </c>
    </row>
    <row r="452" spans="1:6" x14ac:dyDescent="0.25">
      <c r="A452" s="1">
        <v>75</v>
      </c>
      <c r="B452" s="13">
        <f t="shared" si="44"/>
        <v>6262.2734690164089</v>
      </c>
      <c r="C452" s="22">
        <f>MIN('My Loans'!$F$6,B452+D452)</f>
        <v>178</v>
      </c>
      <c r="D452" s="22">
        <f>B452*'My Loans'!$E$6/12</f>
        <v>32.355079589918113</v>
      </c>
      <c r="E452" s="22">
        <f t="shared" si="42"/>
        <v>145.64492041008188</v>
      </c>
      <c r="F452" s="22">
        <f t="shared" si="43"/>
        <v>6116.6285486063271</v>
      </c>
    </row>
    <row r="453" spans="1:6" x14ac:dyDescent="0.25">
      <c r="A453" s="1">
        <v>76</v>
      </c>
      <c r="B453" s="13">
        <f t="shared" si="44"/>
        <v>6116.6285486063271</v>
      </c>
      <c r="C453" s="22">
        <f>MIN('My Loans'!$F$6,B453+D453)</f>
        <v>178</v>
      </c>
      <c r="D453" s="22">
        <f>B453*'My Loans'!$E$6/12</f>
        <v>31.602580834466025</v>
      </c>
      <c r="E453" s="22">
        <f t="shared" si="42"/>
        <v>146.39741916553396</v>
      </c>
      <c r="F453" s="22">
        <f t="shared" si="43"/>
        <v>5970.2311294407928</v>
      </c>
    </row>
    <row r="454" spans="1:6" x14ac:dyDescent="0.25">
      <c r="A454" s="1">
        <v>77</v>
      </c>
      <c r="B454" s="13">
        <f t="shared" si="44"/>
        <v>5970.2311294407928</v>
      </c>
      <c r="C454" s="22">
        <f>MIN('My Loans'!$F$6,B454+D454)</f>
        <v>178</v>
      </c>
      <c r="D454" s="22">
        <f>B454*'My Loans'!$E$6/12</f>
        <v>30.84619416877743</v>
      </c>
      <c r="E454" s="22">
        <f t="shared" si="42"/>
        <v>147.15380583122257</v>
      </c>
      <c r="F454" s="22">
        <f t="shared" si="43"/>
        <v>5823.0773236095702</v>
      </c>
    </row>
    <row r="455" spans="1:6" x14ac:dyDescent="0.25">
      <c r="A455" s="1">
        <v>78</v>
      </c>
      <c r="B455" s="13">
        <f t="shared" si="44"/>
        <v>5823.0773236095702</v>
      </c>
      <c r="C455" s="22">
        <f>MIN('My Loans'!$F$6,B455+D455)</f>
        <v>178</v>
      </c>
      <c r="D455" s="22">
        <f>B455*'My Loans'!$E$6/12</f>
        <v>30.08589950531611</v>
      </c>
      <c r="E455" s="22">
        <f t="shared" si="42"/>
        <v>147.91410049468388</v>
      </c>
      <c r="F455" s="22">
        <f t="shared" si="43"/>
        <v>5675.163223114886</v>
      </c>
    </row>
    <row r="456" spans="1:6" x14ac:dyDescent="0.25">
      <c r="A456" s="1">
        <v>79</v>
      </c>
      <c r="B456" s="13">
        <f t="shared" si="44"/>
        <v>5675.163223114886</v>
      </c>
      <c r="C456" s="22">
        <f>MIN('My Loans'!$F$6,B456+D456)</f>
        <v>178</v>
      </c>
      <c r="D456" s="22">
        <f>B456*'My Loans'!$E$6/12</f>
        <v>29.321676652760246</v>
      </c>
      <c r="E456" s="22">
        <f t="shared" si="42"/>
        <v>148.67832334723977</v>
      </c>
      <c r="F456" s="22">
        <f t="shared" si="43"/>
        <v>5526.4848997676463</v>
      </c>
    </row>
    <row r="457" spans="1:6" x14ac:dyDescent="0.25">
      <c r="A457" s="1">
        <v>80</v>
      </c>
      <c r="B457" s="13">
        <f t="shared" si="44"/>
        <v>5526.4848997676463</v>
      </c>
      <c r="C457" s="22">
        <f>MIN('My Loans'!$F$6,B457+D457)</f>
        <v>178</v>
      </c>
      <c r="D457" s="22">
        <f>B457*'My Loans'!$E$6/12</f>
        <v>28.553505315466172</v>
      </c>
      <c r="E457" s="22">
        <f t="shared" si="42"/>
        <v>149.44649468453383</v>
      </c>
      <c r="F457" s="22">
        <f t="shared" si="43"/>
        <v>5377.0384050831126</v>
      </c>
    </row>
    <row r="458" spans="1:6" x14ac:dyDescent="0.25">
      <c r="A458" s="1">
        <v>81</v>
      </c>
      <c r="B458" s="13">
        <f t="shared" si="44"/>
        <v>5377.0384050831126</v>
      </c>
      <c r="C458" s="22">
        <f>MIN('My Loans'!$F$6,B458+D458)</f>
        <v>178</v>
      </c>
      <c r="D458" s="22">
        <f>B458*'My Loans'!$E$6/12</f>
        <v>27.781365092929416</v>
      </c>
      <c r="E458" s="22">
        <f t="shared" si="42"/>
        <v>150.21863490707059</v>
      </c>
      <c r="F458" s="22">
        <f t="shared" si="43"/>
        <v>5226.8197701760419</v>
      </c>
    </row>
    <row r="459" spans="1:6" x14ac:dyDescent="0.25">
      <c r="A459" s="1">
        <v>82</v>
      </c>
      <c r="B459" s="13">
        <f t="shared" si="44"/>
        <v>5226.8197701760419</v>
      </c>
      <c r="C459" s="22">
        <f>MIN('My Loans'!$F$6,B459+D459)</f>
        <v>178</v>
      </c>
      <c r="D459" s="22">
        <f>B459*'My Loans'!$E$6/12</f>
        <v>27.005235479242884</v>
      </c>
      <c r="E459" s="22">
        <f t="shared" si="42"/>
        <v>150.99476452075712</v>
      </c>
      <c r="F459" s="22">
        <f t="shared" si="43"/>
        <v>5075.8250056552852</v>
      </c>
    </row>
    <row r="460" spans="1:6" x14ac:dyDescent="0.25">
      <c r="A460" s="1">
        <v>83</v>
      </c>
      <c r="B460" s="13">
        <f t="shared" si="44"/>
        <v>5075.8250056552852</v>
      </c>
      <c r="C460" s="22">
        <f>MIN('My Loans'!$F$6,B460+D460)</f>
        <v>178</v>
      </c>
      <c r="D460" s="22">
        <f>B460*'My Loans'!$E$6/12</f>
        <v>26.225095862552308</v>
      </c>
      <c r="E460" s="22">
        <f t="shared" si="42"/>
        <v>151.77490413744769</v>
      </c>
      <c r="F460" s="22">
        <f t="shared" si="43"/>
        <v>4924.0501015178379</v>
      </c>
    </row>
    <row r="461" spans="1:6" x14ac:dyDescent="0.25">
      <c r="A461" s="1">
        <v>84</v>
      </c>
      <c r="B461" s="13">
        <f t="shared" si="44"/>
        <v>4924.0501015178379</v>
      </c>
      <c r="C461" s="22">
        <f>MIN('My Loans'!$F$6,B461+D461)</f>
        <v>178</v>
      </c>
      <c r="D461" s="22">
        <f>B461*'My Loans'!$E$6/12</f>
        <v>25.440925524508827</v>
      </c>
      <c r="E461" s="22">
        <f t="shared" si="42"/>
        <v>152.55907447549117</v>
      </c>
      <c r="F461" s="22">
        <f t="shared" si="43"/>
        <v>4771.491027042347</v>
      </c>
    </row>
    <row r="462" spans="1:6" x14ac:dyDescent="0.25">
      <c r="A462" s="1">
        <v>85</v>
      </c>
      <c r="B462" s="13">
        <f t="shared" si="44"/>
        <v>4771.491027042347</v>
      </c>
      <c r="C462" s="22">
        <f>MIN('My Loans'!$F$6,B462+D462)</f>
        <v>178</v>
      </c>
      <c r="D462" s="22">
        <f>B462*'My Loans'!$E$6/12</f>
        <v>24.652703639718794</v>
      </c>
      <c r="E462" s="22">
        <f t="shared" si="42"/>
        <v>153.34729636028121</v>
      </c>
      <c r="F462" s="22">
        <f t="shared" si="43"/>
        <v>4618.1437306820662</v>
      </c>
    </row>
    <row r="463" spans="1:6" x14ac:dyDescent="0.25">
      <c r="A463" s="1">
        <v>86</v>
      </c>
      <c r="B463" s="13">
        <f t="shared" si="44"/>
        <v>4618.1437306820662</v>
      </c>
      <c r="C463" s="22">
        <f>MIN('My Loans'!$F$6,B463+D463)</f>
        <v>178</v>
      </c>
      <c r="D463" s="22">
        <f>B463*'My Loans'!$E$6/12</f>
        <v>23.860409275190676</v>
      </c>
      <c r="E463" s="22">
        <f t="shared" si="42"/>
        <v>154.13959072480932</v>
      </c>
      <c r="F463" s="22">
        <f t="shared" si="43"/>
        <v>4464.0041399572565</v>
      </c>
    </row>
    <row r="464" spans="1:6" x14ac:dyDescent="0.25">
      <c r="A464" s="1">
        <v>87</v>
      </c>
      <c r="B464" s="13">
        <f t="shared" si="44"/>
        <v>4464.0041399572565</v>
      </c>
      <c r="C464" s="22">
        <f>MIN('My Loans'!$F$6,B464+D464)</f>
        <v>178</v>
      </c>
      <c r="D464" s="22">
        <f>B464*'My Loans'!$E$6/12</f>
        <v>23.064021389779157</v>
      </c>
      <c r="E464" s="22">
        <f t="shared" si="42"/>
        <v>154.93597861022084</v>
      </c>
      <c r="F464" s="22">
        <f t="shared" si="43"/>
        <v>4309.068161347036</v>
      </c>
    </row>
    <row r="465" spans="1:6" x14ac:dyDescent="0.25">
      <c r="A465" s="1">
        <v>88</v>
      </c>
      <c r="B465" s="13">
        <f t="shared" si="44"/>
        <v>4309.068161347036</v>
      </c>
      <c r="C465" s="22">
        <f>MIN('My Loans'!$F$6,B465+D465)</f>
        <v>178</v>
      </c>
      <c r="D465" s="22">
        <f>B465*'My Loans'!$E$6/12</f>
        <v>22.263518833626353</v>
      </c>
      <c r="E465" s="22">
        <f t="shared" si="42"/>
        <v>155.73648116637364</v>
      </c>
      <c r="F465" s="22">
        <f t="shared" si="43"/>
        <v>4153.3316801806623</v>
      </c>
    </row>
    <row r="466" spans="1:6" x14ac:dyDescent="0.25">
      <c r="A466" s="1">
        <v>89</v>
      </c>
      <c r="B466" s="13">
        <f t="shared" si="44"/>
        <v>4153.3316801806623</v>
      </c>
      <c r="C466" s="22">
        <f>MIN('My Loans'!$F$6,B466+D466)</f>
        <v>178</v>
      </c>
      <c r="D466" s="22">
        <f>B466*'My Loans'!$E$6/12</f>
        <v>21.458880347600086</v>
      </c>
      <c r="E466" s="22">
        <f t="shared" si="42"/>
        <v>156.54111965239991</v>
      </c>
      <c r="F466" s="22">
        <f t="shared" si="43"/>
        <v>3996.7905605282622</v>
      </c>
    </row>
    <row r="467" spans="1:6" x14ac:dyDescent="0.25">
      <c r="A467" s="1">
        <v>90</v>
      </c>
      <c r="B467" s="13">
        <f t="shared" si="44"/>
        <v>3996.7905605282622</v>
      </c>
      <c r="C467" s="22">
        <f>MIN('My Loans'!$F$6,B467+D467)</f>
        <v>178</v>
      </c>
      <c r="D467" s="22">
        <f>B467*'My Loans'!$E$6/12</f>
        <v>20.650084562729354</v>
      </c>
      <c r="E467" s="22">
        <f t="shared" si="42"/>
        <v>157.34991543727065</v>
      </c>
      <c r="F467" s="22">
        <f t="shared" si="43"/>
        <v>3839.4406450909914</v>
      </c>
    </row>
    <row r="468" spans="1:6" x14ac:dyDescent="0.25">
      <c r="A468" s="1">
        <v>91</v>
      </c>
      <c r="B468" s="13">
        <f t="shared" si="44"/>
        <v>3839.4406450909914</v>
      </c>
      <c r="C468" s="22">
        <f>MIN('My Loans'!$F$6,B468+D468)</f>
        <v>178</v>
      </c>
      <c r="D468" s="22">
        <f>B468*'My Loans'!$E$6/12</f>
        <v>19.837109999636791</v>
      </c>
      <c r="E468" s="22">
        <f t="shared" si="42"/>
        <v>158.16289000036321</v>
      </c>
      <c r="F468" s="22">
        <f t="shared" si="43"/>
        <v>3681.277755090628</v>
      </c>
    </row>
    <row r="469" spans="1:6" x14ac:dyDescent="0.25">
      <c r="A469" s="1">
        <v>92</v>
      </c>
      <c r="B469" s="13">
        <f t="shared" si="44"/>
        <v>3681.277755090628</v>
      </c>
      <c r="C469" s="22">
        <f>MIN('My Loans'!$F$6,B469+D469)</f>
        <v>178</v>
      </c>
      <c r="D469" s="22">
        <f>B469*'My Loans'!$E$6/12</f>
        <v>19.019935067968245</v>
      </c>
      <c r="E469" s="22">
        <f t="shared" si="42"/>
        <v>158.98006493203175</v>
      </c>
      <c r="F469" s="22">
        <f t="shared" si="43"/>
        <v>3522.2976901585962</v>
      </c>
    </row>
    <row r="470" spans="1:6" x14ac:dyDescent="0.25">
      <c r="A470" s="1">
        <v>93</v>
      </c>
      <c r="B470" s="13">
        <f t="shared" si="44"/>
        <v>3522.2976901585962</v>
      </c>
      <c r="C470" s="22">
        <f>MIN('My Loans'!$F$6,B470+D470)</f>
        <v>178</v>
      </c>
      <c r="D470" s="22">
        <f>B470*'My Loans'!$E$6/12</f>
        <v>18.198538065819413</v>
      </c>
      <c r="E470" s="22">
        <f t="shared" si="42"/>
        <v>159.80146193418059</v>
      </c>
      <c r="F470" s="22">
        <f t="shared" si="43"/>
        <v>3362.4962282244155</v>
      </c>
    </row>
    <row r="471" spans="1:6" x14ac:dyDescent="0.25">
      <c r="A471" s="1">
        <v>94</v>
      </c>
      <c r="B471" s="13">
        <f t="shared" si="44"/>
        <v>3362.4962282244155</v>
      </c>
      <c r="C471" s="22">
        <f>MIN('My Loans'!$F$6,B471+D471)</f>
        <v>178</v>
      </c>
      <c r="D471" s="22">
        <f>B471*'My Loans'!$E$6/12</f>
        <v>17.37289717915948</v>
      </c>
      <c r="E471" s="22">
        <f t="shared" si="42"/>
        <v>160.62710282084052</v>
      </c>
      <c r="F471" s="22">
        <f t="shared" si="43"/>
        <v>3201.8691254035748</v>
      </c>
    </row>
    <row r="472" spans="1:6" x14ac:dyDescent="0.25">
      <c r="A472" s="1">
        <v>95</v>
      </c>
      <c r="B472" s="13">
        <f t="shared" si="44"/>
        <v>3201.8691254035748</v>
      </c>
      <c r="C472" s="22">
        <f>MIN('My Loans'!$F$6,B472+D472)</f>
        <v>178</v>
      </c>
      <c r="D472" s="22">
        <f>B472*'My Loans'!$E$6/12</f>
        <v>16.542990481251802</v>
      </c>
      <c r="E472" s="22">
        <f t="shared" si="42"/>
        <v>161.45700951874821</v>
      </c>
      <c r="F472" s="22">
        <f t="shared" si="43"/>
        <v>3040.4121158848266</v>
      </c>
    </row>
    <row r="473" spans="1:6" x14ac:dyDescent="0.25">
      <c r="A473" s="1">
        <v>96</v>
      </c>
      <c r="B473" s="13">
        <f t="shared" si="44"/>
        <v>3040.4121158848266</v>
      </c>
      <c r="C473" s="22">
        <f>MIN('My Loans'!$F$6,B473+D473)</f>
        <v>178</v>
      </c>
      <c r="D473" s="22">
        <f>B473*'My Loans'!$E$6/12</f>
        <v>15.708795932071604</v>
      </c>
      <c r="E473" s="22">
        <f t="shared" si="42"/>
        <v>162.29120406792839</v>
      </c>
      <c r="F473" s="22">
        <f t="shared" si="43"/>
        <v>2878.1209118168981</v>
      </c>
    </row>
    <row r="474" spans="1:6" x14ac:dyDescent="0.25">
      <c r="A474" s="1">
        <v>97</v>
      </c>
      <c r="B474" s="13">
        <f t="shared" si="44"/>
        <v>2878.1209118168981</v>
      </c>
      <c r="C474" s="22">
        <f>MIN('My Loans'!$F$6,B474+D474)</f>
        <v>178</v>
      </c>
      <c r="D474" s="22">
        <f>B474*'My Loans'!$E$6/12</f>
        <v>14.87029137772064</v>
      </c>
      <c r="E474" s="22">
        <f t="shared" ref="E474:E505" si="45">C474-D474</f>
        <v>163.12970862227937</v>
      </c>
      <c r="F474" s="22">
        <f t="shared" ref="F474:F505" si="46">MAX(0,B474-E474)</f>
        <v>2714.9912031946187</v>
      </c>
    </row>
    <row r="475" spans="1:6" x14ac:dyDescent="0.25">
      <c r="A475" s="1">
        <v>98</v>
      </c>
      <c r="B475" s="13">
        <f t="shared" ref="B475:B497" si="47">F474</f>
        <v>2714.9912031946187</v>
      </c>
      <c r="C475" s="22">
        <f>MIN('My Loans'!$F$6,B475+D475)</f>
        <v>178</v>
      </c>
      <c r="D475" s="22">
        <f>B475*'My Loans'!$E$6/12</f>
        <v>14.027454549838863</v>
      </c>
      <c r="E475" s="22">
        <f t="shared" si="45"/>
        <v>163.97254545016114</v>
      </c>
      <c r="F475" s="22">
        <f t="shared" si="46"/>
        <v>2551.0186577444574</v>
      </c>
    </row>
    <row r="476" spans="1:6" x14ac:dyDescent="0.25">
      <c r="A476" s="1">
        <v>99</v>
      </c>
      <c r="B476" s="13">
        <f t="shared" si="47"/>
        <v>2551.0186577444574</v>
      </c>
      <c r="C476" s="22">
        <f>MIN('My Loans'!$F$6,B476+D476)</f>
        <v>178</v>
      </c>
      <c r="D476" s="22">
        <f>B476*'My Loans'!$E$6/12</f>
        <v>13.18026306501303</v>
      </c>
      <c r="E476" s="22">
        <f t="shared" si="45"/>
        <v>164.81973693498696</v>
      </c>
      <c r="F476" s="22">
        <f t="shared" si="46"/>
        <v>2386.1989208094706</v>
      </c>
    </row>
    <row r="477" spans="1:6" x14ac:dyDescent="0.25">
      <c r="A477" s="1">
        <v>100</v>
      </c>
      <c r="B477" s="13">
        <f t="shared" si="47"/>
        <v>2386.1989208094706</v>
      </c>
      <c r="C477" s="22">
        <f>MIN('My Loans'!$F$6,B477+D477)</f>
        <v>178</v>
      </c>
      <c r="D477" s="22">
        <f>B477*'My Loans'!$E$6/12</f>
        <v>12.328694424182265</v>
      </c>
      <c r="E477" s="22">
        <f t="shared" si="45"/>
        <v>165.67130557581774</v>
      </c>
      <c r="F477" s="22">
        <f t="shared" si="46"/>
        <v>2220.5276152336528</v>
      </c>
    </row>
    <row r="478" spans="1:6" x14ac:dyDescent="0.25">
      <c r="A478" s="1">
        <v>101</v>
      </c>
      <c r="B478" s="13">
        <f t="shared" si="47"/>
        <v>2220.5276152336528</v>
      </c>
      <c r="C478" s="22">
        <f>MIN('My Loans'!$F$6,B478+D478)</f>
        <v>178</v>
      </c>
      <c r="D478" s="22">
        <f>B478*'My Loans'!$E$6/12</f>
        <v>11.472726012040539</v>
      </c>
      <c r="E478" s="22">
        <f t="shared" si="45"/>
        <v>166.52727398795946</v>
      </c>
      <c r="F478" s="22">
        <f t="shared" si="46"/>
        <v>2054.0003412456936</v>
      </c>
    </row>
    <row r="479" spans="1:6" x14ac:dyDescent="0.25">
      <c r="A479" s="1">
        <v>102</v>
      </c>
      <c r="B479" s="13">
        <f t="shared" si="47"/>
        <v>2054.0003412456936</v>
      </c>
      <c r="C479" s="22">
        <f>MIN('My Loans'!$F$6,B479+D479)</f>
        <v>178</v>
      </c>
      <c r="D479" s="22">
        <f>B479*'My Loans'!$E$6/12</f>
        <v>10.612335096436084</v>
      </c>
      <c r="E479" s="22">
        <f t="shared" si="45"/>
        <v>167.38766490356392</v>
      </c>
      <c r="F479" s="22">
        <f t="shared" si="46"/>
        <v>1886.6126763421296</v>
      </c>
    </row>
    <row r="480" spans="1:6" x14ac:dyDescent="0.25">
      <c r="A480" s="1">
        <v>103</v>
      </c>
      <c r="B480" s="13">
        <f t="shared" si="47"/>
        <v>1886.6126763421296</v>
      </c>
      <c r="C480" s="22">
        <f>MIN('My Loans'!$F$6,B480+D480)</f>
        <v>178</v>
      </c>
      <c r="D480" s="22">
        <f>B480*'My Loans'!$E$6/12</f>
        <v>9.7474988277676697</v>
      </c>
      <c r="E480" s="22">
        <f t="shared" si="45"/>
        <v>168.25250117223234</v>
      </c>
      <c r="F480" s="22">
        <f t="shared" si="46"/>
        <v>1718.3601751698973</v>
      </c>
    </row>
    <row r="481" spans="1:6" x14ac:dyDescent="0.25">
      <c r="A481" s="1">
        <v>104</v>
      </c>
      <c r="B481" s="13">
        <f t="shared" si="47"/>
        <v>1718.3601751698973</v>
      </c>
      <c r="C481" s="22">
        <f>MIN('My Loans'!$F$6,B481+D481)</f>
        <v>178</v>
      </c>
      <c r="D481" s="22">
        <f>B481*'My Loans'!$E$6/12</f>
        <v>8.8781942383778034</v>
      </c>
      <c r="E481" s="22">
        <f t="shared" si="45"/>
        <v>169.1218057616222</v>
      </c>
      <c r="F481" s="22">
        <f t="shared" si="46"/>
        <v>1549.238369408275</v>
      </c>
    </row>
    <row r="482" spans="1:6" x14ac:dyDescent="0.25">
      <c r="A482" s="1">
        <v>105</v>
      </c>
      <c r="B482" s="13">
        <f t="shared" si="47"/>
        <v>1549.238369408275</v>
      </c>
      <c r="C482" s="22">
        <f>MIN('My Loans'!$F$6,B482+D482)</f>
        <v>178</v>
      </c>
      <c r="D482" s="22">
        <f>B482*'My Loans'!$E$6/12</f>
        <v>8.004398241942754</v>
      </c>
      <c r="E482" s="22">
        <f t="shared" si="45"/>
        <v>169.99560175805723</v>
      </c>
      <c r="F482" s="22">
        <f t="shared" si="46"/>
        <v>1379.2427676502177</v>
      </c>
    </row>
    <row r="483" spans="1:6" x14ac:dyDescent="0.25">
      <c r="A483" s="1">
        <v>106</v>
      </c>
      <c r="B483" s="13">
        <f t="shared" si="47"/>
        <v>1379.2427676502177</v>
      </c>
      <c r="C483" s="22">
        <f>MIN('My Loans'!$F$6,B483+D483)</f>
        <v>178</v>
      </c>
      <c r="D483" s="22">
        <f>B483*'My Loans'!$E$6/12</f>
        <v>7.1260876328594582</v>
      </c>
      <c r="E483" s="22">
        <f t="shared" si="45"/>
        <v>170.87391236714055</v>
      </c>
      <c r="F483" s="22">
        <f t="shared" si="46"/>
        <v>1208.3688552830772</v>
      </c>
    </row>
    <row r="484" spans="1:6" x14ac:dyDescent="0.25">
      <c r="A484" s="1">
        <v>107</v>
      </c>
      <c r="B484" s="13">
        <f t="shared" si="47"/>
        <v>1208.3688552830772</v>
      </c>
      <c r="C484" s="22">
        <f>MIN('My Loans'!$F$6,B484+D484)</f>
        <v>178</v>
      </c>
      <c r="D484" s="22">
        <f>B484*'My Loans'!$E$6/12</f>
        <v>6.2432390856292317</v>
      </c>
      <c r="E484" s="22">
        <f t="shared" si="45"/>
        <v>171.75676091437077</v>
      </c>
      <c r="F484" s="22">
        <f t="shared" si="46"/>
        <v>1036.6120943687065</v>
      </c>
    </row>
    <row r="485" spans="1:6" x14ac:dyDescent="0.25">
      <c r="A485" s="1">
        <v>108</v>
      </c>
      <c r="B485" s="13">
        <f t="shared" si="47"/>
        <v>1036.6120943687065</v>
      </c>
      <c r="C485" s="22">
        <f>MIN('My Loans'!$F$6,B485+D485)</f>
        <v>178</v>
      </c>
      <c r="D485" s="22">
        <f>B485*'My Loans'!$E$6/12</f>
        <v>5.3558291542383172</v>
      </c>
      <c r="E485" s="22">
        <f t="shared" si="45"/>
        <v>172.64417084576169</v>
      </c>
      <c r="F485" s="22">
        <f t="shared" si="46"/>
        <v>863.96792352294483</v>
      </c>
    </row>
    <row r="486" spans="1:6" x14ac:dyDescent="0.25">
      <c r="A486" s="1">
        <v>109</v>
      </c>
      <c r="B486" s="13">
        <f t="shared" si="47"/>
        <v>863.96792352294483</v>
      </c>
      <c r="C486" s="22">
        <f>MIN('My Loans'!$F$6,B486+D486)</f>
        <v>178</v>
      </c>
      <c r="D486" s="22">
        <f>B486*'My Loans'!$E$6/12</f>
        <v>4.4638342715352151</v>
      </c>
      <c r="E486" s="22">
        <f t="shared" si="45"/>
        <v>173.53616572846479</v>
      </c>
      <c r="F486" s="22">
        <f t="shared" si="46"/>
        <v>690.43175779448006</v>
      </c>
    </row>
    <row r="487" spans="1:6" x14ac:dyDescent="0.25">
      <c r="A487" s="1">
        <v>110</v>
      </c>
      <c r="B487" s="13">
        <f t="shared" si="47"/>
        <v>690.43175779448006</v>
      </c>
      <c r="C487" s="22">
        <f>MIN('My Loans'!$F$6,B487+D487)</f>
        <v>178</v>
      </c>
      <c r="D487" s="22">
        <f>B487*'My Loans'!$E$6/12</f>
        <v>3.5672307486048136</v>
      </c>
      <c r="E487" s="22">
        <f t="shared" si="45"/>
        <v>174.4327692513952</v>
      </c>
      <c r="F487" s="22">
        <f t="shared" si="46"/>
        <v>515.99898854308481</v>
      </c>
    </row>
    <row r="488" spans="1:6" x14ac:dyDescent="0.25">
      <c r="A488" s="1">
        <v>111</v>
      </c>
      <c r="B488" s="13">
        <f t="shared" si="47"/>
        <v>515.99898854308481</v>
      </c>
      <c r="C488" s="22">
        <f>MIN('My Loans'!$F$6,B488+D488)</f>
        <v>178</v>
      </c>
      <c r="D488" s="22">
        <f>B488*'My Loans'!$E$6/12</f>
        <v>2.6659947741392718</v>
      </c>
      <c r="E488" s="22">
        <f t="shared" si="45"/>
        <v>175.33400522586072</v>
      </c>
      <c r="F488" s="22">
        <f t="shared" si="46"/>
        <v>340.66498331722408</v>
      </c>
    </row>
    <row r="489" spans="1:6" x14ac:dyDescent="0.25">
      <c r="A489" s="1">
        <v>112</v>
      </c>
      <c r="B489" s="13">
        <f t="shared" si="47"/>
        <v>340.66498331722408</v>
      </c>
      <c r="C489" s="22">
        <f>MIN('My Loans'!$F$6,B489+D489)</f>
        <v>178</v>
      </c>
      <c r="D489" s="22">
        <f>B489*'My Loans'!$E$6/12</f>
        <v>1.7601024138056578</v>
      </c>
      <c r="E489" s="22">
        <f t="shared" si="45"/>
        <v>176.23989758619433</v>
      </c>
      <c r="F489" s="22">
        <f t="shared" si="46"/>
        <v>164.42508573102975</v>
      </c>
    </row>
    <row r="490" spans="1:6" x14ac:dyDescent="0.25">
      <c r="A490" s="1">
        <v>113</v>
      </c>
      <c r="B490" s="13">
        <f t="shared" si="47"/>
        <v>164.42508573102975</v>
      </c>
      <c r="C490" s="22">
        <f>MIN('My Loans'!$F$6,B490+D490)</f>
        <v>165.27461534064008</v>
      </c>
      <c r="D490" s="22">
        <f>B490*'My Loans'!$E$6/12</f>
        <v>0.84952960961032042</v>
      </c>
      <c r="E490" s="22">
        <f t="shared" si="45"/>
        <v>164.42508573102975</v>
      </c>
      <c r="F490" s="22">
        <f t="shared" si="46"/>
        <v>0</v>
      </c>
    </row>
    <row r="491" spans="1:6" x14ac:dyDescent="0.25">
      <c r="A491" s="1">
        <v>114</v>
      </c>
      <c r="B491" s="13">
        <f t="shared" si="47"/>
        <v>0</v>
      </c>
      <c r="C491" s="22">
        <f>MIN('My Loans'!$F$6,B491+D491)</f>
        <v>0</v>
      </c>
      <c r="D491" s="22">
        <f>B491*'My Loans'!$E$6/12</f>
        <v>0</v>
      </c>
      <c r="E491" s="22">
        <f t="shared" si="45"/>
        <v>0</v>
      </c>
      <c r="F491" s="22">
        <f t="shared" si="46"/>
        <v>0</v>
      </c>
    </row>
    <row r="492" spans="1:6" x14ac:dyDescent="0.25">
      <c r="A492" s="1">
        <v>115</v>
      </c>
      <c r="B492" s="13">
        <f t="shared" si="47"/>
        <v>0</v>
      </c>
      <c r="C492" s="22">
        <f>MIN('My Loans'!$F$6,B492+D492)</f>
        <v>0</v>
      </c>
      <c r="D492" s="22">
        <f>B492*'My Loans'!$E$6/12</f>
        <v>0</v>
      </c>
      <c r="E492" s="22">
        <f t="shared" si="45"/>
        <v>0</v>
      </c>
      <c r="F492" s="22">
        <f t="shared" si="46"/>
        <v>0</v>
      </c>
    </row>
    <row r="493" spans="1:6" x14ac:dyDescent="0.25">
      <c r="A493" s="1">
        <v>116</v>
      </c>
      <c r="B493" s="13">
        <f t="shared" si="47"/>
        <v>0</v>
      </c>
      <c r="C493" s="22">
        <f>MIN('My Loans'!$F$6,B493+D493)</f>
        <v>0</v>
      </c>
      <c r="D493" s="22">
        <f>B493*'My Loans'!$E$6/12</f>
        <v>0</v>
      </c>
      <c r="E493" s="22">
        <f t="shared" si="45"/>
        <v>0</v>
      </c>
      <c r="F493" s="22">
        <f t="shared" si="46"/>
        <v>0</v>
      </c>
    </row>
    <row r="494" spans="1:6" x14ac:dyDescent="0.25">
      <c r="A494" s="1">
        <v>117</v>
      </c>
      <c r="B494" s="13">
        <f t="shared" si="47"/>
        <v>0</v>
      </c>
      <c r="C494" s="22">
        <f>MIN('My Loans'!$F$6,B494+D494)</f>
        <v>0</v>
      </c>
      <c r="D494" s="22">
        <f>B494*'My Loans'!$E$6/12</f>
        <v>0</v>
      </c>
      <c r="E494" s="22">
        <f t="shared" si="45"/>
        <v>0</v>
      </c>
      <c r="F494" s="22">
        <f t="shared" si="46"/>
        <v>0</v>
      </c>
    </row>
    <row r="495" spans="1:6" x14ac:dyDescent="0.25">
      <c r="A495" s="1">
        <v>118</v>
      </c>
      <c r="B495" s="13">
        <f t="shared" si="47"/>
        <v>0</v>
      </c>
      <c r="C495" s="22">
        <f>MIN('My Loans'!$F$6,B495+D495)</f>
        <v>0</v>
      </c>
      <c r="D495" s="22">
        <f>B495*'My Loans'!$E$6/12</f>
        <v>0</v>
      </c>
      <c r="E495" s="22">
        <f t="shared" si="45"/>
        <v>0</v>
      </c>
      <c r="F495" s="22">
        <f t="shared" si="46"/>
        <v>0</v>
      </c>
    </row>
    <row r="496" spans="1:6" x14ac:dyDescent="0.25">
      <c r="A496" s="1">
        <v>119</v>
      </c>
      <c r="B496" s="13">
        <f t="shared" si="47"/>
        <v>0</v>
      </c>
      <c r="C496" s="22">
        <f>MIN('My Loans'!$F$6,B496+D496)</f>
        <v>0</v>
      </c>
      <c r="D496" s="22">
        <f>B496*'My Loans'!$E$6/12</f>
        <v>0</v>
      </c>
      <c r="E496" s="22">
        <f t="shared" si="45"/>
        <v>0</v>
      </c>
      <c r="F496" s="22">
        <f t="shared" si="46"/>
        <v>0</v>
      </c>
    </row>
    <row r="497" spans="1:6" x14ac:dyDescent="0.25">
      <c r="A497" s="1">
        <v>120</v>
      </c>
      <c r="B497" s="13">
        <f t="shared" si="47"/>
        <v>0</v>
      </c>
      <c r="C497" s="22">
        <f>MIN('My Loans'!$F$6,B497+D497)</f>
        <v>0</v>
      </c>
      <c r="D497" s="22">
        <f>B497*'My Loans'!$E$6/12</f>
        <v>0</v>
      </c>
      <c r="E497" s="22">
        <f t="shared" si="45"/>
        <v>0</v>
      </c>
      <c r="F497" s="22">
        <f t="shared" si="46"/>
        <v>0</v>
      </c>
    </row>
    <row r="498" spans="1:6" x14ac:dyDescent="0.25">
      <c r="A498" s="1" t="s">
        <v>96</v>
      </c>
      <c r="B498" s="13">
        <f>SUM(D378:D497)</f>
        <v>4901.2746153406406</v>
      </c>
    </row>
    <row r="500" spans="1:6" x14ac:dyDescent="0.25">
      <c r="A500" s="3" t="s">
        <v>100</v>
      </c>
    </row>
    <row r="501" spans="1:6" x14ac:dyDescent="0.25">
      <c r="A501" s="2" t="s">
        <v>32</v>
      </c>
      <c r="B501" s="2" t="s">
        <v>91</v>
      </c>
      <c r="C501" s="21" t="s">
        <v>92</v>
      </c>
      <c r="D501" s="21" t="s">
        <v>93</v>
      </c>
      <c r="E501" s="21" t="s">
        <v>94</v>
      </c>
      <c r="F501" s="21" t="s">
        <v>95</v>
      </c>
    </row>
    <row r="502" spans="1:6" x14ac:dyDescent="0.25">
      <c r="A502" s="1">
        <v>1</v>
      </c>
      <c r="B502" s="13">
        <f>'My Loans'!$D$7</f>
        <v>9800</v>
      </c>
      <c r="C502" s="22">
        <f>MIN('My Loans'!$F$7,B502+D502)</f>
        <v>112</v>
      </c>
      <c r="D502" s="22">
        <f>B502*'My Loans'!$E$7/12</f>
        <v>40.016666666666673</v>
      </c>
      <c r="E502" s="22">
        <f t="shared" ref="E502:E533" si="48">C502-D502</f>
        <v>71.98333333333332</v>
      </c>
      <c r="F502" s="22">
        <f t="shared" ref="F502:F533" si="49">MAX(0,B502-E502)</f>
        <v>9728.0166666666664</v>
      </c>
    </row>
    <row r="503" spans="1:6" x14ac:dyDescent="0.25">
      <c r="A503" s="1">
        <v>2</v>
      </c>
      <c r="B503" s="13">
        <f t="shared" ref="B503:B534" si="50">F502</f>
        <v>9728.0166666666664</v>
      </c>
      <c r="C503" s="22">
        <f>MIN('My Loans'!$F$7,B503+D503)</f>
        <v>112</v>
      </c>
      <c r="D503" s="22">
        <f>B503*'My Loans'!$E$7/12</f>
        <v>39.722734722222221</v>
      </c>
      <c r="E503" s="22">
        <f t="shared" si="48"/>
        <v>72.277265277777786</v>
      </c>
      <c r="F503" s="22">
        <f t="shared" si="49"/>
        <v>9655.7394013888879</v>
      </c>
    </row>
    <row r="504" spans="1:6" x14ac:dyDescent="0.25">
      <c r="A504" s="1">
        <v>3</v>
      </c>
      <c r="B504" s="13">
        <f t="shared" si="50"/>
        <v>9655.7394013888879</v>
      </c>
      <c r="C504" s="22">
        <f>MIN('My Loans'!$F$7,B504+D504)</f>
        <v>112</v>
      </c>
      <c r="D504" s="22">
        <f>B504*'My Loans'!$E$7/12</f>
        <v>39.427602555671292</v>
      </c>
      <c r="E504" s="22">
        <f t="shared" si="48"/>
        <v>72.572397444328715</v>
      </c>
      <c r="F504" s="22">
        <f t="shared" si="49"/>
        <v>9583.1670039445598</v>
      </c>
    </row>
    <row r="505" spans="1:6" x14ac:dyDescent="0.25">
      <c r="A505" s="1">
        <v>4</v>
      </c>
      <c r="B505" s="13">
        <f t="shared" si="50"/>
        <v>9583.1670039445598</v>
      </c>
      <c r="C505" s="22">
        <f>MIN('My Loans'!$F$7,B505+D505)</f>
        <v>112</v>
      </c>
      <c r="D505" s="22">
        <f>B505*'My Loans'!$E$7/12</f>
        <v>39.131265266106958</v>
      </c>
      <c r="E505" s="22">
        <f t="shared" si="48"/>
        <v>72.868734733893035</v>
      </c>
      <c r="F505" s="22">
        <f t="shared" si="49"/>
        <v>9510.2982692106671</v>
      </c>
    </row>
    <row r="506" spans="1:6" x14ac:dyDescent="0.25">
      <c r="A506" s="1">
        <v>5</v>
      </c>
      <c r="B506" s="13">
        <f t="shared" si="50"/>
        <v>9510.2982692106671</v>
      </c>
      <c r="C506" s="22">
        <f>MIN('My Loans'!$F$7,B506+D506)</f>
        <v>112</v>
      </c>
      <c r="D506" s="22">
        <f>B506*'My Loans'!$E$7/12</f>
        <v>38.833717932610227</v>
      </c>
      <c r="E506" s="22">
        <f t="shared" si="48"/>
        <v>73.166282067389773</v>
      </c>
      <c r="F506" s="22">
        <f t="shared" si="49"/>
        <v>9437.131987143277</v>
      </c>
    </row>
    <row r="507" spans="1:6" x14ac:dyDescent="0.25">
      <c r="A507" s="1">
        <v>6</v>
      </c>
      <c r="B507" s="13">
        <f t="shared" si="50"/>
        <v>9437.131987143277</v>
      </c>
      <c r="C507" s="22">
        <f>MIN('My Loans'!$F$7,B507+D507)</f>
        <v>112</v>
      </c>
      <c r="D507" s="22">
        <f>B507*'My Loans'!$E$7/12</f>
        <v>38.534955614168382</v>
      </c>
      <c r="E507" s="22">
        <f t="shared" si="48"/>
        <v>73.465044385831618</v>
      </c>
      <c r="F507" s="22">
        <f t="shared" si="49"/>
        <v>9363.6669427574452</v>
      </c>
    </row>
    <row r="508" spans="1:6" x14ac:dyDescent="0.25">
      <c r="A508" s="1">
        <v>7</v>
      </c>
      <c r="B508" s="13">
        <f t="shared" si="50"/>
        <v>9363.6669427574452</v>
      </c>
      <c r="C508" s="22">
        <f>MIN('My Loans'!$F$7,B508+D508)</f>
        <v>112</v>
      </c>
      <c r="D508" s="22">
        <f>B508*'My Loans'!$E$7/12</f>
        <v>38.234973349592899</v>
      </c>
      <c r="E508" s="22">
        <f t="shared" si="48"/>
        <v>73.765026650407094</v>
      </c>
      <c r="F508" s="22">
        <f t="shared" si="49"/>
        <v>9289.9019161070373</v>
      </c>
    </row>
    <row r="509" spans="1:6" x14ac:dyDescent="0.25">
      <c r="A509" s="1">
        <v>8</v>
      </c>
      <c r="B509" s="13">
        <f t="shared" si="50"/>
        <v>9289.9019161070373</v>
      </c>
      <c r="C509" s="22">
        <f>MIN('My Loans'!$F$7,B509+D509)</f>
        <v>112</v>
      </c>
      <c r="D509" s="22">
        <f>B509*'My Loans'!$E$7/12</f>
        <v>37.93376615743707</v>
      </c>
      <c r="E509" s="22">
        <f t="shared" si="48"/>
        <v>74.066233842562923</v>
      </c>
      <c r="F509" s="22">
        <f t="shared" si="49"/>
        <v>9215.8356822644746</v>
      </c>
    </row>
    <row r="510" spans="1:6" x14ac:dyDescent="0.25">
      <c r="A510" s="1">
        <v>9</v>
      </c>
      <c r="B510" s="13">
        <f t="shared" si="50"/>
        <v>9215.8356822644746</v>
      </c>
      <c r="C510" s="22">
        <f>MIN('My Loans'!$F$7,B510+D510)</f>
        <v>112</v>
      </c>
      <c r="D510" s="22">
        <f>B510*'My Loans'!$E$7/12</f>
        <v>37.631329035913275</v>
      </c>
      <c r="E510" s="22">
        <f t="shared" si="48"/>
        <v>74.368670964086732</v>
      </c>
      <c r="F510" s="22">
        <f t="shared" si="49"/>
        <v>9141.4670113003885</v>
      </c>
    </row>
    <row r="511" spans="1:6" x14ac:dyDescent="0.25">
      <c r="A511" s="1">
        <v>10</v>
      </c>
      <c r="B511" s="13">
        <f t="shared" si="50"/>
        <v>9141.4670113003885</v>
      </c>
      <c r="C511" s="22">
        <f>MIN('My Loans'!$F$7,B511+D511)</f>
        <v>112</v>
      </c>
      <c r="D511" s="22">
        <f>B511*'My Loans'!$E$7/12</f>
        <v>37.327656962809918</v>
      </c>
      <c r="E511" s="22">
        <f t="shared" si="48"/>
        <v>74.672343037190075</v>
      </c>
      <c r="F511" s="22">
        <f t="shared" si="49"/>
        <v>9066.7946682631991</v>
      </c>
    </row>
    <row r="512" spans="1:6" x14ac:dyDescent="0.25">
      <c r="A512" s="1">
        <v>11</v>
      </c>
      <c r="B512" s="13">
        <f t="shared" si="50"/>
        <v>9066.7946682631991</v>
      </c>
      <c r="C512" s="22">
        <f>MIN('My Loans'!$F$7,B512+D512)</f>
        <v>112</v>
      </c>
      <c r="D512" s="22">
        <f>B512*'My Loans'!$E$7/12</f>
        <v>37.02274489540806</v>
      </c>
      <c r="E512" s="22">
        <f t="shared" si="48"/>
        <v>74.977255104591933</v>
      </c>
      <c r="F512" s="22">
        <f t="shared" si="49"/>
        <v>8991.8174131586075</v>
      </c>
    </row>
    <row r="513" spans="1:6" x14ac:dyDescent="0.25">
      <c r="A513" s="1">
        <v>12</v>
      </c>
      <c r="B513" s="13">
        <f t="shared" si="50"/>
        <v>8991.8174131586075</v>
      </c>
      <c r="C513" s="22">
        <f>MIN('My Loans'!$F$7,B513+D513)</f>
        <v>112</v>
      </c>
      <c r="D513" s="22">
        <f>B513*'My Loans'!$E$7/12</f>
        <v>36.716587770397645</v>
      </c>
      <c r="E513" s="22">
        <f t="shared" si="48"/>
        <v>75.283412229602362</v>
      </c>
      <c r="F513" s="22">
        <f t="shared" si="49"/>
        <v>8916.5340009290048</v>
      </c>
    </row>
    <row r="514" spans="1:6" x14ac:dyDescent="0.25">
      <c r="A514" s="1">
        <v>13</v>
      </c>
      <c r="B514" s="13">
        <f t="shared" si="50"/>
        <v>8916.5340009290048</v>
      </c>
      <c r="C514" s="22">
        <f>MIN('My Loans'!$F$7,B514+D514)</f>
        <v>112</v>
      </c>
      <c r="D514" s="22">
        <f>B514*'My Loans'!$E$7/12</f>
        <v>36.409180503793436</v>
      </c>
      <c r="E514" s="22">
        <f t="shared" si="48"/>
        <v>75.590819496206564</v>
      </c>
      <c r="F514" s="22">
        <f t="shared" si="49"/>
        <v>8840.9431814327982</v>
      </c>
    </row>
    <row r="515" spans="1:6" x14ac:dyDescent="0.25">
      <c r="A515" s="1">
        <v>14</v>
      </c>
      <c r="B515" s="13">
        <f t="shared" si="50"/>
        <v>8840.9431814327982</v>
      </c>
      <c r="C515" s="22">
        <f>MIN('My Loans'!$F$7,B515+D515)</f>
        <v>112</v>
      </c>
      <c r="D515" s="22">
        <f>B515*'My Loans'!$E$7/12</f>
        <v>36.100517990850598</v>
      </c>
      <c r="E515" s="22">
        <f t="shared" si="48"/>
        <v>75.899482009149409</v>
      </c>
      <c r="F515" s="22">
        <f t="shared" si="49"/>
        <v>8765.0436994236479</v>
      </c>
    </row>
    <row r="516" spans="1:6" x14ac:dyDescent="0.25">
      <c r="A516" s="1">
        <v>15</v>
      </c>
      <c r="B516" s="13">
        <f t="shared" si="50"/>
        <v>8765.0436994236479</v>
      </c>
      <c r="C516" s="22">
        <f>MIN('My Loans'!$F$7,B516+D516)</f>
        <v>112</v>
      </c>
      <c r="D516" s="22">
        <f>B516*'My Loans'!$E$7/12</f>
        <v>35.790595105979897</v>
      </c>
      <c r="E516" s="22">
        <f t="shared" si="48"/>
        <v>76.209404894020111</v>
      </c>
      <c r="F516" s="22">
        <f t="shared" si="49"/>
        <v>8688.8342945296281</v>
      </c>
    </row>
    <row r="517" spans="1:6" x14ac:dyDescent="0.25">
      <c r="A517" s="1">
        <v>16</v>
      </c>
      <c r="B517" s="13">
        <f t="shared" si="50"/>
        <v>8688.8342945296281</v>
      </c>
      <c r="C517" s="22">
        <f>MIN('My Loans'!$F$7,B517+D517)</f>
        <v>112</v>
      </c>
      <c r="D517" s="22">
        <f>B517*'My Loans'!$E$7/12</f>
        <v>35.479406702662651</v>
      </c>
      <c r="E517" s="22">
        <f t="shared" si="48"/>
        <v>76.520593297337342</v>
      </c>
      <c r="F517" s="22">
        <f t="shared" si="49"/>
        <v>8612.3137012322914</v>
      </c>
    </row>
    <row r="518" spans="1:6" x14ac:dyDescent="0.25">
      <c r="A518" s="1">
        <v>17</v>
      </c>
      <c r="B518" s="13">
        <f t="shared" si="50"/>
        <v>8612.3137012322914</v>
      </c>
      <c r="C518" s="22">
        <f>MIN('My Loans'!$F$7,B518+D518)</f>
        <v>112</v>
      </c>
      <c r="D518" s="22">
        <f>B518*'My Loans'!$E$7/12</f>
        <v>35.166947613365188</v>
      </c>
      <c r="E518" s="22">
        <f t="shared" si="48"/>
        <v>76.833052386634819</v>
      </c>
      <c r="F518" s="22">
        <f t="shared" si="49"/>
        <v>8535.4806488456561</v>
      </c>
    </row>
    <row r="519" spans="1:6" x14ac:dyDescent="0.25">
      <c r="A519" s="1">
        <v>18</v>
      </c>
      <c r="B519" s="13">
        <f t="shared" si="50"/>
        <v>8535.4806488456561</v>
      </c>
      <c r="C519" s="22">
        <f>MIN('My Loans'!$F$7,B519+D519)</f>
        <v>112</v>
      </c>
      <c r="D519" s="22">
        <f>B519*'My Loans'!$E$7/12</f>
        <v>34.853212649453098</v>
      </c>
      <c r="E519" s="22">
        <f t="shared" si="48"/>
        <v>77.146787350546902</v>
      </c>
      <c r="F519" s="22">
        <f t="shared" si="49"/>
        <v>8458.3338614951099</v>
      </c>
    </row>
    <row r="520" spans="1:6" x14ac:dyDescent="0.25">
      <c r="A520" s="1">
        <v>19</v>
      </c>
      <c r="B520" s="13">
        <f t="shared" si="50"/>
        <v>8458.3338614951099</v>
      </c>
      <c r="C520" s="22">
        <f>MIN('My Loans'!$F$7,B520+D520)</f>
        <v>112</v>
      </c>
      <c r="D520" s="22">
        <f>B520*'My Loans'!$E$7/12</f>
        <v>34.538196601105035</v>
      </c>
      <c r="E520" s="22">
        <f t="shared" si="48"/>
        <v>77.461803398894972</v>
      </c>
      <c r="F520" s="22">
        <f t="shared" si="49"/>
        <v>8380.8720580962145</v>
      </c>
    </row>
    <row r="521" spans="1:6" x14ac:dyDescent="0.25">
      <c r="A521" s="1">
        <v>20</v>
      </c>
      <c r="B521" s="13">
        <f t="shared" si="50"/>
        <v>8380.8720580962145</v>
      </c>
      <c r="C521" s="22">
        <f>MIN('My Loans'!$F$7,B521+D521)</f>
        <v>112</v>
      </c>
      <c r="D521" s="22">
        <f>B521*'My Loans'!$E$7/12</f>
        <v>34.221894237226209</v>
      </c>
      <c r="E521" s="22">
        <f t="shared" si="48"/>
        <v>77.778105762773791</v>
      </c>
      <c r="F521" s="22">
        <f t="shared" si="49"/>
        <v>8303.09395233344</v>
      </c>
    </row>
    <row r="522" spans="1:6" x14ac:dyDescent="0.25">
      <c r="A522" s="1">
        <v>21</v>
      </c>
      <c r="B522" s="13">
        <f t="shared" si="50"/>
        <v>8303.09395233344</v>
      </c>
      <c r="C522" s="22">
        <f>MIN('My Loans'!$F$7,B522+D522)</f>
        <v>112</v>
      </c>
      <c r="D522" s="22">
        <f>B522*'My Loans'!$E$7/12</f>
        <v>33.904300305361552</v>
      </c>
      <c r="E522" s="22">
        <f t="shared" si="48"/>
        <v>78.095699694638455</v>
      </c>
      <c r="F522" s="22">
        <f t="shared" si="49"/>
        <v>8224.9982526388012</v>
      </c>
    </row>
    <row r="523" spans="1:6" x14ac:dyDescent="0.25">
      <c r="A523" s="1">
        <v>22</v>
      </c>
      <c r="B523" s="13">
        <f t="shared" si="50"/>
        <v>8224.9982526388012</v>
      </c>
      <c r="C523" s="22">
        <f>MIN('My Loans'!$F$7,B523+D523)</f>
        <v>112</v>
      </c>
      <c r="D523" s="22">
        <f>B523*'My Loans'!$E$7/12</f>
        <v>33.585409531608441</v>
      </c>
      <c r="E523" s="22">
        <f t="shared" si="48"/>
        <v>78.414590468391566</v>
      </c>
      <c r="F523" s="22">
        <f t="shared" si="49"/>
        <v>8146.5836621704093</v>
      </c>
    </row>
    <row r="524" spans="1:6" x14ac:dyDescent="0.25">
      <c r="A524" s="1">
        <v>23</v>
      </c>
      <c r="B524" s="13">
        <f t="shared" si="50"/>
        <v>8146.5836621704093</v>
      </c>
      <c r="C524" s="22">
        <f>MIN('My Loans'!$F$7,B524+D524)</f>
        <v>112</v>
      </c>
      <c r="D524" s="22">
        <f>B524*'My Loans'!$E$7/12</f>
        <v>33.265216620529173</v>
      </c>
      <c r="E524" s="22">
        <f t="shared" si="48"/>
        <v>78.734783379470827</v>
      </c>
      <c r="F524" s="22">
        <f t="shared" si="49"/>
        <v>8067.8488787909382</v>
      </c>
    </row>
    <row r="525" spans="1:6" x14ac:dyDescent="0.25">
      <c r="A525" s="1">
        <v>24</v>
      </c>
      <c r="B525" s="13">
        <f t="shared" si="50"/>
        <v>8067.8488787909382</v>
      </c>
      <c r="C525" s="22">
        <f>MIN('My Loans'!$F$7,B525+D525)</f>
        <v>112</v>
      </c>
      <c r="D525" s="22">
        <f>B525*'My Loans'!$E$7/12</f>
        <v>32.943716255063002</v>
      </c>
      <c r="E525" s="22">
        <f t="shared" si="48"/>
        <v>79.056283744936991</v>
      </c>
      <c r="F525" s="22">
        <f t="shared" si="49"/>
        <v>7988.7925950460012</v>
      </c>
    </row>
    <row r="526" spans="1:6" x14ac:dyDescent="0.25">
      <c r="A526" s="1">
        <v>25</v>
      </c>
      <c r="B526" s="13">
        <f t="shared" si="50"/>
        <v>7988.7925950460012</v>
      </c>
      <c r="C526" s="22">
        <f>MIN('My Loans'!$F$7,B526+D526)</f>
        <v>112</v>
      </c>
      <c r="D526" s="22">
        <f>B526*'My Loans'!$E$7/12</f>
        <v>32.620903096437836</v>
      </c>
      <c r="E526" s="22">
        <f t="shared" si="48"/>
        <v>79.379096903562157</v>
      </c>
      <c r="F526" s="22">
        <f t="shared" si="49"/>
        <v>7909.4134981424395</v>
      </c>
    </row>
    <row r="527" spans="1:6" x14ac:dyDescent="0.25">
      <c r="A527" s="1">
        <v>26</v>
      </c>
      <c r="B527" s="13">
        <f t="shared" si="50"/>
        <v>7909.4134981424395</v>
      </c>
      <c r="C527" s="22">
        <f>MIN('My Loans'!$F$7,B527+D527)</f>
        <v>112</v>
      </c>
      <c r="D527" s="22">
        <f>B527*'My Loans'!$E$7/12</f>
        <v>32.296771784081628</v>
      </c>
      <c r="E527" s="22">
        <f t="shared" si="48"/>
        <v>79.703228215918372</v>
      </c>
      <c r="F527" s="22">
        <f t="shared" si="49"/>
        <v>7829.7102699265215</v>
      </c>
    </row>
    <row r="528" spans="1:6" x14ac:dyDescent="0.25">
      <c r="A528" s="1">
        <v>27</v>
      </c>
      <c r="B528" s="13">
        <f t="shared" si="50"/>
        <v>7829.7102699265215</v>
      </c>
      <c r="C528" s="22">
        <f>MIN('My Loans'!$F$7,B528+D528)</f>
        <v>112</v>
      </c>
      <c r="D528" s="22">
        <f>B528*'My Loans'!$E$7/12</f>
        <v>31.971316935533295</v>
      </c>
      <c r="E528" s="22">
        <f t="shared" si="48"/>
        <v>80.028683064466705</v>
      </c>
      <c r="F528" s="22">
        <f t="shared" si="49"/>
        <v>7749.6815868620552</v>
      </c>
    </row>
    <row r="529" spans="1:6" x14ac:dyDescent="0.25">
      <c r="A529" s="1">
        <v>28</v>
      </c>
      <c r="B529" s="13">
        <f t="shared" si="50"/>
        <v>7749.6815868620552</v>
      </c>
      <c r="C529" s="22">
        <f>MIN('My Loans'!$F$7,B529+D529)</f>
        <v>112</v>
      </c>
      <c r="D529" s="22">
        <f>B529*'My Loans'!$E$7/12</f>
        <v>31.644533146353393</v>
      </c>
      <c r="E529" s="22">
        <f t="shared" si="48"/>
        <v>80.355466853646604</v>
      </c>
      <c r="F529" s="22">
        <f t="shared" si="49"/>
        <v>7669.3261200084089</v>
      </c>
    </row>
    <row r="530" spans="1:6" x14ac:dyDescent="0.25">
      <c r="A530" s="1">
        <v>29</v>
      </c>
      <c r="B530" s="13">
        <f t="shared" si="50"/>
        <v>7669.3261200084089</v>
      </c>
      <c r="C530" s="22">
        <f>MIN('My Loans'!$F$7,B530+D530)</f>
        <v>112</v>
      </c>
      <c r="D530" s="22">
        <f>B530*'My Loans'!$E$7/12</f>
        <v>31.316414990034335</v>
      </c>
      <c r="E530" s="22">
        <f t="shared" si="48"/>
        <v>80.683585009965668</v>
      </c>
      <c r="F530" s="22">
        <f t="shared" si="49"/>
        <v>7588.6425349984429</v>
      </c>
    </row>
    <row r="531" spans="1:6" x14ac:dyDescent="0.25">
      <c r="A531" s="1">
        <v>30</v>
      </c>
      <c r="B531" s="13">
        <f t="shared" si="50"/>
        <v>7588.6425349984429</v>
      </c>
      <c r="C531" s="22">
        <f>MIN('My Loans'!$F$7,B531+D531)</f>
        <v>112</v>
      </c>
      <c r="D531" s="22">
        <f>B531*'My Loans'!$E$7/12</f>
        <v>30.98695701791031</v>
      </c>
      <c r="E531" s="22">
        <f t="shared" si="48"/>
        <v>81.013042982089686</v>
      </c>
      <c r="F531" s="22">
        <f t="shared" si="49"/>
        <v>7507.6294920163537</v>
      </c>
    </row>
    <row r="532" spans="1:6" x14ac:dyDescent="0.25">
      <c r="A532" s="1">
        <v>31</v>
      </c>
      <c r="B532" s="13">
        <f t="shared" si="50"/>
        <v>7507.6294920163537</v>
      </c>
      <c r="C532" s="22">
        <f>MIN('My Loans'!$F$7,B532+D532)</f>
        <v>112</v>
      </c>
      <c r="D532" s="22">
        <f>B532*'My Loans'!$E$7/12</f>
        <v>30.656153759066779</v>
      </c>
      <c r="E532" s="22">
        <f t="shared" si="48"/>
        <v>81.343846240933217</v>
      </c>
      <c r="F532" s="22">
        <f t="shared" si="49"/>
        <v>7426.2856457754206</v>
      </c>
    </row>
    <row r="533" spans="1:6" x14ac:dyDescent="0.25">
      <c r="A533" s="1">
        <v>32</v>
      </c>
      <c r="B533" s="13">
        <f t="shared" si="50"/>
        <v>7426.2856457754206</v>
      </c>
      <c r="C533" s="22">
        <f>MIN('My Loans'!$F$7,B533+D533)</f>
        <v>112</v>
      </c>
      <c r="D533" s="22">
        <f>B533*'My Loans'!$E$7/12</f>
        <v>30.323999720249635</v>
      </c>
      <c r="E533" s="22">
        <f t="shared" si="48"/>
        <v>81.676000279750369</v>
      </c>
      <c r="F533" s="22">
        <f t="shared" si="49"/>
        <v>7344.6096454956705</v>
      </c>
    </row>
    <row r="534" spans="1:6" x14ac:dyDescent="0.25">
      <c r="A534" s="1">
        <v>33</v>
      </c>
      <c r="B534" s="13">
        <f t="shared" si="50"/>
        <v>7344.6096454956705</v>
      </c>
      <c r="C534" s="22">
        <f>MIN('My Loans'!$F$7,B534+D534)</f>
        <v>112</v>
      </c>
      <c r="D534" s="22">
        <f>B534*'My Loans'!$E$7/12</f>
        <v>29.990489385773987</v>
      </c>
      <c r="E534" s="22">
        <f t="shared" ref="E534:E565" si="51">C534-D534</f>
        <v>82.009510614226016</v>
      </c>
      <c r="F534" s="22">
        <f t="shared" ref="F534:F565" si="52">MAX(0,B534-E534)</f>
        <v>7262.6001348814443</v>
      </c>
    </row>
    <row r="535" spans="1:6" x14ac:dyDescent="0.25">
      <c r="A535" s="1">
        <v>34</v>
      </c>
      <c r="B535" s="13">
        <f t="shared" ref="B535:B566" si="53">F534</f>
        <v>7262.6001348814443</v>
      </c>
      <c r="C535" s="22">
        <f>MIN('My Loans'!$F$7,B535+D535)</f>
        <v>112</v>
      </c>
      <c r="D535" s="22">
        <f>B535*'My Loans'!$E$7/12</f>
        <v>29.655617217432564</v>
      </c>
      <c r="E535" s="22">
        <f t="shared" si="51"/>
        <v>82.344382782567436</v>
      </c>
      <c r="F535" s="22">
        <f t="shared" si="52"/>
        <v>7180.2557520988767</v>
      </c>
    </row>
    <row r="536" spans="1:6" x14ac:dyDescent="0.25">
      <c r="A536" s="1">
        <v>35</v>
      </c>
      <c r="B536" s="13">
        <f t="shared" si="53"/>
        <v>7180.2557520988767</v>
      </c>
      <c r="C536" s="22">
        <f>MIN('My Loans'!$F$7,B536+D536)</f>
        <v>112</v>
      </c>
      <c r="D536" s="22">
        <f>B536*'My Loans'!$E$7/12</f>
        <v>29.319377654403748</v>
      </c>
      <c r="E536" s="22">
        <f t="shared" si="51"/>
        <v>82.680622345596248</v>
      </c>
      <c r="F536" s="22">
        <f t="shared" si="52"/>
        <v>7097.5751297532806</v>
      </c>
    </row>
    <row r="537" spans="1:6" x14ac:dyDescent="0.25">
      <c r="A537" s="1">
        <v>36</v>
      </c>
      <c r="B537" s="13">
        <f t="shared" si="53"/>
        <v>7097.5751297532806</v>
      </c>
      <c r="C537" s="22">
        <f>MIN('My Loans'!$F$7,B537+D537)</f>
        <v>112</v>
      </c>
      <c r="D537" s="22">
        <f>B537*'My Loans'!$E$7/12</f>
        <v>28.981765113159231</v>
      </c>
      <c r="E537" s="22">
        <f t="shared" si="51"/>
        <v>83.018234886840773</v>
      </c>
      <c r="F537" s="22">
        <f t="shared" si="52"/>
        <v>7014.5568948664395</v>
      </c>
    </row>
    <row r="538" spans="1:6" x14ac:dyDescent="0.25">
      <c r="A538" s="1">
        <v>37</v>
      </c>
      <c r="B538" s="13">
        <f t="shared" si="53"/>
        <v>7014.5568948664395</v>
      </c>
      <c r="C538" s="22">
        <f>MIN('My Loans'!$F$7,B538+D538)</f>
        <v>112</v>
      </c>
      <c r="D538" s="22">
        <f>B538*'My Loans'!$E$7/12</f>
        <v>28.642773987371296</v>
      </c>
      <c r="E538" s="22">
        <f t="shared" si="51"/>
        <v>83.357226012628701</v>
      </c>
      <c r="F538" s="22">
        <f t="shared" si="52"/>
        <v>6931.1996688538111</v>
      </c>
    </row>
    <row r="539" spans="1:6" x14ac:dyDescent="0.25">
      <c r="A539" s="1">
        <v>38</v>
      </c>
      <c r="B539" s="13">
        <f t="shared" si="53"/>
        <v>6931.1996688538111</v>
      </c>
      <c r="C539" s="22">
        <f>MIN('My Loans'!$F$7,B539+D539)</f>
        <v>112</v>
      </c>
      <c r="D539" s="22">
        <f>B539*'My Loans'!$E$7/12</f>
        <v>28.302398647819729</v>
      </c>
      <c r="E539" s="22">
        <f t="shared" si="51"/>
        <v>83.697601352180271</v>
      </c>
      <c r="F539" s="22">
        <f t="shared" si="52"/>
        <v>6847.5020675016312</v>
      </c>
    </row>
    <row r="540" spans="1:6" x14ac:dyDescent="0.25">
      <c r="A540" s="1">
        <v>39</v>
      </c>
      <c r="B540" s="13">
        <f t="shared" si="53"/>
        <v>6847.5020675016312</v>
      </c>
      <c r="C540" s="22">
        <f>MIN('My Loans'!$F$7,B540+D540)</f>
        <v>112</v>
      </c>
      <c r="D540" s="22">
        <f>B540*'My Loans'!$E$7/12</f>
        <v>27.960633442298331</v>
      </c>
      <c r="E540" s="22">
        <f t="shared" si="51"/>
        <v>84.039366557701669</v>
      </c>
      <c r="F540" s="22">
        <f t="shared" si="52"/>
        <v>6763.46270094393</v>
      </c>
    </row>
    <row r="541" spans="1:6" x14ac:dyDescent="0.25">
      <c r="A541" s="1">
        <v>40</v>
      </c>
      <c r="B541" s="13">
        <f t="shared" si="53"/>
        <v>6763.46270094393</v>
      </c>
      <c r="C541" s="22">
        <f>MIN('My Loans'!$F$7,B541+D541)</f>
        <v>112</v>
      </c>
      <c r="D541" s="22">
        <f>B541*'My Loans'!$E$7/12</f>
        <v>27.617472695521048</v>
      </c>
      <c r="E541" s="22">
        <f t="shared" si="51"/>
        <v>84.382527304478955</v>
      </c>
      <c r="F541" s="22">
        <f t="shared" si="52"/>
        <v>6679.0801736394515</v>
      </c>
    </row>
    <row r="542" spans="1:6" x14ac:dyDescent="0.25">
      <c r="A542" s="1">
        <v>41</v>
      </c>
      <c r="B542" s="13">
        <f t="shared" si="53"/>
        <v>6679.0801736394515</v>
      </c>
      <c r="C542" s="22">
        <f>MIN('My Loans'!$F$7,B542+D542)</f>
        <v>112</v>
      </c>
      <c r="D542" s="22">
        <f>B542*'My Loans'!$E$7/12</f>
        <v>27.272910709027759</v>
      </c>
      <c r="E542" s="22">
        <f t="shared" si="51"/>
        <v>84.727089290972245</v>
      </c>
      <c r="F542" s="22">
        <f t="shared" si="52"/>
        <v>6594.3530843484796</v>
      </c>
    </row>
    <row r="543" spans="1:6" x14ac:dyDescent="0.25">
      <c r="A543" s="1">
        <v>42</v>
      </c>
      <c r="B543" s="13">
        <f t="shared" si="53"/>
        <v>6594.3530843484796</v>
      </c>
      <c r="C543" s="22">
        <f>MIN('My Loans'!$F$7,B543+D543)</f>
        <v>112</v>
      </c>
      <c r="D543" s="22">
        <f>B543*'My Loans'!$E$7/12</f>
        <v>26.926941761089626</v>
      </c>
      <c r="E543" s="22">
        <f t="shared" si="51"/>
        <v>85.073058238910377</v>
      </c>
      <c r="F543" s="22">
        <f t="shared" si="52"/>
        <v>6509.280026109569</v>
      </c>
    </row>
    <row r="544" spans="1:6" x14ac:dyDescent="0.25">
      <c r="A544" s="1">
        <v>43</v>
      </c>
      <c r="B544" s="13">
        <f t="shared" si="53"/>
        <v>6509.280026109569</v>
      </c>
      <c r="C544" s="22">
        <f>MIN('My Loans'!$F$7,B544+D544)</f>
        <v>112</v>
      </c>
      <c r="D544" s="22">
        <f>B544*'My Loans'!$E$7/12</f>
        <v>26.579560106614071</v>
      </c>
      <c r="E544" s="22">
        <f t="shared" si="51"/>
        <v>85.420439893385932</v>
      </c>
      <c r="F544" s="22">
        <f t="shared" si="52"/>
        <v>6423.8595862161828</v>
      </c>
    </row>
    <row r="545" spans="1:6" x14ac:dyDescent="0.25">
      <c r="A545" s="1">
        <v>44</v>
      </c>
      <c r="B545" s="13">
        <f t="shared" si="53"/>
        <v>6423.8595862161828</v>
      </c>
      <c r="C545" s="22">
        <f>MIN('My Loans'!$F$7,B545+D545)</f>
        <v>112</v>
      </c>
      <c r="D545" s="22">
        <f>B545*'My Loans'!$E$7/12</f>
        <v>26.230759977049416</v>
      </c>
      <c r="E545" s="22">
        <f t="shared" si="51"/>
        <v>85.769240022950584</v>
      </c>
      <c r="F545" s="22">
        <f t="shared" si="52"/>
        <v>6338.0903461932321</v>
      </c>
    </row>
    <row r="546" spans="1:6" x14ac:dyDescent="0.25">
      <c r="A546" s="1">
        <v>45</v>
      </c>
      <c r="B546" s="13">
        <f t="shared" si="53"/>
        <v>6338.0903461932321</v>
      </c>
      <c r="C546" s="22">
        <f>MIN('My Loans'!$F$7,B546+D546)</f>
        <v>112</v>
      </c>
      <c r="D546" s="22">
        <f>B546*'My Loans'!$E$7/12</f>
        <v>25.880535580289031</v>
      </c>
      <c r="E546" s="22">
        <f t="shared" si="51"/>
        <v>86.119464419710965</v>
      </c>
      <c r="F546" s="22">
        <f t="shared" si="52"/>
        <v>6251.9708817735209</v>
      </c>
    </row>
    <row r="547" spans="1:6" x14ac:dyDescent="0.25">
      <c r="A547" s="1">
        <v>46</v>
      </c>
      <c r="B547" s="13">
        <f t="shared" si="53"/>
        <v>6251.9708817735209</v>
      </c>
      <c r="C547" s="22">
        <f>MIN('My Loans'!$F$7,B547+D547)</f>
        <v>112</v>
      </c>
      <c r="D547" s="22">
        <f>B547*'My Loans'!$E$7/12</f>
        <v>25.528881100575209</v>
      </c>
      <c r="E547" s="22">
        <f t="shared" si="51"/>
        <v>86.471118899424795</v>
      </c>
      <c r="F547" s="22">
        <f t="shared" si="52"/>
        <v>6165.4997628740957</v>
      </c>
    </row>
    <row r="548" spans="1:6" x14ac:dyDescent="0.25">
      <c r="A548" s="1">
        <v>47</v>
      </c>
      <c r="B548" s="13">
        <f t="shared" si="53"/>
        <v>6165.4997628740957</v>
      </c>
      <c r="C548" s="22">
        <f>MIN('My Loans'!$F$7,B548+D548)</f>
        <v>112</v>
      </c>
      <c r="D548" s="22">
        <f>B548*'My Loans'!$E$7/12</f>
        <v>25.175790698402562</v>
      </c>
      <c r="E548" s="22">
        <f t="shared" si="51"/>
        <v>86.824209301597435</v>
      </c>
      <c r="F548" s="22">
        <f t="shared" si="52"/>
        <v>6078.6755535724978</v>
      </c>
    </row>
    <row r="549" spans="1:6" x14ac:dyDescent="0.25">
      <c r="A549" s="1">
        <v>48</v>
      </c>
      <c r="B549" s="13">
        <f t="shared" si="53"/>
        <v>6078.6755535724978</v>
      </c>
      <c r="C549" s="22">
        <f>MIN('My Loans'!$F$7,B549+D549)</f>
        <v>112</v>
      </c>
      <c r="D549" s="22">
        <f>B549*'My Loans'!$E$7/12</f>
        <v>24.821258510421032</v>
      </c>
      <c r="E549" s="22">
        <f t="shared" si="51"/>
        <v>87.178741489578968</v>
      </c>
      <c r="F549" s="22">
        <f t="shared" si="52"/>
        <v>5991.496812082919</v>
      </c>
    </row>
    <row r="550" spans="1:6" x14ac:dyDescent="0.25">
      <c r="A550" s="1">
        <v>49</v>
      </c>
      <c r="B550" s="13">
        <f t="shared" si="53"/>
        <v>5991.496812082919</v>
      </c>
      <c r="C550" s="22">
        <f>MIN('My Loans'!$F$7,B550+D550)</f>
        <v>112</v>
      </c>
      <c r="D550" s="22">
        <f>B550*'My Loans'!$E$7/12</f>
        <v>24.465278649338586</v>
      </c>
      <c r="E550" s="22">
        <f t="shared" si="51"/>
        <v>87.534721350661414</v>
      </c>
      <c r="F550" s="22">
        <f t="shared" si="52"/>
        <v>5903.9620907322578</v>
      </c>
    </row>
    <row r="551" spans="1:6" x14ac:dyDescent="0.25">
      <c r="A551" s="1">
        <v>50</v>
      </c>
      <c r="B551" s="13">
        <f t="shared" si="53"/>
        <v>5903.9620907322578</v>
      </c>
      <c r="C551" s="22">
        <f>MIN('My Loans'!$F$7,B551+D551)</f>
        <v>112</v>
      </c>
      <c r="D551" s="22">
        <f>B551*'My Loans'!$E$7/12</f>
        <v>24.107845203823388</v>
      </c>
      <c r="E551" s="22">
        <f t="shared" si="51"/>
        <v>87.892154796176612</v>
      </c>
      <c r="F551" s="22">
        <f t="shared" si="52"/>
        <v>5816.0699359360815</v>
      </c>
    </row>
    <row r="552" spans="1:6" x14ac:dyDescent="0.25">
      <c r="A552" s="1">
        <v>51</v>
      </c>
      <c r="B552" s="13">
        <f t="shared" si="53"/>
        <v>5816.0699359360815</v>
      </c>
      <c r="C552" s="22">
        <f>MIN('My Loans'!$F$7,B552+D552)</f>
        <v>112</v>
      </c>
      <c r="D552" s="22">
        <f>B552*'My Loans'!$E$7/12</f>
        <v>23.748952238405668</v>
      </c>
      <c r="E552" s="22">
        <f t="shared" si="51"/>
        <v>88.251047761594336</v>
      </c>
      <c r="F552" s="22">
        <f t="shared" si="52"/>
        <v>5727.8188881744873</v>
      </c>
    </row>
    <row r="553" spans="1:6" x14ac:dyDescent="0.25">
      <c r="A553" s="1">
        <v>52</v>
      </c>
      <c r="B553" s="13">
        <f t="shared" si="53"/>
        <v>5727.8188881744873</v>
      </c>
      <c r="C553" s="22">
        <f>MIN('My Loans'!$F$7,B553+D553)</f>
        <v>112</v>
      </c>
      <c r="D553" s="22">
        <f>B553*'My Loans'!$E$7/12</f>
        <v>23.388593793379158</v>
      </c>
      <c r="E553" s="22">
        <f t="shared" si="51"/>
        <v>88.611406206620842</v>
      </c>
      <c r="F553" s="22">
        <f t="shared" si="52"/>
        <v>5639.2074819678664</v>
      </c>
    </row>
    <row r="554" spans="1:6" x14ac:dyDescent="0.25">
      <c r="A554" s="1">
        <v>53</v>
      </c>
      <c r="B554" s="13">
        <f t="shared" si="53"/>
        <v>5639.2074819678664</v>
      </c>
      <c r="C554" s="22">
        <f>MIN('My Loans'!$F$7,B554+D554)</f>
        <v>112</v>
      </c>
      <c r="D554" s="22">
        <f>B554*'My Loans'!$E$7/12</f>
        <v>23.02676388470212</v>
      </c>
      <c r="E554" s="22">
        <f t="shared" si="51"/>
        <v>88.97323611529788</v>
      </c>
      <c r="F554" s="22">
        <f t="shared" si="52"/>
        <v>5550.2342458525682</v>
      </c>
    </row>
    <row r="555" spans="1:6" x14ac:dyDescent="0.25">
      <c r="A555" s="1">
        <v>54</v>
      </c>
      <c r="B555" s="13">
        <f t="shared" si="53"/>
        <v>5550.2342458525682</v>
      </c>
      <c r="C555" s="22">
        <f>MIN('My Loans'!$F$7,B555+D555)</f>
        <v>112</v>
      </c>
      <c r="D555" s="22">
        <f>B555*'My Loans'!$E$7/12</f>
        <v>22.663456503897986</v>
      </c>
      <c r="E555" s="22">
        <f t="shared" si="51"/>
        <v>89.33654349610201</v>
      </c>
      <c r="F555" s="22">
        <f t="shared" si="52"/>
        <v>5460.8977023564657</v>
      </c>
    </row>
    <row r="556" spans="1:6" x14ac:dyDescent="0.25">
      <c r="A556" s="1">
        <v>55</v>
      </c>
      <c r="B556" s="13">
        <f t="shared" si="53"/>
        <v>5460.8977023564657</v>
      </c>
      <c r="C556" s="22">
        <f>MIN('My Loans'!$F$7,B556+D556)</f>
        <v>112</v>
      </c>
      <c r="D556" s="22">
        <f>B556*'My Loans'!$E$7/12</f>
        <v>22.298665617955567</v>
      </c>
      <c r="E556" s="22">
        <f t="shared" si="51"/>
        <v>89.701334382044436</v>
      </c>
      <c r="F556" s="22">
        <f t="shared" si="52"/>
        <v>5371.1963679744213</v>
      </c>
    </row>
    <row r="557" spans="1:6" x14ac:dyDescent="0.25">
      <c r="A557" s="1">
        <v>56</v>
      </c>
      <c r="B557" s="13">
        <f t="shared" si="53"/>
        <v>5371.1963679744213</v>
      </c>
      <c r="C557" s="22">
        <f>MIN('My Loans'!$F$7,B557+D557)</f>
        <v>112</v>
      </c>
      <c r="D557" s="22">
        <f>B557*'My Loans'!$E$7/12</f>
        <v>21.93238516922889</v>
      </c>
      <c r="E557" s="22">
        <f t="shared" si="51"/>
        <v>90.067614830771106</v>
      </c>
      <c r="F557" s="22">
        <f t="shared" si="52"/>
        <v>5281.1287531436501</v>
      </c>
    </row>
    <row r="558" spans="1:6" x14ac:dyDescent="0.25">
      <c r="A558" s="1">
        <v>57</v>
      </c>
      <c r="B558" s="13">
        <f t="shared" si="53"/>
        <v>5281.1287531436501</v>
      </c>
      <c r="C558" s="22">
        <f>MIN('My Loans'!$F$7,B558+D558)</f>
        <v>112</v>
      </c>
      <c r="D558" s="22">
        <f>B558*'My Loans'!$E$7/12</f>
        <v>21.564609075336573</v>
      </c>
      <c r="E558" s="22">
        <f t="shared" si="51"/>
        <v>90.435390924663423</v>
      </c>
      <c r="F558" s="22">
        <f t="shared" si="52"/>
        <v>5190.6933622189863</v>
      </c>
    </row>
    <row r="559" spans="1:6" x14ac:dyDescent="0.25">
      <c r="A559" s="1">
        <v>58</v>
      </c>
      <c r="B559" s="13">
        <f t="shared" si="53"/>
        <v>5190.6933622189863</v>
      </c>
      <c r="C559" s="22">
        <f>MIN('My Loans'!$F$7,B559+D559)</f>
        <v>112</v>
      </c>
      <c r="D559" s="22">
        <f>B559*'My Loans'!$E$7/12</f>
        <v>21.195331229060862</v>
      </c>
      <c r="E559" s="22">
        <f t="shared" si="51"/>
        <v>90.804668770939145</v>
      </c>
      <c r="F559" s="22">
        <f t="shared" si="52"/>
        <v>5099.888693448047</v>
      </c>
    </row>
    <row r="560" spans="1:6" x14ac:dyDescent="0.25">
      <c r="A560" s="1">
        <v>59</v>
      </c>
      <c r="B560" s="13">
        <f t="shared" si="53"/>
        <v>5099.888693448047</v>
      </c>
      <c r="C560" s="22">
        <f>MIN('My Loans'!$F$7,B560+D560)</f>
        <v>112</v>
      </c>
      <c r="D560" s="22">
        <f>B560*'My Loans'!$E$7/12</f>
        <v>20.824545498246191</v>
      </c>
      <c r="E560" s="22">
        <f t="shared" si="51"/>
        <v>91.175454501753805</v>
      </c>
      <c r="F560" s="22">
        <f t="shared" si="52"/>
        <v>5008.7132389462931</v>
      </c>
    </row>
    <row r="561" spans="1:6" x14ac:dyDescent="0.25">
      <c r="A561" s="1">
        <v>60</v>
      </c>
      <c r="B561" s="13">
        <f t="shared" si="53"/>
        <v>5008.7132389462931</v>
      </c>
      <c r="C561" s="22">
        <f>MIN('My Loans'!$F$7,B561+D561)</f>
        <v>112</v>
      </c>
      <c r="D561" s="22">
        <f>B561*'My Loans'!$E$7/12</f>
        <v>20.452245725697363</v>
      </c>
      <c r="E561" s="22">
        <f t="shared" si="51"/>
        <v>91.547754274302633</v>
      </c>
      <c r="F561" s="22">
        <f t="shared" si="52"/>
        <v>4917.1654846719903</v>
      </c>
    </row>
    <row r="562" spans="1:6" x14ac:dyDescent="0.25">
      <c r="A562" s="1">
        <v>61</v>
      </c>
      <c r="B562" s="13">
        <f t="shared" si="53"/>
        <v>4917.1654846719903</v>
      </c>
      <c r="C562" s="22">
        <f>MIN('My Loans'!$F$7,B562+D562)</f>
        <v>112</v>
      </c>
      <c r="D562" s="22">
        <f>B562*'My Loans'!$E$7/12</f>
        <v>20.078425729077292</v>
      </c>
      <c r="E562" s="22">
        <f t="shared" si="51"/>
        <v>91.921574270922704</v>
      </c>
      <c r="F562" s="22">
        <f t="shared" si="52"/>
        <v>4825.2439104010673</v>
      </c>
    </row>
    <row r="563" spans="1:6" x14ac:dyDescent="0.25">
      <c r="A563" s="1">
        <v>62</v>
      </c>
      <c r="B563" s="13">
        <f t="shared" si="53"/>
        <v>4825.2439104010673</v>
      </c>
      <c r="C563" s="22">
        <f>MIN('My Loans'!$F$7,B563+D563)</f>
        <v>112</v>
      </c>
      <c r="D563" s="22">
        <f>B563*'My Loans'!$E$7/12</f>
        <v>19.703079300804358</v>
      </c>
      <c r="E563" s="22">
        <f t="shared" si="51"/>
        <v>92.296920699195638</v>
      </c>
      <c r="F563" s="22">
        <f t="shared" si="52"/>
        <v>4732.9469897018716</v>
      </c>
    </row>
    <row r="564" spans="1:6" x14ac:dyDescent="0.25">
      <c r="A564" s="1">
        <v>63</v>
      </c>
      <c r="B564" s="13">
        <f t="shared" si="53"/>
        <v>4732.9469897018716</v>
      </c>
      <c r="C564" s="22">
        <f>MIN('My Loans'!$F$7,B564+D564)</f>
        <v>112</v>
      </c>
      <c r="D564" s="22">
        <f>B564*'My Loans'!$E$7/12</f>
        <v>19.326200207949309</v>
      </c>
      <c r="E564" s="22">
        <f t="shared" si="51"/>
        <v>92.673799792050687</v>
      </c>
      <c r="F564" s="22">
        <f t="shared" si="52"/>
        <v>4640.2731899098208</v>
      </c>
    </row>
    <row r="565" spans="1:6" x14ac:dyDescent="0.25">
      <c r="A565" s="1">
        <v>64</v>
      </c>
      <c r="B565" s="13">
        <f t="shared" si="53"/>
        <v>4640.2731899098208</v>
      </c>
      <c r="C565" s="22">
        <f>MIN('My Loans'!$F$7,B565+D565)</f>
        <v>112</v>
      </c>
      <c r="D565" s="22">
        <f>B565*'My Loans'!$E$7/12</f>
        <v>18.947782192131768</v>
      </c>
      <c r="E565" s="22">
        <f t="shared" si="51"/>
        <v>93.052217807868232</v>
      </c>
      <c r="F565" s="22">
        <f t="shared" si="52"/>
        <v>4547.2209721019526</v>
      </c>
    </row>
    <row r="566" spans="1:6" x14ac:dyDescent="0.25">
      <c r="A566" s="1">
        <v>65</v>
      </c>
      <c r="B566" s="13">
        <f t="shared" si="53"/>
        <v>4547.2209721019526</v>
      </c>
      <c r="C566" s="22">
        <f>MIN('My Loans'!$F$7,B566+D566)</f>
        <v>112</v>
      </c>
      <c r="D566" s="22">
        <f>B566*'My Loans'!$E$7/12</f>
        <v>18.567818969416308</v>
      </c>
      <c r="E566" s="22">
        <f t="shared" ref="E566:E597" si="54">C566-D566</f>
        <v>93.432181030583692</v>
      </c>
      <c r="F566" s="22">
        <f t="shared" ref="F566:F597" si="55">MAX(0,B566-E566)</f>
        <v>4453.7887910713689</v>
      </c>
    </row>
    <row r="567" spans="1:6" x14ac:dyDescent="0.25">
      <c r="A567" s="1">
        <v>66</v>
      </c>
      <c r="B567" s="13">
        <f t="shared" ref="B567:B598" si="56">F566</f>
        <v>4453.7887910713689</v>
      </c>
      <c r="C567" s="22">
        <f>MIN('My Loans'!$F$7,B567+D567)</f>
        <v>112</v>
      </c>
      <c r="D567" s="22">
        <f>B567*'My Loans'!$E$7/12</f>
        <v>18.186304230208091</v>
      </c>
      <c r="E567" s="22">
        <f t="shared" si="54"/>
        <v>93.813695769791906</v>
      </c>
      <c r="F567" s="22">
        <f t="shared" si="55"/>
        <v>4359.9750953015773</v>
      </c>
    </row>
    <row r="568" spans="1:6" x14ac:dyDescent="0.25">
      <c r="A568" s="1">
        <v>67</v>
      </c>
      <c r="B568" s="13">
        <f t="shared" si="56"/>
        <v>4359.9750953015773</v>
      </c>
      <c r="C568" s="22">
        <f>MIN('My Loans'!$F$7,B568+D568)</f>
        <v>112</v>
      </c>
      <c r="D568" s="22">
        <f>B568*'My Loans'!$E$7/12</f>
        <v>17.803231639148109</v>
      </c>
      <c r="E568" s="22">
        <f t="shared" si="54"/>
        <v>94.196768360851891</v>
      </c>
      <c r="F568" s="22">
        <f t="shared" si="55"/>
        <v>4265.7783269407255</v>
      </c>
    </row>
    <row r="569" spans="1:6" x14ac:dyDescent="0.25">
      <c r="A569" s="1">
        <v>68</v>
      </c>
      <c r="B569" s="13">
        <f t="shared" si="56"/>
        <v>4265.7783269407255</v>
      </c>
      <c r="C569" s="22">
        <f>MIN('My Loans'!$F$7,B569+D569)</f>
        <v>112</v>
      </c>
      <c r="D569" s="22">
        <f>B569*'My Loans'!$E$7/12</f>
        <v>17.418594835007962</v>
      </c>
      <c r="E569" s="22">
        <f t="shared" si="54"/>
        <v>94.581405164992034</v>
      </c>
      <c r="F569" s="22">
        <f t="shared" si="55"/>
        <v>4171.1969217757332</v>
      </c>
    </row>
    <row r="570" spans="1:6" x14ac:dyDescent="0.25">
      <c r="A570" s="1">
        <v>69</v>
      </c>
      <c r="B570" s="13">
        <f t="shared" si="56"/>
        <v>4171.1969217757332</v>
      </c>
      <c r="C570" s="22">
        <f>MIN('My Loans'!$F$7,B570+D570)</f>
        <v>112</v>
      </c>
      <c r="D570" s="22">
        <f>B570*'My Loans'!$E$7/12</f>
        <v>17.032387430584244</v>
      </c>
      <c r="E570" s="22">
        <f t="shared" si="54"/>
        <v>94.967612569415763</v>
      </c>
      <c r="F570" s="22">
        <f t="shared" si="55"/>
        <v>4076.2293092063173</v>
      </c>
    </row>
    <row r="571" spans="1:6" x14ac:dyDescent="0.25">
      <c r="A571" s="1">
        <v>70</v>
      </c>
      <c r="B571" s="13">
        <f t="shared" si="56"/>
        <v>4076.2293092063173</v>
      </c>
      <c r="C571" s="22">
        <f>MIN('My Loans'!$F$7,B571+D571)</f>
        <v>112</v>
      </c>
      <c r="D571" s="22">
        <f>B571*'My Loans'!$E$7/12</f>
        <v>16.644603012592462</v>
      </c>
      <c r="E571" s="22">
        <f t="shared" si="54"/>
        <v>95.355396987407545</v>
      </c>
      <c r="F571" s="22">
        <f t="shared" si="55"/>
        <v>3980.8739122189099</v>
      </c>
    </row>
    <row r="572" spans="1:6" x14ac:dyDescent="0.25">
      <c r="A572" s="1">
        <v>71</v>
      </c>
      <c r="B572" s="13">
        <f t="shared" si="56"/>
        <v>3980.8739122189099</v>
      </c>
      <c r="C572" s="22">
        <f>MIN('My Loans'!$F$7,B572+D572)</f>
        <v>112</v>
      </c>
      <c r="D572" s="22">
        <f>B572*'My Loans'!$E$7/12</f>
        <v>16.255235141560551</v>
      </c>
      <c r="E572" s="22">
        <f t="shared" si="54"/>
        <v>95.744764858439453</v>
      </c>
      <c r="F572" s="22">
        <f t="shared" si="55"/>
        <v>3885.1291473604706</v>
      </c>
    </row>
    <row r="573" spans="1:6" x14ac:dyDescent="0.25">
      <c r="A573" s="1">
        <v>72</v>
      </c>
      <c r="B573" s="13">
        <f t="shared" si="56"/>
        <v>3885.1291473604706</v>
      </c>
      <c r="C573" s="22">
        <f>MIN('My Loans'!$F$7,B573+D573)</f>
        <v>112</v>
      </c>
      <c r="D573" s="22">
        <f>B573*'My Loans'!$E$7/12</f>
        <v>15.864277351721922</v>
      </c>
      <c r="E573" s="22">
        <f t="shared" si="54"/>
        <v>96.135722648278076</v>
      </c>
      <c r="F573" s="22">
        <f t="shared" si="55"/>
        <v>3788.9934247121923</v>
      </c>
    </row>
    <row r="574" spans="1:6" x14ac:dyDescent="0.25">
      <c r="A574" s="1">
        <v>73</v>
      </c>
      <c r="B574" s="13">
        <f t="shared" si="56"/>
        <v>3788.9934247121923</v>
      </c>
      <c r="C574" s="22">
        <f>MIN('My Loans'!$F$7,B574+D574)</f>
        <v>112</v>
      </c>
      <c r="D574" s="22">
        <f>B574*'My Loans'!$E$7/12</f>
        <v>15.471723150908119</v>
      </c>
      <c r="E574" s="22">
        <f t="shared" si="54"/>
        <v>96.528276849091881</v>
      </c>
      <c r="F574" s="22">
        <f t="shared" si="55"/>
        <v>3692.4651478631004</v>
      </c>
    </row>
    <row r="575" spans="1:6" x14ac:dyDescent="0.25">
      <c r="A575" s="1">
        <v>74</v>
      </c>
      <c r="B575" s="13">
        <f t="shared" si="56"/>
        <v>3692.4651478631004</v>
      </c>
      <c r="C575" s="22">
        <f>MIN('My Loans'!$F$7,B575+D575)</f>
        <v>112</v>
      </c>
      <c r="D575" s="22">
        <f>B575*'My Loans'!$E$7/12</f>
        <v>15.077566020440992</v>
      </c>
      <c r="E575" s="22">
        <f t="shared" si="54"/>
        <v>96.922433979559003</v>
      </c>
      <c r="F575" s="22">
        <f t="shared" si="55"/>
        <v>3595.5427138835412</v>
      </c>
    </row>
    <row r="576" spans="1:6" x14ac:dyDescent="0.25">
      <c r="A576" s="1">
        <v>75</v>
      </c>
      <c r="B576" s="13">
        <f t="shared" si="56"/>
        <v>3595.5427138835412</v>
      </c>
      <c r="C576" s="22">
        <f>MIN('My Loans'!$F$7,B576+D576)</f>
        <v>112</v>
      </c>
      <c r="D576" s="22">
        <f>B576*'My Loans'!$E$7/12</f>
        <v>14.681799415024459</v>
      </c>
      <c r="E576" s="22">
        <f t="shared" si="54"/>
        <v>97.318200584975543</v>
      </c>
      <c r="F576" s="22">
        <f t="shared" si="55"/>
        <v>3498.2245132985659</v>
      </c>
    </row>
    <row r="577" spans="1:6" x14ac:dyDescent="0.25">
      <c r="A577" s="1">
        <v>76</v>
      </c>
      <c r="B577" s="13">
        <f t="shared" si="56"/>
        <v>3498.2245132985659</v>
      </c>
      <c r="C577" s="22">
        <f>MIN('My Loans'!$F$7,B577+D577)</f>
        <v>112</v>
      </c>
      <c r="D577" s="22">
        <f>B577*'My Loans'!$E$7/12</f>
        <v>14.284416762635813</v>
      </c>
      <c r="E577" s="22">
        <f t="shared" si="54"/>
        <v>97.715583237364186</v>
      </c>
      <c r="F577" s="22">
        <f t="shared" si="55"/>
        <v>3400.5089300612017</v>
      </c>
    </row>
    <row r="578" spans="1:6" x14ac:dyDescent="0.25">
      <c r="A578" s="1">
        <v>77</v>
      </c>
      <c r="B578" s="13">
        <f t="shared" si="56"/>
        <v>3400.5089300612017</v>
      </c>
      <c r="C578" s="22">
        <f>MIN('My Loans'!$F$7,B578+D578)</f>
        <v>112</v>
      </c>
      <c r="D578" s="22">
        <f>B578*'My Loans'!$E$7/12</f>
        <v>13.885411464416576</v>
      </c>
      <c r="E578" s="22">
        <f t="shared" si="54"/>
        <v>98.114588535583422</v>
      </c>
      <c r="F578" s="22">
        <f t="shared" si="55"/>
        <v>3302.3943415256181</v>
      </c>
    </row>
    <row r="579" spans="1:6" x14ac:dyDescent="0.25">
      <c r="A579" s="1">
        <v>78</v>
      </c>
      <c r="B579" s="13">
        <f t="shared" si="56"/>
        <v>3302.3943415256181</v>
      </c>
      <c r="C579" s="22">
        <f>MIN('My Loans'!$F$7,B579+D579)</f>
        <v>112</v>
      </c>
      <c r="D579" s="22">
        <f>B579*'My Loans'!$E$7/12</f>
        <v>13.484776894562941</v>
      </c>
      <c r="E579" s="22">
        <f t="shared" si="54"/>
        <v>98.515223105437059</v>
      </c>
      <c r="F579" s="22">
        <f t="shared" si="55"/>
        <v>3203.8791184201809</v>
      </c>
    </row>
    <row r="580" spans="1:6" x14ac:dyDescent="0.25">
      <c r="A580" s="1">
        <v>79</v>
      </c>
      <c r="B580" s="13">
        <f t="shared" si="56"/>
        <v>3203.8791184201809</v>
      </c>
      <c r="C580" s="22">
        <f>MIN('My Loans'!$F$7,B580+D580)</f>
        <v>112</v>
      </c>
      <c r="D580" s="22">
        <f>B580*'My Loans'!$E$7/12</f>
        <v>13.08250640021574</v>
      </c>
      <c r="E580" s="22">
        <f t="shared" si="54"/>
        <v>98.917493599784265</v>
      </c>
      <c r="F580" s="22">
        <f t="shared" si="55"/>
        <v>3104.9616248203965</v>
      </c>
    </row>
    <row r="581" spans="1:6" x14ac:dyDescent="0.25">
      <c r="A581" s="1">
        <v>80</v>
      </c>
      <c r="B581" s="13">
        <f t="shared" si="56"/>
        <v>3104.9616248203965</v>
      </c>
      <c r="C581" s="22">
        <f>MIN('My Loans'!$F$7,B581+D581)</f>
        <v>112</v>
      </c>
      <c r="D581" s="22">
        <f>B581*'My Loans'!$E$7/12</f>
        <v>12.678593301349954</v>
      </c>
      <c r="E581" s="22">
        <f t="shared" si="54"/>
        <v>99.321406698650051</v>
      </c>
      <c r="F581" s="22">
        <f t="shared" si="55"/>
        <v>3005.6402181217463</v>
      </c>
    </row>
    <row r="582" spans="1:6" x14ac:dyDescent="0.25">
      <c r="A582" s="1">
        <v>81</v>
      </c>
      <c r="B582" s="13">
        <f t="shared" si="56"/>
        <v>3005.6402181217463</v>
      </c>
      <c r="C582" s="22">
        <f>MIN('My Loans'!$F$7,B582+D582)</f>
        <v>112</v>
      </c>
      <c r="D582" s="22">
        <f>B582*'My Loans'!$E$7/12</f>
        <v>12.273030890663797</v>
      </c>
      <c r="E582" s="22">
        <f t="shared" si="54"/>
        <v>99.72696910933621</v>
      </c>
      <c r="F582" s="22">
        <f t="shared" si="55"/>
        <v>2905.9132490124102</v>
      </c>
    </row>
    <row r="583" spans="1:6" x14ac:dyDescent="0.25">
      <c r="A583" s="1">
        <v>82</v>
      </c>
      <c r="B583" s="13">
        <f t="shared" si="56"/>
        <v>2905.9132490124102</v>
      </c>
      <c r="C583" s="22">
        <f>MIN('My Loans'!$F$7,B583+D583)</f>
        <v>112</v>
      </c>
      <c r="D583" s="22">
        <f>B583*'My Loans'!$E$7/12</f>
        <v>11.865812433467342</v>
      </c>
      <c r="E583" s="22">
        <f t="shared" si="54"/>
        <v>100.13418756653266</v>
      </c>
      <c r="F583" s="22">
        <f t="shared" si="55"/>
        <v>2805.7790614458777</v>
      </c>
    </row>
    <row r="584" spans="1:6" x14ac:dyDescent="0.25">
      <c r="A584" s="1">
        <v>83</v>
      </c>
      <c r="B584" s="13">
        <f t="shared" si="56"/>
        <v>2805.7790614458777</v>
      </c>
      <c r="C584" s="22">
        <f>MIN('My Loans'!$F$7,B584+D584)</f>
        <v>112</v>
      </c>
      <c r="D584" s="22">
        <f>B584*'My Loans'!$E$7/12</f>
        <v>11.456931167570668</v>
      </c>
      <c r="E584" s="22">
        <f t="shared" si="54"/>
        <v>100.54306883242933</v>
      </c>
      <c r="F584" s="22">
        <f t="shared" si="55"/>
        <v>2705.2359926134482</v>
      </c>
    </row>
    <row r="585" spans="1:6" x14ac:dyDescent="0.25">
      <c r="A585" s="1">
        <v>84</v>
      </c>
      <c r="B585" s="13">
        <f t="shared" si="56"/>
        <v>2705.2359926134482</v>
      </c>
      <c r="C585" s="22">
        <f>MIN('My Loans'!$F$7,B585+D585)</f>
        <v>112</v>
      </c>
      <c r="D585" s="22">
        <f>B585*'My Loans'!$E$7/12</f>
        <v>11.046380303171581</v>
      </c>
      <c r="E585" s="22">
        <f t="shared" si="54"/>
        <v>100.95361969682841</v>
      </c>
      <c r="F585" s="22">
        <f t="shared" si="55"/>
        <v>2604.2823729166198</v>
      </c>
    </row>
    <row r="586" spans="1:6" x14ac:dyDescent="0.25">
      <c r="A586" s="1">
        <v>85</v>
      </c>
      <c r="B586" s="13">
        <f t="shared" si="56"/>
        <v>2604.2823729166198</v>
      </c>
      <c r="C586" s="22">
        <f>MIN('My Loans'!$F$7,B586+D586)</f>
        <v>112</v>
      </c>
      <c r="D586" s="22">
        <f>B586*'My Loans'!$E$7/12</f>
        <v>10.634153022742865</v>
      </c>
      <c r="E586" s="22">
        <f t="shared" si="54"/>
        <v>101.36584697725714</v>
      </c>
      <c r="F586" s="22">
        <f t="shared" si="55"/>
        <v>2502.9165259393626</v>
      </c>
    </row>
    <row r="587" spans="1:6" x14ac:dyDescent="0.25">
      <c r="A587" s="1">
        <v>86</v>
      </c>
      <c r="B587" s="13">
        <f t="shared" si="56"/>
        <v>2502.9165259393626</v>
      </c>
      <c r="C587" s="22">
        <f>MIN('My Loans'!$F$7,B587+D587)</f>
        <v>112</v>
      </c>
      <c r="D587" s="22">
        <f>B587*'My Loans'!$E$7/12</f>
        <v>10.220242480919064</v>
      </c>
      <c r="E587" s="22">
        <f t="shared" si="54"/>
        <v>101.77975751908093</v>
      </c>
      <c r="F587" s="22">
        <f t="shared" si="55"/>
        <v>2401.1367684202814</v>
      </c>
    </row>
    <row r="588" spans="1:6" x14ac:dyDescent="0.25">
      <c r="A588" s="1">
        <v>87</v>
      </c>
      <c r="B588" s="13">
        <f t="shared" si="56"/>
        <v>2401.1367684202814</v>
      </c>
      <c r="C588" s="22">
        <f>MIN('My Loans'!$F$7,B588+D588)</f>
        <v>112</v>
      </c>
      <c r="D588" s="22">
        <f>B588*'My Loans'!$E$7/12</f>
        <v>9.8046418043828165</v>
      </c>
      <c r="E588" s="22">
        <f t="shared" si="54"/>
        <v>102.19535819561719</v>
      </c>
      <c r="F588" s="22">
        <f t="shared" si="55"/>
        <v>2298.9414102246642</v>
      </c>
    </row>
    <row r="589" spans="1:6" x14ac:dyDescent="0.25">
      <c r="A589" s="1">
        <v>88</v>
      </c>
      <c r="B589" s="13">
        <f t="shared" si="56"/>
        <v>2298.9414102246642</v>
      </c>
      <c r="C589" s="22">
        <f>MIN('My Loans'!$F$7,B589+D589)</f>
        <v>112</v>
      </c>
      <c r="D589" s="22">
        <f>B589*'My Loans'!$E$7/12</f>
        <v>9.3873440917507125</v>
      </c>
      <c r="E589" s="22">
        <f t="shared" si="54"/>
        <v>102.61265590824928</v>
      </c>
      <c r="F589" s="22">
        <f t="shared" si="55"/>
        <v>2196.3287543164151</v>
      </c>
    </row>
    <row r="590" spans="1:6" x14ac:dyDescent="0.25">
      <c r="A590" s="1">
        <v>89</v>
      </c>
      <c r="B590" s="13">
        <f t="shared" si="56"/>
        <v>2196.3287543164151</v>
      </c>
      <c r="C590" s="22">
        <f>MIN('My Loans'!$F$7,B590+D590)</f>
        <v>112</v>
      </c>
      <c r="D590" s="22">
        <f>B590*'My Loans'!$E$7/12</f>
        <v>8.9683424134586947</v>
      </c>
      <c r="E590" s="22">
        <f t="shared" si="54"/>
        <v>103.0316575865413</v>
      </c>
      <c r="F590" s="22">
        <f t="shared" si="55"/>
        <v>2093.2970967298738</v>
      </c>
    </row>
    <row r="591" spans="1:6" x14ac:dyDescent="0.25">
      <c r="A591" s="1">
        <v>90</v>
      </c>
      <c r="B591" s="13">
        <f t="shared" si="56"/>
        <v>2093.2970967298738</v>
      </c>
      <c r="C591" s="22">
        <f>MIN('My Loans'!$F$7,B591+D591)</f>
        <v>112</v>
      </c>
      <c r="D591" s="22">
        <f>B591*'My Loans'!$E$7/12</f>
        <v>8.5476298116469849</v>
      </c>
      <c r="E591" s="22">
        <f t="shared" si="54"/>
        <v>103.45237018835302</v>
      </c>
      <c r="F591" s="22">
        <f t="shared" si="55"/>
        <v>1989.8447265415209</v>
      </c>
    </row>
    <row r="592" spans="1:6" x14ac:dyDescent="0.25">
      <c r="A592" s="1">
        <v>91</v>
      </c>
      <c r="B592" s="13">
        <f t="shared" si="56"/>
        <v>1989.8447265415209</v>
      </c>
      <c r="C592" s="22">
        <f>MIN('My Loans'!$F$7,B592+D592)</f>
        <v>112</v>
      </c>
      <c r="D592" s="22">
        <f>B592*'My Loans'!$E$7/12</f>
        <v>8.1251993000445442</v>
      </c>
      <c r="E592" s="22">
        <f t="shared" si="54"/>
        <v>103.87480069995546</v>
      </c>
      <c r="F592" s="22">
        <f t="shared" si="55"/>
        <v>1885.9699258415656</v>
      </c>
    </row>
    <row r="593" spans="1:6" x14ac:dyDescent="0.25">
      <c r="A593" s="1">
        <v>92</v>
      </c>
      <c r="B593" s="13">
        <f t="shared" si="56"/>
        <v>1885.9699258415656</v>
      </c>
      <c r="C593" s="22">
        <f>MIN('My Loans'!$F$7,B593+D593)</f>
        <v>112</v>
      </c>
      <c r="D593" s="22">
        <f>B593*'My Loans'!$E$7/12</f>
        <v>7.7010438638530596</v>
      </c>
      <c r="E593" s="22">
        <f t="shared" si="54"/>
        <v>104.29895613614694</v>
      </c>
      <c r="F593" s="22">
        <f t="shared" si="55"/>
        <v>1781.6709697054187</v>
      </c>
    </row>
    <row r="594" spans="1:6" x14ac:dyDescent="0.25">
      <c r="A594" s="1">
        <v>93</v>
      </c>
      <c r="B594" s="13">
        <f t="shared" si="56"/>
        <v>1781.6709697054187</v>
      </c>
      <c r="C594" s="22">
        <f>MIN('My Loans'!$F$7,B594+D594)</f>
        <v>112</v>
      </c>
      <c r="D594" s="22">
        <f>B594*'My Loans'!$E$7/12</f>
        <v>7.2751564596304599</v>
      </c>
      <c r="E594" s="22">
        <f t="shared" si="54"/>
        <v>104.72484354036953</v>
      </c>
      <c r="F594" s="22">
        <f t="shared" si="55"/>
        <v>1676.946126165049</v>
      </c>
    </row>
    <row r="595" spans="1:6" x14ac:dyDescent="0.25">
      <c r="A595" s="1">
        <v>94</v>
      </c>
      <c r="B595" s="13">
        <f t="shared" si="56"/>
        <v>1676.946126165049</v>
      </c>
      <c r="C595" s="22">
        <f>MIN('My Loans'!$F$7,B595+D595)</f>
        <v>112</v>
      </c>
      <c r="D595" s="22">
        <f>B595*'My Loans'!$E$7/12</f>
        <v>6.8475300151739509</v>
      </c>
      <c r="E595" s="22">
        <f t="shared" si="54"/>
        <v>105.15246998482606</v>
      </c>
      <c r="F595" s="22">
        <f t="shared" si="55"/>
        <v>1571.793656180223</v>
      </c>
    </row>
    <row r="596" spans="1:6" x14ac:dyDescent="0.25">
      <c r="A596" s="1">
        <v>95</v>
      </c>
      <c r="B596" s="13">
        <f t="shared" si="56"/>
        <v>1571.793656180223</v>
      </c>
      <c r="C596" s="22">
        <f>MIN('My Loans'!$F$7,B596+D596)</f>
        <v>112</v>
      </c>
      <c r="D596" s="22">
        <f>B596*'My Loans'!$E$7/12</f>
        <v>6.4181574294025774</v>
      </c>
      <c r="E596" s="22">
        <f t="shared" si="54"/>
        <v>105.58184257059742</v>
      </c>
      <c r="F596" s="22">
        <f t="shared" si="55"/>
        <v>1466.2118136096256</v>
      </c>
    </row>
    <row r="597" spans="1:6" x14ac:dyDescent="0.25">
      <c r="A597" s="1">
        <v>96</v>
      </c>
      <c r="B597" s="13">
        <f t="shared" si="56"/>
        <v>1466.2118136096256</v>
      </c>
      <c r="C597" s="22">
        <f>MIN('My Loans'!$F$7,B597+D597)</f>
        <v>112</v>
      </c>
      <c r="D597" s="22">
        <f>B597*'My Loans'!$E$7/12</f>
        <v>5.9870315722393039</v>
      </c>
      <c r="E597" s="22">
        <f t="shared" si="54"/>
        <v>106.0129684277607</v>
      </c>
      <c r="F597" s="22">
        <f t="shared" si="55"/>
        <v>1360.198845181865</v>
      </c>
    </row>
    <row r="598" spans="1:6" x14ac:dyDescent="0.25">
      <c r="A598" s="1">
        <v>97</v>
      </c>
      <c r="B598" s="13">
        <f t="shared" si="56"/>
        <v>1360.198845181865</v>
      </c>
      <c r="C598" s="22">
        <f>MIN('My Loans'!$F$7,B598+D598)</f>
        <v>112</v>
      </c>
      <c r="D598" s="22">
        <f>B598*'My Loans'!$E$7/12</f>
        <v>5.5541452844926154</v>
      </c>
      <c r="E598" s="22">
        <f t="shared" ref="E598:E629" si="57">C598-D598</f>
        <v>106.44585471550738</v>
      </c>
      <c r="F598" s="22">
        <f t="shared" ref="F598:F629" si="58">MAX(0,B598-E598)</f>
        <v>1253.7529904663575</v>
      </c>
    </row>
    <row r="599" spans="1:6" x14ac:dyDescent="0.25">
      <c r="A599" s="1">
        <v>98</v>
      </c>
      <c r="B599" s="13">
        <f t="shared" ref="B599:B621" si="59">F598</f>
        <v>1253.7529904663575</v>
      </c>
      <c r="C599" s="22">
        <f>MIN('My Loans'!$F$7,B599+D599)</f>
        <v>112</v>
      </c>
      <c r="D599" s="22">
        <f>B599*'My Loans'!$E$7/12</f>
        <v>5.119491377737627</v>
      </c>
      <c r="E599" s="22">
        <f t="shared" si="57"/>
        <v>106.88050862226237</v>
      </c>
      <c r="F599" s="22">
        <f t="shared" si="58"/>
        <v>1146.8724818440951</v>
      </c>
    </row>
    <row r="600" spans="1:6" x14ac:dyDescent="0.25">
      <c r="A600" s="1">
        <v>99</v>
      </c>
      <c r="B600" s="13">
        <f t="shared" si="59"/>
        <v>1146.8724818440951</v>
      </c>
      <c r="C600" s="22">
        <f>MIN('My Loans'!$F$7,B600+D600)</f>
        <v>112</v>
      </c>
      <c r="D600" s="22">
        <f>B600*'My Loans'!$E$7/12</f>
        <v>4.6830626341967223</v>
      </c>
      <c r="E600" s="22">
        <f t="shared" si="57"/>
        <v>107.31693736580328</v>
      </c>
      <c r="F600" s="22">
        <f t="shared" si="58"/>
        <v>1039.5555444782917</v>
      </c>
    </row>
    <row r="601" spans="1:6" x14ac:dyDescent="0.25">
      <c r="A601" s="1">
        <v>100</v>
      </c>
      <c r="B601" s="13">
        <f t="shared" si="59"/>
        <v>1039.5555444782917</v>
      </c>
      <c r="C601" s="22">
        <f>MIN('My Loans'!$F$7,B601+D601)</f>
        <v>112</v>
      </c>
      <c r="D601" s="22">
        <f>B601*'My Loans'!$E$7/12</f>
        <v>4.2448518066196916</v>
      </c>
      <c r="E601" s="22">
        <f t="shared" si="57"/>
        <v>107.75514819338031</v>
      </c>
      <c r="F601" s="22">
        <f t="shared" si="58"/>
        <v>931.80039628491136</v>
      </c>
    </row>
    <row r="602" spans="1:6" x14ac:dyDescent="0.25">
      <c r="A602" s="1">
        <v>101</v>
      </c>
      <c r="B602" s="13">
        <f t="shared" si="59"/>
        <v>931.80039628491136</v>
      </c>
      <c r="C602" s="22">
        <f>MIN('My Loans'!$F$7,B602+D602)</f>
        <v>112</v>
      </c>
      <c r="D602" s="22">
        <f>B602*'My Loans'!$E$7/12</f>
        <v>3.8048516181633882</v>
      </c>
      <c r="E602" s="22">
        <f t="shared" si="57"/>
        <v>108.19514838183662</v>
      </c>
      <c r="F602" s="22">
        <f t="shared" si="58"/>
        <v>823.60524790307477</v>
      </c>
    </row>
    <row r="603" spans="1:6" x14ac:dyDescent="0.25">
      <c r="A603" s="1">
        <v>102</v>
      </c>
      <c r="B603" s="13">
        <f t="shared" si="59"/>
        <v>823.60524790307477</v>
      </c>
      <c r="C603" s="22">
        <f>MIN('My Loans'!$F$7,B603+D603)</f>
        <v>112</v>
      </c>
      <c r="D603" s="22">
        <f>B603*'My Loans'!$E$7/12</f>
        <v>3.3630547622708886</v>
      </c>
      <c r="E603" s="22">
        <f t="shared" si="57"/>
        <v>108.63694523772911</v>
      </c>
      <c r="F603" s="22">
        <f t="shared" si="58"/>
        <v>714.96830266534562</v>
      </c>
    </row>
    <row r="604" spans="1:6" x14ac:dyDescent="0.25">
      <c r="A604" s="1">
        <v>103</v>
      </c>
      <c r="B604" s="13">
        <f t="shared" si="59"/>
        <v>714.96830266534562</v>
      </c>
      <c r="C604" s="22">
        <f>MIN('My Loans'!$F$7,B604+D604)</f>
        <v>112</v>
      </c>
      <c r="D604" s="22">
        <f>B604*'My Loans'!$E$7/12</f>
        <v>2.9194539025501616</v>
      </c>
      <c r="E604" s="22">
        <f t="shared" si="57"/>
        <v>109.08054609744984</v>
      </c>
      <c r="F604" s="22">
        <f t="shared" si="58"/>
        <v>605.88775656789574</v>
      </c>
    </row>
    <row r="605" spans="1:6" x14ac:dyDescent="0.25">
      <c r="A605" s="1">
        <v>104</v>
      </c>
      <c r="B605" s="13">
        <f t="shared" si="59"/>
        <v>605.88775656789574</v>
      </c>
      <c r="C605" s="22">
        <f>MIN('My Loans'!$F$7,B605+D605)</f>
        <v>112</v>
      </c>
      <c r="D605" s="22">
        <f>B605*'My Loans'!$E$7/12</f>
        <v>2.4740416726522407</v>
      </c>
      <c r="E605" s="22">
        <f t="shared" si="57"/>
        <v>109.52595832734777</v>
      </c>
      <c r="F605" s="22">
        <f t="shared" si="58"/>
        <v>496.36179824054796</v>
      </c>
    </row>
    <row r="606" spans="1:6" x14ac:dyDescent="0.25">
      <c r="A606" s="1">
        <v>105</v>
      </c>
      <c r="B606" s="13">
        <f t="shared" si="59"/>
        <v>496.36179824054796</v>
      </c>
      <c r="C606" s="22">
        <f>MIN('My Loans'!$F$7,B606+D606)</f>
        <v>112</v>
      </c>
      <c r="D606" s="22">
        <f>B606*'My Loans'!$E$7/12</f>
        <v>2.0268106761489042</v>
      </c>
      <c r="E606" s="22">
        <f t="shared" si="57"/>
        <v>109.9731893238511</v>
      </c>
      <c r="F606" s="22">
        <f t="shared" si="58"/>
        <v>386.38860891669685</v>
      </c>
    </row>
    <row r="607" spans="1:6" x14ac:dyDescent="0.25">
      <c r="A607" s="1">
        <v>106</v>
      </c>
      <c r="B607" s="13">
        <f t="shared" si="59"/>
        <v>386.38860891669685</v>
      </c>
      <c r="C607" s="22">
        <f>MIN('My Loans'!$F$7,B607+D607)</f>
        <v>112</v>
      </c>
      <c r="D607" s="22">
        <f>B607*'My Loans'!$E$7/12</f>
        <v>1.5777534864098455</v>
      </c>
      <c r="E607" s="22">
        <f t="shared" si="57"/>
        <v>110.42224651359015</v>
      </c>
      <c r="F607" s="22">
        <f t="shared" si="58"/>
        <v>275.9663624031067</v>
      </c>
    </row>
    <row r="608" spans="1:6" x14ac:dyDescent="0.25">
      <c r="A608" s="1">
        <v>107</v>
      </c>
      <c r="B608" s="13">
        <f t="shared" si="59"/>
        <v>275.9663624031067</v>
      </c>
      <c r="C608" s="22">
        <f>MIN('My Loans'!$F$7,B608+D608)</f>
        <v>112</v>
      </c>
      <c r="D608" s="22">
        <f>B608*'My Loans'!$E$7/12</f>
        <v>1.1268626464793525</v>
      </c>
      <c r="E608" s="22">
        <f t="shared" si="57"/>
        <v>110.87313735352065</v>
      </c>
      <c r="F608" s="22">
        <f t="shared" si="58"/>
        <v>165.09322504958607</v>
      </c>
    </row>
    <row r="609" spans="1:6" x14ac:dyDescent="0.25">
      <c r="A609" s="1">
        <v>108</v>
      </c>
      <c r="B609" s="13">
        <f t="shared" si="59"/>
        <v>165.09322504958607</v>
      </c>
      <c r="C609" s="22">
        <f>MIN('My Loans'!$F$7,B609+D609)</f>
        <v>112</v>
      </c>
      <c r="D609" s="22">
        <f>B609*'My Loans'!$E$7/12</f>
        <v>0.67413066895247642</v>
      </c>
      <c r="E609" s="22">
        <f t="shared" si="57"/>
        <v>111.32586933104753</v>
      </c>
      <c r="F609" s="22">
        <f t="shared" si="58"/>
        <v>53.767355718538539</v>
      </c>
    </row>
    <row r="610" spans="1:6" x14ac:dyDescent="0.25">
      <c r="A610" s="1">
        <v>109</v>
      </c>
      <c r="B610" s="13">
        <f t="shared" si="59"/>
        <v>53.767355718538539</v>
      </c>
      <c r="C610" s="22">
        <f>MIN('My Loans'!$F$7,B610+D610)</f>
        <v>53.986905754389241</v>
      </c>
      <c r="D610" s="22">
        <f>B610*'My Loans'!$E$7/12</f>
        <v>0.21955003585069902</v>
      </c>
      <c r="E610" s="22">
        <f t="shared" si="57"/>
        <v>53.767355718538539</v>
      </c>
      <c r="F610" s="22">
        <f t="shared" si="58"/>
        <v>0</v>
      </c>
    </row>
    <row r="611" spans="1:6" x14ac:dyDescent="0.25">
      <c r="A611" s="1">
        <v>110</v>
      </c>
      <c r="B611" s="13">
        <f t="shared" si="59"/>
        <v>0</v>
      </c>
      <c r="C611" s="22">
        <f>MIN('My Loans'!$F$7,B611+D611)</f>
        <v>0</v>
      </c>
      <c r="D611" s="22">
        <f>B611*'My Loans'!$E$7/12</f>
        <v>0</v>
      </c>
      <c r="E611" s="22">
        <f t="shared" si="57"/>
        <v>0</v>
      </c>
      <c r="F611" s="22">
        <f t="shared" si="58"/>
        <v>0</v>
      </c>
    </row>
    <row r="612" spans="1:6" x14ac:dyDescent="0.25">
      <c r="A612" s="1">
        <v>111</v>
      </c>
      <c r="B612" s="13">
        <f t="shared" si="59"/>
        <v>0</v>
      </c>
      <c r="C612" s="22">
        <f>MIN('My Loans'!$F$7,B612+D612)</f>
        <v>0</v>
      </c>
      <c r="D612" s="22">
        <f>B612*'My Loans'!$E$7/12</f>
        <v>0</v>
      </c>
      <c r="E612" s="22">
        <f t="shared" si="57"/>
        <v>0</v>
      </c>
      <c r="F612" s="22">
        <f t="shared" si="58"/>
        <v>0</v>
      </c>
    </row>
    <row r="613" spans="1:6" x14ac:dyDescent="0.25">
      <c r="A613" s="1">
        <v>112</v>
      </c>
      <c r="B613" s="13">
        <f t="shared" si="59"/>
        <v>0</v>
      </c>
      <c r="C613" s="22">
        <f>MIN('My Loans'!$F$7,B613+D613)</f>
        <v>0</v>
      </c>
      <c r="D613" s="22">
        <f>B613*'My Loans'!$E$7/12</f>
        <v>0</v>
      </c>
      <c r="E613" s="22">
        <f t="shared" si="57"/>
        <v>0</v>
      </c>
      <c r="F613" s="22">
        <f t="shared" si="58"/>
        <v>0</v>
      </c>
    </row>
    <row r="614" spans="1:6" x14ac:dyDescent="0.25">
      <c r="A614" s="1">
        <v>113</v>
      </c>
      <c r="B614" s="13">
        <f t="shared" si="59"/>
        <v>0</v>
      </c>
      <c r="C614" s="22">
        <f>MIN('My Loans'!$F$7,B614+D614)</f>
        <v>0</v>
      </c>
      <c r="D614" s="22">
        <f>B614*'My Loans'!$E$7/12</f>
        <v>0</v>
      </c>
      <c r="E614" s="22">
        <f t="shared" si="57"/>
        <v>0</v>
      </c>
      <c r="F614" s="22">
        <f t="shared" si="58"/>
        <v>0</v>
      </c>
    </row>
    <row r="615" spans="1:6" x14ac:dyDescent="0.25">
      <c r="A615" s="1">
        <v>114</v>
      </c>
      <c r="B615" s="13">
        <f t="shared" si="59"/>
        <v>0</v>
      </c>
      <c r="C615" s="22">
        <f>MIN('My Loans'!$F$7,B615+D615)</f>
        <v>0</v>
      </c>
      <c r="D615" s="22">
        <f>B615*'My Loans'!$E$7/12</f>
        <v>0</v>
      </c>
      <c r="E615" s="22">
        <f t="shared" si="57"/>
        <v>0</v>
      </c>
      <c r="F615" s="22">
        <f t="shared" si="58"/>
        <v>0</v>
      </c>
    </row>
    <row r="616" spans="1:6" x14ac:dyDescent="0.25">
      <c r="A616" s="1">
        <v>115</v>
      </c>
      <c r="B616" s="13">
        <f t="shared" si="59"/>
        <v>0</v>
      </c>
      <c r="C616" s="22">
        <f>MIN('My Loans'!$F$7,B616+D616)</f>
        <v>0</v>
      </c>
      <c r="D616" s="22">
        <f>B616*'My Loans'!$E$7/12</f>
        <v>0</v>
      </c>
      <c r="E616" s="22">
        <f t="shared" si="57"/>
        <v>0</v>
      </c>
      <c r="F616" s="22">
        <f t="shared" si="58"/>
        <v>0</v>
      </c>
    </row>
    <row r="617" spans="1:6" x14ac:dyDescent="0.25">
      <c r="A617" s="1">
        <v>116</v>
      </c>
      <c r="B617" s="13">
        <f t="shared" si="59"/>
        <v>0</v>
      </c>
      <c r="C617" s="22">
        <f>MIN('My Loans'!$F$7,B617+D617)</f>
        <v>0</v>
      </c>
      <c r="D617" s="22">
        <f>B617*'My Loans'!$E$7/12</f>
        <v>0</v>
      </c>
      <c r="E617" s="22">
        <f t="shared" si="57"/>
        <v>0</v>
      </c>
      <c r="F617" s="22">
        <f t="shared" si="58"/>
        <v>0</v>
      </c>
    </row>
    <row r="618" spans="1:6" x14ac:dyDescent="0.25">
      <c r="A618" s="1">
        <v>117</v>
      </c>
      <c r="B618" s="13">
        <f t="shared" si="59"/>
        <v>0</v>
      </c>
      <c r="C618" s="22">
        <f>MIN('My Loans'!$F$7,B618+D618)</f>
        <v>0</v>
      </c>
      <c r="D618" s="22">
        <f>B618*'My Loans'!$E$7/12</f>
        <v>0</v>
      </c>
      <c r="E618" s="22">
        <f t="shared" si="57"/>
        <v>0</v>
      </c>
      <c r="F618" s="22">
        <f t="shared" si="58"/>
        <v>0</v>
      </c>
    </row>
    <row r="619" spans="1:6" x14ac:dyDescent="0.25">
      <c r="A619" s="1">
        <v>118</v>
      </c>
      <c r="B619" s="13">
        <f t="shared" si="59"/>
        <v>0</v>
      </c>
      <c r="C619" s="22">
        <f>MIN('My Loans'!$F$7,B619+D619)</f>
        <v>0</v>
      </c>
      <c r="D619" s="22">
        <f>B619*'My Loans'!$E$7/12</f>
        <v>0</v>
      </c>
      <c r="E619" s="22">
        <f t="shared" si="57"/>
        <v>0</v>
      </c>
      <c r="F619" s="22">
        <f t="shared" si="58"/>
        <v>0</v>
      </c>
    </row>
    <row r="620" spans="1:6" x14ac:dyDescent="0.25">
      <c r="A620" s="1">
        <v>119</v>
      </c>
      <c r="B620" s="13">
        <f t="shared" si="59"/>
        <v>0</v>
      </c>
      <c r="C620" s="22">
        <f>MIN('My Loans'!$F$7,B620+D620)</f>
        <v>0</v>
      </c>
      <c r="D620" s="22">
        <f>B620*'My Loans'!$E$7/12</f>
        <v>0</v>
      </c>
      <c r="E620" s="22">
        <f t="shared" si="57"/>
        <v>0</v>
      </c>
      <c r="F620" s="22">
        <f t="shared" si="58"/>
        <v>0</v>
      </c>
    </row>
    <row r="621" spans="1:6" x14ac:dyDescent="0.25">
      <c r="A621" s="1">
        <v>120</v>
      </c>
      <c r="B621" s="13">
        <f t="shared" si="59"/>
        <v>0</v>
      </c>
      <c r="C621" s="22">
        <f>MIN('My Loans'!$F$7,B621+D621)</f>
        <v>0</v>
      </c>
      <c r="D621" s="22">
        <f>B621*'My Loans'!$E$7/12</f>
        <v>0</v>
      </c>
      <c r="E621" s="22">
        <f t="shared" si="57"/>
        <v>0</v>
      </c>
      <c r="F621" s="22">
        <f t="shared" si="58"/>
        <v>0</v>
      </c>
    </row>
    <row r="622" spans="1:6" x14ac:dyDescent="0.25">
      <c r="A622" s="1" t="s">
        <v>96</v>
      </c>
      <c r="B622" s="13">
        <f>SUM(D502:D621)</f>
        <v>2349.9869057543915</v>
      </c>
    </row>
    <row r="624" spans="1:6" x14ac:dyDescent="0.25">
      <c r="A624" s="3" t="s">
        <v>101</v>
      </c>
    </row>
    <row r="625" spans="1:6" x14ac:dyDescent="0.25">
      <c r="A625" s="2" t="s">
        <v>32</v>
      </c>
      <c r="B625" s="2" t="s">
        <v>91</v>
      </c>
      <c r="C625" s="21" t="s">
        <v>92</v>
      </c>
      <c r="D625" s="21" t="s">
        <v>93</v>
      </c>
      <c r="E625" s="21" t="s">
        <v>94</v>
      </c>
      <c r="F625" s="21" t="s">
        <v>95</v>
      </c>
    </row>
    <row r="626" spans="1:6" x14ac:dyDescent="0.25">
      <c r="A626" s="1">
        <v>1</v>
      </c>
      <c r="B626" s="13">
        <f>'My Loans'!$D$8</f>
        <v>0</v>
      </c>
      <c r="C626" s="22">
        <f>MIN('My Loans'!$F$8,B626+D626)</f>
        <v>0</v>
      </c>
      <c r="D626" s="22">
        <f>B626*'My Loans'!$E$8/12</f>
        <v>0</v>
      </c>
      <c r="E626" s="22">
        <f t="shared" ref="E626:E657" si="60">C626-D626</f>
        <v>0</v>
      </c>
      <c r="F626" s="22">
        <f t="shared" ref="F626:F657" si="61">MAX(0,B626-E626)</f>
        <v>0</v>
      </c>
    </row>
    <row r="627" spans="1:6" x14ac:dyDescent="0.25">
      <c r="A627" s="1">
        <v>2</v>
      </c>
      <c r="B627" s="13">
        <f t="shared" ref="B627:B658" si="62">F626</f>
        <v>0</v>
      </c>
      <c r="C627" s="22">
        <f>MIN('My Loans'!$F$8,B627+D627)</f>
        <v>0</v>
      </c>
      <c r="D627" s="22">
        <f>B627*'My Loans'!$E$8/12</f>
        <v>0</v>
      </c>
      <c r="E627" s="22">
        <f t="shared" si="60"/>
        <v>0</v>
      </c>
      <c r="F627" s="22">
        <f t="shared" si="61"/>
        <v>0</v>
      </c>
    </row>
    <row r="628" spans="1:6" x14ac:dyDescent="0.25">
      <c r="A628" s="1">
        <v>3</v>
      </c>
      <c r="B628" s="13">
        <f t="shared" si="62"/>
        <v>0</v>
      </c>
      <c r="C628" s="22">
        <f>MIN('My Loans'!$F$8,B628+D628)</f>
        <v>0</v>
      </c>
      <c r="D628" s="22">
        <f>B628*'My Loans'!$E$8/12</f>
        <v>0</v>
      </c>
      <c r="E628" s="22">
        <f t="shared" si="60"/>
        <v>0</v>
      </c>
      <c r="F628" s="22">
        <f t="shared" si="61"/>
        <v>0</v>
      </c>
    </row>
    <row r="629" spans="1:6" x14ac:dyDescent="0.25">
      <c r="A629" s="1">
        <v>4</v>
      </c>
      <c r="B629" s="13">
        <f t="shared" si="62"/>
        <v>0</v>
      </c>
      <c r="C629" s="22">
        <f>MIN('My Loans'!$F$8,B629+D629)</f>
        <v>0</v>
      </c>
      <c r="D629" s="22">
        <f>B629*'My Loans'!$E$8/12</f>
        <v>0</v>
      </c>
      <c r="E629" s="22">
        <f t="shared" si="60"/>
        <v>0</v>
      </c>
      <c r="F629" s="22">
        <f t="shared" si="61"/>
        <v>0</v>
      </c>
    </row>
    <row r="630" spans="1:6" x14ac:dyDescent="0.25">
      <c r="A630" s="1">
        <v>5</v>
      </c>
      <c r="B630" s="13">
        <f t="shared" si="62"/>
        <v>0</v>
      </c>
      <c r="C630" s="22">
        <f>MIN('My Loans'!$F$8,B630+D630)</f>
        <v>0</v>
      </c>
      <c r="D630" s="22">
        <f>B630*'My Loans'!$E$8/12</f>
        <v>0</v>
      </c>
      <c r="E630" s="22">
        <f t="shared" si="60"/>
        <v>0</v>
      </c>
      <c r="F630" s="22">
        <f t="shared" si="61"/>
        <v>0</v>
      </c>
    </row>
    <row r="631" spans="1:6" x14ac:dyDescent="0.25">
      <c r="A631" s="1">
        <v>6</v>
      </c>
      <c r="B631" s="13">
        <f t="shared" si="62"/>
        <v>0</v>
      </c>
      <c r="C631" s="22">
        <f>MIN('My Loans'!$F$8,B631+D631)</f>
        <v>0</v>
      </c>
      <c r="D631" s="22">
        <f>B631*'My Loans'!$E$8/12</f>
        <v>0</v>
      </c>
      <c r="E631" s="22">
        <f t="shared" si="60"/>
        <v>0</v>
      </c>
      <c r="F631" s="22">
        <f t="shared" si="61"/>
        <v>0</v>
      </c>
    </row>
    <row r="632" spans="1:6" x14ac:dyDescent="0.25">
      <c r="A632" s="1">
        <v>7</v>
      </c>
      <c r="B632" s="13">
        <f t="shared" si="62"/>
        <v>0</v>
      </c>
      <c r="C632" s="22">
        <f>MIN('My Loans'!$F$8,B632+D632)</f>
        <v>0</v>
      </c>
      <c r="D632" s="22">
        <f>B632*'My Loans'!$E$8/12</f>
        <v>0</v>
      </c>
      <c r="E632" s="22">
        <f t="shared" si="60"/>
        <v>0</v>
      </c>
      <c r="F632" s="22">
        <f t="shared" si="61"/>
        <v>0</v>
      </c>
    </row>
    <row r="633" spans="1:6" x14ac:dyDescent="0.25">
      <c r="A633" s="1">
        <v>8</v>
      </c>
      <c r="B633" s="13">
        <f t="shared" si="62"/>
        <v>0</v>
      </c>
      <c r="C633" s="22">
        <f>MIN('My Loans'!$F$8,B633+D633)</f>
        <v>0</v>
      </c>
      <c r="D633" s="22">
        <f>B633*'My Loans'!$E$8/12</f>
        <v>0</v>
      </c>
      <c r="E633" s="22">
        <f t="shared" si="60"/>
        <v>0</v>
      </c>
      <c r="F633" s="22">
        <f t="shared" si="61"/>
        <v>0</v>
      </c>
    </row>
    <row r="634" spans="1:6" x14ac:dyDescent="0.25">
      <c r="A634" s="1">
        <v>9</v>
      </c>
      <c r="B634" s="13">
        <f t="shared" si="62"/>
        <v>0</v>
      </c>
      <c r="C634" s="22">
        <f>MIN('My Loans'!$F$8,B634+D634)</f>
        <v>0</v>
      </c>
      <c r="D634" s="22">
        <f>B634*'My Loans'!$E$8/12</f>
        <v>0</v>
      </c>
      <c r="E634" s="22">
        <f t="shared" si="60"/>
        <v>0</v>
      </c>
      <c r="F634" s="22">
        <f t="shared" si="61"/>
        <v>0</v>
      </c>
    </row>
    <row r="635" spans="1:6" x14ac:dyDescent="0.25">
      <c r="A635" s="1">
        <v>10</v>
      </c>
      <c r="B635" s="13">
        <f t="shared" si="62"/>
        <v>0</v>
      </c>
      <c r="C635" s="22">
        <f>MIN('My Loans'!$F$8,B635+D635)</f>
        <v>0</v>
      </c>
      <c r="D635" s="22">
        <f>B635*'My Loans'!$E$8/12</f>
        <v>0</v>
      </c>
      <c r="E635" s="22">
        <f t="shared" si="60"/>
        <v>0</v>
      </c>
      <c r="F635" s="22">
        <f t="shared" si="61"/>
        <v>0</v>
      </c>
    </row>
    <row r="636" spans="1:6" x14ac:dyDescent="0.25">
      <c r="A636" s="1">
        <v>11</v>
      </c>
      <c r="B636" s="13">
        <f t="shared" si="62"/>
        <v>0</v>
      </c>
      <c r="C636" s="22">
        <f>MIN('My Loans'!$F$8,B636+D636)</f>
        <v>0</v>
      </c>
      <c r="D636" s="22">
        <f>B636*'My Loans'!$E$8/12</f>
        <v>0</v>
      </c>
      <c r="E636" s="22">
        <f t="shared" si="60"/>
        <v>0</v>
      </c>
      <c r="F636" s="22">
        <f t="shared" si="61"/>
        <v>0</v>
      </c>
    </row>
    <row r="637" spans="1:6" x14ac:dyDescent="0.25">
      <c r="A637" s="1">
        <v>12</v>
      </c>
      <c r="B637" s="13">
        <f t="shared" si="62"/>
        <v>0</v>
      </c>
      <c r="C637" s="22">
        <f>MIN('My Loans'!$F$8,B637+D637)</f>
        <v>0</v>
      </c>
      <c r="D637" s="22">
        <f>B637*'My Loans'!$E$8/12</f>
        <v>0</v>
      </c>
      <c r="E637" s="22">
        <f t="shared" si="60"/>
        <v>0</v>
      </c>
      <c r="F637" s="22">
        <f t="shared" si="61"/>
        <v>0</v>
      </c>
    </row>
    <row r="638" spans="1:6" x14ac:dyDescent="0.25">
      <c r="A638" s="1">
        <v>13</v>
      </c>
      <c r="B638" s="13">
        <f t="shared" si="62"/>
        <v>0</v>
      </c>
      <c r="C638" s="22">
        <f>MIN('My Loans'!$F$8,B638+D638)</f>
        <v>0</v>
      </c>
      <c r="D638" s="22">
        <f>B638*'My Loans'!$E$8/12</f>
        <v>0</v>
      </c>
      <c r="E638" s="22">
        <f t="shared" si="60"/>
        <v>0</v>
      </c>
      <c r="F638" s="22">
        <f t="shared" si="61"/>
        <v>0</v>
      </c>
    </row>
    <row r="639" spans="1:6" x14ac:dyDescent="0.25">
      <c r="A639" s="1">
        <v>14</v>
      </c>
      <c r="B639" s="13">
        <f t="shared" si="62"/>
        <v>0</v>
      </c>
      <c r="C639" s="22">
        <f>MIN('My Loans'!$F$8,B639+D639)</f>
        <v>0</v>
      </c>
      <c r="D639" s="22">
        <f>B639*'My Loans'!$E$8/12</f>
        <v>0</v>
      </c>
      <c r="E639" s="22">
        <f t="shared" si="60"/>
        <v>0</v>
      </c>
      <c r="F639" s="22">
        <f t="shared" si="61"/>
        <v>0</v>
      </c>
    </row>
    <row r="640" spans="1:6" x14ac:dyDescent="0.25">
      <c r="A640" s="1">
        <v>15</v>
      </c>
      <c r="B640" s="13">
        <f t="shared" si="62"/>
        <v>0</v>
      </c>
      <c r="C640" s="22">
        <f>MIN('My Loans'!$F$8,B640+D640)</f>
        <v>0</v>
      </c>
      <c r="D640" s="22">
        <f>B640*'My Loans'!$E$8/12</f>
        <v>0</v>
      </c>
      <c r="E640" s="22">
        <f t="shared" si="60"/>
        <v>0</v>
      </c>
      <c r="F640" s="22">
        <f t="shared" si="61"/>
        <v>0</v>
      </c>
    </row>
    <row r="641" spans="1:6" x14ac:dyDescent="0.25">
      <c r="A641" s="1">
        <v>16</v>
      </c>
      <c r="B641" s="13">
        <f t="shared" si="62"/>
        <v>0</v>
      </c>
      <c r="C641" s="22">
        <f>MIN('My Loans'!$F$8,B641+D641)</f>
        <v>0</v>
      </c>
      <c r="D641" s="22">
        <f>B641*'My Loans'!$E$8/12</f>
        <v>0</v>
      </c>
      <c r="E641" s="22">
        <f t="shared" si="60"/>
        <v>0</v>
      </c>
      <c r="F641" s="22">
        <f t="shared" si="61"/>
        <v>0</v>
      </c>
    </row>
    <row r="642" spans="1:6" x14ac:dyDescent="0.25">
      <c r="A642" s="1">
        <v>17</v>
      </c>
      <c r="B642" s="13">
        <f t="shared" si="62"/>
        <v>0</v>
      </c>
      <c r="C642" s="22">
        <f>MIN('My Loans'!$F$8,B642+D642)</f>
        <v>0</v>
      </c>
      <c r="D642" s="22">
        <f>B642*'My Loans'!$E$8/12</f>
        <v>0</v>
      </c>
      <c r="E642" s="22">
        <f t="shared" si="60"/>
        <v>0</v>
      </c>
      <c r="F642" s="22">
        <f t="shared" si="61"/>
        <v>0</v>
      </c>
    </row>
    <row r="643" spans="1:6" x14ac:dyDescent="0.25">
      <c r="A643" s="1">
        <v>18</v>
      </c>
      <c r="B643" s="13">
        <f t="shared" si="62"/>
        <v>0</v>
      </c>
      <c r="C643" s="22">
        <f>MIN('My Loans'!$F$8,B643+D643)</f>
        <v>0</v>
      </c>
      <c r="D643" s="22">
        <f>B643*'My Loans'!$E$8/12</f>
        <v>0</v>
      </c>
      <c r="E643" s="22">
        <f t="shared" si="60"/>
        <v>0</v>
      </c>
      <c r="F643" s="22">
        <f t="shared" si="61"/>
        <v>0</v>
      </c>
    </row>
    <row r="644" spans="1:6" x14ac:dyDescent="0.25">
      <c r="A644" s="1">
        <v>19</v>
      </c>
      <c r="B644" s="13">
        <f t="shared" si="62"/>
        <v>0</v>
      </c>
      <c r="C644" s="22">
        <f>MIN('My Loans'!$F$8,B644+D644)</f>
        <v>0</v>
      </c>
      <c r="D644" s="22">
        <f>B644*'My Loans'!$E$8/12</f>
        <v>0</v>
      </c>
      <c r="E644" s="22">
        <f t="shared" si="60"/>
        <v>0</v>
      </c>
      <c r="F644" s="22">
        <f t="shared" si="61"/>
        <v>0</v>
      </c>
    </row>
    <row r="645" spans="1:6" x14ac:dyDescent="0.25">
      <c r="A645" s="1">
        <v>20</v>
      </c>
      <c r="B645" s="13">
        <f t="shared" si="62"/>
        <v>0</v>
      </c>
      <c r="C645" s="22">
        <f>MIN('My Loans'!$F$8,B645+D645)</f>
        <v>0</v>
      </c>
      <c r="D645" s="22">
        <f>B645*'My Loans'!$E$8/12</f>
        <v>0</v>
      </c>
      <c r="E645" s="22">
        <f t="shared" si="60"/>
        <v>0</v>
      </c>
      <c r="F645" s="22">
        <f t="shared" si="61"/>
        <v>0</v>
      </c>
    </row>
    <row r="646" spans="1:6" x14ac:dyDescent="0.25">
      <c r="A646" s="1">
        <v>21</v>
      </c>
      <c r="B646" s="13">
        <f t="shared" si="62"/>
        <v>0</v>
      </c>
      <c r="C646" s="22">
        <f>MIN('My Loans'!$F$8,B646+D646)</f>
        <v>0</v>
      </c>
      <c r="D646" s="22">
        <f>B646*'My Loans'!$E$8/12</f>
        <v>0</v>
      </c>
      <c r="E646" s="22">
        <f t="shared" si="60"/>
        <v>0</v>
      </c>
      <c r="F646" s="22">
        <f t="shared" si="61"/>
        <v>0</v>
      </c>
    </row>
    <row r="647" spans="1:6" x14ac:dyDescent="0.25">
      <c r="A647" s="1">
        <v>22</v>
      </c>
      <c r="B647" s="13">
        <f t="shared" si="62"/>
        <v>0</v>
      </c>
      <c r="C647" s="22">
        <f>MIN('My Loans'!$F$8,B647+D647)</f>
        <v>0</v>
      </c>
      <c r="D647" s="22">
        <f>B647*'My Loans'!$E$8/12</f>
        <v>0</v>
      </c>
      <c r="E647" s="22">
        <f t="shared" si="60"/>
        <v>0</v>
      </c>
      <c r="F647" s="22">
        <f t="shared" si="61"/>
        <v>0</v>
      </c>
    </row>
    <row r="648" spans="1:6" x14ac:dyDescent="0.25">
      <c r="A648" s="1">
        <v>23</v>
      </c>
      <c r="B648" s="13">
        <f t="shared" si="62"/>
        <v>0</v>
      </c>
      <c r="C648" s="22">
        <f>MIN('My Loans'!$F$8,B648+D648)</f>
        <v>0</v>
      </c>
      <c r="D648" s="22">
        <f>B648*'My Loans'!$E$8/12</f>
        <v>0</v>
      </c>
      <c r="E648" s="22">
        <f t="shared" si="60"/>
        <v>0</v>
      </c>
      <c r="F648" s="22">
        <f t="shared" si="61"/>
        <v>0</v>
      </c>
    </row>
    <row r="649" spans="1:6" x14ac:dyDescent="0.25">
      <c r="A649" s="1">
        <v>24</v>
      </c>
      <c r="B649" s="13">
        <f t="shared" si="62"/>
        <v>0</v>
      </c>
      <c r="C649" s="22">
        <f>MIN('My Loans'!$F$8,B649+D649)</f>
        <v>0</v>
      </c>
      <c r="D649" s="22">
        <f>B649*'My Loans'!$E$8/12</f>
        <v>0</v>
      </c>
      <c r="E649" s="22">
        <f t="shared" si="60"/>
        <v>0</v>
      </c>
      <c r="F649" s="22">
        <f t="shared" si="61"/>
        <v>0</v>
      </c>
    </row>
    <row r="650" spans="1:6" x14ac:dyDescent="0.25">
      <c r="A650" s="1">
        <v>25</v>
      </c>
      <c r="B650" s="13">
        <f t="shared" si="62"/>
        <v>0</v>
      </c>
      <c r="C650" s="22">
        <f>MIN('My Loans'!$F$8,B650+D650)</f>
        <v>0</v>
      </c>
      <c r="D650" s="22">
        <f>B650*'My Loans'!$E$8/12</f>
        <v>0</v>
      </c>
      <c r="E650" s="22">
        <f t="shared" si="60"/>
        <v>0</v>
      </c>
      <c r="F650" s="22">
        <f t="shared" si="61"/>
        <v>0</v>
      </c>
    </row>
    <row r="651" spans="1:6" x14ac:dyDescent="0.25">
      <c r="A651" s="1">
        <v>26</v>
      </c>
      <c r="B651" s="13">
        <f t="shared" si="62"/>
        <v>0</v>
      </c>
      <c r="C651" s="22">
        <f>MIN('My Loans'!$F$8,B651+D651)</f>
        <v>0</v>
      </c>
      <c r="D651" s="22">
        <f>B651*'My Loans'!$E$8/12</f>
        <v>0</v>
      </c>
      <c r="E651" s="22">
        <f t="shared" si="60"/>
        <v>0</v>
      </c>
      <c r="F651" s="22">
        <f t="shared" si="61"/>
        <v>0</v>
      </c>
    </row>
    <row r="652" spans="1:6" x14ac:dyDescent="0.25">
      <c r="A652" s="1">
        <v>27</v>
      </c>
      <c r="B652" s="13">
        <f t="shared" si="62"/>
        <v>0</v>
      </c>
      <c r="C652" s="22">
        <f>MIN('My Loans'!$F$8,B652+D652)</f>
        <v>0</v>
      </c>
      <c r="D652" s="22">
        <f>B652*'My Loans'!$E$8/12</f>
        <v>0</v>
      </c>
      <c r="E652" s="22">
        <f t="shared" si="60"/>
        <v>0</v>
      </c>
      <c r="F652" s="22">
        <f t="shared" si="61"/>
        <v>0</v>
      </c>
    </row>
    <row r="653" spans="1:6" x14ac:dyDescent="0.25">
      <c r="A653" s="1">
        <v>28</v>
      </c>
      <c r="B653" s="13">
        <f t="shared" si="62"/>
        <v>0</v>
      </c>
      <c r="C653" s="22">
        <f>MIN('My Loans'!$F$8,B653+D653)</f>
        <v>0</v>
      </c>
      <c r="D653" s="22">
        <f>B653*'My Loans'!$E$8/12</f>
        <v>0</v>
      </c>
      <c r="E653" s="22">
        <f t="shared" si="60"/>
        <v>0</v>
      </c>
      <c r="F653" s="22">
        <f t="shared" si="61"/>
        <v>0</v>
      </c>
    </row>
    <row r="654" spans="1:6" x14ac:dyDescent="0.25">
      <c r="A654" s="1">
        <v>29</v>
      </c>
      <c r="B654" s="13">
        <f t="shared" si="62"/>
        <v>0</v>
      </c>
      <c r="C654" s="22">
        <f>MIN('My Loans'!$F$8,B654+D654)</f>
        <v>0</v>
      </c>
      <c r="D654" s="22">
        <f>B654*'My Loans'!$E$8/12</f>
        <v>0</v>
      </c>
      <c r="E654" s="22">
        <f t="shared" si="60"/>
        <v>0</v>
      </c>
      <c r="F654" s="22">
        <f t="shared" si="61"/>
        <v>0</v>
      </c>
    </row>
    <row r="655" spans="1:6" x14ac:dyDescent="0.25">
      <c r="A655" s="1">
        <v>30</v>
      </c>
      <c r="B655" s="13">
        <f t="shared" si="62"/>
        <v>0</v>
      </c>
      <c r="C655" s="22">
        <f>MIN('My Loans'!$F$8,B655+D655)</f>
        <v>0</v>
      </c>
      <c r="D655" s="22">
        <f>B655*'My Loans'!$E$8/12</f>
        <v>0</v>
      </c>
      <c r="E655" s="22">
        <f t="shared" si="60"/>
        <v>0</v>
      </c>
      <c r="F655" s="22">
        <f t="shared" si="61"/>
        <v>0</v>
      </c>
    </row>
    <row r="656" spans="1:6" x14ac:dyDescent="0.25">
      <c r="A656" s="1">
        <v>31</v>
      </c>
      <c r="B656" s="13">
        <f t="shared" si="62"/>
        <v>0</v>
      </c>
      <c r="C656" s="22">
        <f>MIN('My Loans'!$F$8,B656+D656)</f>
        <v>0</v>
      </c>
      <c r="D656" s="22">
        <f>B656*'My Loans'!$E$8/12</f>
        <v>0</v>
      </c>
      <c r="E656" s="22">
        <f t="shared" si="60"/>
        <v>0</v>
      </c>
      <c r="F656" s="22">
        <f t="shared" si="61"/>
        <v>0</v>
      </c>
    </row>
    <row r="657" spans="1:6" x14ac:dyDescent="0.25">
      <c r="A657" s="1">
        <v>32</v>
      </c>
      <c r="B657" s="13">
        <f t="shared" si="62"/>
        <v>0</v>
      </c>
      <c r="C657" s="22">
        <f>MIN('My Loans'!$F$8,B657+D657)</f>
        <v>0</v>
      </c>
      <c r="D657" s="22">
        <f>B657*'My Loans'!$E$8/12</f>
        <v>0</v>
      </c>
      <c r="E657" s="22">
        <f t="shared" si="60"/>
        <v>0</v>
      </c>
      <c r="F657" s="22">
        <f t="shared" si="61"/>
        <v>0</v>
      </c>
    </row>
    <row r="658" spans="1:6" x14ac:dyDescent="0.25">
      <c r="A658" s="1">
        <v>33</v>
      </c>
      <c r="B658" s="13">
        <f t="shared" si="62"/>
        <v>0</v>
      </c>
      <c r="C658" s="22">
        <f>MIN('My Loans'!$F$8,B658+D658)</f>
        <v>0</v>
      </c>
      <c r="D658" s="22">
        <f>B658*'My Loans'!$E$8/12</f>
        <v>0</v>
      </c>
      <c r="E658" s="22">
        <f t="shared" ref="E658:E689" si="63">C658-D658</f>
        <v>0</v>
      </c>
      <c r="F658" s="22">
        <f t="shared" ref="F658:F689" si="64">MAX(0,B658-E658)</f>
        <v>0</v>
      </c>
    </row>
    <row r="659" spans="1:6" x14ac:dyDescent="0.25">
      <c r="A659" s="1">
        <v>34</v>
      </c>
      <c r="B659" s="13">
        <f t="shared" ref="B659:B690" si="65">F658</f>
        <v>0</v>
      </c>
      <c r="C659" s="22">
        <f>MIN('My Loans'!$F$8,B659+D659)</f>
        <v>0</v>
      </c>
      <c r="D659" s="22">
        <f>B659*'My Loans'!$E$8/12</f>
        <v>0</v>
      </c>
      <c r="E659" s="22">
        <f t="shared" si="63"/>
        <v>0</v>
      </c>
      <c r="F659" s="22">
        <f t="shared" si="64"/>
        <v>0</v>
      </c>
    </row>
    <row r="660" spans="1:6" x14ac:dyDescent="0.25">
      <c r="A660" s="1">
        <v>35</v>
      </c>
      <c r="B660" s="13">
        <f t="shared" si="65"/>
        <v>0</v>
      </c>
      <c r="C660" s="22">
        <f>MIN('My Loans'!$F$8,B660+D660)</f>
        <v>0</v>
      </c>
      <c r="D660" s="22">
        <f>B660*'My Loans'!$E$8/12</f>
        <v>0</v>
      </c>
      <c r="E660" s="22">
        <f t="shared" si="63"/>
        <v>0</v>
      </c>
      <c r="F660" s="22">
        <f t="shared" si="64"/>
        <v>0</v>
      </c>
    </row>
    <row r="661" spans="1:6" x14ac:dyDescent="0.25">
      <c r="A661" s="1">
        <v>36</v>
      </c>
      <c r="B661" s="13">
        <f t="shared" si="65"/>
        <v>0</v>
      </c>
      <c r="C661" s="22">
        <f>MIN('My Loans'!$F$8,B661+D661)</f>
        <v>0</v>
      </c>
      <c r="D661" s="22">
        <f>B661*'My Loans'!$E$8/12</f>
        <v>0</v>
      </c>
      <c r="E661" s="22">
        <f t="shared" si="63"/>
        <v>0</v>
      </c>
      <c r="F661" s="22">
        <f t="shared" si="64"/>
        <v>0</v>
      </c>
    </row>
    <row r="662" spans="1:6" x14ac:dyDescent="0.25">
      <c r="A662" s="1">
        <v>37</v>
      </c>
      <c r="B662" s="13">
        <f t="shared" si="65"/>
        <v>0</v>
      </c>
      <c r="C662" s="22">
        <f>MIN('My Loans'!$F$8,B662+D662)</f>
        <v>0</v>
      </c>
      <c r="D662" s="22">
        <f>B662*'My Loans'!$E$8/12</f>
        <v>0</v>
      </c>
      <c r="E662" s="22">
        <f t="shared" si="63"/>
        <v>0</v>
      </c>
      <c r="F662" s="22">
        <f t="shared" si="64"/>
        <v>0</v>
      </c>
    </row>
    <row r="663" spans="1:6" x14ac:dyDescent="0.25">
      <c r="A663" s="1">
        <v>38</v>
      </c>
      <c r="B663" s="13">
        <f t="shared" si="65"/>
        <v>0</v>
      </c>
      <c r="C663" s="22">
        <f>MIN('My Loans'!$F$8,B663+D663)</f>
        <v>0</v>
      </c>
      <c r="D663" s="22">
        <f>B663*'My Loans'!$E$8/12</f>
        <v>0</v>
      </c>
      <c r="E663" s="22">
        <f t="shared" si="63"/>
        <v>0</v>
      </c>
      <c r="F663" s="22">
        <f t="shared" si="64"/>
        <v>0</v>
      </c>
    </row>
    <row r="664" spans="1:6" x14ac:dyDescent="0.25">
      <c r="A664" s="1">
        <v>39</v>
      </c>
      <c r="B664" s="13">
        <f t="shared" si="65"/>
        <v>0</v>
      </c>
      <c r="C664" s="22">
        <f>MIN('My Loans'!$F$8,B664+D664)</f>
        <v>0</v>
      </c>
      <c r="D664" s="22">
        <f>B664*'My Loans'!$E$8/12</f>
        <v>0</v>
      </c>
      <c r="E664" s="22">
        <f t="shared" si="63"/>
        <v>0</v>
      </c>
      <c r="F664" s="22">
        <f t="shared" si="64"/>
        <v>0</v>
      </c>
    </row>
    <row r="665" spans="1:6" x14ac:dyDescent="0.25">
      <c r="A665" s="1">
        <v>40</v>
      </c>
      <c r="B665" s="13">
        <f t="shared" si="65"/>
        <v>0</v>
      </c>
      <c r="C665" s="22">
        <f>MIN('My Loans'!$F$8,B665+D665)</f>
        <v>0</v>
      </c>
      <c r="D665" s="22">
        <f>B665*'My Loans'!$E$8/12</f>
        <v>0</v>
      </c>
      <c r="E665" s="22">
        <f t="shared" si="63"/>
        <v>0</v>
      </c>
      <c r="F665" s="22">
        <f t="shared" si="64"/>
        <v>0</v>
      </c>
    </row>
    <row r="666" spans="1:6" x14ac:dyDescent="0.25">
      <c r="A666" s="1">
        <v>41</v>
      </c>
      <c r="B666" s="13">
        <f t="shared" si="65"/>
        <v>0</v>
      </c>
      <c r="C666" s="22">
        <f>MIN('My Loans'!$F$8,B666+D666)</f>
        <v>0</v>
      </c>
      <c r="D666" s="22">
        <f>B666*'My Loans'!$E$8/12</f>
        <v>0</v>
      </c>
      <c r="E666" s="22">
        <f t="shared" si="63"/>
        <v>0</v>
      </c>
      <c r="F666" s="22">
        <f t="shared" si="64"/>
        <v>0</v>
      </c>
    </row>
    <row r="667" spans="1:6" x14ac:dyDescent="0.25">
      <c r="A667" s="1">
        <v>42</v>
      </c>
      <c r="B667" s="13">
        <f t="shared" si="65"/>
        <v>0</v>
      </c>
      <c r="C667" s="22">
        <f>MIN('My Loans'!$F$8,B667+D667)</f>
        <v>0</v>
      </c>
      <c r="D667" s="22">
        <f>B667*'My Loans'!$E$8/12</f>
        <v>0</v>
      </c>
      <c r="E667" s="22">
        <f t="shared" si="63"/>
        <v>0</v>
      </c>
      <c r="F667" s="22">
        <f t="shared" si="64"/>
        <v>0</v>
      </c>
    </row>
    <row r="668" spans="1:6" x14ac:dyDescent="0.25">
      <c r="A668" s="1">
        <v>43</v>
      </c>
      <c r="B668" s="13">
        <f t="shared" si="65"/>
        <v>0</v>
      </c>
      <c r="C668" s="22">
        <f>MIN('My Loans'!$F$8,B668+D668)</f>
        <v>0</v>
      </c>
      <c r="D668" s="22">
        <f>B668*'My Loans'!$E$8/12</f>
        <v>0</v>
      </c>
      <c r="E668" s="22">
        <f t="shared" si="63"/>
        <v>0</v>
      </c>
      <c r="F668" s="22">
        <f t="shared" si="64"/>
        <v>0</v>
      </c>
    </row>
    <row r="669" spans="1:6" x14ac:dyDescent="0.25">
      <c r="A669" s="1">
        <v>44</v>
      </c>
      <c r="B669" s="13">
        <f t="shared" si="65"/>
        <v>0</v>
      </c>
      <c r="C669" s="22">
        <f>MIN('My Loans'!$F$8,B669+D669)</f>
        <v>0</v>
      </c>
      <c r="D669" s="22">
        <f>B669*'My Loans'!$E$8/12</f>
        <v>0</v>
      </c>
      <c r="E669" s="22">
        <f t="shared" si="63"/>
        <v>0</v>
      </c>
      <c r="F669" s="22">
        <f t="shared" si="64"/>
        <v>0</v>
      </c>
    </row>
    <row r="670" spans="1:6" x14ac:dyDescent="0.25">
      <c r="A670" s="1">
        <v>45</v>
      </c>
      <c r="B670" s="13">
        <f t="shared" si="65"/>
        <v>0</v>
      </c>
      <c r="C670" s="22">
        <f>MIN('My Loans'!$F$8,B670+D670)</f>
        <v>0</v>
      </c>
      <c r="D670" s="22">
        <f>B670*'My Loans'!$E$8/12</f>
        <v>0</v>
      </c>
      <c r="E670" s="22">
        <f t="shared" si="63"/>
        <v>0</v>
      </c>
      <c r="F670" s="22">
        <f t="shared" si="64"/>
        <v>0</v>
      </c>
    </row>
    <row r="671" spans="1:6" x14ac:dyDescent="0.25">
      <c r="A671" s="1">
        <v>46</v>
      </c>
      <c r="B671" s="13">
        <f t="shared" si="65"/>
        <v>0</v>
      </c>
      <c r="C671" s="22">
        <f>MIN('My Loans'!$F$8,B671+D671)</f>
        <v>0</v>
      </c>
      <c r="D671" s="22">
        <f>B671*'My Loans'!$E$8/12</f>
        <v>0</v>
      </c>
      <c r="E671" s="22">
        <f t="shared" si="63"/>
        <v>0</v>
      </c>
      <c r="F671" s="22">
        <f t="shared" si="64"/>
        <v>0</v>
      </c>
    </row>
    <row r="672" spans="1:6" x14ac:dyDescent="0.25">
      <c r="A672" s="1">
        <v>47</v>
      </c>
      <c r="B672" s="13">
        <f t="shared" si="65"/>
        <v>0</v>
      </c>
      <c r="C672" s="22">
        <f>MIN('My Loans'!$F$8,B672+D672)</f>
        <v>0</v>
      </c>
      <c r="D672" s="22">
        <f>B672*'My Loans'!$E$8/12</f>
        <v>0</v>
      </c>
      <c r="E672" s="22">
        <f t="shared" si="63"/>
        <v>0</v>
      </c>
      <c r="F672" s="22">
        <f t="shared" si="64"/>
        <v>0</v>
      </c>
    </row>
    <row r="673" spans="1:6" x14ac:dyDescent="0.25">
      <c r="A673" s="1">
        <v>48</v>
      </c>
      <c r="B673" s="13">
        <f t="shared" si="65"/>
        <v>0</v>
      </c>
      <c r="C673" s="22">
        <f>MIN('My Loans'!$F$8,B673+D673)</f>
        <v>0</v>
      </c>
      <c r="D673" s="22">
        <f>B673*'My Loans'!$E$8/12</f>
        <v>0</v>
      </c>
      <c r="E673" s="22">
        <f t="shared" si="63"/>
        <v>0</v>
      </c>
      <c r="F673" s="22">
        <f t="shared" si="64"/>
        <v>0</v>
      </c>
    </row>
    <row r="674" spans="1:6" x14ac:dyDescent="0.25">
      <c r="A674" s="1">
        <v>49</v>
      </c>
      <c r="B674" s="13">
        <f t="shared" si="65"/>
        <v>0</v>
      </c>
      <c r="C674" s="22">
        <f>MIN('My Loans'!$F$8,B674+D674)</f>
        <v>0</v>
      </c>
      <c r="D674" s="22">
        <f>B674*'My Loans'!$E$8/12</f>
        <v>0</v>
      </c>
      <c r="E674" s="22">
        <f t="shared" si="63"/>
        <v>0</v>
      </c>
      <c r="F674" s="22">
        <f t="shared" si="64"/>
        <v>0</v>
      </c>
    </row>
    <row r="675" spans="1:6" x14ac:dyDescent="0.25">
      <c r="A675" s="1">
        <v>50</v>
      </c>
      <c r="B675" s="13">
        <f t="shared" si="65"/>
        <v>0</v>
      </c>
      <c r="C675" s="22">
        <f>MIN('My Loans'!$F$8,B675+D675)</f>
        <v>0</v>
      </c>
      <c r="D675" s="22">
        <f>B675*'My Loans'!$E$8/12</f>
        <v>0</v>
      </c>
      <c r="E675" s="22">
        <f t="shared" si="63"/>
        <v>0</v>
      </c>
      <c r="F675" s="22">
        <f t="shared" si="64"/>
        <v>0</v>
      </c>
    </row>
    <row r="676" spans="1:6" x14ac:dyDescent="0.25">
      <c r="A676" s="1">
        <v>51</v>
      </c>
      <c r="B676" s="13">
        <f t="shared" si="65"/>
        <v>0</v>
      </c>
      <c r="C676" s="22">
        <f>MIN('My Loans'!$F$8,B676+D676)</f>
        <v>0</v>
      </c>
      <c r="D676" s="22">
        <f>B676*'My Loans'!$E$8/12</f>
        <v>0</v>
      </c>
      <c r="E676" s="22">
        <f t="shared" si="63"/>
        <v>0</v>
      </c>
      <c r="F676" s="22">
        <f t="shared" si="64"/>
        <v>0</v>
      </c>
    </row>
    <row r="677" spans="1:6" x14ac:dyDescent="0.25">
      <c r="A677" s="1">
        <v>52</v>
      </c>
      <c r="B677" s="13">
        <f t="shared" si="65"/>
        <v>0</v>
      </c>
      <c r="C677" s="22">
        <f>MIN('My Loans'!$F$8,B677+D677)</f>
        <v>0</v>
      </c>
      <c r="D677" s="22">
        <f>B677*'My Loans'!$E$8/12</f>
        <v>0</v>
      </c>
      <c r="E677" s="22">
        <f t="shared" si="63"/>
        <v>0</v>
      </c>
      <c r="F677" s="22">
        <f t="shared" si="64"/>
        <v>0</v>
      </c>
    </row>
    <row r="678" spans="1:6" x14ac:dyDescent="0.25">
      <c r="A678" s="1">
        <v>53</v>
      </c>
      <c r="B678" s="13">
        <f t="shared" si="65"/>
        <v>0</v>
      </c>
      <c r="C678" s="22">
        <f>MIN('My Loans'!$F$8,B678+D678)</f>
        <v>0</v>
      </c>
      <c r="D678" s="22">
        <f>B678*'My Loans'!$E$8/12</f>
        <v>0</v>
      </c>
      <c r="E678" s="22">
        <f t="shared" si="63"/>
        <v>0</v>
      </c>
      <c r="F678" s="22">
        <f t="shared" si="64"/>
        <v>0</v>
      </c>
    </row>
    <row r="679" spans="1:6" x14ac:dyDescent="0.25">
      <c r="A679" s="1">
        <v>54</v>
      </c>
      <c r="B679" s="13">
        <f t="shared" si="65"/>
        <v>0</v>
      </c>
      <c r="C679" s="22">
        <f>MIN('My Loans'!$F$8,B679+D679)</f>
        <v>0</v>
      </c>
      <c r="D679" s="22">
        <f>B679*'My Loans'!$E$8/12</f>
        <v>0</v>
      </c>
      <c r="E679" s="22">
        <f t="shared" si="63"/>
        <v>0</v>
      </c>
      <c r="F679" s="22">
        <f t="shared" si="64"/>
        <v>0</v>
      </c>
    </row>
    <row r="680" spans="1:6" x14ac:dyDescent="0.25">
      <c r="A680" s="1">
        <v>55</v>
      </c>
      <c r="B680" s="13">
        <f t="shared" si="65"/>
        <v>0</v>
      </c>
      <c r="C680" s="22">
        <f>MIN('My Loans'!$F$8,B680+D680)</f>
        <v>0</v>
      </c>
      <c r="D680" s="22">
        <f>B680*'My Loans'!$E$8/12</f>
        <v>0</v>
      </c>
      <c r="E680" s="22">
        <f t="shared" si="63"/>
        <v>0</v>
      </c>
      <c r="F680" s="22">
        <f t="shared" si="64"/>
        <v>0</v>
      </c>
    </row>
    <row r="681" spans="1:6" x14ac:dyDescent="0.25">
      <c r="A681" s="1">
        <v>56</v>
      </c>
      <c r="B681" s="13">
        <f t="shared" si="65"/>
        <v>0</v>
      </c>
      <c r="C681" s="22">
        <f>MIN('My Loans'!$F$8,B681+D681)</f>
        <v>0</v>
      </c>
      <c r="D681" s="22">
        <f>B681*'My Loans'!$E$8/12</f>
        <v>0</v>
      </c>
      <c r="E681" s="22">
        <f t="shared" si="63"/>
        <v>0</v>
      </c>
      <c r="F681" s="22">
        <f t="shared" si="64"/>
        <v>0</v>
      </c>
    </row>
    <row r="682" spans="1:6" x14ac:dyDescent="0.25">
      <c r="A682" s="1">
        <v>57</v>
      </c>
      <c r="B682" s="13">
        <f t="shared" si="65"/>
        <v>0</v>
      </c>
      <c r="C682" s="22">
        <f>MIN('My Loans'!$F$8,B682+D682)</f>
        <v>0</v>
      </c>
      <c r="D682" s="22">
        <f>B682*'My Loans'!$E$8/12</f>
        <v>0</v>
      </c>
      <c r="E682" s="22">
        <f t="shared" si="63"/>
        <v>0</v>
      </c>
      <c r="F682" s="22">
        <f t="shared" si="64"/>
        <v>0</v>
      </c>
    </row>
    <row r="683" spans="1:6" x14ac:dyDescent="0.25">
      <c r="A683" s="1">
        <v>58</v>
      </c>
      <c r="B683" s="13">
        <f t="shared" si="65"/>
        <v>0</v>
      </c>
      <c r="C683" s="22">
        <f>MIN('My Loans'!$F$8,B683+D683)</f>
        <v>0</v>
      </c>
      <c r="D683" s="22">
        <f>B683*'My Loans'!$E$8/12</f>
        <v>0</v>
      </c>
      <c r="E683" s="22">
        <f t="shared" si="63"/>
        <v>0</v>
      </c>
      <c r="F683" s="22">
        <f t="shared" si="64"/>
        <v>0</v>
      </c>
    </row>
    <row r="684" spans="1:6" x14ac:dyDescent="0.25">
      <c r="A684" s="1">
        <v>59</v>
      </c>
      <c r="B684" s="13">
        <f t="shared" si="65"/>
        <v>0</v>
      </c>
      <c r="C684" s="22">
        <f>MIN('My Loans'!$F$8,B684+D684)</f>
        <v>0</v>
      </c>
      <c r="D684" s="22">
        <f>B684*'My Loans'!$E$8/12</f>
        <v>0</v>
      </c>
      <c r="E684" s="22">
        <f t="shared" si="63"/>
        <v>0</v>
      </c>
      <c r="F684" s="22">
        <f t="shared" si="64"/>
        <v>0</v>
      </c>
    </row>
    <row r="685" spans="1:6" x14ac:dyDescent="0.25">
      <c r="A685" s="1">
        <v>60</v>
      </c>
      <c r="B685" s="13">
        <f t="shared" si="65"/>
        <v>0</v>
      </c>
      <c r="C685" s="22">
        <f>MIN('My Loans'!$F$8,B685+D685)</f>
        <v>0</v>
      </c>
      <c r="D685" s="22">
        <f>B685*'My Loans'!$E$8/12</f>
        <v>0</v>
      </c>
      <c r="E685" s="22">
        <f t="shared" si="63"/>
        <v>0</v>
      </c>
      <c r="F685" s="22">
        <f t="shared" si="64"/>
        <v>0</v>
      </c>
    </row>
    <row r="686" spans="1:6" x14ac:dyDescent="0.25">
      <c r="A686" s="1">
        <v>61</v>
      </c>
      <c r="B686" s="13">
        <f t="shared" si="65"/>
        <v>0</v>
      </c>
      <c r="C686" s="22">
        <f>MIN('My Loans'!$F$8,B686+D686)</f>
        <v>0</v>
      </c>
      <c r="D686" s="22">
        <f>B686*'My Loans'!$E$8/12</f>
        <v>0</v>
      </c>
      <c r="E686" s="22">
        <f t="shared" si="63"/>
        <v>0</v>
      </c>
      <c r="F686" s="22">
        <f t="shared" si="64"/>
        <v>0</v>
      </c>
    </row>
    <row r="687" spans="1:6" x14ac:dyDescent="0.25">
      <c r="A687" s="1">
        <v>62</v>
      </c>
      <c r="B687" s="13">
        <f t="shared" si="65"/>
        <v>0</v>
      </c>
      <c r="C687" s="22">
        <f>MIN('My Loans'!$F$8,B687+D687)</f>
        <v>0</v>
      </c>
      <c r="D687" s="22">
        <f>B687*'My Loans'!$E$8/12</f>
        <v>0</v>
      </c>
      <c r="E687" s="22">
        <f t="shared" si="63"/>
        <v>0</v>
      </c>
      <c r="F687" s="22">
        <f t="shared" si="64"/>
        <v>0</v>
      </c>
    </row>
    <row r="688" spans="1:6" x14ac:dyDescent="0.25">
      <c r="A688" s="1">
        <v>63</v>
      </c>
      <c r="B688" s="13">
        <f t="shared" si="65"/>
        <v>0</v>
      </c>
      <c r="C688" s="22">
        <f>MIN('My Loans'!$F$8,B688+D688)</f>
        <v>0</v>
      </c>
      <c r="D688" s="22">
        <f>B688*'My Loans'!$E$8/12</f>
        <v>0</v>
      </c>
      <c r="E688" s="22">
        <f t="shared" si="63"/>
        <v>0</v>
      </c>
      <c r="F688" s="22">
        <f t="shared" si="64"/>
        <v>0</v>
      </c>
    </row>
    <row r="689" spans="1:6" x14ac:dyDescent="0.25">
      <c r="A689" s="1">
        <v>64</v>
      </c>
      <c r="B689" s="13">
        <f t="shared" si="65"/>
        <v>0</v>
      </c>
      <c r="C689" s="22">
        <f>MIN('My Loans'!$F$8,B689+D689)</f>
        <v>0</v>
      </c>
      <c r="D689" s="22">
        <f>B689*'My Loans'!$E$8/12</f>
        <v>0</v>
      </c>
      <c r="E689" s="22">
        <f t="shared" si="63"/>
        <v>0</v>
      </c>
      <c r="F689" s="22">
        <f t="shared" si="64"/>
        <v>0</v>
      </c>
    </row>
    <row r="690" spans="1:6" x14ac:dyDescent="0.25">
      <c r="A690" s="1">
        <v>65</v>
      </c>
      <c r="B690" s="13">
        <f t="shared" si="65"/>
        <v>0</v>
      </c>
      <c r="C690" s="22">
        <f>MIN('My Loans'!$F$8,B690+D690)</f>
        <v>0</v>
      </c>
      <c r="D690" s="22">
        <f>B690*'My Loans'!$E$8/12</f>
        <v>0</v>
      </c>
      <c r="E690" s="22">
        <f t="shared" ref="E690:E721" si="66">C690-D690</f>
        <v>0</v>
      </c>
      <c r="F690" s="22">
        <f t="shared" ref="F690:F721" si="67">MAX(0,B690-E690)</f>
        <v>0</v>
      </c>
    </row>
    <row r="691" spans="1:6" x14ac:dyDescent="0.25">
      <c r="A691" s="1">
        <v>66</v>
      </c>
      <c r="B691" s="13">
        <f t="shared" ref="B691:B722" si="68">F690</f>
        <v>0</v>
      </c>
      <c r="C691" s="22">
        <f>MIN('My Loans'!$F$8,B691+D691)</f>
        <v>0</v>
      </c>
      <c r="D691" s="22">
        <f>B691*'My Loans'!$E$8/12</f>
        <v>0</v>
      </c>
      <c r="E691" s="22">
        <f t="shared" si="66"/>
        <v>0</v>
      </c>
      <c r="F691" s="22">
        <f t="shared" si="67"/>
        <v>0</v>
      </c>
    </row>
    <row r="692" spans="1:6" x14ac:dyDescent="0.25">
      <c r="A692" s="1">
        <v>67</v>
      </c>
      <c r="B692" s="13">
        <f t="shared" si="68"/>
        <v>0</v>
      </c>
      <c r="C692" s="22">
        <f>MIN('My Loans'!$F$8,B692+D692)</f>
        <v>0</v>
      </c>
      <c r="D692" s="22">
        <f>B692*'My Loans'!$E$8/12</f>
        <v>0</v>
      </c>
      <c r="E692" s="22">
        <f t="shared" si="66"/>
        <v>0</v>
      </c>
      <c r="F692" s="22">
        <f t="shared" si="67"/>
        <v>0</v>
      </c>
    </row>
    <row r="693" spans="1:6" x14ac:dyDescent="0.25">
      <c r="A693" s="1">
        <v>68</v>
      </c>
      <c r="B693" s="13">
        <f t="shared" si="68"/>
        <v>0</v>
      </c>
      <c r="C693" s="22">
        <f>MIN('My Loans'!$F$8,B693+D693)</f>
        <v>0</v>
      </c>
      <c r="D693" s="22">
        <f>B693*'My Loans'!$E$8/12</f>
        <v>0</v>
      </c>
      <c r="E693" s="22">
        <f t="shared" si="66"/>
        <v>0</v>
      </c>
      <c r="F693" s="22">
        <f t="shared" si="67"/>
        <v>0</v>
      </c>
    </row>
    <row r="694" spans="1:6" x14ac:dyDescent="0.25">
      <c r="A694" s="1">
        <v>69</v>
      </c>
      <c r="B694" s="13">
        <f t="shared" si="68"/>
        <v>0</v>
      </c>
      <c r="C694" s="22">
        <f>MIN('My Loans'!$F$8,B694+D694)</f>
        <v>0</v>
      </c>
      <c r="D694" s="22">
        <f>B694*'My Loans'!$E$8/12</f>
        <v>0</v>
      </c>
      <c r="E694" s="22">
        <f t="shared" si="66"/>
        <v>0</v>
      </c>
      <c r="F694" s="22">
        <f t="shared" si="67"/>
        <v>0</v>
      </c>
    </row>
    <row r="695" spans="1:6" x14ac:dyDescent="0.25">
      <c r="A695" s="1">
        <v>70</v>
      </c>
      <c r="B695" s="13">
        <f t="shared" si="68"/>
        <v>0</v>
      </c>
      <c r="C695" s="22">
        <f>MIN('My Loans'!$F$8,B695+D695)</f>
        <v>0</v>
      </c>
      <c r="D695" s="22">
        <f>B695*'My Loans'!$E$8/12</f>
        <v>0</v>
      </c>
      <c r="E695" s="22">
        <f t="shared" si="66"/>
        <v>0</v>
      </c>
      <c r="F695" s="22">
        <f t="shared" si="67"/>
        <v>0</v>
      </c>
    </row>
    <row r="696" spans="1:6" x14ac:dyDescent="0.25">
      <c r="A696" s="1">
        <v>71</v>
      </c>
      <c r="B696" s="13">
        <f t="shared" si="68"/>
        <v>0</v>
      </c>
      <c r="C696" s="22">
        <f>MIN('My Loans'!$F$8,B696+D696)</f>
        <v>0</v>
      </c>
      <c r="D696" s="22">
        <f>B696*'My Loans'!$E$8/12</f>
        <v>0</v>
      </c>
      <c r="E696" s="22">
        <f t="shared" si="66"/>
        <v>0</v>
      </c>
      <c r="F696" s="22">
        <f t="shared" si="67"/>
        <v>0</v>
      </c>
    </row>
    <row r="697" spans="1:6" x14ac:dyDescent="0.25">
      <c r="A697" s="1">
        <v>72</v>
      </c>
      <c r="B697" s="13">
        <f t="shared" si="68"/>
        <v>0</v>
      </c>
      <c r="C697" s="22">
        <f>MIN('My Loans'!$F$8,B697+D697)</f>
        <v>0</v>
      </c>
      <c r="D697" s="22">
        <f>B697*'My Loans'!$E$8/12</f>
        <v>0</v>
      </c>
      <c r="E697" s="22">
        <f t="shared" si="66"/>
        <v>0</v>
      </c>
      <c r="F697" s="22">
        <f t="shared" si="67"/>
        <v>0</v>
      </c>
    </row>
    <row r="698" spans="1:6" x14ac:dyDescent="0.25">
      <c r="A698" s="1">
        <v>73</v>
      </c>
      <c r="B698" s="13">
        <f t="shared" si="68"/>
        <v>0</v>
      </c>
      <c r="C698" s="22">
        <f>MIN('My Loans'!$F$8,B698+D698)</f>
        <v>0</v>
      </c>
      <c r="D698" s="22">
        <f>B698*'My Loans'!$E$8/12</f>
        <v>0</v>
      </c>
      <c r="E698" s="22">
        <f t="shared" si="66"/>
        <v>0</v>
      </c>
      <c r="F698" s="22">
        <f t="shared" si="67"/>
        <v>0</v>
      </c>
    </row>
    <row r="699" spans="1:6" x14ac:dyDescent="0.25">
      <c r="A699" s="1">
        <v>74</v>
      </c>
      <c r="B699" s="13">
        <f t="shared" si="68"/>
        <v>0</v>
      </c>
      <c r="C699" s="22">
        <f>MIN('My Loans'!$F$8,B699+D699)</f>
        <v>0</v>
      </c>
      <c r="D699" s="22">
        <f>B699*'My Loans'!$E$8/12</f>
        <v>0</v>
      </c>
      <c r="E699" s="22">
        <f t="shared" si="66"/>
        <v>0</v>
      </c>
      <c r="F699" s="22">
        <f t="shared" si="67"/>
        <v>0</v>
      </c>
    </row>
    <row r="700" spans="1:6" x14ac:dyDescent="0.25">
      <c r="A700" s="1">
        <v>75</v>
      </c>
      <c r="B700" s="13">
        <f t="shared" si="68"/>
        <v>0</v>
      </c>
      <c r="C700" s="22">
        <f>MIN('My Loans'!$F$8,B700+D700)</f>
        <v>0</v>
      </c>
      <c r="D700" s="22">
        <f>B700*'My Loans'!$E$8/12</f>
        <v>0</v>
      </c>
      <c r="E700" s="22">
        <f t="shared" si="66"/>
        <v>0</v>
      </c>
      <c r="F700" s="22">
        <f t="shared" si="67"/>
        <v>0</v>
      </c>
    </row>
    <row r="701" spans="1:6" x14ac:dyDescent="0.25">
      <c r="A701" s="1">
        <v>76</v>
      </c>
      <c r="B701" s="13">
        <f t="shared" si="68"/>
        <v>0</v>
      </c>
      <c r="C701" s="22">
        <f>MIN('My Loans'!$F$8,B701+D701)</f>
        <v>0</v>
      </c>
      <c r="D701" s="22">
        <f>B701*'My Loans'!$E$8/12</f>
        <v>0</v>
      </c>
      <c r="E701" s="22">
        <f t="shared" si="66"/>
        <v>0</v>
      </c>
      <c r="F701" s="22">
        <f t="shared" si="67"/>
        <v>0</v>
      </c>
    </row>
    <row r="702" spans="1:6" x14ac:dyDescent="0.25">
      <c r="A702" s="1">
        <v>77</v>
      </c>
      <c r="B702" s="13">
        <f t="shared" si="68"/>
        <v>0</v>
      </c>
      <c r="C702" s="22">
        <f>MIN('My Loans'!$F$8,B702+D702)</f>
        <v>0</v>
      </c>
      <c r="D702" s="22">
        <f>B702*'My Loans'!$E$8/12</f>
        <v>0</v>
      </c>
      <c r="E702" s="22">
        <f t="shared" si="66"/>
        <v>0</v>
      </c>
      <c r="F702" s="22">
        <f t="shared" si="67"/>
        <v>0</v>
      </c>
    </row>
    <row r="703" spans="1:6" x14ac:dyDescent="0.25">
      <c r="A703" s="1">
        <v>78</v>
      </c>
      <c r="B703" s="13">
        <f t="shared" si="68"/>
        <v>0</v>
      </c>
      <c r="C703" s="22">
        <f>MIN('My Loans'!$F$8,B703+D703)</f>
        <v>0</v>
      </c>
      <c r="D703" s="22">
        <f>B703*'My Loans'!$E$8/12</f>
        <v>0</v>
      </c>
      <c r="E703" s="22">
        <f t="shared" si="66"/>
        <v>0</v>
      </c>
      <c r="F703" s="22">
        <f t="shared" si="67"/>
        <v>0</v>
      </c>
    </row>
    <row r="704" spans="1:6" x14ac:dyDescent="0.25">
      <c r="A704" s="1">
        <v>79</v>
      </c>
      <c r="B704" s="13">
        <f t="shared" si="68"/>
        <v>0</v>
      </c>
      <c r="C704" s="22">
        <f>MIN('My Loans'!$F$8,B704+D704)</f>
        <v>0</v>
      </c>
      <c r="D704" s="22">
        <f>B704*'My Loans'!$E$8/12</f>
        <v>0</v>
      </c>
      <c r="E704" s="22">
        <f t="shared" si="66"/>
        <v>0</v>
      </c>
      <c r="F704" s="22">
        <f t="shared" si="67"/>
        <v>0</v>
      </c>
    </row>
    <row r="705" spans="1:6" x14ac:dyDescent="0.25">
      <c r="A705" s="1">
        <v>80</v>
      </c>
      <c r="B705" s="13">
        <f t="shared" si="68"/>
        <v>0</v>
      </c>
      <c r="C705" s="22">
        <f>MIN('My Loans'!$F$8,B705+D705)</f>
        <v>0</v>
      </c>
      <c r="D705" s="22">
        <f>B705*'My Loans'!$E$8/12</f>
        <v>0</v>
      </c>
      <c r="E705" s="22">
        <f t="shared" si="66"/>
        <v>0</v>
      </c>
      <c r="F705" s="22">
        <f t="shared" si="67"/>
        <v>0</v>
      </c>
    </row>
    <row r="706" spans="1:6" x14ac:dyDescent="0.25">
      <c r="A706" s="1">
        <v>81</v>
      </c>
      <c r="B706" s="13">
        <f t="shared" si="68"/>
        <v>0</v>
      </c>
      <c r="C706" s="22">
        <f>MIN('My Loans'!$F$8,B706+D706)</f>
        <v>0</v>
      </c>
      <c r="D706" s="22">
        <f>B706*'My Loans'!$E$8/12</f>
        <v>0</v>
      </c>
      <c r="E706" s="22">
        <f t="shared" si="66"/>
        <v>0</v>
      </c>
      <c r="F706" s="22">
        <f t="shared" si="67"/>
        <v>0</v>
      </c>
    </row>
    <row r="707" spans="1:6" x14ac:dyDescent="0.25">
      <c r="A707" s="1">
        <v>82</v>
      </c>
      <c r="B707" s="13">
        <f t="shared" si="68"/>
        <v>0</v>
      </c>
      <c r="C707" s="22">
        <f>MIN('My Loans'!$F$8,B707+D707)</f>
        <v>0</v>
      </c>
      <c r="D707" s="22">
        <f>B707*'My Loans'!$E$8/12</f>
        <v>0</v>
      </c>
      <c r="E707" s="22">
        <f t="shared" si="66"/>
        <v>0</v>
      </c>
      <c r="F707" s="22">
        <f t="shared" si="67"/>
        <v>0</v>
      </c>
    </row>
    <row r="708" spans="1:6" x14ac:dyDescent="0.25">
      <c r="A708" s="1">
        <v>83</v>
      </c>
      <c r="B708" s="13">
        <f t="shared" si="68"/>
        <v>0</v>
      </c>
      <c r="C708" s="22">
        <f>MIN('My Loans'!$F$8,B708+D708)</f>
        <v>0</v>
      </c>
      <c r="D708" s="22">
        <f>B708*'My Loans'!$E$8/12</f>
        <v>0</v>
      </c>
      <c r="E708" s="22">
        <f t="shared" si="66"/>
        <v>0</v>
      </c>
      <c r="F708" s="22">
        <f t="shared" si="67"/>
        <v>0</v>
      </c>
    </row>
    <row r="709" spans="1:6" x14ac:dyDescent="0.25">
      <c r="A709" s="1">
        <v>84</v>
      </c>
      <c r="B709" s="13">
        <f t="shared" si="68"/>
        <v>0</v>
      </c>
      <c r="C709" s="22">
        <f>MIN('My Loans'!$F$8,B709+D709)</f>
        <v>0</v>
      </c>
      <c r="D709" s="22">
        <f>B709*'My Loans'!$E$8/12</f>
        <v>0</v>
      </c>
      <c r="E709" s="22">
        <f t="shared" si="66"/>
        <v>0</v>
      </c>
      <c r="F709" s="22">
        <f t="shared" si="67"/>
        <v>0</v>
      </c>
    </row>
    <row r="710" spans="1:6" x14ac:dyDescent="0.25">
      <c r="A710" s="1">
        <v>85</v>
      </c>
      <c r="B710" s="13">
        <f t="shared" si="68"/>
        <v>0</v>
      </c>
      <c r="C710" s="22">
        <f>MIN('My Loans'!$F$8,B710+D710)</f>
        <v>0</v>
      </c>
      <c r="D710" s="22">
        <f>B710*'My Loans'!$E$8/12</f>
        <v>0</v>
      </c>
      <c r="E710" s="22">
        <f t="shared" si="66"/>
        <v>0</v>
      </c>
      <c r="F710" s="22">
        <f t="shared" si="67"/>
        <v>0</v>
      </c>
    </row>
    <row r="711" spans="1:6" x14ac:dyDescent="0.25">
      <c r="A711" s="1">
        <v>86</v>
      </c>
      <c r="B711" s="13">
        <f t="shared" si="68"/>
        <v>0</v>
      </c>
      <c r="C711" s="22">
        <f>MIN('My Loans'!$F$8,B711+D711)</f>
        <v>0</v>
      </c>
      <c r="D711" s="22">
        <f>B711*'My Loans'!$E$8/12</f>
        <v>0</v>
      </c>
      <c r="E711" s="22">
        <f t="shared" si="66"/>
        <v>0</v>
      </c>
      <c r="F711" s="22">
        <f t="shared" si="67"/>
        <v>0</v>
      </c>
    </row>
    <row r="712" spans="1:6" x14ac:dyDescent="0.25">
      <c r="A712" s="1">
        <v>87</v>
      </c>
      <c r="B712" s="13">
        <f t="shared" si="68"/>
        <v>0</v>
      </c>
      <c r="C712" s="22">
        <f>MIN('My Loans'!$F$8,B712+D712)</f>
        <v>0</v>
      </c>
      <c r="D712" s="22">
        <f>B712*'My Loans'!$E$8/12</f>
        <v>0</v>
      </c>
      <c r="E712" s="22">
        <f t="shared" si="66"/>
        <v>0</v>
      </c>
      <c r="F712" s="22">
        <f t="shared" si="67"/>
        <v>0</v>
      </c>
    </row>
    <row r="713" spans="1:6" x14ac:dyDescent="0.25">
      <c r="A713" s="1">
        <v>88</v>
      </c>
      <c r="B713" s="13">
        <f t="shared" si="68"/>
        <v>0</v>
      </c>
      <c r="C713" s="22">
        <f>MIN('My Loans'!$F$8,B713+D713)</f>
        <v>0</v>
      </c>
      <c r="D713" s="22">
        <f>B713*'My Loans'!$E$8/12</f>
        <v>0</v>
      </c>
      <c r="E713" s="22">
        <f t="shared" si="66"/>
        <v>0</v>
      </c>
      <c r="F713" s="22">
        <f t="shared" si="67"/>
        <v>0</v>
      </c>
    </row>
    <row r="714" spans="1:6" x14ac:dyDescent="0.25">
      <c r="A714" s="1">
        <v>89</v>
      </c>
      <c r="B714" s="13">
        <f t="shared" si="68"/>
        <v>0</v>
      </c>
      <c r="C714" s="22">
        <f>MIN('My Loans'!$F$8,B714+D714)</f>
        <v>0</v>
      </c>
      <c r="D714" s="22">
        <f>B714*'My Loans'!$E$8/12</f>
        <v>0</v>
      </c>
      <c r="E714" s="22">
        <f t="shared" si="66"/>
        <v>0</v>
      </c>
      <c r="F714" s="22">
        <f t="shared" si="67"/>
        <v>0</v>
      </c>
    </row>
    <row r="715" spans="1:6" x14ac:dyDescent="0.25">
      <c r="A715" s="1">
        <v>90</v>
      </c>
      <c r="B715" s="13">
        <f t="shared" si="68"/>
        <v>0</v>
      </c>
      <c r="C715" s="22">
        <f>MIN('My Loans'!$F$8,B715+D715)</f>
        <v>0</v>
      </c>
      <c r="D715" s="22">
        <f>B715*'My Loans'!$E$8/12</f>
        <v>0</v>
      </c>
      <c r="E715" s="22">
        <f t="shared" si="66"/>
        <v>0</v>
      </c>
      <c r="F715" s="22">
        <f t="shared" si="67"/>
        <v>0</v>
      </c>
    </row>
    <row r="716" spans="1:6" x14ac:dyDescent="0.25">
      <c r="A716" s="1">
        <v>91</v>
      </c>
      <c r="B716" s="13">
        <f t="shared" si="68"/>
        <v>0</v>
      </c>
      <c r="C716" s="22">
        <f>MIN('My Loans'!$F$8,B716+D716)</f>
        <v>0</v>
      </c>
      <c r="D716" s="22">
        <f>B716*'My Loans'!$E$8/12</f>
        <v>0</v>
      </c>
      <c r="E716" s="22">
        <f t="shared" si="66"/>
        <v>0</v>
      </c>
      <c r="F716" s="22">
        <f t="shared" si="67"/>
        <v>0</v>
      </c>
    </row>
    <row r="717" spans="1:6" x14ac:dyDescent="0.25">
      <c r="A717" s="1">
        <v>92</v>
      </c>
      <c r="B717" s="13">
        <f t="shared" si="68"/>
        <v>0</v>
      </c>
      <c r="C717" s="22">
        <f>MIN('My Loans'!$F$8,B717+D717)</f>
        <v>0</v>
      </c>
      <c r="D717" s="22">
        <f>B717*'My Loans'!$E$8/12</f>
        <v>0</v>
      </c>
      <c r="E717" s="22">
        <f t="shared" si="66"/>
        <v>0</v>
      </c>
      <c r="F717" s="22">
        <f t="shared" si="67"/>
        <v>0</v>
      </c>
    </row>
    <row r="718" spans="1:6" x14ac:dyDescent="0.25">
      <c r="A718" s="1">
        <v>93</v>
      </c>
      <c r="B718" s="13">
        <f t="shared" si="68"/>
        <v>0</v>
      </c>
      <c r="C718" s="22">
        <f>MIN('My Loans'!$F$8,B718+D718)</f>
        <v>0</v>
      </c>
      <c r="D718" s="22">
        <f>B718*'My Loans'!$E$8/12</f>
        <v>0</v>
      </c>
      <c r="E718" s="22">
        <f t="shared" si="66"/>
        <v>0</v>
      </c>
      <c r="F718" s="22">
        <f t="shared" si="67"/>
        <v>0</v>
      </c>
    </row>
    <row r="719" spans="1:6" x14ac:dyDescent="0.25">
      <c r="A719" s="1">
        <v>94</v>
      </c>
      <c r="B719" s="13">
        <f t="shared" si="68"/>
        <v>0</v>
      </c>
      <c r="C719" s="22">
        <f>MIN('My Loans'!$F$8,B719+D719)</f>
        <v>0</v>
      </c>
      <c r="D719" s="22">
        <f>B719*'My Loans'!$E$8/12</f>
        <v>0</v>
      </c>
      <c r="E719" s="22">
        <f t="shared" si="66"/>
        <v>0</v>
      </c>
      <c r="F719" s="22">
        <f t="shared" si="67"/>
        <v>0</v>
      </c>
    </row>
    <row r="720" spans="1:6" x14ac:dyDescent="0.25">
      <c r="A720" s="1">
        <v>95</v>
      </c>
      <c r="B720" s="13">
        <f t="shared" si="68"/>
        <v>0</v>
      </c>
      <c r="C720" s="22">
        <f>MIN('My Loans'!$F$8,B720+D720)</f>
        <v>0</v>
      </c>
      <c r="D720" s="22">
        <f>B720*'My Loans'!$E$8/12</f>
        <v>0</v>
      </c>
      <c r="E720" s="22">
        <f t="shared" si="66"/>
        <v>0</v>
      </c>
      <c r="F720" s="22">
        <f t="shared" si="67"/>
        <v>0</v>
      </c>
    </row>
    <row r="721" spans="1:6" x14ac:dyDescent="0.25">
      <c r="A721" s="1">
        <v>96</v>
      </c>
      <c r="B721" s="13">
        <f t="shared" si="68"/>
        <v>0</v>
      </c>
      <c r="C721" s="22">
        <f>MIN('My Loans'!$F$8,B721+D721)</f>
        <v>0</v>
      </c>
      <c r="D721" s="22">
        <f>B721*'My Loans'!$E$8/12</f>
        <v>0</v>
      </c>
      <c r="E721" s="22">
        <f t="shared" si="66"/>
        <v>0</v>
      </c>
      <c r="F721" s="22">
        <f t="shared" si="67"/>
        <v>0</v>
      </c>
    </row>
    <row r="722" spans="1:6" x14ac:dyDescent="0.25">
      <c r="A722" s="1">
        <v>97</v>
      </c>
      <c r="B722" s="13">
        <f t="shared" si="68"/>
        <v>0</v>
      </c>
      <c r="C722" s="22">
        <f>MIN('My Loans'!$F$8,B722+D722)</f>
        <v>0</v>
      </c>
      <c r="D722" s="22">
        <f>B722*'My Loans'!$E$8/12</f>
        <v>0</v>
      </c>
      <c r="E722" s="22">
        <f t="shared" ref="E722:E753" si="69">C722-D722</f>
        <v>0</v>
      </c>
      <c r="F722" s="22">
        <f t="shared" ref="F722:F753" si="70">MAX(0,B722-E722)</f>
        <v>0</v>
      </c>
    </row>
    <row r="723" spans="1:6" x14ac:dyDescent="0.25">
      <c r="A723" s="1">
        <v>98</v>
      </c>
      <c r="B723" s="13">
        <f t="shared" ref="B723:B745" si="71">F722</f>
        <v>0</v>
      </c>
      <c r="C723" s="22">
        <f>MIN('My Loans'!$F$8,B723+D723)</f>
        <v>0</v>
      </c>
      <c r="D723" s="22">
        <f>B723*'My Loans'!$E$8/12</f>
        <v>0</v>
      </c>
      <c r="E723" s="22">
        <f t="shared" si="69"/>
        <v>0</v>
      </c>
      <c r="F723" s="22">
        <f t="shared" si="70"/>
        <v>0</v>
      </c>
    </row>
    <row r="724" spans="1:6" x14ac:dyDescent="0.25">
      <c r="A724" s="1">
        <v>99</v>
      </c>
      <c r="B724" s="13">
        <f t="shared" si="71"/>
        <v>0</v>
      </c>
      <c r="C724" s="22">
        <f>MIN('My Loans'!$F$8,B724+D724)</f>
        <v>0</v>
      </c>
      <c r="D724" s="22">
        <f>B724*'My Loans'!$E$8/12</f>
        <v>0</v>
      </c>
      <c r="E724" s="22">
        <f t="shared" si="69"/>
        <v>0</v>
      </c>
      <c r="F724" s="22">
        <f t="shared" si="70"/>
        <v>0</v>
      </c>
    </row>
    <row r="725" spans="1:6" x14ac:dyDescent="0.25">
      <c r="A725" s="1">
        <v>100</v>
      </c>
      <c r="B725" s="13">
        <f t="shared" si="71"/>
        <v>0</v>
      </c>
      <c r="C725" s="22">
        <f>MIN('My Loans'!$F$8,B725+D725)</f>
        <v>0</v>
      </c>
      <c r="D725" s="22">
        <f>B725*'My Loans'!$E$8/12</f>
        <v>0</v>
      </c>
      <c r="E725" s="22">
        <f t="shared" si="69"/>
        <v>0</v>
      </c>
      <c r="F725" s="22">
        <f t="shared" si="70"/>
        <v>0</v>
      </c>
    </row>
    <row r="726" spans="1:6" x14ac:dyDescent="0.25">
      <c r="A726" s="1">
        <v>101</v>
      </c>
      <c r="B726" s="13">
        <f t="shared" si="71"/>
        <v>0</v>
      </c>
      <c r="C726" s="22">
        <f>MIN('My Loans'!$F$8,B726+D726)</f>
        <v>0</v>
      </c>
      <c r="D726" s="22">
        <f>B726*'My Loans'!$E$8/12</f>
        <v>0</v>
      </c>
      <c r="E726" s="22">
        <f t="shared" si="69"/>
        <v>0</v>
      </c>
      <c r="F726" s="22">
        <f t="shared" si="70"/>
        <v>0</v>
      </c>
    </row>
    <row r="727" spans="1:6" x14ac:dyDescent="0.25">
      <c r="A727" s="1">
        <v>102</v>
      </c>
      <c r="B727" s="13">
        <f t="shared" si="71"/>
        <v>0</v>
      </c>
      <c r="C727" s="22">
        <f>MIN('My Loans'!$F$8,B727+D727)</f>
        <v>0</v>
      </c>
      <c r="D727" s="22">
        <f>B727*'My Loans'!$E$8/12</f>
        <v>0</v>
      </c>
      <c r="E727" s="22">
        <f t="shared" si="69"/>
        <v>0</v>
      </c>
      <c r="F727" s="22">
        <f t="shared" si="70"/>
        <v>0</v>
      </c>
    </row>
    <row r="728" spans="1:6" x14ac:dyDescent="0.25">
      <c r="A728" s="1">
        <v>103</v>
      </c>
      <c r="B728" s="13">
        <f t="shared" si="71"/>
        <v>0</v>
      </c>
      <c r="C728" s="22">
        <f>MIN('My Loans'!$F$8,B728+D728)</f>
        <v>0</v>
      </c>
      <c r="D728" s="22">
        <f>B728*'My Loans'!$E$8/12</f>
        <v>0</v>
      </c>
      <c r="E728" s="22">
        <f t="shared" si="69"/>
        <v>0</v>
      </c>
      <c r="F728" s="22">
        <f t="shared" si="70"/>
        <v>0</v>
      </c>
    </row>
    <row r="729" spans="1:6" x14ac:dyDescent="0.25">
      <c r="A729" s="1">
        <v>104</v>
      </c>
      <c r="B729" s="13">
        <f t="shared" si="71"/>
        <v>0</v>
      </c>
      <c r="C729" s="22">
        <f>MIN('My Loans'!$F$8,B729+D729)</f>
        <v>0</v>
      </c>
      <c r="D729" s="22">
        <f>B729*'My Loans'!$E$8/12</f>
        <v>0</v>
      </c>
      <c r="E729" s="22">
        <f t="shared" si="69"/>
        <v>0</v>
      </c>
      <c r="F729" s="22">
        <f t="shared" si="70"/>
        <v>0</v>
      </c>
    </row>
    <row r="730" spans="1:6" x14ac:dyDescent="0.25">
      <c r="A730" s="1">
        <v>105</v>
      </c>
      <c r="B730" s="13">
        <f t="shared" si="71"/>
        <v>0</v>
      </c>
      <c r="C730" s="22">
        <f>MIN('My Loans'!$F$8,B730+D730)</f>
        <v>0</v>
      </c>
      <c r="D730" s="22">
        <f>B730*'My Loans'!$E$8/12</f>
        <v>0</v>
      </c>
      <c r="E730" s="22">
        <f t="shared" si="69"/>
        <v>0</v>
      </c>
      <c r="F730" s="22">
        <f t="shared" si="70"/>
        <v>0</v>
      </c>
    </row>
    <row r="731" spans="1:6" x14ac:dyDescent="0.25">
      <c r="A731" s="1">
        <v>106</v>
      </c>
      <c r="B731" s="13">
        <f t="shared" si="71"/>
        <v>0</v>
      </c>
      <c r="C731" s="22">
        <f>MIN('My Loans'!$F$8,B731+D731)</f>
        <v>0</v>
      </c>
      <c r="D731" s="22">
        <f>B731*'My Loans'!$E$8/12</f>
        <v>0</v>
      </c>
      <c r="E731" s="22">
        <f t="shared" si="69"/>
        <v>0</v>
      </c>
      <c r="F731" s="22">
        <f t="shared" si="70"/>
        <v>0</v>
      </c>
    </row>
    <row r="732" spans="1:6" x14ac:dyDescent="0.25">
      <c r="A732" s="1">
        <v>107</v>
      </c>
      <c r="B732" s="13">
        <f t="shared" si="71"/>
        <v>0</v>
      </c>
      <c r="C732" s="22">
        <f>MIN('My Loans'!$F$8,B732+D732)</f>
        <v>0</v>
      </c>
      <c r="D732" s="22">
        <f>B732*'My Loans'!$E$8/12</f>
        <v>0</v>
      </c>
      <c r="E732" s="22">
        <f t="shared" si="69"/>
        <v>0</v>
      </c>
      <c r="F732" s="22">
        <f t="shared" si="70"/>
        <v>0</v>
      </c>
    </row>
    <row r="733" spans="1:6" x14ac:dyDescent="0.25">
      <c r="A733" s="1">
        <v>108</v>
      </c>
      <c r="B733" s="13">
        <f t="shared" si="71"/>
        <v>0</v>
      </c>
      <c r="C733" s="22">
        <f>MIN('My Loans'!$F$8,B733+D733)</f>
        <v>0</v>
      </c>
      <c r="D733" s="22">
        <f>B733*'My Loans'!$E$8/12</f>
        <v>0</v>
      </c>
      <c r="E733" s="22">
        <f t="shared" si="69"/>
        <v>0</v>
      </c>
      <c r="F733" s="22">
        <f t="shared" si="70"/>
        <v>0</v>
      </c>
    </row>
    <row r="734" spans="1:6" x14ac:dyDescent="0.25">
      <c r="A734" s="1">
        <v>109</v>
      </c>
      <c r="B734" s="13">
        <f t="shared" si="71"/>
        <v>0</v>
      </c>
      <c r="C734" s="22">
        <f>MIN('My Loans'!$F$8,B734+D734)</f>
        <v>0</v>
      </c>
      <c r="D734" s="22">
        <f>B734*'My Loans'!$E$8/12</f>
        <v>0</v>
      </c>
      <c r="E734" s="22">
        <f t="shared" si="69"/>
        <v>0</v>
      </c>
      <c r="F734" s="22">
        <f t="shared" si="70"/>
        <v>0</v>
      </c>
    </row>
    <row r="735" spans="1:6" x14ac:dyDescent="0.25">
      <c r="A735" s="1">
        <v>110</v>
      </c>
      <c r="B735" s="13">
        <f t="shared" si="71"/>
        <v>0</v>
      </c>
      <c r="C735" s="22">
        <f>MIN('My Loans'!$F$8,B735+D735)</f>
        <v>0</v>
      </c>
      <c r="D735" s="22">
        <f>B735*'My Loans'!$E$8/12</f>
        <v>0</v>
      </c>
      <c r="E735" s="22">
        <f t="shared" si="69"/>
        <v>0</v>
      </c>
      <c r="F735" s="22">
        <f t="shared" si="70"/>
        <v>0</v>
      </c>
    </row>
    <row r="736" spans="1:6" x14ac:dyDescent="0.25">
      <c r="A736" s="1">
        <v>111</v>
      </c>
      <c r="B736" s="13">
        <f t="shared" si="71"/>
        <v>0</v>
      </c>
      <c r="C736" s="22">
        <f>MIN('My Loans'!$F$8,B736+D736)</f>
        <v>0</v>
      </c>
      <c r="D736" s="22">
        <f>B736*'My Loans'!$E$8/12</f>
        <v>0</v>
      </c>
      <c r="E736" s="22">
        <f t="shared" si="69"/>
        <v>0</v>
      </c>
      <c r="F736" s="22">
        <f t="shared" si="70"/>
        <v>0</v>
      </c>
    </row>
    <row r="737" spans="1:6" x14ac:dyDescent="0.25">
      <c r="A737" s="1">
        <v>112</v>
      </c>
      <c r="B737" s="13">
        <f t="shared" si="71"/>
        <v>0</v>
      </c>
      <c r="C737" s="22">
        <f>MIN('My Loans'!$F$8,B737+D737)</f>
        <v>0</v>
      </c>
      <c r="D737" s="22">
        <f>B737*'My Loans'!$E$8/12</f>
        <v>0</v>
      </c>
      <c r="E737" s="22">
        <f t="shared" si="69"/>
        <v>0</v>
      </c>
      <c r="F737" s="22">
        <f t="shared" si="70"/>
        <v>0</v>
      </c>
    </row>
    <row r="738" spans="1:6" x14ac:dyDescent="0.25">
      <c r="A738" s="1">
        <v>113</v>
      </c>
      <c r="B738" s="13">
        <f t="shared" si="71"/>
        <v>0</v>
      </c>
      <c r="C738" s="22">
        <f>MIN('My Loans'!$F$8,B738+D738)</f>
        <v>0</v>
      </c>
      <c r="D738" s="22">
        <f>B738*'My Loans'!$E$8/12</f>
        <v>0</v>
      </c>
      <c r="E738" s="22">
        <f t="shared" si="69"/>
        <v>0</v>
      </c>
      <c r="F738" s="22">
        <f t="shared" si="70"/>
        <v>0</v>
      </c>
    </row>
    <row r="739" spans="1:6" x14ac:dyDescent="0.25">
      <c r="A739" s="1">
        <v>114</v>
      </c>
      <c r="B739" s="13">
        <f t="shared" si="71"/>
        <v>0</v>
      </c>
      <c r="C739" s="22">
        <f>MIN('My Loans'!$F$8,B739+D739)</f>
        <v>0</v>
      </c>
      <c r="D739" s="22">
        <f>B739*'My Loans'!$E$8/12</f>
        <v>0</v>
      </c>
      <c r="E739" s="22">
        <f t="shared" si="69"/>
        <v>0</v>
      </c>
      <c r="F739" s="22">
        <f t="shared" si="70"/>
        <v>0</v>
      </c>
    </row>
    <row r="740" spans="1:6" x14ac:dyDescent="0.25">
      <c r="A740" s="1">
        <v>115</v>
      </c>
      <c r="B740" s="13">
        <f t="shared" si="71"/>
        <v>0</v>
      </c>
      <c r="C740" s="22">
        <f>MIN('My Loans'!$F$8,B740+D740)</f>
        <v>0</v>
      </c>
      <c r="D740" s="22">
        <f>B740*'My Loans'!$E$8/12</f>
        <v>0</v>
      </c>
      <c r="E740" s="22">
        <f t="shared" si="69"/>
        <v>0</v>
      </c>
      <c r="F740" s="22">
        <f t="shared" si="70"/>
        <v>0</v>
      </c>
    </row>
    <row r="741" spans="1:6" x14ac:dyDescent="0.25">
      <c r="A741" s="1">
        <v>116</v>
      </c>
      <c r="B741" s="13">
        <f t="shared" si="71"/>
        <v>0</v>
      </c>
      <c r="C741" s="22">
        <f>MIN('My Loans'!$F$8,B741+D741)</f>
        <v>0</v>
      </c>
      <c r="D741" s="22">
        <f>B741*'My Loans'!$E$8/12</f>
        <v>0</v>
      </c>
      <c r="E741" s="22">
        <f t="shared" si="69"/>
        <v>0</v>
      </c>
      <c r="F741" s="22">
        <f t="shared" si="70"/>
        <v>0</v>
      </c>
    </row>
    <row r="742" spans="1:6" x14ac:dyDescent="0.25">
      <c r="A742" s="1">
        <v>117</v>
      </c>
      <c r="B742" s="13">
        <f t="shared" si="71"/>
        <v>0</v>
      </c>
      <c r="C742" s="22">
        <f>MIN('My Loans'!$F$8,B742+D742)</f>
        <v>0</v>
      </c>
      <c r="D742" s="22">
        <f>B742*'My Loans'!$E$8/12</f>
        <v>0</v>
      </c>
      <c r="E742" s="22">
        <f t="shared" si="69"/>
        <v>0</v>
      </c>
      <c r="F742" s="22">
        <f t="shared" si="70"/>
        <v>0</v>
      </c>
    </row>
    <row r="743" spans="1:6" x14ac:dyDescent="0.25">
      <c r="A743" s="1">
        <v>118</v>
      </c>
      <c r="B743" s="13">
        <f t="shared" si="71"/>
        <v>0</v>
      </c>
      <c r="C743" s="22">
        <f>MIN('My Loans'!$F$8,B743+D743)</f>
        <v>0</v>
      </c>
      <c r="D743" s="22">
        <f>B743*'My Loans'!$E$8/12</f>
        <v>0</v>
      </c>
      <c r="E743" s="22">
        <f t="shared" si="69"/>
        <v>0</v>
      </c>
      <c r="F743" s="22">
        <f t="shared" si="70"/>
        <v>0</v>
      </c>
    </row>
    <row r="744" spans="1:6" x14ac:dyDescent="0.25">
      <c r="A744" s="1">
        <v>119</v>
      </c>
      <c r="B744" s="13">
        <f t="shared" si="71"/>
        <v>0</v>
      </c>
      <c r="C744" s="22">
        <f>MIN('My Loans'!$F$8,B744+D744)</f>
        <v>0</v>
      </c>
      <c r="D744" s="22">
        <f>B744*'My Loans'!$E$8/12</f>
        <v>0</v>
      </c>
      <c r="E744" s="22">
        <f t="shared" si="69"/>
        <v>0</v>
      </c>
      <c r="F744" s="22">
        <f t="shared" si="70"/>
        <v>0</v>
      </c>
    </row>
    <row r="745" spans="1:6" x14ac:dyDescent="0.25">
      <c r="A745" s="1">
        <v>120</v>
      </c>
      <c r="B745" s="13">
        <f t="shared" si="71"/>
        <v>0</v>
      </c>
      <c r="C745" s="22">
        <f>MIN('My Loans'!$F$8,B745+D745)</f>
        <v>0</v>
      </c>
      <c r="D745" s="22">
        <f>B745*'My Loans'!$E$8/12</f>
        <v>0</v>
      </c>
      <c r="E745" s="22">
        <f t="shared" si="69"/>
        <v>0</v>
      </c>
      <c r="F745" s="22">
        <f t="shared" si="70"/>
        <v>0</v>
      </c>
    </row>
    <row r="746" spans="1:6" x14ac:dyDescent="0.25">
      <c r="A746" s="1" t="s">
        <v>96</v>
      </c>
      <c r="B746" s="13">
        <f>SUM(D626:D745)</f>
        <v>0</v>
      </c>
    </row>
    <row r="748" spans="1:6" x14ac:dyDescent="0.25">
      <c r="A748" s="3" t="s">
        <v>102</v>
      </c>
    </row>
    <row r="749" spans="1:6" x14ac:dyDescent="0.25">
      <c r="A749" s="2" t="s">
        <v>32</v>
      </c>
      <c r="B749" s="2" t="s">
        <v>91</v>
      </c>
      <c r="C749" s="21" t="s">
        <v>92</v>
      </c>
      <c r="D749" s="21" t="s">
        <v>93</v>
      </c>
      <c r="E749" s="21" t="s">
        <v>94</v>
      </c>
      <c r="F749" s="21" t="s">
        <v>95</v>
      </c>
    </row>
    <row r="750" spans="1:6" x14ac:dyDescent="0.25">
      <c r="A750" s="1">
        <v>1</v>
      </c>
      <c r="B750" s="13">
        <f>'My Loans'!$D$9</f>
        <v>0</v>
      </c>
      <c r="C750" s="22">
        <f>MIN('My Loans'!$F$9,B750+D750)</f>
        <v>0</v>
      </c>
      <c r="D750" s="22">
        <f>B750*'My Loans'!$E$9/12</f>
        <v>0</v>
      </c>
      <c r="E750" s="22">
        <f t="shared" ref="E750:E781" si="72">C750-D750</f>
        <v>0</v>
      </c>
      <c r="F750" s="22">
        <f t="shared" ref="F750:F781" si="73">MAX(0,B750-E750)</f>
        <v>0</v>
      </c>
    </row>
    <row r="751" spans="1:6" x14ac:dyDescent="0.25">
      <c r="A751" s="1">
        <v>2</v>
      </c>
      <c r="B751" s="13">
        <f t="shared" ref="B751:B782" si="74">F750</f>
        <v>0</v>
      </c>
      <c r="C751" s="22">
        <f>MIN('My Loans'!$F$9,B751+D751)</f>
        <v>0</v>
      </c>
      <c r="D751" s="22">
        <f>B751*'My Loans'!$E$9/12</f>
        <v>0</v>
      </c>
      <c r="E751" s="22">
        <f t="shared" si="72"/>
        <v>0</v>
      </c>
      <c r="F751" s="22">
        <f t="shared" si="73"/>
        <v>0</v>
      </c>
    </row>
    <row r="752" spans="1:6" x14ac:dyDescent="0.25">
      <c r="A752" s="1">
        <v>3</v>
      </c>
      <c r="B752" s="13">
        <f t="shared" si="74"/>
        <v>0</v>
      </c>
      <c r="C752" s="22">
        <f>MIN('My Loans'!$F$9,B752+D752)</f>
        <v>0</v>
      </c>
      <c r="D752" s="22">
        <f>B752*'My Loans'!$E$9/12</f>
        <v>0</v>
      </c>
      <c r="E752" s="22">
        <f t="shared" si="72"/>
        <v>0</v>
      </c>
      <c r="F752" s="22">
        <f t="shared" si="73"/>
        <v>0</v>
      </c>
    </row>
    <row r="753" spans="1:6" x14ac:dyDescent="0.25">
      <c r="A753" s="1">
        <v>4</v>
      </c>
      <c r="B753" s="13">
        <f t="shared" si="74"/>
        <v>0</v>
      </c>
      <c r="C753" s="22">
        <f>MIN('My Loans'!$F$9,B753+D753)</f>
        <v>0</v>
      </c>
      <c r="D753" s="22">
        <f>B753*'My Loans'!$E$9/12</f>
        <v>0</v>
      </c>
      <c r="E753" s="22">
        <f t="shared" si="72"/>
        <v>0</v>
      </c>
      <c r="F753" s="22">
        <f t="shared" si="73"/>
        <v>0</v>
      </c>
    </row>
    <row r="754" spans="1:6" x14ac:dyDescent="0.25">
      <c r="A754" s="1">
        <v>5</v>
      </c>
      <c r="B754" s="13">
        <f t="shared" si="74"/>
        <v>0</v>
      </c>
      <c r="C754" s="22">
        <f>MIN('My Loans'!$F$9,B754+D754)</f>
        <v>0</v>
      </c>
      <c r="D754" s="22">
        <f>B754*'My Loans'!$E$9/12</f>
        <v>0</v>
      </c>
      <c r="E754" s="22">
        <f t="shared" si="72"/>
        <v>0</v>
      </c>
      <c r="F754" s="22">
        <f t="shared" si="73"/>
        <v>0</v>
      </c>
    </row>
    <row r="755" spans="1:6" x14ac:dyDescent="0.25">
      <c r="A755" s="1">
        <v>6</v>
      </c>
      <c r="B755" s="13">
        <f t="shared" si="74"/>
        <v>0</v>
      </c>
      <c r="C755" s="22">
        <f>MIN('My Loans'!$F$9,B755+D755)</f>
        <v>0</v>
      </c>
      <c r="D755" s="22">
        <f>B755*'My Loans'!$E$9/12</f>
        <v>0</v>
      </c>
      <c r="E755" s="22">
        <f t="shared" si="72"/>
        <v>0</v>
      </c>
      <c r="F755" s="22">
        <f t="shared" si="73"/>
        <v>0</v>
      </c>
    </row>
    <row r="756" spans="1:6" x14ac:dyDescent="0.25">
      <c r="A756" s="1">
        <v>7</v>
      </c>
      <c r="B756" s="13">
        <f t="shared" si="74"/>
        <v>0</v>
      </c>
      <c r="C756" s="22">
        <f>MIN('My Loans'!$F$9,B756+D756)</f>
        <v>0</v>
      </c>
      <c r="D756" s="22">
        <f>B756*'My Loans'!$E$9/12</f>
        <v>0</v>
      </c>
      <c r="E756" s="22">
        <f t="shared" si="72"/>
        <v>0</v>
      </c>
      <c r="F756" s="22">
        <f t="shared" si="73"/>
        <v>0</v>
      </c>
    </row>
    <row r="757" spans="1:6" x14ac:dyDescent="0.25">
      <c r="A757" s="1">
        <v>8</v>
      </c>
      <c r="B757" s="13">
        <f t="shared" si="74"/>
        <v>0</v>
      </c>
      <c r="C757" s="22">
        <f>MIN('My Loans'!$F$9,B757+D757)</f>
        <v>0</v>
      </c>
      <c r="D757" s="22">
        <f>B757*'My Loans'!$E$9/12</f>
        <v>0</v>
      </c>
      <c r="E757" s="22">
        <f t="shared" si="72"/>
        <v>0</v>
      </c>
      <c r="F757" s="22">
        <f t="shared" si="73"/>
        <v>0</v>
      </c>
    </row>
    <row r="758" spans="1:6" x14ac:dyDescent="0.25">
      <c r="A758" s="1">
        <v>9</v>
      </c>
      <c r="B758" s="13">
        <f t="shared" si="74"/>
        <v>0</v>
      </c>
      <c r="C758" s="22">
        <f>MIN('My Loans'!$F$9,B758+D758)</f>
        <v>0</v>
      </c>
      <c r="D758" s="22">
        <f>B758*'My Loans'!$E$9/12</f>
        <v>0</v>
      </c>
      <c r="E758" s="22">
        <f t="shared" si="72"/>
        <v>0</v>
      </c>
      <c r="F758" s="22">
        <f t="shared" si="73"/>
        <v>0</v>
      </c>
    </row>
    <row r="759" spans="1:6" x14ac:dyDescent="0.25">
      <c r="A759" s="1">
        <v>10</v>
      </c>
      <c r="B759" s="13">
        <f t="shared" si="74"/>
        <v>0</v>
      </c>
      <c r="C759" s="22">
        <f>MIN('My Loans'!$F$9,B759+D759)</f>
        <v>0</v>
      </c>
      <c r="D759" s="22">
        <f>B759*'My Loans'!$E$9/12</f>
        <v>0</v>
      </c>
      <c r="E759" s="22">
        <f t="shared" si="72"/>
        <v>0</v>
      </c>
      <c r="F759" s="22">
        <f t="shared" si="73"/>
        <v>0</v>
      </c>
    </row>
    <row r="760" spans="1:6" x14ac:dyDescent="0.25">
      <c r="A760" s="1">
        <v>11</v>
      </c>
      <c r="B760" s="13">
        <f t="shared" si="74"/>
        <v>0</v>
      </c>
      <c r="C760" s="22">
        <f>MIN('My Loans'!$F$9,B760+D760)</f>
        <v>0</v>
      </c>
      <c r="D760" s="22">
        <f>B760*'My Loans'!$E$9/12</f>
        <v>0</v>
      </c>
      <c r="E760" s="22">
        <f t="shared" si="72"/>
        <v>0</v>
      </c>
      <c r="F760" s="22">
        <f t="shared" si="73"/>
        <v>0</v>
      </c>
    </row>
    <row r="761" spans="1:6" x14ac:dyDescent="0.25">
      <c r="A761" s="1">
        <v>12</v>
      </c>
      <c r="B761" s="13">
        <f t="shared" si="74"/>
        <v>0</v>
      </c>
      <c r="C761" s="22">
        <f>MIN('My Loans'!$F$9,B761+D761)</f>
        <v>0</v>
      </c>
      <c r="D761" s="22">
        <f>B761*'My Loans'!$E$9/12</f>
        <v>0</v>
      </c>
      <c r="E761" s="22">
        <f t="shared" si="72"/>
        <v>0</v>
      </c>
      <c r="F761" s="22">
        <f t="shared" si="73"/>
        <v>0</v>
      </c>
    </row>
    <row r="762" spans="1:6" x14ac:dyDescent="0.25">
      <c r="A762" s="1">
        <v>13</v>
      </c>
      <c r="B762" s="13">
        <f t="shared" si="74"/>
        <v>0</v>
      </c>
      <c r="C762" s="22">
        <f>MIN('My Loans'!$F$9,B762+D762)</f>
        <v>0</v>
      </c>
      <c r="D762" s="22">
        <f>B762*'My Loans'!$E$9/12</f>
        <v>0</v>
      </c>
      <c r="E762" s="22">
        <f t="shared" si="72"/>
        <v>0</v>
      </c>
      <c r="F762" s="22">
        <f t="shared" si="73"/>
        <v>0</v>
      </c>
    </row>
    <row r="763" spans="1:6" x14ac:dyDescent="0.25">
      <c r="A763" s="1">
        <v>14</v>
      </c>
      <c r="B763" s="13">
        <f t="shared" si="74"/>
        <v>0</v>
      </c>
      <c r="C763" s="22">
        <f>MIN('My Loans'!$F$9,B763+D763)</f>
        <v>0</v>
      </c>
      <c r="D763" s="22">
        <f>B763*'My Loans'!$E$9/12</f>
        <v>0</v>
      </c>
      <c r="E763" s="22">
        <f t="shared" si="72"/>
        <v>0</v>
      </c>
      <c r="F763" s="22">
        <f t="shared" si="73"/>
        <v>0</v>
      </c>
    </row>
    <row r="764" spans="1:6" x14ac:dyDescent="0.25">
      <c r="A764" s="1">
        <v>15</v>
      </c>
      <c r="B764" s="13">
        <f t="shared" si="74"/>
        <v>0</v>
      </c>
      <c r="C764" s="22">
        <f>MIN('My Loans'!$F$9,B764+D764)</f>
        <v>0</v>
      </c>
      <c r="D764" s="22">
        <f>B764*'My Loans'!$E$9/12</f>
        <v>0</v>
      </c>
      <c r="E764" s="22">
        <f t="shared" si="72"/>
        <v>0</v>
      </c>
      <c r="F764" s="22">
        <f t="shared" si="73"/>
        <v>0</v>
      </c>
    </row>
    <row r="765" spans="1:6" x14ac:dyDescent="0.25">
      <c r="A765" s="1">
        <v>16</v>
      </c>
      <c r="B765" s="13">
        <f t="shared" si="74"/>
        <v>0</v>
      </c>
      <c r="C765" s="22">
        <f>MIN('My Loans'!$F$9,B765+D765)</f>
        <v>0</v>
      </c>
      <c r="D765" s="22">
        <f>B765*'My Loans'!$E$9/12</f>
        <v>0</v>
      </c>
      <c r="E765" s="22">
        <f t="shared" si="72"/>
        <v>0</v>
      </c>
      <c r="F765" s="22">
        <f t="shared" si="73"/>
        <v>0</v>
      </c>
    </row>
    <row r="766" spans="1:6" x14ac:dyDescent="0.25">
      <c r="A766" s="1">
        <v>17</v>
      </c>
      <c r="B766" s="13">
        <f t="shared" si="74"/>
        <v>0</v>
      </c>
      <c r="C766" s="22">
        <f>MIN('My Loans'!$F$9,B766+D766)</f>
        <v>0</v>
      </c>
      <c r="D766" s="22">
        <f>B766*'My Loans'!$E$9/12</f>
        <v>0</v>
      </c>
      <c r="E766" s="22">
        <f t="shared" si="72"/>
        <v>0</v>
      </c>
      <c r="F766" s="22">
        <f t="shared" si="73"/>
        <v>0</v>
      </c>
    </row>
    <row r="767" spans="1:6" x14ac:dyDescent="0.25">
      <c r="A767" s="1">
        <v>18</v>
      </c>
      <c r="B767" s="13">
        <f t="shared" si="74"/>
        <v>0</v>
      </c>
      <c r="C767" s="22">
        <f>MIN('My Loans'!$F$9,B767+D767)</f>
        <v>0</v>
      </c>
      <c r="D767" s="22">
        <f>B767*'My Loans'!$E$9/12</f>
        <v>0</v>
      </c>
      <c r="E767" s="22">
        <f t="shared" si="72"/>
        <v>0</v>
      </c>
      <c r="F767" s="22">
        <f t="shared" si="73"/>
        <v>0</v>
      </c>
    </row>
    <row r="768" spans="1:6" x14ac:dyDescent="0.25">
      <c r="A768" s="1">
        <v>19</v>
      </c>
      <c r="B768" s="13">
        <f t="shared" si="74"/>
        <v>0</v>
      </c>
      <c r="C768" s="22">
        <f>MIN('My Loans'!$F$9,B768+D768)</f>
        <v>0</v>
      </c>
      <c r="D768" s="22">
        <f>B768*'My Loans'!$E$9/12</f>
        <v>0</v>
      </c>
      <c r="E768" s="22">
        <f t="shared" si="72"/>
        <v>0</v>
      </c>
      <c r="F768" s="22">
        <f t="shared" si="73"/>
        <v>0</v>
      </c>
    </row>
    <row r="769" spans="1:6" x14ac:dyDescent="0.25">
      <c r="A769" s="1">
        <v>20</v>
      </c>
      <c r="B769" s="13">
        <f t="shared" si="74"/>
        <v>0</v>
      </c>
      <c r="C769" s="22">
        <f>MIN('My Loans'!$F$9,B769+D769)</f>
        <v>0</v>
      </c>
      <c r="D769" s="22">
        <f>B769*'My Loans'!$E$9/12</f>
        <v>0</v>
      </c>
      <c r="E769" s="22">
        <f t="shared" si="72"/>
        <v>0</v>
      </c>
      <c r="F769" s="22">
        <f t="shared" si="73"/>
        <v>0</v>
      </c>
    </row>
    <row r="770" spans="1:6" x14ac:dyDescent="0.25">
      <c r="A770" s="1">
        <v>21</v>
      </c>
      <c r="B770" s="13">
        <f t="shared" si="74"/>
        <v>0</v>
      </c>
      <c r="C770" s="22">
        <f>MIN('My Loans'!$F$9,B770+D770)</f>
        <v>0</v>
      </c>
      <c r="D770" s="22">
        <f>B770*'My Loans'!$E$9/12</f>
        <v>0</v>
      </c>
      <c r="E770" s="22">
        <f t="shared" si="72"/>
        <v>0</v>
      </c>
      <c r="F770" s="22">
        <f t="shared" si="73"/>
        <v>0</v>
      </c>
    </row>
    <row r="771" spans="1:6" x14ac:dyDescent="0.25">
      <c r="A771" s="1">
        <v>22</v>
      </c>
      <c r="B771" s="13">
        <f t="shared" si="74"/>
        <v>0</v>
      </c>
      <c r="C771" s="22">
        <f>MIN('My Loans'!$F$9,B771+D771)</f>
        <v>0</v>
      </c>
      <c r="D771" s="22">
        <f>B771*'My Loans'!$E$9/12</f>
        <v>0</v>
      </c>
      <c r="E771" s="22">
        <f t="shared" si="72"/>
        <v>0</v>
      </c>
      <c r="F771" s="22">
        <f t="shared" si="73"/>
        <v>0</v>
      </c>
    </row>
    <row r="772" spans="1:6" x14ac:dyDescent="0.25">
      <c r="A772" s="1">
        <v>23</v>
      </c>
      <c r="B772" s="13">
        <f t="shared" si="74"/>
        <v>0</v>
      </c>
      <c r="C772" s="22">
        <f>MIN('My Loans'!$F$9,B772+D772)</f>
        <v>0</v>
      </c>
      <c r="D772" s="22">
        <f>B772*'My Loans'!$E$9/12</f>
        <v>0</v>
      </c>
      <c r="E772" s="22">
        <f t="shared" si="72"/>
        <v>0</v>
      </c>
      <c r="F772" s="22">
        <f t="shared" si="73"/>
        <v>0</v>
      </c>
    </row>
    <row r="773" spans="1:6" x14ac:dyDescent="0.25">
      <c r="A773" s="1">
        <v>24</v>
      </c>
      <c r="B773" s="13">
        <f t="shared" si="74"/>
        <v>0</v>
      </c>
      <c r="C773" s="22">
        <f>MIN('My Loans'!$F$9,B773+D773)</f>
        <v>0</v>
      </c>
      <c r="D773" s="22">
        <f>B773*'My Loans'!$E$9/12</f>
        <v>0</v>
      </c>
      <c r="E773" s="22">
        <f t="shared" si="72"/>
        <v>0</v>
      </c>
      <c r="F773" s="22">
        <f t="shared" si="73"/>
        <v>0</v>
      </c>
    </row>
    <row r="774" spans="1:6" x14ac:dyDescent="0.25">
      <c r="A774" s="1">
        <v>25</v>
      </c>
      <c r="B774" s="13">
        <f t="shared" si="74"/>
        <v>0</v>
      </c>
      <c r="C774" s="22">
        <f>MIN('My Loans'!$F$9,B774+D774)</f>
        <v>0</v>
      </c>
      <c r="D774" s="22">
        <f>B774*'My Loans'!$E$9/12</f>
        <v>0</v>
      </c>
      <c r="E774" s="22">
        <f t="shared" si="72"/>
        <v>0</v>
      </c>
      <c r="F774" s="22">
        <f t="shared" si="73"/>
        <v>0</v>
      </c>
    </row>
    <row r="775" spans="1:6" x14ac:dyDescent="0.25">
      <c r="A775" s="1">
        <v>26</v>
      </c>
      <c r="B775" s="13">
        <f t="shared" si="74"/>
        <v>0</v>
      </c>
      <c r="C775" s="22">
        <f>MIN('My Loans'!$F$9,B775+D775)</f>
        <v>0</v>
      </c>
      <c r="D775" s="22">
        <f>B775*'My Loans'!$E$9/12</f>
        <v>0</v>
      </c>
      <c r="E775" s="22">
        <f t="shared" si="72"/>
        <v>0</v>
      </c>
      <c r="F775" s="22">
        <f t="shared" si="73"/>
        <v>0</v>
      </c>
    </row>
    <row r="776" spans="1:6" x14ac:dyDescent="0.25">
      <c r="A776" s="1">
        <v>27</v>
      </c>
      <c r="B776" s="13">
        <f t="shared" si="74"/>
        <v>0</v>
      </c>
      <c r="C776" s="22">
        <f>MIN('My Loans'!$F$9,B776+D776)</f>
        <v>0</v>
      </c>
      <c r="D776" s="22">
        <f>B776*'My Loans'!$E$9/12</f>
        <v>0</v>
      </c>
      <c r="E776" s="22">
        <f t="shared" si="72"/>
        <v>0</v>
      </c>
      <c r="F776" s="22">
        <f t="shared" si="73"/>
        <v>0</v>
      </c>
    </row>
    <row r="777" spans="1:6" x14ac:dyDescent="0.25">
      <c r="A777" s="1">
        <v>28</v>
      </c>
      <c r="B777" s="13">
        <f t="shared" si="74"/>
        <v>0</v>
      </c>
      <c r="C777" s="22">
        <f>MIN('My Loans'!$F$9,B777+D777)</f>
        <v>0</v>
      </c>
      <c r="D777" s="22">
        <f>B777*'My Loans'!$E$9/12</f>
        <v>0</v>
      </c>
      <c r="E777" s="22">
        <f t="shared" si="72"/>
        <v>0</v>
      </c>
      <c r="F777" s="22">
        <f t="shared" si="73"/>
        <v>0</v>
      </c>
    </row>
    <row r="778" spans="1:6" x14ac:dyDescent="0.25">
      <c r="A778" s="1">
        <v>29</v>
      </c>
      <c r="B778" s="13">
        <f t="shared" si="74"/>
        <v>0</v>
      </c>
      <c r="C778" s="22">
        <f>MIN('My Loans'!$F$9,B778+D778)</f>
        <v>0</v>
      </c>
      <c r="D778" s="22">
        <f>B778*'My Loans'!$E$9/12</f>
        <v>0</v>
      </c>
      <c r="E778" s="22">
        <f t="shared" si="72"/>
        <v>0</v>
      </c>
      <c r="F778" s="22">
        <f t="shared" si="73"/>
        <v>0</v>
      </c>
    </row>
    <row r="779" spans="1:6" x14ac:dyDescent="0.25">
      <c r="A779" s="1">
        <v>30</v>
      </c>
      <c r="B779" s="13">
        <f t="shared" si="74"/>
        <v>0</v>
      </c>
      <c r="C779" s="22">
        <f>MIN('My Loans'!$F$9,B779+D779)</f>
        <v>0</v>
      </c>
      <c r="D779" s="22">
        <f>B779*'My Loans'!$E$9/12</f>
        <v>0</v>
      </c>
      <c r="E779" s="22">
        <f t="shared" si="72"/>
        <v>0</v>
      </c>
      <c r="F779" s="22">
        <f t="shared" si="73"/>
        <v>0</v>
      </c>
    </row>
    <row r="780" spans="1:6" x14ac:dyDescent="0.25">
      <c r="A780" s="1">
        <v>31</v>
      </c>
      <c r="B780" s="13">
        <f t="shared" si="74"/>
        <v>0</v>
      </c>
      <c r="C780" s="22">
        <f>MIN('My Loans'!$F$9,B780+D780)</f>
        <v>0</v>
      </c>
      <c r="D780" s="22">
        <f>B780*'My Loans'!$E$9/12</f>
        <v>0</v>
      </c>
      <c r="E780" s="22">
        <f t="shared" si="72"/>
        <v>0</v>
      </c>
      <c r="F780" s="22">
        <f t="shared" si="73"/>
        <v>0</v>
      </c>
    </row>
    <row r="781" spans="1:6" x14ac:dyDescent="0.25">
      <c r="A781" s="1">
        <v>32</v>
      </c>
      <c r="B781" s="13">
        <f t="shared" si="74"/>
        <v>0</v>
      </c>
      <c r="C781" s="22">
        <f>MIN('My Loans'!$F$9,B781+D781)</f>
        <v>0</v>
      </c>
      <c r="D781" s="22">
        <f>B781*'My Loans'!$E$9/12</f>
        <v>0</v>
      </c>
      <c r="E781" s="22">
        <f t="shared" si="72"/>
        <v>0</v>
      </c>
      <c r="F781" s="22">
        <f t="shared" si="73"/>
        <v>0</v>
      </c>
    </row>
    <row r="782" spans="1:6" x14ac:dyDescent="0.25">
      <c r="A782" s="1">
        <v>33</v>
      </c>
      <c r="B782" s="13">
        <f t="shared" si="74"/>
        <v>0</v>
      </c>
      <c r="C782" s="22">
        <f>MIN('My Loans'!$F$9,B782+D782)</f>
        <v>0</v>
      </c>
      <c r="D782" s="22">
        <f>B782*'My Loans'!$E$9/12</f>
        <v>0</v>
      </c>
      <c r="E782" s="22">
        <f t="shared" ref="E782:E813" si="75">C782-D782</f>
        <v>0</v>
      </c>
      <c r="F782" s="22">
        <f t="shared" ref="F782:F813" si="76">MAX(0,B782-E782)</f>
        <v>0</v>
      </c>
    </row>
    <row r="783" spans="1:6" x14ac:dyDescent="0.25">
      <c r="A783" s="1">
        <v>34</v>
      </c>
      <c r="B783" s="13">
        <f t="shared" ref="B783:B814" si="77">F782</f>
        <v>0</v>
      </c>
      <c r="C783" s="22">
        <f>MIN('My Loans'!$F$9,B783+D783)</f>
        <v>0</v>
      </c>
      <c r="D783" s="22">
        <f>B783*'My Loans'!$E$9/12</f>
        <v>0</v>
      </c>
      <c r="E783" s="22">
        <f t="shared" si="75"/>
        <v>0</v>
      </c>
      <c r="F783" s="22">
        <f t="shared" si="76"/>
        <v>0</v>
      </c>
    </row>
    <row r="784" spans="1:6" x14ac:dyDescent="0.25">
      <c r="A784" s="1">
        <v>35</v>
      </c>
      <c r="B784" s="13">
        <f t="shared" si="77"/>
        <v>0</v>
      </c>
      <c r="C784" s="22">
        <f>MIN('My Loans'!$F$9,B784+D784)</f>
        <v>0</v>
      </c>
      <c r="D784" s="22">
        <f>B784*'My Loans'!$E$9/12</f>
        <v>0</v>
      </c>
      <c r="E784" s="22">
        <f t="shared" si="75"/>
        <v>0</v>
      </c>
      <c r="F784" s="22">
        <f t="shared" si="76"/>
        <v>0</v>
      </c>
    </row>
    <row r="785" spans="1:6" x14ac:dyDescent="0.25">
      <c r="A785" s="1">
        <v>36</v>
      </c>
      <c r="B785" s="13">
        <f t="shared" si="77"/>
        <v>0</v>
      </c>
      <c r="C785" s="22">
        <f>MIN('My Loans'!$F$9,B785+D785)</f>
        <v>0</v>
      </c>
      <c r="D785" s="22">
        <f>B785*'My Loans'!$E$9/12</f>
        <v>0</v>
      </c>
      <c r="E785" s="22">
        <f t="shared" si="75"/>
        <v>0</v>
      </c>
      <c r="F785" s="22">
        <f t="shared" si="76"/>
        <v>0</v>
      </c>
    </row>
    <row r="786" spans="1:6" x14ac:dyDescent="0.25">
      <c r="A786" s="1">
        <v>37</v>
      </c>
      <c r="B786" s="13">
        <f t="shared" si="77"/>
        <v>0</v>
      </c>
      <c r="C786" s="22">
        <f>MIN('My Loans'!$F$9,B786+D786)</f>
        <v>0</v>
      </c>
      <c r="D786" s="22">
        <f>B786*'My Loans'!$E$9/12</f>
        <v>0</v>
      </c>
      <c r="E786" s="22">
        <f t="shared" si="75"/>
        <v>0</v>
      </c>
      <c r="F786" s="22">
        <f t="shared" si="76"/>
        <v>0</v>
      </c>
    </row>
    <row r="787" spans="1:6" x14ac:dyDescent="0.25">
      <c r="A787" s="1">
        <v>38</v>
      </c>
      <c r="B787" s="13">
        <f t="shared" si="77"/>
        <v>0</v>
      </c>
      <c r="C787" s="22">
        <f>MIN('My Loans'!$F$9,B787+D787)</f>
        <v>0</v>
      </c>
      <c r="D787" s="22">
        <f>B787*'My Loans'!$E$9/12</f>
        <v>0</v>
      </c>
      <c r="E787" s="22">
        <f t="shared" si="75"/>
        <v>0</v>
      </c>
      <c r="F787" s="22">
        <f t="shared" si="76"/>
        <v>0</v>
      </c>
    </row>
    <row r="788" spans="1:6" x14ac:dyDescent="0.25">
      <c r="A788" s="1">
        <v>39</v>
      </c>
      <c r="B788" s="13">
        <f t="shared" si="77"/>
        <v>0</v>
      </c>
      <c r="C788" s="22">
        <f>MIN('My Loans'!$F$9,B788+D788)</f>
        <v>0</v>
      </c>
      <c r="D788" s="22">
        <f>B788*'My Loans'!$E$9/12</f>
        <v>0</v>
      </c>
      <c r="E788" s="22">
        <f t="shared" si="75"/>
        <v>0</v>
      </c>
      <c r="F788" s="22">
        <f t="shared" si="76"/>
        <v>0</v>
      </c>
    </row>
    <row r="789" spans="1:6" x14ac:dyDescent="0.25">
      <c r="A789" s="1">
        <v>40</v>
      </c>
      <c r="B789" s="13">
        <f t="shared" si="77"/>
        <v>0</v>
      </c>
      <c r="C789" s="22">
        <f>MIN('My Loans'!$F$9,B789+D789)</f>
        <v>0</v>
      </c>
      <c r="D789" s="22">
        <f>B789*'My Loans'!$E$9/12</f>
        <v>0</v>
      </c>
      <c r="E789" s="22">
        <f t="shared" si="75"/>
        <v>0</v>
      </c>
      <c r="F789" s="22">
        <f t="shared" si="76"/>
        <v>0</v>
      </c>
    </row>
    <row r="790" spans="1:6" x14ac:dyDescent="0.25">
      <c r="A790" s="1">
        <v>41</v>
      </c>
      <c r="B790" s="13">
        <f t="shared" si="77"/>
        <v>0</v>
      </c>
      <c r="C790" s="22">
        <f>MIN('My Loans'!$F$9,B790+D790)</f>
        <v>0</v>
      </c>
      <c r="D790" s="22">
        <f>B790*'My Loans'!$E$9/12</f>
        <v>0</v>
      </c>
      <c r="E790" s="22">
        <f t="shared" si="75"/>
        <v>0</v>
      </c>
      <c r="F790" s="22">
        <f t="shared" si="76"/>
        <v>0</v>
      </c>
    </row>
    <row r="791" spans="1:6" x14ac:dyDescent="0.25">
      <c r="A791" s="1">
        <v>42</v>
      </c>
      <c r="B791" s="13">
        <f t="shared" si="77"/>
        <v>0</v>
      </c>
      <c r="C791" s="22">
        <f>MIN('My Loans'!$F$9,B791+D791)</f>
        <v>0</v>
      </c>
      <c r="D791" s="22">
        <f>B791*'My Loans'!$E$9/12</f>
        <v>0</v>
      </c>
      <c r="E791" s="22">
        <f t="shared" si="75"/>
        <v>0</v>
      </c>
      <c r="F791" s="22">
        <f t="shared" si="76"/>
        <v>0</v>
      </c>
    </row>
    <row r="792" spans="1:6" x14ac:dyDescent="0.25">
      <c r="A792" s="1">
        <v>43</v>
      </c>
      <c r="B792" s="13">
        <f t="shared" si="77"/>
        <v>0</v>
      </c>
      <c r="C792" s="22">
        <f>MIN('My Loans'!$F$9,B792+D792)</f>
        <v>0</v>
      </c>
      <c r="D792" s="22">
        <f>B792*'My Loans'!$E$9/12</f>
        <v>0</v>
      </c>
      <c r="E792" s="22">
        <f t="shared" si="75"/>
        <v>0</v>
      </c>
      <c r="F792" s="22">
        <f t="shared" si="76"/>
        <v>0</v>
      </c>
    </row>
    <row r="793" spans="1:6" x14ac:dyDescent="0.25">
      <c r="A793" s="1">
        <v>44</v>
      </c>
      <c r="B793" s="13">
        <f t="shared" si="77"/>
        <v>0</v>
      </c>
      <c r="C793" s="22">
        <f>MIN('My Loans'!$F$9,B793+D793)</f>
        <v>0</v>
      </c>
      <c r="D793" s="22">
        <f>B793*'My Loans'!$E$9/12</f>
        <v>0</v>
      </c>
      <c r="E793" s="22">
        <f t="shared" si="75"/>
        <v>0</v>
      </c>
      <c r="F793" s="22">
        <f t="shared" si="76"/>
        <v>0</v>
      </c>
    </row>
    <row r="794" spans="1:6" x14ac:dyDescent="0.25">
      <c r="A794" s="1">
        <v>45</v>
      </c>
      <c r="B794" s="13">
        <f t="shared" si="77"/>
        <v>0</v>
      </c>
      <c r="C794" s="22">
        <f>MIN('My Loans'!$F$9,B794+D794)</f>
        <v>0</v>
      </c>
      <c r="D794" s="22">
        <f>B794*'My Loans'!$E$9/12</f>
        <v>0</v>
      </c>
      <c r="E794" s="22">
        <f t="shared" si="75"/>
        <v>0</v>
      </c>
      <c r="F794" s="22">
        <f t="shared" si="76"/>
        <v>0</v>
      </c>
    </row>
    <row r="795" spans="1:6" x14ac:dyDescent="0.25">
      <c r="A795" s="1">
        <v>46</v>
      </c>
      <c r="B795" s="13">
        <f t="shared" si="77"/>
        <v>0</v>
      </c>
      <c r="C795" s="22">
        <f>MIN('My Loans'!$F$9,B795+D795)</f>
        <v>0</v>
      </c>
      <c r="D795" s="22">
        <f>B795*'My Loans'!$E$9/12</f>
        <v>0</v>
      </c>
      <c r="E795" s="22">
        <f t="shared" si="75"/>
        <v>0</v>
      </c>
      <c r="F795" s="22">
        <f t="shared" si="76"/>
        <v>0</v>
      </c>
    </row>
    <row r="796" spans="1:6" x14ac:dyDescent="0.25">
      <c r="A796" s="1">
        <v>47</v>
      </c>
      <c r="B796" s="13">
        <f t="shared" si="77"/>
        <v>0</v>
      </c>
      <c r="C796" s="22">
        <f>MIN('My Loans'!$F$9,B796+D796)</f>
        <v>0</v>
      </c>
      <c r="D796" s="22">
        <f>B796*'My Loans'!$E$9/12</f>
        <v>0</v>
      </c>
      <c r="E796" s="22">
        <f t="shared" si="75"/>
        <v>0</v>
      </c>
      <c r="F796" s="22">
        <f t="shared" si="76"/>
        <v>0</v>
      </c>
    </row>
    <row r="797" spans="1:6" x14ac:dyDescent="0.25">
      <c r="A797" s="1">
        <v>48</v>
      </c>
      <c r="B797" s="13">
        <f t="shared" si="77"/>
        <v>0</v>
      </c>
      <c r="C797" s="22">
        <f>MIN('My Loans'!$F$9,B797+D797)</f>
        <v>0</v>
      </c>
      <c r="D797" s="22">
        <f>B797*'My Loans'!$E$9/12</f>
        <v>0</v>
      </c>
      <c r="E797" s="22">
        <f t="shared" si="75"/>
        <v>0</v>
      </c>
      <c r="F797" s="22">
        <f t="shared" si="76"/>
        <v>0</v>
      </c>
    </row>
    <row r="798" spans="1:6" x14ac:dyDescent="0.25">
      <c r="A798" s="1">
        <v>49</v>
      </c>
      <c r="B798" s="13">
        <f t="shared" si="77"/>
        <v>0</v>
      </c>
      <c r="C798" s="22">
        <f>MIN('My Loans'!$F$9,B798+D798)</f>
        <v>0</v>
      </c>
      <c r="D798" s="22">
        <f>B798*'My Loans'!$E$9/12</f>
        <v>0</v>
      </c>
      <c r="E798" s="22">
        <f t="shared" si="75"/>
        <v>0</v>
      </c>
      <c r="F798" s="22">
        <f t="shared" si="76"/>
        <v>0</v>
      </c>
    </row>
    <row r="799" spans="1:6" x14ac:dyDescent="0.25">
      <c r="A799" s="1">
        <v>50</v>
      </c>
      <c r="B799" s="13">
        <f t="shared" si="77"/>
        <v>0</v>
      </c>
      <c r="C799" s="22">
        <f>MIN('My Loans'!$F$9,B799+D799)</f>
        <v>0</v>
      </c>
      <c r="D799" s="22">
        <f>B799*'My Loans'!$E$9/12</f>
        <v>0</v>
      </c>
      <c r="E799" s="22">
        <f t="shared" si="75"/>
        <v>0</v>
      </c>
      <c r="F799" s="22">
        <f t="shared" si="76"/>
        <v>0</v>
      </c>
    </row>
    <row r="800" spans="1:6" x14ac:dyDescent="0.25">
      <c r="A800" s="1">
        <v>51</v>
      </c>
      <c r="B800" s="13">
        <f t="shared" si="77"/>
        <v>0</v>
      </c>
      <c r="C800" s="22">
        <f>MIN('My Loans'!$F$9,B800+D800)</f>
        <v>0</v>
      </c>
      <c r="D800" s="22">
        <f>B800*'My Loans'!$E$9/12</f>
        <v>0</v>
      </c>
      <c r="E800" s="22">
        <f t="shared" si="75"/>
        <v>0</v>
      </c>
      <c r="F800" s="22">
        <f t="shared" si="76"/>
        <v>0</v>
      </c>
    </row>
    <row r="801" spans="1:6" x14ac:dyDescent="0.25">
      <c r="A801" s="1">
        <v>52</v>
      </c>
      <c r="B801" s="13">
        <f t="shared" si="77"/>
        <v>0</v>
      </c>
      <c r="C801" s="22">
        <f>MIN('My Loans'!$F$9,B801+D801)</f>
        <v>0</v>
      </c>
      <c r="D801" s="22">
        <f>B801*'My Loans'!$E$9/12</f>
        <v>0</v>
      </c>
      <c r="E801" s="22">
        <f t="shared" si="75"/>
        <v>0</v>
      </c>
      <c r="F801" s="22">
        <f t="shared" si="76"/>
        <v>0</v>
      </c>
    </row>
    <row r="802" spans="1:6" x14ac:dyDescent="0.25">
      <c r="A802" s="1">
        <v>53</v>
      </c>
      <c r="B802" s="13">
        <f t="shared" si="77"/>
        <v>0</v>
      </c>
      <c r="C802" s="22">
        <f>MIN('My Loans'!$F$9,B802+D802)</f>
        <v>0</v>
      </c>
      <c r="D802" s="22">
        <f>B802*'My Loans'!$E$9/12</f>
        <v>0</v>
      </c>
      <c r="E802" s="22">
        <f t="shared" si="75"/>
        <v>0</v>
      </c>
      <c r="F802" s="22">
        <f t="shared" si="76"/>
        <v>0</v>
      </c>
    </row>
    <row r="803" spans="1:6" x14ac:dyDescent="0.25">
      <c r="A803" s="1">
        <v>54</v>
      </c>
      <c r="B803" s="13">
        <f t="shared" si="77"/>
        <v>0</v>
      </c>
      <c r="C803" s="22">
        <f>MIN('My Loans'!$F$9,B803+D803)</f>
        <v>0</v>
      </c>
      <c r="D803" s="22">
        <f>B803*'My Loans'!$E$9/12</f>
        <v>0</v>
      </c>
      <c r="E803" s="22">
        <f t="shared" si="75"/>
        <v>0</v>
      </c>
      <c r="F803" s="22">
        <f t="shared" si="76"/>
        <v>0</v>
      </c>
    </row>
    <row r="804" spans="1:6" x14ac:dyDescent="0.25">
      <c r="A804" s="1">
        <v>55</v>
      </c>
      <c r="B804" s="13">
        <f t="shared" si="77"/>
        <v>0</v>
      </c>
      <c r="C804" s="22">
        <f>MIN('My Loans'!$F$9,B804+D804)</f>
        <v>0</v>
      </c>
      <c r="D804" s="22">
        <f>B804*'My Loans'!$E$9/12</f>
        <v>0</v>
      </c>
      <c r="E804" s="22">
        <f t="shared" si="75"/>
        <v>0</v>
      </c>
      <c r="F804" s="22">
        <f t="shared" si="76"/>
        <v>0</v>
      </c>
    </row>
    <row r="805" spans="1:6" x14ac:dyDescent="0.25">
      <c r="A805" s="1">
        <v>56</v>
      </c>
      <c r="B805" s="13">
        <f t="shared" si="77"/>
        <v>0</v>
      </c>
      <c r="C805" s="22">
        <f>MIN('My Loans'!$F$9,B805+D805)</f>
        <v>0</v>
      </c>
      <c r="D805" s="22">
        <f>B805*'My Loans'!$E$9/12</f>
        <v>0</v>
      </c>
      <c r="E805" s="22">
        <f t="shared" si="75"/>
        <v>0</v>
      </c>
      <c r="F805" s="22">
        <f t="shared" si="76"/>
        <v>0</v>
      </c>
    </row>
    <row r="806" spans="1:6" x14ac:dyDescent="0.25">
      <c r="A806" s="1">
        <v>57</v>
      </c>
      <c r="B806" s="13">
        <f t="shared" si="77"/>
        <v>0</v>
      </c>
      <c r="C806" s="22">
        <f>MIN('My Loans'!$F$9,B806+D806)</f>
        <v>0</v>
      </c>
      <c r="D806" s="22">
        <f>B806*'My Loans'!$E$9/12</f>
        <v>0</v>
      </c>
      <c r="E806" s="22">
        <f t="shared" si="75"/>
        <v>0</v>
      </c>
      <c r="F806" s="22">
        <f t="shared" si="76"/>
        <v>0</v>
      </c>
    </row>
    <row r="807" spans="1:6" x14ac:dyDescent="0.25">
      <c r="A807" s="1">
        <v>58</v>
      </c>
      <c r="B807" s="13">
        <f t="shared" si="77"/>
        <v>0</v>
      </c>
      <c r="C807" s="22">
        <f>MIN('My Loans'!$F$9,B807+D807)</f>
        <v>0</v>
      </c>
      <c r="D807" s="22">
        <f>B807*'My Loans'!$E$9/12</f>
        <v>0</v>
      </c>
      <c r="E807" s="22">
        <f t="shared" si="75"/>
        <v>0</v>
      </c>
      <c r="F807" s="22">
        <f t="shared" si="76"/>
        <v>0</v>
      </c>
    </row>
    <row r="808" spans="1:6" x14ac:dyDescent="0.25">
      <c r="A808" s="1">
        <v>59</v>
      </c>
      <c r="B808" s="13">
        <f t="shared" si="77"/>
        <v>0</v>
      </c>
      <c r="C808" s="22">
        <f>MIN('My Loans'!$F$9,B808+D808)</f>
        <v>0</v>
      </c>
      <c r="D808" s="22">
        <f>B808*'My Loans'!$E$9/12</f>
        <v>0</v>
      </c>
      <c r="E808" s="22">
        <f t="shared" si="75"/>
        <v>0</v>
      </c>
      <c r="F808" s="22">
        <f t="shared" si="76"/>
        <v>0</v>
      </c>
    </row>
    <row r="809" spans="1:6" x14ac:dyDescent="0.25">
      <c r="A809" s="1">
        <v>60</v>
      </c>
      <c r="B809" s="13">
        <f t="shared" si="77"/>
        <v>0</v>
      </c>
      <c r="C809" s="22">
        <f>MIN('My Loans'!$F$9,B809+D809)</f>
        <v>0</v>
      </c>
      <c r="D809" s="22">
        <f>B809*'My Loans'!$E$9/12</f>
        <v>0</v>
      </c>
      <c r="E809" s="22">
        <f t="shared" si="75"/>
        <v>0</v>
      </c>
      <c r="F809" s="22">
        <f t="shared" si="76"/>
        <v>0</v>
      </c>
    </row>
    <row r="810" spans="1:6" x14ac:dyDescent="0.25">
      <c r="A810" s="1">
        <v>61</v>
      </c>
      <c r="B810" s="13">
        <f t="shared" si="77"/>
        <v>0</v>
      </c>
      <c r="C810" s="22">
        <f>MIN('My Loans'!$F$9,B810+D810)</f>
        <v>0</v>
      </c>
      <c r="D810" s="22">
        <f>B810*'My Loans'!$E$9/12</f>
        <v>0</v>
      </c>
      <c r="E810" s="22">
        <f t="shared" si="75"/>
        <v>0</v>
      </c>
      <c r="F810" s="22">
        <f t="shared" si="76"/>
        <v>0</v>
      </c>
    </row>
    <row r="811" spans="1:6" x14ac:dyDescent="0.25">
      <c r="A811" s="1">
        <v>62</v>
      </c>
      <c r="B811" s="13">
        <f t="shared" si="77"/>
        <v>0</v>
      </c>
      <c r="C811" s="22">
        <f>MIN('My Loans'!$F$9,B811+D811)</f>
        <v>0</v>
      </c>
      <c r="D811" s="22">
        <f>B811*'My Loans'!$E$9/12</f>
        <v>0</v>
      </c>
      <c r="E811" s="22">
        <f t="shared" si="75"/>
        <v>0</v>
      </c>
      <c r="F811" s="22">
        <f t="shared" si="76"/>
        <v>0</v>
      </c>
    </row>
    <row r="812" spans="1:6" x14ac:dyDescent="0.25">
      <c r="A812" s="1">
        <v>63</v>
      </c>
      <c r="B812" s="13">
        <f t="shared" si="77"/>
        <v>0</v>
      </c>
      <c r="C812" s="22">
        <f>MIN('My Loans'!$F$9,B812+D812)</f>
        <v>0</v>
      </c>
      <c r="D812" s="22">
        <f>B812*'My Loans'!$E$9/12</f>
        <v>0</v>
      </c>
      <c r="E812" s="22">
        <f t="shared" si="75"/>
        <v>0</v>
      </c>
      <c r="F812" s="22">
        <f t="shared" si="76"/>
        <v>0</v>
      </c>
    </row>
    <row r="813" spans="1:6" x14ac:dyDescent="0.25">
      <c r="A813" s="1">
        <v>64</v>
      </c>
      <c r="B813" s="13">
        <f t="shared" si="77"/>
        <v>0</v>
      </c>
      <c r="C813" s="22">
        <f>MIN('My Loans'!$F$9,B813+D813)</f>
        <v>0</v>
      </c>
      <c r="D813" s="22">
        <f>B813*'My Loans'!$E$9/12</f>
        <v>0</v>
      </c>
      <c r="E813" s="22">
        <f t="shared" si="75"/>
        <v>0</v>
      </c>
      <c r="F813" s="22">
        <f t="shared" si="76"/>
        <v>0</v>
      </c>
    </row>
    <row r="814" spans="1:6" x14ac:dyDescent="0.25">
      <c r="A814" s="1">
        <v>65</v>
      </c>
      <c r="B814" s="13">
        <f t="shared" si="77"/>
        <v>0</v>
      </c>
      <c r="C814" s="22">
        <f>MIN('My Loans'!$F$9,B814+D814)</f>
        <v>0</v>
      </c>
      <c r="D814" s="22">
        <f>B814*'My Loans'!$E$9/12</f>
        <v>0</v>
      </c>
      <c r="E814" s="22">
        <f t="shared" ref="E814:E845" si="78">C814-D814</f>
        <v>0</v>
      </c>
      <c r="F814" s="22">
        <f t="shared" ref="F814:F845" si="79">MAX(0,B814-E814)</f>
        <v>0</v>
      </c>
    </row>
    <row r="815" spans="1:6" x14ac:dyDescent="0.25">
      <c r="A815" s="1">
        <v>66</v>
      </c>
      <c r="B815" s="13">
        <f t="shared" ref="B815:B846" si="80">F814</f>
        <v>0</v>
      </c>
      <c r="C815" s="22">
        <f>MIN('My Loans'!$F$9,B815+D815)</f>
        <v>0</v>
      </c>
      <c r="D815" s="22">
        <f>B815*'My Loans'!$E$9/12</f>
        <v>0</v>
      </c>
      <c r="E815" s="22">
        <f t="shared" si="78"/>
        <v>0</v>
      </c>
      <c r="F815" s="22">
        <f t="shared" si="79"/>
        <v>0</v>
      </c>
    </row>
    <row r="816" spans="1:6" x14ac:dyDescent="0.25">
      <c r="A816" s="1">
        <v>67</v>
      </c>
      <c r="B816" s="13">
        <f t="shared" si="80"/>
        <v>0</v>
      </c>
      <c r="C816" s="22">
        <f>MIN('My Loans'!$F$9,B816+D816)</f>
        <v>0</v>
      </c>
      <c r="D816" s="22">
        <f>B816*'My Loans'!$E$9/12</f>
        <v>0</v>
      </c>
      <c r="E816" s="22">
        <f t="shared" si="78"/>
        <v>0</v>
      </c>
      <c r="F816" s="22">
        <f t="shared" si="79"/>
        <v>0</v>
      </c>
    </row>
    <row r="817" spans="1:6" x14ac:dyDescent="0.25">
      <c r="A817" s="1">
        <v>68</v>
      </c>
      <c r="B817" s="13">
        <f t="shared" si="80"/>
        <v>0</v>
      </c>
      <c r="C817" s="22">
        <f>MIN('My Loans'!$F$9,B817+D817)</f>
        <v>0</v>
      </c>
      <c r="D817" s="22">
        <f>B817*'My Loans'!$E$9/12</f>
        <v>0</v>
      </c>
      <c r="E817" s="22">
        <f t="shared" si="78"/>
        <v>0</v>
      </c>
      <c r="F817" s="22">
        <f t="shared" si="79"/>
        <v>0</v>
      </c>
    </row>
    <row r="818" spans="1:6" x14ac:dyDescent="0.25">
      <c r="A818" s="1">
        <v>69</v>
      </c>
      <c r="B818" s="13">
        <f t="shared" si="80"/>
        <v>0</v>
      </c>
      <c r="C818" s="22">
        <f>MIN('My Loans'!$F$9,B818+D818)</f>
        <v>0</v>
      </c>
      <c r="D818" s="22">
        <f>B818*'My Loans'!$E$9/12</f>
        <v>0</v>
      </c>
      <c r="E818" s="22">
        <f t="shared" si="78"/>
        <v>0</v>
      </c>
      <c r="F818" s="22">
        <f t="shared" si="79"/>
        <v>0</v>
      </c>
    </row>
    <row r="819" spans="1:6" x14ac:dyDescent="0.25">
      <c r="A819" s="1">
        <v>70</v>
      </c>
      <c r="B819" s="13">
        <f t="shared" si="80"/>
        <v>0</v>
      </c>
      <c r="C819" s="22">
        <f>MIN('My Loans'!$F$9,B819+D819)</f>
        <v>0</v>
      </c>
      <c r="D819" s="22">
        <f>B819*'My Loans'!$E$9/12</f>
        <v>0</v>
      </c>
      <c r="E819" s="22">
        <f t="shared" si="78"/>
        <v>0</v>
      </c>
      <c r="F819" s="22">
        <f t="shared" si="79"/>
        <v>0</v>
      </c>
    </row>
    <row r="820" spans="1:6" x14ac:dyDescent="0.25">
      <c r="A820" s="1">
        <v>71</v>
      </c>
      <c r="B820" s="13">
        <f t="shared" si="80"/>
        <v>0</v>
      </c>
      <c r="C820" s="22">
        <f>MIN('My Loans'!$F$9,B820+D820)</f>
        <v>0</v>
      </c>
      <c r="D820" s="22">
        <f>B820*'My Loans'!$E$9/12</f>
        <v>0</v>
      </c>
      <c r="E820" s="22">
        <f t="shared" si="78"/>
        <v>0</v>
      </c>
      <c r="F820" s="22">
        <f t="shared" si="79"/>
        <v>0</v>
      </c>
    </row>
    <row r="821" spans="1:6" x14ac:dyDescent="0.25">
      <c r="A821" s="1">
        <v>72</v>
      </c>
      <c r="B821" s="13">
        <f t="shared" si="80"/>
        <v>0</v>
      </c>
      <c r="C821" s="22">
        <f>MIN('My Loans'!$F$9,B821+D821)</f>
        <v>0</v>
      </c>
      <c r="D821" s="22">
        <f>B821*'My Loans'!$E$9/12</f>
        <v>0</v>
      </c>
      <c r="E821" s="22">
        <f t="shared" si="78"/>
        <v>0</v>
      </c>
      <c r="F821" s="22">
        <f t="shared" si="79"/>
        <v>0</v>
      </c>
    </row>
    <row r="822" spans="1:6" x14ac:dyDescent="0.25">
      <c r="A822" s="1">
        <v>73</v>
      </c>
      <c r="B822" s="13">
        <f t="shared" si="80"/>
        <v>0</v>
      </c>
      <c r="C822" s="22">
        <f>MIN('My Loans'!$F$9,B822+D822)</f>
        <v>0</v>
      </c>
      <c r="D822" s="22">
        <f>B822*'My Loans'!$E$9/12</f>
        <v>0</v>
      </c>
      <c r="E822" s="22">
        <f t="shared" si="78"/>
        <v>0</v>
      </c>
      <c r="F822" s="22">
        <f t="shared" si="79"/>
        <v>0</v>
      </c>
    </row>
    <row r="823" spans="1:6" x14ac:dyDescent="0.25">
      <c r="A823" s="1">
        <v>74</v>
      </c>
      <c r="B823" s="13">
        <f t="shared" si="80"/>
        <v>0</v>
      </c>
      <c r="C823" s="22">
        <f>MIN('My Loans'!$F$9,B823+D823)</f>
        <v>0</v>
      </c>
      <c r="D823" s="22">
        <f>B823*'My Loans'!$E$9/12</f>
        <v>0</v>
      </c>
      <c r="E823" s="22">
        <f t="shared" si="78"/>
        <v>0</v>
      </c>
      <c r="F823" s="22">
        <f t="shared" si="79"/>
        <v>0</v>
      </c>
    </row>
    <row r="824" spans="1:6" x14ac:dyDescent="0.25">
      <c r="A824" s="1">
        <v>75</v>
      </c>
      <c r="B824" s="13">
        <f t="shared" si="80"/>
        <v>0</v>
      </c>
      <c r="C824" s="22">
        <f>MIN('My Loans'!$F$9,B824+D824)</f>
        <v>0</v>
      </c>
      <c r="D824" s="22">
        <f>B824*'My Loans'!$E$9/12</f>
        <v>0</v>
      </c>
      <c r="E824" s="22">
        <f t="shared" si="78"/>
        <v>0</v>
      </c>
      <c r="F824" s="22">
        <f t="shared" si="79"/>
        <v>0</v>
      </c>
    </row>
    <row r="825" spans="1:6" x14ac:dyDescent="0.25">
      <c r="A825" s="1">
        <v>76</v>
      </c>
      <c r="B825" s="13">
        <f t="shared" si="80"/>
        <v>0</v>
      </c>
      <c r="C825" s="22">
        <f>MIN('My Loans'!$F$9,B825+D825)</f>
        <v>0</v>
      </c>
      <c r="D825" s="22">
        <f>B825*'My Loans'!$E$9/12</f>
        <v>0</v>
      </c>
      <c r="E825" s="22">
        <f t="shared" si="78"/>
        <v>0</v>
      </c>
      <c r="F825" s="22">
        <f t="shared" si="79"/>
        <v>0</v>
      </c>
    </row>
    <row r="826" spans="1:6" x14ac:dyDescent="0.25">
      <c r="A826" s="1">
        <v>77</v>
      </c>
      <c r="B826" s="13">
        <f t="shared" si="80"/>
        <v>0</v>
      </c>
      <c r="C826" s="22">
        <f>MIN('My Loans'!$F$9,B826+D826)</f>
        <v>0</v>
      </c>
      <c r="D826" s="22">
        <f>B826*'My Loans'!$E$9/12</f>
        <v>0</v>
      </c>
      <c r="E826" s="22">
        <f t="shared" si="78"/>
        <v>0</v>
      </c>
      <c r="F826" s="22">
        <f t="shared" si="79"/>
        <v>0</v>
      </c>
    </row>
    <row r="827" spans="1:6" x14ac:dyDescent="0.25">
      <c r="A827" s="1">
        <v>78</v>
      </c>
      <c r="B827" s="13">
        <f t="shared" si="80"/>
        <v>0</v>
      </c>
      <c r="C827" s="22">
        <f>MIN('My Loans'!$F$9,B827+D827)</f>
        <v>0</v>
      </c>
      <c r="D827" s="22">
        <f>B827*'My Loans'!$E$9/12</f>
        <v>0</v>
      </c>
      <c r="E827" s="22">
        <f t="shared" si="78"/>
        <v>0</v>
      </c>
      <c r="F827" s="22">
        <f t="shared" si="79"/>
        <v>0</v>
      </c>
    </row>
    <row r="828" spans="1:6" x14ac:dyDescent="0.25">
      <c r="A828" s="1">
        <v>79</v>
      </c>
      <c r="B828" s="13">
        <f t="shared" si="80"/>
        <v>0</v>
      </c>
      <c r="C828" s="22">
        <f>MIN('My Loans'!$F$9,B828+D828)</f>
        <v>0</v>
      </c>
      <c r="D828" s="22">
        <f>B828*'My Loans'!$E$9/12</f>
        <v>0</v>
      </c>
      <c r="E828" s="22">
        <f t="shared" si="78"/>
        <v>0</v>
      </c>
      <c r="F828" s="22">
        <f t="shared" si="79"/>
        <v>0</v>
      </c>
    </row>
    <row r="829" spans="1:6" x14ac:dyDescent="0.25">
      <c r="A829" s="1">
        <v>80</v>
      </c>
      <c r="B829" s="13">
        <f t="shared" si="80"/>
        <v>0</v>
      </c>
      <c r="C829" s="22">
        <f>MIN('My Loans'!$F$9,B829+D829)</f>
        <v>0</v>
      </c>
      <c r="D829" s="22">
        <f>B829*'My Loans'!$E$9/12</f>
        <v>0</v>
      </c>
      <c r="E829" s="22">
        <f t="shared" si="78"/>
        <v>0</v>
      </c>
      <c r="F829" s="22">
        <f t="shared" si="79"/>
        <v>0</v>
      </c>
    </row>
    <row r="830" spans="1:6" x14ac:dyDescent="0.25">
      <c r="A830" s="1">
        <v>81</v>
      </c>
      <c r="B830" s="13">
        <f t="shared" si="80"/>
        <v>0</v>
      </c>
      <c r="C830" s="22">
        <f>MIN('My Loans'!$F$9,B830+D830)</f>
        <v>0</v>
      </c>
      <c r="D830" s="22">
        <f>B830*'My Loans'!$E$9/12</f>
        <v>0</v>
      </c>
      <c r="E830" s="22">
        <f t="shared" si="78"/>
        <v>0</v>
      </c>
      <c r="F830" s="22">
        <f t="shared" si="79"/>
        <v>0</v>
      </c>
    </row>
    <row r="831" spans="1:6" x14ac:dyDescent="0.25">
      <c r="A831" s="1">
        <v>82</v>
      </c>
      <c r="B831" s="13">
        <f t="shared" si="80"/>
        <v>0</v>
      </c>
      <c r="C831" s="22">
        <f>MIN('My Loans'!$F$9,B831+D831)</f>
        <v>0</v>
      </c>
      <c r="D831" s="22">
        <f>B831*'My Loans'!$E$9/12</f>
        <v>0</v>
      </c>
      <c r="E831" s="22">
        <f t="shared" si="78"/>
        <v>0</v>
      </c>
      <c r="F831" s="22">
        <f t="shared" si="79"/>
        <v>0</v>
      </c>
    </row>
    <row r="832" spans="1:6" x14ac:dyDescent="0.25">
      <c r="A832" s="1">
        <v>83</v>
      </c>
      <c r="B832" s="13">
        <f t="shared" si="80"/>
        <v>0</v>
      </c>
      <c r="C832" s="22">
        <f>MIN('My Loans'!$F$9,B832+D832)</f>
        <v>0</v>
      </c>
      <c r="D832" s="22">
        <f>B832*'My Loans'!$E$9/12</f>
        <v>0</v>
      </c>
      <c r="E832" s="22">
        <f t="shared" si="78"/>
        <v>0</v>
      </c>
      <c r="F832" s="22">
        <f t="shared" si="79"/>
        <v>0</v>
      </c>
    </row>
    <row r="833" spans="1:6" x14ac:dyDescent="0.25">
      <c r="A833" s="1">
        <v>84</v>
      </c>
      <c r="B833" s="13">
        <f t="shared" si="80"/>
        <v>0</v>
      </c>
      <c r="C833" s="22">
        <f>MIN('My Loans'!$F$9,B833+D833)</f>
        <v>0</v>
      </c>
      <c r="D833" s="22">
        <f>B833*'My Loans'!$E$9/12</f>
        <v>0</v>
      </c>
      <c r="E833" s="22">
        <f t="shared" si="78"/>
        <v>0</v>
      </c>
      <c r="F833" s="22">
        <f t="shared" si="79"/>
        <v>0</v>
      </c>
    </row>
    <row r="834" spans="1:6" x14ac:dyDescent="0.25">
      <c r="A834" s="1">
        <v>85</v>
      </c>
      <c r="B834" s="13">
        <f t="shared" si="80"/>
        <v>0</v>
      </c>
      <c r="C834" s="22">
        <f>MIN('My Loans'!$F$9,B834+D834)</f>
        <v>0</v>
      </c>
      <c r="D834" s="22">
        <f>B834*'My Loans'!$E$9/12</f>
        <v>0</v>
      </c>
      <c r="E834" s="22">
        <f t="shared" si="78"/>
        <v>0</v>
      </c>
      <c r="F834" s="22">
        <f t="shared" si="79"/>
        <v>0</v>
      </c>
    </row>
    <row r="835" spans="1:6" x14ac:dyDescent="0.25">
      <c r="A835" s="1">
        <v>86</v>
      </c>
      <c r="B835" s="13">
        <f t="shared" si="80"/>
        <v>0</v>
      </c>
      <c r="C835" s="22">
        <f>MIN('My Loans'!$F$9,B835+D835)</f>
        <v>0</v>
      </c>
      <c r="D835" s="22">
        <f>B835*'My Loans'!$E$9/12</f>
        <v>0</v>
      </c>
      <c r="E835" s="22">
        <f t="shared" si="78"/>
        <v>0</v>
      </c>
      <c r="F835" s="22">
        <f t="shared" si="79"/>
        <v>0</v>
      </c>
    </row>
    <row r="836" spans="1:6" x14ac:dyDescent="0.25">
      <c r="A836" s="1">
        <v>87</v>
      </c>
      <c r="B836" s="13">
        <f t="shared" si="80"/>
        <v>0</v>
      </c>
      <c r="C836" s="22">
        <f>MIN('My Loans'!$F$9,B836+D836)</f>
        <v>0</v>
      </c>
      <c r="D836" s="22">
        <f>B836*'My Loans'!$E$9/12</f>
        <v>0</v>
      </c>
      <c r="E836" s="22">
        <f t="shared" si="78"/>
        <v>0</v>
      </c>
      <c r="F836" s="22">
        <f t="shared" si="79"/>
        <v>0</v>
      </c>
    </row>
    <row r="837" spans="1:6" x14ac:dyDescent="0.25">
      <c r="A837" s="1">
        <v>88</v>
      </c>
      <c r="B837" s="13">
        <f t="shared" si="80"/>
        <v>0</v>
      </c>
      <c r="C837" s="22">
        <f>MIN('My Loans'!$F$9,B837+D837)</f>
        <v>0</v>
      </c>
      <c r="D837" s="22">
        <f>B837*'My Loans'!$E$9/12</f>
        <v>0</v>
      </c>
      <c r="E837" s="22">
        <f t="shared" si="78"/>
        <v>0</v>
      </c>
      <c r="F837" s="22">
        <f t="shared" si="79"/>
        <v>0</v>
      </c>
    </row>
    <row r="838" spans="1:6" x14ac:dyDescent="0.25">
      <c r="A838" s="1">
        <v>89</v>
      </c>
      <c r="B838" s="13">
        <f t="shared" si="80"/>
        <v>0</v>
      </c>
      <c r="C838" s="22">
        <f>MIN('My Loans'!$F$9,B838+D838)</f>
        <v>0</v>
      </c>
      <c r="D838" s="22">
        <f>B838*'My Loans'!$E$9/12</f>
        <v>0</v>
      </c>
      <c r="E838" s="22">
        <f t="shared" si="78"/>
        <v>0</v>
      </c>
      <c r="F838" s="22">
        <f t="shared" si="79"/>
        <v>0</v>
      </c>
    </row>
    <row r="839" spans="1:6" x14ac:dyDescent="0.25">
      <c r="A839" s="1">
        <v>90</v>
      </c>
      <c r="B839" s="13">
        <f t="shared" si="80"/>
        <v>0</v>
      </c>
      <c r="C839" s="22">
        <f>MIN('My Loans'!$F$9,B839+D839)</f>
        <v>0</v>
      </c>
      <c r="D839" s="22">
        <f>B839*'My Loans'!$E$9/12</f>
        <v>0</v>
      </c>
      <c r="E839" s="22">
        <f t="shared" si="78"/>
        <v>0</v>
      </c>
      <c r="F839" s="22">
        <f t="shared" si="79"/>
        <v>0</v>
      </c>
    </row>
    <row r="840" spans="1:6" x14ac:dyDescent="0.25">
      <c r="A840" s="1">
        <v>91</v>
      </c>
      <c r="B840" s="13">
        <f t="shared" si="80"/>
        <v>0</v>
      </c>
      <c r="C840" s="22">
        <f>MIN('My Loans'!$F$9,B840+D840)</f>
        <v>0</v>
      </c>
      <c r="D840" s="22">
        <f>B840*'My Loans'!$E$9/12</f>
        <v>0</v>
      </c>
      <c r="E840" s="22">
        <f t="shared" si="78"/>
        <v>0</v>
      </c>
      <c r="F840" s="22">
        <f t="shared" si="79"/>
        <v>0</v>
      </c>
    </row>
    <row r="841" spans="1:6" x14ac:dyDescent="0.25">
      <c r="A841" s="1">
        <v>92</v>
      </c>
      <c r="B841" s="13">
        <f t="shared" si="80"/>
        <v>0</v>
      </c>
      <c r="C841" s="22">
        <f>MIN('My Loans'!$F$9,B841+D841)</f>
        <v>0</v>
      </c>
      <c r="D841" s="22">
        <f>B841*'My Loans'!$E$9/12</f>
        <v>0</v>
      </c>
      <c r="E841" s="22">
        <f t="shared" si="78"/>
        <v>0</v>
      </c>
      <c r="F841" s="22">
        <f t="shared" si="79"/>
        <v>0</v>
      </c>
    </row>
    <row r="842" spans="1:6" x14ac:dyDescent="0.25">
      <c r="A842" s="1">
        <v>93</v>
      </c>
      <c r="B842" s="13">
        <f t="shared" si="80"/>
        <v>0</v>
      </c>
      <c r="C842" s="22">
        <f>MIN('My Loans'!$F$9,B842+D842)</f>
        <v>0</v>
      </c>
      <c r="D842" s="22">
        <f>B842*'My Loans'!$E$9/12</f>
        <v>0</v>
      </c>
      <c r="E842" s="22">
        <f t="shared" si="78"/>
        <v>0</v>
      </c>
      <c r="F842" s="22">
        <f t="shared" si="79"/>
        <v>0</v>
      </c>
    </row>
    <row r="843" spans="1:6" x14ac:dyDescent="0.25">
      <c r="A843" s="1">
        <v>94</v>
      </c>
      <c r="B843" s="13">
        <f t="shared" si="80"/>
        <v>0</v>
      </c>
      <c r="C843" s="22">
        <f>MIN('My Loans'!$F$9,B843+D843)</f>
        <v>0</v>
      </c>
      <c r="D843" s="22">
        <f>B843*'My Loans'!$E$9/12</f>
        <v>0</v>
      </c>
      <c r="E843" s="22">
        <f t="shared" si="78"/>
        <v>0</v>
      </c>
      <c r="F843" s="22">
        <f t="shared" si="79"/>
        <v>0</v>
      </c>
    </row>
    <row r="844" spans="1:6" x14ac:dyDescent="0.25">
      <c r="A844" s="1">
        <v>95</v>
      </c>
      <c r="B844" s="13">
        <f t="shared" si="80"/>
        <v>0</v>
      </c>
      <c r="C844" s="22">
        <f>MIN('My Loans'!$F$9,B844+D844)</f>
        <v>0</v>
      </c>
      <c r="D844" s="22">
        <f>B844*'My Loans'!$E$9/12</f>
        <v>0</v>
      </c>
      <c r="E844" s="22">
        <f t="shared" si="78"/>
        <v>0</v>
      </c>
      <c r="F844" s="22">
        <f t="shared" si="79"/>
        <v>0</v>
      </c>
    </row>
    <row r="845" spans="1:6" x14ac:dyDescent="0.25">
      <c r="A845" s="1">
        <v>96</v>
      </c>
      <c r="B845" s="13">
        <f t="shared" si="80"/>
        <v>0</v>
      </c>
      <c r="C845" s="22">
        <f>MIN('My Loans'!$F$9,B845+D845)</f>
        <v>0</v>
      </c>
      <c r="D845" s="22">
        <f>B845*'My Loans'!$E$9/12</f>
        <v>0</v>
      </c>
      <c r="E845" s="22">
        <f t="shared" si="78"/>
        <v>0</v>
      </c>
      <c r="F845" s="22">
        <f t="shared" si="79"/>
        <v>0</v>
      </c>
    </row>
    <row r="846" spans="1:6" x14ac:dyDescent="0.25">
      <c r="A846" s="1">
        <v>97</v>
      </c>
      <c r="B846" s="13">
        <f t="shared" si="80"/>
        <v>0</v>
      </c>
      <c r="C846" s="22">
        <f>MIN('My Loans'!$F$9,B846+D846)</f>
        <v>0</v>
      </c>
      <c r="D846" s="22">
        <f>B846*'My Loans'!$E$9/12</f>
        <v>0</v>
      </c>
      <c r="E846" s="22">
        <f t="shared" ref="E846:E877" si="81">C846-D846</f>
        <v>0</v>
      </c>
      <c r="F846" s="22">
        <f t="shared" ref="F846:F877" si="82">MAX(0,B846-E846)</f>
        <v>0</v>
      </c>
    </row>
    <row r="847" spans="1:6" x14ac:dyDescent="0.25">
      <c r="A847" s="1">
        <v>98</v>
      </c>
      <c r="B847" s="13">
        <f t="shared" ref="B847:B869" si="83">F846</f>
        <v>0</v>
      </c>
      <c r="C847" s="22">
        <f>MIN('My Loans'!$F$9,B847+D847)</f>
        <v>0</v>
      </c>
      <c r="D847" s="22">
        <f>B847*'My Loans'!$E$9/12</f>
        <v>0</v>
      </c>
      <c r="E847" s="22">
        <f t="shared" si="81"/>
        <v>0</v>
      </c>
      <c r="F847" s="22">
        <f t="shared" si="82"/>
        <v>0</v>
      </c>
    </row>
    <row r="848" spans="1:6" x14ac:dyDescent="0.25">
      <c r="A848" s="1">
        <v>99</v>
      </c>
      <c r="B848" s="13">
        <f t="shared" si="83"/>
        <v>0</v>
      </c>
      <c r="C848" s="22">
        <f>MIN('My Loans'!$F$9,B848+D848)</f>
        <v>0</v>
      </c>
      <c r="D848" s="22">
        <f>B848*'My Loans'!$E$9/12</f>
        <v>0</v>
      </c>
      <c r="E848" s="22">
        <f t="shared" si="81"/>
        <v>0</v>
      </c>
      <c r="F848" s="22">
        <f t="shared" si="82"/>
        <v>0</v>
      </c>
    </row>
    <row r="849" spans="1:6" x14ac:dyDescent="0.25">
      <c r="A849" s="1">
        <v>100</v>
      </c>
      <c r="B849" s="13">
        <f t="shared" si="83"/>
        <v>0</v>
      </c>
      <c r="C849" s="22">
        <f>MIN('My Loans'!$F$9,B849+D849)</f>
        <v>0</v>
      </c>
      <c r="D849" s="22">
        <f>B849*'My Loans'!$E$9/12</f>
        <v>0</v>
      </c>
      <c r="E849" s="22">
        <f t="shared" si="81"/>
        <v>0</v>
      </c>
      <c r="F849" s="22">
        <f t="shared" si="82"/>
        <v>0</v>
      </c>
    </row>
    <row r="850" spans="1:6" x14ac:dyDescent="0.25">
      <c r="A850" s="1">
        <v>101</v>
      </c>
      <c r="B850" s="13">
        <f t="shared" si="83"/>
        <v>0</v>
      </c>
      <c r="C850" s="22">
        <f>MIN('My Loans'!$F$9,B850+D850)</f>
        <v>0</v>
      </c>
      <c r="D850" s="22">
        <f>B850*'My Loans'!$E$9/12</f>
        <v>0</v>
      </c>
      <c r="E850" s="22">
        <f t="shared" si="81"/>
        <v>0</v>
      </c>
      <c r="F850" s="22">
        <f t="shared" si="82"/>
        <v>0</v>
      </c>
    </row>
    <row r="851" spans="1:6" x14ac:dyDescent="0.25">
      <c r="A851" s="1">
        <v>102</v>
      </c>
      <c r="B851" s="13">
        <f t="shared" si="83"/>
        <v>0</v>
      </c>
      <c r="C851" s="22">
        <f>MIN('My Loans'!$F$9,B851+D851)</f>
        <v>0</v>
      </c>
      <c r="D851" s="22">
        <f>B851*'My Loans'!$E$9/12</f>
        <v>0</v>
      </c>
      <c r="E851" s="22">
        <f t="shared" si="81"/>
        <v>0</v>
      </c>
      <c r="F851" s="22">
        <f t="shared" si="82"/>
        <v>0</v>
      </c>
    </row>
    <row r="852" spans="1:6" x14ac:dyDescent="0.25">
      <c r="A852" s="1">
        <v>103</v>
      </c>
      <c r="B852" s="13">
        <f t="shared" si="83"/>
        <v>0</v>
      </c>
      <c r="C852" s="22">
        <f>MIN('My Loans'!$F$9,B852+D852)</f>
        <v>0</v>
      </c>
      <c r="D852" s="22">
        <f>B852*'My Loans'!$E$9/12</f>
        <v>0</v>
      </c>
      <c r="E852" s="22">
        <f t="shared" si="81"/>
        <v>0</v>
      </c>
      <c r="F852" s="22">
        <f t="shared" si="82"/>
        <v>0</v>
      </c>
    </row>
    <row r="853" spans="1:6" x14ac:dyDescent="0.25">
      <c r="A853" s="1">
        <v>104</v>
      </c>
      <c r="B853" s="13">
        <f t="shared" si="83"/>
        <v>0</v>
      </c>
      <c r="C853" s="22">
        <f>MIN('My Loans'!$F$9,B853+D853)</f>
        <v>0</v>
      </c>
      <c r="D853" s="22">
        <f>B853*'My Loans'!$E$9/12</f>
        <v>0</v>
      </c>
      <c r="E853" s="22">
        <f t="shared" si="81"/>
        <v>0</v>
      </c>
      <c r="F853" s="22">
        <f t="shared" si="82"/>
        <v>0</v>
      </c>
    </row>
    <row r="854" spans="1:6" x14ac:dyDescent="0.25">
      <c r="A854" s="1">
        <v>105</v>
      </c>
      <c r="B854" s="13">
        <f t="shared" si="83"/>
        <v>0</v>
      </c>
      <c r="C854" s="22">
        <f>MIN('My Loans'!$F$9,B854+D854)</f>
        <v>0</v>
      </c>
      <c r="D854" s="22">
        <f>B854*'My Loans'!$E$9/12</f>
        <v>0</v>
      </c>
      <c r="E854" s="22">
        <f t="shared" si="81"/>
        <v>0</v>
      </c>
      <c r="F854" s="22">
        <f t="shared" si="82"/>
        <v>0</v>
      </c>
    </row>
    <row r="855" spans="1:6" x14ac:dyDescent="0.25">
      <c r="A855" s="1">
        <v>106</v>
      </c>
      <c r="B855" s="13">
        <f t="shared" si="83"/>
        <v>0</v>
      </c>
      <c r="C855" s="22">
        <f>MIN('My Loans'!$F$9,B855+D855)</f>
        <v>0</v>
      </c>
      <c r="D855" s="22">
        <f>B855*'My Loans'!$E$9/12</f>
        <v>0</v>
      </c>
      <c r="E855" s="22">
        <f t="shared" si="81"/>
        <v>0</v>
      </c>
      <c r="F855" s="22">
        <f t="shared" si="82"/>
        <v>0</v>
      </c>
    </row>
    <row r="856" spans="1:6" x14ac:dyDescent="0.25">
      <c r="A856" s="1">
        <v>107</v>
      </c>
      <c r="B856" s="13">
        <f t="shared" si="83"/>
        <v>0</v>
      </c>
      <c r="C856" s="22">
        <f>MIN('My Loans'!$F$9,B856+D856)</f>
        <v>0</v>
      </c>
      <c r="D856" s="22">
        <f>B856*'My Loans'!$E$9/12</f>
        <v>0</v>
      </c>
      <c r="E856" s="22">
        <f t="shared" si="81"/>
        <v>0</v>
      </c>
      <c r="F856" s="22">
        <f t="shared" si="82"/>
        <v>0</v>
      </c>
    </row>
    <row r="857" spans="1:6" x14ac:dyDescent="0.25">
      <c r="A857" s="1">
        <v>108</v>
      </c>
      <c r="B857" s="13">
        <f t="shared" si="83"/>
        <v>0</v>
      </c>
      <c r="C857" s="22">
        <f>MIN('My Loans'!$F$9,B857+D857)</f>
        <v>0</v>
      </c>
      <c r="D857" s="22">
        <f>B857*'My Loans'!$E$9/12</f>
        <v>0</v>
      </c>
      <c r="E857" s="22">
        <f t="shared" si="81"/>
        <v>0</v>
      </c>
      <c r="F857" s="22">
        <f t="shared" si="82"/>
        <v>0</v>
      </c>
    </row>
    <row r="858" spans="1:6" x14ac:dyDescent="0.25">
      <c r="A858" s="1">
        <v>109</v>
      </c>
      <c r="B858" s="13">
        <f t="shared" si="83"/>
        <v>0</v>
      </c>
      <c r="C858" s="22">
        <f>MIN('My Loans'!$F$9,B858+D858)</f>
        <v>0</v>
      </c>
      <c r="D858" s="22">
        <f>B858*'My Loans'!$E$9/12</f>
        <v>0</v>
      </c>
      <c r="E858" s="22">
        <f t="shared" si="81"/>
        <v>0</v>
      </c>
      <c r="F858" s="22">
        <f t="shared" si="82"/>
        <v>0</v>
      </c>
    </row>
    <row r="859" spans="1:6" x14ac:dyDescent="0.25">
      <c r="A859" s="1">
        <v>110</v>
      </c>
      <c r="B859" s="13">
        <f t="shared" si="83"/>
        <v>0</v>
      </c>
      <c r="C859" s="22">
        <f>MIN('My Loans'!$F$9,B859+D859)</f>
        <v>0</v>
      </c>
      <c r="D859" s="22">
        <f>B859*'My Loans'!$E$9/12</f>
        <v>0</v>
      </c>
      <c r="E859" s="22">
        <f t="shared" si="81"/>
        <v>0</v>
      </c>
      <c r="F859" s="22">
        <f t="shared" si="82"/>
        <v>0</v>
      </c>
    </row>
    <row r="860" spans="1:6" x14ac:dyDescent="0.25">
      <c r="A860" s="1">
        <v>111</v>
      </c>
      <c r="B860" s="13">
        <f t="shared" si="83"/>
        <v>0</v>
      </c>
      <c r="C860" s="22">
        <f>MIN('My Loans'!$F$9,B860+D860)</f>
        <v>0</v>
      </c>
      <c r="D860" s="22">
        <f>B860*'My Loans'!$E$9/12</f>
        <v>0</v>
      </c>
      <c r="E860" s="22">
        <f t="shared" si="81"/>
        <v>0</v>
      </c>
      <c r="F860" s="22">
        <f t="shared" si="82"/>
        <v>0</v>
      </c>
    </row>
    <row r="861" spans="1:6" x14ac:dyDescent="0.25">
      <c r="A861" s="1">
        <v>112</v>
      </c>
      <c r="B861" s="13">
        <f t="shared" si="83"/>
        <v>0</v>
      </c>
      <c r="C861" s="22">
        <f>MIN('My Loans'!$F$9,B861+D861)</f>
        <v>0</v>
      </c>
      <c r="D861" s="22">
        <f>B861*'My Loans'!$E$9/12</f>
        <v>0</v>
      </c>
      <c r="E861" s="22">
        <f t="shared" si="81"/>
        <v>0</v>
      </c>
      <c r="F861" s="22">
        <f t="shared" si="82"/>
        <v>0</v>
      </c>
    </row>
    <row r="862" spans="1:6" x14ac:dyDescent="0.25">
      <c r="A862" s="1">
        <v>113</v>
      </c>
      <c r="B862" s="13">
        <f t="shared" si="83"/>
        <v>0</v>
      </c>
      <c r="C862" s="22">
        <f>MIN('My Loans'!$F$9,B862+D862)</f>
        <v>0</v>
      </c>
      <c r="D862" s="22">
        <f>B862*'My Loans'!$E$9/12</f>
        <v>0</v>
      </c>
      <c r="E862" s="22">
        <f t="shared" si="81"/>
        <v>0</v>
      </c>
      <c r="F862" s="22">
        <f t="shared" si="82"/>
        <v>0</v>
      </c>
    </row>
    <row r="863" spans="1:6" x14ac:dyDescent="0.25">
      <c r="A863" s="1">
        <v>114</v>
      </c>
      <c r="B863" s="13">
        <f t="shared" si="83"/>
        <v>0</v>
      </c>
      <c r="C863" s="22">
        <f>MIN('My Loans'!$F$9,B863+D863)</f>
        <v>0</v>
      </c>
      <c r="D863" s="22">
        <f>B863*'My Loans'!$E$9/12</f>
        <v>0</v>
      </c>
      <c r="E863" s="22">
        <f t="shared" si="81"/>
        <v>0</v>
      </c>
      <c r="F863" s="22">
        <f t="shared" si="82"/>
        <v>0</v>
      </c>
    </row>
    <row r="864" spans="1:6" x14ac:dyDescent="0.25">
      <c r="A864" s="1">
        <v>115</v>
      </c>
      <c r="B864" s="13">
        <f t="shared" si="83"/>
        <v>0</v>
      </c>
      <c r="C864" s="22">
        <f>MIN('My Loans'!$F$9,B864+D864)</f>
        <v>0</v>
      </c>
      <c r="D864" s="22">
        <f>B864*'My Loans'!$E$9/12</f>
        <v>0</v>
      </c>
      <c r="E864" s="22">
        <f t="shared" si="81"/>
        <v>0</v>
      </c>
      <c r="F864" s="22">
        <f t="shared" si="82"/>
        <v>0</v>
      </c>
    </row>
    <row r="865" spans="1:6" x14ac:dyDescent="0.25">
      <c r="A865" s="1">
        <v>116</v>
      </c>
      <c r="B865" s="13">
        <f t="shared" si="83"/>
        <v>0</v>
      </c>
      <c r="C865" s="22">
        <f>MIN('My Loans'!$F$9,B865+D865)</f>
        <v>0</v>
      </c>
      <c r="D865" s="22">
        <f>B865*'My Loans'!$E$9/12</f>
        <v>0</v>
      </c>
      <c r="E865" s="22">
        <f t="shared" si="81"/>
        <v>0</v>
      </c>
      <c r="F865" s="22">
        <f t="shared" si="82"/>
        <v>0</v>
      </c>
    </row>
    <row r="866" spans="1:6" x14ac:dyDescent="0.25">
      <c r="A866" s="1">
        <v>117</v>
      </c>
      <c r="B866" s="13">
        <f t="shared" si="83"/>
        <v>0</v>
      </c>
      <c r="C866" s="22">
        <f>MIN('My Loans'!$F$9,B866+D866)</f>
        <v>0</v>
      </c>
      <c r="D866" s="22">
        <f>B866*'My Loans'!$E$9/12</f>
        <v>0</v>
      </c>
      <c r="E866" s="22">
        <f t="shared" si="81"/>
        <v>0</v>
      </c>
      <c r="F866" s="22">
        <f t="shared" si="82"/>
        <v>0</v>
      </c>
    </row>
    <row r="867" spans="1:6" x14ac:dyDescent="0.25">
      <c r="A867" s="1">
        <v>118</v>
      </c>
      <c r="B867" s="13">
        <f t="shared" si="83"/>
        <v>0</v>
      </c>
      <c r="C867" s="22">
        <f>MIN('My Loans'!$F$9,B867+D867)</f>
        <v>0</v>
      </c>
      <c r="D867" s="22">
        <f>B867*'My Loans'!$E$9/12</f>
        <v>0</v>
      </c>
      <c r="E867" s="22">
        <f t="shared" si="81"/>
        <v>0</v>
      </c>
      <c r="F867" s="22">
        <f t="shared" si="82"/>
        <v>0</v>
      </c>
    </row>
    <row r="868" spans="1:6" x14ac:dyDescent="0.25">
      <c r="A868" s="1">
        <v>119</v>
      </c>
      <c r="B868" s="13">
        <f t="shared" si="83"/>
        <v>0</v>
      </c>
      <c r="C868" s="22">
        <f>MIN('My Loans'!$F$9,B868+D868)</f>
        <v>0</v>
      </c>
      <c r="D868" s="22">
        <f>B868*'My Loans'!$E$9/12</f>
        <v>0</v>
      </c>
      <c r="E868" s="22">
        <f t="shared" si="81"/>
        <v>0</v>
      </c>
      <c r="F868" s="22">
        <f t="shared" si="82"/>
        <v>0</v>
      </c>
    </row>
    <row r="869" spans="1:6" x14ac:dyDescent="0.25">
      <c r="A869" s="1">
        <v>120</v>
      </c>
      <c r="B869" s="13">
        <f t="shared" si="83"/>
        <v>0</v>
      </c>
      <c r="C869" s="22">
        <f>MIN('My Loans'!$F$9,B869+D869)</f>
        <v>0</v>
      </c>
      <c r="D869" s="22">
        <f>B869*'My Loans'!$E$9/12</f>
        <v>0</v>
      </c>
      <c r="E869" s="22">
        <f t="shared" si="81"/>
        <v>0</v>
      </c>
      <c r="F869" s="22">
        <f t="shared" si="82"/>
        <v>0</v>
      </c>
    </row>
    <row r="870" spans="1:6" x14ac:dyDescent="0.25">
      <c r="A870" s="1" t="s">
        <v>96</v>
      </c>
      <c r="B870" s="13">
        <f>SUM(D750:D869)</f>
        <v>0</v>
      </c>
    </row>
    <row r="872" spans="1:6" x14ac:dyDescent="0.25">
      <c r="A872" s="3" t="s">
        <v>103</v>
      </c>
    </row>
    <row r="873" spans="1:6" x14ac:dyDescent="0.25">
      <c r="A873" s="2" t="s">
        <v>32</v>
      </c>
      <c r="B873" s="2" t="s">
        <v>91</v>
      </c>
      <c r="C873" s="21" t="s">
        <v>92</v>
      </c>
      <c r="D873" s="21" t="s">
        <v>93</v>
      </c>
      <c r="E873" s="21" t="s">
        <v>94</v>
      </c>
      <c r="F873" s="21" t="s">
        <v>95</v>
      </c>
    </row>
    <row r="874" spans="1:6" x14ac:dyDescent="0.25">
      <c r="A874" s="1">
        <v>1</v>
      </c>
      <c r="B874" s="13">
        <f>'My Loans'!$D$10</f>
        <v>0</v>
      </c>
      <c r="C874" s="22">
        <f>MIN('My Loans'!$F$10,B874+D874)</f>
        <v>0</v>
      </c>
      <c r="D874" s="22">
        <f>B874*'My Loans'!$E$10/12</f>
        <v>0</v>
      </c>
      <c r="E874" s="22">
        <f t="shared" ref="E874:E905" si="84">C874-D874</f>
        <v>0</v>
      </c>
      <c r="F874" s="22">
        <f t="shared" ref="F874:F905" si="85">MAX(0,B874-E874)</f>
        <v>0</v>
      </c>
    </row>
    <row r="875" spans="1:6" x14ac:dyDescent="0.25">
      <c r="A875" s="1">
        <v>2</v>
      </c>
      <c r="B875" s="13">
        <f t="shared" ref="B875:B906" si="86">F874</f>
        <v>0</v>
      </c>
      <c r="C875" s="22">
        <f>MIN('My Loans'!$F$10,B875+D875)</f>
        <v>0</v>
      </c>
      <c r="D875" s="22">
        <f>B875*'My Loans'!$E$10/12</f>
        <v>0</v>
      </c>
      <c r="E875" s="22">
        <f t="shared" si="84"/>
        <v>0</v>
      </c>
      <c r="F875" s="22">
        <f t="shared" si="85"/>
        <v>0</v>
      </c>
    </row>
    <row r="876" spans="1:6" x14ac:dyDescent="0.25">
      <c r="A876" s="1">
        <v>3</v>
      </c>
      <c r="B876" s="13">
        <f t="shared" si="86"/>
        <v>0</v>
      </c>
      <c r="C876" s="22">
        <f>MIN('My Loans'!$F$10,B876+D876)</f>
        <v>0</v>
      </c>
      <c r="D876" s="22">
        <f>B876*'My Loans'!$E$10/12</f>
        <v>0</v>
      </c>
      <c r="E876" s="22">
        <f t="shared" si="84"/>
        <v>0</v>
      </c>
      <c r="F876" s="22">
        <f t="shared" si="85"/>
        <v>0</v>
      </c>
    </row>
    <row r="877" spans="1:6" x14ac:dyDescent="0.25">
      <c r="A877" s="1">
        <v>4</v>
      </c>
      <c r="B877" s="13">
        <f t="shared" si="86"/>
        <v>0</v>
      </c>
      <c r="C877" s="22">
        <f>MIN('My Loans'!$F$10,B877+D877)</f>
        <v>0</v>
      </c>
      <c r="D877" s="22">
        <f>B877*'My Loans'!$E$10/12</f>
        <v>0</v>
      </c>
      <c r="E877" s="22">
        <f t="shared" si="84"/>
        <v>0</v>
      </c>
      <c r="F877" s="22">
        <f t="shared" si="85"/>
        <v>0</v>
      </c>
    </row>
    <row r="878" spans="1:6" x14ac:dyDescent="0.25">
      <c r="A878" s="1">
        <v>5</v>
      </c>
      <c r="B878" s="13">
        <f t="shared" si="86"/>
        <v>0</v>
      </c>
      <c r="C878" s="22">
        <f>MIN('My Loans'!$F$10,B878+D878)</f>
        <v>0</v>
      </c>
      <c r="D878" s="22">
        <f>B878*'My Loans'!$E$10/12</f>
        <v>0</v>
      </c>
      <c r="E878" s="22">
        <f t="shared" si="84"/>
        <v>0</v>
      </c>
      <c r="F878" s="22">
        <f t="shared" si="85"/>
        <v>0</v>
      </c>
    </row>
    <row r="879" spans="1:6" x14ac:dyDescent="0.25">
      <c r="A879" s="1">
        <v>6</v>
      </c>
      <c r="B879" s="13">
        <f t="shared" si="86"/>
        <v>0</v>
      </c>
      <c r="C879" s="22">
        <f>MIN('My Loans'!$F$10,B879+D879)</f>
        <v>0</v>
      </c>
      <c r="D879" s="22">
        <f>B879*'My Loans'!$E$10/12</f>
        <v>0</v>
      </c>
      <c r="E879" s="22">
        <f t="shared" si="84"/>
        <v>0</v>
      </c>
      <c r="F879" s="22">
        <f t="shared" si="85"/>
        <v>0</v>
      </c>
    </row>
    <row r="880" spans="1:6" x14ac:dyDescent="0.25">
      <c r="A880" s="1">
        <v>7</v>
      </c>
      <c r="B880" s="13">
        <f t="shared" si="86"/>
        <v>0</v>
      </c>
      <c r="C880" s="22">
        <f>MIN('My Loans'!$F$10,B880+D880)</f>
        <v>0</v>
      </c>
      <c r="D880" s="22">
        <f>B880*'My Loans'!$E$10/12</f>
        <v>0</v>
      </c>
      <c r="E880" s="22">
        <f t="shared" si="84"/>
        <v>0</v>
      </c>
      <c r="F880" s="22">
        <f t="shared" si="85"/>
        <v>0</v>
      </c>
    </row>
    <row r="881" spans="1:6" x14ac:dyDescent="0.25">
      <c r="A881" s="1">
        <v>8</v>
      </c>
      <c r="B881" s="13">
        <f t="shared" si="86"/>
        <v>0</v>
      </c>
      <c r="C881" s="22">
        <f>MIN('My Loans'!$F$10,B881+D881)</f>
        <v>0</v>
      </c>
      <c r="D881" s="22">
        <f>B881*'My Loans'!$E$10/12</f>
        <v>0</v>
      </c>
      <c r="E881" s="22">
        <f t="shared" si="84"/>
        <v>0</v>
      </c>
      <c r="F881" s="22">
        <f t="shared" si="85"/>
        <v>0</v>
      </c>
    </row>
    <row r="882" spans="1:6" x14ac:dyDescent="0.25">
      <c r="A882" s="1">
        <v>9</v>
      </c>
      <c r="B882" s="13">
        <f t="shared" si="86"/>
        <v>0</v>
      </c>
      <c r="C882" s="22">
        <f>MIN('My Loans'!$F$10,B882+D882)</f>
        <v>0</v>
      </c>
      <c r="D882" s="22">
        <f>B882*'My Loans'!$E$10/12</f>
        <v>0</v>
      </c>
      <c r="E882" s="22">
        <f t="shared" si="84"/>
        <v>0</v>
      </c>
      <c r="F882" s="22">
        <f t="shared" si="85"/>
        <v>0</v>
      </c>
    </row>
    <row r="883" spans="1:6" x14ac:dyDescent="0.25">
      <c r="A883" s="1">
        <v>10</v>
      </c>
      <c r="B883" s="13">
        <f t="shared" si="86"/>
        <v>0</v>
      </c>
      <c r="C883" s="22">
        <f>MIN('My Loans'!$F$10,B883+D883)</f>
        <v>0</v>
      </c>
      <c r="D883" s="22">
        <f>B883*'My Loans'!$E$10/12</f>
        <v>0</v>
      </c>
      <c r="E883" s="22">
        <f t="shared" si="84"/>
        <v>0</v>
      </c>
      <c r="F883" s="22">
        <f t="shared" si="85"/>
        <v>0</v>
      </c>
    </row>
    <row r="884" spans="1:6" x14ac:dyDescent="0.25">
      <c r="A884" s="1">
        <v>11</v>
      </c>
      <c r="B884" s="13">
        <f t="shared" si="86"/>
        <v>0</v>
      </c>
      <c r="C884" s="22">
        <f>MIN('My Loans'!$F$10,B884+D884)</f>
        <v>0</v>
      </c>
      <c r="D884" s="22">
        <f>B884*'My Loans'!$E$10/12</f>
        <v>0</v>
      </c>
      <c r="E884" s="22">
        <f t="shared" si="84"/>
        <v>0</v>
      </c>
      <c r="F884" s="22">
        <f t="shared" si="85"/>
        <v>0</v>
      </c>
    </row>
    <row r="885" spans="1:6" x14ac:dyDescent="0.25">
      <c r="A885" s="1">
        <v>12</v>
      </c>
      <c r="B885" s="13">
        <f t="shared" si="86"/>
        <v>0</v>
      </c>
      <c r="C885" s="22">
        <f>MIN('My Loans'!$F$10,B885+D885)</f>
        <v>0</v>
      </c>
      <c r="D885" s="22">
        <f>B885*'My Loans'!$E$10/12</f>
        <v>0</v>
      </c>
      <c r="E885" s="22">
        <f t="shared" si="84"/>
        <v>0</v>
      </c>
      <c r="F885" s="22">
        <f t="shared" si="85"/>
        <v>0</v>
      </c>
    </row>
    <row r="886" spans="1:6" x14ac:dyDescent="0.25">
      <c r="A886" s="1">
        <v>13</v>
      </c>
      <c r="B886" s="13">
        <f t="shared" si="86"/>
        <v>0</v>
      </c>
      <c r="C886" s="22">
        <f>MIN('My Loans'!$F$10,B886+D886)</f>
        <v>0</v>
      </c>
      <c r="D886" s="22">
        <f>B886*'My Loans'!$E$10/12</f>
        <v>0</v>
      </c>
      <c r="E886" s="22">
        <f t="shared" si="84"/>
        <v>0</v>
      </c>
      <c r="F886" s="22">
        <f t="shared" si="85"/>
        <v>0</v>
      </c>
    </row>
    <row r="887" spans="1:6" x14ac:dyDescent="0.25">
      <c r="A887" s="1">
        <v>14</v>
      </c>
      <c r="B887" s="13">
        <f t="shared" si="86"/>
        <v>0</v>
      </c>
      <c r="C887" s="22">
        <f>MIN('My Loans'!$F$10,B887+D887)</f>
        <v>0</v>
      </c>
      <c r="D887" s="22">
        <f>B887*'My Loans'!$E$10/12</f>
        <v>0</v>
      </c>
      <c r="E887" s="22">
        <f t="shared" si="84"/>
        <v>0</v>
      </c>
      <c r="F887" s="22">
        <f t="shared" si="85"/>
        <v>0</v>
      </c>
    </row>
    <row r="888" spans="1:6" x14ac:dyDescent="0.25">
      <c r="A888" s="1">
        <v>15</v>
      </c>
      <c r="B888" s="13">
        <f t="shared" si="86"/>
        <v>0</v>
      </c>
      <c r="C888" s="22">
        <f>MIN('My Loans'!$F$10,B888+D888)</f>
        <v>0</v>
      </c>
      <c r="D888" s="22">
        <f>B888*'My Loans'!$E$10/12</f>
        <v>0</v>
      </c>
      <c r="E888" s="22">
        <f t="shared" si="84"/>
        <v>0</v>
      </c>
      <c r="F888" s="22">
        <f t="shared" si="85"/>
        <v>0</v>
      </c>
    </row>
    <row r="889" spans="1:6" x14ac:dyDescent="0.25">
      <c r="A889" s="1">
        <v>16</v>
      </c>
      <c r="B889" s="13">
        <f t="shared" si="86"/>
        <v>0</v>
      </c>
      <c r="C889" s="22">
        <f>MIN('My Loans'!$F$10,B889+D889)</f>
        <v>0</v>
      </c>
      <c r="D889" s="22">
        <f>B889*'My Loans'!$E$10/12</f>
        <v>0</v>
      </c>
      <c r="E889" s="22">
        <f t="shared" si="84"/>
        <v>0</v>
      </c>
      <c r="F889" s="22">
        <f t="shared" si="85"/>
        <v>0</v>
      </c>
    </row>
    <row r="890" spans="1:6" x14ac:dyDescent="0.25">
      <c r="A890" s="1">
        <v>17</v>
      </c>
      <c r="B890" s="13">
        <f t="shared" si="86"/>
        <v>0</v>
      </c>
      <c r="C890" s="22">
        <f>MIN('My Loans'!$F$10,B890+D890)</f>
        <v>0</v>
      </c>
      <c r="D890" s="22">
        <f>B890*'My Loans'!$E$10/12</f>
        <v>0</v>
      </c>
      <c r="E890" s="22">
        <f t="shared" si="84"/>
        <v>0</v>
      </c>
      <c r="F890" s="22">
        <f t="shared" si="85"/>
        <v>0</v>
      </c>
    </row>
    <row r="891" spans="1:6" x14ac:dyDescent="0.25">
      <c r="A891" s="1">
        <v>18</v>
      </c>
      <c r="B891" s="13">
        <f t="shared" si="86"/>
        <v>0</v>
      </c>
      <c r="C891" s="22">
        <f>MIN('My Loans'!$F$10,B891+D891)</f>
        <v>0</v>
      </c>
      <c r="D891" s="22">
        <f>B891*'My Loans'!$E$10/12</f>
        <v>0</v>
      </c>
      <c r="E891" s="22">
        <f t="shared" si="84"/>
        <v>0</v>
      </c>
      <c r="F891" s="22">
        <f t="shared" si="85"/>
        <v>0</v>
      </c>
    </row>
    <row r="892" spans="1:6" x14ac:dyDescent="0.25">
      <c r="A892" s="1">
        <v>19</v>
      </c>
      <c r="B892" s="13">
        <f t="shared" si="86"/>
        <v>0</v>
      </c>
      <c r="C892" s="22">
        <f>MIN('My Loans'!$F$10,B892+D892)</f>
        <v>0</v>
      </c>
      <c r="D892" s="22">
        <f>B892*'My Loans'!$E$10/12</f>
        <v>0</v>
      </c>
      <c r="E892" s="22">
        <f t="shared" si="84"/>
        <v>0</v>
      </c>
      <c r="F892" s="22">
        <f t="shared" si="85"/>
        <v>0</v>
      </c>
    </row>
    <row r="893" spans="1:6" x14ac:dyDescent="0.25">
      <c r="A893" s="1">
        <v>20</v>
      </c>
      <c r="B893" s="13">
        <f t="shared" si="86"/>
        <v>0</v>
      </c>
      <c r="C893" s="22">
        <f>MIN('My Loans'!$F$10,B893+D893)</f>
        <v>0</v>
      </c>
      <c r="D893" s="22">
        <f>B893*'My Loans'!$E$10/12</f>
        <v>0</v>
      </c>
      <c r="E893" s="22">
        <f t="shared" si="84"/>
        <v>0</v>
      </c>
      <c r="F893" s="22">
        <f t="shared" si="85"/>
        <v>0</v>
      </c>
    </row>
    <row r="894" spans="1:6" x14ac:dyDescent="0.25">
      <c r="A894" s="1">
        <v>21</v>
      </c>
      <c r="B894" s="13">
        <f t="shared" si="86"/>
        <v>0</v>
      </c>
      <c r="C894" s="22">
        <f>MIN('My Loans'!$F$10,B894+D894)</f>
        <v>0</v>
      </c>
      <c r="D894" s="22">
        <f>B894*'My Loans'!$E$10/12</f>
        <v>0</v>
      </c>
      <c r="E894" s="22">
        <f t="shared" si="84"/>
        <v>0</v>
      </c>
      <c r="F894" s="22">
        <f t="shared" si="85"/>
        <v>0</v>
      </c>
    </row>
    <row r="895" spans="1:6" x14ac:dyDescent="0.25">
      <c r="A895" s="1">
        <v>22</v>
      </c>
      <c r="B895" s="13">
        <f t="shared" si="86"/>
        <v>0</v>
      </c>
      <c r="C895" s="22">
        <f>MIN('My Loans'!$F$10,B895+D895)</f>
        <v>0</v>
      </c>
      <c r="D895" s="22">
        <f>B895*'My Loans'!$E$10/12</f>
        <v>0</v>
      </c>
      <c r="E895" s="22">
        <f t="shared" si="84"/>
        <v>0</v>
      </c>
      <c r="F895" s="22">
        <f t="shared" si="85"/>
        <v>0</v>
      </c>
    </row>
    <row r="896" spans="1:6" x14ac:dyDescent="0.25">
      <c r="A896" s="1">
        <v>23</v>
      </c>
      <c r="B896" s="13">
        <f t="shared" si="86"/>
        <v>0</v>
      </c>
      <c r="C896" s="22">
        <f>MIN('My Loans'!$F$10,B896+D896)</f>
        <v>0</v>
      </c>
      <c r="D896" s="22">
        <f>B896*'My Loans'!$E$10/12</f>
        <v>0</v>
      </c>
      <c r="E896" s="22">
        <f t="shared" si="84"/>
        <v>0</v>
      </c>
      <c r="F896" s="22">
        <f t="shared" si="85"/>
        <v>0</v>
      </c>
    </row>
    <row r="897" spans="1:6" x14ac:dyDescent="0.25">
      <c r="A897" s="1">
        <v>24</v>
      </c>
      <c r="B897" s="13">
        <f t="shared" si="86"/>
        <v>0</v>
      </c>
      <c r="C897" s="22">
        <f>MIN('My Loans'!$F$10,B897+D897)</f>
        <v>0</v>
      </c>
      <c r="D897" s="22">
        <f>B897*'My Loans'!$E$10/12</f>
        <v>0</v>
      </c>
      <c r="E897" s="22">
        <f t="shared" si="84"/>
        <v>0</v>
      </c>
      <c r="F897" s="22">
        <f t="shared" si="85"/>
        <v>0</v>
      </c>
    </row>
    <row r="898" spans="1:6" x14ac:dyDescent="0.25">
      <c r="A898" s="1">
        <v>25</v>
      </c>
      <c r="B898" s="13">
        <f t="shared" si="86"/>
        <v>0</v>
      </c>
      <c r="C898" s="22">
        <f>MIN('My Loans'!$F$10,B898+D898)</f>
        <v>0</v>
      </c>
      <c r="D898" s="22">
        <f>B898*'My Loans'!$E$10/12</f>
        <v>0</v>
      </c>
      <c r="E898" s="22">
        <f t="shared" si="84"/>
        <v>0</v>
      </c>
      <c r="F898" s="22">
        <f t="shared" si="85"/>
        <v>0</v>
      </c>
    </row>
    <row r="899" spans="1:6" x14ac:dyDescent="0.25">
      <c r="A899" s="1">
        <v>26</v>
      </c>
      <c r="B899" s="13">
        <f t="shared" si="86"/>
        <v>0</v>
      </c>
      <c r="C899" s="22">
        <f>MIN('My Loans'!$F$10,B899+D899)</f>
        <v>0</v>
      </c>
      <c r="D899" s="22">
        <f>B899*'My Loans'!$E$10/12</f>
        <v>0</v>
      </c>
      <c r="E899" s="22">
        <f t="shared" si="84"/>
        <v>0</v>
      </c>
      <c r="F899" s="22">
        <f t="shared" si="85"/>
        <v>0</v>
      </c>
    </row>
    <row r="900" spans="1:6" x14ac:dyDescent="0.25">
      <c r="A900" s="1">
        <v>27</v>
      </c>
      <c r="B900" s="13">
        <f t="shared" si="86"/>
        <v>0</v>
      </c>
      <c r="C900" s="22">
        <f>MIN('My Loans'!$F$10,B900+D900)</f>
        <v>0</v>
      </c>
      <c r="D900" s="22">
        <f>B900*'My Loans'!$E$10/12</f>
        <v>0</v>
      </c>
      <c r="E900" s="22">
        <f t="shared" si="84"/>
        <v>0</v>
      </c>
      <c r="F900" s="22">
        <f t="shared" si="85"/>
        <v>0</v>
      </c>
    </row>
    <row r="901" spans="1:6" x14ac:dyDescent="0.25">
      <c r="A901" s="1">
        <v>28</v>
      </c>
      <c r="B901" s="13">
        <f t="shared" si="86"/>
        <v>0</v>
      </c>
      <c r="C901" s="22">
        <f>MIN('My Loans'!$F$10,B901+D901)</f>
        <v>0</v>
      </c>
      <c r="D901" s="22">
        <f>B901*'My Loans'!$E$10/12</f>
        <v>0</v>
      </c>
      <c r="E901" s="22">
        <f t="shared" si="84"/>
        <v>0</v>
      </c>
      <c r="F901" s="22">
        <f t="shared" si="85"/>
        <v>0</v>
      </c>
    </row>
    <row r="902" spans="1:6" x14ac:dyDescent="0.25">
      <c r="A902" s="1">
        <v>29</v>
      </c>
      <c r="B902" s="13">
        <f t="shared" si="86"/>
        <v>0</v>
      </c>
      <c r="C902" s="22">
        <f>MIN('My Loans'!$F$10,B902+D902)</f>
        <v>0</v>
      </c>
      <c r="D902" s="22">
        <f>B902*'My Loans'!$E$10/12</f>
        <v>0</v>
      </c>
      <c r="E902" s="22">
        <f t="shared" si="84"/>
        <v>0</v>
      </c>
      <c r="F902" s="22">
        <f t="shared" si="85"/>
        <v>0</v>
      </c>
    </row>
    <row r="903" spans="1:6" x14ac:dyDescent="0.25">
      <c r="A903" s="1">
        <v>30</v>
      </c>
      <c r="B903" s="13">
        <f t="shared" si="86"/>
        <v>0</v>
      </c>
      <c r="C903" s="22">
        <f>MIN('My Loans'!$F$10,B903+D903)</f>
        <v>0</v>
      </c>
      <c r="D903" s="22">
        <f>B903*'My Loans'!$E$10/12</f>
        <v>0</v>
      </c>
      <c r="E903" s="22">
        <f t="shared" si="84"/>
        <v>0</v>
      </c>
      <c r="F903" s="22">
        <f t="shared" si="85"/>
        <v>0</v>
      </c>
    </row>
    <row r="904" spans="1:6" x14ac:dyDescent="0.25">
      <c r="A904" s="1">
        <v>31</v>
      </c>
      <c r="B904" s="13">
        <f t="shared" si="86"/>
        <v>0</v>
      </c>
      <c r="C904" s="22">
        <f>MIN('My Loans'!$F$10,B904+D904)</f>
        <v>0</v>
      </c>
      <c r="D904" s="22">
        <f>B904*'My Loans'!$E$10/12</f>
        <v>0</v>
      </c>
      <c r="E904" s="22">
        <f t="shared" si="84"/>
        <v>0</v>
      </c>
      <c r="F904" s="22">
        <f t="shared" si="85"/>
        <v>0</v>
      </c>
    </row>
    <row r="905" spans="1:6" x14ac:dyDescent="0.25">
      <c r="A905" s="1">
        <v>32</v>
      </c>
      <c r="B905" s="13">
        <f t="shared" si="86"/>
        <v>0</v>
      </c>
      <c r="C905" s="22">
        <f>MIN('My Loans'!$F$10,B905+D905)</f>
        <v>0</v>
      </c>
      <c r="D905" s="22">
        <f>B905*'My Loans'!$E$10/12</f>
        <v>0</v>
      </c>
      <c r="E905" s="22">
        <f t="shared" si="84"/>
        <v>0</v>
      </c>
      <c r="F905" s="22">
        <f t="shared" si="85"/>
        <v>0</v>
      </c>
    </row>
    <row r="906" spans="1:6" x14ac:dyDescent="0.25">
      <c r="A906" s="1">
        <v>33</v>
      </c>
      <c r="B906" s="13">
        <f t="shared" si="86"/>
        <v>0</v>
      </c>
      <c r="C906" s="22">
        <f>MIN('My Loans'!$F$10,B906+D906)</f>
        <v>0</v>
      </c>
      <c r="D906" s="22">
        <f>B906*'My Loans'!$E$10/12</f>
        <v>0</v>
      </c>
      <c r="E906" s="22">
        <f t="shared" ref="E906:E937" si="87">C906-D906</f>
        <v>0</v>
      </c>
      <c r="F906" s="22">
        <f t="shared" ref="F906:F937" si="88">MAX(0,B906-E906)</f>
        <v>0</v>
      </c>
    </row>
    <row r="907" spans="1:6" x14ac:dyDescent="0.25">
      <c r="A907" s="1">
        <v>34</v>
      </c>
      <c r="B907" s="13">
        <f t="shared" ref="B907:B938" si="89">F906</f>
        <v>0</v>
      </c>
      <c r="C907" s="22">
        <f>MIN('My Loans'!$F$10,B907+D907)</f>
        <v>0</v>
      </c>
      <c r="D907" s="22">
        <f>B907*'My Loans'!$E$10/12</f>
        <v>0</v>
      </c>
      <c r="E907" s="22">
        <f t="shared" si="87"/>
        <v>0</v>
      </c>
      <c r="F907" s="22">
        <f t="shared" si="88"/>
        <v>0</v>
      </c>
    </row>
    <row r="908" spans="1:6" x14ac:dyDescent="0.25">
      <c r="A908" s="1">
        <v>35</v>
      </c>
      <c r="B908" s="13">
        <f t="shared" si="89"/>
        <v>0</v>
      </c>
      <c r="C908" s="22">
        <f>MIN('My Loans'!$F$10,B908+D908)</f>
        <v>0</v>
      </c>
      <c r="D908" s="22">
        <f>B908*'My Loans'!$E$10/12</f>
        <v>0</v>
      </c>
      <c r="E908" s="22">
        <f t="shared" si="87"/>
        <v>0</v>
      </c>
      <c r="F908" s="22">
        <f t="shared" si="88"/>
        <v>0</v>
      </c>
    </row>
    <row r="909" spans="1:6" x14ac:dyDescent="0.25">
      <c r="A909" s="1">
        <v>36</v>
      </c>
      <c r="B909" s="13">
        <f t="shared" si="89"/>
        <v>0</v>
      </c>
      <c r="C909" s="22">
        <f>MIN('My Loans'!$F$10,B909+D909)</f>
        <v>0</v>
      </c>
      <c r="D909" s="22">
        <f>B909*'My Loans'!$E$10/12</f>
        <v>0</v>
      </c>
      <c r="E909" s="22">
        <f t="shared" si="87"/>
        <v>0</v>
      </c>
      <c r="F909" s="22">
        <f t="shared" si="88"/>
        <v>0</v>
      </c>
    </row>
    <row r="910" spans="1:6" x14ac:dyDescent="0.25">
      <c r="A910" s="1">
        <v>37</v>
      </c>
      <c r="B910" s="13">
        <f t="shared" si="89"/>
        <v>0</v>
      </c>
      <c r="C910" s="22">
        <f>MIN('My Loans'!$F$10,B910+D910)</f>
        <v>0</v>
      </c>
      <c r="D910" s="22">
        <f>B910*'My Loans'!$E$10/12</f>
        <v>0</v>
      </c>
      <c r="E910" s="22">
        <f t="shared" si="87"/>
        <v>0</v>
      </c>
      <c r="F910" s="22">
        <f t="shared" si="88"/>
        <v>0</v>
      </c>
    </row>
    <row r="911" spans="1:6" x14ac:dyDescent="0.25">
      <c r="A911" s="1">
        <v>38</v>
      </c>
      <c r="B911" s="13">
        <f t="shared" si="89"/>
        <v>0</v>
      </c>
      <c r="C911" s="22">
        <f>MIN('My Loans'!$F$10,B911+D911)</f>
        <v>0</v>
      </c>
      <c r="D911" s="22">
        <f>B911*'My Loans'!$E$10/12</f>
        <v>0</v>
      </c>
      <c r="E911" s="22">
        <f t="shared" si="87"/>
        <v>0</v>
      </c>
      <c r="F911" s="22">
        <f t="shared" si="88"/>
        <v>0</v>
      </c>
    </row>
    <row r="912" spans="1:6" x14ac:dyDescent="0.25">
      <c r="A912" s="1">
        <v>39</v>
      </c>
      <c r="B912" s="13">
        <f t="shared" si="89"/>
        <v>0</v>
      </c>
      <c r="C912" s="22">
        <f>MIN('My Loans'!$F$10,B912+D912)</f>
        <v>0</v>
      </c>
      <c r="D912" s="22">
        <f>B912*'My Loans'!$E$10/12</f>
        <v>0</v>
      </c>
      <c r="E912" s="22">
        <f t="shared" si="87"/>
        <v>0</v>
      </c>
      <c r="F912" s="22">
        <f t="shared" si="88"/>
        <v>0</v>
      </c>
    </row>
    <row r="913" spans="1:6" x14ac:dyDescent="0.25">
      <c r="A913" s="1">
        <v>40</v>
      </c>
      <c r="B913" s="13">
        <f t="shared" si="89"/>
        <v>0</v>
      </c>
      <c r="C913" s="22">
        <f>MIN('My Loans'!$F$10,B913+D913)</f>
        <v>0</v>
      </c>
      <c r="D913" s="22">
        <f>B913*'My Loans'!$E$10/12</f>
        <v>0</v>
      </c>
      <c r="E913" s="22">
        <f t="shared" si="87"/>
        <v>0</v>
      </c>
      <c r="F913" s="22">
        <f t="shared" si="88"/>
        <v>0</v>
      </c>
    </row>
    <row r="914" spans="1:6" x14ac:dyDescent="0.25">
      <c r="A914" s="1">
        <v>41</v>
      </c>
      <c r="B914" s="13">
        <f t="shared" si="89"/>
        <v>0</v>
      </c>
      <c r="C914" s="22">
        <f>MIN('My Loans'!$F$10,B914+D914)</f>
        <v>0</v>
      </c>
      <c r="D914" s="22">
        <f>B914*'My Loans'!$E$10/12</f>
        <v>0</v>
      </c>
      <c r="E914" s="22">
        <f t="shared" si="87"/>
        <v>0</v>
      </c>
      <c r="F914" s="22">
        <f t="shared" si="88"/>
        <v>0</v>
      </c>
    </row>
    <row r="915" spans="1:6" x14ac:dyDescent="0.25">
      <c r="A915" s="1">
        <v>42</v>
      </c>
      <c r="B915" s="13">
        <f t="shared" si="89"/>
        <v>0</v>
      </c>
      <c r="C915" s="22">
        <f>MIN('My Loans'!$F$10,B915+D915)</f>
        <v>0</v>
      </c>
      <c r="D915" s="22">
        <f>B915*'My Loans'!$E$10/12</f>
        <v>0</v>
      </c>
      <c r="E915" s="22">
        <f t="shared" si="87"/>
        <v>0</v>
      </c>
      <c r="F915" s="22">
        <f t="shared" si="88"/>
        <v>0</v>
      </c>
    </row>
    <row r="916" spans="1:6" x14ac:dyDescent="0.25">
      <c r="A916" s="1">
        <v>43</v>
      </c>
      <c r="B916" s="13">
        <f t="shared" si="89"/>
        <v>0</v>
      </c>
      <c r="C916" s="22">
        <f>MIN('My Loans'!$F$10,B916+D916)</f>
        <v>0</v>
      </c>
      <c r="D916" s="22">
        <f>B916*'My Loans'!$E$10/12</f>
        <v>0</v>
      </c>
      <c r="E916" s="22">
        <f t="shared" si="87"/>
        <v>0</v>
      </c>
      <c r="F916" s="22">
        <f t="shared" si="88"/>
        <v>0</v>
      </c>
    </row>
    <row r="917" spans="1:6" x14ac:dyDescent="0.25">
      <c r="A917" s="1">
        <v>44</v>
      </c>
      <c r="B917" s="13">
        <f t="shared" si="89"/>
        <v>0</v>
      </c>
      <c r="C917" s="22">
        <f>MIN('My Loans'!$F$10,B917+D917)</f>
        <v>0</v>
      </c>
      <c r="D917" s="22">
        <f>B917*'My Loans'!$E$10/12</f>
        <v>0</v>
      </c>
      <c r="E917" s="22">
        <f t="shared" si="87"/>
        <v>0</v>
      </c>
      <c r="F917" s="22">
        <f t="shared" si="88"/>
        <v>0</v>
      </c>
    </row>
    <row r="918" spans="1:6" x14ac:dyDescent="0.25">
      <c r="A918" s="1">
        <v>45</v>
      </c>
      <c r="B918" s="13">
        <f t="shared" si="89"/>
        <v>0</v>
      </c>
      <c r="C918" s="22">
        <f>MIN('My Loans'!$F$10,B918+D918)</f>
        <v>0</v>
      </c>
      <c r="D918" s="22">
        <f>B918*'My Loans'!$E$10/12</f>
        <v>0</v>
      </c>
      <c r="E918" s="22">
        <f t="shared" si="87"/>
        <v>0</v>
      </c>
      <c r="F918" s="22">
        <f t="shared" si="88"/>
        <v>0</v>
      </c>
    </row>
    <row r="919" spans="1:6" x14ac:dyDescent="0.25">
      <c r="A919" s="1">
        <v>46</v>
      </c>
      <c r="B919" s="13">
        <f t="shared" si="89"/>
        <v>0</v>
      </c>
      <c r="C919" s="22">
        <f>MIN('My Loans'!$F$10,B919+D919)</f>
        <v>0</v>
      </c>
      <c r="D919" s="22">
        <f>B919*'My Loans'!$E$10/12</f>
        <v>0</v>
      </c>
      <c r="E919" s="22">
        <f t="shared" si="87"/>
        <v>0</v>
      </c>
      <c r="F919" s="22">
        <f t="shared" si="88"/>
        <v>0</v>
      </c>
    </row>
    <row r="920" spans="1:6" x14ac:dyDescent="0.25">
      <c r="A920" s="1">
        <v>47</v>
      </c>
      <c r="B920" s="13">
        <f t="shared" si="89"/>
        <v>0</v>
      </c>
      <c r="C920" s="22">
        <f>MIN('My Loans'!$F$10,B920+D920)</f>
        <v>0</v>
      </c>
      <c r="D920" s="22">
        <f>B920*'My Loans'!$E$10/12</f>
        <v>0</v>
      </c>
      <c r="E920" s="22">
        <f t="shared" si="87"/>
        <v>0</v>
      </c>
      <c r="F920" s="22">
        <f t="shared" si="88"/>
        <v>0</v>
      </c>
    </row>
    <row r="921" spans="1:6" x14ac:dyDescent="0.25">
      <c r="A921" s="1">
        <v>48</v>
      </c>
      <c r="B921" s="13">
        <f t="shared" si="89"/>
        <v>0</v>
      </c>
      <c r="C921" s="22">
        <f>MIN('My Loans'!$F$10,B921+D921)</f>
        <v>0</v>
      </c>
      <c r="D921" s="22">
        <f>B921*'My Loans'!$E$10/12</f>
        <v>0</v>
      </c>
      <c r="E921" s="22">
        <f t="shared" si="87"/>
        <v>0</v>
      </c>
      <c r="F921" s="22">
        <f t="shared" si="88"/>
        <v>0</v>
      </c>
    </row>
    <row r="922" spans="1:6" x14ac:dyDescent="0.25">
      <c r="A922" s="1">
        <v>49</v>
      </c>
      <c r="B922" s="13">
        <f t="shared" si="89"/>
        <v>0</v>
      </c>
      <c r="C922" s="22">
        <f>MIN('My Loans'!$F$10,B922+D922)</f>
        <v>0</v>
      </c>
      <c r="D922" s="22">
        <f>B922*'My Loans'!$E$10/12</f>
        <v>0</v>
      </c>
      <c r="E922" s="22">
        <f t="shared" si="87"/>
        <v>0</v>
      </c>
      <c r="F922" s="22">
        <f t="shared" si="88"/>
        <v>0</v>
      </c>
    </row>
    <row r="923" spans="1:6" x14ac:dyDescent="0.25">
      <c r="A923" s="1">
        <v>50</v>
      </c>
      <c r="B923" s="13">
        <f t="shared" si="89"/>
        <v>0</v>
      </c>
      <c r="C923" s="22">
        <f>MIN('My Loans'!$F$10,B923+D923)</f>
        <v>0</v>
      </c>
      <c r="D923" s="22">
        <f>B923*'My Loans'!$E$10/12</f>
        <v>0</v>
      </c>
      <c r="E923" s="22">
        <f t="shared" si="87"/>
        <v>0</v>
      </c>
      <c r="F923" s="22">
        <f t="shared" si="88"/>
        <v>0</v>
      </c>
    </row>
    <row r="924" spans="1:6" x14ac:dyDescent="0.25">
      <c r="A924" s="1">
        <v>51</v>
      </c>
      <c r="B924" s="13">
        <f t="shared" si="89"/>
        <v>0</v>
      </c>
      <c r="C924" s="22">
        <f>MIN('My Loans'!$F$10,B924+D924)</f>
        <v>0</v>
      </c>
      <c r="D924" s="22">
        <f>B924*'My Loans'!$E$10/12</f>
        <v>0</v>
      </c>
      <c r="E924" s="22">
        <f t="shared" si="87"/>
        <v>0</v>
      </c>
      <c r="F924" s="22">
        <f t="shared" si="88"/>
        <v>0</v>
      </c>
    </row>
    <row r="925" spans="1:6" x14ac:dyDescent="0.25">
      <c r="A925" s="1">
        <v>52</v>
      </c>
      <c r="B925" s="13">
        <f t="shared" si="89"/>
        <v>0</v>
      </c>
      <c r="C925" s="22">
        <f>MIN('My Loans'!$F$10,B925+D925)</f>
        <v>0</v>
      </c>
      <c r="D925" s="22">
        <f>B925*'My Loans'!$E$10/12</f>
        <v>0</v>
      </c>
      <c r="E925" s="22">
        <f t="shared" si="87"/>
        <v>0</v>
      </c>
      <c r="F925" s="22">
        <f t="shared" si="88"/>
        <v>0</v>
      </c>
    </row>
    <row r="926" spans="1:6" x14ac:dyDescent="0.25">
      <c r="A926" s="1">
        <v>53</v>
      </c>
      <c r="B926" s="13">
        <f t="shared" si="89"/>
        <v>0</v>
      </c>
      <c r="C926" s="22">
        <f>MIN('My Loans'!$F$10,B926+D926)</f>
        <v>0</v>
      </c>
      <c r="D926" s="22">
        <f>B926*'My Loans'!$E$10/12</f>
        <v>0</v>
      </c>
      <c r="E926" s="22">
        <f t="shared" si="87"/>
        <v>0</v>
      </c>
      <c r="F926" s="22">
        <f t="shared" si="88"/>
        <v>0</v>
      </c>
    </row>
    <row r="927" spans="1:6" x14ac:dyDescent="0.25">
      <c r="A927" s="1">
        <v>54</v>
      </c>
      <c r="B927" s="13">
        <f t="shared" si="89"/>
        <v>0</v>
      </c>
      <c r="C927" s="22">
        <f>MIN('My Loans'!$F$10,B927+D927)</f>
        <v>0</v>
      </c>
      <c r="D927" s="22">
        <f>B927*'My Loans'!$E$10/12</f>
        <v>0</v>
      </c>
      <c r="E927" s="22">
        <f t="shared" si="87"/>
        <v>0</v>
      </c>
      <c r="F927" s="22">
        <f t="shared" si="88"/>
        <v>0</v>
      </c>
    </row>
    <row r="928" spans="1:6" x14ac:dyDescent="0.25">
      <c r="A928" s="1">
        <v>55</v>
      </c>
      <c r="B928" s="13">
        <f t="shared" si="89"/>
        <v>0</v>
      </c>
      <c r="C928" s="22">
        <f>MIN('My Loans'!$F$10,B928+D928)</f>
        <v>0</v>
      </c>
      <c r="D928" s="22">
        <f>B928*'My Loans'!$E$10/12</f>
        <v>0</v>
      </c>
      <c r="E928" s="22">
        <f t="shared" si="87"/>
        <v>0</v>
      </c>
      <c r="F928" s="22">
        <f t="shared" si="88"/>
        <v>0</v>
      </c>
    </row>
    <row r="929" spans="1:6" x14ac:dyDescent="0.25">
      <c r="A929" s="1">
        <v>56</v>
      </c>
      <c r="B929" s="13">
        <f t="shared" si="89"/>
        <v>0</v>
      </c>
      <c r="C929" s="22">
        <f>MIN('My Loans'!$F$10,B929+D929)</f>
        <v>0</v>
      </c>
      <c r="D929" s="22">
        <f>B929*'My Loans'!$E$10/12</f>
        <v>0</v>
      </c>
      <c r="E929" s="22">
        <f t="shared" si="87"/>
        <v>0</v>
      </c>
      <c r="F929" s="22">
        <f t="shared" si="88"/>
        <v>0</v>
      </c>
    </row>
    <row r="930" spans="1:6" x14ac:dyDescent="0.25">
      <c r="A930" s="1">
        <v>57</v>
      </c>
      <c r="B930" s="13">
        <f t="shared" si="89"/>
        <v>0</v>
      </c>
      <c r="C930" s="22">
        <f>MIN('My Loans'!$F$10,B930+D930)</f>
        <v>0</v>
      </c>
      <c r="D930" s="22">
        <f>B930*'My Loans'!$E$10/12</f>
        <v>0</v>
      </c>
      <c r="E930" s="22">
        <f t="shared" si="87"/>
        <v>0</v>
      </c>
      <c r="F930" s="22">
        <f t="shared" si="88"/>
        <v>0</v>
      </c>
    </row>
    <row r="931" spans="1:6" x14ac:dyDescent="0.25">
      <c r="A931" s="1">
        <v>58</v>
      </c>
      <c r="B931" s="13">
        <f t="shared" si="89"/>
        <v>0</v>
      </c>
      <c r="C931" s="22">
        <f>MIN('My Loans'!$F$10,B931+D931)</f>
        <v>0</v>
      </c>
      <c r="D931" s="22">
        <f>B931*'My Loans'!$E$10/12</f>
        <v>0</v>
      </c>
      <c r="E931" s="22">
        <f t="shared" si="87"/>
        <v>0</v>
      </c>
      <c r="F931" s="22">
        <f t="shared" si="88"/>
        <v>0</v>
      </c>
    </row>
    <row r="932" spans="1:6" x14ac:dyDescent="0.25">
      <c r="A932" s="1">
        <v>59</v>
      </c>
      <c r="B932" s="13">
        <f t="shared" si="89"/>
        <v>0</v>
      </c>
      <c r="C932" s="22">
        <f>MIN('My Loans'!$F$10,B932+D932)</f>
        <v>0</v>
      </c>
      <c r="D932" s="22">
        <f>B932*'My Loans'!$E$10/12</f>
        <v>0</v>
      </c>
      <c r="E932" s="22">
        <f t="shared" si="87"/>
        <v>0</v>
      </c>
      <c r="F932" s="22">
        <f t="shared" si="88"/>
        <v>0</v>
      </c>
    </row>
    <row r="933" spans="1:6" x14ac:dyDescent="0.25">
      <c r="A933" s="1">
        <v>60</v>
      </c>
      <c r="B933" s="13">
        <f t="shared" si="89"/>
        <v>0</v>
      </c>
      <c r="C933" s="22">
        <f>MIN('My Loans'!$F$10,B933+D933)</f>
        <v>0</v>
      </c>
      <c r="D933" s="22">
        <f>B933*'My Loans'!$E$10/12</f>
        <v>0</v>
      </c>
      <c r="E933" s="22">
        <f t="shared" si="87"/>
        <v>0</v>
      </c>
      <c r="F933" s="22">
        <f t="shared" si="88"/>
        <v>0</v>
      </c>
    </row>
    <row r="934" spans="1:6" x14ac:dyDescent="0.25">
      <c r="A934" s="1">
        <v>61</v>
      </c>
      <c r="B934" s="13">
        <f t="shared" si="89"/>
        <v>0</v>
      </c>
      <c r="C934" s="22">
        <f>MIN('My Loans'!$F$10,B934+D934)</f>
        <v>0</v>
      </c>
      <c r="D934" s="22">
        <f>B934*'My Loans'!$E$10/12</f>
        <v>0</v>
      </c>
      <c r="E934" s="22">
        <f t="shared" si="87"/>
        <v>0</v>
      </c>
      <c r="F934" s="22">
        <f t="shared" si="88"/>
        <v>0</v>
      </c>
    </row>
    <row r="935" spans="1:6" x14ac:dyDescent="0.25">
      <c r="A935" s="1">
        <v>62</v>
      </c>
      <c r="B935" s="13">
        <f t="shared" si="89"/>
        <v>0</v>
      </c>
      <c r="C935" s="22">
        <f>MIN('My Loans'!$F$10,B935+D935)</f>
        <v>0</v>
      </c>
      <c r="D935" s="22">
        <f>B935*'My Loans'!$E$10/12</f>
        <v>0</v>
      </c>
      <c r="E935" s="22">
        <f t="shared" si="87"/>
        <v>0</v>
      </c>
      <c r="F935" s="22">
        <f t="shared" si="88"/>
        <v>0</v>
      </c>
    </row>
    <row r="936" spans="1:6" x14ac:dyDescent="0.25">
      <c r="A936" s="1">
        <v>63</v>
      </c>
      <c r="B936" s="13">
        <f t="shared" si="89"/>
        <v>0</v>
      </c>
      <c r="C936" s="22">
        <f>MIN('My Loans'!$F$10,B936+D936)</f>
        <v>0</v>
      </c>
      <c r="D936" s="22">
        <f>B936*'My Loans'!$E$10/12</f>
        <v>0</v>
      </c>
      <c r="E936" s="22">
        <f t="shared" si="87"/>
        <v>0</v>
      </c>
      <c r="F936" s="22">
        <f t="shared" si="88"/>
        <v>0</v>
      </c>
    </row>
    <row r="937" spans="1:6" x14ac:dyDescent="0.25">
      <c r="A937" s="1">
        <v>64</v>
      </c>
      <c r="B937" s="13">
        <f t="shared" si="89"/>
        <v>0</v>
      </c>
      <c r="C937" s="22">
        <f>MIN('My Loans'!$F$10,B937+D937)</f>
        <v>0</v>
      </c>
      <c r="D937" s="22">
        <f>B937*'My Loans'!$E$10/12</f>
        <v>0</v>
      </c>
      <c r="E937" s="22">
        <f t="shared" si="87"/>
        <v>0</v>
      </c>
      <c r="F937" s="22">
        <f t="shared" si="88"/>
        <v>0</v>
      </c>
    </row>
    <row r="938" spans="1:6" x14ac:dyDescent="0.25">
      <c r="A938" s="1">
        <v>65</v>
      </c>
      <c r="B938" s="13">
        <f t="shared" si="89"/>
        <v>0</v>
      </c>
      <c r="C938" s="22">
        <f>MIN('My Loans'!$F$10,B938+D938)</f>
        <v>0</v>
      </c>
      <c r="D938" s="22">
        <f>B938*'My Loans'!$E$10/12</f>
        <v>0</v>
      </c>
      <c r="E938" s="22">
        <f t="shared" ref="E938:E969" si="90">C938-D938</f>
        <v>0</v>
      </c>
      <c r="F938" s="22">
        <f t="shared" ref="F938:F969" si="91">MAX(0,B938-E938)</f>
        <v>0</v>
      </c>
    </row>
    <row r="939" spans="1:6" x14ac:dyDescent="0.25">
      <c r="A939" s="1">
        <v>66</v>
      </c>
      <c r="B939" s="13">
        <f t="shared" ref="B939:B970" si="92">F938</f>
        <v>0</v>
      </c>
      <c r="C939" s="22">
        <f>MIN('My Loans'!$F$10,B939+D939)</f>
        <v>0</v>
      </c>
      <c r="D939" s="22">
        <f>B939*'My Loans'!$E$10/12</f>
        <v>0</v>
      </c>
      <c r="E939" s="22">
        <f t="shared" si="90"/>
        <v>0</v>
      </c>
      <c r="F939" s="22">
        <f t="shared" si="91"/>
        <v>0</v>
      </c>
    </row>
    <row r="940" spans="1:6" x14ac:dyDescent="0.25">
      <c r="A940" s="1">
        <v>67</v>
      </c>
      <c r="B940" s="13">
        <f t="shared" si="92"/>
        <v>0</v>
      </c>
      <c r="C940" s="22">
        <f>MIN('My Loans'!$F$10,B940+D940)</f>
        <v>0</v>
      </c>
      <c r="D940" s="22">
        <f>B940*'My Loans'!$E$10/12</f>
        <v>0</v>
      </c>
      <c r="E940" s="22">
        <f t="shared" si="90"/>
        <v>0</v>
      </c>
      <c r="F940" s="22">
        <f t="shared" si="91"/>
        <v>0</v>
      </c>
    </row>
    <row r="941" spans="1:6" x14ac:dyDescent="0.25">
      <c r="A941" s="1">
        <v>68</v>
      </c>
      <c r="B941" s="13">
        <f t="shared" si="92"/>
        <v>0</v>
      </c>
      <c r="C941" s="22">
        <f>MIN('My Loans'!$F$10,B941+D941)</f>
        <v>0</v>
      </c>
      <c r="D941" s="22">
        <f>B941*'My Loans'!$E$10/12</f>
        <v>0</v>
      </c>
      <c r="E941" s="22">
        <f t="shared" si="90"/>
        <v>0</v>
      </c>
      <c r="F941" s="22">
        <f t="shared" si="91"/>
        <v>0</v>
      </c>
    </row>
    <row r="942" spans="1:6" x14ac:dyDescent="0.25">
      <c r="A942" s="1">
        <v>69</v>
      </c>
      <c r="B942" s="13">
        <f t="shared" si="92"/>
        <v>0</v>
      </c>
      <c r="C942" s="22">
        <f>MIN('My Loans'!$F$10,B942+D942)</f>
        <v>0</v>
      </c>
      <c r="D942" s="22">
        <f>B942*'My Loans'!$E$10/12</f>
        <v>0</v>
      </c>
      <c r="E942" s="22">
        <f t="shared" si="90"/>
        <v>0</v>
      </c>
      <c r="F942" s="22">
        <f t="shared" si="91"/>
        <v>0</v>
      </c>
    </row>
    <row r="943" spans="1:6" x14ac:dyDescent="0.25">
      <c r="A943" s="1">
        <v>70</v>
      </c>
      <c r="B943" s="13">
        <f t="shared" si="92"/>
        <v>0</v>
      </c>
      <c r="C943" s="22">
        <f>MIN('My Loans'!$F$10,B943+D943)</f>
        <v>0</v>
      </c>
      <c r="D943" s="22">
        <f>B943*'My Loans'!$E$10/12</f>
        <v>0</v>
      </c>
      <c r="E943" s="22">
        <f t="shared" si="90"/>
        <v>0</v>
      </c>
      <c r="F943" s="22">
        <f t="shared" si="91"/>
        <v>0</v>
      </c>
    </row>
    <row r="944" spans="1:6" x14ac:dyDescent="0.25">
      <c r="A944" s="1">
        <v>71</v>
      </c>
      <c r="B944" s="13">
        <f t="shared" si="92"/>
        <v>0</v>
      </c>
      <c r="C944" s="22">
        <f>MIN('My Loans'!$F$10,B944+D944)</f>
        <v>0</v>
      </c>
      <c r="D944" s="22">
        <f>B944*'My Loans'!$E$10/12</f>
        <v>0</v>
      </c>
      <c r="E944" s="22">
        <f t="shared" si="90"/>
        <v>0</v>
      </c>
      <c r="F944" s="22">
        <f t="shared" si="91"/>
        <v>0</v>
      </c>
    </row>
    <row r="945" spans="1:6" x14ac:dyDescent="0.25">
      <c r="A945" s="1">
        <v>72</v>
      </c>
      <c r="B945" s="13">
        <f t="shared" si="92"/>
        <v>0</v>
      </c>
      <c r="C945" s="22">
        <f>MIN('My Loans'!$F$10,B945+D945)</f>
        <v>0</v>
      </c>
      <c r="D945" s="22">
        <f>B945*'My Loans'!$E$10/12</f>
        <v>0</v>
      </c>
      <c r="E945" s="22">
        <f t="shared" si="90"/>
        <v>0</v>
      </c>
      <c r="F945" s="22">
        <f t="shared" si="91"/>
        <v>0</v>
      </c>
    </row>
    <row r="946" spans="1:6" x14ac:dyDescent="0.25">
      <c r="A946" s="1">
        <v>73</v>
      </c>
      <c r="B946" s="13">
        <f t="shared" si="92"/>
        <v>0</v>
      </c>
      <c r="C946" s="22">
        <f>MIN('My Loans'!$F$10,B946+D946)</f>
        <v>0</v>
      </c>
      <c r="D946" s="22">
        <f>B946*'My Loans'!$E$10/12</f>
        <v>0</v>
      </c>
      <c r="E946" s="22">
        <f t="shared" si="90"/>
        <v>0</v>
      </c>
      <c r="F946" s="22">
        <f t="shared" si="91"/>
        <v>0</v>
      </c>
    </row>
    <row r="947" spans="1:6" x14ac:dyDescent="0.25">
      <c r="A947" s="1">
        <v>74</v>
      </c>
      <c r="B947" s="13">
        <f t="shared" si="92"/>
        <v>0</v>
      </c>
      <c r="C947" s="22">
        <f>MIN('My Loans'!$F$10,B947+D947)</f>
        <v>0</v>
      </c>
      <c r="D947" s="22">
        <f>B947*'My Loans'!$E$10/12</f>
        <v>0</v>
      </c>
      <c r="E947" s="22">
        <f t="shared" si="90"/>
        <v>0</v>
      </c>
      <c r="F947" s="22">
        <f t="shared" si="91"/>
        <v>0</v>
      </c>
    </row>
    <row r="948" spans="1:6" x14ac:dyDescent="0.25">
      <c r="A948" s="1">
        <v>75</v>
      </c>
      <c r="B948" s="13">
        <f t="shared" si="92"/>
        <v>0</v>
      </c>
      <c r="C948" s="22">
        <f>MIN('My Loans'!$F$10,B948+D948)</f>
        <v>0</v>
      </c>
      <c r="D948" s="22">
        <f>B948*'My Loans'!$E$10/12</f>
        <v>0</v>
      </c>
      <c r="E948" s="22">
        <f t="shared" si="90"/>
        <v>0</v>
      </c>
      <c r="F948" s="22">
        <f t="shared" si="91"/>
        <v>0</v>
      </c>
    </row>
    <row r="949" spans="1:6" x14ac:dyDescent="0.25">
      <c r="A949" s="1">
        <v>76</v>
      </c>
      <c r="B949" s="13">
        <f t="shared" si="92"/>
        <v>0</v>
      </c>
      <c r="C949" s="22">
        <f>MIN('My Loans'!$F$10,B949+D949)</f>
        <v>0</v>
      </c>
      <c r="D949" s="22">
        <f>B949*'My Loans'!$E$10/12</f>
        <v>0</v>
      </c>
      <c r="E949" s="22">
        <f t="shared" si="90"/>
        <v>0</v>
      </c>
      <c r="F949" s="22">
        <f t="shared" si="91"/>
        <v>0</v>
      </c>
    </row>
    <row r="950" spans="1:6" x14ac:dyDescent="0.25">
      <c r="A950" s="1">
        <v>77</v>
      </c>
      <c r="B950" s="13">
        <f t="shared" si="92"/>
        <v>0</v>
      </c>
      <c r="C950" s="22">
        <f>MIN('My Loans'!$F$10,B950+D950)</f>
        <v>0</v>
      </c>
      <c r="D950" s="22">
        <f>B950*'My Loans'!$E$10/12</f>
        <v>0</v>
      </c>
      <c r="E950" s="22">
        <f t="shared" si="90"/>
        <v>0</v>
      </c>
      <c r="F950" s="22">
        <f t="shared" si="91"/>
        <v>0</v>
      </c>
    </row>
    <row r="951" spans="1:6" x14ac:dyDescent="0.25">
      <c r="A951" s="1">
        <v>78</v>
      </c>
      <c r="B951" s="13">
        <f t="shared" si="92"/>
        <v>0</v>
      </c>
      <c r="C951" s="22">
        <f>MIN('My Loans'!$F$10,B951+D951)</f>
        <v>0</v>
      </c>
      <c r="D951" s="22">
        <f>B951*'My Loans'!$E$10/12</f>
        <v>0</v>
      </c>
      <c r="E951" s="22">
        <f t="shared" si="90"/>
        <v>0</v>
      </c>
      <c r="F951" s="22">
        <f t="shared" si="91"/>
        <v>0</v>
      </c>
    </row>
    <row r="952" spans="1:6" x14ac:dyDescent="0.25">
      <c r="A952" s="1">
        <v>79</v>
      </c>
      <c r="B952" s="13">
        <f t="shared" si="92"/>
        <v>0</v>
      </c>
      <c r="C952" s="22">
        <f>MIN('My Loans'!$F$10,B952+D952)</f>
        <v>0</v>
      </c>
      <c r="D952" s="22">
        <f>B952*'My Loans'!$E$10/12</f>
        <v>0</v>
      </c>
      <c r="E952" s="22">
        <f t="shared" si="90"/>
        <v>0</v>
      </c>
      <c r="F952" s="22">
        <f t="shared" si="91"/>
        <v>0</v>
      </c>
    </row>
    <row r="953" spans="1:6" x14ac:dyDescent="0.25">
      <c r="A953" s="1">
        <v>80</v>
      </c>
      <c r="B953" s="13">
        <f t="shared" si="92"/>
        <v>0</v>
      </c>
      <c r="C953" s="22">
        <f>MIN('My Loans'!$F$10,B953+D953)</f>
        <v>0</v>
      </c>
      <c r="D953" s="22">
        <f>B953*'My Loans'!$E$10/12</f>
        <v>0</v>
      </c>
      <c r="E953" s="22">
        <f t="shared" si="90"/>
        <v>0</v>
      </c>
      <c r="F953" s="22">
        <f t="shared" si="91"/>
        <v>0</v>
      </c>
    </row>
    <row r="954" spans="1:6" x14ac:dyDescent="0.25">
      <c r="A954" s="1">
        <v>81</v>
      </c>
      <c r="B954" s="13">
        <f t="shared" si="92"/>
        <v>0</v>
      </c>
      <c r="C954" s="22">
        <f>MIN('My Loans'!$F$10,B954+D954)</f>
        <v>0</v>
      </c>
      <c r="D954" s="22">
        <f>B954*'My Loans'!$E$10/12</f>
        <v>0</v>
      </c>
      <c r="E954" s="22">
        <f t="shared" si="90"/>
        <v>0</v>
      </c>
      <c r="F954" s="22">
        <f t="shared" si="91"/>
        <v>0</v>
      </c>
    </row>
    <row r="955" spans="1:6" x14ac:dyDescent="0.25">
      <c r="A955" s="1">
        <v>82</v>
      </c>
      <c r="B955" s="13">
        <f t="shared" si="92"/>
        <v>0</v>
      </c>
      <c r="C955" s="22">
        <f>MIN('My Loans'!$F$10,B955+D955)</f>
        <v>0</v>
      </c>
      <c r="D955" s="22">
        <f>B955*'My Loans'!$E$10/12</f>
        <v>0</v>
      </c>
      <c r="E955" s="22">
        <f t="shared" si="90"/>
        <v>0</v>
      </c>
      <c r="F955" s="22">
        <f t="shared" si="91"/>
        <v>0</v>
      </c>
    </row>
    <row r="956" spans="1:6" x14ac:dyDescent="0.25">
      <c r="A956" s="1">
        <v>83</v>
      </c>
      <c r="B956" s="13">
        <f t="shared" si="92"/>
        <v>0</v>
      </c>
      <c r="C956" s="22">
        <f>MIN('My Loans'!$F$10,B956+D956)</f>
        <v>0</v>
      </c>
      <c r="D956" s="22">
        <f>B956*'My Loans'!$E$10/12</f>
        <v>0</v>
      </c>
      <c r="E956" s="22">
        <f t="shared" si="90"/>
        <v>0</v>
      </c>
      <c r="F956" s="22">
        <f t="shared" si="91"/>
        <v>0</v>
      </c>
    </row>
    <row r="957" spans="1:6" x14ac:dyDescent="0.25">
      <c r="A957" s="1">
        <v>84</v>
      </c>
      <c r="B957" s="13">
        <f t="shared" si="92"/>
        <v>0</v>
      </c>
      <c r="C957" s="22">
        <f>MIN('My Loans'!$F$10,B957+D957)</f>
        <v>0</v>
      </c>
      <c r="D957" s="22">
        <f>B957*'My Loans'!$E$10/12</f>
        <v>0</v>
      </c>
      <c r="E957" s="22">
        <f t="shared" si="90"/>
        <v>0</v>
      </c>
      <c r="F957" s="22">
        <f t="shared" si="91"/>
        <v>0</v>
      </c>
    </row>
    <row r="958" spans="1:6" x14ac:dyDescent="0.25">
      <c r="A958" s="1">
        <v>85</v>
      </c>
      <c r="B958" s="13">
        <f t="shared" si="92"/>
        <v>0</v>
      </c>
      <c r="C958" s="22">
        <f>MIN('My Loans'!$F$10,B958+D958)</f>
        <v>0</v>
      </c>
      <c r="D958" s="22">
        <f>B958*'My Loans'!$E$10/12</f>
        <v>0</v>
      </c>
      <c r="E958" s="22">
        <f t="shared" si="90"/>
        <v>0</v>
      </c>
      <c r="F958" s="22">
        <f t="shared" si="91"/>
        <v>0</v>
      </c>
    </row>
    <row r="959" spans="1:6" x14ac:dyDescent="0.25">
      <c r="A959" s="1">
        <v>86</v>
      </c>
      <c r="B959" s="13">
        <f t="shared" si="92"/>
        <v>0</v>
      </c>
      <c r="C959" s="22">
        <f>MIN('My Loans'!$F$10,B959+D959)</f>
        <v>0</v>
      </c>
      <c r="D959" s="22">
        <f>B959*'My Loans'!$E$10/12</f>
        <v>0</v>
      </c>
      <c r="E959" s="22">
        <f t="shared" si="90"/>
        <v>0</v>
      </c>
      <c r="F959" s="22">
        <f t="shared" si="91"/>
        <v>0</v>
      </c>
    </row>
    <row r="960" spans="1:6" x14ac:dyDescent="0.25">
      <c r="A960" s="1">
        <v>87</v>
      </c>
      <c r="B960" s="13">
        <f t="shared" si="92"/>
        <v>0</v>
      </c>
      <c r="C960" s="22">
        <f>MIN('My Loans'!$F$10,B960+D960)</f>
        <v>0</v>
      </c>
      <c r="D960" s="22">
        <f>B960*'My Loans'!$E$10/12</f>
        <v>0</v>
      </c>
      <c r="E960" s="22">
        <f t="shared" si="90"/>
        <v>0</v>
      </c>
      <c r="F960" s="22">
        <f t="shared" si="91"/>
        <v>0</v>
      </c>
    </row>
    <row r="961" spans="1:6" x14ac:dyDescent="0.25">
      <c r="A961" s="1">
        <v>88</v>
      </c>
      <c r="B961" s="13">
        <f t="shared" si="92"/>
        <v>0</v>
      </c>
      <c r="C961" s="22">
        <f>MIN('My Loans'!$F$10,B961+D961)</f>
        <v>0</v>
      </c>
      <c r="D961" s="22">
        <f>B961*'My Loans'!$E$10/12</f>
        <v>0</v>
      </c>
      <c r="E961" s="22">
        <f t="shared" si="90"/>
        <v>0</v>
      </c>
      <c r="F961" s="22">
        <f t="shared" si="91"/>
        <v>0</v>
      </c>
    </row>
    <row r="962" spans="1:6" x14ac:dyDescent="0.25">
      <c r="A962" s="1">
        <v>89</v>
      </c>
      <c r="B962" s="13">
        <f t="shared" si="92"/>
        <v>0</v>
      </c>
      <c r="C962" s="22">
        <f>MIN('My Loans'!$F$10,B962+D962)</f>
        <v>0</v>
      </c>
      <c r="D962" s="22">
        <f>B962*'My Loans'!$E$10/12</f>
        <v>0</v>
      </c>
      <c r="E962" s="22">
        <f t="shared" si="90"/>
        <v>0</v>
      </c>
      <c r="F962" s="22">
        <f t="shared" si="91"/>
        <v>0</v>
      </c>
    </row>
    <row r="963" spans="1:6" x14ac:dyDescent="0.25">
      <c r="A963" s="1">
        <v>90</v>
      </c>
      <c r="B963" s="13">
        <f t="shared" si="92"/>
        <v>0</v>
      </c>
      <c r="C963" s="22">
        <f>MIN('My Loans'!$F$10,B963+D963)</f>
        <v>0</v>
      </c>
      <c r="D963" s="22">
        <f>B963*'My Loans'!$E$10/12</f>
        <v>0</v>
      </c>
      <c r="E963" s="22">
        <f t="shared" si="90"/>
        <v>0</v>
      </c>
      <c r="F963" s="22">
        <f t="shared" si="91"/>
        <v>0</v>
      </c>
    </row>
    <row r="964" spans="1:6" x14ac:dyDescent="0.25">
      <c r="A964" s="1">
        <v>91</v>
      </c>
      <c r="B964" s="13">
        <f t="shared" si="92"/>
        <v>0</v>
      </c>
      <c r="C964" s="22">
        <f>MIN('My Loans'!$F$10,B964+D964)</f>
        <v>0</v>
      </c>
      <c r="D964" s="22">
        <f>B964*'My Loans'!$E$10/12</f>
        <v>0</v>
      </c>
      <c r="E964" s="22">
        <f t="shared" si="90"/>
        <v>0</v>
      </c>
      <c r="F964" s="22">
        <f t="shared" si="91"/>
        <v>0</v>
      </c>
    </row>
    <row r="965" spans="1:6" x14ac:dyDescent="0.25">
      <c r="A965" s="1">
        <v>92</v>
      </c>
      <c r="B965" s="13">
        <f t="shared" si="92"/>
        <v>0</v>
      </c>
      <c r="C965" s="22">
        <f>MIN('My Loans'!$F$10,B965+D965)</f>
        <v>0</v>
      </c>
      <c r="D965" s="22">
        <f>B965*'My Loans'!$E$10/12</f>
        <v>0</v>
      </c>
      <c r="E965" s="22">
        <f t="shared" si="90"/>
        <v>0</v>
      </c>
      <c r="F965" s="22">
        <f t="shared" si="91"/>
        <v>0</v>
      </c>
    </row>
    <row r="966" spans="1:6" x14ac:dyDescent="0.25">
      <c r="A966" s="1">
        <v>93</v>
      </c>
      <c r="B966" s="13">
        <f t="shared" si="92"/>
        <v>0</v>
      </c>
      <c r="C966" s="22">
        <f>MIN('My Loans'!$F$10,B966+D966)</f>
        <v>0</v>
      </c>
      <c r="D966" s="22">
        <f>B966*'My Loans'!$E$10/12</f>
        <v>0</v>
      </c>
      <c r="E966" s="22">
        <f t="shared" si="90"/>
        <v>0</v>
      </c>
      <c r="F966" s="22">
        <f t="shared" si="91"/>
        <v>0</v>
      </c>
    </row>
    <row r="967" spans="1:6" x14ac:dyDescent="0.25">
      <c r="A967" s="1">
        <v>94</v>
      </c>
      <c r="B967" s="13">
        <f t="shared" si="92"/>
        <v>0</v>
      </c>
      <c r="C967" s="22">
        <f>MIN('My Loans'!$F$10,B967+D967)</f>
        <v>0</v>
      </c>
      <c r="D967" s="22">
        <f>B967*'My Loans'!$E$10/12</f>
        <v>0</v>
      </c>
      <c r="E967" s="22">
        <f t="shared" si="90"/>
        <v>0</v>
      </c>
      <c r="F967" s="22">
        <f t="shared" si="91"/>
        <v>0</v>
      </c>
    </row>
    <row r="968" spans="1:6" x14ac:dyDescent="0.25">
      <c r="A968" s="1">
        <v>95</v>
      </c>
      <c r="B968" s="13">
        <f t="shared" si="92"/>
        <v>0</v>
      </c>
      <c r="C968" s="22">
        <f>MIN('My Loans'!$F$10,B968+D968)</f>
        <v>0</v>
      </c>
      <c r="D968" s="22">
        <f>B968*'My Loans'!$E$10/12</f>
        <v>0</v>
      </c>
      <c r="E968" s="22">
        <f t="shared" si="90"/>
        <v>0</v>
      </c>
      <c r="F968" s="22">
        <f t="shared" si="91"/>
        <v>0</v>
      </c>
    </row>
    <row r="969" spans="1:6" x14ac:dyDescent="0.25">
      <c r="A969" s="1">
        <v>96</v>
      </c>
      <c r="B969" s="13">
        <f t="shared" si="92"/>
        <v>0</v>
      </c>
      <c r="C969" s="22">
        <f>MIN('My Loans'!$F$10,B969+D969)</f>
        <v>0</v>
      </c>
      <c r="D969" s="22">
        <f>B969*'My Loans'!$E$10/12</f>
        <v>0</v>
      </c>
      <c r="E969" s="22">
        <f t="shared" si="90"/>
        <v>0</v>
      </c>
      <c r="F969" s="22">
        <f t="shared" si="91"/>
        <v>0</v>
      </c>
    </row>
    <row r="970" spans="1:6" x14ac:dyDescent="0.25">
      <c r="A970" s="1">
        <v>97</v>
      </c>
      <c r="B970" s="13">
        <f t="shared" si="92"/>
        <v>0</v>
      </c>
      <c r="C970" s="22">
        <f>MIN('My Loans'!$F$10,B970+D970)</f>
        <v>0</v>
      </c>
      <c r="D970" s="22">
        <f>B970*'My Loans'!$E$10/12</f>
        <v>0</v>
      </c>
      <c r="E970" s="22">
        <f t="shared" ref="E970:E1001" si="93">C970-D970</f>
        <v>0</v>
      </c>
      <c r="F970" s="22">
        <f t="shared" ref="F970:F1001" si="94">MAX(0,B970-E970)</f>
        <v>0</v>
      </c>
    </row>
    <row r="971" spans="1:6" x14ac:dyDescent="0.25">
      <c r="A971" s="1">
        <v>98</v>
      </c>
      <c r="B971" s="13">
        <f t="shared" ref="B971:B993" si="95">F970</f>
        <v>0</v>
      </c>
      <c r="C971" s="22">
        <f>MIN('My Loans'!$F$10,B971+D971)</f>
        <v>0</v>
      </c>
      <c r="D971" s="22">
        <f>B971*'My Loans'!$E$10/12</f>
        <v>0</v>
      </c>
      <c r="E971" s="22">
        <f t="shared" si="93"/>
        <v>0</v>
      </c>
      <c r="F971" s="22">
        <f t="shared" si="94"/>
        <v>0</v>
      </c>
    </row>
    <row r="972" spans="1:6" x14ac:dyDescent="0.25">
      <c r="A972" s="1">
        <v>99</v>
      </c>
      <c r="B972" s="13">
        <f t="shared" si="95"/>
        <v>0</v>
      </c>
      <c r="C972" s="22">
        <f>MIN('My Loans'!$F$10,B972+D972)</f>
        <v>0</v>
      </c>
      <c r="D972" s="22">
        <f>B972*'My Loans'!$E$10/12</f>
        <v>0</v>
      </c>
      <c r="E972" s="22">
        <f t="shared" si="93"/>
        <v>0</v>
      </c>
      <c r="F972" s="22">
        <f t="shared" si="94"/>
        <v>0</v>
      </c>
    </row>
    <row r="973" spans="1:6" x14ac:dyDescent="0.25">
      <c r="A973" s="1">
        <v>100</v>
      </c>
      <c r="B973" s="13">
        <f t="shared" si="95"/>
        <v>0</v>
      </c>
      <c r="C973" s="22">
        <f>MIN('My Loans'!$F$10,B973+D973)</f>
        <v>0</v>
      </c>
      <c r="D973" s="22">
        <f>B973*'My Loans'!$E$10/12</f>
        <v>0</v>
      </c>
      <c r="E973" s="22">
        <f t="shared" si="93"/>
        <v>0</v>
      </c>
      <c r="F973" s="22">
        <f t="shared" si="94"/>
        <v>0</v>
      </c>
    </row>
    <row r="974" spans="1:6" x14ac:dyDescent="0.25">
      <c r="A974" s="1">
        <v>101</v>
      </c>
      <c r="B974" s="13">
        <f t="shared" si="95"/>
        <v>0</v>
      </c>
      <c r="C974" s="22">
        <f>MIN('My Loans'!$F$10,B974+D974)</f>
        <v>0</v>
      </c>
      <c r="D974" s="22">
        <f>B974*'My Loans'!$E$10/12</f>
        <v>0</v>
      </c>
      <c r="E974" s="22">
        <f t="shared" si="93"/>
        <v>0</v>
      </c>
      <c r="F974" s="22">
        <f t="shared" si="94"/>
        <v>0</v>
      </c>
    </row>
    <row r="975" spans="1:6" x14ac:dyDescent="0.25">
      <c r="A975" s="1">
        <v>102</v>
      </c>
      <c r="B975" s="13">
        <f t="shared" si="95"/>
        <v>0</v>
      </c>
      <c r="C975" s="22">
        <f>MIN('My Loans'!$F$10,B975+D975)</f>
        <v>0</v>
      </c>
      <c r="D975" s="22">
        <f>B975*'My Loans'!$E$10/12</f>
        <v>0</v>
      </c>
      <c r="E975" s="22">
        <f t="shared" si="93"/>
        <v>0</v>
      </c>
      <c r="F975" s="22">
        <f t="shared" si="94"/>
        <v>0</v>
      </c>
    </row>
    <row r="976" spans="1:6" x14ac:dyDescent="0.25">
      <c r="A976" s="1">
        <v>103</v>
      </c>
      <c r="B976" s="13">
        <f t="shared" si="95"/>
        <v>0</v>
      </c>
      <c r="C976" s="22">
        <f>MIN('My Loans'!$F$10,B976+D976)</f>
        <v>0</v>
      </c>
      <c r="D976" s="22">
        <f>B976*'My Loans'!$E$10/12</f>
        <v>0</v>
      </c>
      <c r="E976" s="22">
        <f t="shared" si="93"/>
        <v>0</v>
      </c>
      <c r="F976" s="22">
        <f t="shared" si="94"/>
        <v>0</v>
      </c>
    </row>
    <row r="977" spans="1:6" x14ac:dyDescent="0.25">
      <c r="A977" s="1">
        <v>104</v>
      </c>
      <c r="B977" s="13">
        <f t="shared" si="95"/>
        <v>0</v>
      </c>
      <c r="C977" s="22">
        <f>MIN('My Loans'!$F$10,B977+D977)</f>
        <v>0</v>
      </c>
      <c r="D977" s="22">
        <f>B977*'My Loans'!$E$10/12</f>
        <v>0</v>
      </c>
      <c r="E977" s="22">
        <f t="shared" si="93"/>
        <v>0</v>
      </c>
      <c r="F977" s="22">
        <f t="shared" si="94"/>
        <v>0</v>
      </c>
    </row>
    <row r="978" spans="1:6" x14ac:dyDescent="0.25">
      <c r="A978" s="1">
        <v>105</v>
      </c>
      <c r="B978" s="13">
        <f t="shared" si="95"/>
        <v>0</v>
      </c>
      <c r="C978" s="22">
        <f>MIN('My Loans'!$F$10,B978+D978)</f>
        <v>0</v>
      </c>
      <c r="D978" s="22">
        <f>B978*'My Loans'!$E$10/12</f>
        <v>0</v>
      </c>
      <c r="E978" s="22">
        <f t="shared" si="93"/>
        <v>0</v>
      </c>
      <c r="F978" s="22">
        <f t="shared" si="94"/>
        <v>0</v>
      </c>
    </row>
    <row r="979" spans="1:6" x14ac:dyDescent="0.25">
      <c r="A979" s="1">
        <v>106</v>
      </c>
      <c r="B979" s="13">
        <f t="shared" si="95"/>
        <v>0</v>
      </c>
      <c r="C979" s="22">
        <f>MIN('My Loans'!$F$10,B979+D979)</f>
        <v>0</v>
      </c>
      <c r="D979" s="22">
        <f>B979*'My Loans'!$E$10/12</f>
        <v>0</v>
      </c>
      <c r="E979" s="22">
        <f t="shared" si="93"/>
        <v>0</v>
      </c>
      <c r="F979" s="22">
        <f t="shared" si="94"/>
        <v>0</v>
      </c>
    </row>
    <row r="980" spans="1:6" x14ac:dyDescent="0.25">
      <c r="A980" s="1">
        <v>107</v>
      </c>
      <c r="B980" s="13">
        <f t="shared" si="95"/>
        <v>0</v>
      </c>
      <c r="C980" s="22">
        <f>MIN('My Loans'!$F$10,B980+D980)</f>
        <v>0</v>
      </c>
      <c r="D980" s="22">
        <f>B980*'My Loans'!$E$10/12</f>
        <v>0</v>
      </c>
      <c r="E980" s="22">
        <f t="shared" si="93"/>
        <v>0</v>
      </c>
      <c r="F980" s="22">
        <f t="shared" si="94"/>
        <v>0</v>
      </c>
    </row>
    <row r="981" spans="1:6" x14ac:dyDescent="0.25">
      <c r="A981" s="1">
        <v>108</v>
      </c>
      <c r="B981" s="13">
        <f t="shared" si="95"/>
        <v>0</v>
      </c>
      <c r="C981" s="22">
        <f>MIN('My Loans'!$F$10,B981+D981)</f>
        <v>0</v>
      </c>
      <c r="D981" s="22">
        <f>B981*'My Loans'!$E$10/12</f>
        <v>0</v>
      </c>
      <c r="E981" s="22">
        <f t="shared" si="93"/>
        <v>0</v>
      </c>
      <c r="F981" s="22">
        <f t="shared" si="94"/>
        <v>0</v>
      </c>
    </row>
    <row r="982" spans="1:6" x14ac:dyDescent="0.25">
      <c r="A982" s="1">
        <v>109</v>
      </c>
      <c r="B982" s="13">
        <f t="shared" si="95"/>
        <v>0</v>
      </c>
      <c r="C982" s="22">
        <f>MIN('My Loans'!$F$10,B982+D982)</f>
        <v>0</v>
      </c>
      <c r="D982" s="22">
        <f>B982*'My Loans'!$E$10/12</f>
        <v>0</v>
      </c>
      <c r="E982" s="22">
        <f t="shared" si="93"/>
        <v>0</v>
      </c>
      <c r="F982" s="22">
        <f t="shared" si="94"/>
        <v>0</v>
      </c>
    </row>
    <row r="983" spans="1:6" x14ac:dyDescent="0.25">
      <c r="A983" s="1">
        <v>110</v>
      </c>
      <c r="B983" s="13">
        <f t="shared" si="95"/>
        <v>0</v>
      </c>
      <c r="C983" s="22">
        <f>MIN('My Loans'!$F$10,B983+D983)</f>
        <v>0</v>
      </c>
      <c r="D983" s="22">
        <f>B983*'My Loans'!$E$10/12</f>
        <v>0</v>
      </c>
      <c r="E983" s="22">
        <f t="shared" si="93"/>
        <v>0</v>
      </c>
      <c r="F983" s="22">
        <f t="shared" si="94"/>
        <v>0</v>
      </c>
    </row>
    <row r="984" spans="1:6" x14ac:dyDescent="0.25">
      <c r="A984" s="1">
        <v>111</v>
      </c>
      <c r="B984" s="13">
        <f t="shared" si="95"/>
        <v>0</v>
      </c>
      <c r="C984" s="22">
        <f>MIN('My Loans'!$F$10,B984+D984)</f>
        <v>0</v>
      </c>
      <c r="D984" s="22">
        <f>B984*'My Loans'!$E$10/12</f>
        <v>0</v>
      </c>
      <c r="E984" s="22">
        <f t="shared" si="93"/>
        <v>0</v>
      </c>
      <c r="F984" s="22">
        <f t="shared" si="94"/>
        <v>0</v>
      </c>
    </row>
    <row r="985" spans="1:6" x14ac:dyDescent="0.25">
      <c r="A985" s="1">
        <v>112</v>
      </c>
      <c r="B985" s="13">
        <f t="shared" si="95"/>
        <v>0</v>
      </c>
      <c r="C985" s="22">
        <f>MIN('My Loans'!$F$10,B985+D985)</f>
        <v>0</v>
      </c>
      <c r="D985" s="22">
        <f>B985*'My Loans'!$E$10/12</f>
        <v>0</v>
      </c>
      <c r="E985" s="22">
        <f t="shared" si="93"/>
        <v>0</v>
      </c>
      <c r="F985" s="22">
        <f t="shared" si="94"/>
        <v>0</v>
      </c>
    </row>
    <row r="986" spans="1:6" x14ac:dyDescent="0.25">
      <c r="A986" s="1">
        <v>113</v>
      </c>
      <c r="B986" s="13">
        <f t="shared" si="95"/>
        <v>0</v>
      </c>
      <c r="C986" s="22">
        <f>MIN('My Loans'!$F$10,B986+D986)</f>
        <v>0</v>
      </c>
      <c r="D986" s="22">
        <f>B986*'My Loans'!$E$10/12</f>
        <v>0</v>
      </c>
      <c r="E986" s="22">
        <f t="shared" si="93"/>
        <v>0</v>
      </c>
      <c r="F986" s="22">
        <f t="shared" si="94"/>
        <v>0</v>
      </c>
    </row>
    <row r="987" spans="1:6" x14ac:dyDescent="0.25">
      <c r="A987" s="1">
        <v>114</v>
      </c>
      <c r="B987" s="13">
        <f t="shared" si="95"/>
        <v>0</v>
      </c>
      <c r="C987" s="22">
        <f>MIN('My Loans'!$F$10,B987+D987)</f>
        <v>0</v>
      </c>
      <c r="D987" s="22">
        <f>B987*'My Loans'!$E$10/12</f>
        <v>0</v>
      </c>
      <c r="E987" s="22">
        <f t="shared" si="93"/>
        <v>0</v>
      </c>
      <c r="F987" s="22">
        <f t="shared" si="94"/>
        <v>0</v>
      </c>
    </row>
    <row r="988" spans="1:6" x14ac:dyDescent="0.25">
      <c r="A988" s="1">
        <v>115</v>
      </c>
      <c r="B988" s="13">
        <f t="shared" si="95"/>
        <v>0</v>
      </c>
      <c r="C988" s="22">
        <f>MIN('My Loans'!$F$10,B988+D988)</f>
        <v>0</v>
      </c>
      <c r="D988" s="22">
        <f>B988*'My Loans'!$E$10/12</f>
        <v>0</v>
      </c>
      <c r="E988" s="22">
        <f t="shared" si="93"/>
        <v>0</v>
      </c>
      <c r="F988" s="22">
        <f t="shared" si="94"/>
        <v>0</v>
      </c>
    </row>
    <row r="989" spans="1:6" x14ac:dyDescent="0.25">
      <c r="A989" s="1">
        <v>116</v>
      </c>
      <c r="B989" s="13">
        <f t="shared" si="95"/>
        <v>0</v>
      </c>
      <c r="C989" s="22">
        <f>MIN('My Loans'!$F$10,B989+D989)</f>
        <v>0</v>
      </c>
      <c r="D989" s="22">
        <f>B989*'My Loans'!$E$10/12</f>
        <v>0</v>
      </c>
      <c r="E989" s="22">
        <f t="shared" si="93"/>
        <v>0</v>
      </c>
      <c r="F989" s="22">
        <f t="shared" si="94"/>
        <v>0</v>
      </c>
    </row>
    <row r="990" spans="1:6" x14ac:dyDescent="0.25">
      <c r="A990" s="1">
        <v>117</v>
      </c>
      <c r="B990" s="13">
        <f t="shared" si="95"/>
        <v>0</v>
      </c>
      <c r="C990" s="22">
        <f>MIN('My Loans'!$F$10,B990+D990)</f>
        <v>0</v>
      </c>
      <c r="D990" s="22">
        <f>B990*'My Loans'!$E$10/12</f>
        <v>0</v>
      </c>
      <c r="E990" s="22">
        <f t="shared" si="93"/>
        <v>0</v>
      </c>
      <c r="F990" s="22">
        <f t="shared" si="94"/>
        <v>0</v>
      </c>
    </row>
    <row r="991" spans="1:6" x14ac:dyDescent="0.25">
      <c r="A991" s="1">
        <v>118</v>
      </c>
      <c r="B991" s="13">
        <f t="shared" si="95"/>
        <v>0</v>
      </c>
      <c r="C991" s="22">
        <f>MIN('My Loans'!$F$10,B991+D991)</f>
        <v>0</v>
      </c>
      <c r="D991" s="22">
        <f>B991*'My Loans'!$E$10/12</f>
        <v>0</v>
      </c>
      <c r="E991" s="22">
        <f t="shared" si="93"/>
        <v>0</v>
      </c>
      <c r="F991" s="22">
        <f t="shared" si="94"/>
        <v>0</v>
      </c>
    </row>
    <row r="992" spans="1:6" x14ac:dyDescent="0.25">
      <c r="A992" s="1">
        <v>119</v>
      </c>
      <c r="B992" s="13">
        <f t="shared" si="95"/>
        <v>0</v>
      </c>
      <c r="C992" s="22">
        <f>MIN('My Loans'!$F$10,B992+D992)</f>
        <v>0</v>
      </c>
      <c r="D992" s="22">
        <f>B992*'My Loans'!$E$10/12</f>
        <v>0</v>
      </c>
      <c r="E992" s="22">
        <f t="shared" si="93"/>
        <v>0</v>
      </c>
      <c r="F992" s="22">
        <f t="shared" si="94"/>
        <v>0</v>
      </c>
    </row>
    <row r="993" spans="1:6" x14ac:dyDescent="0.25">
      <c r="A993" s="1">
        <v>120</v>
      </c>
      <c r="B993" s="13">
        <f t="shared" si="95"/>
        <v>0</v>
      </c>
      <c r="C993" s="22">
        <f>MIN('My Loans'!$F$10,B993+D993)</f>
        <v>0</v>
      </c>
      <c r="D993" s="22">
        <f>B993*'My Loans'!$E$10/12</f>
        <v>0</v>
      </c>
      <c r="E993" s="22">
        <f t="shared" si="93"/>
        <v>0</v>
      </c>
      <c r="F993" s="22">
        <f t="shared" si="94"/>
        <v>0</v>
      </c>
    </row>
    <row r="994" spans="1:6" x14ac:dyDescent="0.25">
      <c r="A994" s="1" t="s">
        <v>96</v>
      </c>
      <c r="B994" s="13">
        <f>SUM(D874:D993)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My Loans</vt:lpstr>
      <vt:lpstr>Avalanche</vt:lpstr>
      <vt:lpstr>Snowball</vt:lpstr>
      <vt:lpstr>Comparison</vt:lpstr>
      <vt:lpstr>Amortization (Full)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 Loan Payoff Optimizer</dc:title>
  <dc:subject>Personal Finance, Debt Management</dc:subject>
  <dc:creator>Tim Frenzel</dc:creator>
  <cp:lastModifiedBy>Frenzel, Tim</cp:lastModifiedBy>
  <dcterms:created xsi:type="dcterms:W3CDTF">2026-04-07T21:42:10Z</dcterms:created>
  <dcterms:modified xsi:type="dcterms:W3CDTF">2026-04-08T09:10:53Z</dcterms:modified>
</cp:coreProperties>
</file>